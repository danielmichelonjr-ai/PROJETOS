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Resumo" sheetId="2" state="visible" r:id="rId4"/>
    <sheet name="Comparativo Tabelas" sheetId="3" state="visible" r:id="rId5"/>
    <sheet name="Top 20 Cidades" sheetId="4" state="visible" r:id="rId6"/>
    <sheet name="Frete Peso Top 20" sheetId="5" state="visible" r:id="rId7"/>
    <sheet name="Proposta Tabela PROLOG" sheetId="6" state="visible" r:id="rId8"/>
    <sheet name="Faixa x Região" sheetId="7" state="visible" r:id="rId9"/>
    <sheet name="Pedidos" sheetId="8" state="visible" r:id="rId10"/>
  </sheets>
  <definedNames>
    <definedName function="false" hidden="true" localSheetId="7" name="_xlnm._FilterDatabase" vbProcedure="false">Pedidos!$A$1:$AJ$2224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<sst xmlns="http://schemas.openxmlformats.org/spreadsheetml/2006/main" count="12160" uniqueCount="2345">
  <si>
    <t xml:space="preserve">COMPETITIVIDADE DA TABELA PROLOG FILIAL SP — RIO DE JANEIRO</t>
  </si>
  <si>
    <t xml:space="preserve">Base: 2.223 pedidos reais do RJ (jul–set/2026), saída filial SP, cotados pela tabela PROLOG e pela tabela de OUTRO PARCEIRO. Preços finais com ICMS 12% por fora e todas as taxas.</t>
  </si>
  <si>
    <t xml:space="preserve">PREÇO PROLOG vs OUTRO PARCEIRO</t>
  </si>
  <si>
    <t xml:space="preserve">COTAÇÕES QUE A PROLOG GANHARIA HOJE</t>
  </si>
  <si>
    <t xml:space="preserve">FRETE PESO PROLOG vs OUTRO PARCEIRO</t>
  </si>
  <si>
    <t xml:space="preserve">REDUÇÃO NECESSÁRIA NO FRETE PESO</t>
  </si>
  <si>
    <t xml:space="preserve">preço final médio por pedido</t>
  </si>
  <si>
    <t xml:space="preserve">pedidos em que a PROLOG seria a mais barata</t>
  </si>
  <si>
    <t xml:space="preserve">principal causa da diferença</t>
  </si>
  <si>
    <t xml:space="preserve">para empatar, mantendo as taxas atuais</t>
  </si>
  <si>
    <t xml:space="preserve">QUADRO 1 — Competitividade por região</t>
  </si>
  <si>
    <t xml:space="preserve">Região</t>
  </si>
  <si>
    <t xml:space="preserve">Pedidos</t>
  </si>
  <si>
    <t xml:space="preserve">% do volume</t>
  </si>
  <si>
    <t xml:space="preserve">Preço médio PROLOG</t>
  </si>
  <si>
    <t xml:space="preserve">Preço médio OUTRO PARCEIRO</t>
  </si>
  <si>
    <t xml:space="preserve">PROLOG vs OUTRO PARCEIRO</t>
  </si>
  <si>
    <t xml:space="preserve">Frete peso PROLOG vs OUTRO PARCEIRO</t>
  </si>
  <si>
    <t xml:space="preserve">Redução necessária no frete peso</t>
  </si>
  <si>
    <t xml:space="preserve">Prazo PROLOG (du)</t>
  </si>
  <si>
    <t xml:space="preserve">Prazo OUTRO PARCEIRO (du)</t>
  </si>
  <si>
    <t xml:space="preserve">Situação</t>
  </si>
  <si>
    <t xml:space="preserve">Capital</t>
  </si>
  <si>
    <t xml:space="preserve">Metropolitana</t>
  </si>
  <si>
    <t xml:space="preserve">Interior</t>
  </si>
  <si>
    <t xml:space="preserve">TOTAL</t>
  </si>
  <si>
    <t xml:space="preserve">Capital = CEPs 20000-001 a 23799-999 (município do Rio). Metropolitana = Niterói, São Gonçalo, Duque de Caxias, São João de Meriti, Nova Iguaçu, Belford Roxo, Queimados, Nilópolis e Mesquita. Interior = demais.</t>
  </si>
  <si>
    <t xml:space="preserve">QUADRO 2 — PROLOG vs OUTRO PARCEIRO por faixa de peso (preço final)</t>
  </si>
  <si>
    <t xml:space="preserve">verde = PROLOG competitiva · vermelho = precisa reduzir</t>
  </si>
  <si>
    <t xml:space="preserve">0-20 kg</t>
  </si>
  <si>
    <t xml:space="preserve">20-35 kg</t>
  </si>
  <si>
    <t xml:space="preserve">35-40 kg</t>
  </si>
  <si>
    <t xml:space="preserve">40-50 kg</t>
  </si>
  <si>
    <t xml:space="preserve">50-60 kg</t>
  </si>
  <si>
    <t xml:space="preserve">60-70 kg</t>
  </si>
  <si>
    <t xml:space="preserve">70-80 kg</t>
  </si>
  <si>
    <t xml:space="preserve">80-100 kg</t>
  </si>
  <si>
    <t xml:space="preserve">100-120 kg</t>
  </si>
  <si>
    <t xml:space="preserve">120-150 kg</t>
  </si>
  <si>
    <t xml:space="preserve">Total</t>
  </si>
  <si>
    <t xml:space="preserve">TODAS</t>
  </si>
  <si>
    <t xml:space="preserve">QUADRO 3 — Frete peso da tabela: ATUAL x ALVO para empatar (faixas com 80% do volume)</t>
  </si>
  <si>
    <t xml:space="preserve">alvo = valor máximo de frete peso para empatar; para ganhar a cotação, ficar alguns % abaixo</t>
  </si>
  <si>
    <t xml:space="preserve">Cidade</t>
  </si>
  <si>
    <t xml:space="preserve">Atual</t>
  </si>
  <si>
    <t xml:space="preserve">Alvo</t>
  </si>
  <si>
    <t xml:space="preserve">Rio de Janeiro</t>
  </si>
  <si>
    <t xml:space="preserve">São Gonçalo</t>
  </si>
  <si>
    <t xml:space="preserve">Duque de Caxias</t>
  </si>
  <si>
    <t xml:space="preserve">Nova Iguaçu</t>
  </si>
  <si>
    <t xml:space="preserve">Niterói</t>
  </si>
  <si>
    <t xml:space="preserve">Campos dos Goytacazes</t>
  </si>
  <si>
    <t xml:space="preserve">Belford Roxo</t>
  </si>
  <si>
    <t xml:space="preserve">Macaé</t>
  </si>
  <si>
    <t xml:space="preserve">Tabela completa (93 faixas de CEP × 13 faixas de peso) na aba "Proposta Tabela PROLOG".</t>
  </si>
  <si>
    <t xml:space="preserve">QUADRO 4 — SIMULADOR DE PROPOSTA (altere as células amarelas)</t>
  </si>
  <si>
    <t xml:space="preserve">o resultado recalcula sobre os 2.223 pedidos</t>
  </si>
  <si>
    <t xml:space="preserve">Parâmetro da proposta</t>
  </si>
  <si>
    <t xml:space="preserve">Valor</t>
  </si>
  <si>
    <t xml:space="preserve">Preço médio PROPOSTA</t>
  </si>
  <si>
    <t xml:space="preserve">PROPOSTA vs OUTRO PARCEIRO</t>
  </si>
  <si>
    <t xml:space="preserve">Cotações ganhas</t>
  </si>
  <si>
    <t xml:space="preserve">Redução linear no frete peso (%)</t>
  </si>
  <si>
    <t xml:space="preserve">TAS (R$ por pedido) — hoje R$ 1,00</t>
  </si>
  <si>
    <t xml:space="preserve">Pedágio (R$ por 100 kg) — hoje R$ 4,50</t>
  </si>
  <si>
    <t xml:space="preserve">CTe (R$ por kg) — hoje R$ 0,06</t>
  </si>
  <si>
    <t xml:space="preserve">A taxa interna do embarcador (R$ 0,45/kg) e o ICMS 12% são mantidos — iguais para todos os parceiros.</t>
  </si>
  <si>
    <t xml:space="preserve">Cenários prontos de redução do frete peso (com TAS, pedágio e CTe do simulador)</t>
  </si>
  <si>
    <t xml:space="preserve">Redução no frete peso</t>
  </si>
  <si>
    <t xml:space="preserve">QUADRO 5 — O QUE A PROLOG PRECISA FAZER</t>
  </si>
  <si>
    <t xml:space="preserve">1. FRETE PESO</t>
  </si>
  <si>
    <t xml:space="preserve">É o que mais pesa na diferença. A redução necessária para empatar está no Quadro 1, coluna I. Prioridade: Capital (46% dos pedidos), depois Interior (Macaé e Campos).</t>
  </si>
  <si>
    <t xml:space="preserve">2. PEDÁGIO</t>
  </si>
  <si>
    <t xml:space="preserve">Passar de R$ 4,50 para cerca de R$ 1,05 a cada 100 kg (≈ R$ 3,70 por pedido).</t>
  </si>
  <si>
    <t xml:space="preserve">3. CTe POR KG</t>
  </si>
  <si>
    <t xml:space="preserve">Zerar o CTe de R$ 0,06/kg (≈ R$ 3,00 por pedido).</t>
  </si>
  <si>
    <t xml:space="preserve">4. MANTER A TAS</t>
  </si>
  <si>
    <t xml:space="preserve">A TAS de R$ 1,00 é a maior vantagem da PROLOG: o parceiro cobra CTe fixo de R$ 13,55 por pedido. Não trocar por taxa fixa maior.</t>
  </si>
  <si>
    <t xml:space="preserve">5. PRAZO</t>
  </si>
  <si>
    <t xml:space="preserve">Na Capital e na Metropolitana o parceiro entrega em 2 dias úteis (PROLOG: 5 a 7). No Interior a PROLOG é mais rápida (6 a 11 contra 13).</t>
  </si>
  <si>
    <t xml:space="preserve">6. EXCEDENTE &gt; 250 kg</t>
  </si>
  <si>
    <t xml:space="preserve">Rever o excedente de R$ 7,71 a R$ 12,05/kg (mercado ≈ R$ 1,00 a R$ 1,35/kg).</t>
  </si>
  <si>
    <t xml:space="preserve">7. FAIXAS LEVES</t>
  </si>
  <si>
    <t xml:space="preserve">Até 20 kg a PROLOG já está perto (≈ +10%); na Metropolitana até 20 kg empata. Bom ponto de partida.</t>
  </si>
  <si>
    <t xml:space="preserve">GRÁFICOS</t>
  </si>
  <si>
    <t xml:space="preserve">PROLOG FILIAL SP x OUTRO PARCEIRO — pedidos RJ, origem FILIAL SP, jul–set/2026</t>
  </si>
  <si>
    <t xml:space="preserve">PREMISSAS (células em azul podem ser alteradas — todas as abas recalculam)</t>
  </si>
  <si>
    <t xml:space="preserve">Parâmetro</t>
  </si>
  <si>
    <t xml:space="preserve">PROLOG</t>
  </si>
  <si>
    <t xml:space="preserve">OUTRO PARCEIRO</t>
  </si>
  <si>
    <t xml:space="preserve">Fonte / observação</t>
  </si>
  <si>
    <t xml:space="preserve">ICMS por fora (total = subtotal / (1 − alíquota))</t>
  </si>
  <si>
    <t xml:space="preserve">Confirmado: 12% por fora. Ambas as tabelas com "ICMS incluso = N".</t>
  </si>
  <si>
    <t xml:space="preserve">Ad valorem / frete valor (% NF)</t>
  </si>
  <si>
    <t xml:space="preserve">Tabelas Intelipost</t>
  </si>
  <si>
    <t xml:space="preserve">GRIS (% NF)</t>
  </si>
  <si>
    <t xml:space="preserve">Seguro (% NF)</t>
  </si>
  <si>
    <t xml:space="preserve">Tabela OUTRO PARCEIRO</t>
  </si>
  <si>
    <t xml:space="preserve">TAS / entrega fixo (R$ por pedido)</t>
  </si>
  <si>
    <t xml:space="preserve">PROLOG: TAS R$ 1,00</t>
  </si>
  <si>
    <t xml:space="preserve">Pedágio (R$ por fração de 100 kg)</t>
  </si>
  <si>
    <t xml:space="preserve">TRT (% sobre o subtotal)</t>
  </si>
  <si>
    <t xml:space="preserve">Nenhuma das duas tabelas cobra TRT</t>
  </si>
  <si>
    <t xml:space="preserve">CTe por kg (R$/kg)</t>
  </si>
  <si>
    <t xml:space="preserve">PROLOG: CTE FIXO 0,06 com faixa de 1 kg</t>
  </si>
  <si>
    <t xml:space="preserve">CTe fixo (R$ por pedido)</t>
  </si>
  <si>
    <t xml:space="preserve">OUTRO PARCEIRO: CTE VALOR FIXO R$ 13,55</t>
  </si>
  <si>
    <t xml:space="preserve">Taxa interna (R$ por kg) — levar o produto até a filial SP</t>
  </si>
  <si>
    <t xml:space="preserve">Taxa do embarcador, obrigatória e IGUAL para todos os parceiros (não negociável) — lançada como "outra taxa"</t>
  </si>
  <si>
    <t xml:space="preserve">Cubagem (kg/m³)</t>
  </si>
  <si>
    <t xml:space="preserve">Sem dimensões na base: simulado por peso real</t>
  </si>
  <si>
    <t xml:space="preserve">VISÃO GERAL — os mesmos 2.223 pedidos cotados pelas duas tabelas</t>
  </si>
  <si>
    <t xml:space="preserve">Indicador</t>
  </si>
  <si>
    <t xml:space="preserve">PROLOG FILIAL SP</t>
  </si>
  <si>
    <t xml:space="preserve">Diferença</t>
  </si>
  <si>
    <t xml:space="preserve">Custo total de frete</t>
  </si>
  <si>
    <t xml:space="preserve">Custo médio por pedido</t>
  </si>
  <si>
    <t xml:space="preserve">Frete / NF</t>
  </si>
  <si>
    <t xml:space="preserve">% pedidos em que a PROLOG ganharia a cotação</t>
  </si>
  <si>
    <t xml:space="preserve">Prazo médio (dias úteis)</t>
  </si>
  <si>
    <t xml:space="preserve">DE ONDE VEM A DIFERENÇA — média por pedido (R$)</t>
  </si>
  <si>
    <t xml:space="preserve">Componente</t>
  </si>
  <si>
    <t xml:space="preserve">PROLOG − OUTRO PARCEIRO</t>
  </si>
  <si>
    <t xml:space="preserve">% da diferença</t>
  </si>
  <si>
    <t xml:space="preserve">Frete peso</t>
  </si>
  <si>
    <t xml:space="preserve">Ad valorem</t>
  </si>
  <si>
    <t xml:space="preserve">GRIS</t>
  </si>
  <si>
    <t xml:space="preserve">Seguro</t>
  </si>
  <si>
    <t xml:space="preserve">TAS / entrega</t>
  </si>
  <si>
    <t xml:space="preserve">Pedágio</t>
  </si>
  <si>
    <t xml:space="preserve">CTe (OUTRO PARCEIRO fixo R$ 13,55 / PROLOG R$ 0,06 por kg)</t>
  </si>
  <si>
    <t xml:space="preserve">Taxa interna R$ 0,45/kg</t>
  </si>
  <si>
    <t xml:space="preserve">TRT</t>
  </si>
  <si>
    <t xml:space="preserve">ICMS 12% por fora</t>
  </si>
  <si>
    <t xml:space="preserve">Estrutura das tabelas — principais diferenças (OUTRO PARCEIRO = tabela atualizada 17/07/2026)</t>
  </si>
  <si>
    <t xml:space="preserve">Item</t>
  </si>
  <si>
    <t xml:space="preserve">Quem leva vantagem</t>
  </si>
  <si>
    <t xml:space="preserve">Comentário / oportunidade</t>
  </si>
  <si>
    <t xml:space="preserve">Regionalização do RJ</t>
  </si>
  <si>
    <t xml:space="preserve">93 faixas de CEP, 9 níveis de preço</t>
  </si>
  <si>
    <t xml:space="preserve">93 faixas de CEP, 3 níveis: Capital, Metropolitana (10 faixas), Interior (82)</t>
  </si>
  <si>
    <t xml:space="preserve">—</t>
  </si>
  <si>
    <t xml:space="preserve">OUTRO PARCEIRO tem preço único por região; a PROLOG pode ser agressiva onde tem operação própria</t>
  </si>
  <si>
    <t xml:space="preserve">Frete peso — Capital até 20 kg</t>
  </si>
  <si>
    <t xml:space="preserve">R$ 46,98</t>
  </si>
  <si>
    <t xml:space="preserve">R$ 33,42</t>
  </si>
  <si>
    <t xml:space="preserve">+41%</t>
  </si>
  <si>
    <t xml:space="preserve">Frete peso — Capital 20 a 35 kg</t>
  </si>
  <si>
    <t xml:space="preserve">R$ 82,21</t>
  </si>
  <si>
    <t xml:space="preserve">R$ 42,11</t>
  </si>
  <si>
    <t xml:space="preserve">+95% — maior gap de valor (faixa mais vendida da capital)</t>
  </si>
  <si>
    <t xml:space="preserve">Frete peso — Capital 40 a 50 kg</t>
  </si>
  <si>
    <t xml:space="preserve">R$ 93,97</t>
  </si>
  <si>
    <t xml:space="preserve">R$ 53,55</t>
  </si>
  <si>
    <t xml:space="preserve">+75%</t>
  </si>
  <si>
    <t xml:space="preserve">Frete peso — Capital 50 a 60 kg</t>
  </si>
  <si>
    <t xml:space="preserve">R$ 112,30</t>
  </si>
  <si>
    <t xml:space="preserve">R$ 58,60</t>
  </si>
  <si>
    <t xml:space="preserve">+92%</t>
  </si>
  <si>
    <t xml:space="preserve">Frete peso — Capital 60 a 70 kg</t>
  </si>
  <si>
    <t xml:space="preserve">R$ 131,02</t>
  </si>
  <si>
    <t xml:space="preserve">R$ 63,21</t>
  </si>
  <si>
    <t xml:space="preserve">+107%</t>
  </si>
  <si>
    <t xml:space="preserve">Taxa fixa por pedido</t>
  </si>
  <si>
    <t xml:space="preserve">TAS R$ 1,00</t>
  </si>
  <si>
    <t xml:space="preserve">CTe fixo R$ 13,55</t>
  </si>
  <si>
    <t xml:space="preserve">R$ 12,55 a menos por pedido — é a única vantagem relevante da PROLOG em taxas</t>
  </si>
  <si>
    <t xml:space="preserve">CTe por kg</t>
  </si>
  <si>
    <t xml:space="preserve">R$ 0,06 / kg</t>
  </si>
  <si>
    <t xml:space="preserve">não cobra</t>
  </si>
  <si>
    <t xml:space="preserve">≈ R$ 3,00 por pedido; trocar por fixo ou zerar</t>
  </si>
  <si>
    <t xml:space="preserve">Taxa interna do embarcador</t>
  </si>
  <si>
    <t xml:space="preserve">R$ 0,45 / kg</t>
  </si>
  <si>
    <t xml:space="preserve">Empate</t>
  </si>
  <si>
    <t xml:space="preserve">Igual para todos os parceiros, não negociável</t>
  </si>
  <si>
    <t xml:space="preserve">Ad valorem / Seguro</t>
  </si>
  <si>
    <t xml:space="preserve">0,10% NF (ad valorem)</t>
  </si>
  <si>
    <t xml:space="preserve">0,21% NF (seguro)</t>
  </si>
  <si>
    <t xml:space="preserve">≈ R$ 0,70 a favor</t>
  </si>
  <si>
    <t xml:space="preserve">0,20% NF</t>
  </si>
  <si>
    <t xml:space="preserve">0,21% NF</t>
  </si>
  <si>
    <t xml:space="preserve">Pequeno</t>
  </si>
  <si>
    <t xml:space="preserve">R$ 4,50 / 100 kg</t>
  </si>
  <si>
    <t xml:space="preserve">R$ 1,05 / 100 kg</t>
  </si>
  <si>
    <t xml:space="preserve">R$ 3,45 a mais por pedido — fácil de negociar</t>
  </si>
  <si>
    <t xml:space="preserve">Cubagem</t>
  </si>
  <si>
    <t xml:space="preserve">não aplica (0)</t>
  </si>
  <si>
    <t xml:space="preserve">300 kg/m³</t>
  </si>
  <si>
    <t xml:space="preserve">Vantagem para volumosos (não medida: base sem dimensões)</t>
  </si>
  <si>
    <t xml:space="preserve">Excedente acima de 250 kg</t>
  </si>
  <si>
    <t xml:space="preserve">R$ 7,71 a 12,05 / kg</t>
  </si>
  <si>
    <t xml:space="preserve">R$ 0,96 a 1,34 / kg</t>
  </si>
  <si>
    <t xml:space="preserve">Sem pedidos acima de 250 kg; ainda assim fora de mercado</t>
  </si>
  <si>
    <t xml:space="preserve">Prazo — Capital e Metropolitana</t>
  </si>
  <si>
    <t xml:space="preserve">5 a 7 dias úteis</t>
  </si>
  <si>
    <t xml:space="preserve">2 dias úteis</t>
  </si>
  <si>
    <t xml:space="preserve">O OUTRO PARCEIRO oferece 2 du: a PROLOG perdeu a vantagem de prazo nas regiões de maior volume</t>
  </si>
  <si>
    <t xml:space="preserve">Prazo — Interior</t>
  </si>
  <si>
    <t xml:space="preserve">6 a 11 dias úteis</t>
  </si>
  <si>
    <t xml:space="preserve">13 dias úteis</t>
  </si>
  <si>
    <t xml:space="preserve">2 a 7 dias mais rápido</t>
  </si>
  <si>
    <t xml:space="preserve">Top 20 cidades RJ — preço final (com taxas e ICMS) PROLOG x OUTRO PARCEIRO nos mesmos pedidos</t>
  </si>
  <si>
    <t xml:space="preserve">#</t>
  </si>
  <si>
    <t xml:space="preserve">Região OUTRO PARCEIRO</t>
  </si>
  <si>
    <t xml:space="preserve">% pedidos RJ</t>
  </si>
  <si>
    <t xml:space="preserve">Peso médio (kg)</t>
  </si>
  <si>
    <t xml:space="preserve">NF média</t>
  </si>
  <si>
    <t xml:space="preserve">OUTRO PARCEIRO médio</t>
  </si>
  <si>
    <t xml:space="preserve">PROLOG médio</t>
  </si>
  <si>
    <t xml:space="preserve">Frete/NF OUTRO PARCEIRO</t>
  </si>
  <si>
    <t xml:space="preserve">Frete/NF PROLOG</t>
  </si>
  <si>
    <t xml:space="preserve">% pedidos PROLOG ganharia</t>
  </si>
  <si>
    <t xml:space="preserve">Prazo OUTRO PARCEIRO</t>
  </si>
  <si>
    <t xml:space="preserve">Prazo PROLOG</t>
  </si>
  <si>
    <t xml:space="preserve">Redução necessária no preço PROLOG p/ empatar</t>
  </si>
  <si>
    <t xml:space="preserve">Avaliação</t>
  </si>
  <si>
    <t xml:space="preserve">São João de Meriti</t>
  </si>
  <si>
    <t xml:space="preserve">Volta Redonda</t>
  </si>
  <si>
    <t xml:space="preserve">Angra dos Reis</t>
  </si>
  <si>
    <t xml:space="preserve">Petrópolis</t>
  </si>
  <si>
    <t xml:space="preserve">Maricá</t>
  </si>
  <si>
    <t xml:space="preserve">Cabo Frio</t>
  </si>
  <si>
    <t xml:space="preserve">Araruama</t>
  </si>
  <si>
    <t xml:space="preserve">Itaboraí</t>
  </si>
  <si>
    <t xml:space="preserve">Mesquita</t>
  </si>
  <si>
    <t xml:space="preserve">Magé</t>
  </si>
  <si>
    <t xml:space="preserve">Nova Friburgo</t>
  </si>
  <si>
    <t xml:space="preserve">Rio das Ostras</t>
  </si>
  <si>
    <t xml:space="preserve">TOTAL TOP 20</t>
  </si>
  <si>
    <t xml:space="preserve">Avaliação: "Muito bem" = PROLOG mais barata; "Melhor posição" = até +32%; "Intermediária" = +32% a +45%; "Precisa melhorar" = acima de +45%.</t>
  </si>
  <si>
    <t xml:space="preserve">Frete peso por faixa (valor de tabela, antes de taxas e ICMS) — PROLOG x OUTRO PARCEIRO nas top 20 cidades</t>
  </si>
  <si>
    <t xml:space="preserve">1) PROLOG — frete peso (R$)</t>
  </si>
  <si>
    <t xml:space="preserve">0-20</t>
  </si>
  <si>
    <t xml:space="preserve">20-35</t>
  </si>
  <si>
    <t xml:space="preserve">35-40</t>
  </si>
  <si>
    <t xml:space="preserve">40-50</t>
  </si>
  <si>
    <t xml:space="preserve">50-60</t>
  </si>
  <si>
    <t xml:space="preserve">60-70</t>
  </si>
  <si>
    <t xml:space="preserve">70-80</t>
  </si>
  <si>
    <t xml:space="preserve">80-100</t>
  </si>
  <si>
    <t xml:space="preserve">100-120</t>
  </si>
  <si>
    <t xml:space="preserve">120-150</t>
  </si>
  <si>
    <t xml:space="preserve">150-170</t>
  </si>
  <si>
    <t xml:space="preserve">170-200</t>
  </si>
  <si>
    <t xml:space="preserve">200-250</t>
  </si>
  <si>
    <t xml:space="preserve">2) OUTRO PARCEIRO — frete peso (R$)</t>
  </si>
  <si>
    <t xml:space="preserve">3) PROLOG vs OUTRO PARCEIRO (%)</t>
  </si>
  <si>
    <t xml:space="preserve">Frete peso ALVO para a PROLOG empatar com a OUTRO PARCEIRO (mantendo as taxas atuais da PROLOG, inclusive a taxa interna)</t>
  </si>
  <si>
    <t xml:space="preserve">Alvo = subtotal OUTRO PARCEIRO (frete peso + ad valorem + GRIS + seguro + pedágio + entrega + CTe fixo + taxa interna, × (1 + TRT)) − taxas PROLOG (ad valorem + GRIS + TAS + pedágio + CTe/kg + taxa interna), para um pedido de referência por faixa. O ICMS é igual nas duas e se anula.</t>
  </si>
  <si>
    <t xml:space="preserve">Peso de referência (kg) →</t>
  </si>
  <si>
    <t xml:space="preserve">NF de referência (R$) →</t>
  </si>
  <si>
    <t xml:space="preserve">PROLOG atual — frete peso</t>
  </si>
  <si>
    <t xml:space="preserve">OUTRO PARCEIRO — frete peso</t>
  </si>
  <si>
    <t xml:space="preserve">PROLOG ALVO (empate)</t>
  </si>
  <si>
    <t xml:space="preserve">Redução necessária no frete peso PROLOG</t>
  </si>
  <si>
    <t xml:space="preserve">UF</t>
  </si>
  <si>
    <t xml:space="preserve">Cidade (tabela PROLOG)</t>
  </si>
  <si>
    <t xml:space="preserve">CEP inicial</t>
  </si>
  <si>
    <t xml:space="preserve">CEP final</t>
  </si>
  <si>
    <t xml:space="preserve">Prazo PROLOG / OUTRO PARCEIRO</t>
  </si>
  <si>
    <t xml:space="preserve">Pedidos no período</t>
  </si>
  <si>
    <t xml:space="preserve">RJ</t>
  </si>
  <si>
    <t xml:space="preserve">5 / 2</t>
  </si>
  <si>
    <t xml:space="preserve">Itaguaí</t>
  </si>
  <si>
    <t xml:space="preserve">5 / 13</t>
  </si>
  <si>
    <t xml:space="preserve">Mangaratiba</t>
  </si>
  <si>
    <t xml:space="preserve">10 / 13</t>
  </si>
  <si>
    <t xml:space="preserve">Seropédica</t>
  </si>
  <si>
    <t xml:space="preserve">Paraty</t>
  </si>
  <si>
    <t xml:space="preserve">7 / 2</t>
  </si>
  <si>
    <t xml:space="preserve">7 / 13</t>
  </si>
  <si>
    <t xml:space="preserve">Tanguá</t>
  </si>
  <si>
    <t xml:space="preserve">8 / 13</t>
  </si>
  <si>
    <t xml:space="preserve">São José do Vale do Rio Preto</t>
  </si>
  <si>
    <t xml:space="preserve">Três Rios</t>
  </si>
  <si>
    <t xml:space="preserve">Areal</t>
  </si>
  <si>
    <t xml:space="preserve">Paraíba do Sul</t>
  </si>
  <si>
    <t xml:space="preserve">Comendador Levy Gasparian</t>
  </si>
  <si>
    <t xml:space="preserve">Sapucaia</t>
  </si>
  <si>
    <t xml:space="preserve">6 / 13</t>
  </si>
  <si>
    <t xml:space="preserve">Guapimirim</t>
  </si>
  <si>
    <t xml:space="preserve">Teresópolis</t>
  </si>
  <si>
    <t xml:space="preserve">Queimados</t>
  </si>
  <si>
    <t xml:space="preserve">Japeri</t>
  </si>
  <si>
    <t xml:space="preserve">Nilópolis</t>
  </si>
  <si>
    <t xml:space="preserve">Paracambi</t>
  </si>
  <si>
    <t xml:space="preserve">Engenheiro Paulo de Frontin</t>
  </si>
  <si>
    <t xml:space="preserve">Mendes</t>
  </si>
  <si>
    <t xml:space="preserve">Miguel Pereira</t>
  </si>
  <si>
    <t xml:space="preserve">Paty do Alferes</t>
  </si>
  <si>
    <t xml:space="preserve">Barra do Piraí</t>
  </si>
  <si>
    <t xml:space="preserve">Piraí</t>
  </si>
  <si>
    <t xml:space="preserve">Pinheiral</t>
  </si>
  <si>
    <t xml:space="preserve">Barra Mansa</t>
  </si>
  <si>
    <t xml:space="preserve">Quatis</t>
  </si>
  <si>
    <t xml:space="preserve">Rio Claro</t>
  </si>
  <si>
    <t xml:space="preserve">Resende</t>
  </si>
  <si>
    <t xml:space="preserve">Porto Real</t>
  </si>
  <si>
    <t xml:space="preserve">Itatiaia</t>
  </si>
  <si>
    <t xml:space="preserve">Valença</t>
  </si>
  <si>
    <t xml:space="preserve">Rio das Flores</t>
  </si>
  <si>
    <t xml:space="preserve">Vassouras</t>
  </si>
  <si>
    <t xml:space="preserve">11 / 13</t>
  </si>
  <si>
    <t xml:space="preserve">Carapebus</t>
  </si>
  <si>
    <t xml:space="preserve">Cardoso Moreira</t>
  </si>
  <si>
    <t xml:space="preserve">São João da Barra</t>
  </si>
  <si>
    <t xml:space="preserve">São Francisco de Itabapoana</t>
  </si>
  <si>
    <t xml:space="preserve">Italva</t>
  </si>
  <si>
    <t xml:space="preserve">Itaperuna</t>
  </si>
  <si>
    <t xml:space="preserve">Laje do Muriaé</t>
  </si>
  <si>
    <t xml:space="preserve">Bom Jesus do Itabapoana</t>
  </si>
  <si>
    <t xml:space="preserve">Varre-Sai</t>
  </si>
  <si>
    <t xml:space="preserve">Natividade</t>
  </si>
  <si>
    <t xml:space="preserve">Porciúncula</t>
  </si>
  <si>
    <t xml:space="preserve">São Fidélis</t>
  </si>
  <si>
    <t xml:space="preserve">Cambuci</t>
  </si>
  <si>
    <t xml:space="preserve">São José de Ubá</t>
  </si>
  <si>
    <t xml:space="preserve">Miracema</t>
  </si>
  <si>
    <t xml:space="preserve">Santo Antônio de Pádua</t>
  </si>
  <si>
    <t xml:space="preserve">Aperibé</t>
  </si>
  <si>
    <t xml:space="preserve">Cantagalo</t>
  </si>
  <si>
    <t xml:space="preserve">Cordeiro</t>
  </si>
  <si>
    <t xml:space="preserve">Macuco</t>
  </si>
  <si>
    <t xml:space="preserve">São Sebastião do Alto</t>
  </si>
  <si>
    <t xml:space="preserve">Itaocara</t>
  </si>
  <si>
    <t xml:space="preserve">Sumidouro</t>
  </si>
  <si>
    <t xml:space="preserve">Carmo</t>
  </si>
  <si>
    <t xml:space="preserve">Duas Barras</t>
  </si>
  <si>
    <t xml:space="preserve">Bom Jardim</t>
  </si>
  <si>
    <t xml:space="preserve">Cachoeiras de Macacu</t>
  </si>
  <si>
    <t xml:space="preserve">Quissamã</t>
  </si>
  <si>
    <t xml:space="preserve">Conceição de Macabu</t>
  </si>
  <si>
    <t xml:space="preserve">Trajano de Moraes</t>
  </si>
  <si>
    <t xml:space="preserve">Santa Maria Madalena</t>
  </si>
  <si>
    <t xml:space="preserve">Rio Bonito</t>
  </si>
  <si>
    <t xml:space="preserve">Silva Jardim</t>
  </si>
  <si>
    <t xml:space="preserve">Casimiro de Abreu</t>
  </si>
  <si>
    <t xml:space="preserve">Arraial do Cabo</t>
  </si>
  <si>
    <t xml:space="preserve">São Pedro da Aldeia</t>
  </si>
  <si>
    <t xml:space="preserve">Armação dos Búzios</t>
  </si>
  <si>
    <t xml:space="preserve">Iguaba Grande</t>
  </si>
  <si>
    <t xml:space="preserve">Saquarema</t>
  </si>
  <si>
    <t xml:space="preserve">Redução negativa = a PROLOG já está abaixo do empate nessa faixa/cidade. Faixas com pouco ou nenhum volume (acima de 150 kg) devem ser tratadas caso a caso.</t>
  </si>
  <si>
    <t xml:space="preserve">Por faixa de peso e região OUTRO PARCEIRO — preço final PROLOG x OUTRO PARCEIRO (mesmos pedidos, top 20 cidades)</t>
  </si>
  <si>
    <t xml:space="preserve">Região: TODAS</t>
  </si>
  <si>
    <t xml:space="preserve">Faixa (kg)</t>
  </si>
  <si>
    <t xml:space="preserve">OUTRO PARCEIRO frete peso</t>
  </si>
  <si>
    <t xml:space="preserve">PROLOG frete peso</t>
  </si>
  <si>
    <t xml:space="preserve">Redução necessária</t>
  </si>
  <si>
    <t xml:space="preserve">Região: Capital</t>
  </si>
  <si>
    <t xml:space="preserve">Região: Metropolitana</t>
  </si>
  <si>
    <t xml:space="preserve">Região: Interior</t>
  </si>
  <si>
    <t xml:space="preserve">Data pagamento</t>
  </si>
  <si>
    <t xml:space="preserve">CEP</t>
  </si>
  <si>
    <t xml:space="preserve">CEP (nº)</t>
  </si>
  <si>
    <t xml:space="preserve">Peso (kg)</t>
  </si>
  <si>
    <t xml:space="preserve">Valor NF (R$)</t>
  </si>
  <si>
    <t xml:space="preserve">OUTRO PARCEIRO ad valorem</t>
  </si>
  <si>
    <t xml:space="preserve">OUTRO PARCEIRO GRIS</t>
  </si>
  <si>
    <t xml:space="preserve">OUTRO PARCEIRO seguro</t>
  </si>
  <si>
    <t xml:space="preserve">OUTRO PARCEIRO pedágio</t>
  </si>
  <si>
    <t xml:space="preserve">OUTRO PARCEIRO entrega</t>
  </si>
  <si>
    <t xml:space="preserve">OUTRO PARCEIRO CTe fixo</t>
  </si>
  <si>
    <t xml:space="preserve">OUTRO PARCEIRO taxa interna</t>
  </si>
  <si>
    <t xml:space="preserve">OUTRO PARCEIRO TRT</t>
  </si>
  <si>
    <t xml:space="preserve">OUTRO PARCEIRO subtotal</t>
  </si>
  <si>
    <t xml:space="preserve">OUTRO PARCEIRO total c/ ICMS</t>
  </si>
  <si>
    <t xml:space="preserve">PROLOG ad valorem</t>
  </si>
  <si>
    <t xml:space="preserve">PROLOG GRIS</t>
  </si>
  <si>
    <t xml:space="preserve">PROLOG TAS</t>
  </si>
  <si>
    <t xml:space="preserve">PROLOG pedágio</t>
  </si>
  <si>
    <t xml:space="preserve">PROLOG CTe</t>
  </si>
  <si>
    <t xml:space="preserve">PROLOG taxa interna</t>
  </si>
  <si>
    <t xml:space="preserve">PROLOG subtotal</t>
  </si>
  <si>
    <t xml:space="preserve">PROLOG total c/ ICMS</t>
  </si>
  <si>
    <t xml:space="preserve">Dif. PROLOG − OUTRO PARCEIRO (R$)</t>
  </si>
  <si>
    <t xml:space="preserve">Dif. %</t>
  </si>
  <si>
    <t xml:space="preserve">PROLOG mais barata?</t>
  </si>
  <si>
    <t xml:space="preserve">Top 20?</t>
  </si>
  <si>
    <t xml:space="preserve">PROLOG PROPOSTA c/ ICMS</t>
  </si>
  <si>
    <t xml:space="preserve">Proposta mais barata?</t>
  </si>
  <si>
    <t xml:space="preserve">28913240</t>
  </si>
  <si>
    <t xml:space="preserve">SIM</t>
  </si>
  <si>
    <t xml:space="preserve">21032000</t>
  </si>
  <si>
    <t xml:space="preserve">26545580</t>
  </si>
  <si>
    <t xml:space="preserve">NÃO</t>
  </si>
  <si>
    <t xml:space="preserve">22471150</t>
  </si>
  <si>
    <t xml:space="preserve">26325100</t>
  </si>
  <si>
    <t xml:space="preserve">21044020</t>
  </si>
  <si>
    <t xml:space="preserve">28025537</t>
  </si>
  <si>
    <t xml:space="preserve">25555570</t>
  </si>
  <si>
    <t xml:space="preserve">25947790</t>
  </si>
  <si>
    <t xml:space="preserve">22790725</t>
  </si>
  <si>
    <t xml:space="preserve">25811005</t>
  </si>
  <si>
    <t xml:space="preserve">24467575</t>
  </si>
  <si>
    <t xml:space="preserve">26116340</t>
  </si>
  <si>
    <t xml:space="preserve">24350042</t>
  </si>
  <si>
    <t xml:space="preserve">25945865</t>
  </si>
  <si>
    <t xml:space="preserve">23078415</t>
  </si>
  <si>
    <t xml:space="preserve">20785224</t>
  </si>
  <si>
    <t xml:space="preserve">27948310</t>
  </si>
  <si>
    <t xml:space="preserve">21361190</t>
  </si>
  <si>
    <t xml:space="preserve">22050002</t>
  </si>
  <si>
    <t xml:space="preserve">25530460</t>
  </si>
  <si>
    <t xml:space="preserve">26445140</t>
  </si>
  <si>
    <t xml:space="preserve">27120320</t>
  </si>
  <si>
    <t xml:space="preserve">21535590</t>
  </si>
  <si>
    <t xml:space="preserve">21041140</t>
  </si>
  <si>
    <t xml:space="preserve">26430020</t>
  </si>
  <si>
    <t xml:space="preserve">21021380</t>
  </si>
  <si>
    <t xml:space="preserve">26060015</t>
  </si>
  <si>
    <t xml:space="preserve">24745630</t>
  </si>
  <si>
    <t xml:space="preserve">21770220</t>
  </si>
  <si>
    <t xml:space="preserve">21741060</t>
  </si>
  <si>
    <t xml:space="preserve">26298608</t>
  </si>
  <si>
    <t xml:space="preserve">26143290</t>
  </si>
  <si>
    <t xml:space="preserve">23893770</t>
  </si>
  <si>
    <t xml:space="preserve">23036076</t>
  </si>
  <si>
    <t xml:space="preserve">21381009</t>
  </si>
  <si>
    <t xml:space="preserve">20541170</t>
  </si>
  <si>
    <t xml:space="preserve">21380090</t>
  </si>
  <si>
    <t xml:space="preserve">23056630</t>
  </si>
  <si>
    <t xml:space="preserve">24310005</t>
  </si>
  <si>
    <t xml:space="preserve">23820810</t>
  </si>
  <si>
    <t xml:space="preserve">22753031</t>
  </si>
  <si>
    <t xml:space="preserve">28735560</t>
  </si>
  <si>
    <t xml:space="preserve">20950072</t>
  </si>
  <si>
    <t xml:space="preserve">26140110</t>
  </si>
  <si>
    <t xml:space="preserve">27525524</t>
  </si>
  <si>
    <t xml:space="preserve">21730290</t>
  </si>
  <si>
    <t xml:space="preserve">23520400</t>
  </si>
  <si>
    <t xml:space="preserve">25085135</t>
  </si>
  <si>
    <t xml:space="preserve">28920015</t>
  </si>
  <si>
    <t xml:space="preserve">28976666</t>
  </si>
  <si>
    <t xml:space="preserve">21842553</t>
  </si>
  <si>
    <t xml:space="preserve">22735000</t>
  </si>
  <si>
    <t xml:space="preserve">21241300</t>
  </si>
  <si>
    <t xml:space="preserve">20251440</t>
  </si>
  <si>
    <t xml:space="preserve">26087230</t>
  </si>
  <si>
    <t xml:space="preserve">25710093</t>
  </si>
  <si>
    <t xml:space="preserve">21032060</t>
  </si>
  <si>
    <t xml:space="preserve">22733010</t>
  </si>
  <si>
    <t xml:space="preserve">20760020</t>
  </si>
  <si>
    <t xml:space="preserve">22795135</t>
  </si>
  <si>
    <t xml:space="preserve">21715195</t>
  </si>
  <si>
    <t xml:space="preserve">20211220</t>
  </si>
  <si>
    <t xml:space="preserve">24110310</t>
  </si>
  <si>
    <t xml:space="preserve">28680040</t>
  </si>
  <si>
    <t xml:space="preserve">25561211</t>
  </si>
  <si>
    <t xml:space="preserve">25846220</t>
  </si>
  <si>
    <t xml:space="preserve">21060090</t>
  </si>
  <si>
    <t xml:space="preserve">23570084</t>
  </si>
  <si>
    <t xml:space="preserve">21852001</t>
  </si>
  <si>
    <t xml:space="preserve">26298373</t>
  </si>
  <si>
    <t xml:space="preserve">22230000</t>
  </si>
  <si>
    <t xml:space="preserve">22770330</t>
  </si>
  <si>
    <t xml:space="preserve">21675350</t>
  </si>
  <si>
    <t xml:space="preserve">24931415</t>
  </si>
  <si>
    <t xml:space="preserve">24451230</t>
  </si>
  <si>
    <t xml:space="preserve">22755155</t>
  </si>
  <si>
    <t xml:space="preserve">24878095</t>
  </si>
  <si>
    <t xml:space="preserve">28880000</t>
  </si>
  <si>
    <t xml:space="preserve">23900120</t>
  </si>
  <si>
    <t xml:space="preserve">23059039</t>
  </si>
  <si>
    <t xml:space="preserve">24727190</t>
  </si>
  <si>
    <t xml:space="preserve">25970077</t>
  </si>
  <si>
    <t xml:space="preserve">21750001</t>
  </si>
  <si>
    <t xml:space="preserve">27281640</t>
  </si>
  <si>
    <t xml:space="preserve">26177010</t>
  </si>
  <si>
    <t xml:space="preserve">21310030</t>
  </si>
  <si>
    <t xml:space="preserve">26480320</t>
  </si>
  <si>
    <t xml:space="preserve">24805900</t>
  </si>
  <si>
    <t xml:space="preserve">22641100</t>
  </si>
  <si>
    <t xml:space="preserve">26279240</t>
  </si>
  <si>
    <t xml:space="preserve">25937048</t>
  </si>
  <si>
    <t xml:space="preserve">25015045</t>
  </si>
  <si>
    <t xml:space="preserve">21221280</t>
  </si>
  <si>
    <t xml:space="preserve">22790550</t>
  </si>
  <si>
    <t xml:space="preserve">22790587</t>
  </si>
  <si>
    <t xml:space="preserve">21665001</t>
  </si>
  <si>
    <t xml:space="preserve">25995290</t>
  </si>
  <si>
    <t xml:space="preserve">20530003</t>
  </si>
  <si>
    <t xml:space="preserve">24744010</t>
  </si>
  <si>
    <t xml:space="preserve">24344487</t>
  </si>
  <si>
    <t xml:space="preserve">27602270</t>
  </si>
  <si>
    <t xml:space="preserve">21381350</t>
  </si>
  <si>
    <t xml:space="preserve">28200000</t>
  </si>
  <si>
    <t xml:space="preserve">25251210</t>
  </si>
  <si>
    <t xml:space="preserve">21531450</t>
  </si>
  <si>
    <t xml:space="preserve">23891730</t>
  </si>
  <si>
    <t xml:space="preserve">28986330</t>
  </si>
  <si>
    <t xml:space="preserve">24750045</t>
  </si>
  <si>
    <t xml:space="preserve">25035770</t>
  </si>
  <si>
    <t xml:space="preserve">28024417</t>
  </si>
  <si>
    <t xml:space="preserve">24315000</t>
  </si>
  <si>
    <t xml:space="preserve">28430014</t>
  </si>
  <si>
    <t xml:space="preserve">21041030</t>
  </si>
  <si>
    <t xml:space="preserve">21321620</t>
  </si>
  <si>
    <t xml:space="preserve">25271330</t>
  </si>
  <si>
    <t xml:space="preserve">20760110</t>
  </si>
  <si>
    <t xml:space="preserve">21911130</t>
  </si>
  <si>
    <t xml:space="preserve">24320200</t>
  </si>
  <si>
    <t xml:space="preserve">26116670</t>
  </si>
  <si>
    <t xml:space="preserve">23060612</t>
  </si>
  <si>
    <t xml:space="preserve">21830008</t>
  </si>
  <si>
    <t xml:space="preserve">22451010</t>
  </si>
  <si>
    <t xml:space="preserve">23575240</t>
  </si>
  <si>
    <t xml:space="preserve">23575216</t>
  </si>
  <si>
    <t xml:space="preserve">26262120</t>
  </si>
  <si>
    <t xml:space="preserve">20241320</t>
  </si>
  <si>
    <t xml:space="preserve">24935160</t>
  </si>
  <si>
    <t xml:space="preserve">26298698</t>
  </si>
  <si>
    <t xml:space="preserve">27276375</t>
  </si>
  <si>
    <t xml:space="preserve">26310340</t>
  </si>
  <si>
    <t xml:space="preserve">26445390</t>
  </si>
  <si>
    <t xml:space="preserve">24754190</t>
  </si>
  <si>
    <t xml:space="preserve">27933140</t>
  </si>
  <si>
    <t xml:space="preserve">28660000</t>
  </si>
  <si>
    <t xml:space="preserve">22765240</t>
  </si>
  <si>
    <t xml:space="preserve">22763627</t>
  </si>
  <si>
    <t xml:space="preserve">20261040</t>
  </si>
  <si>
    <t xml:space="preserve">21735150</t>
  </si>
  <si>
    <t xml:space="preserve">26115490</t>
  </si>
  <si>
    <t xml:space="preserve">25011420</t>
  </si>
  <si>
    <t xml:space="preserve">24320570</t>
  </si>
  <si>
    <t xml:space="preserve">24110360</t>
  </si>
  <si>
    <t xml:space="preserve">23520132</t>
  </si>
  <si>
    <t xml:space="preserve">23065006</t>
  </si>
  <si>
    <t xml:space="preserve">24802370</t>
  </si>
  <si>
    <t xml:space="preserve">26021061</t>
  </si>
  <si>
    <t xml:space="preserve">28982360</t>
  </si>
  <si>
    <t xml:space="preserve">22710568</t>
  </si>
  <si>
    <t xml:space="preserve">23017440</t>
  </si>
  <si>
    <t xml:space="preserve">26065012</t>
  </si>
  <si>
    <t xml:space="preserve">21235112</t>
  </si>
  <si>
    <t xml:space="preserve">22611070</t>
  </si>
  <si>
    <t xml:space="preserve">23898081</t>
  </si>
  <si>
    <t xml:space="preserve">26280190</t>
  </si>
  <si>
    <t xml:space="preserve">24737475</t>
  </si>
  <si>
    <t xml:space="preserve">22795216</t>
  </si>
  <si>
    <t xml:space="preserve">23898033</t>
  </si>
  <si>
    <t xml:space="preserve">28943292</t>
  </si>
  <si>
    <t xml:space="preserve">20060070</t>
  </si>
  <si>
    <t xml:space="preserve">21370290</t>
  </si>
  <si>
    <t xml:space="preserve">21310050</t>
  </si>
  <si>
    <t xml:space="preserve">27251340</t>
  </si>
  <si>
    <t xml:space="preserve">24751140</t>
  </si>
  <si>
    <t xml:space="preserve">21011460</t>
  </si>
  <si>
    <t xml:space="preserve">22770040</t>
  </si>
  <si>
    <t xml:space="preserve">21825320</t>
  </si>
  <si>
    <t xml:space="preserve">22780760</t>
  </si>
  <si>
    <t xml:space="preserve">25525670</t>
  </si>
  <si>
    <t xml:space="preserve">27940290</t>
  </si>
  <si>
    <t xml:space="preserve">25271550</t>
  </si>
  <si>
    <t xml:space="preserve">21330600</t>
  </si>
  <si>
    <t xml:space="preserve">23026260</t>
  </si>
  <si>
    <t xml:space="preserve">22783412</t>
  </si>
  <si>
    <t xml:space="preserve">20560001</t>
  </si>
  <si>
    <t xml:space="preserve">24130775</t>
  </si>
  <si>
    <t xml:space="preserve">21031700</t>
  </si>
  <si>
    <t xml:space="preserve">20931005</t>
  </si>
  <si>
    <t xml:space="preserve">21852580</t>
  </si>
  <si>
    <t xml:space="preserve">21235480</t>
  </si>
  <si>
    <t xml:space="preserve">27211670</t>
  </si>
  <si>
    <t xml:space="preserve">26041270</t>
  </si>
  <si>
    <t xml:space="preserve">20251060</t>
  </si>
  <si>
    <t xml:space="preserve">20397135</t>
  </si>
  <si>
    <t xml:space="preserve">26022821</t>
  </si>
  <si>
    <t xml:space="preserve">25225210</t>
  </si>
  <si>
    <t xml:space="preserve">21512070</t>
  </si>
  <si>
    <t xml:space="preserve">21911310</t>
  </si>
  <si>
    <t xml:space="preserve">20940060</t>
  </si>
  <si>
    <t xml:space="preserve">27963770</t>
  </si>
  <si>
    <t xml:space="preserve">25880000</t>
  </si>
  <si>
    <t xml:space="preserve">21010260</t>
  </si>
  <si>
    <t xml:space="preserve">28987608</t>
  </si>
  <si>
    <t xml:space="preserve">28380000</t>
  </si>
  <si>
    <t xml:space="preserve">25214410</t>
  </si>
  <si>
    <t xml:space="preserve">28470000</t>
  </si>
  <si>
    <t xml:space="preserve">23020722</t>
  </si>
  <si>
    <t xml:space="preserve">28540000</t>
  </si>
  <si>
    <t xml:space="preserve">20250500</t>
  </si>
  <si>
    <t xml:space="preserve">24370297</t>
  </si>
  <si>
    <t xml:space="preserve">25040240</t>
  </si>
  <si>
    <t xml:space="preserve">28623410</t>
  </si>
  <si>
    <t xml:space="preserve">25560440</t>
  </si>
  <si>
    <t xml:space="preserve">22725441</t>
  </si>
  <si>
    <t xml:space="preserve">23587610</t>
  </si>
  <si>
    <t xml:space="preserve">25985010</t>
  </si>
  <si>
    <t xml:space="preserve">23028050</t>
  </si>
  <si>
    <t xml:space="preserve">27113320</t>
  </si>
  <si>
    <t xml:space="preserve">21630310</t>
  </si>
  <si>
    <t xml:space="preserve">22451265</t>
  </si>
  <si>
    <t xml:space="preserve">21331690</t>
  </si>
  <si>
    <t xml:space="preserve">23585330</t>
  </si>
  <si>
    <t xml:space="preserve">23560660</t>
  </si>
  <si>
    <t xml:space="preserve">23036060</t>
  </si>
  <si>
    <t xml:space="preserve">27972109</t>
  </si>
  <si>
    <t xml:space="preserve">23010310</t>
  </si>
  <si>
    <t xml:space="preserve">21863430</t>
  </si>
  <si>
    <t xml:space="preserve">21610290</t>
  </si>
  <si>
    <t xml:space="preserve">27973410</t>
  </si>
  <si>
    <t xml:space="preserve">21830080</t>
  </si>
  <si>
    <t xml:space="preserve">27336410</t>
  </si>
  <si>
    <t xml:space="preserve">27170650</t>
  </si>
  <si>
    <t xml:space="preserve">24425640</t>
  </si>
  <si>
    <t xml:space="preserve">27966803</t>
  </si>
  <si>
    <t xml:space="preserve">26515600</t>
  </si>
  <si>
    <t xml:space="preserve">23040400</t>
  </si>
  <si>
    <t xml:space="preserve">28611320</t>
  </si>
  <si>
    <t xml:space="preserve">26950000</t>
  </si>
  <si>
    <t xml:space="preserve">25515180</t>
  </si>
  <si>
    <t xml:space="preserve">24913350</t>
  </si>
  <si>
    <t xml:space="preserve">23565005</t>
  </si>
  <si>
    <t xml:space="preserve">22790430</t>
  </si>
  <si>
    <t xml:space="preserve">26250380</t>
  </si>
  <si>
    <t xml:space="preserve">27963834</t>
  </si>
  <si>
    <t xml:space="preserve">23030372</t>
  </si>
  <si>
    <t xml:space="preserve">27963738</t>
  </si>
  <si>
    <t xml:space="preserve">23894694</t>
  </si>
  <si>
    <t xml:space="preserve">22780070</t>
  </si>
  <si>
    <t xml:space="preserve">26298396</t>
  </si>
  <si>
    <t xml:space="preserve">22795006</t>
  </si>
  <si>
    <t xml:space="preserve">23895670</t>
  </si>
  <si>
    <t xml:space="preserve">24110556</t>
  </si>
  <si>
    <t xml:space="preserve">23970000</t>
  </si>
  <si>
    <t xml:space="preserve">26385030</t>
  </si>
  <si>
    <t xml:space="preserve">26160225</t>
  </si>
  <si>
    <t xml:space="preserve">22765590</t>
  </si>
  <si>
    <t xml:space="preserve">25730070</t>
  </si>
  <si>
    <t xml:space="preserve">21011250</t>
  </si>
  <si>
    <t xml:space="preserve">25261300</t>
  </si>
  <si>
    <t xml:space="preserve">24476720</t>
  </si>
  <si>
    <t xml:space="preserve">21532197</t>
  </si>
  <si>
    <t xml:space="preserve">24913090</t>
  </si>
  <si>
    <t xml:space="preserve">23092093</t>
  </si>
  <si>
    <t xml:space="preserve">27583864</t>
  </si>
  <si>
    <t xml:space="preserve">28925832</t>
  </si>
  <si>
    <t xml:space="preserve">21843040</t>
  </si>
  <si>
    <t xml:space="preserve">24736220</t>
  </si>
  <si>
    <t xml:space="preserve">22790661</t>
  </si>
  <si>
    <t xml:space="preserve">26050470</t>
  </si>
  <si>
    <t xml:space="preserve">25055625</t>
  </si>
  <si>
    <t xml:space="preserve">20972290</t>
  </si>
  <si>
    <t xml:space="preserve">23052320</t>
  </si>
  <si>
    <t xml:space="preserve">22783111</t>
  </si>
  <si>
    <t xml:space="preserve">20725050</t>
  </si>
  <si>
    <t xml:space="preserve">23045830</t>
  </si>
  <si>
    <t xml:space="preserve">27250800</t>
  </si>
  <si>
    <t xml:space="preserve">21331660</t>
  </si>
  <si>
    <t xml:space="preserve">27325310</t>
  </si>
  <si>
    <t xml:space="preserve">26130336</t>
  </si>
  <si>
    <t xml:space="preserve">21250620</t>
  </si>
  <si>
    <t xml:space="preserve">21675340</t>
  </si>
  <si>
    <t xml:space="preserve">22775033</t>
  </si>
  <si>
    <t xml:space="preserve">22780085</t>
  </si>
  <si>
    <t xml:space="preserve">24725060</t>
  </si>
  <si>
    <t xml:space="preserve">21770000</t>
  </si>
  <si>
    <t xml:space="preserve">23520560</t>
  </si>
  <si>
    <t xml:space="preserve">23016010</t>
  </si>
  <si>
    <t xml:space="preserve">22790735</t>
  </si>
  <si>
    <t xml:space="preserve">24230000</t>
  </si>
  <si>
    <t xml:space="preserve">23520660</t>
  </si>
  <si>
    <t xml:space="preserve">20755300</t>
  </si>
  <si>
    <t xml:space="preserve">26560540</t>
  </si>
  <si>
    <t xml:space="preserve">21655340</t>
  </si>
  <si>
    <t xml:space="preserve">21635100</t>
  </si>
  <si>
    <t xml:space="preserve">24910750</t>
  </si>
  <si>
    <t xml:space="preserve">20211350</t>
  </si>
  <si>
    <t xml:space="preserve">23510242</t>
  </si>
  <si>
    <t xml:space="preserve">22730305</t>
  </si>
  <si>
    <t xml:space="preserve">21670380</t>
  </si>
  <si>
    <t xml:space="preserve">20520160</t>
  </si>
  <si>
    <t xml:space="preserve">21235535</t>
  </si>
  <si>
    <t xml:space="preserve">26290198</t>
  </si>
  <si>
    <t xml:space="preserve">22230080</t>
  </si>
  <si>
    <t xml:space="preserve">25070330</t>
  </si>
  <si>
    <t xml:space="preserve">23076360</t>
  </si>
  <si>
    <t xml:space="preserve">28050003</t>
  </si>
  <si>
    <t xml:space="preserve">24230253</t>
  </si>
  <si>
    <t xml:space="preserve">23860000</t>
  </si>
  <si>
    <t xml:space="preserve">21921000</t>
  </si>
  <si>
    <t xml:space="preserve">27281270</t>
  </si>
  <si>
    <t xml:space="preserve">24241002</t>
  </si>
  <si>
    <t xml:space="preserve">22740361</t>
  </si>
  <si>
    <t xml:space="preserve">26553390</t>
  </si>
  <si>
    <t xml:space="preserve">21852413</t>
  </si>
  <si>
    <t xml:space="preserve">21555080</t>
  </si>
  <si>
    <t xml:space="preserve">22793075</t>
  </si>
  <si>
    <t xml:space="preserve">22783123</t>
  </si>
  <si>
    <t xml:space="preserve">26295607</t>
  </si>
  <si>
    <t xml:space="preserve">22723391</t>
  </si>
  <si>
    <t xml:space="preserve">22783200</t>
  </si>
  <si>
    <t xml:space="preserve">23020230</t>
  </si>
  <si>
    <t xml:space="preserve">24465531</t>
  </si>
  <si>
    <t xml:space="preserve">24445790</t>
  </si>
  <si>
    <t xml:space="preserve">24750070</t>
  </si>
  <si>
    <t xml:space="preserve">24461290</t>
  </si>
  <si>
    <t xml:space="preserve">25975450</t>
  </si>
  <si>
    <t xml:space="preserve">28927410</t>
  </si>
  <si>
    <t xml:space="preserve">22451263</t>
  </si>
  <si>
    <t xml:space="preserve">25035520</t>
  </si>
  <si>
    <t xml:space="preserve">24715532</t>
  </si>
  <si>
    <t xml:space="preserve">24753600</t>
  </si>
  <si>
    <t xml:space="preserve">22790880</t>
  </si>
  <si>
    <t xml:space="preserve">22290140</t>
  </si>
  <si>
    <t xml:space="preserve">28983036</t>
  </si>
  <si>
    <t xml:space="preserve">28890133</t>
  </si>
  <si>
    <t xml:space="preserve">21530000</t>
  </si>
  <si>
    <t xml:space="preserve">24924465</t>
  </si>
  <si>
    <t xml:space="preserve">21710200</t>
  </si>
  <si>
    <t xml:space="preserve">28300000</t>
  </si>
  <si>
    <t xml:space="preserve">28920060</t>
  </si>
  <si>
    <t xml:space="preserve">26265190</t>
  </si>
  <si>
    <t xml:space="preserve">24050330</t>
  </si>
  <si>
    <t xml:space="preserve">23525002</t>
  </si>
  <si>
    <t xml:space="preserve">20931060</t>
  </si>
  <si>
    <t xml:space="preserve">20756070</t>
  </si>
  <si>
    <t xml:space="preserve">25710193</t>
  </si>
  <si>
    <t xml:space="preserve">23812720</t>
  </si>
  <si>
    <t xml:space="preserve">26084185</t>
  </si>
  <si>
    <t xml:space="preserve">25056360</t>
  </si>
  <si>
    <t xml:space="preserve">28400000</t>
  </si>
  <si>
    <t xml:space="preserve">20911250</t>
  </si>
  <si>
    <t xml:space="preserve">23092080</t>
  </si>
  <si>
    <t xml:space="preserve">24861008</t>
  </si>
  <si>
    <t xml:space="preserve">28020197</t>
  </si>
  <si>
    <t xml:space="preserve">28928524</t>
  </si>
  <si>
    <t xml:space="preserve">23028210</t>
  </si>
  <si>
    <t xml:space="preserve">26155040</t>
  </si>
  <si>
    <t xml:space="preserve">21830360</t>
  </si>
  <si>
    <t xml:space="preserve">21775370</t>
  </si>
  <si>
    <t xml:space="preserve">25065210</t>
  </si>
  <si>
    <t xml:space="preserve">22775045</t>
  </si>
  <si>
    <t xml:space="preserve">26291368</t>
  </si>
  <si>
    <t xml:space="preserve">20920410</t>
  </si>
  <si>
    <t xml:space="preserve">26554220</t>
  </si>
  <si>
    <t xml:space="preserve">20785000</t>
  </si>
  <si>
    <t xml:space="preserve">23587617</t>
  </si>
  <si>
    <t xml:space="preserve">20775000</t>
  </si>
  <si>
    <t xml:space="preserve">22641190</t>
  </si>
  <si>
    <t xml:space="preserve">22452100</t>
  </si>
  <si>
    <t xml:space="preserve">20261004</t>
  </si>
  <si>
    <t xml:space="preserve">23025070</t>
  </si>
  <si>
    <t xml:space="preserve">22730521</t>
  </si>
  <si>
    <t xml:space="preserve">21331050</t>
  </si>
  <si>
    <t xml:space="preserve">27130050</t>
  </si>
  <si>
    <t xml:space="preserve">25025237</t>
  </si>
  <si>
    <t xml:space="preserve">21715421</t>
  </si>
  <si>
    <t xml:space="preserve">23912440</t>
  </si>
  <si>
    <t xml:space="preserve">23555090</t>
  </si>
  <si>
    <t xml:space="preserve">25268410</t>
  </si>
  <si>
    <t xml:space="preserve">21745310</t>
  </si>
  <si>
    <t xml:space="preserve">26425320</t>
  </si>
  <si>
    <t xml:space="preserve">22753005</t>
  </si>
  <si>
    <t xml:space="preserve">24310340</t>
  </si>
  <si>
    <t xml:space="preserve">27211560</t>
  </si>
  <si>
    <t xml:space="preserve">28928788</t>
  </si>
  <si>
    <t xml:space="preserve">24350405</t>
  </si>
  <si>
    <t xml:space="preserve">24452005</t>
  </si>
  <si>
    <t xml:space="preserve">22240004</t>
  </si>
  <si>
    <t xml:space="preserve">21250150</t>
  </si>
  <si>
    <t xml:space="preserve">28630590</t>
  </si>
  <si>
    <t xml:space="preserve">22031112</t>
  </si>
  <si>
    <t xml:space="preserve">27320710</t>
  </si>
  <si>
    <t xml:space="preserve">21321740</t>
  </si>
  <si>
    <t xml:space="preserve">21920070</t>
  </si>
  <si>
    <t xml:space="preserve">24322535</t>
  </si>
  <si>
    <t xml:space="preserve">22051002</t>
  </si>
  <si>
    <t xml:space="preserve">23075067</t>
  </si>
  <si>
    <t xml:space="preserve">23903602</t>
  </si>
  <si>
    <t xml:space="preserve">21073190</t>
  </si>
  <si>
    <t xml:space="preserve">22471210</t>
  </si>
  <si>
    <t xml:space="preserve">27521071</t>
  </si>
  <si>
    <t xml:space="preserve">26190420</t>
  </si>
  <si>
    <t xml:space="preserve">25035060</t>
  </si>
  <si>
    <t xml:space="preserve">21740170</t>
  </si>
  <si>
    <t xml:space="preserve">20911300</t>
  </si>
  <si>
    <t xml:space="preserve">28455130</t>
  </si>
  <si>
    <t xml:space="preserve">23028340</t>
  </si>
  <si>
    <t xml:space="preserve">22775002</t>
  </si>
  <si>
    <t xml:space="preserve">21340120</t>
  </si>
  <si>
    <t xml:space="preserve">23075470</t>
  </si>
  <si>
    <t xml:space="preserve">22610050</t>
  </si>
  <si>
    <t xml:space="preserve">28650000</t>
  </si>
  <si>
    <t xml:space="preserve">25253650</t>
  </si>
  <si>
    <t xml:space="preserve">20220007</t>
  </si>
  <si>
    <t xml:space="preserve">21853410</t>
  </si>
  <si>
    <t xml:space="preserve">28983712</t>
  </si>
  <si>
    <t xml:space="preserve">21370260</t>
  </si>
  <si>
    <t xml:space="preserve">27963452</t>
  </si>
  <si>
    <t xml:space="preserve">25270550</t>
  </si>
  <si>
    <t xml:space="preserve">23891755</t>
  </si>
  <si>
    <t xml:space="preserve">23092190</t>
  </si>
  <si>
    <t xml:space="preserve">20920460</t>
  </si>
  <si>
    <t xml:space="preserve">24210470</t>
  </si>
  <si>
    <t xml:space="preserve">21853340</t>
  </si>
  <si>
    <t xml:space="preserve">22765390</t>
  </si>
  <si>
    <t xml:space="preserve">26183490</t>
  </si>
  <si>
    <t xml:space="preserve">23550375</t>
  </si>
  <si>
    <t xml:space="preserve">24755420</t>
  </si>
  <si>
    <t xml:space="preserve">27961804</t>
  </si>
  <si>
    <t xml:space="preserve">24916125</t>
  </si>
  <si>
    <t xml:space="preserve">24470030</t>
  </si>
  <si>
    <t xml:space="preserve">23944040</t>
  </si>
  <si>
    <t xml:space="preserve">22420004</t>
  </si>
  <si>
    <t xml:space="preserve">24466142</t>
  </si>
  <si>
    <t xml:space="preserve">21046210</t>
  </si>
  <si>
    <t xml:space="preserve">20051070</t>
  </si>
  <si>
    <t xml:space="preserve">26291003</t>
  </si>
  <si>
    <t xml:space="preserve">26381368</t>
  </si>
  <si>
    <t xml:space="preserve">28941412</t>
  </si>
  <si>
    <t xml:space="preserve">20931350</t>
  </si>
  <si>
    <t xml:space="preserve">23520286</t>
  </si>
  <si>
    <t xml:space="preserve">24412560</t>
  </si>
  <si>
    <t xml:space="preserve">28350190</t>
  </si>
  <si>
    <t xml:space="preserve">23932405</t>
  </si>
  <si>
    <t xml:space="preserve">24809230</t>
  </si>
  <si>
    <t xml:space="preserve">27931173</t>
  </si>
  <si>
    <t xml:space="preserve">23914465</t>
  </si>
  <si>
    <t xml:space="preserve">23094140</t>
  </si>
  <si>
    <t xml:space="preserve">20561098</t>
  </si>
  <si>
    <t xml:space="preserve">24425480</t>
  </si>
  <si>
    <t xml:space="preserve">26160630</t>
  </si>
  <si>
    <t xml:space="preserve">26180150</t>
  </si>
  <si>
    <t xml:space="preserve">25680502</t>
  </si>
  <si>
    <t xml:space="preserve">22713320</t>
  </si>
  <si>
    <t xml:space="preserve">26297120</t>
  </si>
  <si>
    <t xml:space="preserve">20230194</t>
  </si>
  <si>
    <t xml:space="preserve">26155480</t>
  </si>
  <si>
    <t xml:space="preserve">28681375</t>
  </si>
  <si>
    <t xml:space="preserve">28956710</t>
  </si>
  <si>
    <t xml:space="preserve">21911325</t>
  </si>
  <si>
    <t xml:space="preserve">21610460</t>
  </si>
  <si>
    <t xml:space="preserve">26070760</t>
  </si>
  <si>
    <t xml:space="preserve">28921799</t>
  </si>
  <si>
    <t xml:space="preserve">22783410</t>
  </si>
  <si>
    <t xml:space="preserve">26172144</t>
  </si>
  <si>
    <t xml:space="preserve">28035301</t>
  </si>
  <si>
    <t xml:space="preserve">24813564</t>
  </si>
  <si>
    <t xml:space="preserve">28637000</t>
  </si>
  <si>
    <t xml:space="preserve">26453230</t>
  </si>
  <si>
    <t xml:space="preserve">20511170</t>
  </si>
  <si>
    <t xml:space="preserve">28968770</t>
  </si>
  <si>
    <t xml:space="preserve">21073185</t>
  </si>
  <si>
    <t xml:space="preserve">20540218</t>
  </si>
  <si>
    <t xml:space="preserve">20550011</t>
  </si>
  <si>
    <t xml:space="preserve">28980000</t>
  </si>
  <si>
    <t xml:space="preserve">26587000</t>
  </si>
  <si>
    <t xml:space="preserve">21061020</t>
  </si>
  <si>
    <t xml:space="preserve">25545300</t>
  </si>
  <si>
    <t xml:space="preserve">25086296</t>
  </si>
  <si>
    <t xml:space="preserve">22773260</t>
  </si>
  <si>
    <t xml:space="preserve">21250540</t>
  </si>
  <si>
    <t xml:space="preserve">23076410</t>
  </si>
  <si>
    <t xml:space="preserve">26062320</t>
  </si>
  <si>
    <t xml:space="preserve">21040005</t>
  </si>
  <si>
    <t xml:space="preserve">24340100</t>
  </si>
  <si>
    <t xml:space="preserve">20750040</t>
  </si>
  <si>
    <t xml:space="preserve">25957025</t>
  </si>
  <si>
    <t xml:space="preserve">26900000</t>
  </si>
  <si>
    <t xml:space="preserve">25015280</t>
  </si>
  <si>
    <t xml:space="preserve">20720010</t>
  </si>
  <si>
    <t xml:space="preserve">25240170</t>
  </si>
  <si>
    <t xml:space="preserve">24241085</t>
  </si>
  <si>
    <t xml:space="preserve">21370500</t>
  </si>
  <si>
    <t xml:space="preserve">22785085</t>
  </si>
  <si>
    <t xml:space="preserve">23098006</t>
  </si>
  <si>
    <t xml:space="preserve">28050270</t>
  </si>
  <si>
    <t xml:space="preserve">26297222</t>
  </si>
  <si>
    <t xml:space="preserve">22620171</t>
  </si>
  <si>
    <t xml:space="preserve">27961068</t>
  </si>
  <si>
    <t xml:space="preserve">25035230</t>
  </si>
  <si>
    <t xml:space="preserve">23520131</t>
  </si>
  <si>
    <t xml:space="preserve">26265580</t>
  </si>
  <si>
    <t xml:space="preserve">21070590</t>
  </si>
  <si>
    <t xml:space="preserve">24735075</t>
  </si>
  <si>
    <t xml:space="preserve">26125450</t>
  </si>
  <si>
    <t xml:space="preserve">26515035</t>
  </si>
  <si>
    <t xml:space="preserve">23550265</t>
  </si>
  <si>
    <t xml:space="preserve">24940505</t>
  </si>
  <si>
    <t xml:space="preserve">23050180</t>
  </si>
  <si>
    <t xml:space="preserve">21050690</t>
  </si>
  <si>
    <t xml:space="preserve">21340510</t>
  </si>
  <si>
    <t xml:space="preserve">21650002</t>
  </si>
  <si>
    <t xml:space="preserve">21635350</t>
  </si>
  <si>
    <t xml:space="preserve">21512040</t>
  </si>
  <si>
    <t xml:space="preserve">22010050</t>
  </si>
  <si>
    <t xml:space="preserve">20972010</t>
  </si>
  <si>
    <t xml:space="preserve">20930430</t>
  </si>
  <si>
    <t xml:space="preserve">21862170</t>
  </si>
  <si>
    <t xml:space="preserve">21361470</t>
  </si>
  <si>
    <t xml:space="preserve">24342805</t>
  </si>
  <si>
    <t xml:space="preserve">24802695</t>
  </si>
  <si>
    <t xml:space="preserve">23835005</t>
  </si>
  <si>
    <t xml:space="preserve">21832150</t>
  </si>
  <si>
    <t xml:space="preserve">20770160</t>
  </si>
  <si>
    <t xml:space="preserve">24756151</t>
  </si>
  <si>
    <t xml:space="preserve">25271390</t>
  </si>
  <si>
    <t xml:space="preserve">21012190</t>
  </si>
  <si>
    <t xml:space="preserve">25585021</t>
  </si>
  <si>
    <t xml:space="preserve">25561202</t>
  </si>
  <si>
    <t xml:space="preserve">27353420</t>
  </si>
  <si>
    <t xml:space="preserve">25510170</t>
  </si>
  <si>
    <t xml:space="preserve">28915120</t>
  </si>
  <si>
    <t xml:space="preserve">26183250</t>
  </si>
  <si>
    <t xml:space="preserve">20960070</t>
  </si>
  <si>
    <t xml:space="preserve">25635530</t>
  </si>
  <si>
    <t xml:space="preserve">22291050</t>
  </si>
  <si>
    <t xml:space="preserve">25270438</t>
  </si>
  <si>
    <t xml:space="preserve">23812040</t>
  </si>
  <si>
    <t xml:space="preserve">24466540</t>
  </si>
  <si>
    <t xml:space="preserve">25251039</t>
  </si>
  <si>
    <t xml:space="preserve">21341180</t>
  </si>
  <si>
    <t xml:space="preserve">21240270</t>
  </si>
  <si>
    <t xml:space="preserve">25916060</t>
  </si>
  <si>
    <t xml:space="preserve">28360000</t>
  </si>
  <si>
    <t xml:space="preserve">23946105</t>
  </si>
  <si>
    <t xml:space="preserve">24330325</t>
  </si>
  <si>
    <t xml:space="preserve">26112250</t>
  </si>
  <si>
    <t xml:space="preserve">23525180</t>
  </si>
  <si>
    <t xml:space="preserve">26600000</t>
  </si>
  <si>
    <t xml:space="preserve">26291320</t>
  </si>
  <si>
    <t xml:space="preserve">26265090</t>
  </si>
  <si>
    <t xml:space="preserve">20710350</t>
  </si>
  <si>
    <t xml:space="preserve">21862390</t>
  </si>
  <si>
    <t xml:space="preserve">28941013</t>
  </si>
  <si>
    <t xml:space="preserve">27325110</t>
  </si>
  <si>
    <t xml:space="preserve">25964005</t>
  </si>
  <si>
    <t xml:space="preserve">28920030</t>
  </si>
  <si>
    <t xml:space="preserve">28930000</t>
  </si>
  <si>
    <t xml:space="preserve">26032060</t>
  </si>
  <si>
    <t xml:space="preserve">23010095</t>
  </si>
  <si>
    <t xml:space="preserve">21920370</t>
  </si>
  <si>
    <t xml:space="preserve">25635340</t>
  </si>
  <si>
    <t xml:space="preserve">22740362</t>
  </si>
  <si>
    <t xml:space="preserve">26278535</t>
  </si>
  <si>
    <t xml:space="preserve">28926596</t>
  </si>
  <si>
    <t xml:space="preserve">25946148</t>
  </si>
  <si>
    <t xml:space="preserve">26562421</t>
  </si>
  <si>
    <t xml:space="preserve">26582220</t>
  </si>
  <si>
    <t xml:space="preserve">24812280</t>
  </si>
  <si>
    <t xml:space="preserve">20550210</t>
  </si>
  <si>
    <t xml:space="preserve">25214415</t>
  </si>
  <si>
    <t xml:space="preserve">21341270</t>
  </si>
  <si>
    <t xml:space="preserve">21853054</t>
  </si>
  <si>
    <t xml:space="preserve">25215285</t>
  </si>
  <si>
    <t xml:space="preserve">23570490</t>
  </si>
  <si>
    <t xml:space="preserve">25850000</t>
  </si>
  <si>
    <t xml:space="preserve">26293384</t>
  </si>
  <si>
    <t xml:space="preserve">26082005</t>
  </si>
  <si>
    <t xml:space="preserve">26110323</t>
  </si>
  <si>
    <t xml:space="preserve">22753053</t>
  </si>
  <si>
    <t xml:space="preserve">22070011</t>
  </si>
  <si>
    <t xml:space="preserve">25270270</t>
  </si>
  <si>
    <t xml:space="preserve">22753501</t>
  </si>
  <si>
    <t xml:space="preserve">25267320</t>
  </si>
  <si>
    <t xml:space="preserve">28027150</t>
  </si>
  <si>
    <t xml:space="preserve">25545201</t>
  </si>
  <si>
    <t xml:space="preserve">21715190</t>
  </si>
  <si>
    <t xml:space="preserve">26515401</t>
  </si>
  <si>
    <t xml:space="preserve">22061020</t>
  </si>
  <si>
    <t xml:space="preserve">27935170</t>
  </si>
  <si>
    <t xml:space="preserve">27330660</t>
  </si>
  <si>
    <t xml:space="preserve">26383560</t>
  </si>
  <si>
    <t xml:space="preserve">22770360</t>
  </si>
  <si>
    <t xml:space="preserve">24738834</t>
  </si>
  <si>
    <t xml:space="preserve">21031752</t>
  </si>
  <si>
    <t xml:space="preserve">22753050</t>
  </si>
  <si>
    <t xml:space="preserve">28944042</t>
  </si>
  <si>
    <t xml:space="preserve">25025086</t>
  </si>
  <si>
    <t xml:space="preserve">23042500</t>
  </si>
  <si>
    <t xml:space="preserve">22210050</t>
  </si>
  <si>
    <t xml:space="preserve">27197249</t>
  </si>
  <si>
    <t xml:space="preserve">25555091</t>
  </si>
  <si>
    <t xml:space="preserve">26083460</t>
  </si>
  <si>
    <t xml:space="preserve">24421021</t>
  </si>
  <si>
    <t xml:space="preserve">24804700</t>
  </si>
  <si>
    <t xml:space="preserve">21721480</t>
  </si>
  <si>
    <t xml:space="preserve">20750120</t>
  </si>
  <si>
    <t xml:space="preserve">22783325</t>
  </si>
  <si>
    <t xml:space="preserve">24436000</t>
  </si>
  <si>
    <t xml:space="preserve">21640260</t>
  </si>
  <si>
    <t xml:space="preserve">20765171</t>
  </si>
  <si>
    <t xml:space="preserve">24754007</t>
  </si>
  <si>
    <t xml:space="preserve">28994500</t>
  </si>
  <si>
    <t xml:space="preserve">24436807</t>
  </si>
  <si>
    <t xml:space="preserve">21843110</t>
  </si>
  <si>
    <t xml:space="preserve">21920120</t>
  </si>
  <si>
    <t xml:space="preserve">21230354</t>
  </si>
  <si>
    <t xml:space="preserve">20766721</t>
  </si>
  <si>
    <t xml:space="preserve">21775410</t>
  </si>
  <si>
    <t xml:space="preserve">25261470</t>
  </si>
  <si>
    <t xml:space="preserve">21760001</t>
  </si>
  <si>
    <t xml:space="preserve">26381411</t>
  </si>
  <si>
    <t xml:space="preserve">28990051</t>
  </si>
  <si>
    <t xml:space="preserve">24325020</t>
  </si>
  <si>
    <t xml:space="preserve">28972872</t>
  </si>
  <si>
    <t xml:space="preserve">25525720</t>
  </si>
  <si>
    <t xml:space="preserve">23555220</t>
  </si>
  <si>
    <t xml:space="preserve">28985225</t>
  </si>
  <si>
    <t xml:space="preserve">21740030</t>
  </si>
  <si>
    <t xml:space="preserve">23030300</t>
  </si>
  <si>
    <t xml:space="preserve">26042450</t>
  </si>
  <si>
    <t xml:space="preserve">24440440</t>
  </si>
  <si>
    <t xml:space="preserve">23058150</t>
  </si>
  <si>
    <t xml:space="preserve">21215060</t>
  </si>
  <si>
    <t xml:space="preserve">25264480</t>
  </si>
  <si>
    <t xml:space="preserve">22775598</t>
  </si>
  <si>
    <t xml:space="preserve">24813093</t>
  </si>
  <si>
    <t xml:space="preserve">23520521</t>
  </si>
  <si>
    <t xml:space="preserve">20771631</t>
  </si>
  <si>
    <t xml:space="preserve">24900155</t>
  </si>
  <si>
    <t xml:space="preserve">27255005</t>
  </si>
  <si>
    <t xml:space="preserve">23063152</t>
  </si>
  <si>
    <t xml:space="preserve">21042070</t>
  </si>
  <si>
    <t xml:space="preserve">23914215</t>
  </si>
  <si>
    <t xml:space="preserve">24725229</t>
  </si>
  <si>
    <t xml:space="preserve">25213152</t>
  </si>
  <si>
    <t xml:space="preserve">27262470</t>
  </si>
  <si>
    <t xml:space="preserve">21211740</t>
  </si>
  <si>
    <t xml:space="preserve">28030350</t>
  </si>
  <si>
    <t xml:space="preserve">24472160</t>
  </si>
  <si>
    <t xml:space="preserve">25015005</t>
  </si>
  <si>
    <t xml:space="preserve">21555150</t>
  </si>
  <si>
    <t xml:space="preserve">23061200</t>
  </si>
  <si>
    <t xml:space="preserve">22790873</t>
  </si>
  <si>
    <t xml:space="preserve">24230090</t>
  </si>
  <si>
    <t xml:space="preserve">28989520</t>
  </si>
  <si>
    <t xml:space="preserve">26033310</t>
  </si>
  <si>
    <t xml:space="preserve">27935365</t>
  </si>
  <si>
    <t xml:space="preserve">23587076</t>
  </si>
  <si>
    <t xml:space="preserve">25220340</t>
  </si>
  <si>
    <t xml:space="preserve">24425290</t>
  </si>
  <si>
    <t xml:space="preserve">21770100</t>
  </si>
  <si>
    <t xml:space="preserve">26190520</t>
  </si>
  <si>
    <t xml:space="preserve">27283040</t>
  </si>
  <si>
    <t xml:space="preserve">24460170</t>
  </si>
  <si>
    <t xml:space="preserve">20973900</t>
  </si>
  <si>
    <t xml:space="preserve">28120000</t>
  </si>
  <si>
    <t xml:space="preserve">25535120</t>
  </si>
  <si>
    <t xml:space="preserve">26165340</t>
  </si>
  <si>
    <t xml:space="preserve">25575080</t>
  </si>
  <si>
    <t xml:space="preserve">21050424</t>
  </si>
  <si>
    <t xml:space="preserve">24461590</t>
  </si>
  <si>
    <t xml:space="preserve">23042330</t>
  </si>
  <si>
    <t xml:space="preserve">25225660</t>
  </si>
  <si>
    <t xml:space="preserve">26515020</t>
  </si>
  <si>
    <t xml:space="preserve">23092002</t>
  </si>
  <si>
    <t xml:space="preserve">26178200</t>
  </si>
  <si>
    <t xml:space="preserve">23025150</t>
  </si>
  <si>
    <t xml:space="preserve">24425190</t>
  </si>
  <si>
    <t xml:space="preserve">26110250</t>
  </si>
  <si>
    <t xml:space="preserve">28948008</t>
  </si>
  <si>
    <t xml:space="preserve">22783124</t>
  </si>
  <si>
    <t xml:space="preserve">23032180</t>
  </si>
  <si>
    <t xml:space="preserve">21910170</t>
  </si>
  <si>
    <t xml:space="preserve">21046415</t>
  </si>
  <si>
    <t xml:space="preserve">21072150</t>
  </si>
  <si>
    <t xml:space="preserve">24344121</t>
  </si>
  <si>
    <t xml:space="preserve">26297072</t>
  </si>
  <si>
    <t xml:space="preserve">23894658</t>
  </si>
  <si>
    <t xml:space="preserve">26116260</t>
  </si>
  <si>
    <t xml:space="preserve">24806686</t>
  </si>
  <si>
    <t xml:space="preserve">21060630</t>
  </si>
  <si>
    <t xml:space="preserve">28908105</t>
  </si>
  <si>
    <t xml:space="preserve">23811790</t>
  </si>
  <si>
    <t xml:space="preserve">21840102</t>
  </si>
  <si>
    <t xml:space="preserve">21040016</t>
  </si>
  <si>
    <t xml:space="preserve">21241430</t>
  </si>
  <si>
    <t xml:space="preserve">23580440</t>
  </si>
  <si>
    <t xml:space="preserve">25035030</t>
  </si>
  <si>
    <t xml:space="preserve">23075007</t>
  </si>
  <si>
    <t xml:space="preserve">24745170</t>
  </si>
  <si>
    <t xml:space="preserve">23535811</t>
  </si>
  <si>
    <t xml:space="preserve">23830080</t>
  </si>
  <si>
    <t xml:space="preserve">24921770</t>
  </si>
  <si>
    <t xml:space="preserve">24914100</t>
  </si>
  <si>
    <t xml:space="preserve">26376040</t>
  </si>
  <si>
    <t xml:space="preserve">21210260</t>
  </si>
  <si>
    <t xml:space="preserve">21545290</t>
  </si>
  <si>
    <t xml:space="preserve">21854002</t>
  </si>
  <si>
    <t xml:space="preserve">23070130</t>
  </si>
  <si>
    <t xml:space="preserve">23075078</t>
  </si>
  <si>
    <t xml:space="preserve">27274090</t>
  </si>
  <si>
    <t xml:space="preserve">26381736</t>
  </si>
  <si>
    <t xml:space="preserve">25230050</t>
  </si>
  <si>
    <t xml:space="preserve">28080095</t>
  </si>
  <si>
    <t xml:space="preserve">25235105</t>
  </si>
  <si>
    <t xml:space="preserve">28897174</t>
  </si>
  <si>
    <t xml:space="preserve">21665110</t>
  </si>
  <si>
    <t xml:space="preserve">22713587</t>
  </si>
  <si>
    <t xml:space="preserve">21616410</t>
  </si>
  <si>
    <t xml:space="preserve">22775118</t>
  </si>
  <si>
    <t xml:space="preserve">25266070</t>
  </si>
  <si>
    <t xml:space="preserve">25570290</t>
  </si>
  <si>
    <t xml:space="preserve">22775060</t>
  </si>
  <si>
    <t xml:space="preserve">23918510</t>
  </si>
  <si>
    <t xml:space="preserve">28022720</t>
  </si>
  <si>
    <t xml:space="preserve">26525131</t>
  </si>
  <si>
    <t xml:space="preserve">28948243</t>
  </si>
  <si>
    <t xml:space="preserve">22770590</t>
  </si>
  <si>
    <t xml:space="preserve">25243054</t>
  </si>
  <si>
    <t xml:space="preserve">23550570</t>
  </si>
  <si>
    <t xml:space="preserve">27511610</t>
  </si>
  <si>
    <t xml:space="preserve">23585245</t>
  </si>
  <si>
    <t xml:space="preserve">28415000</t>
  </si>
  <si>
    <t xml:space="preserve">26455365</t>
  </si>
  <si>
    <t xml:space="preserve">28770000</t>
  </si>
  <si>
    <t xml:space="preserve">28968345</t>
  </si>
  <si>
    <t xml:space="preserve">23068100</t>
  </si>
  <si>
    <t xml:space="preserve">22410001</t>
  </si>
  <si>
    <t xml:space="preserve">22270060</t>
  </si>
  <si>
    <t xml:space="preserve">23097640</t>
  </si>
  <si>
    <t xml:space="preserve">24436810</t>
  </si>
  <si>
    <t xml:space="preserve">24730090</t>
  </si>
  <si>
    <t xml:space="preserve">21530013</t>
  </si>
  <si>
    <t xml:space="preserve">21011290</t>
  </si>
  <si>
    <t xml:space="preserve">28994282</t>
  </si>
  <si>
    <t xml:space="preserve">24456150</t>
  </si>
  <si>
    <t xml:space="preserve">24320420</t>
  </si>
  <si>
    <t xml:space="preserve">20750030</t>
  </si>
  <si>
    <t xml:space="preserve">24723415</t>
  </si>
  <si>
    <t xml:space="preserve">22210030</t>
  </si>
  <si>
    <t xml:space="preserve">25046480</t>
  </si>
  <si>
    <t xml:space="preserve">20770180</t>
  </si>
  <si>
    <t xml:space="preserve">24753532</t>
  </si>
  <si>
    <t xml:space="preserve">23595020</t>
  </si>
  <si>
    <t xml:space="preserve">20740370</t>
  </si>
  <si>
    <t xml:space="preserve">24914420</t>
  </si>
  <si>
    <t xml:space="preserve">22041011</t>
  </si>
  <si>
    <t xml:space="preserve">20540106</t>
  </si>
  <si>
    <t xml:space="preserve">21042001</t>
  </si>
  <si>
    <t xml:space="preserve">28988892</t>
  </si>
  <si>
    <t xml:space="preserve">24415000</t>
  </si>
  <si>
    <t xml:space="preserve">24932855</t>
  </si>
  <si>
    <t xml:space="preserve">25555221</t>
  </si>
  <si>
    <t xml:space="preserve">22753710</t>
  </si>
  <si>
    <t xml:space="preserve">27923390</t>
  </si>
  <si>
    <t xml:space="preserve">22790714</t>
  </si>
  <si>
    <t xml:space="preserve">22740240</t>
  </si>
  <si>
    <t xml:space="preserve">26540130</t>
  </si>
  <si>
    <t xml:space="preserve">27273500</t>
  </si>
  <si>
    <t xml:space="preserve">20521030</t>
  </si>
  <si>
    <t xml:space="preserve">26293307</t>
  </si>
  <si>
    <t xml:space="preserve">26173140</t>
  </si>
  <si>
    <t xml:space="preserve">24722250</t>
  </si>
  <si>
    <t xml:space="preserve">26177110</t>
  </si>
  <si>
    <t xml:space="preserve">24455436</t>
  </si>
  <si>
    <t xml:space="preserve">23550105</t>
  </si>
  <si>
    <t xml:space="preserve">22011900</t>
  </si>
  <si>
    <t xml:space="preserve">23035600</t>
  </si>
  <si>
    <t xml:space="preserve">26553495</t>
  </si>
  <si>
    <t xml:space="preserve">24130247</t>
  </si>
  <si>
    <t xml:space="preserve">21230075</t>
  </si>
  <si>
    <t xml:space="preserve">21520050</t>
  </si>
  <si>
    <t xml:space="preserve">20730200</t>
  </si>
  <si>
    <t xml:space="preserve">21046020</t>
  </si>
  <si>
    <t xml:space="preserve">25035008</t>
  </si>
  <si>
    <t xml:space="preserve">21725180</t>
  </si>
  <si>
    <t xml:space="preserve">26278010</t>
  </si>
  <si>
    <t xml:space="preserve">22641004</t>
  </si>
  <si>
    <t xml:space="preserve">25212610</t>
  </si>
  <si>
    <t xml:space="preserve">23025033</t>
  </si>
  <si>
    <t xml:space="preserve">26030095</t>
  </si>
  <si>
    <t xml:space="preserve">26175240</t>
  </si>
  <si>
    <t xml:space="preserve">21515070</t>
  </si>
  <si>
    <t xml:space="preserve">24020320</t>
  </si>
  <si>
    <t xml:space="preserve">21341370</t>
  </si>
  <si>
    <t xml:space="preserve">23587460</t>
  </si>
  <si>
    <t xml:space="preserve">21520280</t>
  </si>
  <si>
    <t xml:space="preserve">28027040</t>
  </si>
  <si>
    <t xml:space="preserve">25071100</t>
  </si>
  <si>
    <t xml:space="preserve">22452770</t>
  </si>
  <si>
    <t xml:space="preserve">25010005</t>
  </si>
  <si>
    <t xml:space="preserve">25586030</t>
  </si>
  <si>
    <t xml:space="preserve">26311240</t>
  </si>
  <si>
    <t xml:space="preserve">21321035</t>
  </si>
  <si>
    <t xml:space="preserve">21545230</t>
  </si>
  <si>
    <t xml:space="preserve">28920050</t>
  </si>
  <si>
    <t xml:space="preserve">25070170</t>
  </si>
  <si>
    <t xml:space="preserve">22430070</t>
  </si>
  <si>
    <t xml:space="preserve">24744490</t>
  </si>
  <si>
    <t xml:space="preserve">20270231</t>
  </si>
  <si>
    <t xml:space="preserve">26294462</t>
  </si>
  <si>
    <t xml:space="preserve">25020085</t>
  </si>
  <si>
    <t xml:space="preserve">20541018</t>
  </si>
  <si>
    <t xml:space="preserve">21843070</t>
  </si>
  <si>
    <t xml:space="preserve">23547320</t>
  </si>
  <si>
    <t xml:space="preserve">28898024</t>
  </si>
  <si>
    <t xml:space="preserve">25056100</t>
  </si>
  <si>
    <t xml:space="preserve">26294300</t>
  </si>
  <si>
    <t xml:space="preserve">22723497</t>
  </si>
  <si>
    <t xml:space="preserve">26260035</t>
  </si>
  <si>
    <t xml:space="preserve">25035460</t>
  </si>
  <si>
    <t xml:space="preserve">25720142</t>
  </si>
  <si>
    <t xml:space="preserve">27276310</t>
  </si>
  <si>
    <t xml:space="preserve">28991406</t>
  </si>
  <si>
    <t xml:space="preserve">25030058</t>
  </si>
  <si>
    <t xml:space="preserve">25035200</t>
  </si>
  <si>
    <t xml:space="preserve">26040810</t>
  </si>
  <si>
    <t xml:space="preserve">28934815</t>
  </si>
  <si>
    <t xml:space="preserve">24931115</t>
  </si>
  <si>
    <t xml:space="preserve">21760140</t>
  </si>
  <si>
    <t xml:space="preserve">25235074</t>
  </si>
  <si>
    <t xml:space="preserve">28998320</t>
  </si>
  <si>
    <t xml:space="preserve">21215395</t>
  </si>
  <si>
    <t xml:space="preserve">27516240</t>
  </si>
  <si>
    <t xml:space="preserve">22793400</t>
  </si>
  <si>
    <t xml:space="preserve">23575093</t>
  </si>
  <si>
    <t xml:space="preserve">21830005</t>
  </si>
  <si>
    <t xml:space="preserve">25565370</t>
  </si>
  <si>
    <t xml:space="preserve">25943377</t>
  </si>
  <si>
    <t xml:space="preserve">21043280</t>
  </si>
  <si>
    <t xml:space="preserve">24430460</t>
  </si>
  <si>
    <t xml:space="preserve">23530550</t>
  </si>
  <si>
    <t xml:space="preserve">21555480</t>
  </si>
  <si>
    <t xml:space="preserve">22250060</t>
  </si>
  <si>
    <t xml:space="preserve">23870000</t>
  </si>
  <si>
    <t xml:space="preserve">23040550</t>
  </si>
  <si>
    <t xml:space="preserve">28925071</t>
  </si>
  <si>
    <t xml:space="preserve">23520241</t>
  </si>
  <si>
    <t xml:space="preserve">22730150</t>
  </si>
  <si>
    <t xml:space="preserve">26087335</t>
  </si>
  <si>
    <t xml:space="preserve">21815030</t>
  </si>
  <si>
    <t xml:space="preserve">21755270</t>
  </si>
  <si>
    <t xml:space="preserve">22765455</t>
  </si>
  <si>
    <t xml:space="preserve">21833050</t>
  </si>
  <si>
    <t xml:space="preserve">22783116</t>
  </si>
  <si>
    <t xml:space="preserve">23093146</t>
  </si>
  <si>
    <t xml:space="preserve">22750300</t>
  </si>
  <si>
    <t xml:space="preserve">21236020</t>
  </si>
  <si>
    <t xml:space="preserve">23032310</t>
  </si>
  <si>
    <t xml:space="preserve">26562040</t>
  </si>
  <si>
    <t xml:space="preserve">20785342</t>
  </si>
  <si>
    <t xml:space="preserve">23585081</t>
  </si>
  <si>
    <t xml:space="preserve">27525847</t>
  </si>
  <si>
    <t xml:space="preserve">23935080</t>
  </si>
  <si>
    <t xml:space="preserve">24856232</t>
  </si>
  <si>
    <t xml:space="preserve">25620002</t>
  </si>
  <si>
    <t xml:space="preserve">22763550</t>
  </si>
  <si>
    <t xml:space="preserve">22753340</t>
  </si>
  <si>
    <t xml:space="preserve">21670450</t>
  </si>
  <si>
    <t xml:space="preserve">26587310</t>
  </si>
  <si>
    <t xml:space="preserve">23058070</t>
  </si>
  <si>
    <t xml:space="preserve">22793395</t>
  </si>
  <si>
    <t xml:space="preserve">28995211</t>
  </si>
  <si>
    <t xml:space="preserve">26535380</t>
  </si>
  <si>
    <t xml:space="preserve">24445210</t>
  </si>
  <si>
    <t xml:space="preserve">22793366</t>
  </si>
  <si>
    <t xml:space="preserve">27213050</t>
  </si>
  <si>
    <t xml:space="preserve">23061010</t>
  </si>
  <si>
    <t xml:space="preserve">24474295</t>
  </si>
  <si>
    <t xml:space="preserve">21210270</t>
  </si>
  <si>
    <t xml:space="preserve">23907205</t>
  </si>
  <si>
    <t xml:space="preserve">23082410</t>
  </si>
  <si>
    <t xml:space="preserve">25550500</t>
  </si>
  <si>
    <t xml:space="preserve">25555201</t>
  </si>
  <si>
    <t xml:space="preserve">24745120</t>
  </si>
  <si>
    <t xml:space="preserve">25272660</t>
  </si>
  <si>
    <t xml:space="preserve">24340105</t>
  </si>
  <si>
    <t xml:space="preserve">28990760</t>
  </si>
  <si>
    <t xml:space="preserve">26475040</t>
  </si>
  <si>
    <t xml:space="preserve">26525046</t>
  </si>
  <si>
    <t xml:space="preserve">26587390</t>
  </si>
  <si>
    <t xml:space="preserve">24800770</t>
  </si>
  <si>
    <t xml:space="preserve">28990542</t>
  </si>
  <si>
    <t xml:space="preserve">23040150</t>
  </si>
  <si>
    <t xml:space="preserve">26376070</t>
  </si>
  <si>
    <t xml:space="preserve">22753155</t>
  </si>
  <si>
    <t xml:space="preserve">20550220</t>
  </si>
  <si>
    <t xml:space="preserve">20211020</t>
  </si>
  <si>
    <t xml:space="preserve">28013025</t>
  </si>
  <si>
    <t xml:space="preserve">28890603</t>
  </si>
  <si>
    <t xml:space="preserve">28024492</t>
  </si>
  <si>
    <t xml:space="preserve">25935075</t>
  </si>
  <si>
    <t xml:space="preserve">22753200</t>
  </si>
  <si>
    <t xml:space="preserve">20751010</t>
  </si>
  <si>
    <t xml:space="preserve">21615410</t>
  </si>
  <si>
    <t xml:space="preserve">28925732</t>
  </si>
  <si>
    <t xml:space="preserve">25071220</t>
  </si>
  <si>
    <t xml:space="preserve">24724100</t>
  </si>
  <si>
    <t xml:space="preserve">21050060</t>
  </si>
  <si>
    <t xml:space="preserve">21330430</t>
  </si>
  <si>
    <t xml:space="preserve">26155070</t>
  </si>
  <si>
    <t xml:space="preserve">24457340</t>
  </si>
  <si>
    <t xml:space="preserve">28890868</t>
  </si>
  <si>
    <t xml:space="preserve">23515680</t>
  </si>
  <si>
    <t xml:space="preserve">26220060</t>
  </si>
  <si>
    <t xml:space="preserve">28983332</t>
  </si>
  <si>
    <t xml:space="preserve">24330180</t>
  </si>
  <si>
    <t xml:space="preserve">28699899</t>
  </si>
  <si>
    <t xml:space="preserve">26061810</t>
  </si>
  <si>
    <t xml:space="preserve">21630250</t>
  </si>
  <si>
    <t xml:space="preserve">22725031</t>
  </si>
  <si>
    <t xml:space="preserve">23032305</t>
  </si>
  <si>
    <t xml:space="preserve">25214300</t>
  </si>
  <si>
    <t xml:space="preserve">28060480</t>
  </si>
  <si>
    <t xml:space="preserve">24737540</t>
  </si>
  <si>
    <t xml:space="preserve">23898030</t>
  </si>
  <si>
    <t xml:space="preserve">20961050</t>
  </si>
  <si>
    <t xml:space="preserve">23510570</t>
  </si>
  <si>
    <t xml:space="preserve">25253554</t>
  </si>
  <si>
    <t xml:space="preserve">25645250</t>
  </si>
  <si>
    <t xml:space="preserve">28909460</t>
  </si>
  <si>
    <t xml:space="preserve">26510040</t>
  </si>
  <si>
    <t xml:space="preserve">26087095</t>
  </si>
  <si>
    <t xml:space="preserve">23595290</t>
  </si>
  <si>
    <t xml:space="preserve">21210002</t>
  </si>
  <si>
    <t xml:space="preserve">27580180</t>
  </si>
  <si>
    <t xml:space="preserve">21020160</t>
  </si>
  <si>
    <t xml:space="preserve">23066550</t>
  </si>
  <si>
    <t xml:space="preserve">24908780</t>
  </si>
  <si>
    <t xml:space="preserve">23098393</t>
  </si>
  <si>
    <t xml:space="preserve">22795355</t>
  </si>
  <si>
    <t xml:space="preserve">21020123</t>
  </si>
  <si>
    <t xml:space="preserve">27522130</t>
  </si>
  <si>
    <t xml:space="preserve">25946244</t>
  </si>
  <si>
    <t xml:space="preserve">26510608</t>
  </si>
  <si>
    <t xml:space="preserve">24425470</t>
  </si>
  <si>
    <t xml:space="preserve">24931740</t>
  </si>
  <si>
    <t xml:space="preserve">21921730</t>
  </si>
  <si>
    <t xml:space="preserve">21920001</t>
  </si>
  <si>
    <t xml:space="preserve">28040630</t>
  </si>
  <si>
    <t xml:space="preserve">24944232</t>
  </si>
  <si>
    <t xml:space="preserve">21720070</t>
  </si>
  <si>
    <t xml:space="preserve">21920115</t>
  </si>
  <si>
    <t xml:space="preserve">28090115</t>
  </si>
  <si>
    <t xml:space="preserve">22470230</t>
  </si>
  <si>
    <t xml:space="preserve">20761120</t>
  </si>
  <si>
    <t xml:space="preserve">28635360</t>
  </si>
  <si>
    <t xml:space="preserve">26554300</t>
  </si>
  <si>
    <t xml:space="preserve">27250005</t>
  </si>
  <si>
    <t xml:space="preserve">26215210</t>
  </si>
  <si>
    <t xml:space="preserve">23575275</t>
  </si>
  <si>
    <t xml:space="preserve">21745350</t>
  </si>
  <si>
    <t xml:space="preserve">21725020</t>
  </si>
  <si>
    <t xml:space="preserve">25071070</t>
  </si>
  <si>
    <t xml:space="preserve">23065004</t>
  </si>
  <si>
    <t xml:space="preserve">25935546</t>
  </si>
  <si>
    <t xml:space="preserve">24431720</t>
  </si>
  <si>
    <t xml:space="preserve">21540690</t>
  </si>
  <si>
    <t xml:space="preserve">23067438</t>
  </si>
  <si>
    <t xml:space="preserve">24310260</t>
  </si>
  <si>
    <t xml:space="preserve">22785276</t>
  </si>
  <si>
    <t xml:space="preserve">21710510</t>
  </si>
  <si>
    <t xml:space="preserve">26445270</t>
  </si>
  <si>
    <t xml:space="preserve">22795200</t>
  </si>
  <si>
    <t xml:space="preserve">21715075</t>
  </si>
  <si>
    <t xml:space="preserve">22770280</t>
  </si>
  <si>
    <t xml:space="preserve">26135300</t>
  </si>
  <si>
    <t xml:space="preserve">23898093</t>
  </si>
  <si>
    <t xml:space="preserve">25640550</t>
  </si>
  <si>
    <t xml:space="preserve">21046160</t>
  </si>
  <si>
    <t xml:space="preserve">21051020</t>
  </si>
  <si>
    <t xml:space="preserve">28961777</t>
  </si>
  <si>
    <t xml:space="preserve">26190281</t>
  </si>
  <si>
    <t xml:space="preserve">22713581</t>
  </si>
  <si>
    <t xml:space="preserve">23025500</t>
  </si>
  <si>
    <t xml:space="preserve">23040580</t>
  </si>
  <si>
    <t xml:space="preserve">24020240</t>
  </si>
  <si>
    <t xml:space="preserve">26112100</t>
  </si>
  <si>
    <t xml:space="preserve">23560050</t>
  </si>
  <si>
    <t xml:space="preserve">25235160</t>
  </si>
  <si>
    <t xml:space="preserve">24732660</t>
  </si>
  <si>
    <t xml:space="preserve">28899404</t>
  </si>
  <si>
    <t xml:space="preserve">27963812</t>
  </si>
  <si>
    <t xml:space="preserve">26271090</t>
  </si>
  <si>
    <t xml:space="preserve">26113660</t>
  </si>
  <si>
    <t xml:space="preserve">22460300</t>
  </si>
  <si>
    <t xml:space="preserve">21825183</t>
  </si>
  <si>
    <t xml:space="preserve">27532328</t>
  </si>
  <si>
    <t xml:space="preserve">26160165</t>
  </si>
  <si>
    <t xml:space="preserve">24130307</t>
  </si>
  <si>
    <t xml:space="preserve">25221424</t>
  </si>
  <si>
    <t xml:space="preserve">26032830</t>
  </si>
  <si>
    <t xml:space="preserve">25540540</t>
  </si>
  <si>
    <t xml:space="preserve">26553190</t>
  </si>
  <si>
    <t xml:space="preserve">28968485</t>
  </si>
  <si>
    <t xml:space="preserve">23075440</t>
  </si>
  <si>
    <t xml:space="preserve">24812022</t>
  </si>
  <si>
    <t xml:space="preserve">25780000</t>
  </si>
  <si>
    <t xml:space="preserve">26176050</t>
  </si>
  <si>
    <t xml:space="preserve">23027290</t>
  </si>
  <si>
    <t xml:space="preserve">20261063</t>
  </si>
  <si>
    <t xml:space="preserve">26050610</t>
  </si>
  <si>
    <t xml:space="preserve">25650490</t>
  </si>
  <si>
    <t xml:space="preserve">22713570</t>
  </si>
  <si>
    <t xml:space="preserve">26130230</t>
  </si>
  <si>
    <t xml:space="preserve">25565430</t>
  </si>
  <si>
    <t xml:space="preserve">22743040</t>
  </si>
  <si>
    <t xml:space="preserve">23097692</t>
  </si>
  <si>
    <t xml:space="preserve">21230330</t>
  </si>
  <si>
    <t xml:space="preserve">23033020</t>
  </si>
  <si>
    <t xml:space="preserve">27135280</t>
  </si>
  <si>
    <t xml:space="preserve">27277210</t>
  </si>
  <si>
    <t xml:space="preserve">20960008</t>
  </si>
  <si>
    <t xml:space="preserve">21760360</t>
  </si>
  <si>
    <t xml:space="preserve">20071002</t>
  </si>
  <si>
    <t xml:space="preserve">25271755</t>
  </si>
  <si>
    <t xml:space="preserve">21660620</t>
  </si>
  <si>
    <t xml:space="preserve">24422400</t>
  </si>
  <si>
    <t xml:space="preserve">20961020</t>
  </si>
  <si>
    <t xml:space="preserve">21852540</t>
  </si>
  <si>
    <t xml:space="preserve">22270012</t>
  </si>
  <si>
    <t xml:space="preserve">22260040</t>
  </si>
  <si>
    <t xml:space="preserve">21380400</t>
  </si>
  <si>
    <t xml:space="preserve">21042120</t>
  </si>
  <si>
    <t xml:space="preserve">23535230</t>
  </si>
  <si>
    <t xml:space="preserve">24726460</t>
  </si>
  <si>
    <t xml:space="preserve">27343270</t>
  </si>
  <si>
    <t xml:space="preserve">24804141</t>
  </si>
  <si>
    <t xml:space="preserve">26041070</t>
  </si>
  <si>
    <t xml:space="preserve">26010390</t>
  </si>
  <si>
    <t xml:space="preserve">22730170</t>
  </si>
  <si>
    <t xml:space="preserve">22450130</t>
  </si>
  <si>
    <t xml:space="preserve">28942820</t>
  </si>
  <si>
    <t xml:space="preserve">22610001</t>
  </si>
  <si>
    <t xml:space="preserve">21862560</t>
  </si>
  <si>
    <t xml:space="preserve">25212672</t>
  </si>
  <si>
    <t xml:space="preserve">24430500</t>
  </si>
  <si>
    <t xml:space="preserve">21625060</t>
  </si>
  <si>
    <t xml:space="preserve">23933115</t>
  </si>
  <si>
    <t xml:space="preserve">21073160</t>
  </si>
  <si>
    <t xml:space="preserve">26296528</t>
  </si>
  <si>
    <t xml:space="preserve">25812742</t>
  </si>
  <si>
    <t xml:space="preserve">20920050</t>
  </si>
  <si>
    <t xml:space="preserve">26115460</t>
  </si>
  <si>
    <t xml:space="preserve">21330650</t>
  </si>
  <si>
    <t xml:space="preserve">24715330</t>
  </si>
  <si>
    <t xml:space="preserve">22753315</t>
  </si>
  <si>
    <t xml:space="preserve">25555150</t>
  </si>
  <si>
    <t xml:space="preserve">21620590</t>
  </si>
  <si>
    <t xml:space="preserve">22785200</t>
  </si>
  <si>
    <t xml:space="preserve">23555100</t>
  </si>
  <si>
    <t xml:space="preserve">25212310</t>
  </si>
  <si>
    <t xml:space="preserve">21311281</t>
  </si>
  <si>
    <t xml:space="preserve">23092370</t>
  </si>
  <si>
    <t xml:space="preserve">28024731</t>
  </si>
  <si>
    <t xml:space="preserve">24725170</t>
  </si>
  <si>
    <t xml:space="preserve">21220410</t>
  </si>
  <si>
    <t xml:space="preserve">27971791</t>
  </si>
  <si>
    <t xml:space="preserve">21220220</t>
  </si>
  <si>
    <t xml:space="preserve">28908050</t>
  </si>
  <si>
    <t xml:space="preserve">24417180</t>
  </si>
  <si>
    <t xml:space="preserve">20251370</t>
  </si>
  <si>
    <t xml:space="preserve">28994172</t>
  </si>
  <si>
    <t xml:space="preserve">25884000</t>
  </si>
  <si>
    <t xml:space="preserve">24315571</t>
  </si>
  <si>
    <t xml:space="preserve">24456595</t>
  </si>
  <si>
    <t xml:space="preserve">22610020</t>
  </si>
  <si>
    <t xml:space="preserve">26275010</t>
  </si>
  <si>
    <t xml:space="preserve">21911430</t>
  </si>
  <si>
    <t xml:space="preserve">25956120</t>
  </si>
  <si>
    <t xml:space="preserve">28981446</t>
  </si>
  <si>
    <t xml:space="preserve">25571210</t>
  </si>
  <si>
    <t xml:space="preserve">20760120</t>
  </si>
  <si>
    <t xml:space="preserve">26435160</t>
  </si>
  <si>
    <t xml:space="preserve">23515162</t>
  </si>
  <si>
    <t xml:space="preserve">25245640</t>
  </si>
  <si>
    <t xml:space="preserve">28895622</t>
  </si>
  <si>
    <t xml:space="preserve">26510110</t>
  </si>
  <si>
    <t xml:space="preserve">25615061</t>
  </si>
  <si>
    <t xml:space="preserve">21853031</t>
  </si>
  <si>
    <t xml:space="preserve">28949460</t>
  </si>
  <si>
    <t xml:space="preserve">27995000</t>
  </si>
  <si>
    <t xml:space="preserve">23595200</t>
  </si>
  <si>
    <t xml:space="preserve">28634110</t>
  </si>
  <si>
    <t xml:space="preserve">24751000</t>
  </si>
  <si>
    <t xml:space="preserve">27240559</t>
  </si>
  <si>
    <t xml:space="preserve">24934275</t>
  </si>
  <si>
    <t xml:space="preserve">21875240</t>
  </si>
  <si>
    <t xml:space="preserve">25268376</t>
  </si>
  <si>
    <t xml:space="preserve">25268370</t>
  </si>
  <si>
    <t xml:space="preserve">22451264</t>
  </si>
  <si>
    <t xml:space="preserve">21720140</t>
  </si>
  <si>
    <t xml:space="preserve">23936170</t>
  </si>
  <si>
    <t xml:space="preserve">26115729</t>
  </si>
  <si>
    <t xml:space="preserve">23070221</t>
  </si>
  <si>
    <t xml:space="preserve">23025110</t>
  </si>
  <si>
    <t xml:space="preserve">21540440</t>
  </si>
  <si>
    <t xml:space="preserve">26298629</t>
  </si>
  <si>
    <t xml:space="preserve">28500000</t>
  </si>
  <si>
    <t xml:space="preserve">28634450</t>
  </si>
  <si>
    <t xml:space="preserve">24900485</t>
  </si>
  <si>
    <t xml:space="preserve">21735210</t>
  </si>
  <si>
    <t xml:space="preserve">22723535</t>
  </si>
  <si>
    <t xml:space="preserve">26215090</t>
  </si>
  <si>
    <t xml:space="preserve">25056130</t>
  </si>
  <si>
    <t xml:space="preserve">25555050</t>
  </si>
  <si>
    <t xml:space="preserve">26298611</t>
  </si>
  <si>
    <t xml:space="preserve">22211230</t>
  </si>
  <si>
    <t xml:space="preserve">27536220</t>
  </si>
  <si>
    <t xml:space="preserve">20250450</t>
  </si>
  <si>
    <t xml:space="preserve">28985445</t>
  </si>
  <si>
    <t xml:space="preserve">23085600</t>
  </si>
  <si>
    <t xml:space="preserve">24934510</t>
  </si>
  <si>
    <t xml:space="preserve">21540400</t>
  </si>
  <si>
    <t xml:space="preserve">27580001</t>
  </si>
  <si>
    <t xml:space="preserve">27943120</t>
  </si>
  <si>
    <t xml:space="preserve">24736120</t>
  </si>
  <si>
    <t xml:space="preserve">24860100</t>
  </si>
  <si>
    <t xml:space="preserve">21341332</t>
  </si>
  <si>
    <t xml:space="preserve">26175007</t>
  </si>
  <si>
    <t xml:space="preserve">24440670</t>
  </si>
  <si>
    <t xml:space="preserve">21675090</t>
  </si>
  <si>
    <t xml:space="preserve">21044340</t>
  </si>
  <si>
    <t xml:space="preserve">24813006</t>
  </si>
  <si>
    <t xml:space="preserve">21815340</t>
  </si>
  <si>
    <t xml:space="preserve">25015301</t>
  </si>
  <si>
    <t xml:space="preserve">28948878</t>
  </si>
  <si>
    <t xml:space="preserve">25223500</t>
  </si>
  <si>
    <t xml:space="preserve">28692600</t>
  </si>
  <si>
    <t xml:space="preserve">22221000</t>
  </si>
  <si>
    <t xml:space="preserve">27913260</t>
  </si>
  <si>
    <t xml:space="preserve">20740570</t>
  </si>
  <si>
    <t xml:space="preserve">25030040</t>
  </si>
  <si>
    <t xml:space="preserve">23036061</t>
  </si>
  <si>
    <t xml:space="preserve">26574391</t>
  </si>
  <si>
    <t xml:space="preserve">25575050</t>
  </si>
  <si>
    <t xml:space="preserve">24715392</t>
  </si>
  <si>
    <t xml:space="preserve">28899386</t>
  </si>
  <si>
    <t xml:space="preserve">21061500</t>
  </si>
  <si>
    <t xml:space="preserve">20961150</t>
  </si>
  <si>
    <t xml:space="preserve">21852330</t>
  </si>
  <si>
    <t xml:space="preserve">20950004</t>
  </si>
  <si>
    <t xml:space="preserve">24806100</t>
  </si>
  <si>
    <t xml:space="preserve">25930860</t>
  </si>
  <si>
    <t xml:space="preserve">24450170</t>
  </si>
  <si>
    <t xml:space="preserve">25225330</t>
  </si>
  <si>
    <t xml:space="preserve">25610011</t>
  </si>
  <si>
    <t xml:space="preserve">21740230</t>
  </si>
  <si>
    <t xml:space="preserve">21843790</t>
  </si>
  <si>
    <t xml:space="preserve">25576220</t>
  </si>
  <si>
    <t xml:space="preserve">25220005</t>
  </si>
  <si>
    <t xml:space="preserve">22770190</t>
  </si>
  <si>
    <t xml:space="preserve">24230541</t>
  </si>
  <si>
    <t xml:space="preserve">24422640</t>
  </si>
  <si>
    <t xml:space="preserve">24858500</t>
  </si>
  <si>
    <t xml:space="preserve">26010421</t>
  </si>
  <si>
    <t xml:space="preserve">22790710</t>
  </si>
  <si>
    <t xml:space="preserve">28570000</t>
  </si>
  <si>
    <t xml:space="preserve">20540341</t>
  </si>
  <si>
    <t xml:space="preserve">25555490</t>
  </si>
  <si>
    <t xml:space="preserve">21520030</t>
  </si>
  <si>
    <t xml:space="preserve">21665090</t>
  </si>
  <si>
    <t xml:space="preserve">28982265</t>
  </si>
  <si>
    <t xml:space="preserve">24856660</t>
  </si>
  <si>
    <t xml:space="preserve">26553360</t>
  </si>
  <si>
    <t xml:space="preserve">28980816</t>
  </si>
  <si>
    <t xml:space="preserve">26110260</t>
  </si>
  <si>
    <t xml:space="preserve">28057290</t>
  </si>
  <si>
    <t xml:space="preserve">26510140</t>
  </si>
  <si>
    <t xml:space="preserve">28800101</t>
  </si>
  <si>
    <t xml:space="preserve">21350250</t>
  </si>
  <si>
    <t xml:space="preserve">26086460</t>
  </si>
  <si>
    <t xml:space="preserve">28070406</t>
  </si>
  <si>
    <t xml:space="preserve">25035160</t>
  </si>
  <si>
    <t xml:space="preserve">22750443</t>
  </si>
  <si>
    <t xml:space="preserve">21020260</t>
  </si>
  <si>
    <t xml:space="preserve">27213250</t>
  </si>
  <si>
    <t xml:space="preserve">26042310</t>
  </si>
  <si>
    <t xml:space="preserve">22451030</t>
  </si>
  <si>
    <t xml:space="preserve">22420030</t>
  </si>
  <si>
    <t xml:space="preserve">22795255</t>
  </si>
  <si>
    <t xml:space="preserve">28950800</t>
  </si>
  <si>
    <t xml:space="preserve">26062025</t>
  </si>
  <si>
    <t xml:space="preserve">23820390</t>
  </si>
  <si>
    <t xml:space="preserve">20730430</t>
  </si>
  <si>
    <t xml:space="preserve">27971209</t>
  </si>
  <si>
    <t xml:space="preserve">24220120</t>
  </si>
  <si>
    <t xml:space="preserve">28090100</t>
  </si>
  <si>
    <t xml:space="preserve">21870220</t>
  </si>
  <si>
    <t xml:space="preserve">28630080</t>
  </si>
  <si>
    <t xml:space="preserve">25906890</t>
  </si>
  <si>
    <t xml:space="preserve">26290723</t>
  </si>
  <si>
    <t xml:space="preserve">26140450</t>
  </si>
  <si>
    <t xml:space="preserve">26157579</t>
  </si>
  <si>
    <t xml:space="preserve">26089225</t>
  </si>
  <si>
    <t xml:space="preserve">21511140</t>
  </si>
  <si>
    <t xml:space="preserve">25075240</t>
  </si>
  <si>
    <t xml:space="preserve">28890052</t>
  </si>
  <si>
    <t xml:space="preserve">22793580</t>
  </si>
  <si>
    <t xml:space="preserve">26263175</t>
  </si>
  <si>
    <t xml:space="preserve">20745040</t>
  </si>
  <si>
    <t xml:space="preserve">21770190</t>
  </si>
  <si>
    <t xml:space="preserve">25565040</t>
  </si>
  <si>
    <t xml:space="preserve">28623583</t>
  </si>
  <si>
    <t xml:space="preserve">23059318</t>
  </si>
  <si>
    <t xml:space="preserve">24740110</t>
  </si>
  <si>
    <t xml:space="preserve">24722315</t>
  </si>
  <si>
    <t xml:space="preserve">26278670</t>
  </si>
  <si>
    <t xml:space="preserve">28908120</t>
  </si>
  <si>
    <t xml:space="preserve">28250000</t>
  </si>
  <si>
    <t xml:space="preserve">21341331</t>
  </si>
  <si>
    <t xml:space="preserve">24230131</t>
  </si>
  <si>
    <t xml:space="preserve">22793325</t>
  </si>
  <si>
    <t xml:space="preserve">26261130</t>
  </si>
  <si>
    <t xml:space="preserve">25730736</t>
  </si>
  <si>
    <t xml:space="preserve">24426410</t>
  </si>
  <si>
    <t xml:space="preserve">23575437</t>
  </si>
  <si>
    <t xml:space="preserve">27240440</t>
  </si>
  <si>
    <t xml:space="preserve">28943628</t>
  </si>
  <si>
    <t xml:space="preserve">27963111</t>
  </si>
  <si>
    <t xml:space="preserve">23934010</t>
  </si>
  <si>
    <t xml:space="preserve">25710130</t>
  </si>
  <si>
    <t xml:space="preserve">25030020</t>
  </si>
  <si>
    <t xml:space="preserve">26415190</t>
  </si>
  <si>
    <t xml:space="preserve">26080030</t>
  </si>
  <si>
    <t xml:space="preserve">22040021</t>
  </si>
  <si>
    <t xml:space="preserve">27283260</t>
  </si>
  <si>
    <t xml:space="preserve">22733510</t>
  </si>
  <si>
    <t xml:space="preserve">20770270</t>
  </si>
  <si>
    <t xml:space="preserve">23097604</t>
  </si>
  <si>
    <t xml:space="preserve">26280310</t>
  </si>
  <si>
    <t xml:space="preserve">27410180</t>
  </si>
  <si>
    <t xml:space="preserve">21843154</t>
  </si>
  <si>
    <t xml:space="preserve">28027130</t>
  </si>
  <si>
    <t xml:space="preserve">21241190</t>
  </si>
  <si>
    <t xml:space="preserve">20230014</t>
  </si>
  <si>
    <t xml:space="preserve">23918540</t>
  </si>
  <si>
    <t xml:space="preserve">21931383</t>
  </si>
  <si>
    <t xml:space="preserve">25960410</t>
  </si>
  <si>
    <t xml:space="preserve">24474770</t>
  </si>
  <si>
    <t xml:space="preserve">26293567</t>
  </si>
  <si>
    <t xml:space="preserve">20735320</t>
  </si>
  <si>
    <t xml:space="preserve">25975550</t>
  </si>
  <si>
    <t xml:space="preserve">23020590</t>
  </si>
  <si>
    <t xml:space="preserve">25086390</t>
  </si>
  <si>
    <t xml:space="preserve">22270016</t>
  </si>
  <si>
    <t xml:space="preserve">23025034</t>
  </si>
  <si>
    <t xml:space="preserve">25261100</t>
  </si>
  <si>
    <t xml:space="preserve">23068320</t>
  </si>
  <si>
    <t xml:space="preserve">24851564</t>
  </si>
  <si>
    <t xml:space="preserve">22763153</t>
  </si>
  <si>
    <t xml:space="preserve">23036053</t>
  </si>
  <si>
    <t xml:space="preserve">24457530</t>
  </si>
  <si>
    <t xml:space="preserve">26087390</t>
  </si>
  <si>
    <t xml:space="preserve">26553161</t>
  </si>
  <si>
    <t xml:space="preserve">22783210</t>
  </si>
  <si>
    <t xml:space="preserve">20745250</t>
  </si>
  <si>
    <t xml:space="preserve">20530400</t>
  </si>
  <si>
    <t xml:space="preserve">27971750</t>
  </si>
  <si>
    <t xml:space="preserve">21910100</t>
  </si>
  <si>
    <t xml:space="preserve">26052390</t>
  </si>
  <si>
    <t xml:space="preserve">20785130</t>
  </si>
  <si>
    <t xml:space="preserve">21215050</t>
  </si>
  <si>
    <t xml:space="preserve">22221020</t>
  </si>
  <si>
    <t xml:space="preserve">22011002</t>
  </si>
  <si>
    <t xml:space="preserve">25035800</t>
  </si>
  <si>
    <t xml:space="preserve">25963007</t>
  </si>
  <si>
    <t xml:space="preserve">23071180</t>
  </si>
  <si>
    <t xml:space="preserve">20730110</t>
  </si>
  <si>
    <t xml:space="preserve">24451840</t>
  </si>
  <si>
    <t xml:space="preserve">23031203</t>
  </si>
  <si>
    <t xml:space="preserve">25211300</t>
  </si>
  <si>
    <t xml:space="preserve">24470545</t>
  </si>
  <si>
    <t xml:space="preserve">22790877</t>
  </si>
  <si>
    <t xml:space="preserve">21321560</t>
  </si>
  <si>
    <t xml:space="preserve">24716570</t>
  </si>
  <si>
    <t xml:space="preserve">20211010</t>
  </si>
  <si>
    <t xml:space="preserve">26520020</t>
  </si>
  <si>
    <t xml:space="preserve">28020465</t>
  </si>
  <si>
    <t xml:space="preserve">21521360</t>
  </si>
  <si>
    <t xml:space="preserve">22621070</t>
  </si>
  <si>
    <t xml:space="preserve">25040335</t>
  </si>
  <si>
    <t xml:space="preserve">26554150</t>
  </si>
  <si>
    <t xml:space="preserve">22451262</t>
  </si>
  <si>
    <t xml:space="preserve">28981640</t>
  </si>
  <si>
    <t xml:space="preserve">28971530</t>
  </si>
  <si>
    <t xml:space="preserve">23050340</t>
  </si>
  <si>
    <t xml:space="preserve">26572280</t>
  </si>
  <si>
    <t xml:space="preserve">20725080</t>
  </si>
  <si>
    <t xml:space="preserve">21241050</t>
  </si>
  <si>
    <t xml:space="preserve">21775540</t>
  </si>
  <si>
    <t xml:space="preserve">21910280</t>
  </si>
  <si>
    <t xml:space="preserve">28053100</t>
  </si>
  <si>
    <t xml:space="preserve">28995639</t>
  </si>
  <si>
    <t xml:space="preserve">22031071</t>
  </si>
  <si>
    <t xml:space="preserve">22740360</t>
  </si>
  <si>
    <t xml:space="preserve">28013080</t>
  </si>
  <si>
    <t xml:space="preserve">27345220</t>
  </si>
  <si>
    <t xml:space="preserve">21072720</t>
  </si>
  <si>
    <t xml:space="preserve">28920803</t>
  </si>
  <si>
    <t xml:space="preserve">20020010</t>
  </si>
  <si>
    <t xml:space="preserve">28180000</t>
  </si>
  <si>
    <t xml:space="preserve">25264180</t>
  </si>
  <si>
    <t xml:space="preserve">21371440</t>
  </si>
  <si>
    <t xml:space="preserve">28625570</t>
  </si>
  <si>
    <t xml:space="preserve">23035146</t>
  </si>
  <si>
    <t xml:space="preserve">24736210</t>
  </si>
  <si>
    <t xml:space="preserve">25651075</t>
  </si>
  <si>
    <t xml:space="preserve">22770580</t>
  </si>
  <si>
    <t xml:space="preserve">28220000</t>
  </si>
  <si>
    <t xml:space="preserve">28981070</t>
  </si>
  <si>
    <t xml:space="preserve">25650230</t>
  </si>
  <si>
    <t xml:space="preserve">21221420</t>
  </si>
  <si>
    <t xml:space="preserve">21870260</t>
  </si>
  <si>
    <t xml:space="preserve">22220040</t>
  </si>
  <si>
    <t xml:space="preserve">21755430</t>
  </si>
  <si>
    <t xml:space="preserve">28051320</t>
  </si>
  <si>
    <t xml:space="preserve">26551481</t>
  </si>
  <si>
    <t xml:space="preserve">25010350</t>
  </si>
  <si>
    <t xml:space="preserve">24470500</t>
  </si>
  <si>
    <t xml:space="preserve">24934350</t>
  </si>
  <si>
    <t xml:space="preserve">28941382</t>
  </si>
  <si>
    <t xml:space="preserve">22753211</t>
  </si>
  <si>
    <t xml:space="preserve">23082220</t>
  </si>
  <si>
    <t xml:space="preserve">26167570</t>
  </si>
  <si>
    <t xml:space="preserve">25040220</t>
  </si>
  <si>
    <t xml:space="preserve">22765430</t>
  </si>
  <si>
    <t xml:space="preserve">23575050</t>
  </si>
  <si>
    <t xml:space="preserve">25041130</t>
  </si>
  <si>
    <t xml:space="preserve">25931890</t>
  </si>
  <si>
    <t xml:space="preserve">25680000</t>
  </si>
  <si>
    <t xml:space="preserve">28623060</t>
  </si>
  <si>
    <t xml:space="preserve">28690430</t>
  </si>
  <si>
    <t xml:space="preserve">24724565</t>
  </si>
  <si>
    <t xml:space="preserve">27960186</t>
  </si>
  <si>
    <t xml:space="preserve">26271360</t>
  </si>
  <si>
    <t xml:space="preserve">23058001</t>
  </si>
  <si>
    <t xml:space="preserve">22710280</t>
  </si>
  <si>
    <t xml:space="preserve">25213160</t>
  </si>
  <si>
    <t xml:space="preserve">20230240</t>
  </si>
  <si>
    <t xml:space="preserve">23935013</t>
  </si>
  <si>
    <t xml:space="preserve">25932145</t>
  </si>
  <si>
    <t xml:space="preserve">26281010</t>
  </si>
  <si>
    <t xml:space="preserve">28230000</t>
  </si>
  <si>
    <t xml:space="preserve">27944751</t>
  </si>
  <si>
    <t xml:space="preserve">21866340</t>
  </si>
  <si>
    <t xml:space="preserve">21340230</t>
  </si>
  <si>
    <t xml:space="preserve">28035053</t>
  </si>
  <si>
    <t xml:space="preserve">23585126</t>
  </si>
  <si>
    <t xml:space="preserve">25045730</t>
  </si>
  <si>
    <t xml:space="preserve">26420000</t>
  </si>
  <si>
    <t xml:space="preserve">21370200</t>
  </si>
  <si>
    <t xml:space="preserve">22745270</t>
  </si>
  <si>
    <t xml:space="preserve">27321620</t>
  </si>
  <si>
    <t xml:space="preserve">28021340</t>
  </si>
  <si>
    <t xml:space="preserve">28613450</t>
  </si>
  <si>
    <t xml:space="preserve">23075006</t>
  </si>
  <si>
    <t xml:space="preserve">21863360</t>
  </si>
  <si>
    <t xml:space="preserve">21361132</t>
  </si>
  <si>
    <t xml:space="preserve">28020301</t>
  </si>
  <si>
    <t xml:space="preserve">22641514</t>
  </si>
  <si>
    <t xml:space="preserve">25810130</t>
  </si>
  <si>
    <t xml:space="preserve">23510535</t>
  </si>
  <si>
    <t xml:space="preserve">22795810</t>
  </si>
  <si>
    <t xml:space="preserve">24802660</t>
  </si>
  <si>
    <t xml:space="preserve">23058002</t>
  </si>
  <si>
    <t xml:space="preserve">28085140</t>
  </si>
  <si>
    <t xml:space="preserve">21250570</t>
  </si>
  <si>
    <t xml:space="preserve">26480350</t>
  </si>
  <si>
    <t xml:space="preserve">28623000</t>
  </si>
  <si>
    <t xml:space="preserve">26297234</t>
  </si>
  <si>
    <t xml:space="preserve">25745010</t>
  </si>
  <si>
    <t xml:space="preserve">25932110</t>
  </si>
  <si>
    <t xml:space="preserve">23010220</t>
  </si>
  <si>
    <t xml:space="preserve">28083170</t>
  </si>
  <si>
    <t xml:space="preserve">22715160</t>
  </si>
  <si>
    <t xml:space="preserve">20920370</t>
  </si>
  <si>
    <t xml:space="preserve">26040800</t>
  </si>
  <si>
    <t xml:space="preserve">21510500</t>
  </si>
  <si>
    <t xml:space="preserve">21530040</t>
  </si>
  <si>
    <t xml:space="preserve">24350340</t>
  </si>
  <si>
    <t xml:space="preserve">28030315</t>
  </si>
  <si>
    <t xml:space="preserve">23914243</t>
  </si>
  <si>
    <t xml:space="preserve">26295595</t>
  </si>
  <si>
    <t xml:space="preserve">21070050</t>
  </si>
  <si>
    <t xml:space="preserve">21221440</t>
  </si>
  <si>
    <t xml:space="preserve">24717200</t>
  </si>
  <si>
    <t xml:space="preserve">23020724</t>
  </si>
  <si>
    <t xml:space="preserve">23550230</t>
  </si>
  <si>
    <t xml:space="preserve">21853355</t>
  </si>
  <si>
    <t xml:space="preserve">25675050</t>
  </si>
  <si>
    <t xml:space="preserve">28941348</t>
  </si>
  <si>
    <t xml:space="preserve">20220150</t>
  </si>
  <si>
    <t xml:space="preserve">28995104</t>
  </si>
  <si>
    <t xml:space="preserve">28928420</t>
  </si>
  <si>
    <t xml:space="preserve">21760320</t>
  </si>
  <si>
    <t xml:space="preserve">24722045</t>
  </si>
  <si>
    <t xml:space="preserve">28899401</t>
  </si>
  <si>
    <t xml:space="preserve">25570681</t>
  </si>
  <si>
    <t xml:space="preserve">22245100</t>
  </si>
  <si>
    <t xml:space="preserve">26294312</t>
  </si>
  <si>
    <t xml:space="preserve">21615310</t>
  </si>
  <si>
    <t xml:space="preserve">28633630</t>
  </si>
  <si>
    <t xml:space="preserve">28499040</t>
  </si>
  <si>
    <t xml:space="preserve">22790693</t>
  </si>
  <si>
    <t xml:space="preserve">25935330</t>
  </si>
  <si>
    <t xml:space="preserve">25815560</t>
  </si>
  <si>
    <t xml:space="preserve">21932220</t>
  </si>
  <si>
    <t xml:space="preserve">21865320</t>
  </si>
  <si>
    <t xml:space="preserve">27525502</t>
  </si>
  <si>
    <t xml:space="preserve">23060720</t>
  </si>
  <si>
    <t xml:space="preserve">27971805</t>
  </si>
  <si>
    <t xml:space="preserve">24813126</t>
  </si>
  <si>
    <t xml:space="preserve">22790147</t>
  </si>
  <si>
    <t xml:space="preserve">26535350</t>
  </si>
  <si>
    <t xml:space="preserve">26021560</t>
  </si>
  <si>
    <t xml:space="preserve">28895679</t>
  </si>
  <si>
    <t xml:space="preserve">22790682</t>
  </si>
  <si>
    <t xml:space="preserve">26423400</t>
  </si>
  <si>
    <t xml:space="preserve">20541125</t>
  </si>
  <si>
    <t xml:space="preserve">24344150</t>
  </si>
  <si>
    <t xml:space="preserve">22780081</t>
  </si>
  <si>
    <t xml:space="preserve">22220060</t>
  </si>
  <si>
    <t xml:space="preserve">23073356</t>
  </si>
  <si>
    <t xml:space="preserve">22790180</t>
  </si>
  <si>
    <t xml:space="preserve">24340080</t>
  </si>
  <si>
    <t xml:space="preserve">23013420</t>
  </si>
  <si>
    <t xml:space="preserve">28021245</t>
  </si>
  <si>
    <t xml:space="preserve">25660004</t>
  </si>
  <si>
    <t xml:space="preserve">27321320</t>
  </si>
  <si>
    <t xml:space="preserve">23020110</t>
  </si>
  <si>
    <t xml:space="preserve">25936110</t>
  </si>
  <si>
    <t xml:space="preserve">21831445</t>
  </si>
  <si>
    <t xml:space="preserve">24435140</t>
  </si>
  <si>
    <t xml:space="preserve">21010570</t>
  </si>
  <si>
    <t xml:space="preserve">20765240</t>
  </si>
  <si>
    <t xml:space="preserve">28928368</t>
  </si>
  <si>
    <t xml:space="preserve">21775420</t>
  </si>
  <si>
    <t xml:space="preserve">21044550</t>
  </si>
  <si>
    <t xml:space="preserve">28920225</t>
  </si>
  <si>
    <t xml:space="preserve">23935105</t>
  </si>
  <si>
    <t xml:space="preserve">23047530</t>
  </si>
  <si>
    <t xml:space="preserve">22221140</t>
  </si>
  <si>
    <t xml:space="preserve">27603051</t>
  </si>
  <si>
    <t xml:space="preserve">22783360</t>
  </si>
  <si>
    <t xml:space="preserve">22250040</t>
  </si>
  <si>
    <t xml:space="preserve">28922470</t>
  </si>
  <si>
    <t xml:space="preserve">23587415</t>
  </si>
  <si>
    <t xml:space="preserve">24710210</t>
  </si>
  <si>
    <t xml:space="preserve">23935172</t>
  </si>
  <si>
    <t xml:space="preserve">23067430</t>
  </si>
  <si>
    <t xml:space="preserve">26270100</t>
  </si>
  <si>
    <t xml:space="preserve">26377300</t>
  </si>
  <si>
    <t xml:space="preserve">28893513</t>
  </si>
  <si>
    <t xml:space="preserve">25804130</t>
  </si>
  <si>
    <t xml:space="preserve">23933600</t>
  </si>
  <si>
    <t xml:space="preserve">21361140</t>
  </si>
  <si>
    <t xml:space="preserve">23058281</t>
  </si>
  <si>
    <t xml:space="preserve">23085570</t>
  </si>
  <si>
    <t xml:space="preserve">24916000</t>
  </si>
  <si>
    <t xml:space="preserve">21012351</t>
  </si>
  <si>
    <t xml:space="preserve">28928510</t>
  </si>
  <si>
    <t xml:space="preserve">22471270</t>
  </si>
  <si>
    <t xml:space="preserve">22631030</t>
  </si>
  <si>
    <t xml:space="preserve">21340440</t>
  </si>
  <si>
    <t xml:space="preserve">20560050</t>
  </si>
  <si>
    <t xml:space="preserve">28740000</t>
  </si>
  <si>
    <t xml:space="preserve">21820097</t>
  </si>
  <si>
    <t xml:space="preserve">22735020</t>
  </si>
  <si>
    <t xml:space="preserve">28110000</t>
  </si>
  <si>
    <t xml:space="preserve">22723002</t>
  </si>
  <si>
    <t xml:space="preserve">24350242</t>
  </si>
  <si>
    <t xml:space="preserve">24744720</t>
  </si>
  <si>
    <t xml:space="preserve">26195140</t>
  </si>
  <si>
    <t xml:space="preserve">24430210</t>
  </si>
  <si>
    <t xml:space="preserve">27925396</t>
  </si>
  <si>
    <t xml:space="preserve">25221124</t>
  </si>
  <si>
    <t xml:space="preserve">28692632</t>
  </si>
  <si>
    <t xml:space="preserve">21042431</t>
  </si>
  <si>
    <t xml:space="preserve">23565450</t>
  </si>
  <si>
    <t xml:space="preserve">22790495</t>
  </si>
  <si>
    <t xml:space="preserve">21832310</t>
  </si>
  <si>
    <t xml:space="preserve">23955385</t>
  </si>
  <si>
    <t xml:space="preserve">22710125</t>
  </si>
  <si>
    <t xml:space="preserve">22251050</t>
  </si>
  <si>
    <t xml:space="preserve">23035090</t>
  </si>
  <si>
    <t xml:space="preserve">24140590</t>
  </si>
  <si>
    <t xml:space="preserve">23075640</t>
  </si>
  <si>
    <t xml:space="preserve">28960289</t>
  </si>
  <si>
    <t xml:space="preserve">28620310</t>
  </si>
  <si>
    <t xml:space="preserve">21231020</t>
  </si>
  <si>
    <t xml:space="preserve">24921452</t>
  </si>
  <si>
    <t xml:space="preserve">25665400</t>
  </si>
  <si>
    <t xml:space="preserve">23560510</t>
  </si>
  <si>
    <t xml:space="preserve">24240415</t>
  </si>
  <si>
    <t xml:space="preserve">25645260</t>
  </si>
  <si>
    <t xml:space="preserve">24742160</t>
  </si>
  <si>
    <t xml:space="preserve">28085450</t>
  </si>
  <si>
    <t xml:space="preserve">27277030</t>
  </si>
  <si>
    <t xml:space="preserve">23028055</t>
  </si>
  <si>
    <t xml:space="preserve">21012200</t>
  </si>
  <si>
    <t xml:space="preserve">24715631</t>
  </si>
  <si>
    <t xml:space="preserve">21842596</t>
  </si>
  <si>
    <t xml:space="preserve">24440900</t>
  </si>
  <si>
    <t xml:space="preserve">27966690</t>
  </si>
  <si>
    <t xml:space="preserve">27963795</t>
  </si>
  <si>
    <t xml:space="preserve">23914325</t>
  </si>
  <si>
    <t xml:space="preserve">23078001</t>
  </si>
  <si>
    <t xml:space="preserve">24467000</t>
  </si>
  <si>
    <t xml:space="preserve">21321020</t>
  </si>
  <si>
    <t xml:space="preserve">28979801</t>
  </si>
  <si>
    <t xml:space="preserve">21341140</t>
  </si>
  <si>
    <t xml:space="preserve">24751160</t>
  </si>
  <si>
    <t xml:space="preserve">27966610</t>
  </si>
  <si>
    <t xml:space="preserve">25655363</t>
  </si>
  <si>
    <t xml:space="preserve">23943120</t>
  </si>
  <si>
    <t xml:space="preserve">27140290</t>
  </si>
  <si>
    <t xml:space="preserve">24474215</t>
  </si>
  <si>
    <t xml:space="preserve">24730530</t>
  </si>
  <si>
    <t xml:space="preserve">25936840</t>
  </si>
  <si>
    <t xml:space="preserve">21046630</t>
  </si>
  <si>
    <t xml:space="preserve">28943770</t>
  </si>
  <si>
    <t xml:space="preserve">21250391</t>
  </si>
  <si>
    <t xml:space="preserve">21625130</t>
  </si>
  <si>
    <t xml:space="preserve">21535330</t>
  </si>
  <si>
    <t xml:space="preserve">24456050</t>
  </si>
  <si>
    <t xml:space="preserve">20541200</t>
  </si>
  <si>
    <t xml:space="preserve">24931410</t>
  </si>
  <si>
    <t xml:space="preserve">23587565</t>
  </si>
  <si>
    <t xml:space="preserve">24901640</t>
  </si>
  <si>
    <t xml:space="preserve">27930805</t>
  </si>
  <si>
    <t xml:space="preserve">28983816</t>
  </si>
  <si>
    <t xml:space="preserve">27946010</t>
  </si>
  <si>
    <t xml:space="preserve">27276385</t>
  </si>
  <si>
    <t xml:space="preserve">28165000</t>
  </si>
  <si>
    <t xml:space="preserve">25802250</t>
  </si>
  <si>
    <t xml:space="preserve">25665442</t>
  </si>
  <si>
    <t xml:space="preserve">21645521</t>
  </si>
  <si>
    <t xml:space="preserve">27214615</t>
  </si>
  <si>
    <t xml:space="preserve">24130345</t>
  </si>
  <si>
    <t xml:space="preserve">25060140</t>
  </si>
  <si>
    <t xml:space="preserve">24943255</t>
  </si>
  <si>
    <t xml:space="preserve">24802245</t>
  </si>
  <si>
    <t xml:space="preserve">26053200</t>
  </si>
  <si>
    <t xml:space="preserve">21046035</t>
  </si>
  <si>
    <t xml:space="preserve">21775490</t>
  </si>
  <si>
    <t xml:space="preserve">21370650</t>
  </si>
  <si>
    <t xml:space="preserve">28962284</t>
  </si>
  <si>
    <t xml:space="preserve">21073230</t>
  </si>
  <si>
    <t xml:space="preserve">28994816</t>
  </si>
  <si>
    <t xml:space="preserve">27240110</t>
  </si>
  <si>
    <t xml:space="preserve">27276000</t>
  </si>
  <si>
    <t xml:space="preserve">20750310</t>
  </si>
  <si>
    <t xml:space="preserve">22240006</t>
  </si>
  <si>
    <t xml:space="preserve">20961130</t>
  </si>
  <si>
    <t xml:space="preserve">22715090</t>
  </si>
  <si>
    <t xml:space="preserve">24350105</t>
  </si>
  <si>
    <t xml:space="preserve">25847140</t>
  </si>
  <si>
    <t xml:space="preserve">27197868</t>
  </si>
  <si>
    <t xml:space="preserve">28148000</t>
  </si>
  <si>
    <t xml:space="preserve">24241001</t>
  </si>
  <si>
    <t xml:space="preserve">28897364</t>
  </si>
  <si>
    <t xml:space="preserve">20972450</t>
  </si>
  <si>
    <t xml:space="preserve">24360005</t>
  </si>
  <si>
    <t xml:space="preserve">23062220</t>
  </si>
  <si>
    <t xml:space="preserve">21941480</t>
  </si>
  <si>
    <t xml:space="preserve">21610520</t>
  </si>
  <si>
    <t xml:space="preserve">21250392</t>
  </si>
  <si>
    <t xml:space="preserve">27212050</t>
  </si>
  <si>
    <t xml:space="preserve">26520332</t>
  </si>
  <si>
    <t xml:space="preserve">24715316</t>
  </si>
  <si>
    <t xml:space="preserve">27273480</t>
  </si>
  <si>
    <t xml:space="preserve">27943210</t>
  </si>
  <si>
    <t xml:space="preserve">27948075</t>
  </si>
  <si>
    <t xml:space="preserve">27251085</t>
  </si>
  <si>
    <t xml:space="preserve">22723320</t>
  </si>
  <si>
    <t xml:space="preserve">20770150</t>
  </si>
  <si>
    <t xml:space="preserve">20031204</t>
  </si>
  <si>
    <t xml:space="preserve">25015370</t>
  </si>
  <si>
    <t xml:space="preserve">22790728</t>
  </si>
  <si>
    <t xml:space="preserve">21750320</t>
  </si>
  <si>
    <t xml:space="preserve">28800000</t>
  </si>
  <si>
    <t xml:space="preserve">27935070</t>
  </si>
  <si>
    <t xml:space="preserve">23895340</t>
  </si>
  <si>
    <t xml:space="preserve">27940700</t>
  </si>
  <si>
    <t xml:space="preserve">24724310</t>
  </si>
  <si>
    <t xml:space="preserve">27347370</t>
  </si>
  <si>
    <t xml:space="preserve">20960045</t>
  </si>
  <si>
    <t xml:space="preserve">24330060</t>
  </si>
  <si>
    <t xml:space="preserve">24460310</t>
  </si>
  <si>
    <t xml:space="preserve">21921525</t>
  </si>
  <si>
    <t xml:space="preserve">24717070</t>
  </si>
  <si>
    <t xml:space="preserve">22710092</t>
  </si>
  <si>
    <t xml:space="preserve">20760005</t>
  </si>
  <si>
    <t xml:space="preserve">20943000</t>
  </si>
  <si>
    <t xml:space="preserve">26053440</t>
  </si>
  <si>
    <t xml:space="preserve">27185000</t>
  </si>
  <si>
    <t xml:space="preserve">27460000</t>
  </si>
  <si>
    <t xml:space="preserve">28943784</t>
  </si>
  <si>
    <t xml:space="preserve">23020240</t>
  </si>
  <si>
    <t xml:space="preserve">21725500</t>
  </si>
  <si>
    <t xml:space="preserve">24410230</t>
  </si>
  <si>
    <t xml:space="preserve">21050320</t>
  </si>
  <si>
    <t xml:space="preserve">20720011</t>
  </si>
  <si>
    <t xml:space="preserve">25953600</t>
  </si>
  <si>
    <t xml:space="preserve">20715010</t>
  </si>
  <si>
    <t xml:space="preserve">25044030</t>
  </si>
  <si>
    <t xml:space="preserve">22790703</t>
  </si>
  <si>
    <t xml:space="preserve">21930135</t>
  </si>
  <si>
    <t xml:space="preserve">23068155</t>
  </si>
  <si>
    <t xml:space="preserve">23050360</t>
  </si>
  <si>
    <t xml:space="preserve">21931242</t>
  </si>
  <si>
    <t xml:space="preserve">23020715</t>
  </si>
  <si>
    <t xml:space="preserve">28750000</t>
  </si>
  <si>
    <t xml:space="preserve">27581714</t>
  </si>
  <si>
    <t xml:space="preserve">22220030</t>
  </si>
  <si>
    <t xml:space="preserve">28635000</t>
  </si>
  <si>
    <t xml:space="preserve">24210130</t>
  </si>
  <si>
    <t xml:space="preserve">21021422</t>
  </si>
  <si>
    <t xml:space="preserve">20920350</t>
  </si>
  <si>
    <t xml:space="preserve">20521060</t>
  </si>
  <si>
    <t xml:space="preserve">25931858</t>
  </si>
  <si>
    <t xml:space="preserve">27525500</t>
  </si>
  <si>
    <t xml:space="preserve">27240050</t>
  </si>
  <si>
    <t xml:space="preserve">20745110</t>
  </si>
  <si>
    <t xml:space="preserve">21755380</t>
  </si>
  <si>
    <t xml:space="preserve">23575920</t>
  </si>
  <si>
    <t xml:space="preserve">27603830</t>
  </si>
  <si>
    <t xml:space="preserve">27175000</t>
  </si>
  <si>
    <t xml:space="preserve">21250520</t>
  </si>
  <si>
    <t xml:space="preserve">23943140</t>
  </si>
  <si>
    <t xml:space="preserve">20940010</t>
  </si>
  <si>
    <t xml:space="preserve">22793105</t>
  </si>
  <si>
    <t xml:space="preserve">23933630</t>
  </si>
  <si>
    <t xml:space="preserve">20750130</t>
  </si>
  <si>
    <t xml:space="preserve">28956144</t>
  </si>
  <si>
    <t xml:space="preserve">24240460</t>
  </si>
  <si>
    <t xml:space="preserve">25922144</t>
  </si>
  <si>
    <t xml:space="preserve">23595250</t>
  </si>
  <si>
    <t xml:space="preserve">22773200</t>
  </si>
  <si>
    <t xml:space="preserve">22790701</t>
  </si>
  <si>
    <t xml:space="preserve">23575000</t>
  </si>
  <si>
    <t xml:space="preserve">25959195</t>
  </si>
  <si>
    <t xml:space="preserve">21351080</t>
  </si>
  <si>
    <t xml:space="preserve">21755370</t>
  </si>
  <si>
    <t xml:space="preserve">28979476</t>
  </si>
  <si>
    <t xml:space="preserve">24110007</t>
  </si>
  <si>
    <t xml:space="preserve">26022136</t>
  </si>
  <si>
    <t xml:space="preserve">27525662</t>
  </si>
  <si>
    <t xml:space="preserve">28860000</t>
  </si>
  <si>
    <t xml:space="preserve">21311050</t>
  </si>
  <si>
    <t xml:space="preserve">27115270</t>
  </si>
  <si>
    <t xml:space="preserve">24726123</t>
  </si>
  <si>
    <t xml:space="preserve">27343430</t>
  </si>
  <si>
    <t xml:space="preserve">28997710</t>
  </si>
  <si>
    <t xml:space="preserve">20770290</t>
  </si>
  <si>
    <t xml:space="preserve">21510014</t>
  </si>
  <si>
    <t xml:space="preserve">21710000</t>
  </si>
  <si>
    <t xml:space="preserve">26290672</t>
  </si>
  <si>
    <t xml:space="preserve">23062410</t>
  </si>
  <si>
    <t xml:space="preserve">23016480</t>
  </si>
  <si>
    <t xml:space="preserve">24350068</t>
  </si>
  <si>
    <t xml:space="preserve">23065620</t>
  </si>
  <si>
    <t xml:space="preserve">25075300</t>
  </si>
  <si>
    <t xml:space="preserve">21665062</t>
  </si>
  <si>
    <t xml:space="preserve">21060060</t>
  </si>
  <si>
    <t xml:space="preserve">21061520</t>
  </si>
  <si>
    <t xml:space="preserve">22743370</t>
  </si>
  <si>
    <t xml:space="preserve">23028620</t>
  </si>
  <si>
    <t xml:space="preserve">24416170</t>
  </si>
  <si>
    <t xml:space="preserve">27910060</t>
  </si>
  <si>
    <t xml:space="preserve">24410100</t>
  </si>
  <si>
    <t xml:space="preserve">21850510</t>
  </si>
  <si>
    <t xml:space="preserve">22715410</t>
  </si>
  <si>
    <t xml:space="preserve">22783551</t>
  </si>
  <si>
    <t xml:space="preserve">25650390</t>
  </si>
  <si>
    <t xml:space="preserve">20530420</t>
  </si>
  <si>
    <t xml:space="preserve">26160455</t>
  </si>
  <si>
    <t xml:space="preserve">24130410</t>
  </si>
  <si>
    <t xml:space="preserve">28905165</t>
  </si>
  <si>
    <t xml:space="preserve">27197970</t>
  </si>
  <si>
    <t xml:space="preserve">28090230</t>
  </si>
  <si>
    <t xml:space="preserve">26210022</t>
  </si>
  <si>
    <t xml:space="preserve">28959880</t>
  </si>
  <si>
    <t xml:space="preserve">28635010</t>
  </si>
  <si>
    <t xml:space="preserve">21910160</t>
  </si>
  <si>
    <t xml:space="preserve">22471180</t>
  </si>
  <si>
    <t xml:space="preserve">20745230</t>
  </si>
  <si>
    <t xml:space="preserve">24070000</t>
  </si>
  <si>
    <t xml:space="preserve">21840096</t>
  </si>
  <si>
    <t xml:space="preserve">21030640</t>
  </si>
  <si>
    <t xml:space="preserve">22785050</t>
  </si>
  <si>
    <t xml:space="preserve">28920231</t>
  </si>
  <si>
    <t xml:space="preserve">24474655</t>
  </si>
  <si>
    <t xml:space="preserve">21555290</t>
  </si>
  <si>
    <t xml:space="preserve">24110026</t>
  </si>
  <si>
    <t xml:space="preserve">22783240</t>
  </si>
  <si>
    <t xml:space="preserve">27963788</t>
  </si>
  <si>
    <t xml:space="preserve">28053600</t>
  </si>
  <si>
    <t xml:space="preserve">22430190</t>
  </si>
  <si>
    <t xml:space="preserve">22280030</t>
  </si>
  <si>
    <t xml:space="preserve">21061600</t>
  </si>
  <si>
    <t xml:space="preserve">28982235</t>
  </si>
  <si>
    <t xml:space="preserve">21321624</t>
  </si>
  <si>
    <t xml:space="preserve">21842550</t>
  </si>
  <si>
    <t xml:space="preserve">28899314</t>
  </si>
  <si>
    <t xml:space="preserve">23032780</t>
  </si>
  <si>
    <t xml:space="preserve">23030360</t>
  </si>
  <si>
    <t xml:space="preserve">27323340</t>
  </si>
  <si>
    <t xml:space="preserve">21941598</t>
  </si>
  <si>
    <t xml:space="preserve">26275580</t>
  </si>
  <si>
    <t xml:space="preserve">23914250</t>
  </si>
  <si>
    <t xml:space="preserve">22610095</t>
  </si>
  <si>
    <t xml:space="preserve">26585400</t>
  </si>
  <si>
    <t xml:space="preserve">24475290</t>
  </si>
  <si>
    <t xml:space="preserve">22793084</t>
  </si>
  <si>
    <t xml:space="preserve">24930628</t>
  </si>
  <si>
    <t xml:space="preserve">20250460</t>
  </si>
  <si>
    <t xml:space="preserve">20973011</t>
  </si>
  <si>
    <t xml:space="preserve">24470270</t>
  </si>
  <si>
    <t xml:space="preserve">24921768</t>
  </si>
  <si>
    <t xml:space="preserve">27256005</t>
  </si>
  <si>
    <t xml:space="preserve">25730204</t>
  </si>
  <si>
    <t xml:space="preserve">21320080</t>
  </si>
  <si>
    <t xml:space="preserve">24736050</t>
  </si>
  <si>
    <t xml:space="preserve">21853470</t>
  </si>
  <si>
    <t xml:space="preserve">20745220</t>
  </si>
  <si>
    <t xml:space="preserve">24900798</t>
  </si>
  <si>
    <t xml:space="preserve">28143000</t>
  </si>
  <si>
    <t xml:space="preserve">23050200</t>
  </si>
  <si>
    <t xml:space="preserve">25808360</t>
  </si>
  <si>
    <t xml:space="preserve">23570020</t>
  </si>
  <si>
    <t xml:space="preserve">25086540</t>
  </si>
  <si>
    <t xml:space="preserve">20550160</t>
  </si>
  <si>
    <t xml:space="preserve">24431580</t>
  </si>
  <si>
    <t xml:space="preserve">24472090</t>
  </si>
  <si>
    <t xml:space="preserve">27258180</t>
  </si>
  <si>
    <t xml:space="preserve">25821060</t>
  </si>
  <si>
    <t xml:space="preserve">25565071</t>
  </si>
  <si>
    <t xml:space="preserve">27288450</t>
  </si>
  <si>
    <t xml:space="preserve">22780510</t>
  </si>
  <si>
    <t xml:space="preserve">24346040</t>
  </si>
  <si>
    <t xml:space="preserve">28977010</t>
  </si>
  <si>
    <t xml:space="preserve">25919279</t>
  </si>
  <si>
    <t xml:space="preserve">21511200</t>
  </si>
  <si>
    <t xml:space="preserve">21361640</t>
  </si>
  <si>
    <t xml:space="preserve">22713460</t>
  </si>
  <si>
    <t xml:space="preserve">27264520</t>
  </si>
  <si>
    <t xml:space="preserve">22240005</t>
  </si>
  <si>
    <t xml:space="preserve">22723000</t>
  </si>
  <si>
    <t xml:space="preserve">20931003</t>
  </si>
  <si>
    <t xml:space="preserve">22750006</t>
  </si>
  <si>
    <t xml:space="preserve">23575080</t>
  </si>
  <si>
    <t xml:space="preserve">26050803</t>
  </si>
  <si>
    <t xml:space="preserve">21842340</t>
  </si>
  <si>
    <t xml:space="preserve">21046425</t>
  </si>
  <si>
    <t xml:space="preserve">24725040</t>
  </si>
  <si>
    <t xml:space="preserve">27966031</t>
  </si>
  <si>
    <t xml:space="preserve">21381070</t>
  </si>
  <si>
    <t xml:space="preserve">23050170</t>
  </si>
  <si>
    <t xml:space="preserve">25051020</t>
  </si>
  <si>
    <t xml:space="preserve">24715562</t>
  </si>
  <si>
    <t xml:space="preserve">27966843</t>
  </si>
  <si>
    <t xml:space="preserve">25908713</t>
  </si>
  <si>
    <t xml:space="preserve">20766200</t>
  </si>
  <si>
    <t xml:space="preserve">28620075</t>
  </si>
  <si>
    <t xml:space="preserve">28010801</t>
  </si>
  <si>
    <t xml:space="preserve">28894330</t>
  </si>
  <si>
    <t xml:space="preserve">25685050</t>
  </si>
  <si>
    <t xml:space="preserve">20040001</t>
  </si>
  <si>
    <t xml:space="preserve">22641005</t>
  </si>
  <si>
    <t xml:space="preserve">28020822</t>
  </si>
  <si>
    <t xml:space="preserve">21381140</t>
  </si>
  <si>
    <t xml:space="preserve">20720230</t>
  </si>
  <si>
    <t xml:space="preserve">28963050</t>
  </si>
  <si>
    <t xml:space="preserve">28140000</t>
  </si>
  <si>
    <t xml:space="preserve">27143460</t>
  </si>
  <si>
    <t xml:space="preserve">28175000</t>
  </si>
  <si>
    <t xml:space="preserve">25635142</t>
  </si>
  <si>
    <t xml:space="preserve">21745291</t>
  </si>
  <si>
    <t xml:space="preserve">28894030</t>
  </si>
  <si>
    <t xml:space="preserve">20755010</t>
  </si>
  <si>
    <t xml:space="preserve">26086195</t>
  </si>
  <si>
    <t xml:space="preserve">28804254</t>
  </si>
  <si>
    <t xml:space="preserve">23057700</t>
  </si>
  <si>
    <t xml:space="preserve">23082350</t>
  </si>
  <si>
    <t xml:space="preserve">21843780</t>
  </si>
  <si>
    <t xml:space="preserve">22620172</t>
  </si>
  <si>
    <t xml:space="preserve">28956048</t>
  </si>
  <si>
    <t xml:space="preserve">22631004</t>
  </si>
  <si>
    <t xml:space="preserve">28895620</t>
  </si>
  <si>
    <t xml:space="preserve">22783117</t>
  </si>
  <si>
    <t xml:space="preserve">25685132</t>
  </si>
  <si>
    <t xml:space="preserve">22770235</t>
  </si>
  <si>
    <t xml:space="preserve">28664000</t>
  </si>
  <si>
    <t xml:space="preserve">25560581</t>
  </si>
  <si>
    <t xml:space="preserve">20540140</t>
  </si>
  <si>
    <t xml:space="preserve">26291212</t>
  </si>
  <si>
    <t xml:space="preserve">27520270</t>
  </si>
  <si>
    <t xml:space="preserve">20921260</t>
  </si>
  <si>
    <t xml:space="preserve">25911279</t>
  </si>
  <si>
    <t xml:space="preserve">21921420</t>
  </si>
  <si>
    <t xml:space="preserve">23895160</t>
  </si>
  <si>
    <t xml:space="preserve">25233289</t>
  </si>
  <si>
    <t xml:space="preserve">20910063</t>
  </si>
  <si>
    <t xml:space="preserve">21931574</t>
  </si>
  <si>
    <t xml:space="preserve">27770000</t>
  </si>
  <si>
    <t xml:space="preserve">27966780</t>
  </si>
  <si>
    <t xml:space="preserve">21321250</t>
  </si>
  <si>
    <t xml:space="preserve">25520430</t>
  </si>
  <si>
    <t xml:space="preserve">22630010</t>
  </si>
  <si>
    <t xml:space="preserve">21310310</t>
  </si>
  <si>
    <t xml:space="preserve">27281422</t>
  </si>
  <si>
    <t xml:space="preserve">24731070</t>
  </si>
  <si>
    <t xml:space="preserve">23028255</t>
  </si>
  <si>
    <t xml:space="preserve">28375000</t>
  </si>
  <si>
    <t xml:space="preserve">22765595</t>
  </si>
  <si>
    <t xml:space="preserve">20230011</t>
  </si>
  <si>
    <t xml:space="preserve">25040080</t>
  </si>
  <si>
    <t xml:space="preserve">26195020</t>
  </si>
  <si>
    <t xml:space="preserve">26582020</t>
  </si>
  <si>
    <t xml:space="preserve">25040005</t>
  </si>
  <si>
    <t xml:space="preserve">28022670</t>
  </si>
  <si>
    <t xml:space="preserve">22451510</t>
  </si>
  <si>
    <t xml:space="preserve">20725220</t>
  </si>
  <si>
    <t xml:space="preserve">22080002</t>
  </si>
  <si>
    <t xml:space="preserve">25060000</t>
  </si>
  <si>
    <t xml:space="preserve">25943518</t>
  </si>
  <si>
    <t xml:space="preserve">20531420</t>
  </si>
  <si>
    <t xml:space="preserve">22795780</t>
  </si>
  <si>
    <t xml:space="preserve">28994807</t>
  </si>
  <si>
    <t xml:space="preserve">25545430</t>
  </si>
  <si>
    <t xml:space="preserve">25821370</t>
  </si>
  <si>
    <t xml:space="preserve">21230165</t>
  </si>
  <si>
    <t xml:space="preserve">24710150</t>
  </si>
  <si>
    <t xml:space="preserve">28980014</t>
  </si>
  <si>
    <t xml:space="preserve">26700000</t>
  </si>
  <si>
    <t xml:space="preserve">25963140</t>
  </si>
  <si>
    <t xml:space="preserve">26290069</t>
  </si>
  <si>
    <t xml:space="preserve">28907000</t>
  </si>
  <si>
    <t xml:space="preserve">27323540</t>
  </si>
  <si>
    <t xml:space="preserve">25250530</t>
  </si>
  <si>
    <t xml:space="preserve">24355020</t>
  </si>
  <si>
    <t xml:space="preserve">21044725</t>
  </si>
  <si>
    <t xml:space="preserve">21831300</t>
  </si>
  <si>
    <t xml:space="preserve">22790851</t>
  </si>
  <si>
    <t xml:space="preserve">20241110</t>
  </si>
  <si>
    <t xml:space="preserve">21911270</t>
  </si>
  <si>
    <t xml:space="preserve">26155090</t>
  </si>
  <si>
    <t xml:space="preserve">27250100</t>
  </si>
  <si>
    <t xml:space="preserve">23575330</t>
  </si>
  <si>
    <t xml:space="preserve">21825330</t>
  </si>
  <si>
    <t xml:space="preserve">25085132</t>
  </si>
  <si>
    <t xml:space="preserve">23555024</t>
  </si>
  <si>
    <t xml:space="preserve">20720310</t>
  </si>
  <si>
    <t xml:space="preserve">24933440</t>
  </si>
  <si>
    <t xml:space="preserve">26110180</t>
  </si>
  <si>
    <t xml:space="preserve">24451785</t>
  </si>
  <si>
    <t xml:space="preserve">23943138</t>
  </si>
  <si>
    <t xml:space="preserve">25036160</t>
  </si>
  <si>
    <t xml:space="preserve">27700000</t>
  </si>
  <si>
    <t xml:space="preserve">21031690</t>
  </si>
  <si>
    <t xml:space="preserve">23933216</t>
  </si>
  <si>
    <t xml:space="preserve">21862755</t>
  </si>
  <si>
    <t xml:space="preserve">25847020</t>
  </si>
  <si>
    <t xml:space="preserve">23595475</t>
  </si>
  <si>
    <t xml:space="preserve">21550610</t>
  </si>
  <si>
    <t xml:space="preserve">22061010</t>
  </si>
  <si>
    <t xml:space="preserve">23914020</t>
  </si>
  <si>
    <t xml:space="preserve">25943521</t>
  </si>
  <si>
    <t xml:space="preserve">20730390</t>
  </si>
  <si>
    <t xml:space="preserve">22221010</t>
  </si>
  <si>
    <t xml:space="preserve">26327210</t>
  </si>
  <si>
    <t xml:space="preserve">23570510</t>
  </si>
  <si>
    <t xml:space="preserve">21044650</t>
  </si>
  <si>
    <t xml:space="preserve">21930410</t>
  </si>
  <si>
    <t xml:space="preserve">24723190</t>
  </si>
  <si>
    <t xml:space="preserve">24456060</t>
  </si>
  <si>
    <t xml:space="preserve">22241000</t>
  </si>
  <si>
    <t xml:space="preserve">20261030</t>
  </si>
  <si>
    <t xml:space="preserve">28013602</t>
  </si>
  <si>
    <t xml:space="preserve">28897036</t>
  </si>
  <si>
    <t xml:space="preserve">25953003</t>
  </si>
  <si>
    <t xml:space="preserve">20771580</t>
  </si>
  <si>
    <t xml:space="preserve">24451001</t>
  </si>
  <si>
    <t xml:space="preserve">22740050</t>
  </si>
  <si>
    <t xml:space="preserve">26293552</t>
  </si>
  <si>
    <t xml:space="preserve">27525260</t>
  </si>
  <si>
    <t xml:space="preserve">21380010</t>
  </si>
  <si>
    <t xml:space="preserve">28988804</t>
  </si>
  <si>
    <t xml:space="preserve">25954205</t>
  </si>
  <si>
    <t xml:space="preserve">25935426</t>
  </si>
  <si>
    <t xml:space="preserve">23059001</t>
  </si>
  <si>
    <t xml:space="preserve">24465000</t>
  </si>
  <si>
    <t xml:space="preserve">21060110</t>
  </si>
  <si>
    <t xml:space="preserve">22793261</t>
  </si>
  <si>
    <t xml:space="preserve">21620560</t>
  </si>
  <si>
    <t xml:space="preserve">21750210</t>
  </si>
  <si>
    <t xml:space="preserve">25250597</t>
  </si>
  <si>
    <t xml:space="preserve">24360380</t>
  </si>
  <si>
    <t xml:space="preserve">23092650</t>
  </si>
  <si>
    <t xml:space="preserve">23573340</t>
  </si>
  <si>
    <t xml:space="preserve">23954030</t>
  </si>
  <si>
    <t xml:space="preserve">25730050</t>
  </si>
  <si>
    <t xml:space="preserve">26087535</t>
  </si>
  <si>
    <t xml:space="preserve">27961086</t>
  </si>
  <si>
    <t xml:space="preserve">23885000</t>
  </si>
  <si>
    <t xml:space="preserve">20780370</t>
  </si>
  <si>
    <t xml:space="preserve">28625805</t>
  </si>
  <si>
    <t xml:space="preserve">24717241</t>
  </si>
  <si>
    <t xml:space="preserve">24120015</t>
  </si>
  <si>
    <t xml:space="preserve">27276367</t>
  </si>
  <si>
    <t xml:space="preserve">23015170</t>
  </si>
  <si>
    <t xml:space="preserve">21061340</t>
  </si>
  <si>
    <t xml:space="preserve">24425320</t>
  </si>
  <si>
    <t xml:space="preserve">23903500</t>
  </si>
  <si>
    <t xml:space="preserve">22260000</t>
  </si>
  <si>
    <t xml:space="preserve">25931422</t>
  </si>
  <si>
    <t xml:space="preserve">20520051</t>
  </si>
  <si>
    <t xml:space="preserve">23955210</t>
  </si>
  <si>
    <t xml:space="preserve">21061300</t>
  </si>
  <si>
    <t xml:space="preserve">28992678</t>
  </si>
  <si>
    <t xml:space="preserve">21510013</t>
  </si>
  <si>
    <t xml:space="preserve">23094205</t>
  </si>
  <si>
    <t xml:space="preserve">20560032</t>
  </si>
  <si>
    <t xml:space="preserve">22780500</t>
  </si>
  <si>
    <t xml:space="preserve">21341460</t>
  </si>
  <si>
    <t xml:space="preserve">21030040</t>
  </si>
  <si>
    <t xml:space="preserve">23587410</t>
  </si>
  <si>
    <t xml:space="preserve">24856152</t>
  </si>
  <si>
    <t xml:space="preserve">25804000</t>
  </si>
  <si>
    <t xml:space="preserve">20011030</t>
  </si>
  <si>
    <t xml:space="preserve">25922160</t>
  </si>
  <si>
    <t xml:space="preserve">23085260</t>
  </si>
  <si>
    <t xml:space="preserve">21725050</t>
  </si>
  <si>
    <t xml:space="preserve">21046385</t>
  </si>
  <si>
    <t xml:space="preserve">23017000</t>
  </si>
  <si>
    <t xml:space="preserve">21511000</t>
  </si>
  <si>
    <t xml:space="preserve">21540660</t>
  </si>
  <si>
    <t xml:space="preserve">20941150</t>
  </si>
  <si>
    <t xml:space="preserve">22743470</t>
  </si>
  <si>
    <t xml:space="preserve">22793060</t>
  </si>
  <si>
    <t xml:space="preserve">28020889</t>
  </si>
  <si>
    <t xml:space="preserve">25060210</t>
  </si>
  <si>
    <t xml:space="preserve">26313400</t>
  </si>
  <si>
    <t xml:space="preserve">22060030</t>
  </si>
  <si>
    <t xml:space="preserve">21235620</t>
  </si>
  <si>
    <t xml:space="preserve">26383493</t>
  </si>
  <si>
    <t xml:space="preserve">28909010</t>
  </si>
  <si>
    <t xml:space="preserve">27971221</t>
  </si>
  <si>
    <t xml:space="preserve">24457600</t>
  </si>
  <si>
    <t xml:space="preserve">27998000</t>
  </si>
  <si>
    <t xml:space="preserve">28686645</t>
  </si>
  <si>
    <t xml:space="preserve">24467610</t>
  </si>
  <si>
    <t xml:space="preserve">21555490</t>
  </si>
  <si>
    <t xml:space="preserve">24936380</t>
  </si>
  <si>
    <t xml:space="preserve">23955135</t>
  </si>
  <si>
    <t xml:space="preserve">21550160</t>
  </si>
  <si>
    <t xml:space="preserve">23040573</t>
  </si>
  <si>
    <t xml:space="preserve">23071642</t>
  </si>
  <si>
    <t xml:space="preserve">27130360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</si>
</sst>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+0%;\-0%"/>
    <numFmt numFmtId="166" formatCode="0.0%"/>
    <numFmt numFmtId="167" formatCode="0%"/>
    <numFmt numFmtId="168" formatCode="0"/>
    <numFmt numFmtId="169" formatCode="&quot;R$ &quot;#,##0.00;&quot;-R$ &quot;#,##0.00;\-"/>
    <numFmt numFmtId="170" formatCode="0.0"/>
    <numFmt numFmtId="171" formatCode="\+0.0%;\-0.0%"/>
    <numFmt numFmtId="172" formatCode="&quot;R$ &quot;#,##0.00"/>
    <numFmt numFmtId="173" formatCode="0.00%"/>
    <numFmt numFmtId="174" formatCode="\+0.0%;\-0.0%;0.0%"/>
    <numFmt numFmtId="175" formatCode="0.0%;\-0.0%;\-"/>
    <numFmt numFmtId="176" formatCode="\+0.0;\-0.0"/>
    <numFmt numFmtId="177" formatCode="00000000"/>
    <numFmt numFmtId="178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6"/>
      <color rgb="FFC00000"/>
      <name val="Arial"/>
      <family val="0"/>
      <charset val="1"/>
    </font>
    <font>
      <b val="true"/>
      <sz val="2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EB683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b val="1"/>
        <color rgb="FFC00000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003366"/>
      <rgbColor rgb="FF339966"/>
      <rgbColor rgb="FF003300"/>
      <rgbColor rgb="FF333300"/>
      <rgbColor rgb="FFC55A11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Preço final médio por faixa de peso (top 20 cidades)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'Faixa x Região'!C4</c:f>
              <c:strCache>
                <c:ptCount val="1"/>
                <c:pt idx="0">
                  <c:v>OUTRO PARCEIRO médio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 x Região'!$A$5:$A$14</c:f>
              <c:strCache>
                <c:ptCount val="10"/>
                <c:pt idx="0">
                  <c:v>0-20</c:v>
                </c:pt>
                <c:pt idx="1">
                  <c:v>20-35</c:v>
                </c:pt>
                <c:pt idx="2">
                  <c:v>35-40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80-100</c:v>
                </c:pt>
                <c:pt idx="8">
                  <c:v>100-120</c:v>
                </c:pt>
                <c:pt idx="9">
                  <c:v>120-150</c:v>
                </c:pt>
              </c:strCache>
            </c:strRef>
          </c:cat>
          <c:val>
            <c:numRef>
              <c:f>'Faixa x Região'!$C$5:$C$14</c:f>
              <c:numCache>
                <c:formatCode>"R$ "#,##0.00;"-R$ "#,##0.00;\-</c:formatCode>
                <c:ptCount val="10"/>
                <c:pt idx="0">
                  <c:v>69.1415323153409</c:v>
                </c:pt>
                <c:pt idx="1">
                  <c:v>90.0414434771145</c:v>
                </c:pt>
                <c:pt idx="2">
                  <c:v>104.753808338401</c:v>
                </c:pt>
                <c:pt idx="3">
                  <c:v>113.443192965723</c:v>
                </c:pt>
                <c:pt idx="4">
                  <c:v>123.836988630068</c:v>
                </c:pt>
                <c:pt idx="5">
                  <c:v>136.885410307018</c:v>
                </c:pt>
                <c:pt idx="6">
                  <c:v>148.670766287879</c:v>
                </c:pt>
                <c:pt idx="7">
                  <c:v>172.649376109937</c:v>
                </c:pt>
                <c:pt idx="8">
                  <c:v>194.292983413927</c:v>
                </c:pt>
                <c:pt idx="9">
                  <c:v>237.12482749066</c:v>
                </c:pt>
              </c:numCache>
            </c:numRef>
          </c:val>
        </c:ser>
        <c:ser>
          <c:idx val="1"/>
          <c:order val="1"/>
          <c:tx>
            <c:strRef>
              <c:f>'Faixa x Região'!D4</c:f>
              <c:strCache>
                <c:ptCount val="1"/>
                <c:pt idx="0">
                  <c:v>PROLOG médio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 x Região'!$A$5:$A$14</c:f>
              <c:strCache>
                <c:ptCount val="10"/>
                <c:pt idx="0">
                  <c:v>0-20</c:v>
                </c:pt>
                <c:pt idx="1">
                  <c:v>20-35</c:v>
                </c:pt>
                <c:pt idx="2">
                  <c:v>35-40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80-100</c:v>
                </c:pt>
                <c:pt idx="8">
                  <c:v>100-120</c:v>
                </c:pt>
                <c:pt idx="9">
                  <c:v>120-150</c:v>
                </c:pt>
              </c:strCache>
            </c:strRef>
          </c:cat>
          <c:val>
            <c:numRef>
              <c:f>'Faixa x Região'!$D$5:$D$14</c:f>
              <c:numCache>
                <c:formatCode>"R$ "#,##0.00;"-R$ "#,##0.00;\-</c:formatCode>
                <c:ptCount val="10"/>
                <c:pt idx="0">
                  <c:v>76.0752219460227</c:v>
                </c:pt>
                <c:pt idx="1">
                  <c:v>127.444546588273</c:v>
                </c:pt>
                <c:pt idx="2">
                  <c:v>146.773661257221</c:v>
                </c:pt>
                <c:pt idx="3">
                  <c:v>153.471457824143</c:v>
                </c:pt>
                <c:pt idx="4">
                  <c:v>176.449797972803</c:v>
                </c:pt>
                <c:pt idx="5">
                  <c:v>206.197406598884</c:v>
                </c:pt>
                <c:pt idx="6">
                  <c:v>211.160869318182</c:v>
                </c:pt>
                <c:pt idx="7">
                  <c:v>262.075588794926</c:v>
                </c:pt>
                <c:pt idx="8">
                  <c:v>316.242328578337</c:v>
                </c:pt>
                <c:pt idx="9">
                  <c:v>369.59085258406</c:v>
                </c:pt>
              </c:numCache>
            </c:numRef>
          </c:val>
        </c:ser>
        <c:gapWidth val="150"/>
        <c:overlap val="0"/>
        <c:axId val="33796477"/>
        <c:axId val="66387164"/>
      </c:barChart>
      <c:catAx>
        <c:axId val="33796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87164"/>
        <c:crosses val="autoZero"/>
        <c:auto val="1"/>
        <c:lblAlgn val="ctr"/>
        <c:lblOffset val="100"/>
        <c:noMultiLvlLbl val="0"/>
      </c:catAx>
      <c:valAx>
        <c:axId val="66387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 por pedido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964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PROLOG vs OUTRO PARCEIRO — top 20 cidades (preço final)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20 Cidades'!J3</c:f>
              <c:strCache>
                <c:ptCount val="1"/>
                <c:pt idx="0">
                  <c:v>PROLOG vs OUTRO PARCEIRO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20 Cidades'!$B$4:$B$23</c:f>
              <c:strCache>
                <c:ptCount val="20"/>
                <c:pt idx="0">
                  <c:v>Rio de Janeiro</c:v>
                </c:pt>
                <c:pt idx="1">
                  <c:v>São Gonçalo</c:v>
                </c:pt>
                <c:pt idx="2">
                  <c:v>Duque de Caxias</c:v>
                </c:pt>
                <c:pt idx="3">
                  <c:v>Nova Iguaçu</c:v>
                </c:pt>
                <c:pt idx="4">
                  <c:v>Niterói</c:v>
                </c:pt>
                <c:pt idx="5">
                  <c:v>Campos dos Goytacazes</c:v>
                </c:pt>
                <c:pt idx="6">
                  <c:v>Belford Roxo</c:v>
                </c:pt>
                <c:pt idx="7">
                  <c:v>Macaé</c:v>
                </c:pt>
                <c:pt idx="8">
                  <c:v>São João de Meriti</c:v>
                </c:pt>
                <c:pt idx="9">
                  <c:v>Volta Redonda</c:v>
                </c:pt>
                <c:pt idx="10">
                  <c:v>Angra dos Reis</c:v>
                </c:pt>
                <c:pt idx="11">
                  <c:v>Petrópolis</c:v>
                </c:pt>
                <c:pt idx="12">
                  <c:v>Maricá</c:v>
                </c:pt>
                <c:pt idx="13">
                  <c:v>Cabo Frio</c:v>
                </c:pt>
                <c:pt idx="14">
                  <c:v>Araruama</c:v>
                </c:pt>
                <c:pt idx="15">
                  <c:v>Itaboraí</c:v>
                </c:pt>
                <c:pt idx="16">
                  <c:v>Mesquita</c:v>
                </c:pt>
                <c:pt idx="17">
                  <c:v>Magé</c:v>
                </c:pt>
                <c:pt idx="18">
                  <c:v>Nova Friburgo</c:v>
                </c:pt>
                <c:pt idx="19">
                  <c:v>Rio das Ostras</c:v>
                </c:pt>
              </c:strCache>
            </c:strRef>
          </c:cat>
          <c:val>
            <c:numRef>
              <c:f>'Top 20 Cidades'!$J$4:$J$23</c:f>
              <c:numCache>
                <c:formatCode>\+0.0%;\-0.0%;0.0%</c:formatCode>
                <c:ptCount val="20"/>
                <c:pt idx="0">
                  <c:v>0.46828261108532</c:v>
                </c:pt>
                <c:pt idx="1">
                  <c:v>0.445737877442059</c:v>
                </c:pt>
                <c:pt idx="2">
                  <c:v>0.30311399478853</c:v>
                </c:pt>
                <c:pt idx="3">
                  <c:v>0.317225811540898</c:v>
                </c:pt>
                <c:pt idx="4">
                  <c:v>0.440053665337187</c:v>
                </c:pt>
                <c:pt idx="5">
                  <c:v>0.596112382776461</c:v>
                </c:pt>
                <c:pt idx="6">
                  <c:v>0.299847163153508</c:v>
                </c:pt>
                <c:pt idx="7">
                  <c:v>0.609815832601901</c:v>
                </c:pt>
                <c:pt idx="8">
                  <c:v>0.316946613237464</c:v>
                </c:pt>
                <c:pt idx="9">
                  <c:v>0.426666833948194</c:v>
                </c:pt>
                <c:pt idx="10">
                  <c:v>0.390152182087217</c:v>
                </c:pt>
                <c:pt idx="11">
                  <c:v>0.444662739356384</c:v>
                </c:pt>
                <c:pt idx="12">
                  <c:v>0.338209906379515</c:v>
                </c:pt>
                <c:pt idx="13">
                  <c:v>0.423544400353147</c:v>
                </c:pt>
                <c:pt idx="14">
                  <c:v>0.436482884119298</c:v>
                </c:pt>
                <c:pt idx="15">
                  <c:v>0.316078276516563</c:v>
                </c:pt>
                <c:pt idx="16">
                  <c:v>0.287547282608811</c:v>
                </c:pt>
                <c:pt idx="17">
                  <c:v>0.306438667388993</c:v>
                </c:pt>
                <c:pt idx="18">
                  <c:v>0.476318281312464</c:v>
                </c:pt>
                <c:pt idx="19">
                  <c:v>0.435524220803001</c:v>
                </c:pt>
              </c:numCache>
            </c:numRef>
          </c:val>
        </c:ser>
        <c:gapWidth val="150"/>
        <c:overlap val="0"/>
        <c:axId val="85021208"/>
        <c:axId val="57918975"/>
      </c:barChart>
      <c:catAx>
        <c:axId val="850212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18975"/>
        <c:crosses val="autoZero"/>
        <c:auto val="1"/>
        <c:lblAlgn val="ctr"/>
        <c:lblOffset val="100"/>
        <c:noMultiLvlLbl val="0"/>
      </c:catAx>
      <c:valAx>
        <c:axId val="57918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21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62</xdr:row>
      <xdr:rowOff>9720</xdr:rowOff>
    </xdr:from>
    <xdr:to>
      <xdr:col>6</xdr:col>
      <xdr:colOff>57960</xdr:colOff>
      <xdr:row>77</xdr:row>
      <xdr:rowOff>31680</xdr:rowOff>
    </xdr:to>
    <xdr:graphicFrame>
      <xdr:nvGraphicFramePr>
        <xdr:cNvPr id="0" name="Chart 1"/>
        <xdr:cNvGraphicFramePr/>
      </xdr:nvGraphicFramePr>
      <xdr:xfrm>
        <a:off x="141120" y="14287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62</xdr:row>
      <xdr:rowOff>9720</xdr:rowOff>
    </xdr:from>
    <xdr:to>
      <xdr:col>13</xdr:col>
      <xdr:colOff>817920</xdr:colOff>
      <xdr:row>88</xdr:row>
      <xdr:rowOff>96480</xdr:rowOff>
    </xdr:to>
    <xdr:graphicFrame>
      <xdr:nvGraphicFramePr>
        <xdr:cNvPr id="1" name="Chart 2"/>
        <xdr:cNvGraphicFramePr/>
      </xdr:nvGraphicFramePr>
      <xdr:xfrm>
        <a:off x="8035200" y="14287680"/>
        <a:ext cx="53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3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/>
      <c r="D4" s="3"/>
      <c r="E4" s="3" t="s">
        <v>3</v>
      </c>
      <c r="F4" s="3"/>
      <c r="G4" s="3"/>
      <c r="H4" s="3" t="s">
        <v>4</v>
      </c>
      <c r="I4" s="3"/>
      <c r="J4" s="3"/>
      <c r="K4" s="3" t="s">
        <v>5</v>
      </c>
      <c r="L4" s="3"/>
      <c r="M4" s="3"/>
    </row>
    <row r="5" customFormat="false" ht="15" hidden="false" customHeight="false" outlineLevel="0" collapsed="false">
      <c r="B5" s="4" t="n">
        <f aca="false">SUM(Pedidos!$AB$2:$AB$2224)/SUM(Pedidos!$S$2:$S$2224)-1</f>
        <v>0.434772896691147</v>
      </c>
      <c r="C5" s="4"/>
      <c r="D5" s="4"/>
      <c r="E5" s="5" t="n">
        <f aca="false">COUNTIF(Pedidos!$AE$2:$AE$2224,"SIM")/COUNTA(Pedidos!$D$2:$D$2224)</f>
        <v>0.00675067506750675</v>
      </c>
      <c r="F5" s="5"/>
      <c r="G5" s="5"/>
      <c r="H5" s="4" t="n">
        <f aca="false">SUM(Pedidos!$T$2:$T$2224)/SUM(Pedidos!$I$2:$I$2224)-1</f>
        <v>0.79476785166249</v>
      </c>
      <c r="I5" s="4"/>
      <c r="J5" s="4"/>
      <c r="K5" s="6" t="n">
        <f aca="false">1-(SUM(Pedidos!$R$2:$R$2224)-(SUM(Pedidos!$AA$2:$AA$2224)-SUM(Pedidos!$T$2:$T$2224)))/SUM(Pedidos!$T$2:$T$2224)</f>
        <v>0.387497396856655</v>
      </c>
      <c r="L5" s="6"/>
      <c r="M5" s="6"/>
    </row>
    <row r="6" customFormat="false" ht="15" hidden="false" customHeight="false" outlineLevel="0" collapsed="false">
      <c r="B6" s="4"/>
      <c r="C6" s="4"/>
      <c r="D6" s="4"/>
      <c r="E6" s="5"/>
      <c r="F6" s="5"/>
      <c r="G6" s="5"/>
      <c r="H6" s="4"/>
      <c r="I6" s="4"/>
      <c r="J6" s="4"/>
      <c r="K6" s="6"/>
      <c r="L6" s="6"/>
      <c r="M6" s="6"/>
    </row>
    <row r="7" customFormat="false" ht="15" hidden="false" customHeight="false" outlineLevel="0" collapsed="false">
      <c r="B7" s="7" t="s">
        <v>6</v>
      </c>
      <c r="C7" s="7"/>
      <c r="D7" s="7"/>
      <c r="E7" s="7" t="s">
        <v>7</v>
      </c>
      <c r="F7" s="7"/>
      <c r="G7" s="7"/>
      <c r="H7" s="7" t="s">
        <v>8</v>
      </c>
      <c r="I7" s="7"/>
      <c r="J7" s="7"/>
      <c r="K7" s="7" t="s">
        <v>9</v>
      </c>
      <c r="L7" s="7"/>
      <c r="M7" s="7"/>
    </row>
    <row r="9" customFormat="false" ht="15" hidden="false" customHeight="false" outlineLevel="0" collapsed="false">
      <c r="B9" s="8" t="s">
        <v>10</v>
      </c>
    </row>
    <row r="10" customFormat="false" ht="45" hidden="false" customHeight="true" outlineLevel="0" collapsed="false">
      <c r="B10" s="9" t="s">
        <v>11</v>
      </c>
      <c r="C10" s="9" t="s">
        <v>12</v>
      </c>
      <c r="D10" s="9" t="s">
        <v>13</v>
      </c>
      <c r="E10" s="9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9" t="s">
        <v>19</v>
      </c>
      <c r="K10" s="9" t="s">
        <v>20</v>
      </c>
      <c r="L10" s="9" t="s">
        <v>21</v>
      </c>
    </row>
    <row r="11" customFormat="false" ht="15" hidden="false" customHeight="false" outlineLevel="0" collapsed="false">
      <c r="B11" s="10" t="s">
        <v>22</v>
      </c>
      <c r="C11" s="11" t="n">
        <f aca="false">COUNTIFS(Pedidos!$E$2:$E$2224,"Capital")</f>
        <v>1030</v>
      </c>
      <c r="D11" s="12" t="n">
        <f aca="false">C11/COUNTA(Pedidos!$D$2:$D$2224)</f>
        <v>0.463546354635464</v>
      </c>
      <c r="E11" s="13" t="n">
        <f aca="false">AVERAGEIFS(Pedidos!$AB$2:$AB$2224,Pedidos!$E$2:$E$2224,"Capital")</f>
        <v>156.292987577229</v>
      </c>
      <c r="F11" s="13" t="n">
        <f aca="false">AVERAGEIFS(Pedidos!$S$2:$S$2224,Pedidos!$E$2:$E$2224,"Capital")</f>
        <v>106.446120383936</v>
      </c>
      <c r="G11" s="14" t="n">
        <f aca="false">E11/F11-1</f>
        <v>0.46828261108532</v>
      </c>
      <c r="H11" s="14" t="n">
        <f aca="false">SUMIFS(Pedidos!$T$2:$T$2224,Pedidos!$E$2:$E$2224,"Capital")/SUMIFS(Pedidos!$I$2:$I$2224,Pedidos!$E$2:$E$2224,"Capital")-1</f>
        <v>0.92329099607185</v>
      </c>
      <c r="I11" s="12" t="n">
        <f aca="false">1-(SUMIFS(Pedidos!$R$2:$R$2224,Pedidos!$E$2:$E$2224,"Capital")-(SUMIFS(Pedidos!$AA$2:$AA$2224,Pedidos!$E$2:$E$2224,"Capital")-SUMIFS(Pedidos!$T$2:$T$2224,Pedidos!$E$2:$E$2224,"Capital")))/SUMIFS(Pedidos!$T$2:$T$2224,Pedidos!$E$2:$E$2224,"Capital")</f>
        <v>0.416062806170532</v>
      </c>
      <c r="J11" s="15" t="n">
        <f aca="false">AVERAGEIFS(Pedidos!$AG$2:$AG$2224,Pedidos!$E$2:$E$2224,"Capital")</f>
        <v>5</v>
      </c>
      <c r="K11" s="15" t="n">
        <f aca="false">AVERAGEIFS(Pedidos!$AF$2:$AF$2224,Pedidos!$E$2:$E$2224,"Capital")</f>
        <v>2</v>
      </c>
      <c r="L11" s="10" t="str">
        <f aca="false">IF(G11&lt;=0,"COMPETITIVO",IF(G11&lt;=0.25,"AJUSTE MODERADO","AJUSTE FORTE"))</f>
        <v>AJUSTE FORTE</v>
      </c>
    </row>
    <row r="12" customFormat="false" ht="15" hidden="false" customHeight="false" outlineLevel="0" collapsed="false">
      <c r="B12" s="10" t="s">
        <v>23</v>
      </c>
      <c r="C12" s="11" t="n">
        <f aca="false">COUNTIFS(Pedidos!$E$2:$E$2224,"Metropolitana")</f>
        <v>542</v>
      </c>
      <c r="D12" s="12" t="n">
        <f aca="false">C12/COUNTA(Pedidos!$D$2:$D$2224)</f>
        <v>0.243924392439244</v>
      </c>
      <c r="E12" s="13" t="n">
        <f aca="false">AVERAGEIFS(Pedidos!$AB$2:$AB$2224,Pedidos!$E$2:$E$2224,"Metropolitana")</f>
        <v>172.71586900369</v>
      </c>
      <c r="F12" s="13" t="n">
        <f aca="false">AVERAGEIFS(Pedidos!$S$2:$S$2224,Pedidos!$E$2:$E$2224,"Metropolitana")</f>
        <v>127.260699496813</v>
      </c>
      <c r="G12" s="14" t="n">
        <f aca="false">E12/F12-1</f>
        <v>0.357181515476545</v>
      </c>
      <c r="H12" s="14" t="n">
        <f aca="false">SUMIFS(Pedidos!$T$2:$T$2224,Pedidos!$E$2:$E$2224,"Metropolitana")/SUMIFS(Pedidos!$I$2:$I$2224,Pedidos!$E$2:$E$2224,"Metropolitana")-1</f>
        <v>0.655762153383271</v>
      </c>
      <c r="I12" s="12" t="n">
        <f aca="false">1-(SUMIFS(Pedidos!$R$2:$R$2224,Pedidos!$E$2:$E$2224,"Metropolitana")-(SUMIFS(Pedidos!$AA$2:$AA$2224,Pedidos!$E$2:$E$2224,"Metropolitana")-SUMIFS(Pedidos!$T$2:$T$2224,Pedidos!$E$2:$E$2224,"Metropolitana")))/SUMIFS(Pedidos!$T$2:$T$2224,Pedidos!$E$2:$E$2224,"Metropolitana")</f>
        <v>0.340795697481951</v>
      </c>
      <c r="J12" s="15" t="n">
        <f aca="false">AVERAGEIFS(Pedidos!$AG$2:$AG$2224,Pedidos!$E$2:$E$2224,"Metropolitana")</f>
        <v>5.74907749077491</v>
      </c>
      <c r="K12" s="15" t="n">
        <f aca="false">AVERAGEIFS(Pedidos!$AF$2:$AF$2224,Pedidos!$E$2:$E$2224,"Metropolitana")</f>
        <v>2</v>
      </c>
      <c r="L12" s="10" t="str">
        <f aca="false">IF(G12&lt;=0,"COMPETITIVO",IF(G12&lt;=0.25,"AJUSTE MODERADO","AJUSTE FORTE"))</f>
        <v>AJUSTE FORTE</v>
      </c>
    </row>
    <row r="13" customFormat="false" ht="15" hidden="false" customHeight="false" outlineLevel="0" collapsed="false">
      <c r="B13" s="10" t="s">
        <v>24</v>
      </c>
      <c r="C13" s="11" t="n">
        <f aca="false">COUNTIFS(Pedidos!$E$2:$E$2224,"Interior")</f>
        <v>651</v>
      </c>
      <c r="D13" s="12" t="n">
        <f aca="false">C13/COUNTA(Pedidos!$D$2:$D$2224)</f>
        <v>0.292979297929793</v>
      </c>
      <c r="E13" s="13" t="n">
        <f aca="false">AVERAGEIFS(Pedidos!$AB$2:$AB$2224,Pedidos!$E$2:$E$2224,"Interior")</f>
        <v>202.866148809524</v>
      </c>
      <c r="F13" s="13" t="n">
        <f aca="false">AVERAGEIFS(Pedidos!$S$2:$S$2224,Pedidos!$E$2:$E$2224,"Interior")</f>
        <v>139.596119714425</v>
      </c>
      <c r="G13" s="14" t="n">
        <f aca="false">E13/F13-1</f>
        <v>0.453236302158908</v>
      </c>
      <c r="H13" s="14" t="n">
        <f aca="false">SUMIFS(Pedidos!$T$2:$T$2224,Pedidos!$E$2:$E$2224,"Interior")/SUMIFS(Pedidos!$I$2:$I$2224,Pedidos!$E$2:$E$2224,"Interior")-1</f>
        <v>0.75887281700757</v>
      </c>
      <c r="I13" s="12" t="n">
        <f aca="false">1-(SUMIFS(Pedidos!$R$2:$R$2224,Pedidos!$E$2:$E$2224,"Interior")-(SUMIFS(Pedidos!$AA$2:$AA$2224,Pedidos!$E$2:$E$2224,"Interior")-SUMIFS(Pedidos!$T$2:$T$2224,Pedidos!$E$2:$E$2224,"Interior")))/SUMIFS(Pedidos!$T$2:$T$2224,Pedidos!$E$2:$E$2224,"Interior")</f>
        <v>0.386102227637344</v>
      </c>
      <c r="J13" s="15" t="n">
        <f aca="false">AVERAGEIFS(Pedidos!$AG$2:$AG$2224,Pedidos!$E$2:$E$2224,"Interior")</f>
        <v>9.38556067588326</v>
      </c>
      <c r="K13" s="15" t="n">
        <f aca="false">AVERAGEIFS(Pedidos!$AF$2:$AF$2224,Pedidos!$E$2:$E$2224,"Interior")</f>
        <v>13</v>
      </c>
      <c r="L13" s="10" t="str">
        <f aca="false">IF(G13&lt;=0,"COMPETITIVO",IF(G13&lt;=0.25,"AJUSTE MODERADO","AJUSTE FORTE"))</f>
        <v>AJUSTE FORTE</v>
      </c>
    </row>
    <row r="14" customFormat="false" ht="15" hidden="false" customHeight="false" outlineLevel="0" collapsed="false">
      <c r="B14" s="16" t="s">
        <v>25</v>
      </c>
      <c r="C14" s="17" t="n">
        <f aca="false">COUNTIFS(Pedidos!$E$2:$E$2224,"&lt;&gt;")</f>
        <v>2223</v>
      </c>
      <c r="D14" s="18" t="n">
        <f aca="false">C14/COUNTA(Pedidos!$D$2:$D$2224)</f>
        <v>1.0004500450045</v>
      </c>
      <c r="E14" s="19" t="n">
        <f aca="false">AVERAGEIFS(Pedidos!$AB$2:$AB$2224,Pedidos!$E$2:$E$2224,"&lt;&gt;")</f>
        <v>173.935960899481</v>
      </c>
      <c r="F14" s="19" t="n">
        <f aca="false">AVERAGEIFS(Pedidos!$S$2:$S$2224,Pedidos!$E$2:$E$2224,"&lt;&gt;")</f>
        <v>121.228914555474</v>
      </c>
      <c r="G14" s="20" t="n">
        <f aca="false">E14/F14-1</f>
        <v>0.434772896691147</v>
      </c>
      <c r="H14" s="20" t="n">
        <f aca="false">SUMIFS(Pedidos!$T$2:$T$2224,Pedidos!$E$2:$E$2224,"&lt;&gt;")/SUMIFS(Pedidos!$I$2:$I$2224,Pedidos!$E$2:$E$2224,"&lt;&gt;")-1</f>
        <v>0.79476785166249</v>
      </c>
      <c r="I14" s="18" t="n">
        <f aca="false">1-(SUMIFS(Pedidos!$R$2:$R$2224,Pedidos!$E$2:$E$2224,"&lt;&gt;")-(SUMIFS(Pedidos!$AA$2:$AA$2224,Pedidos!$E$2:$E$2224,"&lt;&gt;")-SUMIFS(Pedidos!$T$2:$T$2224,Pedidos!$E$2:$E$2224,"&lt;&gt;")))/SUMIFS(Pedidos!$T$2:$T$2224,Pedidos!$E$2:$E$2224,"&lt;&gt;")</f>
        <v>0.387497396856655</v>
      </c>
      <c r="J14" s="21" t="n">
        <f aca="false">AVERAGEIFS(Pedidos!$AG$2:$AG$2224,Pedidos!$E$2:$E$2224,"&lt;&gt;")</f>
        <v>6.46693657219973</v>
      </c>
      <c r="K14" s="21" t="n">
        <f aca="false">AVERAGEIFS(Pedidos!$AF$2:$AF$2224,Pedidos!$E$2:$E$2224,"&lt;&gt;")</f>
        <v>5.22132253711201</v>
      </c>
      <c r="L14" s="16" t="str">
        <f aca="false">IF(G14&lt;=0,"COMPETITIVO",IF(G14&lt;=0.25,"AJUSTE MODERADO","AJUSTE FORTE"))</f>
        <v>AJUSTE FORTE</v>
      </c>
    </row>
    <row r="15" customFormat="false" ht="15" hidden="false" customHeight="false" outlineLevel="0" collapsed="false">
      <c r="B15" s="2" t="s">
        <v>26</v>
      </c>
    </row>
    <row r="17" customFormat="false" ht="15" hidden="false" customHeight="false" outlineLevel="0" collapsed="false">
      <c r="B17" s="8" t="s">
        <v>27</v>
      </c>
      <c r="H17" s="2" t="s">
        <v>28</v>
      </c>
    </row>
    <row r="18" customFormat="false" ht="30" hidden="false" customHeight="true" outlineLevel="0" collapsed="false">
      <c r="B18" s="9" t="s">
        <v>11</v>
      </c>
      <c r="C18" s="9" t="s">
        <v>29</v>
      </c>
      <c r="D18" s="9" t="s">
        <v>30</v>
      </c>
      <c r="E18" s="9" t="s">
        <v>31</v>
      </c>
      <c r="F18" s="9" t="s">
        <v>32</v>
      </c>
      <c r="G18" s="9" t="s">
        <v>33</v>
      </c>
      <c r="H18" s="9" t="s">
        <v>34</v>
      </c>
      <c r="I18" s="9" t="s">
        <v>35</v>
      </c>
      <c r="J18" s="9" t="s">
        <v>36</v>
      </c>
      <c r="K18" s="9" t="s">
        <v>37</v>
      </c>
      <c r="L18" s="9" t="s">
        <v>38</v>
      </c>
      <c r="M18" s="9" t="s">
        <v>39</v>
      </c>
    </row>
    <row r="19" customFormat="false" ht="15" hidden="false" customHeight="false" outlineLevel="0" collapsed="false">
      <c r="B19" s="10" t="s">
        <v>22</v>
      </c>
      <c r="C19" s="14" t="n">
        <f aca="false">IFERROR(SUMIFS(Pedidos!$AB$2:$AB$2224,Pedidos!$E$2:$E$2224,"Capital",Pedidos!$F$2:$F$2224,"0-20")/SUMIFS(Pedidos!$S$2:$S$2224,Pedidos!$E$2:$E$2224,"Capital",Pedidos!$F$2:$F$2224,"0-20")-1,"")</f>
        <v>0.0902124746259259</v>
      </c>
      <c r="D19" s="14" t="n">
        <f aca="false">IFERROR(SUMIFS(Pedidos!$AB$2:$AB$2224,Pedidos!$E$2:$E$2224,"Capital",Pedidos!$F$2:$F$2224,"20-35")/SUMIFS(Pedidos!$S$2:$S$2224,Pedidos!$E$2:$E$2224,"Capital",Pedidos!$F$2:$F$2224,"20-35")-1,"")</f>
        <v>0.452176467755808</v>
      </c>
      <c r="E19" s="14" t="n">
        <f aca="false">IFERROR(SUMIFS(Pedidos!$AB$2:$AB$2224,Pedidos!$E$2:$E$2224,"Capital",Pedidos!$F$2:$F$2224,"35-40")/SUMIFS(Pedidos!$S$2:$S$2224,Pedidos!$E$2:$E$2224,"Capital",Pedidos!$F$2:$F$2224,"35-40")-1,"")</f>
        <v>0.466550291576904</v>
      </c>
      <c r="F19" s="14" t="n">
        <f aca="false">IFERROR(SUMIFS(Pedidos!$AB$2:$AB$2224,Pedidos!$E$2:$E$2224,"Capital",Pedidos!$F$2:$F$2224,"40-50")/SUMIFS(Pedidos!$S$2:$S$2224,Pedidos!$E$2:$E$2224,"Capital",Pedidos!$F$2:$F$2224,"40-50")-1,"")</f>
        <v>0.365023878723921</v>
      </c>
      <c r="G19" s="14" t="n">
        <f aca="false">IFERROR(SUMIFS(Pedidos!$AB$2:$AB$2224,Pedidos!$E$2:$E$2224,"Capital",Pedidos!$F$2:$F$2224,"50-60")/SUMIFS(Pedidos!$S$2:$S$2224,Pedidos!$E$2:$E$2224,"Capital",Pedidos!$F$2:$F$2224,"50-60")-1,"")</f>
        <v>0.468206340335371</v>
      </c>
      <c r="H19" s="14" t="n">
        <f aca="false">IFERROR(SUMIFS(Pedidos!$AB$2:$AB$2224,Pedidos!$E$2:$E$2224,"Capital",Pedidos!$F$2:$F$2224,"60-70")/SUMIFS(Pedidos!$S$2:$S$2224,Pedidos!$E$2:$E$2224,"Capital",Pedidos!$F$2:$F$2224,"60-70")-1,"")</f>
        <v>0.556908988794333</v>
      </c>
      <c r="I19" s="14" t="n">
        <f aca="false">IFERROR(SUMIFS(Pedidos!$AB$2:$AB$2224,Pedidos!$E$2:$E$2224,"Capital",Pedidos!$F$2:$F$2224,"70-80")/SUMIFS(Pedidos!$S$2:$S$2224,Pedidos!$E$2:$E$2224,"Capital",Pedidos!$F$2:$F$2224,"70-80")-1,"")</f>
        <v>0.487401841370306</v>
      </c>
      <c r="J19" s="14" t="n">
        <f aca="false">IFERROR(SUMIFS(Pedidos!$AB$2:$AB$2224,Pedidos!$E$2:$E$2224,"Capital",Pedidos!$F$2:$F$2224,"80-100")/SUMIFS(Pedidos!$S$2:$S$2224,Pedidos!$E$2:$E$2224,"Capital",Pedidos!$F$2:$F$2224,"80-100")-1,"")</f>
        <v>0.556526542143775</v>
      </c>
      <c r="K19" s="14" t="n">
        <f aca="false">IFERROR(SUMIFS(Pedidos!$AB$2:$AB$2224,Pedidos!$E$2:$E$2224,"Capital",Pedidos!$F$2:$F$2224,"100-120")/SUMIFS(Pedidos!$S$2:$S$2224,Pedidos!$E$2:$E$2224,"Capital",Pedidos!$F$2:$F$2224,"100-120")-1,"")</f>
        <v>0.666293688677209</v>
      </c>
      <c r="L19" s="14" t="n">
        <f aca="false">IFERROR(SUMIFS(Pedidos!$AB$2:$AB$2224,Pedidos!$E$2:$E$2224,"Capital",Pedidos!$F$2:$F$2224,"120-150")/SUMIFS(Pedidos!$S$2:$S$2224,Pedidos!$E$2:$E$2224,"Capital",Pedidos!$F$2:$F$2224,"120-150")-1,"")</f>
        <v>0.590800355235599</v>
      </c>
      <c r="M19" s="14" t="n">
        <f aca="false">IFERROR(SUMIFS(Pedidos!$AB$2:$AB$2224,Pedidos!$E$2:$E$2224,"Capital")/SUMIFS(Pedidos!$S$2:$S$2224,Pedidos!$E$2:$E$2224,"Capital")-1,"")</f>
        <v>0.468282611085321</v>
      </c>
    </row>
    <row r="20" customFormat="false" ht="15" hidden="false" customHeight="false" outlineLevel="0" collapsed="false">
      <c r="B20" s="10" t="s">
        <v>23</v>
      </c>
      <c r="C20" s="14" t="n">
        <f aca="false">IFERROR(SUMIFS(Pedidos!$AB$2:$AB$2224,Pedidos!$E$2:$E$2224,"Metropolitana",Pedidos!$F$2:$F$2224,"0-20")/SUMIFS(Pedidos!$S$2:$S$2224,Pedidos!$E$2:$E$2224,"Metropolitana",Pedidos!$F$2:$F$2224,"0-20")-1,"")</f>
        <v>0.00111164641983996</v>
      </c>
      <c r="D20" s="14" t="n">
        <f aca="false">IFERROR(SUMIFS(Pedidos!$AB$2:$AB$2224,Pedidos!$E$2:$E$2224,"Metropolitana",Pedidos!$F$2:$F$2224,"20-35")/SUMIFS(Pedidos!$S$2:$S$2224,Pedidos!$E$2:$E$2224,"Metropolitana",Pedidos!$F$2:$F$2224,"20-35")-1,"")</f>
        <v>0.269354799300335</v>
      </c>
      <c r="E20" s="14" t="n">
        <f aca="false">IFERROR(SUMIFS(Pedidos!$AB$2:$AB$2224,Pedidos!$E$2:$E$2224,"Metropolitana",Pedidos!$F$2:$F$2224,"35-40")/SUMIFS(Pedidos!$S$2:$S$2224,Pedidos!$E$2:$E$2224,"Metropolitana",Pedidos!$F$2:$F$2224,"35-40")-1,"")</f>
        <v>0.273062307333226</v>
      </c>
      <c r="F20" s="14" t="n">
        <f aca="false">IFERROR(SUMIFS(Pedidos!$AB$2:$AB$2224,Pedidos!$E$2:$E$2224,"Metropolitana",Pedidos!$F$2:$F$2224,"40-50")/SUMIFS(Pedidos!$S$2:$S$2224,Pedidos!$E$2:$E$2224,"Metropolitana",Pedidos!$F$2:$F$2224,"40-50")-1,"")</f>
        <v>0.288700041166591</v>
      </c>
      <c r="G20" s="14" t="n">
        <f aca="false">IFERROR(SUMIFS(Pedidos!$AB$2:$AB$2224,Pedidos!$E$2:$E$2224,"Metropolitana",Pedidos!$F$2:$F$2224,"50-60")/SUMIFS(Pedidos!$S$2:$S$2224,Pedidos!$E$2:$E$2224,"Metropolitana",Pedidos!$F$2:$F$2224,"50-60")-1,"")</f>
        <v>0.358167943338266</v>
      </c>
      <c r="H20" s="14" t="n">
        <f aca="false">IFERROR(SUMIFS(Pedidos!$AB$2:$AB$2224,Pedidos!$E$2:$E$2224,"Metropolitana",Pedidos!$F$2:$F$2224,"60-70")/SUMIFS(Pedidos!$S$2:$S$2224,Pedidos!$E$2:$E$2224,"Metropolitana",Pedidos!$F$2:$F$2224,"60-70")-1,"")</f>
        <v>0.442905578527559</v>
      </c>
      <c r="I20" s="14" t="n">
        <f aca="false">IFERROR(SUMIFS(Pedidos!$AB$2:$AB$2224,Pedidos!$E$2:$E$2224,"Metropolitana",Pedidos!$F$2:$F$2224,"70-80")/SUMIFS(Pedidos!$S$2:$S$2224,Pedidos!$E$2:$E$2224,"Metropolitana",Pedidos!$F$2:$F$2224,"70-80")-1,"")</f>
        <v>0.364204304416438</v>
      </c>
      <c r="J20" s="14" t="n">
        <f aca="false">IFERROR(SUMIFS(Pedidos!$AB$2:$AB$2224,Pedidos!$E$2:$E$2224,"Metropolitana",Pedidos!$F$2:$F$2224,"80-100")/SUMIFS(Pedidos!$S$2:$S$2224,Pedidos!$E$2:$E$2224,"Metropolitana",Pedidos!$F$2:$F$2224,"80-100")-1,"")</f>
        <v>0.491422150548752</v>
      </c>
      <c r="K20" s="14" t="n">
        <f aca="false">IFERROR(SUMIFS(Pedidos!$AB$2:$AB$2224,Pedidos!$E$2:$E$2224,"Metropolitana",Pedidos!$F$2:$F$2224,"100-120")/SUMIFS(Pedidos!$S$2:$S$2224,Pedidos!$E$2:$E$2224,"Metropolitana",Pedidos!$F$2:$F$2224,"100-120")-1,"")</f>
        <v>0.597935067077802</v>
      </c>
      <c r="L20" s="14" t="n">
        <f aca="false">IFERROR(SUMIFS(Pedidos!$AB$2:$AB$2224,Pedidos!$E$2:$E$2224,"Metropolitana",Pedidos!$F$2:$F$2224,"120-150")/SUMIFS(Pedidos!$S$2:$S$2224,Pedidos!$E$2:$E$2224,"Metropolitana",Pedidos!$F$2:$F$2224,"120-150")-1,"")</f>
        <v>0.533475382810408</v>
      </c>
      <c r="M20" s="14" t="n">
        <f aca="false">IFERROR(SUMIFS(Pedidos!$AB$2:$AB$2224,Pedidos!$E$2:$E$2224,"Metropolitana")/SUMIFS(Pedidos!$S$2:$S$2224,Pedidos!$E$2:$E$2224,"Metropolitana")-1,"")</f>
        <v>0.357181515476545</v>
      </c>
    </row>
    <row r="21" customFormat="false" ht="15" hidden="false" customHeight="false" outlineLevel="0" collapsed="false">
      <c r="B21" s="10" t="s">
        <v>24</v>
      </c>
      <c r="C21" s="14" t="n">
        <f aca="false">IFERROR(SUMIFS(Pedidos!$AB$2:$AB$2224,Pedidos!$E$2:$E$2224,"Interior",Pedidos!$F$2:$F$2224,"0-20")/SUMIFS(Pedidos!$S$2:$S$2224,Pedidos!$E$2:$E$2224,"Interior",Pedidos!$F$2:$F$2224,"0-20")-1,"")</f>
        <v>0.530036136394187</v>
      </c>
      <c r="D21" s="14" t="n">
        <f aca="false">IFERROR(SUMIFS(Pedidos!$AB$2:$AB$2224,Pedidos!$E$2:$E$2224,"Interior",Pedidos!$F$2:$F$2224,"20-35")/SUMIFS(Pedidos!$S$2:$S$2224,Pedidos!$E$2:$E$2224,"Interior",Pedidos!$F$2:$F$2224,"20-35")-1,"")</f>
        <v>0.452798771600247</v>
      </c>
      <c r="E21" s="14" t="n">
        <f aca="false">IFERROR(SUMIFS(Pedidos!$AB$2:$AB$2224,Pedidos!$E$2:$E$2224,"Interior",Pedidos!$F$2:$F$2224,"35-40")/SUMIFS(Pedidos!$S$2:$S$2224,Pedidos!$E$2:$E$2224,"Interior",Pedidos!$F$2:$F$2224,"35-40")-1,"")</f>
        <v>0.404577107243052</v>
      </c>
      <c r="F21" s="14" t="n">
        <f aca="false">IFERROR(SUMIFS(Pedidos!$AB$2:$AB$2224,Pedidos!$E$2:$E$2224,"Interior",Pedidos!$F$2:$F$2224,"40-50")/SUMIFS(Pedidos!$S$2:$S$2224,Pedidos!$E$2:$E$2224,"Interior",Pedidos!$F$2:$F$2224,"40-50")-1,"")</f>
        <v>0.404592165613718</v>
      </c>
      <c r="G21" s="14" t="n">
        <f aca="false">IFERROR(SUMIFS(Pedidos!$AB$2:$AB$2224,Pedidos!$E$2:$E$2224,"Interior",Pedidos!$F$2:$F$2224,"50-60")/SUMIFS(Pedidos!$S$2:$S$2224,Pedidos!$E$2:$E$2224,"Interior",Pedidos!$F$2:$F$2224,"50-60")-1,"")</f>
        <v>0.424640023050536</v>
      </c>
      <c r="H21" s="14" t="n">
        <f aca="false">IFERROR(SUMIFS(Pedidos!$AB$2:$AB$2224,Pedidos!$E$2:$E$2224,"Interior",Pedidos!$F$2:$F$2224,"60-70")/SUMIFS(Pedidos!$S$2:$S$2224,Pedidos!$E$2:$E$2224,"Interior",Pedidos!$F$2:$F$2224,"60-70")-1,"")</f>
        <v>0.482798656363207</v>
      </c>
      <c r="I21" s="14" t="n">
        <f aca="false">IFERROR(SUMIFS(Pedidos!$AB$2:$AB$2224,Pedidos!$E$2:$E$2224,"Interior",Pedidos!$F$2:$F$2224,"70-80")/SUMIFS(Pedidos!$S$2:$S$2224,Pedidos!$E$2:$E$2224,"Interior",Pedidos!$F$2:$F$2224,"70-80")-1,"")</f>
        <v>0.385671546314843</v>
      </c>
      <c r="J21" s="14" t="n">
        <f aca="false">IFERROR(SUMIFS(Pedidos!$AB$2:$AB$2224,Pedidos!$E$2:$E$2224,"Interior",Pedidos!$F$2:$F$2224,"80-100")/SUMIFS(Pedidos!$S$2:$S$2224,Pedidos!$E$2:$E$2224,"Interior",Pedidos!$F$2:$F$2224,"80-100")-1,"")</f>
        <v>0.466119456503383</v>
      </c>
      <c r="K21" s="14" t="n">
        <f aca="false">IFERROR(SUMIFS(Pedidos!$AB$2:$AB$2224,Pedidos!$E$2:$E$2224,"Interior",Pedidos!$F$2:$F$2224,"100-120")/SUMIFS(Pedidos!$S$2:$S$2224,Pedidos!$E$2:$E$2224,"Interior",Pedidos!$F$2:$F$2224,"100-120")-1,"")</f>
        <v>0.585035052515853</v>
      </c>
      <c r="L21" s="14" t="n">
        <f aca="false">IFERROR(SUMIFS(Pedidos!$AB$2:$AB$2224,Pedidos!$E$2:$E$2224,"Interior",Pedidos!$F$2:$F$2224,"120-150")/SUMIFS(Pedidos!$S$2:$S$2224,Pedidos!$E$2:$E$2224,"Interior",Pedidos!$F$2:$F$2224,"120-150")-1,"")</f>
        <v>0.52391222577855</v>
      </c>
      <c r="M21" s="14" t="n">
        <f aca="false">IFERROR(SUMIFS(Pedidos!$AB$2:$AB$2224,Pedidos!$E$2:$E$2224,"Interior")/SUMIFS(Pedidos!$S$2:$S$2224,Pedidos!$E$2:$E$2224,"Interior")-1,"")</f>
        <v>0.453236302158908</v>
      </c>
    </row>
    <row r="22" customFormat="false" ht="15" hidden="false" customHeight="false" outlineLevel="0" collapsed="false">
      <c r="B22" s="16" t="s">
        <v>40</v>
      </c>
      <c r="C22" s="14" t="n">
        <f aca="false">IFERROR(SUMIFS(Pedidos!$AB$2:$AB$2224,Pedidos!$E$2:$E$2224,"&lt;&gt;",Pedidos!$F$2:$F$2224,"0-20")/SUMIFS(Pedidos!$S$2:$S$2224,Pedidos!$E$2:$E$2224,"&lt;&gt;",Pedidos!$F$2:$F$2224,"0-20")-1,"")</f>
        <v>0.152724130038494</v>
      </c>
      <c r="D22" s="14" t="n">
        <f aca="false">IFERROR(SUMIFS(Pedidos!$AB$2:$AB$2224,Pedidos!$E$2:$E$2224,"&lt;&gt;",Pedidos!$F$2:$F$2224,"20-35")/SUMIFS(Pedidos!$S$2:$S$2224,Pedidos!$E$2:$E$2224,"&lt;&gt;",Pedidos!$F$2:$F$2224,"20-35")-1,"")</f>
        <v>0.416640933732281</v>
      </c>
      <c r="E22" s="14" t="n">
        <f aca="false">IFERROR(SUMIFS(Pedidos!$AB$2:$AB$2224,Pedidos!$E$2:$E$2224,"&lt;&gt;",Pedidos!$F$2:$F$2224,"35-40")/SUMIFS(Pedidos!$S$2:$S$2224,Pedidos!$E$2:$E$2224,"&lt;&gt;",Pedidos!$F$2:$F$2224,"35-40")-1,"")</f>
        <v>0.398115419084405</v>
      </c>
      <c r="F22" s="14" t="n">
        <f aca="false">IFERROR(SUMIFS(Pedidos!$AB$2:$AB$2224,Pedidos!$E$2:$E$2224,"&lt;&gt;",Pedidos!$F$2:$F$2224,"40-50")/SUMIFS(Pedidos!$S$2:$S$2224,Pedidos!$E$2:$E$2224,"&lt;&gt;",Pedidos!$F$2:$F$2224,"40-50")-1,"")</f>
        <v>0.356650370795924</v>
      </c>
      <c r="G22" s="14" t="n">
        <f aca="false">IFERROR(SUMIFS(Pedidos!$AB$2:$AB$2224,Pedidos!$E$2:$E$2224,"&lt;&gt;",Pedidos!$F$2:$F$2224,"50-60")/SUMIFS(Pedidos!$S$2:$S$2224,Pedidos!$E$2:$E$2224,"&lt;&gt;",Pedidos!$F$2:$F$2224,"50-60")-1,"")</f>
        <v>0.422271889917773</v>
      </c>
      <c r="H22" s="14" t="n">
        <f aca="false">IFERROR(SUMIFS(Pedidos!$AB$2:$AB$2224,Pedidos!$E$2:$E$2224,"&lt;&gt;",Pedidos!$F$2:$F$2224,"60-70")/SUMIFS(Pedidos!$S$2:$S$2224,Pedidos!$E$2:$E$2224,"&lt;&gt;",Pedidos!$F$2:$F$2224,"60-70")-1,"")</f>
        <v>0.499298528699104</v>
      </c>
      <c r="I22" s="14" t="n">
        <f aca="false">IFERROR(SUMIFS(Pedidos!$AB$2:$AB$2224,Pedidos!$E$2:$E$2224,"&lt;&gt;",Pedidos!$F$2:$F$2224,"70-80")/SUMIFS(Pedidos!$S$2:$S$2224,Pedidos!$E$2:$E$2224,"&lt;&gt;",Pedidos!$F$2:$F$2224,"70-80")-1,"")</f>
        <v>0.412620208721593</v>
      </c>
      <c r="J22" s="14" t="n">
        <f aca="false">IFERROR(SUMIFS(Pedidos!$AB$2:$AB$2224,Pedidos!$E$2:$E$2224,"&lt;&gt;",Pedidos!$F$2:$F$2224,"80-100")/SUMIFS(Pedidos!$S$2:$S$2224,Pedidos!$E$2:$E$2224,"&lt;&gt;",Pedidos!$F$2:$F$2224,"80-100")-1,"")</f>
        <v>0.499335134659351</v>
      </c>
      <c r="K22" s="14" t="n">
        <f aca="false">IFERROR(SUMIFS(Pedidos!$AB$2:$AB$2224,Pedidos!$E$2:$E$2224,"&lt;&gt;",Pedidos!$F$2:$F$2224,"100-120")/SUMIFS(Pedidos!$S$2:$S$2224,Pedidos!$E$2:$E$2224,"&lt;&gt;",Pedidos!$F$2:$F$2224,"100-120")-1,"")</f>
        <v>0.619703092517044</v>
      </c>
      <c r="L22" s="14" t="n">
        <f aca="false">IFERROR(SUMIFS(Pedidos!$AB$2:$AB$2224,Pedidos!$E$2:$E$2224,"&lt;&gt;",Pedidos!$F$2:$F$2224,"120-150")/SUMIFS(Pedidos!$S$2:$S$2224,Pedidos!$E$2:$E$2224,"&lt;&gt;",Pedidos!$F$2:$F$2224,"120-150")-1,"")</f>
        <v>0.555091079159062</v>
      </c>
      <c r="M22" s="14" t="n">
        <f aca="false">IFERROR(SUMIFS(Pedidos!$AB$2:$AB$2224,Pedidos!$E$2:$E$2224,"&lt;&gt;")/SUMIFS(Pedidos!$S$2:$S$2224,Pedidos!$E$2:$E$2224,"&lt;&gt;")-1,"")</f>
        <v>0.434772896691147</v>
      </c>
    </row>
    <row r="23" customFormat="false" ht="15" hidden="false" customHeight="false" outlineLevel="0" collapsed="false">
      <c r="B23" s="22" t="s">
        <v>13</v>
      </c>
      <c r="C23" s="23" t="n">
        <f aca="false">COUNTIFS(Pedidos!$F$2:$F$2224,"0-20")/COUNTA(Pedidos!$D$2:$D$2224)</f>
        <v>0.0481548154815482</v>
      </c>
      <c r="D23" s="23" t="n">
        <f aca="false">COUNTIFS(Pedidos!$F$2:$F$2224,"20-35")/COUNTA(Pedidos!$D$2:$D$2224)</f>
        <v>0.222772277227723</v>
      </c>
      <c r="E23" s="23" t="n">
        <f aca="false">COUNTIFS(Pedidos!$F$2:$F$2224,"35-40")/COUNTA(Pedidos!$D$2:$D$2224)</f>
        <v>0.15976597659766</v>
      </c>
      <c r="F23" s="23" t="n">
        <f aca="false">COUNTIFS(Pedidos!$F$2:$F$2224,"40-50")/COUNTA(Pedidos!$D$2:$D$2224)</f>
        <v>0.154815481548155</v>
      </c>
      <c r="G23" s="23" t="n">
        <f aca="false">COUNTIFS(Pedidos!$F$2:$F$2224,"50-60")/COUNTA(Pedidos!$D$2:$D$2224)</f>
        <v>0.187218721872187</v>
      </c>
      <c r="H23" s="23" t="n">
        <f aca="false">COUNTIFS(Pedidos!$F$2:$F$2224,"60-70")/COUNTA(Pedidos!$D$2:$D$2224)</f>
        <v>0.122862286228623</v>
      </c>
      <c r="I23" s="23" t="n">
        <f aca="false">COUNTIFS(Pedidos!$F$2:$F$2224,"70-80")/COUNTA(Pedidos!$D$2:$D$2224)</f>
        <v>0.0135013501350135</v>
      </c>
      <c r="J23" s="23" t="n">
        <f aca="false">COUNTIFS(Pedidos!$F$2:$F$2224,"80-100")/COUNTA(Pedidos!$D$2:$D$2224)</f>
        <v>0.0256525652565257</v>
      </c>
      <c r="K23" s="23" t="n">
        <f aca="false">COUNTIFS(Pedidos!$F$2:$F$2224,"100-120")/COUNTA(Pedidos!$D$2:$D$2224)</f>
        <v>0.0238523852385239</v>
      </c>
      <c r="L23" s="23" t="n">
        <f aca="false">COUNTIFS(Pedidos!$F$2:$F$2224,"120-150")/COUNTA(Pedidos!$D$2:$D$2224)</f>
        <v>0.0387038703870387</v>
      </c>
      <c r="M23" s="23" t="n">
        <f aca="false">SUM(C23:L23)</f>
        <v>0.997299729972997</v>
      </c>
    </row>
    <row r="25" customFormat="false" ht="15" hidden="false" customHeight="false" outlineLevel="0" collapsed="false">
      <c r="B25" s="8" t="s">
        <v>41</v>
      </c>
      <c r="H25" s="2" t="s">
        <v>42</v>
      </c>
    </row>
    <row r="26" customFormat="false" ht="15" hidden="false" customHeight="false" outlineLevel="0" collapsed="false">
      <c r="B26" s="24" t="s">
        <v>43</v>
      </c>
      <c r="C26" s="25" t="s">
        <v>29</v>
      </c>
      <c r="D26" s="25"/>
      <c r="E26" s="25" t="s">
        <v>30</v>
      </c>
      <c r="F26" s="25"/>
      <c r="G26" s="25" t="s">
        <v>31</v>
      </c>
      <c r="H26" s="25"/>
      <c r="I26" s="25" t="s">
        <v>32</v>
      </c>
      <c r="J26" s="25"/>
      <c r="K26" s="25" t="s">
        <v>33</v>
      </c>
      <c r="L26" s="25"/>
      <c r="M26" s="25" t="s">
        <v>34</v>
      </c>
      <c r="N26" s="25"/>
    </row>
    <row r="27" customFormat="false" ht="15" hidden="false" customHeight="false" outlineLevel="0" collapsed="false">
      <c r="B27" s="24"/>
      <c r="C27" s="26" t="s">
        <v>44</v>
      </c>
      <c r="D27" s="27" t="s">
        <v>45</v>
      </c>
      <c r="E27" s="26" t="s">
        <v>44</v>
      </c>
      <c r="F27" s="27" t="s">
        <v>45</v>
      </c>
      <c r="G27" s="26" t="s">
        <v>44</v>
      </c>
      <c r="H27" s="27" t="s">
        <v>45</v>
      </c>
      <c r="I27" s="26" t="s">
        <v>44</v>
      </c>
      <c r="J27" s="27" t="s">
        <v>45</v>
      </c>
      <c r="K27" s="26" t="s">
        <v>44</v>
      </c>
      <c r="L27" s="27" t="s">
        <v>45</v>
      </c>
      <c r="M27" s="26" t="s">
        <v>44</v>
      </c>
      <c r="N27" s="27" t="s">
        <v>45</v>
      </c>
    </row>
    <row r="28" customFormat="false" ht="15" hidden="false" customHeight="false" outlineLevel="0" collapsed="false">
      <c r="B28" s="10" t="s">
        <v>46</v>
      </c>
      <c r="C28" s="13" t="n">
        <f aca="false">INDEX('Proposta Tabela PROLOG'!H:H,MATCH($B28,'Proposta Tabela PROLOG'!$B:$B,0))</f>
        <v>46.98</v>
      </c>
      <c r="D28" s="28" t="n">
        <f aca="false">INDEX('Proposta Tabela PROLOG'!AH:AH,MATCH($B28,'Proposta Tabela PROLOG'!$B:$B,0))</f>
        <v>41.8178871775701</v>
      </c>
      <c r="E28" s="13" t="n">
        <f aca="false">INDEX('Proposta Tabela PROLOG'!I:I,MATCH($B28,'Proposta Tabela PROLOG'!$B:$B,0))</f>
        <v>82.21</v>
      </c>
      <c r="F28" s="28" t="n">
        <f aca="false">INDEX('Proposta Tabela PROLOG'!AI:AI,MATCH($B28,'Proposta Tabela PROLOG'!$B:$B,0))</f>
        <v>49.9913569939394</v>
      </c>
      <c r="G28" s="13" t="n">
        <f aca="false">INDEX('Proposta Tabela PROLOG'!J:J,MATCH($B28,'Proposta Tabela PROLOG'!$B:$B,0))</f>
        <v>93.97</v>
      </c>
      <c r="H28" s="28" t="n">
        <f aca="false">INDEX('Proposta Tabela PROLOG'!AJ:AJ,MATCH($B28,'Proposta Tabela PROLOG'!$B:$B,0))</f>
        <v>55.7281323042254</v>
      </c>
      <c r="I28" s="13" t="n">
        <f aca="false">INDEX('Proposta Tabela PROLOG'!K:K,MATCH($B28,'Proposta Tabela PROLOG'!$B:$B,0))</f>
        <v>93.97</v>
      </c>
      <c r="J28" s="28" t="n">
        <f aca="false">INDEX('Proposta Tabela PROLOG'!AK:AK,MATCH($B28,'Proposta Tabela PROLOG'!$B:$B,0))</f>
        <v>60.6136964186046</v>
      </c>
      <c r="K28" s="13" t="n">
        <f aca="false">INDEX('Proposta Tabela PROLOG'!L:L,MATCH($B28,'Proposta Tabela PROLOG'!$B:$B,0))</f>
        <v>112.3</v>
      </c>
      <c r="L28" s="28" t="n">
        <f aca="false">INDEX('Proposta Tabela PROLOG'!AL:AL,MATCH($B28,'Proposta Tabela PROLOG'!$B:$B,0))</f>
        <v>65.2933802115385</v>
      </c>
      <c r="M28" s="13" t="n">
        <f aca="false">INDEX('Proposta Tabela PROLOG'!M:M,MATCH($B28,'Proposta Tabela PROLOG'!$B:$B,0))</f>
        <v>131.02</v>
      </c>
      <c r="N28" s="28" t="n">
        <f aca="false">INDEX('Proposta Tabela PROLOG'!AM:AM,MATCH($B28,'Proposta Tabela PROLOG'!$B:$B,0))</f>
        <v>69.2012324395604</v>
      </c>
    </row>
    <row r="29" customFormat="false" ht="15" hidden="false" customHeight="false" outlineLevel="0" collapsed="false">
      <c r="B29" s="10" t="s">
        <v>47</v>
      </c>
      <c r="C29" s="13" t="n">
        <f aca="false">INDEX('Proposta Tabela PROLOG'!H:H,MATCH($B29,'Proposta Tabela PROLOG'!$B:$B,0))</f>
        <v>57.47</v>
      </c>
      <c r="D29" s="28" t="n">
        <f aca="false">INDEX('Proposta Tabela PROLOG'!AH:AH,MATCH($B29,'Proposta Tabela PROLOG'!$B:$B,0))</f>
        <v>51.1178871775701</v>
      </c>
      <c r="E29" s="13" t="n">
        <f aca="false">INDEX('Proposta Tabela PROLOG'!I:I,MATCH($B29,'Proposta Tabela PROLOG'!$B:$B,0))</f>
        <v>100.58</v>
      </c>
      <c r="F29" s="28" t="n">
        <f aca="false">INDEX('Proposta Tabela PROLOG'!AI:AI,MATCH($B29,'Proposta Tabela PROLOG'!$B:$B,0))</f>
        <v>66.6813569939394</v>
      </c>
      <c r="G29" s="13" t="n">
        <f aca="false">INDEX('Proposta Tabela PROLOG'!J:J,MATCH($B29,'Proposta Tabela PROLOG'!$B:$B,0))</f>
        <v>114.95</v>
      </c>
      <c r="H29" s="28" t="n">
        <f aca="false">INDEX('Proposta Tabela PROLOG'!AJ:AJ,MATCH($B29,'Proposta Tabela PROLOG'!$B:$B,0))</f>
        <v>74.2081323042254</v>
      </c>
      <c r="I29" s="13" t="n">
        <f aca="false">INDEX('Proposta Tabela PROLOG'!K:K,MATCH($B29,'Proposta Tabela PROLOG'!$B:$B,0))</f>
        <v>114.95</v>
      </c>
      <c r="J29" s="28" t="n">
        <f aca="false">INDEX('Proposta Tabela PROLOG'!AK:AK,MATCH($B29,'Proposta Tabela PROLOG'!$B:$B,0))</f>
        <v>72.4236964186046</v>
      </c>
      <c r="K29" s="13" t="n">
        <f aca="false">INDEX('Proposta Tabela PROLOG'!L:L,MATCH($B29,'Proposta Tabela PROLOG'!$B:$B,0))</f>
        <v>128.14</v>
      </c>
      <c r="L29" s="28" t="n">
        <f aca="false">INDEX('Proposta Tabela PROLOG'!AL:AL,MATCH($B29,'Proposta Tabela PROLOG'!$B:$B,0))</f>
        <v>77.6733802115385</v>
      </c>
      <c r="M29" s="13" t="n">
        <f aca="false">INDEX('Proposta Tabela PROLOG'!M:M,MATCH($B29,'Proposta Tabela PROLOG'!$B:$B,0))</f>
        <v>149.5</v>
      </c>
      <c r="N29" s="28" t="n">
        <f aca="false">INDEX('Proposta Tabela PROLOG'!AM:AM,MATCH($B29,'Proposta Tabela PROLOG'!$B:$B,0))</f>
        <v>82.5412324395604</v>
      </c>
    </row>
    <row r="30" customFormat="false" ht="15" hidden="false" customHeight="false" outlineLevel="0" collapsed="false">
      <c r="B30" s="10" t="s">
        <v>48</v>
      </c>
      <c r="C30" s="13" t="n">
        <f aca="false">INDEX('Proposta Tabela PROLOG'!H:H,MATCH($B30,'Proposta Tabela PROLOG'!$B:$B,0))</f>
        <v>46.98</v>
      </c>
      <c r="D30" s="28" t="n">
        <f aca="false">INDEX('Proposta Tabela PROLOG'!AH:AH,MATCH($B30,'Proposta Tabela PROLOG'!$B:$B,0))</f>
        <v>51.1178871775701</v>
      </c>
      <c r="E30" s="13" t="n">
        <f aca="false">INDEX('Proposta Tabela PROLOG'!I:I,MATCH($B30,'Proposta Tabela PROLOG'!$B:$B,0))</f>
        <v>82.21</v>
      </c>
      <c r="F30" s="28" t="n">
        <f aca="false">INDEX('Proposta Tabela PROLOG'!AI:AI,MATCH($B30,'Proposta Tabela PROLOG'!$B:$B,0))</f>
        <v>66.6813569939394</v>
      </c>
      <c r="G30" s="13" t="n">
        <f aca="false">INDEX('Proposta Tabela PROLOG'!J:J,MATCH($B30,'Proposta Tabela PROLOG'!$B:$B,0))</f>
        <v>93.97</v>
      </c>
      <c r="H30" s="28" t="n">
        <f aca="false">INDEX('Proposta Tabela PROLOG'!AJ:AJ,MATCH($B30,'Proposta Tabela PROLOG'!$B:$B,0))</f>
        <v>74.2081323042254</v>
      </c>
      <c r="I30" s="13" t="n">
        <f aca="false">INDEX('Proposta Tabela PROLOG'!K:K,MATCH($B30,'Proposta Tabela PROLOG'!$B:$B,0))</f>
        <v>93.97</v>
      </c>
      <c r="J30" s="28" t="n">
        <f aca="false">INDEX('Proposta Tabela PROLOG'!AK:AK,MATCH($B30,'Proposta Tabela PROLOG'!$B:$B,0))</f>
        <v>72.4236964186046</v>
      </c>
      <c r="K30" s="13" t="n">
        <f aca="false">INDEX('Proposta Tabela PROLOG'!L:L,MATCH($B30,'Proposta Tabela PROLOG'!$B:$B,0))</f>
        <v>112.3</v>
      </c>
      <c r="L30" s="28" t="n">
        <f aca="false">INDEX('Proposta Tabela PROLOG'!AL:AL,MATCH($B30,'Proposta Tabela PROLOG'!$B:$B,0))</f>
        <v>77.6733802115385</v>
      </c>
      <c r="M30" s="13" t="n">
        <f aca="false">INDEX('Proposta Tabela PROLOG'!M:M,MATCH($B30,'Proposta Tabela PROLOG'!$B:$B,0))</f>
        <v>131.02</v>
      </c>
      <c r="N30" s="28" t="n">
        <f aca="false">INDEX('Proposta Tabela PROLOG'!AM:AM,MATCH($B30,'Proposta Tabela PROLOG'!$B:$B,0))</f>
        <v>82.5412324395604</v>
      </c>
    </row>
    <row r="31" customFormat="false" ht="15" hidden="false" customHeight="false" outlineLevel="0" collapsed="false">
      <c r="B31" s="10" t="s">
        <v>49</v>
      </c>
      <c r="C31" s="13" t="n">
        <f aca="false">INDEX('Proposta Tabela PROLOG'!H:H,MATCH($B31,'Proposta Tabela PROLOG'!$B:$B,0))</f>
        <v>46.98</v>
      </c>
      <c r="D31" s="28" t="n">
        <f aca="false">INDEX('Proposta Tabela PROLOG'!AH:AH,MATCH($B31,'Proposta Tabela PROLOG'!$B:$B,0))</f>
        <v>51.1178871775701</v>
      </c>
      <c r="E31" s="13" t="n">
        <f aca="false">INDEX('Proposta Tabela PROLOG'!I:I,MATCH($B31,'Proposta Tabela PROLOG'!$B:$B,0))</f>
        <v>82.21</v>
      </c>
      <c r="F31" s="28" t="n">
        <f aca="false">INDEX('Proposta Tabela PROLOG'!AI:AI,MATCH($B31,'Proposta Tabela PROLOG'!$B:$B,0))</f>
        <v>66.6813569939394</v>
      </c>
      <c r="G31" s="13" t="n">
        <f aca="false">INDEX('Proposta Tabela PROLOG'!J:J,MATCH($B31,'Proposta Tabela PROLOG'!$B:$B,0))</f>
        <v>93.97</v>
      </c>
      <c r="H31" s="28" t="n">
        <f aca="false">INDEX('Proposta Tabela PROLOG'!AJ:AJ,MATCH($B31,'Proposta Tabela PROLOG'!$B:$B,0))</f>
        <v>74.2081323042254</v>
      </c>
      <c r="I31" s="13" t="n">
        <f aca="false">INDEX('Proposta Tabela PROLOG'!K:K,MATCH($B31,'Proposta Tabela PROLOG'!$B:$B,0))</f>
        <v>93.97</v>
      </c>
      <c r="J31" s="28" t="n">
        <f aca="false">INDEX('Proposta Tabela PROLOG'!AK:AK,MATCH($B31,'Proposta Tabela PROLOG'!$B:$B,0))</f>
        <v>72.4236964186046</v>
      </c>
      <c r="K31" s="13" t="n">
        <f aca="false">INDEX('Proposta Tabela PROLOG'!L:L,MATCH($B31,'Proposta Tabela PROLOG'!$B:$B,0))</f>
        <v>112.3</v>
      </c>
      <c r="L31" s="28" t="n">
        <f aca="false">INDEX('Proposta Tabela PROLOG'!AL:AL,MATCH($B31,'Proposta Tabela PROLOG'!$B:$B,0))</f>
        <v>77.6733802115385</v>
      </c>
      <c r="M31" s="13" t="n">
        <f aca="false">INDEX('Proposta Tabela PROLOG'!M:M,MATCH($B31,'Proposta Tabela PROLOG'!$B:$B,0))</f>
        <v>131.02</v>
      </c>
      <c r="N31" s="28" t="n">
        <f aca="false">INDEX('Proposta Tabela PROLOG'!AM:AM,MATCH($B31,'Proposta Tabela PROLOG'!$B:$B,0))</f>
        <v>82.5412324395604</v>
      </c>
    </row>
    <row r="32" customFormat="false" ht="15" hidden="false" customHeight="false" outlineLevel="0" collapsed="false">
      <c r="B32" s="10" t="s">
        <v>50</v>
      </c>
      <c r="C32" s="13" t="n">
        <f aca="false">INDEX('Proposta Tabela PROLOG'!H:H,MATCH($B32,'Proposta Tabela PROLOG'!$B:$B,0))</f>
        <v>57.47</v>
      </c>
      <c r="D32" s="28" t="n">
        <f aca="false">INDEX('Proposta Tabela PROLOG'!AH:AH,MATCH($B32,'Proposta Tabela PROLOG'!$B:$B,0))</f>
        <v>51.1178871775701</v>
      </c>
      <c r="E32" s="13" t="n">
        <f aca="false">INDEX('Proposta Tabela PROLOG'!I:I,MATCH($B32,'Proposta Tabela PROLOG'!$B:$B,0))</f>
        <v>100.58</v>
      </c>
      <c r="F32" s="28" t="n">
        <f aca="false">INDEX('Proposta Tabela PROLOG'!AI:AI,MATCH($B32,'Proposta Tabela PROLOG'!$B:$B,0))</f>
        <v>66.6813569939394</v>
      </c>
      <c r="G32" s="13" t="n">
        <f aca="false">INDEX('Proposta Tabela PROLOG'!J:J,MATCH($B32,'Proposta Tabela PROLOG'!$B:$B,0))</f>
        <v>114.95</v>
      </c>
      <c r="H32" s="28" t="n">
        <f aca="false">INDEX('Proposta Tabela PROLOG'!AJ:AJ,MATCH($B32,'Proposta Tabela PROLOG'!$B:$B,0))</f>
        <v>74.2081323042254</v>
      </c>
      <c r="I32" s="13" t="n">
        <f aca="false">INDEX('Proposta Tabela PROLOG'!K:K,MATCH($B32,'Proposta Tabela PROLOG'!$B:$B,0))</f>
        <v>114.95</v>
      </c>
      <c r="J32" s="28" t="n">
        <f aca="false">INDEX('Proposta Tabela PROLOG'!AK:AK,MATCH($B32,'Proposta Tabela PROLOG'!$B:$B,0))</f>
        <v>72.4236964186046</v>
      </c>
      <c r="K32" s="13" t="n">
        <f aca="false">INDEX('Proposta Tabela PROLOG'!L:L,MATCH($B32,'Proposta Tabela PROLOG'!$B:$B,0))</f>
        <v>128.14</v>
      </c>
      <c r="L32" s="28" t="n">
        <f aca="false">INDEX('Proposta Tabela PROLOG'!AL:AL,MATCH($B32,'Proposta Tabela PROLOG'!$B:$B,0))</f>
        <v>77.6733802115385</v>
      </c>
      <c r="M32" s="13" t="n">
        <f aca="false">INDEX('Proposta Tabela PROLOG'!M:M,MATCH($B32,'Proposta Tabela PROLOG'!$B:$B,0))</f>
        <v>149.5</v>
      </c>
      <c r="N32" s="28" t="n">
        <f aca="false">INDEX('Proposta Tabela PROLOG'!AM:AM,MATCH($B32,'Proposta Tabela PROLOG'!$B:$B,0))</f>
        <v>82.5412324395604</v>
      </c>
    </row>
    <row r="33" customFormat="false" ht="15" hidden="false" customHeight="false" outlineLevel="0" collapsed="false">
      <c r="B33" s="10" t="s">
        <v>51</v>
      </c>
      <c r="C33" s="13" t="n">
        <f aca="false">INDEX('Proposta Tabela PROLOG'!H:H,MATCH($B33,'Proposta Tabela PROLOG'!$B:$B,0))</f>
        <v>124.04</v>
      </c>
      <c r="D33" s="28" t="n">
        <f aca="false">INDEX('Proposta Tabela PROLOG'!AH:AH,MATCH($B33,'Proposta Tabela PROLOG'!$B:$B,0))</f>
        <v>55.3478871775701</v>
      </c>
      <c r="E33" s="13" t="n">
        <f aca="false">INDEX('Proposta Tabela PROLOG'!I:I,MATCH($B33,'Proposta Tabela PROLOG'!$B:$B,0))</f>
        <v>138.29</v>
      </c>
      <c r="F33" s="28" t="n">
        <f aca="false">INDEX('Proposta Tabela PROLOG'!AI:AI,MATCH($B33,'Proposta Tabela PROLOG'!$B:$B,0))</f>
        <v>73.5113569939394</v>
      </c>
      <c r="G33" s="13" t="n">
        <f aca="false">INDEX('Proposta Tabela PROLOG'!J:J,MATCH($B33,'Proposta Tabela PROLOG'!$B:$B,0))</f>
        <v>143.04</v>
      </c>
      <c r="H33" s="28" t="n">
        <f aca="false">INDEX('Proposta Tabela PROLOG'!AJ:AJ,MATCH($B33,'Proposta Tabela PROLOG'!$B:$B,0))</f>
        <v>82.3481323042254</v>
      </c>
      <c r="I33" s="13" t="n">
        <f aca="false">INDEX('Proposta Tabela PROLOG'!K:K,MATCH($B33,'Proposta Tabela PROLOG'!$B:$B,0))</f>
        <v>152.54</v>
      </c>
      <c r="J33" s="28" t="n">
        <f aca="false">INDEX('Proposta Tabela PROLOG'!AK:AK,MATCH($B33,'Proposta Tabela PROLOG'!$B:$B,0))</f>
        <v>84.7636964186046</v>
      </c>
      <c r="K33" s="13" t="n">
        <f aca="false">INDEX('Proposta Tabela PROLOG'!L:L,MATCH($B33,'Proposta Tabela PROLOG'!$B:$B,0))</f>
        <v>162.04</v>
      </c>
      <c r="L33" s="28" t="n">
        <f aca="false">INDEX('Proposta Tabela PROLOG'!AL:AL,MATCH($B33,'Proposta Tabela PROLOG'!$B:$B,0))</f>
        <v>90.2733802115385</v>
      </c>
      <c r="M33" s="13" t="n">
        <f aca="false">INDEX('Proposta Tabela PROLOG'!M:M,MATCH($B33,'Proposta Tabela PROLOG'!$B:$B,0))</f>
        <v>171.54</v>
      </c>
      <c r="N33" s="28" t="n">
        <f aca="false">INDEX('Proposta Tabela PROLOG'!AM:AM,MATCH($B33,'Proposta Tabela PROLOG'!$B:$B,0))</f>
        <v>96.1912324395604</v>
      </c>
    </row>
    <row r="34" customFormat="false" ht="15" hidden="false" customHeight="false" outlineLevel="0" collapsed="false">
      <c r="B34" s="10" t="s">
        <v>52</v>
      </c>
      <c r="C34" s="13" t="n">
        <f aca="false">INDEX('Proposta Tabela PROLOG'!H:H,MATCH($B34,'Proposta Tabela PROLOG'!$B:$B,0))</f>
        <v>46.98</v>
      </c>
      <c r="D34" s="28" t="n">
        <f aca="false">INDEX('Proposta Tabela PROLOG'!AH:AH,MATCH($B34,'Proposta Tabela PROLOG'!$B:$B,0))</f>
        <v>51.1178871775701</v>
      </c>
      <c r="E34" s="13" t="n">
        <f aca="false">INDEX('Proposta Tabela PROLOG'!I:I,MATCH($B34,'Proposta Tabela PROLOG'!$B:$B,0))</f>
        <v>82.21</v>
      </c>
      <c r="F34" s="28" t="n">
        <f aca="false">INDEX('Proposta Tabela PROLOG'!AI:AI,MATCH($B34,'Proposta Tabela PROLOG'!$B:$B,0))</f>
        <v>66.6813569939394</v>
      </c>
      <c r="G34" s="13" t="n">
        <f aca="false">INDEX('Proposta Tabela PROLOG'!J:J,MATCH($B34,'Proposta Tabela PROLOG'!$B:$B,0))</f>
        <v>93.97</v>
      </c>
      <c r="H34" s="28" t="n">
        <f aca="false">INDEX('Proposta Tabela PROLOG'!AJ:AJ,MATCH($B34,'Proposta Tabela PROLOG'!$B:$B,0))</f>
        <v>74.2081323042254</v>
      </c>
      <c r="I34" s="13" t="n">
        <f aca="false">INDEX('Proposta Tabela PROLOG'!K:K,MATCH($B34,'Proposta Tabela PROLOG'!$B:$B,0))</f>
        <v>93.97</v>
      </c>
      <c r="J34" s="28" t="n">
        <f aca="false">INDEX('Proposta Tabela PROLOG'!AK:AK,MATCH($B34,'Proposta Tabela PROLOG'!$B:$B,0))</f>
        <v>72.4236964186046</v>
      </c>
      <c r="K34" s="13" t="n">
        <f aca="false">INDEX('Proposta Tabela PROLOG'!L:L,MATCH($B34,'Proposta Tabela PROLOG'!$B:$B,0))</f>
        <v>112.3</v>
      </c>
      <c r="L34" s="28" t="n">
        <f aca="false">INDEX('Proposta Tabela PROLOG'!AL:AL,MATCH($B34,'Proposta Tabela PROLOG'!$B:$B,0))</f>
        <v>77.6733802115385</v>
      </c>
      <c r="M34" s="13" t="n">
        <f aca="false">INDEX('Proposta Tabela PROLOG'!M:M,MATCH($B34,'Proposta Tabela PROLOG'!$B:$B,0))</f>
        <v>131.02</v>
      </c>
      <c r="N34" s="28" t="n">
        <f aca="false">INDEX('Proposta Tabela PROLOG'!AM:AM,MATCH($B34,'Proposta Tabela PROLOG'!$B:$B,0))</f>
        <v>82.5412324395604</v>
      </c>
    </row>
    <row r="35" customFormat="false" ht="15" hidden="false" customHeight="false" outlineLevel="0" collapsed="false">
      <c r="B35" s="10" t="s">
        <v>53</v>
      </c>
      <c r="C35" s="13" t="n">
        <f aca="false">INDEX('Proposta Tabela PROLOG'!H:H,MATCH($B35,'Proposta Tabela PROLOG'!$B:$B,0))</f>
        <v>124.04</v>
      </c>
      <c r="D35" s="28" t="n">
        <f aca="false">INDEX('Proposta Tabela PROLOG'!AH:AH,MATCH($B35,'Proposta Tabela PROLOG'!$B:$B,0))</f>
        <v>55.3478871775701</v>
      </c>
      <c r="E35" s="13" t="n">
        <f aca="false">INDEX('Proposta Tabela PROLOG'!I:I,MATCH($B35,'Proposta Tabela PROLOG'!$B:$B,0))</f>
        <v>138.29</v>
      </c>
      <c r="F35" s="28" t="n">
        <f aca="false">INDEX('Proposta Tabela PROLOG'!AI:AI,MATCH($B35,'Proposta Tabela PROLOG'!$B:$B,0))</f>
        <v>73.5113569939394</v>
      </c>
      <c r="G35" s="13" t="n">
        <f aca="false">INDEX('Proposta Tabela PROLOG'!J:J,MATCH($B35,'Proposta Tabela PROLOG'!$B:$B,0))</f>
        <v>143.04</v>
      </c>
      <c r="H35" s="28" t="n">
        <f aca="false">INDEX('Proposta Tabela PROLOG'!AJ:AJ,MATCH($B35,'Proposta Tabela PROLOG'!$B:$B,0))</f>
        <v>82.3481323042254</v>
      </c>
      <c r="I35" s="13" t="n">
        <f aca="false">INDEX('Proposta Tabela PROLOG'!K:K,MATCH($B35,'Proposta Tabela PROLOG'!$B:$B,0))</f>
        <v>152.54</v>
      </c>
      <c r="J35" s="28" t="n">
        <f aca="false">INDEX('Proposta Tabela PROLOG'!AK:AK,MATCH($B35,'Proposta Tabela PROLOG'!$B:$B,0))</f>
        <v>84.7636964186046</v>
      </c>
      <c r="K35" s="13" t="n">
        <f aca="false">INDEX('Proposta Tabela PROLOG'!L:L,MATCH($B35,'Proposta Tabela PROLOG'!$B:$B,0))</f>
        <v>162.04</v>
      </c>
      <c r="L35" s="28" t="n">
        <f aca="false">INDEX('Proposta Tabela PROLOG'!AL:AL,MATCH($B35,'Proposta Tabela PROLOG'!$B:$B,0))</f>
        <v>90.2733802115385</v>
      </c>
      <c r="M35" s="13" t="n">
        <f aca="false">INDEX('Proposta Tabela PROLOG'!M:M,MATCH($B35,'Proposta Tabela PROLOG'!$B:$B,0))</f>
        <v>171.54</v>
      </c>
      <c r="N35" s="28" t="n">
        <f aca="false">INDEX('Proposta Tabela PROLOG'!AM:AM,MATCH($B35,'Proposta Tabela PROLOG'!$B:$B,0))</f>
        <v>96.1912324395604</v>
      </c>
    </row>
    <row r="36" customFormat="false" ht="15" hidden="false" customHeight="false" outlineLevel="0" collapsed="false">
      <c r="B36" s="2" t="s">
        <v>54</v>
      </c>
    </row>
    <row r="38" customFormat="false" ht="15" hidden="false" customHeight="false" outlineLevel="0" collapsed="false">
      <c r="B38" s="8" t="s">
        <v>55</v>
      </c>
      <c r="H38" s="2" t="s">
        <v>56</v>
      </c>
    </row>
    <row r="39" customFormat="false" ht="30" hidden="false" customHeight="true" outlineLevel="0" collapsed="false">
      <c r="B39" s="9" t="s">
        <v>57</v>
      </c>
      <c r="C39" s="9" t="s">
        <v>58</v>
      </c>
      <c r="E39" s="9" t="s">
        <v>11</v>
      </c>
      <c r="F39" s="9" t="s">
        <v>59</v>
      </c>
      <c r="G39" s="9" t="s">
        <v>60</v>
      </c>
      <c r="H39" s="9" t="s">
        <v>61</v>
      </c>
    </row>
    <row r="40" customFormat="false" ht="15" hidden="false" customHeight="false" outlineLevel="0" collapsed="false">
      <c r="B40" s="10" t="s">
        <v>62</v>
      </c>
      <c r="C40" s="29" t="n">
        <v>0.33</v>
      </c>
      <c r="E40" s="10" t="s">
        <v>22</v>
      </c>
      <c r="F40" s="13" t="n">
        <f aca="false">AVERAGEIFS(Pedidos!$AI$2:$AI$2224,Pedidos!$E$2:$E$2224,"Capital")</f>
        <v>109.3206510812</v>
      </c>
      <c r="G40" s="30" t="n">
        <f aca="false">SUMIFS(Pedidos!$AI$2:$AI$2224,Pedidos!$E$2:$E$2224,"Capital")/SUMIFS(Pedidos!$S$2:$S$2224,Pedidos!$E$2:$E$2224,"Capital")-1</f>
        <v>0.0270045604940401</v>
      </c>
      <c r="H40" s="12" t="n">
        <f aca="false">COUNTIFS(Pedidos!$E$2:$E$2224,"Capital",Pedidos!$AJ$2:$AJ$2224,"SIM")/COUNTIFS(Pedidos!$E$2:$E$2224,"Capital")</f>
        <v>0.379611650485437</v>
      </c>
    </row>
    <row r="41" customFormat="false" ht="15" hidden="false" customHeight="false" outlineLevel="0" collapsed="false">
      <c r="B41" s="10" t="s">
        <v>63</v>
      </c>
      <c r="C41" s="31" t="n">
        <v>1</v>
      </c>
      <c r="E41" s="10" t="s">
        <v>23</v>
      </c>
      <c r="F41" s="13" t="n">
        <f aca="false">AVERAGEIFS(Pedidos!$AI$2:$AI$2224,Pedidos!$E$2:$E$2224,"Metropolitana")</f>
        <v>120.912487168735</v>
      </c>
      <c r="G41" s="30" t="n">
        <f aca="false">SUMIFS(Pedidos!$AI$2:$AI$2224,Pedidos!$E$2:$E$2224,"Metropolitana")/SUMIFS(Pedidos!$S$2:$S$2224,Pedidos!$E$2:$E$2224,"Metropolitana")-1</f>
        <v>-0.0498835253395477</v>
      </c>
      <c r="H41" s="12" t="n">
        <f aca="false">COUNTIFS(Pedidos!$E$2:$E$2224,"Metropolitana",Pedidos!$AJ$2:$AJ$2224,"SIM")/COUNTIFS(Pedidos!$E$2:$E$2224,"Metropolitana")</f>
        <v>0.774907749077491</v>
      </c>
    </row>
    <row r="42" customFormat="false" ht="15" hidden="false" customHeight="false" outlineLevel="0" collapsed="false">
      <c r="B42" s="10" t="s">
        <v>64</v>
      </c>
      <c r="C42" s="31" t="n">
        <v>1.05</v>
      </c>
      <c r="E42" s="10" t="s">
        <v>24</v>
      </c>
      <c r="F42" s="13" t="n">
        <f aca="false">AVERAGEIFS(Pedidos!$AI$2:$AI$2224,Pedidos!$E$2:$E$2224,"Interior")</f>
        <v>141.049619693479</v>
      </c>
      <c r="G42" s="30" t="n">
        <f aca="false">SUMIFS(Pedidos!$AI$2:$AI$2224,Pedidos!$E$2:$E$2224,"Interior")/SUMIFS(Pedidos!$S$2:$S$2224,Pedidos!$E$2:$E$2224,"Interior")-1</f>
        <v>0.0104121803817088</v>
      </c>
      <c r="H42" s="12" t="n">
        <f aca="false">COUNTIFS(Pedidos!$E$2:$E$2224,"Interior",Pedidos!$AJ$2:$AJ$2224,"SIM")/COUNTIFS(Pedidos!$E$2:$E$2224,"Interior")</f>
        <v>0.56989247311828</v>
      </c>
    </row>
    <row r="43" customFormat="false" ht="15" hidden="false" customHeight="false" outlineLevel="0" collapsed="false">
      <c r="B43" s="10" t="s">
        <v>65</v>
      </c>
      <c r="C43" s="32" t="n">
        <v>0</v>
      </c>
      <c r="E43" s="16" t="s">
        <v>25</v>
      </c>
      <c r="F43" s="13" t="n">
        <f aca="false">AVERAGEIFS(Pedidos!$AI$2:$AI$2224,Pedidos!$E$2:$E$2224,"&lt;&gt;")</f>
        <v>121.438659954811</v>
      </c>
      <c r="G43" s="30" t="n">
        <f aca="false">SUMIFS(Pedidos!$AI$2:$AI$2224,Pedidos!$E$2:$E$2224,"&lt;&gt;")/SUMIFS(Pedidos!$S$2:$S$2224,Pedidos!$E$2:$E$2224,"&lt;&gt;")-1</f>
        <v>0.00173015983939639</v>
      </c>
      <c r="H43" s="12" t="n">
        <f aca="false">COUNTIFS(Pedidos!$E$2:$E$2224,"&lt;&gt;",Pedidos!$AJ$2:$AJ$2224,"SIM")/COUNTIFS(Pedidos!$E$2:$E$2224,"&lt;&gt;")</f>
        <v>0.531713900134953</v>
      </c>
    </row>
    <row r="44" customFormat="false" ht="15" hidden="false" customHeight="false" outlineLevel="0" collapsed="false">
      <c r="B44" s="2" t="s">
        <v>66</v>
      </c>
    </row>
    <row r="46" customFormat="false" ht="15" hidden="false" customHeight="false" outlineLevel="0" collapsed="false">
      <c r="B46" s="8" t="s">
        <v>67</v>
      </c>
    </row>
    <row r="47" customFormat="false" ht="39.55" hidden="false" customHeight="false" outlineLevel="0" collapsed="false">
      <c r="B47" s="9" t="s">
        <v>68</v>
      </c>
      <c r="C47" s="9" t="s">
        <v>16</v>
      </c>
      <c r="D47" s="9" t="s">
        <v>61</v>
      </c>
    </row>
    <row r="48" customFormat="false" ht="15" hidden="false" customHeight="false" outlineLevel="0" collapsed="false">
      <c r="B48" s="33" t="n">
        <v>0</v>
      </c>
      <c r="C48" s="30" t="n">
        <f aca="false">(SUM(Pedidos!$AI$2:$AI$2224)+SUM(Pedidos!$T$2:$T$2224)*($C$40-B48)/(1-Resumo!$B$5))/SUM(Pedidos!$S$2:$S$2224)-1</f>
        <v>0.371990855967772</v>
      </c>
      <c r="D48" s="12" t="n">
        <f aca="false">SUMPRODUCT(--(Pedidos!$AI$2:$AI$2224+Pedidos!$T$2:$T$2224*($C$40-B48)/(1-Resumo!$B$5)&lt;Pedidos!$S$2:$S$2224))/COUNTA(Pedidos!$D$2:$D$2224)</f>
        <v>0.0072007200720072</v>
      </c>
    </row>
    <row r="49" customFormat="false" ht="15" hidden="false" customHeight="false" outlineLevel="0" collapsed="false">
      <c r="B49" s="33" t="n">
        <v>0.2</v>
      </c>
      <c r="C49" s="30" t="n">
        <f aca="false">(SUM(Pedidos!$AI$2:$AI$2224)+SUM(Pedidos!$T$2:$T$2224)*($C$40-B49)/(1-Resumo!$B$5))/SUM(Pedidos!$S$2:$S$2224)-1</f>
        <v>0.147590434071787</v>
      </c>
      <c r="D49" s="12" t="n">
        <f aca="false">SUMPRODUCT(--(Pedidos!$AI$2:$AI$2224+Pedidos!$T$2:$T$2224*($C$40-B49)/(1-Resumo!$B$5)&lt;Pedidos!$S$2:$S$2224))/COUNTA(Pedidos!$D$2:$D$2224)</f>
        <v>0.118361836183618</v>
      </c>
    </row>
    <row r="50" customFormat="false" ht="15" hidden="false" customHeight="false" outlineLevel="0" collapsed="false">
      <c r="B50" s="33" t="n">
        <v>0.25</v>
      </c>
      <c r="C50" s="30" t="n">
        <f aca="false">(SUM(Pedidos!$AI$2:$AI$2224)+SUM(Pedidos!$T$2:$T$2224)*($C$40-B50)/(1-Resumo!$B$5))/SUM(Pedidos!$S$2:$S$2224)-1</f>
        <v>0.0914903285977904</v>
      </c>
      <c r="D50" s="12" t="n">
        <f aca="false">SUMPRODUCT(--(Pedidos!$AI$2:$AI$2224+Pedidos!$T$2:$T$2224*($C$40-B50)/(1-Resumo!$B$5)&lt;Pedidos!$S$2:$S$2224))/COUNTA(Pedidos!$D$2:$D$2224)</f>
        <v>0.18991899189919</v>
      </c>
    </row>
    <row r="51" customFormat="false" ht="15" hidden="false" customHeight="false" outlineLevel="0" collapsed="false">
      <c r="B51" s="33" t="n">
        <v>0.3</v>
      </c>
      <c r="C51" s="30" t="n">
        <f aca="false">(SUM(Pedidos!$AI$2:$AI$2224)+SUM(Pedidos!$T$2:$T$2224)*($C$40-B51)/(1-Resumo!$B$5))/SUM(Pedidos!$S$2:$S$2224)-1</f>
        <v>0.0353902231237941</v>
      </c>
      <c r="D51" s="12" t="n">
        <f aca="false">SUMPRODUCT(--(Pedidos!$AI$2:$AI$2224+Pedidos!$T$2:$T$2224*($C$40-B51)/(1-Resumo!$B$5)&lt;Pedidos!$S$2:$S$2224))/COUNTA(Pedidos!$D$2:$D$2224)</f>
        <v>0.353285328532853</v>
      </c>
    </row>
    <row r="52" customFormat="false" ht="15" hidden="false" customHeight="false" outlineLevel="0" collapsed="false">
      <c r="B52" s="33" t="n">
        <v>0.35</v>
      </c>
      <c r="C52" s="30" t="n">
        <f aca="false">(SUM(Pedidos!$AI$2:$AI$2224)+SUM(Pedidos!$T$2:$T$2224)*($C$40-B52)/(1-Resumo!$B$5))/SUM(Pedidos!$S$2:$S$2224)-1</f>
        <v>-0.020709882350202</v>
      </c>
      <c r="D52" s="12" t="n">
        <f aca="false">SUMPRODUCT(--(Pedidos!$AI$2:$AI$2224+Pedidos!$T$2:$T$2224*($C$40-B52)/(1-Resumo!$B$5)&lt;Pedidos!$S$2:$S$2224))/COUNTA(Pedidos!$D$2:$D$2224)</f>
        <v>0.675967596759676</v>
      </c>
    </row>
    <row r="53" customFormat="false" ht="15" hidden="false" customHeight="false" outlineLevel="0" collapsed="false">
      <c r="B53" s="33" t="n">
        <v>0.4</v>
      </c>
      <c r="C53" s="30" t="n">
        <f aca="false">(SUM(Pedidos!$AI$2:$AI$2224)+SUM(Pedidos!$T$2:$T$2224)*($C$40-B53)/(1-Resumo!$B$5))/SUM(Pedidos!$S$2:$S$2224)-1</f>
        <v>-0.0768099878241983</v>
      </c>
      <c r="D53" s="12" t="n">
        <f aca="false">SUMPRODUCT(--(Pedidos!$AI$2:$AI$2224+Pedidos!$T$2:$T$2224*($C$40-B53)/(1-Resumo!$B$5)&lt;Pedidos!$S$2:$S$2224))/COUNTA(Pedidos!$D$2:$D$2224)</f>
        <v>0.842484248424843</v>
      </c>
    </row>
    <row r="55" customFormat="false" ht="15" hidden="false" customHeight="false" outlineLevel="0" collapsed="false">
      <c r="B55" s="8" t="s">
        <v>69</v>
      </c>
    </row>
    <row r="56" customFormat="false" ht="30" hidden="false" customHeight="true" outlineLevel="0" collapsed="false">
      <c r="B56" s="34" t="s">
        <v>70</v>
      </c>
      <c r="C56" s="35" t="s">
        <v>71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customFormat="false" ht="30" hidden="false" customHeight="true" outlineLevel="0" collapsed="false">
      <c r="B57" s="34" t="s">
        <v>72</v>
      </c>
      <c r="C57" s="35" t="s">
        <v>73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customFormat="false" ht="30" hidden="false" customHeight="true" outlineLevel="0" collapsed="false">
      <c r="B58" s="34" t="s">
        <v>74</v>
      </c>
      <c r="C58" s="35" t="s">
        <v>75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customFormat="false" ht="30" hidden="false" customHeight="true" outlineLevel="0" collapsed="false">
      <c r="B59" s="34" t="s">
        <v>76</v>
      </c>
      <c r="C59" s="35" t="s">
        <v>77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customFormat="false" ht="30" hidden="false" customHeight="true" outlineLevel="0" collapsed="false">
      <c r="B60" s="34" t="s">
        <v>78</v>
      </c>
      <c r="C60" s="35" t="s">
        <v>79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customFormat="false" ht="30" hidden="false" customHeight="true" outlineLevel="0" collapsed="false">
      <c r="B61" s="34" t="s">
        <v>80</v>
      </c>
      <c r="C61" s="35" t="s">
        <v>81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customFormat="false" ht="30" hidden="false" customHeight="true" outlineLevel="0" collapsed="false">
      <c r="B62" s="34" t="s">
        <v>82</v>
      </c>
      <c r="C62" s="35" t="s">
        <v>83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4" customFormat="false" ht="15" hidden="false" customHeight="false" outlineLevel="0" collapsed="false">
      <c r="B64" s="8" t="s">
        <v>84</v>
      </c>
    </row>
  </sheetData>
  <mergeCells count="26">
    <mergeCell ref="B4:D4"/>
    <mergeCell ref="E4:G4"/>
    <mergeCell ref="H4:J4"/>
    <mergeCell ref="K4:M4"/>
    <mergeCell ref="B5:D6"/>
    <mergeCell ref="E5:G6"/>
    <mergeCell ref="H5:J6"/>
    <mergeCell ref="K5:M6"/>
    <mergeCell ref="B7:D7"/>
    <mergeCell ref="E7:G7"/>
    <mergeCell ref="H7:J7"/>
    <mergeCell ref="K7:M7"/>
    <mergeCell ref="B26:B27"/>
    <mergeCell ref="C26:D26"/>
    <mergeCell ref="E26:F26"/>
    <mergeCell ref="G26:H26"/>
    <mergeCell ref="I26:J26"/>
    <mergeCell ref="K26:L26"/>
    <mergeCell ref="M26:N26"/>
    <mergeCell ref="C56:M56"/>
    <mergeCell ref="C57:M57"/>
    <mergeCell ref="C58:M58"/>
    <mergeCell ref="C59:M59"/>
    <mergeCell ref="C60:M60"/>
    <mergeCell ref="C61:M61"/>
    <mergeCell ref="C62:M62"/>
  </mergeCells>
  <conditionalFormatting sqref="L11:L14">
    <cfRule type="expression" priority="2" aboveAverage="0" equalAverage="0" bottom="0" percent="0" rank="0" text="" dxfId="0">
      <formula>L11="AJUSTE FORTE"</formula>
    </cfRule>
    <cfRule type="expression" priority="3" aboveAverage="0" equalAverage="0" bottom="0" percent="0" rank="0" text="" dxfId="1">
      <formula>L11="AJUSTE MODERADO"</formula>
    </cfRule>
    <cfRule type="expression" priority="4" aboveAverage="0" equalAverage="0" bottom="0" percent="0" rank="0" text="" dxfId="2">
      <formula>L11="COMPETITIVO"</formula>
    </cfRule>
  </conditionalFormatting>
  <conditionalFormatting sqref="C19:M22">
    <cfRule type="colorScale" priority="5">
      <colorScale>
        <cfvo type="num" val="0"/>
        <cfvo type="num" val="0.3"/>
        <cfvo type="num" val="0.6"/>
        <color rgb="FF63BE7B"/>
        <color rgb="FFFFEB84"/>
        <color rgb="FFF8696B"/>
      </colorScale>
    </cfRule>
  </conditionalFormatting>
  <conditionalFormatting sqref="G40:G43">
    <cfRule type="colorScale" priority="6">
      <colorScale>
        <cfvo type="num" val="-0.2"/>
        <cfvo type="num" val="0"/>
        <cfvo type="num" val="0.5"/>
        <color rgb="FF63BE7B"/>
        <color rgb="FFFFFFFF"/>
        <color rgb="FFF8696B"/>
      </colorScale>
    </cfRule>
  </conditionalFormatting>
  <conditionalFormatting sqref="C48:C53">
    <cfRule type="colorScale" priority="7">
      <colorScale>
        <cfvo type="num" val="-0.2"/>
        <cfvo type="num" val="0"/>
        <cfvo type="num" val="0.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36" t="s">
        <v>85</v>
      </c>
    </row>
    <row r="3" customFormat="false" ht="15" hidden="false" customHeight="false" outlineLevel="0" collapsed="false">
      <c r="A3" s="37" t="s">
        <v>86</v>
      </c>
    </row>
    <row r="4" customFormat="false" ht="15" hidden="false" customHeight="false" outlineLevel="0" collapsed="false">
      <c r="A4" s="9" t="s">
        <v>87</v>
      </c>
      <c r="B4" s="9" t="s">
        <v>88</v>
      </c>
      <c r="C4" s="9" t="s">
        <v>89</v>
      </c>
      <c r="D4" s="9" t="s">
        <v>90</v>
      </c>
    </row>
    <row r="5" customFormat="false" ht="15" hidden="false" customHeight="false" outlineLevel="0" collapsed="false">
      <c r="A5" s="10" t="s">
        <v>91</v>
      </c>
      <c r="B5" s="38" t="n">
        <v>0.12</v>
      </c>
      <c r="C5" s="38" t="n">
        <v>0.12</v>
      </c>
      <c r="D5" s="10" t="s">
        <v>92</v>
      </c>
    </row>
    <row r="6" customFormat="false" ht="15" hidden="false" customHeight="false" outlineLevel="0" collapsed="false">
      <c r="A6" s="10" t="s">
        <v>93</v>
      </c>
      <c r="B6" s="39" t="n">
        <v>0.001</v>
      </c>
      <c r="C6" s="39" t="n">
        <v>0</v>
      </c>
      <c r="D6" s="10" t="s">
        <v>94</v>
      </c>
    </row>
    <row r="7" customFormat="false" ht="15" hidden="false" customHeight="false" outlineLevel="0" collapsed="false">
      <c r="A7" s="10" t="s">
        <v>95</v>
      </c>
      <c r="B7" s="39" t="n">
        <v>0.002</v>
      </c>
      <c r="C7" s="39" t="n">
        <v>0.0021</v>
      </c>
      <c r="D7" s="10" t="s">
        <v>94</v>
      </c>
    </row>
    <row r="8" customFormat="false" ht="15" hidden="false" customHeight="false" outlineLevel="0" collapsed="false">
      <c r="A8" s="10" t="s">
        <v>96</v>
      </c>
      <c r="B8" s="39" t="n">
        <v>0</v>
      </c>
      <c r="C8" s="39" t="n">
        <v>0.0021</v>
      </c>
      <c r="D8" s="10" t="s">
        <v>97</v>
      </c>
    </row>
    <row r="9" customFormat="false" ht="15" hidden="false" customHeight="false" outlineLevel="0" collapsed="false">
      <c r="A9" s="10" t="s">
        <v>98</v>
      </c>
      <c r="B9" s="40" t="n">
        <v>1</v>
      </c>
      <c r="C9" s="40" t="n">
        <v>0</v>
      </c>
      <c r="D9" s="10" t="s">
        <v>99</v>
      </c>
    </row>
    <row r="10" customFormat="false" ht="15" hidden="false" customHeight="false" outlineLevel="0" collapsed="false">
      <c r="A10" s="10" t="s">
        <v>100</v>
      </c>
      <c r="B10" s="40" t="n">
        <v>4.5</v>
      </c>
      <c r="C10" s="40" t="n">
        <v>1.05</v>
      </c>
      <c r="D10" s="10" t="s">
        <v>94</v>
      </c>
    </row>
    <row r="11" customFormat="false" ht="15" hidden="false" customHeight="false" outlineLevel="0" collapsed="false">
      <c r="A11" s="10" t="s">
        <v>101</v>
      </c>
      <c r="B11" s="41" t="n">
        <v>0</v>
      </c>
      <c r="C11" s="41" t="n">
        <v>0</v>
      </c>
      <c r="D11" s="10" t="s">
        <v>102</v>
      </c>
    </row>
    <row r="12" customFormat="false" ht="15" hidden="false" customHeight="false" outlineLevel="0" collapsed="false">
      <c r="A12" s="10" t="s">
        <v>103</v>
      </c>
      <c r="B12" s="40" t="n">
        <v>0.06</v>
      </c>
      <c r="C12" s="40" t="n">
        <v>0</v>
      </c>
      <c r="D12" s="10" t="s">
        <v>104</v>
      </c>
    </row>
    <row r="13" customFormat="false" ht="15" hidden="false" customHeight="false" outlineLevel="0" collapsed="false">
      <c r="A13" s="10" t="s">
        <v>105</v>
      </c>
      <c r="B13" s="40" t="n">
        <v>0</v>
      </c>
      <c r="C13" s="40" t="n">
        <v>13.55</v>
      </c>
      <c r="D13" s="10" t="s">
        <v>106</v>
      </c>
    </row>
    <row r="14" customFormat="false" ht="15" hidden="false" customHeight="false" outlineLevel="0" collapsed="false">
      <c r="A14" s="10" t="s">
        <v>107</v>
      </c>
      <c r="B14" s="40" t="n">
        <v>0.45</v>
      </c>
      <c r="C14" s="40" t="n">
        <v>0.45</v>
      </c>
      <c r="D14" s="10" t="s">
        <v>108</v>
      </c>
    </row>
    <row r="15" customFormat="false" ht="15" hidden="false" customHeight="false" outlineLevel="0" collapsed="false">
      <c r="A15" s="10" t="s">
        <v>109</v>
      </c>
      <c r="B15" s="42" t="n">
        <v>0</v>
      </c>
      <c r="C15" s="42" t="n">
        <v>300</v>
      </c>
      <c r="D15" s="10" t="s">
        <v>110</v>
      </c>
    </row>
    <row r="18" customFormat="false" ht="15" hidden="false" customHeight="false" outlineLevel="0" collapsed="false">
      <c r="A18" s="37" t="s">
        <v>111</v>
      </c>
    </row>
    <row r="19" customFormat="false" ht="26.85" hidden="false" customHeight="false" outlineLevel="0" collapsed="false">
      <c r="A19" s="9" t="s">
        <v>112</v>
      </c>
      <c r="B19" s="9" t="s">
        <v>89</v>
      </c>
      <c r="C19" s="9" t="s">
        <v>113</v>
      </c>
      <c r="D19" s="9" t="s">
        <v>114</v>
      </c>
    </row>
    <row r="20" customFormat="false" ht="15" hidden="false" customHeight="false" outlineLevel="0" collapsed="false">
      <c r="A20" s="10" t="s">
        <v>12</v>
      </c>
      <c r="B20" s="11" t="n">
        <f aca="false">COUNTA(Pedidos!$D$2:$D$2224)</f>
        <v>2222</v>
      </c>
      <c r="C20" s="11" t="n">
        <f aca="false">COUNTA(Pedidos!$D$2:$D$2224)</f>
        <v>2222</v>
      </c>
      <c r="D20" s="43"/>
    </row>
    <row r="21" customFormat="false" ht="15" hidden="false" customHeight="false" outlineLevel="0" collapsed="false">
      <c r="A21" s="10" t="s">
        <v>115</v>
      </c>
      <c r="B21" s="13" t="n">
        <f aca="false">SUM(Pedidos!$S$2:$S$2224)</f>
        <v>269491.877056818</v>
      </c>
      <c r="C21" s="13" t="n">
        <f aca="false">SUM(Pedidos!$AB$2:$AB$2224)</f>
        <v>386659.641079546</v>
      </c>
      <c r="D21" s="44" t="n">
        <f aca="false">C21/B21-1</f>
        <v>0.434772896691147</v>
      </c>
    </row>
    <row r="22" customFormat="false" ht="15" hidden="false" customHeight="false" outlineLevel="0" collapsed="false">
      <c r="A22" s="10" t="s">
        <v>116</v>
      </c>
      <c r="B22" s="13" t="n">
        <f aca="false">AVERAGE(Pedidos!$S$2:$S$2224)</f>
        <v>121.228914555474</v>
      </c>
      <c r="C22" s="13" t="n">
        <f aca="false">AVERAGE(Pedidos!$AB$2:$AB$2224)</f>
        <v>173.935960899481</v>
      </c>
      <c r="D22" s="44" t="n">
        <f aca="false">C22/B22-1</f>
        <v>0.434772896691147</v>
      </c>
    </row>
    <row r="23" customFormat="false" ht="15" hidden="false" customHeight="false" outlineLevel="0" collapsed="false">
      <c r="A23" s="10" t="s">
        <v>117</v>
      </c>
      <c r="B23" s="45" t="n">
        <f aca="false">SUM(Pedidos!$S$2:$S$2224)/SUM(Pedidos!$H$2:$H$2224)</f>
        <v>0.188878781448305</v>
      </c>
      <c r="C23" s="45" t="n">
        <f aca="false">SUM(Pedidos!$AB$2:$AB$2224)/SUM(Pedidos!$H$2:$H$2224)</f>
        <v>0.270998156382079</v>
      </c>
      <c r="D23" s="30" t="n">
        <f aca="false">C23-B23</f>
        <v>0.0821193749337738</v>
      </c>
    </row>
    <row r="24" customFormat="false" ht="15" hidden="false" customHeight="false" outlineLevel="0" collapsed="false">
      <c r="A24" s="10" t="s">
        <v>118</v>
      </c>
      <c r="B24" s="46"/>
      <c r="C24" s="45" t="n">
        <f aca="false">COUNTIF(Pedidos!$AE$2:$AE$2224,"SIM")/B20</f>
        <v>0.00675067506750675</v>
      </c>
      <c r="D24" s="43"/>
    </row>
    <row r="25" customFormat="false" ht="15" hidden="false" customHeight="false" outlineLevel="0" collapsed="false">
      <c r="A25" s="10" t="s">
        <v>119</v>
      </c>
      <c r="B25" s="15" t="n">
        <f aca="false">AVERAGE(Pedidos!$AF$2:$AF$2224)</f>
        <v>5.22132253711201</v>
      </c>
      <c r="C25" s="15" t="n">
        <f aca="false">AVERAGE(Pedidos!$AG$2:$AG$2224)</f>
        <v>6.46693657219973</v>
      </c>
      <c r="D25" s="47" t="n">
        <f aca="false">C25-B25</f>
        <v>1.24561403508772</v>
      </c>
    </row>
    <row r="30" customFormat="false" ht="15" hidden="false" customHeight="false" outlineLevel="0" collapsed="false">
      <c r="A30" s="37" t="s">
        <v>120</v>
      </c>
    </row>
    <row r="31" customFormat="false" ht="15" hidden="false" customHeight="false" outlineLevel="0" collapsed="false">
      <c r="A31" s="9" t="s">
        <v>121</v>
      </c>
      <c r="B31" s="9" t="s">
        <v>89</v>
      </c>
      <c r="C31" s="9" t="s">
        <v>88</v>
      </c>
      <c r="D31" s="9" t="s">
        <v>122</v>
      </c>
      <c r="E31" s="9" t="s">
        <v>123</v>
      </c>
    </row>
    <row r="32" customFormat="false" ht="15" hidden="false" customHeight="false" outlineLevel="0" collapsed="false">
      <c r="A32" s="10" t="s">
        <v>124</v>
      </c>
      <c r="B32" s="13" t="n">
        <f aca="false">AVERAGE(Pedidos!$I$2:$I$2224)</f>
        <v>66.6920827710301</v>
      </c>
      <c r="C32" s="13" t="n">
        <f aca="false">AVERAGE(Pedidos!$T$2:$T$2224)</f>
        <v>119.696806117859</v>
      </c>
      <c r="D32" s="13" t="n">
        <f aca="false">C32-B32</f>
        <v>53.0047233468286</v>
      </c>
      <c r="E32" s="44" t="n">
        <f aca="false">D32/$D$43</f>
        <v>1.00564776483355</v>
      </c>
    </row>
    <row r="33" customFormat="false" ht="15" hidden="false" customHeight="false" outlineLevel="0" collapsed="false">
      <c r="A33" s="10" t="s">
        <v>125</v>
      </c>
      <c r="B33" s="13" t="n">
        <f aca="false">AVERAGE(Pedidos!$J$2:$J$2224)</f>
        <v>0</v>
      </c>
      <c r="C33" s="13" t="n">
        <f aca="false">AVERAGE(Pedidos!$U$2:$U$2224)</f>
        <v>0.641834480431849</v>
      </c>
      <c r="D33" s="13" t="n">
        <f aca="false">C33-B33</f>
        <v>0.641834480431849</v>
      </c>
      <c r="E33" s="44" t="n">
        <f aca="false">D33/$D$43</f>
        <v>0.0121773941996814</v>
      </c>
    </row>
    <row r="34" customFormat="false" ht="15" hidden="false" customHeight="false" outlineLevel="0" collapsed="false">
      <c r="A34" s="10" t="s">
        <v>126</v>
      </c>
      <c r="B34" s="13" t="n">
        <f aca="false">AVERAGE(Pedidos!$K$2:$K$2224)</f>
        <v>1.34785240890688</v>
      </c>
      <c r="C34" s="13" t="n">
        <f aca="false">AVERAGE(Pedidos!$V$2:$V$2224)</f>
        <v>1.2836689608637</v>
      </c>
      <c r="D34" s="13" t="n">
        <f aca="false">C34-B34</f>
        <v>-0.0641834480431849</v>
      </c>
      <c r="E34" s="44" t="n">
        <f aca="false">D34/$D$43</f>
        <v>-0.00121773941996814</v>
      </c>
    </row>
    <row r="35" customFormat="false" ht="15" hidden="false" customHeight="false" outlineLevel="0" collapsed="false">
      <c r="A35" s="10" t="s">
        <v>127</v>
      </c>
      <c r="B35" s="13" t="n">
        <f aca="false">AVERAGE(Pedidos!$L$2:$L$2224)</f>
        <v>1.34785240890688</v>
      </c>
      <c r="C35" s="13" t="n">
        <v>0</v>
      </c>
      <c r="D35" s="13" t="n">
        <f aca="false">C35-B35</f>
        <v>-1.34785240890688</v>
      </c>
      <c r="E35" s="44" t="n">
        <f aca="false">D35/$D$43</f>
        <v>-0.025572527819331</v>
      </c>
    </row>
    <row r="36" customFormat="false" ht="15" hidden="false" customHeight="false" outlineLevel="0" collapsed="false">
      <c r="A36" s="10" t="s">
        <v>128</v>
      </c>
      <c r="B36" s="13" t="n">
        <f aca="false">AVERAGE(Pedidos!$N$2:$N$2224)</f>
        <v>0</v>
      </c>
      <c r="C36" s="13" t="n">
        <f aca="false">AVERAGE(Pedidos!$W$2:$W$2224)</f>
        <v>1</v>
      </c>
      <c r="D36" s="13" t="n">
        <f aca="false">C36-B36</f>
        <v>1</v>
      </c>
      <c r="E36" s="44" t="n">
        <f aca="false">D36/$D$43</f>
        <v>0.0189727952781347</v>
      </c>
    </row>
    <row r="37" customFormat="false" ht="15" hidden="false" customHeight="false" outlineLevel="0" collapsed="false">
      <c r="A37" s="10" t="s">
        <v>129</v>
      </c>
      <c r="B37" s="13" t="n">
        <f aca="false">AVERAGE(Pedidos!$M$2:$M$2224)</f>
        <v>1.12037786774629</v>
      </c>
      <c r="C37" s="13" t="n">
        <f aca="false">AVERAGE(Pedidos!$X$2:$X$2224)</f>
        <v>4.80161943319838</v>
      </c>
      <c r="D37" s="13" t="n">
        <f aca="false">C37-B37</f>
        <v>3.68124156545209</v>
      </c>
      <c r="E37" s="44" t="n">
        <f aca="false">D37/$D$43</f>
        <v>0.0698434425906826</v>
      </c>
    </row>
    <row r="38" customFormat="false" ht="15" hidden="false" customHeight="false" outlineLevel="0" collapsed="false">
      <c r="A38" s="10" t="s">
        <v>130</v>
      </c>
      <c r="B38" s="13" t="n">
        <f aca="false">AVERAGE(Pedidos!$O$2:$O$2224)</f>
        <v>13.55</v>
      </c>
      <c r="C38" s="13" t="n">
        <f aca="false">AVERAGE(Pedidos!$Y$2:$Y$2224)</f>
        <v>3.01643724696356</v>
      </c>
      <c r="D38" s="13" t="n">
        <f aca="false">C38-B38</f>
        <v>-10.5335627530364</v>
      </c>
      <c r="E38" s="44" t="n">
        <f aca="false">D38/$D$43</f>
        <v>-0.199851129662745</v>
      </c>
    </row>
    <row r="39" customFormat="false" ht="15" hidden="false" customHeight="false" outlineLevel="0" collapsed="false">
      <c r="A39" s="10" t="s">
        <v>131</v>
      </c>
      <c r="B39" s="13" t="n">
        <f aca="false">AVERAGE(Pedidos!$P$2:$P$2224)</f>
        <v>22.6232793522267</v>
      </c>
      <c r="C39" s="13" t="n">
        <f aca="false">AVERAGE(Pedidos!$Z$2:$Z$2224)</f>
        <v>22.6232793522267</v>
      </c>
      <c r="D39" s="13" t="n">
        <f aca="false">C39-B39</f>
        <v>0</v>
      </c>
      <c r="E39" s="44" t="n">
        <f aca="false">D39/$D$43</f>
        <v>0</v>
      </c>
    </row>
    <row r="40" customFormat="false" ht="15" hidden="false" customHeight="false" outlineLevel="0" collapsed="false">
      <c r="A40" s="10" t="s">
        <v>132</v>
      </c>
      <c r="B40" s="13" t="n">
        <f aca="false">AVERAGE(Pedidos!$Q$2:$Q$2224)</f>
        <v>0</v>
      </c>
      <c r="C40" s="13" t="n">
        <v>0</v>
      </c>
      <c r="D40" s="13" t="n">
        <f aca="false">C40-B40</f>
        <v>0</v>
      </c>
      <c r="E40" s="44" t="n">
        <f aca="false">D40/$D$43</f>
        <v>0</v>
      </c>
    </row>
    <row r="41" customFormat="false" ht="15" hidden="false" customHeight="false" outlineLevel="0" collapsed="false">
      <c r="A41" s="10" t="s">
        <v>133</v>
      </c>
      <c r="B41" s="13" t="n">
        <f aca="false">AVERAGE(Pedidos!$S$2:$S$2224)-AVERAGE(Pedidos!$R$2:$R$2224)</f>
        <v>14.5474697466569</v>
      </c>
      <c r="C41" s="13" t="n">
        <f aca="false">AVERAGE(Pedidos!$AB$2:$AB$2224)-AVERAGE(Pedidos!$AA$2:$AA$2224)</f>
        <v>20.8723153079377</v>
      </c>
      <c r="D41" s="13" t="n">
        <f aca="false">C41-B41</f>
        <v>6.32484556128081</v>
      </c>
      <c r="E41" s="44" t="n">
        <f aca="false">D41/$D$43</f>
        <v>0.12</v>
      </c>
    </row>
    <row r="43" customFormat="false" ht="15" hidden="false" customHeight="false" outlineLevel="0" collapsed="false">
      <c r="A43" s="16" t="s">
        <v>25</v>
      </c>
      <c r="B43" s="19" t="n">
        <f aca="false">SUM(B32:B41)</f>
        <v>121.228914555474</v>
      </c>
      <c r="C43" s="19" t="n">
        <f aca="false">SUM(C32:C41)</f>
        <v>173.935960899481</v>
      </c>
      <c r="D43" s="19" t="n">
        <f aca="false">C43-B43</f>
        <v>52.7070463440069</v>
      </c>
      <c r="E43" s="48" t="n">
        <f aca="false">D43/$D$43</f>
        <v>1</v>
      </c>
    </row>
  </sheetData>
  <conditionalFormatting sqref="D32:D41">
    <cfRule type="colorScale" priority="2">
      <colorScale>
        <cfvo type="num" val="-15"/>
        <cfvo type="num" val="0"/>
        <cfvo type="num" val="4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64"/>
  </cols>
  <sheetData>
    <row r="1" customFormat="false" ht="17.35" hidden="false" customHeight="false" outlineLevel="0" collapsed="false">
      <c r="A1" s="36" t="s">
        <v>134</v>
      </c>
    </row>
    <row r="3" customFormat="false" ht="30" hidden="false" customHeight="true" outlineLevel="0" collapsed="false">
      <c r="A3" s="9" t="s">
        <v>135</v>
      </c>
      <c r="B3" s="9" t="s">
        <v>113</v>
      </c>
      <c r="C3" s="9" t="s">
        <v>89</v>
      </c>
      <c r="D3" s="9" t="s">
        <v>136</v>
      </c>
      <c r="E3" s="9" t="s">
        <v>137</v>
      </c>
    </row>
    <row r="4" customFormat="false" ht="39.55" hidden="false" customHeight="false" outlineLevel="0" collapsed="false">
      <c r="A4" s="49" t="s">
        <v>138</v>
      </c>
      <c r="B4" s="49" t="s">
        <v>139</v>
      </c>
      <c r="C4" s="49" t="s">
        <v>140</v>
      </c>
      <c r="D4" s="50" t="s">
        <v>141</v>
      </c>
      <c r="E4" s="49" t="s">
        <v>142</v>
      </c>
    </row>
    <row r="5" customFormat="false" ht="26.85" hidden="false" customHeight="false" outlineLevel="0" collapsed="false">
      <c r="A5" s="49" t="s">
        <v>143</v>
      </c>
      <c r="B5" s="49" t="s">
        <v>144</v>
      </c>
      <c r="C5" s="49" t="s">
        <v>145</v>
      </c>
      <c r="D5" s="51" t="s">
        <v>89</v>
      </c>
      <c r="E5" s="49" t="s">
        <v>146</v>
      </c>
    </row>
    <row r="6" customFormat="false" ht="26.85" hidden="false" customHeight="false" outlineLevel="0" collapsed="false">
      <c r="A6" s="49" t="s">
        <v>147</v>
      </c>
      <c r="B6" s="49" t="s">
        <v>148</v>
      </c>
      <c r="C6" s="49" t="s">
        <v>149</v>
      </c>
      <c r="D6" s="51" t="s">
        <v>89</v>
      </c>
      <c r="E6" s="49" t="s">
        <v>150</v>
      </c>
    </row>
    <row r="7" customFormat="false" ht="26.85" hidden="false" customHeight="false" outlineLevel="0" collapsed="false">
      <c r="A7" s="49" t="s">
        <v>151</v>
      </c>
      <c r="B7" s="49" t="s">
        <v>152</v>
      </c>
      <c r="C7" s="49" t="s">
        <v>153</v>
      </c>
      <c r="D7" s="51" t="s">
        <v>89</v>
      </c>
      <c r="E7" s="49" t="s">
        <v>154</v>
      </c>
    </row>
    <row r="8" customFormat="false" ht="26.85" hidden="false" customHeight="false" outlineLevel="0" collapsed="false">
      <c r="A8" s="49" t="s">
        <v>155</v>
      </c>
      <c r="B8" s="49" t="s">
        <v>156</v>
      </c>
      <c r="C8" s="49" t="s">
        <v>157</v>
      </c>
      <c r="D8" s="51" t="s">
        <v>89</v>
      </c>
      <c r="E8" s="49" t="s">
        <v>158</v>
      </c>
    </row>
    <row r="9" customFormat="false" ht="26.85" hidden="false" customHeight="false" outlineLevel="0" collapsed="false">
      <c r="A9" s="49" t="s">
        <v>159</v>
      </c>
      <c r="B9" s="49" t="s">
        <v>160</v>
      </c>
      <c r="C9" s="49" t="s">
        <v>161</v>
      </c>
      <c r="D9" s="51" t="s">
        <v>89</v>
      </c>
      <c r="E9" s="49" t="s">
        <v>162</v>
      </c>
    </row>
    <row r="10" customFormat="false" ht="26.85" hidden="false" customHeight="false" outlineLevel="0" collapsed="false">
      <c r="A10" s="49" t="s">
        <v>163</v>
      </c>
      <c r="B10" s="49" t="s">
        <v>164</v>
      </c>
      <c r="C10" s="49" t="s">
        <v>165</v>
      </c>
      <c r="D10" s="52" t="s">
        <v>88</v>
      </c>
      <c r="E10" s="49" t="s">
        <v>166</v>
      </c>
    </row>
    <row r="11" customFormat="false" ht="26.85" hidden="false" customHeight="false" outlineLevel="0" collapsed="false">
      <c r="A11" s="49" t="s">
        <v>167</v>
      </c>
      <c r="B11" s="49" t="s">
        <v>168</v>
      </c>
      <c r="C11" s="49" t="s">
        <v>169</v>
      </c>
      <c r="D11" s="51" t="s">
        <v>89</v>
      </c>
      <c r="E11" s="49" t="s">
        <v>170</v>
      </c>
    </row>
    <row r="12" customFormat="false" ht="15" hidden="false" customHeight="false" outlineLevel="0" collapsed="false">
      <c r="A12" s="49" t="s">
        <v>171</v>
      </c>
      <c r="B12" s="49" t="s">
        <v>172</v>
      </c>
      <c r="C12" s="49" t="s">
        <v>172</v>
      </c>
      <c r="D12" s="50" t="s">
        <v>173</v>
      </c>
      <c r="E12" s="49" t="s">
        <v>174</v>
      </c>
    </row>
    <row r="13" customFormat="false" ht="15" hidden="false" customHeight="false" outlineLevel="0" collapsed="false">
      <c r="A13" s="49" t="s">
        <v>175</v>
      </c>
      <c r="B13" s="49" t="s">
        <v>176</v>
      </c>
      <c r="C13" s="49" t="s">
        <v>177</v>
      </c>
      <c r="D13" s="52" t="s">
        <v>88</v>
      </c>
      <c r="E13" s="49" t="s">
        <v>178</v>
      </c>
    </row>
    <row r="14" customFormat="false" ht="15" hidden="false" customHeight="false" outlineLevel="0" collapsed="false">
      <c r="A14" s="49" t="s">
        <v>126</v>
      </c>
      <c r="B14" s="49" t="s">
        <v>179</v>
      </c>
      <c r="C14" s="49" t="s">
        <v>180</v>
      </c>
      <c r="D14" s="52" t="s">
        <v>88</v>
      </c>
      <c r="E14" s="49" t="s">
        <v>181</v>
      </c>
    </row>
    <row r="15" customFormat="false" ht="15" hidden="false" customHeight="false" outlineLevel="0" collapsed="false">
      <c r="A15" s="49" t="s">
        <v>132</v>
      </c>
      <c r="B15" s="49" t="s">
        <v>169</v>
      </c>
      <c r="C15" s="49" t="s">
        <v>169</v>
      </c>
      <c r="D15" s="50" t="s">
        <v>173</v>
      </c>
      <c r="E15" s="49"/>
    </row>
    <row r="16" customFormat="false" ht="26.85" hidden="false" customHeight="false" outlineLevel="0" collapsed="false">
      <c r="A16" s="49" t="s">
        <v>129</v>
      </c>
      <c r="B16" s="49" t="s">
        <v>182</v>
      </c>
      <c r="C16" s="49" t="s">
        <v>183</v>
      </c>
      <c r="D16" s="51" t="s">
        <v>89</v>
      </c>
      <c r="E16" s="49" t="s">
        <v>184</v>
      </c>
    </row>
    <row r="17" customFormat="false" ht="15" hidden="false" customHeight="false" outlineLevel="0" collapsed="false">
      <c r="A17" s="49" t="s">
        <v>185</v>
      </c>
      <c r="B17" s="49" t="s">
        <v>186</v>
      </c>
      <c r="C17" s="49" t="s">
        <v>187</v>
      </c>
      <c r="D17" s="52" t="s">
        <v>88</v>
      </c>
      <c r="E17" s="49" t="s">
        <v>188</v>
      </c>
    </row>
    <row r="18" customFormat="false" ht="26.85" hidden="false" customHeight="false" outlineLevel="0" collapsed="false">
      <c r="A18" s="49" t="s">
        <v>189</v>
      </c>
      <c r="B18" s="49" t="s">
        <v>190</v>
      </c>
      <c r="C18" s="49" t="s">
        <v>191</v>
      </c>
      <c r="D18" s="51" t="s">
        <v>89</v>
      </c>
      <c r="E18" s="49" t="s">
        <v>192</v>
      </c>
    </row>
    <row r="19" customFormat="false" ht="26.85" hidden="false" customHeight="false" outlineLevel="0" collapsed="false">
      <c r="A19" s="49" t="s">
        <v>193</v>
      </c>
      <c r="B19" s="49" t="s">
        <v>194</v>
      </c>
      <c r="C19" s="49" t="s">
        <v>195</v>
      </c>
      <c r="D19" s="51" t="s">
        <v>89</v>
      </c>
      <c r="E19" s="49" t="s">
        <v>196</v>
      </c>
    </row>
    <row r="20" customFormat="false" ht="15" hidden="false" customHeight="false" outlineLevel="0" collapsed="false">
      <c r="A20" s="49" t="s">
        <v>197</v>
      </c>
      <c r="B20" s="49" t="s">
        <v>198</v>
      </c>
      <c r="C20" s="49" t="s">
        <v>199</v>
      </c>
      <c r="D20" s="52" t="s">
        <v>88</v>
      </c>
      <c r="E20" s="49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6" min="4" style="0" width="9"/>
    <col collapsed="false" customWidth="true" hidden="false" outlineLevel="0" max="9" min="7" style="0" width="11"/>
    <col collapsed="false" customWidth="true" hidden="false" outlineLevel="0" max="12" min="10" style="0" width="10"/>
    <col collapsed="false" customWidth="true" hidden="false" outlineLevel="0" max="14" min="13" style="0" width="11"/>
    <col collapsed="false" customWidth="true" hidden="false" outlineLevel="0" max="16" min="15" style="0" width="8"/>
    <col collapsed="false" customWidth="true" hidden="false" outlineLevel="0" max="17" min="17" style="0" width="14"/>
    <col collapsed="false" customWidth="true" hidden="false" outlineLevel="0" max="18" min="18" style="0" width="18"/>
  </cols>
  <sheetData>
    <row r="1" customFormat="false" ht="17.35" hidden="false" customHeight="false" outlineLevel="0" collapsed="false">
      <c r="A1" s="36" t="s">
        <v>201</v>
      </c>
    </row>
    <row r="3" customFormat="false" ht="60" hidden="false" customHeight="true" outlineLevel="0" collapsed="false">
      <c r="A3" s="9" t="s">
        <v>202</v>
      </c>
      <c r="B3" s="9" t="s">
        <v>43</v>
      </c>
      <c r="C3" s="9" t="s">
        <v>203</v>
      </c>
      <c r="D3" s="9" t="s">
        <v>12</v>
      </c>
      <c r="E3" s="9" t="s">
        <v>204</v>
      </c>
      <c r="F3" s="9" t="s">
        <v>205</v>
      </c>
      <c r="G3" s="9" t="s">
        <v>206</v>
      </c>
      <c r="H3" s="9" t="s">
        <v>207</v>
      </c>
      <c r="I3" s="9" t="s">
        <v>208</v>
      </c>
      <c r="J3" s="9" t="s">
        <v>16</v>
      </c>
      <c r="K3" s="9" t="s">
        <v>209</v>
      </c>
      <c r="L3" s="9" t="s">
        <v>210</v>
      </c>
      <c r="M3" s="9" t="s">
        <v>211</v>
      </c>
      <c r="N3" s="9" t="s">
        <v>17</v>
      </c>
      <c r="O3" s="9" t="s">
        <v>212</v>
      </c>
      <c r="P3" s="9" t="s">
        <v>213</v>
      </c>
      <c r="Q3" s="9" t="s">
        <v>214</v>
      </c>
      <c r="R3" s="9" t="s">
        <v>215</v>
      </c>
    </row>
    <row r="4" customFormat="false" ht="15" hidden="false" customHeight="false" outlineLevel="0" collapsed="false">
      <c r="A4" s="10" t="n">
        <v>1</v>
      </c>
      <c r="B4" s="10" t="s">
        <v>46</v>
      </c>
      <c r="C4" s="10" t="str">
        <f aca="false">INDEX(Pedidos!$E$2:$E$2224,MATCH($B4,Pedidos!$D$2:$D$2224,0))</f>
        <v>Capital</v>
      </c>
      <c r="D4" s="11" t="n">
        <f aca="false">COUNTIFS(Pedidos!$D$2:$D$2224,$B4)</f>
        <v>1030</v>
      </c>
      <c r="E4" s="45" t="n">
        <f aca="false">D4/Resumo!$B$20</f>
        <v>0.463546354635464</v>
      </c>
      <c r="F4" s="15" t="n">
        <f aca="false">AVERAGEIFS(Pedidos!$G$2:$G$2224,Pedidos!$D$2:$D$2224,$B4)</f>
        <v>47.5796310679612</v>
      </c>
      <c r="G4" s="13" t="n">
        <f aca="false">AVERAGEIFS(Pedidos!$H$2:$H$2224,Pedidos!$D$2:$D$2224,$B4)</f>
        <v>617.434932038835</v>
      </c>
      <c r="H4" s="13" t="n">
        <f aca="false">AVERAGEIFS(Pedidos!$S$2:$S$2224,Pedidos!$D$2:$D$2224,$B4)</f>
        <v>106.446120383936</v>
      </c>
      <c r="I4" s="13" t="n">
        <f aca="false">AVERAGEIFS(Pedidos!$AB$2:$AB$2224,Pedidos!$D$2:$D$2224,$B4)</f>
        <v>156.292987577229</v>
      </c>
      <c r="J4" s="44" t="n">
        <f aca="false">I4/H4-1</f>
        <v>0.46828261108532</v>
      </c>
      <c r="K4" s="45" t="n">
        <f aca="false">SUMIFS(Pedidos!$S$2:$S$2224,Pedidos!$D$2:$D$2224,$B4)/SUMIFS(Pedidos!$H$2:$H$2224,Pedidos!$D$2:$D$2224,$B4)</f>
        <v>0.17240054758878</v>
      </c>
      <c r="L4" s="45" t="n">
        <f aca="false">SUMIFS(Pedidos!$AB$2:$AB$2224,Pedidos!$D$2:$D$2224,$B4)/SUMIFS(Pedidos!$H$2:$H$2224,Pedidos!$D$2:$D$2224,$B4)</f>
        <v>0.253132726166193</v>
      </c>
      <c r="M4" s="45" t="n">
        <f aca="false">COUNTIFS(Pedidos!$D$2:$D$2224,$B4,Pedidos!$AE$2:$AE$2224,"SIM")/D4</f>
        <v>0</v>
      </c>
      <c r="N4" s="44" t="n">
        <f aca="false">SUMIFS(Pedidos!$T$2:$T$2224,Pedidos!$D$2:$D$2224,$B4)/SUMIFS(Pedidos!$I$2:$I$2224,Pedidos!$D$2:$D$2224,$B4)-1</f>
        <v>0.92329099607185</v>
      </c>
      <c r="O4" s="15" t="n">
        <f aca="false">AVERAGEIFS(Pedidos!$AF$2:$AF$2224,Pedidos!$D$2:$D$2224,$B4)</f>
        <v>2</v>
      </c>
      <c r="P4" s="15" t="n">
        <f aca="false">AVERAGEIFS(Pedidos!$AG$2:$AG$2224,Pedidos!$D$2:$D$2224,$B4)</f>
        <v>5</v>
      </c>
      <c r="Q4" s="45" t="n">
        <f aca="false">MAX(0,1-H4/I4)</f>
        <v>0.318932205251125</v>
      </c>
      <c r="R4" s="10" t="str">
        <f aca="false">IF(J4&lt;=0,"Muito bem",IF(J4&lt;=0.32,"Melhor posição",IF(J4&lt;=0.45,"Intermediária","Precisa melhorar")))</f>
        <v>Precisa melhorar</v>
      </c>
    </row>
    <row r="5" customFormat="false" ht="15" hidden="false" customHeight="false" outlineLevel="0" collapsed="false">
      <c r="A5" s="10" t="n">
        <v>2</v>
      </c>
      <c r="B5" s="10" t="s">
        <v>47</v>
      </c>
      <c r="C5" s="10" t="str">
        <f aca="false">INDEX(Pedidos!$E$2:$E$2224,MATCH($B5,Pedidos!$D$2:$D$2224,0))</f>
        <v>Metropolitana</v>
      </c>
      <c r="D5" s="11" t="n">
        <f aca="false">COUNTIFS(Pedidos!$D$2:$D$2224,$B5)</f>
        <v>135</v>
      </c>
      <c r="E5" s="45" t="n">
        <f aca="false">D5/Resumo!$B$20</f>
        <v>0.0607560756075608</v>
      </c>
      <c r="F5" s="15" t="n">
        <f aca="false">AVERAGEIFS(Pedidos!$G$2:$G$2224,Pedidos!$D$2:$D$2224,$B5)</f>
        <v>50.2685925925926</v>
      </c>
      <c r="G5" s="13" t="n">
        <f aca="false">AVERAGEIFS(Pedidos!$H$2:$H$2224,Pedidos!$D$2:$D$2224,$B5)</f>
        <v>636.669111111111</v>
      </c>
      <c r="H5" s="13" t="n">
        <f aca="false">AVERAGEIFS(Pedidos!$S$2:$S$2224,Pedidos!$D$2:$D$2224,$B5)</f>
        <v>124.742267558923</v>
      </c>
      <c r="I5" s="13" t="n">
        <f aca="false">AVERAGEIFS(Pedidos!$AB$2:$AB$2224,Pedidos!$D$2:$D$2224,$B5)</f>
        <v>180.344621127946</v>
      </c>
      <c r="J5" s="44" t="n">
        <f aca="false">I5/H5-1</f>
        <v>0.445737877442059</v>
      </c>
      <c r="K5" s="45" t="n">
        <f aca="false">SUMIFS(Pedidos!$S$2:$S$2224,Pedidos!$D$2:$D$2224,$B5)/SUMIFS(Pedidos!$H$2:$H$2224,Pedidos!$D$2:$D$2224,$B5)</f>
        <v>0.195929510921651</v>
      </c>
      <c r="L5" s="45" t="n">
        <f aca="false">SUMIFS(Pedidos!$AB$2:$AB$2224,Pedidos!$D$2:$D$2224,$B5)/SUMIFS(Pedidos!$H$2:$H$2224,Pedidos!$D$2:$D$2224,$B5)</f>
        <v>0.283262715248129</v>
      </c>
      <c r="M5" s="45" t="n">
        <f aca="false">COUNTIFS(Pedidos!$D$2:$D$2224,$B5,Pedidos!$AE$2:$AE$2224,"SIM")/D5</f>
        <v>0</v>
      </c>
      <c r="N5" s="44" t="n">
        <f aca="false">SUMIFS(Pedidos!$T$2:$T$2224,Pedidos!$D$2:$D$2224,$B5)/SUMIFS(Pedidos!$I$2:$I$2224,Pedidos!$D$2:$D$2224,$B5)-1</f>
        <v>0.797544250705076</v>
      </c>
      <c r="O5" s="15" t="n">
        <f aca="false">AVERAGEIFS(Pedidos!$AF$2:$AF$2224,Pedidos!$D$2:$D$2224,$B5)</f>
        <v>2</v>
      </c>
      <c r="P5" s="15" t="n">
        <f aca="false">AVERAGEIFS(Pedidos!$AG$2:$AG$2224,Pedidos!$D$2:$D$2224,$B5)</f>
        <v>7</v>
      </c>
      <c r="Q5" s="45" t="n">
        <f aca="false">MAX(0,1-H5/I5)</f>
        <v>0.308311682495794</v>
      </c>
      <c r="R5" s="10" t="str">
        <f aca="false">IF(J5&lt;=0,"Muito bem",IF(J5&lt;=0.32,"Melhor posição",IF(J5&lt;=0.45,"Intermediária","Precisa melhorar")))</f>
        <v>Intermediária</v>
      </c>
    </row>
    <row r="6" customFormat="false" ht="15" hidden="false" customHeight="false" outlineLevel="0" collapsed="false">
      <c r="A6" s="10" t="n">
        <v>3</v>
      </c>
      <c r="B6" s="10" t="s">
        <v>48</v>
      </c>
      <c r="C6" s="10" t="str">
        <f aca="false">INDEX(Pedidos!$E$2:$E$2224,MATCH($B6,Pedidos!$D$2:$D$2224,0))</f>
        <v>Metropolitana</v>
      </c>
      <c r="D6" s="11" t="n">
        <f aca="false">COUNTIFS(Pedidos!$D$2:$D$2224,$B6)</f>
        <v>106</v>
      </c>
      <c r="E6" s="45" t="n">
        <f aca="false">D6/Resumo!$B$20</f>
        <v>0.0477047704770477</v>
      </c>
      <c r="F6" s="15" t="n">
        <f aca="false">AVERAGEIFS(Pedidos!$G$2:$G$2224,Pedidos!$D$2:$D$2224,$B6)</f>
        <v>52.4224528301887</v>
      </c>
      <c r="G6" s="13" t="n">
        <f aca="false">AVERAGEIFS(Pedidos!$H$2:$H$2224,Pedidos!$D$2:$D$2224,$B6)</f>
        <v>663.553018867925</v>
      </c>
      <c r="H6" s="13" t="n">
        <f aca="false">AVERAGEIFS(Pedidos!$S$2:$S$2224,Pedidos!$D$2:$D$2224,$B6)</f>
        <v>127.67403306175</v>
      </c>
      <c r="I6" s="13" t="n">
        <f aca="false">AVERAGEIFS(Pedidos!$AB$2:$AB$2224,Pedidos!$D$2:$D$2224,$B6)</f>
        <v>166.373819253859</v>
      </c>
      <c r="J6" s="44" t="n">
        <f aca="false">I6/H6-1</f>
        <v>0.30311399478853</v>
      </c>
      <c r="K6" s="45" t="n">
        <f aca="false">SUMIFS(Pedidos!$S$2:$S$2224,Pedidos!$D$2:$D$2224,$B6)/SUMIFS(Pedidos!$H$2:$H$2224,Pedidos!$D$2:$D$2224,$B6)</f>
        <v>0.192409693621124</v>
      </c>
      <c r="L6" s="45" t="n">
        <f aca="false">SUMIFS(Pedidos!$AB$2:$AB$2224,Pedidos!$D$2:$D$2224,$B6)/SUMIFS(Pedidos!$H$2:$H$2224,Pedidos!$D$2:$D$2224,$B6)</f>
        <v>0.250731764490661</v>
      </c>
      <c r="M6" s="45" t="n">
        <f aca="false">COUNTIFS(Pedidos!$D$2:$D$2224,$B6,Pedidos!$AE$2:$AE$2224,"SIM")/D6</f>
        <v>0.0566037735849057</v>
      </c>
      <c r="N6" s="44" t="n">
        <f aca="false">SUMIFS(Pedidos!$T$2:$T$2224,Pedidos!$D$2:$D$2224,$B6)/SUMIFS(Pedidos!$I$2:$I$2224,Pedidos!$D$2:$D$2224,$B6)-1</f>
        <v>0.569390291952501</v>
      </c>
      <c r="O6" s="15" t="n">
        <f aca="false">AVERAGEIFS(Pedidos!$AF$2:$AF$2224,Pedidos!$D$2:$D$2224,$B6)</f>
        <v>2</v>
      </c>
      <c r="P6" s="15" t="n">
        <f aca="false">AVERAGEIFS(Pedidos!$AG$2:$AG$2224,Pedidos!$D$2:$D$2224,$B6)</f>
        <v>5</v>
      </c>
      <c r="Q6" s="45" t="n">
        <f aca="false">MAX(0,1-H6/I6)</f>
        <v>0.23260742805369</v>
      </c>
      <c r="R6" s="10" t="str">
        <f aca="false">IF(J6&lt;=0,"Muito bem",IF(J6&lt;=0.32,"Melhor posição",IF(J6&lt;=0.45,"Intermediária","Precisa melhorar")))</f>
        <v>Melhor posição</v>
      </c>
    </row>
    <row r="7" customFormat="false" ht="15" hidden="false" customHeight="false" outlineLevel="0" collapsed="false">
      <c r="A7" s="10" t="n">
        <v>4</v>
      </c>
      <c r="B7" s="10" t="s">
        <v>49</v>
      </c>
      <c r="C7" s="10" t="str">
        <f aca="false">INDEX(Pedidos!$E$2:$E$2224,MATCH($B7,Pedidos!$D$2:$D$2224,0))</f>
        <v>Metropolitana</v>
      </c>
      <c r="D7" s="11" t="n">
        <f aca="false">COUNTIFS(Pedidos!$D$2:$D$2224,$B7)</f>
        <v>95</v>
      </c>
      <c r="E7" s="45" t="n">
        <f aca="false">D7/Resumo!$B$20</f>
        <v>0.0427542754275428</v>
      </c>
      <c r="F7" s="15" t="n">
        <f aca="false">AVERAGEIFS(Pedidos!$G$2:$G$2224,Pedidos!$D$2:$D$2224,$B7)</f>
        <v>55.0834736842105</v>
      </c>
      <c r="G7" s="13" t="n">
        <f aca="false">AVERAGEIFS(Pedidos!$H$2:$H$2224,Pedidos!$D$2:$D$2224,$B7)</f>
        <v>676.709263157895</v>
      </c>
      <c r="H7" s="13" t="n">
        <f aca="false">AVERAGEIFS(Pedidos!$S$2:$S$2224,Pedidos!$D$2:$D$2224,$B7)</f>
        <v>130.812404258373</v>
      </c>
      <c r="I7" s="13" t="n">
        <f aca="false">AVERAGEIFS(Pedidos!$AB$2:$AB$2224,Pedidos!$D$2:$D$2224,$B7)</f>
        <v>172.309475358852</v>
      </c>
      <c r="J7" s="44" t="n">
        <f aca="false">I7/H7-1</f>
        <v>0.317225811540898</v>
      </c>
      <c r="K7" s="45" t="n">
        <f aca="false">SUMIFS(Pedidos!$S$2:$S$2224,Pedidos!$D$2:$D$2224,$B7)/SUMIFS(Pedidos!$H$2:$H$2224,Pedidos!$D$2:$D$2224,$B7)</f>
        <v>0.193306655280484</v>
      </c>
      <c r="L7" s="45" t="n">
        <f aca="false">SUMIFS(Pedidos!$AB$2:$AB$2224,Pedidos!$D$2:$D$2224,$B7)/SUMIFS(Pedidos!$H$2:$H$2224,Pedidos!$D$2:$D$2224,$B7)</f>
        <v>0.254628515878092</v>
      </c>
      <c r="M7" s="45" t="n">
        <f aca="false">COUNTIFS(Pedidos!$D$2:$D$2224,$B7,Pedidos!$AE$2:$AE$2224,"SIM")/D7</f>
        <v>0.0210526315789474</v>
      </c>
      <c r="N7" s="44" t="n">
        <f aca="false">SUMIFS(Pedidos!$T$2:$T$2224,Pedidos!$D$2:$D$2224,$B7)/SUMIFS(Pedidos!$I$2:$I$2224,Pedidos!$D$2:$D$2224,$B7)-1</f>
        <v>0.589213417322104</v>
      </c>
      <c r="O7" s="15" t="n">
        <f aca="false">AVERAGEIFS(Pedidos!$AF$2:$AF$2224,Pedidos!$D$2:$D$2224,$B7)</f>
        <v>2</v>
      </c>
      <c r="P7" s="15" t="n">
        <f aca="false">AVERAGEIFS(Pedidos!$AG$2:$AG$2224,Pedidos!$D$2:$D$2224,$B7)</f>
        <v>5</v>
      </c>
      <c r="Q7" s="45" t="n">
        <f aca="false">MAX(0,1-H7/I7)</f>
        <v>0.2408287240969</v>
      </c>
      <c r="R7" s="10" t="str">
        <f aca="false">IF(J7&lt;=0,"Muito bem",IF(J7&lt;=0.32,"Melhor posição",IF(J7&lt;=0.45,"Intermediária","Precisa melhorar")))</f>
        <v>Melhor posição</v>
      </c>
    </row>
    <row r="8" customFormat="false" ht="15" hidden="false" customHeight="false" outlineLevel="0" collapsed="false">
      <c r="A8" s="10" t="n">
        <v>5</v>
      </c>
      <c r="B8" s="10" t="s">
        <v>50</v>
      </c>
      <c r="C8" s="10" t="str">
        <f aca="false">INDEX(Pedidos!$E$2:$E$2224,MATCH($B8,Pedidos!$D$2:$D$2224,0))</f>
        <v>Metropolitana</v>
      </c>
      <c r="D8" s="11" t="n">
        <f aca="false">COUNTIFS(Pedidos!$D$2:$D$2224,$B8)</f>
        <v>68</v>
      </c>
      <c r="E8" s="45" t="n">
        <f aca="false">D8/Resumo!$B$20</f>
        <v>0.0306030603060306</v>
      </c>
      <c r="F8" s="15" t="n">
        <f aca="false">AVERAGEIFS(Pedidos!$G$2:$G$2224,Pedidos!$D$2:$D$2224,$B8)</f>
        <v>47.9458823529412</v>
      </c>
      <c r="G8" s="13" t="n">
        <f aca="false">AVERAGEIFS(Pedidos!$H$2:$H$2224,Pedidos!$D$2:$D$2224,$B8)</f>
        <v>603.648088235294</v>
      </c>
      <c r="H8" s="13" t="n">
        <f aca="false">AVERAGEIFS(Pedidos!$S$2:$S$2224,Pedidos!$D$2:$D$2224,$B8)</f>
        <v>122.03111453877</v>
      </c>
      <c r="I8" s="13" t="n">
        <f aca="false">AVERAGEIFS(Pedidos!$AB$2:$AB$2224,Pedidos!$D$2:$D$2224,$B8)</f>
        <v>175.731353776738</v>
      </c>
      <c r="J8" s="44" t="n">
        <f aca="false">I8/H8-1</f>
        <v>0.440053665337187</v>
      </c>
      <c r="K8" s="45" t="n">
        <f aca="false">SUMIFS(Pedidos!$S$2:$S$2224,Pedidos!$D$2:$D$2224,$B8)/SUMIFS(Pedidos!$H$2:$H$2224,Pedidos!$D$2:$D$2224,$B8)</f>
        <v>0.202156052370705</v>
      </c>
      <c r="L8" s="45" t="n">
        <f aca="false">SUMIFS(Pedidos!$AB$2:$AB$2224,Pedidos!$D$2:$D$2224,$B8)/SUMIFS(Pedidos!$H$2:$H$2224,Pedidos!$D$2:$D$2224,$B8)</f>
        <v>0.29111556418653</v>
      </c>
      <c r="M8" s="45" t="n">
        <f aca="false">COUNTIFS(Pedidos!$D$2:$D$2224,$B8,Pedidos!$AE$2:$AE$2224,"SIM")/D8</f>
        <v>0</v>
      </c>
      <c r="N8" s="44" t="n">
        <f aca="false">SUMIFS(Pedidos!$T$2:$T$2224,Pedidos!$D$2:$D$2224,$B8)/SUMIFS(Pedidos!$I$2:$I$2224,Pedidos!$D$2:$D$2224,$B8)-1</f>
        <v>0.789893114292097</v>
      </c>
      <c r="O8" s="15" t="n">
        <f aca="false">AVERAGEIFS(Pedidos!$AF$2:$AF$2224,Pedidos!$D$2:$D$2224,$B8)</f>
        <v>2</v>
      </c>
      <c r="P8" s="15" t="n">
        <f aca="false">AVERAGEIFS(Pedidos!$AG$2:$AG$2224,Pedidos!$D$2:$D$2224,$B8)</f>
        <v>7</v>
      </c>
      <c r="Q8" s="45" t="n">
        <f aca="false">MAX(0,1-H8/I8)</f>
        <v>0.305581434865588</v>
      </c>
      <c r="R8" s="10" t="str">
        <f aca="false">IF(J8&lt;=0,"Muito bem",IF(J8&lt;=0.32,"Melhor posição",IF(J8&lt;=0.45,"Intermediária","Precisa melhorar")))</f>
        <v>Intermediária</v>
      </c>
    </row>
    <row r="9" customFormat="false" ht="15" hidden="false" customHeight="false" outlineLevel="0" collapsed="false">
      <c r="A9" s="10" t="n">
        <v>6</v>
      </c>
      <c r="B9" s="10" t="s">
        <v>51</v>
      </c>
      <c r="C9" s="10" t="str">
        <f aca="false">INDEX(Pedidos!$E$2:$E$2224,MATCH($B9,Pedidos!$D$2:$D$2224,0))</f>
        <v>Interior</v>
      </c>
      <c r="D9" s="11" t="n">
        <f aca="false">COUNTIFS(Pedidos!$D$2:$D$2224,$B9)</f>
        <v>53</v>
      </c>
      <c r="E9" s="45" t="n">
        <f aca="false">D9/Resumo!$B$20</f>
        <v>0.0238523852385239</v>
      </c>
      <c r="F9" s="15" t="n">
        <f aca="false">AVERAGEIFS(Pedidos!$G$2:$G$2224,Pedidos!$D$2:$D$2224,$B9)</f>
        <v>49.4752830188679</v>
      </c>
      <c r="G9" s="13" t="n">
        <f aca="false">AVERAGEIFS(Pedidos!$H$2:$H$2224,Pedidos!$D$2:$D$2224,$B9)</f>
        <v>649.884339622642</v>
      </c>
      <c r="H9" s="13" t="n">
        <f aca="false">AVERAGEIFS(Pedidos!$S$2:$S$2224,Pedidos!$D$2:$D$2224,$B9)</f>
        <v>136.628092924528</v>
      </c>
      <c r="I9" s="13" t="n">
        <f aca="false">AVERAGEIFS(Pedidos!$AB$2:$AB$2224,Pedidos!$D$2:$D$2224,$B9)</f>
        <v>218.073790951973</v>
      </c>
      <c r="J9" s="44" t="n">
        <f aca="false">I9/H9-1</f>
        <v>0.596112382776461</v>
      </c>
      <c r="K9" s="45" t="n">
        <f aca="false">SUMIFS(Pedidos!$S$2:$S$2224,Pedidos!$D$2:$D$2224,$B9)/SUMIFS(Pedidos!$H$2:$H$2224,Pedidos!$D$2:$D$2224,$B9)</f>
        <v>0.210234474958824</v>
      </c>
      <c r="L9" s="45" t="n">
        <f aca="false">SUMIFS(Pedidos!$AB$2:$AB$2224,Pedidos!$D$2:$D$2224,$B9)/SUMIFS(Pedidos!$H$2:$H$2224,Pedidos!$D$2:$D$2224,$B9)</f>
        <v>0.335557848768287</v>
      </c>
      <c r="M9" s="45" t="n">
        <f aca="false">COUNTIFS(Pedidos!$D$2:$D$2224,$B9,Pedidos!$AE$2:$AE$2224,"SIM")/D9</f>
        <v>0</v>
      </c>
      <c r="N9" s="44" t="n">
        <f aca="false">SUMIFS(Pedidos!$T$2:$T$2224,Pedidos!$D$2:$D$2224,$B9)/SUMIFS(Pedidos!$I$2:$I$2224,Pedidos!$D$2:$D$2224,$B9)-1</f>
        <v>0.97372199750359</v>
      </c>
      <c r="O9" s="15" t="n">
        <f aca="false">AVERAGEIFS(Pedidos!$AF$2:$AF$2224,Pedidos!$D$2:$D$2224,$B9)</f>
        <v>13</v>
      </c>
      <c r="P9" s="15" t="n">
        <f aca="false">AVERAGEIFS(Pedidos!$AG$2:$AG$2224,Pedidos!$D$2:$D$2224,$B9)</f>
        <v>11</v>
      </c>
      <c r="Q9" s="45" t="n">
        <f aca="false">MAX(0,1-H9/I9)</f>
        <v>0.373477700698941</v>
      </c>
      <c r="R9" s="10" t="str">
        <f aca="false">IF(J9&lt;=0,"Muito bem",IF(J9&lt;=0.32,"Melhor posição",IF(J9&lt;=0.45,"Intermediária","Precisa melhorar")))</f>
        <v>Precisa melhorar</v>
      </c>
    </row>
    <row r="10" customFormat="false" ht="15" hidden="false" customHeight="false" outlineLevel="0" collapsed="false">
      <c r="A10" s="10" t="n">
        <v>7</v>
      </c>
      <c r="B10" s="10" t="s">
        <v>52</v>
      </c>
      <c r="C10" s="10" t="str">
        <f aca="false">INDEX(Pedidos!$E$2:$E$2224,MATCH($B10,Pedidos!$D$2:$D$2224,0))</f>
        <v>Metropolitana</v>
      </c>
      <c r="D10" s="11" t="n">
        <f aca="false">COUNTIFS(Pedidos!$D$2:$D$2224,$B10)</f>
        <v>49</v>
      </c>
      <c r="E10" s="45" t="n">
        <f aca="false">D10/Resumo!$B$20</f>
        <v>0.0220522052205221</v>
      </c>
      <c r="F10" s="15" t="n">
        <f aca="false">AVERAGEIFS(Pedidos!$G$2:$G$2224,Pedidos!$D$2:$D$2224,$B10)</f>
        <v>54.08</v>
      </c>
      <c r="G10" s="13" t="n">
        <f aca="false">AVERAGEIFS(Pedidos!$H$2:$H$2224,Pedidos!$D$2:$D$2224,$B10)</f>
        <v>687.528163265306</v>
      </c>
      <c r="H10" s="13" t="n">
        <f aca="false">AVERAGEIFS(Pedidos!$S$2:$S$2224,Pedidos!$D$2:$D$2224,$B10)</f>
        <v>128.467840816327</v>
      </c>
      <c r="I10" s="13" t="n">
        <f aca="false">AVERAGEIFS(Pedidos!$AB$2:$AB$2224,Pedidos!$D$2:$D$2224,$B10)</f>
        <v>166.988558441558</v>
      </c>
      <c r="J10" s="44" t="n">
        <f aca="false">I10/H10-1</f>
        <v>0.299847163153508</v>
      </c>
      <c r="K10" s="45" t="n">
        <f aca="false">SUMIFS(Pedidos!$S$2:$S$2224,Pedidos!$D$2:$D$2224,$B10)/SUMIFS(Pedidos!$H$2:$H$2224,Pedidos!$D$2:$D$2224,$B10)</f>
        <v>0.186854659460332</v>
      </c>
      <c r="L10" s="45" t="n">
        <f aca="false">SUMIFS(Pedidos!$AB$2:$AB$2224,Pedidos!$D$2:$D$2224,$B10)/SUMIFS(Pedidos!$H$2:$H$2224,Pedidos!$D$2:$D$2224,$B10)</f>
        <v>0.242882499021528</v>
      </c>
      <c r="M10" s="45" t="n">
        <f aca="false">COUNTIFS(Pedidos!$D$2:$D$2224,$B10,Pedidos!$AE$2:$AE$2224,"SIM")/D10</f>
        <v>0.0816326530612245</v>
      </c>
      <c r="N10" s="44" t="n">
        <f aca="false">SUMIFS(Pedidos!$T$2:$T$2224,Pedidos!$D$2:$D$2224,$B10)/SUMIFS(Pedidos!$I$2:$I$2224,Pedidos!$D$2:$D$2224,$B10)-1</f>
        <v>0.568483990923445</v>
      </c>
      <c r="O10" s="15" t="n">
        <f aca="false">AVERAGEIFS(Pedidos!$AF$2:$AF$2224,Pedidos!$D$2:$D$2224,$B10)</f>
        <v>2</v>
      </c>
      <c r="P10" s="15" t="n">
        <f aca="false">AVERAGEIFS(Pedidos!$AG$2:$AG$2224,Pedidos!$D$2:$D$2224,$B10)</f>
        <v>5</v>
      </c>
      <c r="Q10" s="45" t="n">
        <f aca="false">MAX(0,1-H10/I10)</f>
        <v>0.230678784131867</v>
      </c>
      <c r="R10" s="10" t="str">
        <f aca="false">IF(J10&lt;=0,"Muito bem",IF(J10&lt;=0.32,"Melhor posição",IF(J10&lt;=0.45,"Intermediária","Precisa melhorar")))</f>
        <v>Melhor posição</v>
      </c>
    </row>
    <row r="11" customFormat="false" ht="15" hidden="false" customHeight="false" outlineLevel="0" collapsed="false">
      <c r="A11" s="10" t="n">
        <v>8</v>
      </c>
      <c r="B11" s="10" t="s">
        <v>53</v>
      </c>
      <c r="C11" s="10" t="str">
        <f aca="false">INDEX(Pedidos!$E$2:$E$2224,MATCH($B11,Pedidos!$D$2:$D$2224,0))</f>
        <v>Interior</v>
      </c>
      <c r="D11" s="11" t="n">
        <f aca="false">COUNTIFS(Pedidos!$D$2:$D$2224,$B11)</f>
        <v>45</v>
      </c>
      <c r="E11" s="45" t="n">
        <f aca="false">D11/Resumo!$B$20</f>
        <v>0.0202520252025203</v>
      </c>
      <c r="F11" s="15" t="n">
        <f aca="false">AVERAGEIFS(Pedidos!$G$2:$G$2224,Pedidos!$D$2:$D$2224,$B11)</f>
        <v>60.0602222222222</v>
      </c>
      <c r="G11" s="13" t="n">
        <f aca="false">AVERAGEIFS(Pedidos!$H$2:$H$2224,Pedidos!$D$2:$D$2224,$B11)</f>
        <v>746.164666666667</v>
      </c>
      <c r="H11" s="13" t="n">
        <f aca="false">AVERAGEIFS(Pedidos!$S$2:$S$2224,Pedidos!$D$2:$D$2224,$B11)</f>
        <v>149.95366469697</v>
      </c>
      <c r="I11" s="13" t="n">
        <f aca="false">AVERAGEIFS(Pedidos!$AB$2:$AB$2224,Pedidos!$D$2:$D$2224,$B11)</f>
        <v>241.397783585859</v>
      </c>
      <c r="J11" s="44" t="n">
        <f aca="false">I11/H11-1</f>
        <v>0.609815832601901</v>
      </c>
      <c r="K11" s="45" t="n">
        <f aca="false">SUMIFS(Pedidos!$S$2:$S$2224,Pedidos!$D$2:$D$2224,$B11)/SUMIFS(Pedidos!$H$2:$H$2224,Pedidos!$D$2:$D$2224,$B11)</f>
        <v>0.200965914624256</v>
      </c>
      <c r="L11" s="45" t="n">
        <f aca="false">SUMIFS(Pedidos!$AB$2:$AB$2224,Pedidos!$D$2:$D$2224,$B11)/SUMIFS(Pedidos!$H$2:$H$2224,Pedidos!$D$2:$D$2224,$B11)</f>
        <v>0.323518111175449</v>
      </c>
      <c r="M11" s="45" t="n">
        <f aca="false">COUNTIFS(Pedidos!$D$2:$D$2224,$B11,Pedidos!$AE$2:$AE$2224,"SIM")/D11</f>
        <v>0</v>
      </c>
      <c r="N11" s="44" t="n">
        <f aca="false">SUMIFS(Pedidos!$T$2:$T$2224,Pedidos!$D$2:$D$2224,$B11)/SUMIFS(Pedidos!$I$2:$I$2224,Pedidos!$D$2:$D$2224,$B11)-1</f>
        <v>0.994079722987298</v>
      </c>
      <c r="O11" s="15" t="n">
        <f aca="false">AVERAGEIFS(Pedidos!$AF$2:$AF$2224,Pedidos!$D$2:$D$2224,$B11)</f>
        <v>13</v>
      </c>
      <c r="P11" s="15" t="n">
        <f aca="false">AVERAGEIFS(Pedidos!$AG$2:$AG$2224,Pedidos!$D$2:$D$2224,$B11)</f>
        <v>11</v>
      </c>
      <c r="Q11" s="45" t="n">
        <f aca="false">MAX(0,1-H11/I11)</f>
        <v>0.378810929953567</v>
      </c>
      <c r="R11" s="10" t="str">
        <f aca="false">IF(J11&lt;=0,"Muito bem",IF(J11&lt;=0.32,"Melhor posição",IF(J11&lt;=0.45,"Intermediária","Precisa melhorar")))</f>
        <v>Precisa melhorar</v>
      </c>
    </row>
    <row r="12" customFormat="false" ht="15" hidden="false" customHeight="false" outlineLevel="0" collapsed="false">
      <c r="A12" s="10" t="n">
        <v>9</v>
      </c>
      <c r="B12" s="10" t="s">
        <v>216</v>
      </c>
      <c r="C12" s="10" t="str">
        <f aca="false">INDEX(Pedidos!$E$2:$E$2224,MATCH($B12,Pedidos!$D$2:$D$2224,0))</f>
        <v>Metropolitana</v>
      </c>
      <c r="D12" s="11" t="n">
        <f aca="false">COUNTIFS(Pedidos!$D$2:$D$2224,$B12)</f>
        <v>37</v>
      </c>
      <c r="E12" s="45" t="n">
        <f aca="false">D12/Resumo!$B$20</f>
        <v>0.0166516651665167</v>
      </c>
      <c r="F12" s="15" t="n">
        <f aca="false">AVERAGEIFS(Pedidos!$G$2:$G$2224,Pedidos!$D$2:$D$2224,$B12)</f>
        <v>55.9305405405405</v>
      </c>
      <c r="G12" s="13" t="n">
        <f aca="false">AVERAGEIFS(Pedidos!$H$2:$H$2224,Pedidos!$D$2:$D$2224,$B12)</f>
        <v>698.244054054054</v>
      </c>
      <c r="H12" s="13" t="n">
        <f aca="false">AVERAGEIFS(Pedidos!$S$2:$S$2224,Pedidos!$D$2:$D$2224,$B12)</f>
        <v>132.916373648649</v>
      </c>
      <c r="I12" s="13" t="n">
        <f aca="false">AVERAGEIFS(Pedidos!$AB$2:$AB$2224,Pedidos!$D$2:$D$2224,$B12)</f>
        <v>175.043768120393</v>
      </c>
      <c r="J12" s="44" t="n">
        <f aca="false">I12/H12-1</f>
        <v>0.316946613237464</v>
      </c>
      <c r="K12" s="45" t="n">
        <f aca="false">SUMIFS(Pedidos!$S$2:$S$2224,Pedidos!$D$2:$D$2224,$B12)/SUMIFS(Pedidos!$H$2:$H$2224,Pedidos!$D$2:$D$2224,$B12)</f>
        <v>0.190358045839312</v>
      </c>
      <c r="L12" s="45" t="n">
        <f aca="false">SUMIFS(Pedidos!$AB$2:$AB$2224,Pedidos!$D$2:$D$2224,$B12)/SUMIFS(Pedidos!$H$2:$H$2224,Pedidos!$D$2:$D$2224,$B12)</f>
        <v>0.250691383770584</v>
      </c>
      <c r="M12" s="45" t="n">
        <f aca="false">COUNTIFS(Pedidos!$D$2:$D$2224,$B12,Pedidos!$AE$2:$AE$2224,"SIM")/D12</f>
        <v>0.027027027027027</v>
      </c>
      <c r="N12" s="44" t="n">
        <f aca="false">SUMIFS(Pedidos!$T$2:$T$2224,Pedidos!$D$2:$D$2224,$B12)/SUMIFS(Pedidos!$I$2:$I$2224,Pedidos!$D$2:$D$2224,$B12)-1</f>
        <v>0.584542068361087</v>
      </c>
      <c r="O12" s="15" t="n">
        <f aca="false">AVERAGEIFS(Pedidos!$AF$2:$AF$2224,Pedidos!$D$2:$D$2224,$B12)</f>
        <v>2</v>
      </c>
      <c r="P12" s="15" t="n">
        <f aca="false">AVERAGEIFS(Pedidos!$AG$2:$AG$2224,Pedidos!$D$2:$D$2224,$B12)</f>
        <v>5</v>
      </c>
      <c r="Q12" s="45" t="n">
        <f aca="false">MAX(0,1-H12/I12)</f>
        <v>0.240667776545862</v>
      </c>
      <c r="R12" s="10" t="str">
        <f aca="false">IF(J12&lt;=0,"Muito bem",IF(J12&lt;=0.32,"Melhor posição",IF(J12&lt;=0.45,"Intermediária","Precisa melhorar")))</f>
        <v>Melhor posição</v>
      </c>
    </row>
    <row r="13" customFormat="false" ht="15" hidden="false" customHeight="false" outlineLevel="0" collapsed="false">
      <c r="A13" s="10" t="n">
        <v>10</v>
      </c>
      <c r="B13" s="10" t="s">
        <v>217</v>
      </c>
      <c r="C13" s="10" t="str">
        <f aca="false">INDEX(Pedidos!$E$2:$E$2224,MATCH($B13,Pedidos!$D$2:$D$2224,0))</f>
        <v>Interior</v>
      </c>
      <c r="D13" s="11" t="n">
        <f aca="false">COUNTIFS(Pedidos!$D$2:$D$2224,$B13)</f>
        <v>37</v>
      </c>
      <c r="E13" s="45" t="n">
        <f aca="false">D13/Resumo!$B$20</f>
        <v>0.0166516651665167</v>
      </c>
      <c r="F13" s="15" t="n">
        <f aca="false">AVERAGEIFS(Pedidos!$G$2:$G$2224,Pedidos!$D$2:$D$2224,$B13)</f>
        <v>50.8867567567568</v>
      </c>
      <c r="G13" s="13" t="n">
        <f aca="false">AVERAGEIFS(Pedidos!$H$2:$H$2224,Pedidos!$D$2:$D$2224,$B13)</f>
        <v>652.921081081081</v>
      </c>
      <c r="H13" s="13" t="n">
        <f aca="false">AVERAGEIFS(Pedidos!$S$2:$S$2224,Pedidos!$D$2:$D$2224,$B13)</f>
        <v>139.162283046683</v>
      </c>
      <c r="I13" s="13" t="n">
        <f aca="false">AVERAGEIFS(Pedidos!$AB$2:$AB$2224,Pedidos!$D$2:$D$2224,$B13)</f>
        <v>198.538213759214</v>
      </c>
      <c r="J13" s="44" t="n">
        <f aca="false">I13/H13-1</f>
        <v>0.426666833948194</v>
      </c>
      <c r="K13" s="45" t="n">
        <f aca="false">SUMIFS(Pedidos!$S$2:$S$2224,Pedidos!$D$2:$D$2224,$B13)/SUMIFS(Pedidos!$H$2:$H$2224,Pedidos!$D$2:$D$2224,$B13)</f>
        <v>0.21313798417454</v>
      </c>
      <c r="L13" s="45" t="n">
        <f aca="false">SUMIFS(Pedidos!$AB$2:$AB$2224,Pedidos!$D$2:$D$2224,$B13)/SUMIFS(Pedidos!$H$2:$H$2224,Pedidos!$D$2:$D$2224,$B13)</f>
        <v>0.304076893076391</v>
      </c>
      <c r="M13" s="45" t="n">
        <f aca="false">COUNTIFS(Pedidos!$D$2:$D$2224,$B13,Pedidos!$AE$2:$AE$2224,"SIM")/D13</f>
        <v>0</v>
      </c>
      <c r="N13" s="44" t="n">
        <f aca="false">SUMIFS(Pedidos!$T$2:$T$2224,Pedidos!$D$2:$D$2224,$B13)/SUMIFS(Pedidos!$I$2:$I$2224,Pedidos!$D$2:$D$2224,$B13)-1</f>
        <v>0.718275534567136</v>
      </c>
      <c r="O13" s="15" t="n">
        <f aca="false">AVERAGEIFS(Pedidos!$AF$2:$AF$2224,Pedidos!$D$2:$D$2224,$B13)</f>
        <v>13</v>
      </c>
      <c r="P13" s="15" t="n">
        <f aca="false">AVERAGEIFS(Pedidos!$AG$2:$AG$2224,Pedidos!$D$2:$D$2224,$B13)</f>
        <v>10</v>
      </c>
      <c r="Q13" s="45" t="n">
        <f aca="false">MAX(0,1-H13/I13)</f>
        <v>0.299065502747706</v>
      </c>
      <c r="R13" s="10" t="str">
        <f aca="false">IF(J13&lt;=0,"Muito bem",IF(J13&lt;=0.32,"Melhor posição",IF(J13&lt;=0.45,"Intermediária","Precisa melhorar")))</f>
        <v>Intermediária</v>
      </c>
    </row>
    <row r="14" customFormat="false" ht="15" hidden="false" customHeight="false" outlineLevel="0" collapsed="false">
      <c r="A14" s="10" t="n">
        <v>11</v>
      </c>
      <c r="B14" s="10" t="s">
        <v>218</v>
      </c>
      <c r="C14" s="10" t="str">
        <f aca="false">INDEX(Pedidos!$E$2:$E$2224,MATCH($B14,Pedidos!$D$2:$D$2224,0))</f>
        <v>Interior</v>
      </c>
      <c r="D14" s="11" t="n">
        <f aca="false">COUNTIFS(Pedidos!$D$2:$D$2224,$B14)</f>
        <v>35</v>
      </c>
      <c r="E14" s="45" t="n">
        <f aca="false">D14/Resumo!$B$20</f>
        <v>0.0157515751575158</v>
      </c>
      <c r="F14" s="15" t="n">
        <f aca="false">AVERAGEIFS(Pedidos!$G$2:$G$2224,Pedidos!$D$2:$D$2224,$B14)</f>
        <v>44.3942857142857</v>
      </c>
      <c r="G14" s="13" t="n">
        <f aca="false">AVERAGEIFS(Pedidos!$H$2:$H$2224,Pedidos!$D$2:$D$2224,$B14)</f>
        <v>596.417714285714</v>
      </c>
      <c r="H14" s="13" t="n">
        <f aca="false">AVERAGEIFS(Pedidos!$S$2:$S$2224,Pedidos!$D$2:$D$2224,$B14)</f>
        <v>129.038097532468</v>
      </c>
      <c r="I14" s="13" t="n">
        <f aca="false">AVERAGEIFS(Pedidos!$AB$2:$AB$2224,Pedidos!$D$2:$D$2224,$B14)</f>
        <v>179.382592857143</v>
      </c>
      <c r="J14" s="44" t="n">
        <f aca="false">I14/H14-1</f>
        <v>0.390152182087217</v>
      </c>
      <c r="K14" s="45" t="n">
        <f aca="false">SUMIFS(Pedidos!$S$2:$S$2224,Pedidos!$D$2:$D$2224,$B14)/SUMIFS(Pedidos!$H$2:$H$2224,Pedidos!$D$2:$D$2224,$B14)</f>
        <v>0.216355239694728</v>
      </c>
      <c r="L14" s="45" t="n">
        <f aca="false">SUMIFS(Pedidos!$AB$2:$AB$2224,Pedidos!$D$2:$D$2224,$B14)/SUMIFS(Pedidos!$H$2:$H$2224,Pedidos!$D$2:$D$2224,$B14)</f>
        <v>0.300766708567629</v>
      </c>
      <c r="M14" s="45" t="n">
        <f aca="false">COUNTIFS(Pedidos!$D$2:$D$2224,$B14,Pedidos!$AE$2:$AE$2224,"SIM")/D14</f>
        <v>0</v>
      </c>
      <c r="N14" s="44" t="n">
        <f aca="false">SUMIFS(Pedidos!$T$2:$T$2224,Pedidos!$D$2:$D$2224,$B14)/SUMIFS(Pedidos!$I$2:$I$2224,Pedidos!$D$2:$D$2224,$B14)-1</f>
        <v>0.67416201640388</v>
      </c>
      <c r="O14" s="15" t="n">
        <f aca="false">AVERAGEIFS(Pedidos!$AF$2:$AF$2224,Pedidos!$D$2:$D$2224,$B14)</f>
        <v>13</v>
      </c>
      <c r="P14" s="15" t="n">
        <f aca="false">AVERAGEIFS(Pedidos!$AG$2:$AG$2224,Pedidos!$D$2:$D$2224,$B14)</f>
        <v>10</v>
      </c>
      <c r="Q14" s="45" t="n">
        <f aca="false">MAX(0,1-H14/I14)</f>
        <v>0.28065429606522</v>
      </c>
      <c r="R14" s="10" t="str">
        <f aca="false">IF(J14&lt;=0,"Muito bem",IF(J14&lt;=0.32,"Melhor posição",IF(J14&lt;=0.45,"Intermediária","Precisa melhorar")))</f>
        <v>Intermediária</v>
      </c>
    </row>
    <row r="15" customFormat="false" ht="15" hidden="false" customHeight="false" outlineLevel="0" collapsed="false">
      <c r="A15" s="10" t="n">
        <v>12</v>
      </c>
      <c r="B15" s="10" t="s">
        <v>219</v>
      </c>
      <c r="C15" s="10" t="str">
        <f aca="false">INDEX(Pedidos!$E$2:$E$2224,MATCH($B15,Pedidos!$D$2:$D$2224,0))</f>
        <v>Interior</v>
      </c>
      <c r="D15" s="11" t="n">
        <f aca="false">COUNTIFS(Pedidos!$D$2:$D$2224,$B15)</f>
        <v>32</v>
      </c>
      <c r="E15" s="45" t="n">
        <f aca="false">D15/Resumo!$B$20</f>
        <v>0.0144014401440144</v>
      </c>
      <c r="F15" s="15" t="n">
        <f aca="false">AVERAGEIFS(Pedidos!$G$2:$G$2224,Pedidos!$D$2:$D$2224,$B15)</f>
        <v>58.889375</v>
      </c>
      <c r="G15" s="13" t="n">
        <f aca="false">AVERAGEIFS(Pedidos!$H$2:$H$2224,Pedidos!$D$2:$D$2224,$B15)</f>
        <v>743.8225</v>
      </c>
      <c r="H15" s="13" t="n">
        <f aca="false">AVERAGEIFS(Pedidos!$S$2:$S$2224,Pedidos!$D$2:$D$2224,$B15)</f>
        <v>149.950630113636</v>
      </c>
      <c r="I15" s="13" t="n">
        <f aca="false">AVERAGEIFS(Pedidos!$AB$2:$AB$2224,Pedidos!$D$2:$D$2224,$B15)</f>
        <v>216.628088068182</v>
      </c>
      <c r="J15" s="44" t="n">
        <f aca="false">I15/H15-1</f>
        <v>0.444662739356384</v>
      </c>
      <c r="K15" s="45" t="n">
        <f aca="false">SUMIFS(Pedidos!$S$2:$S$2224,Pedidos!$D$2:$D$2224,$B15)/SUMIFS(Pedidos!$H$2:$H$2224,Pedidos!$D$2:$D$2224,$B15)</f>
        <v>0.201594641347413</v>
      </c>
      <c r="L15" s="45" t="n">
        <f aca="false">SUMIFS(Pedidos!$AB$2:$AB$2224,Pedidos!$D$2:$D$2224,$B15)/SUMIFS(Pedidos!$H$2:$H$2224,Pedidos!$D$2:$D$2224,$B15)</f>
        <v>0.291236266808522</v>
      </c>
      <c r="M15" s="45" t="n">
        <f aca="false">COUNTIFS(Pedidos!$D$2:$D$2224,$B15,Pedidos!$AE$2:$AE$2224,"SIM")/D15</f>
        <v>0</v>
      </c>
      <c r="N15" s="44" t="n">
        <f aca="false">SUMIFS(Pedidos!$T$2:$T$2224,Pedidos!$D$2:$D$2224,$B15)/SUMIFS(Pedidos!$I$2:$I$2224,Pedidos!$D$2:$D$2224,$B15)-1</f>
        <v>0.739941511686937</v>
      </c>
      <c r="O15" s="15" t="n">
        <f aca="false">AVERAGEIFS(Pedidos!$AF$2:$AF$2224,Pedidos!$D$2:$D$2224,$B15)</f>
        <v>13</v>
      </c>
      <c r="P15" s="15" t="n">
        <f aca="false">AVERAGEIFS(Pedidos!$AG$2:$AG$2224,Pedidos!$D$2:$D$2224,$B15)</f>
        <v>8</v>
      </c>
      <c r="Q15" s="45" t="n">
        <f aca="false">MAX(0,1-H15/I15)</f>
        <v>0.3077969184382</v>
      </c>
      <c r="R15" s="10" t="str">
        <f aca="false">IF(J15&lt;=0,"Muito bem",IF(J15&lt;=0.32,"Melhor posição",IF(J15&lt;=0.45,"Intermediária","Precisa melhorar")))</f>
        <v>Intermediária</v>
      </c>
    </row>
    <row r="16" customFormat="false" ht="15" hidden="false" customHeight="false" outlineLevel="0" collapsed="false">
      <c r="A16" s="10" t="n">
        <v>13</v>
      </c>
      <c r="B16" s="10" t="s">
        <v>220</v>
      </c>
      <c r="C16" s="10" t="str">
        <f aca="false">INDEX(Pedidos!$E$2:$E$2224,MATCH($B16,Pedidos!$D$2:$D$2224,0))</f>
        <v>Interior</v>
      </c>
      <c r="D16" s="11" t="n">
        <f aca="false">COUNTIFS(Pedidos!$D$2:$D$2224,$B16)</f>
        <v>32</v>
      </c>
      <c r="E16" s="45" t="n">
        <f aca="false">D16/Resumo!$B$20</f>
        <v>0.0144014401440144</v>
      </c>
      <c r="F16" s="15" t="n">
        <f aca="false">AVERAGEIFS(Pedidos!$G$2:$G$2224,Pedidos!$D$2:$D$2224,$B16)</f>
        <v>55.0375</v>
      </c>
      <c r="G16" s="13" t="n">
        <f aca="false">AVERAGEIFS(Pedidos!$H$2:$H$2224,Pedidos!$D$2:$D$2224,$B16)</f>
        <v>758.3715625</v>
      </c>
      <c r="H16" s="13" t="n">
        <f aca="false">AVERAGEIFS(Pedidos!$S$2:$S$2224,Pedidos!$D$2:$D$2224,$B16)</f>
        <v>146.005864275568</v>
      </c>
      <c r="I16" s="13" t="n">
        <f aca="false">AVERAGEIFS(Pedidos!$AB$2:$AB$2224,Pedidos!$D$2:$D$2224,$B16)</f>
        <v>195.386493963068</v>
      </c>
      <c r="J16" s="44" t="n">
        <f aca="false">I16/H16-1</f>
        <v>0.338209906379515</v>
      </c>
      <c r="K16" s="45" t="n">
        <f aca="false">SUMIFS(Pedidos!$S$2:$S$2224,Pedidos!$D$2:$D$2224,$B16)/SUMIFS(Pedidos!$H$2:$H$2224,Pedidos!$D$2:$D$2224,$B16)</f>
        <v>0.192525500025679</v>
      </c>
      <c r="L16" s="45" t="n">
        <f aca="false">SUMIFS(Pedidos!$AB$2:$AB$2224,Pedidos!$D$2:$D$2224,$B16)/SUMIFS(Pedidos!$H$2:$H$2224,Pedidos!$D$2:$D$2224,$B16)</f>
        <v>0.257639531365034</v>
      </c>
      <c r="M16" s="45" t="n">
        <f aca="false">COUNTIFS(Pedidos!$D$2:$D$2224,$B16,Pedidos!$AE$2:$AE$2224,"SIM")/D16</f>
        <v>0</v>
      </c>
      <c r="N16" s="44" t="n">
        <f aca="false">SUMIFS(Pedidos!$T$2:$T$2224,Pedidos!$D$2:$D$2224,$B16)/SUMIFS(Pedidos!$I$2:$I$2224,Pedidos!$D$2:$D$2224,$B16)-1</f>
        <v>0.58054673528231</v>
      </c>
      <c r="O16" s="15" t="n">
        <f aca="false">AVERAGEIFS(Pedidos!$AF$2:$AF$2224,Pedidos!$D$2:$D$2224,$B16)</f>
        <v>13</v>
      </c>
      <c r="P16" s="15" t="n">
        <f aca="false">AVERAGEIFS(Pedidos!$AG$2:$AG$2224,Pedidos!$D$2:$D$2224,$B16)</f>
        <v>7</v>
      </c>
      <c r="Q16" s="45" t="n">
        <f aca="false">MAX(0,1-H16/I16)</f>
        <v>0.2527330763038</v>
      </c>
      <c r="R16" s="10" t="str">
        <f aca="false">IF(J16&lt;=0,"Muito bem",IF(J16&lt;=0.32,"Melhor posição",IF(J16&lt;=0.45,"Intermediária","Precisa melhorar")))</f>
        <v>Intermediária</v>
      </c>
    </row>
    <row r="17" customFormat="false" ht="15" hidden="false" customHeight="false" outlineLevel="0" collapsed="false">
      <c r="A17" s="10" t="n">
        <v>14</v>
      </c>
      <c r="B17" s="10" t="s">
        <v>221</v>
      </c>
      <c r="C17" s="10" t="str">
        <f aca="false">INDEX(Pedidos!$E$2:$E$2224,MATCH($B17,Pedidos!$D$2:$D$2224,0))</f>
        <v>Interior</v>
      </c>
      <c r="D17" s="11" t="n">
        <f aca="false">COUNTIFS(Pedidos!$D$2:$D$2224,$B17)</f>
        <v>28</v>
      </c>
      <c r="E17" s="45" t="n">
        <f aca="false">D17/Resumo!$B$20</f>
        <v>0.0126012601260126</v>
      </c>
      <c r="F17" s="15" t="n">
        <f aca="false">AVERAGEIFS(Pedidos!$G$2:$G$2224,Pedidos!$D$2:$D$2224,$B17)</f>
        <v>43.4321428571429</v>
      </c>
      <c r="G17" s="13" t="n">
        <f aca="false">AVERAGEIFS(Pedidos!$H$2:$H$2224,Pedidos!$D$2:$D$2224,$B17)</f>
        <v>539.813928571429</v>
      </c>
      <c r="H17" s="13" t="n">
        <f aca="false">AVERAGEIFS(Pedidos!$S$2:$S$2224,Pedidos!$D$2:$D$2224,$B17)</f>
        <v>127.903900892857</v>
      </c>
      <c r="I17" s="13" t="n">
        <f aca="false">AVERAGEIFS(Pedidos!$AB$2:$AB$2224,Pedidos!$D$2:$D$2224,$B17)</f>
        <v>182.076881899351</v>
      </c>
      <c r="J17" s="44" t="n">
        <f aca="false">I17/H17-1</f>
        <v>0.423544400353147</v>
      </c>
      <c r="K17" s="45" t="n">
        <f aca="false">SUMIFS(Pedidos!$S$2:$S$2224,Pedidos!$D$2:$D$2224,$B17)/SUMIFS(Pedidos!$H$2:$H$2224,Pedidos!$D$2:$D$2224,$B17)</f>
        <v>0.236940719983539</v>
      </c>
      <c r="L17" s="45" t="n">
        <f aca="false">SUMIFS(Pedidos!$AB$2:$AB$2224,Pedidos!$D$2:$D$2224,$B17)/SUMIFS(Pedidos!$H$2:$H$2224,Pedidos!$D$2:$D$2224,$B17)</f>
        <v>0.33729563514821</v>
      </c>
      <c r="M17" s="45" t="n">
        <f aca="false">COUNTIFS(Pedidos!$D$2:$D$2224,$B17,Pedidos!$AE$2:$AE$2224,"SIM")/D17</f>
        <v>0</v>
      </c>
      <c r="N17" s="44" t="n">
        <f aca="false">SUMIFS(Pedidos!$T$2:$T$2224,Pedidos!$D$2:$D$2224,$B17)/SUMIFS(Pedidos!$I$2:$I$2224,Pedidos!$D$2:$D$2224,$B17)-1</f>
        <v>0.721104358493492</v>
      </c>
      <c r="O17" s="15" t="n">
        <f aca="false">AVERAGEIFS(Pedidos!$AF$2:$AF$2224,Pedidos!$D$2:$D$2224,$B17)</f>
        <v>13</v>
      </c>
      <c r="P17" s="15" t="n">
        <f aca="false">AVERAGEIFS(Pedidos!$AG$2:$AG$2224,Pedidos!$D$2:$D$2224,$B17)</f>
        <v>10</v>
      </c>
      <c r="Q17" s="45" t="n">
        <f aca="false">MAX(0,1-H17/I17)</f>
        <v>0.297528057606124</v>
      </c>
      <c r="R17" s="10" t="str">
        <f aca="false">IF(J17&lt;=0,"Muito bem",IF(J17&lt;=0.32,"Melhor posição",IF(J17&lt;=0.45,"Intermediária","Precisa melhorar")))</f>
        <v>Intermediária</v>
      </c>
    </row>
    <row r="18" customFormat="false" ht="15" hidden="false" customHeight="false" outlineLevel="0" collapsed="false">
      <c r="A18" s="10" t="n">
        <v>15</v>
      </c>
      <c r="B18" s="10" t="s">
        <v>222</v>
      </c>
      <c r="C18" s="10" t="str">
        <f aca="false">INDEX(Pedidos!$E$2:$E$2224,MATCH($B18,Pedidos!$D$2:$D$2224,0))</f>
        <v>Interior</v>
      </c>
      <c r="D18" s="11" t="n">
        <f aca="false">COUNTIFS(Pedidos!$D$2:$D$2224,$B18)</f>
        <v>28</v>
      </c>
      <c r="E18" s="45" t="n">
        <f aca="false">D18/Resumo!$B$20</f>
        <v>0.0126012601260126</v>
      </c>
      <c r="F18" s="15" t="n">
        <f aca="false">AVERAGEIFS(Pedidos!$G$2:$G$2224,Pedidos!$D$2:$D$2224,$B18)</f>
        <v>47.2625</v>
      </c>
      <c r="G18" s="13" t="n">
        <f aca="false">AVERAGEIFS(Pedidos!$H$2:$H$2224,Pedidos!$D$2:$D$2224,$B18)</f>
        <v>582.559285714286</v>
      </c>
      <c r="H18" s="13" t="n">
        <f aca="false">AVERAGEIFS(Pedidos!$S$2:$S$2224,Pedidos!$D$2:$D$2224,$B18)</f>
        <v>134.310023214286</v>
      </c>
      <c r="I18" s="13" t="n">
        <f aca="false">AVERAGEIFS(Pedidos!$AB$2:$AB$2224,Pedidos!$D$2:$D$2224,$B18)</f>
        <v>192.934049512987</v>
      </c>
      <c r="J18" s="44" t="n">
        <f aca="false">I18/H18-1</f>
        <v>0.436482884119298</v>
      </c>
      <c r="K18" s="45" t="n">
        <f aca="false">SUMIFS(Pedidos!$S$2:$S$2224,Pedidos!$D$2:$D$2224,$B18)/SUMIFS(Pedidos!$H$2:$H$2224,Pedidos!$D$2:$D$2224,$B18)</f>
        <v>0.230551682048302</v>
      </c>
      <c r="L18" s="45" t="n">
        <f aca="false">SUMIFS(Pedidos!$AB$2:$AB$2224,Pedidos!$D$2:$D$2224,$B18)/SUMIFS(Pedidos!$H$2:$H$2224,Pedidos!$D$2:$D$2224,$B18)</f>
        <v>0.3311835451673</v>
      </c>
      <c r="M18" s="45" t="n">
        <f aca="false">COUNTIFS(Pedidos!$D$2:$D$2224,$B18,Pedidos!$AE$2:$AE$2224,"SIM")/D18</f>
        <v>0</v>
      </c>
      <c r="N18" s="44" t="n">
        <f aca="false">SUMIFS(Pedidos!$T$2:$T$2224,Pedidos!$D$2:$D$2224,$B18)/SUMIFS(Pedidos!$I$2:$I$2224,Pedidos!$D$2:$D$2224,$B18)-1</f>
        <v>0.734675669374653</v>
      </c>
      <c r="O18" s="15" t="n">
        <f aca="false">AVERAGEIFS(Pedidos!$AF$2:$AF$2224,Pedidos!$D$2:$D$2224,$B18)</f>
        <v>13</v>
      </c>
      <c r="P18" s="15" t="n">
        <f aca="false">AVERAGEIFS(Pedidos!$AG$2:$AG$2224,Pedidos!$D$2:$D$2224,$B18)</f>
        <v>10</v>
      </c>
      <c r="Q18" s="45" t="n">
        <f aca="false">MAX(0,1-H18/I18)</f>
        <v>0.303855262700818</v>
      </c>
      <c r="R18" s="10" t="str">
        <f aca="false">IF(J18&lt;=0,"Muito bem",IF(J18&lt;=0.32,"Melhor posição",IF(J18&lt;=0.45,"Intermediária","Precisa melhorar")))</f>
        <v>Intermediária</v>
      </c>
    </row>
    <row r="19" customFormat="false" ht="15" hidden="false" customHeight="false" outlineLevel="0" collapsed="false">
      <c r="A19" s="10" t="n">
        <v>16</v>
      </c>
      <c r="B19" s="10" t="s">
        <v>223</v>
      </c>
      <c r="C19" s="10" t="str">
        <f aca="false">INDEX(Pedidos!$E$2:$E$2224,MATCH($B19,Pedidos!$D$2:$D$2224,0))</f>
        <v>Interior</v>
      </c>
      <c r="D19" s="11" t="n">
        <f aca="false">COUNTIFS(Pedidos!$D$2:$D$2224,$B19)</f>
        <v>25</v>
      </c>
      <c r="E19" s="45" t="n">
        <f aca="false">D19/Resumo!$B$20</f>
        <v>0.0112511251125113</v>
      </c>
      <c r="F19" s="15" t="n">
        <f aca="false">AVERAGEIFS(Pedidos!$G$2:$G$2224,Pedidos!$D$2:$D$2224,$B19)</f>
        <v>49.9124</v>
      </c>
      <c r="G19" s="13" t="n">
        <f aca="false">AVERAGEIFS(Pedidos!$H$2:$H$2224,Pedidos!$D$2:$D$2224,$B19)</f>
        <v>689.1388</v>
      </c>
      <c r="H19" s="13" t="n">
        <f aca="false">AVERAGEIFS(Pedidos!$S$2:$S$2224,Pedidos!$D$2:$D$2224,$B19)</f>
        <v>137.537253363636</v>
      </c>
      <c r="I19" s="13" t="n">
        <f aca="false">AVERAGEIFS(Pedidos!$AB$2:$AB$2224,Pedidos!$D$2:$D$2224,$B19)</f>
        <v>181.009791363636</v>
      </c>
      <c r="J19" s="44" t="n">
        <f aca="false">I19/H19-1</f>
        <v>0.316078276516563</v>
      </c>
      <c r="K19" s="45" t="n">
        <f aca="false">SUMIFS(Pedidos!$S$2:$S$2224,Pedidos!$D$2:$D$2224,$B19)/SUMIFS(Pedidos!$H$2:$H$2224,Pedidos!$D$2:$D$2224,$B19)</f>
        <v>0.199578449745735</v>
      </c>
      <c r="L19" s="45" t="n">
        <f aca="false">SUMIFS(Pedidos!$AB$2:$AB$2224,Pedidos!$D$2:$D$2224,$B19)/SUMIFS(Pedidos!$H$2:$H$2224,Pedidos!$D$2:$D$2224,$B19)</f>
        <v>0.262660862171215</v>
      </c>
      <c r="M19" s="45" t="n">
        <f aca="false">COUNTIFS(Pedidos!$D$2:$D$2224,$B19,Pedidos!$AE$2:$AE$2224,"SIM")/D19</f>
        <v>0</v>
      </c>
      <c r="N19" s="44" t="n">
        <f aca="false">SUMIFS(Pedidos!$T$2:$T$2224,Pedidos!$D$2:$D$2224,$B19)/SUMIFS(Pedidos!$I$2:$I$2224,Pedidos!$D$2:$D$2224,$B19)-1</f>
        <v>0.555656247523968</v>
      </c>
      <c r="O19" s="15" t="n">
        <f aca="false">AVERAGEIFS(Pedidos!$AF$2:$AF$2224,Pedidos!$D$2:$D$2224,$B19)</f>
        <v>13</v>
      </c>
      <c r="P19" s="15" t="n">
        <f aca="false">AVERAGEIFS(Pedidos!$AG$2:$AG$2224,Pedidos!$D$2:$D$2224,$B19)</f>
        <v>7</v>
      </c>
      <c r="Q19" s="45" t="n">
        <f aca="false">MAX(0,1-H19/I19)</f>
        <v>0.240166775910297</v>
      </c>
      <c r="R19" s="10" t="str">
        <f aca="false">IF(J19&lt;=0,"Muito bem",IF(J19&lt;=0.32,"Melhor posição",IF(J19&lt;=0.45,"Intermediária","Precisa melhorar")))</f>
        <v>Melhor posição</v>
      </c>
    </row>
    <row r="20" customFormat="false" ht="15" hidden="false" customHeight="false" outlineLevel="0" collapsed="false">
      <c r="A20" s="10" t="n">
        <v>17</v>
      </c>
      <c r="B20" s="10" t="s">
        <v>224</v>
      </c>
      <c r="C20" s="10" t="str">
        <f aca="false">INDEX(Pedidos!$E$2:$E$2224,MATCH($B20,Pedidos!$D$2:$D$2224,0))</f>
        <v>Metropolitana</v>
      </c>
      <c r="D20" s="11" t="n">
        <f aca="false">COUNTIFS(Pedidos!$D$2:$D$2224,$B20)</f>
        <v>21</v>
      </c>
      <c r="E20" s="45" t="n">
        <f aca="false">D20/Resumo!$B$20</f>
        <v>0.00945094509450945</v>
      </c>
      <c r="F20" s="15" t="n">
        <f aca="false">AVERAGEIFS(Pedidos!$G$2:$G$2224,Pedidos!$D$2:$D$2224,$B20)</f>
        <v>51.26</v>
      </c>
      <c r="G20" s="13" t="n">
        <f aca="false">AVERAGEIFS(Pedidos!$H$2:$H$2224,Pedidos!$D$2:$D$2224,$B20)</f>
        <v>664.68</v>
      </c>
      <c r="H20" s="13" t="n">
        <f aca="false">AVERAGEIFS(Pedidos!$S$2:$S$2224,Pedidos!$D$2:$D$2224,$B20)</f>
        <v>124.963461904762</v>
      </c>
      <c r="I20" s="13" t="n">
        <f aca="false">AVERAGEIFS(Pedidos!$AB$2:$AB$2224,Pedidos!$D$2:$D$2224,$B20)</f>
        <v>160.896365800866</v>
      </c>
      <c r="J20" s="44" t="n">
        <f aca="false">I20/H20-1</f>
        <v>0.287547282608811</v>
      </c>
      <c r="K20" s="45" t="n">
        <f aca="false">SUMIFS(Pedidos!$S$2:$S$2224,Pedidos!$D$2:$D$2224,$B20)/SUMIFS(Pedidos!$H$2:$H$2224,Pedidos!$D$2:$D$2224,$B20)</f>
        <v>0.188005449095447</v>
      </c>
      <c r="L20" s="45" t="n">
        <f aca="false">SUMIFS(Pedidos!$AB$2:$AB$2224,Pedidos!$D$2:$D$2224,$B20)/SUMIFS(Pedidos!$H$2:$H$2224,Pedidos!$D$2:$D$2224,$B20)</f>
        <v>0.242065905098492</v>
      </c>
      <c r="M20" s="45" t="n">
        <f aca="false">COUNTIFS(Pedidos!$D$2:$D$2224,$B20,Pedidos!$AE$2:$AE$2224,"SIM")/D20</f>
        <v>0.0476190476190476</v>
      </c>
      <c r="N20" s="44" t="n">
        <f aca="false">SUMIFS(Pedidos!$T$2:$T$2224,Pedidos!$D$2:$D$2224,$B20)/SUMIFS(Pedidos!$I$2:$I$2224,Pedidos!$D$2:$D$2224,$B20)-1</f>
        <v>0.550096272864805</v>
      </c>
      <c r="O20" s="15" t="n">
        <f aca="false">AVERAGEIFS(Pedidos!$AF$2:$AF$2224,Pedidos!$D$2:$D$2224,$B20)</f>
        <v>2</v>
      </c>
      <c r="P20" s="15" t="n">
        <f aca="false">AVERAGEIFS(Pedidos!$AG$2:$AG$2224,Pedidos!$D$2:$D$2224,$B20)</f>
        <v>5</v>
      </c>
      <c r="Q20" s="45" t="n">
        <f aca="false">MAX(0,1-H20/I20)</f>
        <v>0.223329493598236</v>
      </c>
      <c r="R20" s="10" t="str">
        <f aca="false">IF(J20&lt;=0,"Muito bem",IF(J20&lt;=0.32,"Melhor posição",IF(J20&lt;=0.45,"Intermediária","Precisa melhorar")))</f>
        <v>Melhor posição</v>
      </c>
    </row>
    <row r="21" customFormat="false" ht="15" hidden="false" customHeight="false" outlineLevel="0" collapsed="false">
      <c r="A21" s="10" t="n">
        <v>18</v>
      </c>
      <c r="B21" s="10" t="s">
        <v>225</v>
      </c>
      <c r="C21" s="10" t="str">
        <f aca="false">INDEX(Pedidos!$E$2:$E$2224,MATCH($B21,Pedidos!$D$2:$D$2224,0))</f>
        <v>Interior</v>
      </c>
      <c r="D21" s="11" t="n">
        <f aca="false">COUNTIFS(Pedidos!$D$2:$D$2224,$B21)</f>
        <v>20</v>
      </c>
      <c r="E21" s="45" t="n">
        <f aca="false">D21/Resumo!$B$20</f>
        <v>0.009000900090009</v>
      </c>
      <c r="F21" s="15" t="n">
        <f aca="false">AVERAGEIFS(Pedidos!$G$2:$G$2224,Pedidos!$D$2:$D$2224,$B21)</f>
        <v>41.5975</v>
      </c>
      <c r="G21" s="13" t="n">
        <f aca="false">AVERAGEIFS(Pedidos!$H$2:$H$2224,Pedidos!$D$2:$D$2224,$B21)</f>
        <v>542.359</v>
      </c>
      <c r="H21" s="13" t="n">
        <f aca="false">AVERAGEIFS(Pedidos!$S$2:$S$2224,Pedidos!$D$2:$D$2224,$B21)</f>
        <v>124.248758863636</v>
      </c>
      <c r="I21" s="13" t="n">
        <f aca="false">AVERAGEIFS(Pedidos!$AB$2:$AB$2224,Pedidos!$D$2:$D$2224,$B21)</f>
        <v>162.323382954545</v>
      </c>
      <c r="J21" s="44" t="n">
        <f aca="false">I21/H21-1</f>
        <v>0.306438667388993</v>
      </c>
      <c r="K21" s="45" t="n">
        <f aca="false">SUMIFS(Pedidos!$S$2:$S$2224,Pedidos!$D$2:$D$2224,$B21)/SUMIFS(Pedidos!$H$2:$H$2224,Pedidos!$D$2:$D$2224,$B21)</f>
        <v>0.229089512414538</v>
      </c>
      <c r="L21" s="45" t="n">
        <f aca="false">SUMIFS(Pedidos!$AB$2:$AB$2224,Pedidos!$D$2:$D$2224,$B21)/SUMIFS(Pedidos!$H$2:$H$2224,Pedidos!$D$2:$D$2224,$B21)</f>
        <v>0.299291397311643</v>
      </c>
      <c r="M21" s="45" t="n">
        <f aca="false">COUNTIFS(Pedidos!$D$2:$D$2224,$B21,Pedidos!$AE$2:$AE$2224,"SIM")/D21</f>
        <v>0</v>
      </c>
      <c r="N21" s="44" t="n">
        <f aca="false">SUMIFS(Pedidos!$T$2:$T$2224,Pedidos!$D$2:$D$2224,$B21)/SUMIFS(Pedidos!$I$2:$I$2224,Pedidos!$D$2:$D$2224,$B21)-1</f>
        <v>0.553649935107735</v>
      </c>
      <c r="O21" s="15" t="n">
        <f aca="false">AVERAGEIFS(Pedidos!$AF$2:$AF$2224,Pedidos!$D$2:$D$2224,$B21)</f>
        <v>13</v>
      </c>
      <c r="P21" s="15" t="n">
        <f aca="false">AVERAGEIFS(Pedidos!$AG$2:$AG$2224,Pedidos!$D$2:$D$2224,$B21)</f>
        <v>6</v>
      </c>
      <c r="Q21" s="45" t="n">
        <f aca="false">MAX(0,1-H21/I21)</f>
        <v>0.234560316560005</v>
      </c>
      <c r="R21" s="10" t="str">
        <f aca="false">IF(J21&lt;=0,"Muito bem",IF(J21&lt;=0.32,"Melhor posição",IF(J21&lt;=0.45,"Intermediária","Precisa melhorar")))</f>
        <v>Melhor posição</v>
      </c>
    </row>
    <row r="22" customFormat="false" ht="15" hidden="false" customHeight="false" outlineLevel="0" collapsed="false">
      <c r="A22" s="10" t="n">
        <v>19</v>
      </c>
      <c r="B22" s="10" t="s">
        <v>226</v>
      </c>
      <c r="C22" s="10" t="str">
        <f aca="false">INDEX(Pedidos!$E$2:$E$2224,MATCH($B22,Pedidos!$D$2:$D$2224,0))</f>
        <v>Interior</v>
      </c>
      <c r="D22" s="11" t="n">
        <f aca="false">COUNTIFS(Pedidos!$D$2:$D$2224,$B22)</f>
        <v>18</v>
      </c>
      <c r="E22" s="45" t="n">
        <f aca="false">D22/Resumo!$B$20</f>
        <v>0.0081008100810081</v>
      </c>
      <c r="F22" s="15" t="n">
        <f aca="false">AVERAGEIFS(Pedidos!$G$2:$G$2224,Pedidos!$D$2:$D$2224,$B22)</f>
        <v>57.6383333333333</v>
      </c>
      <c r="G22" s="13" t="n">
        <f aca="false">AVERAGEIFS(Pedidos!$H$2:$H$2224,Pedidos!$D$2:$D$2224,$B22)</f>
        <v>753.064444444445</v>
      </c>
      <c r="H22" s="13" t="n">
        <f aca="false">AVERAGEIFS(Pedidos!$S$2:$S$2224,Pedidos!$D$2:$D$2224,$B22)</f>
        <v>148.971696464646</v>
      </c>
      <c r="I22" s="13" t="n">
        <f aca="false">AVERAGEIFS(Pedidos!$AB$2:$AB$2224,Pedidos!$D$2:$D$2224,$B22)</f>
        <v>219.929638888889</v>
      </c>
      <c r="J22" s="44" t="n">
        <f aca="false">I22/H22-1</f>
        <v>0.476318281312464</v>
      </c>
      <c r="K22" s="45" t="n">
        <f aca="false">SUMIFS(Pedidos!$S$2:$S$2224,Pedidos!$D$2:$D$2224,$B22)/SUMIFS(Pedidos!$H$2:$H$2224,Pedidos!$D$2:$D$2224,$B22)</f>
        <v>0.197820648104754</v>
      </c>
      <c r="L22" s="45" t="n">
        <f aca="false">SUMIFS(Pedidos!$AB$2:$AB$2224,Pedidos!$D$2:$D$2224,$B22)/SUMIFS(Pedidos!$H$2:$H$2224,Pedidos!$D$2:$D$2224,$B22)</f>
        <v>0.292046239218128</v>
      </c>
      <c r="M22" s="45" t="n">
        <f aca="false">COUNTIFS(Pedidos!$D$2:$D$2224,$B22,Pedidos!$AE$2:$AE$2224,"SIM")/D22</f>
        <v>0</v>
      </c>
      <c r="N22" s="44" t="n">
        <f aca="false">SUMIFS(Pedidos!$T$2:$T$2224,Pedidos!$D$2:$D$2224,$B22)/SUMIFS(Pedidos!$I$2:$I$2224,Pedidos!$D$2:$D$2224,$B22)-1</f>
        <v>0.785781766650921</v>
      </c>
      <c r="O22" s="15" t="n">
        <f aca="false">AVERAGEIFS(Pedidos!$AF$2:$AF$2224,Pedidos!$D$2:$D$2224,$B22)</f>
        <v>13</v>
      </c>
      <c r="P22" s="15" t="n">
        <f aca="false">AVERAGEIFS(Pedidos!$AG$2:$AG$2224,Pedidos!$D$2:$D$2224,$B22)</f>
        <v>10</v>
      </c>
      <c r="Q22" s="45" t="n">
        <f aca="false">MAX(0,1-H22/I22)</f>
        <v>0.322639289468807</v>
      </c>
      <c r="R22" s="10" t="str">
        <f aca="false">IF(J22&lt;=0,"Muito bem",IF(J22&lt;=0.32,"Melhor posição",IF(J22&lt;=0.45,"Intermediária","Precisa melhorar")))</f>
        <v>Precisa melhorar</v>
      </c>
    </row>
    <row r="23" customFormat="false" ht="15" hidden="false" customHeight="false" outlineLevel="0" collapsed="false">
      <c r="A23" s="10" t="n">
        <v>20</v>
      </c>
      <c r="B23" s="10" t="s">
        <v>227</v>
      </c>
      <c r="C23" s="10" t="str">
        <f aca="false">INDEX(Pedidos!$E$2:$E$2224,MATCH($B23,Pedidos!$D$2:$D$2224,0))</f>
        <v>Interior</v>
      </c>
      <c r="D23" s="11" t="n">
        <f aca="false">COUNTIFS(Pedidos!$D$2:$D$2224,$B23)</f>
        <v>18</v>
      </c>
      <c r="E23" s="45" t="n">
        <f aca="false">D23/Resumo!$B$20</f>
        <v>0.0081008100810081</v>
      </c>
      <c r="F23" s="15" t="n">
        <f aca="false">AVERAGEIFS(Pedidos!$G$2:$G$2224,Pedidos!$D$2:$D$2224,$B23)</f>
        <v>47.4388888888889</v>
      </c>
      <c r="G23" s="13" t="n">
        <f aca="false">AVERAGEIFS(Pedidos!$H$2:$H$2224,Pedidos!$D$2:$D$2224,$B23)</f>
        <v>604.150555555556</v>
      </c>
      <c r="H23" s="13" t="n">
        <f aca="false">AVERAGEIFS(Pedidos!$S$2:$S$2224,Pedidos!$D$2:$D$2224,$B23)</f>
        <v>132.724986237374</v>
      </c>
      <c r="I23" s="13" t="n">
        <f aca="false">AVERAGEIFS(Pedidos!$AB$2:$AB$2224,Pedidos!$D$2:$D$2224,$B23)</f>
        <v>190.529932449495</v>
      </c>
      <c r="J23" s="44" t="n">
        <f aca="false">I23/H23-1</f>
        <v>0.435524220803001</v>
      </c>
      <c r="K23" s="45" t="n">
        <f aca="false">SUMIFS(Pedidos!$S$2:$S$2224,Pedidos!$D$2:$D$2224,$B23)/SUMIFS(Pedidos!$H$2:$H$2224,Pedidos!$D$2:$D$2224,$B23)</f>
        <v>0.219688594203682</v>
      </c>
      <c r="L23" s="45" t="n">
        <f aca="false">SUMIFS(Pedidos!$AB$2:$AB$2224,Pedidos!$D$2:$D$2224,$B23)/SUMIFS(Pedidos!$H$2:$H$2224,Pedidos!$D$2:$D$2224,$B23)</f>
        <v>0.315368298013548</v>
      </c>
      <c r="M23" s="45" t="n">
        <f aca="false">COUNTIFS(Pedidos!$D$2:$D$2224,$B23,Pedidos!$AE$2:$AE$2224,"SIM")/D23</f>
        <v>0</v>
      </c>
      <c r="N23" s="44" t="n">
        <f aca="false">SUMIFS(Pedidos!$T$2:$T$2224,Pedidos!$D$2:$D$2224,$B23)/SUMIFS(Pedidos!$I$2:$I$2224,Pedidos!$D$2:$D$2224,$B23)-1</f>
        <v>0.739456879222043</v>
      </c>
      <c r="O23" s="15" t="n">
        <f aca="false">AVERAGEIFS(Pedidos!$AF$2:$AF$2224,Pedidos!$D$2:$D$2224,$B23)</f>
        <v>13</v>
      </c>
      <c r="P23" s="15" t="n">
        <f aca="false">AVERAGEIFS(Pedidos!$AG$2:$AG$2224,Pedidos!$D$2:$D$2224,$B23)</f>
        <v>10</v>
      </c>
      <c r="Q23" s="45" t="n">
        <f aca="false">MAX(0,1-H23/I23)</f>
        <v>0.303390367429244</v>
      </c>
      <c r="R23" s="10" t="str">
        <f aca="false">IF(J23&lt;=0,"Muito bem",IF(J23&lt;=0.32,"Melhor posição",IF(J23&lt;=0.45,"Intermediária","Precisa melhorar")))</f>
        <v>Intermediária</v>
      </c>
    </row>
    <row r="24" customFormat="false" ht="15" hidden="false" customHeight="false" outlineLevel="0" collapsed="false">
      <c r="B24" s="16" t="s">
        <v>228</v>
      </c>
      <c r="D24" s="17" t="n">
        <f aca="false">SUM(D4:D23)</f>
        <v>1912</v>
      </c>
      <c r="E24" s="53" t="n">
        <f aca="false">D24/Resumo!$B$20</f>
        <v>0.86048604860486</v>
      </c>
      <c r="F24" s="21" t="n">
        <f aca="false">AVERAGEIFS(Pedidos!$G$2:$G$2224,Pedidos!$AH$2:$AH$2224,"SIM")</f>
        <v>49.454440376569</v>
      </c>
      <c r="G24" s="19" t="n">
        <f aca="false">AVERAGEIFS(Pedidos!$H$2:$H$2224,Pedidos!$AH$2:$AH$2224,"SIM")</f>
        <v>636.045360878661</v>
      </c>
      <c r="H24" s="19" t="n">
        <f aca="false">AVERAGEIFS(Pedidos!$S$2:$S$2224,Pedidos!$AH$2:$AH$2224,"SIM")</f>
        <v>118.219979475323</v>
      </c>
      <c r="I24" s="19" t="n">
        <f aca="false">AVERAGEIFS(Pedidos!$AB$2:$AB$2224,Pedidos!$AH$2:$AH$2224,"SIM")</f>
        <v>169.566325236544</v>
      </c>
      <c r="J24" s="48" t="n">
        <f aca="false">I24/H24-1</f>
        <v>0.434328833324986</v>
      </c>
      <c r="K24" s="53" t="n">
        <f aca="false">SUMIFS(Pedidos!$S$2:$S$2224,Pedidos!$AH$2:$AH$2224,"SIM")/SUMIFS(Pedidos!$H$2:$H$2224,Pedidos!$AH$2:$AH$2224,"SIM")</f>
        <v>0.185867214426356</v>
      </c>
      <c r="L24" s="53" t="n">
        <f aca="false">SUMIFS(Pedidos!$AB$2:$AB$2224,Pedidos!$AH$2:$AH$2224,"SIM")/SUMIFS(Pedidos!$H$2:$H$2224,Pedidos!$AH$2:$AH$2224,"SIM")</f>
        <v>0.266594704821521</v>
      </c>
      <c r="M24" s="53" t="n">
        <f aca="false">COUNTIFS(Pedidos!$AH$2:$AH$2224,"SIM",Pedidos!$AE$2:$AE$2224,"SIM")/D24</f>
        <v>0.00732217573221757</v>
      </c>
      <c r="N24" s="48" t="n">
        <f aca="false">SUMIFS(Pedidos!$T$2:$T$2224,Pedidos!$AH$2:$AH$2224,"SIM")/SUMIFS(Pedidos!$I$2:$I$2224,Pedidos!$AH$2:$AH$2224,"SIM")-1</f>
        <v>0.806592429509469</v>
      </c>
      <c r="O24" s="21" t="n">
        <f aca="false">AVERAGEIFS(Pedidos!$AF$2:$AF$2224,Pedidos!$AH$2:$AH$2224,"SIM")</f>
        <v>4.13441422594142</v>
      </c>
      <c r="P24" s="21" t="n">
        <f aca="false">AVERAGEIFS(Pedidos!$AG$2:$AG$2224,Pedidos!$AH$2:$AH$2224,"SIM")</f>
        <v>6.06903765690377</v>
      </c>
      <c r="Q24" s="53" t="n">
        <f aca="false">MAX(0,1-H24/I24)</f>
        <v>0.302809804302789</v>
      </c>
    </row>
    <row r="26" customFormat="false" ht="15" hidden="false" customHeight="false" outlineLevel="0" collapsed="false">
      <c r="A26" s="2" t="s">
        <v>229</v>
      </c>
    </row>
  </sheetData>
  <conditionalFormatting sqref="J4:J2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4:N23">
    <cfRule type="colorScale" priority="3">
      <colorScale>
        <cfvo type="num" val="-0.3"/>
        <cfvo type="num" val="0"/>
        <cfvo type="num" val="1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15" min="3" style="0" width="10"/>
  </cols>
  <sheetData>
    <row r="1" customFormat="false" ht="17.35" hidden="false" customHeight="false" outlineLevel="0" collapsed="false">
      <c r="A1" s="36" t="s">
        <v>230</v>
      </c>
    </row>
    <row r="4" customFormat="false" ht="15" hidden="false" customHeight="false" outlineLevel="0" collapsed="false">
      <c r="A4" s="37" t="s">
        <v>231</v>
      </c>
    </row>
    <row r="5" customFormat="false" ht="30" hidden="false" customHeight="true" outlineLevel="0" collapsed="false">
      <c r="A5" s="54" t="s">
        <v>43</v>
      </c>
      <c r="B5" s="54" t="s">
        <v>203</v>
      </c>
      <c r="C5" s="54" t="s">
        <v>232</v>
      </c>
      <c r="D5" s="54" t="s">
        <v>233</v>
      </c>
      <c r="E5" s="54" t="s">
        <v>234</v>
      </c>
      <c r="F5" s="54" t="s">
        <v>235</v>
      </c>
      <c r="G5" s="54" t="s">
        <v>236</v>
      </c>
      <c r="H5" s="54" t="s">
        <v>237</v>
      </c>
      <c r="I5" s="54" t="s">
        <v>238</v>
      </c>
      <c r="J5" s="54" t="s">
        <v>239</v>
      </c>
      <c r="K5" s="54" t="s">
        <v>240</v>
      </c>
      <c r="L5" s="54" t="s">
        <v>241</v>
      </c>
      <c r="M5" s="54" t="s">
        <v>242</v>
      </c>
      <c r="N5" s="54" t="s">
        <v>243</v>
      </c>
      <c r="O5" s="54" t="s">
        <v>244</v>
      </c>
    </row>
    <row r="6" customFormat="false" ht="15" hidden="false" customHeight="false" outlineLevel="0" collapsed="false">
      <c r="A6" s="10" t="s">
        <v>46</v>
      </c>
      <c r="B6" s="10" t="s">
        <v>22</v>
      </c>
      <c r="C6" s="40" t="n">
        <v>46.98</v>
      </c>
      <c r="D6" s="40" t="n">
        <v>82.21</v>
      </c>
      <c r="E6" s="40" t="n">
        <v>93.97</v>
      </c>
      <c r="F6" s="40" t="n">
        <v>93.97</v>
      </c>
      <c r="G6" s="40" t="n">
        <v>112.3</v>
      </c>
      <c r="H6" s="40" t="n">
        <v>131.02</v>
      </c>
      <c r="I6" s="40" t="n">
        <v>134.39</v>
      </c>
      <c r="J6" s="40" t="n">
        <v>167.99</v>
      </c>
      <c r="K6" s="40" t="n">
        <v>201.59</v>
      </c>
      <c r="L6" s="40" t="n">
        <v>239.25</v>
      </c>
      <c r="M6" s="40" t="n">
        <v>271.15</v>
      </c>
      <c r="N6" s="40" t="n">
        <v>319</v>
      </c>
      <c r="O6" s="40" t="n">
        <v>398.74</v>
      </c>
    </row>
    <row r="7" customFormat="false" ht="15" hidden="false" customHeight="false" outlineLevel="0" collapsed="false">
      <c r="A7" s="10" t="s">
        <v>47</v>
      </c>
      <c r="B7" s="10" t="s">
        <v>23</v>
      </c>
      <c r="C7" s="40" t="n">
        <v>57.47</v>
      </c>
      <c r="D7" s="40" t="n">
        <v>100.58</v>
      </c>
      <c r="E7" s="40" t="n">
        <v>114.95</v>
      </c>
      <c r="F7" s="40" t="n">
        <v>114.95</v>
      </c>
      <c r="G7" s="40" t="n">
        <v>128.14</v>
      </c>
      <c r="H7" s="40" t="n">
        <v>149.5</v>
      </c>
      <c r="I7" s="40" t="n">
        <v>142.74</v>
      </c>
      <c r="J7" s="40" t="n">
        <v>178.42</v>
      </c>
      <c r="K7" s="40" t="n">
        <v>214.11</v>
      </c>
      <c r="L7" s="40" t="n">
        <v>249.03</v>
      </c>
      <c r="M7" s="40" t="n">
        <v>282.23</v>
      </c>
      <c r="N7" s="40" t="n">
        <v>332.05</v>
      </c>
      <c r="O7" s="40" t="n">
        <v>415.05</v>
      </c>
    </row>
    <row r="8" customFormat="false" ht="15" hidden="false" customHeight="false" outlineLevel="0" collapsed="false">
      <c r="A8" s="10" t="s">
        <v>48</v>
      </c>
      <c r="B8" s="10" t="s">
        <v>23</v>
      </c>
      <c r="C8" s="40" t="n">
        <v>46.98</v>
      </c>
      <c r="D8" s="40" t="n">
        <v>82.21</v>
      </c>
      <c r="E8" s="40" t="n">
        <v>93.97</v>
      </c>
      <c r="F8" s="40" t="n">
        <v>93.97</v>
      </c>
      <c r="G8" s="40" t="n">
        <v>112.3</v>
      </c>
      <c r="H8" s="40" t="n">
        <v>131.02</v>
      </c>
      <c r="I8" s="40" t="n">
        <v>134.39</v>
      </c>
      <c r="J8" s="40" t="n">
        <v>167.99</v>
      </c>
      <c r="K8" s="40" t="n">
        <v>201.59</v>
      </c>
      <c r="L8" s="40" t="n">
        <v>239.25</v>
      </c>
      <c r="M8" s="40" t="n">
        <v>271.15</v>
      </c>
      <c r="N8" s="40" t="n">
        <v>319</v>
      </c>
      <c r="O8" s="40" t="n">
        <v>398.74</v>
      </c>
    </row>
    <row r="9" customFormat="false" ht="15" hidden="false" customHeight="false" outlineLevel="0" collapsed="false">
      <c r="A9" s="10" t="s">
        <v>49</v>
      </c>
      <c r="B9" s="10" t="s">
        <v>23</v>
      </c>
      <c r="C9" s="40" t="n">
        <v>46.98</v>
      </c>
      <c r="D9" s="40" t="n">
        <v>82.21</v>
      </c>
      <c r="E9" s="40" t="n">
        <v>93.97</v>
      </c>
      <c r="F9" s="40" t="n">
        <v>93.97</v>
      </c>
      <c r="G9" s="40" t="n">
        <v>112.3</v>
      </c>
      <c r="H9" s="40" t="n">
        <v>131.02</v>
      </c>
      <c r="I9" s="40" t="n">
        <v>134.39</v>
      </c>
      <c r="J9" s="40" t="n">
        <v>167.99</v>
      </c>
      <c r="K9" s="40" t="n">
        <v>201.59</v>
      </c>
      <c r="L9" s="40" t="n">
        <v>239.25</v>
      </c>
      <c r="M9" s="40" t="n">
        <v>271.15</v>
      </c>
      <c r="N9" s="40" t="n">
        <v>319</v>
      </c>
      <c r="O9" s="40" t="n">
        <v>398.74</v>
      </c>
    </row>
    <row r="10" customFormat="false" ht="15" hidden="false" customHeight="false" outlineLevel="0" collapsed="false">
      <c r="A10" s="10" t="s">
        <v>50</v>
      </c>
      <c r="B10" s="10" t="s">
        <v>23</v>
      </c>
      <c r="C10" s="40" t="n">
        <v>57.47</v>
      </c>
      <c r="D10" s="40" t="n">
        <v>100.58</v>
      </c>
      <c r="E10" s="40" t="n">
        <v>114.95</v>
      </c>
      <c r="F10" s="40" t="n">
        <v>114.95</v>
      </c>
      <c r="G10" s="40" t="n">
        <v>128.14</v>
      </c>
      <c r="H10" s="40" t="n">
        <v>149.5</v>
      </c>
      <c r="I10" s="40" t="n">
        <v>142.74</v>
      </c>
      <c r="J10" s="40" t="n">
        <v>178.42</v>
      </c>
      <c r="K10" s="40" t="n">
        <v>214.11</v>
      </c>
      <c r="L10" s="40" t="n">
        <v>249.03</v>
      </c>
      <c r="M10" s="40" t="n">
        <v>282.23</v>
      </c>
      <c r="N10" s="40" t="n">
        <v>332.05</v>
      </c>
      <c r="O10" s="40" t="n">
        <v>415.05</v>
      </c>
    </row>
    <row r="11" customFormat="false" ht="15" hidden="false" customHeight="false" outlineLevel="0" collapsed="false">
      <c r="A11" s="10" t="s">
        <v>51</v>
      </c>
      <c r="B11" s="10" t="s">
        <v>24</v>
      </c>
      <c r="C11" s="40" t="n">
        <v>124.04</v>
      </c>
      <c r="D11" s="40" t="n">
        <v>138.29</v>
      </c>
      <c r="E11" s="40" t="n">
        <v>143.04</v>
      </c>
      <c r="F11" s="40" t="n">
        <v>152.54</v>
      </c>
      <c r="G11" s="40" t="n">
        <v>162.04</v>
      </c>
      <c r="H11" s="40" t="n">
        <v>171.54</v>
      </c>
      <c r="I11" s="40" t="n">
        <v>181.04</v>
      </c>
      <c r="J11" s="40" t="n">
        <v>200.04</v>
      </c>
      <c r="K11" s="40" t="n">
        <v>236.82</v>
      </c>
      <c r="L11" s="40" t="n">
        <v>264.84</v>
      </c>
      <c r="M11" s="40" t="n">
        <v>300.15</v>
      </c>
      <c r="N11" s="40" t="n">
        <v>353.17</v>
      </c>
      <c r="O11" s="40" t="n">
        <v>441.4</v>
      </c>
    </row>
    <row r="12" customFormat="false" ht="15" hidden="false" customHeight="false" outlineLevel="0" collapsed="false">
      <c r="A12" s="10" t="s">
        <v>52</v>
      </c>
      <c r="B12" s="10" t="s">
        <v>23</v>
      </c>
      <c r="C12" s="40" t="n">
        <v>46.98</v>
      </c>
      <c r="D12" s="40" t="n">
        <v>82.21</v>
      </c>
      <c r="E12" s="40" t="n">
        <v>93.97</v>
      </c>
      <c r="F12" s="40" t="n">
        <v>93.97</v>
      </c>
      <c r="G12" s="40" t="n">
        <v>112.3</v>
      </c>
      <c r="H12" s="40" t="n">
        <v>131.02</v>
      </c>
      <c r="I12" s="40" t="n">
        <v>134.39</v>
      </c>
      <c r="J12" s="40" t="n">
        <v>167.99</v>
      </c>
      <c r="K12" s="40" t="n">
        <v>201.59</v>
      </c>
      <c r="L12" s="40" t="n">
        <v>239.25</v>
      </c>
      <c r="M12" s="40" t="n">
        <v>271.15</v>
      </c>
      <c r="N12" s="40" t="n">
        <v>319</v>
      </c>
      <c r="O12" s="40" t="n">
        <v>398.74</v>
      </c>
    </row>
    <row r="13" customFormat="false" ht="15" hidden="false" customHeight="false" outlineLevel="0" collapsed="false">
      <c r="A13" s="10" t="s">
        <v>53</v>
      </c>
      <c r="B13" s="10" t="s">
        <v>24</v>
      </c>
      <c r="C13" s="40" t="n">
        <v>124.04</v>
      </c>
      <c r="D13" s="40" t="n">
        <v>138.29</v>
      </c>
      <c r="E13" s="40" t="n">
        <v>143.04</v>
      </c>
      <c r="F13" s="40" t="n">
        <v>152.54</v>
      </c>
      <c r="G13" s="40" t="n">
        <v>162.04</v>
      </c>
      <c r="H13" s="40" t="n">
        <v>171.54</v>
      </c>
      <c r="I13" s="40" t="n">
        <v>181.04</v>
      </c>
      <c r="J13" s="40" t="n">
        <v>200.04</v>
      </c>
      <c r="K13" s="40" t="n">
        <v>236.82</v>
      </c>
      <c r="L13" s="40" t="n">
        <v>264.84</v>
      </c>
      <c r="M13" s="40" t="n">
        <v>300.15</v>
      </c>
      <c r="N13" s="40" t="n">
        <v>353.17</v>
      </c>
      <c r="O13" s="40" t="n">
        <v>441.4</v>
      </c>
    </row>
    <row r="14" customFormat="false" ht="15" hidden="false" customHeight="false" outlineLevel="0" collapsed="false">
      <c r="A14" s="10" t="s">
        <v>216</v>
      </c>
      <c r="B14" s="10" t="s">
        <v>23</v>
      </c>
      <c r="C14" s="40" t="n">
        <v>46.98</v>
      </c>
      <c r="D14" s="40" t="n">
        <v>82.21</v>
      </c>
      <c r="E14" s="40" t="n">
        <v>93.97</v>
      </c>
      <c r="F14" s="40" t="n">
        <v>93.97</v>
      </c>
      <c r="G14" s="40" t="n">
        <v>112.3</v>
      </c>
      <c r="H14" s="40" t="n">
        <v>131.02</v>
      </c>
      <c r="I14" s="40" t="n">
        <v>134.39</v>
      </c>
      <c r="J14" s="40" t="n">
        <v>167.99</v>
      </c>
      <c r="K14" s="40" t="n">
        <v>201.59</v>
      </c>
      <c r="L14" s="40" t="n">
        <v>239.25</v>
      </c>
      <c r="M14" s="40" t="n">
        <v>271.15</v>
      </c>
      <c r="N14" s="40" t="n">
        <v>319</v>
      </c>
      <c r="O14" s="40" t="n">
        <v>398.74</v>
      </c>
    </row>
    <row r="15" customFormat="false" ht="15" hidden="false" customHeight="false" outlineLevel="0" collapsed="false">
      <c r="A15" s="10" t="s">
        <v>217</v>
      </c>
      <c r="B15" s="10" t="s">
        <v>24</v>
      </c>
      <c r="C15" s="40" t="n">
        <v>77.35</v>
      </c>
      <c r="D15" s="40" t="n">
        <v>108.83</v>
      </c>
      <c r="E15" s="40" t="n">
        <v>124.38</v>
      </c>
      <c r="F15" s="40" t="n">
        <v>124.38</v>
      </c>
      <c r="G15" s="40" t="n">
        <v>142.32</v>
      </c>
      <c r="H15" s="40" t="n">
        <v>166.05</v>
      </c>
      <c r="I15" s="40" t="n">
        <v>157.88</v>
      </c>
      <c r="J15" s="40" t="n">
        <v>197.35</v>
      </c>
      <c r="K15" s="40" t="n">
        <v>236.82</v>
      </c>
      <c r="L15" s="40" t="n">
        <v>264.84</v>
      </c>
      <c r="M15" s="40" t="n">
        <v>300.15</v>
      </c>
      <c r="N15" s="40" t="n">
        <v>353.12</v>
      </c>
      <c r="O15" s="40" t="n">
        <v>441.4</v>
      </c>
    </row>
    <row r="16" customFormat="false" ht="15" hidden="false" customHeight="false" outlineLevel="0" collapsed="false">
      <c r="A16" s="10" t="s">
        <v>218</v>
      </c>
      <c r="B16" s="10" t="s">
        <v>24</v>
      </c>
      <c r="C16" s="40" t="n">
        <v>77.35</v>
      </c>
      <c r="D16" s="40" t="n">
        <v>108.83</v>
      </c>
      <c r="E16" s="40" t="n">
        <v>124.38</v>
      </c>
      <c r="F16" s="40" t="n">
        <v>124.38</v>
      </c>
      <c r="G16" s="40" t="n">
        <v>142.32</v>
      </c>
      <c r="H16" s="40" t="n">
        <v>166.05</v>
      </c>
      <c r="I16" s="40" t="n">
        <v>157.88</v>
      </c>
      <c r="J16" s="40" t="n">
        <v>197.35</v>
      </c>
      <c r="K16" s="40" t="n">
        <v>236.82</v>
      </c>
      <c r="L16" s="40" t="n">
        <v>264.84</v>
      </c>
      <c r="M16" s="40" t="n">
        <v>300.15</v>
      </c>
      <c r="N16" s="40" t="n">
        <v>353.12</v>
      </c>
      <c r="O16" s="40" t="n">
        <v>441.4</v>
      </c>
    </row>
    <row r="17" customFormat="false" ht="15" hidden="false" customHeight="false" outlineLevel="0" collapsed="false">
      <c r="A17" s="10" t="s">
        <v>219</v>
      </c>
      <c r="B17" s="10" t="s">
        <v>24</v>
      </c>
      <c r="C17" s="40" t="n">
        <v>89.03</v>
      </c>
      <c r="D17" s="40" t="n">
        <v>108.83</v>
      </c>
      <c r="E17" s="40" t="n">
        <v>124.38</v>
      </c>
      <c r="F17" s="40" t="n">
        <v>124.38</v>
      </c>
      <c r="G17" s="40" t="n">
        <v>142.32</v>
      </c>
      <c r="H17" s="40" t="n">
        <v>166.05</v>
      </c>
      <c r="I17" s="40" t="n">
        <v>166.05</v>
      </c>
      <c r="J17" s="40" t="n">
        <v>197.35</v>
      </c>
      <c r="K17" s="40" t="n">
        <v>236.82</v>
      </c>
      <c r="L17" s="40" t="n">
        <v>264.84</v>
      </c>
      <c r="M17" s="40" t="n">
        <v>300.15</v>
      </c>
      <c r="N17" s="40" t="n">
        <v>353.12</v>
      </c>
      <c r="O17" s="40" t="n">
        <v>441.4</v>
      </c>
    </row>
    <row r="18" customFormat="false" ht="15" hidden="false" customHeight="false" outlineLevel="0" collapsed="false">
      <c r="A18" s="10" t="s">
        <v>220</v>
      </c>
      <c r="B18" s="10" t="s">
        <v>24</v>
      </c>
      <c r="C18" s="40" t="n">
        <v>57.47</v>
      </c>
      <c r="D18" s="40" t="n">
        <v>100.58</v>
      </c>
      <c r="E18" s="40" t="n">
        <v>114.95</v>
      </c>
      <c r="F18" s="40" t="n">
        <v>114.95</v>
      </c>
      <c r="G18" s="40" t="n">
        <v>128.14</v>
      </c>
      <c r="H18" s="40" t="n">
        <v>149.5</v>
      </c>
      <c r="I18" s="40" t="n">
        <v>142.74</v>
      </c>
      <c r="J18" s="40" t="n">
        <v>178.42</v>
      </c>
      <c r="K18" s="40" t="n">
        <v>214.11</v>
      </c>
      <c r="L18" s="40" t="n">
        <v>249.03</v>
      </c>
      <c r="M18" s="40" t="n">
        <v>282.23</v>
      </c>
      <c r="N18" s="40" t="n">
        <v>332.05</v>
      </c>
      <c r="O18" s="40" t="n">
        <v>415.05</v>
      </c>
    </row>
    <row r="19" customFormat="false" ht="15" hidden="false" customHeight="false" outlineLevel="0" collapsed="false">
      <c r="A19" s="10" t="s">
        <v>221</v>
      </c>
      <c r="B19" s="10" t="s">
        <v>24</v>
      </c>
      <c r="C19" s="40" t="n">
        <v>100.7</v>
      </c>
      <c r="D19" s="40" t="n">
        <v>114.95</v>
      </c>
      <c r="E19" s="40" t="n">
        <v>124.38</v>
      </c>
      <c r="F19" s="40" t="n">
        <v>129.29</v>
      </c>
      <c r="G19" s="40" t="n">
        <v>142.32</v>
      </c>
      <c r="H19" s="40" t="n">
        <v>166.05</v>
      </c>
      <c r="I19" s="40" t="n">
        <v>166.05</v>
      </c>
      <c r="J19" s="40" t="n">
        <v>197.35</v>
      </c>
      <c r="K19" s="40" t="n">
        <v>236.82</v>
      </c>
      <c r="L19" s="40" t="n">
        <v>264.84</v>
      </c>
      <c r="M19" s="40" t="n">
        <v>300.15</v>
      </c>
      <c r="N19" s="40" t="n">
        <v>353.12</v>
      </c>
      <c r="O19" s="40" t="n">
        <v>441.4</v>
      </c>
    </row>
    <row r="20" customFormat="false" ht="15" hidden="false" customHeight="false" outlineLevel="0" collapsed="false">
      <c r="A20" s="10" t="s">
        <v>222</v>
      </c>
      <c r="B20" s="10" t="s">
        <v>24</v>
      </c>
      <c r="C20" s="40" t="n">
        <v>100.7</v>
      </c>
      <c r="D20" s="40" t="n">
        <v>114.95</v>
      </c>
      <c r="E20" s="40" t="n">
        <v>124.38</v>
      </c>
      <c r="F20" s="40" t="n">
        <v>129.29</v>
      </c>
      <c r="G20" s="40" t="n">
        <v>142.32</v>
      </c>
      <c r="H20" s="40" t="n">
        <v>166.05</v>
      </c>
      <c r="I20" s="40" t="n">
        <v>166.05</v>
      </c>
      <c r="J20" s="40" t="n">
        <v>197.35</v>
      </c>
      <c r="K20" s="40" t="n">
        <v>236.82</v>
      </c>
      <c r="L20" s="40" t="n">
        <v>264.84</v>
      </c>
      <c r="M20" s="40" t="n">
        <v>300.15</v>
      </c>
      <c r="N20" s="40" t="n">
        <v>353.12</v>
      </c>
      <c r="O20" s="40" t="n">
        <v>441.4</v>
      </c>
    </row>
    <row r="21" customFormat="false" ht="15" hidden="false" customHeight="false" outlineLevel="0" collapsed="false">
      <c r="A21" s="10" t="s">
        <v>223</v>
      </c>
      <c r="B21" s="10" t="s">
        <v>24</v>
      </c>
      <c r="C21" s="40" t="n">
        <v>57.47</v>
      </c>
      <c r="D21" s="40" t="n">
        <v>100.58</v>
      </c>
      <c r="E21" s="40" t="n">
        <v>114.95</v>
      </c>
      <c r="F21" s="40" t="n">
        <v>114.95</v>
      </c>
      <c r="G21" s="40" t="n">
        <v>128.14</v>
      </c>
      <c r="H21" s="40" t="n">
        <v>149.5</v>
      </c>
      <c r="I21" s="40" t="n">
        <v>142.74</v>
      </c>
      <c r="J21" s="40" t="n">
        <v>178.42</v>
      </c>
      <c r="K21" s="40" t="n">
        <v>214.11</v>
      </c>
      <c r="L21" s="40" t="n">
        <v>249.03</v>
      </c>
      <c r="M21" s="40" t="n">
        <v>282.23</v>
      </c>
      <c r="N21" s="40" t="n">
        <v>332.05</v>
      </c>
      <c r="O21" s="40" t="n">
        <v>415.05</v>
      </c>
    </row>
    <row r="22" customFormat="false" ht="15" hidden="false" customHeight="false" outlineLevel="0" collapsed="false">
      <c r="A22" s="10" t="s">
        <v>224</v>
      </c>
      <c r="B22" s="10" t="s">
        <v>23</v>
      </c>
      <c r="C22" s="40" t="n">
        <v>46.98</v>
      </c>
      <c r="D22" s="40" t="n">
        <v>82.21</v>
      </c>
      <c r="E22" s="40" t="n">
        <v>93.97</v>
      </c>
      <c r="F22" s="40" t="n">
        <v>93.97</v>
      </c>
      <c r="G22" s="40" t="n">
        <v>112.3</v>
      </c>
      <c r="H22" s="40" t="n">
        <v>131.02</v>
      </c>
      <c r="I22" s="40" t="n">
        <v>134.39</v>
      </c>
      <c r="J22" s="40" t="n">
        <v>167.99</v>
      </c>
      <c r="K22" s="40" t="n">
        <v>201.59</v>
      </c>
      <c r="L22" s="40" t="n">
        <v>239.25</v>
      </c>
      <c r="M22" s="40" t="n">
        <v>271.15</v>
      </c>
      <c r="N22" s="40" t="n">
        <v>319</v>
      </c>
      <c r="O22" s="40" t="n">
        <v>398.74</v>
      </c>
    </row>
    <row r="23" customFormat="false" ht="15" hidden="false" customHeight="false" outlineLevel="0" collapsed="false">
      <c r="A23" s="10" t="s">
        <v>225</v>
      </c>
      <c r="B23" s="10" t="s">
        <v>24</v>
      </c>
      <c r="C23" s="40" t="n">
        <v>89.03</v>
      </c>
      <c r="D23" s="40" t="n">
        <v>103.28</v>
      </c>
      <c r="E23" s="40" t="n">
        <v>108.03</v>
      </c>
      <c r="F23" s="40" t="n">
        <v>117.23</v>
      </c>
      <c r="G23" s="40" t="n">
        <v>127.03</v>
      </c>
      <c r="H23" s="40" t="n">
        <v>136.53</v>
      </c>
      <c r="I23" s="40" t="n">
        <v>146.03</v>
      </c>
      <c r="J23" s="40" t="n">
        <v>167.99</v>
      </c>
      <c r="K23" s="40" t="n">
        <v>201.59</v>
      </c>
      <c r="L23" s="40" t="n">
        <v>239.25</v>
      </c>
      <c r="M23" s="40" t="n">
        <v>271.15</v>
      </c>
      <c r="N23" s="40" t="n">
        <v>319</v>
      </c>
      <c r="O23" s="40" t="n">
        <v>398.74</v>
      </c>
    </row>
    <row r="24" customFormat="false" ht="15" hidden="false" customHeight="false" outlineLevel="0" collapsed="false">
      <c r="A24" s="10" t="s">
        <v>226</v>
      </c>
      <c r="B24" s="10" t="s">
        <v>24</v>
      </c>
      <c r="C24" s="40" t="n">
        <v>106.53</v>
      </c>
      <c r="D24" s="40" t="n">
        <v>120.78</v>
      </c>
      <c r="E24" s="40" t="n">
        <v>125.63</v>
      </c>
      <c r="F24" s="40" t="n">
        <v>135.03</v>
      </c>
      <c r="G24" s="40" t="n">
        <v>144.53</v>
      </c>
      <c r="H24" s="40" t="n">
        <v>166.05</v>
      </c>
      <c r="I24" s="40" t="n">
        <v>166.05</v>
      </c>
      <c r="J24" s="40" t="n">
        <v>197.35</v>
      </c>
      <c r="K24" s="40" t="n">
        <v>236.82</v>
      </c>
      <c r="L24" s="40" t="n">
        <v>264.84</v>
      </c>
      <c r="M24" s="40" t="n">
        <v>300.15</v>
      </c>
      <c r="N24" s="40" t="n">
        <v>353.12</v>
      </c>
      <c r="O24" s="40" t="n">
        <v>441.4</v>
      </c>
    </row>
    <row r="25" customFormat="false" ht="15" hidden="false" customHeight="false" outlineLevel="0" collapsed="false">
      <c r="A25" s="10" t="s">
        <v>227</v>
      </c>
      <c r="B25" s="10" t="s">
        <v>24</v>
      </c>
      <c r="C25" s="40" t="n">
        <v>100.7</v>
      </c>
      <c r="D25" s="40" t="n">
        <v>114.95</v>
      </c>
      <c r="E25" s="40" t="n">
        <v>124.38</v>
      </c>
      <c r="F25" s="40" t="n">
        <v>129.29</v>
      </c>
      <c r="G25" s="40" t="n">
        <v>142.32</v>
      </c>
      <c r="H25" s="40" t="n">
        <v>166.05</v>
      </c>
      <c r="I25" s="40" t="n">
        <v>166.05</v>
      </c>
      <c r="J25" s="40" t="n">
        <v>197.35</v>
      </c>
      <c r="K25" s="40" t="n">
        <v>236.82</v>
      </c>
      <c r="L25" s="40" t="n">
        <v>264.84</v>
      </c>
      <c r="M25" s="40" t="n">
        <v>300.15</v>
      </c>
      <c r="N25" s="40" t="n">
        <v>353.12</v>
      </c>
      <c r="O25" s="40" t="n">
        <v>441.4</v>
      </c>
    </row>
    <row r="27" customFormat="false" ht="15" hidden="false" customHeight="false" outlineLevel="0" collapsed="false">
      <c r="A27" s="37" t="s">
        <v>245</v>
      </c>
    </row>
    <row r="28" customFormat="false" ht="30" hidden="false" customHeight="true" outlineLevel="0" collapsed="false">
      <c r="A28" s="55" t="s">
        <v>43</v>
      </c>
      <c r="B28" s="55" t="s">
        <v>203</v>
      </c>
      <c r="C28" s="55" t="s">
        <v>232</v>
      </c>
      <c r="D28" s="55" t="s">
        <v>233</v>
      </c>
      <c r="E28" s="55" t="s">
        <v>234</v>
      </c>
      <c r="F28" s="55" t="s">
        <v>235</v>
      </c>
      <c r="G28" s="55" t="s">
        <v>236</v>
      </c>
      <c r="H28" s="55" t="s">
        <v>237</v>
      </c>
      <c r="I28" s="55" t="s">
        <v>238</v>
      </c>
      <c r="J28" s="55" t="s">
        <v>239</v>
      </c>
      <c r="K28" s="55" t="s">
        <v>240</v>
      </c>
      <c r="L28" s="55" t="s">
        <v>241</v>
      </c>
      <c r="M28" s="55" t="s">
        <v>242</v>
      </c>
      <c r="N28" s="55" t="s">
        <v>243</v>
      </c>
      <c r="O28" s="55" t="s">
        <v>244</v>
      </c>
    </row>
    <row r="29" customFormat="false" ht="15" hidden="false" customHeight="false" outlineLevel="0" collapsed="false">
      <c r="A29" s="10" t="s">
        <v>46</v>
      </c>
      <c r="B29" s="10" t="s">
        <v>22</v>
      </c>
      <c r="C29" s="40" t="n">
        <v>33.42</v>
      </c>
      <c r="D29" s="40" t="n">
        <v>42.11</v>
      </c>
      <c r="E29" s="40" t="n">
        <v>48.35</v>
      </c>
      <c r="F29" s="40" t="n">
        <v>53.55</v>
      </c>
      <c r="G29" s="40" t="n">
        <v>58.6</v>
      </c>
      <c r="H29" s="40" t="n">
        <v>63.21</v>
      </c>
      <c r="I29" s="40" t="n">
        <v>68.88</v>
      </c>
      <c r="J29" s="40" t="n">
        <v>83.79</v>
      </c>
      <c r="K29" s="40" t="n">
        <v>92.34</v>
      </c>
      <c r="L29" s="40" t="n">
        <v>120.59</v>
      </c>
      <c r="M29" s="40" t="n">
        <v>130.31</v>
      </c>
      <c r="N29" s="40" t="n">
        <v>144.9</v>
      </c>
      <c r="O29" s="40" t="n">
        <v>181.55</v>
      </c>
    </row>
    <row r="30" customFormat="false" ht="15" hidden="false" customHeight="false" outlineLevel="0" collapsed="false">
      <c r="A30" s="10" t="s">
        <v>47</v>
      </c>
      <c r="B30" s="10" t="s">
        <v>23</v>
      </c>
      <c r="C30" s="40" t="n">
        <v>42.72</v>
      </c>
      <c r="D30" s="40" t="n">
        <v>58.8</v>
      </c>
      <c r="E30" s="40" t="n">
        <v>66.83</v>
      </c>
      <c r="F30" s="40" t="n">
        <v>65.36</v>
      </c>
      <c r="G30" s="40" t="n">
        <v>70.98</v>
      </c>
      <c r="H30" s="40" t="n">
        <v>76.55</v>
      </c>
      <c r="I30" s="40" t="n">
        <v>82.48</v>
      </c>
      <c r="J30" s="40" t="n">
        <v>92.32</v>
      </c>
      <c r="K30" s="40" t="n">
        <v>101.26</v>
      </c>
      <c r="L30" s="40" t="n">
        <v>129.62</v>
      </c>
      <c r="M30" s="40" t="n">
        <v>139.81</v>
      </c>
      <c r="N30" s="40" t="n">
        <v>155.09</v>
      </c>
      <c r="O30" s="40" t="n">
        <v>194.34</v>
      </c>
    </row>
    <row r="31" customFormat="false" ht="15" hidden="false" customHeight="false" outlineLevel="0" collapsed="false">
      <c r="A31" s="10" t="s">
        <v>48</v>
      </c>
      <c r="B31" s="10" t="s">
        <v>23</v>
      </c>
      <c r="C31" s="40" t="n">
        <v>42.72</v>
      </c>
      <c r="D31" s="40" t="n">
        <v>58.8</v>
      </c>
      <c r="E31" s="40" t="n">
        <v>66.83</v>
      </c>
      <c r="F31" s="40" t="n">
        <v>65.36</v>
      </c>
      <c r="G31" s="40" t="n">
        <v>70.98</v>
      </c>
      <c r="H31" s="40" t="n">
        <v>76.55</v>
      </c>
      <c r="I31" s="40" t="n">
        <v>82.48</v>
      </c>
      <c r="J31" s="40" t="n">
        <v>92.32</v>
      </c>
      <c r="K31" s="40" t="n">
        <v>101.26</v>
      </c>
      <c r="L31" s="40" t="n">
        <v>129.62</v>
      </c>
      <c r="M31" s="40" t="n">
        <v>139.81</v>
      </c>
      <c r="N31" s="40" t="n">
        <v>155.09</v>
      </c>
      <c r="O31" s="40" t="n">
        <v>194.34</v>
      </c>
    </row>
    <row r="32" customFormat="false" ht="15" hidden="false" customHeight="false" outlineLevel="0" collapsed="false">
      <c r="A32" s="10" t="s">
        <v>49</v>
      </c>
      <c r="B32" s="10" t="s">
        <v>23</v>
      </c>
      <c r="C32" s="40" t="n">
        <v>42.72</v>
      </c>
      <c r="D32" s="40" t="n">
        <v>58.8</v>
      </c>
      <c r="E32" s="40" t="n">
        <v>66.83</v>
      </c>
      <c r="F32" s="40" t="n">
        <v>65.36</v>
      </c>
      <c r="G32" s="40" t="n">
        <v>70.98</v>
      </c>
      <c r="H32" s="40" t="n">
        <v>76.55</v>
      </c>
      <c r="I32" s="40" t="n">
        <v>82.48</v>
      </c>
      <c r="J32" s="40" t="n">
        <v>92.32</v>
      </c>
      <c r="K32" s="40" t="n">
        <v>101.26</v>
      </c>
      <c r="L32" s="40" t="n">
        <v>129.62</v>
      </c>
      <c r="M32" s="40" t="n">
        <v>139.81</v>
      </c>
      <c r="N32" s="40" t="n">
        <v>155.09</v>
      </c>
      <c r="O32" s="40" t="n">
        <v>194.34</v>
      </c>
    </row>
    <row r="33" customFormat="false" ht="15" hidden="false" customHeight="false" outlineLevel="0" collapsed="false">
      <c r="A33" s="10" t="s">
        <v>50</v>
      </c>
      <c r="B33" s="10" t="s">
        <v>23</v>
      </c>
      <c r="C33" s="40" t="n">
        <v>42.72</v>
      </c>
      <c r="D33" s="40" t="n">
        <v>58.8</v>
      </c>
      <c r="E33" s="40" t="n">
        <v>66.83</v>
      </c>
      <c r="F33" s="40" t="n">
        <v>65.36</v>
      </c>
      <c r="G33" s="40" t="n">
        <v>70.98</v>
      </c>
      <c r="H33" s="40" t="n">
        <v>76.55</v>
      </c>
      <c r="I33" s="40" t="n">
        <v>82.48</v>
      </c>
      <c r="J33" s="40" t="n">
        <v>92.32</v>
      </c>
      <c r="K33" s="40" t="n">
        <v>101.26</v>
      </c>
      <c r="L33" s="40" t="n">
        <v>129.62</v>
      </c>
      <c r="M33" s="40" t="n">
        <v>139.81</v>
      </c>
      <c r="N33" s="40" t="n">
        <v>155.09</v>
      </c>
      <c r="O33" s="40" t="n">
        <v>194.34</v>
      </c>
    </row>
    <row r="34" customFormat="false" ht="15" hidden="false" customHeight="false" outlineLevel="0" collapsed="false">
      <c r="A34" s="10" t="s">
        <v>51</v>
      </c>
      <c r="B34" s="10" t="s">
        <v>24</v>
      </c>
      <c r="C34" s="40" t="n">
        <v>46.95</v>
      </c>
      <c r="D34" s="40" t="n">
        <v>65.63</v>
      </c>
      <c r="E34" s="40" t="n">
        <v>74.97</v>
      </c>
      <c r="F34" s="40" t="n">
        <v>77.7</v>
      </c>
      <c r="G34" s="40" t="n">
        <v>83.58</v>
      </c>
      <c r="H34" s="40" t="n">
        <v>90.2</v>
      </c>
      <c r="I34" s="40" t="n">
        <v>96.77</v>
      </c>
      <c r="J34" s="40" t="n">
        <v>109.63</v>
      </c>
      <c r="K34" s="40" t="n">
        <v>119.5</v>
      </c>
      <c r="L34" s="40" t="n">
        <v>144.24</v>
      </c>
      <c r="M34" s="40" t="n">
        <v>155.09</v>
      </c>
      <c r="N34" s="40" t="n">
        <v>66.69</v>
      </c>
      <c r="O34" s="40" t="n">
        <v>214.88</v>
      </c>
    </row>
    <row r="35" customFormat="false" ht="15" hidden="false" customHeight="false" outlineLevel="0" collapsed="false">
      <c r="A35" s="10" t="s">
        <v>52</v>
      </c>
      <c r="B35" s="10" t="s">
        <v>23</v>
      </c>
      <c r="C35" s="40" t="n">
        <v>42.72</v>
      </c>
      <c r="D35" s="40" t="n">
        <v>58.8</v>
      </c>
      <c r="E35" s="40" t="n">
        <v>66.83</v>
      </c>
      <c r="F35" s="40" t="n">
        <v>65.36</v>
      </c>
      <c r="G35" s="40" t="n">
        <v>70.98</v>
      </c>
      <c r="H35" s="40" t="n">
        <v>76.55</v>
      </c>
      <c r="I35" s="40" t="n">
        <v>82.48</v>
      </c>
      <c r="J35" s="40" t="n">
        <v>92.32</v>
      </c>
      <c r="K35" s="40" t="n">
        <v>101.26</v>
      </c>
      <c r="L35" s="40" t="n">
        <v>129.62</v>
      </c>
      <c r="M35" s="40" t="n">
        <v>139.81</v>
      </c>
      <c r="N35" s="40" t="n">
        <v>155.09</v>
      </c>
      <c r="O35" s="40" t="n">
        <v>194.34</v>
      </c>
    </row>
    <row r="36" customFormat="false" ht="15" hidden="false" customHeight="false" outlineLevel="0" collapsed="false">
      <c r="A36" s="10" t="s">
        <v>53</v>
      </c>
      <c r="B36" s="10" t="s">
        <v>24</v>
      </c>
      <c r="C36" s="40" t="n">
        <v>46.95</v>
      </c>
      <c r="D36" s="40" t="n">
        <v>65.63</v>
      </c>
      <c r="E36" s="40" t="n">
        <v>74.97</v>
      </c>
      <c r="F36" s="40" t="n">
        <v>77.7</v>
      </c>
      <c r="G36" s="40" t="n">
        <v>83.58</v>
      </c>
      <c r="H36" s="40" t="n">
        <v>90.2</v>
      </c>
      <c r="I36" s="40" t="n">
        <v>96.77</v>
      </c>
      <c r="J36" s="40" t="n">
        <v>109.63</v>
      </c>
      <c r="K36" s="40" t="n">
        <v>119.5</v>
      </c>
      <c r="L36" s="40" t="n">
        <v>144.24</v>
      </c>
      <c r="M36" s="40" t="n">
        <v>155.09</v>
      </c>
      <c r="N36" s="40" t="n">
        <v>66.69</v>
      </c>
      <c r="O36" s="40" t="n">
        <v>214.88</v>
      </c>
    </row>
    <row r="37" customFormat="false" ht="15" hidden="false" customHeight="false" outlineLevel="0" collapsed="false">
      <c r="A37" s="10" t="s">
        <v>216</v>
      </c>
      <c r="B37" s="10" t="s">
        <v>23</v>
      </c>
      <c r="C37" s="40" t="n">
        <v>42.72</v>
      </c>
      <c r="D37" s="40" t="n">
        <v>58.8</v>
      </c>
      <c r="E37" s="40" t="n">
        <v>66.83</v>
      </c>
      <c r="F37" s="40" t="n">
        <v>65.36</v>
      </c>
      <c r="G37" s="40" t="n">
        <v>70.98</v>
      </c>
      <c r="H37" s="40" t="n">
        <v>76.55</v>
      </c>
      <c r="I37" s="40" t="n">
        <v>82.48</v>
      </c>
      <c r="J37" s="40" t="n">
        <v>92.32</v>
      </c>
      <c r="K37" s="40" t="n">
        <v>101.26</v>
      </c>
      <c r="L37" s="40" t="n">
        <v>129.62</v>
      </c>
      <c r="M37" s="40" t="n">
        <v>139.81</v>
      </c>
      <c r="N37" s="40" t="n">
        <v>155.09</v>
      </c>
      <c r="O37" s="40" t="n">
        <v>194.34</v>
      </c>
    </row>
    <row r="38" customFormat="false" ht="15" hidden="false" customHeight="false" outlineLevel="0" collapsed="false">
      <c r="A38" s="10" t="s">
        <v>217</v>
      </c>
      <c r="B38" s="10" t="s">
        <v>24</v>
      </c>
      <c r="C38" s="40" t="n">
        <v>46.95</v>
      </c>
      <c r="D38" s="40" t="n">
        <v>65.63</v>
      </c>
      <c r="E38" s="40" t="n">
        <v>74.97</v>
      </c>
      <c r="F38" s="40" t="n">
        <v>77.7</v>
      </c>
      <c r="G38" s="40" t="n">
        <v>83.58</v>
      </c>
      <c r="H38" s="40" t="n">
        <v>90.2</v>
      </c>
      <c r="I38" s="40" t="n">
        <v>96.77</v>
      </c>
      <c r="J38" s="40" t="n">
        <v>109.63</v>
      </c>
      <c r="K38" s="40" t="n">
        <v>119.5</v>
      </c>
      <c r="L38" s="40" t="n">
        <v>144.24</v>
      </c>
      <c r="M38" s="40" t="n">
        <v>155.09</v>
      </c>
      <c r="N38" s="40" t="n">
        <v>66.69</v>
      </c>
      <c r="O38" s="40" t="n">
        <v>214.88</v>
      </c>
    </row>
    <row r="39" customFormat="false" ht="15" hidden="false" customHeight="false" outlineLevel="0" collapsed="false">
      <c r="A39" s="10" t="s">
        <v>218</v>
      </c>
      <c r="B39" s="10" t="s">
        <v>24</v>
      </c>
      <c r="C39" s="40" t="n">
        <v>46.95</v>
      </c>
      <c r="D39" s="40" t="n">
        <v>65.63</v>
      </c>
      <c r="E39" s="40" t="n">
        <v>74.97</v>
      </c>
      <c r="F39" s="40" t="n">
        <v>77.7</v>
      </c>
      <c r="G39" s="40" t="n">
        <v>83.58</v>
      </c>
      <c r="H39" s="40" t="n">
        <v>90.2</v>
      </c>
      <c r="I39" s="40" t="n">
        <v>96.77</v>
      </c>
      <c r="J39" s="40" t="n">
        <v>109.63</v>
      </c>
      <c r="K39" s="40" t="n">
        <v>119.5</v>
      </c>
      <c r="L39" s="40" t="n">
        <v>144.24</v>
      </c>
      <c r="M39" s="40" t="n">
        <v>155.09</v>
      </c>
      <c r="N39" s="40" t="n">
        <v>66.69</v>
      </c>
      <c r="O39" s="40" t="n">
        <v>214.88</v>
      </c>
    </row>
    <row r="40" customFormat="false" ht="15" hidden="false" customHeight="false" outlineLevel="0" collapsed="false">
      <c r="A40" s="10" t="s">
        <v>219</v>
      </c>
      <c r="B40" s="10" t="s">
        <v>24</v>
      </c>
      <c r="C40" s="40" t="n">
        <v>46.95</v>
      </c>
      <c r="D40" s="40" t="n">
        <v>65.63</v>
      </c>
      <c r="E40" s="40" t="n">
        <v>74.97</v>
      </c>
      <c r="F40" s="40" t="n">
        <v>77.7</v>
      </c>
      <c r="G40" s="40" t="n">
        <v>83.58</v>
      </c>
      <c r="H40" s="40" t="n">
        <v>90.2</v>
      </c>
      <c r="I40" s="40" t="n">
        <v>96.77</v>
      </c>
      <c r="J40" s="40" t="n">
        <v>109.63</v>
      </c>
      <c r="K40" s="40" t="n">
        <v>119.5</v>
      </c>
      <c r="L40" s="40" t="n">
        <v>144.24</v>
      </c>
      <c r="M40" s="40" t="n">
        <v>155.09</v>
      </c>
      <c r="N40" s="40" t="n">
        <v>66.69</v>
      </c>
      <c r="O40" s="40" t="n">
        <v>214.88</v>
      </c>
    </row>
    <row r="41" customFormat="false" ht="15" hidden="false" customHeight="false" outlineLevel="0" collapsed="false">
      <c r="A41" s="10" t="s">
        <v>220</v>
      </c>
      <c r="B41" s="10" t="s">
        <v>24</v>
      </c>
      <c r="C41" s="40" t="n">
        <v>46.95</v>
      </c>
      <c r="D41" s="40" t="n">
        <v>65.63</v>
      </c>
      <c r="E41" s="40" t="n">
        <v>74.97</v>
      </c>
      <c r="F41" s="40" t="n">
        <v>77.7</v>
      </c>
      <c r="G41" s="40" t="n">
        <v>83.58</v>
      </c>
      <c r="H41" s="40" t="n">
        <v>90.2</v>
      </c>
      <c r="I41" s="40" t="n">
        <v>96.77</v>
      </c>
      <c r="J41" s="40" t="n">
        <v>109.63</v>
      </c>
      <c r="K41" s="40" t="n">
        <v>119.5</v>
      </c>
      <c r="L41" s="40" t="n">
        <v>144.24</v>
      </c>
      <c r="M41" s="40" t="n">
        <v>155.09</v>
      </c>
      <c r="N41" s="40" t="n">
        <v>66.69</v>
      </c>
      <c r="O41" s="40" t="n">
        <v>214.88</v>
      </c>
    </row>
    <row r="42" customFormat="false" ht="15" hidden="false" customHeight="false" outlineLevel="0" collapsed="false">
      <c r="A42" s="10" t="s">
        <v>221</v>
      </c>
      <c r="B42" s="10" t="s">
        <v>24</v>
      </c>
      <c r="C42" s="40" t="n">
        <v>46.95</v>
      </c>
      <c r="D42" s="40" t="n">
        <v>65.63</v>
      </c>
      <c r="E42" s="40" t="n">
        <v>74.97</v>
      </c>
      <c r="F42" s="40" t="n">
        <v>77.7</v>
      </c>
      <c r="G42" s="40" t="n">
        <v>83.58</v>
      </c>
      <c r="H42" s="40" t="n">
        <v>90.2</v>
      </c>
      <c r="I42" s="40" t="n">
        <v>96.77</v>
      </c>
      <c r="J42" s="40" t="n">
        <v>109.63</v>
      </c>
      <c r="K42" s="40" t="n">
        <v>119.5</v>
      </c>
      <c r="L42" s="40" t="n">
        <v>144.24</v>
      </c>
      <c r="M42" s="40" t="n">
        <v>155.09</v>
      </c>
      <c r="N42" s="40" t="n">
        <v>66.69</v>
      </c>
      <c r="O42" s="40" t="n">
        <v>214.88</v>
      </c>
    </row>
    <row r="43" customFormat="false" ht="15" hidden="false" customHeight="false" outlineLevel="0" collapsed="false">
      <c r="A43" s="10" t="s">
        <v>222</v>
      </c>
      <c r="B43" s="10" t="s">
        <v>24</v>
      </c>
      <c r="C43" s="40" t="n">
        <v>46.95</v>
      </c>
      <c r="D43" s="40" t="n">
        <v>65.63</v>
      </c>
      <c r="E43" s="40" t="n">
        <v>74.97</v>
      </c>
      <c r="F43" s="40" t="n">
        <v>77.7</v>
      </c>
      <c r="G43" s="40" t="n">
        <v>83.58</v>
      </c>
      <c r="H43" s="40" t="n">
        <v>90.2</v>
      </c>
      <c r="I43" s="40" t="n">
        <v>96.77</v>
      </c>
      <c r="J43" s="40" t="n">
        <v>109.63</v>
      </c>
      <c r="K43" s="40" t="n">
        <v>119.5</v>
      </c>
      <c r="L43" s="40" t="n">
        <v>144.24</v>
      </c>
      <c r="M43" s="40" t="n">
        <v>155.09</v>
      </c>
      <c r="N43" s="40" t="n">
        <v>66.69</v>
      </c>
      <c r="O43" s="40" t="n">
        <v>214.88</v>
      </c>
    </row>
    <row r="44" customFormat="false" ht="15" hidden="false" customHeight="false" outlineLevel="0" collapsed="false">
      <c r="A44" s="10" t="s">
        <v>223</v>
      </c>
      <c r="B44" s="10" t="s">
        <v>24</v>
      </c>
      <c r="C44" s="40" t="n">
        <v>46.95</v>
      </c>
      <c r="D44" s="40" t="n">
        <v>65.63</v>
      </c>
      <c r="E44" s="40" t="n">
        <v>74.97</v>
      </c>
      <c r="F44" s="40" t="n">
        <v>77.7</v>
      </c>
      <c r="G44" s="40" t="n">
        <v>83.58</v>
      </c>
      <c r="H44" s="40" t="n">
        <v>90.2</v>
      </c>
      <c r="I44" s="40" t="n">
        <v>96.77</v>
      </c>
      <c r="J44" s="40" t="n">
        <v>109.63</v>
      </c>
      <c r="K44" s="40" t="n">
        <v>119.5</v>
      </c>
      <c r="L44" s="40" t="n">
        <v>144.24</v>
      </c>
      <c r="M44" s="40" t="n">
        <v>155.09</v>
      </c>
      <c r="N44" s="40" t="n">
        <v>66.69</v>
      </c>
      <c r="O44" s="40" t="n">
        <v>214.88</v>
      </c>
    </row>
    <row r="45" customFormat="false" ht="15" hidden="false" customHeight="false" outlineLevel="0" collapsed="false">
      <c r="A45" s="10" t="s">
        <v>224</v>
      </c>
      <c r="B45" s="10" t="s">
        <v>23</v>
      </c>
      <c r="C45" s="40" t="n">
        <v>42.72</v>
      </c>
      <c r="D45" s="40" t="n">
        <v>58.8</v>
      </c>
      <c r="E45" s="40" t="n">
        <v>66.83</v>
      </c>
      <c r="F45" s="40" t="n">
        <v>65.36</v>
      </c>
      <c r="G45" s="40" t="n">
        <v>70.98</v>
      </c>
      <c r="H45" s="40" t="n">
        <v>76.55</v>
      </c>
      <c r="I45" s="40" t="n">
        <v>82.48</v>
      </c>
      <c r="J45" s="40" t="n">
        <v>92.32</v>
      </c>
      <c r="K45" s="40" t="n">
        <v>101.26</v>
      </c>
      <c r="L45" s="40" t="n">
        <v>129.62</v>
      </c>
      <c r="M45" s="40" t="n">
        <v>139.81</v>
      </c>
      <c r="N45" s="40" t="n">
        <v>155.09</v>
      </c>
      <c r="O45" s="40" t="n">
        <v>194.34</v>
      </c>
    </row>
    <row r="46" customFormat="false" ht="15" hidden="false" customHeight="false" outlineLevel="0" collapsed="false">
      <c r="A46" s="10" t="s">
        <v>225</v>
      </c>
      <c r="B46" s="10" t="s">
        <v>24</v>
      </c>
      <c r="C46" s="40" t="n">
        <v>46.95</v>
      </c>
      <c r="D46" s="40" t="n">
        <v>65.63</v>
      </c>
      <c r="E46" s="40" t="n">
        <v>74.97</v>
      </c>
      <c r="F46" s="40" t="n">
        <v>77.7</v>
      </c>
      <c r="G46" s="40" t="n">
        <v>83.58</v>
      </c>
      <c r="H46" s="40" t="n">
        <v>90.2</v>
      </c>
      <c r="I46" s="40" t="n">
        <v>96.77</v>
      </c>
      <c r="J46" s="40" t="n">
        <v>109.63</v>
      </c>
      <c r="K46" s="40" t="n">
        <v>119.5</v>
      </c>
      <c r="L46" s="40" t="n">
        <v>144.24</v>
      </c>
      <c r="M46" s="40" t="n">
        <v>155.09</v>
      </c>
      <c r="N46" s="40" t="n">
        <v>66.69</v>
      </c>
      <c r="O46" s="40" t="n">
        <v>214.88</v>
      </c>
    </row>
    <row r="47" customFormat="false" ht="15" hidden="false" customHeight="false" outlineLevel="0" collapsed="false">
      <c r="A47" s="10" t="s">
        <v>226</v>
      </c>
      <c r="B47" s="10" t="s">
        <v>24</v>
      </c>
      <c r="C47" s="40" t="n">
        <v>46.95</v>
      </c>
      <c r="D47" s="40" t="n">
        <v>65.63</v>
      </c>
      <c r="E47" s="40" t="n">
        <v>74.97</v>
      </c>
      <c r="F47" s="40" t="n">
        <v>77.7</v>
      </c>
      <c r="G47" s="40" t="n">
        <v>83.58</v>
      </c>
      <c r="H47" s="40" t="n">
        <v>90.2</v>
      </c>
      <c r="I47" s="40" t="n">
        <v>96.77</v>
      </c>
      <c r="J47" s="40" t="n">
        <v>109.63</v>
      </c>
      <c r="K47" s="40" t="n">
        <v>119.5</v>
      </c>
      <c r="L47" s="40" t="n">
        <v>144.24</v>
      </c>
      <c r="M47" s="40" t="n">
        <v>155.09</v>
      </c>
      <c r="N47" s="40" t="n">
        <v>66.69</v>
      </c>
      <c r="O47" s="40" t="n">
        <v>214.88</v>
      </c>
    </row>
    <row r="48" customFormat="false" ht="15" hidden="false" customHeight="false" outlineLevel="0" collapsed="false">
      <c r="A48" s="10" t="s">
        <v>227</v>
      </c>
      <c r="B48" s="10" t="s">
        <v>24</v>
      </c>
      <c r="C48" s="40" t="n">
        <v>46.95</v>
      </c>
      <c r="D48" s="40" t="n">
        <v>65.63</v>
      </c>
      <c r="E48" s="40" t="n">
        <v>74.97</v>
      </c>
      <c r="F48" s="40" t="n">
        <v>77.7</v>
      </c>
      <c r="G48" s="40" t="n">
        <v>83.58</v>
      </c>
      <c r="H48" s="40" t="n">
        <v>90.2</v>
      </c>
      <c r="I48" s="40" t="n">
        <v>96.77</v>
      </c>
      <c r="J48" s="40" t="n">
        <v>109.63</v>
      </c>
      <c r="K48" s="40" t="n">
        <v>119.5</v>
      </c>
      <c r="L48" s="40" t="n">
        <v>144.24</v>
      </c>
      <c r="M48" s="40" t="n">
        <v>155.09</v>
      </c>
      <c r="N48" s="40" t="n">
        <v>66.69</v>
      </c>
      <c r="O48" s="40" t="n">
        <v>214.88</v>
      </c>
    </row>
    <row r="50" customFormat="false" ht="15" hidden="false" customHeight="false" outlineLevel="0" collapsed="false">
      <c r="A50" s="37" t="s">
        <v>246</v>
      </c>
    </row>
    <row r="51" customFormat="false" ht="30" hidden="false" customHeight="true" outlineLevel="0" collapsed="false">
      <c r="A51" s="9" t="s">
        <v>43</v>
      </c>
      <c r="B51" s="9" t="s">
        <v>203</v>
      </c>
      <c r="C51" s="9" t="s">
        <v>232</v>
      </c>
      <c r="D51" s="9" t="s">
        <v>233</v>
      </c>
      <c r="E51" s="9" t="s">
        <v>234</v>
      </c>
      <c r="F51" s="9" t="s">
        <v>235</v>
      </c>
      <c r="G51" s="9" t="s">
        <v>236</v>
      </c>
      <c r="H51" s="9" t="s">
        <v>237</v>
      </c>
      <c r="I51" s="9" t="s">
        <v>238</v>
      </c>
      <c r="J51" s="9" t="s">
        <v>239</v>
      </c>
      <c r="K51" s="9" t="s">
        <v>240</v>
      </c>
      <c r="L51" s="9" t="s">
        <v>241</v>
      </c>
      <c r="M51" s="9" t="s">
        <v>242</v>
      </c>
      <c r="N51" s="9" t="s">
        <v>243</v>
      </c>
      <c r="O51" s="9" t="s">
        <v>244</v>
      </c>
    </row>
    <row r="52" customFormat="false" ht="15" hidden="false" customHeight="false" outlineLevel="0" collapsed="false">
      <c r="A52" s="10" t="s">
        <v>46</v>
      </c>
      <c r="B52" s="10" t="s">
        <v>22</v>
      </c>
      <c r="C52" s="44" t="n">
        <f aca="false">C6/C29-1</f>
        <v>0.405745062836625</v>
      </c>
      <c r="D52" s="44" t="n">
        <f aca="false">D6/D29-1</f>
        <v>0.95226786986464</v>
      </c>
      <c r="E52" s="44" t="n">
        <f aca="false">E6/E29-1</f>
        <v>0.9435367114788</v>
      </c>
      <c r="F52" s="44" t="n">
        <f aca="false">F6/F29-1</f>
        <v>0.754808590102708</v>
      </c>
      <c r="G52" s="44" t="n">
        <f aca="false">G6/G29-1</f>
        <v>0.916382252559727</v>
      </c>
      <c r="H52" s="44" t="n">
        <f aca="false">H6/H29-1</f>
        <v>1.07277329536466</v>
      </c>
      <c r="I52" s="44" t="n">
        <f aca="false">I6/I29-1</f>
        <v>0.951074332171893</v>
      </c>
      <c r="J52" s="44" t="n">
        <f aca="false">J6/J29-1</f>
        <v>1.00489318534431</v>
      </c>
      <c r="K52" s="44" t="n">
        <f aca="false">K6/K29-1</f>
        <v>1.18312757201646</v>
      </c>
      <c r="L52" s="44" t="n">
        <f aca="false">L6/L29-1</f>
        <v>0.98399535616552</v>
      </c>
      <c r="M52" s="44" t="n">
        <f aca="false">M6/M29-1</f>
        <v>1.08080730565574</v>
      </c>
      <c r="N52" s="44" t="n">
        <f aca="false">N6/N29-1</f>
        <v>1.20151828847481</v>
      </c>
      <c r="O52" s="44" t="n">
        <f aca="false">O6/O29-1</f>
        <v>1.19630955659598</v>
      </c>
    </row>
    <row r="53" customFormat="false" ht="15" hidden="false" customHeight="false" outlineLevel="0" collapsed="false">
      <c r="A53" s="10" t="s">
        <v>47</v>
      </c>
      <c r="B53" s="10" t="s">
        <v>23</v>
      </c>
      <c r="C53" s="44" t="n">
        <f aca="false">C7/C30-1</f>
        <v>0.345271535580524</v>
      </c>
      <c r="D53" s="44" t="n">
        <f aca="false">D7/D30-1</f>
        <v>0.710544217687075</v>
      </c>
      <c r="E53" s="44" t="n">
        <f aca="false">E7/E30-1</f>
        <v>0.720035912015562</v>
      </c>
      <c r="F53" s="44" t="n">
        <f aca="false">F7/F30-1</f>
        <v>0.758720930232558</v>
      </c>
      <c r="G53" s="44" t="n">
        <f aca="false">G7/G30-1</f>
        <v>0.805297266835728</v>
      </c>
      <c r="H53" s="44" t="n">
        <f aca="false">H7/H30-1</f>
        <v>0.952971913781842</v>
      </c>
      <c r="I53" s="44" t="n">
        <f aca="false">I7/I30-1</f>
        <v>0.730601357904947</v>
      </c>
      <c r="J53" s="44" t="n">
        <f aca="false">J7/J30-1</f>
        <v>0.932625649913345</v>
      </c>
      <c r="K53" s="44" t="n">
        <f aca="false">K7/K30-1</f>
        <v>1.1144578313253</v>
      </c>
      <c r="L53" s="44" t="n">
        <f aca="false">L7/L30-1</f>
        <v>0.921231291467366</v>
      </c>
      <c r="M53" s="44" t="n">
        <f aca="false">M7/M30-1</f>
        <v>1.01866819254703</v>
      </c>
      <c r="N53" s="44" t="n">
        <f aca="false">N7/N30-1</f>
        <v>1.14101489457734</v>
      </c>
      <c r="O53" s="44" t="n">
        <f aca="false">O7/O30-1</f>
        <v>1.13569002778635</v>
      </c>
    </row>
    <row r="54" customFormat="false" ht="15" hidden="false" customHeight="false" outlineLevel="0" collapsed="false">
      <c r="A54" s="10" t="s">
        <v>48</v>
      </c>
      <c r="B54" s="10" t="s">
        <v>23</v>
      </c>
      <c r="C54" s="44" t="n">
        <f aca="false">C8/C31-1</f>
        <v>0.0997191011235954</v>
      </c>
      <c r="D54" s="44" t="n">
        <f aca="false">D8/D31-1</f>
        <v>0.39812925170068</v>
      </c>
      <c r="E54" s="44" t="n">
        <f aca="false">E8/E31-1</f>
        <v>0.406105042645518</v>
      </c>
      <c r="F54" s="44" t="n">
        <f aca="false">F8/F31-1</f>
        <v>0.437729498164015</v>
      </c>
      <c r="G54" s="44" t="n">
        <f aca="false">G8/G31-1</f>
        <v>0.582135812905044</v>
      </c>
      <c r="H54" s="44" t="n">
        <f aca="false">H8/H31-1</f>
        <v>0.711561071195297</v>
      </c>
      <c r="I54" s="44" t="n">
        <f aca="false">I8/I31-1</f>
        <v>0.629364694471387</v>
      </c>
      <c r="J54" s="44" t="n">
        <f aca="false">J8/J31-1</f>
        <v>0.819649046793761</v>
      </c>
      <c r="K54" s="44" t="n">
        <f aca="false">K8/K31-1</f>
        <v>0.99081572190401</v>
      </c>
      <c r="L54" s="44" t="n">
        <f aca="false">L8/L31-1</f>
        <v>0.845779972226508</v>
      </c>
      <c r="M54" s="44" t="n">
        <f aca="false">M8/M31-1</f>
        <v>0.939417781274587</v>
      </c>
      <c r="N54" s="44" t="n">
        <f aca="false">N8/N31-1</f>
        <v>1.05687020439745</v>
      </c>
      <c r="O54" s="44" t="n">
        <f aca="false">O8/O31-1</f>
        <v>1.05176494802923</v>
      </c>
    </row>
    <row r="55" customFormat="false" ht="15" hidden="false" customHeight="false" outlineLevel="0" collapsed="false">
      <c r="A55" s="10" t="s">
        <v>49</v>
      </c>
      <c r="B55" s="10" t="s">
        <v>23</v>
      </c>
      <c r="C55" s="44" t="n">
        <f aca="false">C9/C32-1</f>
        <v>0.0997191011235954</v>
      </c>
      <c r="D55" s="44" t="n">
        <f aca="false">D9/D32-1</f>
        <v>0.39812925170068</v>
      </c>
      <c r="E55" s="44" t="n">
        <f aca="false">E9/E32-1</f>
        <v>0.406105042645518</v>
      </c>
      <c r="F55" s="44" t="n">
        <f aca="false">F9/F32-1</f>
        <v>0.437729498164015</v>
      </c>
      <c r="G55" s="44" t="n">
        <f aca="false">G9/G32-1</f>
        <v>0.582135812905044</v>
      </c>
      <c r="H55" s="44" t="n">
        <f aca="false">H9/H32-1</f>
        <v>0.711561071195297</v>
      </c>
      <c r="I55" s="44" t="n">
        <f aca="false">I9/I32-1</f>
        <v>0.629364694471387</v>
      </c>
      <c r="J55" s="44" t="n">
        <f aca="false">J9/J32-1</f>
        <v>0.819649046793761</v>
      </c>
      <c r="K55" s="44" t="n">
        <f aca="false">K9/K32-1</f>
        <v>0.99081572190401</v>
      </c>
      <c r="L55" s="44" t="n">
        <f aca="false">L9/L32-1</f>
        <v>0.845779972226508</v>
      </c>
      <c r="M55" s="44" t="n">
        <f aca="false">M9/M32-1</f>
        <v>0.939417781274587</v>
      </c>
      <c r="N55" s="44" t="n">
        <f aca="false">N9/N32-1</f>
        <v>1.05687020439745</v>
      </c>
      <c r="O55" s="44" t="n">
        <f aca="false">O9/O32-1</f>
        <v>1.05176494802923</v>
      </c>
    </row>
    <row r="56" customFormat="false" ht="15" hidden="false" customHeight="false" outlineLevel="0" collapsed="false">
      <c r="A56" s="10" t="s">
        <v>50</v>
      </c>
      <c r="B56" s="10" t="s">
        <v>23</v>
      </c>
      <c r="C56" s="44" t="n">
        <f aca="false">C10/C33-1</f>
        <v>0.345271535580524</v>
      </c>
      <c r="D56" s="44" t="n">
        <f aca="false">D10/D33-1</f>
        <v>0.710544217687075</v>
      </c>
      <c r="E56" s="44" t="n">
        <f aca="false">E10/E33-1</f>
        <v>0.720035912015562</v>
      </c>
      <c r="F56" s="44" t="n">
        <f aca="false">F10/F33-1</f>
        <v>0.758720930232558</v>
      </c>
      <c r="G56" s="44" t="n">
        <f aca="false">G10/G33-1</f>
        <v>0.805297266835728</v>
      </c>
      <c r="H56" s="44" t="n">
        <f aca="false">H10/H33-1</f>
        <v>0.952971913781842</v>
      </c>
      <c r="I56" s="44" t="n">
        <f aca="false">I10/I33-1</f>
        <v>0.730601357904947</v>
      </c>
      <c r="J56" s="44" t="n">
        <f aca="false">J10/J33-1</f>
        <v>0.932625649913345</v>
      </c>
      <c r="K56" s="44" t="n">
        <f aca="false">K10/K33-1</f>
        <v>1.1144578313253</v>
      </c>
      <c r="L56" s="44" t="n">
        <f aca="false">L10/L33-1</f>
        <v>0.921231291467366</v>
      </c>
      <c r="M56" s="44" t="n">
        <f aca="false">M10/M33-1</f>
        <v>1.01866819254703</v>
      </c>
      <c r="N56" s="44" t="n">
        <f aca="false">N10/N33-1</f>
        <v>1.14101489457734</v>
      </c>
      <c r="O56" s="44" t="n">
        <f aca="false">O10/O33-1</f>
        <v>1.13569002778635</v>
      </c>
    </row>
    <row r="57" customFormat="false" ht="15" hidden="false" customHeight="false" outlineLevel="0" collapsed="false">
      <c r="A57" s="10" t="s">
        <v>51</v>
      </c>
      <c r="B57" s="10" t="s">
        <v>24</v>
      </c>
      <c r="C57" s="44" t="n">
        <f aca="false">C11/C34-1</f>
        <v>1.6419595314164</v>
      </c>
      <c r="D57" s="44" t="n">
        <f aca="false">D11/D34-1</f>
        <v>1.10711564833156</v>
      </c>
      <c r="E57" s="44" t="n">
        <f aca="false">E11/E34-1</f>
        <v>0.90796318527411</v>
      </c>
      <c r="F57" s="44" t="n">
        <f aca="false">F11/F34-1</f>
        <v>0.963191763191763</v>
      </c>
      <c r="G57" s="44" t="n">
        <f aca="false">G11/G34-1</f>
        <v>0.938741325675999</v>
      </c>
      <c r="H57" s="44" t="n">
        <f aca="false">H11/H34-1</f>
        <v>0.901773835920177</v>
      </c>
      <c r="I57" s="44" t="n">
        <f aca="false">I11/I34-1</f>
        <v>0.870827735868554</v>
      </c>
      <c r="J57" s="44" t="n">
        <f aca="false">J11/J34-1</f>
        <v>0.824683024719511</v>
      </c>
      <c r="K57" s="44" t="n">
        <f aca="false">K11/K34-1</f>
        <v>0.981757322175732</v>
      </c>
      <c r="L57" s="44" t="n">
        <f aca="false">L11/L34-1</f>
        <v>0.836106489184692</v>
      </c>
      <c r="M57" s="44" t="n">
        <f aca="false">M11/M34-1</f>
        <v>0.935327874137597</v>
      </c>
      <c r="N57" s="44" t="n">
        <f aca="false">N11/N34-1</f>
        <v>4.29569650622282</v>
      </c>
      <c r="O57" s="44" t="n">
        <f aca="false">O11/O34-1</f>
        <v>1.05416976917349</v>
      </c>
    </row>
    <row r="58" customFormat="false" ht="15" hidden="false" customHeight="false" outlineLevel="0" collapsed="false">
      <c r="A58" s="10" t="s">
        <v>52</v>
      </c>
      <c r="B58" s="10" t="s">
        <v>23</v>
      </c>
      <c r="C58" s="44" t="n">
        <f aca="false">C12/C35-1</f>
        <v>0.0997191011235954</v>
      </c>
      <c r="D58" s="44" t="n">
        <f aca="false">D12/D35-1</f>
        <v>0.39812925170068</v>
      </c>
      <c r="E58" s="44" t="n">
        <f aca="false">E12/E35-1</f>
        <v>0.406105042645518</v>
      </c>
      <c r="F58" s="44" t="n">
        <f aca="false">F12/F35-1</f>
        <v>0.437729498164015</v>
      </c>
      <c r="G58" s="44" t="n">
        <f aca="false">G12/G35-1</f>
        <v>0.582135812905044</v>
      </c>
      <c r="H58" s="44" t="n">
        <f aca="false">H12/H35-1</f>
        <v>0.711561071195297</v>
      </c>
      <c r="I58" s="44" t="n">
        <f aca="false">I12/I35-1</f>
        <v>0.629364694471387</v>
      </c>
      <c r="J58" s="44" t="n">
        <f aca="false">J12/J35-1</f>
        <v>0.819649046793761</v>
      </c>
      <c r="K58" s="44" t="n">
        <f aca="false">K12/K35-1</f>
        <v>0.99081572190401</v>
      </c>
      <c r="L58" s="44" t="n">
        <f aca="false">L12/L35-1</f>
        <v>0.845779972226508</v>
      </c>
      <c r="M58" s="44" t="n">
        <f aca="false">M12/M35-1</f>
        <v>0.939417781274587</v>
      </c>
      <c r="N58" s="44" t="n">
        <f aca="false">N12/N35-1</f>
        <v>1.05687020439745</v>
      </c>
      <c r="O58" s="44" t="n">
        <f aca="false">O12/O35-1</f>
        <v>1.05176494802923</v>
      </c>
    </row>
    <row r="59" customFormat="false" ht="15" hidden="false" customHeight="false" outlineLevel="0" collapsed="false">
      <c r="A59" s="10" t="s">
        <v>53</v>
      </c>
      <c r="B59" s="10" t="s">
        <v>24</v>
      </c>
      <c r="C59" s="44" t="n">
        <f aca="false">C13/C36-1</f>
        <v>1.6419595314164</v>
      </c>
      <c r="D59" s="44" t="n">
        <f aca="false">D13/D36-1</f>
        <v>1.10711564833156</v>
      </c>
      <c r="E59" s="44" t="n">
        <f aca="false">E13/E36-1</f>
        <v>0.90796318527411</v>
      </c>
      <c r="F59" s="44" t="n">
        <f aca="false">F13/F36-1</f>
        <v>0.963191763191763</v>
      </c>
      <c r="G59" s="44" t="n">
        <f aca="false">G13/G36-1</f>
        <v>0.938741325675999</v>
      </c>
      <c r="H59" s="44" t="n">
        <f aca="false">H13/H36-1</f>
        <v>0.901773835920177</v>
      </c>
      <c r="I59" s="44" t="n">
        <f aca="false">I13/I36-1</f>
        <v>0.870827735868554</v>
      </c>
      <c r="J59" s="44" t="n">
        <f aca="false">J13/J36-1</f>
        <v>0.824683024719511</v>
      </c>
      <c r="K59" s="44" t="n">
        <f aca="false">K13/K36-1</f>
        <v>0.981757322175732</v>
      </c>
      <c r="L59" s="44" t="n">
        <f aca="false">L13/L36-1</f>
        <v>0.836106489184692</v>
      </c>
      <c r="M59" s="44" t="n">
        <f aca="false">M13/M36-1</f>
        <v>0.935327874137597</v>
      </c>
      <c r="N59" s="44" t="n">
        <f aca="false">N13/N36-1</f>
        <v>4.29569650622282</v>
      </c>
      <c r="O59" s="44" t="n">
        <f aca="false">O13/O36-1</f>
        <v>1.05416976917349</v>
      </c>
    </row>
    <row r="60" customFormat="false" ht="15" hidden="false" customHeight="false" outlineLevel="0" collapsed="false">
      <c r="A60" s="10" t="s">
        <v>216</v>
      </c>
      <c r="B60" s="10" t="s">
        <v>23</v>
      </c>
      <c r="C60" s="44" t="n">
        <f aca="false">C14/C37-1</f>
        <v>0.0997191011235954</v>
      </c>
      <c r="D60" s="44" t="n">
        <f aca="false">D14/D37-1</f>
        <v>0.39812925170068</v>
      </c>
      <c r="E60" s="44" t="n">
        <f aca="false">E14/E37-1</f>
        <v>0.406105042645518</v>
      </c>
      <c r="F60" s="44" t="n">
        <f aca="false">F14/F37-1</f>
        <v>0.437729498164015</v>
      </c>
      <c r="G60" s="44" t="n">
        <f aca="false">G14/G37-1</f>
        <v>0.582135812905044</v>
      </c>
      <c r="H60" s="44" t="n">
        <f aca="false">H14/H37-1</f>
        <v>0.711561071195297</v>
      </c>
      <c r="I60" s="44" t="n">
        <f aca="false">I14/I37-1</f>
        <v>0.629364694471387</v>
      </c>
      <c r="J60" s="44" t="n">
        <f aca="false">J14/J37-1</f>
        <v>0.819649046793761</v>
      </c>
      <c r="K60" s="44" t="n">
        <f aca="false">K14/K37-1</f>
        <v>0.99081572190401</v>
      </c>
      <c r="L60" s="44" t="n">
        <f aca="false">L14/L37-1</f>
        <v>0.845779972226508</v>
      </c>
      <c r="M60" s="44" t="n">
        <f aca="false">M14/M37-1</f>
        <v>0.939417781274587</v>
      </c>
      <c r="N60" s="44" t="n">
        <f aca="false">N14/N37-1</f>
        <v>1.05687020439745</v>
      </c>
      <c r="O60" s="44" t="n">
        <f aca="false">O14/O37-1</f>
        <v>1.05176494802923</v>
      </c>
    </row>
    <row r="61" customFormat="false" ht="15" hidden="false" customHeight="false" outlineLevel="0" collapsed="false">
      <c r="A61" s="10" t="s">
        <v>217</v>
      </c>
      <c r="B61" s="10" t="s">
        <v>24</v>
      </c>
      <c r="C61" s="44" t="n">
        <f aca="false">C15/C38-1</f>
        <v>0.647497337593184</v>
      </c>
      <c r="D61" s="44" t="n">
        <f aca="false">D15/D38-1</f>
        <v>0.658235563004724</v>
      </c>
      <c r="E61" s="44" t="n">
        <f aca="false">E15/E38-1</f>
        <v>0.65906362545018</v>
      </c>
      <c r="F61" s="44" t="n">
        <f aca="false">F15/F38-1</f>
        <v>0.600772200772201</v>
      </c>
      <c r="G61" s="44" t="n">
        <f aca="false">G15/G38-1</f>
        <v>0.702799712849964</v>
      </c>
      <c r="H61" s="44" t="n">
        <f aca="false">H15/H38-1</f>
        <v>0.840909090909091</v>
      </c>
      <c r="I61" s="44" t="n">
        <f aca="false">I15/I38-1</f>
        <v>0.631497364885812</v>
      </c>
      <c r="J61" s="44" t="n">
        <f aca="false">J15/J38-1</f>
        <v>0.800145945452887</v>
      </c>
      <c r="K61" s="44" t="n">
        <f aca="false">K15/K38-1</f>
        <v>0.981757322175732</v>
      </c>
      <c r="L61" s="44" t="n">
        <f aca="false">L15/L38-1</f>
        <v>0.836106489184692</v>
      </c>
      <c r="M61" s="44" t="n">
        <f aca="false">M15/M38-1</f>
        <v>0.935327874137597</v>
      </c>
      <c r="N61" s="44" t="n">
        <f aca="false">N15/N38-1</f>
        <v>4.29494676863098</v>
      </c>
      <c r="O61" s="44" t="n">
        <f aca="false">O15/O38-1</f>
        <v>1.05416976917349</v>
      </c>
    </row>
    <row r="62" customFormat="false" ht="15" hidden="false" customHeight="false" outlineLevel="0" collapsed="false">
      <c r="A62" s="10" t="s">
        <v>218</v>
      </c>
      <c r="B62" s="10" t="s">
        <v>24</v>
      </c>
      <c r="C62" s="44" t="n">
        <f aca="false">C16/C39-1</f>
        <v>0.647497337593184</v>
      </c>
      <c r="D62" s="44" t="n">
        <f aca="false">D16/D39-1</f>
        <v>0.658235563004724</v>
      </c>
      <c r="E62" s="44" t="n">
        <f aca="false">E16/E39-1</f>
        <v>0.65906362545018</v>
      </c>
      <c r="F62" s="44" t="n">
        <f aca="false">F16/F39-1</f>
        <v>0.600772200772201</v>
      </c>
      <c r="G62" s="44" t="n">
        <f aca="false">G16/G39-1</f>
        <v>0.702799712849964</v>
      </c>
      <c r="H62" s="44" t="n">
        <f aca="false">H16/H39-1</f>
        <v>0.840909090909091</v>
      </c>
      <c r="I62" s="44" t="n">
        <f aca="false">I16/I39-1</f>
        <v>0.631497364885812</v>
      </c>
      <c r="J62" s="44" t="n">
        <f aca="false">J16/J39-1</f>
        <v>0.800145945452887</v>
      </c>
      <c r="K62" s="44" t="n">
        <f aca="false">K16/K39-1</f>
        <v>0.981757322175732</v>
      </c>
      <c r="L62" s="44" t="n">
        <f aca="false">L16/L39-1</f>
        <v>0.836106489184692</v>
      </c>
      <c r="M62" s="44" t="n">
        <f aca="false">M16/M39-1</f>
        <v>0.935327874137597</v>
      </c>
      <c r="N62" s="44" t="n">
        <f aca="false">N16/N39-1</f>
        <v>4.29494676863098</v>
      </c>
      <c r="O62" s="44" t="n">
        <f aca="false">O16/O39-1</f>
        <v>1.05416976917349</v>
      </c>
    </row>
    <row r="63" customFormat="false" ht="15" hidden="false" customHeight="false" outlineLevel="0" collapsed="false">
      <c r="A63" s="10" t="s">
        <v>219</v>
      </c>
      <c r="B63" s="10" t="s">
        <v>24</v>
      </c>
      <c r="C63" s="44" t="n">
        <f aca="false">C17/C40-1</f>
        <v>0.896272630457934</v>
      </c>
      <c r="D63" s="44" t="n">
        <f aca="false">D17/D40-1</f>
        <v>0.658235563004724</v>
      </c>
      <c r="E63" s="44" t="n">
        <f aca="false">E17/E40-1</f>
        <v>0.65906362545018</v>
      </c>
      <c r="F63" s="44" t="n">
        <f aca="false">F17/F40-1</f>
        <v>0.600772200772201</v>
      </c>
      <c r="G63" s="44" t="n">
        <f aca="false">G17/G40-1</f>
        <v>0.702799712849964</v>
      </c>
      <c r="H63" s="44" t="n">
        <f aca="false">H17/H40-1</f>
        <v>0.840909090909091</v>
      </c>
      <c r="I63" s="44" t="n">
        <f aca="false">I17/I40-1</f>
        <v>0.715924356722125</v>
      </c>
      <c r="J63" s="44" t="n">
        <f aca="false">J17/J40-1</f>
        <v>0.800145945452887</v>
      </c>
      <c r="K63" s="44" t="n">
        <f aca="false">K17/K40-1</f>
        <v>0.981757322175732</v>
      </c>
      <c r="L63" s="44" t="n">
        <f aca="false">L17/L40-1</f>
        <v>0.836106489184692</v>
      </c>
      <c r="M63" s="44" t="n">
        <f aca="false">M17/M40-1</f>
        <v>0.935327874137597</v>
      </c>
      <c r="N63" s="44" t="n">
        <f aca="false">N17/N40-1</f>
        <v>4.29494676863098</v>
      </c>
      <c r="O63" s="44" t="n">
        <f aca="false">O17/O40-1</f>
        <v>1.05416976917349</v>
      </c>
    </row>
    <row r="64" customFormat="false" ht="15" hidden="false" customHeight="false" outlineLevel="0" collapsed="false">
      <c r="A64" s="10" t="s">
        <v>220</v>
      </c>
      <c r="B64" s="10" t="s">
        <v>24</v>
      </c>
      <c r="C64" s="44" t="n">
        <f aca="false">C18/C41-1</f>
        <v>0.224068157614483</v>
      </c>
      <c r="D64" s="44" t="n">
        <f aca="false">D18/D41-1</f>
        <v>0.532530854792016</v>
      </c>
      <c r="E64" s="44" t="n">
        <f aca="false">E18/E41-1</f>
        <v>0.53327997865813</v>
      </c>
      <c r="F64" s="44" t="n">
        <f aca="false">F18/F41-1</f>
        <v>0.479407979407979</v>
      </c>
      <c r="G64" s="44" t="n">
        <f aca="false">G18/G41-1</f>
        <v>0.533141899976071</v>
      </c>
      <c r="H64" s="44" t="n">
        <f aca="false">H18/H41-1</f>
        <v>0.657427937915743</v>
      </c>
      <c r="I64" s="44" t="n">
        <f aca="false">I18/I41-1</f>
        <v>0.475043918569805</v>
      </c>
      <c r="J64" s="44" t="n">
        <f aca="false">J18/J41-1</f>
        <v>0.627474231505975</v>
      </c>
      <c r="K64" s="44" t="n">
        <f aca="false">K18/K41-1</f>
        <v>0.791715481171548</v>
      </c>
      <c r="L64" s="44" t="n">
        <f aca="false">L18/L41-1</f>
        <v>0.726497504159734</v>
      </c>
      <c r="M64" s="44" t="n">
        <f aca="false">M18/M41-1</f>
        <v>0.8197820620285</v>
      </c>
      <c r="N64" s="44" t="n">
        <f aca="false">N18/N41-1</f>
        <v>3.9790073474284</v>
      </c>
      <c r="O64" s="44" t="n">
        <f aca="false">O18/O41-1</f>
        <v>0.931543186895011</v>
      </c>
    </row>
    <row r="65" customFormat="false" ht="15" hidden="false" customHeight="false" outlineLevel="0" collapsed="false">
      <c r="A65" s="10" t="s">
        <v>221</v>
      </c>
      <c r="B65" s="10" t="s">
        <v>24</v>
      </c>
      <c r="C65" s="44" t="n">
        <f aca="false">C19/C42-1</f>
        <v>1.14483493077742</v>
      </c>
      <c r="D65" s="44" t="n">
        <f aca="false">D19/D42-1</f>
        <v>0.751485601097059</v>
      </c>
      <c r="E65" s="44" t="n">
        <f aca="false">E19/E42-1</f>
        <v>0.65906362545018</v>
      </c>
      <c r="F65" s="44" t="n">
        <f aca="false">F19/F42-1</f>
        <v>0.663963963963964</v>
      </c>
      <c r="G65" s="44" t="n">
        <f aca="false">G19/G42-1</f>
        <v>0.702799712849964</v>
      </c>
      <c r="H65" s="44" t="n">
        <f aca="false">H19/H42-1</f>
        <v>0.840909090909091</v>
      </c>
      <c r="I65" s="44" t="n">
        <f aca="false">I19/I42-1</f>
        <v>0.715924356722125</v>
      </c>
      <c r="J65" s="44" t="n">
        <f aca="false">J19/J42-1</f>
        <v>0.800145945452887</v>
      </c>
      <c r="K65" s="44" t="n">
        <f aca="false">K19/K42-1</f>
        <v>0.981757322175732</v>
      </c>
      <c r="L65" s="44" t="n">
        <f aca="false">L19/L42-1</f>
        <v>0.836106489184692</v>
      </c>
      <c r="M65" s="44" t="n">
        <f aca="false">M19/M42-1</f>
        <v>0.935327874137597</v>
      </c>
      <c r="N65" s="44" t="n">
        <f aca="false">N19/N42-1</f>
        <v>4.29494676863098</v>
      </c>
      <c r="O65" s="44" t="n">
        <f aca="false">O19/O42-1</f>
        <v>1.05416976917349</v>
      </c>
    </row>
    <row r="66" customFormat="false" ht="15" hidden="false" customHeight="false" outlineLevel="0" collapsed="false">
      <c r="A66" s="10" t="s">
        <v>222</v>
      </c>
      <c r="B66" s="10" t="s">
        <v>24</v>
      </c>
      <c r="C66" s="44" t="n">
        <f aca="false">C20/C43-1</f>
        <v>1.14483493077742</v>
      </c>
      <c r="D66" s="44" t="n">
        <f aca="false">D20/D43-1</f>
        <v>0.751485601097059</v>
      </c>
      <c r="E66" s="44" t="n">
        <f aca="false">E20/E43-1</f>
        <v>0.65906362545018</v>
      </c>
      <c r="F66" s="44" t="n">
        <f aca="false">F20/F43-1</f>
        <v>0.663963963963964</v>
      </c>
      <c r="G66" s="44" t="n">
        <f aca="false">G20/G43-1</f>
        <v>0.702799712849964</v>
      </c>
      <c r="H66" s="44" t="n">
        <f aca="false">H20/H43-1</f>
        <v>0.840909090909091</v>
      </c>
      <c r="I66" s="44" t="n">
        <f aca="false">I20/I43-1</f>
        <v>0.715924356722125</v>
      </c>
      <c r="J66" s="44" t="n">
        <f aca="false">J20/J43-1</f>
        <v>0.800145945452887</v>
      </c>
      <c r="K66" s="44" t="n">
        <f aca="false">K20/K43-1</f>
        <v>0.981757322175732</v>
      </c>
      <c r="L66" s="44" t="n">
        <f aca="false">L20/L43-1</f>
        <v>0.836106489184692</v>
      </c>
      <c r="M66" s="44" t="n">
        <f aca="false">M20/M43-1</f>
        <v>0.935327874137597</v>
      </c>
      <c r="N66" s="44" t="n">
        <f aca="false">N20/N43-1</f>
        <v>4.29494676863098</v>
      </c>
      <c r="O66" s="44" t="n">
        <f aca="false">O20/O43-1</f>
        <v>1.05416976917349</v>
      </c>
    </row>
    <row r="67" customFormat="false" ht="15" hidden="false" customHeight="false" outlineLevel="0" collapsed="false">
      <c r="A67" s="10" t="s">
        <v>223</v>
      </c>
      <c r="B67" s="10" t="s">
        <v>24</v>
      </c>
      <c r="C67" s="44" t="n">
        <f aca="false">C21/C44-1</f>
        <v>0.224068157614483</v>
      </c>
      <c r="D67" s="44" t="n">
        <f aca="false">D21/D44-1</f>
        <v>0.532530854792016</v>
      </c>
      <c r="E67" s="44" t="n">
        <f aca="false">E21/E44-1</f>
        <v>0.53327997865813</v>
      </c>
      <c r="F67" s="44" t="n">
        <f aca="false">F21/F44-1</f>
        <v>0.479407979407979</v>
      </c>
      <c r="G67" s="44" t="n">
        <f aca="false">G21/G44-1</f>
        <v>0.533141899976071</v>
      </c>
      <c r="H67" s="44" t="n">
        <f aca="false">H21/H44-1</f>
        <v>0.657427937915743</v>
      </c>
      <c r="I67" s="44" t="n">
        <f aca="false">I21/I44-1</f>
        <v>0.475043918569805</v>
      </c>
      <c r="J67" s="44" t="n">
        <f aca="false">J21/J44-1</f>
        <v>0.627474231505975</v>
      </c>
      <c r="K67" s="44" t="n">
        <f aca="false">K21/K44-1</f>
        <v>0.791715481171548</v>
      </c>
      <c r="L67" s="44" t="n">
        <f aca="false">L21/L44-1</f>
        <v>0.726497504159734</v>
      </c>
      <c r="M67" s="44" t="n">
        <f aca="false">M21/M44-1</f>
        <v>0.8197820620285</v>
      </c>
      <c r="N67" s="44" t="n">
        <f aca="false">N21/N44-1</f>
        <v>3.9790073474284</v>
      </c>
      <c r="O67" s="44" t="n">
        <f aca="false">O21/O44-1</f>
        <v>0.931543186895011</v>
      </c>
    </row>
    <row r="68" customFormat="false" ht="15" hidden="false" customHeight="false" outlineLevel="0" collapsed="false">
      <c r="A68" s="10" t="s">
        <v>224</v>
      </c>
      <c r="B68" s="10" t="s">
        <v>23</v>
      </c>
      <c r="C68" s="44" t="n">
        <f aca="false">C22/C45-1</f>
        <v>0.0997191011235954</v>
      </c>
      <c r="D68" s="44" t="n">
        <f aca="false">D22/D45-1</f>
        <v>0.39812925170068</v>
      </c>
      <c r="E68" s="44" t="n">
        <f aca="false">E22/E45-1</f>
        <v>0.406105042645518</v>
      </c>
      <c r="F68" s="44" t="n">
        <f aca="false">F22/F45-1</f>
        <v>0.437729498164015</v>
      </c>
      <c r="G68" s="44" t="n">
        <f aca="false">G22/G45-1</f>
        <v>0.582135812905044</v>
      </c>
      <c r="H68" s="44" t="n">
        <f aca="false">H22/H45-1</f>
        <v>0.711561071195297</v>
      </c>
      <c r="I68" s="44" t="n">
        <f aca="false">I22/I45-1</f>
        <v>0.629364694471387</v>
      </c>
      <c r="J68" s="44" t="n">
        <f aca="false">J22/J45-1</f>
        <v>0.819649046793761</v>
      </c>
      <c r="K68" s="44" t="n">
        <f aca="false">K22/K45-1</f>
        <v>0.99081572190401</v>
      </c>
      <c r="L68" s="44" t="n">
        <f aca="false">L22/L45-1</f>
        <v>0.845779972226508</v>
      </c>
      <c r="M68" s="44" t="n">
        <f aca="false">M22/M45-1</f>
        <v>0.939417781274587</v>
      </c>
      <c r="N68" s="44" t="n">
        <f aca="false">N22/N45-1</f>
        <v>1.05687020439745</v>
      </c>
      <c r="O68" s="44" t="n">
        <f aca="false">O22/O45-1</f>
        <v>1.05176494802923</v>
      </c>
    </row>
    <row r="69" customFormat="false" ht="15" hidden="false" customHeight="false" outlineLevel="0" collapsed="false">
      <c r="A69" s="10" t="s">
        <v>225</v>
      </c>
      <c r="B69" s="10" t="s">
        <v>24</v>
      </c>
      <c r="C69" s="44" t="n">
        <f aca="false">C23/C46-1</f>
        <v>0.896272630457934</v>
      </c>
      <c r="D69" s="44" t="n">
        <f aca="false">D23/D46-1</f>
        <v>0.573670577479811</v>
      </c>
      <c r="E69" s="44" t="n">
        <f aca="false">E23/E46-1</f>
        <v>0.440976390556223</v>
      </c>
      <c r="F69" s="44" t="n">
        <f aca="false">F23/F46-1</f>
        <v>0.508751608751609</v>
      </c>
      <c r="G69" s="44" t="n">
        <f aca="false">G23/G46-1</f>
        <v>0.519861210815985</v>
      </c>
      <c r="H69" s="44" t="n">
        <f aca="false">H23/H46-1</f>
        <v>0.513636363636364</v>
      </c>
      <c r="I69" s="44" t="n">
        <f aca="false">I23/I46-1</f>
        <v>0.509042058489201</v>
      </c>
      <c r="J69" s="44" t="n">
        <f aca="false">J23/J46-1</f>
        <v>0.532336039405273</v>
      </c>
      <c r="K69" s="44" t="n">
        <f aca="false">K23/K46-1</f>
        <v>0.686945606694561</v>
      </c>
      <c r="L69" s="44" t="n">
        <f aca="false">L23/L46-1</f>
        <v>0.65869384359401</v>
      </c>
      <c r="M69" s="44" t="n">
        <f aca="false">M23/M46-1</f>
        <v>0.748339673737829</v>
      </c>
      <c r="N69" s="44" t="n">
        <f aca="false">N23/N46-1</f>
        <v>3.78332583595742</v>
      </c>
      <c r="O69" s="44" t="n">
        <f aca="false">O23/O46-1</f>
        <v>0.855640357408786</v>
      </c>
    </row>
    <row r="70" customFormat="false" ht="15" hidden="false" customHeight="false" outlineLevel="0" collapsed="false">
      <c r="A70" s="10" t="s">
        <v>226</v>
      </c>
      <c r="B70" s="10" t="s">
        <v>24</v>
      </c>
      <c r="C70" s="44" t="n">
        <f aca="false">C24/C47-1</f>
        <v>1.26900958466454</v>
      </c>
      <c r="D70" s="44" t="n">
        <f aca="false">D24/D47-1</f>
        <v>0.84031692823404</v>
      </c>
      <c r="E70" s="44" t="n">
        <f aca="false">E24/E47-1</f>
        <v>0.675736961451247</v>
      </c>
      <c r="F70" s="44" t="n">
        <f aca="false">F24/F47-1</f>
        <v>0.737837837837838</v>
      </c>
      <c r="G70" s="44" t="n">
        <f aca="false">G24/G47-1</f>
        <v>0.729241445321847</v>
      </c>
      <c r="H70" s="44" t="n">
        <f aca="false">H24/H47-1</f>
        <v>0.840909090909091</v>
      </c>
      <c r="I70" s="44" t="n">
        <f aca="false">I24/I47-1</f>
        <v>0.715924356722125</v>
      </c>
      <c r="J70" s="44" t="n">
        <f aca="false">J24/J47-1</f>
        <v>0.800145945452887</v>
      </c>
      <c r="K70" s="44" t="n">
        <f aca="false">K24/K47-1</f>
        <v>0.981757322175732</v>
      </c>
      <c r="L70" s="44" t="n">
        <f aca="false">L24/L47-1</f>
        <v>0.836106489184692</v>
      </c>
      <c r="M70" s="44" t="n">
        <f aca="false">M24/M47-1</f>
        <v>0.935327874137597</v>
      </c>
      <c r="N70" s="44" t="n">
        <f aca="false">N24/N47-1</f>
        <v>4.29494676863098</v>
      </c>
      <c r="O70" s="44" t="n">
        <f aca="false">O24/O47-1</f>
        <v>1.05416976917349</v>
      </c>
    </row>
    <row r="71" customFormat="false" ht="15" hidden="false" customHeight="false" outlineLevel="0" collapsed="false">
      <c r="A71" s="10" t="s">
        <v>227</v>
      </c>
      <c r="B71" s="10" t="s">
        <v>24</v>
      </c>
      <c r="C71" s="44" t="n">
        <f aca="false">C25/C48-1</f>
        <v>1.14483493077742</v>
      </c>
      <c r="D71" s="44" t="n">
        <f aca="false">D25/D48-1</f>
        <v>0.751485601097059</v>
      </c>
      <c r="E71" s="44" t="n">
        <f aca="false">E25/E48-1</f>
        <v>0.65906362545018</v>
      </c>
      <c r="F71" s="44" t="n">
        <f aca="false">F25/F48-1</f>
        <v>0.663963963963964</v>
      </c>
      <c r="G71" s="44" t="n">
        <f aca="false">G25/G48-1</f>
        <v>0.702799712849964</v>
      </c>
      <c r="H71" s="44" t="n">
        <f aca="false">H25/H48-1</f>
        <v>0.840909090909091</v>
      </c>
      <c r="I71" s="44" t="n">
        <f aca="false">I25/I48-1</f>
        <v>0.715924356722125</v>
      </c>
      <c r="J71" s="44" t="n">
        <f aca="false">J25/J48-1</f>
        <v>0.800145945452887</v>
      </c>
      <c r="K71" s="44" t="n">
        <f aca="false">K25/K48-1</f>
        <v>0.981757322175732</v>
      </c>
      <c r="L71" s="44" t="n">
        <f aca="false">L25/L48-1</f>
        <v>0.836106489184692</v>
      </c>
      <c r="M71" s="44" t="n">
        <f aca="false">M25/M48-1</f>
        <v>0.935327874137597</v>
      </c>
      <c r="N71" s="44" t="n">
        <f aca="false">N25/N48-1</f>
        <v>4.29494676863098</v>
      </c>
      <c r="O71" s="44" t="n">
        <f aca="false">O25/O48-1</f>
        <v>1.05416976917349</v>
      </c>
    </row>
  </sheetData>
  <conditionalFormatting sqref="C52:O71">
    <cfRule type="colorScale" priority="2">
      <colorScale>
        <cfvo type="num" val="-0.3"/>
        <cfvo type="num" val="0"/>
        <cfvo type="num" val="1.2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7" min="3" style="0" width="11"/>
    <col collapsed="false" customWidth="true" hidden="false" outlineLevel="0" max="59" min="8" style="0" width="9.51"/>
  </cols>
  <sheetData>
    <row r="1" customFormat="false" ht="17.35" hidden="false" customHeight="false" outlineLevel="0" collapsed="false">
      <c r="A1" s="36" t="s">
        <v>247</v>
      </c>
    </row>
    <row r="2" customFormat="false" ht="15" hidden="false" customHeight="false" outlineLevel="0" collapsed="false">
      <c r="A2" s="2" t="s">
        <v>248</v>
      </c>
    </row>
    <row r="3" customFormat="false" ht="15" hidden="false" customHeight="false" outlineLevel="0" collapsed="false">
      <c r="AG3" s="37" t="s">
        <v>249</v>
      </c>
      <c r="AH3" s="15" t="n">
        <f aca="false">IFERROR(AVERAGEIFS(Pedidos!$G$2:$G$2224,Pedidos!$F$2:$F$2224,"0-20"),10)</f>
        <v>17.6675700934579</v>
      </c>
      <c r="AI3" s="15" t="n">
        <f aca="false">IFERROR(AVERAGEIFS(Pedidos!$G$2:$G$2224,Pedidos!$F$2:$F$2224,"20-35"),27.5)</f>
        <v>28.3101616161616</v>
      </c>
      <c r="AJ3" s="15" t="n">
        <f aca="false">IFERROR(AVERAGEIFS(Pedidos!$G$2:$G$2224,Pedidos!$F$2:$F$2224,"35-40"),37.5)</f>
        <v>37.7385633802817</v>
      </c>
      <c r="AK3" s="15" t="n">
        <f aca="false">IFERROR(AVERAGEIFS(Pedidos!$G$2:$G$2224,Pedidos!$F$2:$F$2224,"40-50"),45)</f>
        <v>45.8947674418605</v>
      </c>
      <c r="AL3" s="15" t="n">
        <f aca="false">IFERROR(AVERAGEIFS(Pedidos!$G$2:$G$2224,Pedidos!$F$2:$F$2224,"50-60"),55)</f>
        <v>53.7578365384615</v>
      </c>
      <c r="AM3" s="15" t="n">
        <f aca="false">IFERROR(AVERAGEIFS(Pedidos!$G$2:$G$2224,Pedidos!$F$2:$F$2224,"60-70"),65)</f>
        <v>66.0062271062271</v>
      </c>
      <c r="AN3" s="15" t="n">
        <f aca="false">IFERROR(AVERAGEIFS(Pedidos!$G$2:$G$2224,Pedidos!$F$2:$F$2224,"70-80"),75)</f>
        <v>74.5873333333333</v>
      </c>
      <c r="AO3" s="15" t="n">
        <f aca="false">IFERROR(AVERAGEIFS(Pedidos!$G$2:$G$2224,Pedidos!$F$2:$F$2224,"80-100"),90)</f>
        <v>87.6333333333333</v>
      </c>
      <c r="AP3" s="15" t="n">
        <f aca="false">IFERROR(AVERAGEIFS(Pedidos!$G$2:$G$2224,Pedidos!$F$2:$F$2224,"100-120"),110)</f>
        <v>110.322452830189</v>
      </c>
      <c r="AQ3" s="15" t="n">
        <f aca="false">IFERROR(AVERAGEIFS(Pedidos!$G$2:$G$2224,Pedidos!$F$2:$F$2224,"120-150"),135)</f>
        <v>128.146976744186</v>
      </c>
      <c r="AR3" s="15" t="n">
        <f aca="false">IFERROR(AVERAGEIFS(Pedidos!$G$2:$G$2224,Pedidos!$F$2:$F$2224,"150-170"),160)</f>
        <v>160.633333333333</v>
      </c>
      <c r="AS3" s="15" t="n">
        <f aca="false">IFERROR(AVERAGEIFS(Pedidos!$G$2:$G$2224,Pedidos!$F$2:$F$2224,"170-200"),185)</f>
        <v>188.4</v>
      </c>
      <c r="AT3" s="15" t="n">
        <f aca="false">IFERROR(AVERAGEIFS(Pedidos!$G$2:$G$2224,Pedidos!$F$2:$F$2224,"200-250"),225)</f>
        <v>208.2</v>
      </c>
    </row>
    <row r="4" customFormat="false" ht="15" hidden="false" customHeight="false" outlineLevel="0" collapsed="false">
      <c r="AG4" s="37" t="s">
        <v>250</v>
      </c>
      <c r="AH4" s="13" t="n">
        <f aca="false">IFERROR(AVERAGEIFS(Pedidos!$H$2:$H$2224,Pedidos!$F$2:$F$2224,"0-20"),AH3*SUM(Pedidos!$H$2:$H$2224)/SUM(Pedidos!$G$2:$G$2224))</f>
        <v>314.905981308411</v>
      </c>
      <c r="AI4" s="13" t="n">
        <f aca="false">IFERROR(AVERAGEIFS(Pedidos!$H$2:$H$2224,Pedidos!$F$2:$F$2224,"20-35"),AI3*SUM(Pedidos!$H$2:$H$2224)/SUM(Pedidos!$G$2:$G$2224))</f>
        <v>434.464161616162</v>
      </c>
      <c r="AJ4" s="13" t="n">
        <f aca="false">IFERROR(AVERAGEIFS(Pedidos!$H$2:$H$2224,Pedidos!$F$2:$F$2224,"35-40"),AJ3*SUM(Pedidos!$H$2:$H$2224)/SUM(Pedidos!$G$2:$G$2224))</f>
        <v>465.110253521127</v>
      </c>
      <c r="AK4" s="13" t="n">
        <f aca="false">IFERROR(AVERAGEIFS(Pedidos!$H$2:$H$2224,Pedidos!$F$2:$F$2224,"40-50"),AK3*SUM(Pedidos!$H$2:$H$2224)/SUM(Pedidos!$G$2:$G$2224))</f>
        <v>603.080348837209</v>
      </c>
      <c r="AL4" s="13" t="n">
        <f aca="false">IFERROR(AVERAGEIFS(Pedidos!$H$2:$H$2224,Pedidos!$F$2:$F$2224,"50-60"),AL3*SUM(Pedidos!$H$2:$H$2224)/SUM(Pedidos!$G$2:$G$2224))</f>
        <v>694.483509615385</v>
      </c>
      <c r="AM4" s="13" t="n">
        <f aca="false">IFERROR(AVERAGEIFS(Pedidos!$H$2:$H$2224,Pedidos!$F$2:$F$2224,"60-70"),AM3*SUM(Pedidos!$H$2:$H$2224)/SUM(Pedidos!$G$2:$G$2224))</f>
        <v>759.360366300366</v>
      </c>
      <c r="AN4" s="13" t="n">
        <f aca="false">IFERROR(AVERAGEIFS(Pedidos!$H$2:$H$2224,Pedidos!$F$2:$F$2224,"70-80"),AN3*SUM(Pedidos!$H$2:$H$2224)/SUM(Pedidos!$G$2:$G$2224))</f>
        <v>951.882</v>
      </c>
      <c r="AO4" s="13" t="n">
        <f aca="false">IFERROR(AVERAGEIFS(Pedidos!$H$2:$H$2224,Pedidos!$F$2:$F$2224,"80-100"),AO3*SUM(Pedidos!$H$2:$H$2224)/SUM(Pedidos!$G$2:$G$2224))</f>
        <v>970.36649122807</v>
      </c>
      <c r="AP4" s="13" t="n">
        <f aca="false">IFERROR(AVERAGEIFS(Pedidos!$H$2:$H$2224,Pedidos!$F$2:$F$2224,"100-120"),AP3*SUM(Pedidos!$H$2:$H$2224)/SUM(Pedidos!$G$2:$G$2224))</f>
        <v>1259.43773584906</v>
      </c>
      <c r="AQ4" s="13" t="n">
        <f aca="false">IFERROR(AVERAGEIFS(Pedidos!$H$2:$H$2224,Pedidos!$F$2:$F$2224,"120-150"),AQ3*SUM(Pedidos!$H$2:$H$2224)/SUM(Pedidos!$G$2:$G$2224))</f>
        <v>1647.78081395349</v>
      </c>
      <c r="AR4" s="13" t="n">
        <f aca="false">IFERROR(AVERAGEIFS(Pedidos!$H$2:$H$2224,Pedidos!$F$2:$F$2224,"150-170"),AR3*SUM(Pedidos!$H$2:$H$2224)/SUM(Pedidos!$G$2:$G$2224))</f>
        <v>1909.17333333333</v>
      </c>
      <c r="AS4" s="13" t="n">
        <f aca="false">IFERROR(AVERAGEIFS(Pedidos!$H$2:$H$2224,Pedidos!$F$2:$F$2224,"170-200"),AS3*SUM(Pedidos!$H$2:$H$2224)/SUM(Pedidos!$G$2:$G$2224))</f>
        <v>1994</v>
      </c>
      <c r="AT4" s="13" t="n">
        <f aca="false">IFERROR(AVERAGEIFS(Pedidos!$H$2:$H$2224,Pedidos!$F$2:$F$2224,"200-250"),AT3*SUM(Pedidos!$H$2:$H$2224)/SUM(Pedidos!$G$2:$G$2224))</f>
        <v>3070.27666666667</v>
      </c>
    </row>
    <row r="5" customFormat="false" ht="15" hidden="false" customHeight="false" outlineLevel="0" collapsed="false">
      <c r="H5" s="56" t="s">
        <v>251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7" t="s">
        <v>252</v>
      </c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25" t="s">
        <v>253</v>
      </c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 t="s">
        <v>254</v>
      </c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customFormat="false" ht="30" hidden="false" customHeight="true" outlineLevel="0" collapsed="false">
      <c r="A6" s="9" t="s">
        <v>255</v>
      </c>
      <c r="B6" s="9" t="s">
        <v>256</v>
      </c>
      <c r="C6" s="9" t="s">
        <v>257</v>
      </c>
      <c r="D6" s="9" t="s">
        <v>258</v>
      </c>
      <c r="E6" s="9" t="s">
        <v>203</v>
      </c>
      <c r="F6" s="9" t="s">
        <v>259</v>
      </c>
      <c r="G6" s="9" t="s">
        <v>260</v>
      </c>
      <c r="H6" s="9" t="s">
        <v>232</v>
      </c>
      <c r="I6" s="9" t="s">
        <v>233</v>
      </c>
      <c r="J6" s="9" t="s">
        <v>234</v>
      </c>
      <c r="K6" s="9" t="s">
        <v>235</v>
      </c>
      <c r="L6" s="9" t="s">
        <v>236</v>
      </c>
      <c r="M6" s="9" t="s">
        <v>237</v>
      </c>
      <c r="N6" s="9" t="s">
        <v>238</v>
      </c>
      <c r="O6" s="9" t="s">
        <v>239</v>
      </c>
      <c r="P6" s="9" t="s">
        <v>240</v>
      </c>
      <c r="Q6" s="9" t="s">
        <v>241</v>
      </c>
      <c r="R6" s="9" t="s">
        <v>242</v>
      </c>
      <c r="S6" s="9" t="s">
        <v>243</v>
      </c>
      <c r="T6" s="9" t="s">
        <v>244</v>
      </c>
      <c r="U6" s="9" t="s">
        <v>232</v>
      </c>
      <c r="V6" s="9" t="s">
        <v>233</v>
      </c>
      <c r="W6" s="9" t="s">
        <v>234</v>
      </c>
      <c r="X6" s="9" t="s">
        <v>235</v>
      </c>
      <c r="Y6" s="9" t="s">
        <v>236</v>
      </c>
      <c r="Z6" s="9" t="s">
        <v>237</v>
      </c>
      <c r="AA6" s="9" t="s">
        <v>238</v>
      </c>
      <c r="AB6" s="9" t="s">
        <v>239</v>
      </c>
      <c r="AC6" s="9" t="s">
        <v>240</v>
      </c>
      <c r="AD6" s="9" t="s">
        <v>241</v>
      </c>
      <c r="AE6" s="9" t="s">
        <v>242</v>
      </c>
      <c r="AF6" s="9" t="s">
        <v>243</v>
      </c>
      <c r="AG6" s="9" t="s">
        <v>244</v>
      </c>
      <c r="AH6" s="9" t="s">
        <v>232</v>
      </c>
      <c r="AI6" s="9" t="s">
        <v>233</v>
      </c>
      <c r="AJ6" s="9" t="s">
        <v>234</v>
      </c>
      <c r="AK6" s="9" t="s">
        <v>235</v>
      </c>
      <c r="AL6" s="9" t="s">
        <v>236</v>
      </c>
      <c r="AM6" s="9" t="s">
        <v>237</v>
      </c>
      <c r="AN6" s="9" t="s">
        <v>238</v>
      </c>
      <c r="AO6" s="9" t="s">
        <v>239</v>
      </c>
      <c r="AP6" s="9" t="s">
        <v>240</v>
      </c>
      <c r="AQ6" s="9" t="s">
        <v>241</v>
      </c>
      <c r="AR6" s="9" t="s">
        <v>242</v>
      </c>
      <c r="AS6" s="9" t="s">
        <v>243</v>
      </c>
      <c r="AT6" s="9" t="s">
        <v>244</v>
      </c>
      <c r="AU6" s="9" t="s">
        <v>232</v>
      </c>
      <c r="AV6" s="9" t="s">
        <v>233</v>
      </c>
      <c r="AW6" s="9" t="s">
        <v>234</v>
      </c>
      <c r="AX6" s="9" t="s">
        <v>235</v>
      </c>
      <c r="AY6" s="9" t="s">
        <v>236</v>
      </c>
      <c r="AZ6" s="9" t="s">
        <v>237</v>
      </c>
      <c r="BA6" s="9" t="s">
        <v>238</v>
      </c>
      <c r="BB6" s="9" t="s">
        <v>239</v>
      </c>
      <c r="BC6" s="9" t="s">
        <v>240</v>
      </c>
      <c r="BD6" s="9" t="s">
        <v>241</v>
      </c>
      <c r="BE6" s="9" t="s">
        <v>242</v>
      </c>
      <c r="BF6" s="9" t="s">
        <v>243</v>
      </c>
      <c r="BG6" s="9" t="s">
        <v>244</v>
      </c>
    </row>
    <row r="7" customFormat="false" ht="15" hidden="false" customHeight="false" outlineLevel="0" collapsed="false">
      <c r="A7" s="10" t="s">
        <v>261</v>
      </c>
      <c r="B7" s="10" t="s">
        <v>46</v>
      </c>
      <c r="C7" s="58" t="n">
        <v>20000000</v>
      </c>
      <c r="D7" s="58" t="n">
        <v>23799999</v>
      </c>
      <c r="E7" s="10" t="s">
        <v>22</v>
      </c>
      <c r="F7" s="10" t="s">
        <v>262</v>
      </c>
      <c r="G7" s="10" t="n">
        <f aca="false">COUNTIFS(Pedidos!$C$2:$C$2224,"&gt;="&amp;C7,Pedidos!$C$2:$C$2224,"&lt;="&amp;D7)</f>
        <v>1030</v>
      </c>
      <c r="H7" s="40" t="n">
        <v>46.98</v>
      </c>
      <c r="I7" s="40" t="n">
        <v>82.21</v>
      </c>
      <c r="J7" s="40" t="n">
        <v>93.97</v>
      </c>
      <c r="K7" s="40" t="n">
        <v>93.97</v>
      </c>
      <c r="L7" s="40" t="n">
        <v>112.3</v>
      </c>
      <c r="M7" s="40" t="n">
        <v>131.02</v>
      </c>
      <c r="N7" s="40" t="n">
        <v>134.39</v>
      </c>
      <c r="O7" s="40" t="n">
        <v>167.99</v>
      </c>
      <c r="P7" s="40" t="n">
        <v>201.59</v>
      </c>
      <c r="Q7" s="40" t="n">
        <v>239.25</v>
      </c>
      <c r="R7" s="40" t="n">
        <v>271.15</v>
      </c>
      <c r="S7" s="40" t="n">
        <v>319</v>
      </c>
      <c r="T7" s="40" t="n">
        <v>398.74</v>
      </c>
      <c r="U7" s="40" t="n">
        <v>33.42</v>
      </c>
      <c r="V7" s="40" t="n">
        <v>42.11</v>
      </c>
      <c r="W7" s="40" t="n">
        <v>48.35</v>
      </c>
      <c r="X7" s="40" t="n">
        <v>53.55</v>
      </c>
      <c r="Y7" s="40" t="n">
        <v>58.6</v>
      </c>
      <c r="Z7" s="40" t="n">
        <v>63.21</v>
      </c>
      <c r="AA7" s="40" t="n">
        <v>68.88</v>
      </c>
      <c r="AB7" s="40" t="n">
        <v>83.79</v>
      </c>
      <c r="AC7" s="40" t="n">
        <v>92.34</v>
      </c>
      <c r="AD7" s="40" t="n">
        <v>120.59</v>
      </c>
      <c r="AE7" s="40" t="n">
        <v>130.31</v>
      </c>
      <c r="AF7" s="40" t="n">
        <v>144.9</v>
      </c>
      <c r="AG7" s="40" t="n">
        <v>181.55</v>
      </c>
      <c r="AH7" s="13" t="n">
        <f aca="false">(U7+AH$4*(Resumo!$C$6+Resumo!$C$7+Resumo!$C$8)+Resumo!$C$10*CEILING(AH$3/100,1)+Resumo!$C$9+Resumo!$C$13+Resumo!$C$14*CEILING(AH$3,1))*(1+Resumo!$C$11)-(AH$4*(Resumo!$B$6+Resumo!$B$7)+Resumo!$B$9+Resumo!$B$10*CEILING(AH$3/100,1)+(Resumo!$B$12+Resumo!$B$14)*CEILING(AH$3,1))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41.8178871775701</v>
      </c>
      <c r="AI7" s="13" t="n">
        <f aca="false">(V7+AI$4*(Resumo!$C$6+Resumo!$C$7+Resumo!$C$8)+Resumo!$C$10*CEILING(AI$3/100,1)+Resumo!$C$9+Resumo!$C$13+Resumo!$C$14*CEILING(AI$3,1))*(1+Resumo!$C$11)-(AI$4*(Resumo!$B$6+Resumo!$B$7)+Resumo!$B$9+Resumo!$B$10*CEILING(AI$3/100,1)+(Resumo!$B$12+Resumo!$B$14)*CEILING(AI$3,1))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49.9913569939394</v>
      </c>
      <c r="AJ7" s="13" t="n">
        <f aca="false">(W7+AJ$4*(Resumo!$C$6+Resumo!$C$7+Resumo!$C$8)+Resumo!$C$10*CEILING(AJ$3/100,1)+Resumo!$C$9+Resumo!$C$13+Resumo!$C$14*CEILING(AJ$3,1))*(1+Resumo!$C$11)-(AJ$4*(Resumo!$B$6+Resumo!$B$7)+Resumo!$B$9+Resumo!$B$10*CEILING(AJ$3/100,1)+(Resumo!$B$12+Resumo!$B$14)*CEILING(AJ$3,1))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55.7281323042254</v>
      </c>
      <c r="AK7" s="13" t="n">
        <f aca="false">(X7+AK$4*(Resumo!$C$6+Resumo!$C$7+Resumo!$C$8)+Resumo!$C$10*CEILING(AK$3/100,1)+Resumo!$C$9+Resumo!$C$13+Resumo!$C$14*CEILING(AK$3,1))*(1+Resumo!$C$11)-(AK$4*(Resumo!$B$6+Resumo!$B$7)+Resumo!$B$9+Resumo!$B$10*CEILING(AK$3/100,1)+(Resumo!$B$12+Resumo!$B$14)*CEILING(AK$3,1))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60.6136964186046</v>
      </c>
      <c r="AL7" s="13" t="n">
        <f aca="false">(Y7+AL$4*(Resumo!$C$6+Resumo!$C$7+Resumo!$C$8)+Resumo!$C$10*CEILING(AL$3/100,1)+Resumo!$C$9+Resumo!$C$13+Resumo!$C$14*CEILING(AL$3,1))*(1+Resumo!$C$11)-(AL$4*(Resumo!$B$6+Resumo!$B$7)+Resumo!$B$9+Resumo!$B$10*CEILING(AL$3/100,1)+(Resumo!$B$12+Resumo!$B$14)*CEILING(AL$3,1))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65.2933802115385</v>
      </c>
      <c r="AM7" s="13" t="n">
        <f aca="false">(Z7+AM$4*(Resumo!$C$6+Resumo!$C$7+Resumo!$C$8)+Resumo!$C$10*CEILING(AM$3/100,1)+Resumo!$C$9+Resumo!$C$13+Resumo!$C$14*CEILING(AM$3,1))*(1+Resumo!$C$11)-(AM$4*(Resumo!$B$6+Resumo!$B$7)+Resumo!$B$9+Resumo!$B$10*CEILING(AM$3/100,1)+(Resumo!$B$12+Resumo!$B$14)*CEILING(AM$3,1))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69.2012324395604</v>
      </c>
      <c r="AN7" s="13" t="n">
        <f aca="false">(AA7+AN$4*(Resumo!$C$6+Resumo!$C$7+Resumo!$C$8)+Resumo!$C$10*CEILING(AN$3/100,1)+Resumo!$C$9+Resumo!$C$13+Resumo!$C$14*CEILING(AN$3,1))*(1+Resumo!$C$11)-(AN$4*(Resumo!$B$6+Resumo!$B$7)+Resumo!$B$9+Resumo!$B$10*CEILING(AN$3/100,1)+(Resumo!$B$12+Resumo!$B$14)*CEILING(AN$3,1))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74.6222584</v>
      </c>
      <c r="AO7" s="13" t="n">
        <f aca="false">(AB7+AO$4*(Resumo!$C$6+Resumo!$C$7+Resumo!$C$8)+Resumo!$C$10*CEILING(AO$3/100,1)+Resumo!$C$9+Resumo!$C$13+Resumo!$C$14*CEILING(AO$3,1))*(1+Resumo!$C$11)-(AO$4*(Resumo!$B$6+Resumo!$B$7)+Resumo!$B$9+Resumo!$B$10*CEILING(AO$3/100,1)+(Resumo!$B$12+Resumo!$B$14)*CEILING(AO$3,1))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88.7744397894737</v>
      </c>
      <c r="AP7" s="13" t="n">
        <f aca="false">(AC7+AP$4*(Resumo!$C$6+Resumo!$C$7+Resumo!$C$8)+Resumo!$C$10*CEILING(AP$3/100,1)+Resumo!$C$9+Resumo!$C$13+Resumo!$C$14*CEILING(AP$3,1))*(1+Resumo!$C$11)-(AP$4*(Resumo!$B$6+Resumo!$B$7)+Resumo!$B$9+Resumo!$B$10*CEILING(AP$3/100,1)+(Resumo!$B$12+Resumo!$B$14)*CEILING(AP$3,1))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92.8413252830189</v>
      </c>
      <c r="AQ7" s="13" t="n">
        <f aca="false">(AD7+AQ$4*(Resumo!$C$6+Resumo!$C$7+Resumo!$C$8)+Resumo!$C$10*CEILING(AQ$3/100,1)+Resumo!$C$9+Resumo!$C$13+Resumo!$C$14*CEILING(AQ$3,1))*(1+Resumo!$C$11)-(AQ$4*(Resumo!$B$6+Resumo!$B$7)+Resumo!$B$9+Resumo!$B$10*CEILING(AQ$3/100,1)+(Resumo!$B$12+Resumo!$B$14)*CEILING(AQ$3,1))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120.477336976744</v>
      </c>
      <c r="AR7" s="13" t="n">
        <f aca="false">(AE7+AR$4*(Resumo!$C$6+Resumo!$C$7+Resumo!$C$8)+Resumo!$C$10*CEILING(AR$3/100,1)+Resumo!$C$9+Resumo!$C$13+Resumo!$C$14*CEILING(AR$3,1))*(1+Resumo!$C$11)-(AR$4*(Resumo!$B$6+Resumo!$B$7)+Resumo!$B$9+Resumo!$B$10*CEILING(AR$3/100,1)+(Resumo!$B$12+Resumo!$B$14)*CEILING(AR$3,1))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128.591008</v>
      </c>
      <c r="AS7" s="13" t="n">
        <f aca="false">(AF7+AS$4*(Resumo!$C$6+Resumo!$C$7+Resumo!$C$8)+Resumo!$C$10*CEILING(AS$3/100,1)+Resumo!$C$9+Resumo!$C$13+Resumo!$C$14*CEILING(AS$3,1))*(1+Resumo!$C$11)-(AS$4*(Resumo!$B$6+Resumo!$B$7)+Resumo!$B$9+Resumo!$B$10*CEILING(AS$3/100,1)+(Resumo!$B$12+Resumo!$B$14)*CEILING(AS$3,1))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141.6028</v>
      </c>
      <c r="AT7" s="13" t="n">
        <f aca="false">(AG7+AT$4*(Resumo!$C$6+Resumo!$C$7+Resumo!$C$8)+Resumo!$C$10*CEILING(AT$3/100,1)+Resumo!$C$9+Resumo!$C$13+Resumo!$C$14*CEILING(AT$3,1))*(1+Resumo!$C$11)-(AT$4*(Resumo!$B$6+Resumo!$B$7)+Resumo!$B$9+Resumo!$B$10*CEILING(AT$3/100,1)+(Resumo!$B$12+Resumo!$B$14)*CEILING(AT$3,1))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174.894332</v>
      </c>
      <c r="AU7" s="44" t="n">
        <f aca="false">1-AH7/H7</f>
        <v>0.109878944709023</v>
      </c>
      <c r="AV7" s="44" t="n">
        <f aca="false">1-AI7/I7</f>
        <v>0.391906617273575</v>
      </c>
      <c r="AW7" s="44" t="n">
        <f aca="false">1-AJ7/J7</f>
        <v>0.40695826003804</v>
      </c>
      <c r="AX7" s="44" t="n">
        <f aca="false">1-AK7/K7</f>
        <v>0.354967580944933</v>
      </c>
      <c r="AY7" s="44" t="n">
        <f aca="false">1-AL7/L7</f>
        <v>0.418580763922186</v>
      </c>
      <c r="AZ7" s="44" t="n">
        <f aca="false">1-AM7/M7</f>
        <v>0.471826954361468</v>
      </c>
      <c r="BA7" s="44" t="n">
        <f aca="false">1-AN7/N7</f>
        <v>0.44473354862713</v>
      </c>
      <c r="BB7" s="44" t="n">
        <f aca="false">1-AO7/O7</f>
        <v>0.471549260137665</v>
      </c>
      <c r="BC7" s="44" t="n">
        <f aca="false">1-AP7/P7</f>
        <v>0.539454708651129</v>
      </c>
      <c r="BD7" s="44" t="n">
        <f aca="false">1-AQ7/Q7</f>
        <v>0.496437463002114</v>
      </c>
      <c r="BE7" s="44" t="n">
        <f aca="false">1-AR7/R7</f>
        <v>0.525756931587682</v>
      </c>
      <c r="BF7" s="44" t="n">
        <f aca="false">1-AS7/S7</f>
        <v>0.55610407523511</v>
      </c>
      <c r="BG7" s="44" t="n">
        <f aca="false">1-AT7/T7</f>
        <v>0.561382524953604</v>
      </c>
    </row>
    <row r="8" customFormat="false" ht="15" hidden="false" customHeight="false" outlineLevel="0" collapsed="false">
      <c r="A8" s="10" t="s">
        <v>261</v>
      </c>
      <c r="B8" s="10" t="s">
        <v>263</v>
      </c>
      <c r="C8" s="58" t="n">
        <v>23800000</v>
      </c>
      <c r="D8" s="58" t="n">
        <v>23859999</v>
      </c>
      <c r="E8" s="10" t="s">
        <v>24</v>
      </c>
      <c r="F8" s="10" t="s">
        <v>264</v>
      </c>
      <c r="G8" s="10" t="n">
        <f aca="false">COUNTIFS(Pedidos!$C$2:$C$2224,"&gt;="&amp;C8,Pedidos!$C$2:$C$2224,"&lt;="&amp;D8)</f>
        <v>7</v>
      </c>
      <c r="H8" s="40" t="n">
        <v>56.98</v>
      </c>
      <c r="I8" s="40" t="n">
        <v>92.21</v>
      </c>
      <c r="J8" s="40" t="n">
        <v>103.97</v>
      </c>
      <c r="K8" s="40" t="n">
        <v>103.97</v>
      </c>
      <c r="L8" s="40" t="n">
        <v>122.3</v>
      </c>
      <c r="M8" s="40" t="n">
        <v>141.02</v>
      </c>
      <c r="N8" s="40" t="n">
        <v>144.39</v>
      </c>
      <c r="O8" s="40" t="n">
        <v>177.99</v>
      </c>
      <c r="P8" s="40" t="n">
        <v>211.59</v>
      </c>
      <c r="Q8" s="40" t="n">
        <v>249.25</v>
      </c>
      <c r="R8" s="40" t="n">
        <v>281.15</v>
      </c>
      <c r="S8" s="40" t="n">
        <v>329</v>
      </c>
      <c r="T8" s="40" t="n">
        <v>408.74</v>
      </c>
      <c r="U8" s="40" t="n">
        <v>46.95</v>
      </c>
      <c r="V8" s="40" t="n">
        <v>65.63</v>
      </c>
      <c r="W8" s="40" t="n">
        <v>74.97</v>
      </c>
      <c r="X8" s="40" t="n">
        <v>77.7</v>
      </c>
      <c r="Y8" s="40" t="n">
        <v>83.58</v>
      </c>
      <c r="Z8" s="40" t="n">
        <v>90.2</v>
      </c>
      <c r="AA8" s="40" t="n">
        <v>96.77</v>
      </c>
      <c r="AB8" s="40" t="n">
        <v>109.63</v>
      </c>
      <c r="AC8" s="40" t="n">
        <v>119.5</v>
      </c>
      <c r="AD8" s="40" t="n">
        <v>144.24</v>
      </c>
      <c r="AE8" s="40" t="n">
        <v>155.09</v>
      </c>
      <c r="AF8" s="40" t="n">
        <v>66.69</v>
      </c>
      <c r="AG8" s="40" t="n">
        <v>214.88</v>
      </c>
      <c r="AH8" s="13" t="n">
        <f aca="false">(U8+AH$4*(Resumo!$C$6+Resumo!$C$7+Resumo!$C$8)+Resumo!$C$10*CEILING(AH$3/100,1)+Resumo!$C$9+Resumo!$C$13+Resumo!$C$14*CEILING(AH$3,1))*(1+Resumo!$C$11)-(AH$4*(Resumo!$B$6+Resumo!$B$7)+Resumo!$B$9+Resumo!$B$10*CEILING(AH$3/100,1)+(Resumo!$B$12+Resumo!$B$14)*CEILING(AH$3,1))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" s="13" t="n">
        <f aca="false">(V8+AI$4*(Resumo!$C$6+Resumo!$C$7+Resumo!$C$8)+Resumo!$C$10*CEILING(AI$3/100,1)+Resumo!$C$9+Resumo!$C$13+Resumo!$C$14*CEILING(AI$3,1))*(1+Resumo!$C$11)-(AI$4*(Resumo!$B$6+Resumo!$B$7)+Resumo!$B$9+Resumo!$B$10*CEILING(AI$3/100,1)+(Resumo!$B$12+Resumo!$B$14)*CEILING(AI$3,1))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" s="13" t="n">
        <f aca="false">(W8+AJ$4*(Resumo!$C$6+Resumo!$C$7+Resumo!$C$8)+Resumo!$C$10*CEILING(AJ$3/100,1)+Resumo!$C$9+Resumo!$C$13+Resumo!$C$14*CEILING(AJ$3,1))*(1+Resumo!$C$11)-(AJ$4*(Resumo!$B$6+Resumo!$B$7)+Resumo!$B$9+Resumo!$B$10*CEILING(AJ$3/100,1)+(Resumo!$B$12+Resumo!$B$14)*CEILING(AJ$3,1))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" s="13" t="n">
        <f aca="false">(X8+AK$4*(Resumo!$C$6+Resumo!$C$7+Resumo!$C$8)+Resumo!$C$10*CEILING(AK$3/100,1)+Resumo!$C$9+Resumo!$C$13+Resumo!$C$14*CEILING(AK$3,1))*(1+Resumo!$C$11)-(AK$4*(Resumo!$B$6+Resumo!$B$7)+Resumo!$B$9+Resumo!$B$10*CEILING(AK$3/100,1)+(Resumo!$B$12+Resumo!$B$14)*CEILING(AK$3,1))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" s="13" t="n">
        <f aca="false">(Y8+AL$4*(Resumo!$C$6+Resumo!$C$7+Resumo!$C$8)+Resumo!$C$10*CEILING(AL$3/100,1)+Resumo!$C$9+Resumo!$C$13+Resumo!$C$14*CEILING(AL$3,1))*(1+Resumo!$C$11)-(AL$4*(Resumo!$B$6+Resumo!$B$7)+Resumo!$B$9+Resumo!$B$10*CEILING(AL$3/100,1)+(Resumo!$B$12+Resumo!$B$14)*CEILING(AL$3,1))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" s="13" t="n">
        <f aca="false">(Z8+AM$4*(Resumo!$C$6+Resumo!$C$7+Resumo!$C$8)+Resumo!$C$10*CEILING(AM$3/100,1)+Resumo!$C$9+Resumo!$C$13+Resumo!$C$14*CEILING(AM$3,1))*(1+Resumo!$C$11)-(AM$4*(Resumo!$B$6+Resumo!$B$7)+Resumo!$B$9+Resumo!$B$10*CEILING(AM$3/100,1)+(Resumo!$B$12+Resumo!$B$14)*CEILING(AM$3,1))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" s="13" t="n">
        <f aca="false">(AA8+AN$4*(Resumo!$C$6+Resumo!$C$7+Resumo!$C$8)+Resumo!$C$10*CEILING(AN$3/100,1)+Resumo!$C$9+Resumo!$C$13+Resumo!$C$14*CEILING(AN$3,1))*(1+Resumo!$C$11)-(AN$4*(Resumo!$B$6+Resumo!$B$7)+Resumo!$B$9+Resumo!$B$10*CEILING(AN$3/100,1)+(Resumo!$B$12+Resumo!$B$14)*CEILING(AN$3,1))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" s="13" t="n">
        <f aca="false">(AB8+AO$4*(Resumo!$C$6+Resumo!$C$7+Resumo!$C$8)+Resumo!$C$10*CEILING(AO$3/100,1)+Resumo!$C$9+Resumo!$C$13+Resumo!$C$14*CEILING(AO$3,1))*(1+Resumo!$C$11)-(AO$4*(Resumo!$B$6+Resumo!$B$7)+Resumo!$B$9+Resumo!$B$10*CEILING(AO$3/100,1)+(Resumo!$B$12+Resumo!$B$14)*CEILING(AO$3,1))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" s="13" t="n">
        <f aca="false">(AC8+AP$4*(Resumo!$C$6+Resumo!$C$7+Resumo!$C$8)+Resumo!$C$10*CEILING(AP$3/100,1)+Resumo!$C$9+Resumo!$C$13+Resumo!$C$14*CEILING(AP$3,1))*(1+Resumo!$C$11)-(AP$4*(Resumo!$B$6+Resumo!$B$7)+Resumo!$B$9+Resumo!$B$10*CEILING(AP$3/100,1)+(Resumo!$B$12+Resumo!$B$14)*CEILING(AP$3,1))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" s="13" t="n">
        <f aca="false">(AD8+AQ$4*(Resumo!$C$6+Resumo!$C$7+Resumo!$C$8)+Resumo!$C$10*CEILING(AQ$3/100,1)+Resumo!$C$9+Resumo!$C$13+Resumo!$C$14*CEILING(AQ$3,1))*(1+Resumo!$C$11)-(AQ$4*(Resumo!$B$6+Resumo!$B$7)+Resumo!$B$9+Resumo!$B$10*CEILING(AQ$3/100,1)+(Resumo!$B$12+Resumo!$B$14)*CEILING(AQ$3,1))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" s="13" t="n">
        <f aca="false">(AE8+AR$4*(Resumo!$C$6+Resumo!$C$7+Resumo!$C$8)+Resumo!$C$10*CEILING(AR$3/100,1)+Resumo!$C$9+Resumo!$C$13+Resumo!$C$14*CEILING(AR$3,1))*(1+Resumo!$C$11)-(AR$4*(Resumo!$B$6+Resumo!$B$7)+Resumo!$B$9+Resumo!$B$10*CEILING(AR$3/100,1)+(Resumo!$B$12+Resumo!$B$14)*CEILING(AR$3,1))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" s="13" t="n">
        <f aca="false">(AF8+AS$4*(Resumo!$C$6+Resumo!$C$7+Resumo!$C$8)+Resumo!$C$10*CEILING(AS$3/100,1)+Resumo!$C$9+Resumo!$C$13+Resumo!$C$14*CEILING(AS$3,1))*(1+Resumo!$C$11)-(AS$4*(Resumo!$B$6+Resumo!$B$7)+Resumo!$B$9+Resumo!$B$10*CEILING(AS$3/100,1)+(Resumo!$B$12+Resumo!$B$14)*CEILING(AS$3,1))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" s="13" t="n">
        <f aca="false">(AG8+AT$4*(Resumo!$C$6+Resumo!$C$7+Resumo!$C$8)+Resumo!$C$10*CEILING(AT$3/100,1)+Resumo!$C$9+Resumo!$C$13+Resumo!$C$14*CEILING(AT$3,1))*(1+Resumo!$C$11)-(AT$4*(Resumo!$B$6+Resumo!$B$7)+Resumo!$B$9+Resumo!$B$10*CEILING(AT$3/100,1)+(Resumo!$B$12+Resumo!$B$14)*CEILING(AT$3,1))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" s="44" t="n">
        <f aca="false">1-AH8/H8</f>
        <v>0.0286436086772536</v>
      </c>
      <c r="AV8" s="44" t="n">
        <f aca="false">1-AI8/I8</f>
        <v>0.202783244833105</v>
      </c>
      <c r="AW8" s="44" t="n">
        <f aca="false">1-AJ8/J8</f>
        <v>0.207962563198756</v>
      </c>
      <c r="AX8" s="44" t="n">
        <f aca="false">1-AK8/K8</f>
        <v>0.184729283268206</v>
      </c>
      <c r="AY8" s="44" t="n">
        <f aca="false">1-AL8/L8</f>
        <v>0.261869335964526</v>
      </c>
      <c r="AZ8" s="44" t="n">
        <f aca="false">1-AM8/M8</f>
        <v>0.317889431005812</v>
      </c>
      <c r="BA8" s="44" t="n">
        <f aca="false">1-AN8/N8</f>
        <v>0.290032146270517</v>
      </c>
      <c r="BB8" s="44" t="n">
        <f aca="false">1-AO8/O8</f>
        <v>0.356062476602766</v>
      </c>
      <c r="BC8" s="44" t="n">
        <f aca="false">1-AP8/P8</f>
        <v>0.432859183879111</v>
      </c>
      <c r="BD8" s="44" t="n">
        <f aca="false">1-AQ8/Q8</f>
        <v>0.421755919852581</v>
      </c>
      <c r="BE8" s="44" t="n">
        <f aca="false">1-AR8/R8</f>
        <v>0.454486900231193</v>
      </c>
      <c r="BF8" s="44" t="n">
        <f aca="false">1-AS8/S8</f>
        <v>0.807316717325228</v>
      </c>
      <c r="BG8" s="44" t="n">
        <f aca="false">1-AT8/T8</f>
        <v>0.49057021089201</v>
      </c>
    </row>
    <row r="9" customFormat="false" ht="15" hidden="false" customHeight="false" outlineLevel="0" collapsed="false">
      <c r="A9" s="10" t="s">
        <v>261</v>
      </c>
      <c r="B9" s="10" t="s">
        <v>265</v>
      </c>
      <c r="C9" s="58" t="n">
        <v>23860000</v>
      </c>
      <c r="D9" s="58" t="n">
        <v>23889999</v>
      </c>
      <c r="E9" s="10" t="s">
        <v>24</v>
      </c>
      <c r="F9" s="10" t="s">
        <v>266</v>
      </c>
      <c r="G9" s="10" t="n">
        <f aca="false">COUNTIFS(Pedidos!$C$2:$C$2224,"&gt;="&amp;C9,Pedidos!$C$2:$C$2224,"&lt;="&amp;D9)</f>
        <v>6</v>
      </c>
      <c r="H9" s="40" t="n">
        <v>77.35</v>
      </c>
      <c r="I9" s="40" t="n">
        <v>108.83</v>
      </c>
      <c r="J9" s="40" t="n">
        <v>124.38</v>
      </c>
      <c r="K9" s="40" t="n">
        <v>124.38</v>
      </c>
      <c r="L9" s="40" t="n">
        <v>142.32</v>
      </c>
      <c r="M9" s="40" t="n">
        <v>166.05</v>
      </c>
      <c r="N9" s="40" t="n">
        <v>157.88</v>
      </c>
      <c r="O9" s="40" t="n">
        <v>197.35</v>
      </c>
      <c r="P9" s="40" t="n">
        <v>236.82</v>
      </c>
      <c r="Q9" s="40" t="n">
        <v>264.84</v>
      </c>
      <c r="R9" s="40" t="n">
        <v>300.15</v>
      </c>
      <c r="S9" s="40" t="n">
        <v>353.12</v>
      </c>
      <c r="T9" s="40" t="n">
        <v>441.4</v>
      </c>
      <c r="U9" s="40" t="n">
        <v>46.95</v>
      </c>
      <c r="V9" s="40" t="n">
        <v>65.63</v>
      </c>
      <c r="W9" s="40" t="n">
        <v>74.97</v>
      </c>
      <c r="X9" s="40" t="n">
        <v>77.7</v>
      </c>
      <c r="Y9" s="40" t="n">
        <v>83.58</v>
      </c>
      <c r="Z9" s="40" t="n">
        <v>90.2</v>
      </c>
      <c r="AA9" s="40" t="n">
        <v>96.77</v>
      </c>
      <c r="AB9" s="40" t="n">
        <v>109.63</v>
      </c>
      <c r="AC9" s="40" t="n">
        <v>119.5</v>
      </c>
      <c r="AD9" s="40" t="n">
        <v>144.24</v>
      </c>
      <c r="AE9" s="40" t="n">
        <v>155.09</v>
      </c>
      <c r="AF9" s="40" t="n">
        <v>66.69</v>
      </c>
      <c r="AG9" s="40" t="n">
        <v>214.88</v>
      </c>
      <c r="AH9" s="13" t="n">
        <f aca="false">(U9+AH$4*(Resumo!$C$6+Resumo!$C$7+Resumo!$C$8)+Resumo!$C$10*CEILING(AH$3/100,1)+Resumo!$C$9+Resumo!$C$13+Resumo!$C$14*CEILING(AH$3,1))*(1+Resumo!$C$11)-(AH$4*(Resumo!$B$6+Resumo!$B$7)+Resumo!$B$9+Resumo!$B$10*CEILING(AH$3/100,1)+(Resumo!$B$12+Resumo!$B$14)*CEILING(AH$3,1))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" s="13" t="n">
        <f aca="false">(V9+AI$4*(Resumo!$C$6+Resumo!$C$7+Resumo!$C$8)+Resumo!$C$10*CEILING(AI$3/100,1)+Resumo!$C$9+Resumo!$C$13+Resumo!$C$14*CEILING(AI$3,1))*(1+Resumo!$C$11)-(AI$4*(Resumo!$B$6+Resumo!$B$7)+Resumo!$B$9+Resumo!$B$10*CEILING(AI$3/100,1)+(Resumo!$B$12+Resumo!$B$14)*CEILING(AI$3,1))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" s="13" t="n">
        <f aca="false">(W9+AJ$4*(Resumo!$C$6+Resumo!$C$7+Resumo!$C$8)+Resumo!$C$10*CEILING(AJ$3/100,1)+Resumo!$C$9+Resumo!$C$13+Resumo!$C$14*CEILING(AJ$3,1))*(1+Resumo!$C$11)-(AJ$4*(Resumo!$B$6+Resumo!$B$7)+Resumo!$B$9+Resumo!$B$10*CEILING(AJ$3/100,1)+(Resumo!$B$12+Resumo!$B$14)*CEILING(AJ$3,1))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" s="13" t="n">
        <f aca="false">(X9+AK$4*(Resumo!$C$6+Resumo!$C$7+Resumo!$C$8)+Resumo!$C$10*CEILING(AK$3/100,1)+Resumo!$C$9+Resumo!$C$13+Resumo!$C$14*CEILING(AK$3,1))*(1+Resumo!$C$11)-(AK$4*(Resumo!$B$6+Resumo!$B$7)+Resumo!$B$9+Resumo!$B$10*CEILING(AK$3/100,1)+(Resumo!$B$12+Resumo!$B$14)*CEILING(AK$3,1))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" s="13" t="n">
        <f aca="false">(Y9+AL$4*(Resumo!$C$6+Resumo!$C$7+Resumo!$C$8)+Resumo!$C$10*CEILING(AL$3/100,1)+Resumo!$C$9+Resumo!$C$13+Resumo!$C$14*CEILING(AL$3,1))*(1+Resumo!$C$11)-(AL$4*(Resumo!$B$6+Resumo!$B$7)+Resumo!$B$9+Resumo!$B$10*CEILING(AL$3/100,1)+(Resumo!$B$12+Resumo!$B$14)*CEILING(AL$3,1))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" s="13" t="n">
        <f aca="false">(Z9+AM$4*(Resumo!$C$6+Resumo!$C$7+Resumo!$C$8)+Resumo!$C$10*CEILING(AM$3/100,1)+Resumo!$C$9+Resumo!$C$13+Resumo!$C$14*CEILING(AM$3,1))*(1+Resumo!$C$11)-(AM$4*(Resumo!$B$6+Resumo!$B$7)+Resumo!$B$9+Resumo!$B$10*CEILING(AM$3/100,1)+(Resumo!$B$12+Resumo!$B$14)*CEILING(AM$3,1))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" s="13" t="n">
        <f aca="false">(AA9+AN$4*(Resumo!$C$6+Resumo!$C$7+Resumo!$C$8)+Resumo!$C$10*CEILING(AN$3/100,1)+Resumo!$C$9+Resumo!$C$13+Resumo!$C$14*CEILING(AN$3,1))*(1+Resumo!$C$11)-(AN$4*(Resumo!$B$6+Resumo!$B$7)+Resumo!$B$9+Resumo!$B$10*CEILING(AN$3/100,1)+(Resumo!$B$12+Resumo!$B$14)*CEILING(AN$3,1))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" s="13" t="n">
        <f aca="false">(AB9+AO$4*(Resumo!$C$6+Resumo!$C$7+Resumo!$C$8)+Resumo!$C$10*CEILING(AO$3/100,1)+Resumo!$C$9+Resumo!$C$13+Resumo!$C$14*CEILING(AO$3,1))*(1+Resumo!$C$11)-(AO$4*(Resumo!$B$6+Resumo!$B$7)+Resumo!$B$9+Resumo!$B$10*CEILING(AO$3/100,1)+(Resumo!$B$12+Resumo!$B$14)*CEILING(AO$3,1))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" s="13" t="n">
        <f aca="false">(AC9+AP$4*(Resumo!$C$6+Resumo!$C$7+Resumo!$C$8)+Resumo!$C$10*CEILING(AP$3/100,1)+Resumo!$C$9+Resumo!$C$13+Resumo!$C$14*CEILING(AP$3,1))*(1+Resumo!$C$11)-(AP$4*(Resumo!$B$6+Resumo!$B$7)+Resumo!$B$9+Resumo!$B$10*CEILING(AP$3/100,1)+(Resumo!$B$12+Resumo!$B$14)*CEILING(AP$3,1))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" s="13" t="n">
        <f aca="false">(AD9+AQ$4*(Resumo!$C$6+Resumo!$C$7+Resumo!$C$8)+Resumo!$C$10*CEILING(AQ$3/100,1)+Resumo!$C$9+Resumo!$C$13+Resumo!$C$14*CEILING(AQ$3,1))*(1+Resumo!$C$11)-(AQ$4*(Resumo!$B$6+Resumo!$B$7)+Resumo!$B$9+Resumo!$B$10*CEILING(AQ$3/100,1)+(Resumo!$B$12+Resumo!$B$14)*CEILING(AQ$3,1))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" s="13" t="n">
        <f aca="false">(AE9+AR$4*(Resumo!$C$6+Resumo!$C$7+Resumo!$C$8)+Resumo!$C$10*CEILING(AR$3/100,1)+Resumo!$C$9+Resumo!$C$13+Resumo!$C$14*CEILING(AR$3,1))*(1+Resumo!$C$11)-(AR$4*(Resumo!$B$6+Resumo!$B$7)+Resumo!$B$9+Resumo!$B$10*CEILING(AR$3/100,1)+(Resumo!$B$12+Resumo!$B$14)*CEILING(AR$3,1))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" s="13" t="n">
        <f aca="false">(AF9+AS$4*(Resumo!$C$6+Resumo!$C$7+Resumo!$C$8)+Resumo!$C$10*CEILING(AS$3/100,1)+Resumo!$C$9+Resumo!$C$13+Resumo!$C$14*CEILING(AS$3,1))*(1+Resumo!$C$11)-(AS$4*(Resumo!$B$6+Resumo!$B$7)+Resumo!$B$9+Resumo!$B$10*CEILING(AS$3/100,1)+(Resumo!$B$12+Resumo!$B$14)*CEILING(AS$3,1))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" s="13" t="n">
        <f aca="false">(AG9+AT$4*(Resumo!$C$6+Resumo!$C$7+Resumo!$C$8)+Resumo!$C$10*CEILING(AT$3/100,1)+Resumo!$C$9+Resumo!$C$13+Resumo!$C$14*CEILING(AT$3,1))*(1+Resumo!$C$11)-(AT$4*(Resumo!$B$6+Resumo!$B$7)+Resumo!$B$9+Resumo!$B$10*CEILING(AT$3/100,1)+(Resumo!$B$12+Resumo!$B$14)*CEILING(AT$3,1))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" s="44" t="n">
        <f aca="false">1-AH9/H9</f>
        <v>0.284448775984873</v>
      </c>
      <c r="AV9" s="44" t="n">
        <f aca="false">1-AI9/I9</f>
        <v>0.324530396086195</v>
      </c>
      <c r="AW9" s="44" t="n">
        <f aca="false">1-AJ9/J9</f>
        <v>0.337931079721616</v>
      </c>
      <c r="AX9" s="44" t="n">
        <f aca="false">1-AK9/K9</f>
        <v>0.318510239438779</v>
      </c>
      <c r="AY9" s="44" t="n">
        <f aca="false">1-AL9/L9</f>
        <v>0.365701375691832</v>
      </c>
      <c r="AZ9" s="44" t="n">
        <f aca="false">1-AM9/M9</f>
        <v>0.420709229511831</v>
      </c>
      <c r="BA9" s="44" t="n">
        <f aca="false">1-AN9/N9</f>
        <v>0.350695095008868</v>
      </c>
      <c r="BB9" s="44" t="n">
        <f aca="false">1-AO9/O9</f>
        <v>0.419232633445788</v>
      </c>
      <c r="BC9" s="44" t="n">
        <f aca="false">1-AP9/P9</f>
        <v>0.493280443868681</v>
      </c>
      <c r="BD9" s="44" t="n">
        <f aca="false">1-AQ9/Q9</f>
        <v>0.455794679894486</v>
      </c>
      <c r="BE9" s="44" t="n">
        <f aca="false">1-AR9/R9</f>
        <v>0.489018797268033</v>
      </c>
      <c r="BF9" s="44" t="n">
        <f aca="false">1-AS9/S9</f>
        <v>0.820478024467603</v>
      </c>
      <c r="BG9" s="44" t="n">
        <f aca="false">1-AT9/T9</f>
        <v>0.528263860444042</v>
      </c>
    </row>
    <row r="10" customFormat="false" ht="15" hidden="false" customHeight="false" outlineLevel="0" collapsed="false">
      <c r="A10" s="10" t="s">
        <v>261</v>
      </c>
      <c r="B10" s="10" t="s">
        <v>267</v>
      </c>
      <c r="C10" s="58" t="n">
        <v>23890000</v>
      </c>
      <c r="D10" s="58" t="n">
        <v>23899999</v>
      </c>
      <c r="E10" s="10" t="s">
        <v>24</v>
      </c>
      <c r="F10" s="10" t="s">
        <v>264</v>
      </c>
      <c r="G10" s="10" t="n">
        <f aca="false">COUNTIFS(Pedidos!$C$2:$C$2224,"&gt;="&amp;C10,Pedidos!$C$2:$C$2224,"&lt;="&amp;D10)</f>
        <v>13</v>
      </c>
      <c r="H10" s="40" t="n">
        <v>56.98</v>
      </c>
      <c r="I10" s="40" t="n">
        <v>92.21</v>
      </c>
      <c r="J10" s="40" t="n">
        <v>103.97</v>
      </c>
      <c r="K10" s="40" t="n">
        <v>103.97</v>
      </c>
      <c r="L10" s="40" t="n">
        <v>122.3</v>
      </c>
      <c r="M10" s="40" t="n">
        <v>141.02</v>
      </c>
      <c r="N10" s="40" t="n">
        <v>144.39</v>
      </c>
      <c r="O10" s="40" t="n">
        <v>177.99</v>
      </c>
      <c r="P10" s="40" t="n">
        <v>211.59</v>
      </c>
      <c r="Q10" s="40" t="n">
        <v>249.25</v>
      </c>
      <c r="R10" s="40" t="n">
        <v>281.15</v>
      </c>
      <c r="S10" s="40" t="n">
        <v>329</v>
      </c>
      <c r="T10" s="40" t="n">
        <v>408.74</v>
      </c>
      <c r="U10" s="40" t="n">
        <v>46.95</v>
      </c>
      <c r="V10" s="40" t="n">
        <v>65.63</v>
      </c>
      <c r="W10" s="40" t="n">
        <v>74.97</v>
      </c>
      <c r="X10" s="40" t="n">
        <v>77.7</v>
      </c>
      <c r="Y10" s="40" t="n">
        <v>83.58</v>
      </c>
      <c r="Z10" s="40" t="n">
        <v>90.2</v>
      </c>
      <c r="AA10" s="40" t="n">
        <v>96.77</v>
      </c>
      <c r="AB10" s="40" t="n">
        <v>109.63</v>
      </c>
      <c r="AC10" s="40" t="n">
        <v>119.5</v>
      </c>
      <c r="AD10" s="40" t="n">
        <v>144.24</v>
      </c>
      <c r="AE10" s="40" t="n">
        <v>155.09</v>
      </c>
      <c r="AF10" s="40" t="n">
        <v>66.69</v>
      </c>
      <c r="AG10" s="40" t="n">
        <v>214.88</v>
      </c>
      <c r="AH10" s="13" t="n">
        <f aca="false">(U10+AH$4*(Resumo!$C$6+Resumo!$C$7+Resumo!$C$8)+Resumo!$C$10*CEILING(AH$3/100,1)+Resumo!$C$9+Resumo!$C$13+Resumo!$C$14*CEILING(AH$3,1))*(1+Resumo!$C$11)-(AH$4*(Resumo!$B$6+Resumo!$B$7)+Resumo!$B$9+Resumo!$B$10*CEILING(AH$3/100,1)+(Resumo!$B$12+Resumo!$B$14)*CEILING(AH$3,1))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10" s="13" t="n">
        <f aca="false">(V10+AI$4*(Resumo!$C$6+Resumo!$C$7+Resumo!$C$8)+Resumo!$C$10*CEILING(AI$3/100,1)+Resumo!$C$9+Resumo!$C$13+Resumo!$C$14*CEILING(AI$3,1))*(1+Resumo!$C$11)-(AI$4*(Resumo!$B$6+Resumo!$B$7)+Resumo!$B$9+Resumo!$B$10*CEILING(AI$3/100,1)+(Resumo!$B$12+Resumo!$B$14)*CEILING(AI$3,1))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10" s="13" t="n">
        <f aca="false">(W10+AJ$4*(Resumo!$C$6+Resumo!$C$7+Resumo!$C$8)+Resumo!$C$10*CEILING(AJ$3/100,1)+Resumo!$C$9+Resumo!$C$13+Resumo!$C$14*CEILING(AJ$3,1))*(1+Resumo!$C$11)-(AJ$4*(Resumo!$B$6+Resumo!$B$7)+Resumo!$B$9+Resumo!$B$10*CEILING(AJ$3/100,1)+(Resumo!$B$12+Resumo!$B$14)*CEILING(AJ$3,1))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10" s="13" t="n">
        <f aca="false">(X10+AK$4*(Resumo!$C$6+Resumo!$C$7+Resumo!$C$8)+Resumo!$C$10*CEILING(AK$3/100,1)+Resumo!$C$9+Resumo!$C$13+Resumo!$C$14*CEILING(AK$3,1))*(1+Resumo!$C$11)-(AK$4*(Resumo!$B$6+Resumo!$B$7)+Resumo!$B$9+Resumo!$B$10*CEILING(AK$3/100,1)+(Resumo!$B$12+Resumo!$B$14)*CEILING(AK$3,1))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10" s="13" t="n">
        <f aca="false">(Y10+AL$4*(Resumo!$C$6+Resumo!$C$7+Resumo!$C$8)+Resumo!$C$10*CEILING(AL$3/100,1)+Resumo!$C$9+Resumo!$C$13+Resumo!$C$14*CEILING(AL$3,1))*(1+Resumo!$C$11)-(AL$4*(Resumo!$B$6+Resumo!$B$7)+Resumo!$B$9+Resumo!$B$10*CEILING(AL$3/100,1)+(Resumo!$B$12+Resumo!$B$14)*CEILING(AL$3,1))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10" s="13" t="n">
        <f aca="false">(Z10+AM$4*(Resumo!$C$6+Resumo!$C$7+Resumo!$C$8)+Resumo!$C$10*CEILING(AM$3/100,1)+Resumo!$C$9+Resumo!$C$13+Resumo!$C$14*CEILING(AM$3,1))*(1+Resumo!$C$11)-(AM$4*(Resumo!$B$6+Resumo!$B$7)+Resumo!$B$9+Resumo!$B$10*CEILING(AM$3/100,1)+(Resumo!$B$12+Resumo!$B$14)*CEILING(AM$3,1))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10" s="13" t="n">
        <f aca="false">(AA10+AN$4*(Resumo!$C$6+Resumo!$C$7+Resumo!$C$8)+Resumo!$C$10*CEILING(AN$3/100,1)+Resumo!$C$9+Resumo!$C$13+Resumo!$C$14*CEILING(AN$3,1))*(1+Resumo!$C$11)-(AN$4*(Resumo!$B$6+Resumo!$B$7)+Resumo!$B$9+Resumo!$B$10*CEILING(AN$3/100,1)+(Resumo!$B$12+Resumo!$B$14)*CEILING(AN$3,1))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10" s="13" t="n">
        <f aca="false">(AB10+AO$4*(Resumo!$C$6+Resumo!$C$7+Resumo!$C$8)+Resumo!$C$10*CEILING(AO$3/100,1)+Resumo!$C$9+Resumo!$C$13+Resumo!$C$14*CEILING(AO$3,1))*(1+Resumo!$C$11)-(AO$4*(Resumo!$B$6+Resumo!$B$7)+Resumo!$B$9+Resumo!$B$10*CEILING(AO$3/100,1)+(Resumo!$B$12+Resumo!$B$14)*CEILING(AO$3,1))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10" s="13" t="n">
        <f aca="false">(AC10+AP$4*(Resumo!$C$6+Resumo!$C$7+Resumo!$C$8)+Resumo!$C$10*CEILING(AP$3/100,1)+Resumo!$C$9+Resumo!$C$13+Resumo!$C$14*CEILING(AP$3,1))*(1+Resumo!$C$11)-(AP$4*(Resumo!$B$6+Resumo!$B$7)+Resumo!$B$9+Resumo!$B$10*CEILING(AP$3/100,1)+(Resumo!$B$12+Resumo!$B$14)*CEILING(AP$3,1))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10" s="13" t="n">
        <f aca="false">(AD10+AQ$4*(Resumo!$C$6+Resumo!$C$7+Resumo!$C$8)+Resumo!$C$10*CEILING(AQ$3/100,1)+Resumo!$C$9+Resumo!$C$13+Resumo!$C$14*CEILING(AQ$3,1))*(1+Resumo!$C$11)-(AQ$4*(Resumo!$B$6+Resumo!$B$7)+Resumo!$B$9+Resumo!$B$10*CEILING(AQ$3/100,1)+(Resumo!$B$12+Resumo!$B$14)*CEILING(AQ$3,1))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10" s="13" t="n">
        <f aca="false">(AE10+AR$4*(Resumo!$C$6+Resumo!$C$7+Resumo!$C$8)+Resumo!$C$10*CEILING(AR$3/100,1)+Resumo!$C$9+Resumo!$C$13+Resumo!$C$14*CEILING(AR$3,1))*(1+Resumo!$C$11)-(AR$4*(Resumo!$B$6+Resumo!$B$7)+Resumo!$B$9+Resumo!$B$10*CEILING(AR$3/100,1)+(Resumo!$B$12+Resumo!$B$14)*CEILING(AR$3,1))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10" s="13" t="n">
        <f aca="false">(AF10+AS$4*(Resumo!$C$6+Resumo!$C$7+Resumo!$C$8)+Resumo!$C$10*CEILING(AS$3/100,1)+Resumo!$C$9+Resumo!$C$13+Resumo!$C$14*CEILING(AS$3,1))*(1+Resumo!$C$11)-(AS$4*(Resumo!$B$6+Resumo!$B$7)+Resumo!$B$9+Resumo!$B$10*CEILING(AS$3/100,1)+(Resumo!$B$12+Resumo!$B$14)*CEILING(AS$3,1))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10" s="13" t="n">
        <f aca="false">(AG10+AT$4*(Resumo!$C$6+Resumo!$C$7+Resumo!$C$8)+Resumo!$C$10*CEILING(AT$3/100,1)+Resumo!$C$9+Resumo!$C$13+Resumo!$C$14*CEILING(AT$3,1))*(1+Resumo!$C$11)-(AT$4*(Resumo!$B$6+Resumo!$B$7)+Resumo!$B$9+Resumo!$B$10*CEILING(AT$3/100,1)+(Resumo!$B$12+Resumo!$B$14)*CEILING(AT$3,1))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10" s="44" t="n">
        <f aca="false">1-AH10/H10</f>
        <v>0.0286436086772536</v>
      </c>
      <c r="AV10" s="44" t="n">
        <f aca="false">1-AI10/I10</f>
        <v>0.202783244833105</v>
      </c>
      <c r="AW10" s="44" t="n">
        <f aca="false">1-AJ10/J10</f>
        <v>0.207962563198756</v>
      </c>
      <c r="AX10" s="44" t="n">
        <f aca="false">1-AK10/K10</f>
        <v>0.184729283268206</v>
      </c>
      <c r="AY10" s="44" t="n">
        <f aca="false">1-AL10/L10</f>
        <v>0.261869335964526</v>
      </c>
      <c r="AZ10" s="44" t="n">
        <f aca="false">1-AM10/M10</f>
        <v>0.317889431005812</v>
      </c>
      <c r="BA10" s="44" t="n">
        <f aca="false">1-AN10/N10</f>
        <v>0.290032146270517</v>
      </c>
      <c r="BB10" s="44" t="n">
        <f aca="false">1-AO10/O10</f>
        <v>0.356062476602766</v>
      </c>
      <c r="BC10" s="44" t="n">
        <f aca="false">1-AP10/P10</f>
        <v>0.432859183879111</v>
      </c>
      <c r="BD10" s="44" t="n">
        <f aca="false">1-AQ10/Q10</f>
        <v>0.421755919852581</v>
      </c>
      <c r="BE10" s="44" t="n">
        <f aca="false">1-AR10/R10</f>
        <v>0.454486900231193</v>
      </c>
      <c r="BF10" s="44" t="n">
        <f aca="false">1-AS10/S10</f>
        <v>0.807316717325228</v>
      </c>
      <c r="BG10" s="44" t="n">
        <f aca="false">1-AT10/T10</f>
        <v>0.49057021089201</v>
      </c>
    </row>
    <row r="11" customFormat="false" ht="15" hidden="false" customHeight="false" outlineLevel="0" collapsed="false">
      <c r="A11" s="10" t="s">
        <v>261</v>
      </c>
      <c r="B11" s="10" t="s">
        <v>218</v>
      </c>
      <c r="C11" s="58" t="n">
        <v>23900000</v>
      </c>
      <c r="D11" s="58" t="n">
        <v>23969999</v>
      </c>
      <c r="E11" s="10" t="s">
        <v>24</v>
      </c>
      <c r="F11" s="10" t="s">
        <v>266</v>
      </c>
      <c r="G11" s="10" t="n">
        <f aca="false">COUNTIFS(Pedidos!$C$2:$C$2224,"&gt;="&amp;C11,Pedidos!$C$2:$C$2224,"&lt;="&amp;D11)</f>
        <v>35</v>
      </c>
      <c r="H11" s="40" t="n">
        <v>77.35</v>
      </c>
      <c r="I11" s="40" t="n">
        <v>108.83</v>
      </c>
      <c r="J11" s="40" t="n">
        <v>124.38</v>
      </c>
      <c r="K11" s="40" t="n">
        <v>124.38</v>
      </c>
      <c r="L11" s="40" t="n">
        <v>142.32</v>
      </c>
      <c r="M11" s="40" t="n">
        <v>166.05</v>
      </c>
      <c r="N11" s="40" t="n">
        <v>157.88</v>
      </c>
      <c r="O11" s="40" t="n">
        <v>197.35</v>
      </c>
      <c r="P11" s="40" t="n">
        <v>236.82</v>
      </c>
      <c r="Q11" s="40" t="n">
        <v>264.84</v>
      </c>
      <c r="R11" s="40" t="n">
        <v>300.15</v>
      </c>
      <c r="S11" s="40" t="n">
        <v>353.12</v>
      </c>
      <c r="T11" s="40" t="n">
        <v>441.4</v>
      </c>
      <c r="U11" s="40" t="n">
        <v>46.95</v>
      </c>
      <c r="V11" s="40" t="n">
        <v>65.63</v>
      </c>
      <c r="W11" s="40" t="n">
        <v>74.97</v>
      </c>
      <c r="X11" s="40" t="n">
        <v>77.7</v>
      </c>
      <c r="Y11" s="40" t="n">
        <v>83.58</v>
      </c>
      <c r="Z11" s="40" t="n">
        <v>90.2</v>
      </c>
      <c r="AA11" s="40" t="n">
        <v>96.77</v>
      </c>
      <c r="AB11" s="40" t="n">
        <v>109.63</v>
      </c>
      <c r="AC11" s="40" t="n">
        <v>119.5</v>
      </c>
      <c r="AD11" s="40" t="n">
        <v>144.24</v>
      </c>
      <c r="AE11" s="40" t="n">
        <v>155.09</v>
      </c>
      <c r="AF11" s="40" t="n">
        <v>66.69</v>
      </c>
      <c r="AG11" s="40" t="n">
        <v>214.88</v>
      </c>
      <c r="AH11" s="13" t="n">
        <f aca="false">(U11+AH$4*(Resumo!$C$6+Resumo!$C$7+Resumo!$C$8)+Resumo!$C$10*CEILING(AH$3/100,1)+Resumo!$C$9+Resumo!$C$13+Resumo!$C$14*CEILING(AH$3,1))*(1+Resumo!$C$11)-(AH$4*(Resumo!$B$6+Resumo!$B$7)+Resumo!$B$9+Resumo!$B$10*CEILING(AH$3/100,1)+(Resumo!$B$12+Resumo!$B$14)*CEILING(AH$3,1))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11" s="13" t="n">
        <f aca="false">(V11+AI$4*(Resumo!$C$6+Resumo!$C$7+Resumo!$C$8)+Resumo!$C$10*CEILING(AI$3/100,1)+Resumo!$C$9+Resumo!$C$13+Resumo!$C$14*CEILING(AI$3,1))*(1+Resumo!$C$11)-(AI$4*(Resumo!$B$6+Resumo!$B$7)+Resumo!$B$9+Resumo!$B$10*CEILING(AI$3/100,1)+(Resumo!$B$12+Resumo!$B$14)*CEILING(AI$3,1))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11" s="13" t="n">
        <f aca="false">(W11+AJ$4*(Resumo!$C$6+Resumo!$C$7+Resumo!$C$8)+Resumo!$C$10*CEILING(AJ$3/100,1)+Resumo!$C$9+Resumo!$C$13+Resumo!$C$14*CEILING(AJ$3,1))*(1+Resumo!$C$11)-(AJ$4*(Resumo!$B$6+Resumo!$B$7)+Resumo!$B$9+Resumo!$B$10*CEILING(AJ$3/100,1)+(Resumo!$B$12+Resumo!$B$14)*CEILING(AJ$3,1))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11" s="13" t="n">
        <f aca="false">(X11+AK$4*(Resumo!$C$6+Resumo!$C$7+Resumo!$C$8)+Resumo!$C$10*CEILING(AK$3/100,1)+Resumo!$C$9+Resumo!$C$13+Resumo!$C$14*CEILING(AK$3,1))*(1+Resumo!$C$11)-(AK$4*(Resumo!$B$6+Resumo!$B$7)+Resumo!$B$9+Resumo!$B$10*CEILING(AK$3/100,1)+(Resumo!$B$12+Resumo!$B$14)*CEILING(AK$3,1))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11" s="13" t="n">
        <f aca="false">(Y11+AL$4*(Resumo!$C$6+Resumo!$C$7+Resumo!$C$8)+Resumo!$C$10*CEILING(AL$3/100,1)+Resumo!$C$9+Resumo!$C$13+Resumo!$C$14*CEILING(AL$3,1))*(1+Resumo!$C$11)-(AL$4*(Resumo!$B$6+Resumo!$B$7)+Resumo!$B$9+Resumo!$B$10*CEILING(AL$3/100,1)+(Resumo!$B$12+Resumo!$B$14)*CEILING(AL$3,1))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11" s="13" t="n">
        <f aca="false">(Z11+AM$4*(Resumo!$C$6+Resumo!$C$7+Resumo!$C$8)+Resumo!$C$10*CEILING(AM$3/100,1)+Resumo!$C$9+Resumo!$C$13+Resumo!$C$14*CEILING(AM$3,1))*(1+Resumo!$C$11)-(AM$4*(Resumo!$B$6+Resumo!$B$7)+Resumo!$B$9+Resumo!$B$10*CEILING(AM$3/100,1)+(Resumo!$B$12+Resumo!$B$14)*CEILING(AM$3,1))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11" s="13" t="n">
        <f aca="false">(AA11+AN$4*(Resumo!$C$6+Resumo!$C$7+Resumo!$C$8)+Resumo!$C$10*CEILING(AN$3/100,1)+Resumo!$C$9+Resumo!$C$13+Resumo!$C$14*CEILING(AN$3,1))*(1+Resumo!$C$11)-(AN$4*(Resumo!$B$6+Resumo!$B$7)+Resumo!$B$9+Resumo!$B$10*CEILING(AN$3/100,1)+(Resumo!$B$12+Resumo!$B$14)*CEILING(AN$3,1))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11" s="13" t="n">
        <f aca="false">(AB11+AO$4*(Resumo!$C$6+Resumo!$C$7+Resumo!$C$8)+Resumo!$C$10*CEILING(AO$3/100,1)+Resumo!$C$9+Resumo!$C$13+Resumo!$C$14*CEILING(AO$3,1))*(1+Resumo!$C$11)-(AO$4*(Resumo!$B$6+Resumo!$B$7)+Resumo!$B$9+Resumo!$B$10*CEILING(AO$3/100,1)+(Resumo!$B$12+Resumo!$B$14)*CEILING(AO$3,1))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11" s="13" t="n">
        <f aca="false">(AC11+AP$4*(Resumo!$C$6+Resumo!$C$7+Resumo!$C$8)+Resumo!$C$10*CEILING(AP$3/100,1)+Resumo!$C$9+Resumo!$C$13+Resumo!$C$14*CEILING(AP$3,1))*(1+Resumo!$C$11)-(AP$4*(Resumo!$B$6+Resumo!$B$7)+Resumo!$B$9+Resumo!$B$10*CEILING(AP$3/100,1)+(Resumo!$B$12+Resumo!$B$14)*CEILING(AP$3,1))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11" s="13" t="n">
        <f aca="false">(AD11+AQ$4*(Resumo!$C$6+Resumo!$C$7+Resumo!$C$8)+Resumo!$C$10*CEILING(AQ$3/100,1)+Resumo!$C$9+Resumo!$C$13+Resumo!$C$14*CEILING(AQ$3,1))*(1+Resumo!$C$11)-(AQ$4*(Resumo!$B$6+Resumo!$B$7)+Resumo!$B$9+Resumo!$B$10*CEILING(AQ$3/100,1)+(Resumo!$B$12+Resumo!$B$14)*CEILING(AQ$3,1))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11" s="13" t="n">
        <f aca="false">(AE11+AR$4*(Resumo!$C$6+Resumo!$C$7+Resumo!$C$8)+Resumo!$C$10*CEILING(AR$3/100,1)+Resumo!$C$9+Resumo!$C$13+Resumo!$C$14*CEILING(AR$3,1))*(1+Resumo!$C$11)-(AR$4*(Resumo!$B$6+Resumo!$B$7)+Resumo!$B$9+Resumo!$B$10*CEILING(AR$3/100,1)+(Resumo!$B$12+Resumo!$B$14)*CEILING(AR$3,1))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11" s="13" t="n">
        <f aca="false">(AF11+AS$4*(Resumo!$C$6+Resumo!$C$7+Resumo!$C$8)+Resumo!$C$10*CEILING(AS$3/100,1)+Resumo!$C$9+Resumo!$C$13+Resumo!$C$14*CEILING(AS$3,1))*(1+Resumo!$C$11)-(AS$4*(Resumo!$B$6+Resumo!$B$7)+Resumo!$B$9+Resumo!$B$10*CEILING(AS$3/100,1)+(Resumo!$B$12+Resumo!$B$14)*CEILING(AS$3,1))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11" s="13" t="n">
        <f aca="false">(AG11+AT$4*(Resumo!$C$6+Resumo!$C$7+Resumo!$C$8)+Resumo!$C$10*CEILING(AT$3/100,1)+Resumo!$C$9+Resumo!$C$13+Resumo!$C$14*CEILING(AT$3,1))*(1+Resumo!$C$11)-(AT$4*(Resumo!$B$6+Resumo!$B$7)+Resumo!$B$9+Resumo!$B$10*CEILING(AT$3/100,1)+(Resumo!$B$12+Resumo!$B$14)*CEILING(AT$3,1))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11" s="44" t="n">
        <f aca="false">1-AH11/H11</f>
        <v>0.284448775984873</v>
      </c>
      <c r="AV11" s="44" t="n">
        <f aca="false">1-AI11/I11</f>
        <v>0.324530396086195</v>
      </c>
      <c r="AW11" s="44" t="n">
        <f aca="false">1-AJ11/J11</f>
        <v>0.337931079721616</v>
      </c>
      <c r="AX11" s="44" t="n">
        <f aca="false">1-AK11/K11</f>
        <v>0.318510239438779</v>
      </c>
      <c r="AY11" s="44" t="n">
        <f aca="false">1-AL11/L11</f>
        <v>0.365701375691832</v>
      </c>
      <c r="AZ11" s="44" t="n">
        <f aca="false">1-AM11/M11</f>
        <v>0.420709229511831</v>
      </c>
      <c r="BA11" s="44" t="n">
        <f aca="false">1-AN11/N11</f>
        <v>0.350695095008868</v>
      </c>
      <c r="BB11" s="44" t="n">
        <f aca="false">1-AO11/O11</f>
        <v>0.419232633445788</v>
      </c>
      <c r="BC11" s="44" t="n">
        <f aca="false">1-AP11/P11</f>
        <v>0.493280443868681</v>
      </c>
      <c r="BD11" s="44" t="n">
        <f aca="false">1-AQ11/Q11</f>
        <v>0.455794679894486</v>
      </c>
      <c r="BE11" s="44" t="n">
        <f aca="false">1-AR11/R11</f>
        <v>0.489018797268033</v>
      </c>
      <c r="BF11" s="44" t="n">
        <f aca="false">1-AS11/S11</f>
        <v>0.820478024467603</v>
      </c>
      <c r="BG11" s="44" t="n">
        <f aca="false">1-AT11/T11</f>
        <v>0.528263860444042</v>
      </c>
    </row>
    <row r="12" customFormat="false" ht="15" hidden="false" customHeight="false" outlineLevel="0" collapsed="false">
      <c r="A12" s="10" t="s">
        <v>261</v>
      </c>
      <c r="B12" s="10" t="s">
        <v>268</v>
      </c>
      <c r="C12" s="58" t="n">
        <v>23970000</v>
      </c>
      <c r="D12" s="58" t="n">
        <v>23999999</v>
      </c>
      <c r="E12" s="10" t="s">
        <v>24</v>
      </c>
      <c r="F12" s="10" t="s">
        <v>266</v>
      </c>
      <c r="G12" s="10" t="n">
        <f aca="false">COUNTIFS(Pedidos!$C$2:$C$2224,"&gt;="&amp;C12,Pedidos!$C$2:$C$2224,"&lt;="&amp;D12)</f>
        <v>5</v>
      </c>
      <c r="H12" s="40" t="n">
        <v>77.35</v>
      </c>
      <c r="I12" s="40" t="n">
        <v>108.83</v>
      </c>
      <c r="J12" s="40" t="n">
        <v>124.38</v>
      </c>
      <c r="K12" s="40" t="n">
        <v>124.38</v>
      </c>
      <c r="L12" s="40" t="n">
        <v>142.32</v>
      </c>
      <c r="M12" s="40" t="n">
        <v>166.05</v>
      </c>
      <c r="N12" s="40" t="n">
        <v>157.88</v>
      </c>
      <c r="O12" s="40" t="n">
        <v>197.35</v>
      </c>
      <c r="P12" s="40" t="n">
        <v>236.82</v>
      </c>
      <c r="Q12" s="40" t="n">
        <v>264.84</v>
      </c>
      <c r="R12" s="40" t="n">
        <v>300.15</v>
      </c>
      <c r="S12" s="40" t="n">
        <v>353.12</v>
      </c>
      <c r="T12" s="40" t="n">
        <v>441.4</v>
      </c>
      <c r="U12" s="40" t="n">
        <v>46.95</v>
      </c>
      <c r="V12" s="40" t="n">
        <v>65.63</v>
      </c>
      <c r="W12" s="40" t="n">
        <v>74.97</v>
      </c>
      <c r="X12" s="40" t="n">
        <v>77.7</v>
      </c>
      <c r="Y12" s="40" t="n">
        <v>83.58</v>
      </c>
      <c r="Z12" s="40" t="n">
        <v>90.2</v>
      </c>
      <c r="AA12" s="40" t="n">
        <v>96.77</v>
      </c>
      <c r="AB12" s="40" t="n">
        <v>109.63</v>
      </c>
      <c r="AC12" s="40" t="n">
        <v>119.5</v>
      </c>
      <c r="AD12" s="40" t="n">
        <v>144.24</v>
      </c>
      <c r="AE12" s="40" t="n">
        <v>155.09</v>
      </c>
      <c r="AF12" s="40" t="n">
        <v>66.69</v>
      </c>
      <c r="AG12" s="40" t="n">
        <v>214.88</v>
      </c>
      <c r="AH12" s="13" t="n">
        <f aca="false">(U12+AH$4*(Resumo!$C$6+Resumo!$C$7+Resumo!$C$8)+Resumo!$C$10*CEILING(AH$3/100,1)+Resumo!$C$9+Resumo!$C$13+Resumo!$C$14*CEILING(AH$3,1))*(1+Resumo!$C$11)-(AH$4*(Resumo!$B$6+Resumo!$B$7)+Resumo!$B$9+Resumo!$B$10*CEILING(AH$3/100,1)+(Resumo!$B$12+Resumo!$B$14)*CEILING(AH$3,1))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12" s="13" t="n">
        <f aca="false">(V12+AI$4*(Resumo!$C$6+Resumo!$C$7+Resumo!$C$8)+Resumo!$C$10*CEILING(AI$3/100,1)+Resumo!$C$9+Resumo!$C$13+Resumo!$C$14*CEILING(AI$3,1))*(1+Resumo!$C$11)-(AI$4*(Resumo!$B$6+Resumo!$B$7)+Resumo!$B$9+Resumo!$B$10*CEILING(AI$3/100,1)+(Resumo!$B$12+Resumo!$B$14)*CEILING(AI$3,1))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12" s="13" t="n">
        <f aca="false">(W12+AJ$4*(Resumo!$C$6+Resumo!$C$7+Resumo!$C$8)+Resumo!$C$10*CEILING(AJ$3/100,1)+Resumo!$C$9+Resumo!$C$13+Resumo!$C$14*CEILING(AJ$3,1))*(1+Resumo!$C$11)-(AJ$4*(Resumo!$B$6+Resumo!$B$7)+Resumo!$B$9+Resumo!$B$10*CEILING(AJ$3/100,1)+(Resumo!$B$12+Resumo!$B$14)*CEILING(AJ$3,1))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12" s="13" t="n">
        <f aca="false">(X12+AK$4*(Resumo!$C$6+Resumo!$C$7+Resumo!$C$8)+Resumo!$C$10*CEILING(AK$3/100,1)+Resumo!$C$9+Resumo!$C$13+Resumo!$C$14*CEILING(AK$3,1))*(1+Resumo!$C$11)-(AK$4*(Resumo!$B$6+Resumo!$B$7)+Resumo!$B$9+Resumo!$B$10*CEILING(AK$3/100,1)+(Resumo!$B$12+Resumo!$B$14)*CEILING(AK$3,1))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12" s="13" t="n">
        <f aca="false">(Y12+AL$4*(Resumo!$C$6+Resumo!$C$7+Resumo!$C$8)+Resumo!$C$10*CEILING(AL$3/100,1)+Resumo!$C$9+Resumo!$C$13+Resumo!$C$14*CEILING(AL$3,1))*(1+Resumo!$C$11)-(AL$4*(Resumo!$B$6+Resumo!$B$7)+Resumo!$B$9+Resumo!$B$10*CEILING(AL$3/100,1)+(Resumo!$B$12+Resumo!$B$14)*CEILING(AL$3,1))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12" s="13" t="n">
        <f aca="false">(Z12+AM$4*(Resumo!$C$6+Resumo!$C$7+Resumo!$C$8)+Resumo!$C$10*CEILING(AM$3/100,1)+Resumo!$C$9+Resumo!$C$13+Resumo!$C$14*CEILING(AM$3,1))*(1+Resumo!$C$11)-(AM$4*(Resumo!$B$6+Resumo!$B$7)+Resumo!$B$9+Resumo!$B$10*CEILING(AM$3/100,1)+(Resumo!$B$12+Resumo!$B$14)*CEILING(AM$3,1))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12" s="13" t="n">
        <f aca="false">(AA12+AN$4*(Resumo!$C$6+Resumo!$C$7+Resumo!$C$8)+Resumo!$C$10*CEILING(AN$3/100,1)+Resumo!$C$9+Resumo!$C$13+Resumo!$C$14*CEILING(AN$3,1))*(1+Resumo!$C$11)-(AN$4*(Resumo!$B$6+Resumo!$B$7)+Resumo!$B$9+Resumo!$B$10*CEILING(AN$3/100,1)+(Resumo!$B$12+Resumo!$B$14)*CEILING(AN$3,1))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12" s="13" t="n">
        <f aca="false">(AB12+AO$4*(Resumo!$C$6+Resumo!$C$7+Resumo!$C$8)+Resumo!$C$10*CEILING(AO$3/100,1)+Resumo!$C$9+Resumo!$C$13+Resumo!$C$14*CEILING(AO$3,1))*(1+Resumo!$C$11)-(AO$4*(Resumo!$B$6+Resumo!$B$7)+Resumo!$B$9+Resumo!$B$10*CEILING(AO$3/100,1)+(Resumo!$B$12+Resumo!$B$14)*CEILING(AO$3,1))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12" s="13" t="n">
        <f aca="false">(AC12+AP$4*(Resumo!$C$6+Resumo!$C$7+Resumo!$C$8)+Resumo!$C$10*CEILING(AP$3/100,1)+Resumo!$C$9+Resumo!$C$13+Resumo!$C$14*CEILING(AP$3,1))*(1+Resumo!$C$11)-(AP$4*(Resumo!$B$6+Resumo!$B$7)+Resumo!$B$9+Resumo!$B$10*CEILING(AP$3/100,1)+(Resumo!$B$12+Resumo!$B$14)*CEILING(AP$3,1))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12" s="13" t="n">
        <f aca="false">(AD12+AQ$4*(Resumo!$C$6+Resumo!$C$7+Resumo!$C$8)+Resumo!$C$10*CEILING(AQ$3/100,1)+Resumo!$C$9+Resumo!$C$13+Resumo!$C$14*CEILING(AQ$3,1))*(1+Resumo!$C$11)-(AQ$4*(Resumo!$B$6+Resumo!$B$7)+Resumo!$B$9+Resumo!$B$10*CEILING(AQ$3/100,1)+(Resumo!$B$12+Resumo!$B$14)*CEILING(AQ$3,1))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12" s="13" t="n">
        <f aca="false">(AE12+AR$4*(Resumo!$C$6+Resumo!$C$7+Resumo!$C$8)+Resumo!$C$10*CEILING(AR$3/100,1)+Resumo!$C$9+Resumo!$C$13+Resumo!$C$14*CEILING(AR$3,1))*(1+Resumo!$C$11)-(AR$4*(Resumo!$B$6+Resumo!$B$7)+Resumo!$B$9+Resumo!$B$10*CEILING(AR$3/100,1)+(Resumo!$B$12+Resumo!$B$14)*CEILING(AR$3,1))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12" s="13" t="n">
        <f aca="false">(AF12+AS$4*(Resumo!$C$6+Resumo!$C$7+Resumo!$C$8)+Resumo!$C$10*CEILING(AS$3/100,1)+Resumo!$C$9+Resumo!$C$13+Resumo!$C$14*CEILING(AS$3,1))*(1+Resumo!$C$11)-(AS$4*(Resumo!$B$6+Resumo!$B$7)+Resumo!$B$9+Resumo!$B$10*CEILING(AS$3/100,1)+(Resumo!$B$12+Resumo!$B$14)*CEILING(AS$3,1))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12" s="13" t="n">
        <f aca="false">(AG12+AT$4*(Resumo!$C$6+Resumo!$C$7+Resumo!$C$8)+Resumo!$C$10*CEILING(AT$3/100,1)+Resumo!$C$9+Resumo!$C$13+Resumo!$C$14*CEILING(AT$3,1))*(1+Resumo!$C$11)-(AT$4*(Resumo!$B$6+Resumo!$B$7)+Resumo!$B$9+Resumo!$B$10*CEILING(AT$3/100,1)+(Resumo!$B$12+Resumo!$B$14)*CEILING(AT$3,1))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12" s="44" t="n">
        <f aca="false">1-AH12/H12</f>
        <v>0.284448775984873</v>
      </c>
      <c r="AV12" s="44" t="n">
        <f aca="false">1-AI12/I12</f>
        <v>0.324530396086195</v>
      </c>
      <c r="AW12" s="44" t="n">
        <f aca="false">1-AJ12/J12</f>
        <v>0.337931079721616</v>
      </c>
      <c r="AX12" s="44" t="n">
        <f aca="false">1-AK12/K12</f>
        <v>0.318510239438779</v>
      </c>
      <c r="AY12" s="44" t="n">
        <f aca="false">1-AL12/L12</f>
        <v>0.365701375691832</v>
      </c>
      <c r="AZ12" s="44" t="n">
        <f aca="false">1-AM12/M12</f>
        <v>0.420709229511831</v>
      </c>
      <c r="BA12" s="44" t="n">
        <f aca="false">1-AN12/N12</f>
        <v>0.350695095008868</v>
      </c>
      <c r="BB12" s="44" t="n">
        <f aca="false">1-AO12/O12</f>
        <v>0.419232633445788</v>
      </c>
      <c r="BC12" s="44" t="n">
        <f aca="false">1-AP12/P12</f>
        <v>0.493280443868681</v>
      </c>
      <c r="BD12" s="44" t="n">
        <f aca="false">1-AQ12/Q12</f>
        <v>0.455794679894486</v>
      </c>
      <c r="BE12" s="44" t="n">
        <f aca="false">1-AR12/R12</f>
        <v>0.489018797268033</v>
      </c>
      <c r="BF12" s="44" t="n">
        <f aca="false">1-AS12/S12</f>
        <v>0.820478024467603</v>
      </c>
      <c r="BG12" s="44" t="n">
        <f aca="false">1-AT12/T12</f>
        <v>0.528263860444042</v>
      </c>
    </row>
    <row r="13" customFormat="false" ht="15" hidden="false" customHeight="false" outlineLevel="0" collapsed="false">
      <c r="A13" s="10" t="s">
        <v>261</v>
      </c>
      <c r="B13" s="10" t="s">
        <v>50</v>
      </c>
      <c r="C13" s="58" t="n">
        <v>24000000</v>
      </c>
      <c r="D13" s="58" t="n">
        <v>24399999</v>
      </c>
      <c r="E13" s="10" t="s">
        <v>23</v>
      </c>
      <c r="F13" s="10" t="s">
        <v>269</v>
      </c>
      <c r="G13" s="10" t="n">
        <f aca="false">COUNTIFS(Pedidos!$C$2:$C$2224,"&gt;="&amp;C13,Pedidos!$C$2:$C$2224,"&lt;="&amp;D13)</f>
        <v>68</v>
      </c>
      <c r="H13" s="40" t="n">
        <v>57.47</v>
      </c>
      <c r="I13" s="40" t="n">
        <v>100.58</v>
      </c>
      <c r="J13" s="40" t="n">
        <v>114.95</v>
      </c>
      <c r="K13" s="40" t="n">
        <v>114.95</v>
      </c>
      <c r="L13" s="40" t="n">
        <v>128.14</v>
      </c>
      <c r="M13" s="40" t="n">
        <v>149.5</v>
      </c>
      <c r="N13" s="40" t="n">
        <v>142.74</v>
      </c>
      <c r="O13" s="40" t="n">
        <v>178.42</v>
      </c>
      <c r="P13" s="40" t="n">
        <v>214.11</v>
      </c>
      <c r="Q13" s="40" t="n">
        <v>249.03</v>
      </c>
      <c r="R13" s="40" t="n">
        <v>282.23</v>
      </c>
      <c r="S13" s="40" t="n">
        <v>332.05</v>
      </c>
      <c r="T13" s="40" t="n">
        <v>415.05</v>
      </c>
      <c r="U13" s="40" t="n">
        <v>42.72</v>
      </c>
      <c r="V13" s="40" t="n">
        <v>58.8</v>
      </c>
      <c r="W13" s="40" t="n">
        <v>66.83</v>
      </c>
      <c r="X13" s="40" t="n">
        <v>65.36</v>
      </c>
      <c r="Y13" s="40" t="n">
        <v>70.98</v>
      </c>
      <c r="Z13" s="40" t="n">
        <v>76.55</v>
      </c>
      <c r="AA13" s="40" t="n">
        <v>82.48</v>
      </c>
      <c r="AB13" s="40" t="n">
        <v>92.32</v>
      </c>
      <c r="AC13" s="40" t="n">
        <v>101.26</v>
      </c>
      <c r="AD13" s="40" t="n">
        <v>129.62</v>
      </c>
      <c r="AE13" s="40" t="n">
        <v>139.81</v>
      </c>
      <c r="AF13" s="40" t="n">
        <v>155.09</v>
      </c>
      <c r="AG13" s="40" t="n">
        <v>194.34</v>
      </c>
      <c r="AH13" s="13" t="n">
        <f aca="false">(U13+AH$4*(Resumo!$C$6+Resumo!$C$7+Resumo!$C$8)+Resumo!$C$10*CEILING(AH$3/100,1)+Resumo!$C$9+Resumo!$C$13+Resumo!$C$14*CEILING(AH$3,1))*(1+Resumo!$C$11)-(AH$4*(Resumo!$B$6+Resumo!$B$7)+Resumo!$B$9+Resumo!$B$10*CEILING(AH$3/100,1)+(Resumo!$B$12+Resumo!$B$14)*CEILING(AH$3,1))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13" s="13" t="n">
        <f aca="false">(V13+AI$4*(Resumo!$C$6+Resumo!$C$7+Resumo!$C$8)+Resumo!$C$10*CEILING(AI$3/100,1)+Resumo!$C$9+Resumo!$C$13+Resumo!$C$14*CEILING(AI$3,1))*(1+Resumo!$C$11)-(AI$4*(Resumo!$B$6+Resumo!$B$7)+Resumo!$B$9+Resumo!$B$10*CEILING(AI$3/100,1)+(Resumo!$B$12+Resumo!$B$14)*CEILING(AI$3,1))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13" s="13" t="n">
        <f aca="false">(W13+AJ$4*(Resumo!$C$6+Resumo!$C$7+Resumo!$C$8)+Resumo!$C$10*CEILING(AJ$3/100,1)+Resumo!$C$9+Resumo!$C$13+Resumo!$C$14*CEILING(AJ$3,1))*(1+Resumo!$C$11)-(AJ$4*(Resumo!$B$6+Resumo!$B$7)+Resumo!$B$9+Resumo!$B$10*CEILING(AJ$3/100,1)+(Resumo!$B$12+Resumo!$B$14)*CEILING(AJ$3,1))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13" s="13" t="n">
        <f aca="false">(X13+AK$4*(Resumo!$C$6+Resumo!$C$7+Resumo!$C$8)+Resumo!$C$10*CEILING(AK$3/100,1)+Resumo!$C$9+Resumo!$C$13+Resumo!$C$14*CEILING(AK$3,1))*(1+Resumo!$C$11)-(AK$4*(Resumo!$B$6+Resumo!$B$7)+Resumo!$B$9+Resumo!$B$10*CEILING(AK$3/100,1)+(Resumo!$B$12+Resumo!$B$14)*CEILING(AK$3,1))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13" s="13" t="n">
        <f aca="false">(Y13+AL$4*(Resumo!$C$6+Resumo!$C$7+Resumo!$C$8)+Resumo!$C$10*CEILING(AL$3/100,1)+Resumo!$C$9+Resumo!$C$13+Resumo!$C$14*CEILING(AL$3,1))*(1+Resumo!$C$11)-(AL$4*(Resumo!$B$6+Resumo!$B$7)+Resumo!$B$9+Resumo!$B$10*CEILING(AL$3/100,1)+(Resumo!$B$12+Resumo!$B$14)*CEILING(AL$3,1))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13" s="13" t="n">
        <f aca="false">(Z13+AM$4*(Resumo!$C$6+Resumo!$C$7+Resumo!$C$8)+Resumo!$C$10*CEILING(AM$3/100,1)+Resumo!$C$9+Resumo!$C$13+Resumo!$C$14*CEILING(AM$3,1))*(1+Resumo!$C$11)-(AM$4*(Resumo!$B$6+Resumo!$B$7)+Resumo!$B$9+Resumo!$B$10*CEILING(AM$3/100,1)+(Resumo!$B$12+Resumo!$B$14)*CEILING(AM$3,1))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13" s="13" t="n">
        <f aca="false">(AA13+AN$4*(Resumo!$C$6+Resumo!$C$7+Resumo!$C$8)+Resumo!$C$10*CEILING(AN$3/100,1)+Resumo!$C$9+Resumo!$C$13+Resumo!$C$14*CEILING(AN$3,1))*(1+Resumo!$C$11)-(AN$4*(Resumo!$B$6+Resumo!$B$7)+Resumo!$B$9+Resumo!$B$10*CEILING(AN$3/100,1)+(Resumo!$B$12+Resumo!$B$14)*CEILING(AN$3,1))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13" s="13" t="n">
        <f aca="false">(AB13+AO$4*(Resumo!$C$6+Resumo!$C$7+Resumo!$C$8)+Resumo!$C$10*CEILING(AO$3/100,1)+Resumo!$C$9+Resumo!$C$13+Resumo!$C$14*CEILING(AO$3,1))*(1+Resumo!$C$11)-(AO$4*(Resumo!$B$6+Resumo!$B$7)+Resumo!$B$9+Resumo!$B$10*CEILING(AO$3/100,1)+(Resumo!$B$12+Resumo!$B$14)*CEILING(AO$3,1))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13" s="13" t="n">
        <f aca="false">(AC13+AP$4*(Resumo!$C$6+Resumo!$C$7+Resumo!$C$8)+Resumo!$C$10*CEILING(AP$3/100,1)+Resumo!$C$9+Resumo!$C$13+Resumo!$C$14*CEILING(AP$3,1))*(1+Resumo!$C$11)-(AP$4*(Resumo!$B$6+Resumo!$B$7)+Resumo!$B$9+Resumo!$B$10*CEILING(AP$3/100,1)+(Resumo!$B$12+Resumo!$B$14)*CEILING(AP$3,1))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13" s="13" t="n">
        <f aca="false">(AD13+AQ$4*(Resumo!$C$6+Resumo!$C$7+Resumo!$C$8)+Resumo!$C$10*CEILING(AQ$3/100,1)+Resumo!$C$9+Resumo!$C$13+Resumo!$C$14*CEILING(AQ$3,1))*(1+Resumo!$C$11)-(AQ$4*(Resumo!$B$6+Resumo!$B$7)+Resumo!$B$9+Resumo!$B$10*CEILING(AQ$3/100,1)+(Resumo!$B$12+Resumo!$B$14)*CEILING(AQ$3,1))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13" s="13" t="n">
        <f aca="false">(AE13+AR$4*(Resumo!$C$6+Resumo!$C$7+Resumo!$C$8)+Resumo!$C$10*CEILING(AR$3/100,1)+Resumo!$C$9+Resumo!$C$13+Resumo!$C$14*CEILING(AR$3,1))*(1+Resumo!$C$11)-(AR$4*(Resumo!$B$6+Resumo!$B$7)+Resumo!$B$9+Resumo!$B$10*CEILING(AR$3/100,1)+(Resumo!$B$12+Resumo!$B$14)*CEILING(AR$3,1))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13" s="13" t="n">
        <f aca="false">(AF13+AS$4*(Resumo!$C$6+Resumo!$C$7+Resumo!$C$8)+Resumo!$C$10*CEILING(AS$3/100,1)+Resumo!$C$9+Resumo!$C$13+Resumo!$C$14*CEILING(AS$3,1))*(1+Resumo!$C$11)-(AS$4*(Resumo!$B$6+Resumo!$B$7)+Resumo!$B$9+Resumo!$B$10*CEILING(AS$3/100,1)+(Resumo!$B$12+Resumo!$B$14)*CEILING(AS$3,1))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13" s="13" t="n">
        <f aca="false">(AG13+AT$4*(Resumo!$C$6+Resumo!$C$7+Resumo!$C$8)+Resumo!$C$10*CEILING(AT$3/100,1)+Resumo!$C$9+Resumo!$C$13+Resumo!$C$14*CEILING(AT$3,1))*(1+Resumo!$C$11)-(AT$4*(Resumo!$B$6+Resumo!$B$7)+Resumo!$B$9+Resumo!$B$10*CEILING(AT$3/100,1)+(Resumo!$B$12+Resumo!$B$14)*CEILING(AT$3,1))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13" s="44" t="n">
        <f aca="false">1-AH13/H13</f>
        <v>0.110529194752565</v>
      </c>
      <c r="AV13" s="44" t="n">
        <f aca="false">1-AI13/I13</f>
        <v>0.337031646510843</v>
      </c>
      <c r="AW13" s="44" t="n">
        <f aca="false">1-AJ13/J13</f>
        <v>0.354431210924529</v>
      </c>
      <c r="AX13" s="44" t="n">
        <f aca="false">1-AK13/K13</f>
        <v>0.369954794096523</v>
      </c>
      <c r="AY13" s="44" t="n">
        <f aca="false">1-AL13/L13</f>
        <v>0.393839704920099</v>
      </c>
      <c r="AZ13" s="44" t="n">
        <f aca="false">1-AM13/M13</f>
        <v>0.44788473284575</v>
      </c>
      <c r="BA13" s="44" t="n">
        <f aca="false">1-AN13/N13</f>
        <v>0.381937379851478</v>
      </c>
      <c r="BB13" s="44" t="n">
        <f aca="false">1-AO13/O13</f>
        <v>0.454632665679444</v>
      </c>
      <c r="BC13" s="44" t="n">
        <f aca="false">1-AP13/P13</f>
        <v>0.524724089098973</v>
      </c>
      <c r="BD13" s="44" t="n">
        <f aca="false">1-AQ13/Q13</f>
        <v>0.479952869225619</v>
      </c>
      <c r="BE13" s="44" t="n">
        <f aca="false">1-AR13/R13</f>
        <v>0.510714636998193</v>
      </c>
      <c r="BF13" s="44" t="n">
        <f aca="false">1-AS13/S13</f>
        <v>0.542861617226321</v>
      </c>
      <c r="BG13" s="44" t="n">
        <f aca="false">1-AT13/T13</f>
        <v>0.547803079147091</v>
      </c>
    </row>
    <row r="14" customFormat="false" ht="15" hidden="false" customHeight="false" outlineLevel="0" collapsed="false">
      <c r="A14" s="10" t="s">
        <v>261</v>
      </c>
      <c r="B14" s="10" t="s">
        <v>47</v>
      </c>
      <c r="C14" s="58" t="n">
        <v>24400000</v>
      </c>
      <c r="D14" s="58" t="n">
        <v>24799999</v>
      </c>
      <c r="E14" s="10" t="s">
        <v>23</v>
      </c>
      <c r="F14" s="10" t="s">
        <v>269</v>
      </c>
      <c r="G14" s="10" t="n">
        <f aca="false">COUNTIFS(Pedidos!$C$2:$C$2224,"&gt;="&amp;C14,Pedidos!$C$2:$C$2224,"&lt;="&amp;D14)</f>
        <v>135</v>
      </c>
      <c r="H14" s="40" t="n">
        <v>57.47</v>
      </c>
      <c r="I14" s="40" t="n">
        <v>100.58</v>
      </c>
      <c r="J14" s="40" t="n">
        <v>114.95</v>
      </c>
      <c r="K14" s="40" t="n">
        <v>114.95</v>
      </c>
      <c r="L14" s="40" t="n">
        <v>128.14</v>
      </c>
      <c r="M14" s="40" t="n">
        <v>149.5</v>
      </c>
      <c r="N14" s="40" t="n">
        <v>142.74</v>
      </c>
      <c r="O14" s="40" t="n">
        <v>178.42</v>
      </c>
      <c r="P14" s="40" t="n">
        <v>214.11</v>
      </c>
      <c r="Q14" s="40" t="n">
        <v>249.03</v>
      </c>
      <c r="R14" s="40" t="n">
        <v>282.23</v>
      </c>
      <c r="S14" s="40" t="n">
        <v>332.05</v>
      </c>
      <c r="T14" s="40" t="n">
        <v>415.05</v>
      </c>
      <c r="U14" s="40" t="n">
        <v>42.72</v>
      </c>
      <c r="V14" s="40" t="n">
        <v>58.8</v>
      </c>
      <c r="W14" s="40" t="n">
        <v>66.83</v>
      </c>
      <c r="X14" s="40" t="n">
        <v>65.36</v>
      </c>
      <c r="Y14" s="40" t="n">
        <v>70.98</v>
      </c>
      <c r="Z14" s="40" t="n">
        <v>76.55</v>
      </c>
      <c r="AA14" s="40" t="n">
        <v>82.48</v>
      </c>
      <c r="AB14" s="40" t="n">
        <v>92.32</v>
      </c>
      <c r="AC14" s="40" t="n">
        <v>101.26</v>
      </c>
      <c r="AD14" s="40" t="n">
        <v>129.62</v>
      </c>
      <c r="AE14" s="40" t="n">
        <v>139.81</v>
      </c>
      <c r="AF14" s="40" t="n">
        <v>155.09</v>
      </c>
      <c r="AG14" s="40" t="n">
        <v>194.34</v>
      </c>
      <c r="AH14" s="13" t="n">
        <f aca="false">(U14+AH$4*(Resumo!$C$6+Resumo!$C$7+Resumo!$C$8)+Resumo!$C$10*CEILING(AH$3/100,1)+Resumo!$C$9+Resumo!$C$13+Resumo!$C$14*CEILING(AH$3,1))*(1+Resumo!$C$11)-(AH$4*(Resumo!$B$6+Resumo!$B$7)+Resumo!$B$9+Resumo!$B$10*CEILING(AH$3/100,1)+(Resumo!$B$12+Resumo!$B$14)*CEILING(AH$3,1))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14" s="13" t="n">
        <f aca="false">(V14+AI$4*(Resumo!$C$6+Resumo!$C$7+Resumo!$C$8)+Resumo!$C$10*CEILING(AI$3/100,1)+Resumo!$C$9+Resumo!$C$13+Resumo!$C$14*CEILING(AI$3,1))*(1+Resumo!$C$11)-(AI$4*(Resumo!$B$6+Resumo!$B$7)+Resumo!$B$9+Resumo!$B$10*CEILING(AI$3/100,1)+(Resumo!$B$12+Resumo!$B$14)*CEILING(AI$3,1))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14" s="13" t="n">
        <f aca="false">(W14+AJ$4*(Resumo!$C$6+Resumo!$C$7+Resumo!$C$8)+Resumo!$C$10*CEILING(AJ$3/100,1)+Resumo!$C$9+Resumo!$C$13+Resumo!$C$14*CEILING(AJ$3,1))*(1+Resumo!$C$11)-(AJ$4*(Resumo!$B$6+Resumo!$B$7)+Resumo!$B$9+Resumo!$B$10*CEILING(AJ$3/100,1)+(Resumo!$B$12+Resumo!$B$14)*CEILING(AJ$3,1))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14" s="13" t="n">
        <f aca="false">(X14+AK$4*(Resumo!$C$6+Resumo!$C$7+Resumo!$C$8)+Resumo!$C$10*CEILING(AK$3/100,1)+Resumo!$C$9+Resumo!$C$13+Resumo!$C$14*CEILING(AK$3,1))*(1+Resumo!$C$11)-(AK$4*(Resumo!$B$6+Resumo!$B$7)+Resumo!$B$9+Resumo!$B$10*CEILING(AK$3/100,1)+(Resumo!$B$12+Resumo!$B$14)*CEILING(AK$3,1))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14" s="13" t="n">
        <f aca="false">(Y14+AL$4*(Resumo!$C$6+Resumo!$C$7+Resumo!$C$8)+Resumo!$C$10*CEILING(AL$3/100,1)+Resumo!$C$9+Resumo!$C$13+Resumo!$C$14*CEILING(AL$3,1))*(1+Resumo!$C$11)-(AL$4*(Resumo!$B$6+Resumo!$B$7)+Resumo!$B$9+Resumo!$B$10*CEILING(AL$3/100,1)+(Resumo!$B$12+Resumo!$B$14)*CEILING(AL$3,1))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14" s="13" t="n">
        <f aca="false">(Z14+AM$4*(Resumo!$C$6+Resumo!$C$7+Resumo!$C$8)+Resumo!$C$10*CEILING(AM$3/100,1)+Resumo!$C$9+Resumo!$C$13+Resumo!$C$14*CEILING(AM$3,1))*(1+Resumo!$C$11)-(AM$4*(Resumo!$B$6+Resumo!$B$7)+Resumo!$B$9+Resumo!$B$10*CEILING(AM$3/100,1)+(Resumo!$B$12+Resumo!$B$14)*CEILING(AM$3,1))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14" s="13" t="n">
        <f aca="false">(AA14+AN$4*(Resumo!$C$6+Resumo!$C$7+Resumo!$C$8)+Resumo!$C$10*CEILING(AN$3/100,1)+Resumo!$C$9+Resumo!$C$13+Resumo!$C$14*CEILING(AN$3,1))*(1+Resumo!$C$11)-(AN$4*(Resumo!$B$6+Resumo!$B$7)+Resumo!$B$9+Resumo!$B$10*CEILING(AN$3/100,1)+(Resumo!$B$12+Resumo!$B$14)*CEILING(AN$3,1))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14" s="13" t="n">
        <f aca="false">(AB14+AO$4*(Resumo!$C$6+Resumo!$C$7+Resumo!$C$8)+Resumo!$C$10*CEILING(AO$3/100,1)+Resumo!$C$9+Resumo!$C$13+Resumo!$C$14*CEILING(AO$3,1))*(1+Resumo!$C$11)-(AO$4*(Resumo!$B$6+Resumo!$B$7)+Resumo!$B$9+Resumo!$B$10*CEILING(AO$3/100,1)+(Resumo!$B$12+Resumo!$B$14)*CEILING(AO$3,1))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14" s="13" t="n">
        <f aca="false">(AC14+AP$4*(Resumo!$C$6+Resumo!$C$7+Resumo!$C$8)+Resumo!$C$10*CEILING(AP$3/100,1)+Resumo!$C$9+Resumo!$C$13+Resumo!$C$14*CEILING(AP$3,1))*(1+Resumo!$C$11)-(AP$4*(Resumo!$B$6+Resumo!$B$7)+Resumo!$B$9+Resumo!$B$10*CEILING(AP$3/100,1)+(Resumo!$B$12+Resumo!$B$14)*CEILING(AP$3,1))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14" s="13" t="n">
        <f aca="false">(AD14+AQ$4*(Resumo!$C$6+Resumo!$C$7+Resumo!$C$8)+Resumo!$C$10*CEILING(AQ$3/100,1)+Resumo!$C$9+Resumo!$C$13+Resumo!$C$14*CEILING(AQ$3,1))*(1+Resumo!$C$11)-(AQ$4*(Resumo!$B$6+Resumo!$B$7)+Resumo!$B$9+Resumo!$B$10*CEILING(AQ$3/100,1)+(Resumo!$B$12+Resumo!$B$14)*CEILING(AQ$3,1))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14" s="13" t="n">
        <f aca="false">(AE14+AR$4*(Resumo!$C$6+Resumo!$C$7+Resumo!$C$8)+Resumo!$C$10*CEILING(AR$3/100,1)+Resumo!$C$9+Resumo!$C$13+Resumo!$C$14*CEILING(AR$3,1))*(1+Resumo!$C$11)-(AR$4*(Resumo!$B$6+Resumo!$B$7)+Resumo!$B$9+Resumo!$B$10*CEILING(AR$3/100,1)+(Resumo!$B$12+Resumo!$B$14)*CEILING(AR$3,1))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14" s="13" t="n">
        <f aca="false">(AF14+AS$4*(Resumo!$C$6+Resumo!$C$7+Resumo!$C$8)+Resumo!$C$10*CEILING(AS$3/100,1)+Resumo!$C$9+Resumo!$C$13+Resumo!$C$14*CEILING(AS$3,1))*(1+Resumo!$C$11)-(AS$4*(Resumo!$B$6+Resumo!$B$7)+Resumo!$B$9+Resumo!$B$10*CEILING(AS$3/100,1)+(Resumo!$B$12+Resumo!$B$14)*CEILING(AS$3,1))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14" s="13" t="n">
        <f aca="false">(AG14+AT$4*(Resumo!$C$6+Resumo!$C$7+Resumo!$C$8)+Resumo!$C$10*CEILING(AT$3/100,1)+Resumo!$C$9+Resumo!$C$13+Resumo!$C$14*CEILING(AT$3,1))*(1+Resumo!$C$11)-(AT$4*(Resumo!$B$6+Resumo!$B$7)+Resumo!$B$9+Resumo!$B$10*CEILING(AT$3/100,1)+(Resumo!$B$12+Resumo!$B$14)*CEILING(AT$3,1))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14" s="44" t="n">
        <f aca="false">1-AH14/H14</f>
        <v>0.110529194752565</v>
      </c>
      <c r="AV14" s="44" t="n">
        <f aca="false">1-AI14/I14</f>
        <v>0.337031646510843</v>
      </c>
      <c r="AW14" s="44" t="n">
        <f aca="false">1-AJ14/J14</f>
        <v>0.354431210924529</v>
      </c>
      <c r="AX14" s="44" t="n">
        <f aca="false">1-AK14/K14</f>
        <v>0.369954794096523</v>
      </c>
      <c r="AY14" s="44" t="n">
        <f aca="false">1-AL14/L14</f>
        <v>0.393839704920099</v>
      </c>
      <c r="AZ14" s="44" t="n">
        <f aca="false">1-AM14/M14</f>
        <v>0.44788473284575</v>
      </c>
      <c r="BA14" s="44" t="n">
        <f aca="false">1-AN14/N14</f>
        <v>0.381937379851478</v>
      </c>
      <c r="BB14" s="44" t="n">
        <f aca="false">1-AO14/O14</f>
        <v>0.454632665679444</v>
      </c>
      <c r="BC14" s="44" t="n">
        <f aca="false">1-AP14/P14</f>
        <v>0.524724089098973</v>
      </c>
      <c r="BD14" s="44" t="n">
        <f aca="false">1-AQ14/Q14</f>
        <v>0.479952869225619</v>
      </c>
      <c r="BE14" s="44" t="n">
        <f aca="false">1-AR14/R14</f>
        <v>0.510714636998193</v>
      </c>
      <c r="BF14" s="44" t="n">
        <f aca="false">1-AS14/S14</f>
        <v>0.542861617226321</v>
      </c>
      <c r="BG14" s="44" t="n">
        <f aca="false">1-AT14/T14</f>
        <v>0.547803079147091</v>
      </c>
    </row>
    <row r="15" customFormat="false" ht="15" hidden="false" customHeight="false" outlineLevel="0" collapsed="false">
      <c r="A15" s="10" t="s">
        <v>261</v>
      </c>
      <c r="B15" s="10" t="s">
        <v>223</v>
      </c>
      <c r="C15" s="58" t="n">
        <v>24800000</v>
      </c>
      <c r="D15" s="58" t="n">
        <v>24889999</v>
      </c>
      <c r="E15" s="10" t="s">
        <v>24</v>
      </c>
      <c r="F15" s="10" t="s">
        <v>270</v>
      </c>
      <c r="G15" s="10" t="n">
        <f aca="false">COUNTIFS(Pedidos!$C$2:$C$2224,"&gt;="&amp;C15,Pedidos!$C$2:$C$2224,"&lt;="&amp;D15)</f>
        <v>25</v>
      </c>
      <c r="H15" s="40" t="n">
        <v>57.47</v>
      </c>
      <c r="I15" s="40" t="n">
        <v>100.58</v>
      </c>
      <c r="J15" s="40" t="n">
        <v>114.95</v>
      </c>
      <c r="K15" s="40" t="n">
        <v>114.95</v>
      </c>
      <c r="L15" s="40" t="n">
        <v>128.14</v>
      </c>
      <c r="M15" s="40" t="n">
        <v>149.5</v>
      </c>
      <c r="N15" s="40" t="n">
        <v>142.74</v>
      </c>
      <c r="O15" s="40" t="n">
        <v>178.42</v>
      </c>
      <c r="P15" s="40" t="n">
        <v>214.11</v>
      </c>
      <c r="Q15" s="40" t="n">
        <v>249.03</v>
      </c>
      <c r="R15" s="40" t="n">
        <v>282.23</v>
      </c>
      <c r="S15" s="40" t="n">
        <v>332.05</v>
      </c>
      <c r="T15" s="40" t="n">
        <v>415.05</v>
      </c>
      <c r="U15" s="40" t="n">
        <v>46.95</v>
      </c>
      <c r="V15" s="40" t="n">
        <v>65.63</v>
      </c>
      <c r="W15" s="40" t="n">
        <v>74.97</v>
      </c>
      <c r="X15" s="40" t="n">
        <v>77.7</v>
      </c>
      <c r="Y15" s="40" t="n">
        <v>83.58</v>
      </c>
      <c r="Z15" s="40" t="n">
        <v>90.2</v>
      </c>
      <c r="AA15" s="40" t="n">
        <v>96.77</v>
      </c>
      <c r="AB15" s="40" t="n">
        <v>109.63</v>
      </c>
      <c r="AC15" s="40" t="n">
        <v>119.5</v>
      </c>
      <c r="AD15" s="40" t="n">
        <v>144.24</v>
      </c>
      <c r="AE15" s="40" t="n">
        <v>155.09</v>
      </c>
      <c r="AF15" s="40" t="n">
        <v>66.69</v>
      </c>
      <c r="AG15" s="40" t="n">
        <v>214.88</v>
      </c>
      <c r="AH15" s="13" t="n">
        <f aca="false">(U15+AH$4*(Resumo!$C$6+Resumo!$C$7+Resumo!$C$8)+Resumo!$C$10*CEILING(AH$3/100,1)+Resumo!$C$9+Resumo!$C$13+Resumo!$C$14*CEILING(AH$3,1))*(1+Resumo!$C$11)-(AH$4*(Resumo!$B$6+Resumo!$B$7)+Resumo!$B$9+Resumo!$B$10*CEILING(AH$3/100,1)+(Resumo!$B$12+Resumo!$B$14)*CEILING(AH$3,1))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15" s="13" t="n">
        <f aca="false">(V15+AI$4*(Resumo!$C$6+Resumo!$C$7+Resumo!$C$8)+Resumo!$C$10*CEILING(AI$3/100,1)+Resumo!$C$9+Resumo!$C$13+Resumo!$C$14*CEILING(AI$3,1))*(1+Resumo!$C$11)-(AI$4*(Resumo!$B$6+Resumo!$B$7)+Resumo!$B$9+Resumo!$B$10*CEILING(AI$3/100,1)+(Resumo!$B$12+Resumo!$B$14)*CEILING(AI$3,1))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15" s="13" t="n">
        <f aca="false">(W15+AJ$4*(Resumo!$C$6+Resumo!$C$7+Resumo!$C$8)+Resumo!$C$10*CEILING(AJ$3/100,1)+Resumo!$C$9+Resumo!$C$13+Resumo!$C$14*CEILING(AJ$3,1))*(1+Resumo!$C$11)-(AJ$4*(Resumo!$B$6+Resumo!$B$7)+Resumo!$B$9+Resumo!$B$10*CEILING(AJ$3/100,1)+(Resumo!$B$12+Resumo!$B$14)*CEILING(AJ$3,1))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15" s="13" t="n">
        <f aca="false">(X15+AK$4*(Resumo!$C$6+Resumo!$C$7+Resumo!$C$8)+Resumo!$C$10*CEILING(AK$3/100,1)+Resumo!$C$9+Resumo!$C$13+Resumo!$C$14*CEILING(AK$3,1))*(1+Resumo!$C$11)-(AK$4*(Resumo!$B$6+Resumo!$B$7)+Resumo!$B$9+Resumo!$B$10*CEILING(AK$3/100,1)+(Resumo!$B$12+Resumo!$B$14)*CEILING(AK$3,1))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15" s="13" t="n">
        <f aca="false">(Y15+AL$4*(Resumo!$C$6+Resumo!$C$7+Resumo!$C$8)+Resumo!$C$10*CEILING(AL$3/100,1)+Resumo!$C$9+Resumo!$C$13+Resumo!$C$14*CEILING(AL$3,1))*(1+Resumo!$C$11)-(AL$4*(Resumo!$B$6+Resumo!$B$7)+Resumo!$B$9+Resumo!$B$10*CEILING(AL$3/100,1)+(Resumo!$B$12+Resumo!$B$14)*CEILING(AL$3,1))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15" s="13" t="n">
        <f aca="false">(Z15+AM$4*(Resumo!$C$6+Resumo!$C$7+Resumo!$C$8)+Resumo!$C$10*CEILING(AM$3/100,1)+Resumo!$C$9+Resumo!$C$13+Resumo!$C$14*CEILING(AM$3,1))*(1+Resumo!$C$11)-(AM$4*(Resumo!$B$6+Resumo!$B$7)+Resumo!$B$9+Resumo!$B$10*CEILING(AM$3/100,1)+(Resumo!$B$12+Resumo!$B$14)*CEILING(AM$3,1))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15" s="13" t="n">
        <f aca="false">(AA15+AN$4*(Resumo!$C$6+Resumo!$C$7+Resumo!$C$8)+Resumo!$C$10*CEILING(AN$3/100,1)+Resumo!$C$9+Resumo!$C$13+Resumo!$C$14*CEILING(AN$3,1))*(1+Resumo!$C$11)-(AN$4*(Resumo!$B$6+Resumo!$B$7)+Resumo!$B$9+Resumo!$B$10*CEILING(AN$3/100,1)+(Resumo!$B$12+Resumo!$B$14)*CEILING(AN$3,1))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15" s="13" t="n">
        <f aca="false">(AB15+AO$4*(Resumo!$C$6+Resumo!$C$7+Resumo!$C$8)+Resumo!$C$10*CEILING(AO$3/100,1)+Resumo!$C$9+Resumo!$C$13+Resumo!$C$14*CEILING(AO$3,1))*(1+Resumo!$C$11)-(AO$4*(Resumo!$B$6+Resumo!$B$7)+Resumo!$B$9+Resumo!$B$10*CEILING(AO$3/100,1)+(Resumo!$B$12+Resumo!$B$14)*CEILING(AO$3,1))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15" s="13" t="n">
        <f aca="false">(AC15+AP$4*(Resumo!$C$6+Resumo!$C$7+Resumo!$C$8)+Resumo!$C$10*CEILING(AP$3/100,1)+Resumo!$C$9+Resumo!$C$13+Resumo!$C$14*CEILING(AP$3,1))*(1+Resumo!$C$11)-(AP$4*(Resumo!$B$6+Resumo!$B$7)+Resumo!$B$9+Resumo!$B$10*CEILING(AP$3/100,1)+(Resumo!$B$12+Resumo!$B$14)*CEILING(AP$3,1))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15" s="13" t="n">
        <f aca="false">(AD15+AQ$4*(Resumo!$C$6+Resumo!$C$7+Resumo!$C$8)+Resumo!$C$10*CEILING(AQ$3/100,1)+Resumo!$C$9+Resumo!$C$13+Resumo!$C$14*CEILING(AQ$3,1))*(1+Resumo!$C$11)-(AQ$4*(Resumo!$B$6+Resumo!$B$7)+Resumo!$B$9+Resumo!$B$10*CEILING(AQ$3/100,1)+(Resumo!$B$12+Resumo!$B$14)*CEILING(AQ$3,1))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15" s="13" t="n">
        <f aca="false">(AE15+AR$4*(Resumo!$C$6+Resumo!$C$7+Resumo!$C$8)+Resumo!$C$10*CEILING(AR$3/100,1)+Resumo!$C$9+Resumo!$C$13+Resumo!$C$14*CEILING(AR$3,1))*(1+Resumo!$C$11)-(AR$4*(Resumo!$B$6+Resumo!$B$7)+Resumo!$B$9+Resumo!$B$10*CEILING(AR$3/100,1)+(Resumo!$B$12+Resumo!$B$14)*CEILING(AR$3,1))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15" s="13" t="n">
        <f aca="false">(AF15+AS$4*(Resumo!$C$6+Resumo!$C$7+Resumo!$C$8)+Resumo!$C$10*CEILING(AS$3/100,1)+Resumo!$C$9+Resumo!$C$13+Resumo!$C$14*CEILING(AS$3,1))*(1+Resumo!$C$11)-(AS$4*(Resumo!$B$6+Resumo!$B$7)+Resumo!$B$9+Resumo!$B$10*CEILING(AS$3/100,1)+(Resumo!$B$12+Resumo!$B$14)*CEILING(AS$3,1))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15" s="13" t="n">
        <f aca="false">(AG15+AT$4*(Resumo!$C$6+Resumo!$C$7+Resumo!$C$8)+Resumo!$C$10*CEILING(AT$3/100,1)+Resumo!$C$9+Resumo!$C$13+Resumo!$C$14*CEILING(AT$3,1))*(1+Resumo!$C$11)-(AT$4*(Resumo!$B$6+Resumo!$B$7)+Resumo!$B$9+Resumo!$B$10*CEILING(AT$3/100,1)+(Resumo!$B$12+Resumo!$B$14)*CEILING(AT$3,1))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15" s="44" t="n">
        <f aca="false">1-AH15/H15</f>
        <v>0.0369255754729408</v>
      </c>
      <c r="AV15" s="44" t="n">
        <f aca="false">1-AI15/I15</f>
        <v>0.269125502148147</v>
      </c>
      <c r="AW15" s="44" t="n">
        <f aca="false">1-AJ15/J15</f>
        <v>0.283617813795343</v>
      </c>
      <c r="AX15" s="44" t="n">
        <f aca="false">1-AK15/K15</f>
        <v>0.262603771912965</v>
      </c>
      <c r="AY15" s="44" t="n">
        <f aca="false">1-AL15/L15</f>
        <v>0.295509753304679</v>
      </c>
      <c r="AZ15" s="44" t="n">
        <f aca="false">1-AM15/M15</f>
        <v>0.356580385019663</v>
      </c>
      <c r="BA15" s="44" t="n">
        <f aca="false">1-AN15/N15</f>
        <v>0.281825287936108</v>
      </c>
      <c r="BB15" s="44" t="n">
        <f aca="false">1-AO15/O15</f>
        <v>0.357614394185216</v>
      </c>
      <c r="BC15" s="44" t="n">
        <f aca="false">1-AP15/P15</f>
        <v>0.439534233417314</v>
      </c>
      <c r="BD15" s="44" t="n">
        <f aca="false">1-AQ15/Q15</f>
        <v>0.421245083015122</v>
      </c>
      <c r="BE15" s="44" t="n">
        <f aca="false">1-AR15/R15</f>
        <v>0.456574396768593</v>
      </c>
      <c r="BF15" s="44" t="n">
        <f aca="false">1-AS15/S15</f>
        <v>0.809086583345882</v>
      </c>
      <c r="BG15" s="44" t="n">
        <f aca="false">1-AT15/T15</f>
        <v>0.49831506565474</v>
      </c>
    </row>
    <row r="16" customFormat="false" ht="15" hidden="false" customHeight="false" outlineLevel="0" collapsed="false">
      <c r="A16" s="10" t="s">
        <v>261</v>
      </c>
      <c r="B16" s="10" t="s">
        <v>271</v>
      </c>
      <c r="C16" s="58" t="n">
        <v>24890000</v>
      </c>
      <c r="D16" s="58" t="n">
        <v>24899999</v>
      </c>
      <c r="E16" s="10" t="s">
        <v>24</v>
      </c>
      <c r="F16" s="10" t="s">
        <v>270</v>
      </c>
      <c r="G16" s="10" t="n">
        <f aca="false">COUNTIFS(Pedidos!$C$2:$C$2224,"&gt;="&amp;C16,Pedidos!$C$2:$C$2224,"&lt;="&amp;D16)</f>
        <v>0</v>
      </c>
      <c r="H16" s="40" t="n">
        <v>57.47</v>
      </c>
      <c r="I16" s="40" t="n">
        <v>100.58</v>
      </c>
      <c r="J16" s="40" t="n">
        <v>114.95</v>
      </c>
      <c r="K16" s="40" t="n">
        <v>114.95</v>
      </c>
      <c r="L16" s="40" t="n">
        <v>128.14</v>
      </c>
      <c r="M16" s="40" t="n">
        <v>149.5</v>
      </c>
      <c r="N16" s="40" t="n">
        <v>142.74</v>
      </c>
      <c r="O16" s="40" t="n">
        <v>178.42</v>
      </c>
      <c r="P16" s="40" t="n">
        <v>214.11</v>
      </c>
      <c r="Q16" s="40" t="n">
        <v>249.03</v>
      </c>
      <c r="R16" s="40" t="n">
        <v>282.23</v>
      </c>
      <c r="S16" s="40" t="n">
        <v>332.05</v>
      </c>
      <c r="T16" s="40" t="n">
        <v>415.05</v>
      </c>
      <c r="U16" s="40" t="n">
        <v>46.95</v>
      </c>
      <c r="V16" s="40" t="n">
        <v>65.63</v>
      </c>
      <c r="W16" s="40" t="n">
        <v>74.97</v>
      </c>
      <c r="X16" s="40" t="n">
        <v>77.7</v>
      </c>
      <c r="Y16" s="40" t="n">
        <v>83.58</v>
      </c>
      <c r="Z16" s="40" t="n">
        <v>90.2</v>
      </c>
      <c r="AA16" s="40" t="n">
        <v>96.77</v>
      </c>
      <c r="AB16" s="40" t="n">
        <v>109.63</v>
      </c>
      <c r="AC16" s="40" t="n">
        <v>119.5</v>
      </c>
      <c r="AD16" s="40" t="n">
        <v>144.24</v>
      </c>
      <c r="AE16" s="40" t="n">
        <v>155.09</v>
      </c>
      <c r="AF16" s="40" t="n">
        <v>66.69</v>
      </c>
      <c r="AG16" s="40" t="n">
        <v>214.88</v>
      </c>
      <c r="AH16" s="13" t="n">
        <f aca="false">(U16+AH$4*(Resumo!$C$6+Resumo!$C$7+Resumo!$C$8)+Resumo!$C$10*CEILING(AH$3/100,1)+Resumo!$C$9+Resumo!$C$13+Resumo!$C$14*CEILING(AH$3,1))*(1+Resumo!$C$11)-(AH$4*(Resumo!$B$6+Resumo!$B$7)+Resumo!$B$9+Resumo!$B$10*CEILING(AH$3/100,1)+(Resumo!$B$12+Resumo!$B$14)*CEILING(AH$3,1))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16" s="13" t="n">
        <f aca="false">(V16+AI$4*(Resumo!$C$6+Resumo!$C$7+Resumo!$C$8)+Resumo!$C$10*CEILING(AI$3/100,1)+Resumo!$C$9+Resumo!$C$13+Resumo!$C$14*CEILING(AI$3,1))*(1+Resumo!$C$11)-(AI$4*(Resumo!$B$6+Resumo!$B$7)+Resumo!$B$9+Resumo!$B$10*CEILING(AI$3/100,1)+(Resumo!$B$12+Resumo!$B$14)*CEILING(AI$3,1))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16" s="13" t="n">
        <f aca="false">(W16+AJ$4*(Resumo!$C$6+Resumo!$C$7+Resumo!$C$8)+Resumo!$C$10*CEILING(AJ$3/100,1)+Resumo!$C$9+Resumo!$C$13+Resumo!$C$14*CEILING(AJ$3,1))*(1+Resumo!$C$11)-(AJ$4*(Resumo!$B$6+Resumo!$B$7)+Resumo!$B$9+Resumo!$B$10*CEILING(AJ$3/100,1)+(Resumo!$B$12+Resumo!$B$14)*CEILING(AJ$3,1))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16" s="13" t="n">
        <f aca="false">(X16+AK$4*(Resumo!$C$6+Resumo!$C$7+Resumo!$C$8)+Resumo!$C$10*CEILING(AK$3/100,1)+Resumo!$C$9+Resumo!$C$13+Resumo!$C$14*CEILING(AK$3,1))*(1+Resumo!$C$11)-(AK$4*(Resumo!$B$6+Resumo!$B$7)+Resumo!$B$9+Resumo!$B$10*CEILING(AK$3/100,1)+(Resumo!$B$12+Resumo!$B$14)*CEILING(AK$3,1))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16" s="13" t="n">
        <f aca="false">(Y16+AL$4*(Resumo!$C$6+Resumo!$C$7+Resumo!$C$8)+Resumo!$C$10*CEILING(AL$3/100,1)+Resumo!$C$9+Resumo!$C$13+Resumo!$C$14*CEILING(AL$3,1))*(1+Resumo!$C$11)-(AL$4*(Resumo!$B$6+Resumo!$B$7)+Resumo!$B$9+Resumo!$B$10*CEILING(AL$3/100,1)+(Resumo!$B$12+Resumo!$B$14)*CEILING(AL$3,1))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16" s="13" t="n">
        <f aca="false">(Z16+AM$4*(Resumo!$C$6+Resumo!$C$7+Resumo!$C$8)+Resumo!$C$10*CEILING(AM$3/100,1)+Resumo!$C$9+Resumo!$C$13+Resumo!$C$14*CEILING(AM$3,1))*(1+Resumo!$C$11)-(AM$4*(Resumo!$B$6+Resumo!$B$7)+Resumo!$B$9+Resumo!$B$10*CEILING(AM$3/100,1)+(Resumo!$B$12+Resumo!$B$14)*CEILING(AM$3,1))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16" s="13" t="n">
        <f aca="false">(AA16+AN$4*(Resumo!$C$6+Resumo!$C$7+Resumo!$C$8)+Resumo!$C$10*CEILING(AN$3/100,1)+Resumo!$C$9+Resumo!$C$13+Resumo!$C$14*CEILING(AN$3,1))*(1+Resumo!$C$11)-(AN$4*(Resumo!$B$6+Resumo!$B$7)+Resumo!$B$9+Resumo!$B$10*CEILING(AN$3/100,1)+(Resumo!$B$12+Resumo!$B$14)*CEILING(AN$3,1))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16" s="13" t="n">
        <f aca="false">(AB16+AO$4*(Resumo!$C$6+Resumo!$C$7+Resumo!$C$8)+Resumo!$C$10*CEILING(AO$3/100,1)+Resumo!$C$9+Resumo!$C$13+Resumo!$C$14*CEILING(AO$3,1))*(1+Resumo!$C$11)-(AO$4*(Resumo!$B$6+Resumo!$B$7)+Resumo!$B$9+Resumo!$B$10*CEILING(AO$3/100,1)+(Resumo!$B$12+Resumo!$B$14)*CEILING(AO$3,1))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16" s="13" t="n">
        <f aca="false">(AC16+AP$4*(Resumo!$C$6+Resumo!$C$7+Resumo!$C$8)+Resumo!$C$10*CEILING(AP$3/100,1)+Resumo!$C$9+Resumo!$C$13+Resumo!$C$14*CEILING(AP$3,1))*(1+Resumo!$C$11)-(AP$4*(Resumo!$B$6+Resumo!$B$7)+Resumo!$B$9+Resumo!$B$10*CEILING(AP$3/100,1)+(Resumo!$B$12+Resumo!$B$14)*CEILING(AP$3,1))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16" s="13" t="n">
        <f aca="false">(AD16+AQ$4*(Resumo!$C$6+Resumo!$C$7+Resumo!$C$8)+Resumo!$C$10*CEILING(AQ$3/100,1)+Resumo!$C$9+Resumo!$C$13+Resumo!$C$14*CEILING(AQ$3,1))*(1+Resumo!$C$11)-(AQ$4*(Resumo!$B$6+Resumo!$B$7)+Resumo!$B$9+Resumo!$B$10*CEILING(AQ$3/100,1)+(Resumo!$B$12+Resumo!$B$14)*CEILING(AQ$3,1))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16" s="13" t="n">
        <f aca="false">(AE16+AR$4*(Resumo!$C$6+Resumo!$C$7+Resumo!$C$8)+Resumo!$C$10*CEILING(AR$3/100,1)+Resumo!$C$9+Resumo!$C$13+Resumo!$C$14*CEILING(AR$3,1))*(1+Resumo!$C$11)-(AR$4*(Resumo!$B$6+Resumo!$B$7)+Resumo!$B$9+Resumo!$B$10*CEILING(AR$3/100,1)+(Resumo!$B$12+Resumo!$B$14)*CEILING(AR$3,1))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16" s="13" t="n">
        <f aca="false">(AF16+AS$4*(Resumo!$C$6+Resumo!$C$7+Resumo!$C$8)+Resumo!$C$10*CEILING(AS$3/100,1)+Resumo!$C$9+Resumo!$C$13+Resumo!$C$14*CEILING(AS$3,1))*(1+Resumo!$C$11)-(AS$4*(Resumo!$B$6+Resumo!$B$7)+Resumo!$B$9+Resumo!$B$10*CEILING(AS$3/100,1)+(Resumo!$B$12+Resumo!$B$14)*CEILING(AS$3,1))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16" s="13" t="n">
        <f aca="false">(AG16+AT$4*(Resumo!$C$6+Resumo!$C$7+Resumo!$C$8)+Resumo!$C$10*CEILING(AT$3/100,1)+Resumo!$C$9+Resumo!$C$13+Resumo!$C$14*CEILING(AT$3,1))*(1+Resumo!$C$11)-(AT$4*(Resumo!$B$6+Resumo!$B$7)+Resumo!$B$9+Resumo!$B$10*CEILING(AT$3/100,1)+(Resumo!$B$12+Resumo!$B$14)*CEILING(AT$3,1))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16" s="44" t="n">
        <f aca="false">1-AH16/H16</f>
        <v>0.0369255754729408</v>
      </c>
      <c r="AV16" s="44" t="n">
        <f aca="false">1-AI16/I16</f>
        <v>0.269125502148147</v>
      </c>
      <c r="AW16" s="44" t="n">
        <f aca="false">1-AJ16/J16</f>
        <v>0.283617813795343</v>
      </c>
      <c r="AX16" s="44" t="n">
        <f aca="false">1-AK16/K16</f>
        <v>0.262603771912965</v>
      </c>
      <c r="AY16" s="44" t="n">
        <f aca="false">1-AL16/L16</f>
        <v>0.295509753304679</v>
      </c>
      <c r="AZ16" s="44" t="n">
        <f aca="false">1-AM16/M16</f>
        <v>0.356580385019663</v>
      </c>
      <c r="BA16" s="44" t="n">
        <f aca="false">1-AN16/N16</f>
        <v>0.281825287936108</v>
      </c>
      <c r="BB16" s="44" t="n">
        <f aca="false">1-AO16/O16</f>
        <v>0.357614394185216</v>
      </c>
      <c r="BC16" s="44" t="n">
        <f aca="false">1-AP16/P16</f>
        <v>0.439534233417314</v>
      </c>
      <c r="BD16" s="44" t="n">
        <f aca="false">1-AQ16/Q16</f>
        <v>0.421245083015122</v>
      </c>
      <c r="BE16" s="44" t="n">
        <f aca="false">1-AR16/R16</f>
        <v>0.456574396768593</v>
      </c>
      <c r="BF16" s="44" t="n">
        <f aca="false">1-AS16/S16</f>
        <v>0.809086583345882</v>
      </c>
      <c r="BG16" s="44" t="n">
        <f aca="false">1-AT16/T16</f>
        <v>0.49831506565474</v>
      </c>
    </row>
    <row r="17" customFormat="false" ht="15" hidden="false" customHeight="false" outlineLevel="0" collapsed="false">
      <c r="A17" s="10" t="s">
        <v>261</v>
      </c>
      <c r="B17" s="10" t="s">
        <v>220</v>
      </c>
      <c r="C17" s="58" t="n">
        <v>24900000</v>
      </c>
      <c r="D17" s="58" t="n">
        <v>24999999</v>
      </c>
      <c r="E17" s="10" t="s">
        <v>24</v>
      </c>
      <c r="F17" s="10" t="s">
        <v>270</v>
      </c>
      <c r="G17" s="10" t="n">
        <f aca="false">COUNTIFS(Pedidos!$C$2:$C$2224,"&gt;="&amp;C17,Pedidos!$C$2:$C$2224,"&lt;="&amp;D17)</f>
        <v>32</v>
      </c>
      <c r="H17" s="40" t="n">
        <v>57.47</v>
      </c>
      <c r="I17" s="40" t="n">
        <v>100.58</v>
      </c>
      <c r="J17" s="40" t="n">
        <v>114.95</v>
      </c>
      <c r="K17" s="40" t="n">
        <v>114.95</v>
      </c>
      <c r="L17" s="40" t="n">
        <v>128.14</v>
      </c>
      <c r="M17" s="40" t="n">
        <v>149.5</v>
      </c>
      <c r="N17" s="40" t="n">
        <v>142.74</v>
      </c>
      <c r="O17" s="40" t="n">
        <v>178.42</v>
      </c>
      <c r="P17" s="40" t="n">
        <v>214.11</v>
      </c>
      <c r="Q17" s="40" t="n">
        <v>249.03</v>
      </c>
      <c r="R17" s="40" t="n">
        <v>282.23</v>
      </c>
      <c r="S17" s="40" t="n">
        <v>332.05</v>
      </c>
      <c r="T17" s="40" t="n">
        <v>415.05</v>
      </c>
      <c r="U17" s="40" t="n">
        <v>46.95</v>
      </c>
      <c r="V17" s="40" t="n">
        <v>65.63</v>
      </c>
      <c r="W17" s="40" t="n">
        <v>74.97</v>
      </c>
      <c r="X17" s="40" t="n">
        <v>77.7</v>
      </c>
      <c r="Y17" s="40" t="n">
        <v>83.58</v>
      </c>
      <c r="Z17" s="40" t="n">
        <v>90.2</v>
      </c>
      <c r="AA17" s="40" t="n">
        <v>96.77</v>
      </c>
      <c r="AB17" s="40" t="n">
        <v>109.63</v>
      </c>
      <c r="AC17" s="40" t="n">
        <v>119.5</v>
      </c>
      <c r="AD17" s="40" t="n">
        <v>144.24</v>
      </c>
      <c r="AE17" s="40" t="n">
        <v>155.09</v>
      </c>
      <c r="AF17" s="40" t="n">
        <v>66.69</v>
      </c>
      <c r="AG17" s="40" t="n">
        <v>214.88</v>
      </c>
      <c r="AH17" s="13" t="n">
        <f aca="false">(U17+AH$4*(Resumo!$C$6+Resumo!$C$7+Resumo!$C$8)+Resumo!$C$10*CEILING(AH$3/100,1)+Resumo!$C$9+Resumo!$C$13+Resumo!$C$14*CEILING(AH$3,1))*(1+Resumo!$C$11)-(AH$4*(Resumo!$B$6+Resumo!$B$7)+Resumo!$B$9+Resumo!$B$10*CEILING(AH$3/100,1)+(Resumo!$B$12+Resumo!$B$14)*CEILING(AH$3,1))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17" s="13" t="n">
        <f aca="false">(V17+AI$4*(Resumo!$C$6+Resumo!$C$7+Resumo!$C$8)+Resumo!$C$10*CEILING(AI$3/100,1)+Resumo!$C$9+Resumo!$C$13+Resumo!$C$14*CEILING(AI$3,1))*(1+Resumo!$C$11)-(AI$4*(Resumo!$B$6+Resumo!$B$7)+Resumo!$B$9+Resumo!$B$10*CEILING(AI$3/100,1)+(Resumo!$B$12+Resumo!$B$14)*CEILING(AI$3,1))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17" s="13" t="n">
        <f aca="false">(W17+AJ$4*(Resumo!$C$6+Resumo!$C$7+Resumo!$C$8)+Resumo!$C$10*CEILING(AJ$3/100,1)+Resumo!$C$9+Resumo!$C$13+Resumo!$C$14*CEILING(AJ$3,1))*(1+Resumo!$C$11)-(AJ$4*(Resumo!$B$6+Resumo!$B$7)+Resumo!$B$9+Resumo!$B$10*CEILING(AJ$3/100,1)+(Resumo!$B$12+Resumo!$B$14)*CEILING(AJ$3,1))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17" s="13" t="n">
        <f aca="false">(X17+AK$4*(Resumo!$C$6+Resumo!$C$7+Resumo!$C$8)+Resumo!$C$10*CEILING(AK$3/100,1)+Resumo!$C$9+Resumo!$C$13+Resumo!$C$14*CEILING(AK$3,1))*(1+Resumo!$C$11)-(AK$4*(Resumo!$B$6+Resumo!$B$7)+Resumo!$B$9+Resumo!$B$10*CEILING(AK$3/100,1)+(Resumo!$B$12+Resumo!$B$14)*CEILING(AK$3,1))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17" s="13" t="n">
        <f aca="false">(Y17+AL$4*(Resumo!$C$6+Resumo!$C$7+Resumo!$C$8)+Resumo!$C$10*CEILING(AL$3/100,1)+Resumo!$C$9+Resumo!$C$13+Resumo!$C$14*CEILING(AL$3,1))*(1+Resumo!$C$11)-(AL$4*(Resumo!$B$6+Resumo!$B$7)+Resumo!$B$9+Resumo!$B$10*CEILING(AL$3/100,1)+(Resumo!$B$12+Resumo!$B$14)*CEILING(AL$3,1))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17" s="13" t="n">
        <f aca="false">(Z17+AM$4*(Resumo!$C$6+Resumo!$C$7+Resumo!$C$8)+Resumo!$C$10*CEILING(AM$3/100,1)+Resumo!$C$9+Resumo!$C$13+Resumo!$C$14*CEILING(AM$3,1))*(1+Resumo!$C$11)-(AM$4*(Resumo!$B$6+Resumo!$B$7)+Resumo!$B$9+Resumo!$B$10*CEILING(AM$3/100,1)+(Resumo!$B$12+Resumo!$B$14)*CEILING(AM$3,1))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17" s="13" t="n">
        <f aca="false">(AA17+AN$4*(Resumo!$C$6+Resumo!$C$7+Resumo!$C$8)+Resumo!$C$10*CEILING(AN$3/100,1)+Resumo!$C$9+Resumo!$C$13+Resumo!$C$14*CEILING(AN$3,1))*(1+Resumo!$C$11)-(AN$4*(Resumo!$B$6+Resumo!$B$7)+Resumo!$B$9+Resumo!$B$10*CEILING(AN$3/100,1)+(Resumo!$B$12+Resumo!$B$14)*CEILING(AN$3,1))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17" s="13" t="n">
        <f aca="false">(AB17+AO$4*(Resumo!$C$6+Resumo!$C$7+Resumo!$C$8)+Resumo!$C$10*CEILING(AO$3/100,1)+Resumo!$C$9+Resumo!$C$13+Resumo!$C$14*CEILING(AO$3,1))*(1+Resumo!$C$11)-(AO$4*(Resumo!$B$6+Resumo!$B$7)+Resumo!$B$9+Resumo!$B$10*CEILING(AO$3/100,1)+(Resumo!$B$12+Resumo!$B$14)*CEILING(AO$3,1))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17" s="13" t="n">
        <f aca="false">(AC17+AP$4*(Resumo!$C$6+Resumo!$C$7+Resumo!$C$8)+Resumo!$C$10*CEILING(AP$3/100,1)+Resumo!$C$9+Resumo!$C$13+Resumo!$C$14*CEILING(AP$3,1))*(1+Resumo!$C$11)-(AP$4*(Resumo!$B$6+Resumo!$B$7)+Resumo!$B$9+Resumo!$B$10*CEILING(AP$3/100,1)+(Resumo!$B$12+Resumo!$B$14)*CEILING(AP$3,1))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17" s="13" t="n">
        <f aca="false">(AD17+AQ$4*(Resumo!$C$6+Resumo!$C$7+Resumo!$C$8)+Resumo!$C$10*CEILING(AQ$3/100,1)+Resumo!$C$9+Resumo!$C$13+Resumo!$C$14*CEILING(AQ$3,1))*(1+Resumo!$C$11)-(AQ$4*(Resumo!$B$6+Resumo!$B$7)+Resumo!$B$9+Resumo!$B$10*CEILING(AQ$3/100,1)+(Resumo!$B$12+Resumo!$B$14)*CEILING(AQ$3,1))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17" s="13" t="n">
        <f aca="false">(AE17+AR$4*(Resumo!$C$6+Resumo!$C$7+Resumo!$C$8)+Resumo!$C$10*CEILING(AR$3/100,1)+Resumo!$C$9+Resumo!$C$13+Resumo!$C$14*CEILING(AR$3,1))*(1+Resumo!$C$11)-(AR$4*(Resumo!$B$6+Resumo!$B$7)+Resumo!$B$9+Resumo!$B$10*CEILING(AR$3/100,1)+(Resumo!$B$12+Resumo!$B$14)*CEILING(AR$3,1))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17" s="13" t="n">
        <f aca="false">(AF17+AS$4*(Resumo!$C$6+Resumo!$C$7+Resumo!$C$8)+Resumo!$C$10*CEILING(AS$3/100,1)+Resumo!$C$9+Resumo!$C$13+Resumo!$C$14*CEILING(AS$3,1))*(1+Resumo!$C$11)-(AS$4*(Resumo!$B$6+Resumo!$B$7)+Resumo!$B$9+Resumo!$B$10*CEILING(AS$3/100,1)+(Resumo!$B$12+Resumo!$B$14)*CEILING(AS$3,1))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17" s="13" t="n">
        <f aca="false">(AG17+AT$4*(Resumo!$C$6+Resumo!$C$7+Resumo!$C$8)+Resumo!$C$10*CEILING(AT$3/100,1)+Resumo!$C$9+Resumo!$C$13+Resumo!$C$14*CEILING(AT$3,1))*(1+Resumo!$C$11)-(AT$4*(Resumo!$B$6+Resumo!$B$7)+Resumo!$B$9+Resumo!$B$10*CEILING(AT$3/100,1)+(Resumo!$B$12+Resumo!$B$14)*CEILING(AT$3,1))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17" s="44" t="n">
        <f aca="false">1-AH17/H17</f>
        <v>0.0369255754729408</v>
      </c>
      <c r="AV17" s="44" t="n">
        <f aca="false">1-AI17/I17</f>
        <v>0.269125502148147</v>
      </c>
      <c r="AW17" s="44" t="n">
        <f aca="false">1-AJ17/J17</f>
        <v>0.283617813795343</v>
      </c>
      <c r="AX17" s="44" t="n">
        <f aca="false">1-AK17/K17</f>
        <v>0.262603771912965</v>
      </c>
      <c r="AY17" s="44" t="n">
        <f aca="false">1-AL17/L17</f>
        <v>0.295509753304679</v>
      </c>
      <c r="AZ17" s="44" t="n">
        <f aca="false">1-AM17/M17</f>
        <v>0.356580385019663</v>
      </c>
      <c r="BA17" s="44" t="n">
        <f aca="false">1-AN17/N17</f>
        <v>0.281825287936108</v>
      </c>
      <c r="BB17" s="44" t="n">
        <f aca="false">1-AO17/O17</f>
        <v>0.357614394185216</v>
      </c>
      <c r="BC17" s="44" t="n">
        <f aca="false">1-AP17/P17</f>
        <v>0.439534233417314</v>
      </c>
      <c r="BD17" s="44" t="n">
        <f aca="false">1-AQ17/Q17</f>
        <v>0.421245083015122</v>
      </c>
      <c r="BE17" s="44" t="n">
        <f aca="false">1-AR17/R17</f>
        <v>0.456574396768593</v>
      </c>
      <c r="BF17" s="44" t="n">
        <f aca="false">1-AS17/S17</f>
        <v>0.809086583345882</v>
      </c>
      <c r="BG17" s="44" t="n">
        <f aca="false">1-AT17/T17</f>
        <v>0.49831506565474</v>
      </c>
    </row>
    <row r="18" customFormat="false" ht="15" hidden="false" customHeight="false" outlineLevel="0" collapsed="false">
      <c r="A18" s="10" t="s">
        <v>261</v>
      </c>
      <c r="B18" s="10" t="s">
        <v>48</v>
      </c>
      <c r="C18" s="58" t="n">
        <v>25000000</v>
      </c>
      <c r="D18" s="58" t="n">
        <v>25499999</v>
      </c>
      <c r="E18" s="10" t="s">
        <v>23</v>
      </c>
      <c r="F18" s="10" t="s">
        <v>262</v>
      </c>
      <c r="G18" s="10" t="n">
        <f aca="false">COUNTIFS(Pedidos!$C$2:$C$2224,"&gt;="&amp;C18,Pedidos!$C$2:$C$2224,"&lt;="&amp;D18)</f>
        <v>106</v>
      </c>
      <c r="H18" s="40" t="n">
        <v>46.98</v>
      </c>
      <c r="I18" s="40" t="n">
        <v>82.21</v>
      </c>
      <c r="J18" s="40" t="n">
        <v>93.97</v>
      </c>
      <c r="K18" s="40" t="n">
        <v>93.97</v>
      </c>
      <c r="L18" s="40" t="n">
        <v>112.3</v>
      </c>
      <c r="M18" s="40" t="n">
        <v>131.02</v>
      </c>
      <c r="N18" s="40" t="n">
        <v>134.39</v>
      </c>
      <c r="O18" s="40" t="n">
        <v>167.99</v>
      </c>
      <c r="P18" s="40" t="n">
        <v>201.59</v>
      </c>
      <c r="Q18" s="40" t="n">
        <v>239.25</v>
      </c>
      <c r="R18" s="40" t="n">
        <v>271.15</v>
      </c>
      <c r="S18" s="40" t="n">
        <v>319</v>
      </c>
      <c r="T18" s="40" t="n">
        <v>398.74</v>
      </c>
      <c r="U18" s="40" t="n">
        <v>42.72</v>
      </c>
      <c r="V18" s="40" t="n">
        <v>58.8</v>
      </c>
      <c r="W18" s="40" t="n">
        <v>66.83</v>
      </c>
      <c r="X18" s="40" t="n">
        <v>65.36</v>
      </c>
      <c r="Y18" s="40" t="n">
        <v>70.98</v>
      </c>
      <c r="Z18" s="40" t="n">
        <v>76.55</v>
      </c>
      <c r="AA18" s="40" t="n">
        <v>82.48</v>
      </c>
      <c r="AB18" s="40" t="n">
        <v>92.32</v>
      </c>
      <c r="AC18" s="40" t="n">
        <v>101.26</v>
      </c>
      <c r="AD18" s="40" t="n">
        <v>129.62</v>
      </c>
      <c r="AE18" s="40" t="n">
        <v>139.81</v>
      </c>
      <c r="AF18" s="40" t="n">
        <v>155.09</v>
      </c>
      <c r="AG18" s="40" t="n">
        <v>194.34</v>
      </c>
      <c r="AH18" s="13" t="n">
        <f aca="false">(U18+AH$4*(Resumo!$C$6+Resumo!$C$7+Resumo!$C$8)+Resumo!$C$10*CEILING(AH$3/100,1)+Resumo!$C$9+Resumo!$C$13+Resumo!$C$14*CEILING(AH$3,1))*(1+Resumo!$C$11)-(AH$4*(Resumo!$B$6+Resumo!$B$7)+Resumo!$B$9+Resumo!$B$10*CEILING(AH$3/100,1)+(Resumo!$B$12+Resumo!$B$14)*CEILING(AH$3,1))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18" s="13" t="n">
        <f aca="false">(V18+AI$4*(Resumo!$C$6+Resumo!$C$7+Resumo!$C$8)+Resumo!$C$10*CEILING(AI$3/100,1)+Resumo!$C$9+Resumo!$C$13+Resumo!$C$14*CEILING(AI$3,1))*(1+Resumo!$C$11)-(AI$4*(Resumo!$B$6+Resumo!$B$7)+Resumo!$B$9+Resumo!$B$10*CEILING(AI$3/100,1)+(Resumo!$B$12+Resumo!$B$14)*CEILING(AI$3,1))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18" s="13" t="n">
        <f aca="false">(W18+AJ$4*(Resumo!$C$6+Resumo!$C$7+Resumo!$C$8)+Resumo!$C$10*CEILING(AJ$3/100,1)+Resumo!$C$9+Resumo!$C$13+Resumo!$C$14*CEILING(AJ$3,1))*(1+Resumo!$C$11)-(AJ$4*(Resumo!$B$6+Resumo!$B$7)+Resumo!$B$9+Resumo!$B$10*CEILING(AJ$3/100,1)+(Resumo!$B$12+Resumo!$B$14)*CEILING(AJ$3,1))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18" s="13" t="n">
        <f aca="false">(X18+AK$4*(Resumo!$C$6+Resumo!$C$7+Resumo!$C$8)+Resumo!$C$10*CEILING(AK$3/100,1)+Resumo!$C$9+Resumo!$C$13+Resumo!$C$14*CEILING(AK$3,1))*(1+Resumo!$C$11)-(AK$4*(Resumo!$B$6+Resumo!$B$7)+Resumo!$B$9+Resumo!$B$10*CEILING(AK$3/100,1)+(Resumo!$B$12+Resumo!$B$14)*CEILING(AK$3,1))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18" s="13" t="n">
        <f aca="false">(Y18+AL$4*(Resumo!$C$6+Resumo!$C$7+Resumo!$C$8)+Resumo!$C$10*CEILING(AL$3/100,1)+Resumo!$C$9+Resumo!$C$13+Resumo!$C$14*CEILING(AL$3,1))*(1+Resumo!$C$11)-(AL$4*(Resumo!$B$6+Resumo!$B$7)+Resumo!$B$9+Resumo!$B$10*CEILING(AL$3/100,1)+(Resumo!$B$12+Resumo!$B$14)*CEILING(AL$3,1))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18" s="13" t="n">
        <f aca="false">(Z18+AM$4*(Resumo!$C$6+Resumo!$C$7+Resumo!$C$8)+Resumo!$C$10*CEILING(AM$3/100,1)+Resumo!$C$9+Resumo!$C$13+Resumo!$C$14*CEILING(AM$3,1))*(1+Resumo!$C$11)-(AM$4*(Resumo!$B$6+Resumo!$B$7)+Resumo!$B$9+Resumo!$B$10*CEILING(AM$3/100,1)+(Resumo!$B$12+Resumo!$B$14)*CEILING(AM$3,1))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18" s="13" t="n">
        <f aca="false">(AA18+AN$4*(Resumo!$C$6+Resumo!$C$7+Resumo!$C$8)+Resumo!$C$10*CEILING(AN$3/100,1)+Resumo!$C$9+Resumo!$C$13+Resumo!$C$14*CEILING(AN$3,1))*(1+Resumo!$C$11)-(AN$4*(Resumo!$B$6+Resumo!$B$7)+Resumo!$B$9+Resumo!$B$10*CEILING(AN$3/100,1)+(Resumo!$B$12+Resumo!$B$14)*CEILING(AN$3,1))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18" s="13" t="n">
        <f aca="false">(AB18+AO$4*(Resumo!$C$6+Resumo!$C$7+Resumo!$C$8)+Resumo!$C$10*CEILING(AO$3/100,1)+Resumo!$C$9+Resumo!$C$13+Resumo!$C$14*CEILING(AO$3,1))*(1+Resumo!$C$11)-(AO$4*(Resumo!$B$6+Resumo!$B$7)+Resumo!$B$9+Resumo!$B$10*CEILING(AO$3/100,1)+(Resumo!$B$12+Resumo!$B$14)*CEILING(AO$3,1))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18" s="13" t="n">
        <f aca="false">(AC18+AP$4*(Resumo!$C$6+Resumo!$C$7+Resumo!$C$8)+Resumo!$C$10*CEILING(AP$3/100,1)+Resumo!$C$9+Resumo!$C$13+Resumo!$C$14*CEILING(AP$3,1))*(1+Resumo!$C$11)-(AP$4*(Resumo!$B$6+Resumo!$B$7)+Resumo!$B$9+Resumo!$B$10*CEILING(AP$3/100,1)+(Resumo!$B$12+Resumo!$B$14)*CEILING(AP$3,1))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18" s="13" t="n">
        <f aca="false">(AD18+AQ$4*(Resumo!$C$6+Resumo!$C$7+Resumo!$C$8)+Resumo!$C$10*CEILING(AQ$3/100,1)+Resumo!$C$9+Resumo!$C$13+Resumo!$C$14*CEILING(AQ$3,1))*(1+Resumo!$C$11)-(AQ$4*(Resumo!$B$6+Resumo!$B$7)+Resumo!$B$9+Resumo!$B$10*CEILING(AQ$3/100,1)+(Resumo!$B$12+Resumo!$B$14)*CEILING(AQ$3,1))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18" s="13" t="n">
        <f aca="false">(AE18+AR$4*(Resumo!$C$6+Resumo!$C$7+Resumo!$C$8)+Resumo!$C$10*CEILING(AR$3/100,1)+Resumo!$C$9+Resumo!$C$13+Resumo!$C$14*CEILING(AR$3,1))*(1+Resumo!$C$11)-(AR$4*(Resumo!$B$6+Resumo!$B$7)+Resumo!$B$9+Resumo!$B$10*CEILING(AR$3/100,1)+(Resumo!$B$12+Resumo!$B$14)*CEILING(AR$3,1))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18" s="13" t="n">
        <f aca="false">(AF18+AS$4*(Resumo!$C$6+Resumo!$C$7+Resumo!$C$8)+Resumo!$C$10*CEILING(AS$3/100,1)+Resumo!$C$9+Resumo!$C$13+Resumo!$C$14*CEILING(AS$3,1))*(1+Resumo!$C$11)-(AS$4*(Resumo!$B$6+Resumo!$B$7)+Resumo!$B$9+Resumo!$B$10*CEILING(AS$3/100,1)+(Resumo!$B$12+Resumo!$B$14)*CEILING(AS$3,1))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18" s="13" t="n">
        <f aca="false">(AG18+AT$4*(Resumo!$C$6+Resumo!$C$7+Resumo!$C$8)+Resumo!$C$10*CEILING(AT$3/100,1)+Resumo!$C$9+Resumo!$C$13+Resumo!$C$14*CEILING(AT$3,1))*(1+Resumo!$C$11)-(AT$4*(Resumo!$B$6+Resumo!$B$7)+Resumo!$B$9+Resumo!$B$10*CEILING(AT$3/100,1)+(Resumo!$B$12+Resumo!$B$14)*CEILING(AT$3,1))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18" s="44" t="n">
        <f aca="false">1-AH18/H18</f>
        <v>-0.0880776325578989</v>
      </c>
      <c r="AV18" s="44" t="n">
        <f aca="false">1-AI18/I18</f>
        <v>0.188889952634237</v>
      </c>
      <c r="AW18" s="44" t="n">
        <f aca="false">1-AJ18/J18</f>
        <v>0.210299752003561</v>
      </c>
      <c r="AX18" s="44" t="n">
        <f aca="false">1-AK18/K18</f>
        <v>0.229289172942379</v>
      </c>
      <c r="AY18" s="44" t="n">
        <f aca="false">1-AL18/L18</f>
        <v>0.30834033649565</v>
      </c>
      <c r="AZ18" s="44" t="n">
        <f aca="false">1-AM18/M18</f>
        <v>0.370010437799111</v>
      </c>
      <c r="BA18" s="44" t="n">
        <f aca="false">1-AN18/N18</f>
        <v>0.343535542823127</v>
      </c>
      <c r="BB18" s="44" t="n">
        <f aca="false">1-AO18/O18</f>
        <v>0.420772428183382</v>
      </c>
      <c r="BC18" s="44" t="n">
        <f aca="false">1-AP18/P18</f>
        <v>0.495206482052588</v>
      </c>
      <c r="BD18" s="44" t="n">
        <f aca="false">1-AQ18/Q18</f>
        <v>0.45869451629365</v>
      </c>
      <c r="BE18" s="44" t="n">
        <f aca="false">1-AR18/R18</f>
        <v>0.490720973630831</v>
      </c>
      <c r="BF18" s="44" t="n">
        <f aca="false">1-AS18/S18</f>
        <v>0.524160501567398</v>
      </c>
      <c r="BG18" s="44" t="n">
        <f aca="false">1-AT18/T18</f>
        <v>0.529306485429102</v>
      </c>
    </row>
    <row r="19" customFormat="false" ht="15" hidden="false" customHeight="false" outlineLevel="0" collapsed="false">
      <c r="A19" s="10" t="s">
        <v>261</v>
      </c>
      <c r="B19" s="10" t="s">
        <v>216</v>
      </c>
      <c r="C19" s="58" t="n">
        <v>25500000</v>
      </c>
      <c r="D19" s="58" t="n">
        <v>25599999</v>
      </c>
      <c r="E19" s="10" t="s">
        <v>23</v>
      </c>
      <c r="F19" s="10" t="s">
        <v>262</v>
      </c>
      <c r="G19" s="10" t="n">
        <f aca="false">COUNTIFS(Pedidos!$C$2:$C$2224,"&gt;="&amp;C19,Pedidos!$C$2:$C$2224,"&lt;="&amp;D19)</f>
        <v>37</v>
      </c>
      <c r="H19" s="40" t="n">
        <v>46.98</v>
      </c>
      <c r="I19" s="40" t="n">
        <v>82.21</v>
      </c>
      <c r="J19" s="40" t="n">
        <v>93.97</v>
      </c>
      <c r="K19" s="40" t="n">
        <v>93.97</v>
      </c>
      <c r="L19" s="40" t="n">
        <v>112.3</v>
      </c>
      <c r="M19" s="40" t="n">
        <v>131.02</v>
      </c>
      <c r="N19" s="40" t="n">
        <v>134.39</v>
      </c>
      <c r="O19" s="40" t="n">
        <v>167.99</v>
      </c>
      <c r="P19" s="40" t="n">
        <v>201.59</v>
      </c>
      <c r="Q19" s="40" t="n">
        <v>239.25</v>
      </c>
      <c r="R19" s="40" t="n">
        <v>271.15</v>
      </c>
      <c r="S19" s="40" t="n">
        <v>319</v>
      </c>
      <c r="T19" s="40" t="n">
        <v>398.74</v>
      </c>
      <c r="U19" s="40" t="n">
        <v>42.72</v>
      </c>
      <c r="V19" s="40" t="n">
        <v>58.8</v>
      </c>
      <c r="W19" s="40" t="n">
        <v>66.83</v>
      </c>
      <c r="X19" s="40" t="n">
        <v>65.36</v>
      </c>
      <c r="Y19" s="40" t="n">
        <v>70.98</v>
      </c>
      <c r="Z19" s="40" t="n">
        <v>76.55</v>
      </c>
      <c r="AA19" s="40" t="n">
        <v>82.48</v>
      </c>
      <c r="AB19" s="40" t="n">
        <v>92.32</v>
      </c>
      <c r="AC19" s="40" t="n">
        <v>101.26</v>
      </c>
      <c r="AD19" s="40" t="n">
        <v>129.62</v>
      </c>
      <c r="AE19" s="40" t="n">
        <v>139.81</v>
      </c>
      <c r="AF19" s="40" t="n">
        <v>155.09</v>
      </c>
      <c r="AG19" s="40" t="n">
        <v>194.34</v>
      </c>
      <c r="AH19" s="13" t="n">
        <f aca="false">(U19+AH$4*(Resumo!$C$6+Resumo!$C$7+Resumo!$C$8)+Resumo!$C$10*CEILING(AH$3/100,1)+Resumo!$C$9+Resumo!$C$13+Resumo!$C$14*CEILING(AH$3,1))*(1+Resumo!$C$11)-(AH$4*(Resumo!$B$6+Resumo!$B$7)+Resumo!$B$9+Resumo!$B$10*CEILING(AH$3/100,1)+(Resumo!$B$12+Resumo!$B$14)*CEILING(AH$3,1))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19" s="13" t="n">
        <f aca="false">(V19+AI$4*(Resumo!$C$6+Resumo!$C$7+Resumo!$C$8)+Resumo!$C$10*CEILING(AI$3/100,1)+Resumo!$C$9+Resumo!$C$13+Resumo!$C$14*CEILING(AI$3,1))*(1+Resumo!$C$11)-(AI$4*(Resumo!$B$6+Resumo!$B$7)+Resumo!$B$9+Resumo!$B$10*CEILING(AI$3/100,1)+(Resumo!$B$12+Resumo!$B$14)*CEILING(AI$3,1))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19" s="13" t="n">
        <f aca="false">(W19+AJ$4*(Resumo!$C$6+Resumo!$C$7+Resumo!$C$8)+Resumo!$C$10*CEILING(AJ$3/100,1)+Resumo!$C$9+Resumo!$C$13+Resumo!$C$14*CEILING(AJ$3,1))*(1+Resumo!$C$11)-(AJ$4*(Resumo!$B$6+Resumo!$B$7)+Resumo!$B$9+Resumo!$B$10*CEILING(AJ$3/100,1)+(Resumo!$B$12+Resumo!$B$14)*CEILING(AJ$3,1))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19" s="13" t="n">
        <f aca="false">(X19+AK$4*(Resumo!$C$6+Resumo!$C$7+Resumo!$C$8)+Resumo!$C$10*CEILING(AK$3/100,1)+Resumo!$C$9+Resumo!$C$13+Resumo!$C$14*CEILING(AK$3,1))*(1+Resumo!$C$11)-(AK$4*(Resumo!$B$6+Resumo!$B$7)+Resumo!$B$9+Resumo!$B$10*CEILING(AK$3/100,1)+(Resumo!$B$12+Resumo!$B$14)*CEILING(AK$3,1))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19" s="13" t="n">
        <f aca="false">(Y19+AL$4*(Resumo!$C$6+Resumo!$C$7+Resumo!$C$8)+Resumo!$C$10*CEILING(AL$3/100,1)+Resumo!$C$9+Resumo!$C$13+Resumo!$C$14*CEILING(AL$3,1))*(1+Resumo!$C$11)-(AL$4*(Resumo!$B$6+Resumo!$B$7)+Resumo!$B$9+Resumo!$B$10*CEILING(AL$3/100,1)+(Resumo!$B$12+Resumo!$B$14)*CEILING(AL$3,1))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19" s="13" t="n">
        <f aca="false">(Z19+AM$4*(Resumo!$C$6+Resumo!$C$7+Resumo!$C$8)+Resumo!$C$10*CEILING(AM$3/100,1)+Resumo!$C$9+Resumo!$C$13+Resumo!$C$14*CEILING(AM$3,1))*(1+Resumo!$C$11)-(AM$4*(Resumo!$B$6+Resumo!$B$7)+Resumo!$B$9+Resumo!$B$10*CEILING(AM$3/100,1)+(Resumo!$B$12+Resumo!$B$14)*CEILING(AM$3,1))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19" s="13" t="n">
        <f aca="false">(AA19+AN$4*(Resumo!$C$6+Resumo!$C$7+Resumo!$C$8)+Resumo!$C$10*CEILING(AN$3/100,1)+Resumo!$C$9+Resumo!$C$13+Resumo!$C$14*CEILING(AN$3,1))*(1+Resumo!$C$11)-(AN$4*(Resumo!$B$6+Resumo!$B$7)+Resumo!$B$9+Resumo!$B$10*CEILING(AN$3/100,1)+(Resumo!$B$12+Resumo!$B$14)*CEILING(AN$3,1))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19" s="13" t="n">
        <f aca="false">(AB19+AO$4*(Resumo!$C$6+Resumo!$C$7+Resumo!$C$8)+Resumo!$C$10*CEILING(AO$3/100,1)+Resumo!$C$9+Resumo!$C$13+Resumo!$C$14*CEILING(AO$3,1))*(1+Resumo!$C$11)-(AO$4*(Resumo!$B$6+Resumo!$B$7)+Resumo!$B$9+Resumo!$B$10*CEILING(AO$3/100,1)+(Resumo!$B$12+Resumo!$B$14)*CEILING(AO$3,1))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19" s="13" t="n">
        <f aca="false">(AC19+AP$4*(Resumo!$C$6+Resumo!$C$7+Resumo!$C$8)+Resumo!$C$10*CEILING(AP$3/100,1)+Resumo!$C$9+Resumo!$C$13+Resumo!$C$14*CEILING(AP$3,1))*(1+Resumo!$C$11)-(AP$4*(Resumo!$B$6+Resumo!$B$7)+Resumo!$B$9+Resumo!$B$10*CEILING(AP$3/100,1)+(Resumo!$B$12+Resumo!$B$14)*CEILING(AP$3,1))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19" s="13" t="n">
        <f aca="false">(AD19+AQ$4*(Resumo!$C$6+Resumo!$C$7+Resumo!$C$8)+Resumo!$C$10*CEILING(AQ$3/100,1)+Resumo!$C$9+Resumo!$C$13+Resumo!$C$14*CEILING(AQ$3,1))*(1+Resumo!$C$11)-(AQ$4*(Resumo!$B$6+Resumo!$B$7)+Resumo!$B$9+Resumo!$B$10*CEILING(AQ$3/100,1)+(Resumo!$B$12+Resumo!$B$14)*CEILING(AQ$3,1))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19" s="13" t="n">
        <f aca="false">(AE19+AR$4*(Resumo!$C$6+Resumo!$C$7+Resumo!$C$8)+Resumo!$C$10*CEILING(AR$3/100,1)+Resumo!$C$9+Resumo!$C$13+Resumo!$C$14*CEILING(AR$3,1))*(1+Resumo!$C$11)-(AR$4*(Resumo!$B$6+Resumo!$B$7)+Resumo!$B$9+Resumo!$B$10*CEILING(AR$3/100,1)+(Resumo!$B$12+Resumo!$B$14)*CEILING(AR$3,1))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19" s="13" t="n">
        <f aca="false">(AF19+AS$4*(Resumo!$C$6+Resumo!$C$7+Resumo!$C$8)+Resumo!$C$10*CEILING(AS$3/100,1)+Resumo!$C$9+Resumo!$C$13+Resumo!$C$14*CEILING(AS$3,1))*(1+Resumo!$C$11)-(AS$4*(Resumo!$B$6+Resumo!$B$7)+Resumo!$B$9+Resumo!$B$10*CEILING(AS$3/100,1)+(Resumo!$B$12+Resumo!$B$14)*CEILING(AS$3,1))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19" s="13" t="n">
        <f aca="false">(AG19+AT$4*(Resumo!$C$6+Resumo!$C$7+Resumo!$C$8)+Resumo!$C$10*CEILING(AT$3/100,1)+Resumo!$C$9+Resumo!$C$13+Resumo!$C$14*CEILING(AT$3,1))*(1+Resumo!$C$11)-(AT$4*(Resumo!$B$6+Resumo!$B$7)+Resumo!$B$9+Resumo!$B$10*CEILING(AT$3/100,1)+(Resumo!$B$12+Resumo!$B$14)*CEILING(AT$3,1))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19" s="44" t="n">
        <f aca="false">1-AH19/H19</f>
        <v>-0.0880776325578989</v>
      </c>
      <c r="AV19" s="44" t="n">
        <f aca="false">1-AI19/I19</f>
        <v>0.188889952634237</v>
      </c>
      <c r="AW19" s="44" t="n">
        <f aca="false">1-AJ19/J19</f>
        <v>0.210299752003561</v>
      </c>
      <c r="AX19" s="44" t="n">
        <f aca="false">1-AK19/K19</f>
        <v>0.229289172942379</v>
      </c>
      <c r="AY19" s="44" t="n">
        <f aca="false">1-AL19/L19</f>
        <v>0.30834033649565</v>
      </c>
      <c r="AZ19" s="44" t="n">
        <f aca="false">1-AM19/M19</f>
        <v>0.370010437799111</v>
      </c>
      <c r="BA19" s="44" t="n">
        <f aca="false">1-AN19/N19</f>
        <v>0.343535542823127</v>
      </c>
      <c r="BB19" s="44" t="n">
        <f aca="false">1-AO19/O19</f>
        <v>0.420772428183382</v>
      </c>
      <c r="BC19" s="44" t="n">
        <f aca="false">1-AP19/P19</f>
        <v>0.495206482052588</v>
      </c>
      <c r="BD19" s="44" t="n">
        <f aca="false">1-AQ19/Q19</f>
        <v>0.45869451629365</v>
      </c>
      <c r="BE19" s="44" t="n">
        <f aca="false">1-AR19/R19</f>
        <v>0.490720973630831</v>
      </c>
      <c r="BF19" s="44" t="n">
        <f aca="false">1-AS19/S19</f>
        <v>0.524160501567398</v>
      </c>
      <c r="BG19" s="44" t="n">
        <f aca="false">1-AT19/T19</f>
        <v>0.529306485429102</v>
      </c>
    </row>
    <row r="20" customFormat="false" ht="15" hidden="false" customHeight="false" outlineLevel="0" collapsed="false">
      <c r="A20" s="10" t="s">
        <v>261</v>
      </c>
      <c r="B20" s="10" t="s">
        <v>219</v>
      </c>
      <c r="C20" s="58" t="n">
        <v>25600000</v>
      </c>
      <c r="D20" s="58" t="n">
        <v>25779999</v>
      </c>
      <c r="E20" s="10" t="s">
        <v>24</v>
      </c>
      <c r="F20" s="10" t="s">
        <v>272</v>
      </c>
      <c r="G20" s="10" t="n">
        <f aca="false">COUNTIFS(Pedidos!$C$2:$C$2224,"&gt;="&amp;C20,Pedidos!$C$2:$C$2224,"&lt;="&amp;D20)</f>
        <v>32</v>
      </c>
      <c r="H20" s="40" t="n">
        <v>89.03</v>
      </c>
      <c r="I20" s="40" t="n">
        <v>108.83</v>
      </c>
      <c r="J20" s="40" t="n">
        <v>124.38</v>
      </c>
      <c r="K20" s="40" t="n">
        <v>124.38</v>
      </c>
      <c r="L20" s="40" t="n">
        <v>142.32</v>
      </c>
      <c r="M20" s="40" t="n">
        <v>166.05</v>
      </c>
      <c r="N20" s="40" t="n">
        <v>166.05</v>
      </c>
      <c r="O20" s="40" t="n">
        <v>197.35</v>
      </c>
      <c r="P20" s="40" t="n">
        <v>236.82</v>
      </c>
      <c r="Q20" s="40" t="n">
        <v>264.84</v>
      </c>
      <c r="R20" s="40" t="n">
        <v>300.15</v>
      </c>
      <c r="S20" s="40" t="n">
        <v>353.12</v>
      </c>
      <c r="T20" s="40" t="n">
        <v>441.4</v>
      </c>
      <c r="U20" s="40" t="n">
        <v>46.95</v>
      </c>
      <c r="V20" s="40" t="n">
        <v>65.63</v>
      </c>
      <c r="W20" s="40" t="n">
        <v>74.97</v>
      </c>
      <c r="X20" s="40" t="n">
        <v>77.7</v>
      </c>
      <c r="Y20" s="40" t="n">
        <v>83.58</v>
      </c>
      <c r="Z20" s="40" t="n">
        <v>90.2</v>
      </c>
      <c r="AA20" s="40" t="n">
        <v>96.77</v>
      </c>
      <c r="AB20" s="40" t="n">
        <v>109.63</v>
      </c>
      <c r="AC20" s="40" t="n">
        <v>119.5</v>
      </c>
      <c r="AD20" s="40" t="n">
        <v>144.24</v>
      </c>
      <c r="AE20" s="40" t="n">
        <v>155.09</v>
      </c>
      <c r="AF20" s="40" t="n">
        <v>66.69</v>
      </c>
      <c r="AG20" s="40" t="n">
        <v>214.88</v>
      </c>
      <c r="AH20" s="13" t="n">
        <f aca="false">(U20+AH$4*(Resumo!$C$6+Resumo!$C$7+Resumo!$C$8)+Resumo!$C$10*CEILING(AH$3/100,1)+Resumo!$C$9+Resumo!$C$13+Resumo!$C$14*CEILING(AH$3,1))*(1+Resumo!$C$11)-(AH$4*(Resumo!$B$6+Resumo!$B$7)+Resumo!$B$9+Resumo!$B$10*CEILING(AH$3/100,1)+(Resumo!$B$12+Resumo!$B$14)*CEILING(AH$3,1))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0" s="13" t="n">
        <f aca="false">(V20+AI$4*(Resumo!$C$6+Resumo!$C$7+Resumo!$C$8)+Resumo!$C$10*CEILING(AI$3/100,1)+Resumo!$C$9+Resumo!$C$13+Resumo!$C$14*CEILING(AI$3,1))*(1+Resumo!$C$11)-(AI$4*(Resumo!$B$6+Resumo!$B$7)+Resumo!$B$9+Resumo!$B$10*CEILING(AI$3/100,1)+(Resumo!$B$12+Resumo!$B$14)*CEILING(AI$3,1))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0" s="13" t="n">
        <f aca="false">(W20+AJ$4*(Resumo!$C$6+Resumo!$C$7+Resumo!$C$8)+Resumo!$C$10*CEILING(AJ$3/100,1)+Resumo!$C$9+Resumo!$C$13+Resumo!$C$14*CEILING(AJ$3,1))*(1+Resumo!$C$11)-(AJ$4*(Resumo!$B$6+Resumo!$B$7)+Resumo!$B$9+Resumo!$B$10*CEILING(AJ$3/100,1)+(Resumo!$B$12+Resumo!$B$14)*CEILING(AJ$3,1))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0" s="13" t="n">
        <f aca="false">(X20+AK$4*(Resumo!$C$6+Resumo!$C$7+Resumo!$C$8)+Resumo!$C$10*CEILING(AK$3/100,1)+Resumo!$C$9+Resumo!$C$13+Resumo!$C$14*CEILING(AK$3,1))*(1+Resumo!$C$11)-(AK$4*(Resumo!$B$6+Resumo!$B$7)+Resumo!$B$9+Resumo!$B$10*CEILING(AK$3/100,1)+(Resumo!$B$12+Resumo!$B$14)*CEILING(AK$3,1))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0" s="13" t="n">
        <f aca="false">(Y20+AL$4*(Resumo!$C$6+Resumo!$C$7+Resumo!$C$8)+Resumo!$C$10*CEILING(AL$3/100,1)+Resumo!$C$9+Resumo!$C$13+Resumo!$C$14*CEILING(AL$3,1))*(1+Resumo!$C$11)-(AL$4*(Resumo!$B$6+Resumo!$B$7)+Resumo!$B$9+Resumo!$B$10*CEILING(AL$3/100,1)+(Resumo!$B$12+Resumo!$B$14)*CEILING(AL$3,1))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0" s="13" t="n">
        <f aca="false">(Z20+AM$4*(Resumo!$C$6+Resumo!$C$7+Resumo!$C$8)+Resumo!$C$10*CEILING(AM$3/100,1)+Resumo!$C$9+Resumo!$C$13+Resumo!$C$14*CEILING(AM$3,1))*(1+Resumo!$C$11)-(AM$4*(Resumo!$B$6+Resumo!$B$7)+Resumo!$B$9+Resumo!$B$10*CEILING(AM$3/100,1)+(Resumo!$B$12+Resumo!$B$14)*CEILING(AM$3,1))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0" s="13" t="n">
        <f aca="false">(AA20+AN$4*(Resumo!$C$6+Resumo!$C$7+Resumo!$C$8)+Resumo!$C$10*CEILING(AN$3/100,1)+Resumo!$C$9+Resumo!$C$13+Resumo!$C$14*CEILING(AN$3,1))*(1+Resumo!$C$11)-(AN$4*(Resumo!$B$6+Resumo!$B$7)+Resumo!$B$9+Resumo!$B$10*CEILING(AN$3/100,1)+(Resumo!$B$12+Resumo!$B$14)*CEILING(AN$3,1))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0" s="13" t="n">
        <f aca="false">(AB20+AO$4*(Resumo!$C$6+Resumo!$C$7+Resumo!$C$8)+Resumo!$C$10*CEILING(AO$3/100,1)+Resumo!$C$9+Resumo!$C$13+Resumo!$C$14*CEILING(AO$3,1))*(1+Resumo!$C$11)-(AO$4*(Resumo!$B$6+Resumo!$B$7)+Resumo!$B$9+Resumo!$B$10*CEILING(AO$3/100,1)+(Resumo!$B$12+Resumo!$B$14)*CEILING(AO$3,1))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0" s="13" t="n">
        <f aca="false">(AC20+AP$4*(Resumo!$C$6+Resumo!$C$7+Resumo!$C$8)+Resumo!$C$10*CEILING(AP$3/100,1)+Resumo!$C$9+Resumo!$C$13+Resumo!$C$14*CEILING(AP$3,1))*(1+Resumo!$C$11)-(AP$4*(Resumo!$B$6+Resumo!$B$7)+Resumo!$B$9+Resumo!$B$10*CEILING(AP$3/100,1)+(Resumo!$B$12+Resumo!$B$14)*CEILING(AP$3,1))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0" s="13" t="n">
        <f aca="false">(AD20+AQ$4*(Resumo!$C$6+Resumo!$C$7+Resumo!$C$8)+Resumo!$C$10*CEILING(AQ$3/100,1)+Resumo!$C$9+Resumo!$C$13+Resumo!$C$14*CEILING(AQ$3,1))*(1+Resumo!$C$11)-(AQ$4*(Resumo!$B$6+Resumo!$B$7)+Resumo!$B$9+Resumo!$B$10*CEILING(AQ$3/100,1)+(Resumo!$B$12+Resumo!$B$14)*CEILING(AQ$3,1))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0" s="13" t="n">
        <f aca="false">(AE20+AR$4*(Resumo!$C$6+Resumo!$C$7+Resumo!$C$8)+Resumo!$C$10*CEILING(AR$3/100,1)+Resumo!$C$9+Resumo!$C$13+Resumo!$C$14*CEILING(AR$3,1))*(1+Resumo!$C$11)-(AR$4*(Resumo!$B$6+Resumo!$B$7)+Resumo!$B$9+Resumo!$B$10*CEILING(AR$3/100,1)+(Resumo!$B$12+Resumo!$B$14)*CEILING(AR$3,1))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0" s="13" t="n">
        <f aca="false">(AF20+AS$4*(Resumo!$C$6+Resumo!$C$7+Resumo!$C$8)+Resumo!$C$10*CEILING(AS$3/100,1)+Resumo!$C$9+Resumo!$C$13+Resumo!$C$14*CEILING(AS$3,1))*(1+Resumo!$C$11)-(AS$4*(Resumo!$B$6+Resumo!$B$7)+Resumo!$B$9+Resumo!$B$10*CEILING(AS$3/100,1)+(Resumo!$B$12+Resumo!$B$14)*CEILING(AS$3,1))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0" s="13" t="n">
        <f aca="false">(AG20+AT$4*(Resumo!$C$6+Resumo!$C$7+Resumo!$C$8)+Resumo!$C$10*CEILING(AT$3/100,1)+Resumo!$C$9+Resumo!$C$13+Resumo!$C$14*CEILING(AT$3,1))*(1+Resumo!$C$11)-(AT$4*(Resumo!$B$6+Resumo!$B$7)+Resumo!$B$9+Resumo!$B$10*CEILING(AT$3/100,1)+(Resumo!$B$12+Resumo!$B$14)*CEILING(AT$3,1))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0" s="44" t="n">
        <f aca="false">1-AH20/H20</f>
        <v>0.378323181202178</v>
      </c>
      <c r="AV20" s="44" t="n">
        <f aca="false">1-AI20/I20</f>
        <v>0.324530396086195</v>
      </c>
      <c r="AW20" s="44" t="n">
        <f aca="false">1-AJ20/J20</f>
        <v>0.337931079721616</v>
      </c>
      <c r="AX20" s="44" t="n">
        <f aca="false">1-AK20/K20</f>
        <v>0.318510239438779</v>
      </c>
      <c r="AY20" s="44" t="n">
        <f aca="false">1-AL20/L20</f>
        <v>0.365701375691832</v>
      </c>
      <c r="AZ20" s="44" t="n">
        <f aca="false">1-AM20/M20</f>
        <v>0.420709229511831</v>
      </c>
      <c r="BA20" s="44" t="n">
        <f aca="false">1-AN20/N20</f>
        <v>0.382642225835592</v>
      </c>
      <c r="BB20" s="44" t="n">
        <f aca="false">1-AO20/O20</f>
        <v>0.419232633445788</v>
      </c>
      <c r="BC20" s="44" t="n">
        <f aca="false">1-AP20/P20</f>
        <v>0.493280443868681</v>
      </c>
      <c r="BD20" s="44" t="n">
        <f aca="false">1-AQ20/Q20</f>
        <v>0.455794679894486</v>
      </c>
      <c r="BE20" s="44" t="n">
        <f aca="false">1-AR20/R20</f>
        <v>0.489018797268033</v>
      </c>
      <c r="BF20" s="44" t="n">
        <f aca="false">1-AS20/S20</f>
        <v>0.820478024467603</v>
      </c>
      <c r="BG20" s="44" t="n">
        <f aca="false">1-AT20/T20</f>
        <v>0.528263860444042</v>
      </c>
    </row>
    <row r="21" customFormat="false" ht="15" hidden="false" customHeight="false" outlineLevel="0" collapsed="false">
      <c r="A21" s="10" t="s">
        <v>261</v>
      </c>
      <c r="B21" s="10" t="s">
        <v>273</v>
      </c>
      <c r="C21" s="58" t="n">
        <v>25780000</v>
      </c>
      <c r="D21" s="58" t="n">
        <v>25799999</v>
      </c>
      <c r="E21" s="10" t="s">
        <v>24</v>
      </c>
      <c r="F21" s="10" t="s">
        <v>266</v>
      </c>
      <c r="G21" s="10" t="n">
        <f aca="false">COUNTIFS(Pedidos!$C$2:$C$2224,"&gt;="&amp;C21,Pedidos!$C$2:$C$2224,"&lt;="&amp;D21)</f>
        <v>1</v>
      </c>
      <c r="H21" s="40" t="n">
        <v>106.53</v>
      </c>
      <c r="I21" s="40" t="n">
        <v>120.78</v>
      </c>
      <c r="J21" s="40" t="n">
        <v>125.63</v>
      </c>
      <c r="K21" s="40" t="n">
        <v>135.03</v>
      </c>
      <c r="L21" s="40" t="n">
        <v>144.53</v>
      </c>
      <c r="M21" s="40" t="n">
        <v>166.05</v>
      </c>
      <c r="N21" s="40" t="n">
        <v>166.05</v>
      </c>
      <c r="O21" s="40" t="n">
        <v>197.35</v>
      </c>
      <c r="P21" s="40" t="n">
        <v>236.82</v>
      </c>
      <c r="Q21" s="40" t="n">
        <v>264.84</v>
      </c>
      <c r="R21" s="40" t="n">
        <v>300.15</v>
      </c>
      <c r="S21" s="40" t="n">
        <v>353.12</v>
      </c>
      <c r="T21" s="40" t="n">
        <v>441.4</v>
      </c>
      <c r="U21" s="40" t="n">
        <v>46.95</v>
      </c>
      <c r="V21" s="40" t="n">
        <v>65.63</v>
      </c>
      <c r="W21" s="40" t="n">
        <v>74.97</v>
      </c>
      <c r="X21" s="40" t="n">
        <v>77.7</v>
      </c>
      <c r="Y21" s="40" t="n">
        <v>83.58</v>
      </c>
      <c r="Z21" s="40" t="n">
        <v>90.2</v>
      </c>
      <c r="AA21" s="40" t="n">
        <v>96.77</v>
      </c>
      <c r="AB21" s="40" t="n">
        <v>109.63</v>
      </c>
      <c r="AC21" s="40" t="n">
        <v>119.5</v>
      </c>
      <c r="AD21" s="40" t="n">
        <v>144.24</v>
      </c>
      <c r="AE21" s="40" t="n">
        <v>155.09</v>
      </c>
      <c r="AF21" s="40" t="n">
        <v>66.69</v>
      </c>
      <c r="AG21" s="40" t="n">
        <v>214.88</v>
      </c>
      <c r="AH21" s="13" t="n">
        <f aca="false">(U21+AH$4*(Resumo!$C$6+Resumo!$C$7+Resumo!$C$8)+Resumo!$C$10*CEILING(AH$3/100,1)+Resumo!$C$9+Resumo!$C$13+Resumo!$C$14*CEILING(AH$3,1))*(1+Resumo!$C$11)-(AH$4*(Resumo!$B$6+Resumo!$B$7)+Resumo!$B$9+Resumo!$B$10*CEILING(AH$3/100,1)+(Resumo!$B$12+Resumo!$B$14)*CEILING(AH$3,1))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1" s="13" t="n">
        <f aca="false">(V21+AI$4*(Resumo!$C$6+Resumo!$C$7+Resumo!$C$8)+Resumo!$C$10*CEILING(AI$3/100,1)+Resumo!$C$9+Resumo!$C$13+Resumo!$C$14*CEILING(AI$3,1))*(1+Resumo!$C$11)-(AI$4*(Resumo!$B$6+Resumo!$B$7)+Resumo!$B$9+Resumo!$B$10*CEILING(AI$3/100,1)+(Resumo!$B$12+Resumo!$B$14)*CEILING(AI$3,1))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1" s="13" t="n">
        <f aca="false">(W21+AJ$4*(Resumo!$C$6+Resumo!$C$7+Resumo!$C$8)+Resumo!$C$10*CEILING(AJ$3/100,1)+Resumo!$C$9+Resumo!$C$13+Resumo!$C$14*CEILING(AJ$3,1))*(1+Resumo!$C$11)-(AJ$4*(Resumo!$B$6+Resumo!$B$7)+Resumo!$B$9+Resumo!$B$10*CEILING(AJ$3/100,1)+(Resumo!$B$12+Resumo!$B$14)*CEILING(AJ$3,1))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1" s="13" t="n">
        <f aca="false">(X21+AK$4*(Resumo!$C$6+Resumo!$C$7+Resumo!$C$8)+Resumo!$C$10*CEILING(AK$3/100,1)+Resumo!$C$9+Resumo!$C$13+Resumo!$C$14*CEILING(AK$3,1))*(1+Resumo!$C$11)-(AK$4*(Resumo!$B$6+Resumo!$B$7)+Resumo!$B$9+Resumo!$B$10*CEILING(AK$3/100,1)+(Resumo!$B$12+Resumo!$B$14)*CEILING(AK$3,1))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1" s="13" t="n">
        <f aca="false">(Y21+AL$4*(Resumo!$C$6+Resumo!$C$7+Resumo!$C$8)+Resumo!$C$10*CEILING(AL$3/100,1)+Resumo!$C$9+Resumo!$C$13+Resumo!$C$14*CEILING(AL$3,1))*(1+Resumo!$C$11)-(AL$4*(Resumo!$B$6+Resumo!$B$7)+Resumo!$B$9+Resumo!$B$10*CEILING(AL$3/100,1)+(Resumo!$B$12+Resumo!$B$14)*CEILING(AL$3,1))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1" s="13" t="n">
        <f aca="false">(Z21+AM$4*(Resumo!$C$6+Resumo!$C$7+Resumo!$C$8)+Resumo!$C$10*CEILING(AM$3/100,1)+Resumo!$C$9+Resumo!$C$13+Resumo!$C$14*CEILING(AM$3,1))*(1+Resumo!$C$11)-(AM$4*(Resumo!$B$6+Resumo!$B$7)+Resumo!$B$9+Resumo!$B$10*CEILING(AM$3/100,1)+(Resumo!$B$12+Resumo!$B$14)*CEILING(AM$3,1))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1" s="13" t="n">
        <f aca="false">(AA21+AN$4*(Resumo!$C$6+Resumo!$C$7+Resumo!$C$8)+Resumo!$C$10*CEILING(AN$3/100,1)+Resumo!$C$9+Resumo!$C$13+Resumo!$C$14*CEILING(AN$3,1))*(1+Resumo!$C$11)-(AN$4*(Resumo!$B$6+Resumo!$B$7)+Resumo!$B$9+Resumo!$B$10*CEILING(AN$3/100,1)+(Resumo!$B$12+Resumo!$B$14)*CEILING(AN$3,1))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1" s="13" t="n">
        <f aca="false">(AB21+AO$4*(Resumo!$C$6+Resumo!$C$7+Resumo!$C$8)+Resumo!$C$10*CEILING(AO$3/100,1)+Resumo!$C$9+Resumo!$C$13+Resumo!$C$14*CEILING(AO$3,1))*(1+Resumo!$C$11)-(AO$4*(Resumo!$B$6+Resumo!$B$7)+Resumo!$B$9+Resumo!$B$10*CEILING(AO$3/100,1)+(Resumo!$B$12+Resumo!$B$14)*CEILING(AO$3,1))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1" s="13" t="n">
        <f aca="false">(AC21+AP$4*(Resumo!$C$6+Resumo!$C$7+Resumo!$C$8)+Resumo!$C$10*CEILING(AP$3/100,1)+Resumo!$C$9+Resumo!$C$13+Resumo!$C$14*CEILING(AP$3,1))*(1+Resumo!$C$11)-(AP$4*(Resumo!$B$6+Resumo!$B$7)+Resumo!$B$9+Resumo!$B$10*CEILING(AP$3/100,1)+(Resumo!$B$12+Resumo!$B$14)*CEILING(AP$3,1))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1" s="13" t="n">
        <f aca="false">(AD21+AQ$4*(Resumo!$C$6+Resumo!$C$7+Resumo!$C$8)+Resumo!$C$10*CEILING(AQ$3/100,1)+Resumo!$C$9+Resumo!$C$13+Resumo!$C$14*CEILING(AQ$3,1))*(1+Resumo!$C$11)-(AQ$4*(Resumo!$B$6+Resumo!$B$7)+Resumo!$B$9+Resumo!$B$10*CEILING(AQ$3/100,1)+(Resumo!$B$12+Resumo!$B$14)*CEILING(AQ$3,1))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1" s="13" t="n">
        <f aca="false">(AE21+AR$4*(Resumo!$C$6+Resumo!$C$7+Resumo!$C$8)+Resumo!$C$10*CEILING(AR$3/100,1)+Resumo!$C$9+Resumo!$C$13+Resumo!$C$14*CEILING(AR$3,1))*(1+Resumo!$C$11)-(AR$4*(Resumo!$B$6+Resumo!$B$7)+Resumo!$B$9+Resumo!$B$10*CEILING(AR$3/100,1)+(Resumo!$B$12+Resumo!$B$14)*CEILING(AR$3,1))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1" s="13" t="n">
        <f aca="false">(AF21+AS$4*(Resumo!$C$6+Resumo!$C$7+Resumo!$C$8)+Resumo!$C$10*CEILING(AS$3/100,1)+Resumo!$C$9+Resumo!$C$13+Resumo!$C$14*CEILING(AS$3,1))*(1+Resumo!$C$11)-(AS$4*(Resumo!$B$6+Resumo!$B$7)+Resumo!$B$9+Resumo!$B$10*CEILING(AS$3/100,1)+(Resumo!$B$12+Resumo!$B$14)*CEILING(AS$3,1))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1" s="13" t="n">
        <f aca="false">(AG21+AT$4*(Resumo!$C$6+Resumo!$C$7+Resumo!$C$8)+Resumo!$C$10*CEILING(AT$3/100,1)+Resumo!$C$9+Resumo!$C$13+Resumo!$C$14*CEILING(AT$3,1))*(1+Resumo!$C$11)-(AT$4*(Resumo!$B$6+Resumo!$B$7)+Resumo!$B$9+Resumo!$B$10*CEILING(AT$3/100,1)+(Resumo!$B$12+Resumo!$B$14)*CEILING(AT$3,1))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1" s="44" t="n">
        <f aca="false">1-AH21/H21</f>
        <v>0.480447881558527</v>
      </c>
      <c r="AV21" s="44" t="n">
        <f aca="false">1-AI21/I21</f>
        <v>0.391361508578081</v>
      </c>
      <c r="AW21" s="44" t="n">
        <f aca="false">1-AJ21/J21</f>
        <v>0.34451856798356</v>
      </c>
      <c r="AX21" s="44" t="n">
        <f aca="false">1-AK21/K21</f>
        <v>0.372260264988487</v>
      </c>
      <c r="AY21" s="44" t="n">
        <f aca="false">1-AL21/L21</f>
        <v>0.375400399837138</v>
      </c>
      <c r="AZ21" s="44" t="n">
        <f aca="false">1-AM21/M21</f>
        <v>0.420709229511831</v>
      </c>
      <c r="BA21" s="44" t="n">
        <f aca="false">1-AN21/N21</f>
        <v>0.382642225835592</v>
      </c>
      <c r="BB21" s="44" t="n">
        <f aca="false">1-AO21/O21</f>
        <v>0.419232633445788</v>
      </c>
      <c r="BC21" s="44" t="n">
        <f aca="false">1-AP21/P21</f>
        <v>0.493280443868681</v>
      </c>
      <c r="BD21" s="44" t="n">
        <f aca="false">1-AQ21/Q21</f>
        <v>0.455794679894486</v>
      </c>
      <c r="BE21" s="44" t="n">
        <f aca="false">1-AR21/R21</f>
        <v>0.489018797268033</v>
      </c>
      <c r="BF21" s="44" t="n">
        <f aca="false">1-AS21/S21</f>
        <v>0.820478024467603</v>
      </c>
      <c r="BG21" s="44" t="n">
        <f aca="false">1-AT21/T21</f>
        <v>0.528263860444042</v>
      </c>
    </row>
    <row r="22" customFormat="false" ht="15" hidden="false" customHeight="false" outlineLevel="0" collapsed="false">
      <c r="A22" s="10" t="s">
        <v>261</v>
      </c>
      <c r="B22" s="10" t="s">
        <v>274</v>
      </c>
      <c r="C22" s="58" t="n">
        <v>25800000</v>
      </c>
      <c r="D22" s="58" t="n">
        <v>25844999</v>
      </c>
      <c r="E22" s="10" t="s">
        <v>24</v>
      </c>
      <c r="F22" s="10" t="s">
        <v>272</v>
      </c>
      <c r="G22" s="10" t="n">
        <f aca="false">COUNTIFS(Pedidos!$C$2:$C$2224,"&gt;="&amp;C22,Pedidos!$C$2:$C$2224,"&lt;="&amp;D22)</f>
        <v>10</v>
      </c>
      <c r="H22" s="40" t="n">
        <v>89.03</v>
      </c>
      <c r="I22" s="40" t="n">
        <v>108.83</v>
      </c>
      <c r="J22" s="40" t="n">
        <v>124.38</v>
      </c>
      <c r="K22" s="40" t="n">
        <v>124.38</v>
      </c>
      <c r="L22" s="40" t="n">
        <v>142.32</v>
      </c>
      <c r="M22" s="40" t="n">
        <v>166.05</v>
      </c>
      <c r="N22" s="40" t="n">
        <v>166.05</v>
      </c>
      <c r="O22" s="40" t="n">
        <v>197.35</v>
      </c>
      <c r="P22" s="40" t="n">
        <v>236.82</v>
      </c>
      <c r="Q22" s="40" t="n">
        <v>264.84</v>
      </c>
      <c r="R22" s="40" t="n">
        <v>300.15</v>
      </c>
      <c r="S22" s="40" t="n">
        <v>353.12</v>
      </c>
      <c r="T22" s="40" t="n">
        <v>441.4</v>
      </c>
      <c r="U22" s="40" t="n">
        <v>46.95</v>
      </c>
      <c r="V22" s="40" t="n">
        <v>65.63</v>
      </c>
      <c r="W22" s="40" t="n">
        <v>74.97</v>
      </c>
      <c r="X22" s="40" t="n">
        <v>77.7</v>
      </c>
      <c r="Y22" s="40" t="n">
        <v>83.58</v>
      </c>
      <c r="Z22" s="40" t="n">
        <v>90.2</v>
      </c>
      <c r="AA22" s="40" t="n">
        <v>96.77</v>
      </c>
      <c r="AB22" s="40" t="n">
        <v>109.63</v>
      </c>
      <c r="AC22" s="40" t="n">
        <v>119.5</v>
      </c>
      <c r="AD22" s="40" t="n">
        <v>144.24</v>
      </c>
      <c r="AE22" s="40" t="n">
        <v>155.09</v>
      </c>
      <c r="AF22" s="40" t="n">
        <v>66.69</v>
      </c>
      <c r="AG22" s="40" t="n">
        <v>214.88</v>
      </c>
      <c r="AH22" s="13" t="n">
        <f aca="false">(U22+AH$4*(Resumo!$C$6+Resumo!$C$7+Resumo!$C$8)+Resumo!$C$10*CEILING(AH$3/100,1)+Resumo!$C$9+Resumo!$C$13+Resumo!$C$14*CEILING(AH$3,1))*(1+Resumo!$C$11)-(AH$4*(Resumo!$B$6+Resumo!$B$7)+Resumo!$B$9+Resumo!$B$10*CEILING(AH$3/100,1)+(Resumo!$B$12+Resumo!$B$14)*CEILING(AH$3,1))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2" s="13" t="n">
        <f aca="false">(V22+AI$4*(Resumo!$C$6+Resumo!$C$7+Resumo!$C$8)+Resumo!$C$10*CEILING(AI$3/100,1)+Resumo!$C$9+Resumo!$C$13+Resumo!$C$14*CEILING(AI$3,1))*(1+Resumo!$C$11)-(AI$4*(Resumo!$B$6+Resumo!$B$7)+Resumo!$B$9+Resumo!$B$10*CEILING(AI$3/100,1)+(Resumo!$B$12+Resumo!$B$14)*CEILING(AI$3,1))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2" s="13" t="n">
        <f aca="false">(W22+AJ$4*(Resumo!$C$6+Resumo!$C$7+Resumo!$C$8)+Resumo!$C$10*CEILING(AJ$3/100,1)+Resumo!$C$9+Resumo!$C$13+Resumo!$C$14*CEILING(AJ$3,1))*(1+Resumo!$C$11)-(AJ$4*(Resumo!$B$6+Resumo!$B$7)+Resumo!$B$9+Resumo!$B$10*CEILING(AJ$3/100,1)+(Resumo!$B$12+Resumo!$B$14)*CEILING(AJ$3,1))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2" s="13" t="n">
        <f aca="false">(X22+AK$4*(Resumo!$C$6+Resumo!$C$7+Resumo!$C$8)+Resumo!$C$10*CEILING(AK$3/100,1)+Resumo!$C$9+Resumo!$C$13+Resumo!$C$14*CEILING(AK$3,1))*(1+Resumo!$C$11)-(AK$4*(Resumo!$B$6+Resumo!$B$7)+Resumo!$B$9+Resumo!$B$10*CEILING(AK$3/100,1)+(Resumo!$B$12+Resumo!$B$14)*CEILING(AK$3,1))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2" s="13" t="n">
        <f aca="false">(Y22+AL$4*(Resumo!$C$6+Resumo!$C$7+Resumo!$C$8)+Resumo!$C$10*CEILING(AL$3/100,1)+Resumo!$C$9+Resumo!$C$13+Resumo!$C$14*CEILING(AL$3,1))*(1+Resumo!$C$11)-(AL$4*(Resumo!$B$6+Resumo!$B$7)+Resumo!$B$9+Resumo!$B$10*CEILING(AL$3/100,1)+(Resumo!$B$12+Resumo!$B$14)*CEILING(AL$3,1))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2" s="13" t="n">
        <f aca="false">(Z22+AM$4*(Resumo!$C$6+Resumo!$C$7+Resumo!$C$8)+Resumo!$C$10*CEILING(AM$3/100,1)+Resumo!$C$9+Resumo!$C$13+Resumo!$C$14*CEILING(AM$3,1))*(1+Resumo!$C$11)-(AM$4*(Resumo!$B$6+Resumo!$B$7)+Resumo!$B$9+Resumo!$B$10*CEILING(AM$3/100,1)+(Resumo!$B$12+Resumo!$B$14)*CEILING(AM$3,1))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2" s="13" t="n">
        <f aca="false">(AA22+AN$4*(Resumo!$C$6+Resumo!$C$7+Resumo!$C$8)+Resumo!$C$10*CEILING(AN$3/100,1)+Resumo!$C$9+Resumo!$C$13+Resumo!$C$14*CEILING(AN$3,1))*(1+Resumo!$C$11)-(AN$4*(Resumo!$B$6+Resumo!$B$7)+Resumo!$B$9+Resumo!$B$10*CEILING(AN$3/100,1)+(Resumo!$B$12+Resumo!$B$14)*CEILING(AN$3,1))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2" s="13" t="n">
        <f aca="false">(AB22+AO$4*(Resumo!$C$6+Resumo!$C$7+Resumo!$C$8)+Resumo!$C$10*CEILING(AO$3/100,1)+Resumo!$C$9+Resumo!$C$13+Resumo!$C$14*CEILING(AO$3,1))*(1+Resumo!$C$11)-(AO$4*(Resumo!$B$6+Resumo!$B$7)+Resumo!$B$9+Resumo!$B$10*CEILING(AO$3/100,1)+(Resumo!$B$12+Resumo!$B$14)*CEILING(AO$3,1))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2" s="13" t="n">
        <f aca="false">(AC22+AP$4*(Resumo!$C$6+Resumo!$C$7+Resumo!$C$8)+Resumo!$C$10*CEILING(AP$3/100,1)+Resumo!$C$9+Resumo!$C$13+Resumo!$C$14*CEILING(AP$3,1))*(1+Resumo!$C$11)-(AP$4*(Resumo!$B$6+Resumo!$B$7)+Resumo!$B$9+Resumo!$B$10*CEILING(AP$3/100,1)+(Resumo!$B$12+Resumo!$B$14)*CEILING(AP$3,1))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2" s="13" t="n">
        <f aca="false">(AD22+AQ$4*(Resumo!$C$6+Resumo!$C$7+Resumo!$C$8)+Resumo!$C$10*CEILING(AQ$3/100,1)+Resumo!$C$9+Resumo!$C$13+Resumo!$C$14*CEILING(AQ$3,1))*(1+Resumo!$C$11)-(AQ$4*(Resumo!$B$6+Resumo!$B$7)+Resumo!$B$9+Resumo!$B$10*CEILING(AQ$3/100,1)+(Resumo!$B$12+Resumo!$B$14)*CEILING(AQ$3,1))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2" s="13" t="n">
        <f aca="false">(AE22+AR$4*(Resumo!$C$6+Resumo!$C$7+Resumo!$C$8)+Resumo!$C$10*CEILING(AR$3/100,1)+Resumo!$C$9+Resumo!$C$13+Resumo!$C$14*CEILING(AR$3,1))*(1+Resumo!$C$11)-(AR$4*(Resumo!$B$6+Resumo!$B$7)+Resumo!$B$9+Resumo!$B$10*CEILING(AR$3/100,1)+(Resumo!$B$12+Resumo!$B$14)*CEILING(AR$3,1))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2" s="13" t="n">
        <f aca="false">(AF22+AS$4*(Resumo!$C$6+Resumo!$C$7+Resumo!$C$8)+Resumo!$C$10*CEILING(AS$3/100,1)+Resumo!$C$9+Resumo!$C$13+Resumo!$C$14*CEILING(AS$3,1))*(1+Resumo!$C$11)-(AS$4*(Resumo!$B$6+Resumo!$B$7)+Resumo!$B$9+Resumo!$B$10*CEILING(AS$3/100,1)+(Resumo!$B$12+Resumo!$B$14)*CEILING(AS$3,1))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2" s="13" t="n">
        <f aca="false">(AG22+AT$4*(Resumo!$C$6+Resumo!$C$7+Resumo!$C$8)+Resumo!$C$10*CEILING(AT$3/100,1)+Resumo!$C$9+Resumo!$C$13+Resumo!$C$14*CEILING(AT$3,1))*(1+Resumo!$C$11)-(AT$4*(Resumo!$B$6+Resumo!$B$7)+Resumo!$B$9+Resumo!$B$10*CEILING(AT$3/100,1)+(Resumo!$B$12+Resumo!$B$14)*CEILING(AT$3,1))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2" s="44" t="n">
        <f aca="false">1-AH22/H22</f>
        <v>0.378323181202178</v>
      </c>
      <c r="AV22" s="44" t="n">
        <f aca="false">1-AI22/I22</f>
        <v>0.324530396086195</v>
      </c>
      <c r="AW22" s="44" t="n">
        <f aca="false">1-AJ22/J22</f>
        <v>0.337931079721616</v>
      </c>
      <c r="AX22" s="44" t="n">
        <f aca="false">1-AK22/K22</f>
        <v>0.318510239438779</v>
      </c>
      <c r="AY22" s="44" t="n">
        <f aca="false">1-AL22/L22</f>
        <v>0.365701375691832</v>
      </c>
      <c r="AZ22" s="44" t="n">
        <f aca="false">1-AM22/M22</f>
        <v>0.420709229511831</v>
      </c>
      <c r="BA22" s="44" t="n">
        <f aca="false">1-AN22/N22</f>
        <v>0.382642225835592</v>
      </c>
      <c r="BB22" s="44" t="n">
        <f aca="false">1-AO22/O22</f>
        <v>0.419232633445788</v>
      </c>
      <c r="BC22" s="44" t="n">
        <f aca="false">1-AP22/P22</f>
        <v>0.493280443868681</v>
      </c>
      <c r="BD22" s="44" t="n">
        <f aca="false">1-AQ22/Q22</f>
        <v>0.455794679894486</v>
      </c>
      <c r="BE22" s="44" t="n">
        <f aca="false">1-AR22/R22</f>
        <v>0.489018797268033</v>
      </c>
      <c r="BF22" s="44" t="n">
        <f aca="false">1-AS22/S22</f>
        <v>0.820478024467603</v>
      </c>
      <c r="BG22" s="44" t="n">
        <f aca="false">1-AT22/T22</f>
        <v>0.528263860444042</v>
      </c>
    </row>
    <row r="23" customFormat="false" ht="15" hidden="false" customHeight="false" outlineLevel="0" collapsed="false">
      <c r="A23" s="10" t="s">
        <v>261</v>
      </c>
      <c r="B23" s="10" t="s">
        <v>275</v>
      </c>
      <c r="C23" s="58" t="n">
        <v>25845000</v>
      </c>
      <c r="D23" s="58" t="n">
        <v>25849999</v>
      </c>
      <c r="E23" s="10" t="s">
        <v>24</v>
      </c>
      <c r="F23" s="10" t="s">
        <v>272</v>
      </c>
      <c r="G23" s="10" t="n">
        <f aca="false">COUNTIFS(Pedidos!$C$2:$C$2224,"&gt;="&amp;C23,Pedidos!$C$2:$C$2224,"&lt;="&amp;D23)</f>
        <v>3</v>
      </c>
      <c r="H23" s="40" t="n">
        <v>89.03</v>
      </c>
      <c r="I23" s="40" t="n">
        <v>108.83</v>
      </c>
      <c r="J23" s="40" t="n">
        <v>124.38</v>
      </c>
      <c r="K23" s="40" t="n">
        <v>124.38</v>
      </c>
      <c r="L23" s="40" t="n">
        <v>142.32</v>
      </c>
      <c r="M23" s="40" t="n">
        <v>166.05</v>
      </c>
      <c r="N23" s="40" t="n">
        <v>166.05</v>
      </c>
      <c r="O23" s="40" t="n">
        <v>197.35</v>
      </c>
      <c r="P23" s="40" t="n">
        <v>236.82</v>
      </c>
      <c r="Q23" s="40" t="n">
        <v>264.84</v>
      </c>
      <c r="R23" s="40" t="n">
        <v>300.15</v>
      </c>
      <c r="S23" s="40" t="n">
        <v>353.12</v>
      </c>
      <c r="T23" s="40" t="n">
        <v>441.4</v>
      </c>
      <c r="U23" s="40" t="n">
        <v>46.95</v>
      </c>
      <c r="V23" s="40" t="n">
        <v>65.63</v>
      </c>
      <c r="W23" s="40" t="n">
        <v>74.97</v>
      </c>
      <c r="X23" s="40" t="n">
        <v>77.7</v>
      </c>
      <c r="Y23" s="40" t="n">
        <v>83.58</v>
      </c>
      <c r="Z23" s="40" t="n">
        <v>90.2</v>
      </c>
      <c r="AA23" s="40" t="n">
        <v>96.77</v>
      </c>
      <c r="AB23" s="40" t="n">
        <v>109.63</v>
      </c>
      <c r="AC23" s="40" t="n">
        <v>119.5</v>
      </c>
      <c r="AD23" s="40" t="n">
        <v>144.24</v>
      </c>
      <c r="AE23" s="40" t="n">
        <v>155.09</v>
      </c>
      <c r="AF23" s="40" t="n">
        <v>66.69</v>
      </c>
      <c r="AG23" s="40" t="n">
        <v>214.88</v>
      </c>
      <c r="AH23" s="13" t="n">
        <f aca="false">(U23+AH$4*(Resumo!$C$6+Resumo!$C$7+Resumo!$C$8)+Resumo!$C$10*CEILING(AH$3/100,1)+Resumo!$C$9+Resumo!$C$13+Resumo!$C$14*CEILING(AH$3,1))*(1+Resumo!$C$11)-(AH$4*(Resumo!$B$6+Resumo!$B$7)+Resumo!$B$9+Resumo!$B$10*CEILING(AH$3/100,1)+(Resumo!$B$12+Resumo!$B$14)*CEILING(AH$3,1))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3" s="13" t="n">
        <f aca="false">(V23+AI$4*(Resumo!$C$6+Resumo!$C$7+Resumo!$C$8)+Resumo!$C$10*CEILING(AI$3/100,1)+Resumo!$C$9+Resumo!$C$13+Resumo!$C$14*CEILING(AI$3,1))*(1+Resumo!$C$11)-(AI$4*(Resumo!$B$6+Resumo!$B$7)+Resumo!$B$9+Resumo!$B$10*CEILING(AI$3/100,1)+(Resumo!$B$12+Resumo!$B$14)*CEILING(AI$3,1))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3" s="13" t="n">
        <f aca="false">(W23+AJ$4*(Resumo!$C$6+Resumo!$C$7+Resumo!$C$8)+Resumo!$C$10*CEILING(AJ$3/100,1)+Resumo!$C$9+Resumo!$C$13+Resumo!$C$14*CEILING(AJ$3,1))*(1+Resumo!$C$11)-(AJ$4*(Resumo!$B$6+Resumo!$B$7)+Resumo!$B$9+Resumo!$B$10*CEILING(AJ$3/100,1)+(Resumo!$B$12+Resumo!$B$14)*CEILING(AJ$3,1))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3" s="13" t="n">
        <f aca="false">(X23+AK$4*(Resumo!$C$6+Resumo!$C$7+Resumo!$C$8)+Resumo!$C$10*CEILING(AK$3/100,1)+Resumo!$C$9+Resumo!$C$13+Resumo!$C$14*CEILING(AK$3,1))*(1+Resumo!$C$11)-(AK$4*(Resumo!$B$6+Resumo!$B$7)+Resumo!$B$9+Resumo!$B$10*CEILING(AK$3/100,1)+(Resumo!$B$12+Resumo!$B$14)*CEILING(AK$3,1))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3" s="13" t="n">
        <f aca="false">(Y23+AL$4*(Resumo!$C$6+Resumo!$C$7+Resumo!$C$8)+Resumo!$C$10*CEILING(AL$3/100,1)+Resumo!$C$9+Resumo!$C$13+Resumo!$C$14*CEILING(AL$3,1))*(1+Resumo!$C$11)-(AL$4*(Resumo!$B$6+Resumo!$B$7)+Resumo!$B$9+Resumo!$B$10*CEILING(AL$3/100,1)+(Resumo!$B$12+Resumo!$B$14)*CEILING(AL$3,1))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3" s="13" t="n">
        <f aca="false">(Z23+AM$4*(Resumo!$C$6+Resumo!$C$7+Resumo!$C$8)+Resumo!$C$10*CEILING(AM$3/100,1)+Resumo!$C$9+Resumo!$C$13+Resumo!$C$14*CEILING(AM$3,1))*(1+Resumo!$C$11)-(AM$4*(Resumo!$B$6+Resumo!$B$7)+Resumo!$B$9+Resumo!$B$10*CEILING(AM$3/100,1)+(Resumo!$B$12+Resumo!$B$14)*CEILING(AM$3,1))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3" s="13" t="n">
        <f aca="false">(AA23+AN$4*(Resumo!$C$6+Resumo!$C$7+Resumo!$C$8)+Resumo!$C$10*CEILING(AN$3/100,1)+Resumo!$C$9+Resumo!$C$13+Resumo!$C$14*CEILING(AN$3,1))*(1+Resumo!$C$11)-(AN$4*(Resumo!$B$6+Resumo!$B$7)+Resumo!$B$9+Resumo!$B$10*CEILING(AN$3/100,1)+(Resumo!$B$12+Resumo!$B$14)*CEILING(AN$3,1))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3" s="13" t="n">
        <f aca="false">(AB23+AO$4*(Resumo!$C$6+Resumo!$C$7+Resumo!$C$8)+Resumo!$C$10*CEILING(AO$3/100,1)+Resumo!$C$9+Resumo!$C$13+Resumo!$C$14*CEILING(AO$3,1))*(1+Resumo!$C$11)-(AO$4*(Resumo!$B$6+Resumo!$B$7)+Resumo!$B$9+Resumo!$B$10*CEILING(AO$3/100,1)+(Resumo!$B$12+Resumo!$B$14)*CEILING(AO$3,1))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3" s="13" t="n">
        <f aca="false">(AC23+AP$4*(Resumo!$C$6+Resumo!$C$7+Resumo!$C$8)+Resumo!$C$10*CEILING(AP$3/100,1)+Resumo!$C$9+Resumo!$C$13+Resumo!$C$14*CEILING(AP$3,1))*(1+Resumo!$C$11)-(AP$4*(Resumo!$B$6+Resumo!$B$7)+Resumo!$B$9+Resumo!$B$10*CEILING(AP$3/100,1)+(Resumo!$B$12+Resumo!$B$14)*CEILING(AP$3,1))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3" s="13" t="n">
        <f aca="false">(AD23+AQ$4*(Resumo!$C$6+Resumo!$C$7+Resumo!$C$8)+Resumo!$C$10*CEILING(AQ$3/100,1)+Resumo!$C$9+Resumo!$C$13+Resumo!$C$14*CEILING(AQ$3,1))*(1+Resumo!$C$11)-(AQ$4*(Resumo!$B$6+Resumo!$B$7)+Resumo!$B$9+Resumo!$B$10*CEILING(AQ$3/100,1)+(Resumo!$B$12+Resumo!$B$14)*CEILING(AQ$3,1))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3" s="13" t="n">
        <f aca="false">(AE23+AR$4*(Resumo!$C$6+Resumo!$C$7+Resumo!$C$8)+Resumo!$C$10*CEILING(AR$3/100,1)+Resumo!$C$9+Resumo!$C$13+Resumo!$C$14*CEILING(AR$3,1))*(1+Resumo!$C$11)-(AR$4*(Resumo!$B$6+Resumo!$B$7)+Resumo!$B$9+Resumo!$B$10*CEILING(AR$3/100,1)+(Resumo!$B$12+Resumo!$B$14)*CEILING(AR$3,1))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3" s="13" t="n">
        <f aca="false">(AF23+AS$4*(Resumo!$C$6+Resumo!$C$7+Resumo!$C$8)+Resumo!$C$10*CEILING(AS$3/100,1)+Resumo!$C$9+Resumo!$C$13+Resumo!$C$14*CEILING(AS$3,1))*(1+Resumo!$C$11)-(AS$4*(Resumo!$B$6+Resumo!$B$7)+Resumo!$B$9+Resumo!$B$10*CEILING(AS$3/100,1)+(Resumo!$B$12+Resumo!$B$14)*CEILING(AS$3,1))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3" s="13" t="n">
        <f aca="false">(AG23+AT$4*(Resumo!$C$6+Resumo!$C$7+Resumo!$C$8)+Resumo!$C$10*CEILING(AT$3/100,1)+Resumo!$C$9+Resumo!$C$13+Resumo!$C$14*CEILING(AT$3,1))*(1+Resumo!$C$11)-(AT$4*(Resumo!$B$6+Resumo!$B$7)+Resumo!$B$9+Resumo!$B$10*CEILING(AT$3/100,1)+(Resumo!$B$12+Resumo!$B$14)*CEILING(AT$3,1))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3" s="44" t="n">
        <f aca="false">1-AH23/H23</f>
        <v>0.378323181202178</v>
      </c>
      <c r="AV23" s="44" t="n">
        <f aca="false">1-AI23/I23</f>
        <v>0.324530396086195</v>
      </c>
      <c r="AW23" s="44" t="n">
        <f aca="false">1-AJ23/J23</f>
        <v>0.337931079721616</v>
      </c>
      <c r="AX23" s="44" t="n">
        <f aca="false">1-AK23/K23</f>
        <v>0.318510239438779</v>
      </c>
      <c r="AY23" s="44" t="n">
        <f aca="false">1-AL23/L23</f>
        <v>0.365701375691832</v>
      </c>
      <c r="AZ23" s="44" t="n">
        <f aca="false">1-AM23/M23</f>
        <v>0.420709229511831</v>
      </c>
      <c r="BA23" s="44" t="n">
        <f aca="false">1-AN23/N23</f>
        <v>0.382642225835592</v>
      </c>
      <c r="BB23" s="44" t="n">
        <f aca="false">1-AO23/O23</f>
        <v>0.419232633445788</v>
      </c>
      <c r="BC23" s="44" t="n">
        <f aca="false">1-AP23/P23</f>
        <v>0.493280443868681</v>
      </c>
      <c r="BD23" s="44" t="n">
        <f aca="false">1-AQ23/Q23</f>
        <v>0.455794679894486</v>
      </c>
      <c r="BE23" s="44" t="n">
        <f aca="false">1-AR23/R23</f>
        <v>0.489018797268033</v>
      </c>
      <c r="BF23" s="44" t="n">
        <f aca="false">1-AS23/S23</f>
        <v>0.820478024467603</v>
      </c>
      <c r="BG23" s="44" t="n">
        <f aca="false">1-AT23/T23</f>
        <v>0.528263860444042</v>
      </c>
    </row>
    <row r="24" customFormat="false" ht="15" hidden="false" customHeight="false" outlineLevel="0" collapsed="false">
      <c r="A24" s="10" t="s">
        <v>261</v>
      </c>
      <c r="B24" s="10" t="s">
        <v>276</v>
      </c>
      <c r="C24" s="58" t="n">
        <v>25850000</v>
      </c>
      <c r="D24" s="58" t="n">
        <v>25869999</v>
      </c>
      <c r="E24" s="10" t="s">
        <v>24</v>
      </c>
      <c r="F24" s="10" t="s">
        <v>266</v>
      </c>
      <c r="G24" s="10" t="n">
        <f aca="false">COUNTIFS(Pedidos!$C$2:$C$2224,"&gt;="&amp;C24,Pedidos!$C$2:$C$2224,"&lt;="&amp;D24)</f>
        <v>3</v>
      </c>
      <c r="H24" s="40" t="n">
        <v>106.53</v>
      </c>
      <c r="I24" s="40" t="n">
        <v>120.78</v>
      </c>
      <c r="J24" s="40" t="n">
        <v>125.63</v>
      </c>
      <c r="K24" s="40" t="n">
        <v>135.03</v>
      </c>
      <c r="L24" s="40" t="n">
        <v>144.53</v>
      </c>
      <c r="M24" s="40" t="n">
        <v>166.05</v>
      </c>
      <c r="N24" s="40" t="n">
        <v>166.05</v>
      </c>
      <c r="O24" s="40" t="n">
        <v>197.35</v>
      </c>
      <c r="P24" s="40" t="n">
        <v>236.82</v>
      </c>
      <c r="Q24" s="40" t="n">
        <v>264.84</v>
      </c>
      <c r="R24" s="40" t="n">
        <v>300.15</v>
      </c>
      <c r="S24" s="40" t="n">
        <v>353.12</v>
      </c>
      <c r="T24" s="40" t="n">
        <v>441.4</v>
      </c>
      <c r="U24" s="40" t="n">
        <v>46.95</v>
      </c>
      <c r="V24" s="40" t="n">
        <v>65.63</v>
      </c>
      <c r="W24" s="40" t="n">
        <v>74.97</v>
      </c>
      <c r="X24" s="40" t="n">
        <v>77.7</v>
      </c>
      <c r="Y24" s="40" t="n">
        <v>83.58</v>
      </c>
      <c r="Z24" s="40" t="n">
        <v>90.2</v>
      </c>
      <c r="AA24" s="40" t="n">
        <v>96.77</v>
      </c>
      <c r="AB24" s="40" t="n">
        <v>109.63</v>
      </c>
      <c r="AC24" s="40" t="n">
        <v>119.5</v>
      </c>
      <c r="AD24" s="40" t="n">
        <v>144.24</v>
      </c>
      <c r="AE24" s="40" t="n">
        <v>155.09</v>
      </c>
      <c r="AF24" s="40" t="n">
        <v>66.69</v>
      </c>
      <c r="AG24" s="40" t="n">
        <v>214.88</v>
      </c>
      <c r="AH24" s="13" t="n">
        <f aca="false">(U24+AH$4*(Resumo!$C$6+Resumo!$C$7+Resumo!$C$8)+Resumo!$C$10*CEILING(AH$3/100,1)+Resumo!$C$9+Resumo!$C$13+Resumo!$C$14*CEILING(AH$3,1))*(1+Resumo!$C$11)-(AH$4*(Resumo!$B$6+Resumo!$B$7)+Resumo!$B$9+Resumo!$B$10*CEILING(AH$3/100,1)+(Resumo!$B$12+Resumo!$B$14)*CEILING(AH$3,1))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4" s="13" t="n">
        <f aca="false">(V24+AI$4*(Resumo!$C$6+Resumo!$C$7+Resumo!$C$8)+Resumo!$C$10*CEILING(AI$3/100,1)+Resumo!$C$9+Resumo!$C$13+Resumo!$C$14*CEILING(AI$3,1))*(1+Resumo!$C$11)-(AI$4*(Resumo!$B$6+Resumo!$B$7)+Resumo!$B$9+Resumo!$B$10*CEILING(AI$3/100,1)+(Resumo!$B$12+Resumo!$B$14)*CEILING(AI$3,1))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4" s="13" t="n">
        <f aca="false">(W24+AJ$4*(Resumo!$C$6+Resumo!$C$7+Resumo!$C$8)+Resumo!$C$10*CEILING(AJ$3/100,1)+Resumo!$C$9+Resumo!$C$13+Resumo!$C$14*CEILING(AJ$3,1))*(1+Resumo!$C$11)-(AJ$4*(Resumo!$B$6+Resumo!$B$7)+Resumo!$B$9+Resumo!$B$10*CEILING(AJ$3/100,1)+(Resumo!$B$12+Resumo!$B$14)*CEILING(AJ$3,1))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4" s="13" t="n">
        <f aca="false">(X24+AK$4*(Resumo!$C$6+Resumo!$C$7+Resumo!$C$8)+Resumo!$C$10*CEILING(AK$3/100,1)+Resumo!$C$9+Resumo!$C$13+Resumo!$C$14*CEILING(AK$3,1))*(1+Resumo!$C$11)-(AK$4*(Resumo!$B$6+Resumo!$B$7)+Resumo!$B$9+Resumo!$B$10*CEILING(AK$3/100,1)+(Resumo!$B$12+Resumo!$B$14)*CEILING(AK$3,1))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4" s="13" t="n">
        <f aca="false">(Y24+AL$4*(Resumo!$C$6+Resumo!$C$7+Resumo!$C$8)+Resumo!$C$10*CEILING(AL$3/100,1)+Resumo!$C$9+Resumo!$C$13+Resumo!$C$14*CEILING(AL$3,1))*(1+Resumo!$C$11)-(AL$4*(Resumo!$B$6+Resumo!$B$7)+Resumo!$B$9+Resumo!$B$10*CEILING(AL$3/100,1)+(Resumo!$B$12+Resumo!$B$14)*CEILING(AL$3,1))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4" s="13" t="n">
        <f aca="false">(Z24+AM$4*(Resumo!$C$6+Resumo!$C$7+Resumo!$C$8)+Resumo!$C$10*CEILING(AM$3/100,1)+Resumo!$C$9+Resumo!$C$13+Resumo!$C$14*CEILING(AM$3,1))*(1+Resumo!$C$11)-(AM$4*(Resumo!$B$6+Resumo!$B$7)+Resumo!$B$9+Resumo!$B$10*CEILING(AM$3/100,1)+(Resumo!$B$12+Resumo!$B$14)*CEILING(AM$3,1))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4" s="13" t="n">
        <f aca="false">(AA24+AN$4*(Resumo!$C$6+Resumo!$C$7+Resumo!$C$8)+Resumo!$C$10*CEILING(AN$3/100,1)+Resumo!$C$9+Resumo!$C$13+Resumo!$C$14*CEILING(AN$3,1))*(1+Resumo!$C$11)-(AN$4*(Resumo!$B$6+Resumo!$B$7)+Resumo!$B$9+Resumo!$B$10*CEILING(AN$3/100,1)+(Resumo!$B$12+Resumo!$B$14)*CEILING(AN$3,1))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4" s="13" t="n">
        <f aca="false">(AB24+AO$4*(Resumo!$C$6+Resumo!$C$7+Resumo!$C$8)+Resumo!$C$10*CEILING(AO$3/100,1)+Resumo!$C$9+Resumo!$C$13+Resumo!$C$14*CEILING(AO$3,1))*(1+Resumo!$C$11)-(AO$4*(Resumo!$B$6+Resumo!$B$7)+Resumo!$B$9+Resumo!$B$10*CEILING(AO$3/100,1)+(Resumo!$B$12+Resumo!$B$14)*CEILING(AO$3,1))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4" s="13" t="n">
        <f aca="false">(AC24+AP$4*(Resumo!$C$6+Resumo!$C$7+Resumo!$C$8)+Resumo!$C$10*CEILING(AP$3/100,1)+Resumo!$C$9+Resumo!$C$13+Resumo!$C$14*CEILING(AP$3,1))*(1+Resumo!$C$11)-(AP$4*(Resumo!$B$6+Resumo!$B$7)+Resumo!$B$9+Resumo!$B$10*CEILING(AP$3/100,1)+(Resumo!$B$12+Resumo!$B$14)*CEILING(AP$3,1))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4" s="13" t="n">
        <f aca="false">(AD24+AQ$4*(Resumo!$C$6+Resumo!$C$7+Resumo!$C$8)+Resumo!$C$10*CEILING(AQ$3/100,1)+Resumo!$C$9+Resumo!$C$13+Resumo!$C$14*CEILING(AQ$3,1))*(1+Resumo!$C$11)-(AQ$4*(Resumo!$B$6+Resumo!$B$7)+Resumo!$B$9+Resumo!$B$10*CEILING(AQ$3/100,1)+(Resumo!$B$12+Resumo!$B$14)*CEILING(AQ$3,1))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4" s="13" t="n">
        <f aca="false">(AE24+AR$4*(Resumo!$C$6+Resumo!$C$7+Resumo!$C$8)+Resumo!$C$10*CEILING(AR$3/100,1)+Resumo!$C$9+Resumo!$C$13+Resumo!$C$14*CEILING(AR$3,1))*(1+Resumo!$C$11)-(AR$4*(Resumo!$B$6+Resumo!$B$7)+Resumo!$B$9+Resumo!$B$10*CEILING(AR$3/100,1)+(Resumo!$B$12+Resumo!$B$14)*CEILING(AR$3,1))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4" s="13" t="n">
        <f aca="false">(AF24+AS$4*(Resumo!$C$6+Resumo!$C$7+Resumo!$C$8)+Resumo!$C$10*CEILING(AS$3/100,1)+Resumo!$C$9+Resumo!$C$13+Resumo!$C$14*CEILING(AS$3,1))*(1+Resumo!$C$11)-(AS$4*(Resumo!$B$6+Resumo!$B$7)+Resumo!$B$9+Resumo!$B$10*CEILING(AS$3/100,1)+(Resumo!$B$12+Resumo!$B$14)*CEILING(AS$3,1))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4" s="13" t="n">
        <f aca="false">(AG24+AT$4*(Resumo!$C$6+Resumo!$C$7+Resumo!$C$8)+Resumo!$C$10*CEILING(AT$3/100,1)+Resumo!$C$9+Resumo!$C$13+Resumo!$C$14*CEILING(AT$3,1))*(1+Resumo!$C$11)-(AT$4*(Resumo!$B$6+Resumo!$B$7)+Resumo!$B$9+Resumo!$B$10*CEILING(AT$3/100,1)+(Resumo!$B$12+Resumo!$B$14)*CEILING(AT$3,1))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4" s="44" t="n">
        <f aca="false">1-AH24/H24</f>
        <v>0.480447881558527</v>
      </c>
      <c r="AV24" s="44" t="n">
        <f aca="false">1-AI24/I24</f>
        <v>0.391361508578081</v>
      </c>
      <c r="AW24" s="44" t="n">
        <f aca="false">1-AJ24/J24</f>
        <v>0.34451856798356</v>
      </c>
      <c r="AX24" s="44" t="n">
        <f aca="false">1-AK24/K24</f>
        <v>0.372260264988487</v>
      </c>
      <c r="AY24" s="44" t="n">
        <f aca="false">1-AL24/L24</f>
        <v>0.375400399837138</v>
      </c>
      <c r="AZ24" s="44" t="n">
        <f aca="false">1-AM24/M24</f>
        <v>0.420709229511831</v>
      </c>
      <c r="BA24" s="44" t="n">
        <f aca="false">1-AN24/N24</f>
        <v>0.382642225835592</v>
      </c>
      <c r="BB24" s="44" t="n">
        <f aca="false">1-AO24/O24</f>
        <v>0.419232633445788</v>
      </c>
      <c r="BC24" s="44" t="n">
        <f aca="false">1-AP24/P24</f>
        <v>0.493280443868681</v>
      </c>
      <c r="BD24" s="44" t="n">
        <f aca="false">1-AQ24/Q24</f>
        <v>0.455794679894486</v>
      </c>
      <c r="BE24" s="44" t="n">
        <f aca="false">1-AR24/R24</f>
        <v>0.489018797268033</v>
      </c>
      <c r="BF24" s="44" t="n">
        <f aca="false">1-AS24/S24</f>
        <v>0.820478024467603</v>
      </c>
      <c r="BG24" s="44" t="n">
        <f aca="false">1-AT24/T24</f>
        <v>0.528263860444042</v>
      </c>
    </row>
    <row r="25" customFormat="false" ht="15" hidden="false" customHeight="false" outlineLevel="0" collapsed="false">
      <c r="A25" s="10" t="s">
        <v>261</v>
      </c>
      <c r="B25" s="10" t="s">
        <v>277</v>
      </c>
      <c r="C25" s="58" t="n">
        <v>25870000</v>
      </c>
      <c r="D25" s="58" t="n">
        <v>25879999</v>
      </c>
      <c r="E25" s="10" t="s">
        <v>24</v>
      </c>
      <c r="F25" s="10" t="s">
        <v>266</v>
      </c>
      <c r="G25" s="10" t="n">
        <f aca="false">COUNTIFS(Pedidos!$C$2:$C$2224,"&gt;="&amp;C25,Pedidos!$C$2:$C$2224,"&lt;="&amp;D25)</f>
        <v>0</v>
      </c>
      <c r="H25" s="40" t="n">
        <v>106.53</v>
      </c>
      <c r="I25" s="40" t="n">
        <v>120.78</v>
      </c>
      <c r="J25" s="40" t="n">
        <v>125.63</v>
      </c>
      <c r="K25" s="40" t="n">
        <v>135.03</v>
      </c>
      <c r="L25" s="40" t="n">
        <v>144.53</v>
      </c>
      <c r="M25" s="40" t="n">
        <v>166.05</v>
      </c>
      <c r="N25" s="40" t="n">
        <v>166.05</v>
      </c>
      <c r="O25" s="40" t="n">
        <v>197.35</v>
      </c>
      <c r="P25" s="40" t="n">
        <v>236.82</v>
      </c>
      <c r="Q25" s="40" t="n">
        <v>264.84</v>
      </c>
      <c r="R25" s="40" t="n">
        <v>300.15</v>
      </c>
      <c r="S25" s="40" t="n">
        <v>353.12</v>
      </c>
      <c r="T25" s="40" t="n">
        <v>441.4</v>
      </c>
      <c r="U25" s="40" t="n">
        <v>46.95</v>
      </c>
      <c r="V25" s="40" t="n">
        <v>65.63</v>
      </c>
      <c r="W25" s="40" t="n">
        <v>74.97</v>
      </c>
      <c r="X25" s="40" t="n">
        <v>77.7</v>
      </c>
      <c r="Y25" s="40" t="n">
        <v>83.58</v>
      </c>
      <c r="Z25" s="40" t="n">
        <v>90.2</v>
      </c>
      <c r="AA25" s="40" t="n">
        <v>96.77</v>
      </c>
      <c r="AB25" s="40" t="n">
        <v>109.63</v>
      </c>
      <c r="AC25" s="40" t="n">
        <v>119.5</v>
      </c>
      <c r="AD25" s="40" t="n">
        <v>144.24</v>
      </c>
      <c r="AE25" s="40" t="n">
        <v>155.09</v>
      </c>
      <c r="AF25" s="40" t="n">
        <v>66.69</v>
      </c>
      <c r="AG25" s="40" t="n">
        <v>214.88</v>
      </c>
      <c r="AH25" s="13" t="n">
        <f aca="false">(U25+AH$4*(Resumo!$C$6+Resumo!$C$7+Resumo!$C$8)+Resumo!$C$10*CEILING(AH$3/100,1)+Resumo!$C$9+Resumo!$C$13+Resumo!$C$14*CEILING(AH$3,1))*(1+Resumo!$C$11)-(AH$4*(Resumo!$B$6+Resumo!$B$7)+Resumo!$B$9+Resumo!$B$10*CEILING(AH$3/100,1)+(Resumo!$B$12+Resumo!$B$14)*CEILING(AH$3,1))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5" s="13" t="n">
        <f aca="false">(V25+AI$4*(Resumo!$C$6+Resumo!$C$7+Resumo!$C$8)+Resumo!$C$10*CEILING(AI$3/100,1)+Resumo!$C$9+Resumo!$C$13+Resumo!$C$14*CEILING(AI$3,1))*(1+Resumo!$C$11)-(AI$4*(Resumo!$B$6+Resumo!$B$7)+Resumo!$B$9+Resumo!$B$10*CEILING(AI$3/100,1)+(Resumo!$B$12+Resumo!$B$14)*CEILING(AI$3,1))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5" s="13" t="n">
        <f aca="false">(W25+AJ$4*(Resumo!$C$6+Resumo!$C$7+Resumo!$C$8)+Resumo!$C$10*CEILING(AJ$3/100,1)+Resumo!$C$9+Resumo!$C$13+Resumo!$C$14*CEILING(AJ$3,1))*(1+Resumo!$C$11)-(AJ$4*(Resumo!$B$6+Resumo!$B$7)+Resumo!$B$9+Resumo!$B$10*CEILING(AJ$3/100,1)+(Resumo!$B$12+Resumo!$B$14)*CEILING(AJ$3,1))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5" s="13" t="n">
        <f aca="false">(X25+AK$4*(Resumo!$C$6+Resumo!$C$7+Resumo!$C$8)+Resumo!$C$10*CEILING(AK$3/100,1)+Resumo!$C$9+Resumo!$C$13+Resumo!$C$14*CEILING(AK$3,1))*(1+Resumo!$C$11)-(AK$4*(Resumo!$B$6+Resumo!$B$7)+Resumo!$B$9+Resumo!$B$10*CEILING(AK$3/100,1)+(Resumo!$B$12+Resumo!$B$14)*CEILING(AK$3,1))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5" s="13" t="n">
        <f aca="false">(Y25+AL$4*(Resumo!$C$6+Resumo!$C$7+Resumo!$C$8)+Resumo!$C$10*CEILING(AL$3/100,1)+Resumo!$C$9+Resumo!$C$13+Resumo!$C$14*CEILING(AL$3,1))*(1+Resumo!$C$11)-(AL$4*(Resumo!$B$6+Resumo!$B$7)+Resumo!$B$9+Resumo!$B$10*CEILING(AL$3/100,1)+(Resumo!$B$12+Resumo!$B$14)*CEILING(AL$3,1))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5" s="13" t="n">
        <f aca="false">(Z25+AM$4*(Resumo!$C$6+Resumo!$C$7+Resumo!$C$8)+Resumo!$C$10*CEILING(AM$3/100,1)+Resumo!$C$9+Resumo!$C$13+Resumo!$C$14*CEILING(AM$3,1))*(1+Resumo!$C$11)-(AM$4*(Resumo!$B$6+Resumo!$B$7)+Resumo!$B$9+Resumo!$B$10*CEILING(AM$3/100,1)+(Resumo!$B$12+Resumo!$B$14)*CEILING(AM$3,1))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5" s="13" t="n">
        <f aca="false">(AA25+AN$4*(Resumo!$C$6+Resumo!$C$7+Resumo!$C$8)+Resumo!$C$10*CEILING(AN$3/100,1)+Resumo!$C$9+Resumo!$C$13+Resumo!$C$14*CEILING(AN$3,1))*(1+Resumo!$C$11)-(AN$4*(Resumo!$B$6+Resumo!$B$7)+Resumo!$B$9+Resumo!$B$10*CEILING(AN$3/100,1)+(Resumo!$B$12+Resumo!$B$14)*CEILING(AN$3,1))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5" s="13" t="n">
        <f aca="false">(AB25+AO$4*(Resumo!$C$6+Resumo!$C$7+Resumo!$C$8)+Resumo!$C$10*CEILING(AO$3/100,1)+Resumo!$C$9+Resumo!$C$13+Resumo!$C$14*CEILING(AO$3,1))*(1+Resumo!$C$11)-(AO$4*(Resumo!$B$6+Resumo!$B$7)+Resumo!$B$9+Resumo!$B$10*CEILING(AO$3/100,1)+(Resumo!$B$12+Resumo!$B$14)*CEILING(AO$3,1))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5" s="13" t="n">
        <f aca="false">(AC25+AP$4*(Resumo!$C$6+Resumo!$C$7+Resumo!$C$8)+Resumo!$C$10*CEILING(AP$3/100,1)+Resumo!$C$9+Resumo!$C$13+Resumo!$C$14*CEILING(AP$3,1))*(1+Resumo!$C$11)-(AP$4*(Resumo!$B$6+Resumo!$B$7)+Resumo!$B$9+Resumo!$B$10*CEILING(AP$3/100,1)+(Resumo!$B$12+Resumo!$B$14)*CEILING(AP$3,1))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5" s="13" t="n">
        <f aca="false">(AD25+AQ$4*(Resumo!$C$6+Resumo!$C$7+Resumo!$C$8)+Resumo!$C$10*CEILING(AQ$3/100,1)+Resumo!$C$9+Resumo!$C$13+Resumo!$C$14*CEILING(AQ$3,1))*(1+Resumo!$C$11)-(AQ$4*(Resumo!$B$6+Resumo!$B$7)+Resumo!$B$9+Resumo!$B$10*CEILING(AQ$3/100,1)+(Resumo!$B$12+Resumo!$B$14)*CEILING(AQ$3,1))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5" s="13" t="n">
        <f aca="false">(AE25+AR$4*(Resumo!$C$6+Resumo!$C$7+Resumo!$C$8)+Resumo!$C$10*CEILING(AR$3/100,1)+Resumo!$C$9+Resumo!$C$13+Resumo!$C$14*CEILING(AR$3,1))*(1+Resumo!$C$11)-(AR$4*(Resumo!$B$6+Resumo!$B$7)+Resumo!$B$9+Resumo!$B$10*CEILING(AR$3/100,1)+(Resumo!$B$12+Resumo!$B$14)*CEILING(AR$3,1))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5" s="13" t="n">
        <f aca="false">(AF25+AS$4*(Resumo!$C$6+Resumo!$C$7+Resumo!$C$8)+Resumo!$C$10*CEILING(AS$3/100,1)+Resumo!$C$9+Resumo!$C$13+Resumo!$C$14*CEILING(AS$3,1))*(1+Resumo!$C$11)-(AS$4*(Resumo!$B$6+Resumo!$B$7)+Resumo!$B$9+Resumo!$B$10*CEILING(AS$3/100,1)+(Resumo!$B$12+Resumo!$B$14)*CEILING(AS$3,1))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5" s="13" t="n">
        <f aca="false">(AG25+AT$4*(Resumo!$C$6+Resumo!$C$7+Resumo!$C$8)+Resumo!$C$10*CEILING(AT$3/100,1)+Resumo!$C$9+Resumo!$C$13+Resumo!$C$14*CEILING(AT$3,1))*(1+Resumo!$C$11)-(AT$4*(Resumo!$B$6+Resumo!$B$7)+Resumo!$B$9+Resumo!$B$10*CEILING(AT$3/100,1)+(Resumo!$B$12+Resumo!$B$14)*CEILING(AT$3,1))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5" s="44" t="n">
        <f aca="false">1-AH25/H25</f>
        <v>0.480447881558527</v>
      </c>
      <c r="AV25" s="44" t="n">
        <f aca="false">1-AI25/I25</f>
        <v>0.391361508578081</v>
      </c>
      <c r="AW25" s="44" t="n">
        <f aca="false">1-AJ25/J25</f>
        <v>0.34451856798356</v>
      </c>
      <c r="AX25" s="44" t="n">
        <f aca="false">1-AK25/K25</f>
        <v>0.372260264988487</v>
      </c>
      <c r="AY25" s="44" t="n">
        <f aca="false">1-AL25/L25</f>
        <v>0.375400399837138</v>
      </c>
      <c r="AZ25" s="44" t="n">
        <f aca="false">1-AM25/M25</f>
        <v>0.420709229511831</v>
      </c>
      <c r="BA25" s="44" t="n">
        <f aca="false">1-AN25/N25</f>
        <v>0.382642225835592</v>
      </c>
      <c r="BB25" s="44" t="n">
        <f aca="false">1-AO25/O25</f>
        <v>0.419232633445788</v>
      </c>
      <c r="BC25" s="44" t="n">
        <f aca="false">1-AP25/P25</f>
        <v>0.493280443868681</v>
      </c>
      <c r="BD25" s="44" t="n">
        <f aca="false">1-AQ25/Q25</f>
        <v>0.455794679894486</v>
      </c>
      <c r="BE25" s="44" t="n">
        <f aca="false">1-AR25/R25</f>
        <v>0.489018797268033</v>
      </c>
      <c r="BF25" s="44" t="n">
        <f aca="false">1-AS25/S25</f>
        <v>0.820478024467603</v>
      </c>
      <c r="BG25" s="44" t="n">
        <f aca="false">1-AT25/T25</f>
        <v>0.528263860444042</v>
      </c>
    </row>
    <row r="26" customFormat="false" ht="15" hidden="false" customHeight="false" outlineLevel="0" collapsed="false">
      <c r="A26" s="10" t="s">
        <v>261</v>
      </c>
      <c r="B26" s="10" t="s">
        <v>278</v>
      </c>
      <c r="C26" s="58" t="n">
        <v>25880000</v>
      </c>
      <c r="D26" s="58" t="n">
        <v>25899999</v>
      </c>
      <c r="E26" s="10" t="s">
        <v>24</v>
      </c>
      <c r="F26" s="10" t="s">
        <v>266</v>
      </c>
      <c r="G26" s="10" t="n">
        <f aca="false">COUNTIFS(Pedidos!$C$2:$C$2224,"&gt;="&amp;C26,Pedidos!$C$2:$C$2224,"&lt;="&amp;D26)</f>
        <v>3</v>
      </c>
      <c r="H26" s="40" t="n">
        <v>106.53</v>
      </c>
      <c r="I26" s="40" t="n">
        <v>120.78</v>
      </c>
      <c r="J26" s="40" t="n">
        <v>125.63</v>
      </c>
      <c r="K26" s="40" t="n">
        <v>135.03</v>
      </c>
      <c r="L26" s="40" t="n">
        <v>144.53</v>
      </c>
      <c r="M26" s="40" t="n">
        <v>166.05</v>
      </c>
      <c r="N26" s="40" t="n">
        <v>166.05</v>
      </c>
      <c r="O26" s="40" t="n">
        <v>197.35</v>
      </c>
      <c r="P26" s="40" t="n">
        <v>236.82</v>
      </c>
      <c r="Q26" s="40" t="n">
        <v>264.84</v>
      </c>
      <c r="R26" s="40" t="n">
        <v>300.15</v>
      </c>
      <c r="S26" s="40" t="n">
        <v>353.12</v>
      </c>
      <c r="T26" s="40" t="n">
        <v>441.4</v>
      </c>
      <c r="U26" s="40" t="n">
        <v>46.95</v>
      </c>
      <c r="V26" s="40" t="n">
        <v>65.63</v>
      </c>
      <c r="W26" s="40" t="n">
        <v>74.97</v>
      </c>
      <c r="X26" s="40" t="n">
        <v>77.7</v>
      </c>
      <c r="Y26" s="40" t="n">
        <v>83.58</v>
      </c>
      <c r="Z26" s="40" t="n">
        <v>90.2</v>
      </c>
      <c r="AA26" s="40" t="n">
        <v>96.77</v>
      </c>
      <c r="AB26" s="40" t="n">
        <v>109.63</v>
      </c>
      <c r="AC26" s="40" t="n">
        <v>119.5</v>
      </c>
      <c r="AD26" s="40" t="n">
        <v>144.24</v>
      </c>
      <c r="AE26" s="40" t="n">
        <v>155.09</v>
      </c>
      <c r="AF26" s="40" t="n">
        <v>66.69</v>
      </c>
      <c r="AG26" s="40" t="n">
        <v>214.88</v>
      </c>
      <c r="AH26" s="13" t="n">
        <f aca="false">(U26+AH$4*(Resumo!$C$6+Resumo!$C$7+Resumo!$C$8)+Resumo!$C$10*CEILING(AH$3/100,1)+Resumo!$C$9+Resumo!$C$13+Resumo!$C$14*CEILING(AH$3,1))*(1+Resumo!$C$11)-(AH$4*(Resumo!$B$6+Resumo!$B$7)+Resumo!$B$9+Resumo!$B$10*CEILING(AH$3/100,1)+(Resumo!$B$12+Resumo!$B$14)*CEILING(AH$3,1))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6" s="13" t="n">
        <f aca="false">(V26+AI$4*(Resumo!$C$6+Resumo!$C$7+Resumo!$C$8)+Resumo!$C$10*CEILING(AI$3/100,1)+Resumo!$C$9+Resumo!$C$13+Resumo!$C$14*CEILING(AI$3,1))*(1+Resumo!$C$11)-(AI$4*(Resumo!$B$6+Resumo!$B$7)+Resumo!$B$9+Resumo!$B$10*CEILING(AI$3/100,1)+(Resumo!$B$12+Resumo!$B$14)*CEILING(AI$3,1))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6" s="13" t="n">
        <f aca="false">(W26+AJ$4*(Resumo!$C$6+Resumo!$C$7+Resumo!$C$8)+Resumo!$C$10*CEILING(AJ$3/100,1)+Resumo!$C$9+Resumo!$C$13+Resumo!$C$14*CEILING(AJ$3,1))*(1+Resumo!$C$11)-(AJ$4*(Resumo!$B$6+Resumo!$B$7)+Resumo!$B$9+Resumo!$B$10*CEILING(AJ$3/100,1)+(Resumo!$B$12+Resumo!$B$14)*CEILING(AJ$3,1))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6" s="13" t="n">
        <f aca="false">(X26+AK$4*(Resumo!$C$6+Resumo!$C$7+Resumo!$C$8)+Resumo!$C$10*CEILING(AK$3/100,1)+Resumo!$C$9+Resumo!$C$13+Resumo!$C$14*CEILING(AK$3,1))*(1+Resumo!$C$11)-(AK$4*(Resumo!$B$6+Resumo!$B$7)+Resumo!$B$9+Resumo!$B$10*CEILING(AK$3/100,1)+(Resumo!$B$12+Resumo!$B$14)*CEILING(AK$3,1))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6" s="13" t="n">
        <f aca="false">(Y26+AL$4*(Resumo!$C$6+Resumo!$C$7+Resumo!$C$8)+Resumo!$C$10*CEILING(AL$3/100,1)+Resumo!$C$9+Resumo!$C$13+Resumo!$C$14*CEILING(AL$3,1))*(1+Resumo!$C$11)-(AL$4*(Resumo!$B$6+Resumo!$B$7)+Resumo!$B$9+Resumo!$B$10*CEILING(AL$3/100,1)+(Resumo!$B$12+Resumo!$B$14)*CEILING(AL$3,1))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6" s="13" t="n">
        <f aca="false">(Z26+AM$4*(Resumo!$C$6+Resumo!$C$7+Resumo!$C$8)+Resumo!$C$10*CEILING(AM$3/100,1)+Resumo!$C$9+Resumo!$C$13+Resumo!$C$14*CEILING(AM$3,1))*(1+Resumo!$C$11)-(AM$4*(Resumo!$B$6+Resumo!$B$7)+Resumo!$B$9+Resumo!$B$10*CEILING(AM$3/100,1)+(Resumo!$B$12+Resumo!$B$14)*CEILING(AM$3,1))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6" s="13" t="n">
        <f aca="false">(AA26+AN$4*(Resumo!$C$6+Resumo!$C$7+Resumo!$C$8)+Resumo!$C$10*CEILING(AN$3/100,1)+Resumo!$C$9+Resumo!$C$13+Resumo!$C$14*CEILING(AN$3,1))*(1+Resumo!$C$11)-(AN$4*(Resumo!$B$6+Resumo!$B$7)+Resumo!$B$9+Resumo!$B$10*CEILING(AN$3/100,1)+(Resumo!$B$12+Resumo!$B$14)*CEILING(AN$3,1))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6" s="13" t="n">
        <f aca="false">(AB26+AO$4*(Resumo!$C$6+Resumo!$C$7+Resumo!$C$8)+Resumo!$C$10*CEILING(AO$3/100,1)+Resumo!$C$9+Resumo!$C$13+Resumo!$C$14*CEILING(AO$3,1))*(1+Resumo!$C$11)-(AO$4*(Resumo!$B$6+Resumo!$B$7)+Resumo!$B$9+Resumo!$B$10*CEILING(AO$3/100,1)+(Resumo!$B$12+Resumo!$B$14)*CEILING(AO$3,1))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6" s="13" t="n">
        <f aca="false">(AC26+AP$4*(Resumo!$C$6+Resumo!$C$7+Resumo!$C$8)+Resumo!$C$10*CEILING(AP$3/100,1)+Resumo!$C$9+Resumo!$C$13+Resumo!$C$14*CEILING(AP$3,1))*(1+Resumo!$C$11)-(AP$4*(Resumo!$B$6+Resumo!$B$7)+Resumo!$B$9+Resumo!$B$10*CEILING(AP$3/100,1)+(Resumo!$B$12+Resumo!$B$14)*CEILING(AP$3,1))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6" s="13" t="n">
        <f aca="false">(AD26+AQ$4*(Resumo!$C$6+Resumo!$C$7+Resumo!$C$8)+Resumo!$C$10*CEILING(AQ$3/100,1)+Resumo!$C$9+Resumo!$C$13+Resumo!$C$14*CEILING(AQ$3,1))*(1+Resumo!$C$11)-(AQ$4*(Resumo!$B$6+Resumo!$B$7)+Resumo!$B$9+Resumo!$B$10*CEILING(AQ$3/100,1)+(Resumo!$B$12+Resumo!$B$14)*CEILING(AQ$3,1))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6" s="13" t="n">
        <f aca="false">(AE26+AR$4*(Resumo!$C$6+Resumo!$C$7+Resumo!$C$8)+Resumo!$C$10*CEILING(AR$3/100,1)+Resumo!$C$9+Resumo!$C$13+Resumo!$C$14*CEILING(AR$3,1))*(1+Resumo!$C$11)-(AR$4*(Resumo!$B$6+Resumo!$B$7)+Resumo!$B$9+Resumo!$B$10*CEILING(AR$3/100,1)+(Resumo!$B$12+Resumo!$B$14)*CEILING(AR$3,1))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6" s="13" t="n">
        <f aca="false">(AF26+AS$4*(Resumo!$C$6+Resumo!$C$7+Resumo!$C$8)+Resumo!$C$10*CEILING(AS$3/100,1)+Resumo!$C$9+Resumo!$C$13+Resumo!$C$14*CEILING(AS$3,1))*(1+Resumo!$C$11)-(AS$4*(Resumo!$B$6+Resumo!$B$7)+Resumo!$B$9+Resumo!$B$10*CEILING(AS$3/100,1)+(Resumo!$B$12+Resumo!$B$14)*CEILING(AS$3,1))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6" s="13" t="n">
        <f aca="false">(AG26+AT$4*(Resumo!$C$6+Resumo!$C$7+Resumo!$C$8)+Resumo!$C$10*CEILING(AT$3/100,1)+Resumo!$C$9+Resumo!$C$13+Resumo!$C$14*CEILING(AT$3,1))*(1+Resumo!$C$11)-(AT$4*(Resumo!$B$6+Resumo!$B$7)+Resumo!$B$9+Resumo!$B$10*CEILING(AT$3/100,1)+(Resumo!$B$12+Resumo!$B$14)*CEILING(AT$3,1))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6" s="44" t="n">
        <f aca="false">1-AH26/H26</f>
        <v>0.480447881558527</v>
      </c>
      <c r="AV26" s="44" t="n">
        <f aca="false">1-AI26/I26</f>
        <v>0.391361508578081</v>
      </c>
      <c r="AW26" s="44" t="n">
        <f aca="false">1-AJ26/J26</f>
        <v>0.34451856798356</v>
      </c>
      <c r="AX26" s="44" t="n">
        <f aca="false">1-AK26/K26</f>
        <v>0.372260264988487</v>
      </c>
      <c r="AY26" s="44" t="n">
        <f aca="false">1-AL26/L26</f>
        <v>0.375400399837138</v>
      </c>
      <c r="AZ26" s="44" t="n">
        <f aca="false">1-AM26/M26</f>
        <v>0.420709229511831</v>
      </c>
      <c r="BA26" s="44" t="n">
        <f aca="false">1-AN26/N26</f>
        <v>0.382642225835592</v>
      </c>
      <c r="BB26" s="44" t="n">
        <f aca="false">1-AO26/O26</f>
        <v>0.419232633445788</v>
      </c>
      <c r="BC26" s="44" t="n">
        <f aca="false">1-AP26/P26</f>
        <v>0.493280443868681</v>
      </c>
      <c r="BD26" s="44" t="n">
        <f aca="false">1-AQ26/Q26</f>
        <v>0.455794679894486</v>
      </c>
      <c r="BE26" s="44" t="n">
        <f aca="false">1-AR26/R26</f>
        <v>0.489018797268033</v>
      </c>
      <c r="BF26" s="44" t="n">
        <f aca="false">1-AS26/S26</f>
        <v>0.820478024467603</v>
      </c>
      <c r="BG26" s="44" t="n">
        <f aca="false">1-AT26/T26</f>
        <v>0.528263860444042</v>
      </c>
    </row>
    <row r="27" customFormat="false" ht="15" hidden="false" customHeight="false" outlineLevel="0" collapsed="false">
      <c r="A27" s="10" t="s">
        <v>261</v>
      </c>
      <c r="B27" s="10" t="s">
        <v>225</v>
      </c>
      <c r="C27" s="58" t="n">
        <v>25900000</v>
      </c>
      <c r="D27" s="58" t="n">
        <v>25939999</v>
      </c>
      <c r="E27" s="10" t="s">
        <v>24</v>
      </c>
      <c r="F27" s="10" t="s">
        <v>279</v>
      </c>
      <c r="G27" s="10" t="n">
        <f aca="false">COUNTIFS(Pedidos!$C$2:$C$2224,"&gt;="&amp;C27,Pedidos!$C$2:$C$2224,"&lt;="&amp;D27)</f>
        <v>20</v>
      </c>
      <c r="H27" s="40" t="n">
        <v>89.03</v>
      </c>
      <c r="I27" s="40" t="n">
        <v>103.28</v>
      </c>
      <c r="J27" s="40" t="n">
        <v>108.03</v>
      </c>
      <c r="K27" s="40" t="n">
        <v>117.23</v>
      </c>
      <c r="L27" s="40" t="n">
        <v>127.03</v>
      </c>
      <c r="M27" s="40" t="n">
        <v>136.53</v>
      </c>
      <c r="N27" s="40" t="n">
        <v>146.03</v>
      </c>
      <c r="O27" s="40" t="n">
        <v>167.99</v>
      </c>
      <c r="P27" s="40" t="n">
        <v>201.59</v>
      </c>
      <c r="Q27" s="40" t="n">
        <v>239.25</v>
      </c>
      <c r="R27" s="40" t="n">
        <v>271.15</v>
      </c>
      <c r="S27" s="40" t="n">
        <v>319</v>
      </c>
      <c r="T27" s="40" t="n">
        <v>398.74</v>
      </c>
      <c r="U27" s="40" t="n">
        <v>46.95</v>
      </c>
      <c r="V27" s="40" t="n">
        <v>65.63</v>
      </c>
      <c r="W27" s="40" t="n">
        <v>74.97</v>
      </c>
      <c r="X27" s="40" t="n">
        <v>77.7</v>
      </c>
      <c r="Y27" s="40" t="n">
        <v>83.58</v>
      </c>
      <c r="Z27" s="40" t="n">
        <v>90.2</v>
      </c>
      <c r="AA27" s="40" t="n">
        <v>96.77</v>
      </c>
      <c r="AB27" s="40" t="n">
        <v>109.63</v>
      </c>
      <c r="AC27" s="40" t="n">
        <v>119.5</v>
      </c>
      <c r="AD27" s="40" t="n">
        <v>144.24</v>
      </c>
      <c r="AE27" s="40" t="n">
        <v>155.09</v>
      </c>
      <c r="AF27" s="40" t="n">
        <v>66.69</v>
      </c>
      <c r="AG27" s="40" t="n">
        <v>214.88</v>
      </c>
      <c r="AH27" s="13" t="n">
        <f aca="false">(U27+AH$4*(Resumo!$C$6+Resumo!$C$7+Resumo!$C$8)+Resumo!$C$10*CEILING(AH$3/100,1)+Resumo!$C$9+Resumo!$C$13+Resumo!$C$14*CEILING(AH$3,1))*(1+Resumo!$C$11)-(AH$4*(Resumo!$B$6+Resumo!$B$7)+Resumo!$B$9+Resumo!$B$10*CEILING(AH$3/100,1)+(Resumo!$B$12+Resumo!$B$14)*CEILING(AH$3,1))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7" s="13" t="n">
        <f aca="false">(V27+AI$4*(Resumo!$C$6+Resumo!$C$7+Resumo!$C$8)+Resumo!$C$10*CEILING(AI$3/100,1)+Resumo!$C$9+Resumo!$C$13+Resumo!$C$14*CEILING(AI$3,1))*(1+Resumo!$C$11)-(AI$4*(Resumo!$B$6+Resumo!$B$7)+Resumo!$B$9+Resumo!$B$10*CEILING(AI$3/100,1)+(Resumo!$B$12+Resumo!$B$14)*CEILING(AI$3,1))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7" s="13" t="n">
        <f aca="false">(W27+AJ$4*(Resumo!$C$6+Resumo!$C$7+Resumo!$C$8)+Resumo!$C$10*CEILING(AJ$3/100,1)+Resumo!$C$9+Resumo!$C$13+Resumo!$C$14*CEILING(AJ$3,1))*(1+Resumo!$C$11)-(AJ$4*(Resumo!$B$6+Resumo!$B$7)+Resumo!$B$9+Resumo!$B$10*CEILING(AJ$3/100,1)+(Resumo!$B$12+Resumo!$B$14)*CEILING(AJ$3,1))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7" s="13" t="n">
        <f aca="false">(X27+AK$4*(Resumo!$C$6+Resumo!$C$7+Resumo!$C$8)+Resumo!$C$10*CEILING(AK$3/100,1)+Resumo!$C$9+Resumo!$C$13+Resumo!$C$14*CEILING(AK$3,1))*(1+Resumo!$C$11)-(AK$4*(Resumo!$B$6+Resumo!$B$7)+Resumo!$B$9+Resumo!$B$10*CEILING(AK$3/100,1)+(Resumo!$B$12+Resumo!$B$14)*CEILING(AK$3,1))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7" s="13" t="n">
        <f aca="false">(Y27+AL$4*(Resumo!$C$6+Resumo!$C$7+Resumo!$C$8)+Resumo!$C$10*CEILING(AL$3/100,1)+Resumo!$C$9+Resumo!$C$13+Resumo!$C$14*CEILING(AL$3,1))*(1+Resumo!$C$11)-(AL$4*(Resumo!$B$6+Resumo!$B$7)+Resumo!$B$9+Resumo!$B$10*CEILING(AL$3/100,1)+(Resumo!$B$12+Resumo!$B$14)*CEILING(AL$3,1))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7" s="13" t="n">
        <f aca="false">(Z27+AM$4*(Resumo!$C$6+Resumo!$C$7+Resumo!$C$8)+Resumo!$C$10*CEILING(AM$3/100,1)+Resumo!$C$9+Resumo!$C$13+Resumo!$C$14*CEILING(AM$3,1))*(1+Resumo!$C$11)-(AM$4*(Resumo!$B$6+Resumo!$B$7)+Resumo!$B$9+Resumo!$B$10*CEILING(AM$3/100,1)+(Resumo!$B$12+Resumo!$B$14)*CEILING(AM$3,1))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7" s="13" t="n">
        <f aca="false">(AA27+AN$4*(Resumo!$C$6+Resumo!$C$7+Resumo!$C$8)+Resumo!$C$10*CEILING(AN$3/100,1)+Resumo!$C$9+Resumo!$C$13+Resumo!$C$14*CEILING(AN$3,1))*(1+Resumo!$C$11)-(AN$4*(Resumo!$B$6+Resumo!$B$7)+Resumo!$B$9+Resumo!$B$10*CEILING(AN$3/100,1)+(Resumo!$B$12+Resumo!$B$14)*CEILING(AN$3,1))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7" s="13" t="n">
        <f aca="false">(AB27+AO$4*(Resumo!$C$6+Resumo!$C$7+Resumo!$C$8)+Resumo!$C$10*CEILING(AO$3/100,1)+Resumo!$C$9+Resumo!$C$13+Resumo!$C$14*CEILING(AO$3,1))*(1+Resumo!$C$11)-(AO$4*(Resumo!$B$6+Resumo!$B$7)+Resumo!$B$9+Resumo!$B$10*CEILING(AO$3/100,1)+(Resumo!$B$12+Resumo!$B$14)*CEILING(AO$3,1))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7" s="13" t="n">
        <f aca="false">(AC27+AP$4*(Resumo!$C$6+Resumo!$C$7+Resumo!$C$8)+Resumo!$C$10*CEILING(AP$3/100,1)+Resumo!$C$9+Resumo!$C$13+Resumo!$C$14*CEILING(AP$3,1))*(1+Resumo!$C$11)-(AP$4*(Resumo!$B$6+Resumo!$B$7)+Resumo!$B$9+Resumo!$B$10*CEILING(AP$3/100,1)+(Resumo!$B$12+Resumo!$B$14)*CEILING(AP$3,1))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7" s="13" t="n">
        <f aca="false">(AD27+AQ$4*(Resumo!$C$6+Resumo!$C$7+Resumo!$C$8)+Resumo!$C$10*CEILING(AQ$3/100,1)+Resumo!$C$9+Resumo!$C$13+Resumo!$C$14*CEILING(AQ$3,1))*(1+Resumo!$C$11)-(AQ$4*(Resumo!$B$6+Resumo!$B$7)+Resumo!$B$9+Resumo!$B$10*CEILING(AQ$3/100,1)+(Resumo!$B$12+Resumo!$B$14)*CEILING(AQ$3,1))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7" s="13" t="n">
        <f aca="false">(AE27+AR$4*(Resumo!$C$6+Resumo!$C$7+Resumo!$C$8)+Resumo!$C$10*CEILING(AR$3/100,1)+Resumo!$C$9+Resumo!$C$13+Resumo!$C$14*CEILING(AR$3,1))*(1+Resumo!$C$11)-(AR$4*(Resumo!$B$6+Resumo!$B$7)+Resumo!$B$9+Resumo!$B$10*CEILING(AR$3/100,1)+(Resumo!$B$12+Resumo!$B$14)*CEILING(AR$3,1))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7" s="13" t="n">
        <f aca="false">(AF27+AS$4*(Resumo!$C$6+Resumo!$C$7+Resumo!$C$8)+Resumo!$C$10*CEILING(AS$3/100,1)+Resumo!$C$9+Resumo!$C$13+Resumo!$C$14*CEILING(AS$3,1))*(1+Resumo!$C$11)-(AS$4*(Resumo!$B$6+Resumo!$B$7)+Resumo!$B$9+Resumo!$B$10*CEILING(AS$3/100,1)+(Resumo!$B$12+Resumo!$B$14)*CEILING(AS$3,1))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7" s="13" t="n">
        <f aca="false">(AG27+AT$4*(Resumo!$C$6+Resumo!$C$7+Resumo!$C$8)+Resumo!$C$10*CEILING(AT$3/100,1)+Resumo!$C$9+Resumo!$C$13+Resumo!$C$14*CEILING(AT$3,1))*(1+Resumo!$C$11)-(AT$4*(Resumo!$B$6+Resumo!$B$7)+Resumo!$B$9+Resumo!$B$10*CEILING(AT$3/100,1)+(Resumo!$B$12+Resumo!$B$14)*CEILING(AT$3,1))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7" s="44" t="n">
        <f aca="false">1-AH27/H27</f>
        <v>0.378323181202178</v>
      </c>
      <c r="AV27" s="44" t="n">
        <f aca="false">1-AI27/I27</f>
        <v>0.288232407107481</v>
      </c>
      <c r="AW27" s="44" t="n">
        <f aca="false">1-AJ27/J27</f>
        <v>0.237729035414002</v>
      </c>
      <c r="AX27" s="44" t="n">
        <f aca="false">1-AK27/K27</f>
        <v>0.276945351713686</v>
      </c>
      <c r="AY27" s="44" t="n">
        <f aca="false">1-AL27/L27</f>
        <v>0.289353851755188</v>
      </c>
      <c r="AZ27" s="44" t="n">
        <f aca="false">1-AM27/M27</f>
        <v>0.295457171027903</v>
      </c>
      <c r="BA27" s="44" t="n">
        <f aca="false">1-AN27/N27</f>
        <v>0.298005489283024</v>
      </c>
      <c r="BB27" s="44" t="n">
        <f aca="false">1-AO27/O27</f>
        <v>0.31773058045435</v>
      </c>
      <c r="BC27" s="44" t="n">
        <f aca="false">1-AP27/P27</f>
        <v>0.404725803447498</v>
      </c>
      <c r="BD27" s="44" t="n">
        <f aca="false">1-AQ27/Q27</f>
        <v>0.39758688828947</v>
      </c>
      <c r="BE27" s="44" t="n">
        <f aca="false">1-AR27/R27</f>
        <v>0.434368401253918</v>
      </c>
      <c r="BF27" s="44" t="n">
        <f aca="false">1-AS27/S27</f>
        <v>0.801276489028213</v>
      </c>
      <c r="BG27" s="44" t="n">
        <f aca="false">1-AT27/T27</f>
        <v>0.477794221798666</v>
      </c>
    </row>
    <row r="28" customFormat="false" ht="15" hidden="false" customHeight="false" outlineLevel="0" collapsed="false">
      <c r="A28" s="10" t="s">
        <v>261</v>
      </c>
      <c r="B28" s="10" t="s">
        <v>280</v>
      </c>
      <c r="C28" s="58" t="n">
        <v>25940000</v>
      </c>
      <c r="D28" s="58" t="n">
        <v>25949999</v>
      </c>
      <c r="E28" s="10" t="s">
        <v>24</v>
      </c>
      <c r="F28" s="10" t="s">
        <v>279</v>
      </c>
      <c r="G28" s="10" t="n">
        <f aca="false">COUNTIFS(Pedidos!$C$2:$C$2224,"&gt;="&amp;C28,Pedidos!$C$2:$C$2224,"&lt;="&amp;D28)</f>
        <v>7</v>
      </c>
      <c r="H28" s="40" t="n">
        <v>89.03</v>
      </c>
      <c r="I28" s="40" t="n">
        <v>103.28</v>
      </c>
      <c r="J28" s="40" t="n">
        <v>108.03</v>
      </c>
      <c r="K28" s="40" t="n">
        <v>117.23</v>
      </c>
      <c r="L28" s="40" t="n">
        <v>127.03</v>
      </c>
      <c r="M28" s="40" t="n">
        <v>136.53</v>
      </c>
      <c r="N28" s="40" t="n">
        <v>146.03</v>
      </c>
      <c r="O28" s="40" t="n">
        <v>167.99</v>
      </c>
      <c r="P28" s="40" t="n">
        <v>201.59</v>
      </c>
      <c r="Q28" s="40" t="n">
        <v>239.25</v>
      </c>
      <c r="R28" s="40" t="n">
        <v>271.15</v>
      </c>
      <c r="S28" s="40" t="n">
        <v>319</v>
      </c>
      <c r="T28" s="40" t="n">
        <v>398.74</v>
      </c>
      <c r="U28" s="40" t="n">
        <v>46.95</v>
      </c>
      <c r="V28" s="40" t="n">
        <v>65.63</v>
      </c>
      <c r="W28" s="40" t="n">
        <v>74.97</v>
      </c>
      <c r="X28" s="40" t="n">
        <v>77.7</v>
      </c>
      <c r="Y28" s="40" t="n">
        <v>83.58</v>
      </c>
      <c r="Z28" s="40" t="n">
        <v>90.2</v>
      </c>
      <c r="AA28" s="40" t="n">
        <v>96.77</v>
      </c>
      <c r="AB28" s="40" t="n">
        <v>109.63</v>
      </c>
      <c r="AC28" s="40" t="n">
        <v>119.5</v>
      </c>
      <c r="AD28" s="40" t="n">
        <v>144.24</v>
      </c>
      <c r="AE28" s="40" t="n">
        <v>155.09</v>
      </c>
      <c r="AF28" s="40" t="n">
        <v>66.69</v>
      </c>
      <c r="AG28" s="40" t="n">
        <v>214.88</v>
      </c>
      <c r="AH28" s="13" t="n">
        <f aca="false">(U28+AH$4*(Resumo!$C$6+Resumo!$C$7+Resumo!$C$8)+Resumo!$C$10*CEILING(AH$3/100,1)+Resumo!$C$9+Resumo!$C$13+Resumo!$C$14*CEILING(AH$3,1))*(1+Resumo!$C$11)-(AH$4*(Resumo!$B$6+Resumo!$B$7)+Resumo!$B$9+Resumo!$B$10*CEILING(AH$3/100,1)+(Resumo!$B$12+Resumo!$B$14)*CEILING(AH$3,1))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8" s="13" t="n">
        <f aca="false">(V28+AI$4*(Resumo!$C$6+Resumo!$C$7+Resumo!$C$8)+Resumo!$C$10*CEILING(AI$3/100,1)+Resumo!$C$9+Resumo!$C$13+Resumo!$C$14*CEILING(AI$3,1))*(1+Resumo!$C$11)-(AI$4*(Resumo!$B$6+Resumo!$B$7)+Resumo!$B$9+Resumo!$B$10*CEILING(AI$3/100,1)+(Resumo!$B$12+Resumo!$B$14)*CEILING(AI$3,1))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8" s="13" t="n">
        <f aca="false">(W28+AJ$4*(Resumo!$C$6+Resumo!$C$7+Resumo!$C$8)+Resumo!$C$10*CEILING(AJ$3/100,1)+Resumo!$C$9+Resumo!$C$13+Resumo!$C$14*CEILING(AJ$3,1))*(1+Resumo!$C$11)-(AJ$4*(Resumo!$B$6+Resumo!$B$7)+Resumo!$B$9+Resumo!$B$10*CEILING(AJ$3/100,1)+(Resumo!$B$12+Resumo!$B$14)*CEILING(AJ$3,1))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8" s="13" t="n">
        <f aca="false">(X28+AK$4*(Resumo!$C$6+Resumo!$C$7+Resumo!$C$8)+Resumo!$C$10*CEILING(AK$3/100,1)+Resumo!$C$9+Resumo!$C$13+Resumo!$C$14*CEILING(AK$3,1))*(1+Resumo!$C$11)-(AK$4*(Resumo!$B$6+Resumo!$B$7)+Resumo!$B$9+Resumo!$B$10*CEILING(AK$3/100,1)+(Resumo!$B$12+Resumo!$B$14)*CEILING(AK$3,1))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8" s="13" t="n">
        <f aca="false">(Y28+AL$4*(Resumo!$C$6+Resumo!$C$7+Resumo!$C$8)+Resumo!$C$10*CEILING(AL$3/100,1)+Resumo!$C$9+Resumo!$C$13+Resumo!$C$14*CEILING(AL$3,1))*(1+Resumo!$C$11)-(AL$4*(Resumo!$B$6+Resumo!$B$7)+Resumo!$B$9+Resumo!$B$10*CEILING(AL$3/100,1)+(Resumo!$B$12+Resumo!$B$14)*CEILING(AL$3,1))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8" s="13" t="n">
        <f aca="false">(Z28+AM$4*(Resumo!$C$6+Resumo!$C$7+Resumo!$C$8)+Resumo!$C$10*CEILING(AM$3/100,1)+Resumo!$C$9+Resumo!$C$13+Resumo!$C$14*CEILING(AM$3,1))*(1+Resumo!$C$11)-(AM$4*(Resumo!$B$6+Resumo!$B$7)+Resumo!$B$9+Resumo!$B$10*CEILING(AM$3/100,1)+(Resumo!$B$12+Resumo!$B$14)*CEILING(AM$3,1))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8" s="13" t="n">
        <f aca="false">(AA28+AN$4*(Resumo!$C$6+Resumo!$C$7+Resumo!$C$8)+Resumo!$C$10*CEILING(AN$3/100,1)+Resumo!$C$9+Resumo!$C$13+Resumo!$C$14*CEILING(AN$3,1))*(1+Resumo!$C$11)-(AN$4*(Resumo!$B$6+Resumo!$B$7)+Resumo!$B$9+Resumo!$B$10*CEILING(AN$3/100,1)+(Resumo!$B$12+Resumo!$B$14)*CEILING(AN$3,1))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8" s="13" t="n">
        <f aca="false">(AB28+AO$4*(Resumo!$C$6+Resumo!$C$7+Resumo!$C$8)+Resumo!$C$10*CEILING(AO$3/100,1)+Resumo!$C$9+Resumo!$C$13+Resumo!$C$14*CEILING(AO$3,1))*(1+Resumo!$C$11)-(AO$4*(Resumo!$B$6+Resumo!$B$7)+Resumo!$B$9+Resumo!$B$10*CEILING(AO$3/100,1)+(Resumo!$B$12+Resumo!$B$14)*CEILING(AO$3,1))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8" s="13" t="n">
        <f aca="false">(AC28+AP$4*(Resumo!$C$6+Resumo!$C$7+Resumo!$C$8)+Resumo!$C$10*CEILING(AP$3/100,1)+Resumo!$C$9+Resumo!$C$13+Resumo!$C$14*CEILING(AP$3,1))*(1+Resumo!$C$11)-(AP$4*(Resumo!$B$6+Resumo!$B$7)+Resumo!$B$9+Resumo!$B$10*CEILING(AP$3/100,1)+(Resumo!$B$12+Resumo!$B$14)*CEILING(AP$3,1))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8" s="13" t="n">
        <f aca="false">(AD28+AQ$4*(Resumo!$C$6+Resumo!$C$7+Resumo!$C$8)+Resumo!$C$10*CEILING(AQ$3/100,1)+Resumo!$C$9+Resumo!$C$13+Resumo!$C$14*CEILING(AQ$3,1))*(1+Resumo!$C$11)-(AQ$4*(Resumo!$B$6+Resumo!$B$7)+Resumo!$B$9+Resumo!$B$10*CEILING(AQ$3/100,1)+(Resumo!$B$12+Resumo!$B$14)*CEILING(AQ$3,1))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8" s="13" t="n">
        <f aca="false">(AE28+AR$4*(Resumo!$C$6+Resumo!$C$7+Resumo!$C$8)+Resumo!$C$10*CEILING(AR$3/100,1)+Resumo!$C$9+Resumo!$C$13+Resumo!$C$14*CEILING(AR$3,1))*(1+Resumo!$C$11)-(AR$4*(Resumo!$B$6+Resumo!$B$7)+Resumo!$B$9+Resumo!$B$10*CEILING(AR$3/100,1)+(Resumo!$B$12+Resumo!$B$14)*CEILING(AR$3,1))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8" s="13" t="n">
        <f aca="false">(AF28+AS$4*(Resumo!$C$6+Resumo!$C$7+Resumo!$C$8)+Resumo!$C$10*CEILING(AS$3/100,1)+Resumo!$C$9+Resumo!$C$13+Resumo!$C$14*CEILING(AS$3,1))*(1+Resumo!$C$11)-(AS$4*(Resumo!$B$6+Resumo!$B$7)+Resumo!$B$9+Resumo!$B$10*CEILING(AS$3/100,1)+(Resumo!$B$12+Resumo!$B$14)*CEILING(AS$3,1))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8" s="13" t="n">
        <f aca="false">(AG28+AT$4*(Resumo!$C$6+Resumo!$C$7+Resumo!$C$8)+Resumo!$C$10*CEILING(AT$3/100,1)+Resumo!$C$9+Resumo!$C$13+Resumo!$C$14*CEILING(AT$3,1))*(1+Resumo!$C$11)-(AT$4*(Resumo!$B$6+Resumo!$B$7)+Resumo!$B$9+Resumo!$B$10*CEILING(AT$3/100,1)+(Resumo!$B$12+Resumo!$B$14)*CEILING(AT$3,1))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8" s="44" t="n">
        <f aca="false">1-AH28/H28</f>
        <v>0.378323181202178</v>
      </c>
      <c r="AV28" s="44" t="n">
        <f aca="false">1-AI28/I28</f>
        <v>0.288232407107481</v>
      </c>
      <c r="AW28" s="44" t="n">
        <f aca="false">1-AJ28/J28</f>
        <v>0.237729035414002</v>
      </c>
      <c r="AX28" s="44" t="n">
        <f aca="false">1-AK28/K28</f>
        <v>0.276945351713686</v>
      </c>
      <c r="AY28" s="44" t="n">
        <f aca="false">1-AL28/L28</f>
        <v>0.289353851755188</v>
      </c>
      <c r="AZ28" s="44" t="n">
        <f aca="false">1-AM28/M28</f>
        <v>0.295457171027903</v>
      </c>
      <c r="BA28" s="44" t="n">
        <f aca="false">1-AN28/N28</f>
        <v>0.298005489283024</v>
      </c>
      <c r="BB28" s="44" t="n">
        <f aca="false">1-AO28/O28</f>
        <v>0.31773058045435</v>
      </c>
      <c r="BC28" s="44" t="n">
        <f aca="false">1-AP28/P28</f>
        <v>0.404725803447498</v>
      </c>
      <c r="BD28" s="44" t="n">
        <f aca="false">1-AQ28/Q28</f>
        <v>0.39758688828947</v>
      </c>
      <c r="BE28" s="44" t="n">
        <f aca="false">1-AR28/R28</f>
        <v>0.434368401253918</v>
      </c>
      <c r="BF28" s="44" t="n">
        <f aca="false">1-AS28/S28</f>
        <v>0.801276489028213</v>
      </c>
      <c r="BG28" s="44" t="n">
        <f aca="false">1-AT28/T28</f>
        <v>0.477794221798666</v>
      </c>
    </row>
    <row r="29" customFormat="false" ht="15" hidden="false" customHeight="false" outlineLevel="0" collapsed="false">
      <c r="A29" s="10" t="s">
        <v>261</v>
      </c>
      <c r="B29" s="10" t="s">
        <v>281</v>
      </c>
      <c r="C29" s="58" t="n">
        <v>25950000</v>
      </c>
      <c r="D29" s="58" t="n">
        <v>25999999</v>
      </c>
      <c r="E29" s="10" t="s">
        <v>24</v>
      </c>
      <c r="F29" s="10" t="s">
        <v>266</v>
      </c>
      <c r="G29" s="10" t="n">
        <f aca="false">COUNTIFS(Pedidos!$C$2:$C$2224,"&gt;="&amp;C29,Pedidos!$C$2:$C$2224,"&lt;="&amp;D29)</f>
        <v>17</v>
      </c>
      <c r="H29" s="40" t="n">
        <v>106.53</v>
      </c>
      <c r="I29" s="40" t="n">
        <v>120.78</v>
      </c>
      <c r="J29" s="40" t="n">
        <v>125.63</v>
      </c>
      <c r="K29" s="40" t="n">
        <v>135.03</v>
      </c>
      <c r="L29" s="40" t="n">
        <v>144.53</v>
      </c>
      <c r="M29" s="40" t="n">
        <v>166.05</v>
      </c>
      <c r="N29" s="40" t="n">
        <v>166.05</v>
      </c>
      <c r="O29" s="40" t="n">
        <v>197.35</v>
      </c>
      <c r="P29" s="40" t="n">
        <v>236.82</v>
      </c>
      <c r="Q29" s="40" t="n">
        <v>264.84</v>
      </c>
      <c r="R29" s="40" t="n">
        <v>300.15</v>
      </c>
      <c r="S29" s="40" t="n">
        <v>353.12</v>
      </c>
      <c r="T29" s="40" t="n">
        <v>441.4</v>
      </c>
      <c r="U29" s="40" t="n">
        <v>46.95</v>
      </c>
      <c r="V29" s="40" t="n">
        <v>65.63</v>
      </c>
      <c r="W29" s="40" t="n">
        <v>74.97</v>
      </c>
      <c r="X29" s="40" t="n">
        <v>77.7</v>
      </c>
      <c r="Y29" s="40" t="n">
        <v>83.58</v>
      </c>
      <c r="Z29" s="40" t="n">
        <v>90.2</v>
      </c>
      <c r="AA29" s="40" t="n">
        <v>96.77</v>
      </c>
      <c r="AB29" s="40" t="n">
        <v>109.63</v>
      </c>
      <c r="AC29" s="40" t="n">
        <v>119.5</v>
      </c>
      <c r="AD29" s="40" t="n">
        <v>144.24</v>
      </c>
      <c r="AE29" s="40" t="n">
        <v>155.09</v>
      </c>
      <c r="AF29" s="40" t="n">
        <v>66.69</v>
      </c>
      <c r="AG29" s="40" t="n">
        <v>214.88</v>
      </c>
      <c r="AH29" s="13" t="n">
        <f aca="false">(U29+AH$4*(Resumo!$C$6+Resumo!$C$7+Resumo!$C$8)+Resumo!$C$10*CEILING(AH$3/100,1)+Resumo!$C$9+Resumo!$C$13+Resumo!$C$14*CEILING(AH$3,1))*(1+Resumo!$C$11)-(AH$4*(Resumo!$B$6+Resumo!$B$7)+Resumo!$B$9+Resumo!$B$10*CEILING(AH$3/100,1)+(Resumo!$B$12+Resumo!$B$14)*CEILING(AH$3,1))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29" s="13" t="n">
        <f aca="false">(V29+AI$4*(Resumo!$C$6+Resumo!$C$7+Resumo!$C$8)+Resumo!$C$10*CEILING(AI$3/100,1)+Resumo!$C$9+Resumo!$C$13+Resumo!$C$14*CEILING(AI$3,1))*(1+Resumo!$C$11)-(AI$4*(Resumo!$B$6+Resumo!$B$7)+Resumo!$B$9+Resumo!$B$10*CEILING(AI$3/100,1)+(Resumo!$B$12+Resumo!$B$14)*CEILING(AI$3,1))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29" s="13" t="n">
        <f aca="false">(W29+AJ$4*(Resumo!$C$6+Resumo!$C$7+Resumo!$C$8)+Resumo!$C$10*CEILING(AJ$3/100,1)+Resumo!$C$9+Resumo!$C$13+Resumo!$C$14*CEILING(AJ$3,1))*(1+Resumo!$C$11)-(AJ$4*(Resumo!$B$6+Resumo!$B$7)+Resumo!$B$9+Resumo!$B$10*CEILING(AJ$3/100,1)+(Resumo!$B$12+Resumo!$B$14)*CEILING(AJ$3,1))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29" s="13" t="n">
        <f aca="false">(X29+AK$4*(Resumo!$C$6+Resumo!$C$7+Resumo!$C$8)+Resumo!$C$10*CEILING(AK$3/100,1)+Resumo!$C$9+Resumo!$C$13+Resumo!$C$14*CEILING(AK$3,1))*(1+Resumo!$C$11)-(AK$4*(Resumo!$B$6+Resumo!$B$7)+Resumo!$B$9+Resumo!$B$10*CEILING(AK$3/100,1)+(Resumo!$B$12+Resumo!$B$14)*CEILING(AK$3,1))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29" s="13" t="n">
        <f aca="false">(Y29+AL$4*(Resumo!$C$6+Resumo!$C$7+Resumo!$C$8)+Resumo!$C$10*CEILING(AL$3/100,1)+Resumo!$C$9+Resumo!$C$13+Resumo!$C$14*CEILING(AL$3,1))*(1+Resumo!$C$11)-(AL$4*(Resumo!$B$6+Resumo!$B$7)+Resumo!$B$9+Resumo!$B$10*CEILING(AL$3/100,1)+(Resumo!$B$12+Resumo!$B$14)*CEILING(AL$3,1))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29" s="13" t="n">
        <f aca="false">(Z29+AM$4*(Resumo!$C$6+Resumo!$C$7+Resumo!$C$8)+Resumo!$C$10*CEILING(AM$3/100,1)+Resumo!$C$9+Resumo!$C$13+Resumo!$C$14*CEILING(AM$3,1))*(1+Resumo!$C$11)-(AM$4*(Resumo!$B$6+Resumo!$B$7)+Resumo!$B$9+Resumo!$B$10*CEILING(AM$3/100,1)+(Resumo!$B$12+Resumo!$B$14)*CEILING(AM$3,1))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29" s="13" t="n">
        <f aca="false">(AA29+AN$4*(Resumo!$C$6+Resumo!$C$7+Resumo!$C$8)+Resumo!$C$10*CEILING(AN$3/100,1)+Resumo!$C$9+Resumo!$C$13+Resumo!$C$14*CEILING(AN$3,1))*(1+Resumo!$C$11)-(AN$4*(Resumo!$B$6+Resumo!$B$7)+Resumo!$B$9+Resumo!$B$10*CEILING(AN$3/100,1)+(Resumo!$B$12+Resumo!$B$14)*CEILING(AN$3,1))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29" s="13" t="n">
        <f aca="false">(AB29+AO$4*(Resumo!$C$6+Resumo!$C$7+Resumo!$C$8)+Resumo!$C$10*CEILING(AO$3/100,1)+Resumo!$C$9+Resumo!$C$13+Resumo!$C$14*CEILING(AO$3,1))*(1+Resumo!$C$11)-(AO$4*(Resumo!$B$6+Resumo!$B$7)+Resumo!$B$9+Resumo!$B$10*CEILING(AO$3/100,1)+(Resumo!$B$12+Resumo!$B$14)*CEILING(AO$3,1))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29" s="13" t="n">
        <f aca="false">(AC29+AP$4*(Resumo!$C$6+Resumo!$C$7+Resumo!$C$8)+Resumo!$C$10*CEILING(AP$3/100,1)+Resumo!$C$9+Resumo!$C$13+Resumo!$C$14*CEILING(AP$3,1))*(1+Resumo!$C$11)-(AP$4*(Resumo!$B$6+Resumo!$B$7)+Resumo!$B$9+Resumo!$B$10*CEILING(AP$3/100,1)+(Resumo!$B$12+Resumo!$B$14)*CEILING(AP$3,1))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29" s="13" t="n">
        <f aca="false">(AD29+AQ$4*(Resumo!$C$6+Resumo!$C$7+Resumo!$C$8)+Resumo!$C$10*CEILING(AQ$3/100,1)+Resumo!$C$9+Resumo!$C$13+Resumo!$C$14*CEILING(AQ$3,1))*(1+Resumo!$C$11)-(AQ$4*(Resumo!$B$6+Resumo!$B$7)+Resumo!$B$9+Resumo!$B$10*CEILING(AQ$3/100,1)+(Resumo!$B$12+Resumo!$B$14)*CEILING(AQ$3,1))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29" s="13" t="n">
        <f aca="false">(AE29+AR$4*(Resumo!$C$6+Resumo!$C$7+Resumo!$C$8)+Resumo!$C$10*CEILING(AR$3/100,1)+Resumo!$C$9+Resumo!$C$13+Resumo!$C$14*CEILING(AR$3,1))*(1+Resumo!$C$11)-(AR$4*(Resumo!$B$6+Resumo!$B$7)+Resumo!$B$9+Resumo!$B$10*CEILING(AR$3/100,1)+(Resumo!$B$12+Resumo!$B$14)*CEILING(AR$3,1))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29" s="13" t="n">
        <f aca="false">(AF29+AS$4*(Resumo!$C$6+Resumo!$C$7+Resumo!$C$8)+Resumo!$C$10*CEILING(AS$3/100,1)+Resumo!$C$9+Resumo!$C$13+Resumo!$C$14*CEILING(AS$3,1))*(1+Resumo!$C$11)-(AS$4*(Resumo!$B$6+Resumo!$B$7)+Resumo!$B$9+Resumo!$B$10*CEILING(AS$3/100,1)+(Resumo!$B$12+Resumo!$B$14)*CEILING(AS$3,1))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29" s="13" t="n">
        <f aca="false">(AG29+AT$4*(Resumo!$C$6+Resumo!$C$7+Resumo!$C$8)+Resumo!$C$10*CEILING(AT$3/100,1)+Resumo!$C$9+Resumo!$C$13+Resumo!$C$14*CEILING(AT$3,1))*(1+Resumo!$C$11)-(AT$4*(Resumo!$B$6+Resumo!$B$7)+Resumo!$B$9+Resumo!$B$10*CEILING(AT$3/100,1)+(Resumo!$B$12+Resumo!$B$14)*CEILING(AT$3,1))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29" s="44" t="n">
        <f aca="false">1-AH29/H29</f>
        <v>0.480447881558527</v>
      </c>
      <c r="AV29" s="44" t="n">
        <f aca="false">1-AI29/I29</f>
        <v>0.391361508578081</v>
      </c>
      <c r="AW29" s="44" t="n">
        <f aca="false">1-AJ29/J29</f>
        <v>0.34451856798356</v>
      </c>
      <c r="AX29" s="44" t="n">
        <f aca="false">1-AK29/K29</f>
        <v>0.372260264988487</v>
      </c>
      <c r="AY29" s="44" t="n">
        <f aca="false">1-AL29/L29</f>
        <v>0.375400399837138</v>
      </c>
      <c r="AZ29" s="44" t="n">
        <f aca="false">1-AM29/M29</f>
        <v>0.420709229511831</v>
      </c>
      <c r="BA29" s="44" t="n">
        <f aca="false">1-AN29/N29</f>
        <v>0.382642225835592</v>
      </c>
      <c r="BB29" s="44" t="n">
        <f aca="false">1-AO29/O29</f>
        <v>0.419232633445788</v>
      </c>
      <c r="BC29" s="44" t="n">
        <f aca="false">1-AP29/P29</f>
        <v>0.493280443868681</v>
      </c>
      <c r="BD29" s="44" t="n">
        <f aca="false">1-AQ29/Q29</f>
        <v>0.455794679894486</v>
      </c>
      <c r="BE29" s="44" t="n">
        <f aca="false">1-AR29/R29</f>
        <v>0.489018797268033</v>
      </c>
      <c r="BF29" s="44" t="n">
        <f aca="false">1-AS29/S29</f>
        <v>0.820478024467603</v>
      </c>
      <c r="BG29" s="44" t="n">
        <f aca="false">1-AT29/T29</f>
        <v>0.528263860444042</v>
      </c>
    </row>
    <row r="30" customFormat="false" ht="15" hidden="false" customHeight="false" outlineLevel="0" collapsed="false">
      <c r="A30" s="10" t="s">
        <v>261</v>
      </c>
      <c r="B30" s="10" t="s">
        <v>49</v>
      </c>
      <c r="C30" s="58" t="n">
        <v>26000000</v>
      </c>
      <c r="D30" s="58" t="n">
        <v>26099999</v>
      </c>
      <c r="E30" s="10" t="s">
        <v>23</v>
      </c>
      <c r="F30" s="10" t="s">
        <v>262</v>
      </c>
      <c r="G30" s="10" t="n">
        <f aca="false">COUNTIFS(Pedidos!$C$2:$C$2224,"&gt;="&amp;C30,Pedidos!$C$2:$C$2224,"&lt;="&amp;D30)</f>
        <v>40</v>
      </c>
      <c r="H30" s="40" t="n">
        <v>46.98</v>
      </c>
      <c r="I30" s="40" t="n">
        <v>82.21</v>
      </c>
      <c r="J30" s="40" t="n">
        <v>93.97</v>
      </c>
      <c r="K30" s="40" t="n">
        <v>93.97</v>
      </c>
      <c r="L30" s="40" t="n">
        <v>112.3</v>
      </c>
      <c r="M30" s="40" t="n">
        <v>131.02</v>
      </c>
      <c r="N30" s="40" t="n">
        <v>134.39</v>
      </c>
      <c r="O30" s="40" t="n">
        <v>167.99</v>
      </c>
      <c r="P30" s="40" t="n">
        <v>201.59</v>
      </c>
      <c r="Q30" s="40" t="n">
        <v>239.25</v>
      </c>
      <c r="R30" s="40" t="n">
        <v>271.15</v>
      </c>
      <c r="S30" s="40" t="n">
        <v>319</v>
      </c>
      <c r="T30" s="40" t="n">
        <v>398.74</v>
      </c>
      <c r="U30" s="40" t="n">
        <v>42.72</v>
      </c>
      <c r="V30" s="40" t="n">
        <v>58.8</v>
      </c>
      <c r="W30" s="40" t="n">
        <v>66.83</v>
      </c>
      <c r="X30" s="40" t="n">
        <v>65.36</v>
      </c>
      <c r="Y30" s="40" t="n">
        <v>70.98</v>
      </c>
      <c r="Z30" s="40" t="n">
        <v>76.55</v>
      </c>
      <c r="AA30" s="40" t="n">
        <v>82.48</v>
      </c>
      <c r="AB30" s="40" t="n">
        <v>92.32</v>
      </c>
      <c r="AC30" s="40" t="n">
        <v>101.26</v>
      </c>
      <c r="AD30" s="40" t="n">
        <v>129.62</v>
      </c>
      <c r="AE30" s="40" t="n">
        <v>139.81</v>
      </c>
      <c r="AF30" s="40" t="n">
        <v>155.09</v>
      </c>
      <c r="AG30" s="40" t="n">
        <v>194.34</v>
      </c>
      <c r="AH30" s="13" t="n">
        <f aca="false">(U30+AH$4*(Resumo!$C$6+Resumo!$C$7+Resumo!$C$8)+Resumo!$C$10*CEILING(AH$3/100,1)+Resumo!$C$9+Resumo!$C$13+Resumo!$C$14*CEILING(AH$3,1))*(1+Resumo!$C$11)-(AH$4*(Resumo!$B$6+Resumo!$B$7)+Resumo!$B$9+Resumo!$B$10*CEILING(AH$3/100,1)+(Resumo!$B$12+Resumo!$B$14)*CEILING(AH$3,1))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30" s="13" t="n">
        <f aca="false">(V30+AI$4*(Resumo!$C$6+Resumo!$C$7+Resumo!$C$8)+Resumo!$C$10*CEILING(AI$3/100,1)+Resumo!$C$9+Resumo!$C$13+Resumo!$C$14*CEILING(AI$3,1))*(1+Resumo!$C$11)-(AI$4*(Resumo!$B$6+Resumo!$B$7)+Resumo!$B$9+Resumo!$B$10*CEILING(AI$3/100,1)+(Resumo!$B$12+Resumo!$B$14)*CEILING(AI$3,1))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30" s="13" t="n">
        <f aca="false">(W30+AJ$4*(Resumo!$C$6+Resumo!$C$7+Resumo!$C$8)+Resumo!$C$10*CEILING(AJ$3/100,1)+Resumo!$C$9+Resumo!$C$13+Resumo!$C$14*CEILING(AJ$3,1))*(1+Resumo!$C$11)-(AJ$4*(Resumo!$B$6+Resumo!$B$7)+Resumo!$B$9+Resumo!$B$10*CEILING(AJ$3/100,1)+(Resumo!$B$12+Resumo!$B$14)*CEILING(AJ$3,1))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30" s="13" t="n">
        <f aca="false">(X30+AK$4*(Resumo!$C$6+Resumo!$C$7+Resumo!$C$8)+Resumo!$C$10*CEILING(AK$3/100,1)+Resumo!$C$9+Resumo!$C$13+Resumo!$C$14*CEILING(AK$3,1))*(1+Resumo!$C$11)-(AK$4*(Resumo!$B$6+Resumo!$B$7)+Resumo!$B$9+Resumo!$B$10*CEILING(AK$3/100,1)+(Resumo!$B$12+Resumo!$B$14)*CEILING(AK$3,1))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30" s="13" t="n">
        <f aca="false">(Y30+AL$4*(Resumo!$C$6+Resumo!$C$7+Resumo!$C$8)+Resumo!$C$10*CEILING(AL$3/100,1)+Resumo!$C$9+Resumo!$C$13+Resumo!$C$14*CEILING(AL$3,1))*(1+Resumo!$C$11)-(AL$4*(Resumo!$B$6+Resumo!$B$7)+Resumo!$B$9+Resumo!$B$10*CEILING(AL$3/100,1)+(Resumo!$B$12+Resumo!$B$14)*CEILING(AL$3,1))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30" s="13" t="n">
        <f aca="false">(Z30+AM$4*(Resumo!$C$6+Resumo!$C$7+Resumo!$C$8)+Resumo!$C$10*CEILING(AM$3/100,1)+Resumo!$C$9+Resumo!$C$13+Resumo!$C$14*CEILING(AM$3,1))*(1+Resumo!$C$11)-(AM$4*(Resumo!$B$6+Resumo!$B$7)+Resumo!$B$9+Resumo!$B$10*CEILING(AM$3/100,1)+(Resumo!$B$12+Resumo!$B$14)*CEILING(AM$3,1))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30" s="13" t="n">
        <f aca="false">(AA30+AN$4*(Resumo!$C$6+Resumo!$C$7+Resumo!$C$8)+Resumo!$C$10*CEILING(AN$3/100,1)+Resumo!$C$9+Resumo!$C$13+Resumo!$C$14*CEILING(AN$3,1))*(1+Resumo!$C$11)-(AN$4*(Resumo!$B$6+Resumo!$B$7)+Resumo!$B$9+Resumo!$B$10*CEILING(AN$3/100,1)+(Resumo!$B$12+Resumo!$B$14)*CEILING(AN$3,1))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30" s="13" t="n">
        <f aca="false">(AB30+AO$4*(Resumo!$C$6+Resumo!$C$7+Resumo!$C$8)+Resumo!$C$10*CEILING(AO$3/100,1)+Resumo!$C$9+Resumo!$C$13+Resumo!$C$14*CEILING(AO$3,1))*(1+Resumo!$C$11)-(AO$4*(Resumo!$B$6+Resumo!$B$7)+Resumo!$B$9+Resumo!$B$10*CEILING(AO$3/100,1)+(Resumo!$B$12+Resumo!$B$14)*CEILING(AO$3,1))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30" s="13" t="n">
        <f aca="false">(AC30+AP$4*(Resumo!$C$6+Resumo!$C$7+Resumo!$C$8)+Resumo!$C$10*CEILING(AP$3/100,1)+Resumo!$C$9+Resumo!$C$13+Resumo!$C$14*CEILING(AP$3,1))*(1+Resumo!$C$11)-(AP$4*(Resumo!$B$6+Resumo!$B$7)+Resumo!$B$9+Resumo!$B$10*CEILING(AP$3/100,1)+(Resumo!$B$12+Resumo!$B$14)*CEILING(AP$3,1))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30" s="13" t="n">
        <f aca="false">(AD30+AQ$4*(Resumo!$C$6+Resumo!$C$7+Resumo!$C$8)+Resumo!$C$10*CEILING(AQ$3/100,1)+Resumo!$C$9+Resumo!$C$13+Resumo!$C$14*CEILING(AQ$3,1))*(1+Resumo!$C$11)-(AQ$4*(Resumo!$B$6+Resumo!$B$7)+Resumo!$B$9+Resumo!$B$10*CEILING(AQ$3/100,1)+(Resumo!$B$12+Resumo!$B$14)*CEILING(AQ$3,1))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30" s="13" t="n">
        <f aca="false">(AE30+AR$4*(Resumo!$C$6+Resumo!$C$7+Resumo!$C$8)+Resumo!$C$10*CEILING(AR$3/100,1)+Resumo!$C$9+Resumo!$C$13+Resumo!$C$14*CEILING(AR$3,1))*(1+Resumo!$C$11)-(AR$4*(Resumo!$B$6+Resumo!$B$7)+Resumo!$B$9+Resumo!$B$10*CEILING(AR$3/100,1)+(Resumo!$B$12+Resumo!$B$14)*CEILING(AR$3,1))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30" s="13" t="n">
        <f aca="false">(AF30+AS$4*(Resumo!$C$6+Resumo!$C$7+Resumo!$C$8)+Resumo!$C$10*CEILING(AS$3/100,1)+Resumo!$C$9+Resumo!$C$13+Resumo!$C$14*CEILING(AS$3,1))*(1+Resumo!$C$11)-(AS$4*(Resumo!$B$6+Resumo!$B$7)+Resumo!$B$9+Resumo!$B$10*CEILING(AS$3/100,1)+(Resumo!$B$12+Resumo!$B$14)*CEILING(AS$3,1))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30" s="13" t="n">
        <f aca="false">(AG30+AT$4*(Resumo!$C$6+Resumo!$C$7+Resumo!$C$8)+Resumo!$C$10*CEILING(AT$3/100,1)+Resumo!$C$9+Resumo!$C$13+Resumo!$C$14*CEILING(AT$3,1))*(1+Resumo!$C$11)-(AT$4*(Resumo!$B$6+Resumo!$B$7)+Resumo!$B$9+Resumo!$B$10*CEILING(AT$3/100,1)+(Resumo!$B$12+Resumo!$B$14)*CEILING(AT$3,1))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30" s="44" t="n">
        <f aca="false">1-AH30/H30</f>
        <v>-0.0880776325578989</v>
      </c>
      <c r="AV30" s="44" t="n">
        <f aca="false">1-AI30/I30</f>
        <v>0.188889952634237</v>
      </c>
      <c r="AW30" s="44" t="n">
        <f aca="false">1-AJ30/J30</f>
        <v>0.210299752003561</v>
      </c>
      <c r="AX30" s="44" t="n">
        <f aca="false">1-AK30/K30</f>
        <v>0.229289172942379</v>
      </c>
      <c r="AY30" s="44" t="n">
        <f aca="false">1-AL30/L30</f>
        <v>0.30834033649565</v>
      </c>
      <c r="AZ30" s="44" t="n">
        <f aca="false">1-AM30/M30</f>
        <v>0.370010437799111</v>
      </c>
      <c r="BA30" s="44" t="n">
        <f aca="false">1-AN30/N30</f>
        <v>0.343535542823127</v>
      </c>
      <c r="BB30" s="44" t="n">
        <f aca="false">1-AO30/O30</f>
        <v>0.420772428183382</v>
      </c>
      <c r="BC30" s="44" t="n">
        <f aca="false">1-AP30/P30</f>
        <v>0.495206482052588</v>
      </c>
      <c r="BD30" s="44" t="n">
        <f aca="false">1-AQ30/Q30</f>
        <v>0.45869451629365</v>
      </c>
      <c r="BE30" s="44" t="n">
        <f aca="false">1-AR30/R30</f>
        <v>0.490720973630831</v>
      </c>
      <c r="BF30" s="44" t="n">
        <f aca="false">1-AS30/S30</f>
        <v>0.524160501567398</v>
      </c>
      <c r="BG30" s="44" t="n">
        <f aca="false">1-AT30/T30</f>
        <v>0.529306485429102</v>
      </c>
    </row>
    <row r="31" customFormat="false" ht="15" hidden="false" customHeight="false" outlineLevel="0" collapsed="false">
      <c r="A31" s="10" t="s">
        <v>261</v>
      </c>
      <c r="B31" s="10" t="s">
        <v>52</v>
      </c>
      <c r="C31" s="58" t="n">
        <v>26100000</v>
      </c>
      <c r="D31" s="58" t="n">
        <v>26199999</v>
      </c>
      <c r="E31" s="10" t="s">
        <v>23</v>
      </c>
      <c r="F31" s="10" t="s">
        <v>262</v>
      </c>
      <c r="G31" s="10" t="n">
        <f aca="false">COUNTIFS(Pedidos!$C$2:$C$2224,"&gt;="&amp;C31,Pedidos!$C$2:$C$2224,"&lt;="&amp;D31)</f>
        <v>49</v>
      </c>
      <c r="H31" s="40" t="n">
        <v>46.98</v>
      </c>
      <c r="I31" s="40" t="n">
        <v>82.21</v>
      </c>
      <c r="J31" s="40" t="n">
        <v>93.97</v>
      </c>
      <c r="K31" s="40" t="n">
        <v>93.97</v>
      </c>
      <c r="L31" s="40" t="n">
        <v>112.3</v>
      </c>
      <c r="M31" s="40" t="n">
        <v>131.02</v>
      </c>
      <c r="N31" s="40" t="n">
        <v>134.39</v>
      </c>
      <c r="O31" s="40" t="n">
        <v>167.99</v>
      </c>
      <c r="P31" s="40" t="n">
        <v>201.59</v>
      </c>
      <c r="Q31" s="40" t="n">
        <v>239.25</v>
      </c>
      <c r="R31" s="40" t="n">
        <v>271.15</v>
      </c>
      <c r="S31" s="40" t="n">
        <v>319</v>
      </c>
      <c r="T31" s="40" t="n">
        <v>398.74</v>
      </c>
      <c r="U31" s="40" t="n">
        <v>42.72</v>
      </c>
      <c r="V31" s="40" t="n">
        <v>58.8</v>
      </c>
      <c r="W31" s="40" t="n">
        <v>66.83</v>
      </c>
      <c r="X31" s="40" t="n">
        <v>65.36</v>
      </c>
      <c r="Y31" s="40" t="n">
        <v>70.98</v>
      </c>
      <c r="Z31" s="40" t="n">
        <v>76.55</v>
      </c>
      <c r="AA31" s="40" t="n">
        <v>82.48</v>
      </c>
      <c r="AB31" s="40" t="n">
        <v>92.32</v>
      </c>
      <c r="AC31" s="40" t="n">
        <v>101.26</v>
      </c>
      <c r="AD31" s="40" t="n">
        <v>129.62</v>
      </c>
      <c r="AE31" s="40" t="n">
        <v>139.81</v>
      </c>
      <c r="AF31" s="40" t="n">
        <v>155.09</v>
      </c>
      <c r="AG31" s="40" t="n">
        <v>194.34</v>
      </c>
      <c r="AH31" s="13" t="n">
        <f aca="false">(U31+AH$4*(Resumo!$C$6+Resumo!$C$7+Resumo!$C$8)+Resumo!$C$10*CEILING(AH$3/100,1)+Resumo!$C$9+Resumo!$C$13+Resumo!$C$14*CEILING(AH$3,1))*(1+Resumo!$C$11)-(AH$4*(Resumo!$B$6+Resumo!$B$7)+Resumo!$B$9+Resumo!$B$10*CEILING(AH$3/100,1)+(Resumo!$B$12+Resumo!$B$14)*CEILING(AH$3,1))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31" s="13" t="n">
        <f aca="false">(V31+AI$4*(Resumo!$C$6+Resumo!$C$7+Resumo!$C$8)+Resumo!$C$10*CEILING(AI$3/100,1)+Resumo!$C$9+Resumo!$C$13+Resumo!$C$14*CEILING(AI$3,1))*(1+Resumo!$C$11)-(AI$4*(Resumo!$B$6+Resumo!$B$7)+Resumo!$B$9+Resumo!$B$10*CEILING(AI$3/100,1)+(Resumo!$B$12+Resumo!$B$14)*CEILING(AI$3,1))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31" s="13" t="n">
        <f aca="false">(W31+AJ$4*(Resumo!$C$6+Resumo!$C$7+Resumo!$C$8)+Resumo!$C$10*CEILING(AJ$3/100,1)+Resumo!$C$9+Resumo!$C$13+Resumo!$C$14*CEILING(AJ$3,1))*(1+Resumo!$C$11)-(AJ$4*(Resumo!$B$6+Resumo!$B$7)+Resumo!$B$9+Resumo!$B$10*CEILING(AJ$3/100,1)+(Resumo!$B$12+Resumo!$B$14)*CEILING(AJ$3,1))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31" s="13" t="n">
        <f aca="false">(X31+AK$4*(Resumo!$C$6+Resumo!$C$7+Resumo!$C$8)+Resumo!$C$10*CEILING(AK$3/100,1)+Resumo!$C$9+Resumo!$C$13+Resumo!$C$14*CEILING(AK$3,1))*(1+Resumo!$C$11)-(AK$4*(Resumo!$B$6+Resumo!$B$7)+Resumo!$B$9+Resumo!$B$10*CEILING(AK$3/100,1)+(Resumo!$B$12+Resumo!$B$14)*CEILING(AK$3,1))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31" s="13" t="n">
        <f aca="false">(Y31+AL$4*(Resumo!$C$6+Resumo!$C$7+Resumo!$C$8)+Resumo!$C$10*CEILING(AL$3/100,1)+Resumo!$C$9+Resumo!$C$13+Resumo!$C$14*CEILING(AL$3,1))*(1+Resumo!$C$11)-(AL$4*(Resumo!$B$6+Resumo!$B$7)+Resumo!$B$9+Resumo!$B$10*CEILING(AL$3/100,1)+(Resumo!$B$12+Resumo!$B$14)*CEILING(AL$3,1))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31" s="13" t="n">
        <f aca="false">(Z31+AM$4*(Resumo!$C$6+Resumo!$C$7+Resumo!$C$8)+Resumo!$C$10*CEILING(AM$3/100,1)+Resumo!$C$9+Resumo!$C$13+Resumo!$C$14*CEILING(AM$3,1))*(1+Resumo!$C$11)-(AM$4*(Resumo!$B$6+Resumo!$B$7)+Resumo!$B$9+Resumo!$B$10*CEILING(AM$3/100,1)+(Resumo!$B$12+Resumo!$B$14)*CEILING(AM$3,1))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31" s="13" t="n">
        <f aca="false">(AA31+AN$4*(Resumo!$C$6+Resumo!$C$7+Resumo!$C$8)+Resumo!$C$10*CEILING(AN$3/100,1)+Resumo!$C$9+Resumo!$C$13+Resumo!$C$14*CEILING(AN$3,1))*(1+Resumo!$C$11)-(AN$4*(Resumo!$B$6+Resumo!$B$7)+Resumo!$B$9+Resumo!$B$10*CEILING(AN$3/100,1)+(Resumo!$B$12+Resumo!$B$14)*CEILING(AN$3,1))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31" s="13" t="n">
        <f aca="false">(AB31+AO$4*(Resumo!$C$6+Resumo!$C$7+Resumo!$C$8)+Resumo!$C$10*CEILING(AO$3/100,1)+Resumo!$C$9+Resumo!$C$13+Resumo!$C$14*CEILING(AO$3,1))*(1+Resumo!$C$11)-(AO$4*(Resumo!$B$6+Resumo!$B$7)+Resumo!$B$9+Resumo!$B$10*CEILING(AO$3/100,1)+(Resumo!$B$12+Resumo!$B$14)*CEILING(AO$3,1))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31" s="13" t="n">
        <f aca="false">(AC31+AP$4*(Resumo!$C$6+Resumo!$C$7+Resumo!$C$8)+Resumo!$C$10*CEILING(AP$3/100,1)+Resumo!$C$9+Resumo!$C$13+Resumo!$C$14*CEILING(AP$3,1))*(1+Resumo!$C$11)-(AP$4*(Resumo!$B$6+Resumo!$B$7)+Resumo!$B$9+Resumo!$B$10*CEILING(AP$3/100,1)+(Resumo!$B$12+Resumo!$B$14)*CEILING(AP$3,1))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31" s="13" t="n">
        <f aca="false">(AD31+AQ$4*(Resumo!$C$6+Resumo!$C$7+Resumo!$C$8)+Resumo!$C$10*CEILING(AQ$3/100,1)+Resumo!$C$9+Resumo!$C$13+Resumo!$C$14*CEILING(AQ$3,1))*(1+Resumo!$C$11)-(AQ$4*(Resumo!$B$6+Resumo!$B$7)+Resumo!$B$9+Resumo!$B$10*CEILING(AQ$3/100,1)+(Resumo!$B$12+Resumo!$B$14)*CEILING(AQ$3,1))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31" s="13" t="n">
        <f aca="false">(AE31+AR$4*(Resumo!$C$6+Resumo!$C$7+Resumo!$C$8)+Resumo!$C$10*CEILING(AR$3/100,1)+Resumo!$C$9+Resumo!$C$13+Resumo!$C$14*CEILING(AR$3,1))*(1+Resumo!$C$11)-(AR$4*(Resumo!$B$6+Resumo!$B$7)+Resumo!$B$9+Resumo!$B$10*CEILING(AR$3/100,1)+(Resumo!$B$12+Resumo!$B$14)*CEILING(AR$3,1))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31" s="13" t="n">
        <f aca="false">(AF31+AS$4*(Resumo!$C$6+Resumo!$C$7+Resumo!$C$8)+Resumo!$C$10*CEILING(AS$3/100,1)+Resumo!$C$9+Resumo!$C$13+Resumo!$C$14*CEILING(AS$3,1))*(1+Resumo!$C$11)-(AS$4*(Resumo!$B$6+Resumo!$B$7)+Resumo!$B$9+Resumo!$B$10*CEILING(AS$3/100,1)+(Resumo!$B$12+Resumo!$B$14)*CEILING(AS$3,1))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31" s="13" t="n">
        <f aca="false">(AG31+AT$4*(Resumo!$C$6+Resumo!$C$7+Resumo!$C$8)+Resumo!$C$10*CEILING(AT$3/100,1)+Resumo!$C$9+Resumo!$C$13+Resumo!$C$14*CEILING(AT$3,1))*(1+Resumo!$C$11)-(AT$4*(Resumo!$B$6+Resumo!$B$7)+Resumo!$B$9+Resumo!$B$10*CEILING(AT$3/100,1)+(Resumo!$B$12+Resumo!$B$14)*CEILING(AT$3,1))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31" s="44" t="n">
        <f aca="false">1-AH31/H31</f>
        <v>-0.0880776325578989</v>
      </c>
      <c r="AV31" s="44" t="n">
        <f aca="false">1-AI31/I31</f>
        <v>0.188889952634237</v>
      </c>
      <c r="AW31" s="44" t="n">
        <f aca="false">1-AJ31/J31</f>
        <v>0.210299752003561</v>
      </c>
      <c r="AX31" s="44" t="n">
        <f aca="false">1-AK31/K31</f>
        <v>0.229289172942379</v>
      </c>
      <c r="AY31" s="44" t="n">
        <f aca="false">1-AL31/L31</f>
        <v>0.30834033649565</v>
      </c>
      <c r="AZ31" s="44" t="n">
        <f aca="false">1-AM31/M31</f>
        <v>0.370010437799111</v>
      </c>
      <c r="BA31" s="44" t="n">
        <f aca="false">1-AN31/N31</f>
        <v>0.343535542823127</v>
      </c>
      <c r="BB31" s="44" t="n">
        <f aca="false">1-AO31/O31</f>
        <v>0.420772428183382</v>
      </c>
      <c r="BC31" s="44" t="n">
        <f aca="false">1-AP31/P31</f>
        <v>0.495206482052588</v>
      </c>
      <c r="BD31" s="44" t="n">
        <f aca="false">1-AQ31/Q31</f>
        <v>0.45869451629365</v>
      </c>
      <c r="BE31" s="44" t="n">
        <f aca="false">1-AR31/R31</f>
        <v>0.490720973630831</v>
      </c>
      <c r="BF31" s="44" t="n">
        <f aca="false">1-AS31/S31</f>
        <v>0.524160501567398</v>
      </c>
      <c r="BG31" s="44" t="n">
        <f aca="false">1-AT31/T31</f>
        <v>0.529306485429102</v>
      </c>
    </row>
    <row r="32" customFormat="false" ht="15" hidden="false" customHeight="false" outlineLevel="0" collapsed="false">
      <c r="A32" s="10" t="s">
        <v>261</v>
      </c>
      <c r="B32" s="10" t="s">
        <v>49</v>
      </c>
      <c r="C32" s="58" t="n">
        <v>26200000</v>
      </c>
      <c r="D32" s="58" t="n">
        <v>26299999</v>
      </c>
      <c r="E32" s="10" t="s">
        <v>23</v>
      </c>
      <c r="F32" s="10" t="s">
        <v>262</v>
      </c>
      <c r="G32" s="10" t="n">
        <f aca="false">COUNTIFS(Pedidos!$C$2:$C$2224,"&gt;="&amp;C32,Pedidos!$C$2:$C$2224,"&lt;="&amp;D32)</f>
        <v>55</v>
      </c>
      <c r="H32" s="40" t="n">
        <v>46.98</v>
      </c>
      <c r="I32" s="40" t="n">
        <v>82.21</v>
      </c>
      <c r="J32" s="40" t="n">
        <v>93.97</v>
      </c>
      <c r="K32" s="40" t="n">
        <v>93.97</v>
      </c>
      <c r="L32" s="40" t="n">
        <v>112.3</v>
      </c>
      <c r="M32" s="40" t="n">
        <v>131.02</v>
      </c>
      <c r="N32" s="40" t="n">
        <v>134.39</v>
      </c>
      <c r="O32" s="40" t="n">
        <v>167.99</v>
      </c>
      <c r="P32" s="40" t="n">
        <v>201.59</v>
      </c>
      <c r="Q32" s="40" t="n">
        <v>239.25</v>
      </c>
      <c r="R32" s="40" t="n">
        <v>271.15</v>
      </c>
      <c r="S32" s="40" t="n">
        <v>319</v>
      </c>
      <c r="T32" s="40" t="n">
        <v>398.74</v>
      </c>
      <c r="U32" s="40" t="n">
        <v>42.72</v>
      </c>
      <c r="V32" s="40" t="n">
        <v>58.8</v>
      </c>
      <c r="W32" s="40" t="n">
        <v>66.83</v>
      </c>
      <c r="X32" s="40" t="n">
        <v>65.36</v>
      </c>
      <c r="Y32" s="40" t="n">
        <v>70.98</v>
      </c>
      <c r="Z32" s="40" t="n">
        <v>76.55</v>
      </c>
      <c r="AA32" s="40" t="n">
        <v>82.48</v>
      </c>
      <c r="AB32" s="40" t="n">
        <v>92.32</v>
      </c>
      <c r="AC32" s="40" t="n">
        <v>101.26</v>
      </c>
      <c r="AD32" s="40" t="n">
        <v>129.62</v>
      </c>
      <c r="AE32" s="40" t="n">
        <v>139.81</v>
      </c>
      <c r="AF32" s="40" t="n">
        <v>155.09</v>
      </c>
      <c r="AG32" s="40" t="n">
        <v>194.34</v>
      </c>
      <c r="AH32" s="13" t="n">
        <f aca="false">(U32+AH$4*(Resumo!$C$6+Resumo!$C$7+Resumo!$C$8)+Resumo!$C$10*CEILING(AH$3/100,1)+Resumo!$C$9+Resumo!$C$13+Resumo!$C$14*CEILING(AH$3,1))*(1+Resumo!$C$11)-(AH$4*(Resumo!$B$6+Resumo!$B$7)+Resumo!$B$9+Resumo!$B$10*CEILING(AH$3/100,1)+(Resumo!$B$12+Resumo!$B$14)*CEILING(AH$3,1))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32" s="13" t="n">
        <f aca="false">(V32+AI$4*(Resumo!$C$6+Resumo!$C$7+Resumo!$C$8)+Resumo!$C$10*CEILING(AI$3/100,1)+Resumo!$C$9+Resumo!$C$13+Resumo!$C$14*CEILING(AI$3,1))*(1+Resumo!$C$11)-(AI$4*(Resumo!$B$6+Resumo!$B$7)+Resumo!$B$9+Resumo!$B$10*CEILING(AI$3/100,1)+(Resumo!$B$12+Resumo!$B$14)*CEILING(AI$3,1))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32" s="13" t="n">
        <f aca="false">(W32+AJ$4*(Resumo!$C$6+Resumo!$C$7+Resumo!$C$8)+Resumo!$C$10*CEILING(AJ$3/100,1)+Resumo!$C$9+Resumo!$C$13+Resumo!$C$14*CEILING(AJ$3,1))*(1+Resumo!$C$11)-(AJ$4*(Resumo!$B$6+Resumo!$B$7)+Resumo!$B$9+Resumo!$B$10*CEILING(AJ$3/100,1)+(Resumo!$B$12+Resumo!$B$14)*CEILING(AJ$3,1))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32" s="13" t="n">
        <f aca="false">(X32+AK$4*(Resumo!$C$6+Resumo!$C$7+Resumo!$C$8)+Resumo!$C$10*CEILING(AK$3/100,1)+Resumo!$C$9+Resumo!$C$13+Resumo!$C$14*CEILING(AK$3,1))*(1+Resumo!$C$11)-(AK$4*(Resumo!$B$6+Resumo!$B$7)+Resumo!$B$9+Resumo!$B$10*CEILING(AK$3/100,1)+(Resumo!$B$12+Resumo!$B$14)*CEILING(AK$3,1))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32" s="13" t="n">
        <f aca="false">(Y32+AL$4*(Resumo!$C$6+Resumo!$C$7+Resumo!$C$8)+Resumo!$C$10*CEILING(AL$3/100,1)+Resumo!$C$9+Resumo!$C$13+Resumo!$C$14*CEILING(AL$3,1))*(1+Resumo!$C$11)-(AL$4*(Resumo!$B$6+Resumo!$B$7)+Resumo!$B$9+Resumo!$B$10*CEILING(AL$3/100,1)+(Resumo!$B$12+Resumo!$B$14)*CEILING(AL$3,1))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32" s="13" t="n">
        <f aca="false">(Z32+AM$4*(Resumo!$C$6+Resumo!$C$7+Resumo!$C$8)+Resumo!$C$10*CEILING(AM$3/100,1)+Resumo!$C$9+Resumo!$C$13+Resumo!$C$14*CEILING(AM$3,1))*(1+Resumo!$C$11)-(AM$4*(Resumo!$B$6+Resumo!$B$7)+Resumo!$B$9+Resumo!$B$10*CEILING(AM$3/100,1)+(Resumo!$B$12+Resumo!$B$14)*CEILING(AM$3,1))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32" s="13" t="n">
        <f aca="false">(AA32+AN$4*(Resumo!$C$6+Resumo!$C$7+Resumo!$C$8)+Resumo!$C$10*CEILING(AN$3/100,1)+Resumo!$C$9+Resumo!$C$13+Resumo!$C$14*CEILING(AN$3,1))*(1+Resumo!$C$11)-(AN$4*(Resumo!$B$6+Resumo!$B$7)+Resumo!$B$9+Resumo!$B$10*CEILING(AN$3/100,1)+(Resumo!$B$12+Resumo!$B$14)*CEILING(AN$3,1))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32" s="13" t="n">
        <f aca="false">(AB32+AO$4*(Resumo!$C$6+Resumo!$C$7+Resumo!$C$8)+Resumo!$C$10*CEILING(AO$3/100,1)+Resumo!$C$9+Resumo!$C$13+Resumo!$C$14*CEILING(AO$3,1))*(1+Resumo!$C$11)-(AO$4*(Resumo!$B$6+Resumo!$B$7)+Resumo!$B$9+Resumo!$B$10*CEILING(AO$3/100,1)+(Resumo!$B$12+Resumo!$B$14)*CEILING(AO$3,1))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32" s="13" t="n">
        <f aca="false">(AC32+AP$4*(Resumo!$C$6+Resumo!$C$7+Resumo!$C$8)+Resumo!$C$10*CEILING(AP$3/100,1)+Resumo!$C$9+Resumo!$C$13+Resumo!$C$14*CEILING(AP$3,1))*(1+Resumo!$C$11)-(AP$4*(Resumo!$B$6+Resumo!$B$7)+Resumo!$B$9+Resumo!$B$10*CEILING(AP$3/100,1)+(Resumo!$B$12+Resumo!$B$14)*CEILING(AP$3,1))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32" s="13" t="n">
        <f aca="false">(AD32+AQ$4*(Resumo!$C$6+Resumo!$C$7+Resumo!$C$8)+Resumo!$C$10*CEILING(AQ$3/100,1)+Resumo!$C$9+Resumo!$C$13+Resumo!$C$14*CEILING(AQ$3,1))*(1+Resumo!$C$11)-(AQ$4*(Resumo!$B$6+Resumo!$B$7)+Resumo!$B$9+Resumo!$B$10*CEILING(AQ$3/100,1)+(Resumo!$B$12+Resumo!$B$14)*CEILING(AQ$3,1))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32" s="13" t="n">
        <f aca="false">(AE32+AR$4*(Resumo!$C$6+Resumo!$C$7+Resumo!$C$8)+Resumo!$C$10*CEILING(AR$3/100,1)+Resumo!$C$9+Resumo!$C$13+Resumo!$C$14*CEILING(AR$3,1))*(1+Resumo!$C$11)-(AR$4*(Resumo!$B$6+Resumo!$B$7)+Resumo!$B$9+Resumo!$B$10*CEILING(AR$3/100,1)+(Resumo!$B$12+Resumo!$B$14)*CEILING(AR$3,1))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32" s="13" t="n">
        <f aca="false">(AF32+AS$4*(Resumo!$C$6+Resumo!$C$7+Resumo!$C$8)+Resumo!$C$10*CEILING(AS$3/100,1)+Resumo!$C$9+Resumo!$C$13+Resumo!$C$14*CEILING(AS$3,1))*(1+Resumo!$C$11)-(AS$4*(Resumo!$B$6+Resumo!$B$7)+Resumo!$B$9+Resumo!$B$10*CEILING(AS$3/100,1)+(Resumo!$B$12+Resumo!$B$14)*CEILING(AS$3,1))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32" s="13" t="n">
        <f aca="false">(AG32+AT$4*(Resumo!$C$6+Resumo!$C$7+Resumo!$C$8)+Resumo!$C$10*CEILING(AT$3/100,1)+Resumo!$C$9+Resumo!$C$13+Resumo!$C$14*CEILING(AT$3,1))*(1+Resumo!$C$11)-(AT$4*(Resumo!$B$6+Resumo!$B$7)+Resumo!$B$9+Resumo!$B$10*CEILING(AT$3/100,1)+(Resumo!$B$12+Resumo!$B$14)*CEILING(AT$3,1))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32" s="44" t="n">
        <f aca="false">1-AH32/H32</f>
        <v>-0.0880776325578989</v>
      </c>
      <c r="AV32" s="44" t="n">
        <f aca="false">1-AI32/I32</f>
        <v>0.188889952634237</v>
      </c>
      <c r="AW32" s="44" t="n">
        <f aca="false">1-AJ32/J32</f>
        <v>0.210299752003561</v>
      </c>
      <c r="AX32" s="44" t="n">
        <f aca="false">1-AK32/K32</f>
        <v>0.229289172942379</v>
      </c>
      <c r="AY32" s="44" t="n">
        <f aca="false">1-AL32/L32</f>
        <v>0.30834033649565</v>
      </c>
      <c r="AZ32" s="44" t="n">
        <f aca="false">1-AM32/M32</f>
        <v>0.370010437799111</v>
      </c>
      <c r="BA32" s="44" t="n">
        <f aca="false">1-AN32/N32</f>
        <v>0.343535542823127</v>
      </c>
      <c r="BB32" s="44" t="n">
        <f aca="false">1-AO32/O32</f>
        <v>0.420772428183382</v>
      </c>
      <c r="BC32" s="44" t="n">
        <f aca="false">1-AP32/P32</f>
        <v>0.495206482052588</v>
      </c>
      <c r="BD32" s="44" t="n">
        <f aca="false">1-AQ32/Q32</f>
        <v>0.45869451629365</v>
      </c>
      <c r="BE32" s="44" t="n">
        <f aca="false">1-AR32/R32</f>
        <v>0.490720973630831</v>
      </c>
      <c r="BF32" s="44" t="n">
        <f aca="false">1-AS32/S32</f>
        <v>0.524160501567398</v>
      </c>
      <c r="BG32" s="44" t="n">
        <f aca="false">1-AT32/T32</f>
        <v>0.529306485429102</v>
      </c>
    </row>
    <row r="33" customFormat="false" ht="15" hidden="false" customHeight="false" outlineLevel="0" collapsed="false">
      <c r="A33" s="10" t="s">
        <v>261</v>
      </c>
      <c r="B33" s="10" t="s">
        <v>282</v>
      </c>
      <c r="C33" s="58" t="n">
        <v>26300000</v>
      </c>
      <c r="D33" s="58" t="n">
        <v>26399999</v>
      </c>
      <c r="E33" s="10" t="s">
        <v>23</v>
      </c>
      <c r="F33" s="10" t="s">
        <v>262</v>
      </c>
      <c r="G33" s="10" t="n">
        <f aca="false">COUNTIFS(Pedidos!$C$2:$C$2224,"&gt;="&amp;C33,Pedidos!$C$2:$C$2224,"&lt;="&amp;D33)</f>
        <v>14</v>
      </c>
      <c r="H33" s="40" t="n">
        <v>46.98</v>
      </c>
      <c r="I33" s="40" t="n">
        <v>82.21</v>
      </c>
      <c r="J33" s="40" t="n">
        <v>93.97</v>
      </c>
      <c r="K33" s="40" t="n">
        <v>93.97</v>
      </c>
      <c r="L33" s="40" t="n">
        <v>112.3</v>
      </c>
      <c r="M33" s="40" t="n">
        <v>131.02</v>
      </c>
      <c r="N33" s="40" t="n">
        <v>134.39</v>
      </c>
      <c r="O33" s="40" t="n">
        <v>167.99</v>
      </c>
      <c r="P33" s="40" t="n">
        <v>201.59</v>
      </c>
      <c r="Q33" s="40" t="n">
        <v>239.25</v>
      </c>
      <c r="R33" s="40" t="n">
        <v>271.15</v>
      </c>
      <c r="S33" s="40" t="n">
        <v>319</v>
      </c>
      <c r="T33" s="40" t="n">
        <v>398.74</v>
      </c>
      <c r="U33" s="40" t="n">
        <v>42.72</v>
      </c>
      <c r="V33" s="40" t="n">
        <v>58.8</v>
      </c>
      <c r="W33" s="40" t="n">
        <v>66.83</v>
      </c>
      <c r="X33" s="40" t="n">
        <v>65.36</v>
      </c>
      <c r="Y33" s="40" t="n">
        <v>70.98</v>
      </c>
      <c r="Z33" s="40" t="n">
        <v>76.55</v>
      </c>
      <c r="AA33" s="40" t="n">
        <v>82.48</v>
      </c>
      <c r="AB33" s="40" t="n">
        <v>92.32</v>
      </c>
      <c r="AC33" s="40" t="n">
        <v>101.26</v>
      </c>
      <c r="AD33" s="40" t="n">
        <v>129.62</v>
      </c>
      <c r="AE33" s="40" t="n">
        <v>139.81</v>
      </c>
      <c r="AF33" s="40" t="n">
        <v>155.09</v>
      </c>
      <c r="AG33" s="40" t="n">
        <v>194.34</v>
      </c>
      <c r="AH33" s="13" t="n">
        <f aca="false">(U33+AH$4*(Resumo!$C$6+Resumo!$C$7+Resumo!$C$8)+Resumo!$C$10*CEILING(AH$3/100,1)+Resumo!$C$9+Resumo!$C$13+Resumo!$C$14*CEILING(AH$3,1))*(1+Resumo!$C$11)-(AH$4*(Resumo!$B$6+Resumo!$B$7)+Resumo!$B$9+Resumo!$B$10*CEILING(AH$3/100,1)+(Resumo!$B$12+Resumo!$B$14)*CEILING(AH$3,1))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33" s="13" t="n">
        <f aca="false">(V33+AI$4*(Resumo!$C$6+Resumo!$C$7+Resumo!$C$8)+Resumo!$C$10*CEILING(AI$3/100,1)+Resumo!$C$9+Resumo!$C$13+Resumo!$C$14*CEILING(AI$3,1))*(1+Resumo!$C$11)-(AI$4*(Resumo!$B$6+Resumo!$B$7)+Resumo!$B$9+Resumo!$B$10*CEILING(AI$3/100,1)+(Resumo!$B$12+Resumo!$B$14)*CEILING(AI$3,1))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33" s="13" t="n">
        <f aca="false">(W33+AJ$4*(Resumo!$C$6+Resumo!$C$7+Resumo!$C$8)+Resumo!$C$10*CEILING(AJ$3/100,1)+Resumo!$C$9+Resumo!$C$13+Resumo!$C$14*CEILING(AJ$3,1))*(1+Resumo!$C$11)-(AJ$4*(Resumo!$B$6+Resumo!$B$7)+Resumo!$B$9+Resumo!$B$10*CEILING(AJ$3/100,1)+(Resumo!$B$12+Resumo!$B$14)*CEILING(AJ$3,1))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33" s="13" t="n">
        <f aca="false">(X33+AK$4*(Resumo!$C$6+Resumo!$C$7+Resumo!$C$8)+Resumo!$C$10*CEILING(AK$3/100,1)+Resumo!$C$9+Resumo!$C$13+Resumo!$C$14*CEILING(AK$3,1))*(1+Resumo!$C$11)-(AK$4*(Resumo!$B$6+Resumo!$B$7)+Resumo!$B$9+Resumo!$B$10*CEILING(AK$3/100,1)+(Resumo!$B$12+Resumo!$B$14)*CEILING(AK$3,1))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33" s="13" t="n">
        <f aca="false">(Y33+AL$4*(Resumo!$C$6+Resumo!$C$7+Resumo!$C$8)+Resumo!$C$10*CEILING(AL$3/100,1)+Resumo!$C$9+Resumo!$C$13+Resumo!$C$14*CEILING(AL$3,1))*(1+Resumo!$C$11)-(AL$4*(Resumo!$B$6+Resumo!$B$7)+Resumo!$B$9+Resumo!$B$10*CEILING(AL$3/100,1)+(Resumo!$B$12+Resumo!$B$14)*CEILING(AL$3,1))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33" s="13" t="n">
        <f aca="false">(Z33+AM$4*(Resumo!$C$6+Resumo!$C$7+Resumo!$C$8)+Resumo!$C$10*CEILING(AM$3/100,1)+Resumo!$C$9+Resumo!$C$13+Resumo!$C$14*CEILING(AM$3,1))*(1+Resumo!$C$11)-(AM$4*(Resumo!$B$6+Resumo!$B$7)+Resumo!$B$9+Resumo!$B$10*CEILING(AM$3/100,1)+(Resumo!$B$12+Resumo!$B$14)*CEILING(AM$3,1))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33" s="13" t="n">
        <f aca="false">(AA33+AN$4*(Resumo!$C$6+Resumo!$C$7+Resumo!$C$8)+Resumo!$C$10*CEILING(AN$3/100,1)+Resumo!$C$9+Resumo!$C$13+Resumo!$C$14*CEILING(AN$3,1))*(1+Resumo!$C$11)-(AN$4*(Resumo!$B$6+Resumo!$B$7)+Resumo!$B$9+Resumo!$B$10*CEILING(AN$3/100,1)+(Resumo!$B$12+Resumo!$B$14)*CEILING(AN$3,1))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33" s="13" t="n">
        <f aca="false">(AB33+AO$4*(Resumo!$C$6+Resumo!$C$7+Resumo!$C$8)+Resumo!$C$10*CEILING(AO$3/100,1)+Resumo!$C$9+Resumo!$C$13+Resumo!$C$14*CEILING(AO$3,1))*(1+Resumo!$C$11)-(AO$4*(Resumo!$B$6+Resumo!$B$7)+Resumo!$B$9+Resumo!$B$10*CEILING(AO$3/100,1)+(Resumo!$B$12+Resumo!$B$14)*CEILING(AO$3,1))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33" s="13" t="n">
        <f aca="false">(AC33+AP$4*(Resumo!$C$6+Resumo!$C$7+Resumo!$C$8)+Resumo!$C$10*CEILING(AP$3/100,1)+Resumo!$C$9+Resumo!$C$13+Resumo!$C$14*CEILING(AP$3,1))*(1+Resumo!$C$11)-(AP$4*(Resumo!$B$6+Resumo!$B$7)+Resumo!$B$9+Resumo!$B$10*CEILING(AP$3/100,1)+(Resumo!$B$12+Resumo!$B$14)*CEILING(AP$3,1))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33" s="13" t="n">
        <f aca="false">(AD33+AQ$4*(Resumo!$C$6+Resumo!$C$7+Resumo!$C$8)+Resumo!$C$10*CEILING(AQ$3/100,1)+Resumo!$C$9+Resumo!$C$13+Resumo!$C$14*CEILING(AQ$3,1))*(1+Resumo!$C$11)-(AQ$4*(Resumo!$B$6+Resumo!$B$7)+Resumo!$B$9+Resumo!$B$10*CEILING(AQ$3/100,1)+(Resumo!$B$12+Resumo!$B$14)*CEILING(AQ$3,1))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33" s="13" t="n">
        <f aca="false">(AE33+AR$4*(Resumo!$C$6+Resumo!$C$7+Resumo!$C$8)+Resumo!$C$10*CEILING(AR$3/100,1)+Resumo!$C$9+Resumo!$C$13+Resumo!$C$14*CEILING(AR$3,1))*(1+Resumo!$C$11)-(AR$4*(Resumo!$B$6+Resumo!$B$7)+Resumo!$B$9+Resumo!$B$10*CEILING(AR$3/100,1)+(Resumo!$B$12+Resumo!$B$14)*CEILING(AR$3,1))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33" s="13" t="n">
        <f aca="false">(AF33+AS$4*(Resumo!$C$6+Resumo!$C$7+Resumo!$C$8)+Resumo!$C$10*CEILING(AS$3/100,1)+Resumo!$C$9+Resumo!$C$13+Resumo!$C$14*CEILING(AS$3,1))*(1+Resumo!$C$11)-(AS$4*(Resumo!$B$6+Resumo!$B$7)+Resumo!$B$9+Resumo!$B$10*CEILING(AS$3/100,1)+(Resumo!$B$12+Resumo!$B$14)*CEILING(AS$3,1))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33" s="13" t="n">
        <f aca="false">(AG33+AT$4*(Resumo!$C$6+Resumo!$C$7+Resumo!$C$8)+Resumo!$C$10*CEILING(AT$3/100,1)+Resumo!$C$9+Resumo!$C$13+Resumo!$C$14*CEILING(AT$3,1))*(1+Resumo!$C$11)-(AT$4*(Resumo!$B$6+Resumo!$B$7)+Resumo!$B$9+Resumo!$B$10*CEILING(AT$3/100,1)+(Resumo!$B$12+Resumo!$B$14)*CEILING(AT$3,1))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33" s="44" t="n">
        <f aca="false">1-AH33/H33</f>
        <v>-0.0880776325578989</v>
      </c>
      <c r="AV33" s="44" t="n">
        <f aca="false">1-AI33/I33</f>
        <v>0.188889952634237</v>
      </c>
      <c r="AW33" s="44" t="n">
        <f aca="false">1-AJ33/J33</f>
        <v>0.210299752003561</v>
      </c>
      <c r="AX33" s="44" t="n">
        <f aca="false">1-AK33/K33</f>
        <v>0.229289172942379</v>
      </c>
      <c r="AY33" s="44" t="n">
        <f aca="false">1-AL33/L33</f>
        <v>0.30834033649565</v>
      </c>
      <c r="AZ33" s="44" t="n">
        <f aca="false">1-AM33/M33</f>
        <v>0.370010437799111</v>
      </c>
      <c r="BA33" s="44" t="n">
        <f aca="false">1-AN33/N33</f>
        <v>0.343535542823127</v>
      </c>
      <c r="BB33" s="44" t="n">
        <f aca="false">1-AO33/O33</f>
        <v>0.420772428183382</v>
      </c>
      <c r="BC33" s="44" t="n">
        <f aca="false">1-AP33/P33</f>
        <v>0.495206482052588</v>
      </c>
      <c r="BD33" s="44" t="n">
        <f aca="false">1-AQ33/Q33</f>
        <v>0.45869451629365</v>
      </c>
      <c r="BE33" s="44" t="n">
        <f aca="false">1-AR33/R33</f>
        <v>0.490720973630831</v>
      </c>
      <c r="BF33" s="44" t="n">
        <f aca="false">1-AS33/S33</f>
        <v>0.524160501567398</v>
      </c>
      <c r="BG33" s="44" t="n">
        <f aca="false">1-AT33/T33</f>
        <v>0.529306485429102</v>
      </c>
    </row>
    <row r="34" customFormat="false" ht="15" hidden="false" customHeight="false" outlineLevel="0" collapsed="false">
      <c r="A34" s="10" t="s">
        <v>261</v>
      </c>
      <c r="B34" s="10" t="s">
        <v>283</v>
      </c>
      <c r="C34" s="58" t="n">
        <v>26400000</v>
      </c>
      <c r="D34" s="58" t="n">
        <v>26499999</v>
      </c>
      <c r="E34" s="10" t="s">
        <v>24</v>
      </c>
      <c r="F34" s="10" t="s">
        <v>264</v>
      </c>
      <c r="G34" s="10" t="n">
        <f aca="false">COUNTIFS(Pedidos!$C$2:$C$2224,"&gt;="&amp;C34,Pedidos!$C$2:$C$2224,"&lt;="&amp;D34)</f>
        <v>14</v>
      </c>
      <c r="H34" s="40" t="n">
        <v>46.98</v>
      </c>
      <c r="I34" s="40" t="n">
        <v>82.21</v>
      </c>
      <c r="J34" s="40" t="n">
        <v>93.97</v>
      </c>
      <c r="K34" s="40" t="n">
        <v>93.97</v>
      </c>
      <c r="L34" s="40" t="n">
        <v>112.3</v>
      </c>
      <c r="M34" s="40" t="n">
        <v>131.02</v>
      </c>
      <c r="N34" s="40" t="n">
        <v>134.39</v>
      </c>
      <c r="O34" s="40" t="n">
        <v>167.99</v>
      </c>
      <c r="P34" s="40" t="n">
        <v>201.59</v>
      </c>
      <c r="Q34" s="40" t="n">
        <v>239.25</v>
      </c>
      <c r="R34" s="40" t="n">
        <v>271.15</v>
      </c>
      <c r="S34" s="40" t="n">
        <v>319</v>
      </c>
      <c r="T34" s="40" t="n">
        <v>398.74</v>
      </c>
      <c r="U34" s="40" t="n">
        <v>46.95</v>
      </c>
      <c r="V34" s="40" t="n">
        <v>65.63</v>
      </c>
      <c r="W34" s="40" t="n">
        <v>74.97</v>
      </c>
      <c r="X34" s="40" t="n">
        <v>77.7</v>
      </c>
      <c r="Y34" s="40" t="n">
        <v>83.58</v>
      </c>
      <c r="Z34" s="40" t="n">
        <v>90.2</v>
      </c>
      <c r="AA34" s="40" t="n">
        <v>96.77</v>
      </c>
      <c r="AB34" s="40" t="n">
        <v>109.63</v>
      </c>
      <c r="AC34" s="40" t="n">
        <v>119.5</v>
      </c>
      <c r="AD34" s="40" t="n">
        <v>144.24</v>
      </c>
      <c r="AE34" s="40" t="n">
        <v>155.09</v>
      </c>
      <c r="AF34" s="40" t="n">
        <v>66.69</v>
      </c>
      <c r="AG34" s="40" t="n">
        <v>214.88</v>
      </c>
      <c r="AH34" s="13" t="n">
        <f aca="false">(U34+AH$4*(Resumo!$C$6+Resumo!$C$7+Resumo!$C$8)+Resumo!$C$10*CEILING(AH$3/100,1)+Resumo!$C$9+Resumo!$C$13+Resumo!$C$14*CEILING(AH$3,1))*(1+Resumo!$C$11)-(AH$4*(Resumo!$B$6+Resumo!$B$7)+Resumo!$B$9+Resumo!$B$10*CEILING(AH$3/100,1)+(Resumo!$B$12+Resumo!$B$14)*CEILING(AH$3,1))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34" s="13" t="n">
        <f aca="false">(V34+AI$4*(Resumo!$C$6+Resumo!$C$7+Resumo!$C$8)+Resumo!$C$10*CEILING(AI$3/100,1)+Resumo!$C$9+Resumo!$C$13+Resumo!$C$14*CEILING(AI$3,1))*(1+Resumo!$C$11)-(AI$4*(Resumo!$B$6+Resumo!$B$7)+Resumo!$B$9+Resumo!$B$10*CEILING(AI$3/100,1)+(Resumo!$B$12+Resumo!$B$14)*CEILING(AI$3,1))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34" s="13" t="n">
        <f aca="false">(W34+AJ$4*(Resumo!$C$6+Resumo!$C$7+Resumo!$C$8)+Resumo!$C$10*CEILING(AJ$3/100,1)+Resumo!$C$9+Resumo!$C$13+Resumo!$C$14*CEILING(AJ$3,1))*(1+Resumo!$C$11)-(AJ$4*(Resumo!$B$6+Resumo!$B$7)+Resumo!$B$9+Resumo!$B$10*CEILING(AJ$3/100,1)+(Resumo!$B$12+Resumo!$B$14)*CEILING(AJ$3,1))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34" s="13" t="n">
        <f aca="false">(X34+AK$4*(Resumo!$C$6+Resumo!$C$7+Resumo!$C$8)+Resumo!$C$10*CEILING(AK$3/100,1)+Resumo!$C$9+Resumo!$C$13+Resumo!$C$14*CEILING(AK$3,1))*(1+Resumo!$C$11)-(AK$4*(Resumo!$B$6+Resumo!$B$7)+Resumo!$B$9+Resumo!$B$10*CEILING(AK$3/100,1)+(Resumo!$B$12+Resumo!$B$14)*CEILING(AK$3,1))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34" s="13" t="n">
        <f aca="false">(Y34+AL$4*(Resumo!$C$6+Resumo!$C$7+Resumo!$C$8)+Resumo!$C$10*CEILING(AL$3/100,1)+Resumo!$C$9+Resumo!$C$13+Resumo!$C$14*CEILING(AL$3,1))*(1+Resumo!$C$11)-(AL$4*(Resumo!$B$6+Resumo!$B$7)+Resumo!$B$9+Resumo!$B$10*CEILING(AL$3/100,1)+(Resumo!$B$12+Resumo!$B$14)*CEILING(AL$3,1))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34" s="13" t="n">
        <f aca="false">(Z34+AM$4*(Resumo!$C$6+Resumo!$C$7+Resumo!$C$8)+Resumo!$C$10*CEILING(AM$3/100,1)+Resumo!$C$9+Resumo!$C$13+Resumo!$C$14*CEILING(AM$3,1))*(1+Resumo!$C$11)-(AM$4*(Resumo!$B$6+Resumo!$B$7)+Resumo!$B$9+Resumo!$B$10*CEILING(AM$3/100,1)+(Resumo!$B$12+Resumo!$B$14)*CEILING(AM$3,1))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34" s="13" t="n">
        <f aca="false">(AA34+AN$4*(Resumo!$C$6+Resumo!$C$7+Resumo!$C$8)+Resumo!$C$10*CEILING(AN$3/100,1)+Resumo!$C$9+Resumo!$C$13+Resumo!$C$14*CEILING(AN$3,1))*(1+Resumo!$C$11)-(AN$4*(Resumo!$B$6+Resumo!$B$7)+Resumo!$B$9+Resumo!$B$10*CEILING(AN$3/100,1)+(Resumo!$B$12+Resumo!$B$14)*CEILING(AN$3,1))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34" s="13" t="n">
        <f aca="false">(AB34+AO$4*(Resumo!$C$6+Resumo!$C$7+Resumo!$C$8)+Resumo!$C$10*CEILING(AO$3/100,1)+Resumo!$C$9+Resumo!$C$13+Resumo!$C$14*CEILING(AO$3,1))*(1+Resumo!$C$11)-(AO$4*(Resumo!$B$6+Resumo!$B$7)+Resumo!$B$9+Resumo!$B$10*CEILING(AO$3/100,1)+(Resumo!$B$12+Resumo!$B$14)*CEILING(AO$3,1))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34" s="13" t="n">
        <f aca="false">(AC34+AP$4*(Resumo!$C$6+Resumo!$C$7+Resumo!$C$8)+Resumo!$C$10*CEILING(AP$3/100,1)+Resumo!$C$9+Resumo!$C$13+Resumo!$C$14*CEILING(AP$3,1))*(1+Resumo!$C$11)-(AP$4*(Resumo!$B$6+Resumo!$B$7)+Resumo!$B$9+Resumo!$B$10*CEILING(AP$3/100,1)+(Resumo!$B$12+Resumo!$B$14)*CEILING(AP$3,1))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34" s="13" t="n">
        <f aca="false">(AD34+AQ$4*(Resumo!$C$6+Resumo!$C$7+Resumo!$C$8)+Resumo!$C$10*CEILING(AQ$3/100,1)+Resumo!$C$9+Resumo!$C$13+Resumo!$C$14*CEILING(AQ$3,1))*(1+Resumo!$C$11)-(AQ$4*(Resumo!$B$6+Resumo!$B$7)+Resumo!$B$9+Resumo!$B$10*CEILING(AQ$3/100,1)+(Resumo!$B$12+Resumo!$B$14)*CEILING(AQ$3,1))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34" s="13" t="n">
        <f aca="false">(AE34+AR$4*(Resumo!$C$6+Resumo!$C$7+Resumo!$C$8)+Resumo!$C$10*CEILING(AR$3/100,1)+Resumo!$C$9+Resumo!$C$13+Resumo!$C$14*CEILING(AR$3,1))*(1+Resumo!$C$11)-(AR$4*(Resumo!$B$6+Resumo!$B$7)+Resumo!$B$9+Resumo!$B$10*CEILING(AR$3/100,1)+(Resumo!$B$12+Resumo!$B$14)*CEILING(AR$3,1))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34" s="13" t="n">
        <f aca="false">(AF34+AS$4*(Resumo!$C$6+Resumo!$C$7+Resumo!$C$8)+Resumo!$C$10*CEILING(AS$3/100,1)+Resumo!$C$9+Resumo!$C$13+Resumo!$C$14*CEILING(AS$3,1))*(1+Resumo!$C$11)-(AS$4*(Resumo!$B$6+Resumo!$B$7)+Resumo!$B$9+Resumo!$B$10*CEILING(AS$3/100,1)+(Resumo!$B$12+Resumo!$B$14)*CEILING(AS$3,1))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34" s="13" t="n">
        <f aca="false">(AG34+AT$4*(Resumo!$C$6+Resumo!$C$7+Resumo!$C$8)+Resumo!$C$10*CEILING(AT$3/100,1)+Resumo!$C$9+Resumo!$C$13+Resumo!$C$14*CEILING(AT$3,1))*(1+Resumo!$C$11)-(AT$4*(Resumo!$B$6+Resumo!$B$7)+Resumo!$B$9+Resumo!$B$10*CEILING(AT$3/100,1)+(Resumo!$B$12+Resumo!$B$14)*CEILING(AT$3,1))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34" s="44" t="n">
        <f aca="false">1-AH34/H34</f>
        <v>-0.178115946734144</v>
      </c>
      <c r="AV34" s="44" t="n">
        <f aca="false">1-AI34/I34</f>
        <v>0.105810035349235</v>
      </c>
      <c r="AW34" s="44" t="n">
        <f aca="false">1-AJ34/J34</f>
        <v>0.123676361559803</v>
      </c>
      <c r="AX34" s="44" t="n">
        <f aca="false">1-AK34/K34</f>
        <v>0.0979706670362388</v>
      </c>
      <c r="AY34" s="44" t="n">
        <f aca="false">1-AL34/L34</f>
        <v>0.196140870778821</v>
      </c>
      <c r="AZ34" s="44" t="n">
        <f aca="false">1-AM34/M34</f>
        <v>0.265827870252172</v>
      </c>
      <c r="BA34" s="44" t="n">
        <f aca="false">1-AN34/N34</f>
        <v>0.237203226430538</v>
      </c>
      <c r="BB34" s="44" t="n">
        <f aca="false">1-AO34/O34</f>
        <v>0.31773058045435</v>
      </c>
      <c r="BC34" s="44" t="n">
        <f aca="false">1-AP34/P34</f>
        <v>0.404725803447498</v>
      </c>
      <c r="BD34" s="44" t="n">
        <f aca="false">1-AQ34/Q34</f>
        <v>0.39758688828947</v>
      </c>
      <c r="BE34" s="44" t="n">
        <f aca="false">1-AR34/R34</f>
        <v>0.434368401253918</v>
      </c>
      <c r="BF34" s="44" t="n">
        <f aca="false">1-AS34/S34</f>
        <v>0.801276489028213</v>
      </c>
      <c r="BG34" s="44" t="n">
        <f aca="false">1-AT34/T34</f>
        <v>0.477794221798666</v>
      </c>
    </row>
    <row r="35" customFormat="false" ht="15" hidden="false" customHeight="false" outlineLevel="0" collapsed="false">
      <c r="A35" s="10" t="s">
        <v>261</v>
      </c>
      <c r="B35" s="10" t="s">
        <v>284</v>
      </c>
      <c r="C35" s="58" t="n">
        <v>26500000</v>
      </c>
      <c r="D35" s="58" t="n">
        <v>26549999</v>
      </c>
      <c r="E35" s="10" t="s">
        <v>23</v>
      </c>
      <c r="F35" s="10" t="s">
        <v>262</v>
      </c>
      <c r="G35" s="10" t="n">
        <f aca="false">COUNTIFS(Pedidos!$C$2:$C$2224,"&gt;="&amp;C35,Pedidos!$C$2:$C$2224,"&lt;="&amp;D35)</f>
        <v>17</v>
      </c>
      <c r="H35" s="40" t="n">
        <v>46.98</v>
      </c>
      <c r="I35" s="40" t="n">
        <v>82.21</v>
      </c>
      <c r="J35" s="40" t="n">
        <v>93.97</v>
      </c>
      <c r="K35" s="40" t="n">
        <v>93.97</v>
      </c>
      <c r="L35" s="40" t="n">
        <v>112.3</v>
      </c>
      <c r="M35" s="40" t="n">
        <v>131.02</v>
      </c>
      <c r="N35" s="40" t="n">
        <v>134.39</v>
      </c>
      <c r="O35" s="40" t="n">
        <v>167.99</v>
      </c>
      <c r="P35" s="40" t="n">
        <v>201.59</v>
      </c>
      <c r="Q35" s="40" t="n">
        <v>239.25</v>
      </c>
      <c r="R35" s="40" t="n">
        <v>271.15</v>
      </c>
      <c r="S35" s="40" t="n">
        <v>319</v>
      </c>
      <c r="T35" s="40" t="n">
        <v>398.74</v>
      </c>
      <c r="U35" s="40" t="n">
        <v>42.72</v>
      </c>
      <c r="V35" s="40" t="n">
        <v>58.8</v>
      </c>
      <c r="W35" s="40" t="n">
        <v>66.83</v>
      </c>
      <c r="X35" s="40" t="n">
        <v>65.36</v>
      </c>
      <c r="Y35" s="40" t="n">
        <v>70.98</v>
      </c>
      <c r="Z35" s="40" t="n">
        <v>76.55</v>
      </c>
      <c r="AA35" s="40" t="n">
        <v>82.48</v>
      </c>
      <c r="AB35" s="40" t="n">
        <v>92.32</v>
      </c>
      <c r="AC35" s="40" t="n">
        <v>101.26</v>
      </c>
      <c r="AD35" s="40" t="n">
        <v>129.62</v>
      </c>
      <c r="AE35" s="40" t="n">
        <v>139.81</v>
      </c>
      <c r="AF35" s="40" t="n">
        <v>155.09</v>
      </c>
      <c r="AG35" s="40" t="n">
        <v>194.34</v>
      </c>
      <c r="AH35" s="13" t="n">
        <f aca="false">(U35+AH$4*(Resumo!$C$6+Resumo!$C$7+Resumo!$C$8)+Resumo!$C$10*CEILING(AH$3/100,1)+Resumo!$C$9+Resumo!$C$13+Resumo!$C$14*CEILING(AH$3,1))*(1+Resumo!$C$11)-(AH$4*(Resumo!$B$6+Resumo!$B$7)+Resumo!$B$9+Resumo!$B$10*CEILING(AH$3/100,1)+(Resumo!$B$12+Resumo!$B$14)*CEILING(AH$3,1))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35" s="13" t="n">
        <f aca="false">(V35+AI$4*(Resumo!$C$6+Resumo!$C$7+Resumo!$C$8)+Resumo!$C$10*CEILING(AI$3/100,1)+Resumo!$C$9+Resumo!$C$13+Resumo!$C$14*CEILING(AI$3,1))*(1+Resumo!$C$11)-(AI$4*(Resumo!$B$6+Resumo!$B$7)+Resumo!$B$9+Resumo!$B$10*CEILING(AI$3/100,1)+(Resumo!$B$12+Resumo!$B$14)*CEILING(AI$3,1))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35" s="13" t="n">
        <f aca="false">(W35+AJ$4*(Resumo!$C$6+Resumo!$C$7+Resumo!$C$8)+Resumo!$C$10*CEILING(AJ$3/100,1)+Resumo!$C$9+Resumo!$C$13+Resumo!$C$14*CEILING(AJ$3,1))*(1+Resumo!$C$11)-(AJ$4*(Resumo!$B$6+Resumo!$B$7)+Resumo!$B$9+Resumo!$B$10*CEILING(AJ$3/100,1)+(Resumo!$B$12+Resumo!$B$14)*CEILING(AJ$3,1))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35" s="13" t="n">
        <f aca="false">(X35+AK$4*(Resumo!$C$6+Resumo!$C$7+Resumo!$C$8)+Resumo!$C$10*CEILING(AK$3/100,1)+Resumo!$C$9+Resumo!$C$13+Resumo!$C$14*CEILING(AK$3,1))*(1+Resumo!$C$11)-(AK$4*(Resumo!$B$6+Resumo!$B$7)+Resumo!$B$9+Resumo!$B$10*CEILING(AK$3/100,1)+(Resumo!$B$12+Resumo!$B$14)*CEILING(AK$3,1))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35" s="13" t="n">
        <f aca="false">(Y35+AL$4*(Resumo!$C$6+Resumo!$C$7+Resumo!$C$8)+Resumo!$C$10*CEILING(AL$3/100,1)+Resumo!$C$9+Resumo!$C$13+Resumo!$C$14*CEILING(AL$3,1))*(1+Resumo!$C$11)-(AL$4*(Resumo!$B$6+Resumo!$B$7)+Resumo!$B$9+Resumo!$B$10*CEILING(AL$3/100,1)+(Resumo!$B$12+Resumo!$B$14)*CEILING(AL$3,1))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35" s="13" t="n">
        <f aca="false">(Z35+AM$4*(Resumo!$C$6+Resumo!$C$7+Resumo!$C$8)+Resumo!$C$10*CEILING(AM$3/100,1)+Resumo!$C$9+Resumo!$C$13+Resumo!$C$14*CEILING(AM$3,1))*(1+Resumo!$C$11)-(AM$4*(Resumo!$B$6+Resumo!$B$7)+Resumo!$B$9+Resumo!$B$10*CEILING(AM$3/100,1)+(Resumo!$B$12+Resumo!$B$14)*CEILING(AM$3,1))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35" s="13" t="n">
        <f aca="false">(AA35+AN$4*(Resumo!$C$6+Resumo!$C$7+Resumo!$C$8)+Resumo!$C$10*CEILING(AN$3/100,1)+Resumo!$C$9+Resumo!$C$13+Resumo!$C$14*CEILING(AN$3,1))*(1+Resumo!$C$11)-(AN$4*(Resumo!$B$6+Resumo!$B$7)+Resumo!$B$9+Resumo!$B$10*CEILING(AN$3/100,1)+(Resumo!$B$12+Resumo!$B$14)*CEILING(AN$3,1))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35" s="13" t="n">
        <f aca="false">(AB35+AO$4*(Resumo!$C$6+Resumo!$C$7+Resumo!$C$8)+Resumo!$C$10*CEILING(AO$3/100,1)+Resumo!$C$9+Resumo!$C$13+Resumo!$C$14*CEILING(AO$3,1))*(1+Resumo!$C$11)-(AO$4*(Resumo!$B$6+Resumo!$B$7)+Resumo!$B$9+Resumo!$B$10*CEILING(AO$3/100,1)+(Resumo!$B$12+Resumo!$B$14)*CEILING(AO$3,1))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35" s="13" t="n">
        <f aca="false">(AC35+AP$4*(Resumo!$C$6+Resumo!$C$7+Resumo!$C$8)+Resumo!$C$10*CEILING(AP$3/100,1)+Resumo!$C$9+Resumo!$C$13+Resumo!$C$14*CEILING(AP$3,1))*(1+Resumo!$C$11)-(AP$4*(Resumo!$B$6+Resumo!$B$7)+Resumo!$B$9+Resumo!$B$10*CEILING(AP$3/100,1)+(Resumo!$B$12+Resumo!$B$14)*CEILING(AP$3,1))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35" s="13" t="n">
        <f aca="false">(AD35+AQ$4*(Resumo!$C$6+Resumo!$C$7+Resumo!$C$8)+Resumo!$C$10*CEILING(AQ$3/100,1)+Resumo!$C$9+Resumo!$C$13+Resumo!$C$14*CEILING(AQ$3,1))*(1+Resumo!$C$11)-(AQ$4*(Resumo!$B$6+Resumo!$B$7)+Resumo!$B$9+Resumo!$B$10*CEILING(AQ$3/100,1)+(Resumo!$B$12+Resumo!$B$14)*CEILING(AQ$3,1))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35" s="13" t="n">
        <f aca="false">(AE35+AR$4*(Resumo!$C$6+Resumo!$C$7+Resumo!$C$8)+Resumo!$C$10*CEILING(AR$3/100,1)+Resumo!$C$9+Resumo!$C$13+Resumo!$C$14*CEILING(AR$3,1))*(1+Resumo!$C$11)-(AR$4*(Resumo!$B$6+Resumo!$B$7)+Resumo!$B$9+Resumo!$B$10*CEILING(AR$3/100,1)+(Resumo!$B$12+Resumo!$B$14)*CEILING(AR$3,1))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35" s="13" t="n">
        <f aca="false">(AF35+AS$4*(Resumo!$C$6+Resumo!$C$7+Resumo!$C$8)+Resumo!$C$10*CEILING(AS$3/100,1)+Resumo!$C$9+Resumo!$C$13+Resumo!$C$14*CEILING(AS$3,1))*(1+Resumo!$C$11)-(AS$4*(Resumo!$B$6+Resumo!$B$7)+Resumo!$B$9+Resumo!$B$10*CEILING(AS$3/100,1)+(Resumo!$B$12+Resumo!$B$14)*CEILING(AS$3,1))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35" s="13" t="n">
        <f aca="false">(AG35+AT$4*(Resumo!$C$6+Resumo!$C$7+Resumo!$C$8)+Resumo!$C$10*CEILING(AT$3/100,1)+Resumo!$C$9+Resumo!$C$13+Resumo!$C$14*CEILING(AT$3,1))*(1+Resumo!$C$11)-(AT$4*(Resumo!$B$6+Resumo!$B$7)+Resumo!$B$9+Resumo!$B$10*CEILING(AT$3/100,1)+(Resumo!$B$12+Resumo!$B$14)*CEILING(AT$3,1))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35" s="44" t="n">
        <f aca="false">1-AH35/H35</f>
        <v>-0.0880776325578989</v>
      </c>
      <c r="AV35" s="44" t="n">
        <f aca="false">1-AI35/I35</f>
        <v>0.188889952634237</v>
      </c>
      <c r="AW35" s="44" t="n">
        <f aca="false">1-AJ35/J35</f>
        <v>0.210299752003561</v>
      </c>
      <c r="AX35" s="44" t="n">
        <f aca="false">1-AK35/K35</f>
        <v>0.229289172942379</v>
      </c>
      <c r="AY35" s="44" t="n">
        <f aca="false">1-AL35/L35</f>
        <v>0.30834033649565</v>
      </c>
      <c r="AZ35" s="44" t="n">
        <f aca="false">1-AM35/M35</f>
        <v>0.370010437799111</v>
      </c>
      <c r="BA35" s="44" t="n">
        <f aca="false">1-AN35/N35</f>
        <v>0.343535542823127</v>
      </c>
      <c r="BB35" s="44" t="n">
        <f aca="false">1-AO35/O35</f>
        <v>0.420772428183382</v>
      </c>
      <c r="BC35" s="44" t="n">
        <f aca="false">1-AP35/P35</f>
        <v>0.495206482052588</v>
      </c>
      <c r="BD35" s="44" t="n">
        <f aca="false">1-AQ35/Q35</f>
        <v>0.45869451629365</v>
      </c>
      <c r="BE35" s="44" t="n">
        <f aca="false">1-AR35/R35</f>
        <v>0.490720973630831</v>
      </c>
      <c r="BF35" s="44" t="n">
        <f aca="false">1-AS35/S35</f>
        <v>0.524160501567398</v>
      </c>
      <c r="BG35" s="44" t="n">
        <f aca="false">1-AT35/T35</f>
        <v>0.529306485429102</v>
      </c>
    </row>
    <row r="36" customFormat="false" ht="15" hidden="false" customHeight="false" outlineLevel="0" collapsed="false">
      <c r="A36" s="10" t="s">
        <v>261</v>
      </c>
      <c r="B36" s="10" t="s">
        <v>224</v>
      </c>
      <c r="C36" s="58" t="n">
        <v>26550000</v>
      </c>
      <c r="D36" s="58" t="n">
        <v>26599999</v>
      </c>
      <c r="E36" s="10" t="s">
        <v>23</v>
      </c>
      <c r="F36" s="10" t="s">
        <v>262</v>
      </c>
      <c r="G36" s="10" t="n">
        <f aca="false">COUNTIFS(Pedidos!$C$2:$C$2224,"&gt;="&amp;C36,Pedidos!$C$2:$C$2224,"&lt;="&amp;D36)</f>
        <v>21</v>
      </c>
      <c r="H36" s="40" t="n">
        <v>46.98</v>
      </c>
      <c r="I36" s="40" t="n">
        <v>82.21</v>
      </c>
      <c r="J36" s="40" t="n">
        <v>93.97</v>
      </c>
      <c r="K36" s="40" t="n">
        <v>93.97</v>
      </c>
      <c r="L36" s="40" t="n">
        <v>112.3</v>
      </c>
      <c r="M36" s="40" t="n">
        <v>131.02</v>
      </c>
      <c r="N36" s="40" t="n">
        <v>134.39</v>
      </c>
      <c r="O36" s="40" t="n">
        <v>167.99</v>
      </c>
      <c r="P36" s="40" t="n">
        <v>201.59</v>
      </c>
      <c r="Q36" s="40" t="n">
        <v>239.25</v>
      </c>
      <c r="R36" s="40" t="n">
        <v>271.15</v>
      </c>
      <c r="S36" s="40" t="n">
        <v>319</v>
      </c>
      <c r="T36" s="40" t="n">
        <v>398.74</v>
      </c>
      <c r="U36" s="40" t="n">
        <v>42.72</v>
      </c>
      <c r="V36" s="40" t="n">
        <v>58.8</v>
      </c>
      <c r="W36" s="40" t="n">
        <v>66.83</v>
      </c>
      <c r="X36" s="40" t="n">
        <v>65.36</v>
      </c>
      <c r="Y36" s="40" t="n">
        <v>70.98</v>
      </c>
      <c r="Z36" s="40" t="n">
        <v>76.55</v>
      </c>
      <c r="AA36" s="40" t="n">
        <v>82.48</v>
      </c>
      <c r="AB36" s="40" t="n">
        <v>92.32</v>
      </c>
      <c r="AC36" s="40" t="n">
        <v>101.26</v>
      </c>
      <c r="AD36" s="40" t="n">
        <v>129.62</v>
      </c>
      <c r="AE36" s="40" t="n">
        <v>139.81</v>
      </c>
      <c r="AF36" s="40" t="n">
        <v>155.09</v>
      </c>
      <c r="AG36" s="40" t="n">
        <v>194.34</v>
      </c>
      <c r="AH36" s="13" t="n">
        <f aca="false">(U36+AH$4*(Resumo!$C$6+Resumo!$C$7+Resumo!$C$8)+Resumo!$C$10*CEILING(AH$3/100,1)+Resumo!$C$9+Resumo!$C$13+Resumo!$C$14*CEILING(AH$3,1))*(1+Resumo!$C$11)-(AH$4*(Resumo!$B$6+Resumo!$B$7)+Resumo!$B$9+Resumo!$B$10*CEILING(AH$3/100,1)+(Resumo!$B$12+Resumo!$B$14)*CEILING(AH$3,1))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51.1178871775701</v>
      </c>
      <c r="AI36" s="13" t="n">
        <f aca="false">(V36+AI$4*(Resumo!$C$6+Resumo!$C$7+Resumo!$C$8)+Resumo!$C$10*CEILING(AI$3/100,1)+Resumo!$C$9+Resumo!$C$13+Resumo!$C$14*CEILING(AI$3,1))*(1+Resumo!$C$11)-(AI$4*(Resumo!$B$6+Resumo!$B$7)+Resumo!$B$9+Resumo!$B$10*CEILING(AI$3/100,1)+(Resumo!$B$12+Resumo!$B$14)*CEILING(AI$3,1))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66.6813569939394</v>
      </c>
      <c r="AJ36" s="13" t="n">
        <f aca="false">(W36+AJ$4*(Resumo!$C$6+Resumo!$C$7+Resumo!$C$8)+Resumo!$C$10*CEILING(AJ$3/100,1)+Resumo!$C$9+Resumo!$C$13+Resumo!$C$14*CEILING(AJ$3,1))*(1+Resumo!$C$11)-(AJ$4*(Resumo!$B$6+Resumo!$B$7)+Resumo!$B$9+Resumo!$B$10*CEILING(AJ$3/100,1)+(Resumo!$B$12+Resumo!$B$14)*CEILING(AJ$3,1))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74.2081323042254</v>
      </c>
      <c r="AK36" s="13" t="n">
        <f aca="false">(X36+AK$4*(Resumo!$C$6+Resumo!$C$7+Resumo!$C$8)+Resumo!$C$10*CEILING(AK$3/100,1)+Resumo!$C$9+Resumo!$C$13+Resumo!$C$14*CEILING(AK$3,1))*(1+Resumo!$C$11)-(AK$4*(Resumo!$B$6+Resumo!$B$7)+Resumo!$B$9+Resumo!$B$10*CEILING(AK$3/100,1)+(Resumo!$B$12+Resumo!$B$14)*CEILING(AK$3,1))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72.4236964186046</v>
      </c>
      <c r="AL36" s="13" t="n">
        <f aca="false">(Y36+AL$4*(Resumo!$C$6+Resumo!$C$7+Resumo!$C$8)+Resumo!$C$10*CEILING(AL$3/100,1)+Resumo!$C$9+Resumo!$C$13+Resumo!$C$14*CEILING(AL$3,1))*(1+Resumo!$C$11)-(AL$4*(Resumo!$B$6+Resumo!$B$7)+Resumo!$B$9+Resumo!$B$10*CEILING(AL$3/100,1)+(Resumo!$B$12+Resumo!$B$14)*CEILING(AL$3,1))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77.6733802115385</v>
      </c>
      <c r="AM36" s="13" t="n">
        <f aca="false">(Z36+AM$4*(Resumo!$C$6+Resumo!$C$7+Resumo!$C$8)+Resumo!$C$10*CEILING(AM$3/100,1)+Resumo!$C$9+Resumo!$C$13+Resumo!$C$14*CEILING(AM$3,1))*(1+Resumo!$C$11)-(AM$4*(Resumo!$B$6+Resumo!$B$7)+Resumo!$B$9+Resumo!$B$10*CEILING(AM$3/100,1)+(Resumo!$B$12+Resumo!$B$14)*CEILING(AM$3,1))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82.5412324395604</v>
      </c>
      <c r="AN36" s="13" t="n">
        <f aca="false">(AA36+AN$4*(Resumo!$C$6+Resumo!$C$7+Resumo!$C$8)+Resumo!$C$10*CEILING(AN$3/100,1)+Resumo!$C$9+Resumo!$C$13+Resumo!$C$14*CEILING(AN$3,1))*(1+Resumo!$C$11)-(AN$4*(Resumo!$B$6+Resumo!$B$7)+Resumo!$B$9+Resumo!$B$10*CEILING(AN$3/100,1)+(Resumo!$B$12+Resumo!$B$14)*CEILING(AN$3,1))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88.2222584</v>
      </c>
      <c r="AO36" s="13" t="n">
        <f aca="false">(AB36+AO$4*(Resumo!$C$6+Resumo!$C$7+Resumo!$C$8)+Resumo!$C$10*CEILING(AO$3/100,1)+Resumo!$C$9+Resumo!$C$13+Resumo!$C$14*CEILING(AO$3,1))*(1+Resumo!$C$11)-(AO$4*(Resumo!$B$6+Resumo!$B$7)+Resumo!$B$9+Resumo!$B$10*CEILING(AO$3/100,1)+(Resumo!$B$12+Resumo!$B$14)*CEILING(AO$3,1))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97.3044397894737</v>
      </c>
      <c r="AP36" s="13" t="n">
        <f aca="false">(AC36+AP$4*(Resumo!$C$6+Resumo!$C$7+Resumo!$C$8)+Resumo!$C$10*CEILING(AP$3/100,1)+Resumo!$C$9+Resumo!$C$13+Resumo!$C$14*CEILING(AP$3,1))*(1+Resumo!$C$11)-(AP$4*(Resumo!$B$6+Resumo!$B$7)+Resumo!$B$9+Resumo!$B$10*CEILING(AP$3/100,1)+(Resumo!$B$12+Resumo!$B$14)*CEILING(AP$3,1))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101.761325283019</v>
      </c>
      <c r="AQ36" s="13" t="n">
        <f aca="false">(AD36+AQ$4*(Resumo!$C$6+Resumo!$C$7+Resumo!$C$8)+Resumo!$C$10*CEILING(AQ$3/100,1)+Resumo!$C$9+Resumo!$C$13+Resumo!$C$14*CEILING(AQ$3,1))*(1+Resumo!$C$11)-(AQ$4*(Resumo!$B$6+Resumo!$B$7)+Resumo!$B$9+Resumo!$B$10*CEILING(AQ$3/100,1)+(Resumo!$B$12+Resumo!$B$14)*CEILING(AQ$3,1))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129.507336976744</v>
      </c>
      <c r="AR36" s="13" t="n">
        <f aca="false">(AE36+AR$4*(Resumo!$C$6+Resumo!$C$7+Resumo!$C$8)+Resumo!$C$10*CEILING(AR$3/100,1)+Resumo!$C$9+Resumo!$C$13+Resumo!$C$14*CEILING(AR$3,1))*(1+Resumo!$C$11)-(AR$4*(Resumo!$B$6+Resumo!$B$7)+Resumo!$B$9+Resumo!$B$10*CEILING(AR$3/100,1)+(Resumo!$B$12+Resumo!$B$14)*CEILING(AR$3,1))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138.091008</v>
      </c>
      <c r="AS36" s="13" t="n">
        <f aca="false">(AF36+AS$4*(Resumo!$C$6+Resumo!$C$7+Resumo!$C$8)+Resumo!$C$10*CEILING(AS$3/100,1)+Resumo!$C$9+Resumo!$C$13+Resumo!$C$14*CEILING(AS$3,1))*(1+Resumo!$C$11)-(AS$4*(Resumo!$B$6+Resumo!$B$7)+Resumo!$B$9+Resumo!$B$10*CEILING(AS$3/100,1)+(Resumo!$B$12+Resumo!$B$14)*CEILING(AS$3,1))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151.7928</v>
      </c>
      <c r="AT36" s="13" t="n">
        <f aca="false">(AG36+AT$4*(Resumo!$C$6+Resumo!$C$7+Resumo!$C$8)+Resumo!$C$10*CEILING(AT$3/100,1)+Resumo!$C$9+Resumo!$C$13+Resumo!$C$14*CEILING(AT$3,1))*(1+Resumo!$C$11)-(AT$4*(Resumo!$B$6+Resumo!$B$7)+Resumo!$B$9+Resumo!$B$10*CEILING(AT$3/100,1)+(Resumo!$B$12+Resumo!$B$14)*CEILING(AT$3,1))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187.684332</v>
      </c>
      <c r="AU36" s="44" t="n">
        <f aca="false">1-AH36/H36</f>
        <v>-0.0880776325578989</v>
      </c>
      <c r="AV36" s="44" t="n">
        <f aca="false">1-AI36/I36</f>
        <v>0.188889952634237</v>
      </c>
      <c r="AW36" s="44" t="n">
        <f aca="false">1-AJ36/J36</f>
        <v>0.210299752003561</v>
      </c>
      <c r="AX36" s="44" t="n">
        <f aca="false">1-AK36/K36</f>
        <v>0.229289172942379</v>
      </c>
      <c r="AY36" s="44" t="n">
        <f aca="false">1-AL36/L36</f>
        <v>0.30834033649565</v>
      </c>
      <c r="AZ36" s="44" t="n">
        <f aca="false">1-AM36/M36</f>
        <v>0.370010437799111</v>
      </c>
      <c r="BA36" s="44" t="n">
        <f aca="false">1-AN36/N36</f>
        <v>0.343535542823127</v>
      </c>
      <c r="BB36" s="44" t="n">
        <f aca="false">1-AO36/O36</f>
        <v>0.420772428183382</v>
      </c>
      <c r="BC36" s="44" t="n">
        <f aca="false">1-AP36/P36</f>
        <v>0.495206482052588</v>
      </c>
      <c r="BD36" s="44" t="n">
        <f aca="false">1-AQ36/Q36</f>
        <v>0.45869451629365</v>
      </c>
      <c r="BE36" s="44" t="n">
        <f aca="false">1-AR36/R36</f>
        <v>0.490720973630831</v>
      </c>
      <c r="BF36" s="44" t="n">
        <f aca="false">1-AS36/S36</f>
        <v>0.524160501567398</v>
      </c>
      <c r="BG36" s="44" t="n">
        <f aca="false">1-AT36/T36</f>
        <v>0.529306485429102</v>
      </c>
    </row>
    <row r="37" customFormat="false" ht="15" hidden="false" customHeight="false" outlineLevel="0" collapsed="false">
      <c r="A37" s="10" t="s">
        <v>261</v>
      </c>
      <c r="B37" s="10" t="s">
        <v>285</v>
      </c>
      <c r="C37" s="58" t="n">
        <v>26600000</v>
      </c>
      <c r="D37" s="58" t="n">
        <v>26649999</v>
      </c>
      <c r="E37" s="10" t="s">
        <v>24</v>
      </c>
      <c r="F37" s="10" t="s">
        <v>266</v>
      </c>
      <c r="G37" s="10" t="n">
        <f aca="false">COUNTIFS(Pedidos!$C$2:$C$2224,"&gt;="&amp;C37,Pedidos!$C$2:$C$2224,"&lt;="&amp;D37)</f>
        <v>3</v>
      </c>
      <c r="H37" s="40" t="n">
        <v>77.35</v>
      </c>
      <c r="I37" s="40" t="n">
        <v>108.83</v>
      </c>
      <c r="J37" s="40" t="n">
        <v>124.38</v>
      </c>
      <c r="K37" s="40" t="n">
        <v>124.38</v>
      </c>
      <c r="L37" s="40" t="n">
        <v>142.32</v>
      </c>
      <c r="M37" s="40" t="n">
        <v>166.05</v>
      </c>
      <c r="N37" s="40" t="n">
        <v>157.88</v>
      </c>
      <c r="O37" s="40" t="n">
        <v>197.35</v>
      </c>
      <c r="P37" s="40" t="n">
        <v>236.82</v>
      </c>
      <c r="Q37" s="40" t="n">
        <v>264.84</v>
      </c>
      <c r="R37" s="40" t="n">
        <v>300.15</v>
      </c>
      <c r="S37" s="40" t="n">
        <v>353.12</v>
      </c>
      <c r="T37" s="40" t="n">
        <v>441.4</v>
      </c>
      <c r="U37" s="40" t="n">
        <v>46.95</v>
      </c>
      <c r="V37" s="40" t="n">
        <v>65.63</v>
      </c>
      <c r="W37" s="40" t="n">
        <v>74.97</v>
      </c>
      <c r="X37" s="40" t="n">
        <v>77.7</v>
      </c>
      <c r="Y37" s="40" t="n">
        <v>83.58</v>
      </c>
      <c r="Z37" s="40" t="n">
        <v>90.2</v>
      </c>
      <c r="AA37" s="40" t="n">
        <v>96.77</v>
      </c>
      <c r="AB37" s="40" t="n">
        <v>109.63</v>
      </c>
      <c r="AC37" s="40" t="n">
        <v>119.5</v>
      </c>
      <c r="AD37" s="40" t="n">
        <v>144.24</v>
      </c>
      <c r="AE37" s="40" t="n">
        <v>155.09</v>
      </c>
      <c r="AF37" s="40" t="n">
        <v>66.69</v>
      </c>
      <c r="AG37" s="40" t="n">
        <v>214.88</v>
      </c>
      <c r="AH37" s="13" t="n">
        <f aca="false">(U37+AH$4*(Resumo!$C$6+Resumo!$C$7+Resumo!$C$8)+Resumo!$C$10*CEILING(AH$3/100,1)+Resumo!$C$9+Resumo!$C$13+Resumo!$C$14*CEILING(AH$3,1))*(1+Resumo!$C$11)-(AH$4*(Resumo!$B$6+Resumo!$B$7)+Resumo!$B$9+Resumo!$B$10*CEILING(AH$3/100,1)+(Resumo!$B$12+Resumo!$B$14)*CEILING(AH$3,1))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37" s="13" t="n">
        <f aca="false">(V37+AI$4*(Resumo!$C$6+Resumo!$C$7+Resumo!$C$8)+Resumo!$C$10*CEILING(AI$3/100,1)+Resumo!$C$9+Resumo!$C$13+Resumo!$C$14*CEILING(AI$3,1))*(1+Resumo!$C$11)-(AI$4*(Resumo!$B$6+Resumo!$B$7)+Resumo!$B$9+Resumo!$B$10*CEILING(AI$3/100,1)+(Resumo!$B$12+Resumo!$B$14)*CEILING(AI$3,1))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37" s="13" t="n">
        <f aca="false">(W37+AJ$4*(Resumo!$C$6+Resumo!$C$7+Resumo!$C$8)+Resumo!$C$10*CEILING(AJ$3/100,1)+Resumo!$C$9+Resumo!$C$13+Resumo!$C$14*CEILING(AJ$3,1))*(1+Resumo!$C$11)-(AJ$4*(Resumo!$B$6+Resumo!$B$7)+Resumo!$B$9+Resumo!$B$10*CEILING(AJ$3/100,1)+(Resumo!$B$12+Resumo!$B$14)*CEILING(AJ$3,1))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37" s="13" t="n">
        <f aca="false">(X37+AK$4*(Resumo!$C$6+Resumo!$C$7+Resumo!$C$8)+Resumo!$C$10*CEILING(AK$3/100,1)+Resumo!$C$9+Resumo!$C$13+Resumo!$C$14*CEILING(AK$3,1))*(1+Resumo!$C$11)-(AK$4*(Resumo!$B$6+Resumo!$B$7)+Resumo!$B$9+Resumo!$B$10*CEILING(AK$3/100,1)+(Resumo!$B$12+Resumo!$B$14)*CEILING(AK$3,1))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37" s="13" t="n">
        <f aca="false">(Y37+AL$4*(Resumo!$C$6+Resumo!$C$7+Resumo!$C$8)+Resumo!$C$10*CEILING(AL$3/100,1)+Resumo!$C$9+Resumo!$C$13+Resumo!$C$14*CEILING(AL$3,1))*(1+Resumo!$C$11)-(AL$4*(Resumo!$B$6+Resumo!$B$7)+Resumo!$B$9+Resumo!$B$10*CEILING(AL$3/100,1)+(Resumo!$B$12+Resumo!$B$14)*CEILING(AL$3,1))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37" s="13" t="n">
        <f aca="false">(Z37+AM$4*(Resumo!$C$6+Resumo!$C$7+Resumo!$C$8)+Resumo!$C$10*CEILING(AM$3/100,1)+Resumo!$C$9+Resumo!$C$13+Resumo!$C$14*CEILING(AM$3,1))*(1+Resumo!$C$11)-(AM$4*(Resumo!$B$6+Resumo!$B$7)+Resumo!$B$9+Resumo!$B$10*CEILING(AM$3/100,1)+(Resumo!$B$12+Resumo!$B$14)*CEILING(AM$3,1))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37" s="13" t="n">
        <f aca="false">(AA37+AN$4*(Resumo!$C$6+Resumo!$C$7+Resumo!$C$8)+Resumo!$C$10*CEILING(AN$3/100,1)+Resumo!$C$9+Resumo!$C$13+Resumo!$C$14*CEILING(AN$3,1))*(1+Resumo!$C$11)-(AN$4*(Resumo!$B$6+Resumo!$B$7)+Resumo!$B$9+Resumo!$B$10*CEILING(AN$3/100,1)+(Resumo!$B$12+Resumo!$B$14)*CEILING(AN$3,1))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37" s="13" t="n">
        <f aca="false">(AB37+AO$4*(Resumo!$C$6+Resumo!$C$7+Resumo!$C$8)+Resumo!$C$10*CEILING(AO$3/100,1)+Resumo!$C$9+Resumo!$C$13+Resumo!$C$14*CEILING(AO$3,1))*(1+Resumo!$C$11)-(AO$4*(Resumo!$B$6+Resumo!$B$7)+Resumo!$B$9+Resumo!$B$10*CEILING(AO$3/100,1)+(Resumo!$B$12+Resumo!$B$14)*CEILING(AO$3,1))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37" s="13" t="n">
        <f aca="false">(AC37+AP$4*(Resumo!$C$6+Resumo!$C$7+Resumo!$C$8)+Resumo!$C$10*CEILING(AP$3/100,1)+Resumo!$C$9+Resumo!$C$13+Resumo!$C$14*CEILING(AP$3,1))*(1+Resumo!$C$11)-(AP$4*(Resumo!$B$6+Resumo!$B$7)+Resumo!$B$9+Resumo!$B$10*CEILING(AP$3/100,1)+(Resumo!$B$12+Resumo!$B$14)*CEILING(AP$3,1))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37" s="13" t="n">
        <f aca="false">(AD37+AQ$4*(Resumo!$C$6+Resumo!$C$7+Resumo!$C$8)+Resumo!$C$10*CEILING(AQ$3/100,1)+Resumo!$C$9+Resumo!$C$13+Resumo!$C$14*CEILING(AQ$3,1))*(1+Resumo!$C$11)-(AQ$4*(Resumo!$B$6+Resumo!$B$7)+Resumo!$B$9+Resumo!$B$10*CEILING(AQ$3/100,1)+(Resumo!$B$12+Resumo!$B$14)*CEILING(AQ$3,1))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37" s="13" t="n">
        <f aca="false">(AE37+AR$4*(Resumo!$C$6+Resumo!$C$7+Resumo!$C$8)+Resumo!$C$10*CEILING(AR$3/100,1)+Resumo!$C$9+Resumo!$C$13+Resumo!$C$14*CEILING(AR$3,1))*(1+Resumo!$C$11)-(AR$4*(Resumo!$B$6+Resumo!$B$7)+Resumo!$B$9+Resumo!$B$10*CEILING(AR$3/100,1)+(Resumo!$B$12+Resumo!$B$14)*CEILING(AR$3,1))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37" s="13" t="n">
        <f aca="false">(AF37+AS$4*(Resumo!$C$6+Resumo!$C$7+Resumo!$C$8)+Resumo!$C$10*CEILING(AS$3/100,1)+Resumo!$C$9+Resumo!$C$13+Resumo!$C$14*CEILING(AS$3,1))*(1+Resumo!$C$11)-(AS$4*(Resumo!$B$6+Resumo!$B$7)+Resumo!$B$9+Resumo!$B$10*CEILING(AS$3/100,1)+(Resumo!$B$12+Resumo!$B$14)*CEILING(AS$3,1))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37" s="13" t="n">
        <f aca="false">(AG37+AT$4*(Resumo!$C$6+Resumo!$C$7+Resumo!$C$8)+Resumo!$C$10*CEILING(AT$3/100,1)+Resumo!$C$9+Resumo!$C$13+Resumo!$C$14*CEILING(AT$3,1))*(1+Resumo!$C$11)-(AT$4*(Resumo!$B$6+Resumo!$B$7)+Resumo!$B$9+Resumo!$B$10*CEILING(AT$3/100,1)+(Resumo!$B$12+Resumo!$B$14)*CEILING(AT$3,1))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37" s="44" t="n">
        <f aca="false">1-AH37/H37</f>
        <v>0.284448775984873</v>
      </c>
      <c r="AV37" s="44" t="n">
        <f aca="false">1-AI37/I37</f>
        <v>0.324530396086195</v>
      </c>
      <c r="AW37" s="44" t="n">
        <f aca="false">1-AJ37/J37</f>
        <v>0.337931079721616</v>
      </c>
      <c r="AX37" s="44" t="n">
        <f aca="false">1-AK37/K37</f>
        <v>0.318510239438779</v>
      </c>
      <c r="AY37" s="44" t="n">
        <f aca="false">1-AL37/L37</f>
        <v>0.365701375691832</v>
      </c>
      <c r="AZ37" s="44" t="n">
        <f aca="false">1-AM37/M37</f>
        <v>0.420709229511831</v>
      </c>
      <c r="BA37" s="44" t="n">
        <f aca="false">1-AN37/N37</f>
        <v>0.350695095008868</v>
      </c>
      <c r="BB37" s="44" t="n">
        <f aca="false">1-AO37/O37</f>
        <v>0.419232633445788</v>
      </c>
      <c r="BC37" s="44" t="n">
        <f aca="false">1-AP37/P37</f>
        <v>0.493280443868681</v>
      </c>
      <c r="BD37" s="44" t="n">
        <f aca="false">1-AQ37/Q37</f>
        <v>0.455794679894486</v>
      </c>
      <c r="BE37" s="44" t="n">
        <f aca="false">1-AR37/R37</f>
        <v>0.489018797268033</v>
      </c>
      <c r="BF37" s="44" t="n">
        <f aca="false">1-AS37/S37</f>
        <v>0.820478024467603</v>
      </c>
      <c r="BG37" s="44" t="n">
        <f aca="false">1-AT37/T37</f>
        <v>0.528263860444042</v>
      </c>
    </row>
    <row r="38" customFormat="false" ht="15" hidden="false" customHeight="false" outlineLevel="0" collapsed="false">
      <c r="A38" s="10" t="s">
        <v>261</v>
      </c>
      <c r="B38" s="10" t="s">
        <v>286</v>
      </c>
      <c r="C38" s="58" t="n">
        <v>26650000</v>
      </c>
      <c r="D38" s="58" t="n">
        <v>26699999</v>
      </c>
      <c r="E38" s="10" t="s">
        <v>24</v>
      </c>
      <c r="F38" s="10" t="s">
        <v>266</v>
      </c>
      <c r="G38" s="10" t="n">
        <f aca="false">COUNTIFS(Pedidos!$C$2:$C$2224,"&gt;="&amp;C38,Pedidos!$C$2:$C$2224,"&lt;="&amp;D38)</f>
        <v>0</v>
      </c>
      <c r="H38" s="40" t="n">
        <v>77.35</v>
      </c>
      <c r="I38" s="40" t="n">
        <v>108.83</v>
      </c>
      <c r="J38" s="40" t="n">
        <v>124.38</v>
      </c>
      <c r="K38" s="40" t="n">
        <v>124.38</v>
      </c>
      <c r="L38" s="40" t="n">
        <v>142.32</v>
      </c>
      <c r="M38" s="40" t="n">
        <v>166.05</v>
      </c>
      <c r="N38" s="40" t="n">
        <v>157.88</v>
      </c>
      <c r="O38" s="40" t="n">
        <v>197.35</v>
      </c>
      <c r="P38" s="40" t="n">
        <v>236.82</v>
      </c>
      <c r="Q38" s="40" t="n">
        <v>264.84</v>
      </c>
      <c r="R38" s="40" t="n">
        <v>300.15</v>
      </c>
      <c r="S38" s="40" t="n">
        <v>353.12</v>
      </c>
      <c r="T38" s="40" t="n">
        <v>441.4</v>
      </c>
      <c r="U38" s="40" t="n">
        <v>46.95</v>
      </c>
      <c r="V38" s="40" t="n">
        <v>65.63</v>
      </c>
      <c r="W38" s="40" t="n">
        <v>74.97</v>
      </c>
      <c r="X38" s="40" t="n">
        <v>77.7</v>
      </c>
      <c r="Y38" s="40" t="n">
        <v>83.58</v>
      </c>
      <c r="Z38" s="40" t="n">
        <v>90.2</v>
      </c>
      <c r="AA38" s="40" t="n">
        <v>96.77</v>
      </c>
      <c r="AB38" s="40" t="n">
        <v>109.63</v>
      </c>
      <c r="AC38" s="40" t="n">
        <v>119.5</v>
      </c>
      <c r="AD38" s="40" t="n">
        <v>144.24</v>
      </c>
      <c r="AE38" s="40" t="n">
        <v>155.09</v>
      </c>
      <c r="AF38" s="40" t="n">
        <v>66.69</v>
      </c>
      <c r="AG38" s="40" t="n">
        <v>214.88</v>
      </c>
      <c r="AH38" s="13" t="n">
        <f aca="false">(U38+AH$4*(Resumo!$C$6+Resumo!$C$7+Resumo!$C$8)+Resumo!$C$10*CEILING(AH$3/100,1)+Resumo!$C$9+Resumo!$C$13+Resumo!$C$14*CEILING(AH$3,1))*(1+Resumo!$C$11)-(AH$4*(Resumo!$B$6+Resumo!$B$7)+Resumo!$B$9+Resumo!$B$10*CEILING(AH$3/100,1)+(Resumo!$B$12+Resumo!$B$14)*CEILING(AH$3,1))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38" s="13" t="n">
        <f aca="false">(V38+AI$4*(Resumo!$C$6+Resumo!$C$7+Resumo!$C$8)+Resumo!$C$10*CEILING(AI$3/100,1)+Resumo!$C$9+Resumo!$C$13+Resumo!$C$14*CEILING(AI$3,1))*(1+Resumo!$C$11)-(AI$4*(Resumo!$B$6+Resumo!$B$7)+Resumo!$B$9+Resumo!$B$10*CEILING(AI$3/100,1)+(Resumo!$B$12+Resumo!$B$14)*CEILING(AI$3,1))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38" s="13" t="n">
        <f aca="false">(W38+AJ$4*(Resumo!$C$6+Resumo!$C$7+Resumo!$C$8)+Resumo!$C$10*CEILING(AJ$3/100,1)+Resumo!$C$9+Resumo!$C$13+Resumo!$C$14*CEILING(AJ$3,1))*(1+Resumo!$C$11)-(AJ$4*(Resumo!$B$6+Resumo!$B$7)+Resumo!$B$9+Resumo!$B$10*CEILING(AJ$3/100,1)+(Resumo!$B$12+Resumo!$B$14)*CEILING(AJ$3,1))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38" s="13" t="n">
        <f aca="false">(X38+AK$4*(Resumo!$C$6+Resumo!$C$7+Resumo!$C$8)+Resumo!$C$10*CEILING(AK$3/100,1)+Resumo!$C$9+Resumo!$C$13+Resumo!$C$14*CEILING(AK$3,1))*(1+Resumo!$C$11)-(AK$4*(Resumo!$B$6+Resumo!$B$7)+Resumo!$B$9+Resumo!$B$10*CEILING(AK$3/100,1)+(Resumo!$B$12+Resumo!$B$14)*CEILING(AK$3,1))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38" s="13" t="n">
        <f aca="false">(Y38+AL$4*(Resumo!$C$6+Resumo!$C$7+Resumo!$C$8)+Resumo!$C$10*CEILING(AL$3/100,1)+Resumo!$C$9+Resumo!$C$13+Resumo!$C$14*CEILING(AL$3,1))*(1+Resumo!$C$11)-(AL$4*(Resumo!$B$6+Resumo!$B$7)+Resumo!$B$9+Resumo!$B$10*CEILING(AL$3/100,1)+(Resumo!$B$12+Resumo!$B$14)*CEILING(AL$3,1))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38" s="13" t="n">
        <f aca="false">(Z38+AM$4*(Resumo!$C$6+Resumo!$C$7+Resumo!$C$8)+Resumo!$C$10*CEILING(AM$3/100,1)+Resumo!$C$9+Resumo!$C$13+Resumo!$C$14*CEILING(AM$3,1))*(1+Resumo!$C$11)-(AM$4*(Resumo!$B$6+Resumo!$B$7)+Resumo!$B$9+Resumo!$B$10*CEILING(AM$3/100,1)+(Resumo!$B$12+Resumo!$B$14)*CEILING(AM$3,1))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38" s="13" t="n">
        <f aca="false">(AA38+AN$4*(Resumo!$C$6+Resumo!$C$7+Resumo!$C$8)+Resumo!$C$10*CEILING(AN$3/100,1)+Resumo!$C$9+Resumo!$C$13+Resumo!$C$14*CEILING(AN$3,1))*(1+Resumo!$C$11)-(AN$4*(Resumo!$B$6+Resumo!$B$7)+Resumo!$B$9+Resumo!$B$10*CEILING(AN$3/100,1)+(Resumo!$B$12+Resumo!$B$14)*CEILING(AN$3,1))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38" s="13" t="n">
        <f aca="false">(AB38+AO$4*(Resumo!$C$6+Resumo!$C$7+Resumo!$C$8)+Resumo!$C$10*CEILING(AO$3/100,1)+Resumo!$C$9+Resumo!$C$13+Resumo!$C$14*CEILING(AO$3,1))*(1+Resumo!$C$11)-(AO$4*(Resumo!$B$6+Resumo!$B$7)+Resumo!$B$9+Resumo!$B$10*CEILING(AO$3/100,1)+(Resumo!$B$12+Resumo!$B$14)*CEILING(AO$3,1))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38" s="13" t="n">
        <f aca="false">(AC38+AP$4*(Resumo!$C$6+Resumo!$C$7+Resumo!$C$8)+Resumo!$C$10*CEILING(AP$3/100,1)+Resumo!$C$9+Resumo!$C$13+Resumo!$C$14*CEILING(AP$3,1))*(1+Resumo!$C$11)-(AP$4*(Resumo!$B$6+Resumo!$B$7)+Resumo!$B$9+Resumo!$B$10*CEILING(AP$3/100,1)+(Resumo!$B$12+Resumo!$B$14)*CEILING(AP$3,1))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38" s="13" t="n">
        <f aca="false">(AD38+AQ$4*(Resumo!$C$6+Resumo!$C$7+Resumo!$C$8)+Resumo!$C$10*CEILING(AQ$3/100,1)+Resumo!$C$9+Resumo!$C$13+Resumo!$C$14*CEILING(AQ$3,1))*(1+Resumo!$C$11)-(AQ$4*(Resumo!$B$6+Resumo!$B$7)+Resumo!$B$9+Resumo!$B$10*CEILING(AQ$3/100,1)+(Resumo!$B$12+Resumo!$B$14)*CEILING(AQ$3,1))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38" s="13" t="n">
        <f aca="false">(AE38+AR$4*(Resumo!$C$6+Resumo!$C$7+Resumo!$C$8)+Resumo!$C$10*CEILING(AR$3/100,1)+Resumo!$C$9+Resumo!$C$13+Resumo!$C$14*CEILING(AR$3,1))*(1+Resumo!$C$11)-(AR$4*(Resumo!$B$6+Resumo!$B$7)+Resumo!$B$9+Resumo!$B$10*CEILING(AR$3/100,1)+(Resumo!$B$12+Resumo!$B$14)*CEILING(AR$3,1))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38" s="13" t="n">
        <f aca="false">(AF38+AS$4*(Resumo!$C$6+Resumo!$C$7+Resumo!$C$8)+Resumo!$C$10*CEILING(AS$3/100,1)+Resumo!$C$9+Resumo!$C$13+Resumo!$C$14*CEILING(AS$3,1))*(1+Resumo!$C$11)-(AS$4*(Resumo!$B$6+Resumo!$B$7)+Resumo!$B$9+Resumo!$B$10*CEILING(AS$3/100,1)+(Resumo!$B$12+Resumo!$B$14)*CEILING(AS$3,1))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38" s="13" t="n">
        <f aca="false">(AG38+AT$4*(Resumo!$C$6+Resumo!$C$7+Resumo!$C$8)+Resumo!$C$10*CEILING(AT$3/100,1)+Resumo!$C$9+Resumo!$C$13+Resumo!$C$14*CEILING(AT$3,1))*(1+Resumo!$C$11)-(AT$4*(Resumo!$B$6+Resumo!$B$7)+Resumo!$B$9+Resumo!$B$10*CEILING(AT$3/100,1)+(Resumo!$B$12+Resumo!$B$14)*CEILING(AT$3,1))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38" s="44" t="n">
        <f aca="false">1-AH38/H38</f>
        <v>0.284448775984873</v>
      </c>
      <c r="AV38" s="44" t="n">
        <f aca="false">1-AI38/I38</f>
        <v>0.324530396086195</v>
      </c>
      <c r="AW38" s="44" t="n">
        <f aca="false">1-AJ38/J38</f>
        <v>0.337931079721616</v>
      </c>
      <c r="AX38" s="44" t="n">
        <f aca="false">1-AK38/K38</f>
        <v>0.318510239438779</v>
      </c>
      <c r="AY38" s="44" t="n">
        <f aca="false">1-AL38/L38</f>
        <v>0.365701375691832</v>
      </c>
      <c r="AZ38" s="44" t="n">
        <f aca="false">1-AM38/M38</f>
        <v>0.420709229511831</v>
      </c>
      <c r="BA38" s="44" t="n">
        <f aca="false">1-AN38/N38</f>
        <v>0.350695095008868</v>
      </c>
      <c r="BB38" s="44" t="n">
        <f aca="false">1-AO38/O38</f>
        <v>0.419232633445788</v>
      </c>
      <c r="BC38" s="44" t="n">
        <f aca="false">1-AP38/P38</f>
        <v>0.493280443868681</v>
      </c>
      <c r="BD38" s="44" t="n">
        <f aca="false">1-AQ38/Q38</f>
        <v>0.455794679894486</v>
      </c>
      <c r="BE38" s="44" t="n">
        <f aca="false">1-AR38/R38</f>
        <v>0.489018797268033</v>
      </c>
      <c r="BF38" s="44" t="n">
        <f aca="false">1-AS38/S38</f>
        <v>0.820478024467603</v>
      </c>
      <c r="BG38" s="44" t="n">
        <f aca="false">1-AT38/T38</f>
        <v>0.528263860444042</v>
      </c>
    </row>
    <row r="39" customFormat="false" ht="15" hidden="false" customHeight="false" outlineLevel="0" collapsed="false">
      <c r="A39" s="10" t="s">
        <v>261</v>
      </c>
      <c r="B39" s="10" t="s">
        <v>287</v>
      </c>
      <c r="C39" s="58" t="n">
        <v>26700000</v>
      </c>
      <c r="D39" s="58" t="n">
        <v>26899999</v>
      </c>
      <c r="E39" s="10" t="s">
        <v>24</v>
      </c>
      <c r="F39" s="10" t="s">
        <v>266</v>
      </c>
      <c r="G39" s="10" t="n">
        <f aca="false">COUNTIFS(Pedidos!$C$2:$C$2224,"&gt;="&amp;C39,Pedidos!$C$2:$C$2224,"&lt;="&amp;D39)</f>
        <v>2</v>
      </c>
      <c r="H39" s="40" t="n">
        <v>77.35</v>
      </c>
      <c r="I39" s="40" t="n">
        <v>108.83</v>
      </c>
      <c r="J39" s="40" t="n">
        <v>124.38</v>
      </c>
      <c r="K39" s="40" t="n">
        <v>124.38</v>
      </c>
      <c r="L39" s="40" t="n">
        <v>142.32</v>
      </c>
      <c r="M39" s="40" t="n">
        <v>166.05</v>
      </c>
      <c r="N39" s="40" t="n">
        <v>157.88</v>
      </c>
      <c r="O39" s="40" t="n">
        <v>197.35</v>
      </c>
      <c r="P39" s="40" t="n">
        <v>236.82</v>
      </c>
      <c r="Q39" s="40" t="n">
        <v>264.84</v>
      </c>
      <c r="R39" s="40" t="n">
        <v>300.15</v>
      </c>
      <c r="S39" s="40" t="n">
        <v>353.12</v>
      </c>
      <c r="T39" s="40" t="n">
        <v>441.4</v>
      </c>
      <c r="U39" s="40" t="n">
        <v>46.95</v>
      </c>
      <c r="V39" s="40" t="n">
        <v>65.63</v>
      </c>
      <c r="W39" s="40" t="n">
        <v>74.97</v>
      </c>
      <c r="X39" s="40" t="n">
        <v>77.7</v>
      </c>
      <c r="Y39" s="40" t="n">
        <v>83.58</v>
      </c>
      <c r="Z39" s="40" t="n">
        <v>90.2</v>
      </c>
      <c r="AA39" s="40" t="n">
        <v>96.77</v>
      </c>
      <c r="AB39" s="40" t="n">
        <v>109.63</v>
      </c>
      <c r="AC39" s="40" t="n">
        <v>119.5</v>
      </c>
      <c r="AD39" s="40" t="n">
        <v>144.24</v>
      </c>
      <c r="AE39" s="40" t="n">
        <v>155.09</v>
      </c>
      <c r="AF39" s="40" t="n">
        <v>66.69</v>
      </c>
      <c r="AG39" s="40" t="n">
        <v>214.88</v>
      </c>
      <c r="AH39" s="13" t="n">
        <f aca="false">(U39+AH$4*(Resumo!$C$6+Resumo!$C$7+Resumo!$C$8)+Resumo!$C$10*CEILING(AH$3/100,1)+Resumo!$C$9+Resumo!$C$13+Resumo!$C$14*CEILING(AH$3,1))*(1+Resumo!$C$11)-(AH$4*(Resumo!$B$6+Resumo!$B$7)+Resumo!$B$9+Resumo!$B$10*CEILING(AH$3/100,1)+(Resumo!$B$12+Resumo!$B$14)*CEILING(AH$3,1))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39" s="13" t="n">
        <f aca="false">(V39+AI$4*(Resumo!$C$6+Resumo!$C$7+Resumo!$C$8)+Resumo!$C$10*CEILING(AI$3/100,1)+Resumo!$C$9+Resumo!$C$13+Resumo!$C$14*CEILING(AI$3,1))*(1+Resumo!$C$11)-(AI$4*(Resumo!$B$6+Resumo!$B$7)+Resumo!$B$9+Resumo!$B$10*CEILING(AI$3/100,1)+(Resumo!$B$12+Resumo!$B$14)*CEILING(AI$3,1))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39" s="13" t="n">
        <f aca="false">(W39+AJ$4*(Resumo!$C$6+Resumo!$C$7+Resumo!$C$8)+Resumo!$C$10*CEILING(AJ$3/100,1)+Resumo!$C$9+Resumo!$C$13+Resumo!$C$14*CEILING(AJ$3,1))*(1+Resumo!$C$11)-(AJ$4*(Resumo!$B$6+Resumo!$B$7)+Resumo!$B$9+Resumo!$B$10*CEILING(AJ$3/100,1)+(Resumo!$B$12+Resumo!$B$14)*CEILING(AJ$3,1))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39" s="13" t="n">
        <f aca="false">(X39+AK$4*(Resumo!$C$6+Resumo!$C$7+Resumo!$C$8)+Resumo!$C$10*CEILING(AK$3/100,1)+Resumo!$C$9+Resumo!$C$13+Resumo!$C$14*CEILING(AK$3,1))*(1+Resumo!$C$11)-(AK$4*(Resumo!$B$6+Resumo!$B$7)+Resumo!$B$9+Resumo!$B$10*CEILING(AK$3/100,1)+(Resumo!$B$12+Resumo!$B$14)*CEILING(AK$3,1))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39" s="13" t="n">
        <f aca="false">(Y39+AL$4*(Resumo!$C$6+Resumo!$C$7+Resumo!$C$8)+Resumo!$C$10*CEILING(AL$3/100,1)+Resumo!$C$9+Resumo!$C$13+Resumo!$C$14*CEILING(AL$3,1))*(1+Resumo!$C$11)-(AL$4*(Resumo!$B$6+Resumo!$B$7)+Resumo!$B$9+Resumo!$B$10*CEILING(AL$3/100,1)+(Resumo!$B$12+Resumo!$B$14)*CEILING(AL$3,1))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39" s="13" t="n">
        <f aca="false">(Z39+AM$4*(Resumo!$C$6+Resumo!$C$7+Resumo!$C$8)+Resumo!$C$10*CEILING(AM$3/100,1)+Resumo!$C$9+Resumo!$C$13+Resumo!$C$14*CEILING(AM$3,1))*(1+Resumo!$C$11)-(AM$4*(Resumo!$B$6+Resumo!$B$7)+Resumo!$B$9+Resumo!$B$10*CEILING(AM$3/100,1)+(Resumo!$B$12+Resumo!$B$14)*CEILING(AM$3,1))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39" s="13" t="n">
        <f aca="false">(AA39+AN$4*(Resumo!$C$6+Resumo!$C$7+Resumo!$C$8)+Resumo!$C$10*CEILING(AN$3/100,1)+Resumo!$C$9+Resumo!$C$13+Resumo!$C$14*CEILING(AN$3,1))*(1+Resumo!$C$11)-(AN$4*(Resumo!$B$6+Resumo!$B$7)+Resumo!$B$9+Resumo!$B$10*CEILING(AN$3/100,1)+(Resumo!$B$12+Resumo!$B$14)*CEILING(AN$3,1))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39" s="13" t="n">
        <f aca="false">(AB39+AO$4*(Resumo!$C$6+Resumo!$C$7+Resumo!$C$8)+Resumo!$C$10*CEILING(AO$3/100,1)+Resumo!$C$9+Resumo!$C$13+Resumo!$C$14*CEILING(AO$3,1))*(1+Resumo!$C$11)-(AO$4*(Resumo!$B$6+Resumo!$B$7)+Resumo!$B$9+Resumo!$B$10*CEILING(AO$3/100,1)+(Resumo!$B$12+Resumo!$B$14)*CEILING(AO$3,1))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39" s="13" t="n">
        <f aca="false">(AC39+AP$4*(Resumo!$C$6+Resumo!$C$7+Resumo!$C$8)+Resumo!$C$10*CEILING(AP$3/100,1)+Resumo!$C$9+Resumo!$C$13+Resumo!$C$14*CEILING(AP$3,1))*(1+Resumo!$C$11)-(AP$4*(Resumo!$B$6+Resumo!$B$7)+Resumo!$B$9+Resumo!$B$10*CEILING(AP$3/100,1)+(Resumo!$B$12+Resumo!$B$14)*CEILING(AP$3,1))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39" s="13" t="n">
        <f aca="false">(AD39+AQ$4*(Resumo!$C$6+Resumo!$C$7+Resumo!$C$8)+Resumo!$C$10*CEILING(AQ$3/100,1)+Resumo!$C$9+Resumo!$C$13+Resumo!$C$14*CEILING(AQ$3,1))*(1+Resumo!$C$11)-(AQ$4*(Resumo!$B$6+Resumo!$B$7)+Resumo!$B$9+Resumo!$B$10*CEILING(AQ$3/100,1)+(Resumo!$B$12+Resumo!$B$14)*CEILING(AQ$3,1))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39" s="13" t="n">
        <f aca="false">(AE39+AR$4*(Resumo!$C$6+Resumo!$C$7+Resumo!$C$8)+Resumo!$C$10*CEILING(AR$3/100,1)+Resumo!$C$9+Resumo!$C$13+Resumo!$C$14*CEILING(AR$3,1))*(1+Resumo!$C$11)-(AR$4*(Resumo!$B$6+Resumo!$B$7)+Resumo!$B$9+Resumo!$B$10*CEILING(AR$3/100,1)+(Resumo!$B$12+Resumo!$B$14)*CEILING(AR$3,1))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39" s="13" t="n">
        <f aca="false">(AF39+AS$4*(Resumo!$C$6+Resumo!$C$7+Resumo!$C$8)+Resumo!$C$10*CEILING(AS$3/100,1)+Resumo!$C$9+Resumo!$C$13+Resumo!$C$14*CEILING(AS$3,1))*(1+Resumo!$C$11)-(AS$4*(Resumo!$B$6+Resumo!$B$7)+Resumo!$B$9+Resumo!$B$10*CEILING(AS$3/100,1)+(Resumo!$B$12+Resumo!$B$14)*CEILING(AS$3,1))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39" s="13" t="n">
        <f aca="false">(AG39+AT$4*(Resumo!$C$6+Resumo!$C$7+Resumo!$C$8)+Resumo!$C$10*CEILING(AT$3/100,1)+Resumo!$C$9+Resumo!$C$13+Resumo!$C$14*CEILING(AT$3,1))*(1+Resumo!$C$11)-(AT$4*(Resumo!$B$6+Resumo!$B$7)+Resumo!$B$9+Resumo!$B$10*CEILING(AT$3/100,1)+(Resumo!$B$12+Resumo!$B$14)*CEILING(AT$3,1))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39" s="44" t="n">
        <f aca="false">1-AH39/H39</f>
        <v>0.284448775984873</v>
      </c>
      <c r="AV39" s="44" t="n">
        <f aca="false">1-AI39/I39</f>
        <v>0.324530396086195</v>
      </c>
      <c r="AW39" s="44" t="n">
        <f aca="false">1-AJ39/J39</f>
        <v>0.337931079721616</v>
      </c>
      <c r="AX39" s="44" t="n">
        <f aca="false">1-AK39/K39</f>
        <v>0.318510239438779</v>
      </c>
      <c r="AY39" s="44" t="n">
        <f aca="false">1-AL39/L39</f>
        <v>0.365701375691832</v>
      </c>
      <c r="AZ39" s="44" t="n">
        <f aca="false">1-AM39/M39</f>
        <v>0.420709229511831</v>
      </c>
      <c r="BA39" s="44" t="n">
        <f aca="false">1-AN39/N39</f>
        <v>0.350695095008868</v>
      </c>
      <c r="BB39" s="44" t="n">
        <f aca="false">1-AO39/O39</f>
        <v>0.419232633445788</v>
      </c>
      <c r="BC39" s="44" t="n">
        <f aca="false">1-AP39/P39</f>
        <v>0.493280443868681</v>
      </c>
      <c r="BD39" s="44" t="n">
        <f aca="false">1-AQ39/Q39</f>
        <v>0.455794679894486</v>
      </c>
      <c r="BE39" s="44" t="n">
        <f aca="false">1-AR39/R39</f>
        <v>0.489018797268033</v>
      </c>
      <c r="BF39" s="44" t="n">
        <f aca="false">1-AS39/S39</f>
        <v>0.820478024467603</v>
      </c>
      <c r="BG39" s="44" t="n">
        <f aca="false">1-AT39/T39</f>
        <v>0.528263860444042</v>
      </c>
    </row>
    <row r="40" customFormat="false" ht="15" hidden="false" customHeight="false" outlineLevel="0" collapsed="false">
      <c r="A40" s="10" t="s">
        <v>261</v>
      </c>
      <c r="B40" s="10" t="s">
        <v>288</v>
      </c>
      <c r="C40" s="58" t="n">
        <v>26900000</v>
      </c>
      <c r="D40" s="58" t="n">
        <v>26949999</v>
      </c>
      <c r="E40" s="10" t="s">
        <v>24</v>
      </c>
      <c r="F40" s="10" t="s">
        <v>266</v>
      </c>
      <c r="G40" s="10" t="n">
        <f aca="false">COUNTIFS(Pedidos!$C$2:$C$2224,"&gt;="&amp;C40,Pedidos!$C$2:$C$2224,"&lt;="&amp;D40)</f>
        <v>2</v>
      </c>
      <c r="H40" s="40" t="n">
        <v>77.35</v>
      </c>
      <c r="I40" s="40" t="n">
        <v>108.83</v>
      </c>
      <c r="J40" s="40" t="n">
        <v>124.38</v>
      </c>
      <c r="K40" s="40" t="n">
        <v>124.38</v>
      </c>
      <c r="L40" s="40" t="n">
        <v>142.32</v>
      </c>
      <c r="M40" s="40" t="n">
        <v>166.05</v>
      </c>
      <c r="N40" s="40" t="n">
        <v>157.88</v>
      </c>
      <c r="O40" s="40" t="n">
        <v>197.35</v>
      </c>
      <c r="P40" s="40" t="n">
        <v>236.82</v>
      </c>
      <c r="Q40" s="40" t="n">
        <v>264.84</v>
      </c>
      <c r="R40" s="40" t="n">
        <v>300.15</v>
      </c>
      <c r="S40" s="40" t="n">
        <v>353.12</v>
      </c>
      <c r="T40" s="40" t="n">
        <v>441.4</v>
      </c>
      <c r="U40" s="40" t="n">
        <v>46.95</v>
      </c>
      <c r="V40" s="40" t="n">
        <v>65.63</v>
      </c>
      <c r="W40" s="40" t="n">
        <v>74.97</v>
      </c>
      <c r="X40" s="40" t="n">
        <v>77.7</v>
      </c>
      <c r="Y40" s="40" t="n">
        <v>83.58</v>
      </c>
      <c r="Z40" s="40" t="n">
        <v>90.2</v>
      </c>
      <c r="AA40" s="40" t="n">
        <v>96.77</v>
      </c>
      <c r="AB40" s="40" t="n">
        <v>109.63</v>
      </c>
      <c r="AC40" s="40" t="n">
        <v>119.5</v>
      </c>
      <c r="AD40" s="40" t="n">
        <v>144.24</v>
      </c>
      <c r="AE40" s="40" t="n">
        <v>155.09</v>
      </c>
      <c r="AF40" s="40" t="n">
        <v>66.69</v>
      </c>
      <c r="AG40" s="40" t="n">
        <v>214.88</v>
      </c>
      <c r="AH40" s="13" t="n">
        <f aca="false">(U40+AH$4*(Resumo!$C$6+Resumo!$C$7+Resumo!$C$8)+Resumo!$C$10*CEILING(AH$3/100,1)+Resumo!$C$9+Resumo!$C$13+Resumo!$C$14*CEILING(AH$3,1))*(1+Resumo!$C$11)-(AH$4*(Resumo!$B$6+Resumo!$B$7)+Resumo!$B$9+Resumo!$B$10*CEILING(AH$3/100,1)+(Resumo!$B$12+Resumo!$B$14)*CEILING(AH$3,1))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0" s="13" t="n">
        <f aca="false">(V40+AI$4*(Resumo!$C$6+Resumo!$C$7+Resumo!$C$8)+Resumo!$C$10*CEILING(AI$3/100,1)+Resumo!$C$9+Resumo!$C$13+Resumo!$C$14*CEILING(AI$3,1))*(1+Resumo!$C$11)-(AI$4*(Resumo!$B$6+Resumo!$B$7)+Resumo!$B$9+Resumo!$B$10*CEILING(AI$3/100,1)+(Resumo!$B$12+Resumo!$B$14)*CEILING(AI$3,1))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0" s="13" t="n">
        <f aca="false">(W40+AJ$4*(Resumo!$C$6+Resumo!$C$7+Resumo!$C$8)+Resumo!$C$10*CEILING(AJ$3/100,1)+Resumo!$C$9+Resumo!$C$13+Resumo!$C$14*CEILING(AJ$3,1))*(1+Resumo!$C$11)-(AJ$4*(Resumo!$B$6+Resumo!$B$7)+Resumo!$B$9+Resumo!$B$10*CEILING(AJ$3/100,1)+(Resumo!$B$12+Resumo!$B$14)*CEILING(AJ$3,1))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0" s="13" t="n">
        <f aca="false">(X40+AK$4*(Resumo!$C$6+Resumo!$C$7+Resumo!$C$8)+Resumo!$C$10*CEILING(AK$3/100,1)+Resumo!$C$9+Resumo!$C$13+Resumo!$C$14*CEILING(AK$3,1))*(1+Resumo!$C$11)-(AK$4*(Resumo!$B$6+Resumo!$B$7)+Resumo!$B$9+Resumo!$B$10*CEILING(AK$3/100,1)+(Resumo!$B$12+Resumo!$B$14)*CEILING(AK$3,1))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0" s="13" t="n">
        <f aca="false">(Y40+AL$4*(Resumo!$C$6+Resumo!$C$7+Resumo!$C$8)+Resumo!$C$10*CEILING(AL$3/100,1)+Resumo!$C$9+Resumo!$C$13+Resumo!$C$14*CEILING(AL$3,1))*(1+Resumo!$C$11)-(AL$4*(Resumo!$B$6+Resumo!$B$7)+Resumo!$B$9+Resumo!$B$10*CEILING(AL$3/100,1)+(Resumo!$B$12+Resumo!$B$14)*CEILING(AL$3,1))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0" s="13" t="n">
        <f aca="false">(Z40+AM$4*(Resumo!$C$6+Resumo!$C$7+Resumo!$C$8)+Resumo!$C$10*CEILING(AM$3/100,1)+Resumo!$C$9+Resumo!$C$13+Resumo!$C$14*CEILING(AM$3,1))*(1+Resumo!$C$11)-(AM$4*(Resumo!$B$6+Resumo!$B$7)+Resumo!$B$9+Resumo!$B$10*CEILING(AM$3/100,1)+(Resumo!$B$12+Resumo!$B$14)*CEILING(AM$3,1))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0" s="13" t="n">
        <f aca="false">(AA40+AN$4*(Resumo!$C$6+Resumo!$C$7+Resumo!$C$8)+Resumo!$C$10*CEILING(AN$3/100,1)+Resumo!$C$9+Resumo!$C$13+Resumo!$C$14*CEILING(AN$3,1))*(1+Resumo!$C$11)-(AN$4*(Resumo!$B$6+Resumo!$B$7)+Resumo!$B$9+Resumo!$B$10*CEILING(AN$3/100,1)+(Resumo!$B$12+Resumo!$B$14)*CEILING(AN$3,1))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0" s="13" t="n">
        <f aca="false">(AB40+AO$4*(Resumo!$C$6+Resumo!$C$7+Resumo!$C$8)+Resumo!$C$10*CEILING(AO$3/100,1)+Resumo!$C$9+Resumo!$C$13+Resumo!$C$14*CEILING(AO$3,1))*(1+Resumo!$C$11)-(AO$4*(Resumo!$B$6+Resumo!$B$7)+Resumo!$B$9+Resumo!$B$10*CEILING(AO$3/100,1)+(Resumo!$B$12+Resumo!$B$14)*CEILING(AO$3,1))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0" s="13" t="n">
        <f aca="false">(AC40+AP$4*(Resumo!$C$6+Resumo!$C$7+Resumo!$C$8)+Resumo!$C$10*CEILING(AP$3/100,1)+Resumo!$C$9+Resumo!$C$13+Resumo!$C$14*CEILING(AP$3,1))*(1+Resumo!$C$11)-(AP$4*(Resumo!$B$6+Resumo!$B$7)+Resumo!$B$9+Resumo!$B$10*CEILING(AP$3/100,1)+(Resumo!$B$12+Resumo!$B$14)*CEILING(AP$3,1))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0" s="13" t="n">
        <f aca="false">(AD40+AQ$4*(Resumo!$C$6+Resumo!$C$7+Resumo!$C$8)+Resumo!$C$10*CEILING(AQ$3/100,1)+Resumo!$C$9+Resumo!$C$13+Resumo!$C$14*CEILING(AQ$3,1))*(1+Resumo!$C$11)-(AQ$4*(Resumo!$B$6+Resumo!$B$7)+Resumo!$B$9+Resumo!$B$10*CEILING(AQ$3/100,1)+(Resumo!$B$12+Resumo!$B$14)*CEILING(AQ$3,1))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0" s="13" t="n">
        <f aca="false">(AE40+AR$4*(Resumo!$C$6+Resumo!$C$7+Resumo!$C$8)+Resumo!$C$10*CEILING(AR$3/100,1)+Resumo!$C$9+Resumo!$C$13+Resumo!$C$14*CEILING(AR$3,1))*(1+Resumo!$C$11)-(AR$4*(Resumo!$B$6+Resumo!$B$7)+Resumo!$B$9+Resumo!$B$10*CEILING(AR$3/100,1)+(Resumo!$B$12+Resumo!$B$14)*CEILING(AR$3,1))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0" s="13" t="n">
        <f aca="false">(AF40+AS$4*(Resumo!$C$6+Resumo!$C$7+Resumo!$C$8)+Resumo!$C$10*CEILING(AS$3/100,1)+Resumo!$C$9+Resumo!$C$13+Resumo!$C$14*CEILING(AS$3,1))*(1+Resumo!$C$11)-(AS$4*(Resumo!$B$6+Resumo!$B$7)+Resumo!$B$9+Resumo!$B$10*CEILING(AS$3/100,1)+(Resumo!$B$12+Resumo!$B$14)*CEILING(AS$3,1))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0" s="13" t="n">
        <f aca="false">(AG40+AT$4*(Resumo!$C$6+Resumo!$C$7+Resumo!$C$8)+Resumo!$C$10*CEILING(AT$3/100,1)+Resumo!$C$9+Resumo!$C$13+Resumo!$C$14*CEILING(AT$3,1))*(1+Resumo!$C$11)-(AT$4*(Resumo!$B$6+Resumo!$B$7)+Resumo!$B$9+Resumo!$B$10*CEILING(AT$3/100,1)+(Resumo!$B$12+Resumo!$B$14)*CEILING(AT$3,1))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0" s="44" t="n">
        <f aca="false">1-AH40/H40</f>
        <v>0.284448775984873</v>
      </c>
      <c r="AV40" s="44" t="n">
        <f aca="false">1-AI40/I40</f>
        <v>0.324530396086195</v>
      </c>
      <c r="AW40" s="44" t="n">
        <f aca="false">1-AJ40/J40</f>
        <v>0.337931079721616</v>
      </c>
      <c r="AX40" s="44" t="n">
        <f aca="false">1-AK40/K40</f>
        <v>0.318510239438779</v>
      </c>
      <c r="AY40" s="44" t="n">
        <f aca="false">1-AL40/L40</f>
        <v>0.365701375691832</v>
      </c>
      <c r="AZ40" s="44" t="n">
        <f aca="false">1-AM40/M40</f>
        <v>0.420709229511831</v>
      </c>
      <c r="BA40" s="44" t="n">
        <f aca="false">1-AN40/N40</f>
        <v>0.350695095008868</v>
      </c>
      <c r="BB40" s="44" t="n">
        <f aca="false">1-AO40/O40</f>
        <v>0.419232633445788</v>
      </c>
      <c r="BC40" s="44" t="n">
        <f aca="false">1-AP40/P40</f>
        <v>0.493280443868681</v>
      </c>
      <c r="BD40" s="44" t="n">
        <f aca="false">1-AQ40/Q40</f>
        <v>0.455794679894486</v>
      </c>
      <c r="BE40" s="44" t="n">
        <f aca="false">1-AR40/R40</f>
        <v>0.489018797268033</v>
      </c>
      <c r="BF40" s="44" t="n">
        <f aca="false">1-AS40/S40</f>
        <v>0.820478024467603</v>
      </c>
      <c r="BG40" s="44" t="n">
        <f aca="false">1-AT40/T40</f>
        <v>0.528263860444042</v>
      </c>
    </row>
    <row r="41" customFormat="false" ht="15" hidden="false" customHeight="false" outlineLevel="0" collapsed="false">
      <c r="A41" s="10" t="s">
        <v>261</v>
      </c>
      <c r="B41" s="10" t="s">
        <v>289</v>
      </c>
      <c r="C41" s="58" t="n">
        <v>26950000</v>
      </c>
      <c r="D41" s="58" t="n">
        <v>26999999</v>
      </c>
      <c r="E41" s="10" t="s">
        <v>24</v>
      </c>
      <c r="F41" s="10" t="s">
        <v>266</v>
      </c>
      <c r="G41" s="10" t="n">
        <f aca="false">COUNTIFS(Pedidos!$C$2:$C$2224,"&gt;="&amp;C41,Pedidos!$C$2:$C$2224,"&lt;="&amp;D41)</f>
        <v>1</v>
      </c>
      <c r="H41" s="40" t="n">
        <v>77.35</v>
      </c>
      <c r="I41" s="40" t="n">
        <v>108.83</v>
      </c>
      <c r="J41" s="40" t="n">
        <v>124.38</v>
      </c>
      <c r="K41" s="40" t="n">
        <v>124.38</v>
      </c>
      <c r="L41" s="40" t="n">
        <v>142.32</v>
      </c>
      <c r="M41" s="40" t="n">
        <v>166.05</v>
      </c>
      <c r="N41" s="40" t="n">
        <v>157.88</v>
      </c>
      <c r="O41" s="40" t="n">
        <v>197.35</v>
      </c>
      <c r="P41" s="40" t="n">
        <v>236.82</v>
      </c>
      <c r="Q41" s="40" t="n">
        <v>264.84</v>
      </c>
      <c r="R41" s="40" t="n">
        <v>300.15</v>
      </c>
      <c r="S41" s="40" t="n">
        <v>353.12</v>
      </c>
      <c r="T41" s="40" t="n">
        <v>441.4</v>
      </c>
      <c r="U41" s="40" t="n">
        <v>46.95</v>
      </c>
      <c r="V41" s="40" t="n">
        <v>65.63</v>
      </c>
      <c r="W41" s="40" t="n">
        <v>74.97</v>
      </c>
      <c r="X41" s="40" t="n">
        <v>77.7</v>
      </c>
      <c r="Y41" s="40" t="n">
        <v>83.58</v>
      </c>
      <c r="Z41" s="40" t="n">
        <v>90.2</v>
      </c>
      <c r="AA41" s="40" t="n">
        <v>96.77</v>
      </c>
      <c r="AB41" s="40" t="n">
        <v>109.63</v>
      </c>
      <c r="AC41" s="40" t="n">
        <v>119.5</v>
      </c>
      <c r="AD41" s="40" t="n">
        <v>144.24</v>
      </c>
      <c r="AE41" s="40" t="n">
        <v>155.09</v>
      </c>
      <c r="AF41" s="40" t="n">
        <v>66.69</v>
      </c>
      <c r="AG41" s="40" t="n">
        <v>214.88</v>
      </c>
      <c r="AH41" s="13" t="n">
        <f aca="false">(U41+AH$4*(Resumo!$C$6+Resumo!$C$7+Resumo!$C$8)+Resumo!$C$10*CEILING(AH$3/100,1)+Resumo!$C$9+Resumo!$C$13+Resumo!$C$14*CEILING(AH$3,1))*(1+Resumo!$C$11)-(AH$4*(Resumo!$B$6+Resumo!$B$7)+Resumo!$B$9+Resumo!$B$10*CEILING(AH$3/100,1)+(Resumo!$B$12+Resumo!$B$14)*CEILING(AH$3,1))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1" s="13" t="n">
        <f aca="false">(V41+AI$4*(Resumo!$C$6+Resumo!$C$7+Resumo!$C$8)+Resumo!$C$10*CEILING(AI$3/100,1)+Resumo!$C$9+Resumo!$C$13+Resumo!$C$14*CEILING(AI$3,1))*(1+Resumo!$C$11)-(AI$4*(Resumo!$B$6+Resumo!$B$7)+Resumo!$B$9+Resumo!$B$10*CEILING(AI$3/100,1)+(Resumo!$B$12+Resumo!$B$14)*CEILING(AI$3,1))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1" s="13" t="n">
        <f aca="false">(W41+AJ$4*(Resumo!$C$6+Resumo!$C$7+Resumo!$C$8)+Resumo!$C$10*CEILING(AJ$3/100,1)+Resumo!$C$9+Resumo!$C$13+Resumo!$C$14*CEILING(AJ$3,1))*(1+Resumo!$C$11)-(AJ$4*(Resumo!$B$6+Resumo!$B$7)+Resumo!$B$9+Resumo!$B$10*CEILING(AJ$3/100,1)+(Resumo!$B$12+Resumo!$B$14)*CEILING(AJ$3,1))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1" s="13" t="n">
        <f aca="false">(X41+AK$4*(Resumo!$C$6+Resumo!$C$7+Resumo!$C$8)+Resumo!$C$10*CEILING(AK$3/100,1)+Resumo!$C$9+Resumo!$C$13+Resumo!$C$14*CEILING(AK$3,1))*(1+Resumo!$C$11)-(AK$4*(Resumo!$B$6+Resumo!$B$7)+Resumo!$B$9+Resumo!$B$10*CEILING(AK$3/100,1)+(Resumo!$B$12+Resumo!$B$14)*CEILING(AK$3,1))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1" s="13" t="n">
        <f aca="false">(Y41+AL$4*(Resumo!$C$6+Resumo!$C$7+Resumo!$C$8)+Resumo!$C$10*CEILING(AL$3/100,1)+Resumo!$C$9+Resumo!$C$13+Resumo!$C$14*CEILING(AL$3,1))*(1+Resumo!$C$11)-(AL$4*(Resumo!$B$6+Resumo!$B$7)+Resumo!$B$9+Resumo!$B$10*CEILING(AL$3/100,1)+(Resumo!$B$12+Resumo!$B$14)*CEILING(AL$3,1))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1" s="13" t="n">
        <f aca="false">(Z41+AM$4*(Resumo!$C$6+Resumo!$C$7+Resumo!$C$8)+Resumo!$C$10*CEILING(AM$3/100,1)+Resumo!$C$9+Resumo!$C$13+Resumo!$C$14*CEILING(AM$3,1))*(1+Resumo!$C$11)-(AM$4*(Resumo!$B$6+Resumo!$B$7)+Resumo!$B$9+Resumo!$B$10*CEILING(AM$3/100,1)+(Resumo!$B$12+Resumo!$B$14)*CEILING(AM$3,1))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1" s="13" t="n">
        <f aca="false">(AA41+AN$4*(Resumo!$C$6+Resumo!$C$7+Resumo!$C$8)+Resumo!$C$10*CEILING(AN$3/100,1)+Resumo!$C$9+Resumo!$C$13+Resumo!$C$14*CEILING(AN$3,1))*(1+Resumo!$C$11)-(AN$4*(Resumo!$B$6+Resumo!$B$7)+Resumo!$B$9+Resumo!$B$10*CEILING(AN$3/100,1)+(Resumo!$B$12+Resumo!$B$14)*CEILING(AN$3,1))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1" s="13" t="n">
        <f aca="false">(AB41+AO$4*(Resumo!$C$6+Resumo!$C$7+Resumo!$C$8)+Resumo!$C$10*CEILING(AO$3/100,1)+Resumo!$C$9+Resumo!$C$13+Resumo!$C$14*CEILING(AO$3,1))*(1+Resumo!$C$11)-(AO$4*(Resumo!$B$6+Resumo!$B$7)+Resumo!$B$9+Resumo!$B$10*CEILING(AO$3/100,1)+(Resumo!$B$12+Resumo!$B$14)*CEILING(AO$3,1))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1" s="13" t="n">
        <f aca="false">(AC41+AP$4*(Resumo!$C$6+Resumo!$C$7+Resumo!$C$8)+Resumo!$C$10*CEILING(AP$3/100,1)+Resumo!$C$9+Resumo!$C$13+Resumo!$C$14*CEILING(AP$3,1))*(1+Resumo!$C$11)-(AP$4*(Resumo!$B$6+Resumo!$B$7)+Resumo!$B$9+Resumo!$B$10*CEILING(AP$3/100,1)+(Resumo!$B$12+Resumo!$B$14)*CEILING(AP$3,1))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1" s="13" t="n">
        <f aca="false">(AD41+AQ$4*(Resumo!$C$6+Resumo!$C$7+Resumo!$C$8)+Resumo!$C$10*CEILING(AQ$3/100,1)+Resumo!$C$9+Resumo!$C$13+Resumo!$C$14*CEILING(AQ$3,1))*(1+Resumo!$C$11)-(AQ$4*(Resumo!$B$6+Resumo!$B$7)+Resumo!$B$9+Resumo!$B$10*CEILING(AQ$3/100,1)+(Resumo!$B$12+Resumo!$B$14)*CEILING(AQ$3,1))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1" s="13" t="n">
        <f aca="false">(AE41+AR$4*(Resumo!$C$6+Resumo!$C$7+Resumo!$C$8)+Resumo!$C$10*CEILING(AR$3/100,1)+Resumo!$C$9+Resumo!$C$13+Resumo!$C$14*CEILING(AR$3,1))*(1+Resumo!$C$11)-(AR$4*(Resumo!$B$6+Resumo!$B$7)+Resumo!$B$9+Resumo!$B$10*CEILING(AR$3/100,1)+(Resumo!$B$12+Resumo!$B$14)*CEILING(AR$3,1))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1" s="13" t="n">
        <f aca="false">(AF41+AS$4*(Resumo!$C$6+Resumo!$C$7+Resumo!$C$8)+Resumo!$C$10*CEILING(AS$3/100,1)+Resumo!$C$9+Resumo!$C$13+Resumo!$C$14*CEILING(AS$3,1))*(1+Resumo!$C$11)-(AS$4*(Resumo!$B$6+Resumo!$B$7)+Resumo!$B$9+Resumo!$B$10*CEILING(AS$3/100,1)+(Resumo!$B$12+Resumo!$B$14)*CEILING(AS$3,1))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1" s="13" t="n">
        <f aca="false">(AG41+AT$4*(Resumo!$C$6+Resumo!$C$7+Resumo!$C$8)+Resumo!$C$10*CEILING(AT$3/100,1)+Resumo!$C$9+Resumo!$C$13+Resumo!$C$14*CEILING(AT$3,1))*(1+Resumo!$C$11)-(AT$4*(Resumo!$B$6+Resumo!$B$7)+Resumo!$B$9+Resumo!$B$10*CEILING(AT$3/100,1)+(Resumo!$B$12+Resumo!$B$14)*CEILING(AT$3,1))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1" s="44" t="n">
        <f aca="false">1-AH41/H41</f>
        <v>0.284448775984873</v>
      </c>
      <c r="AV41" s="44" t="n">
        <f aca="false">1-AI41/I41</f>
        <v>0.324530396086195</v>
      </c>
      <c r="AW41" s="44" t="n">
        <f aca="false">1-AJ41/J41</f>
        <v>0.337931079721616</v>
      </c>
      <c r="AX41" s="44" t="n">
        <f aca="false">1-AK41/K41</f>
        <v>0.318510239438779</v>
      </c>
      <c r="AY41" s="44" t="n">
        <f aca="false">1-AL41/L41</f>
        <v>0.365701375691832</v>
      </c>
      <c r="AZ41" s="44" t="n">
        <f aca="false">1-AM41/M41</f>
        <v>0.420709229511831</v>
      </c>
      <c r="BA41" s="44" t="n">
        <f aca="false">1-AN41/N41</f>
        <v>0.350695095008868</v>
      </c>
      <c r="BB41" s="44" t="n">
        <f aca="false">1-AO41/O41</f>
        <v>0.419232633445788</v>
      </c>
      <c r="BC41" s="44" t="n">
        <f aca="false">1-AP41/P41</f>
        <v>0.493280443868681</v>
      </c>
      <c r="BD41" s="44" t="n">
        <f aca="false">1-AQ41/Q41</f>
        <v>0.455794679894486</v>
      </c>
      <c r="BE41" s="44" t="n">
        <f aca="false">1-AR41/R41</f>
        <v>0.489018797268033</v>
      </c>
      <c r="BF41" s="44" t="n">
        <f aca="false">1-AS41/S41</f>
        <v>0.820478024467603</v>
      </c>
      <c r="BG41" s="44" t="n">
        <f aca="false">1-AT41/T41</f>
        <v>0.528263860444042</v>
      </c>
    </row>
    <row r="42" customFormat="false" ht="15" hidden="false" customHeight="false" outlineLevel="0" collapsed="false">
      <c r="A42" s="10" t="s">
        <v>261</v>
      </c>
      <c r="B42" s="10" t="s">
        <v>290</v>
      </c>
      <c r="C42" s="58" t="n">
        <v>27000000</v>
      </c>
      <c r="D42" s="58" t="n">
        <v>27174999</v>
      </c>
      <c r="E42" s="10" t="s">
        <v>24</v>
      </c>
      <c r="F42" s="10" t="s">
        <v>266</v>
      </c>
      <c r="G42" s="10" t="n">
        <f aca="false">COUNTIFS(Pedidos!$C$2:$C$2224,"&gt;="&amp;C42,Pedidos!$C$2:$C$2224,"&lt;="&amp;D42)</f>
        <v>9</v>
      </c>
      <c r="H42" s="40" t="n">
        <v>77.35</v>
      </c>
      <c r="I42" s="40" t="n">
        <v>108.83</v>
      </c>
      <c r="J42" s="40" t="n">
        <v>124.38</v>
      </c>
      <c r="K42" s="40" t="n">
        <v>124.38</v>
      </c>
      <c r="L42" s="40" t="n">
        <v>142.32</v>
      </c>
      <c r="M42" s="40" t="n">
        <v>166.05</v>
      </c>
      <c r="N42" s="40" t="n">
        <v>157.88</v>
      </c>
      <c r="O42" s="40" t="n">
        <v>197.35</v>
      </c>
      <c r="P42" s="40" t="n">
        <v>236.82</v>
      </c>
      <c r="Q42" s="40" t="n">
        <v>264.84</v>
      </c>
      <c r="R42" s="40" t="n">
        <v>300.15</v>
      </c>
      <c r="S42" s="40" t="n">
        <v>353.12</v>
      </c>
      <c r="T42" s="40" t="n">
        <v>441.4</v>
      </c>
      <c r="U42" s="40" t="n">
        <v>46.95</v>
      </c>
      <c r="V42" s="40" t="n">
        <v>65.63</v>
      </c>
      <c r="W42" s="40" t="n">
        <v>74.97</v>
      </c>
      <c r="X42" s="40" t="n">
        <v>77.7</v>
      </c>
      <c r="Y42" s="40" t="n">
        <v>83.58</v>
      </c>
      <c r="Z42" s="40" t="n">
        <v>90.2</v>
      </c>
      <c r="AA42" s="40" t="n">
        <v>96.77</v>
      </c>
      <c r="AB42" s="40" t="n">
        <v>109.63</v>
      </c>
      <c r="AC42" s="40" t="n">
        <v>119.5</v>
      </c>
      <c r="AD42" s="40" t="n">
        <v>144.24</v>
      </c>
      <c r="AE42" s="40" t="n">
        <v>155.09</v>
      </c>
      <c r="AF42" s="40" t="n">
        <v>66.69</v>
      </c>
      <c r="AG42" s="40" t="n">
        <v>214.88</v>
      </c>
      <c r="AH42" s="13" t="n">
        <f aca="false">(U42+AH$4*(Resumo!$C$6+Resumo!$C$7+Resumo!$C$8)+Resumo!$C$10*CEILING(AH$3/100,1)+Resumo!$C$9+Resumo!$C$13+Resumo!$C$14*CEILING(AH$3,1))*(1+Resumo!$C$11)-(AH$4*(Resumo!$B$6+Resumo!$B$7)+Resumo!$B$9+Resumo!$B$10*CEILING(AH$3/100,1)+(Resumo!$B$12+Resumo!$B$14)*CEILING(AH$3,1))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2" s="13" t="n">
        <f aca="false">(V42+AI$4*(Resumo!$C$6+Resumo!$C$7+Resumo!$C$8)+Resumo!$C$10*CEILING(AI$3/100,1)+Resumo!$C$9+Resumo!$C$13+Resumo!$C$14*CEILING(AI$3,1))*(1+Resumo!$C$11)-(AI$4*(Resumo!$B$6+Resumo!$B$7)+Resumo!$B$9+Resumo!$B$10*CEILING(AI$3/100,1)+(Resumo!$B$12+Resumo!$B$14)*CEILING(AI$3,1))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2" s="13" t="n">
        <f aca="false">(W42+AJ$4*(Resumo!$C$6+Resumo!$C$7+Resumo!$C$8)+Resumo!$C$10*CEILING(AJ$3/100,1)+Resumo!$C$9+Resumo!$C$13+Resumo!$C$14*CEILING(AJ$3,1))*(1+Resumo!$C$11)-(AJ$4*(Resumo!$B$6+Resumo!$B$7)+Resumo!$B$9+Resumo!$B$10*CEILING(AJ$3/100,1)+(Resumo!$B$12+Resumo!$B$14)*CEILING(AJ$3,1))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2" s="13" t="n">
        <f aca="false">(X42+AK$4*(Resumo!$C$6+Resumo!$C$7+Resumo!$C$8)+Resumo!$C$10*CEILING(AK$3/100,1)+Resumo!$C$9+Resumo!$C$13+Resumo!$C$14*CEILING(AK$3,1))*(1+Resumo!$C$11)-(AK$4*(Resumo!$B$6+Resumo!$B$7)+Resumo!$B$9+Resumo!$B$10*CEILING(AK$3/100,1)+(Resumo!$B$12+Resumo!$B$14)*CEILING(AK$3,1))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2" s="13" t="n">
        <f aca="false">(Y42+AL$4*(Resumo!$C$6+Resumo!$C$7+Resumo!$C$8)+Resumo!$C$10*CEILING(AL$3/100,1)+Resumo!$C$9+Resumo!$C$13+Resumo!$C$14*CEILING(AL$3,1))*(1+Resumo!$C$11)-(AL$4*(Resumo!$B$6+Resumo!$B$7)+Resumo!$B$9+Resumo!$B$10*CEILING(AL$3/100,1)+(Resumo!$B$12+Resumo!$B$14)*CEILING(AL$3,1))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2" s="13" t="n">
        <f aca="false">(Z42+AM$4*(Resumo!$C$6+Resumo!$C$7+Resumo!$C$8)+Resumo!$C$10*CEILING(AM$3/100,1)+Resumo!$C$9+Resumo!$C$13+Resumo!$C$14*CEILING(AM$3,1))*(1+Resumo!$C$11)-(AM$4*(Resumo!$B$6+Resumo!$B$7)+Resumo!$B$9+Resumo!$B$10*CEILING(AM$3/100,1)+(Resumo!$B$12+Resumo!$B$14)*CEILING(AM$3,1))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2" s="13" t="n">
        <f aca="false">(AA42+AN$4*(Resumo!$C$6+Resumo!$C$7+Resumo!$C$8)+Resumo!$C$10*CEILING(AN$3/100,1)+Resumo!$C$9+Resumo!$C$13+Resumo!$C$14*CEILING(AN$3,1))*(1+Resumo!$C$11)-(AN$4*(Resumo!$B$6+Resumo!$B$7)+Resumo!$B$9+Resumo!$B$10*CEILING(AN$3/100,1)+(Resumo!$B$12+Resumo!$B$14)*CEILING(AN$3,1))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2" s="13" t="n">
        <f aca="false">(AB42+AO$4*(Resumo!$C$6+Resumo!$C$7+Resumo!$C$8)+Resumo!$C$10*CEILING(AO$3/100,1)+Resumo!$C$9+Resumo!$C$13+Resumo!$C$14*CEILING(AO$3,1))*(1+Resumo!$C$11)-(AO$4*(Resumo!$B$6+Resumo!$B$7)+Resumo!$B$9+Resumo!$B$10*CEILING(AO$3/100,1)+(Resumo!$B$12+Resumo!$B$14)*CEILING(AO$3,1))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2" s="13" t="n">
        <f aca="false">(AC42+AP$4*(Resumo!$C$6+Resumo!$C$7+Resumo!$C$8)+Resumo!$C$10*CEILING(AP$3/100,1)+Resumo!$C$9+Resumo!$C$13+Resumo!$C$14*CEILING(AP$3,1))*(1+Resumo!$C$11)-(AP$4*(Resumo!$B$6+Resumo!$B$7)+Resumo!$B$9+Resumo!$B$10*CEILING(AP$3/100,1)+(Resumo!$B$12+Resumo!$B$14)*CEILING(AP$3,1))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2" s="13" t="n">
        <f aca="false">(AD42+AQ$4*(Resumo!$C$6+Resumo!$C$7+Resumo!$C$8)+Resumo!$C$10*CEILING(AQ$3/100,1)+Resumo!$C$9+Resumo!$C$13+Resumo!$C$14*CEILING(AQ$3,1))*(1+Resumo!$C$11)-(AQ$4*(Resumo!$B$6+Resumo!$B$7)+Resumo!$B$9+Resumo!$B$10*CEILING(AQ$3/100,1)+(Resumo!$B$12+Resumo!$B$14)*CEILING(AQ$3,1))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2" s="13" t="n">
        <f aca="false">(AE42+AR$4*(Resumo!$C$6+Resumo!$C$7+Resumo!$C$8)+Resumo!$C$10*CEILING(AR$3/100,1)+Resumo!$C$9+Resumo!$C$13+Resumo!$C$14*CEILING(AR$3,1))*(1+Resumo!$C$11)-(AR$4*(Resumo!$B$6+Resumo!$B$7)+Resumo!$B$9+Resumo!$B$10*CEILING(AR$3/100,1)+(Resumo!$B$12+Resumo!$B$14)*CEILING(AR$3,1))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2" s="13" t="n">
        <f aca="false">(AF42+AS$4*(Resumo!$C$6+Resumo!$C$7+Resumo!$C$8)+Resumo!$C$10*CEILING(AS$3/100,1)+Resumo!$C$9+Resumo!$C$13+Resumo!$C$14*CEILING(AS$3,1))*(1+Resumo!$C$11)-(AS$4*(Resumo!$B$6+Resumo!$B$7)+Resumo!$B$9+Resumo!$B$10*CEILING(AS$3/100,1)+(Resumo!$B$12+Resumo!$B$14)*CEILING(AS$3,1))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2" s="13" t="n">
        <f aca="false">(AG42+AT$4*(Resumo!$C$6+Resumo!$C$7+Resumo!$C$8)+Resumo!$C$10*CEILING(AT$3/100,1)+Resumo!$C$9+Resumo!$C$13+Resumo!$C$14*CEILING(AT$3,1))*(1+Resumo!$C$11)-(AT$4*(Resumo!$B$6+Resumo!$B$7)+Resumo!$B$9+Resumo!$B$10*CEILING(AT$3/100,1)+(Resumo!$B$12+Resumo!$B$14)*CEILING(AT$3,1))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2" s="44" t="n">
        <f aca="false">1-AH42/H42</f>
        <v>0.284448775984873</v>
      </c>
      <c r="AV42" s="44" t="n">
        <f aca="false">1-AI42/I42</f>
        <v>0.324530396086195</v>
      </c>
      <c r="AW42" s="44" t="n">
        <f aca="false">1-AJ42/J42</f>
        <v>0.337931079721616</v>
      </c>
      <c r="AX42" s="44" t="n">
        <f aca="false">1-AK42/K42</f>
        <v>0.318510239438779</v>
      </c>
      <c r="AY42" s="44" t="n">
        <f aca="false">1-AL42/L42</f>
        <v>0.365701375691832</v>
      </c>
      <c r="AZ42" s="44" t="n">
        <f aca="false">1-AM42/M42</f>
        <v>0.420709229511831</v>
      </c>
      <c r="BA42" s="44" t="n">
        <f aca="false">1-AN42/N42</f>
        <v>0.350695095008868</v>
      </c>
      <c r="BB42" s="44" t="n">
        <f aca="false">1-AO42/O42</f>
        <v>0.419232633445788</v>
      </c>
      <c r="BC42" s="44" t="n">
        <f aca="false">1-AP42/P42</f>
        <v>0.493280443868681</v>
      </c>
      <c r="BD42" s="44" t="n">
        <f aca="false">1-AQ42/Q42</f>
        <v>0.455794679894486</v>
      </c>
      <c r="BE42" s="44" t="n">
        <f aca="false">1-AR42/R42</f>
        <v>0.489018797268033</v>
      </c>
      <c r="BF42" s="44" t="n">
        <f aca="false">1-AS42/S42</f>
        <v>0.820478024467603</v>
      </c>
      <c r="BG42" s="44" t="n">
        <f aca="false">1-AT42/T42</f>
        <v>0.528263860444042</v>
      </c>
    </row>
    <row r="43" customFormat="false" ht="15" hidden="false" customHeight="false" outlineLevel="0" collapsed="false">
      <c r="A43" s="10" t="s">
        <v>261</v>
      </c>
      <c r="B43" s="10" t="s">
        <v>291</v>
      </c>
      <c r="C43" s="58" t="n">
        <v>27175000</v>
      </c>
      <c r="D43" s="58" t="n">
        <v>27196999</v>
      </c>
      <c r="E43" s="10" t="s">
        <v>24</v>
      </c>
      <c r="F43" s="10" t="s">
        <v>266</v>
      </c>
      <c r="G43" s="10" t="n">
        <f aca="false">COUNTIFS(Pedidos!$C$2:$C$2224,"&gt;="&amp;C43,Pedidos!$C$2:$C$2224,"&lt;="&amp;D43)</f>
        <v>2</v>
      </c>
      <c r="H43" s="40" t="n">
        <v>77.35</v>
      </c>
      <c r="I43" s="40" t="n">
        <v>108.83</v>
      </c>
      <c r="J43" s="40" t="n">
        <v>124.38</v>
      </c>
      <c r="K43" s="40" t="n">
        <v>124.38</v>
      </c>
      <c r="L43" s="40" t="n">
        <v>142.32</v>
      </c>
      <c r="M43" s="40" t="n">
        <v>166.05</v>
      </c>
      <c r="N43" s="40" t="n">
        <v>157.88</v>
      </c>
      <c r="O43" s="40" t="n">
        <v>197.35</v>
      </c>
      <c r="P43" s="40" t="n">
        <v>236.82</v>
      </c>
      <c r="Q43" s="40" t="n">
        <v>264.84</v>
      </c>
      <c r="R43" s="40" t="n">
        <v>300.15</v>
      </c>
      <c r="S43" s="40" t="n">
        <v>353.12</v>
      </c>
      <c r="T43" s="40" t="n">
        <v>441.4</v>
      </c>
      <c r="U43" s="40" t="n">
        <v>46.95</v>
      </c>
      <c r="V43" s="40" t="n">
        <v>65.63</v>
      </c>
      <c r="W43" s="40" t="n">
        <v>74.97</v>
      </c>
      <c r="X43" s="40" t="n">
        <v>77.7</v>
      </c>
      <c r="Y43" s="40" t="n">
        <v>83.58</v>
      </c>
      <c r="Z43" s="40" t="n">
        <v>90.2</v>
      </c>
      <c r="AA43" s="40" t="n">
        <v>96.77</v>
      </c>
      <c r="AB43" s="40" t="n">
        <v>109.63</v>
      </c>
      <c r="AC43" s="40" t="n">
        <v>119.5</v>
      </c>
      <c r="AD43" s="40" t="n">
        <v>144.24</v>
      </c>
      <c r="AE43" s="40" t="n">
        <v>155.09</v>
      </c>
      <c r="AF43" s="40" t="n">
        <v>66.69</v>
      </c>
      <c r="AG43" s="40" t="n">
        <v>214.88</v>
      </c>
      <c r="AH43" s="13" t="n">
        <f aca="false">(U43+AH$4*(Resumo!$C$6+Resumo!$C$7+Resumo!$C$8)+Resumo!$C$10*CEILING(AH$3/100,1)+Resumo!$C$9+Resumo!$C$13+Resumo!$C$14*CEILING(AH$3,1))*(1+Resumo!$C$11)-(AH$4*(Resumo!$B$6+Resumo!$B$7)+Resumo!$B$9+Resumo!$B$10*CEILING(AH$3/100,1)+(Resumo!$B$12+Resumo!$B$14)*CEILING(AH$3,1))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3" s="13" t="n">
        <f aca="false">(V43+AI$4*(Resumo!$C$6+Resumo!$C$7+Resumo!$C$8)+Resumo!$C$10*CEILING(AI$3/100,1)+Resumo!$C$9+Resumo!$C$13+Resumo!$C$14*CEILING(AI$3,1))*(1+Resumo!$C$11)-(AI$4*(Resumo!$B$6+Resumo!$B$7)+Resumo!$B$9+Resumo!$B$10*CEILING(AI$3/100,1)+(Resumo!$B$12+Resumo!$B$14)*CEILING(AI$3,1))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3" s="13" t="n">
        <f aca="false">(W43+AJ$4*(Resumo!$C$6+Resumo!$C$7+Resumo!$C$8)+Resumo!$C$10*CEILING(AJ$3/100,1)+Resumo!$C$9+Resumo!$C$13+Resumo!$C$14*CEILING(AJ$3,1))*(1+Resumo!$C$11)-(AJ$4*(Resumo!$B$6+Resumo!$B$7)+Resumo!$B$9+Resumo!$B$10*CEILING(AJ$3/100,1)+(Resumo!$B$12+Resumo!$B$14)*CEILING(AJ$3,1))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3" s="13" t="n">
        <f aca="false">(X43+AK$4*(Resumo!$C$6+Resumo!$C$7+Resumo!$C$8)+Resumo!$C$10*CEILING(AK$3/100,1)+Resumo!$C$9+Resumo!$C$13+Resumo!$C$14*CEILING(AK$3,1))*(1+Resumo!$C$11)-(AK$4*(Resumo!$B$6+Resumo!$B$7)+Resumo!$B$9+Resumo!$B$10*CEILING(AK$3/100,1)+(Resumo!$B$12+Resumo!$B$14)*CEILING(AK$3,1))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3" s="13" t="n">
        <f aca="false">(Y43+AL$4*(Resumo!$C$6+Resumo!$C$7+Resumo!$C$8)+Resumo!$C$10*CEILING(AL$3/100,1)+Resumo!$C$9+Resumo!$C$13+Resumo!$C$14*CEILING(AL$3,1))*(1+Resumo!$C$11)-(AL$4*(Resumo!$B$6+Resumo!$B$7)+Resumo!$B$9+Resumo!$B$10*CEILING(AL$3/100,1)+(Resumo!$B$12+Resumo!$B$14)*CEILING(AL$3,1))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3" s="13" t="n">
        <f aca="false">(Z43+AM$4*(Resumo!$C$6+Resumo!$C$7+Resumo!$C$8)+Resumo!$C$10*CEILING(AM$3/100,1)+Resumo!$C$9+Resumo!$C$13+Resumo!$C$14*CEILING(AM$3,1))*(1+Resumo!$C$11)-(AM$4*(Resumo!$B$6+Resumo!$B$7)+Resumo!$B$9+Resumo!$B$10*CEILING(AM$3/100,1)+(Resumo!$B$12+Resumo!$B$14)*CEILING(AM$3,1))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3" s="13" t="n">
        <f aca="false">(AA43+AN$4*(Resumo!$C$6+Resumo!$C$7+Resumo!$C$8)+Resumo!$C$10*CEILING(AN$3/100,1)+Resumo!$C$9+Resumo!$C$13+Resumo!$C$14*CEILING(AN$3,1))*(1+Resumo!$C$11)-(AN$4*(Resumo!$B$6+Resumo!$B$7)+Resumo!$B$9+Resumo!$B$10*CEILING(AN$3/100,1)+(Resumo!$B$12+Resumo!$B$14)*CEILING(AN$3,1))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3" s="13" t="n">
        <f aca="false">(AB43+AO$4*(Resumo!$C$6+Resumo!$C$7+Resumo!$C$8)+Resumo!$C$10*CEILING(AO$3/100,1)+Resumo!$C$9+Resumo!$C$13+Resumo!$C$14*CEILING(AO$3,1))*(1+Resumo!$C$11)-(AO$4*(Resumo!$B$6+Resumo!$B$7)+Resumo!$B$9+Resumo!$B$10*CEILING(AO$3/100,1)+(Resumo!$B$12+Resumo!$B$14)*CEILING(AO$3,1))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3" s="13" t="n">
        <f aca="false">(AC43+AP$4*(Resumo!$C$6+Resumo!$C$7+Resumo!$C$8)+Resumo!$C$10*CEILING(AP$3/100,1)+Resumo!$C$9+Resumo!$C$13+Resumo!$C$14*CEILING(AP$3,1))*(1+Resumo!$C$11)-(AP$4*(Resumo!$B$6+Resumo!$B$7)+Resumo!$B$9+Resumo!$B$10*CEILING(AP$3/100,1)+(Resumo!$B$12+Resumo!$B$14)*CEILING(AP$3,1))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3" s="13" t="n">
        <f aca="false">(AD43+AQ$4*(Resumo!$C$6+Resumo!$C$7+Resumo!$C$8)+Resumo!$C$10*CEILING(AQ$3/100,1)+Resumo!$C$9+Resumo!$C$13+Resumo!$C$14*CEILING(AQ$3,1))*(1+Resumo!$C$11)-(AQ$4*(Resumo!$B$6+Resumo!$B$7)+Resumo!$B$9+Resumo!$B$10*CEILING(AQ$3/100,1)+(Resumo!$B$12+Resumo!$B$14)*CEILING(AQ$3,1))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3" s="13" t="n">
        <f aca="false">(AE43+AR$4*(Resumo!$C$6+Resumo!$C$7+Resumo!$C$8)+Resumo!$C$10*CEILING(AR$3/100,1)+Resumo!$C$9+Resumo!$C$13+Resumo!$C$14*CEILING(AR$3,1))*(1+Resumo!$C$11)-(AR$4*(Resumo!$B$6+Resumo!$B$7)+Resumo!$B$9+Resumo!$B$10*CEILING(AR$3/100,1)+(Resumo!$B$12+Resumo!$B$14)*CEILING(AR$3,1))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3" s="13" t="n">
        <f aca="false">(AF43+AS$4*(Resumo!$C$6+Resumo!$C$7+Resumo!$C$8)+Resumo!$C$10*CEILING(AS$3/100,1)+Resumo!$C$9+Resumo!$C$13+Resumo!$C$14*CEILING(AS$3,1))*(1+Resumo!$C$11)-(AS$4*(Resumo!$B$6+Resumo!$B$7)+Resumo!$B$9+Resumo!$B$10*CEILING(AS$3/100,1)+(Resumo!$B$12+Resumo!$B$14)*CEILING(AS$3,1))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3" s="13" t="n">
        <f aca="false">(AG43+AT$4*(Resumo!$C$6+Resumo!$C$7+Resumo!$C$8)+Resumo!$C$10*CEILING(AT$3/100,1)+Resumo!$C$9+Resumo!$C$13+Resumo!$C$14*CEILING(AT$3,1))*(1+Resumo!$C$11)-(AT$4*(Resumo!$B$6+Resumo!$B$7)+Resumo!$B$9+Resumo!$B$10*CEILING(AT$3/100,1)+(Resumo!$B$12+Resumo!$B$14)*CEILING(AT$3,1))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3" s="44" t="n">
        <f aca="false">1-AH43/H43</f>
        <v>0.284448775984873</v>
      </c>
      <c r="AV43" s="44" t="n">
        <f aca="false">1-AI43/I43</f>
        <v>0.324530396086195</v>
      </c>
      <c r="AW43" s="44" t="n">
        <f aca="false">1-AJ43/J43</f>
        <v>0.337931079721616</v>
      </c>
      <c r="AX43" s="44" t="n">
        <f aca="false">1-AK43/K43</f>
        <v>0.318510239438779</v>
      </c>
      <c r="AY43" s="44" t="n">
        <f aca="false">1-AL43/L43</f>
        <v>0.365701375691832</v>
      </c>
      <c r="AZ43" s="44" t="n">
        <f aca="false">1-AM43/M43</f>
        <v>0.420709229511831</v>
      </c>
      <c r="BA43" s="44" t="n">
        <f aca="false">1-AN43/N43</f>
        <v>0.350695095008868</v>
      </c>
      <c r="BB43" s="44" t="n">
        <f aca="false">1-AO43/O43</f>
        <v>0.419232633445788</v>
      </c>
      <c r="BC43" s="44" t="n">
        <f aca="false">1-AP43/P43</f>
        <v>0.493280443868681</v>
      </c>
      <c r="BD43" s="44" t="n">
        <f aca="false">1-AQ43/Q43</f>
        <v>0.455794679894486</v>
      </c>
      <c r="BE43" s="44" t="n">
        <f aca="false">1-AR43/R43</f>
        <v>0.489018797268033</v>
      </c>
      <c r="BF43" s="44" t="n">
        <f aca="false">1-AS43/S43</f>
        <v>0.820478024467603</v>
      </c>
      <c r="BG43" s="44" t="n">
        <f aca="false">1-AT43/T43</f>
        <v>0.528263860444042</v>
      </c>
    </row>
    <row r="44" customFormat="false" ht="15" hidden="false" customHeight="false" outlineLevel="0" collapsed="false">
      <c r="A44" s="10" t="s">
        <v>261</v>
      </c>
      <c r="B44" s="10" t="s">
        <v>292</v>
      </c>
      <c r="C44" s="58" t="n">
        <v>27197000</v>
      </c>
      <c r="D44" s="58" t="n">
        <v>27199999</v>
      </c>
      <c r="E44" s="10" t="s">
        <v>24</v>
      </c>
      <c r="F44" s="10" t="s">
        <v>266</v>
      </c>
      <c r="G44" s="10" t="n">
        <f aca="false">COUNTIFS(Pedidos!$C$2:$C$2224,"&gt;="&amp;C44,Pedidos!$C$2:$C$2224,"&lt;="&amp;D44)</f>
        <v>3</v>
      </c>
      <c r="H44" s="40" t="n">
        <v>77.35</v>
      </c>
      <c r="I44" s="40" t="n">
        <v>108.83</v>
      </c>
      <c r="J44" s="40" t="n">
        <v>124.38</v>
      </c>
      <c r="K44" s="40" t="n">
        <v>124.38</v>
      </c>
      <c r="L44" s="40" t="n">
        <v>142.32</v>
      </c>
      <c r="M44" s="40" t="n">
        <v>166.05</v>
      </c>
      <c r="N44" s="40" t="n">
        <v>157.88</v>
      </c>
      <c r="O44" s="40" t="n">
        <v>197.35</v>
      </c>
      <c r="P44" s="40" t="n">
        <v>236.82</v>
      </c>
      <c r="Q44" s="40" t="n">
        <v>264.84</v>
      </c>
      <c r="R44" s="40" t="n">
        <v>300.15</v>
      </c>
      <c r="S44" s="40" t="n">
        <v>353.12</v>
      </c>
      <c r="T44" s="40" t="n">
        <v>441.4</v>
      </c>
      <c r="U44" s="40" t="n">
        <v>46.95</v>
      </c>
      <c r="V44" s="40" t="n">
        <v>65.63</v>
      </c>
      <c r="W44" s="40" t="n">
        <v>74.97</v>
      </c>
      <c r="X44" s="40" t="n">
        <v>77.7</v>
      </c>
      <c r="Y44" s="40" t="n">
        <v>83.58</v>
      </c>
      <c r="Z44" s="40" t="n">
        <v>90.2</v>
      </c>
      <c r="AA44" s="40" t="n">
        <v>96.77</v>
      </c>
      <c r="AB44" s="40" t="n">
        <v>109.63</v>
      </c>
      <c r="AC44" s="40" t="n">
        <v>119.5</v>
      </c>
      <c r="AD44" s="40" t="n">
        <v>144.24</v>
      </c>
      <c r="AE44" s="40" t="n">
        <v>155.09</v>
      </c>
      <c r="AF44" s="40" t="n">
        <v>66.69</v>
      </c>
      <c r="AG44" s="40" t="n">
        <v>214.88</v>
      </c>
      <c r="AH44" s="13" t="n">
        <f aca="false">(U44+AH$4*(Resumo!$C$6+Resumo!$C$7+Resumo!$C$8)+Resumo!$C$10*CEILING(AH$3/100,1)+Resumo!$C$9+Resumo!$C$13+Resumo!$C$14*CEILING(AH$3,1))*(1+Resumo!$C$11)-(AH$4*(Resumo!$B$6+Resumo!$B$7)+Resumo!$B$9+Resumo!$B$10*CEILING(AH$3/100,1)+(Resumo!$B$12+Resumo!$B$14)*CEILING(AH$3,1))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4" s="13" t="n">
        <f aca="false">(V44+AI$4*(Resumo!$C$6+Resumo!$C$7+Resumo!$C$8)+Resumo!$C$10*CEILING(AI$3/100,1)+Resumo!$C$9+Resumo!$C$13+Resumo!$C$14*CEILING(AI$3,1))*(1+Resumo!$C$11)-(AI$4*(Resumo!$B$6+Resumo!$B$7)+Resumo!$B$9+Resumo!$B$10*CEILING(AI$3/100,1)+(Resumo!$B$12+Resumo!$B$14)*CEILING(AI$3,1))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4" s="13" t="n">
        <f aca="false">(W44+AJ$4*(Resumo!$C$6+Resumo!$C$7+Resumo!$C$8)+Resumo!$C$10*CEILING(AJ$3/100,1)+Resumo!$C$9+Resumo!$C$13+Resumo!$C$14*CEILING(AJ$3,1))*(1+Resumo!$C$11)-(AJ$4*(Resumo!$B$6+Resumo!$B$7)+Resumo!$B$9+Resumo!$B$10*CEILING(AJ$3/100,1)+(Resumo!$B$12+Resumo!$B$14)*CEILING(AJ$3,1))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4" s="13" t="n">
        <f aca="false">(X44+AK$4*(Resumo!$C$6+Resumo!$C$7+Resumo!$C$8)+Resumo!$C$10*CEILING(AK$3/100,1)+Resumo!$C$9+Resumo!$C$13+Resumo!$C$14*CEILING(AK$3,1))*(1+Resumo!$C$11)-(AK$4*(Resumo!$B$6+Resumo!$B$7)+Resumo!$B$9+Resumo!$B$10*CEILING(AK$3/100,1)+(Resumo!$B$12+Resumo!$B$14)*CEILING(AK$3,1))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4" s="13" t="n">
        <f aca="false">(Y44+AL$4*(Resumo!$C$6+Resumo!$C$7+Resumo!$C$8)+Resumo!$C$10*CEILING(AL$3/100,1)+Resumo!$C$9+Resumo!$C$13+Resumo!$C$14*CEILING(AL$3,1))*(1+Resumo!$C$11)-(AL$4*(Resumo!$B$6+Resumo!$B$7)+Resumo!$B$9+Resumo!$B$10*CEILING(AL$3/100,1)+(Resumo!$B$12+Resumo!$B$14)*CEILING(AL$3,1))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4" s="13" t="n">
        <f aca="false">(Z44+AM$4*(Resumo!$C$6+Resumo!$C$7+Resumo!$C$8)+Resumo!$C$10*CEILING(AM$3/100,1)+Resumo!$C$9+Resumo!$C$13+Resumo!$C$14*CEILING(AM$3,1))*(1+Resumo!$C$11)-(AM$4*(Resumo!$B$6+Resumo!$B$7)+Resumo!$B$9+Resumo!$B$10*CEILING(AM$3/100,1)+(Resumo!$B$12+Resumo!$B$14)*CEILING(AM$3,1))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4" s="13" t="n">
        <f aca="false">(AA44+AN$4*(Resumo!$C$6+Resumo!$C$7+Resumo!$C$8)+Resumo!$C$10*CEILING(AN$3/100,1)+Resumo!$C$9+Resumo!$C$13+Resumo!$C$14*CEILING(AN$3,1))*(1+Resumo!$C$11)-(AN$4*(Resumo!$B$6+Resumo!$B$7)+Resumo!$B$9+Resumo!$B$10*CEILING(AN$3/100,1)+(Resumo!$B$12+Resumo!$B$14)*CEILING(AN$3,1))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4" s="13" t="n">
        <f aca="false">(AB44+AO$4*(Resumo!$C$6+Resumo!$C$7+Resumo!$C$8)+Resumo!$C$10*CEILING(AO$3/100,1)+Resumo!$C$9+Resumo!$C$13+Resumo!$C$14*CEILING(AO$3,1))*(1+Resumo!$C$11)-(AO$4*(Resumo!$B$6+Resumo!$B$7)+Resumo!$B$9+Resumo!$B$10*CEILING(AO$3/100,1)+(Resumo!$B$12+Resumo!$B$14)*CEILING(AO$3,1))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4" s="13" t="n">
        <f aca="false">(AC44+AP$4*(Resumo!$C$6+Resumo!$C$7+Resumo!$C$8)+Resumo!$C$10*CEILING(AP$3/100,1)+Resumo!$C$9+Resumo!$C$13+Resumo!$C$14*CEILING(AP$3,1))*(1+Resumo!$C$11)-(AP$4*(Resumo!$B$6+Resumo!$B$7)+Resumo!$B$9+Resumo!$B$10*CEILING(AP$3/100,1)+(Resumo!$B$12+Resumo!$B$14)*CEILING(AP$3,1))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4" s="13" t="n">
        <f aca="false">(AD44+AQ$4*(Resumo!$C$6+Resumo!$C$7+Resumo!$C$8)+Resumo!$C$10*CEILING(AQ$3/100,1)+Resumo!$C$9+Resumo!$C$13+Resumo!$C$14*CEILING(AQ$3,1))*(1+Resumo!$C$11)-(AQ$4*(Resumo!$B$6+Resumo!$B$7)+Resumo!$B$9+Resumo!$B$10*CEILING(AQ$3/100,1)+(Resumo!$B$12+Resumo!$B$14)*CEILING(AQ$3,1))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4" s="13" t="n">
        <f aca="false">(AE44+AR$4*(Resumo!$C$6+Resumo!$C$7+Resumo!$C$8)+Resumo!$C$10*CEILING(AR$3/100,1)+Resumo!$C$9+Resumo!$C$13+Resumo!$C$14*CEILING(AR$3,1))*(1+Resumo!$C$11)-(AR$4*(Resumo!$B$6+Resumo!$B$7)+Resumo!$B$9+Resumo!$B$10*CEILING(AR$3/100,1)+(Resumo!$B$12+Resumo!$B$14)*CEILING(AR$3,1))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4" s="13" t="n">
        <f aca="false">(AF44+AS$4*(Resumo!$C$6+Resumo!$C$7+Resumo!$C$8)+Resumo!$C$10*CEILING(AS$3/100,1)+Resumo!$C$9+Resumo!$C$13+Resumo!$C$14*CEILING(AS$3,1))*(1+Resumo!$C$11)-(AS$4*(Resumo!$B$6+Resumo!$B$7)+Resumo!$B$9+Resumo!$B$10*CEILING(AS$3/100,1)+(Resumo!$B$12+Resumo!$B$14)*CEILING(AS$3,1))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4" s="13" t="n">
        <f aca="false">(AG44+AT$4*(Resumo!$C$6+Resumo!$C$7+Resumo!$C$8)+Resumo!$C$10*CEILING(AT$3/100,1)+Resumo!$C$9+Resumo!$C$13+Resumo!$C$14*CEILING(AT$3,1))*(1+Resumo!$C$11)-(AT$4*(Resumo!$B$6+Resumo!$B$7)+Resumo!$B$9+Resumo!$B$10*CEILING(AT$3/100,1)+(Resumo!$B$12+Resumo!$B$14)*CEILING(AT$3,1))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4" s="44" t="n">
        <f aca="false">1-AH44/H44</f>
        <v>0.284448775984873</v>
      </c>
      <c r="AV44" s="44" t="n">
        <f aca="false">1-AI44/I44</f>
        <v>0.324530396086195</v>
      </c>
      <c r="AW44" s="44" t="n">
        <f aca="false">1-AJ44/J44</f>
        <v>0.337931079721616</v>
      </c>
      <c r="AX44" s="44" t="n">
        <f aca="false">1-AK44/K44</f>
        <v>0.318510239438779</v>
      </c>
      <c r="AY44" s="44" t="n">
        <f aca="false">1-AL44/L44</f>
        <v>0.365701375691832</v>
      </c>
      <c r="AZ44" s="44" t="n">
        <f aca="false">1-AM44/M44</f>
        <v>0.420709229511831</v>
      </c>
      <c r="BA44" s="44" t="n">
        <f aca="false">1-AN44/N44</f>
        <v>0.350695095008868</v>
      </c>
      <c r="BB44" s="44" t="n">
        <f aca="false">1-AO44/O44</f>
        <v>0.419232633445788</v>
      </c>
      <c r="BC44" s="44" t="n">
        <f aca="false">1-AP44/P44</f>
        <v>0.493280443868681</v>
      </c>
      <c r="BD44" s="44" t="n">
        <f aca="false">1-AQ44/Q44</f>
        <v>0.455794679894486</v>
      </c>
      <c r="BE44" s="44" t="n">
        <f aca="false">1-AR44/R44</f>
        <v>0.489018797268033</v>
      </c>
      <c r="BF44" s="44" t="n">
        <f aca="false">1-AS44/S44</f>
        <v>0.820478024467603</v>
      </c>
      <c r="BG44" s="44" t="n">
        <f aca="false">1-AT44/T44</f>
        <v>0.528263860444042</v>
      </c>
    </row>
    <row r="45" customFormat="false" ht="15" hidden="false" customHeight="false" outlineLevel="0" collapsed="false">
      <c r="A45" s="10" t="s">
        <v>261</v>
      </c>
      <c r="B45" s="10" t="s">
        <v>217</v>
      </c>
      <c r="C45" s="58" t="n">
        <v>27200000</v>
      </c>
      <c r="D45" s="58" t="n">
        <v>27299999</v>
      </c>
      <c r="E45" s="10" t="s">
        <v>24</v>
      </c>
      <c r="F45" s="10" t="s">
        <v>266</v>
      </c>
      <c r="G45" s="10" t="n">
        <f aca="false">COUNTIFS(Pedidos!$C$2:$C$2224,"&gt;="&amp;C45,Pedidos!$C$2:$C$2224,"&lt;="&amp;D45)</f>
        <v>37</v>
      </c>
      <c r="H45" s="40" t="n">
        <v>77.35</v>
      </c>
      <c r="I45" s="40" t="n">
        <v>108.83</v>
      </c>
      <c r="J45" s="40" t="n">
        <v>124.38</v>
      </c>
      <c r="K45" s="40" t="n">
        <v>124.38</v>
      </c>
      <c r="L45" s="40" t="n">
        <v>142.32</v>
      </c>
      <c r="M45" s="40" t="n">
        <v>166.05</v>
      </c>
      <c r="N45" s="40" t="n">
        <v>157.88</v>
      </c>
      <c r="O45" s="40" t="n">
        <v>197.35</v>
      </c>
      <c r="P45" s="40" t="n">
        <v>236.82</v>
      </c>
      <c r="Q45" s="40" t="n">
        <v>264.84</v>
      </c>
      <c r="R45" s="40" t="n">
        <v>300.15</v>
      </c>
      <c r="S45" s="40" t="n">
        <v>353.12</v>
      </c>
      <c r="T45" s="40" t="n">
        <v>441.4</v>
      </c>
      <c r="U45" s="40" t="n">
        <v>46.95</v>
      </c>
      <c r="V45" s="40" t="n">
        <v>65.63</v>
      </c>
      <c r="W45" s="40" t="n">
        <v>74.97</v>
      </c>
      <c r="X45" s="40" t="n">
        <v>77.7</v>
      </c>
      <c r="Y45" s="40" t="n">
        <v>83.58</v>
      </c>
      <c r="Z45" s="40" t="n">
        <v>90.2</v>
      </c>
      <c r="AA45" s="40" t="n">
        <v>96.77</v>
      </c>
      <c r="AB45" s="40" t="n">
        <v>109.63</v>
      </c>
      <c r="AC45" s="40" t="n">
        <v>119.5</v>
      </c>
      <c r="AD45" s="40" t="n">
        <v>144.24</v>
      </c>
      <c r="AE45" s="40" t="n">
        <v>155.09</v>
      </c>
      <c r="AF45" s="40" t="n">
        <v>66.69</v>
      </c>
      <c r="AG45" s="40" t="n">
        <v>214.88</v>
      </c>
      <c r="AH45" s="13" t="n">
        <f aca="false">(U45+AH$4*(Resumo!$C$6+Resumo!$C$7+Resumo!$C$8)+Resumo!$C$10*CEILING(AH$3/100,1)+Resumo!$C$9+Resumo!$C$13+Resumo!$C$14*CEILING(AH$3,1))*(1+Resumo!$C$11)-(AH$4*(Resumo!$B$6+Resumo!$B$7)+Resumo!$B$9+Resumo!$B$10*CEILING(AH$3/100,1)+(Resumo!$B$12+Resumo!$B$14)*CEILING(AH$3,1))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5" s="13" t="n">
        <f aca="false">(V45+AI$4*(Resumo!$C$6+Resumo!$C$7+Resumo!$C$8)+Resumo!$C$10*CEILING(AI$3/100,1)+Resumo!$C$9+Resumo!$C$13+Resumo!$C$14*CEILING(AI$3,1))*(1+Resumo!$C$11)-(AI$4*(Resumo!$B$6+Resumo!$B$7)+Resumo!$B$9+Resumo!$B$10*CEILING(AI$3/100,1)+(Resumo!$B$12+Resumo!$B$14)*CEILING(AI$3,1))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5" s="13" t="n">
        <f aca="false">(W45+AJ$4*(Resumo!$C$6+Resumo!$C$7+Resumo!$C$8)+Resumo!$C$10*CEILING(AJ$3/100,1)+Resumo!$C$9+Resumo!$C$13+Resumo!$C$14*CEILING(AJ$3,1))*(1+Resumo!$C$11)-(AJ$4*(Resumo!$B$6+Resumo!$B$7)+Resumo!$B$9+Resumo!$B$10*CEILING(AJ$3/100,1)+(Resumo!$B$12+Resumo!$B$14)*CEILING(AJ$3,1))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5" s="13" t="n">
        <f aca="false">(X45+AK$4*(Resumo!$C$6+Resumo!$C$7+Resumo!$C$8)+Resumo!$C$10*CEILING(AK$3/100,1)+Resumo!$C$9+Resumo!$C$13+Resumo!$C$14*CEILING(AK$3,1))*(1+Resumo!$C$11)-(AK$4*(Resumo!$B$6+Resumo!$B$7)+Resumo!$B$9+Resumo!$B$10*CEILING(AK$3/100,1)+(Resumo!$B$12+Resumo!$B$14)*CEILING(AK$3,1))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5" s="13" t="n">
        <f aca="false">(Y45+AL$4*(Resumo!$C$6+Resumo!$C$7+Resumo!$C$8)+Resumo!$C$10*CEILING(AL$3/100,1)+Resumo!$C$9+Resumo!$C$13+Resumo!$C$14*CEILING(AL$3,1))*(1+Resumo!$C$11)-(AL$4*(Resumo!$B$6+Resumo!$B$7)+Resumo!$B$9+Resumo!$B$10*CEILING(AL$3/100,1)+(Resumo!$B$12+Resumo!$B$14)*CEILING(AL$3,1))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5" s="13" t="n">
        <f aca="false">(Z45+AM$4*(Resumo!$C$6+Resumo!$C$7+Resumo!$C$8)+Resumo!$C$10*CEILING(AM$3/100,1)+Resumo!$C$9+Resumo!$C$13+Resumo!$C$14*CEILING(AM$3,1))*(1+Resumo!$C$11)-(AM$4*(Resumo!$B$6+Resumo!$B$7)+Resumo!$B$9+Resumo!$B$10*CEILING(AM$3/100,1)+(Resumo!$B$12+Resumo!$B$14)*CEILING(AM$3,1))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5" s="13" t="n">
        <f aca="false">(AA45+AN$4*(Resumo!$C$6+Resumo!$C$7+Resumo!$C$8)+Resumo!$C$10*CEILING(AN$3/100,1)+Resumo!$C$9+Resumo!$C$13+Resumo!$C$14*CEILING(AN$3,1))*(1+Resumo!$C$11)-(AN$4*(Resumo!$B$6+Resumo!$B$7)+Resumo!$B$9+Resumo!$B$10*CEILING(AN$3/100,1)+(Resumo!$B$12+Resumo!$B$14)*CEILING(AN$3,1))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5" s="13" t="n">
        <f aca="false">(AB45+AO$4*(Resumo!$C$6+Resumo!$C$7+Resumo!$C$8)+Resumo!$C$10*CEILING(AO$3/100,1)+Resumo!$C$9+Resumo!$C$13+Resumo!$C$14*CEILING(AO$3,1))*(1+Resumo!$C$11)-(AO$4*(Resumo!$B$6+Resumo!$B$7)+Resumo!$B$9+Resumo!$B$10*CEILING(AO$3/100,1)+(Resumo!$B$12+Resumo!$B$14)*CEILING(AO$3,1))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5" s="13" t="n">
        <f aca="false">(AC45+AP$4*(Resumo!$C$6+Resumo!$C$7+Resumo!$C$8)+Resumo!$C$10*CEILING(AP$3/100,1)+Resumo!$C$9+Resumo!$C$13+Resumo!$C$14*CEILING(AP$3,1))*(1+Resumo!$C$11)-(AP$4*(Resumo!$B$6+Resumo!$B$7)+Resumo!$B$9+Resumo!$B$10*CEILING(AP$3/100,1)+(Resumo!$B$12+Resumo!$B$14)*CEILING(AP$3,1))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5" s="13" t="n">
        <f aca="false">(AD45+AQ$4*(Resumo!$C$6+Resumo!$C$7+Resumo!$C$8)+Resumo!$C$10*CEILING(AQ$3/100,1)+Resumo!$C$9+Resumo!$C$13+Resumo!$C$14*CEILING(AQ$3,1))*(1+Resumo!$C$11)-(AQ$4*(Resumo!$B$6+Resumo!$B$7)+Resumo!$B$9+Resumo!$B$10*CEILING(AQ$3/100,1)+(Resumo!$B$12+Resumo!$B$14)*CEILING(AQ$3,1))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5" s="13" t="n">
        <f aca="false">(AE45+AR$4*(Resumo!$C$6+Resumo!$C$7+Resumo!$C$8)+Resumo!$C$10*CEILING(AR$3/100,1)+Resumo!$C$9+Resumo!$C$13+Resumo!$C$14*CEILING(AR$3,1))*(1+Resumo!$C$11)-(AR$4*(Resumo!$B$6+Resumo!$B$7)+Resumo!$B$9+Resumo!$B$10*CEILING(AR$3/100,1)+(Resumo!$B$12+Resumo!$B$14)*CEILING(AR$3,1))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5" s="13" t="n">
        <f aca="false">(AF45+AS$4*(Resumo!$C$6+Resumo!$C$7+Resumo!$C$8)+Resumo!$C$10*CEILING(AS$3/100,1)+Resumo!$C$9+Resumo!$C$13+Resumo!$C$14*CEILING(AS$3,1))*(1+Resumo!$C$11)-(AS$4*(Resumo!$B$6+Resumo!$B$7)+Resumo!$B$9+Resumo!$B$10*CEILING(AS$3/100,1)+(Resumo!$B$12+Resumo!$B$14)*CEILING(AS$3,1))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5" s="13" t="n">
        <f aca="false">(AG45+AT$4*(Resumo!$C$6+Resumo!$C$7+Resumo!$C$8)+Resumo!$C$10*CEILING(AT$3/100,1)+Resumo!$C$9+Resumo!$C$13+Resumo!$C$14*CEILING(AT$3,1))*(1+Resumo!$C$11)-(AT$4*(Resumo!$B$6+Resumo!$B$7)+Resumo!$B$9+Resumo!$B$10*CEILING(AT$3/100,1)+(Resumo!$B$12+Resumo!$B$14)*CEILING(AT$3,1))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5" s="44" t="n">
        <f aca="false">1-AH45/H45</f>
        <v>0.284448775984873</v>
      </c>
      <c r="AV45" s="44" t="n">
        <f aca="false">1-AI45/I45</f>
        <v>0.324530396086195</v>
      </c>
      <c r="AW45" s="44" t="n">
        <f aca="false">1-AJ45/J45</f>
        <v>0.337931079721616</v>
      </c>
      <c r="AX45" s="44" t="n">
        <f aca="false">1-AK45/K45</f>
        <v>0.318510239438779</v>
      </c>
      <c r="AY45" s="44" t="n">
        <f aca="false">1-AL45/L45</f>
        <v>0.365701375691832</v>
      </c>
      <c r="AZ45" s="44" t="n">
        <f aca="false">1-AM45/M45</f>
        <v>0.420709229511831</v>
      </c>
      <c r="BA45" s="44" t="n">
        <f aca="false">1-AN45/N45</f>
        <v>0.350695095008868</v>
      </c>
      <c r="BB45" s="44" t="n">
        <f aca="false">1-AO45/O45</f>
        <v>0.419232633445788</v>
      </c>
      <c r="BC45" s="44" t="n">
        <f aca="false">1-AP45/P45</f>
        <v>0.493280443868681</v>
      </c>
      <c r="BD45" s="44" t="n">
        <f aca="false">1-AQ45/Q45</f>
        <v>0.455794679894486</v>
      </c>
      <c r="BE45" s="44" t="n">
        <f aca="false">1-AR45/R45</f>
        <v>0.489018797268033</v>
      </c>
      <c r="BF45" s="44" t="n">
        <f aca="false">1-AS45/S45</f>
        <v>0.820478024467603</v>
      </c>
      <c r="BG45" s="44" t="n">
        <f aca="false">1-AT45/T45</f>
        <v>0.528263860444042</v>
      </c>
    </row>
    <row r="46" customFormat="false" ht="15" hidden="false" customHeight="false" outlineLevel="0" collapsed="false">
      <c r="A46" s="10" t="s">
        <v>261</v>
      </c>
      <c r="B46" s="10" t="s">
        <v>293</v>
      </c>
      <c r="C46" s="58" t="n">
        <v>27300000</v>
      </c>
      <c r="D46" s="58" t="n">
        <v>27399999</v>
      </c>
      <c r="E46" s="10" t="s">
        <v>24</v>
      </c>
      <c r="F46" s="10" t="s">
        <v>266</v>
      </c>
      <c r="G46" s="10" t="n">
        <f aca="false">COUNTIFS(Pedidos!$C$2:$C$2224,"&gt;="&amp;C46,Pedidos!$C$2:$C$2224,"&lt;="&amp;D46)</f>
        <v>15</v>
      </c>
      <c r="H46" s="40" t="n">
        <v>77.35</v>
      </c>
      <c r="I46" s="40" t="n">
        <v>108.83</v>
      </c>
      <c r="J46" s="40" t="n">
        <v>124.38</v>
      </c>
      <c r="K46" s="40" t="n">
        <v>124.38</v>
      </c>
      <c r="L46" s="40" t="n">
        <v>142.32</v>
      </c>
      <c r="M46" s="40" t="n">
        <v>166.05</v>
      </c>
      <c r="N46" s="40" t="n">
        <v>157.88</v>
      </c>
      <c r="O46" s="40" t="n">
        <v>197.35</v>
      </c>
      <c r="P46" s="40" t="n">
        <v>236.82</v>
      </c>
      <c r="Q46" s="40" t="n">
        <v>264.84</v>
      </c>
      <c r="R46" s="40" t="n">
        <v>300.15</v>
      </c>
      <c r="S46" s="40" t="n">
        <v>353.12</v>
      </c>
      <c r="T46" s="40" t="n">
        <v>441.4</v>
      </c>
      <c r="U46" s="40" t="n">
        <v>46.95</v>
      </c>
      <c r="V46" s="40" t="n">
        <v>65.63</v>
      </c>
      <c r="W46" s="40" t="n">
        <v>74.97</v>
      </c>
      <c r="X46" s="40" t="n">
        <v>77.7</v>
      </c>
      <c r="Y46" s="40" t="n">
        <v>83.58</v>
      </c>
      <c r="Z46" s="40" t="n">
        <v>90.2</v>
      </c>
      <c r="AA46" s="40" t="n">
        <v>96.77</v>
      </c>
      <c r="AB46" s="40" t="n">
        <v>109.63</v>
      </c>
      <c r="AC46" s="40" t="n">
        <v>119.5</v>
      </c>
      <c r="AD46" s="40" t="n">
        <v>144.24</v>
      </c>
      <c r="AE46" s="40" t="n">
        <v>155.09</v>
      </c>
      <c r="AF46" s="40" t="n">
        <v>66.69</v>
      </c>
      <c r="AG46" s="40" t="n">
        <v>214.88</v>
      </c>
      <c r="AH46" s="13" t="n">
        <f aca="false">(U46+AH$4*(Resumo!$C$6+Resumo!$C$7+Resumo!$C$8)+Resumo!$C$10*CEILING(AH$3/100,1)+Resumo!$C$9+Resumo!$C$13+Resumo!$C$14*CEILING(AH$3,1))*(1+Resumo!$C$11)-(AH$4*(Resumo!$B$6+Resumo!$B$7)+Resumo!$B$9+Resumo!$B$10*CEILING(AH$3/100,1)+(Resumo!$B$12+Resumo!$B$14)*CEILING(AH$3,1))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6" s="13" t="n">
        <f aca="false">(V46+AI$4*(Resumo!$C$6+Resumo!$C$7+Resumo!$C$8)+Resumo!$C$10*CEILING(AI$3/100,1)+Resumo!$C$9+Resumo!$C$13+Resumo!$C$14*CEILING(AI$3,1))*(1+Resumo!$C$11)-(AI$4*(Resumo!$B$6+Resumo!$B$7)+Resumo!$B$9+Resumo!$B$10*CEILING(AI$3/100,1)+(Resumo!$B$12+Resumo!$B$14)*CEILING(AI$3,1))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6" s="13" t="n">
        <f aca="false">(W46+AJ$4*(Resumo!$C$6+Resumo!$C$7+Resumo!$C$8)+Resumo!$C$10*CEILING(AJ$3/100,1)+Resumo!$C$9+Resumo!$C$13+Resumo!$C$14*CEILING(AJ$3,1))*(1+Resumo!$C$11)-(AJ$4*(Resumo!$B$6+Resumo!$B$7)+Resumo!$B$9+Resumo!$B$10*CEILING(AJ$3/100,1)+(Resumo!$B$12+Resumo!$B$14)*CEILING(AJ$3,1))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6" s="13" t="n">
        <f aca="false">(X46+AK$4*(Resumo!$C$6+Resumo!$C$7+Resumo!$C$8)+Resumo!$C$10*CEILING(AK$3/100,1)+Resumo!$C$9+Resumo!$C$13+Resumo!$C$14*CEILING(AK$3,1))*(1+Resumo!$C$11)-(AK$4*(Resumo!$B$6+Resumo!$B$7)+Resumo!$B$9+Resumo!$B$10*CEILING(AK$3/100,1)+(Resumo!$B$12+Resumo!$B$14)*CEILING(AK$3,1))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6" s="13" t="n">
        <f aca="false">(Y46+AL$4*(Resumo!$C$6+Resumo!$C$7+Resumo!$C$8)+Resumo!$C$10*CEILING(AL$3/100,1)+Resumo!$C$9+Resumo!$C$13+Resumo!$C$14*CEILING(AL$3,1))*(1+Resumo!$C$11)-(AL$4*(Resumo!$B$6+Resumo!$B$7)+Resumo!$B$9+Resumo!$B$10*CEILING(AL$3/100,1)+(Resumo!$B$12+Resumo!$B$14)*CEILING(AL$3,1))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6" s="13" t="n">
        <f aca="false">(Z46+AM$4*(Resumo!$C$6+Resumo!$C$7+Resumo!$C$8)+Resumo!$C$10*CEILING(AM$3/100,1)+Resumo!$C$9+Resumo!$C$13+Resumo!$C$14*CEILING(AM$3,1))*(1+Resumo!$C$11)-(AM$4*(Resumo!$B$6+Resumo!$B$7)+Resumo!$B$9+Resumo!$B$10*CEILING(AM$3/100,1)+(Resumo!$B$12+Resumo!$B$14)*CEILING(AM$3,1))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6" s="13" t="n">
        <f aca="false">(AA46+AN$4*(Resumo!$C$6+Resumo!$C$7+Resumo!$C$8)+Resumo!$C$10*CEILING(AN$3/100,1)+Resumo!$C$9+Resumo!$C$13+Resumo!$C$14*CEILING(AN$3,1))*(1+Resumo!$C$11)-(AN$4*(Resumo!$B$6+Resumo!$B$7)+Resumo!$B$9+Resumo!$B$10*CEILING(AN$3/100,1)+(Resumo!$B$12+Resumo!$B$14)*CEILING(AN$3,1))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6" s="13" t="n">
        <f aca="false">(AB46+AO$4*(Resumo!$C$6+Resumo!$C$7+Resumo!$C$8)+Resumo!$C$10*CEILING(AO$3/100,1)+Resumo!$C$9+Resumo!$C$13+Resumo!$C$14*CEILING(AO$3,1))*(1+Resumo!$C$11)-(AO$4*(Resumo!$B$6+Resumo!$B$7)+Resumo!$B$9+Resumo!$B$10*CEILING(AO$3/100,1)+(Resumo!$B$12+Resumo!$B$14)*CEILING(AO$3,1))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6" s="13" t="n">
        <f aca="false">(AC46+AP$4*(Resumo!$C$6+Resumo!$C$7+Resumo!$C$8)+Resumo!$C$10*CEILING(AP$3/100,1)+Resumo!$C$9+Resumo!$C$13+Resumo!$C$14*CEILING(AP$3,1))*(1+Resumo!$C$11)-(AP$4*(Resumo!$B$6+Resumo!$B$7)+Resumo!$B$9+Resumo!$B$10*CEILING(AP$3/100,1)+(Resumo!$B$12+Resumo!$B$14)*CEILING(AP$3,1))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6" s="13" t="n">
        <f aca="false">(AD46+AQ$4*(Resumo!$C$6+Resumo!$C$7+Resumo!$C$8)+Resumo!$C$10*CEILING(AQ$3/100,1)+Resumo!$C$9+Resumo!$C$13+Resumo!$C$14*CEILING(AQ$3,1))*(1+Resumo!$C$11)-(AQ$4*(Resumo!$B$6+Resumo!$B$7)+Resumo!$B$9+Resumo!$B$10*CEILING(AQ$3/100,1)+(Resumo!$B$12+Resumo!$B$14)*CEILING(AQ$3,1))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6" s="13" t="n">
        <f aca="false">(AE46+AR$4*(Resumo!$C$6+Resumo!$C$7+Resumo!$C$8)+Resumo!$C$10*CEILING(AR$3/100,1)+Resumo!$C$9+Resumo!$C$13+Resumo!$C$14*CEILING(AR$3,1))*(1+Resumo!$C$11)-(AR$4*(Resumo!$B$6+Resumo!$B$7)+Resumo!$B$9+Resumo!$B$10*CEILING(AR$3/100,1)+(Resumo!$B$12+Resumo!$B$14)*CEILING(AR$3,1))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6" s="13" t="n">
        <f aca="false">(AF46+AS$4*(Resumo!$C$6+Resumo!$C$7+Resumo!$C$8)+Resumo!$C$10*CEILING(AS$3/100,1)+Resumo!$C$9+Resumo!$C$13+Resumo!$C$14*CEILING(AS$3,1))*(1+Resumo!$C$11)-(AS$4*(Resumo!$B$6+Resumo!$B$7)+Resumo!$B$9+Resumo!$B$10*CEILING(AS$3/100,1)+(Resumo!$B$12+Resumo!$B$14)*CEILING(AS$3,1))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6" s="13" t="n">
        <f aca="false">(AG46+AT$4*(Resumo!$C$6+Resumo!$C$7+Resumo!$C$8)+Resumo!$C$10*CEILING(AT$3/100,1)+Resumo!$C$9+Resumo!$C$13+Resumo!$C$14*CEILING(AT$3,1))*(1+Resumo!$C$11)-(AT$4*(Resumo!$B$6+Resumo!$B$7)+Resumo!$B$9+Resumo!$B$10*CEILING(AT$3/100,1)+(Resumo!$B$12+Resumo!$B$14)*CEILING(AT$3,1))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6" s="44" t="n">
        <f aca="false">1-AH46/H46</f>
        <v>0.284448775984873</v>
      </c>
      <c r="AV46" s="44" t="n">
        <f aca="false">1-AI46/I46</f>
        <v>0.324530396086195</v>
      </c>
      <c r="AW46" s="44" t="n">
        <f aca="false">1-AJ46/J46</f>
        <v>0.337931079721616</v>
      </c>
      <c r="AX46" s="44" t="n">
        <f aca="false">1-AK46/K46</f>
        <v>0.318510239438779</v>
      </c>
      <c r="AY46" s="44" t="n">
        <f aca="false">1-AL46/L46</f>
        <v>0.365701375691832</v>
      </c>
      <c r="AZ46" s="44" t="n">
        <f aca="false">1-AM46/M46</f>
        <v>0.420709229511831</v>
      </c>
      <c r="BA46" s="44" t="n">
        <f aca="false">1-AN46/N46</f>
        <v>0.350695095008868</v>
      </c>
      <c r="BB46" s="44" t="n">
        <f aca="false">1-AO46/O46</f>
        <v>0.419232633445788</v>
      </c>
      <c r="BC46" s="44" t="n">
        <f aca="false">1-AP46/P46</f>
        <v>0.493280443868681</v>
      </c>
      <c r="BD46" s="44" t="n">
        <f aca="false">1-AQ46/Q46</f>
        <v>0.455794679894486</v>
      </c>
      <c r="BE46" s="44" t="n">
        <f aca="false">1-AR46/R46</f>
        <v>0.489018797268033</v>
      </c>
      <c r="BF46" s="44" t="n">
        <f aca="false">1-AS46/S46</f>
        <v>0.820478024467603</v>
      </c>
      <c r="BG46" s="44" t="n">
        <f aca="false">1-AT46/T46</f>
        <v>0.528263860444042</v>
      </c>
    </row>
    <row r="47" customFormat="false" ht="15" hidden="false" customHeight="false" outlineLevel="0" collapsed="false">
      <c r="A47" s="10" t="s">
        <v>261</v>
      </c>
      <c r="B47" s="10" t="s">
        <v>294</v>
      </c>
      <c r="C47" s="58" t="n">
        <v>27400000</v>
      </c>
      <c r="D47" s="58" t="n">
        <v>27459999</v>
      </c>
      <c r="E47" s="10" t="s">
        <v>24</v>
      </c>
      <c r="F47" s="10" t="s">
        <v>266</v>
      </c>
      <c r="G47" s="10" t="n">
        <f aca="false">COUNTIFS(Pedidos!$C$2:$C$2224,"&gt;="&amp;C47,Pedidos!$C$2:$C$2224,"&lt;="&amp;D47)</f>
        <v>1</v>
      </c>
      <c r="H47" s="40" t="n">
        <v>77.35</v>
      </c>
      <c r="I47" s="40" t="n">
        <v>108.83</v>
      </c>
      <c r="J47" s="40" t="n">
        <v>124.38</v>
      </c>
      <c r="K47" s="40" t="n">
        <v>124.38</v>
      </c>
      <c r="L47" s="40" t="n">
        <v>142.32</v>
      </c>
      <c r="M47" s="40" t="n">
        <v>166.05</v>
      </c>
      <c r="N47" s="40" t="n">
        <v>157.88</v>
      </c>
      <c r="O47" s="40" t="n">
        <v>197.35</v>
      </c>
      <c r="P47" s="40" t="n">
        <v>236.82</v>
      </c>
      <c r="Q47" s="40" t="n">
        <v>264.84</v>
      </c>
      <c r="R47" s="40" t="n">
        <v>300.15</v>
      </c>
      <c r="S47" s="40" t="n">
        <v>353.12</v>
      </c>
      <c r="T47" s="40" t="n">
        <v>441.4</v>
      </c>
      <c r="U47" s="40" t="n">
        <v>46.95</v>
      </c>
      <c r="V47" s="40" t="n">
        <v>65.63</v>
      </c>
      <c r="W47" s="40" t="n">
        <v>74.97</v>
      </c>
      <c r="X47" s="40" t="n">
        <v>77.7</v>
      </c>
      <c r="Y47" s="40" t="n">
        <v>83.58</v>
      </c>
      <c r="Z47" s="40" t="n">
        <v>90.2</v>
      </c>
      <c r="AA47" s="40" t="n">
        <v>96.77</v>
      </c>
      <c r="AB47" s="40" t="n">
        <v>109.63</v>
      </c>
      <c r="AC47" s="40" t="n">
        <v>119.5</v>
      </c>
      <c r="AD47" s="40" t="n">
        <v>144.24</v>
      </c>
      <c r="AE47" s="40" t="n">
        <v>155.09</v>
      </c>
      <c r="AF47" s="40" t="n">
        <v>66.69</v>
      </c>
      <c r="AG47" s="40" t="n">
        <v>214.88</v>
      </c>
      <c r="AH47" s="13" t="n">
        <f aca="false">(U47+AH$4*(Resumo!$C$6+Resumo!$C$7+Resumo!$C$8)+Resumo!$C$10*CEILING(AH$3/100,1)+Resumo!$C$9+Resumo!$C$13+Resumo!$C$14*CEILING(AH$3,1))*(1+Resumo!$C$11)-(AH$4*(Resumo!$B$6+Resumo!$B$7)+Resumo!$B$9+Resumo!$B$10*CEILING(AH$3/100,1)+(Resumo!$B$12+Resumo!$B$14)*CEILING(AH$3,1))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7" s="13" t="n">
        <f aca="false">(V47+AI$4*(Resumo!$C$6+Resumo!$C$7+Resumo!$C$8)+Resumo!$C$10*CEILING(AI$3/100,1)+Resumo!$C$9+Resumo!$C$13+Resumo!$C$14*CEILING(AI$3,1))*(1+Resumo!$C$11)-(AI$4*(Resumo!$B$6+Resumo!$B$7)+Resumo!$B$9+Resumo!$B$10*CEILING(AI$3/100,1)+(Resumo!$B$12+Resumo!$B$14)*CEILING(AI$3,1))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7" s="13" t="n">
        <f aca="false">(W47+AJ$4*(Resumo!$C$6+Resumo!$C$7+Resumo!$C$8)+Resumo!$C$10*CEILING(AJ$3/100,1)+Resumo!$C$9+Resumo!$C$13+Resumo!$C$14*CEILING(AJ$3,1))*(1+Resumo!$C$11)-(AJ$4*(Resumo!$B$6+Resumo!$B$7)+Resumo!$B$9+Resumo!$B$10*CEILING(AJ$3/100,1)+(Resumo!$B$12+Resumo!$B$14)*CEILING(AJ$3,1))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7" s="13" t="n">
        <f aca="false">(X47+AK$4*(Resumo!$C$6+Resumo!$C$7+Resumo!$C$8)+Resumo!$C$10*CEILING(AK$3/100,1)+Resumo!$C$9+Resumo!$C$13+Resumo!$C$14*CEILING(AK$3,1))*(1+Resumo!$C$11)-(AK$4*(Resumo!$B$6+Resumo!$B$7)+Resumo!$B$9+Resumo!$B$10*CEILING(AK$3/100,1)+(Resumo!$B$12+Resumo!$B$14)*CEILING(AK$3,1))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7" s="13" t="n">
        <f aca="false">(Y47+AL$4*(Resumo!$C$6+Resumo!$C$7+Resumo!$C$8)+Resumo!$C$10*CEILING(AL$3/100,1)+Resumo!$C$9+Resumo!$C$13+Resumo!$C$14*CEILING(AL$3,1))*(1+Resumo!$C$11)-(AL$4*(Resumo!$B$6+Resumo!$B$7)+Resumo!$B$9+Resumo!$B$10*CEILING(AL$3/100,1)+(Resumo!$B$12+Resumo!$B$14)*CEILING(AL$3,1))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7" s="13" t="n">
        <f aca="false">(Z47+AM$4*(Resumo!$C$6+Resumo!$C$7+Resumo!$C$8)+Resumo!$C$10*CEILING(AM$3/100,1)+Resumo!$C$9+Resumo!$C$13+Resumo!$C$14*CEILING(AM$3,1))*(1+Resumo!$C$11)-(AM$4*(Resumo!$B$6+Resumo!$B$7)+Resumo!$B$9+Resumo!$B$10*CEILING(AM$3/100,1)+(Resumo!$B$12+Resumo!$B$14)*CEILING(AM$3,1))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7" s="13" t="n">
        <f aca="false">(AA47+AN$4*(Resumo!$C$6+Resumo!$C$7+Resumo!$C$8)+Resumo!$C$10*CEILING(AN$3/100,1)+Resumo!$C$9+Resumo!$C$13+Resumo!$C$14*CEILING(AN$3,1))*(1+Resumo!$C$11)-(AN$4*(Resumo!$B$6+Resumo!$B$7)+Resumo!$B$9+Resumo!$B$10*CEILING(AN$3/100,1)+(Resumo!$B$12+Resumo!$B$14)*CEILING(AN$3,1))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7" s="13" t="n">
        <f aca="false">(AB47+AO$4*(Resumo!$C$6+Resumo!$C$7+Resumo!$C$8)+Resumo!$C$10*CEILING(AO$3/100,1)+Resumo!$C$9+Resumo!$C$13+Resumo!$C$14*CEILING(AO$3,1))*(1+Resumo!$C$11)-(AO$4*(Resumo!$B$6+Resumo!$B$7)+Resumo!$B$9+Resumo!$B$10*CEILING(AO$3/100,1)+(Resumo!$B$12+Resumo!$B$14)*CEILING(AO$3,1))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7" s="13" t="n">
        <f aca="false">(AC47+AP$4*(Resumo!$C$6+Resumo!$C$7+Resumo!$C$8)+Resumo!$C$10*CEILING(AP$3/100,1)+Resumo!$C$9+Resumo!$C$13+Resumo!$C$14*CEILING(AP$3,1))*(1+Resumo!$C$11)-(AP$4*(Resumo!$B$6+Resumo!$B$7)+Resumo!$B$9+Resumo!$B$10*CEILING(AP$3/100,1)+(Resumo!$B$12+Resumo!$B$14)*CEILING(AP$3,1))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7" s="13" t="n">
        <f aca="false">(AD47+AQ$4*(Resumo!$C$6+Resumo!$C$7+Resumo!$C$8)+Resumo!$C$10*CEILING(AQ$3/100,1)+Resumo!$C$9+Resumo!$C$13+Resumo!$C$14*CEILING(AQ$3,1))*(1+Resumo!$C$11)-(AQ$4*(Resumo!$B$6+Resumo!$B$7)+Resumo!$B$9+Resumo!$B$10*CEILING(AQ$3/100,1)+(Resumo!$B$12+Resumo!$B$14)*CEILING(AQ$3,1))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7" s="13" t="n">
        <f aca="false">(AE47+AR$4*(Resumo!$C$6+Resumo!$C$7+Resumo!$C$8)+Resumo!$C$10*CEILING(AR$3/100,1)+Resumo!$C$9+Resumo!$C$13+Resumo!$C$14*CEILING(AR$3,1))*(1+Resumo!$C$11)-(AR$4*(Resumo!$B$6+Resumo!$B$7)+Resumo!$B$9+Resumo!$B$10*CEILING(AR$3/100,1)+(Resumo!$B$12+Resumo!$B$14)*CEILING(AR$3,1))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7" s="13" t="n">
        <f aca="false">(AF47+AS$4*(Resumo!$C$6+Resumo!$C$7+Resumo!$C$8)+Resumo!$C$10*CEILING(AS$3/100,1)+Resumo!$C$9+Resumo!$C$13+Resumo!$C$14*CEILING(AS$3,1))*(1+Resumo!$C$11)-(AS$4*(Resumo!$B$6+Resumo!$B$7)+Resumo!$B$9+Resumo!$B$10*CEILING(AS$3/100,1)+(Resumo!$B$12+Resumo!$B$14)*CEILING(AS$3,1))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7" s="13" t="n">
        <f aca="false">(AG47+AT$4*(Resumo!$C$6+Resumo!$C$7+Resumo!$C$8)+Resumo!$C$10*CEILING(AT$3/100,1)+Resumo!$C$9+Resumo!$C$13+Resumo!$C$14*CEILING(AT$3,1))*(1+Resumo!$C$11)-(AT$4*(Resumo!$B$6+Resumo!$B$7)+Resumo!$B$9+Resumo!$B$10*CEILING(AT$3/100,1)+(Resumo!$B$12+Resumo!$B$14)*CEILING(AT$3,1))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7" s="44" t="n">
        <f aca="false">1-AH47/H47</f>
        <v>0.284448775984873</v>
      </c>
      <c r="AV47" s="44" t="n">
        <f aca="false">1-AI47/I47</f>
        <v>0.324530396086195</v>
      </c>
      <c r="AW47" s="44" t="n">
        <f aca="false">1-AJ47/J47</f>
        <v>0.337931079721616</v>
      </c>
      <c r="AX47" s="44" t="n">
        <f aca="false">1-AK47/K47</f>
        <v>0.318510239438779</v>
      </c>
      <c r="AY47" s="44" t="n">
        <f aca="false">1-AL47/L47</f>
        <v>0.365701375691832</v>
      </c>
      <c r="AZ47" s="44" t="n">
        <f aca="false">1-AM47/M47</f>
        <v>0.420709229511831</v>
      </c>
      <c r="BA47" s="44" t="n">
        <f aca="false">1-AN47/N47</f>
        <v>0.350695095008868</v>
      </c>
      <c r="BB47" s="44" t="n">
        <f aca="false">1-AO47/O47</f>
        <v>0.419232633445788</v>
      </c>
      <c r="BC47" s="44" t="n">
        <f aca="false">1-AP47/P47</f>
        <v>0.493280443868681</v>
      </c>
      <c r="BD47" s="44" t="n">
        <f aca="false">1-AQ47/Q47</f>
        <v>0.455794679894486</v>
      </c>
      <c r="BE47" s="44" t="n">
        <f aca="false">1-AR47/R47</f>
        <v>0.489018797268033</v>
      </c>
      <c r="BF47" s="44" t="n">
        <f aca="false">1-AS47/S47</f>
        <v>0.820478024467603</v>
      </c>
      <c r="BG47" s="44" t="n">
        <f aca="false">1-AT47/T47</f>
        <v>0.528263860444042</v>
      </c>
    </row>
    <row r="48" customFormat="false" ht="15" hidden="false" customHeight="false" outlineLevel="0" collapsed="false">
      <c r="A48" s="10" t="s">
        <v>261</v>
      </c>
      <c r="B48" s="10" t="s">
        <v>295</v>
      </c>
      <c r="C48" s="58" t="n">
        <v>27460000</v>
      </c>
      <c r="D48" s="58" t="n">
        <v>27499999</v>
      </c>
      <c r="E48" s="10" t="s">
        <v>24</v>
      </c>
      <c r="F48" s="10" t="s">
        <v>266</v>
      </c>
      <c r="G48" s="10" t="n">
        <f aca="false">COUNTIFS(Pedidos!$C$2:$C$2224,"&gt;="&amp;C48,Pedidos!$C$2:$C$2224,"&lt;="&amp;D48)</f>
        <v>1</v>
      </c>
      <c r="H48" s="40" t="n">
        <v>77.35</v>
      </c>
      <c r="I48" s="40" t="n">
        <v>108.83</v>
      </c>
      <c r="J48" s="40" t="n">
        <v>124.38</v>
      </c>
      <c r="K48" s="40" t="n">
        <v>124.38</v>
      </c>
      <c r="L48" s="40" t="n">
        <v>142.32</v>
      </c>
      <c r="M48" s="40" t="n">
        <v>166.05</v>
      </c>
      <c r="N48" s="40" t="n">
        <v>157.88</v>
      </c>
      <c r="O48" s="40" t="n">
        <v>197.35</v>
      </c>
      <c r="P48" s="40" t="n">
        <v>236.82</v>
      </c>
      <c r="Q48" s="40" t="n">
        <v>264.84</v>
      </c>
      <c r="R48" s="40" t="n">
        <v>300.15</v>
      </c>
      <c r="S48" s="40" t="n">
        <v>353.12</v>
      </c>
      <c r="T48" s="40" t="n">
        <v>441.4</v>
      </c>
      <c r="U48" s="40" t="n">
        <v>46.95</v>
      </c>
      <c r="V48" s="40" t="n">
        <v>65.63</v>
      </c>
      <c r="W48" s="40" t="n">
        <v>74.97</v>
      </c>
      <c r="X48" s="40" t="n">
        <v>77.7</v>
      </c>
      <c r="Y48" s="40" t="n">
        <v>83.58</v>
      </c>
      <c r="Z48" s="40" t="n">
        <v>90.2</v>
      </c>
      <c r="AA48" s="40" t="n">
        <v>96.77</v>
      </c>
      <c r="AB48" s="40" t="n">
        <v>109.63</v>
      </c>
      <c r="AC48" s="40" t="n">
        <v>119.5</v>
      </c>
      <c r="AD48" s="40" t="n">
        <v>144.24</v>
      </c>
      <c r="AE48" s="40" t="n">
        <v>155.09</v>
      </c>
      <c r="AF48" s="40" t="n">
        <v>66.69</v>
      </c>
      <c r="AG48" s="40" t="n">
        <v>214.88</v>
      </c>
      <c r="AH48" s="13" t="n">
        <f aca="false">(U48+AH$4*(Resumo!$C$6+Resumo!$C$7+Resumo!$C$8)+Resumo!$C$10*CEILING(AH$3/100,1)+Resumo!$C$9+Resumo!$C$13+Resumo!$C$14*CEILING(AH$3,1))*(1+Resumo!$C$11)-(AH$4*(Resumo!$B$6+Resumo!$B$7)+Resumo!$B$9+Resumo!$B$10*CEILING(AH$3/100,1)+(Resumo!$B$12+Resumo!$B$14)*CEILING(AH$3,1))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8" s="13" t="n">
        <f aca="false">(V48+AI$4*(Resumo!$C$6+Resumo!$C$7+Resumo!$C$8)+Resumo!$C$10*CEILING(AI$3/100,1)+Resumo!$C$9+Resumo!$C$13+Resumo!$C$14*CEILING(AI$3,1))*(1+Resumo!$C$11)-(AI$4*(Resumo!$B$6+Resumo!$B$7)+Resumo!$B$9+Resumo!$B$10*CEILING(AI$3/100,1)+(Resumo!$B$12+Resumo!$B$14)*CEILING(AI$3,1))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8" s="13" t="n">
        <f aca="false">(W48+AJ$4*(Resumo!$C$6+Resumo!$C$7+Resumo!$C$8)+Resumo!$C$10*CEILING(AJ$3/100,1)+Resumo!$C$9+Resumo!$C$13+Resumo!$C$14*CEILING(AJ$3,1))*(1+Resumo!$C$11)-(AJ$4*(Resumo!$B$6+Resumo!$B$7)+Resumo!$B$9+Resumo!$B$10*CEILING(AJ$3/100,1)+(Resumo!$B$12+Resumo!$B$14)*CEILING(AJ$3,1))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8" s="13" t="n">
        <f aca="false">(X48+AK$4*(Resumo!$C$6+Resumo!$C$7+Resumo!$C$8)+Resumo!$C$10*CEILING(AK$3/100,1)+Resumo!$C$9+Resumo!$C$13+Resumo!$C$14*CEILING(AK$3,1))*(1+Resumo!$C$11)-(AK$4*(Resumo!$B$6+Resumo!$B$7)+Resumo!$B$9+Resumo!$B$10*CEILING(AK$3/100,1)+(Resumo!$B$12+Resumo!$B$14)*CEILING(AK$3,1))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8" s="13" t="n">
        <f aca="false">(Y48+AL$4*(Resumo!$C$6+Resumo!$C$7+Resumo!$C$8)+Resumo!$C$10*CEILING(AL$3/100,1)+Resumo!$C$9+Resumo!$C$13+Resumo!$C$14*CEILING(AL$3,1))*(1+Resumo!$C$11)-(AL$4*(Resumo!$B$6+Resumo!$B$7)+Resumo!$B$9+Resumo!$B$10*CEILING(AL$3/100,1)+(Resumo!$B$12+Resumo!$B$14)*CEILING(AL$3,1))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8" s="13" t="n">
        <f aca="false">(Z48+AM$4*(Resumo!$C$6+Resumo!$C$7+Resumo!$C$8)+Resumo!$C$10*CEILING(AM$3/100,1)+Resumo!$C$9+Resumo!$C$13+Resumo!$C$14*CEILING(AM$3,1))*(1+Resumo!$C$11)-(AM$4*(Resumo!$B$6+Resumo!$B$7)+Resumo!$B$9+Resumo!$B$10*CEILING(AM$3/100,1)+(Resumo!$B$12+Resumo!$B$14)*CEILING(AM$3,1))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8" s="13" t="n">
        <f aca="false">(AA48+AN$4*(Resumo!$C$6+Resumo!$C$7+Resumo!$C$8)+Resumo!$C$10*CEILING(AN$3/100,1)+Resumo!$C$9+Resumo!$C$13+Resumo!$C$14*CEILING(AN$3,1))*(1+Resumo!$C$11)-(AN$4*(Resumo!$B$6+Resumo!$B$7)+Resumo!$B$9+Resumo!$B$10*CEILING(AN$3/100,1)+(Resumo!$B$12+Resumo!$B$14)*CEILING(AN$3,1))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8" s="13" t="n">
        <f aca="false">(AB48+AO$4*(Resumo!$C$6+Resumo!$C$7+Resumo!$C$8)+Resumo!$C$10*CEILING(AO$3/100,1)+Resumo!$C$9+Resumo!$C$13+Resumo!$C$14*CEILING(AO$3,1))*(1+Resumo!$C$11)-(AO$4*(Resumo!$B$6+Resumo!$B$7)+Resumo!$B$9+Resumo!$B$10*CEILING(AO$3/100,1)+(Resumo!$B$12+Resumo!$B$14)*CEILING(AO$3,1))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8" s="13" t="n">
        <f aca="false">(AC48+AP$4*(Resumo!$C$6+Resumo!$C$7+Resumo!$C$8)+Resumo!$C$10*CEILING(AP$3/100,1)+Resumo!$C$9+Resumo!$C$13+Resumo!$C$14*CEILING(AP$3,1))*(1+Resumo!$C$11)-(AP$4*(Resumo!$B$6+Resumo!$B$7)+Resumo!$B$9+Resumo!$B$10*CEILING(AP$3/100,1)+(Resumo!$B$12+Resumo!$B$14)*CEILING(AP$3,1))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8" s="13" t="n">
        <f aca="false">(AD48+AQ$4*(Resumo!$C$6+Resumo!$C$7+Resumo!$C$8)+Resumo!$C$10*CEILING(AQ$3/100,1)+Resumo!$C$9+Resumo!$C$13+Resumo!$C$14*CEILING(AQ$3,1))*(1+Resumo!$C$11)-(AQ$4*(Resumo!$B$6+Resumo!$B$7)+Resumo!$B$9+Resumo!$B$10*CEILING(AQ$3/100,1)+(Resumo!$B$12+Resumo!$B$14)*CEILING(AQ$3,1))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8" s="13" t="n">
        <f aca="false">(AE48+AR$4*(Resumo!$C$6+Resumo!$C$7+Resumo!$C$8)+Resumo!$C$10*CEILING(AR$3/100,1)+Resumo!$C$9+Resumo!$C$13+Resumo!$C$14*CEILING(AR$3,1))*(1+Resumo!$C$11)-(AR$4*(Resumo!$B$6+Resumo!$B$7)+Resumo!$B$9+Resumo!$B$10*CEILING(AR$3/100,1)+(Resumo!$B$12+Resumo!$B$14)*CEILING(AR$3,1))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8" s="13" t="n">
        <f aca="false">(AF48+AS$4*(Resumo!$C$6+Resumo!$C$7+Resumo!$C$8)+Resumo!$C$10*CEILING(AS$3/100,1)+Resumo!$C$9+Resumo!$C$13+Resumo!$C$14*CEILING(AS$3,1))*(1+Resumo!$C$11)-(AS$4*(Resumo!$B$6+Resumo!$B$7)+Resumo!$B$9+Resumo!$B$10*CEILING(AS$3/100,1)+(Resumo!$B$12+Resumo!$B$14)*CEILING(AS$3,1))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8" s="13" t="n">
        <f aca="false">(AG48+AT$4*(Resumo!$C$6+Resumo!$C$7+Resumo!$C$8)+Resumo!$C$10*CEILING(AT$3/100,1)+Resumo!$C$9+Resumo!$C$13+Resumo!$C$14*CEILING(AT$3,1))*(1+Resumo!$C$11)-(AT$4*(Resumo!$B$6+Resumo!$B$7)+Resumo!$B$9+Resumo!$B$10*CEILING(AT$3/100,1)+(Resumo!$B$12+Resumo!$B$14)*CEILING(AT$3,1))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8" s="44" t="n">
        <f aca="false">1-AH48/H48</f>
        <v>0.284448775984873</v>
      </c>
      <c r="AV48" s="44" t="n">
        <f aca="false">1-AI48/I48</f>
        <v>0.324530396086195</v>
      </c>
      <c r="AW48" s="44" t="n">
        <f aca="false">1-AJ48/J48</f>
        <v>0.337931079721616</v>
      </c>
      <c r="AX48" s="44" t="n">
        <f aca="false">1-AK48/K48</f>
        <v>0.318510239438779</v>
      </c>
      <c r="AY48" s="44" t="n">
        <f aca="false">1-AL48/L48</f>
        <v>0.365701375691832</v>
      </c>
      <c r="AZ48" s="44" t="n">
        <f aca="false">1-AM48/M48</f>
        <v>0.420709229511831</v>
      </c>
      <c r="BA48" s="44" t="n">
        <f aca="false">1-AN48/N48</f>
        <v>0.350695095008868</v>
      </c>
      <c r="BB48" s="44" t="n">
        <f aca="false">1-AO48/O48</f>
        <v>0.419232633445788</v>
      </c>
      <c r="BC48" s="44" t="n">
        <f aca="false">1-AP48/P48</f>
        <v>0.493280443868681</v>
      </c>
      <c r="BD48" s="44" t="n">
        <f aca="false">1-AQ48/Q48</f>
        <v>0.455794679894486</v>
      </c>
      <c r="BE48" s="44" t="n">
        <f aca="false">1-AR48/R48</f>
        <v>0.489018797268033</v>
      </c>
      <c r="BF48" s="44" t="n">
        <f aca="false">1-AS48/S48</f>
        <v>0.820478024467603</v>
      </c>
      <c r="BG48" s="44" t="n">
        <f aca="false">1-AT48/T48</f>
        <v>0.528263860444042</v>
      </c>
    </row>
    <row r="49" customFormat="false" ht="15" hidden="false" customHeight="false" outlineLevel="0" collapsed="false">
      <c r="A49" s="10" t="s">
        <v>261</v>
      </c>
      <c r="B49" s="10" t="s">
        <v>296</v>
      </c>
      <c r="C49" s="58" t="n">
        <v>27500000</v>
      </c>
      <c r="D49" s="58" t="n">
        <v>27569999</v>
      </c>
      <c r="E49" s="10" t="s">
        <v>24</v>
      </c>
      <c r="F49" s="10" t="s">
        <v>266</v>
      </c>
      <c r="G49" s="10" t="n">
        <f aca="false">COUNTIFS(Pedidos!$C$2:$C$2224,"&gt;="&amp;C49,Pedidos!$C$2:$C$2224,"&lt;="&amp;D49)</f>
        <v>13</v>
      </c>
      <c r="H49" s="40" t="n">
        <v>77.35</v>
      </c>
      <c r="I49" s="40" t="n">
        <v>108.83</v>
      </c>
      <c r="J49" s="40" t="n">
        <v>124.38</v>
      </c>
      <c r="K49" s="40" t="n">
        <v>124.38</v>
      </c>
      <c r="L49" s="40" t="n">
        <v>142.32</v>
      </c>
      <c r="M49" s="40" t="n">
        <v>166.05</v>
      </c>
      <c r="N49" s="40" t="n">
        <v>157.88</v>
      </c>
      <c r="O49" s="40" t="n">
        <v>197.35</v>
      </c>
      <c r="P49" s="40" t="n">
        <v>236.82</v>
      </c>
      <c r="Q49" s="40" t="n">
        <v>264.84</v>
      </c>
      <c r="R49" s="40" t="n">
        <v>300.15</v>
      </c>
      <c r="S49" s="40" t="n">
        <v>353.12</v>
      </c>
      <c r="T49" s="40" t="n">
        <v>441.4</v>
      </c>
      <c r="U49" s="40" t="n">
        <v>46.95</v>
      </c>
      <c r="V49" s="40" t="n">
        <v>65.63</v>
      </c>
      <c r="W49" s="40" t="n">
        <v>74.97</v>
      </c>
      <c r="X49" s="40" t="n">
        <v>77.7</v>
      </c>
      <c r="Y49" s="40" t="n">
        <v>83.58</v>
      </c>
      <c r="Z49" s="40" t="n">
        <v>90.2</v>
      </c>
      <c r="AA49" s="40" t="n">
        <v>96.77</v>
      </c>
      <c r="AB49" s="40" t="n">
        <v>109.63</v>
      </c>
      <c r="AC49" s="40" t="n">
        <v>119.5</v>
      </c>
      <c r="AD49" s="40" t="n">
        <v>144.24</v>
      </c>
      <c r="AE49" s="40" t="n">
        <v>155.09</v>
      </c>
      <c r="AF49" s="40" t="n">
        <v>66.69</v>
      </c>
      <c r="AG49" s="40" t="n">
        <v>214.88</v>
      </c>
      <c r="AH49" s="13" t="n">
        <f aca="false">(U49+AH$4*(Resumo!$C$6+Resumo!$C$7+Resumo!$C$8)+Resumo!$C$10*CEILING(AH$3/100,1)+Resumo!$C$9+Resumo!$C$13+Resumo!$C$14*CEILING(AH$3,1))*(1+Resumo!$C$11)-(AH$4*(Resumo!$B$6+Resumo!$B$7)+Resumo!$B$9+Resumo!$B$10*CEILING(AH$3/100,1)+(Resumo!$B$12+Resumo!$B$14)*CEILING(AH$3,1))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49" s="13" t="n">
        <f aca="false">(V49+AI$4*(Resumo!$C$6+Resumo!$C$7+Resumo!$C$8)+Resumo!$C$10*CEILING(AI$3/100,1)+Resumo!$C$9+Resumo!$C$13+Resumo!$C$14*CEILING(AI$3,1))*(1+Resumo!$C$11)-(AI$4*(Resumo!$B$6+Resumo!$B$7)+Resumo!$B$9+Resumo!$B$10*CEILING(AI$3/100,1)+(Resumo!$B$12+Resumo!$B$14)*CEILING(AI$3,1))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49" s="13" t="n">
        <f aca="false">(W49+AJ$4*(Resumo!$C$6+Resumo!$C$7+Resumo!$C$8)+Resumo!$C$10*CEILING(AJ$3/100,1)+Resumo!$C$9+Resumo!$C$13+Resumo!$C$14*CEILING(AJ$3,1))*(1+Resumo!$C$11)-(AJ$4*(Resumo!$B$6+Resumo!$B$7)+Resumo!$B$9+Resumo!$B$10*CEILING(AJ$3/100,1)+(Resumo!$B$12+Resumo!$B$14)*CEILING(AJ$3,1))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49" s="13" t="n">
        <f aca="false">(X49+AK$4*(Resumo!$C$6+Resumo!$C$7+Resumo!$C$8)+Resumo!$C$10*CEILING(AK$3/100,1)+Resumo!$C$9+Resumo!$C$13+Resumo!$C$14*CEILING(AK$3,1))*(1+Resumo!$C$11)-(AK$4*(Resumo!$B$6+Resumo!$B$7)+Resumo!$B$9+Resumo!$B$10*CEILING(AK$3/100,1)+(Resumo!$B$12+Resumo!$B$14)*CEILING(AK$3,1))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49" s="13" t="n">
        <f aca="false">(Y49+AL$4*(Resumo!$C$6+Resumo!$C$7+Resumo!$C$8)+Resumo!$C$10*CEILING(AL$3/100,1)+Resumo!$C$9+Resumo!$C$13+Resumo!$C$14*CEILING(AL$3,1))*(1+Resumo!$C$11)-(AL$4*(Resumo!$B$6+Resumo!$B$7)+Resumo!$B$9+Resumo!$B$10*CEILING(AL$3/100,1)+(Resumo!$B$12+Resumo!$B$14)*CEILING(AL$3,1))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49" s="13" t="n">
        <f aca="false">(Z49+AM$4*(Resumo!$C$6+Resumo!$C$7+Resumo!$C$8)+Resumo!$C$10*CEILING(AM$3/100,1)+Resumo!$C$9+Resumo!$C$13+Resumo!$C$14*CEILING(AM$3,1))*(1+Resumo!$C$11)-(AM$4*(Resumo!$B$6+Resumo!$B$7)+Resumo!$B$9+Resumo!$B$10*CEILING(AM$3/100,1)+(Resumo!$B$12+Resumo!$B$14)*CEILING(AM$3,1))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49" s="13" t="n">
        <f aca="false">(AA49+AN$4*(Resumo!$C$6+Resumo!$C$7+Resumo!$C$8)+Resumo!$C$10*CEILING(AN$3/100,1)+Resumo!$C$9+Resumo!$C$13+Resumo!$C$14*CEILING(AN$3,1))*(1+Resumo!$C$11)-(AN$4*(Resumo!$B$6+Resumo!$B$7)+Resumo!$B$9+Resumo!$B$10*CEILING(AN$3/100,1)+(Resumo!$B$12+Resumo!$B$14)*CEILING(AN$3,1))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49" s="13" t="n">
        <f aca="false">(AB49+AO$4*(Resumo!$C$6+Resumo!$C$7+Resumo!$C$8)+Resumo!$C$10*CEILING(AO$3/100,1)+Resumo!$C$9+Resumo!$C$13+Resumo!$C$14*CEILING(AO$3,1))*(1+Resumo!$C$11)-(AO$4*(Resumo!$B$6+Resumo!$B$7)+Resumo!$B$9+Resumo!$B$10*CEILING(AO$3/100,1)+(Resumo!$B$12+Resumo!$B$14)*CEILING(AO$3,1))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49" s="13" t="n">
        <f aca="false">(AC49+AP$4*(Resumo!$C$6+Resumo!$C$7+Resumo!$C$8)+Resumo!$C$10*CEILING(AP$3/100,1)+Resumo!$C$9+Resumo!$C$13+Resumo!$C$14*CEILING(AP$3,1))*(1+Resumo!$C$11)-(AP$4*(Resumo!$B$6+Resumo!$B$7)+Resumo!$B$9+Resumo!$B$10*CEILING(AP$3/100,1)+(Resumo!$B$12+Resumo!$B$14)*CEILING(AP$3,1))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49" s="13" t="n">
        <f aca="false">(AD49+AQ$4*(Resumo!$C$6+Resumo!$C$7+Resumo!$C$8)+Resumo!$C$10*CEILING(AQ$3/100,1)+Resumo!$C$9+Resumo!$C$13+Resumo!$C$14*CEILING(AQ$3,1))*(1+Resumo!$C$11)-(AQ$4*(Resumo!$B$6+Resumo!$B$7)+Resumo!$B$9+Resumo!$B$10*CEILING(AQ$3/100,1)+(Resumo!$B$12+Resumo!$B$14)*CEILING(AQ$3,1))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49" s="13" t="n">
        <f aca="false">(AE49+AR$4*(Resumo!$C$6+Resumo!$C$7+Resumo!$C$8)+Resumo!$C$10*CEILING(AR$3/100,1)+Resumo!$C$9+Resumo!$C$13+Resumo!$C$14*CEILING(AR$3,1))*(1+Resumo!$C$11)-(AR$4*(Resumo!$B$6+Resumo!$B$7)+Resumo!$B$9+Resumo!$B$10*CEILING(AR$3/100,1)+(Resumo!$B$12+Resumo!$B$14)*CEILING(AR$3,1))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49" s="13" t="n">
        <f aca="false">(AF49+AS$4*(Resumo!$C$6+Resumo!$C$7+Resumo!$C$8)+Resumo!$C$10*CEILING(AS$3/100,1)+Resumo!$C$9+Resumo!$C$13+Resumo!$C$14*CEILING(AS$3,1))*(1+Resumo!$C$11)-(AS$4*(Resumo!$B$6+Resumo!$B$7)+Resumo!$B$9+Resumo!$B$10*CEILING(AS$3/100,1)+(Resumo!$B$12+Resumo!$B$14)*CEILING(AS$3,1))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49" s="13" t="n">
        <f aca="false">(AG49+AT$4*(Resumo!$C$6+Resumo!$C$7+Resumo!$C$8)+Resumo!$C$10*CEILING(AT$3/100,1)+Resumo!$C$9+Resumo!$C$13+Resumo!$C$14*CEILING(AT$3,1))*(1+Resumo!$C$11)-(AT$4*(Resumo!$B$6+Resumo!$B$7)+Resumo!$B$9+Resumo!$B$10*CEILING(AT$3/100,1)+(Resumo!$B$12+Resumo!$B$14)*CEILING(AT$3,1))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49" s="44" t="n">
        <f aca="false">1-AH49/H49</f>
        <v>0.284448775984873</v>
      </c>
      <c r="AV49" s="44" t="n">
        <f aca="false">1-AI49/I49</f>
        <v>0.324530396086195</v>
      </c>
      <c r="AW49" s="44" t="n">
        <f aca="false">1-AJ49/J49</f>
        <v>0.337931079721616</v>
      </c>
      <c r="AX49" s="44" t="n">
        <f aca="false">1-AK49/K49</f>
        <v>0.318510239438779</v>
      </c>
      <c r="AY49" s="44" t="n">
        <f aca="false">1-AL49/L49</f>
        <v>0.365701375691832</v>
      </c>
      <c r="AZ49" s="44" t="n">
        <f aca="false">1-AM49/M49</f>
        <v>0.420709229511831</v>
      </c>
      <c r="BA49" s="44" t="n">
        <f aca="false">1-AN49/N49</f>
        <v>0.350695095008868</v>
      </c>
      <c r="BB49" s="44" t="n">
        <f aca="false">1-AO49/O49</f>
        <v>0.419232633445788</v>
      </c>
      <c r="BC49" s="44" t="n">
        <f aca="false">1-AP49/P49</f>
        <v>0.493280443868681</v>
      </c>
      <c r="BD49" s="44" t="n">
        <f aca="false">1-AQ49/Q49</f>
        <v>0.455794679894486</v>
      </c>
      <c r="BE49" s="44" t="n">
        <f aca="false">1-AR49/R49</f>
        <v>0.489018797268033</v>
      </c>
      <c r="BF49" s="44" t="n">
        <f aca="false">1-AS49/S49</f>
        <v>0.820478024467603</v>
      </c>
      <c r="BG49" s="44" t="n">
        <f aca="false">1-AT49/T49</f>
        <v>0.528263860444042</v>
      </c>
    </row>
    <row r="50" customFormat="false" ht="15" hidden="false" customHeight="false" outlineLevel="0" collapsed="false">
      <c r="A50" s="10" t="s">
        <v>261</v>
      </c>
      <c r="B50" s="10" t="s">
        <v>297</v>
      </c>
      <c r="C50" s="58" t="n">
        <v>27570000</v>
      </c>
      <c r="D50" s="58" t="n">
        <v>27579999</v>
      </c>
      <c r="E50" s="10" t="s">
        <v>24</v>
      </c>
      <c r="F50" s="10" t="s">
        <v>266</v>
      </c>
      <c r="G50" s="10" t="n">
        <f aca="false">COUNTIFS(Pedidos!$C$2:$C$2224,"&gt;="&amp;C50,Pedidos!$C$2:$C$2224,"&lt;="&amp;D50)</f>
        <v>0</v>
      </c>
      <c r="H50" s="40" t="n">
        <v>77.35</v>
      </c>
      <c r="I50" s="40" t="n">
        <v>108.83</v>
      </c>
      <c r="J50" s="40" t="n">
        <v>124.38</v>
      </c>
      <c r="K50" s="40" t="n">
        <v>124.38</v>
      </c>
      <c r="L50" s="40" t="n">
        <v>142.32</v>
      </c>
      <c r="M50" s="40" t="n">
        <v>166.05</v>
      </c>
      <c r="N50" s="40" t="n">
        <v>157.88</v>
      </c>
      <c r="O50" s="40" t="n">
        <v>197.35</v>
      </c>
      <c r="P50" s="40" t="n">
        <v>236.82</v>
      </c>
      <c r="Q50" s="40" t="n">
        <v>264.84</v>
      </c>
      <c r="R50" s="40" t="n">
        <v>300.15</v>
      </c>
      <c r="S50" s="40" t="n">
        <v>353.12</v>
      </c>
      <c r="T50" s="40" t="n">
        <v>441.4</v>
      </c>
      <c r="U50" s="40" t="n">
        <v>46.95</v>
      </c>
      <c r="V50" s="40" t="n">
        <v>65.63</v>
      </c>
      <c r="W50" s="40" t="n">
        <v>74.97</v>
      </c>
      <c r="X50" s="40" t="n">
        <v>77.7</v>
      </c>
      <c r="Y50" s="40" t="n">
        <v>83.58</v>
      </c>
      <c r="Z50" s="40" t="n">
        <v>90.2</v>
      </c>
      <c r="AA50" s="40" t="n">
        <v>96.77</v>
      </c>
      <c r="AB50" s="40" t="n">
        <v>109.63</v>
      </c>
      <c r="AC50" s="40" t="n">
        <v>119.5</v>
      </c>
      <c r="AD50" s="40" t="n">
        <v>144.24</v>
      </c>
      <c r="AE50" s="40" t="n">
        <v>155.09</v>
      </c>
      <c r="AF50" s="40" t="n">
        <v>66.69</v>
      </c>
      <c r="AG50" s="40" t="n">
        <v>214.88</v>
      </c>
      <c r="AH50" s="13" t="n">
        <f aca="false">(U50+AH$4*(Resumo!$C$6+Resumo!$C$7+Resumo!$C$8)+Resumo!$C$10*CEILING(AH$3/100,1)+Resumo!$C$9+Resumo!$C$13+Resumo!$C$14*CEILING(AH$3,1))*(1+Resumo!$C$11)-(AH$4*(Resumo!$B$6+Resumo!$B$7)+Resumo!$B$9+Resumo!$B$10*CEILING(AH$3/100,1)+(Resumo!$B$12+Resumo!$B$14)*CEILING(AH$3,1))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0" s="13" t="n">
        <f aca="false">(V50+AI$4*(Resumo!$C$6+Resumo!$C$7+Resumo!$C$8)+Resumo!$C$10*CEILING(AI$3/100,1)+Resumo!$C$9+Resumo!$C$13+Resumo!$C$14*CEILING(AI$3,1))*(1+Resumo!$C$11)-(AI$4*(Resumo!$B$6+Resumo!$B$7)+Resumo!$B$9+Resumo!$B$10*CEILING(AI$3/100,1)+(Resumo!$B$12+Resumo!$B$14)*CEILING(AI$3,1))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0" s="13" t="n">
        <f aca="false">(W50+AJ$4*(Resumo!$C$6+Resumo!$C$7+Resumo!$C$8)+Resumo!$C$10*CEILING(AJ$3/100,1)+Resumo!$C$9+Resumo!$C$13+Resumo!$C$14*CEILING(AJ$3,1))*(1+Resumo!$C$11)-(AJ$4*(Resumo!$B$6+Resumo!$B$7)+Resumo!$B$9+Resumo!$B$10*CEILING(AJ$3/100,1)+(Resumo!$B$12+Resumo!$B$14)*CEILING(AJ$3,1))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0" s="13" t="n">
        <f aca="false">(X50+AK$4*(Resumo!$C$6+Resumo!$C$7+Resumo!$C$8)+Resumo!$C$10*CEILING(AK$3/100,1)+Resumo!$C$9+Resumo!$C$13+Resumo!$C$14*CEILING(AK$3,1))*(1+Resumo!$C$11)-(AK$4*(Resumo!$B$6+Resumo!$B$7)+Resumo!$B$9+Resumo!$B$10*CEILING(AK$3/100,1)+(Resumo!$B$12+Resumo!$B$14)*CEILING(AK$3,1))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0" s="13" t="n">
        <f aca="false">(Y50+AL$4*(Resumo!$C$6+Resumo!$C$7+Resumo!$C$8)+Resumo!$C$10*CEILING(AL$3/100,1)+Resumo!$C$9+Resumo!$C$13+Resumo!$C$14*CEILING(AL$3,1))*(1+Resumo!$C$11)-(AL$4*(Resumo!$B$6+Resumo!$B$7)+Resumo!$B$9+Resumo!$B$10*CEILING(AL$3/100,1)+(Resumo!$B$12+Resumo!$B$14)*CEILING(AL$3,1))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0" s="13" t="n">
        <f aca="false">(Z50+AM$4*(Resumo!$C$6+Resumo!$C$7+Resumo!$C$8)+Resumo!$C$10*CEILING(AM$3/100,1)+Resumo!$C$9+Resumo!$C$13+Resumo!$C$14*CEILING(AM$3,1))*(1+Resumo!$C$11)-(AM$4*(Resumo!$B$6+Resumo!$B$7)+Resumo!$B$9+Resumo!$B$10*CEILING(AM$3/100,1)+(Resumo!$B$12+Resumo!$B$14)*CEILING(AM$3,1))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0" s="13" t="n">
        <f aca="false">(AA50+AN$4*(Resumo!$C$6+Resumo!$C$7+Resumo!$C$8)+Resumo!$C$10*CEILING(AN$3/100,1)+Resumo!$C$9+Resumo!$C$13+Resumo!$C$14*CEILING(AN$3,1))*(1+Resumo!$C$11)-(AN$4*(Resumo!$B$6+Resumo!$B$7)+Resumo!$B$9+Resumo!$B$10*CEILING(AN$3/100,1)+(Resumo!$B$12+Resumo!$B$14)*CEILING(AN$3,1))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0" s="13" t="n">
        <f aca="false">(AB50+AO$4*(Resumo!$C$6+Resumo!$C$7+Resumo!$C$8)+Resumo!$C$10*CEILING(AO$3/100,1)+Resumo!$C$9+Resumo!$C$13+Resumo!$C$14*CEILING(AO$3,1))*(1+Resumo!$C$11)-(AO$4*(Resumo!$B$6+Resumo!$B$7)+Resumo!$B$9+Resumo!$B$10*CEILING(AO$3/100,1)+(Resumo!$B$12+Resumo!$B$14)*CEILING(AO$3,1))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0" s="13" t="n">
        <f aca="false">(AC50+AP$4*(Resumo!$C$6+Resumo!$C$7+Resumo!$C$8)+Resumo!$C$10*CEILING(AP$3/100,1)+Resumo!$C$9+Resumo!$C$13+Resumo!$C$14*CEILING(AP$3,1))*(1+Resumo!$C$11)-(AP$4*(Resumo!$B$6+Resumo!$B$7)+Resumo!$B$9+Resumo!$B$10*CEILING(AP$3/100,1)+(Resumo!$B$12+Resumo!$B$14)*CEILING(AP$3,1))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0" s="13" t="n">
        <f aca="false">(AD50+AQ$4*(Resumo!$C$6+Resumo!$C$7+Resumo!$C$8)+Resumo!$C$10*CEILING(AQ$3/100,1)+Resumo!$C$9+Resumo!$C$13+Resumo!$C$14*CEILING(AQ$3,1))*(1+Resumo!$C$11)-(AQ$4*(Resumo!$B$6+Resumo!$B$7)+Resumo!$B$9+Resumo!$B$10*CEILING(AQ$3/100,1)+(Resumo!$B$12+Resumo!$B$14)*CEILING(AQ$3,1))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0" s="13" t="n">
        <f aca="false">(AE50+AR$4*(Resumo!$C$6+Resumo!$C$7+Resumo!$C$8)+Resumo!$C$10*CEILING(AR$3/100,1)+Resumo!$C$9+Resumo!$C$13+Resumo!$C$14*CEILING(AR$3,1))*(1+Resumo!$C$11)-(AR$4*(Resumo!$B$6+Resumo!$B$7)+Resumo!$B$9+Resumo!$B$10*CEILING(AR$3/100,1)+(Resumo!$B$12+Resumo!$B$14)*CEILING(AR$3,1))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0" s="13" t="n">
        <f aca="false">(AF50+AS$4*(Resumo!$C$6+Resumo!$C$7+Resumo!$C$8)+Resumo!$C$10*CEILING(AS$3/100,1)+Resumo!$C$9+Resumo!$C$13+Resumo!$C$14*CEILING(AS$3,1))*(1+Resumo!$C$11)-(AS$4*(Resumo!$B$6+Resumo!$B$7)+Resumo!$B$9+Resumo!$B$10*CEILING(AS$3/100,1)+(Resumo!$B$12+Resumo!$B$14)*CEILING(AS$3,1))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0" s="13" t="n">
        <f aca="false">(AG50+AT$4*(Resumo!$C$6+Resumo!$C$7+Resumo!$C$8)+Resumo!$C$10*CEILING(AT$3/100,1)+Resumo!$C$9+Resumo!$C$13+Resumo!$C$14*CEILING(AT$3,1))*(1+Resumo!$C$11)-(AT$4*(Resumo!$B$6+Resumo!$B$7)+Resumo!$B$9+Resumo!$B$10*CEILING(AT$3/100,1)+(Resumo!$B$12+Resumo!$B$14)*CEILING(AT$3,1))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0" s="44" t="n">
        <f aca="false">1-AH50/H50</f>
        <v>0.284448775984873</v>
      </c>
      <c r="AV50" s="44" t="n">
        <f aca="false">1-AI50/I50</f>
        <v>0.324530396086195</v>
      </c>
      <c r="AW50" s="44" t="n">
        <f aca="false">1-AJ50/J50</f>
        <v>0.337931079721616</v>
      </c>
      <c r="AX50" s="44" t="n">
        <f aca="false">1-AK50/K50</f>
        <v>0.318510239438779</v>
      </c>
      <c r="AY50" s="44" t="n">
        <f aca="false">1-AL50/L50</f>
        <v>0.365701375691832</v>
      </c>
      <c r="AZ50" s="44" t="n">
        <f aca="false">1-AM50/M50</f>
        <v>0.420709229511831</v>
      </c>
      <c r="BA50" s="44" t="n">
        <f aca="false">1-AN50/N50</f>
        <v>0.350695095008868</v>
      </c>
      <c r="BB50" s="44" t="n">
        <f aca="false">1-AO50/O50</f>
        <v>0.419232633445788</v>
      </c>
      <c r="BC50" s="44" t="n">
        <f aca="false">1-AP50/P50</f>
        <v>0.493280443868681</v>
      </c>
      <c r="BD50" s="44" t="n">
        <f aca="false">1-AQ50/Q50</f>
        <v>0.455794679894486</v>
      </c>
      <c r="BE50" s="44" t="n">
        <f aca="false">1-AR50/R50</f>
        <v>0.489018797268033</v>
      </c>
      <c r="BF50" s="44" t="n">
        <f aca="false">1-AS50/S50</f>
        <v>0.820478024467603</v>
      </c>
      <c r="BG50" s="44" t="n">
        <f aca="false">1-AT50/T50</f>
        <v>0.528263860444042</v>
      </c>
    </row>
    <row r="51" customFormat="false" ht="15" hidden="false" customHeight="false" outlineLevel="0" collapsed="false">
      <c r="A51" s="10" t="s">
        <v>261</v>
      </c>
      <c r="B51" s="10" t="s">
        <v>298</v>
      </c>
      <c r="C51" s="58" t="n">
        <v>27580000</v>
      </c>
      <c r="D51" s="58" t="n">
        <v>27599999</v>
      </c>
      <c r="E51" s="10" t="s">
        <v>24</v>
      </c>
      <c r="F51" s="10" t="s">
        <v>266</v>
      </c>
      <c r="G51" s="10" t="n">
        <f aca="false">COUNTIFS(Pedidos!$C$2:$C$2224,"&gt;="&amp;C51,Pedidos!$C$2:$C$2224,"&lt;="&amp;D51)</f>
        <v>4</v>
      </c>
      <c r="H51" s="40" t="n">
        <v>77.35</v>
      </c>
      <c r="I51" s="40" t="n">
        <v>108.83</v>
      </c>
      <c r="J51" s="40" t="n">
        <v>124.38</v>
      </c>
      <c r="K51" s="40" t="n">
        <v>124.38</v>
      </c>
      <c r="L51" s="40" t="n">
        <v>142.32</v>
      </c>
      <c r="M51" s="40" t="n">
        <v>166.05</v>
      </c>
      <c r="N51" s="40" t="n">
        <v>157.88</v>
      </c>
      <c r="O51" s="40" t="n">
        <v>197.35</v>
      </c>
      <c r="P51" s="40" t="n">
        <v>236.82</v>
      </c>
      <c r="Q51" s="40" t="n">
        <v>264.84</v>
      </c>
      <c r="R51" s="40" t="n">
        <v>300.15</v>
      </c>
      <c r="S51" s="40" t="n">
        <v>353.12</v>
      </c>
      <c r="T51" s="40" t="n">
        <v>441.4</v>
      </c>
      <c r="U51" s="40" t="n">
        <v>46.95</v>
      </c>
      <c r="V51" s="40" t="n">
        <v>65.63</v>
      </c>
      <c r="W51" s="40" t="n">
        <v>74.97</v>
      </c>
      <c r="X51" s="40" t="n">
        <v>77.7</v>
      </c>
      <c r="Y51" s="40" t="n">
        <v>83.58</v>
      </c>
      <c r="Z51" s="40" t="n">
        <v>90.2</v>
      </c>
      <c r="AA51" s="40" t="n">
        <v>96.77</v>
      </c>
      <c r="AB51" s="40" t="n">
        <v>109.63</v>
      </c>
      <c r="AC51" s="40" t="n">
        <v>119.5</v>
      </c>
      <c r="AD51" s="40" t="n">
        <v>144.24</v>
      </c>
      <c r="AE51" s="40" t="n">
        <v>155.09</v>
      </c>
      <c r="AF51" s="40" t="n">
        <v>66.69</v>
      </c>
      <c r="AG51" s="40" t="n">
        <v>214.88</v>
      </c>
      <c r="AH51" s="13" t="n">
        <f aca="false">(U51+AH$4*(Resumo!$C$6+Resumo!$C$7+Resumo!$C$8)+Resumo!$C$10*CEILING(AH$3/100,1)+Resumo!$C$9+Resumo!$C$13+Resumo!$C$14*CEILING(AH$3,1))*(1+Resumo!$C$11)-(AH$4*(Resumo!$B$6+Resumo!$B$7)+Resumo!$B$9+Resumo!$B$10*CEILING(AH$3/100,1)+(Resumo!$B$12+Resumo!$B$14)*CEILING(AH$3,1))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1" s="13" t="n">
        <f aca="false">(V51+AI$4*(Resumo!$C$6+Resumo!$C$7+Resumo!$C$8)+Resumo!$C$10*CEILING(AI$3/100,1)+Resumo!$C$9+Resumo!$C$13+Resumo!$C$14*CEILING(AI$3,1))*(1+Resumo!$C$11)-(AI$4*(Resumo!$B$6+Resumo!$B$7)+Resumo!$B$9+Resumo!$B$10*CEILING(AI$3/100,1)+(Resumo!$B$12+Resumo!$B$14)*CEILING(AI$3,1))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1" s="13" t="n">
        <f aca="false">(W51+AJ$4*(Resumo!$C$6+Resumo!$C$7+Resumo!$C$8)+Resumo!$C$10*CEILING(AJ$3/100,1)+Resumo!$C$9+Resumo!$C$13+Resumo!$C$14*CEILING(AJ$3,1))*(1+Resumo!$C$11)-(AJ$4*(Resumo!$B$6+Resumo!$B$7)+Resumo!$B$9+Resumo!$B$10*CEILING(AJ$3/100,1)+(Resumo!$B$12+Resumo!$B$14)*CEILING(AJ$3,1))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1" s="13" t="n">
        <f aca="false">(X51+AK$4*(Resumo!$C$6+Resumo!$C$7+Resumo!$C$8)+Resumo!$C$10*CEILING(AK$3/100,1)+Resumo!$C$9+Resumo!$C$13+Resumo!$C$14*CEILING(AK$3,1))*(1+Resumo!$C$11)-(AK$4*(Resumo!$B$6+Resumo!$B$7)+Resumo!$B$9+Resumo!$B$10*CEILING(AK$3/100,1)+(Resumo!$B$12+Resumo!$B$14)*CEILING(AK$3,1))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1" s="13" t="n">
        <f aca="false">(Y51+AL$4*(Resumo!$C$6+Resumo!$C$7+Resumo!$C$8)+Resumo!$C$10*CEILING(AL$3/100,1)+Resumo!$C$9+Resumo!$C$13+Resumo!$C$14*CEILING(AL$3,1))*(1+Resumo!$C$11)-(AL$4*(Resumo!$B$6+Resumo!$B$7)+Resumo!$B$9+Resumo!$B$10*CEILING(AL$3/100,1)+(Resumo!$B$12+Resumo!$B$14)*CEILING(AL$3,1))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1" s="13" t="n">
        <f aca="false">(Z51+AM$4*(Resumo!$C$6+Resumo!$C$7+Resumo!$C$8)+Resumo!$C$10*CEILING(AM$3/100,1)+Resumo!$C$9+Resumo!$C$13+Resumo!$C$14*CEILING(AM$3,1))*(1+Resumo!$C$11)-(AM$4*(Resumo!$B$6+Resumo!$B$7)+Resumo!$B$9+Resumo!$B$10*CEILING(AM$3/100,1)+(Resumo!$B$12+Resumo!$B$14)*CEILING(AM$3,1))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1" s="13" t="n">
        <f aca="false">(AA51+AN$4*(Resumo!$C$6+Resumo!$C$7+Resumo!$C$8)+Resumo!$C$10*CEILING(AN$3/100,1)+Resumo!$C$9+Resumo!$C$13+Resumo!$C$14*CEILING(AN$3,1))*(1+Resumo!$C$11)-(AN$4*(Resumo!$B$6+Resumo!$B$7)+Resumo!$B$9+Resumo!$B$10*CEILING(AN$3/100,1)+(Resumo!$B$12+Resumo!$B$14)*CEILING(AN$3,1))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1" s="13" t="n">
        <f aca="false">(AB51+AO$4*(Resumo!$C$6+Resumo!$C$7+Resumo!$C$8)+Resumo!$C$10*CEILING(AO$3/100,1)+Resumo!$C$9+Resumo!$C$13+Resumo!$C$14*CEILING(AO$3,1))*(1+Resumo!$C$11)-(AO$4*(Resumo!$B$6+Resumo!$B$7)+Resumo!$B$9+Resumo!$B$10*CEILING(AO$3/100,1)+(Resumo!$B$12+Resumo!$B$14)*CEILING(AO$3,1))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1" s="13" t="n">
        <f aca="false">(AC51+AP$4*(Resumo!$C$6+Resumo!$C$7+Resumo!$C$8)+Resumo!$C$10*CEILING(AP$3/100,1)+Resumo!$C$9+Resumo!$C$13+Resumo!$C$14*CEILING(AP$3,1))*(1+Resumo!$C$11)-(AP$4*(Resumo!$B$6+Resumo!$B$7)+Resumo!$B$9+Resumo!$B$10*CEILING(AP$3/100,1)+(Resumo!$B$12+Resumo!$B$14)*CEILING(AP$3,1))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1" s="13" t="n">
        <f aca="false">(AD51+AQ$4*(Resumo!$C$6+Resumo!$C$7+Resumo!$C$8)+Resumo!$C$10*CEILING(AQ$3/100,1)+Resumo!$C$9+Resumo!$C$13+Resumo!$C$14*CEILING(AQ$3,1))*(1+Resumo!$C$11)-(AQ$4*(Resumo!$B$6+Resumo!$B$7)+Resumo!$B$9+Resumo!$B$10*CEILING(AQ$3/100,1)+(Resumo!$B$12+Resumo!$B$14)*CEILING(AQ$3,1))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1" s="13" t="n">
        <f aca="false">(AE51+AR$4*(Resumo!$C$6+Resumo!$C$7+Resumo!$C$8)+Resumo!$C$10*CEILING(AR$3/100,1)+Resumo!$C$9+Resumo!$C$13+Resumo!$C$14*CEILING(AR$3,1))*(1+Resumo!$C$11)-(AR$4*(Resumo!$B$6+Resumo!$B$7)+Resumo!$B$9+Resumo!$B$10*CEILING(AR$3/100,1)+(Resumo!$B$12+Resumo!$B$14)*CEILING(AR$3,1))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1" s="13" t="n">
        <f aca="false">(AF51+AS$4*(Resumo!$C$6+Resumo!$C$7+Resumo!$C$8)+Resumo!$C$10*CEILING(AS$3/100,1)+Resumo!$C$9+Resumo!$C$13+Resumo!$C$14*CEILING(AS$3,1))*(1+Resumo!$C$11)-(AS$4*(Resumo!$B$6+Resumo!$B$7)+Resumo!$B$9+Resumo!$B$10*CEILING(AS$3/100,1)+(Resumo!$B$12+Resumo!$B$14)*CEILING(AS$3,1))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1" s="13" t="n">
        <f aca="false">(AG51+AT$4*(Resumo!$C$6+Resumo!$C$7+Resumo!$C$8)+Resumo!$C$10*CEILING(AT$3/100,1)+Resumo!$C$9+Resumo!$C$13+Resumo!$C$14*CEILING(AT$3,1))*(1+Resumo!$C$11)-(AT$4*(Resumo!$B$6+Resumo!$B$7)+Resumo!$B$9+Resumo!$B$10*CEILING(AT$3/100,1)+(Resumo!$B$12+Resumo!$B$14)*CEILING(AT$3,1))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1" s="44" t="n">
        <f aca="false">1-AH51/H51</f>
        <v>0.284448775984873</v>
      </c>
      <c r="AV51" s="44" t="n">
        <f aca="false">1-AI51/I51</f>
        <v>0.324530396086195</v>
      </c>
      <c r="AW51" s="44" t="n">
        <f aca="false">1-AJ51/J51</f>
        <v>0.337931079721616</v>
      </c>
      <c r="AX51" s="44" t="n">
        <f aca="false">1-AK51/K51</f>
        <v>0.318510239438779</v>
      </c>
      <c r="AY51" s="44" t="n">
        <f aca="false">1-AL51/L51</f>
        <v>0.365701375691832</v>
      </c>
      <c r="AZ51" s="44" t="n">
        <f aca="false">1-AM51/M51</f>
        <v>0.420709229511831</v>
      </c>
      <c r="BA51" s="44" t="n">
        <f aca="false">1-AN51/N51</f>
        <v>0.350695095008868</v>
      </c>
      <c r="BB51" s="44" t="n">
        <f aca="false">1-AO51/O51</f>
        <v>0.419232633445788</v>
      </c>
      <c r="BC51" s="44" t="n">
        <f aca="false">1-AP51/P51</f>
        <v>0.493280443868681</v>
      </c>
      <c r="BD51" s="44" t="n">
        <f aca="false">1-AQ51/Q51</f>
        <v>0.455794679894486</v>
      </c>
      <c r="BE51" s="44" t="n">
        <f aca="false">1-AR51/R51</f>
        <v>0.489018797268033</v>
      </c>
      <c r="BF51" s="44" t="n">
        <f aca="false">1-AS51/S51</f>
        <v>0.820478024467603</v>
      </c>
      <c r="BG51" s="44" t="n">
        <f aca="false">1-AT51/T51</f>
        <v>0.528263860444042</v>
      </c>
    </row>
    <row r="52" customFormat="false" ht="15" hidden="false" customHeight="false" outlineLevel="0" collapsed="false">
      <c r="A52" s="10" t="s">
        <v>261</v>
      </c>
      <c r="B52" s="10" t="s">
        <v>299</v>
      </c>
      <c r="C52" s="58" t="n">
        <v>27600000</v>
      </c>
      <c r="D52" s="58" t="n">
        <v>27659999</v>
      </c>
      <c r="E52" s="10" t="s">
        <v>24</v>
      </c>
      <c r="F52" s="10" t="s">
        <v>266</v>
      </c>
      <c r="G52" s="10" t="n">
        <f aca="false">COUNTIFS(Pedidos!$C$2:$C$2224,"&gt;="&amp;C52,Pedidos!$C$2:$C$2224,"&lt;="&amp;D52)</f>
        <v>3</v>
      </c>
      <c r="H52" s="40" t="n">
        <v>77.35</v>
      </c>
      <c r="I52" s="40" t="n">
        <v>108.83</v>
      </c>
      <c r="J52" s="40" t="n">
        <v>124.38</v>
      </c>
      <c r="K52" s="40" t="n">
        <v>124.38</v>
      </c>
      <c r="L52" s="40" t="n">
        <v>142.32</v>
      </c>
      <c r="M52" s="40" t="n">
        <v>166.05</v>
      </c>
      <c r="N52" s="40" t="n">
        <v>157.88</v>
      </c>
      <c r="O52" s="40" t="n">
        <v>197.35</v>
      </c>
      <c r="P52" s="40" t="n">
        <v>236.82</v>
      </c>
      <c r="Q52" s="40" t="n">
        <v>264.84</v>
      </c>
      <c r="R52" s="40" t="n">
        <v>300.15</v>
      </c>
      <c r="S52" s="40" t="n">
        <v>353.12</v>
      </c>
      <c r="T52" s="40" t="n">
        <v>441.4</v>
      </c>
      <c r="U52" s="40" t="n">
        <v>46.95</v>
      </c>
      <c r="V52" s="40" t="n">
        <v>65.63</v>
      </c>
      <c r="W52" s="40" t="n">
        <v>74.97</v>
      </c>
      <c r="X52" s="40" t="n">
        <v>77.7</v>
      </c>
      <c r="Y52" s="40" t="n">
        <v>83.58</v>
      </c>
      <c r="Z52" s="40" t="n">
        <v>90.2</v>
      </c>
      <c r="AA52" s="40" t="n">
        <v>96.77</v>
      </c>
      <c r="AB52" s="40" t="n">
        <v>109.63</v>
      </c>
      <c r="AC52" s="40" t="n">
        <v>119.5</v>
      </c>
      <c r="AD52" s="40" t="n">
        <v>144.24</v>
      </c>
      <c r="AE52" s="40" t="n">
        <v>155.09</v>
      </c>
      <c r="AF52" s="40" t="n">
        <v>66.69</v>
      </c>
      <c r="AG52" s="40" t="n">
        <v>214.88</v>
      </c>
      <c r="AH52" s="13" t="n">
        <f aca="false">(U52+AH$4*(Resumo!$C$6+Resumo!$C$7+Resumo!$C$8)+Resumo!$C$10*CEILING(AH$3/100,1)+Resumo!$C$9+Resumo!$C$13+Resumo!$C$14*CEILING(AH$3,1))*(1+Resumo!$C$11)-(AH$4*(Resumo!$B$6+Resumo!$B$7)+Resumo!$B$9+Resumo!$B$10*CEILING(AH$3/100,1)+(Resumo!$B$12+Resumo!$B$14)*CEILING(AH$3,1))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2" s="13" t="n">
        <f aca="false">(V52+AI$4*(Resumo!$C$6+Resumo!$C$7+Resumo!$C$8)+Resumo!$C$10*CEILING(AI$3/100,1)+Resumo!$C$9+Resumo!$C$13+Resumo!$C$14*CEILING(AI$3,1))*(1+Resumo!$C$11)-(AI$4*(Resumo!$B$6+Resumo!$B$7)+Resumo!$B$9+Resumo!$B$10*CEILING(AI$3/100,1)+(Resumo!$B$12+Resumo!$B$14)*CEILING(AI$3,1))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2" s="13" t="n">
        <f aca="false">(W52+AJ$4*(Resumo!$C$6+Resumo!$C$7+Resumo!$C$8)+Resumo!$C$10*CEILING(AJ$3/100,1)+Resumo!$C$9+Resumo!$C$13+Resumo!$C$14*CEILING(AJ$3,1))*(1+Resumo!$C$11)-(AJ$4*(Resumo!$B$6+Resumo!$B$7)+Resumo!$B$9+Resumo!$B$10*CEILING(AJ$3/100,1)+(Resumo!$B$12+Resumo!$B$14)*CEILING(AJ$3,1))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2" s="13" t="n">
        <f aca="false">(X52+AK$4*(Resumo!$C$6+Resumo!$C$7+Resumo!$C$8)+Resumo!$C$10*CEILING(AK$3/100,1)+Resumo!$C$9+Resumo!$C$13+Resumo!$C$14*CEILING(AK$3,1))*(1+Resumo!$C$11)-(AK$4*(Resumo!$B$6+Resumo!$B$7)+Resumo!$B$9+Resumo!$B$10*CEILING(AK$3/100,1)+(Resumo!$B$12+Resumo!$B$14)*CEILING(AK$3,1))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2" s="13" t="n">
        <f aca="false">(Y52+AL$4*(Resumo!$C$6+Resumo!$C$7+Resumo!$C$8)+Resumo!$C$10*CEILING(AL$3/100,1)+Resumo!$C$9+Resumo!$C$13+Resumo!$C$14*CEILING(AL$3,1))*(1+Resumo!$C$11)-(AL$4*(Resumo!$B$6+Resumo!$B$7)+Resumo!$B$9+Resumo!$B$10*CEILING(AL$3/100,1)+(Resumo!$B$12+Resumo!$B$14)*CEILING(AL$3,1))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2" s="13" t="n">
        <f aca="false">(Z52+AM$4*(Resumo!$C$6+Resumo!$C$7+Resumo!$C$8)+Resumo!$C$10*CEILING(AM$3/100,1)+Resumo!$C$9+Resumo!$C$13+Resumo!$C$14*CEILING(AM$3,1))*(1+Resumo!$C$11)-(AM$4*(Resumo!$B$6+Resumo!$B$7)+Resumo!$B$9+Resumo!$B$10*CEILING(AM$3/100,1)+(Resumo!$B$12+Resumo!$B$14)*CEILING(AM$3,1))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2" s="13" t="n">
        <f aca="false">(AA52+AN$4*(Resumo!$C$6+Resumo!$C$7+Resumo!$C$8)+Resumo!$C$10*CEILING(AN$3/100,1)+Resumo!$C$9+Resumo!$C$13+Resumo!$C$14*CEILING(AN$3,1))*(1+Resumo!$C$11)-(AN$4*(Resumo!$B$6+Resumo!$B$7)+Resumo!$B$9+Resumo!$B$10*CEILING(AN$3/100,1)+(Resumo!$B$12+Resumo!$B$14)*CEILING(AN$3,1))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2" s="13" t="n">
        <f aca="false">(AB52+AO$4*(Resumo!$C$6+Resumo!$C$7+Resumo!$C$8)+Resumo!$C$10*CEILING(AO$3/100,1)+Resumo!$C$9+Resumo!$C$13+Resumo!$C$14*CEILING(AO$3,1))*(1+Resumo!$C$11)-(AO$4*(Resumo!$B$6+Resumo!$B$7)+Resumo!$B$9+Resumo!$B$10*CEILING(AO$3/100,1)+(Resumo!$B$12+Resumo!$B$14)*CEILING(AO$3,1))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2" s="13" t="n">
        <f aca="false">(AC52+AP$4*(Resumo!$C$6+Resumo!$C$7+Resumo!$C$8)+Resumo!$C$10*CEILING(AP$3/100,1)+Resumo!$C$9+Resumo!$C$13+Resumo!$C$14*CEILING(AP$3,1))*(1+Resumo!$C$11)-(AP$4*(Resumo!$B$6+Resumo!$B$7)+Resumo!$B$9+Resumo!$B$10*CEILING(AP$3/100,1)+(Resumo!$B$12+Resumo!$B$14)*CEILING(AP$3,1))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2" s="13" t="n">
        <f aca="false">(AD52+AQ$4*(Resumo!$C$6+Resumo!$C$7+Resumo!$C$8)+Resumo!$C$10*CEILING(AQ$3/100,1)+Resumo!$C$9+Resumo!$C$13+Resumo!$C$14*CEILING(AQ$3,1))*(1+Resumo!$C$11)-(AQ$4*(Resumo!$B$6+Resumo!$B$7)+Resumo!$B$9+Resumo!$B$10*CEILING(AQ$3/100,1)+(Resumo!$B$12+Resumo!$B$14)*CEILING(AQ$3,1))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2" s="13" t="n">
        <f aca="false">(AE52+AR$4*(Resumo!$C$6+Resumo!$C$7+Resumo!$C$8)+Resumo!$C$10*CEILING(AR$3/100,1)+Resumo!$C$9+Resumo!$C$13+Resumo!$C$14*CEILING(AR$3,1))*(1+Resumo!$C$11)-(AR$4*(Resumo!$B$6+Resumo!$B$7)+Resumo!$B$9+Resumo!$B$10*CEILING(AR$3/100,1)+(Resumo!$B$12+Resumo!$B$14)*CEILING(AR$3,1))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2" s="13" t="n">
        <f aca="false">(AF52+AS$4*(Resumo!$C$6+Resumo!$C$7+Resumo!$C$8)+Resumo!$C$10*CEILING(AS$3/100,1)+Resumo!$C$9+Resumo!$C$13+Resumo!$C$14*CEILING(AS$3,1))*(1+Resumo!$C$11)-(AS$4*(Resumo!$B$6+Resumo!$B$7)+Resumo!$B$9+Resumo!$B$10*CEILING(AS$3/100,1)+(Resumo!$B$12+Resumo!$B$14)*CEILING(AS$3,1))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2" s="13" t="n">
        <f aca="false">(AG52+AT$4*(Resumo!$C$6+Resumo!$C$7+Resumo!$C$8)+Resumo!$C$10*CEILING(AT$3/100,1)+Resumo!$C$9+Resumo!$C$13+Resumo!$C$14*CEILING(AT$3,1))*(1+Resumo!$C$11)-(AT$4*(Resumo!$B$6+Resumo!$B$7)+Resumo!$B$9+Resumo!$B$10*CEILING(AT$3/100,1)+(Resumo!$B$12+Resumo!$B$14)*CEILING(AT$3,1))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2" s="44" t="n">
        <f aca="false">1-AH52/H52</f>
        <v>0.284448775984873</v>
      </c>
      <c r="AV52" s="44" t="n">
        <f aca="false">1-AI52/I52</f>
        <v>0.324530396086195</v>
      </c>
      <c r="AW52" s="44" t="n">
        <f aca="false">1-AJ52/J52</f>
        <v>0.337931079721616</v>
      </c>
      <c r="AX52" s="44" t="n">
        <f aca="false">1-AK52/K52</f>
        <v>0.318510239438779</v>
      </c>
      <c r="AY52" s="44" t="n">
        <f aca="false">1-AL52/L52</f>
        <v>0.365701375691832</v>
      </c>
      <c r="AZ52" s="44" t="n">
        <f aca="false">1-AM52/M52</f>
        <v>0.420709229511831</v>
      </c>
      <c r="BA52" s="44" t="n">
        <f aca="false">1-AN52/N52</f>
        <v>0.350695095008868</v>
      </c>
      <c r="BB52" s="44" t="n">
        <f aca="false">1-AO52/O52</f>
        <v>0.419232633445788</v>
      </c>
      <c r="BC52" s="44" t="n">
        <f aca="false">1-AP52/P52</f>
        <v>0.493280443868681</v>
      </c>
      <c r="BD52" s="44" t="n">
        <f aca="false">1-AQ52/Q52</f>
        <v>0.455794679894486</v>
      </c>
      <c r="BE52" s="44" t="n">
        <f aca="false">1-AR52/R52</f>
        <v>0.489018797268033</v>
      </c>
      <c r="BF52" s="44" t="n">
        <f aca="false">1-AS52/S52</f>
        <v>0.820478024467603</v>
      </c>
      <c r="BG52" s="44" t="n">
        <f aca="false">1-AT52/T52</f>
        <v>0.528263860444042</v>
      </c>
    </row>
    <row r="53" customFormat="false" ht="15" hidden="false" customHeight="false" outlineLevel="0" collapsed="false">
      <c r="A53" s="10" t="s">
        <v>261</v>
      </c>
      <c r="B53" s="10" t="s">
        <v>300</v>
      </c>
      <c r="C53" s="58" t="n">
        <v>27660000</v>
      </c>
      <c r="D53" s="58" t="n">
        <v>27699999</v>
      </c>
      <c r="E53" s="10" t="s">
        <v>24</v>
      </c>
      <c r="F53" s="10" t="s">
        <v>266</v>
      </c>
      <c r="G53" s="10" t="n">
        <f aca="false">COUNTIFS(Pedidos!$C$2:$C$2224,"&gt;="&amp;C53,Pedidos!$C$2:$C$2224,"&lt;="&amp;D53)</f>
        <v>0</v>
      </c>
      <c r="H53" s="40" t="n">
        <v>77.35</v>
      </c>
      <c r="I53" s="40" t="n">
        <v>108.83</v>
      </c>
      <c r="J53" s="40" t="n">
        <v>124.38</v>
      </c>
      <c r="K53" s="40" t="n">
        <v>124.38</v>
      </c>
      <c r="L53" s="40" t="n">
        <v>142.32</v>
      </c>
      <c r="M53" s="40" t="n">
        <v>166.05</v>
      </c>
      <c r="N53" s="40" t="n">
        <v>157.88</v>
      </c>
      <c r="O53" s="40" t="n">
        <v>197.35</v>
      </c>
      <c r="P53" s="40" t="n">
        <v>236.82</v>
      </c>
      <c r="Q53" s="40" t="n">
        <v>264.84</v>
      </c>
      <c r="R53" s="40" t="n">
        <v>300.15</v>
      </c>
      <c r="S53" s="40" t="n">
        <v>353.12</v>
      </c>
      <c r="T53" s="40" t="n">
        <v>441.4</v>
      </c>
      <c r="U53" s="40" t="n">
        <v>46.95</v>
      </c>
      <c r="V53" s="40" t="n">
        <v>65.63</v>
      </c>
      <c r="W53" s="40" t="n">
        <v>74.97</v>
      </c>
      <c r="X53" s="40" t="n">
        <v>77.7</v>
      </c>
      <c r="Y53" s="40" t="n">
        <v>83.58</v>
      </c>
      <c r="Z53" s="40" t="n">
        <v>90.2</v>
      </c>
      <c r="AA53" s="40" t="n">
        <v>96.77</v>
      </c>
      <c r="AB53" s="40" t="n">
        <v>109.63</v>
      </c>
      <c r="AC53" s="40" t="n">
        <v>119.5</v>
      </c>
      <c r="AD53" s="40" t="n">
        <v>144.24</v>
      </c>
      <c r="AE53" s="40" t="n">
        <v>155.09</v>
      </c>
      <c r="AF53" s="40" t="n">
        <v>66.69</v>
      </c>
      <c r="AG53" s="40" t="n">
        <v>214.88</v>
      </c>
      <c r="AH53" s="13" t="n">
        <f aca="false">(U53+AH$4*(Resumo!$C$6+Resumo!$C$7+Resumo!$C$8)+Resumo!$C$10*CEILING(AH$3/100,1)+Resumo!$C$9+Resumo!$C$13+Resumo!$C$14*CEILING(AH$3,1))*(1+Resumo!$C$11)-(AH$4*(Resumo!$B$6+Resumo!$B$7)+Resumo!$B$9+Resumo!$B$10*CEILING(AH$3/100,1)+(Resumo!$B$12+Resumo!$B$14)*CEILING(AH$3,1))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3" s="13" t="n">
        <f aca="false">(V53+AI$4*(Resumo!$C$6+Resumo!$C$7+Resumo!$C$8)+Resumo!$C$10*CEILING(AI$3/100,1)+Resumo!$C$9+Resumo!$C$13+Resumo!$C$14*CEILING(AI$3,1))*(1+Resumo!$C$11)-(AI$4*(Resumo!$B$6+Resumo!$B$7)+Resumo!$B$9+Resumo!$B$10*CEILING(AI$3/100,1)+(Resumo!$B$12+Resumo!$B$14)*CEILING(AI$3,1))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3" s="13" t="n">
        <f aca="false">(W53+AJ$4*(Resumo!$C$6+Resumo!$C$7+Resumo!$C$8)+Resumo!$C$10*CEILING(AJ$3/100,1)+Resumo!$C$9+Resumo!$C$13+Resumo!$C$14*CEILING(AJ$3,1))*(1+Resumo!$C$11)-(AJ$4*(Resumo!$B$6+Resumo!$B$7)+Resumo!$B$9+Resumo!$B$10*CEILING(AJ$3/100,1)+(Resumo!$B$12+Resumo!$B$14)*CEILING(AJ$3,1))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3" s="13" t="n">
        <f aca="false">(X53+AK$4*(Resumo!$C$6+Resumo!$C$7+Resumo!$C$8)+Resumo!$C$10*CEILING(AK$3/100,1)+Resumo!$C$9+Resumo!$C$13+Resumo!$C$14*CEILING(AK$3,1))*(1+Resumo!$C$11)-(AK$4*(Resumo!$B$6+Resumo!$B$7)+Resumo!$B$9+Resumo!$B$10*CEILING(AK$3/100,1)+(Resumo!$B$12+Resumo!$B$14)*CEILING(AK$3,1))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3" s="13" t="n">
        <f aca="false">(Y53+AL$4*(Resumo!$C$6+Resumo!$C$7+Resumo!$C$8)+Resumo!$C$10*CEILING(AL$3/100,1)+Resumo!$C$9+Resumo!$C$13+Resumo!$C$14*CEILING(AL$3,1))*(1+Resumo!$C$11)-(AL$4*(Resumo!$B$6+Resumo!$B$7)+Resumo!$B$9+Resumo!$B$10*CEILING(AL$3/100,1)+(Resumo!$B$12+Resumo!$B$14)*CEILING(AL$3,1))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3" s="13" t="n">
        <f aca="false">(Z53+AM$4*(Resumo!$C$6+Resumo!$C$7+Resumo!$C$8)+Resumo!$C$10*CEILING(AM$3/100,1)+Resumo!$C$9+Resumo!$C$13+Resumo!$C$14*CEILING(AM$3,1))*(1+Resumo!$C$11)-(AM$4*(Resumo!$B$6+Resumo!$B$7)+Resumo!$B$9+Resumo!$B$10*CEILING(AM$3/100,1)+(Resumo!$B$12+Resumo!$B$14)*CEILING(AM$3,1))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3" s="13" t="n">
        <f aca="false">(AA53+AN$4*(Resumo!$C$6+Resumo!$C$7+Resumo!$C$8)+Resumo!$C$10*CEILING(AN$3/100,1)+Resumo!$C$9+Resumo!$C$13+Resumo!$C$14*CEILING(AN$3,1))*(1+Resumo!$C$11)-(AN$4*(Resumo!$B$6+Resumo!$B$7)+Resumo!$B$9+Resumo!$B$10*CEILING(AN$3/100,1)+(Resumo!$B$12+Resumo!$B$14)*CEILING(AN$3,1))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3" s="13" t="n">
        <f aca="false">(AB53+AO$4*(Resumo!$C$6+Resumo!$C$7+Resumo!$C$8)+Resumo!$C$10*CEILING(AO$3/100,1)+Resumo!$C$9+Resumo!$C$13+Resumo!$C$14*CEILING(AO$3,1))*(1+Resumo!$C$11)-(AO$4*(Resumo!$B$6+Resumo!$B$7)+Resumo!$B$9+Resumo!$B$10*CEILING(AO$3/100,1)+(Resumo!$B$12+Resumo!$B$14)*CEILING(AO$3,1))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3" s="13" t="n">
        <f aca="false">(AC53+AP$4*(Resumo!$C$6+Resumo!$C$7+Resumo!$C$8)+Resumo!$C$10*CEILING(AP$3/100,1)+Resumo!$C$9+Resumo!$C$13+Resumo!$C$14*CEILING(AP$3,1))*(1+Resumo!$C$11)-(AP$4*(Resumo!$B$6+Resumo!$B$7)+Resumo!$B$9+Resumo!$B$10*CEILING(AP$3/100,1)+(Resumo!$B$12+Resumo!$B$14)*CEILING(AP$3,1))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3" s="13" t="n">
        <f aca="false">(AD53+AQ$4*(Resumo!$C$6+Resumo!$C$7+Resumo!$C$8)+Resumo!$C$10*CEILING(AQ$3/100,1)+Resumo!$C$9+Resumo!$C$13+Resumo!$C$14*CEILING(AQ$3,1))*(1+Resumo!$C$11)-(AQ$4*(Resumo!$B$6+Resumo!$B$7)+Resumo!$B$9+Resumo!$B$10*CEILING(AQ$3/100,1)+(Resumo!$B$12+Resumo!$B$14)*CEILING(AQ$3,1))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3" s="13" t="n">
        <f aca="false">(AE53+AR$4*(Resumo!$C$6+Resumo!$C$7+Resumo!$C$8)+Resumo!$C$10*CEILING(AR$3/100,1)+Resumo!$C$9+Resumo!$C$13+Resumo!$C$14*CEILING(AR$3,1))*(1+Resumo!$C$11)-(AR$4*(Resumo!$B$6+Resumo!$B$7)+Resumo!$B$9+Resumo!$B$10*CEILING(AR$3/100,1)+(Resumo!$B$12+Resumo!$B$14)*CEILING(AR$3,1))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3" s="13" t="n">
        <f aca="false">(AF53+AS$4*(Resumo!$C$6+Resumo!$C$7+Resumo!$C$8)+Resumo!$C$10*CEILING(AS$3/100,1)+Resumo!$C$9+Resumo!$C$13+Resumo!$C$14*CEILING(AS$3,1))*(1+Resumo!$C$11)-(AS$4*(Resumo!$B$6+Resumo!$B$7)+Resumo!$B$9+Resumo!$B$10*CEILING(AS$3/100,1)+(Resumo!$B$12+Resumo!$B$14)*CEILING(AS$3,1))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3" s="13" t="n">
        <f aca="false">(AG53+AT$4*(Resumo!$C$6+Resumo!$C$7+Resumo!$C$8)+Resumo!$C$10*CEILING(AT$3/100,1)+Resumo!$C$9+Resumo!$C$13+Resumo!$C$14*CEILING(AT$3,1))*(1+Resumo!$C$11)-(AT$4*(Resumo!$B$6+Resumo!$B$7)+Resumo!$B$9+Resumo!$B$10*CEILING(AT$3/100,1)+(Resumo!$B$12+Resumo!$B$14)*CEILING(AT$3,1))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3" s="44" t="n">
        <f aca="false">1-AH53/H53</f>
        <v>0.284448775984873</v>
      </c>
      <c r="AV53" s="44" t="n">
        <f aca="false">1-AI53/I53</f>
        <v>0.324530396086195</v>
      </c>
      <c r="AW53" s="44" t="n">
        <f aca="false">1-AJ53/J53</f>
        <v>0.337931079721616</v>
      </c>
      <c r="AX53" s="44" t="n">
        <f aca="false">1-AK53/K53</f>
        <v>0.318510239438779</v>
      </c>
      <c r="AY53" s="44" t="n">
        <f aca="false">1-AL53/L53</f>
        <v>0.365701375691832</v>
      </c>
      <c r="AZ53" s="44" t="n">
        <f aca="false">1-AM53/M53</f>
        <v>0.420709229511831</v>
      </c>
      <c r="BA53" s="44" t="n">
        <f aca="false">1-AN53/N53</f>
        <v>0.350695095008868</v>
      </c>
      <c r="BB53" s="44" t="n">
        <f aca="false">1-AO53/O53</f>
        <v>0.419232633445788</v>
      </c>
      <c r="BC53" s="44" t="n">
        <f aca="false">1-AP53/P53</f>
        <v>0.493280443868681</v>
      </c>
      <c r="BD53" s="44" t="n">
        <f aca="false">1-AQ53/Q53</f>
        <v>0.455794679894486</v>
      </c>
      <c r="BE53" s="44" t="n">
        <f aca="false">1-AR53/R53</f>
        <v>0.489018797268033</v>
      </c>
      <c r="BF53" s="44" t="n">
        <f aca="false">1-AS53/S53</f>
        <v>0.820478024467603</v>
      </c>
      <c r="BG53" s="44" t="n">
        <f aca="false">1-AT53/T53</f>
        <v>0.528263860444042</v>
      </c>
    </row>
    <row r="54" customFormat="false" ht="15" hidden="false" customHeight="false" outlineLevel="0" collapsed="false">
      <c r="A54" s="10" t="s">
        <v>261</v>
      </c>
      <c r="B54" s="10" t="s">
        <v>301</v>
      </c>
      <c r="C54" s="58" t="n">
        <v>27700000</v>
      </c>
      <c r="D54" s="58" t="n">
        <v>27899999</v>
      </c>
      <c r="E54" s="10" t="s">
        <v>24</v>
      </c>
      <c r="F54" s="10" t="s">
        <v>266</v>
      </c>
      <c r="G54" s="10" t="n">
        <f aca="false">COUNTIFS(Pedidos!$C$2:$C$2224,"&gt;="&amp;C54,Pedidos!$C$2:$C$2224,"&lt;="&amp;D54)</f>
        <v>2</v>
      </c>
      <c r="H54" s="40" t="n">
        <v>77.35</v>
      </c>
      <c r="I54" s="40" t="n">
        <v>108.83</v>
      </c>
      <c r="J54" s="40" t="n">
        <v>124.38</v>
      </c>
      <c r="K54" s="40" t="n">
        <v>124.38</v>
      </c>
      <c r="L54" s="40" t="n">
        <v>142.32</v>
      </c>
      <c r="M54" s="40" t="n">
        <v>166.05</v>
      </c>
      <c r="N54" s="40" t="n">
        <v>157.88</v>
      </c>
      <c r="O54" s="40" t="n">
        <v>197.35</v>
      </c>
      <c r="P54" s="40" t="n">
        <v>236.82</v>
      </c>
      <c r="Q54" s="40" t="n">
        <v>264.84</v>
      </c>
      <c r="R54" s="40" t="n">
        <v>300.15</v>
      </c>
      <c r="S54" s="40" t="n">
        <v>353.12</v>
      </c>
      <c r="T54" s="40" t="n">
        <v>441.4</v>
      </c>
      <c r="U54" s="40" t="n">
        <v>46.95</v>
      </c>
      <c r="V54" s="40" t="n">
        <v>65.63</v>
      </c>
      <c r="W54" s="40" t="n">
        <v>74.97</v>
      </c>
      <c r="X54" s="40" t="n">
        <v>77.7</v>
      </c>
      <c r="Y54" s="40" t="n">
        <v>83.58</v>
      </c>
      <c r="Z54" s="40" t="n">
        <v>90.2</v>
      </c>
      <c r="AA54" s="40" t="n">
        <v>96.77</v>
      </c>
      <c r="AB54" s="40" t="n">
        <v>109.63</v>
      </c>
      <c r="AC54" s="40" t="n">
        <v>119.5</v>
      </c>
      <c r="AD54" s="40" t="n">
        <v>144.24</v>
      </c>
      <c r="AE54" s="40" t="n">
        <v>155.09</v>
      </c>
      <c r="AF54" s="40" t="n">
        <v>66.69</v>
      </c>
      <c r="AG54" s="40" t="n">
        <v>214.88</v>
      </c>
      <c r="AH54" s="13" t="n">
        <f aca="false">(U54+AH$4*(Resumo!$C$6+Resumo!$C$7+Resumo!$C$8)+Resumo!$C$10*CEILING(AH$3/100,1)+Resumo!$C$9+Resumo!$C$13+Resumo!$C$14*CEILING(AH$3,1))*(1+Resumo!$C$11)-(AH$4*(Resumo!$B$6+Resumo!$B$7)+Resumo!$B$9+Resumo!$B$10*CEILING(AH$3/100,1)+(Resumo!$B$12+Resumo!$B$14)*CEILING(AH$3,1))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4" s="13" t="n">
        <f aca="false">(V54+AI$4*(Resumo!$C$6+Resumo!$C$7+Resumo!$C$8)+Resumo!$C$10*CEILING(AI$3/100,1)+Resumo!$C$9+Resumo!$C$13+Resumo!$C$14*CEILING(AI$3,1))*(1+Resumo!$C$11)-(AI$4*(Resumo!$B$6+Resumo!$B$7)+Resumo!$B$9+Resumo!$B$10*CEILING(AI$3/100,1)+(Resumo!$B$12+Resumo!$B$14)*CEILING(AI$3,1))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4" s="13" t="n">
        <f aca="false">(W54+AJ$4*(Resumo!$C$6+Resumo!$C$7+Resumo!$C$8)+Resumo!$C$10*CEILING(AJ$3/100,1)+Resumo!$C$9+Resumo!$C$13+Resumo!$C$14*CEILING(AJ$3,1))*(1+Resumo!$C$11)-(AJ$4*(Resumo!$B$6+Resumo!$B$7)+Resumo!$B$9+Resumo!$B$10*CEILING(AJ$3/100,1)+(Resumo!$B$12+Resumo!$B$14)*CEILING(AJ$3,1))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4" s="13" t="n">
        <f aca="false">(X54+AK$4*(Resumo!$C$6+Resumo!$C$7+Resumo!$C$8)+Resumo!$C$10*CEILING(AK$3/100,1)+Resumo!$C$9+Resumo!$C$13+Resumo!$C$14*CEILING(AK$3,1))*(1+Resumo!$C$11)-(AK$4*(Resumo!$B$6+Resumo!$B$7)+Resumo!$B$9+Resumo!$B$10*CEILING(AK$3/100,1)+(Resumo!$B$12+Resumo!$B$14)*CEILING(AK$3,1))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4" s="13" t="n">
        <f aca="false">(Y54+AL$4*(Resumo!$C$6+Resumo!$C$7+Resumo!$C$8)+Resumo!$C$10*CEILING(AL$3/100,1)+Resumo!$C$9+Resumo!$C$13+Resumo!$C$14*CEILING(AL$3,1))*(1+Resumo!$C$11)-(AL$4*(Resumo!$B$6+Resumo!$B$7)+Resumo!$B$9+Resumo!$B$10*CEILING(AL$3/100,1)+(Resumo!$B$12+Resumo!$B$14)*CEILING(AL$3,1))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4" s="13" t="n">
        <f aca="false">(Z54+AM$4*(Resumo!$C$6+Resumo!$C$7+Resumo!$C$8)+Resumo!$C$10*CEILING(AM$3/100,1)+Resumo!$C$9+Resumo!$C$13+Resumo!$C$14*CEILING(AM$3,1))*(1+Resumo!$C$11)-(AM$4*(Resumo!$B$6+Resumo!$B$7)+Resumo!$B$9+Resumo!$B$10*CEILING(AM$3/100,1)+(Resumo!$B$12+Resumo!$B$14)*CEILING(AM$3,1))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4" s="13" t="n">
        <f aca="false">(AA54+AN$4*(Resumo!$C$6+Resumo!$C$7+Resumo!$C$8)+Resumo!$C$10*CEILING(AN$3/100,1)+Resumo!$C$9+Resumo!$C$13+Resumo!$C$14*CEILING(AN$3,1))*(1+Resumo!$C$11)-(AN$4*(Resumo!$B$6+Resumo!$B$7)+Resumo!$B$9+Resumo!$B$10*CEILING(AN$3/100,1)+(Resumo!$B$12+Resumo!$B$14)*CEILING(AN$3,1))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4" s="13" t="n">
        <f aca="false">(AB54+AO$4*(Resumo!$C$6+Resumo!$C$7+Resumo!$C$8)+Resumo!$C$10*CEILING(AO$3/100,1)+Resumo!$C$9+Resumo!$C$13+Resumo!$C$14*CEILING(AO$3,1))*(1+Resumo!$C$11)-(AO$4*(Resumo!$B$6+Resumo!$B$7)+Resumo!$B$9+Resumo!$B$10*CEILING(AO$3/100,1)+(Resumo!$B$12+Resumo!$B$14)*CEILING(AO$3,1))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4" s="13" t="n">
        <f aca="false">(AC54+AP$4*(Resumo!$C$6+Resumo!$C$7+Resumo!$C$8)+Resumo!$C$10*CEILING(AP$3/100,1)+Resumo!$C$9+Resumo!$C$13+Resumo!$C$14*CEILING(AP$3,1))*(1+Resumo!$C$11)-(AP$4*(Resumo!$B$6+Resumo!$B$7)+Resumo!$B$9+Resumo!$B$10*CEILING(AP$3/100,1)+(Resumo!$B$12+Resumo!$B$14)*CEILING(AP$3,1))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4" s="13" t="n">
        <f aca="false">(AD54+AQ$4*(Resumo!$C$6+Resumo!$C$7+Resumo!$C$8)+Resumo!$C$10*CEILING(AQ$3/100,1)+Resumo!$C$9+Resumo!$C$13+Resumo!$C$14*CEILING(AQ$3,1))*(1+Resumo!$C$11)-(AQ$4*(Resumo!$B$6+Resumo!$B$7)+Resumo!$B$9+Resumo!$B$10*CEILING(AQ$3/100,1)+(Resumo!$B$12+Resumo!$B$14)*CEILING(AQ$3,1))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4" s="13" t="n">
        <f aca="false">(AE54+AR$4*(Resumo!$C$6+Resumo!$C$7+Resumo!$C$8)+Resumo!$C$10*CEILING(AR$3/100,1)+Resumo!$C$9+Resumo!$C$13+Resumo!$C$14*CEILING(AR$3,1))*(1+Resumo!$C$11)-(AR$4*(Resumo!$B$6+Resumo!$B$7)+Resumo!$B$9+Resumo!$B$10*CEILING(AR$3/100,1)+(Resumo!$B$12+Resumo!$B$14)*CEILING(AR$3,1))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4" s="13" t="n">
        <f aca="false">(AF54+AS$4*(Resumo!$C$6+Resumo!$C$7+Resumo!$C$8)+Resumo!$C$10*CEILING(AS$3/100,1)+Resumo!$C$9+Resumo!$C$13+Resumo!$C$14*CEILING(AS$3,1))*(1+Resumo!$C$11)-(AS$4*(Resumo!$B$6+Resumo!$B$7)+Resumo!$B$9+Resumo!$B$10*CEILING(AS$3/100,1)+(Resumo!$B$12+Resumo!$B$14)*CEILING(AS$3,1))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4" s="13" t="n">
        <f aca="false">(AG54+AT$4*(Resumo!$C$6+Resumo!$C$7+Resumo!$C$8)+Resumo!$C$10*CEILING(AT$3/100,1)+Resumo!$C$9+Resumo!$C$13+Resumo!$C$14*CEILING(AT$3,1))*(1+Resumo!$C$11)-(AT$4*(Resumo!$B$6+Resumo!$B$7)+Resumo!$B$9+Resumo!$B$10*CEILING(AT$3/100,1)+(Resumo!$B$12+Resumo!$B$14)*CEILING(AT$3,1))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4" s="44" t="n">
        <f aca="false">1-AH54/H54</f>
        <v>0.284448775984873</v>
      </c>
      <c r="AV54" s="44" t="n">
        <f aca="false">1-AI54/I54</f>
        <v>0.324530396086195</v>
      </c>
      <c r="AW54" s="44" t="n">
        <f aca="false">1-AJ54/J54</f>
        <v>0.337931079721616</v>
      </c>
      <c r="AX54" s="44" t="n">
        <f aca="false">1-AK54/K54</f>
        <v>0.318510239438779</v>
      </c>
      <c r="AY54" s="44" t="n">
        <f aca="false">1-AL54/L54</f>
        <v>0.365701375691832</v>
      </c>
      <c r="AZ54" s="44" t="n">
        <f aca="false">1-AM54/M54</f>
        <v>0.420709229511831</v>
      </c>
      <c r="BA54" s="44" t="n">
        <f aca="false">1-AN54/N54</f>
        <v>0.350695095008868</v>
      </c>
      <c r="BB54" s="44" t="n">
        <f aca="false">1-AO54/O54</f>
        <v>0.419232633445788</v>
      </c>
      <c r="BC54" s="44" t="n">
        <f aca="false">1-AP54/P54</f>
        <v>0.493280443868681</v>
      </c>
      <c r="BD54" s="44" t="n">
        <f aca="false">1-AQ54/Q54</f>
        <v>0.455794679894486</v>
      </c>
      <c r="BE54" s="44" t="n">
        <f aca="false">1-AR54/R54</f>
        <v>0.489018797268033</v>
      </c>
      <c r="BF54" s="44" t="n">
        <f aca="false">1-AS54/S54</f>
        <v>0.820478024467603</v>
      </c>
      <c r="BG54" s="44" t="n">
        <f aca="false">1-AT54/T54</f>
        <v>0.528263860444042</v>
      </c>
    </row>
    <row r="55" customFormat="false" ht="15" hidden="false" customHeight="false" outlineLevel="0" collapsed="false">
      <c r="A55" s="10" t="s">
        <v>261</v>
      </c>
      <c r="B55" s="10" t="s">
        <v>53</v>
      </c>
      <c r="C55" s="58" t="n">
        <v>27900000</v>
      </c>
      <c r="D55" s="58" t="n">
        <v>27997999</v>
      </c>
      <c r="E55" s="10" t="s">
        <v>24</v>
      </c>
      <c r="F55" s="10" t="s">
        <v>302</v>
      </c>
      <c r="G55" s="10" t="n">
        <f aca="false">COUNTIFS(Pedidos!$C$2:$C$2224,"&gt;="&amp;C55,Pedidos!$C$2:$C$2224,"&lt;="&amp;D55)</f>
        <v>46</v>
      </c>
      <c r="H55" s="40" t="n">
        <v>124.04</v>
      </c>
      <c r="I55" s="40" t="n">
        <v>138.29</v>
      </c>
      <c r="J55" s="40" t="n">
        <v>143.04</v>
      </c>
      <c r="K55" s="40" t="n">
        <v>152.54</v>
      </c>
      <c r="L55" s="40" t="n">
        <v>162.04</v>
      </c>
      <c r="M55" s="40" t="n">
        <v>171.54</v>
      </c>
      <c r="N55" s="40" t="n">
        <v>181.04</v>
      </c>
      <c r="O55" s="40" t="n">
        <v>200.04</v>
      </c>
      <c r="P55" s="40" t="n">
        <v>236.82</v>
      </c>
      <c r="Q55" s="40" t="n">
        <v>264.84</v>
      </c>
      <c r="R55" s="40" t="n">
        <v>300.15</v>
      </c>
      <c r="S55" s="40" t="n">
        <v>353.17</v>
      </c>
      <c r="T55" s="40" t="n">
        <v>441.4</v>
      </c>
      <c r="U55" s="40" t="n">
        <v>46.95</v>
      </c>
      <c r="V55" s="40" t="n">
        <v>65.63</v>
      </c>
      <c r="W55" s="40" t="n">
        <v>74.97</v>
      </c>
      <c r="X55" s="40" t="n">
        <v>77.7</v>
      </c>
      <c r="Y55" s="40" t="n">
        <v>83.58</v>
      </c>
      <c r="Z55" s="40" t="n">
        <v>90.2</v>
      </c>
      <c r="AA55" s="40" t="n">
        <v>96.77</v>
      </c>
      <c r="AB55" s="40" t="n">
        <v>109.63</v>
      </c>
      <c r="AC55" s="40" t="n">
        <v>119.5</v>
      </c>
      <c r="AD55" s="40" t="n">
        <v>144.24</v>
      </c>
      <c r="AE55" s="40" t="n">
        <v>155.09</v>
      </c>
      <c r="AF55" s="40" t="n">
        <v>66.69</v>
      </c>
      <c r="AG55" s="40" t="n">
        <v>214.88</v>
      </c>
      <c r="AH55" s="13" t="n">
        <f aca="false">(U55+AH$4*(Resumo!$C$6+Resumo!$C$7+Resumo!$C$8)+Resumo!$C$10*CEILING(AH$3/100,1)+Resumo!$C$9+Resumo!$C$13+Resumo!$C$14*CEILING(AH$3,1))*(1+Resumo!$C$11)-(AH$4*(Resumo!$B$6+Resumo!$B$7)+Resumo!$B$9+Resumo!$B$10*CEILING(AH$3/100,1)+(Resumo!$B$12+Resumo!$B$14)*CEILING(AH$3,1))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5" s="13" t="n">
        <f aca="false">(V55+AI$4*(Resumo!$C$6+Resumo!$C$7+Resumo!$C$8)+Resumo!$C$10*CEILING(AI$3/100,1)+Resumo!$C$9+Resumo!$C$13+Resumo!$C$14*CEILING(AI$3,1))*(1+Resumo!$C$11)-(AI$4*(Resumo!$B$6+Resumo!$B$7)+Resumo!$B$9+Resumo!$B$10*CEILING(AI$3/100,1)+(Resumo!$B$12+Resumo!$B$14)*CEILING(AI$3,1))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5" s="13" t="n">
        <f aca="false">(W55+AJ$4*(Resumo!$C$6+Resumo!$C$7+Resumo!$C$8)+Resumo!$C$10*CEILING(AJ$3/100,1)+Resumo!$C$9+Resumo!$C$13+Resumo!$C$14*CEILING(AJ$3,1))*(1+Resumo!$C$11)-(AJ$4*(Resumo!$B$6+Resumo!$B$7)+Resumo!$B$9+Resumo!$B$10*CEILING(AJ$3/100,1)+(Resumo!$B$12+Resumo!$B$14)*CEILING(AJ$3,1))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5" s="13" t="n">
        <f aca="false">(X55+AK$4*(Resumo!$C$6+Resumo!$C$7+Resumo!$C$8)+Resumo!$C$10*CEILING(AK$3/100,1)+Resumo!$C$9+Resumo!$C$13+Resumo!$C$14*CEILING(AK$3,1))*(1+Resumo!$C$11)-(AK$4*(Resumo!$B$6+Resumo!$B$7)+Resumo!$B$9+Resumo!$B$10*CEILING(AK$3/100,1)+(Resumo!$B$12+Resumo!$B$14)*CEILING(AK$3,1))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5" s="13" t="n">
        <f aca="false">(Y55+AL$4*(Resumo!$C$6+Resumo!$C$7+Resumo!$C$8)+Resumo!$C$10*CEILING(AL$3/100,1)+Resumo!$C$9+Resumo!$C$13+Resumo!$C$14*CEILING(AL$3,1))*(1+Resumo!$C$11)-(AL$4*(Resumo!$B$6+Resumo!$B$7)+Resumo!$B$9+Resumo!$B$10*CEILING(AL$3/100,1)+(Resumo!$B$12+Resumo!$B$14)*CEILING(AL$3,1))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5" s="13" t="n">
        <f aca="false">(Z55+AM$4*(Resumo!$C$6+Resumo!$C$7+Resumo!$C$8)+Resumo!$C$10*CEILING(AM$3/100,1)+Resumo!$C$9+Resumo!$C$13+Resumo!$C$14*CEILING(AM$3,1))*(1+Resumo!$C$11)-(AM$4*(Resumo!$B$6+Resumo!$B$7)+Resumo!$B$9+Resumo!$B$10*CEILING(AM$3/100,1)+(Resumo!$B$12+Resumo!$B$14)*CEILING(AM$3,1))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5" s="13" t="n">
        <f aca="false">(AA55+AN$4*(Resumo!$C$6+Resumo!$C$7+Resumo!$C$8)+Resumo!$C$10*CEILING(AN$3/100,1)+Resumo!$C$9+Resumo!$C$13+Resumo!$C$14*CEILING(AN$3,1))*(1+Resumo!$C$11)-(AN$4*(Resumo!$B$6+Resumo!$B$7)+Resumo!$B$9+Resumo!$B$10*CEILING(AN$3/100,1)+(Resumo!$B$12+Resumo!$B$14)*CEILING(AN$3,1))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5" s="13" t="n">
        <f aca="false">(AB55+AO$4*(Resumo!$C$6+Resumo!$C$7+Resumo!$C$8)+Resumo!$C$10*CEILING(AO$3/100,1)+Resumo!$C$9+Resumo!$C$13+Resumo!$C$14*CEILING(AO$3,1))*(1+Resumo!$C$11)-(AO$4*(Resumo!$B$6+Resumo!$B$7)+Resumo!$B$9+Resumo!$B$10*CEILING(AO$3/100,1)+(Resumo!$B$12+Resumo!$B$14)*CEILING(AO$3,1))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5" s="13" t="n">
        <f aca="false">(AC55+AP$4*(Resumo!$C$6+Resumo!$C$7+Resumo!$C$8)+Resumo!$C$10*CEILING(AP$3/100,1)+Resumo!$C$9+Resumo!$C$13+Resumo!$C$14*CEILING(AP$3,1))*(1+Resumo!$C$11)-(AP$4*(Resumo!$B$6+Resumo!$B$7)+Resumo!$B$9+Resumo!$B$10*CEILING(AP$3/100,1)+(Resumo!$B$12+Resumo!$B$14)*CEILING(AP$3,1))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5" s="13" t="n">
        <f aca="false">(AD55+AQ$4*(Resumo!$C$6+Resumo!$C$7+Resumo!$C$8)+Resumo!$C$10*CEILING(AQ$3/100,1)+Resumo!$C$9+Resumo!$C$13+Resumo!$C$14*CEILING(AQ$3,1))*(1+Resumo!$C$11)-(AQ$4*(Resumo!$B$6+Resumo!$B$7)+Resumo!$B$9+Resumo!$B$10*CEILING(AQ$3/100,1)+(Resumo!$B$12+Resumo!$B$14)*CEILING(AQ$3,1))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5" s="13" t="n">
        <f aca="false">(AE55+AR$4*(Resumo!$C$6+Resumo!$C$7+Resumo!$C$8)+Resumo!$C$10*CEILING(AR$3/100,1)+Resumo!$C$9+Resumo!$C$13+Resumo!$C$14*CEILING(AR$3,1))*(1+Resumo!$C$11)-(AR$4*(Resumo!$B$6+Resumo!$B$7)+Resumo!$B$9+Resumo!$B$10*CEILING(AR$3/100,1)+(Resumo!$B$12+Resumo!$B$14)*CEILING(AR$3,1))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5" s="13" t="n">
        <f aca="false">(AF55+AS$4*(Resumo!$C$6+Resumo!$C$7+Resumo!$C$8)+Resumo!$C$10*CEILING(AS$3/100,1)+Resumo!$C$9+Resumo!$C$13+Resumo!$C$14*CEILING(AS$3,1))*(1+Resumo!$C$11)-(AS$4*(Resumo!$B$6+Resumo!$B$7)+Resumo!$B$9+Resumo!$B$10*CEILING(AS$3/100,1)+(Resumo!$B$12+Resumo!$B$14)*CEILING(AS$3,1))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5" s="13" t="n">
        <f aca="false">(AG55+AT$4*(Resumo!$C$6+Resumo!$C$7+Resumo!$C$8)+Resumo!$C$10*CEILING(AT$3/100,1)+Resumo!$C$9+Resumo!$C$13+Resumo!$C$14*CEILING(AT$3,1))*(1+Resumo!$C$11)-(AT$4*(Resumo!$B$6+Resumo!$B$7)+Resumo!$B$9+Resumo!$B$10*CEILING(AT$3/100,1)+(Resumo!$B$12+Resumo!$B$14)*CEILING(AT$3,1))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5" s="44" t="n">
        <f aca="false">1-AH55/H55</f>
        <v>0.553790009855127</v>
      </c>
      <c r="AV55" s="44" t="n">
        <f aca="false">1-AI55/I55</f>
        <v>0.468426082913158</v>
      </c>
      <c r="AW55" s="44" t="n">
        <f aca="false">1-AJ55/J55</f>
        <v>0.424299969908939</v>
      </c>
      <c r="AX55" s="44" t="n">
        <f aca="false">1-AK55/K55</f>
        <v>0.444318235095027</v>
      </c>
      <c r="AY55" s="44" t="n">
        <f aca="false">1-AL55/L55</f>
        <v>0.44289446919564</v>
      </c>
      <c r="AZ55" s="44" t="n">
        <f aca="false">1-AM55/M55</f>
        <v>0.439248965608252</v>
      </c>
      <c r="BA55" s="44" t="n">
        <f aca="false">1-AN55/N55</f>
        <v>0.433759067609368</v>
      </c>
      <c r="BB55" s="44" t="n">
        <f aca="false">1-AO55/O55</f>
        <v>0.427042392574117</v>
      </c>
      <c r="BC55" s="44" t="n">
        <f aca="false">1-AP55/P55</f>
        <v>0.493280443868681</v>
      </c>
      <c r="BD55" s="44" t="n">
        <f aca="false">1-AQ55/Q55</f>
        <v>0.455794679894486</v>
      </c>
      <c r="BE55" s="44" t="n">
        <f aca="false">1-AR55/R55</f>
        <v>0.489018797268033</v>
      </c>
      <c r="BF55" s="44" t="n">
        <f aca="false">1-AS55/S55</f>
        <v>0.820503440269559</v>
      </c>
      <c r="BG55" s="44" t="n">
        <f aca="false">1-AT55/T55</f>
        <v>0.528263860444042</v>
      </c>
    </row>
    <row r="56" customFormat="false" ht="15" hidden="false" customHeight="false" outlineLevel="0" collapsed="false">
      <c r="A56" s="10" t="s">
        <v>261</v>
      </c>
      <c r="B56" s="10" t="s">
        <v>303</v>
      </c>
      <c r="C56" s="58" t="n">
        <v>27998000</v>
      </c>
      <c r="D56" s="58" t="n">
        <v>27999999</v>
      </c>
      <c r="E56" s="10" t="s">
        <v>24</v>
      </c>
      <c r="F56" s="10" t="s">
        <v>302</v>
      </c>
      <c r="G56" s="10" t="n">
        <f aca="false">COUNTIFS(Pedidos!$C$2:$C$2224,"&gt;="&amp;C56,Pedidos!$C$2:$C$2224,"&lt;="&amp;D56)</f>
        <v>1</v>
      </c>
      <c r="H56" s="40" t="n">
        <v>124.04</v>
      </c>
      <c r="I56" s="40" t="n">
        <v>138.29</v>
      </c>
      <c r="J56" s="40" t="n">
        <v>143.04</v>
      </c>
      <c r="K56" s="40" t="n">
        <v>152.54</v>
      </c>
      <c r="L56" s="40" t="n">
        <v>162.04</v>
      </c>
      <c r="M56" s="40" t="n">
        <v>171.54</v>
      </c>
      <c r="N56" s="40" t="n">
        <v>181.04</v>
      </c>
      <c r="O56" s="40" t="n">
        <v>200.04</v>
      </c>
      <c r="P56" s="40" t="n">
        <v>236.82</v>
      </c>
      <c r="Q56" s="40" t="n">
        <v>264.84</v>
      </c>
      <c r="R56" s="40" t="n">
        <v>300.15</v>
      </c>
      <c r="S56" s="40" t="n">
        <v>353.17</v>
      </c>
      <c r="T56" s="40" t="n">
        <v>441.4</v>
      </c>
      <c r="U56" s="40" t="n">
        <v>46.95</v>
      </c>
      <c r="V56" s="40" t="n">
        <v>65.63</v>
      </c>
      <c r="W56" s="40" t="n">
        <v>74.97</v>
      </c>
      <c r="X56" s="40" t="n">
        <v>77.7</v>
      </c>
      <c r="Y56" s="40" t="n">
        <v>83.58</v>
      </c>
      <c r="Z56" s="40" t="n">
        <v>90.2</v>
      </c>
      <c r="AA56" s="40" t="n">
        <v>96.77</v>
      </c>
      <c r="AB56" s="40" t="n">
        <v>109.63</v>
      </c>
      <c r="AC56" s="40" t="n">
        <v>119.5</v>
      </c>
      <c r="AD56" s="40" t="n">
        <v>144.24</v>
      </c>
      <c r="AE56" s="40" t="n">
        <v>155.09</v>
      </c>
      <c r="AF56" s="40" t="n">
        <v>66.69</v>
      </c>
      <c r="AG56" s="40" t="n">
        <v>214.88</v>
      </c>
      <c r="AH56" s="13" t="n">
        <f aca="false">(U56+AH$4*(Resumo!$C$6+Resumo!$C$7+Resumo!$C$8)+Resumo!$C$10*CEILING(AH$3/100,1)+Resumo!$C$9+Resumo!$C$13+Resumo!$C$14*CEILING(AH$3,1))*(1+Resumo!$C$11)-(AH$4*(Resumo!$B$6+Resumo!$B$7)+Resumo!$B$9+Resumo!$B$10*CEILING(AH$3/100,1)+(Resumo!$B$12+Resumo!$B$14)*CEILING(AH$3,1))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6" s="13" t="n">
        <f aca="false">(V56+AI$4*(Resumo!$C$6+Resumo!$C$7+Resumo!$C$8)+Resumo!$C$10*CEILING(AI$3/100,1)+Resumo!$C$9+Resumo!$C$13+Resumo!$C$14*CEILING(AI$3,1))*(1+Resumo!$C$11)-(AI$4*(Resumo!$B$6+Resumo!$B$7)+Resumo!$B$9+Resumo!$B$10*CEILING(AI$3/100,1)+(Resumo!$B$12+Resumo!$B$14)*CEILING(AI$3,1))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6" s="13" t="n">
        <f aca="false">(W56+AJ$4*(Resumo!$C$6+Resumo!$C$7+Resumo!$C$8)+Resumo!$C$10*CEILING(AJ$3/100,1)+Resumo!$C$9+Resumo!$C$13+Resumo!$C$14*CEILING(AJ$3,1))*(1+Resumo!$C$11)-(AJ$4*(Resumo!$B$6+Resumo!$B$7)+Resumo!$B$9+Resumo!$B$10*CEILING(AJ$3/100,1)+(Resumo!$B$12+Resumo!$B$14)*CEILING(AJ$3,1))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6" s="13" t="n">
        <f aca="false">(X56+AK$4*(Resumo!$C$6+Resumo!$C$7+Resumo!$C$8)+Resumo!$C$10*CEILING(AK$3/100,1)+Resumo!$C$9+Resumo!$C$13+Resumo!$C$14*CEILING(AK$3,1))*(1+Resumo!$C$11)-(AK$4*(Resumo!$B$6+Resumo!$B$7)+Resumo!$B$9+Resumo!$B$10*CEILING(AK$3/100,1)+(Resumo!$B$12+Resumo!$B$14)*CEILING(AK$3,1))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6" s="13" t="n">
        <f aca="false">(Y56+AL$4*(Resumo!$C$6+Resumo!$C$7+Resumo!$C$8)+Resumo!$C$10*CEILING(AL$3/100,1)+Resumo!$C$9+Resumo!$C$13+Resumo!$C$14*CEILING(AL$3,1))*(1+Resumo!$C$11)-(AL$4*(Resumo!$B$6+Resumo!$B$7)+Resumo!$B$9+Resumo!$B$10*CEILING(AL$3/100,1)+(Resumo!$B$12+Resumo!$B$14)*CEILING(AL$3,1))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6" s="13" t="n">
        <f aca="false">(Z56+AM$4*(Resumo!$C$6+Resumo!$C$7+Resumo!$C$8)+Resumo!$C$10*CEILING(AM$3/100,1)+Resumo!$C$9+Resumo!$C$13+Resumo!$C$14*CEILING(AM$3,1))*(1+Resumo!$C$11)-(AM$4*(Resumo!$B$6+Resumo!$B$7)+Resumo!$B$9+Resumo!$B$10*CEILING(AM$3/100,1)+(Resumo!$B$12+Resumo!$B$14)*CEILING(AM$3,1))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6" s="13" t="n">
        <f aca="false">(AA56+AN$4*(Resumo!$C$6+Resumo!$C$7+Resumo!$C$8)+Resumo!$C$10*CEILING(AN$3/100,1)+Resumo!$C$9+Resumo!$C$13+Resumo!$C$14*CEILING(AN$3,1))*(1+Resumo!$C$11)-(AN$4*(Resumo!$B$6+Resumo!$B$7)+Resumo!$B$9+Resumo!$B$10*CEILING(AN$3/100,1)+(Resumo!$B$12+Resumo!$B$14)*CEILING(AN$3,1))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6" s="13" t="n">
        <f aca="false">(AB56+AO$4*(Resumo!$C$6+Resumo!$C$7+Resumo!$C$8)+Resumo!$C$10*CEILING(AO$3/100,1)+Resumo!$C$9+Resumo!$C$13+Resumo!$C$14*CEILING(AO$3,1))*(1+Resumo!$C$11)-(AO$4*(Resumo!$B$6+Resumo!$B$7)+Resumo!$B$9+Resumo!$B$10*CEILING(AO$3/100,1)+(Resumo!$B$12+Resumo!$B$14)*CEILING(AO$3,1))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6" s="13" t="n">
        <f aca="false">(AC56+AP$4*(Resumo!$C$6+Resumo!$C$7+Resumo!$C$8)+Resumo!$C$10*CEILING(AP$3/100,1)+Resumo!$C$9+Resumo!$C$13+Resumo!$C$14*CEILING(AP$3,1))*(1+Resumo!$C$11)-(AP$4*(Resumo!$B$6+Resumo!$B$7)+Resumo!$B$9+Resumo!$B$10*CEILING(AP$3/100,1)+(Resumo!$B$12+Resumo!$B$14)*CEILING(AP$3,1))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6" s="13" t="n">
        <f aca="false">(AD56+AQ$4*(Resumo!$C$6+Resumo!$C$7+Resumo!$C$8)+Resumo!$C$10*CEILING(AQ$3/100,1)+Resumo!$C$9+Resumo!$C$13+Resumo!$C$14*CEILING(AQ$3,1))*(1+Resumo!$C$11)-(AQ$4*(Resumo!$B$6+Resumo!$B$7)+Resumo!$B$9+Resumo!$B$10*CEILING(AQ$3/100,1)+(Resumo!$B$12+Resumo!$B$14)*CEILING(AQ$3,1))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6" s="13" t="n">
        <f aca="false">(AE56+AR$4*(Resumo!$C$6+Resumo!$C$7+Resumo!$C$8)+Resumo!$C$10*CEILING(AR$3/100,1)+Resumo!$C$9+Resumo!$C$13+Resumo!$C$14*CEILING(AR$3,1))*(1+Resumo!$C$11)-(AR$4*(Resumo!$B$6+Resumo!$B$7)+Resumo!$B$9+Resumo!$B$10*CEILING(AR$3/100,1)+(Resumo!$B$12+Resumo!$B$14)*CEILING(AR$3,1))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6" s="13" t="n">
        <f aca="false">(AF56+AS$4*(Resumo!$C$6+Resumo!$C$7+Resumo!$C$8)+Resumo!$C$10*CEILING(AS$3/100,1)+Resumo!$C$9+Resumo!$C$13+Resumo!$C$14*CEILING(AS$3,1))*(1+Resumo!$C$11)-(AS$4*(Resumo!$B$6+Resumo!$B$7)+Resumo!$B$9+Resumo!$B$10*CEILING(AS$3/100,1)+(Resumo!$B$12+Resumo!$B$14)*CEILING(AS$3,1))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6" s="13" t="n">
        <f aca="false">(AG56+AT$4*(Resumo!$C$6+Resumo!$C$7+Resumo!$C$8)+Resumo!$C$10*CEILING(AT$3/100,1)+Resumo!$C$9+Resumo!$C$13+Resumo!$C$14*CEILING(AT$3,1))*(1+Resumo!$C$11)-(AT$4*(Resumo!$B$6+Resumo!$B$7)+Resumo!$B$9+Resumo!$B$10*CEILING(AT$3/100,1)+(Resumo!$B$12+Resumo!$B$14)*CEILING(AT$3,1))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6" s="44" t="n">
        <f aca="false">1-AH56/H56</f>
        <v>0.553790009855127</v>
      </c>
      <c r="AV56" s="44" t="n">
        <f aca="false">1-AI56/I56</f>
        <v>0.468426082913158</v>
      </c>
      <c r="AW56" s="44" t="n">
        <f aca="false">1-AJ56/J56</f>
        <v>0.424299969908939</v>
      </c>
      <c r="AX56" s="44" t="n">
        <f aca="false">1-AK56/K56</f>
        <v>0.444318235095027</v>
      </c>
      <c r="AY56" s="44" t="n">
        <f aca="false">1-AL56/L56</f>
        <v>0.44289446919564</v>
      </c>
      <c r="AZ56" s="44" t="n">
        <f aca="false">1-AM56/M56</f>
        <v>0.439248965608252</v>
      </c>
      <c r="BA56" s="44" t="n">
        <f aca="false">1-AN56/N56</f>
        <v>0.433759067609368</v>
      </c>
      <c r="BB56" s="44" t="n">
        <f aca="false">1-AO56/O56</f>
        <v>0.427042392574117</v>
      </c>
      <c r="BC56" s="44" t="n">
        <f aca="false">1-AP56/P56</f>
        <v>0.493280443868681</v>
      </c>
      <c r="BD56" s="44" t="n">
        <f aca="false">1-AQ56/Q56</f>
        <v>0.455794679894486</v>
      </c>
      <c r="BE56" s="44" t="n">
        <f aca="false">1-AR56/R56</f>
        <v>0.489018797268033</v>
      </c>
      <c r="BF56" s="44" t="n">
        <f aca="false">1-AS56/S56</f>
        <v>0.820503440269559</v>
      </c>
      <c r="BG56" s="44" t="n">
        <f aca="false">1-AT56/T56</f>
        <v>0.528263860444042</v>
      </c>
    </row>
    <row r="57" customFormat="false" ht="15" hidden="false" customHeight="false" outlineLevel="0" collapsed="false">
      <c r="A57" s="10" t="s">
        <v>261</v>
      </c>
      <c r="B57" s="10" t="s">
        <v>51</v>
      </c>
      <c r="C57" s="58" t="n">
        <v>28000000</v>
      </c>
      <c r="D57" s="58" t="n">
        <v>28179999</v>
      </c>
      <c r="E57" s="10" t="s">
        <v>24</v>
      </c>
      <c r="F57" s="10" t="s">
        <v>302</v>
      </c>
      <c r="G57" s="10" t="n">
        <f aca="false">COUNTIFS(Pedidos!$C$2:$C$2224,"&gt;="&amp;C57,Pedidos!$C$2:$C$2224,"&lt;="&amp;D57)</f>
        <v>53</v>
      </c>
      <c r="H57" s="40" t="n">
        <v>124.04</v>
      </c>
      <c r="I57" s="40" t="n">
        <v>138.29</v>
      </c>
      <c r="J57" s="40" t="n">
        <v>143.04</v>
      </c>
      <c r="K57" s="40" t="n">
        <v>152.54</v>
      </c>
      <c r="L57" s="40" t="n">
        <v>162.04</v>
      </c>
      <c r="M57" s="40" t="n">
        <v>171.54</v>
      </c>
      <c r="N57" s="40" t="n">
        <v>181.04</v>
      </c>
      <c r="O57" s="40" t="n">
        <v>200.04</v>
      </c>
      <c r="P57" s="40" t="n">
        <v>236.82</v>
      </c>
      <c r="Q57" s="40" t="n">
        <v>264.84</v>
      </c>
      <c r="R57" s="40" t="n">
        <v>300.15</v>
      </c>
      <c r="S57" s="40" t="n">
        <v>353.17</v>
      </c>
      <c r="T57" s="40" t="n">
        <v>441.4</v>
      </c>
      <c r="U57" s="40" t="n">
        <v>46.95</v>
      </c>
      <c r="V57" s="40" t="n">
        <v>65.63</v>
      </c>
      <c r="W57" s="40" t="n">
        <v>74.97</v>
      </c>
      <c r="X57" s="40" t="n">
        <v>77.7</v>
      </c>
      <c r="Y57" s="40" t="n">
        <v>83.58</v>
      </c>
      <c r="Z57" s="40" t="n">
        <v>90.2</v>
      </c>
      <c r="AA57" s="40" t="n">
        <v>96.77</v>
      </c>
      <c r="AB57" s="40" t="n">
        <v>109.63</v>
      </c>
      <c r="AC57" s="40" t="n">
        <v>119.5</v>
      </c>
      <c r="AD57" s="40" t="n">
        <v>144.24</v>
      </c>
      <c r="AE57" s="40" t="n">
        <v>155.09</v>
      </c>
      <c r="AF57" s="40" t="n">
        <v>66.69</v>
      </c>
      <c r="AG57" s="40" t="n">
        <v>214.88</v>
      </c>
      <c r="AH57" s="13" t="n">
        <f aca="false">(U57+AH$4*(Resumo!$C$6+Resumo!$C$7+Resumo!$C$8)+Resumo!$C$10*CEILING(AH$3/100,1)+Resumo!$C$9+Resumo!$C$13+Resumo!$C$14*CEILING(AH$3,1))*(1+Resumo!$C$11)-(AH$4*(Resumo!$B$6+Resumo!$B$7)+Resumo!$B$9+Resumo!$B$10*CEILING(AH$3/100,1)+(Resumo!$B$12+Resumo!$B$14)*CEILING(AH$3,1))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7" s="13" t="n">
        <f aca="false">(V57+AI$4*(Resumo!$C$6+Resumo!$C$7+Resumo!$C$8)+Resumo!$C$10*CEILING(AI$3/100,1)+Resumo!$C$9+Resumo!$C$13+Resumo!$C$14*CEILING(AI$3,1))*(1+Resumo!$C$11)-(AI$4*(Resumo!$B$6+Resumo!$B$7)+Resumo!$B$9+Resumo!$B$10*CEILING(AI$3/100,1)+(Resumo!$B$12+Resumo!$B$14)*CEILING(AI$3,1))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7" s="13" t="n">
        <f aca="false">(W57+AJ$4*(Resumo!$C$6+Resumo!$C$7+Resumo!$C$8)+Resumo!$C$10*CEILING(AJ$3/100,1)+Resumo!$C$9+Resumo!$C$13+Resumo!$C$14*CEILING(AJ$3,1))*(1+Resumo!$C$11)-(AJ$4*(Resumo!$B$6+Resumo!$B$7)+Resumo!$B$9+Resumo!$B$10*CEILING(AJ$3/100,1)+(Resumo!$B$12+Resumo!$B$14)*CEILING(AJ$3,1))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7" s="13" t="n">
        <f aca="false">(X57+AK$4*(Resumo!$C$6+Resumo!$C$7+Resumo!$C$8)+Resumo!$C$10*CEILING(AK$3/100,1)+Resumo!$C$9+Resumo!$C$13+Resumo!$C$14*CEILING(AK$3,1))*(1+Resumo!$C$11)-(AK$4*(Resumo!$B$6+Resumo!$B$7)+Resumo!$B$9+Resumo!$B$10*CEILING(AK$3/100,1)+(Resumo!$B$12+Resumo!$B$14)*CEILING(AK$3,1))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7" s="13" t="n">
        <f aca="false">(Y57+AL$4*(Resumo!$C$6+Resumo!$C$7+Resumo!$C$8)+Resumo!$C$10*CEILING(AL$3/100,1)+Resumo!$C$9+Resumo!$C$13+Resumo!$C$14*CEILING(AL$3,1))*(1+Resumo!$C$11)-(AL$4*(Resumo!$B$6+Resumo!$B$7)+Resumo!$B$9+Resumo!$B$10*CEILING(AL$3/100,1)+(Resumo!$B$12+Resumo!$B$14)*CEILING(AL$3,1))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7" s="13" t="n">
        <f aca="false">(Z57+AM$4*(Resumo!$C$6+Resumo!$C$7+Resumo!$C$8)+Resumo!$C$10*CEILING(AM$3/100,1)+Resumo!$C$9+Resumo!$C$13+Resumo!$C$14*CEILING(AM$3,1))*(1+Resumo!$C$11)-(AM$4*(Resumo!$B$6+Resumo!$B$7)+Resumo!$B$9+Resumo!$B$10*CEILING(AM$3/100,1)+(Resumo!$B$12+Resumo!$B$14)*CEILING(AM$3,1))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7" s="13" t="n">
        <f aca="false">(AA57+AN$4*(Resumo!$C$6+Resumo!$C$7+Resumo!$C$8)+Resumo!$C$10*CEILING(AN$3/100,1)+Resumo!$C$9+Resumo!$C$13+Resumo!$C$14*CEILING(AN$3,1))*(1+Resumo!$C$11)-(AN$4*(Resumo!$B$6+Resumo!$B$7)+Resumo!$B$9+Resumo!$B$10*CEILING(AN$3/100,1)+(Resumo!$B$12+Resumo!$B$14)*CEILING(AN$3,1))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7" s="13" t="n">
        <f aca="false">(AB57+AO$4*(Resumo!$C$6+Resumo!$C$7+Resumo!$C$8)+Resumo!$C$10*CEILING(AO$3/100,1)+Resumo!$C$9+Resumo!$C$13+Resumo!$C$14*CEILING(AO$3,1))*(1+Resumo!$C$11)-(AO$4*(Resumo!$B$6+Resumo!$B$7)+Resumo!$B$9+Resumo!$B$10*CEILING(AO$3/100,1)+(Resumo!$B$12+Resumo!$B$14)*CEILING(AO$3,1))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7" s="13" t="n">
        <f aca="false">(AC57+AP$4*(Resumo!$C$6+Resumo!$C$7+Resumo!$C$8)+Resumo!$C$10*CEILING(AP$3/100,1)+Resumo!$C$9+Resumo!$C$13+Resumo!$C$14*CEILING(AP$3,1))*(1+Resumo!$C$11)-(AP$4*(Resumo!$B$6+Resumo!$B$7)+Resumo!$B$9+Resumo!$B$10*CEILING(AP$3/100,1)+(Resumo!$B$12+Resumo!$B$14)*CEILING(AP$3,1))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7" s="13" t="n">
        <f aca="false">(AD57+AQ$4*(Resumo!$C$6+Resumo!$C$7+Resumo!$C$8)+Resumo!$C$10*CEILING(AQ$3/100,1)+Resumo!$C$9+Resumo!$C$13+Resumo!$C$14*CEILING(AQ$3,1))*(1+Resumo!$C$11)-(AQ$4*(Resumo!$B$6+Resumo!$B$7)+Resumo!$B$9+Resumo!$B$10*CEILING(AQ$3/100,1)+(Resumo!$B$12+Resumo!$B$14)*CEILING(AQ$3,1))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7" s="13" t="n">
        <f aca="false">(AE57+AR$4*(Resumo!$C$6+Resumo!$C$7+Resumo!$C$8)+Resumo!$C$10*CEILING(AR$3/100,1)+Resumo!$C$9+Resumo!$C$13+Resumo!$C$14*CEILING(AR$3,1))*(1+Resumo!$C$11)-(AR$4*(Resumo!$B$6+Resumo!$B$7)+Resumo!$B$9+Resumo!$B$10*CEILING(AR$3/100,1)+(Resumo!$B$12+Resumo!$B$14)*CEILING(AR$3,1))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7" s="13" t="n">
        <f aca="false">(AF57+AS$4*(Resumo!$C$6+Resumo!$C$7+Resumo!$C$8)+Resumo!$C$10*CEILING(AS$3/100,1)+Resumo!$C$9+Resumo!$C$13+Resumo!$C$14*CEILING(AS$3,1))*(1+Resumo!$C$11)-(AS$4*(Resumo!$B$6+Resumo!$B$7)+Resumo!$B$9+Resumo!$B$10*CEILING(AS$3/100,1)+(Resumo!$B$12+Resumo!$B$14)*CEILING(AS$3,1))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7" s="13" t="n">
        <f aca="false">(AG57+AT$4*(Resumo!$C$6+Resumo!$C$7+Resumo!$C$8)+Resumo!$C$10*CEILING(AT$3/100,1)+Resumo!$C$9+Resumo!$C$13+Resumo!$C$14*CEILING(AT$3,1))*(1+Resumo!$C$11)-(AT$4*(Resumo!$B$6+Resumo!$B$7)+Resumo!$B$9+Resumo!$B$10*CEILING(AT$3/100,1)+(Resumo!$B$12+Resumo!$B$14)*CEILING(AT$3,1))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7" s="44" t="n">
        <f aca="false">1-AH57/H57</f>
        <v>0.553790009855127</v>
      </c>
      <c r="AV57" s="44" t="n">
        <f aca="false">1-AI57/I57</f>
        <v>0.468426082913158</v>
      </c>
      <c r="AW57" s="44" t="n">
        <f aca="false">1-AJ57/J57</f>
        <v>0.424299969908939</v>
      </c>
      <c r="AX57" s="44" t="n">
        <f aca="false">1-AK57/K57</f>
        <v>0.444318235095027</v>
      </c>
      <c r="AY57" s="44" t="n">
        <f aca="false">1-AL57/L57</f>
        <v>0.44289446919564</v>
      </c>
      <c r="AZ57" s="44" t="n">
        <f aca="false">1-AM57/M57</f>
        <v>0.439248965608252</v>
      </c>
      <c r="BA57" s="44" t="n">
        <f aca="false">1-AN57/N57</f>
        <v>0.433759067609368</v>
      </c>
      <c r="BB57" s="44" t="n">
        <f aca="false">1-AO57/O57</f>
        <v>0.427042392574117</v>
      </c>
      <c r="BC57" s="44" t="n">
        <f aca="false">1-AP57/P57</f>
        <v>0.493280443868681</v>
      </c>
      <c r="BD57" s="44" t="n">
        <f aca="false">1-AQ57/Q57</f>
        <v>0.455794679894486</v>
      </c>
      <c r="BE57" s="44" t="n">
        <f aca="false">1-AR57/R57</f>
        <v>0.489018797268033</v>
      </c>
      <c r="BF57" s="44" t="n">
        <f aca="false">1-AS57/S57</f>
        <v>0.820503440269559</v>
      </c>
      <c r="BG57" s="44" t="n">
        <f aca="false">1-AT57/T57</f>
        <v>0.528263860444042</v>
      </c>
    </row>
    <row r="58" customFormat="false" ht="15" hidden="false" customHeight="false" outlineLevel="0" collapsed="false">
      <c r="A58" s="10" t="s">
        <v>261</v>
      </c>
      <c r="B58" s="10" t="s">
        <v>304</v>
      </c>
      <c r="C58" s="58" t="n">
        <v>28180000</v>
      </c>
      <c r="D58" s="58" t="n">
        <v>28199999</v>
      </c>
      <c r="E58" s="10" t="s">
        <v>24</v>
      </c>
      <c r="F58" s="10" t="s">
        <v>302</v>
      </c>
      <c r="G58" s="10" t="n">
        <f aca="false">COUNTIFS(Pedidos!$C$2:$C$2224,"&gt;="&amp;C58,Pedidos!$C$2:$C$2224,"&lt;="&amp;D58)</f>
        <v>1</v>
      </c>
      <c r="H58" s="40" t="n">
        <v>124.04</v>
      </c>
      <c r="I58" s="40" t="n">
        <v>138.29</v>
      </c>
      <c r="J58" s="40" t="n">
        <v>143.04</v>
      </c>
      <c r="K58" s="40" t="n">
        <v>152.54</v>
      </c>
      <c r="L58" s="40" t="n">
        <v>162.04</v>
      </c>
      <c r="M58" s="40" t="n">
        <v>171.54</v>
      </c>
      <c r="N58" s="40" t="n">
        <v>181.04</v>
      </c>
      <c r="O58" s="40" t="n">
        <v>200.04</v>
      </c>
      <c r="P58" s="40" t="n">
        <v>236.82</v>
      </c>
      <c r="Q58" s="40" t="n">
        <v>264.84</v>
      </c>
      <c r="R58" s="40" t="n">
        <v>300.15</v>
      </c>
      <c r="S58" s="40" t="n">
        <v>353.17</v>
      </c>
      <c r="T58" s="40" t="n">
        <v>441.4</v>
      </c>
      <c r="U58" s="40" t="n">
        <v>46.95</v>
      </c>
      <c r="V58" s="40" t="n">
        <v>65.63</v>
      </c>
      <c r="W58" s="40" t="n">
        <v>74.97</v>
      </c>
      <c r="X58" s="40" t="n">
        <v>77.7</v>
      </c>
      <c r="Y58" s="40" t="n">
        <v>83.58</v>
      </c>
      <c r="Z58" s="40" t="n">
        <v>90.2</v>
      </c>
      <c r="AA58" s="40" t="n">
        <v>96.77</v>
      </c>
      <c r="AB58" s="40" t="n">
        <v>109.63</v>
      </c>
      <c r="AC58" s="40" t="n">
        <v>119.5</v>
      </c>
      <c r="AD58" s="40" t="n">
        <v>144.24</v>
      </c>
      <c r="AE58" s="40" t="n">
        <v>155.09</v>
      </c>
      <c r="AF58" s="40" t="n">
        <v>66.69</v>
      </c>
      <c r="AG58" s="40" t="n">
        <v>214.88</v>
      </c>
      <c r="AH58" s="13" t="n">
        <f aca="false">(U58+AH$4*(Resumo!$C$6+Resumo!$C$7+Resumo!$C$8)+Resumo!$C$10*CEILING(AH$3/100,1)+Resumo!$C$9+Resumo!$C$13+Resumo!$C$14*CEILING(AH$3,1))*(1+Resumo!$C$11)-(AH$4*(Resumo!$B$6+Resumo!$B$7)+Resumo!$B$9+Resumo!$B$10*CEILING(AH$3/100,1)+(Resumo!$B$12+Resumo!$B$14)*CEILING(AH$3,1))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8" s="13" t="n">
        <f aca="false">(V58+AI$4*(Resumo!$C$6+Resumo!$C$7+Resumo!$C$8)+Resumo!$C$10*CEILING(AI$3/100,1)+Resumo!$C$9+Resumo!$C$13+Resumo!$C$14*CEILING(AI$3,1))*(1+Resumo!$C$11)-(AI$4*(Resumo!$B$6+Resumo!$B$7)+Resumo!$B$9+Resumo!$B$10*CEILING(AI$3/100,1)+(Resumo!$B$12+Resumo!$B$14)*CEILING(AI$3,1))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8" s="13" t="n">
        <f aca="false">(W58+AJ$4*(Resumo!$C$6+Resumo!$C$7+Resumo!$C$8)+Resumo!$C$10*CEILING(AJ$3/100,1)+Resumo!$C$9+Resumo!$C$13+Resumo!$C$14*CEILING(AJ$3,1))*(1+Resumo!$C$11)-(AJ$4*(Resumo!$B$6+Resumo!$B$7)+Resumo!$B$9+Resumo!$B$10*CEILING(AJ$3/100,1)+(Resumo!$B$12+Resumo!$B$14)*CEILING(AJ$3,1))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8" s="13" t="n">
        <f aca="false">(X58+AK$4*(Resumo!$C$6+Resumo!$C$7+Resumo!$C$8)+Resumo!$C$10*CEILING(AK$3/100,1)+Resumo!$C$9+Resumo!$C$13+Resumo!$C$14*CEILING(AK$3,1))*(1+Resumo!$C$11)-(AK$4*(Resumo!$B$6+Resumo!$B$7)+Resumo!$B$9+Resumo!$B$10*CEILING(AK$3/100,1)+(Resumo!$B$12+Resumo!$B$14)*CEILING(AK$3,1))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8" s="13" t="n">
        <f aca="false">(Y58+AL$4*(Resumo!$C$6+Resumo!$C$7+Resumo!$C$8)+Resumo!$C$10*CEILING(AL$3/100,1)+Resumo!$C$9+Resumo!$C$13+Resumo!$C$14*CEILING(AL$3,1))*(1+Resumo!$C$11)-(AL$4*(Resumo!$B$6+Resumo!$B$7)+Resumo!$B$9+Resumo!$B$10*CEILING(AL$3/100,1)+(Resumo!$B$12+Resumo!$B$14)*CEILING(AL$3,1))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8" s="13" t="n">
        <f aca="false">(Z58+AM$4*(Resumo!$C$6+Resumo!$C$7+Resumo!$C$8)+Resumo!$C$10*CEILING(AM$3/100,1)+Resumo!$C$9+Resumo!$C$13+Resumo!$C$14*CEILING(AM$3,1))*(1+Resumo!$C$11)-(AM$4*(Resumo!$B$6+Resumo!$B$7)+Resumo!$B$9+Resumo!$B$10*CEILING(AM$3/100,1)+(Resumo!$B$12+Resumo!$B$14)*CEILING(AM$3,1))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8" s="13" t="n">
        <f aca="false">(AA58+AN$4*(Resumo!$C$6+Resumo!$C$7+Resumo!$C$8)+Resumo!$C$10*CEILING(AN$3/100,1)+Resumo!$C$9+Resumo!$C$13+Resumo!$C$14*CEILING(AN$3,1))*(1+Resumo!$C$11)-(AN$4*(Resumo!$B$6+Resumo!$B$7)+Resumo!$B$9+Resumo!$B$10*CEILING(AN$3/100,1)+(Resumo!$B$12+Resumo!$B$14)*CEILING(AN$3,1))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8" s="13" t="n">
        <f aca="false">(AB58+AO$4*(Resumo!$C$6+Resumo!$C$7+Resumo!$C$8)+Resumo!$C$10*CEILING(AO$3/100,1)+Resumo!$C$9+Resumo!$C$13+Resumo!$C$14*CEILING(AO$3,1))*(1+Resumo!$C$11)-(AO$4*(Resumo!$B$6+Resumo!$B$7)+Resumo!$B$9+Resumo!$B$10*CEILING(AO$3/100,1)+(Resumo!$B$12+Resumo!$B$14)*CEILING(AO$3,1))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8" s="13" t="n">
        <f aca="false">(AC58+AP$4*(Resumo!$C$6+Resumo!$C$7+Resumo!$C$8)+Resumo!$C$10*CEILING(AP$3/100,1)+Resumo!$C$9+Resumo!$C$13+Resumo!$C$14*CEILING(AP$3,1))*(1+Resumo!$C$11)-(AP$4*(Resumo!$B$6+Resumo!$B$7)+Resumo!$B$9+Resumo!$B$10*CEILING(AP$3/100,1)+(Resumo!$B$12+Resumo!$B$14)*CEILING(AP$3,1))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8" s="13" t="n">
        <f aca="false">(AD58+AQ$4*(Resumo!$C$6+Resumo!$C$7+Resumo!$C$8)+Resumo!$C$10*CEILING(AQ$3/100,1)+Resumo!$C$9+Resumo!$C$13+Resumo!$C$14*CEILING(AQ$3,1))*(1+Resumo!$C$11)-(AQ$4*(Resumo!$B$6+Resumo!$B$7)+Resumo!$B$9+Resumo!$B$10*CEILING(AQ$3/100,1)+(Resumo!$B$12+Resumo!$B$14)*CEILING(AQ$3,1))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8" s="13" t="n">
        <f aca="false">(AE58+AR$4*(Resumo!$C$6+Resumo!$C$7+Resumo!$C$8)+Resumo!$C$10*CEILING(AR$3/100,1)+Resumo!$C$9+Resumo!$C$13+Resumo!$C$14*CEILING(AR$3,1))*(1+Resumo!$C$11)-(AR$4*(Resumo!$B$6+Resumo!$B$7)+Resumo!$B$9+Resumo!$B$10*CEILING(AR$3/100,1)+(Resumo!$B$12+Resumo!$B$14)*CEILING(AR$3,1))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8" s="13" t="n">
        <f aca="false">(AF58+AS$4*(Resumo!$C$6+Resumo!$C$7+Resumo!$C$8)+Resumo!$C$10*CEILING(AS$3/100,1)+Resumo!$C$9+Resumo!$C$13+Resumo!$C$14*CEILING(AS$3,1))*(1+Resumo!$C$11)-(AS$4*(Resumo!$B$6+Resumo!$B$7)+Resumo!$B$9+Resumo!$B$10*CEILING(AS$3/100,1)+(Resumo!$B$12+Resumo!$B$14)*CEILING(AS$3,1))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8" s="13" t="n">
        <f aca="false">(AG58+AT$4*(Resumo!$C$6+Resumo!$C$7+Resumo!$C$8)+Resumo!$C$10*CEILING(AT$3/100,1)+Resumo!$C$9+Resumo!$C$13+Resumo!$C$14*CEILING(AT$3,1))*(1+Resumo!$C$11)-(AT$4*(Resumo!$B$6+Resumo!$B$7)+Resumo!$B$9+Resumo!$B$10*CEILING(AT$3/100,1)+(Resumo!$B$12+Resumo!$B$14)*CEILING(AT$3,1))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8" s="44" t="n">
        <f aca="false">1-AH58/H58</f>
        <v>0.553790009855127</v>
      </c>
      <c r="AV58" s="44" t="n">
        <f aca="false">1-AI58/I58</f>
        <v>0.468426082913158</v>
      </c>
      <c r="AW58" s="44" t="n">
        <f aca="false">1-AJ58/J58</f>
        <v>0.424299969908939</v>
      </c>
      <c r="AX58" s="44" t="n">
        <f aca="false">1-AK58/K58</f>
        <v>0.444318235095027</v>
      </c>
      <c r="AY58" s="44" t="n">
        <f aca="false">1-AL58/L58</f>
        <v>0.44289446919564</v>
      </c>
      <c r="AZ58" s="44" t="n">
        <f aca="false">1-AM58/M58</f>
        <v>0.439248965608252</v>
      </c>
      <c r="BA58" s="44" t="n">
        <f aca="false">1-AN58/N58</f>
        <v>0.433759067609368</v>
      </c>
      <c r="BB58" s="44" t="n">
        <f aca="false">1-AO58/O58</f>
        <v>0.427042392574117</v>
      </c>
      <c r="BC58" s="44" t="n">
        <f aca="false">1-AP58/P58</f>
        <v>0.493280443868681</v>
      </c>
      <c r="BD58" s="44" t="n">
        <f aca="false">1-AQ58/Q58</f>
        <v>0.455794679894486</v>
      </c>
      <c r="BE58" s="44" t="n">
        <f aca="false">1-AR58/R58</f>
        <v>0.489018797268033</v>
      </c>
      <c r="BF58" s="44" t="n">
        <f aca="false">1-AS58/S58</f>
        <v>0.820503440269559</v>
      </c>
      <c r="BG58" s="44" t="n">
        <f aca="false">1-AT58/T58</f>
        <v>0.528263860444042</v>
      </c>
    </row>
    <row r="59" customFormat="false" ht="15" hidden="false" customHeight="false" outlineLevel="0" collapsed="false">
      <c r="A59" s="10" t="s">
        <v>261</v>
      </c>
      <c r="B59" s="10" t="s">
        <v>305</v>
      </c>
      <c r="C59" s="58" t="n">
        <v>28200000</v>
      </c>
      <c r="D59" s="58" t="n">
        <v>28229999</v>
      </c>
      <c r="E59" s="10" t="s">
        <v>24</v>
      </c>
      <c r="F59" s="10" t="s">
        <v>302</v>
      </c>
      <c r="G59" s="10" t="n">
        <f aca="false">COUNTIFS(Pedidos!$C$2:$C$2224,"&gt;="&amp;C59,Pedidos!$C$2:$C$2224,"&lt;="&amp;D59)</f>
        <v>14</v>
      </c>
      <c r="H59" s="40" t="n">
        <v>124.04</v>
      </c>
      <c r="I59" s="40" t="n">
        <v>138.29</v>
      </c>
      <c r="J59" s="40" t="n">
        <v>143.04</v>
      </c>
      <c r="K59" s="40" t="n">
        <v>152.54</v>
      </c>
      <c r="L59" s="40" t="n">
        <v>162.04</v>
      </c>
      <c r="M59" s="40" t="n">
        <v>171.54</v>
      </c>
      <c r="N59" s="40" t="n">
        <v>181.04</v>
      </c>
      <c r="O59" s="40" t="n">
        <v>200.04</v>
      </c>
      <c r="P59" s="40" t="n">
        <v>236.82</v>
      </c>
      <c r="Q59" s="40" t="n">
        <v>264.84</v>
      </c>
      <c r="R59" s="40" t="n">
        <v>300.15</v>
      </c>
      <c r="S59" s="40" t="n">
        <v>353.17</v>
      </c>
      <c r="T59" s="40" t="n">
        <v>441.4</v>
      </c>
      <c r="U59" s="40" t="n">
        <v>46.95</v>
      </c>
      <c r="V59" s="40" t="n">
        <v>65.63</v>
      </c>
      <c r="W59" s="40" t="n">
        <v>74.97</v>
      </c>
      <c r="X59" s="40" t="n">
        <v>77.7</v>
      </c>
      <c r="Y59" s="40" t="n">
        <v>83.58</v>
      </c>
      <c r="Z59" s="40" t="n">
        <v>90.2</v>
      </c>
      <c r="AA59" s="40" t="n">
        <v>96.77</v>
      </c>
      <c r="AB59" s="40" t="n">
        <v>109.63</v>
      </c>
      <c r="AC59" s="40" t="n">
        <v>119.5</v>
      </c>
      <c r="AD59" s="40" t="n">
        <v>144.24</v>
      </c>
      <c r="AE59" s="40" t="n">
        <v>155.09</v>
      </c>
      <c r="AF59" s="40" t="n">
        <v>66.69</v>
      </c>
      <c r="AG59" s="40" t="n">
        <v>214.88</v>
      </c>
      <c r="AH59" s="13" t="n">
        <f aca="false">(U59+AH$4*(Resumo!$C$6+Resumo!$C$7+Resumo!$C$8)+Resumo!$C$10*CEILING(AH$3/100,1)+Resumo!$C$9+Resumo!$C$13+Resumo!$C$14*CEILING(AH$3,1))*(1+Resumo!$C$11)-(AH$4*(Resumo!$B$6+Resumo!$B$7)+Resumo!$B$9+Resumo!$B$10*CEILING(AH$3/100,1)+(Resumo!$B$12+Resumo!$B$14)*CEILING(AH$3,1))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59" s="13" t="n">
        <f aca="false">(V59+AI$4*(Resumo!$C$6+Resumo!$C$7+Resumo!$C$8)+Resumo!$C$10*CEILING(AI$3/100,1)+Resumo!$C$9+Resumo!$C$13+Resumo!$C$14*CEILING(AI$3,1))*(1+Resumo!$C$11)-(AI$4*(Resumo!$B$6+Resumo!$B$7)+Resumo!$B$9+Resumo!$B$10*CEILING(AI$3/100,1)+(Resumo!$B$12+Resumo!$B$14)*CEILING(AI$3,1))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59" s="13" t="n">
        <f aca="false">(W59+AJ$4*(Resumo!$C$6+Resumo!$C$7+Resumo!$C$8)+Resumo!$C$10*CEILING(AJ$3/100,1)+Resumo!$C$9+Resumo!$C$13+Resumo!$C$14*CEILING(AJ$3,1))*(1+Resumo!$C$11)-(AJ$4*(Resumo!$B$6+Resumo!$B$7)+Resumo!$B$9+Resumo!$B$10*CEILING(AJ$3/100,1)+(Resumo!$B$12+Resumo!$B$14)*CEILING(AJ$3,1))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59" s="13" t="n">
        <f aca="false">(X59+AK$4*(Resumo!$C$6+Resumo!$C$7+Resumo!$C$8)+Resumo!$C$10*CEILING(AK$3/100,1)+Resumo!$C$9+Resumo!$C$13+Resumo!$C$14*CEILING(AK$3,1))*(1+Resumo!$C$11)-(AK$4*(Resumo!$B$6+Resumo!$B$7)+Resumo!$B$9+Resumo!$B$10*CEILING(AK$3/100,1)+(Resumo!$B$12+Resumo!$B$14)*CEILING(AK$3,1))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59" s="13" t="n">
        <f aca="false">(Y59+AL$4*(Resumo!$C$6+Resumo!$C$7+Resumo!$C$8)+Resumo!$C$10*CEILING(AL$3/100,1)+Resumo!$C$9+Resumo!$C$13+Resumo!$C$14*CEILING(AL$3,1))*(1+Resumo!$C$11)-(AL$4*(Resumo!$B$6+Resumo!$B$7)+Resumo!$B$9+Resumo!$B$10*CEILING(AL$3/100,1)+(Resumo!$B$12+Resumo!$B$14)*CEILING(AL$3,1))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59" s="13" t="n">
        <f aca="false">(Z59+AM$4*(Resumo!$C$6+Resumo!$C$7+Resumo!$C$8)+Resumo!$C$10*CEILING(AM$3/100,1)+Resumo!$C$9+Resumo!$C$13+Resumo!$C$14*CEILING(AM$3,1))*(1+Resumo!$C$11)-(AM$4*(Resumo!$B$6+Resumo!$B$7)+Resumo!$B$9+Resumo!$B$10*CEILING(AM$3/100,1)+(Resumo!$B$12+Resumo!$B$14)*CEILING(AM$3,1))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59" s="13" t="n">
        <f aca="false">(AA59+AN$4*(Resumo!$C$6+Resumo!$C$7+Resumo!$C$8)+Resumo!$C$10*CEILING(AN$3/100,1)+Resumo!$C$9+Resumo!$C$13+Resumo!$C$14*CEILING(AN$3,1))*(1+Resumo!$C$11)-(AN$4*(Resumo!$B$6+Resumo!$B$7)+Resumo!$B$9+Resumo!$B$10*CEILING(AN$3/100,1)+(Resumo!$B$12+Resumo!$B$14)*CEILING(AN$3,1))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59" s="13" t="n">
        <f aca="false">(AB59+AO$4*(Resumo!$C$6+Resumo!$C$7+Resumo!$C$8)+Resumo!$C$10*CEILING(AO$3/100,1)+Resumo!$C$9+Resumo!$C$13+Resumo!$C$14*CEILING(AO$3,1))*(1+Resumo!$C$11)-(AO$4*(Resumo!$B$6+Resumo!$B$7)+Resumo!$B$9+Resumo!$B$10*CEILING(AO$3/100,1)+(Resumo!$B$12+Resumo!$B$14)*CEILING(AO$3,1))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59" s="13" t="n">
        <f aca="false">(AC59+AP$4*(Resumo!$C$6+Resumo!$C$7+Resumo!$C$8)+Resumo!$C$10*CEILING(AP$3/100,1)+Resumo!$C$9+Resumo!$C$13+Resumo!$C$14*CEILING(AP$3,1))*(1+Resumo!$C$11)-(AP$4*(Resumo!$B$6+Resumo!$B$7)+Resumo!$B$9+Resumo!$B$10*CEILING(AP$3/100,1)+(Resumo!$B$12+Resumo!$B$14)*CEILING(AP$3,1))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59" s="13" t="n">
        <f aca="false">(AD59+AQ$4*(Resumo!$C$6+Resumo!$C$7+Resumo!$C$8)+Resumo!$C$10*CEILING(AQ$3/100,1)+Resumo!$C$9+Resumo!$C$13+Resumo!$C$14*CEILING(AQ$3,1))*(1+Resumo!$C$11)-(AQ$4*(Resumo!$B$6+Resumo!$B$7)+Resumo!$B$9+Resumo!$B$10*CEILING(AQ$3/100,1)+(Resumo!$B$12+Resumo!$B$14)*CEILING(AQ$3,1))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59" s="13" t="n">
        <f aca="false">(AE59+AR$4*(Resumo!$C$6+Resumo!$C$7+Resumo!$C$8)+Resumo!$C$10*CEILING(AR$3/100,1)+Resumo!$C$9+Resumo!$C$13+Resumo!$C$14*CEILING(AR$3,1))*(1+Resumo!$C$11)-(AR$4*(Resumo!$B$6+Resumo!$B$7)+Resumo!$B$9+Resumo!$B$10*CEILING(AR$3/100,1)+(Resumo!$B$12+Resumo!$B$14)*CEILING(AR$3,1))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59" s="13" t="n">
        <f aca="false">(AF59+AS$4*(Resumo!$C$6+Resumo!$C$7+Resumo!$C$8)+Resumo!$C$10*CEILING(AS$3/100,1)+Resumo!$C$9+Resumo!$C$13+Resumo!$C$14*CEILING(AS$3,1))*(1+Resumo!$C$11)-(AS$4*(Resumo!$B$6+Resumo!$B$7)+Resumo!$B$9+Resumo!$B$10*CEILING(AS$3/100,1)+(Resumo!$B$12+Resumo!$B$14)*CEILING(AS$3,1))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59" s="13" t="n">
        <f aca="false">(AG59+AT$4*(Resumo!$C$6+Resumo!$C$7+Resumo!$C$8)+Resumo!$C$10*CEILING(AT$3/100,1)+Resumo!$C$9+Resumo!$C$13+Resumo!$C$14*CEILING(AT$3,1))*(1+Resumo!$C$11)-(AT$4*(Resumo!$B$6+Resumo!$B$7)+Resumo!$B$9+Resumo!$B$10*CEILING(AT$3/100,1)+(Resumo!$B$12+Resumo!$B$14)*CEILING(AT$3,1))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59" s="44" t="n">
        <f aca="false">1-AH59/H59</f>
        <v>0.553790009855127</v>
      </c>
      <c r="AV59" s="44" t="n">
        <f aca="false">1-AI59/I59</f>
        <v>0.468426082913158</v>
      </c>
      <c r="AW59" s="44" t="n">
        <f aca="false">1-AJ59/J59</f>
        <v>0.424299969908939</v>
      </c>
      <c r="AX59" s="44" t="n">
        <f aca="false">1-AK59/K59</f>
        <v>0.444318235095027</v>
      </c>
      <c r="AY59" s="44" t="n">
        <f aca="false">1-AL59/L59</f>
        <v>0.44289446919564</v>
      </c>
      <c r="AZ59" s="44" t="n">
        <f aca="false">1-AM59/M59</f>
        <v>0.439248965608252</v>
      </c>
      <c r="BA59" s="44" t="n">
        <f aca="false">1-AN59/N59</f>
        <v>0.433759067609368</v>
      </c>
      <c r="BB59" s="44" t="n">
        <f aca="false">1-AO59/O59</f>
        <v>0.427042392574117</v>
      </c>
      <c r="BC59" s="44" t="n">
        <f aca="false">1-AP59/P59</f>
        <v>0.493280443868681</v>
      </c>
      <c r="BD59" s="44" t="n">
        <f aca="false">1-AQ59/Q59</f>
        <v>0.455794679894486</v>
      </c>
      <c r="BE59" s="44" t="n">
        <f aca="false">1-AR59/R59</f>
        <v>0.489018797268033</v>
      </c>
      <c r="BF59" s="44" t="n">
        <f aca="false">1-AS59/S59</f>
        <v>0.820503440269559</v>
      </c>
      <c r="BG59" s="44" t="n">
        <f aca="false">1-AT59/T59</f>
        <v>0.528263860444042</v>
      </c>
    </row>
    <row r="60" customFormat="false" ht="15" hidden="false" customHeight="false" outlineLevel="0" collapsed="false">
      <c r="A60" s="10" t="s">
        <v>261</v>
      </c>
      <c r="B60" s="10" t="s">
        <v>306</v>
      </c>
      <c r="C60" s="58" t="n">
        <v>28230000</v>
      </c>
      <c r="D60" s="58" t="n">
        <v>28249999</v>
      </c>
      <c r="E60" s="10" t="s">
        <v>24</v>
      </c>
      <c r="F60" s="10" t="s">
        <v>302</v>
      </c>
      <c r="G60" s="10" t="n">
        <f aca="false">COUNTIFS(Pedidos!$C$2:$C$2224,"&gt;="&amp;C60,Pedidos!$C$2:$C$2224,"&lt;="&amp;D60)</f>
        <v>2</v>
      </c>
      <c r="H60" s="40" t="n">
        <v>124.04</v>
      </c>
      <c r="I60" s="40" t="n">
        <v>138.29</v>
      </c>
      <c r="J60" s="40" t="n">
        <v>143.04</v>
      </c>
      <c r="K60" s="40" t="n">
        <v>152.54</v>
      </c>
      <c r="L60" s="40" t="n">
        <v>162.04</v>
      </c>
      <c r="M60" s="40" t="n">
        <v>171.54</v>
      </c>
      <c r="N60" s="40" t="n">
        <v>181.04</v>
      </c>
      <c r="O60" s="40" t="n">
        <v>200.04</v>
      </c>
      <c r="P60" s="40" t="n">
        <v>236.82</v>
      </c>
      <c r="Q60" s="40" t="n">
        <v>264.84</v>
      </c>
      <c r="R60" s="40" t="n">
        <v>300.15</v>
      </c>
      <c r="S60" s="40" t="n">
        <v>353.17</v>
      </c>
      <c r="T60" s="40" t="n">
        <v>441.4</v>
      </c>
      <c r="U60" s="40" t="n">
        <v>46.95</v>
      </c>
      <c r="V60" s="40" t="n">
        <v>65.63</v>
      </c>
      <c r="W60" s="40" t="n">
        <v>74.97</v>
      </c>
      <c r="X60" s="40" t="n">
        <v>77.7</v>
      </c>
      <c r="Y60" s="40" t="n">
        <v>83.58</v>
      </c>
      <c r="Z60" s="40" t="n">
        <v>90.2</v>
      </c>
      <c r="AA60" s="40" t="n">
        <v>96.77</v>
      </c>
      <c r="AB60" s="40" t="n">
        <v>109.63</v>
      </c>
      <c r="AC60" s="40" t="n">
        <v>119.5</v>
      </c>
      <c r="AD60" s="40" t="n">
        <v>144.24</v>
      </c>
      <c r="AE60" s="40" t="n">
        <v>155.09</v>
      </c>
      <c r="AF60" s="40" t="n">
        <v>66.69</v>
      </c>
      <c r="AG60" s="40" t="n">
        <v>214.88</v>
      </c>
      <c r="AH60" s="13" t="n">
        <f aca="false">(U60+AH$4*(Resumo!$C$6+Resumo!$C$7+Resumo!$C$8)+Resumo!$C$10*CEILING(AH$3/100,1)+Resumo!$C$9+Resumo!$C$13+Resumo!$C$14*CEILING(AH$3,1))*(1+Resumo!$C$11)-(AH$4*(Resumo!$B$6+Resumo!$B$7)+Resumo!$B$9+Resumo!$B$10*CEILING(AH$3/100,1)+(Resumo!$B$12+Resumo!$B$14)*CEILING(AH$3,1))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0" s="13" t="n">
        <f aca="false">(V60+AI$4*(Resumo!$C$6+Resumo!$C$7+Resumo!$C$8)+Resumo!$C$10*CEILING(AI$3/100,1)+Resumo!$C$9+Resumo!$C$13+Resumo!$C$14*CEILING(AI$3,1))*(1+Resumo!$C$11)-(AI$4*(Resumo!$B$6+Resumo!$B$7)+Resumo!$B$9+Resumo!$B$10*CEILING(AI$3/100,1)+(Resumo!$B$12+Resumo!$B$14)*CEILING(AI$3,1))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0" s="13" t="n">
        <f aca="false">(W60+AJ$4*(Resumo!$C$6+Resumo!$C$7+Resumo!$C$8)+Resumo!$C$10*CEILING(AJ$3/100,1)+Resumo!$C$9+Resumo!$C$13+Resumo!$C$14*CEILING(AJ$3,1))*(1+Resumo!$C$11)-(AJ$4*(Resumo!$B$6+Resumo!$B$7)+Resumo!$B$9+Resumo!$B$10*CEILING(AJ$3/100,1)+(Resumo!$B$12+Resumo!$B$14)*CEILING(AJ$3,1))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0" s="13" t="n">
        <f aca="false">(X60+AK$4*(Resumo!$C$6+Resumo!$C$7+Resumo!$C$8)+Resumo!$C$10*CEILING(AK$3/100,1)+Resumo!$C$9+Resumo!$C$13+Resumo!$C$14*CEILING(AK$3,1))*(1+Resumo!$C$11)-(AK$4*(Resumo!$B$6+Resumo!$B$7)+Resumo!$B$9+Resumo!$B$10*CEILING(AK$3/100,1)+(Resumo!$B$12+Resumo!$B$14)*CEILING(AK$3,1))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0" s="13" t="n">
        <f aca="false">(Y60+AL$4*(Resumo!$C$6+Resumo!$C$7+Resumo!$C$8)+Resumo!$C$10*CEILING(AL$3/100,1)+Resumo!$C$9+Resumo!$C$13+Resumo!$C$14*CEILING(AL$3,1))*(1+Resumo!$C$11)-(AL$4*(Resumo!$B$6+Resumo!$B$7)+Resumo!$B$9+Resumo!$B$10*CEILING(AL$3/100,1)+(Resumo!$B$12+Resumo!$B$14)*CEILING(AL$3,1))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0" s="13" t="n">
        <f aca="false">(Z60+AM$4*(Resumo!$C$6+Resumo!$C$7+Resumo!$C$8)+Resumo!$C$10*CEILING(AM$3/100,1)+Resumo!$C$9+Resumo!$C$13+Resumo!$C$14*CEILING(AM$3,1))*(1+Resumo!$C$11)-(AM$4*(Resumo!$B$6+Resumo!$B$7)+Resumo!$B$9+Resumo!$B$10*CEILING(AM$3/100,1)+(Resumo!$B$12+Resumo!$B$14)*CEILING(AM$3,1))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0" s="13" t="n">
        <f aca="false">(AA60+AN$4*(Resumo!$C$6+Resumo!$C$7+Resumo!$C$8)+Resumo!$C$10*CEILING(AN$3/100,1)+Resumo!$C$9+Resumo!$C$13+Resumo!$C$14*CEILING(AN$3,1))*(1+Resumo!$C$11)-(AN$4*(Resumo!$B$6+Resumo!$B$7)+Resumo!$B$9+Resumo!$B$10*CEILING(AN$3/100,1)+(Resumo!$B$12+Resumo!$B$14)*CEILING(AN$3,1))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0" s="13" t="n">
        <f aca="false">(AB60+AO$4*(Resumo!$C$6+Resumo!$C$7+Resumo!$C$8)+Resumo!$C$10*CEILING(AO$3/100,1)+Resumo!$C$9+Resumo!$C$13+Resumo!$C$14*CEILING(AO$3,1))*(1+Resumo!$C$11)-(AO$4*(Resumo!$B$6+Resumo!$B$7)+Resumo!$B$9+Resumo!$B$10*CEILING(AO$3/100,1)+(Resumo!$B$12+Resumo!$B$14)*CEILING(AO$3,1))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0" s="13" t="n">
        <f aca="false">(AC60+AP$4*(Resumo!$C$6+Resumo!$C$7+Resumo!$C$8)+Resumo!$C$10*CEILING(AP$3/100,1)+Resumo!$C$9+Resumo!$C$13+Resumo!$C$14*CEILING(AP$3,1))*(1+Resumo!$C$11)-(AP$4*(Resumo!$B$6+Resumo!$B$7)+Resumo!$B$9+Resumo!$B$10*CEILING(AP$3/100,1)+(Resumo!$B$12+Resumo!$B$14)*CEILING(AP$3,1))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0" s="13" t="n">
        <f aca="false">(AD60+AQ$4*(Resumo!$C$6+Resumo!$C$7+Resumo!$C$8)+Resumo!$C$10*CEILING(AQ$3/100,1)+Resumo!$C$9+Resumo!$C$13+Resumo!$C$14*CEILING(AQ$3,1))*(1+Resumo!$C$11)-(AQ$4*(Resumo!$B$6+Resumo!$B$7)+Resumo!$B$9+Resumo!$B$10*CEILING(AQ$3/100,1)+(Resumo!$B$12+Resumo!$B$14)*CEILING(AQ$3,1))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0" s="13" t="n">
        <f aca="false">(AE60+AR$4*(Resumo!$C$6+Resumo!$C$7+Resumo!$C$8)+Resumo!$C$10*CEILING(AR$3/100,1)+Resumo!$C$9+Resumo!$C$13+Resumo!$C$14*CEILING(AR$3,1))*(1+Resumo!$C$11)-(AR$4*(Resumo!$B$6+Resumo!$B$7)+Resumo!$B$9+Resumo!$B$10*CEILING(AR$3/100,1)+(Resumo!$B$12+Resumo!$B$14)*CEILING(AR$3,1))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0" s="13" t="n">
        <f aca="false">(AF60+AS$4*(Resumo!$C$6+Resumo!$C$7+Resumo!$C$8)+Resumo!$C$10*CEILING(AS$3/100,1)+Resumo!$C$9+Resumo!$C$13+Resumo!$C$14*CEILING(AS$3,1))*(1+Resumo!$C$11)-(AS$4*(Resumo!$B$6+Resumo!$B$7)+Resumo!$B$9+Resumo!$B$10*CEILING(AS$3/100,1)+(Resumo!$B$12+Resumo!$B$14)*CEILING(AS$3,1))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0" s="13" t="n">
        <f aca="false">(AG60+AT$4*(Resumo!$C$6+Resumo!$C$7+Resumo!$C$8)+Resumo!$C$10*CEILING(AT$3/100,1)+Resumo!$C$9+Resumo!$C$13+Resumo!$C$14*CEILING(AT$3,1))*(1+Resumo!$C$11)-(AT$4*(Resumo!$B$6+Resumo!$B$7)+Resumo!$B$9+Resumo!$B$10*CEILING(AT$3/100,1)+(Resumo!$B$12+Resumo!$B$14)*CEILING(AT$3,1))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0" s="44" t="n">
        <f aca="false">1-AH60/H60</f>
        <v>0.553790009855127</v>
      </c>
      <c r="AV60" s="44" t="n">
        <f aca="false">1-AI60/I60</f>
        <v>0.468426082913158</v>
      </c>
      <c r="AW60" s="44" t="n">
        <f aca="false">1-AJ60/J60</f>
        <v>0.424299969908939</v>
      </c>
      <c r="AX60" s="44" t="n">
        <f aca="false">1-AK60/K60</f>
        <v>0.444318235095027</v>
      </c>
      <c r="AY60" s="44" t="n">
        <f aca="false">1-AL60/L60</f>
        <v>0.44289446919564</v>
      </c>
      <c r="AZ60" s="44" t="n">
        <f aca="false">1-AM60/M60</f>
        <v>0.439248965608252</v>
      </c>
      <c r="BA60" s="44" t="n">
        <f aca="false">1-AN60/N60</f>
        <v>0.433759067609368</v>
      </c>
      <c r="BB60" s="44" t="n">
        <f aca="false">1-AO60/O60</f>
        <v>0.427042392574117</v>
      </c>
      <c r="BC60" s="44" t="n">
        <f aca="false">1-AP60/P60</f>
        <v>0.493280443868681</v>
      </c>
      <c r="BD60" s="44" t="n">
        <f aca="false">1-AQ60/Q60</f>
        <v>0.455794679894486</v>
      </c>
      <c r="BE60" s="44" t="n">
        <f aca="false">1-AR60/R60</f>
        <v>0.489018797268033</v>
      </c>
      <c r="BF60" s="44" t="n">
        <f aca="false">1-AS60/S60</f>
        <v>0.820503440269559</v>
      </c>
      <c r="BG60" s="44" t="n">
        <f aca="false">1-AT60/T60</f>
        <v>0.528263860444042</v>
      </c>
    </row>
    <row r="61" customFormat="false" ht="15" hidden="false" customHeight="false" outlineLevel="0" collapsed="false">
      <c r="A61" s="10" t="s">
        <v>261</v>
      </c>
      <c r="B61" s="10" t="s">
        <v>307</v>
      </c>
      <c r="C61" s="58" t="n">
        <v>28250000</v>
      </c>
      <c r="D61" s="58" t="n">
        <v>28299999</v>
      </c>
      <c r="E61" s="10" t="s">
        <v>24</v>
      </c>
      <c r="F61" s="10" t="s">
        <v>302</v>
      </c>
      <c r="G61" s="10" t="n">
        <f aca="false">COUNTIFS(Pedidos!$C$2:$C$2224,"&gt;="&amp;C61,Pedidos!$C$2:$C$2224,"&lt;="&amp;D61)</f>
        <v>1</v>
      </c>
      <c r="H61" s="40" t="n">
        <v>124.04</v>
      </c>
      <c r="I61" s="40" t="n">
        <v>138.29</v>
      </c>
      <c r="J61" s="40" t="n">
        <v>143.04</v>
      </c>
      <c r="K61" s="40" t="n">
        <v>152.54</v>
      </c>
      <c r="L61" s="40" t="n">
        <v>162.04</v>
      </c>
      <c r="M61" s="40" t="n">
        <v>171.54</v>
      </c>
      <c r="N61" s="40" t="n">
        <v>181.04</v>
      </c>
      <c r="O61" s="40" t="n">
        <v>200.04</v>
      </c>
      <c r="P61" s="40" t="n">
        <v>236.82</v>
      </c>
      <c r="Q61" s="40" t="n">
        <v>264.84</v>
      </c>
      <c r="R61" s="40" t="n">
        <v>300.15</v>
      </c>
      <c r="S61" s="40" t="n">
        <v>353.17</v>
      </c>
      <c r="T61" s="40" t="n">
        <v>441.4</v>
      </c>
      <c r="U61" s="40" t="n">
        <v>46.95</v>
      </c>
      <c r="V61" s="40" t="n">
        <v>65.63</v>
      </c>
      <c r="W61" s="40" t="n">
        <v>74.97</v>
      </c>
      <c r="X61" s="40" t="n">
        <v>77.7</v>
      </c>
      <c r="Y61" s="40" t="n">
        <v>83.58</v>
      </c>
      <c r="Z61" s="40" t="n">
        <v>90.2</v>
      </c>
      <c r="AA61" s="40" t="n">
        <v>96.77</v>
      </c>
      <c r="AB61" s="40" t="n">
        <v>109.63</v>
      </c>
      <c r="AC61" s="40" t="n">
        <v>119.5</v>
      </c>
      <c r="AD61" s="40" t="n">
        <v>144.24</v>
      </c>
      <c r="AE61" s="40" t="n">
        <v>155.09</v>
      </c>
      <c r="AF61" s="40" t="n">
        <v>66.69</v>
      </c>
      <c r="AG61" s="40" t="n">
        <v>214.88</v>
      </c>
      <c r="AH61" s="13" t="n">
        <f aca="false">(U61+AH$4*(Resumo!$C$6+Resumo!$C$7+Resumo!$C$8)+Resumo!$C$10*CEILING(AH$3/100,1)+Resumo!$C$9+Resumo!$C$13+Resumo!$C$14*CEILING(AH$3,1))*(1+Resumo!$C$11)-(AH$4*(Resumo!$B$6+Resumo!$B$7)+Resumo!$B$9+Resumo!$B$10*CEILING(AH$3/100,1)+(Resumo!$B$12+Resumo!$B$14)*CEILING(AH$3,1))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1" s="13" t="n">
        <f aca="false">(V61+AI$4*(Resumo!$C$6+Resumo!$C$7+Resumo!$C$8)+Resumo!$C$10*CEILING(AI$3/100,1)+Resumo!$C$9+Resumo!$C$13+Resumo!$C$14*CEILING(AI$3,1))*(1+Resumo!$C$11)-(AI$4*(Resumo!$B$6+Resumo!$B$7)+Resumo!$B$9+Resumo!$B$10*CEILING(AI$3/100,1)+(Resumo!$B$12+Resumo!$B$14)*CEILING(AI$3,1))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1" s="13" t="n">
        <f aca="false">(W61+AJ$4*(Resumo!$C$6+Resumo!$C$7+Resumo!$C$8)+Resumo!$C$10*CEILING(AJ$3/100,1)+Resumo!$C$9+Resumo!$C$13+Resumo!$C$14*CEILING(AJ$3,1))*(1+Resumo!$C$11)-(AJ$4*(Resumo!$B$6+Resumo!$B$7)+Resumo!$B$9+Resumo!$B$10*CEILING(AJ$3/100,1)+(Resumo!$B$12+Resumo!$B$14)*CEILING(AJ$3,1))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1" s="13" t="n">
        <f aca="false">(X61+AK$4*(Resumo!$C$6+Resumo!$C$7+Resumo!$C$8)+Resumo!$C$10*CEILING(AK$3/100,1)+Resumo!$C$9+Resumo!$C$13+Resumo!$C$14*CEILING(AK$3,1))*(1+Resumo!$C$11)-(AK$4*(Resumo!$B$6+Resumo!$B$7)+Resumo!$B$9+Resumo!$B$10*CEILING(AK$3/100,1)+(Resumo!$B$12+Resumo!$B$14)*CEILING(AK$3,1))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1" s="13" t="n">
        <f aca="false">(Y61+AL$4*(Resumo!$C$6+Resumo!$C$7+Resumo!$C$8)+Resumo!$C$10*CEILING(AL$3/100,1)+Resumo!$C$9+Resumo!$C$13+Resumo!$C$14*CEILING(AL$3,1))*(1+Resumo!$C$11)-(AL$4*(Resumo!$B$6+Resumo!$B$7)+Resumo!$B$9+Resumo!$B$10*CEILING(AL$3/100,1)+(Resumo!$B$12+Resumo!$B$14)*CEILING(AL$3,1))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1" s="13" t="n">
        <f aca="false">(Z61+AM$4*(Resumo!$C$6+Resumo!$C$7+Resumo!$C$8)+Resumo!$C$10*CEILING(AM$3/100,1)+Resumo!$C$9+Resumo!$C$13+Resumo!$C$14*CEILING(AM$3,1))*(1+Resumo!$C$11)-(AM$4*(Resumo!$B$6+Resumo!$B$7)+Resumo!$B$9+Resumo!$B$10*CEILING(AM$3/100,1)+(Resumo!$B$12+Resumo!$B$14)*CEILING(AM$3,1))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1" s="13" t="n">
        <f aca="false">(AA61+AN$4*(Resumo!$C$6+Resumo!$C$7+Resumo!$C$8)+Resumo!$C$10*CEILING(AN$3/100,1)+Resumo!$C$9+Resumo!$C$13+Resumo!$C$14*CEILING(AN$3,1))*(1+Resumo!$C$11)-(AN$4*(Resumo!$B$6+Resumo!$B$7)+Resumo!$B$9+Resumo!$B$10*CEILING(AN$3/100,1)+(Resumo!$B$12+Resumo!$B$14)*CEILING(AN$3,1))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1" s="13" t="n">
        <f aca="false">(AB61+AO$4*(Resumo!$C$6+Resumo!$C$7+Resumo!$C$8)+Resumo!$C$10*CEILING(AO$3/100,1)+Resumo!$C$9+Resumo!$C$13+Resumo!$C$14*CEILING(AO$3,1))*(1+Resumo!$C$11)-(AO$4*(Resumo!$B$6+Resumo!$B$7)+Resumo!$B$9+Resumo!$B$10*CEILING(AO$3/100,1)+(Resumo!$B$12+Resumo!$B$14)*CEILING(AO$3,1))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1" s="13" t="n">
        <f aca="false">(AC61+AP$4*(Resumo!$C$6+Resumo!$C$7+Resumo!$C$8)+Resumo!$C$10*CEILING(AP$3/100,1)+Resumo!$C$9+Resumo!$C$13+Resumo!$C$14*CEILING(AP$3,1))*(1+Resumo!$C$11)-(AP$4*(Resumo!$B$6+Resumo!$B$7)+Resumo!$B$9+Resumo!$B$10*CEILING(AP$3/100,1)+(Resumo!$B$12+Resumo!$B$14)*CEILING(AP$3,1))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1" s="13" t="n">
        <f aca="false">(AD61+AQ$4*(Resumo!$C$6+Resumo!$C$7+Resumo!$C$8)+Resumo!$C$10*CEILING(AQ$3/100,1)+Resumo!$C$9+Resumo!$C$13+Resumo!$C$14*CEILING(AQ$3,1))*(1+Resumo!$C$11)-(AQ$4*(Resumo!$B$6+Resumo!$B$7)+Resumo!$B$9+Resumo!$B$10*CEILING(AQ$3/100,1)+(Resumo!$B$12+Resumo!$B$14)*CEILING(AQ$3,1))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1" s="13" t="n">
        <f aca="false">(AE61+AR$4*(Resumo!$C$6+Resumo!$C$7+Resumo!$C$8)+Resumo!$C$10*CEILING(AR$3/100,1)+Resumo!$C$9+Resumo!$C$13+Resumo!$C$14*CEILING(AR$3,1))*(1+Resumo!$C$11)-(AR$4*(Resumo!$B$6+Resumo!$B$7)+Resumo!$B$9+Resumo!$B$10*CEILING(AR$3/100,1)+(Resumo!$B$12+Resumo!$B$14)*CEILING(AR$3,1))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1" s="13" t="n">
        <f aca="false">(AF61+AS$4*(Resumo!$C$6+Resumo!$C$7+Resumo!$C$8)+Resumo!$C$10*CEILING(AS$3/100,1)+Resumo!$C$9+Resumo!$C$13+Resumo!$C$14*CEILING(AS$3,1))*(1+Resumo!$C$11)-(AS$4*(Resumo!$B$6+Resumo!$B$7)+Resumo!$B$9+Resumo!$B$10*CEILING(AS$3/100,1)+(Resumo!$B$12+Resumo!$B$14)*CEILING(AS$3,1))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1" s="13" t="n">
        <f aca="false">(AG61+AT$4*(Resumo!$C$6+Resumo!$C$7+Resumo!$C$8)+Resumo!$C$10*CEILING(AT$3/100,1)+Resumo!$C$9+Resumo!$C$13+Resumo!$C$14*CEILING(AT$3,1))*(1+Resumo!$C$11)-(AT$4*(Resumo!$B$6+Resumo!$B$7)+Resumo!$B$9+Resumo!$B$10*CEILING(AT$3/100,1)+(Resumo!$B$12+Resumo!$B$14)*CEILING(AT$3,1))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1" s="44" t="n">
        <f aca="false">1-AH61/H61</f>
        <v>0.553790009855127</v>
      </c>
      <c r="AV61" s="44" t="n">
        <f aca="false">1-AI61/I61</f>
        <v>0.468426082913158</v>
      </c>
      <c r="AW61" s="44" t="n">
        <f aca="false">1-AJ61/J61</f>
        <v>0.424299969908939</v>
      </c>
      <c r="AX61" s="44" t="n">
        <f aca="false">1-AK61/K61</f>
        <v>0.444318235095027</v>
      </c>
      <c r="AY61" s="44" t="n">
        <f aca="false">1-AL61/L61</f>
        <v>0.44289446919564</v>
      </c>
      <c r="AZ61" s="44" t="n">
        <f aca="false">1-AM61/M61</f>
        <v>0.439248965608252</v>
      </c>
      <c r="BA61" s="44" t="n">
        <f aca="false">1-AN61/N61</f>
        <v>0.433759067609368</v>
      </c>
      <c r="BB61" s="44" t="n">
        <f aca="false">1-AO61/O61</f>
        <v>0.427042392574117</v>
      </c>
      <c r="BC61" s="44" t="n">
        <f aca="false">1-AP61/P61</f>
        <v>0.493280443868681</v>
      </c>
      <c r="BD61" s="44" t="n">
        <f aca="false">1-AQ61/Q61</f>
        <v>0.455794679894486</v>
      </c>
      <c r="BE61" s="44" t="n">
        <f aca="false">1-AR61/R61</f>
        <v>0.489018797268033</v>
      </c>
      <c r="BF61" s="44" t="n">
        <f aca="false">1-AS61/S61</f>
        <v>0.820503440269559</v>
      </c>
      <c r="BG61" s="44" t="n">
        <f aca="false">1-AT61/T61</f>
        <v>0.528263860444042</v>
      </c>
    </row>
    <row r="62" customFormat="false" ht="15" hidden="false" customHeight="false" outlineLevel="0" collapsed="false">
      <c r="A62" s="10" t="s">
        <v>261</v>
      </c>
      <c r="B62" s="10" t="s">
        <v>308</v>
      </c>
      <c r="C62" s="58" t="n">
        <v>28300000</v>
      </c>
      <c r="D62" s="58" t="n">
        <v>28349999</v>
      </c>
      <c r="E62" s="10" t="s">
        <v>24</v>
      </c>
      <c r="F62" s="10" t="s">
        <v>302</v>
      </c>
      <c r="G62" s="10" t="n">
        <f aca="false">COUNTIFS(Pedidos!$C$2:$C$2224,"&gt;="&amp;C62,Pedidos!$C$2:$C$2224,"&lt;="&amp;D62)</f>
        <v>5</v>
      </c>
      <c r="H62" s="40" t="n">
        <v>124.04</v>
      </c>
      <c r="I62" s="40" t="n">
        <v>138.29</v>
      </c>
      <c r="J62" s="40" t="n">
        <v>143.04</v>
      </c>
      <c r="K62" s="40" t="n">
        <v>152.54</v>
      </c>
      <c r="L62" s="40" t="n">
        <v>162.04</v>
      </c>
      <c r="M62" s="40" t="n">
        <v>171.54</v>
      </c>
      <c r="N62" s="40" t="n">
        <v>181.04</v>
      </c>
      <c r="O62" s="40" t="n">
        <v>200.04</v>
      </c>
      <c r="P62" s="40" t="n">
        <v>236.82</v>
      </c>
      <c r="Q62" s="40" t="n">
        <v>264.84</v>
      </c>
      <c r="R62" s="40" t="n">
        <v>300.15</v>
      </c>
      <c r="S62" s="40" t="n">
        <v>353.17</v>
      </c>
      <c r="T62" s="40" t="n">
        <v>441.4</v>
      </c>
      <c r="U62" s="40" t="n">
        <v>46.95</v>
      </c>
      <c r="V62" s="40" t="n">
        <v>65.63</v>
      </c>
      <c r="W62" s="40" t="n">
        <v>74.97</v>
      </c>
      <c r="X62" s="40" t="n">
        <v>77.7</v>
      </c>
      <c r="Y62" s="40" t="n">
        <v>83.58</v>
      </c>
      <c r="Z62" s="40" t="n">
        <v>90.2</v>
      </c>
      <c r="AA62" s="40" t="n">
        <v>96.77</v>
      </c>
      <c r="AB62" s="40" t="n">
        <v>109.63</v>
      </c>
      <c r="AC62" s="40" t="n">
        <v>119.5</v>
      </c>
      <c r="AD62" s="40" t="n">
        <v>144.24</v>
      </c>
      <c r="AE62" s="40" t="n">
        <v>155.09</v>
      </c>
      <c r="AF62" s="40" t="n">
        <v>66.69</v>
      </c>
      <c r="AG62" s="40" t="n">
        <v>214.88</v>
      </c>
      <c r="AH62" s="13" t="n">
        <f aca="false">(U62+AH$4*(Resumo!$C$6+Resumo!$C$7+Resumo!$C$8)+Resumo!$C$10*CEILING(AH$3/100,1)+Resumo!$C$9+Resumo!$C$13+Resumo!$C$14*CEILING(AH$3,1))*(1+Resumo!$C$11)-(AH$4*(Resumo!$B$6+Resumo!$B$7)+Resumo!$B$9+Resumo!$B$10*CEILING(AH$3/100,1)+(Resumo!$B$12+Resumo!$B$14)*CEILING(AH$3,1))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2" s="13" t="n">
        <f aca="false">(V62+AI$4*(Resumo!$C$6+Resumo!$C$7+Resumo!$C$8)+Resumo!$C$10*CEILING(AI$3/100,1)+Resumo!$C$9+Resumo!$C$13+Resumo!$C$14*CEILING(AI$3,1))*(1+Resumo!$C$11)-(AI$4*(Resumo!$B$6+Resumo!$B$7)+Resumo!$B$9+Resumo!$B$10*CEILING(AI$3/100,1)+(Resumo!$B$12+Resumo!$B$14)*CEILING(AI$3,1))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2" s="13" t="n">
        <f aca="false">(W62+AJ$4*(Resumo!$C$6+Resumo!$C$7+Resumo!$C$8)+Resumo!$C$10*CEILING(AJ$3/100,1)+Resumo!$C$9+Resumo!$C$13+Resumo!$C$14*CEILING(AJ$3,1))*(1+Resumo!$C$11)-(AJ$4*(Resumo!$B$6+Resumo!$B$7)+Resumo!$B$9+Resumo!$B$10*CEILING(AJ$3/100,1)+(Resumo!$B$12+Resumo!$B$14)*CEILING(AJ$3,1))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2" s="13" t="n">
        <f aca="false">(X62+AK$4*(Resumo!$C$6+Resumo!$C$7+Resumo!$C$8)+Resumo!$C$10*CEILING(AK$3/100,1)+Resumo!$C$9+Resumo!$C$13+Resumo!$C$14*CEILING(AK$3,1))*(1+Resumo!$C$11)-(AK$4*(Resumo!$B$6+Resumo!$B$7)+Resumo!$B$9+Resumo!$B$10*CEILING(AK$3/100,1)+(Resumo!$B$12+Resumo!$B$14)*CEILING(AK$3,1))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2" s="13" t="n">
        <f aca="false">(Y62+AL$4*(Resumo!$C$6+Resumo!$C$7+Resumo!$C$8)+Resumo!$C$10*CEILING(AL$3/100,1)+Resumo!$C$9+Resumo!$C$13+Resumo!$C$14*CEILING(AL$3,1))*(1+Resumo!$C$11)-(AL$4*(Resumo!$B$6+Resumo!$B$7)+Resumo!$B$9+Resumo!$B$10*CEILING(AL$3/100,1)+(Resumo!$B$12+Resumo!$B$14)*CEILING(AL$3,1))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2" s="13" t="n">
        <f aca="false">(Z62+AM$4*(Resumo!$C$6+Resumo!$C$7+Resumo!$C$8)+Resumo!$C$10*CEILING(AM$3/100,1)+Resumo!$C$9+Resumo!$C$13+Resumo!$C$14*CEILING(AM$3,1))*(1+Resumo!$C$11)-(AM$4*(Resumo!$B$6+Resumo!$B$7)+Resumo!$B$9+Resumo!$B$10*CEILING(AM$3/100,1)+(Resumo!$B$12+Resumo!$B$14)*CEILING(AM$3,1))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2" s="13" t="n">
        <f aca="false">(AA62+AN$4*(Resumo!$C$6+Resumo!$C$7+Resumo!$C$8)+Resumo!$C$10*CEILING(AN$3/100,1)+Resumo!$C$9+Resumo!$C$13+Resumo!$C$14*CEILING(AN$3,1))*(1+Resumo!$C$11)-(AN$4*(Resumo!$B$6+Resumo!$B$7)+Resumo!$B$9+Resumo!$B$10*CEILING(AN$3/100,1)+(Resumo!$B$12+Resumo!$B$14)*CEILING(AN$3,1))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2" s="13" t="n">
        <f aca="false">(AB62+AO$4*(Resumo!$C$6+Resumo!$C$7+Resumo!$C$8)+Resumo!$C$10*CEILING(AO$3/100,1)+Resumo!$C$9+Resumo!$C$13+Resumo!$C$14*CEILING(AO$3,1))*(1+Resumo!$C$11)-(AO$4*(Resumo!$B$6+Resumo!$B$7)+Resumo!$B$9+Resumo!$B$10*CEILING(AO$3/100,1)+(Resumo!$B$12+Resumo!$B$14)*CEILING(AO$3,1))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2" s="13" t="n">
        <f aca="false">(AC62+AP$4*(Resumo!$C$6+Resumo!$C$7+Resumo!$C$8)+Resumo!$C$10*CEILING(AP$3/100,1)+Resumo!$C$9+Resumo!$C$13+Resumo!$C$14*CEILING(AP$3,1))*(1+Resumo!$C$11)-(AP$4*(Resumo!$B$6+Resumo!$B$7)+Resumo!$B$9+Resumo!$B$10*CEILING(AP$3/100,1)+(Resumo!$B$12+Resumo!$B$14)*CEILING(AP$3,1))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2" s="13" t="n">
        <f aca="false">(AD62+AQ$4*(Resumo!$C$6+Resumo!$C$7+Resumo!$C$8)+Resumo!$C$10*CEILING(AQ$3/100,1)+Resumo!$C$9+Resumo!$C$13+Resumo!$C$14*CEILING(AQ$3,1))*(1+Resumo!$C$11)-(AQ$4*(Resumo!$B$6+Resumo!$B$7)+Resumo!$B$9+Resumo!$B$10*CEILING(AQ$3/100,1)+(Resumo!$B$12+Resumo!$B$14)*CEILING(AQ$3,1))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2" s="13" t="n">
        <f aca="false">(AE62+AR$4*(Resumo!$C$6+Resumo!$C$7+Resumo!$C$8)+Resumo!$C$10*CEILING(AR$3/100,1)+Resumo!$C$9+Resumo!$C$13+Resumo!$C$14*CEILING(AR$3,1))*(1+Resumo!$C$11)-(AR$4*(Resumo!$B$6+Resumo!$B$7)+Resumo!$B$9+Resumo!$B$10*CEILING(AR$3/100,1)+(Resumo!$B$12+Resumo!$B$14)*CEILING(AR$3,1))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2" s="13" t="n">
        <f aca="false">(AF62+AS$4*(Resumo!$C$6+Resumo!$C$7+Resumo!$C$8)+Resumo!$C$10*CEILING(AS$3/100,1)+Resumo!$C$9+Resumo!$C$13+Resumo!$C$14*CEILING(AS$3,1))*(1+Resumo!$C$11)-(AS$4*(Resumo!$B$6+Resumo!$B$7)+Resumo!$B$9+Resumo!$B$10*CEILING(AS$3/100,1)+(Resumo!$B$12+Resumo!$B$14)*CEILING(AS$3,1))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2" s="13" t="n">
        <f aca="false">(AG62+AT$4*(Resumo!$C$6+Resumo!$C$7+Resumo!$C$8)+Resumo!$C$10*CEILING(AT$3/100,1)+Resumo!$C$9+Resumo!$C$13+Resumo!$C$14*CEILING(AT$3,1))*(1+Resumo!$C$11)-(AT$4*(Resumo!$B$6+Resumo!$B$7)+Resumo!$B$9+Resumo!$B$10*CEILING(AT$3/100,1)+(Resumo!$B$12+Resumo!$B$14)*CEILING(AT$3,1))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2" s="44" t="n">
        <f aca="false">1-AH62/H62</f>
        <v>0.553790009855127</v>
      </c>
      <c r="AV62" s="44" t="n">
        <f aca="false">1-AI62/I62</f>
        <v>0.468426082913158</v>
      </c>
      <c r="AW62" s="44" t="n">
        <f aca="false">1-AJ62/J62</f>
        <v>0.424299969908939</v>
      </c>
      <c r="AX62" s="44" t="n">
        <f aca="false">1-AK62/K62</f>
        <v>0.444318235095027</v>
      </c>
      <c r="AY62" s="44" t="n">
        <f aca="false">1-AL62/L62</f>
        <v>0.44289446919564</v>
      </c>
      <c r="AZ62" s="44" t="n">
        <f aca="false">1-AM62/M62</f>
        <v>0.439248965608252</v>
      </c>
      <c r="BA62" s="44" t="n">
        <f aca="false">1-AN62/N62</f>
        <v>0.433759067609368</v>
      </c>
      <c r="BB62" s="44" t="n">
        <f aca="false">1-AO62/O62</f>
        <v>0.427042392574117</v>
      </c>
      <c r="BC62" s="44" t="n">
        <f aca="false">1-AP62/P62</f>
        <v>0.493280443868681</v>
      </c>
      <c r="BD62" s="44" t="n">
        <f aca="false">1-AQ62/Q62</f>
        <v>0.455794679894486</v>
      </c>
      <c r="BE62" s="44" t="n">
        <f aca="false">1-AR62/R62</f>
        <v>0.489018797268033</v>
      </c>
      <c r="BF62" s="44" t="n">
        <f aca="false">1-AS62/S62</f>
        <v>0.820503440269559</v>
      </c>
      <c r="BG62" s="44" t="n">
        <f aca="false">1-AT62/T62</f>
        <v>0.528263860444042</v>
      </c>
    </row>
    <row r="63" customFormat="false" ht="15" hidden="false" customHeight="false" outlineLevel="0" collapsed="false">
      <c r="A63" s="10" t="s">
        <v>261</v>
      </c>
      <c r="B63" s="10" t="s">
        <v>309</v>
      </c>
      <c r="C63" s="58" t="n">
        <v>28350000</v>
      </c>
      <c r="D63" s="58" t="n">
        <v>28359999</v>
      </c>
      <c r="E63" s="10" t="s">
        <v>24</v>
      </c>
      <c r="F63" s="10" t="s">
        <v>302</v>
      </c>
      <c r="G63" s="10" t="n">
        <f aca="false">COUNTIFS(Pedidos!$C$2:$C$2224,"&gt;="&amp;C63,Pedidos!$C$2:$C$2224,"&lt;="&amp;D63)</f>
        <v>1</v>
      </c>
      <c r="H63" s="40" t="n">
        <v>124.04</v>
      </c>
      <c r="I63" s="40" t="n">
        <v>138.29</v>
      </c>
      <c r="J63" s="40" t="n">
        <v>143.04</v>
      </c>
      <c r="K63" s="40" t="n">
        <v>152.54</v>
      </c>
      <c r="L63" s="40" t="n">
        <v>162.04</v>
      </c>
      <c r="M63" s="40" t="n">
        <v>171.54</v>
      </c>
      <c r="N63" s="40" t="n">
        <v>181.04</v>
      </c>
      <c r="O63" s="40" t="n">
        <v>200.04</v>
      </c>
      <c r="P63" s="40" t="n">
        <v>236.82</v>
      </c>
      <c r="Q63" s="40" t="n">
        <v>264.84</v>
      </c>
      <c r="R63" s="40" t="n">
        <v>300.15</v>
      </c>
      <c r="S63" s="40" t="n">
        <v>353.17</v>
      </c>
      <c r="T63" s="40" t="n">
        <v>441.4</v>
      </c>
      <c r="U63" s="40" t="n">
        <v>46.95</v>
      </c>
      <c r="V63" s="40" t="n">
        <v>65.63</v>
      </c>
      <c r="W63" s="40" t="n">
        <v>74.97</v>
      </c>
      <c r="X63" s="40" t="n">
        <v>77.7</v>
      </c>
      <c r="Y63" s="40" t="n">
        <v>83.58</v>
      </c>
      <c r="Z63" s="40" t="n">
        <v>90.2</v>
      </c>
      <c r="AA63" s="40" t="n">
        <v>96.77</v>
      </c>
      <c r="AB63" s="40" t="n">
        <v>109.63</v>
      </c>
      <c r="AC63" s="40" t="n">
        <v>119.5</v>
      </c>
      <c r="AD63" s="40" t="n">
        <v>144.24</v>
      </c>
      <c r="AE63" s="40" t="n">
        <v>155.09</v>
      </c>
      <c r="AF63" s="40" t="n">
        <v>66.69</v>
      </c>
      <c r="AG63" s="40" t="n">
        <v>214.88</v>
      </c>
      <c r="AH63" s="13" t="n">
        <f aca="false">(U63+AH$4*(Resumo!$C$6+Resumo!$C$7+Resumo!$C$8)+Resumo!$C$10*CEILING(AH$3/100,1)+Resumo!$C$9+Resumo!$C$13+Resumo!$C$14*CEILING(AH$3,1))*(1+Resumo!$C$11)-(AH$4*(Resumo!$B$6+Resumo!$B$7)+Resumo!$B$9+Resumo!$B$10*CEILING(AH$3/100,1)+(Resumo!$B$12+Resumo!$B$14)*CEILING(AH$3,1))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3" s="13" t="n">
        <f aca="false">(V63+AI$4*(Resumo!$C$6+Resumo!$C$7+Resumo!$C$8)+Resumo!$C$10*CEILING(AI$3/100,1)+Resumo!$C$9+Resumo!$C$13+Resumo!$C$14*CEILING(AI$3,1))*(1+Resumo!$C$11)-(AI$4*(Resumo!$B$6+Resumo!$B$7)+Resumo!$B$9+Resumo!$B$10*CEILING(AI$3/100,1)+(Resumo!$B$12+Resumo!$B$14)*CEILING(AI$3,1))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3" s="13" t="n">
        <f aca="false">(W63+AJ$4*(Resumo!$C$6+Resumo!$C$7+Resumo!$C$8)+Resumo!$C$10*CEILING(AJ$3/100,1)+Resumo!$C$9+Resumo!$C$13+Resumo!$C$14*CEILING(AJ$3,1))*(1+Resumo!$C$11)-(AJ$4*(Resumo!$B$6+Resumo!$B$7)+Resumo!$B$9+Resumo!$B$10*CEILING(AJ$3/100,1)+(Resumo!$B$12+Resumo!$B$14)*CEILING(AJ$3,1))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3" s="13" t="n">
        <f aca="false">(X63+AK$4*(Resumo!$C$6+Resumo!$C$7+Resumo!$C$8)+Resumo!$C$10*CEILING(AK$3/100,1)+Resumo!$C$9+Resumo!$C$13+Resumo!$C$14*CEILING(AK$3,1))*(1+Resumo!$C$11)-(AK$4*(Resumo!$B$6+Resumo!$B$7)+Resumo!$B$9+Resumo!$B$10*CEILING(AK$3/100,1)+(Resumo!$B$12+Resumo!$B$14)*CEILING(AK$3,1))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3" s="13" t="n">
        <f aca="false">(Y63+AL$4*(Resumo!$C$6+Resumo!$C$7+Resumo!$C$8)+Resumo!$C$10*CEILING(AL$3/100,1)+Resumo!$C$9+Resumo!$C$13+Resumo!$C$14*CEILING(AL$3,1))*(1+Resumo!$C$11)-(AL$4*(Resumo!$B$6+Resumo!$B$7)+Resumo!$B$9+Resumo!$B$10*CEILING(AL$3/100,1)+(Resumo!$B$12+Resumo!$B$14)*CEILING(AL$3,1))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3" s="13" t="n">
        <f aca="false">(Z63+AM$4*(Resumo!$C$6+Resumo!$C$7+Resumo!$C$8)+Resumo!$C$10*CEILING(AM$3/100,1)+Resumo!$C$9+Resumo!$C$13+Resumo!$C$14*CEILING(AM$3,1))*(1+Resumo!$C$11)-(AM$4*(Resumo!$B$6+Resumo!$B$7)+Resumo!$B$9+Resumo!$B$10*CEILING(AM$3/100,1)+(Resumo!$B$12+Resumo!$B$14)*CEILING(AM$3,1))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3" s="13" t="n">
        <f aca="false">(AA63+AN$4*(Resumo!$C$6+Resumo!$C$7+Resumo!$C$8)+Resumo!$C$10*CEILING(AN$3/100,1)+Resumo!$C$9+Resumo!$C$13+Resumo!$C$14*CEILING(AN$3,1))*(1+Resumo!$C$11)-(AN$4*(Resumo!$B$6+Resumo!$B$7)+Resumo!$B$9+Resumo!$B$10*CEILING(AN$3/100,1)+(Resumo!$B$12+Resumo!$B$14)*CEILING(AN$3,1))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3" s="13" t="n">
        <f aca="false">(AB63+AO$4*(Resumo!$C$6+Resumo!$C$7+Resumo!$C$8)+Resumo!$C$10*CEILING(AO$3/100,1)+Resumo!$C$9+Resumo!$C$13+Resumo!$C$14*CEILING(AO$3,1))*(1+Resumo!$C$11)-(AO$4*(Resumo!$B$6+Resumo!$B$7)+Resumo!$B$9+Resumo!$B$10*CEILING(AO$3/100,1)+(Resumo!$B$12+Resumo!$B$14)*CEILING(AO$3,1))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3" s="13" t="n">
        <f aca="false">(AC63+AP$4*(Resumo!$C$6+Resumo!$C$7+Resumo!$C$8)+Resumo!$C$10*CEILING(AP$3/100,1)+Resumo!$C$9+Resumo!$C$13+Resumo!$C$14*CEILING(AP$3,1))*(1+Resumo!$C$11)-(AP$4*(Resumo!$B$6+Resumo!$B$7)+Resumo!$B$9+Resumo!$B$10*CEILING(AP$3/100,1)+(Resumo!$B$12+Resumo!$B$14)*CEILING(AP$3,1))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3" s="13" t="n">
        <f aca="false">(AD63+AQ$4*(Resumo!$C$6+Resumo!$C$7+Resumo!$C$8)+Resumo!$C$10*CEILING(AQ$3/100,1)+Resumo!$C$9+Resumo!$C$13+Resumo!$C$14*CEILING(AQ$3,1))*(1+Resumo!$C$11)-(AQ$4*(Resumo!$B$6+Resumo!$B$7)+Resumo!$B$9+Resumo!$B$10*CEILING(AQ$3/100,1)+(Resumo!$B$12+Resumo!$B$14)*CEILING(AQ$3,1))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3" s="13" t="n">
        <f aca="false">(AE63+AR$4*(Resumo!$C$6+Resumo!$C$7+Resumo!$C$8)+Resumo!$C$10*CEILING(AR$3/100,1)+Resumo!$C$9+Resumo!$C$13+Resumo!$C$14*CEILING(AR$3,1))*(1+Resumo!$C$11)-(AR$4*(Resumo!$B$6+Resumo!$B$7)+Resumo!$B$9+Resumo!$B$10*CEILING(AR$3/100,1)+(Resumo!$B$12+Resumo!$B$14)*CEILING(AR$3,1))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3" s="13" t="n">
        <f aca="false">(AF63+AS$4*(Resumo!$C$6+Resumo!$C$7+Resumo!$C$8)+Resumo!$C$10*CEILING(AS$3/100,1)+Resumo!$C$9+Resumo!$C$13+Resumo!$C$14*CEILING(AS$3,1))*(1+Resumo!$C$11)-(AS$4*(Resumo!$B$6+Resumo!$B$7)+Resumo!$B$9+Resumo!$B$10*CEILING(AS$3/100,1)+(Resumo!$B$12+Resumo!$B$14)*CEILING(AS$3,1))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3" s="13" t="n">
        <f aca="false">(AG63+AT$4*(Resumo!$C$6+Resumo!$C$7+Resumo!$C$8)+Resumo!$C$10*CEILING(AT$3/100,1)+Resumo!$C$9+Resumo!$C$13+Resumo!$C$14*CEILING(AT$3,1))*(1+Resumo!$C$11)-(AT$4*(Resumo!$B$6+Resumo!$B$7)+Resumo!$B$9+Resumo!$B$10*CEILING(AT$3/100,1)+(Resumo!$B$12+Resumo!$B$14)*CEILING(AT$3,1))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3" s="44" t="n">
        <f aca="false">1-AH63/H63</f>
        <v>0.553790009855127</v>
      </c>
      <c r="AV63" s="44" t="n">
        <f aca="false">1-AI63/I63</f>
        <v>0.468426082913158</v>
      </c>
      <c r="AW63" s="44" t="n">
        <f aca="false">1-AJ63/J63</f>
        <v>0.424299969908939</v>
      </c>
      <c r="AX63" s="44" t="n">
        <f aca="false">1-AK63/K63</f>
        <v>0.444318235095027</v>
      </c>
      <c r="AY63" s="44" t="n">
        <f aca="false">1-AL63/L63</f>
        <v>0.44289446919564</v>
      </c>
      <c r="AZ63" s="44" t="n">
        <f aca="false">1-AM63/M63</f>
        <v>0.439248965608252</v>
      </c>
      <c r="BA63" s="44" t="n">
        <f aca="false">1-AN63/N63</f>
        <v>0.433759067609368</v>
      </c>
      <c r="BB63" s="44" t="n">
        <f aca="false">1-AO63/O63</f>
        <v>0.427042392574117</v>
      </c>
      <c r="BC63" s="44" t="n">
        <f aca="false">1-AP63/P63</f>
        <v>0.493280443868681</v>
      </c>
      <c r="BD63" s="44" t="n">
        <f aca="false">1-AQ63/Q63</f>
        <v>0.455794679894486</v>
      </c>
      <c r="BE63" s="44" t="n">
        <f aca="false">1-AR63/R63</f>
        <v>0.489018797268033</v>
      </c>
      <c r="BF63" s="44" t="n">
        <f aca="false">1-AS63/S63</f>
        <v>0.820503440269559</v>
      </c>
      <c r="BG63" s="44" t="n">
        <f aca="false">1-AT63/T63</f>
        <v>0.528263860444042</v>
      </c>
    </row>
    <row r="64" customFormat="false" ht="15" hidden="false" customHeight="false" outlineLevel="0" collapsed="false">
      <c r="A64" s="10" t="s">
        <v>261</v>
      </c>
      <c r="B64" s="10" t="s">
        <v>310</v>
      </c>
      <c r="C64" s="58" t="n">
        <v>28360000</v>
      </c>
      <c r="D64" s="58" t="n">
        <v>28374999</v>
      </c>
      <c r="E64" s="10" t="s">
        <v>24</v>
      </c>
      <c r="F64" s="10" t="s">
        <v>302</v>
      </c>
      <c r="G64" s="10" t="n">
        <f aca="false">COUNTIFS(Pedidos!$C$2:$C$2224,"&gt;="&amp;C64,Pedidos!$C$2:$C$2224,"&lt;="&amp;D64)</f>
        <v>4</v>
      </c>
      <c r="H64" s="40" t="n">
        <v>124.04</v>
      </c>
      <c r="I64" s="40" t="n">
        <v>138.29</v>
      </c>
      <c r="J64" s="40" t="n">
        <v>143.04</v>
      </c>
      <c r="K64" s="40" t="n">
        <v>152.54</v>
      </c>
      <c r="L64" s="40" t="n">
        <v>162.04</v>
      </c>
      <c r="M64" s="40" t="n">
        <v>171.54</v>
      </c>
      <c r="N64" s="40" t="n">
        <v>181.04</v>
      </c>
      <c r="O64" s="40" t="n">
        <v>200.04</v>
      </c>
      <c r="P64" s="40" t="n">
        <v>236.82</v>
      </c>
      <c r="Q64" s="40" t="n">
        <v>264.84</v>
      </c>
      <c r="R64" s="40" t="n">
        <v>300.15</v>
      </c>
      <c r="S64" s="40" t="n">
        <v>353.17</v>
      </c>
      <c r="T64" s="40" t="n">
        <v>441.4</v>
      </c>
      <c r="U64" s="40" t="n">
        <v>46.95</v>
      </c>
      <c r="V64" s="40" t="n">
        <v>65.63</v>
      </c>
      <c r="W64" s="40" t="n">
        <v>74.97</v>
      </c>
      <c r="X64" s="40" t="n">
        <v>77.7</v>
      </c>
      <c r="Y64" s="40" t="n">
        <v>83.58</v>
      </c>
      <c r="Z64" s="40" t="n">
        <v>90.2</v>
      </c>
      <c r="AA64" s="40" t="n">
        <v>96.77</v>
      </c>
      <c r="AB64" s="40" t="n">
        <v>109.63</v>
      </c>
      <c r="AC64" s="40" t="n">
        <v>119.5</v>
      </c>
      <c r="AD64" s="40" t="n">
        <v>144.24</v>
      </c>
      <c r="AE64" s="40" t="n">
        <v>155.09</v>
      </c>
      <c r="AF64" s="40" t="n">
        <v>66.69</v>
      </c>
      <c r="AG64" s="40" t="n">
        <v>214.88</v>
      </c>
      <c r="AH64" s="13" t="n">
        <f aca="false">(U64+AH$4*(Resumo!$C$6+Resumo!$C$7+Resumo!$C$8)+Resumo!$C$10*CEILING(AH$3/100,1)+Resumo!$C$9+Resumo!$C$13+Resumo!$C$14*CEILING(AH$3,1))*(1+Resumo!$C$11)-(AH$4*(Resumo!$B$6+Resumo!$B$7)+Resumo!$B$9+Resumo!$B$10*CEILING(AH$3/100,1)+(Resumo!$B$12+Resumo!$B$14)*CEILING(AH$3,1))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4" s="13" t="n">
        <f aca="false">(V64+AI$4*(Resumo!$C$6+Resumo!$C$7+Resumo!$C$8)+Resumo!$C$10*CEILING(AI$3/100,1)+Resumo!$C$9+Resumo!$C$13+Resumo!$C$14*CEILING(AI$3,1))*(1+Resumo!$C$11)-(AI$4*(Resumo!$B$6+Resumo!$B$7)+Resumo!$B$9+Resumo!$B$10*CEILING(AI$3/100,1)+(Resumo!$B$12+Resumo!$B$14)*CEILING(AI$3,1))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4" s="13" t="n">
        <f aca="false">(W64+AJ$4*(Resumo!$C$6+Resumo!$C$7+Resumo!$C$8)+Resumo!$C$10*CEILING(AJ$3/100,1)+Resumo!$C$9+Resumo!$C$13+Resumo!$C$14*CEILING(AJ$3,1))*(1+Resumo!$C$11)-(AJ$4*(Resumo!$B$6+Resumo!$B$7)+Resumo!$B$9+Resumo!$B$10*CEILING(AJ$3/100,1)+(Resumo!$B$12+Resumo!$B$14)*CEILING(AJ$3,1))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4" s="13" t="n">
        <f aca="false">(X64+AK$4*(Resumo!$C$6+Resumo!$C$7+Resumo!$C$8)+Resumo!$C$10*CEILING(AK$3/100,1)+Resumo!$C$9+Resumo!$C$13+Resumo!$C$14*CEILING(AK$3,1))*(1+Resumo!$C$11)-(AK$4*(Resumo!$B$6+Resumo!$B$7)+Resumo!$B$9+Resumo!$B$10*CEILING(AK$3/100,1)+(Resumo!$B$12+Resumo!$B$14)*CEILING(AK$3,1))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4" s="13" t="n">
        <f aca="false">(Y64+AL$4*(Resumo!$C$6+Resumo!$C$7+Resumo!$C$8)+Resumo!$C$10*CEILING(AL$3/100,1)+Resumo!$C$9+Resumo!$C$13+Resumo!$C$14*CEILING(AL$3,1))*(1+Resumo!$C$11)-(AL$4*(Resumo!$B$6+Resumo!$B$7)+Resumo!$B$9+Resumo!$B$10*CEILING(AL$3/100,1)+(Resumo!$B$12+Resumo!$B$14)*CEILING(AL$3,1))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4" s="13" t="n">
        <f aca="false">(Z64+AM$4*(Resumo!$C$6+Resumo!$C$7+Resumo!$C$8)+Resumo!$C$10*CEILING(AM$3/100,1)+Resumo!$C$9+Resumo!$C$13+Resumo!$C$14*CEILING(AM$3,1))*(1+Resumo!$C$11)-(AM$4*(Resumo!$B$6+Resumo!$B$7)+Resumo!$B$9+Resumo!$B$10*CEILING(AM$3/100,1)+(Resumo!$B$12+Resumo!$B$14)*CEILING(AM$3,1))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4" s="13" t="n">
        <f aca="false">(AA64+AN$4*(Resumo!$C$6+Resumo!$C$7+Resumo!$C$8)+Resumo!$C$10*CEILING(AN$3/100,1)+Resumo!$C$9+Resumo!$C$13+Resumo!$C$14*CEILING(AN$3,1))*(1+Resumo!$C$11)-(AN$4*(Resumo!$B$6+Resumo!$B$7)+Resumo!$B$9+Resumo!$B$10*CEILING(AN$3/100,1)+(Resumo!$B$12+Resumo!$B$14)*CEILING(AN$3,1))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4" s="13" t="n">
        <f aca="false">(AB64+AO$4*(Resumo!$C$6+Resumo!$C$7+Resumo!$C$8)+Resumo!$C$10*CEILING(AO$3/100,1)+Resumo!$C$9+Resumo!$C$13+Resumo!$C$14*CEILING(AO$3,1))*(1+Resumo!$C$11)-(AO$4*(Resumo!$B$6+Resumo!$B$7)+Resumo!$B$9+Resumo!$B$10*CEILING(AO$3/100,1)+(Resumo!$B$12+Resumo!$B$14)*CEILING(AO$3,1))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4" s="13" t="n">
        <f aca="false">(AC64+AP$4*(Resumo!$C$6+Resumo!$C$7+Resumo!$C$8)+Resumo!$C$10*CEILING(AP$3/100,1)+Resumo!$C$9+Resumo!$C$13+Resumo!$C$14*CEILING(AP$3,1))*(1+Resumo!$C$11)-(AP$4*(Resumo!$B$6+Resumo!$B$7)+Resumo!$B$9+Resumo!$B$10*CEILING(AP$3/100,1)+(Resumo!$B$12+Resumo!$B$14)*CEILING(AP$3,1))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4" s="13" t="n">
        <f aca="false">(AD64+AQ$4*(Resumo!$C$6+Resumo!$C$7+Resumo!$C$8)+Resumo!$C$10*CEILING(AQ$3/100,1)+Resumo!$C$9+Resumo!$C$13+Resumo!$C$14*CEILING(AQ$3,1))*(1+Resumo!$C$11)-(AQ$4*(Resumo!$B$6+Resumo!$B$7)+Resumo!$B$9+Resumo!$B$10*CEILING(AQ$3/100,1)+(Resumo!$B$12+Resumo!$B$14)*CEILING(AQ$3,1))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4" s="13" t="n">
        <f aca="false">(AE64+AR$4*(Resumo!$C$6+Resumo!$C$7+Resumo!$C$8)+Resumo!$C$10*CEILING(AR$3/100,1)+Resumo!$C$9+Resumo!$C$13+Resumo!$C$14*CEILING(AR$3,1))*(1+Resumo!$C$11)-(AR$4*(Resumo!$B$6+Resumo!$B$7)+Resumo!$B$9+Resumo!$B$10*CEILING(AR$3/100,1)+(Resumo!$B$12+Resumo!$B$14)*CEILING(AR$3,1))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4" s="13" t="n">
        <f aca="false">(AF64+AS$4*(Resumo!$C$6+Resumo!$C$7+Resumo!$C$8)+Resumo!$C$10*CEILING(AS$3/100,1)+Resumo!$C$9+Resumo!$C$13+Resumo!$C$14*CEILING(AS$3,1))*(1+Resumo!$C$11)-(AS$4*(Resumo!$B$6+Resumo!$B$7)+Resumo!$B$9+Resumo!$B$10*CEILING(AS$3/100,1)+(Resumo!$B$12+Resumo!$B$14)*CEILING(AS$3,1))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4" s="13" t="n">
        <f aca="false">(AG64+AT$4*(Resumo!$C$6+Resumo!$C$7+Resumo!$C$8)+Resumo!$C$10*CEILING(AT$3/100,1)+Resumo!$C$9+Resumo!$C$13+Resumo!$C$14*CEILING(AT$3,1))*(1+Resumo!$C$11)-(AT$4*(Resumo!$B$6+Resumo!$B$7)+Resumo!$B$9+Resumo!$B$10*CEILING(AT$3/100,1)+(Resumo!$B$12+Resumo!$B$14)*CEILING(AT$3,1))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4" s="44" t="n">
        <f aca="false">1-AH64/H64</f>
        <v>0.553790009855127</v>
      </c>
      <c r="AV64" s="44" t="n">
        <f aca="false">1-AI64/I64</f>
        <v>0.468426082913158</v>
      </c>
      <c r="AW64" s="44" t="n">
        <f aca="false">1-AJ64/J64</f>
        <v>0.424299969908939</v>
      </c>
      <c r="AX64" s="44" t="n">
        <f aca="false">1-AK64/K64</f>
        <v>0.444318235095027</v>
      </c>
      <c r="AY64" s="44" t="n">
        <f aca="false">1-AL64/L64</f>
        <v>0.44289446919564</v>
      </c>
      <c r="AZ64" s="44" t="n">
        <f aca="false">1-AM64/M64</f>
        <v>0.439248965608252</v>
      </c>
      <c r="BA64" s="44" t="n">
        <f aca="false">1-AN64/N64</f>
        <v>0.433759067609368</v>
      </c>
      <c r="BB64" s="44" t="n">
        <f aca="false">1-AO64/O64</f>
        <v>0.427042392574117</v>
      </c>
      <c r="BC64" s="44" t="n">
        <f aca="false">1-AP64/P64</f>
        <v>0.493280443868681</v>
      </c>
      <c r="BD64" s="44" t="n">
        <f aca="false">1-AQ64/Q64</f>
        <v>0.455794679894486</v>
      </c>
      <c r="BE64" s="44" t="n">
        <f aca="false">1-AR64/R64</f>
        <v>0.489018797268033</v>
      </c>
      <c r="BF64" s="44" t="n">
        <f aca="false">1-AS64/S64</f>
        <v>0.820503440269559</v>
      </c>
      <c r="BG64" s="44" t="n">
        <f aca="false">1-AT64/T64</f>
        <v>0.528263860444042</v>
      </c>
    </row>
    <row r="65" customFormat="false" ht="15" hidden="false" customHeight="false" outlineLevel="0" collapsed="false">
      <c r="A65" s="10" t="s">
        <v>261</v>
      </c>
      <c r="B65" s="10" t="s">
        <v>311</v>
      </c>
      <c r="C65" s="58" t="n">
        <v>28375000</v>
      </c>
      <c r="D65" s="58" t="n">
        <v>28379999</v>
      </c>
      <c r="E65" s="10" t="s">
        <v>24</v>
      </c>
      <c r="F65" s="10" t="s">
        <v>302</v>
      </c>
      <c r="G65" s="10" t="n">
        <f aca="false">COUNTIFS(Pedidos!$C$2:$C$2224,"&gt;="&amp;C65,Pedidos!$C$2:$C$2224,"&lt;="&amp;D65)</f>
        <v>1</v>
      </c>
      <c r="H65" s="40" t="n">
        <v>124.04</v>
      </c>
      <c r="I65" s="40" t="n">
        <v>138.29</v>
      </c>
      <c r="J65" s="40" t="n">
        <v>143.04</v>
      </c>
      <c r="K65" s="40" t="n">
        <v>152.54</v>
      </c>
      <c r="L65" s="40" t="n">
        <v>162.04</v>
      </c>
      <c r="M65" s="40" t="n">
        <v>171.54</v>
      </c>
      <c r="N65" s="40" t="n">
        <v>181.04</v>
      </c>
      <c r="O65" s="40" t="n">
        <v>200.04</v>
      </c>
      <c r="P65" s="40" t="n">
        <v>236.82</v>
      </c>
      <c r="Q65" s="40" t="n">
        <v>264.84</v>
      </c>
      <c r="R65" s="40" t="n">
        <v>300.15</v>
      </c>
      <c r="S65" s="40" t="n">
        <v>353.17</v>
      </c>
      <c r="T65" s="40" t="n">
        <v>441.4</v>
      </c>
      <c r="U65" s="40" t="n">
        <v>46.95</v>
      </c>
      <c r="V65" s="40" t="n">
        <v>65.63</v>
      </c>
      <c r="W65" s="40" t="n">
        <v>74.97</v>
      </c>
      <c r="X65" s="40" t="n">
        <v>77.7</v>
      </c>
      <c r="Y65" s="40" t="n">
        <v>83.58</v>
      </c>
      <c r="Z65" s="40" t="n">
        <v>90.2</v>
      </c>
      <c r="AA65" s="40" t="n">
        <v>96.77</v>
      </c>
      <c r="AB65" s="40" t="n">
        <v>109.63</v>
      </c>
      <c r="AC65" s="40" t="n">
        <v>119.5</v>
      </c>
      <c r="AD65" s="40" t="n">
        <v>144.24</v>
      </c>
      <c r="AE65" s="40" t="n">
        <v>155.09</v>
      </c>
      <c r="AF65" s="40" t="n">
        <v>66.69</v>
      </c>
      <c r="AG65" s="40" t="n">
        <v>214.88</v>
      </c>
      <c r="AH65" s="13" t="n">
        <f aca="false">(U65+AH$4*(Resumo!$C$6+Resumo!$C$7+Resumo!$C$8)+Resumo!$C$10*CEILING(AH$3/100,1)+Resumo!$C$9+Resumo!$C$13+Resumo!$C$14*CEILING(AH$3,1))*(1+Resumo!$C$11)-(AH$4*(Resumo!$B$6+Resumo!$B$7)+Resumo!$B$9+Resumo!$B$10*CEILING(AH$3/100,1)+(Resumo!$B$12+Resumo!$B$14)*CEILING(AH$3,1))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5" s="13" t="n">
        <f aca="false">(V65+AI$4*(Resumo!$C$6+Resumo!$C$7+Resumo!$C$8)+Resumo!$C$10*CEILING(AI$3/100,1)+Resumo!$C$9+Resumo!$C$13+Resumo!$C$14*CEILING(AI$3,1))*(1+Resumo!$C$11)-(AI$4*(Resumo!$B$6+Resumo!$B$7)+Resumo!$B$9+Resumo!$B$10*CEILING(AI$3/100,1)+(Resumo!$B$12+Resumo!$B$14)*CEILING(AI$3,1))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5" s="13" t="n">
        <f aca="false">(W65+AJ$4*(Resumo!$C$6+Resumo!$C$7+Resumo!$C$8)+Resumo!$C$10*CEILING(AJ$3/100,1)+Resumo!$C$9+Resumo!$C$13+Resumo!$C$14*CEILING(AJ$3,1))*(1+Resumo!$C$11)-(AJ$4*(Resumo!$B$6+Resumo!$B$7)+Resumo!$B$9+Resumo!$B$10*CEILING(AJ$3/100,1)+(Resumo!$B$12+Resumo!$B$14)*CEILING(AJ$3,1))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5" s="13" t="n">
        <f aca="false">(X65+AK$4*(Resumo!$C$6+Resumo!$C$7+Resumo!$C$8)+Resumo!$C$10*CEILING(AK$3/100,1)+Resumo!$C$9+Resumo!$C$13+Resumo!$C$14*CEILING(AK$3,1))*(1+Resumo!$C$11)-(AK$4*(Resumo!$B$6+Resumo!$B$7)+Resumo!$B$9+Resumo!$B$10*CEILING(AK$3/100,1)+(Resumo!$B$12+Resumo!$B$14)*CEILING(AK$3,1))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5" s="13" t="n">
        <f aca="false">(Y65+AL$4*(Resumo!$C$6+Resumo!$C$7+Resumo!$C$8)+Resumo!$C$10*CEILING(AL$3/100,1)+Resumo!$C$9+Resumo!$C$13+Resumo!$C$14*CEILING(AL$3,1))*(1+Resumo!$C$11)-(AL$4*(Resumo!$B$6+Resumo!$B$7)+Resumo!$B$9+Resumo!$B$10*CEILING(AL$3/100,1)+(Resumo!$B$12+Resumo!$B$14)*CEILING(AL$3,1))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5" s="13" t="n">
        <f aca="false">(Z65+AM$4*(Resumo!$C$6+Resumo!$C$7+Resumo!$C$8)+Resumo!$C$10*CEILING(AM$3/100,1)+Resumo!$C$9+Resumo!$C$13+Resumo!$C$14*CEILING(AM$3,1))*(1+Resumo!$C$11)-(AM$4*(Resumo!$B$6+Resumo!$B$7)+Resumo!$B$9+Resumo!$B$10*CEILING(AM$3/100,1)+(Resumo!$B$12+Resumo!$B$14)*CEILING(AM$3,1))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5" s="13" t="n">
        <f aca="false">(AA65+AN$4*(Resumo!$C$6+Resumo!$C$7+Resumo!$C$8)+Resumo!$C$10*CEILING(AN$3/100,1)+Resumo!$C$9+Resumo!$C$13+Resumo!$C$14*CEILING(AN$3,1))*(1+Resumo!$C$11)-(AN$4*(Resumo!$B$6+Resumo!$B$7)+Resumo!$B$9+Resumo!$B$10*CEILING(AN$3/100,1)+(Resumo!$B$12+Resumo!$B$14)*CEILING(AN$3,1))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5" s="13" t="n">
        <f aca="false">(AB65+AO$4*(Resumo!$C$6+Resumo!$C$7+Resumo!$C$8)+Resumo!$C$10*CEILING(AO$3/100,1)+Resumo!$C$9+Resumo!$C$13+Resumo!$C$14*CEILING(AO$3,1))*(1+Resumo!$C$11)-(AO$4*(Resumo!$B$6+Resumo!$B$7)+Resumo!$B$9+Resumo!$B$10*CEILING(AO$3/100,1)+(Resumo!$B$12+Resumo!$B$14)*CEILING(AO$3,1))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5" s="13" t="n">
        <f aca="false">(AC65+AP$4*(Resumo!$C$6+Resumo!$C$7+Resumo!$C$8)+Resumo!$C$10*CEILING(AP$3/100,1)+Resumo!$C$9+Resumo!$C$13+Resumo!$C$14*CEILING(AP$3,1))*(1+Resumo!$C$11)-(AP$4*(Resumo!$B$6+Resumo!$B$7)+Resumo!$B$9+Resumo!$B$10*CEILING(AP$3/100,1)+(Resumo!$B$12+Resumo!$B$14)*CEILING(AP$3,1))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5" s="13" t="n">
        <f aca="false">(AD65+AQ$4*(Resumo!$C$6+Resumo!$C$7+Resumo!$C$8)+Resumo!$C$10*CEILING(AQ$3/100,1)+Resumo!$C$9+Resumo!$C$13+Resumo!$C$14*CEILING(AQ$3,1))*(1+Resumo!$C$11)-(AQ$4*(Resumo!$B$6+Resumo!$B$7)+Resumo!$B$9+Resumo!$B$10*CEILING(AQ$3/100,1)+(Resumo!$B$12+Resumo!$B$14)*CEILING(AQ$3,1))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5" s="13" t="n">
        <f aca="false">(AE65+AR$4*(Resumo!$C$6+Resumo!$C$7+Resumo!$C$8)+Resumo!$C$10*CEILING(AR$3/100,1)+Resumo!$C$9+Resumo!$C$13+Resumo!$C$14*CEILING(AR$3,1))*(1+Resumo!$C$11)-(AR$4*(Resumo!$B$6+Resumo!$B$7)+Resumo!$B$9+Resumo!$B$10*CEILING(AR$3/100,1)+(Resumo!$B$12+Resumo!$B$14)*CEILING(AR$3,1))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5" s="13" t="n">
        <f aca="false">(AF65+AS$4*(Resumo!$C$6+Resumo!$C$7+Resumo!$C$8)+Resumo!$C$10*CEILING(AS$3/100,1)+Resumo!$C$9+Resumo!$C$13+Resumo!$C$14*CEILING(AS$3,1))*(1+Resumo!$C$11)-(AS$4*(Resumo!$B$6+Resumo!$B$7)+Resumo!$B$9+Resumo!$B$10*CEILING(AS$3/100,1)+(Resumo!$B$12+Resumo!$B$14)*CEILING(AS$3,1))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5" s="13" t="n">
        <f aca="false">(AG65+AT$4*(Resumo!$C$6+Resumo!$C$7+Resumo!$C$8)+Resumo!$C$10*CEILING(AT$3/100,1)+Resumo!$C$9+Resumo!$C$13+Resumo!$C$14*CEILING(AT$3,1))*(1+Resumo!$C$11)-(AT$4*(Resumo!$B$6+Resumo!$B$7)+Resumo!$B$9+Resumo!$B$10*CEILING(AT$3/100,1)+(Resumo!$B$12+Resumo!$B$14)*CEILING(AT$3,1))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5" s="44" t="n">
        <f aca="false">1-AH65/H65</f>
        <v>0.553790009855127</v>
      </c>
      <c r="AV65" s="44" t="n">
        <f aca="false">1-AI65/I65</f>
        <v>0.468426082913158</v>
      </c>
      <c r="AW65" s="44" t="n">
        <f aca="false">1-AJ65/J65</f>
        <v>0.424299969908939</v>
      </c>
      <c r="AX65" s="44" t="n">
        <f aca="false">1-AK65/K65</f>
        <v>0.444318235095027</v>
      </c>
      <c r="AY65" s="44" t="n">
        <f aca="false">1-AL65/L65</f>
        <v>0.44289446919564</v>
      </c>
      <c r="AZ65" s="44" t="n">
        <f aca="false">1-AM65/M65</f>
        <v>0.439248965608252</v>
      </c>
      <c r="BA65" s="44" t="n">
        <f aca="false">1-AN65/N65</f>
        <v>0.433759067609368</v>
      </c>
      <c r="BB65" s="44" t="n">
        <f aca="false">1-AO65/O65</f>
        <v>0.427042392574117</v>
      </c>
      <c r="BC65" s="44" t="n">
        <f aca="false">1-AP65/P65</f>
        <v>0.493280443868681</v>
      </c>
      <c r="BD65" s="44" t="n">
        <f aca="false">1-AQ65/Q65</f>
        <v>0.455794679894486</v>
      </c>
      <c r="BE65" s="44" t="n">
        <f aca="false">1-AR65/R65</f>
        <v>0.489018797268033</v>
      </c>
      <c r="BF65" s="44" t="n">
        <f aca="false">1-AS65/S65</f>
        <v>0.820503440269559</v>
      </c>
      <c r="BG65" s="44" t="n">
        <f aca="false">1-AT65/T65</f>
        <v>0.528263860444042</v>
      </c>
    </row>
    <row r="66" customFormat="false" ht="15" hidden="false" customHeight="false" outlineLevel="0" collapsed="false">
      <c r="A66" s="10" t="s">
        <v>261</v>
      </c>
      <c r="B66" s="10" t="s">
        <v>312</v>
      </c>
      <c r="C66" s="58" t="n">
        <v>28380000</v>
      </c>
      <c r="D66" s="58" t="n">
        <v>28389999</v>
      </c>
      <c r="E66" s="10" t="s">
        <v>24</v>
      </c>
      <c r="F66" s="10" t="s">
        <v>302</v>
      </c>
      <c r="G66" s="10" t="n">
        <f aca="false">COUNTIFS(Pedidos!$C$2:$C$2224,"&gt;="&amp;C66,Pedidos!$C$2:$C$2224,"&lt;="&amp;D66)</f>
        <v>3</v>
      </c>
      <c r="H66" s="40" t="n">
        <v>124.04</v>
      </c>
      <c r="I66" s="40" t="n">
        <v>138.29</v>
      </c>
      <c r="J66" s="40" t="n">
        <v>143.04</v>
      </c>
      <c r="K66" s="40" t="n">
        <v>152.54</v>
      </c>
      <c r="L66" s="40" t="n">
        <v>162.04</v>
      </c>
      <c r="M66" s="40" t="n">
        <v>171.54</v>
      </c>
      <c r="N66" s="40" t="n">
        <v>181.04</v>
      </c>
      <c r="O66" s="40" t="n">
        <v>200.04</v>
      </c>
      <c r="P66" s="40" t="n">
        <v>236.82</v>
      </c>
      <c r="Q66" s="40" t="n">
        <v>264.84</v>
      </c>
      <c r="R66" s="40" t="n">
        <v>300.15</v>
      </c>
      <c r="S66" s="40" t="n">
        <v>353.17</v>
      </c>
      <c r="T66" s="40" t="n">
        <v>441.4</v>
      </c>
      <c r="U66" s="40" t="n">
        <v>46.95</v>
      </c>
      <c r="V66" s="40" t="n">
        <v>65.63</v>
      </c>
      <c r="W66" s="40" t="n">
        <v>74.97</v>
      </c>
      <c r="X66" s="40" t="n">
        <v>77.7</v>
      </c>
      <c r="Y66" s="40" t="n">
        <v>83.58</v>
      </c>
      <c r="Z66" s="40" t="n">
        <v>90.2</v>
      </c>
      <c r="AA66" s="40" t="n">
        <v>96.77</v>
      </c>
      <c r="AB66" s="40" t="n">
        <v>109.63</v>
      </c>
      <c r="AC66" s="40" t="n">
        <v>119.5</v>
      </c>
      <c r="AD66" s="40" t="n">
        <v>144.24</v>
      </c>
      <c r="AE66" s="40" t="n">
        <v>155.09</v>
      </c>
      <c r="AF66" s="40" t="n">
        <v>66.69</v>
      </c>
      <c r="AG66" s="40" t="n">
        <v>214.88</v>
      </c>
      <c r="AH66" s="13" t="n">
        <f aca="false">(U66+AH$4*(Resumo!$C$6+Resumo!$C$7+Resumo!$C$8)+Resumo!$C$10*CEILING(AH$3/100,1)+Resumo!$C$9+Resumo!$C$13+Resumo!$C$14*CEILING(AH$3,1))*(1+Resumo!$C$11)-(AH$4*(Resumo!$B$6+Resumo!$B$7)+Resumo!$B$9+Resumo!$B$10*CEILING(AH$3/100,1)+(Resumo!$B$12+Resumo!$B$14)*CEILING(AH$3,1))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6" s="13" t="n">
        <f aca="false">(V66+AI$4*(Resumo!$C$6+Resumo!$C$7+Resumo!$C$8)+Resumo!$C$10*CEILING(AI$3/100,1)+Resumo!$C$9+Resumo!$C$13+Resumo!$C$14*CEILING(AI$3,1))*(1+Resumo!$C$11)-(AI$4*(Resumo!$B$6+Resumo!$B$7)+Resumo!$B$9+Resumo!$B$10*CEILING(AI$3/100,1)+(Resumo!$B$12+Resumo!$B$14)*CEILING(AI$3,1))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6" s="13" t="n">
        <f aca="false">(W66+AJ$4*(Resumo!$C$6+Resumo!$C$7+Resumo!$C$8)+Resumo!$C$10*CEILING(AJ$3/100,1)+Resumo!$C$9+Resumo!$C$13+Resumo!$C$14*CEILING(AJ$3,1))*(1+Resumo!$C$11)-(AJ$4*(Resumo!$B$6+Resumo!$B$7)+Resumo!$B$9+Resumo!$B$10*CEILING(AJ$3/100,1)+(Resumo!$B$12+Resumo!$B$14)*CEILING(AJ$3,1))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6" s="13" t="n">
        <f aca="false">(X66+AK$4*(Resumo!$C$6+Resumo!$C$7+Resumo!$C$8)+Resumo!$C$10*CEILING(AK$3/100,1)+Resumo!$C$9+Resumo!$C$13+Resumo!$C$14*CEILING(AK$3,1))*(1+Resumo!$C$11)-(AK$4*(Resumo!$B$6+Resumo!$B$7)+Resumo!$B$9+Resumo!$B$10*CEILING(AK$3/100,1)+(Resumo!$B$12+Resumo!$B$14)*CEILING(AK$3,1))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6" s="13" t="n">
        <f aca="false">(Y66+AL$4*(Resumo!$C$6+Resumo!$C$7+Resumo!$C$8)+Resumo!$C$10*CEILING(AL$3/100,1)+Resumo!$C$9+Resumo!$C$13+Resumo!$C$14*CEILING(AL$3,1))*(1+Resumo!$C$11)-(AL$4*(Resumo!$B$6+Resumo!$B$7)+Resumo!$B$9+Resumo!$B$10*CEILING(AL$3/100,1)+(Resumo!$B$12+Resumo!$B$14)*CEILING(AL$3,1))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6" s="13" t="n">
        <f aca="false">(Z66+AM$4*(Resumo!$C$6+Resumo!$C$7+Resumo!$C$8)+Resumo!$C$10*CEILING(AM$3/100,1)+Resumo!$C$9+Resumo!$C$13+Resumo!$C$14*CEILING(AM$3,1))*(1+Resumo!$C$11)-(AM$4*(Resumo!$B$6+Resumo!$B$7)+Resumo!$B$9+Resumo!$B$10*CEILING(AM$3/100,1)+(Resumo!$B$12+Resumo!$B$14)*CEILING(AM$3,1))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6" s="13" t="n">
        <f aca="false">(AA66+AN$4*(Resumo!$C$6+Resumo!$C$7+Resumo!$C$8)+Resumo!$C$10*CEILING(AN$3/100,1)+Resumo!$C$9+Resumo!$C$13+Resumo!$C$14*CEILING(AN$3,1))*(1+Resumo!$C$11)-(AN$4*(Resumo!$B$6+Resumo!$B$7)+Resumo!$B$9+Resumo!$B$10*CEILING(AN$3/100,1)+(Resumo!$B$12+Resumo!$B$14)*CEILING(AN$3,1))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6" s="13" t="n">
        <f aca="false">(AB66+AO$4*(Resumo!$C$6+Resumo!$C$7+Resumo!$C$8)+Resumo!$C$10*CEILING(AO$3/100,1)+Resumo!$C$9+Resumo!$C$13+Resumo!$C$14*CEILING(AO$3,1))*(1+Resumo!$C$11)-(AO$4*(Resumo!$B$6+Resumo!$B$7)+Resumo!$B$9+Resumo!$B$10*CEILING(AO$3/100,1)+(Resumo!$B$12+Resumo!$B$14)*CEILING(AO$3,1))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6" s="13" t="n">
        <f aca="false">(AC66+AP$4*(Resumo!$C$6+Resumo!$C$7+Resumo!$C$8)+Resumo!$C$10*CEILING(AP$3/100,1)+Resumo!$C$9+Resumo!$C$13+Resumo!$C$14*CEILING(AP$3,1))*(1+Resumo!$C$11)-(AP$4*(Resumo!$B$6+Resumo!$B$7)+Resumo!$B$9+Resumo!$B$10*CEILING(AP$3/100,1)+(Resumo!$B$12+Resumo!$B$14)*CEILING(AP$3,1))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6" s="13" t="n">
        <f aca="false">(AD66+AQ$4*(Resumo!$C$6+Resumo!$C$7+Resumo!$C$8)+Resumo!$C$10*CEILING(AQ$3/100,1)+Resumo!$C$9+Resumo!$C$13+Resumo!$C$14*CEILING(AQ$3,1))*(1+Resumo!$C$11)-(AQ$4*(Resumo!$B$6+Resumo!$B$7)+Resumo!$B$9+Resumo!$B$10*CEILING(AQ$3/100,1)+(Resumo!$B$12+Resumo!$B$14)*CEILING(AQ$3,1))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6" s="13" t="n">
        <f aca="false">(AE66+AR$4*(Resumo!$C$6+Resumo!$C$7+Resumo!$C$8)+Resumo!$C$10*CEILING(AR$3/100,1)+Resumo!$C$9+Resumo!$C$13+Resumo!$C$14*CEILING(AR$3,1))*(1+Resumo!$C$11)-(AR$4*(Resumo!$B$6+Resumo!$B$7)+Resumo!$B$9+Resumo!$B$10*CEILING(AR$3/100,1)+(Resumo!$B$12+Resumo!$B$14)*CEILING(AR$3,1))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6" s="13" t="n">
        <f aca="false">(AF66+AS$4*(Resumo!$C$6+Resumo!$C$7+Resumo!$C$8)+Resumo!$C$10*CEILING(AS$3/100,1)+Resumo!$C$9+Resumo!$C$13+Resumo!$C$14*CEILING(AS$3,1))*(1+Resumo!$C$11)-(AS$4*(Resumo!$B$6+Resumo!$B$7)+Resumo!$B$9+Resumo!$B$10*CEILING(AS$3/100,1)+(Resumo!$B$12+Resumo!$B$14)*CEILING(AS$3,1))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6" s="13" t="n">
        <f aca="false">(AG66+AT$4*(Resumo!$C$6+Resumo!$C$7+Resumo!$C$8)+Resumo!$C$10*CEILING(AT$3/100,1)+Resumo!$C$9+Resumo!$C$13+Resumo!$C$14*CEILING(AT$3,1))*(1+Resumo!$C$11)-(AT$4*(Resumo!$B$6+Resumo!$B$7)+Resumo!$B$9+Resumo!$B$10*CEILING(AT$3/100,1)+(Resumo!$B$12+Resumo!$B$14)*CEILING(AT$3,1))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6" s="44" t="n">
        <f aca="false">1-AH66/H66</f>
        <v>0.553790009855127</v>
      </c>
      <c r="AV66" s="44" t="n">
        <f aca="false">1-AI66/I66</f>
        <v>0.468426082913158</v>
      </c>
      <c r="AW66" s="44" t="n">
        <f aca="false">1-AJ66/J66</f>
        <v>0.424299969908939</v>
      </c>
      <c r="AX66" s="44" t="n">
        <f aca="false">1-AK66/K66</f>
        <v>0.444318235095027</v>
      </c>
      <c r="AY66" s="44" t="n">
        <f aca="false">1-AL66/L66</f>
        <v>0.44289446919564</v>
      </c>
      <c r="AZ66" s="44" t="n">
        <f aca="false">1-AM66/M66</f>
        <v>0.439248965608252</v>
      </c>
      <c r="BA66" s="44" t="n">
        <f aca="false">1-AN66/N66</f>
        <v>0.433759067609368</v>
      </c>
      <c r="BB66" s="44" t="n">
        <f aca="false">1-AO66/O66</f>
        <v>0.427042392574117</v>
      </c>
      <c r="BC66" s="44" t="n">
        <f aca="false">1-AP66/P66</f>
        <v>0.493280443868681</v>
      </c>
      <c r="BD66" s="44" t="n">
        <f aca="false">1-AQ66/Q66</f>
        <v>0.455794679894486</v>
      </c>
      <c r="BE66" s="44" t="n">
        <f aca="false">1-AR66/R66</f>
        <v>0.489018797268033</v>
      </c>
      <c r="BF66" s="44" t="n">
        <f aca="false">1-AS66/S66</f>
        <v>0.820503440269559</v>
      </c>
      <c r="BG66" s="44" t="n">
        <f aca="false">1-AT66/T66</f>
        <v>0.528263860444042</v>
      </c>
    </row>
    <row r="67" customFormat="false" ht="15" hidden="false" customHeight="false" outlineLevel="0" collapsed="false">
      <c r="A67" s="10" t="s">
        <v>261</v>
      </c>
      <c r="B67" s="10" t="s">
        <v>313</v>
      </c>
      <c r="C67" s="58" t="n">
        <v>28390000</v>
      </c>
      <c r="D67" s="58" t="n">
        <v>28399999</v>
      </c>
      <c r="E67" s="10" t="s">
        <v>24</v>
      </c>
      <c r="F67" s="10" t="s">
        <v>302</v>
      </c>
      <c r="G67" s="10" t="n">
        <f aca="false">COUNTIFS(Pedidos!$C$2:$C$2224,"&gt;="&amp;C67,Pedidos!$C$2:$C$2224,"&lt;="&amp;D67)</f>
        <v>0</v>
      </c>
      <c r="H67" s="40" t="n">
        <v>124.04</v>
      </c>
      <c r="I67" s="40" t="n">
        <v>138.29</v>
      </c>
      <c r="J67" s="40" t="n">
        <v>143.04</v>
      </c>
      <c r="K67" s="40" t="n">
        <v>152.54</v>
      </c>
      <c r="L67" s="40" t="n">
        <v>162.04</v>
      </c>
      <c r="M67" s="40" t="n">
        <v>171.54</v>
      </c>
      <c r="N67" s="40" t="n">
        <v>181.04</v>
      </c>
      <c r="O67" s="40" t="n">
        <v>200.04</v>
      </c>
      <c r="P67" s="40" t="n">
        <v>236.82</v>
      </c>
      <c r="Q67" s="40" t="n">
        <v>264.84</v>
      </c>
      <c r="R67" s="40" t="n">
        <v>300.15</v>
      </c>
      <c r="S67" s="40" t="n">
        <v>353.17</v>
      </c>
      <c r="T67" s="40" t="n">
        <v>441.4</v>
      </c>
      <c r="U67" s="40" t="n">
        <v>46.95</v>
      </c>
      <c r="V67" s="40" t="n">
        <v>65.63</v>
      </c>
      <c r="W67" s="40" t="n">
        <v>74.97</v>
      </c>
      <c r="X67" s="40" t="n">
        <v>77.7</v>
      </c>
      <c r="Y67" s="40" t="n">
        <v>83.58</v>
      </c>
      <c r="Z67" s="40" t="n">
        <v>90.2</v>
      </c>
      <c r="AA67" s="40" t="n">
        <v>96.77</v>
      </c>
      <c r="AB67" s="40" t="n">
        <v>109.63</v>
      </c>
      <c r="AC67" s="40" t="n">
        <v>119.5</v>
      </c>
      <c r="AD67" s="40" t="n">
        <v>144.24</v>
      </c>
      <c r="AE67" s="40" t="n">
        <v>155.09</v>
      </c>
      <c r="AF67" s="40" t="n">
        <v>66.69</v>
      </c>
      <c r="AG67" s="40" t="n">
        <v>214.88</v>
      </c>
      <c r="AH67" s="13" t="n">
        <f aca="false">(U67+AH$4*(Resumo!$C$6+Resumo!$C$7+Resumo!$C$8)+Resumo!$C$10*CEILING(AH$3/100,1)+Resumo!$C$9+Resumo!$C$13+Resumo!$C$14*CEILING(AH$3,1))*(1+Resumo!$C$11)-(AH$4*(Resumo!$B$6+Resumo!$B$7)+Resumo!$B$9+Resumo!$B$10*CEILING(AH$3/100,1)+(Resumo!$B$12+Resumo!$B$14)*CEILING(AH$3,1))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7" s="13" t="n">
        <f aca="false">(V67+AI$4*(Resumo!$C$6+Resumo!$C$7+Resumo!$C$8)+Resumo!$C$10*CEILING(AI$3/100,1)+Resumo!$C$9+Resumo!$C$13+Resumo!$C$14*CEILING(AI$3,1))*(1+Resumo!$C$11)-(AI$4*(Resumo!$B$6+Resumo!$B$7)+Resumo!$B$9+Resumo!$B$10*CEILING(AI$3/100,1)+(Resumo!$B$12+Resumo!$B$14)*CEILING(AI$3,1))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7" s="13" t="n">
        <f aca="false">(W67+AJ$4*(Resumo!$C$6+Resumo!$C$7+Resumo!$C$8)+Resumo!$C$10*CEILING(AJ$3/100,1)+Resumo!$C$9+Resumo!$C$13+Resumo!$C$14*CEILING(AJ$3,1))*(1+Resumo!$C$11)-(AJ$4*(Resumo!$B$6+Resumo!$B$7)+Resumo!$B$9+Resumo!$B$10*CEILING(AJ$3/100,1)+(Resumo!$B$12+Resumo!$B$14)*CEILING(AJ$3,1))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7" s="13" t="n">
        <f aca="false">(X67+AK$4*(Resumo!$C$6+Resumo!$C$7+Resumo!$C$8)+Resumo!$C$10*CEILING(AK$3/100,1)+Resumo!$C$9+Resumo!$C$13+Resumo!$C$14*CEILING(AK$3,1))*(1+Resumo!$C$11)-(AK$4*(Resumo!$B$6+Resumo!$B$7)+Resumo!$B$9+Resumo!$B$10*CEILING(AK$3/100,1)+(Resumo!$B$12+Resumo!$B$14)*CEILING(AK$3,1))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7" s="13" t="n">
        <f aca="false">(Y67+AL$4*(Resumo!$C$6+Resumo!$C$7+Resumo!$C$8)+Resumo!$C$10*CEILING(AL$3/100,1)+Resumo!$C$9+Resumo!$C$13+Resumo!$C$14*CEILING(AL$3,1))*(1+Resumo!$C$11)-(AL$4*(Resumo!$B$6+Resumo!$B$7)+Resumo!$B$9+Resumo!$B$10*CEILING(AL$3/100,1)+(Resumo!$B$12+Resumo!$B$14)*CEILING(AL$3,1))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7" s="13" t="n">
        <f aca="false">(Z67+AM$4*(Resumo!$C$6+Resumo!$C$7+Resumo!$C$8)+Resumo!$C$10*CEILING(AM$3/100,1)+Resumo!$C$9+Resumo!$C$13+Resumo!$C$14*CEILING(AM$3,1))*(1+Resumo!$C$11)-(AM$4*(Resumo!$B$6+Resumo!$B$7)+Resumo!$B$9+Resumo!$B$10*CEILING(AM$3/100,1)+(Resumo!$B$12+Resumo!$B$14)*CEILING(AM$3,1))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7" s="13" t="n">
        <f aca="false">(AA67+AN$4*(Resumo!$C$6+Resumo!$C$7+Resumo!$C$8)+Resumo!$C$10*CEILING(AN$3/100,1)+Resumo!$C$9+Resumo!$C$13+Resumo!$C$14*CEILING(AN$3,1))*(1+Resumo!$C$11)-(AN$4*(Resumo!$B$6+Resumo!$B$7)+Resumo!$B$9+Resumo!$B$10*CEILING(AN$3/100,1)+(Resumo!$B$12+Resumo!$B$14)*CEILING(AN$3,1))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7" s="13" t="n">
        <f aca="false">(AB67+AO$4*(Resumo!$C$6+Resumo!$C$7+Resumo!$C$8)+Resumo!$C$10*CEILING(AO$3/100,1)+Resumo!$C$9+Resumo!$C$13+Resumo!$C$14*CEILING(AO$3,1))*(1+Resumo!$C$11)-(AO$4*(Resumo!$B$6+Resumo!$B$7)+Resumo!$B$9+Resumo!$B$10*CEILING(AO$3/100,1)+(Resumo!$B$12+Resumo!$B$14)*CEILING(AO$3,1))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7" s="13" t="n">
        <f aca="false">(AC67+AP$4*(Resumo!$C$6+Resumo!$C$7+Resumo!$C$8)+Resumo!$C$10*CEILING(AP$3/100,1)+Resumo!$C$9+Resumo!$C$13+Resumo!$C$14*CEILING(AP$3,1))*(1+Resumo!$C$11)-(AP$4*(Resumo!$B$6+Resumo!$B$7)+Resumo!$B$9+Resumo!$B$10*CEILING(AP$3/100,1)+(Resumo!$B$12+Resumo!$B$14)*CEILING(AP$3,1))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7" s="13" t="n">
        <f aca="false">(AD67+AQ$4*(Resumo!$C$6+Resumo!$C$7+Resumo!$C$8)+Resumo!$C$10*CEILING(AQ$3/100,1)+Resumo!$C$9+Resumo!$C$13+Resumo!$C$14*CEILING(AQ$3,1))*(1+Resumo!$C$11)-(AQ$4*(Resumo!$B$6+Resumo!$B$7)+Resumo!$B$9+Resumo!$B$10*CEILING(AQ$3/100,1)+(Resumo!$B$12+Resumo!$B$14)*CEILING(AQ$3,1))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7" s="13" t="n">
        <f aca="false">(AE67+AR$4*(Resumo!$C$6+Resumo!$C$7+Resumo!$C$8)+Resumo!$C$10*CEILING(AR$3/100,1)+Resumo!$C$9+Resumo!$C$13+Resumo!$C$14*CEILING(AR$3,1))*(1+Resumo!$C$11)-(AR$4*(Resumo!$B$6+Resumo!$B$7)+Resumo!$B$9+Resumo!$B$10*CEILING(AR$3/100,1)+(Resumo!$B$12+Resumo!$B$14)*CEILING(AR$3,1))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7" s="13" t="n">
        <f aca="false">(AF67+AS$4*(Resumo!$C$6+Resumo!$C$7+Resumo!$C$8)+Resumo!$C$10*CEILING(AS$3/100,1)+Resumo!$C$9+Resumo!$C$13+Resumo!$C$14*CEILING(AS$3,1))*(1+Resumo!$C$11)-(AS$4*(Resumo!$B$6+Resumo!$B$7)+Resumo!$B$9+Resumo!$B$10*CEILING(AS$3/100,1)+(Resumo!$B$12+Resumo!$B$14)*CEILING(AS$3,1))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7" s="13" t="n">
        <f aca="false">(AG67+AT$4*(Resumo!$C$6+Resumo!$C$7+Resumo!$C$8)+Resumo!$C$10*CEILING(AT$3/100,1)+Resumo!$C$9+Resumo!$C$13+Resumo!$C$14*CEILING(AT$3,1))*(1+Resumo!$C$11)-(AT$4*(Resumo!$B$6+Resumo!$B$7)+Resumo!$B$9+Resumo!$B$10*CEILING(AT$3/100,1)+(Resumo!$B$12+Resumo!$B$14)*CEILING(AT$3,1))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7" s="44" t="n">
        <f aca="false">1-AH67/H67</f>
        <v>0.553790009855127</v>
      </c>
      <c r="AV67" s="44" t="n">
        <f aca="false">1-AI67/I67</f>
        <v>0.468426082913158</v>
      </c>
      <c r="AW67" s="44" t="n">
        <f aca="false">1-AJ67/J67</f>
        <v>0.424299969908939</v>
      </c>
      <c r="AX67" s="44" t="n">
        <f aca="false">1-AK67/K67</f>
        <v>0.444318235095027</v>
      </c>
      <c r="AY67" s="44" t="n">
        <f aca="false">1-AL67/L67</f>
        <v>0.44289446919564</v>
      </c>
      <c r="AZ67" s="44" t="n">
        <f aca="false">1-AM67/M67</f>
        <v>0.439248965608252</v>
      </c>
      <c r="BA67" s="44" t="n">
        <f aca="false">1-AN67/N67</f>
        <v>0.433759067609368</v>
      </c>
      <c r="BB67" s="44" t="n">
        <f aca="false">1-AO67/O67</f>
        <v>0.427042392574117</v>
      </c>
      <c r="BC67" s="44" t="n">
        <f aca="false">1-AP67/P67</f>
        <v>0.493280443868681</v>
      </c>
      <c r="BD67" s="44" t="n">
        <f aca="false">1-AQ67/Q67</f>
        <v>0.455794679894486</v>
      </c>
      <c r="BE67" s="44" t="n">
        <f aca="false">1-AR67/R67</f>
        <v>0.489018797268033</v>
      </c>
      <c r="BF67" s="44" t="n">
        <f aca="false">1-AS67/S67</f>
        <v>0.820503440269559</v>
      </c>
      <c r="BG67" s="44" t="n">
        <f aca="false">1-AT67/T67</f>
        <v>0.528263860444042</v>
      </c>
    </row>
    <row r="68" customFormat="false" ht="15" hidden="false" customHeight="false" outlineLevel="0" collapsed="false">
      <c r="A68" s="10" t="s">
        <v>261</v>
      </c>
      <c r="B68" s="10" t="s">
        <v>314</v>
      </c>
      <c r="C68" s="58" t="n">
        <v>28400000</v>
      </c>
      <c r="D68" s="58" t="n">
        <v>28429999</v>
      </c>
      <c r="E68" s="10" t="s">
        <v>24</v>
      </c>
      <c r="F68" s="10" t="s">
        <v>302</v>
      </c>
      <c r="G68" s="10" t="n">
        <f aca="false">COUNTIFS(Pedidos!$C$2:$C$2224,"&gt;="&amp;C68,Pedidos!$C$2:$C$2224,"&lt;="&amp;D68)</f>
        <v>4</v>
      </c>
      <c r="H68" s="40" t="n">
        <v>124.04</v>
      </c>
      <c r="I68" s="40" t="n">
        <v>138.29</v>
      </c>
      <c r="J68" s="40" t="n">
        <v>143.04</v>
      </c>
      <c r="K68" s="40" t="n">
        <v>152.54</v>
      </c>
      <c r="L68" s="40" t="n">
        <v>162.04</v>
      </c>
      <c r="M68" s="40" t="n">
        <v>171.54</v>
      </c>
      <c r="N68" s="40" t="n">
        <v>181.04</v>
      </c>
      <c r="O68" s="40" t="n">
        <v>200.04</v>
      </c>
      <c r="P68" s="40" t="n">
        <v>236.82</v>
      </c>
      <c r="Q68" s="40" t="n">
        <v>264.84</v>
      </c>
      <c r="R68" s="40" t="n">
        <v>300.15</v>
      </c>
      <c r="S68" s="40" t="n">
        <v>353.17</v>
      </c>
      <c r="T68" s="40" t="n">
        <v>441.4</v>
      </c>
      <c r="U68" s="40" t="n">
        <v>46.95</v>
      </c>
      <c r="V68" s="40" t="n">
        <v>65.63</v>
      </c>
      <c r="W68" s="40" t="n">
        <v>74.97</v>
      </c>
      <c r="X68" s="40" t="n">
        <v>77.7</v>
      </c>
      <c r="Y68" s="40" t="n">
        <v>83.58</v>
      </c>
      <c r="Z68" s="40" t="n">
        <v>90.2</v>
      </c>
      <c r="AA68" s="40" t="n">
        <v>96.77</v>
      </c>
      <c r="AB68" s="40" t="n">
        <v>109.63</v>
      </c>
      <c r="AC68" s="40" t="n">
        <v>119.5</v>
      </c>
      <c r="AD68" s="40" t="n">
        <v>144.24</v>
      </c>
      <c r="AE68" s="40" t="n">
        <v>155.09</v>
      </c>
      <c r="AF68" s="40" t="n">
        <v>66.69</v>
      </c>
      <c r="AG68" s="40" t="n">
        <v>214.88</v>
      </c>
      <c r="AH68" s="13" t="n">
        <f aca="false">(U68+AH$4*(Resumo!$C$6+Resumo!$C$7+Resumo!$C$8)+Resumo!$C$10*CEILING(AH$3/100,1)+Resumo!$C$9+Resumo!$C$13+Resumo!$C$14*CEILING(AH$3,1))*(1+Resumo!$C$11)-(AH$4*(Resumo!$B$6+Resumo!$B$7)+Resumo!$B$9+Resumo!$B$10*CEILING(AH$3/100,1)+(Resumo!$B$12+Resumo!$B$14)*CEILING(AH$3,1))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8" s="13" t="n">
        <f aca="false">(V68+AI$4*(Resumo!$C$6+Resumo!$C$7+Resumo!$C$8)+Resumo!$C$10*CEILING(AI$3/100,1)+Resumo!$C$9+Resumo!$C$13+Resumo!$C$14*CEILING(AI$3,1))*(1+Resumo!$C$11)-(AI$4*(Resumo!$B$6+Resumo!$B$7)+Resumo!$B$9+Resumo!$B$10*CEILING(AI$3/100,1)+(Resumo!$B$12+Resumo!$B$14)*CEILING(AI$3,1))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8" s="13" t="n">
        <f aca="false">(W68+AJ$4*(Resumo!$C$6+Resumo!$C$7+Resumo!$C$8)+Resumo!$C$10*CEILING(AJ$3/100,1)+Resumo!$C$9+Resumo!$C$13+Resumo!$C$14*CEILING(AJ$3,1))*(1+Resumo!$C$11)-(AJ$4*(Resumo!$B$6+Resumo!$B$7)+Resumo!$B$9+Resumo!$B$10*CEILING(AJ$3/100,1)+(Resumo!$B$12+Resumo!$B$14)*CEILING(AJ$3,1))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8" s="13" t="n">
        <f aca="false">(X68+AK$4*(Resumo!$C$6+Resumo!$C$7+Resumo!$C$8)+Resumo!$C$10*CEILING(AK$3/100,1)+Resumo!$C$9+Resumo!$C$13+Resumo!$C$14*CEILING(AK$3,1))*(1+Resumo!$C$11)-(AK$4*(Resumo!$B$6+Resumo!$B$7)+Resumo!$B$9+Resumo!$B$10*CEILING(AK$3/100,1)+(Resumo!$B$12+Resumo!$B$14)*CEILING(AK$3,1))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8" s="13" t="n">
        <f aca="false">(Y68+AL$4*(Resumo!$C$6+Resumo!$C$7+Resumo!$C$8)+Resumo!$C$10*CEILING(AL$3/100,1)+Resumo!$C$9+Resumo!$C$13+Resumo!$C$14*CEILING(AL$3,1))*(1+Resumo!$C$11)-(AL$4*(Resumo!$B$6+Resumo!$B$7)+Resumo!$B$9+Resumo!$B$10*CEILING(AL$3/100,1)+(Resumo!$B$12+Resumo!$B$14)*CEILING(AL$3,1))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8" s="13" t="n">
        <f aca="false">(Z68+AM$4*(Resumo!$C$6+Resumo!$C$7+Resumo!$C$8)+Resumo!$C$10*CEILING(AM$3/100,1)+Resumo!$C$9+Resumo!$C$13+Resumo!$C$14*CEILING(AM$3,1))*(1+Resumo!$C$11)-(AM$4*(Resumo!$B$6+Resumo!$B$7)+Resumo!$B$9+Resumo!$B$10*CEILING(AM$3/100,1)+(Resumo!$B$12+Resumo!$B$14)*CEILING(AM$3,1))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8" s="13" t="n">
        <f aca="false">(AA68+AN$4*(Resumo!$C$6+Resumo!$C$7+Resumo!$C$8)+Resumo!$C$10*CEILING(AN$3/100,1)+Resumo!$C$9+Resumo!$C$13+Resumo!$C$14*CEILING(AN$3,1))*(1+Resumo!$C$11)-(AN$4*(Resumo!$B$6+Resumo!$B$7)+Resumo!$B$9+Resumo!$B$10*CEILING(AN$3/100,1)+(Resumo!$B$12+Resumo!$B$14)*CEILING(AN$3,1))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8" s="13" t="n">
        <f aca="false">(AB68+AO$4*(Resumo!$C$6+Resumo!$C$7+Resumo!$C$8)+Resumo!$C$10*CEILING(AO$3/100,1)+Resumo!$C$9+Resumo!$C$13+Resumo!$C$14*CEILING(AO$3,1))*(1+Resumo!$C$11)-(AO$4*(Resumo!$B$6+Resumo!$B$7)+Resumo!$B$9+Resumo!$B$10*CEILING(AO$3/100,1)+(Resumo!$B$12+Resumo!$B$14)*CEILING(AO$3,1))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8" s="13" t="n">
        <f aca="false">(AC68+AP$4*(Resumo!$C$6+Resumo!$C$7+Resumo!$C$8)+Resumo!$C$10*CEILING(AP$3/100,1)+Resumo!$C$9+Resumo!$C$13+Resumo!$C$14*CEILING(AP$3,1))*(1+Resumo!$C$11)-(AP$4*(Resumo!$B$6+Resumo!$B$7)+Resumo!$B$9+Resumo!$B$10*CEILING(AP$3/100,1)+(Resumo!$B$12+Resumo!$B$14)*CEILING(AP$3,1))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8" s="13" t="n">
        <f aca="false">(AD68+AQ$4*(Resumo!$C$6+Resumo!$C$7+Resumo!$C$8)+Resumo!$C$10*CEILING(AQ$3/100,1)+Resumo!$C$9+Resumo!$C$13+Resumo!$C$14*CEILING(AQ$3,1))*(1+Resumo!$C$11)-(AQ$4*(Resumo!$B$6+Resumo!$B$7)+Resumo!$B$9+Resumo!$B$10*CEILING(AQ$3/100,1)+(Resumo!$B$12+Resumo!$B$14)*CEILING(AQ$3,1))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8" s="13" t="n">
        <f aca="false">(AE68+AR$4*(Resumo!$C$6+Resumo!$C$7+Resumo!$C$8)+Resumo!$C$10*CEILING(AR$3/100,1)+Resumo!$C$9+Resumo!$C$13+Resumo!$C$14*CEILING(AR$3,1))*(1+Resumo!$C$11)-(AR$4*(Resumo!$B$6+Resumo!$B$7)+Resumo!$B$9+Resumo!$B$10*CEILING(AR$3/100,1)+(Resumo!$B$12+Resumo!$B$14)*CEILING(AR$3,1))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8" s="13" t="n">
        <f aca="false">(AF68+AS$4*(Resumo!$C$6+Resumo!$C$7+Resumo!$C$8)+Resumo!$C$10*CEILING(AS$3/100,1)+Resumo!$C$9+Resumo!$C$13+Resumo!$C$14*CEILING(AS$3,1))*(1+Resumo!$C$11)-(AS$4*(Resumo!$B$6+Resumo!$B$7)+Resumo!$B$9+Resumo!$B$10*CEILING(AS$3/100,1)+(Resumo!$B$12+Resumo!$B$14)*CEILING(AS$3,1))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8" s="13" t="n">
        <f aca="false">(AG68+AT$4*(Resumo!$C$6+Resumo!$C$7+Resumo!$C$8)+Resumo!$C$10*CEILING(AT$3/100,1)+Resumo!$C$9+Resumo!$C$13+Resumo!$C$14*CEILING(AT$3,1))*(1+Resumo!$C$11)-(AT$4*(Resumo!$B$6+Resumo!$B$7)+Resumo!$B$9+Resumo!$B$10*CEILING(AT$3/100,1)+(Resumo!$B$12+Resumo!$B$14)*CEILING(AT$3,1))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8" s="44" t="n">
        <f aca="false">1-AH68/H68</f>
        <v>0.553790009855127</v>
      </c>
      <c r="AV68" s="44" t="n">
        <f aca="false">1-AI68/I68</f>
        <v>0.468426082913158</v>
      </c>
      <c r="AW68" s="44" t="n">
        <f aca="false">1-AJ68/J68</f>
        <v>0.424299969908939</v>
      </c>
      <c r="AX68" s="44" t="n">
        <f aca="false">1-AK68/K68</f>
        <v>0.444318235095027</v>
      </c>
      <c r="AY68" s="44" t="n">
        <f aca="false">1-AL68/L68</f>
        <v>0.44289446919564</v>
      </c>
      <c r="AZ68" s="44" t="n">
        <f aca="false">1-AM68/M68</f>
        <v>0.439248965608252</v>
      </c>
      <c r="BA68" s="44" t="n">
        <f aca="false">1-AN68/N68</f>
        <v>0.433759067609368</v>
      </c>
      <c r="BB68" s="44" t="n">
        <f aca="false">1-AO68/O68</f>
        <v>0.427042392574117</v>
      </c>
      <c r="BC68" s="44" t="n">
        <f aca="false">1-AP68/P68</f>
        <v>0.493280443868681</v>
      </c>
      <c r="BD68" s="44" t="n">
        <f aca="false">1-AQ68/Q68</f>
        <v>0.455794679894486</v>
      </c>
      <c r="BE68" s="44" t="n">
        <f aca="false">1-AR68/R68</f>
        <v>0.489018797268033</v>
      </c>
      <c r="BF68" s="44" t="n">
        <f aca="false">1-AS68/S68</f>
        <v>0.820503440269559</v>
      </c>
      <c r="BG68" s="44" t="n">
        <f aca="false">1-AT68/T68</f>
        <v>0.528263860444042</v>
      </c>
    </row>
    <row r="69" customFormat="false" ht="15" hidden="false" customHeight="false" outlineLevel="0" collapsed="false">
      <c r="A69" s="10" t="s">
        <v>261</v>
      </c>
      <c r="B69" s="10" t="s">
        <v>315</v>
      </c>
      <c r="C69" s="58" t="n">
        <v>28430000</v>
      </c>
      <c r="D69" s="58" t="n">
        <v>28454999</v>
      </c>
      <c r="E69" s="10" t="s">
        <v>24</v>
      </c>
      <c r="F69" s="10" t="s">
        <v>302</v>
      </c>
      <c r="G69" s="10" t="n">
        <f aca="false">COUNTIFS(Pedidos!$C$2:$C$2224,"&gt;="&amp;C69,Pedidos!$C$2:$C$2224,"&lt;="&amp;D69)</f>
        <v>1</v>
      </c>
      <c r="H69" s="40" t="n">
        <v>124.04</v>
      </c>
      <c r="I69" s="40" t="n">
        <v>138.29</v>
      </c>
      <c r="J69" s="40" t="n">
        <v>143.04</v>
      </c>
      <c r="K69" s="40" t="n">
        <v>152.54</v>
      </c>
      <c r="L69" s="40" t="n">
        <v>162.04</v>
      </c>
      <c r="M69" s="40" t="n">
        <v>171.54</v>
      </c>
      <c r="N69" s="40" t="n">
        <v>181.04</v>
      </c>
      <c r="O69" s="40" t="n">
        <v>200.04</v>
      </c>
      <c r="P69" s="40" t="n">
        <v>236.82</v>
      </c>
      <c r="Q69" s="40" t="n">
        <v>264.84</v>
      </c>
      <c r="R69" s="40" t="n">
        <v>300.15</v>
      </c>
      <c r="S69" s="40" t="n">
        <v>353.17</v>
      </c>
      <c r="T69" s="40" t="n">
        <v>441.4</v>
      </c>
      <c r="U69" s="40" t="n">
        <v>46.95</v>
      </c>
      <c r="V69" s="40" t="n">
        <v>65.63</v>
      </c>
      <c r="W69" s="40" t="n">
        <v>74.97</v>
      </c>
      <c r="X69" s="40" t="n">
        <v>77.7</v>
      </c>
      <c r="Y69" s="40" t="n">
        <v>83.58</v>
      </c>
      <c r="Z69" s="40" t="n">
        <v>90.2</v>
      </c>
      <c r="AA69" s="40" t="n">
        <v>96.77</v>
      </c>
      <c r="AB69" s="40" t="n">
        <v>109.63</v>
      </c>
      <c r="AC69" s="40" t="n">
        <v>119.5</v>
      </c>
      <c r="AD69" s="40" t="n">
        <v>144.24</v>
      </c>
      <c r="AE69" s="40" t="n">
        <v>155.09</v>
      </c>
      <c r="AF69" s="40" t="n">
        <v>66.69</v>
      </c>
      <c r="AG69" s="40" t="n">
        <v>214.88</v>
      </c>
      <c r="AH69" s="13" t="n">
        <f aca="false">(U69+AH$4*(Resumo!$C$6+Resumo!$C$7+Resumo!$C$8)+Resumo!$C$10*CEILING(AH$3/100,1)+Resumo!$C$9+Resumo!$C$13+Resumo!$C$14*CEILING(AH$3,1))*(1+Resumo!$C$11)-(AH$4*(Resumo!$B$6+Resumo!$B$7)+Resumo!$B$9+Resumo!$B$10*CEILING(AH$3/100,1)+(Resumo!$B$12+Resumo!$B$14)*CEILING(AH$3,1))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69" s="13" t="n">
        <f aca="false">(V69+AI$4*(Resumo!$C$6+Resumo!$C$7+Resumo!$C$8)+Resumo!$C$10*CEILING(AI$3/100,1)+Resumo!$C$9+Resumo!$C$13+Resumo!$C$14*CEILING(AI$3,1))*(1+Resumo!$C$11)-(AI$4*(Resumo!$B$6+Resumo!$B$7)+Resumo!$B$9+Resumo!$B$10*CEILING(AI$3/100,1)+(Resumo!$B$12+Resumo!$B$14)*CEILING(AI$3,1))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69" s="13" t="n">
        <f aca="false">(W69+AJ$4*(Resumo!$C$6+Resumo!$C$7+Resumo!$C$8)+Resumo!$C$10*CEILING(AJ$3/100,1)+Resumo!$C$9+Resumo!$C$13+Resumo!$C$14*CEILING(AJ$3,1))*(1+Resumo!$C$11)-(AJ$4*(Resumo!$B$6+Resumo!$B$7)+Resumo!$B$9+Resumo!$B$10*CEILING(AJ$3/100,1)+(Resumo!$B$12+Resumo!$B$14)*CEILING(AJ$3,1))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69" s="13" t="n">
        <f aca="false">(X69+AK$4*(Resumo!$C$6+Resumo!$C$7+Resumo!$C$8)+Resumo!$C$10*CEILING(AK$3/100,1)+Resumo!$C$9+Resumo!$C$13+Resumo!$C$14*CEILING(AK$3,1))*(1+Resumo!$C$11)-(AK$4*(Resumo!$B$6+Resumo!$B$7)+Resumo!$B$9+Resumo!$B$10*CEILING(AK$3/100,1)+(Resumo!$B$12+Resumo!$B$14)*CEILING(AK$3,1))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69" s="13" t="n">
        <f aca="false">(Y69+AL$4*(Resumo!$C$6+Resumo!$C$7+Resumo!$C$8)+Resumo!$C$10*CEILING(AL$3/100,1)+Resumo!$C$9+Resumo!$C$13+Resumo!$C$14*CEILING(AL$3,1))*(1+Resumo!$C$11)-(AL$4*(Resumo!$B$6+Resumo!$B$7)+Resumo!$B$9+Resumo!$B$10*CEILING(AL$3/100,1)+(Resumo!$B$12+Resumo!$B$14)*CEILING(AL$3,1))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69" s="13" t="n">
        <f aca="false">(Z69+AM$4*(Resumo!$C$6+Resumo!$C$7+Resumo!$C$8)+Resumo!$C$10*CEILING(AM$3/100,1)+Resumo!$C$9+Resumo!$C$13+Resumo!$C$14*CEILING(AM$3,1))*(1+Resumo!$C$11)-(AM$4*(Resumo!$B$6+Resumo!$B$7)+Resumo!$B$9+Resumo!$B$10*CEILING(AM$3/100,1)+(Resumo!$B$12+Resumo!$B$14)*CEILING(AM$3,1))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69" s="13" t="n">
        <f aca="false">(AA69+AN$4*(Resumo!$C$6+Resumo!$C$7+Resumo!$C$8)+Resumo!$C$10*CEILING(AN$3/100,1)+Resumo!$C$9+Resumo!$C$13+Resumo!$C$14*CEILING(AN$3,1))*(1+Resumo!$C$11)-(AN$4*(Resumo!$B$6+Resumo!$B$7)+Resumo!$B$9+Resumo!$B$10*CEILING(AN$3/100,1)+(Resumo!$B$12+Resumo!$B$14)*CEILING(AN$3,1))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69" s="13" t="n">
        <f aca="false">(AB69+AO$4*(Resumo!$C$6+Resumo!$C$7+Resumo!$C$8)+Resumo!$C$10*CEILING(AO$3/100,1)+Resumo!$C$9+Resumo!$C$13+Resumo!$C$14*CEILING(AO$3,1))*(1+Resumo!$C$11)-(AO$4*(Resumo!$B$6+Resumo!$B$7)+Resumo!$B$9+Resumo!$B$10*CEILING(AO$3/100,1)+(Resumo!$B$12+Resumo!$B$14)*CEILING(AO$3,1))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69" s="13" t="n">
        <f aca="false">(AC69+AP$4*(Resumo!$C$6+Resumo!$C$7+Resumo!$C$8)+Resumo!$C$10*CEILING(AP$3/100,1)+Resumo!$C$9+Resumo!$C$13+Resumo!$C$14*CEILING(AP$3,1))*(1+Resumo!$C$11)-(AP$4*(Resumo!$B$6+Resumo!$B$7)+Resumo!$B$9+Resumo!$B$10*CEILING(AP$3/100,1)+(Resumo!$B$12+Resumo!$B$14)*CEILING(AP$3,1))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69" s="13" t="n">
        <f aca="false">(AD69+AQ$4*(Resumo!$C$6+Resumo!$C$7+Resumo!$C$8)+Resumo!$C$10*CEILING(AQ$3/100,1)+Resumo!$C$9+Resumo!$C$13+Resumo!$C$14*CEILING(AQ$3,1))*(1+Resumo!$C$11)-(AQ$4*(Resumo!$B$6+Resumo!$B$7)+Resumo!$B$9+Resumo!$B$10*CEILING(AQ$3/100,1)+(Resumo!$B$12+Resumo!$B$14)*CEILING(AQ$3,1))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69" s="13" t="n">
        <f aca="false">(AE69+AR$4*(Resumo!$C$6+Resumo!$C$7+Resumo!$C$8)+Resumo!$C$10*CEILING(AR$3/100,1)+Resumo!$C$9+Resumo!$C$13+Resumo!$C$14*CEILING(AR$3,1))*(1+Resumo!$C$11)-(AR$4*(Resumo!$B$6+Resumo!$B$7)+Resumo!$B$9+Resumo!$B$10*CEILING(AR$3/100,1)+(Resumo!$B$12+Resumo!$B$14)*CEILING(AR$3,1))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69" s="13" t="n">
        <f aca="false">(AF69+AS$4*(Resumo!$C$6+Resumo!$C$7+Resumo!$C$8)+Resumo!$C$10*CEILING(AS$3/100,1)+Resumo!$C$9+Resumo!$C$13+Resumo!$C$14*CEILING(AS$3,1))*(1+Resumo!$C$11)-(AS$4*(Resumo!$B$6+Resumo!$B$7)+Resumo!$B$9+Resumo!$B$10*CEILING(AS$3/100,1)+(Resumo!$B$12+Resumo!$B$14)*CEILING(AS$3,1))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69" s="13" t="n">
        <f aca="false">(AG69+AT$4*(Resumo!$C$6+Resumo!$C$7+Resumo!$C$8)+Resumo!$C$10*CEILING(AT$3/100,1)+Resumo!$C$9+Resumo!$C$13+Resumo!$C$14*CEILING(AT$3,1))*(1+Resumo!$C$11)-(AT$4*(Resumo!$B$6+Resumo!$B$7)+Resumo!$B$9+Resumo!$B$10*CEILING(AT$3/100,1)+(Resumo!$B$12+Resumo!$B$14)*CEILING(AT$3,1))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69" s="44" t="n">
        <f aca="false">1-AH69/H69</f>
        <v>0.553790009855127</v>
      </c>
      <c r="AV69" s="44" t="n">
        <f aca="false">1-AI69/I69</f>
        <v>0.468426082913158</v>
      </c>
      <c r="AW69" s="44" t="n">
        <f aca="false">1-AJ69/J69</f>
        <v>0.424299969908939</v>
      </c>
      <c r="AX69" s="44" t="n">
        <f aca="false">1-AK69/K69</f>
        <v>0.444318235095027</v>
      </c>
      <c r="AY69" s="44" t="n">
        <f aca="false">1-AL69/L69</f>
        <v>0.44289446919564</v>
      </c>
      <c r="AZ69" s="44" t="n">
        <f aca="false">1-AM69/M69</f>
        <v>0.439248965608252</v>
      </c>
      <c r="BA69" s="44" t="n">
        <f aca="false">1-AN69/N69</f>
        <v>0.433759067609368</v>
      </c>
      <c r="BB69" s="44" t="n">
        <f aca="false">1-AO69/O69</f>
        <v>0.427042392574117</v>
      </c>
      <c r="BC69" s="44" t="n">
        <f aca="false">1-AP69/P69</f>
        <v>0.493280443868681</v>
      </c>
      <c r="BD69" s="44" t="n">
        <f aca="false">1-AQ69/Q69</f>
        <v>0.455794679894486</v>
      </c>
      <c r="BE69" s="44" t="n">
        <f aca="false">1-AR69/R69</f>
        <v>0.489018797268033</v>
      </c>
      <c r="BF69" s="44" t="n">
        <f aca="false">1-AS69/S69</f>
        <v>0.820503440269559</v>
      </c>
      <c r="BG69" s="44" t="n">
        <f aca="false">1-AT69/T69</f>
        <v>0.528263860444042</v>
      </c>
    </row>
    <row r="70" customFormat="false" ht="15" hidden="false" customHeight="false" outlineLevel="0" collapsed="false">
      <c r="A70" s="10" t="s">
        <v>261</v>
      </c>
      <c r="B70" s="10" t="s">
        <v>316</v>
      </c>
      <c r="C70" s="58" t="n">
        <v>28455000</v>
      </c>
      <c r="D70" s="58" t="n">
        <v>28459999</v>
      </c>
      <c r="E70" s="10" t="s">
        <v>24</v>
      </c>
      <c r="F70" s="10" t="s">
        <v>302</v>
      </c>
      <c r="G70" s="10" t="n">
        <f aca="false">COUNTIFS(Pedidos!$C$2:$C$2224,"&gt;="&amp;C70,Pedidos!$C$2:$C$2224,"&lt;="&amp;D70)</f>
        <v>1</v>
      </c>
      <c r="H70" s="40" t="n">
        <v>124.04</v>
      </c>
      <c r="I70" s="40" t="n">
        <v>138.29</v>
      </c>
      <c r="J70" s="40" t="n">
        <v>143.04</v>
      </c>
      <c r="K70" s="40" t="n">
        <v>152.54</v>
      </c>
      <c r="L70" s="40" t="n">
        <v>162.04</v>
      </c>
      <c r="M70" s="40" t="n">
        <v>171.54</v>
      </c>
      <c r="N70" s="40" t="n">
        <v>181.04</v>
      </c>
      <c r="O70" s="40" t="n">
        <v>200.04</v>
      </c>
      <c r="P70" s="40" t="n">
        <v>236.82</v>
      </c>
      <c r="Q70" s="40" t="n">
        <v>264.84</v>
      </c>
      <c r="R70" s="40" t="n">
        <v>300.15</v>
      </c>
      <c r="S70" s="40" t="n">
        <v>353.17</v>
      </c>
      <c r="T70" s="40" t="n">
        <v>441.4</v>
      </c>
      <c r="U70" s="40" t="n">
        <v>46.95</v>
      </c>
      <c r="V70" s="40" t="n">
        <v>65.63</v>
      </c>
      <c r="W70" s="40" t="n">
        <v>74.97</v>
      </c>
      <c r="X70" s="40" t="n">
        <v>77.7</v>
      </c>
      <c r="Y70" s="40" t="n">
        <v>83.58</v>
      </c>
      <c r="Z70" s="40" t="n">
        <v>90.2</v>
      </c>
      <c r="AA70" s="40" t="n">
        <v>96.77</v>
      </c>
      <c r="AB70" s="40" t="n">
        <v>109.63</v>
      </c>
      <c r="AC70" s="40" t="n">
        <v>119.5</v>
      </c>
      <c r="AD70" s="40" t="n">
        <v>144.24</v>
      </c>
      <c r="AE70" s="40" t="n">
        <v>155.09</v>
      </c>
      <c r="AF70" s="40" t="n">
        <v>66.69</v>
      </c>
      <c r="AG70" s="40" t="n">
        <v>214.88</v>
      </c>
      <c r="AH70" s="13" t="n">
        <f aca="false">(U70+AH$4*(Resumo!$C$6+Resumo!$C$7+Resumo!$C$8)+Resumo!$C$10*CEILING(AH$3/100,1)+Resumo!$C$9+Resumo!$C$13+Resumo!$C$14*CEILING(AH$3,1))*(1+Resumo!$C$11)-(AH$4*(Resumo!$B$6+Resumo!$B$7)+Resumo!$B$9+Resumo!$B$10*CEILING(AH$3/100,1)+(Resumo!$B$12+Resumo!$B$14)*CEILING(AH$3,1))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0" s="13" t="n">
        <f aca="false">(V70+AI$4*(Resumo!$C$6+Resumo!$C$7+Resumo!$C$8)+Resumo!$C$10*CEILING(AI$3/100,1)+Resumo!$C$9+Resumo!$C$13+Resumo!$C$14*CEILING(AI$3,1))*(1+Resumo!$C$11)-(AI$4*(Resumo!$B$6+Resumo!$B$7)+Resumo!$B$9+Resumo!$B$10*CEILING(AI$3/100,1)+(Resumo!$B$12+Resumo!$B$14)*CEILING(AI$3,1))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0" s="13" t="n">
        <f aca="false">(W70+AJ$4*(Resumo!$C$6+Resumo!$C$7+Resumo!$C$8)+Resumo!$C$10*CEILING(AJ$3/100,1)+Resumo!$C$9+Resumo!$C$13+Resumo!$C$14*CEILING(AJ$3,1))*(1+Resumo!$C$11)-(AJ$4*(Resumo!$B$6+Resumo!$B$7)+Resumo!$B$9+Resumo!$B$10*CEILING(AJ$3/100,1)+(Resumo!$B$12+Resumo!$B$14)*CEILING(AJ$3,1))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0" s="13" t="n">
        <f aca="false">(X70+AK$4*(Resumo!$C$6+Resumo!$C$7+Resumo!$C$8)+Resumo!$C$10*CEILING(AK$3/100,1)+Resumo!$C$9+Resumo!$C$13+Resumo!$C$14*CEILING(AK$3,1))*(1+Resumo!$C$11)-(AK$4*(Resumo!$B$6+Resumo!$B$7)+Resumo!$B$9+Resumo!$B$10*CEILING(AK$3/100,1)+(Resumo!$B$12+Resumo!$B$14)*CEILING(AK$3,1))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0" s="13" t="n">
        <f aca="false">(Y70+AL$4*(Resumo!$C$6+Resumo!$C$7+Resumo!$C$8)+Resumo!$C$10*CEILING(AL$3/100,1)+Resumo!$C$9+Resumo!$C$13+Resumo!$C$14*CEILING(AL$3,1))*(1+Resumo!$C$11)-(AL$4*(Resumo!$B$6+Resumo!$B$7)+Resumo!$B$9+Resumo!$B$10*CEILING(AL$3/100,1)+(Resumo!$B$12+Resumo!$B$14)*CEILING(AL$3,1))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0" s="13" t="n">
        <f aca="false">(Z70+AM$4*(Resumo!$C$6+Resumo!$C$7+Resumo!$C$8)+Resumo!$C$10*CEILING(AM$3/100,1)+Resumo!$C$9+Resumo!$C$13+Resumo!$C$14*CEILING(AM$3,1))*(1+Resumo!$C$11)-(AM$4*(Resumo!$B$6+Resumo!$B$7)+Resumo!$B$9+Resumo!$B$10*CEILING(AM$3/100,1)+(Resumo!$B$12+Resumo!$B$14)*CEILING(AM$3,1))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0" s="13" t="n">
        <f aca="false">(AA70+AN$4*(Resumo!$C$6+Resumo!$C$7+Resumo!$C$8)+Resumo!$C$10*CEILING(AN$3/100,1)+Resumo!$C$9+Resumo!$C$13+Resumo!$C$14*CEILING(AN$3,1))*(1+Resumo!$C$11)-(AN$4*(Resumo!$B$6+Resumo!$B$7)+Resumo!$B$9+Resumo!$B$10*CEILING(AN$3/100,1)+(Resumo!$B$12+Resumo!$B$14)*CEILING(AN$3,1))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0" s="13" t="n">
        <f aca="false">(AB70+AO$4*(Resumo!$C$6+Resumo!$C$7+Resumo!$C$8)+Resumo!$C$10*CEILING(AO$3/100,1)+Resumo!$C$9+Resumo!$C$13+Resumo!$C$14*CEILING(AO$3,1))*(1+Resumo!$C$11)-(AO$4*(Resumo!$B$6+Resumo!$B$7)+Resumo!$B$9+Resumo!$B$10*CEILING(AO$3/100,1)+(Resumo!$B$12+Resumo!$B$14)*CEILING(AO$3,1))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0" s="13" t="n">
        <f aca="false">(AC70+AP$4*(Resumo!$C$6+Resumo!$C$7+Resumo!$C$8)+Resumo!$C$10*CEILING(AP$3/100,1)+Resumo!$C$9+Resumo!$C$13+Resumo!$C$14*CEILING(AP$3,1))*(1+Resumo!$C$11)-(AP$4*(Resumo!$B$6+Resumo!$B$7)+Resumo!$B$9+Resumo!$B$10*CEILING(AP$3/100,1)+(Resumo!$B$12+Resumo!$B$14)*CEILING(AP$3,1))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0" s="13" t="n">
        <f aca="false">(AD70+AQ$4*(Resumo!$C$6+Resumo!$C$7+Resumo!$C$8)+Resumo!$C$10*CEILING(AQ$3/100,1)+Resumo!$C$9+Resumo!$C$13+Resumo!$C$14*CEILING(AQ$3,1))*(1+Resumo!$C$11)-(AQ$4*(Resumo!$B$6+Resumo!$B$7)+Resumo!$B$9+Resumo!$B$10*CEILING(AQ$3/100,1)+(Resumo!$B$12+Resumo!$B$14)*CEILING(AQ$3,1))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0" s="13" t="n">
        <f aca="false">(AE70+AR$4*(Resumo!$C$6+Resumo!$C$7+Resumo!$C$8)+Resumo!$C$10*CEILING(AR$3/100,1)+Resumo!$C$9+Resumo!$C$13+Resumo!$C$14*CEILING(AR$3,1))*(1+Resumo!$C$11)-(AR$4*(Resumo!$B$6+Resumo!$B$7)+Resumo!$B$9+Resumo!$B$10*CEILING(AR$3/100,1)+(Resumo!$B$12+Resumo!$B$14)*CEILING(AR$3,1))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0" s="13" t="n">
        <f aca="false">(AF70+AS$4*(Resumo!$C$6+Resumo!$C$7+Resumo!$C$8)+Resumo!$C$10*CEILING(AS$3/100,1)+Resumo!$C$9+Resumo!$C$13+Resumo!$C$14*CEILING(AS$3,1))*(1+Resumo!$C$11)-(AS$4*(Resumo!$B$6+Resumo!$B$7)+Resumo!$B$9+Resumo!$B$10*CEILING(AS$3/100,1)+(Resumo!$B$12+Resumo!$B$14)*CEILING(AS$3,1))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0" s="13" t="n">
        <f aca="false">(AG70+AT$4*(Resumo!$C$6+Resumo!$C$7+Resumo!$C$8)+Resumo!$C$10*CEILING(AT$3/100,1)+Resumo!$C$9+Resumo!$C$13+Resumo!$C$14*CEILING(AT$3,1))*(1+Resumo!$C$11)-(AT$4*(Resumo!$B$6+Resumo!$B$7)+Resumo!$B$9+Resumo!$B$10*CEILING(AT$3/100,1)+(Resumo!$B$12+Resumo!$B$14)*CEILING(AT$3,1))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0" s="44" t="n">
        <f aca="false">1-AH70/H70</f>
        <v>0.553790009855127</v>
      </c>
      <c r="AV70" s="44" t="n">
        <f aca="false">1-AI70/I70</f>
        <v>0.468426082913158</v>
      </c>
      <c r="AW70" s="44" t="n">
        <f aca="false">1-AJ70/J70</f>
        <v>0.424299969908939</v>
      </c>
      <c r="AX70" s="44" t="n">
        <f aca="false">1-AK70/K70</f>
        <v>0.444318235095027</v>
      </c>
      <c r="AY70" s="44" t="n">
        <f aca="false">1-AL70/L70</f>
        <v>0.44289446919564</v>
      </c>
      <c r="AZ70" s="44" t="n">
        <f aca="false">1-AM70/M70</f>
        <v>0.439248965608252</v>
      </c>
      <c r="BA70" s="44" t="n">
        <f aca="false">1-AN70/N70</f>
        <v>0.433759067609368</v>
      </c>
      <c r="BB70" s="44" t="n">
        <f aca="false">1-AO70/O70</f>
        <v>0.427042392574117</v>
      </c>
      <c r="BC70" s="44" t="n">
        <f aca="false">1-AP70/P70</f>
        <v>0.493280443868681</v>
      </c>
      <c r="BD70" s="44" t="n">
        <f aca="false">1-AQ70/Q70</f>
        <v>0.455794679894486</v>
      </c>
      <c r="BE70" s="44" t="n">
        <f aca="false">1-AR70/R70</f>
        <v>0.489018797268033</v>
      </c>
      <c r="BF70" s="44" t="n">
        <f aca="false">1-AS70/S70</f>
        <v>0.820503440269559</v>
      </c>
      <c r="BG70" s="44" t="n">
        <f aca="false">1-AT70/T70</f>
        <v>0.528263860444042</v>
      </c>
    </row>
    <row r="71" customFormat="false" ht="15" hidden="false" customHeight="false" outlineLevel="0" collapsed="false">
      <c r="A71" s="10" t="s">
        <v>261</v>
      </c>
      <c r="B71" s="10" t="s">
        <v>317</v>
      </c>
      <c r="C71" s="58" t="n">
        <v>28460000</v>
      </c>
      <c r="D71" s="58" t="n">
        <v>28469999</v>
      </c>
      <c r="E71" s="10" t="s">
        <v>24</v>
      </c>
      <c r="F71" s="10" t="s">
        <v>302</v>
      </c>
      <c r="G71" s="10" t="n">
        <f aca="false">COUNTIFS(Pedidos!$C$2:$C$2224,"&gt;="&amp;C71,Pedidos!$C$2:$C$2224,"&lt;="&amp;D71)</f>
        <v>0</v>
      </c>
      <c r="H71" s="40" t="n">
        <v>124.04</v>
      </c>
      <c r="I71" s="40" t="n">
        <v>138.29</v>
      </c>
      <c r="J71" s="40" t="n">
        <v>143.04</v>
      </c>
      <c r="K71" s="40" t="n">
        <v>152.54</v>
      </c>
      <c r="L71" s="40" t="n">
        <v>162.04</v>
      </c>
      <c r="M71" s="40" t="n">
        <v>171.54</v>
      </c>
      <c r="N71" s="40" t="n">
        <v>181.04</v>
      </c>
      <c r="O71" s="40" t="n">
        <v>200.04</v>
      </c>
      <c r="P71" s="40" t="n">
        <v>236.82</v>
      </c>
      <c r="Q71" s="40" t="n">
        <v>264.84</v>
      </c>
      <c r="R71" s="40" t="n">
        <v>300.15</v>
      </c>
      <c r="S71" s="40" t="n">
        <v>353.17</v>
      </c>
      <c r="T71" s="40" t="n">
        <v>441.4</v>
      </c>
      <c r="U71" s="40" t="n">
        <v>46.95</v>
      </c>
      <c r="V71" s="40" t="n">
        <v>65.63</v>
      </c>
      <c r="W71" s="40" t="n">
        <v>74.97</v>
      </c>
      <c r="X71" s="40" t="n">
        <v>77.7</v>
      </c>
      <c r="Y71" s="40" t="n">
        <v>83.58</v>
      </c>
      <c r="Z71" s="40" t="n">
        <v>90.2</v>
      </c>
      <c r="AA71" s="40" t="n">
        <v>96.77</v>
      </c>
      <c r="AB71" s="40" t="n">
        <v>109.63</v>
      </c>
      <c r="AC71" s="40" t="n">
        <v>119.5</v>
      </c>
      <c r="AD71" s="40" t="n">
        <v>144.24</v>
      </c>
      <c r="AE71" s="40" t="n">
        <v>155.09</v>
      </c>
      <c r="AF71" s="40" t="n">
        <v>66.69</v>
      </c>
      <c r="AG71" s="40" t="n">
        <v>214.88</v>
      </c>
      <c r="AH71" s="13" t="n">
        <f aca="false">(U71+AH$4*(Resumo!$C$6+Resumo!$C$7+Resumo!$C$8)+Resumo!$C$10*CEILING(AH$3/100,1)+Resumo!$C$9+Resumo!$C$13+Resumo!$C$14*CEILING(AH$3,1))*(1+Resumo!$C$11)-(AH$4*(Resumo!$B$6+Resumo!$B$7)+Resumo!$B$9+Resumo!$B$10*CEILING(AH$3/100,1)+(Resumo!$B$12+Resumo!$B$14)*CEILING(AH$3,1))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1" s="13" t="n">
        <f aca="false">(V71+AI$4*(Resumo!$C$6+Resumo!$C$7+Resumo!$C$8)+Resumo!$C$10*CEILING(AI$3/100,1)+Resumo!$C$9+Resumo!$C$13+Resumo!$C$14*CEILING(AI$3,1))*(1+Resumo!$C$11)-(AI$4*(Resumo!$B$6+Resumo!$B$7)+Resumo!$B$9+Resumo!$B$10*CEILING(AI$3/100,1)+(Resumo!$B$12+Resumo!$B$14)*CEILING(AI$3,1))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1" s="13" t="n">
        <f aca="false">(W71+AJ$4*(Resumo!$C$6+Resumo!$C$7+Resumo!$C$8)+Resumo!$C$10*CEILING(AJ$3/100,1)+Resumo!$C$9+Resumo!$C$13+Resumo!$C$14*CEILING(AJ$3,1))*(1+Resumo!$C$11)-(AJ$4*(Resumo!$B$6+Resumo!$B$7)+Resumo!$B$9+Resumo!$B$10*CEILING(AJ$3/100,1)+(Resumo!$B$12+Resumo!$B$14)*CEILING(AJ$3,1))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1" s="13" t="n">
        <f aca="false">(X71+AK$4*(Resumo!$C$6+Resumo!$C$7+Resumo!$C$8)+Resumo!$C$10*CEILING(AK$3/100,1)+Resumo!$C$9+Resumo!$C$13+Resumo!$C$14*CEILING(AK$3,1))*(1+Resumo!$C$11)-(AK$4*(Resumo!$B$6+Resumo!$B$7)+Resumo!$B$9+Resumo!$B$10*CEILING(AK$3/100,1)+(Resumo!$B$12+Resumo!$B$14)*CEILING(AK$3,1))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1" s="13" t="n">
        <f aca="false">(Y71+AL$4*(Resumo!$C$6+Resumo!$C$7+Resumo!$C$8)+Resumo!$C$10*CEILING(AL$3/100,1)+Resumo!$C$9+Resumo!$C$13+Resumo!$C$14*CEILING(AL$3,1))*(1+Resumo!$C$11)-(AL$4*(Resumo!$B$6+Resumo!$B$7)+Resumo!$B$9+Resumo!$B$10*CEILING(AL$3/100,1)+(Resumo!$B$12+Resumo!$B$14)*CEILING(AL$3,1))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1" s="13" t="n">
        <f aca="false">(Z71+AM$4*(Resumo!$C$6+Resumo!$C$7+Resumo!$C$8)+Resumo!$C$10*CEILING(AM$3/100,1)+Resumo!$C$9+Resumo!$C$13+Resumo!$C$14*CEILING(AM$3,1))*(1+Resumo!$C$11)-(AM$4*(Resumo!$B$6+Resumo!$B$7)+Resumo!$B$9+Resumo!$B$10*CEILING(AM$3/100,1)+(Resumo!$B$12+Resumo!$B$14)*CEILING(AM$3,1))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1" s="13" t="n">
        <f aca="false">(AA71+AN$4*(Resumo!$C$6+Resumo!$C$7+Resumo!$C$8)+Resumo!$C$10*CEILING(AN$3/100,1)+Resumo!$C$9+Resumo!$C$13+Resumo!$C$14*CEILING(AN$3,1))*(1+Resumo!$C$11)-(AN$4*(Resumo!$B$6+Resumo!$B$7)+Resumo!$B$9+Resumo!$B$10*CEILING(AN$3/100,1)+(Resumo!$B$12+Resumo!$B$14)*CEILING(AN$3,1))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1" s="13" t="n">
        <f aca="false">(AB71+AO$4*(Resumo!$C$6+Resumo!$C$7+Resumo!$C$8)+Resumo!$C$10*CEILING(AO$3/100,1)+Resumo!$C$9+Resumo!$C$13+Resumo!$C$14*CEILING(AO$3,1))*(1+Resumo!$C$11)-(AO$4*(Resumo!$B$6+Resumo!$B$7)+Resumo!$B$9+Resumo!$B$10*CEILING(AO$3/100,1)+(Resumo!$B$12+Resumo!$B$14)*CEILING(AO$3,1))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1" s="13" t="n">
        <f aca="false">(AC71+AP$4*(Resumo!$C$6+Resumo!$C$7+Resumo!$C$8)+Resumo!$C$10*CEILING(AP$3/100,1)+Resumo!$C$9+Resumo!$C$13+Resumo!$C$14*CEILING(AP$3,1))*(1+Resumo!$C$11)-(AP$4*(Resumo!$B$6+Resumo!$B$7)+Resumo!$B$9+Resumo!$B$10*CEILING(AP$3/100,1)+(Resumo!$B$12+Resumo!$B$14)*CEILING(AP$3,1))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1" s="13" t="n">
        <f aca="false">(AD71+AQ$4*(Resumo!$C$6+Resumo!$C$7+Resumo!$C$8)+Resumo!$C$10*CEILING(AQ$3/100,1)+Resumo!$C$9+Resumo!$C$13+Resumo!$C$14*CEILING(AQ$3,1))*(1+Resumo!$C$11)-(AQ$4*(Resumo!$B$6+Resumo!$B$7)+Resumo!$B$9+Resumo!$B$10*CEILING(AQ$3/100,1)+(Resumo!$B$12+Resumo!$B$14)*CEILING(AQ$3,1))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1" s="13" t="n">
        <f aca="false">(AE71+AR$4*(Resumo!$C$6+Resumo!$C$7+Resumo!$C$8)+Resumo!$C$10*CEILING(AR$3/100,1)+Resumo!$C$9+Resumo!$C$13+Resumo!$C$14*CEILING(AR$3,1))*(1+Resumo!$C$11)-(AR$4*(Resumo!$B$6+Resumo!$B$7)+Resumo!$B$9+Resumo!$B$10*CEILING(AR$3/100,1)+(Resumo!$B$12+Resumo!$B$14)*CEILING(AR$3,1))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1" s="13" t="n">
        <f aca="false">(AF71+AS$4*(Resumo!$C$6+Resumo!$C$7+Resumo!$C$8)+Resumo!$C$10*CEILING(AS$3/100,1)+Resumo!$C$9+Resumo!$C$13+Resumo!$C$14*CEILING(AS$3,1))*(1+Resumo!$C$11)-(AS$4*(Resumo!$B$6+Resumo!$B$7)+Resumo!$B$9+Resumo!$B$10*CEILING(AS$3/100,1)+(Resumo!$B$12+Resumo!$B$14)*CEILING(AS$3,1))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1" s="13" t="n">
        <f aca="false">(AG71+AT$4*(Resumo!$C$6+Resumo!$C$7+Resumo!$C$8)+Resumo!$C$10*CEILING(AT$3/100,1)+Resumo!$C$9+Resumo!$C$13+Resumo!$C$14*CEILING(AT$3,1))*(1+Resumo!$C$11)-(AT$4*(Resumo!$B$6+Resumo!$B$7)+Resumo!$B$9+Resumo!$B$10*CEILING(AT$3/100,1)+(Resumo!$B$12+Resumo!$B$14)*CEILING(AT$3,1))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1" s="44" t="n">
        <f aca="false">1-AH71/H71</f>
        <v>0.553790009855127</v>
      </c>
      <c r="AV71" s="44" t="n">
        <f aca="false">1-AI71/I71</f>
        <v>0.468426082913158</v>
      </c>
      <c r="AW71" s="44" t="n">
        <f aca="false">1-AJ71/J71</f>
        <v>0.424299969908939</v>
      </c>
      <c r="AX71" s="44" t="n">
        <f aca="false">1-AK71/K71</f>
        <v>0.444318235095027</v>
      </c>
      <c r="AY71" s="44" t="n">
        <f aca="false">1-AL71/L71</f>
        <v>0.44289446919564</v>
      </c>
      <c r="AZ71" s="44" t="n">
        <f aca="false">1-AM71/M71</f>
        <v>0.439248965608252</v>
      </c>
      <c r="BA71" s="44" t="n">
        <f aca="false">1-AN71/N71</f>
        <v>0.433759067609368</v>
      </c>
      <c r="BB71" s="44" t="n">
        <f aca="false">1-AO71/O71</f>
        <v>0.427042392574117</v>
      </c>
      <c r="BC71" s="44" t="n">
        <f aca="false">1-AP71/P71</f>
        <v>0.493280443868681</v>
      </c>
      <c r="BD71" s="44" t="n">
        <f aca="false">1-AQ71/Q71</f>
        <v>0.455794679894486</v>
      </c>
      <c r="BE71" s="44" t="n">
        <f aca="false">1-AR71/R71</f>
        <v>0.489018797268033</v>
      </c>
      <c r="BF71" s="44" t="n">
        <f aca="false">1-AS71/S71</f>
        <v>0.820503440269559</v>
      </c>
      <c r="BG71" s="44" t="n">
        <f aca="false">1-AT71/T71</f>
        <v>0.528263860444042</v>
      </c>
    </row>
    <row r="72" customFormat="false" ht="15" hidden="false" customHeight="false" outlineLevel="0" collapsed="false">
      <c r="A72" s="10" t="s">
        <v>261</v>
      </c>
      <c r="B72" s="10" t="s">
        <v>318</v>
      </c>
      <c r="C72" s="58" t="n">
        <v>28470000</v>
      </c>
      <c r="D72" s="58" t="n">
        <v>28494999</v>
      </c>
      <c r="E72" s="10" t="s">
        <v>24</v>
      </c>
      <c r="F72" s="10" t="s">
        <v>302</v>
      </c>
      <c r="G72" s="10" t="n">
        <f aca="false">COUNTIFS(Pedidos!$C$2:$C$2224,"&gt;="&amp;C72,Pedidos!$C$2:$C$2224,"&lt;="&amp;D72)</f>
        <v>3</v>
      </c>
      <c r="H72" s="40" t="n">
        <v>124.04</v>
      </c>
      <c r="I72" s="40" t="n">
        <v>138.29</v>
      </c>
      <c r="J72" s="40" t="n">
        <v>143.04</v>
      </c>
      <c r="K72" s="40" t="n">
        <v>152.54</v>
      </c>
      <c r="L72" s="40" t="n">
        <v>162.04</v>
      </c>
      <c r="M72" s="40" t="n">
        <v>171.54</v>
      </c>
      <c r="N72" s="40" t="n">
        <v>181.04</v>
      </c>
      <c r="O72" s="40" t="n">
        <v>200.04</v>
      </c>
      <c r="P72" s="40" t="n">
        <v>236.82</v>
      </c>
      <c r="Q72" s="40" t="n">
        <v>264.84</v>
      </c>
      <c r="R72" s="40" t="n">
        <v>300.15</v>
      </c>
      <c r="S72" s="40" t="n">
        <v>353.17</v>
      </c>
      <c r="T72" s="40" t="n">
        <v>441.4</v>
      </c>
      <c r="U72" s="40" t="n">
        <v>46.95</v>
      </c>
      <c r="V72" s="40" t="n">
        <v>65.63</v>
      </c>
      <c r="W72" s="40" t="n">
        <v>74.97</v>
      </c>
      <c r="X72" s="40" t="n">
        <v>77.7</v>
      </c>
      <c r="Y72" s="40" t="n">
        <v>83.58</v>
      </c>
      <c r="Z72" s="40" t="n">
        <v>90.2</v>
      </c>
      <c r="AA72" s="40" t="n">
        <v>96.77</v>
      </c>
      <c r="AB72" s="40" t="n">
        <v>109.63</v>
      </c>
      <c r="AC72" s="40" t="n">
        <v>119.5</v>
      </c>
      <c r="AD72" s="40" t="n">
        <v>144.24</v>
      </c>
      <c r="AE72" s="40" t="n">
        <v>155.09</v>
      </c>
      <c r="AF72" s="40" t="n">
        <v>66.69</v>
      </c>
      <c r="AG72" s="40" t="n">
        <v>214.88</v>
      </c>
      <c r="AH72" s="13" t="n">
        <f aca="false">(U72+AH$4*(Resumo!$C$6+Resumo!$C$7+Resumo!$C$8)+Resumo!$C$10*CEILING(AH$3/100,1)+Resumo!$C$9+Resumo!$C$13+Resumo!$C$14*CEILING(AH$3,1))*(1+Resumo!$C$11)-(AH$4*(Resumo!$B$6+Resumo!$B$7)+Resumo!$B$9+Resumo!$B$10*CEILING(AH$3/100,1)+(Resumo!$B$12+Resumo!$B$14)*CEILING(AH$3,1))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2" s="13" t="n">
        <f aca="false">(V72+AI$4*(Resumo!$C$6+Resumo!$C$7+Resumo!$C$8)+Resumo!$C$10*CEILING(AI$3/100,1)+Resumo!$C$9+Resumo!$C$13+Resumo!$C$14*CEILING(AI$3,1))*(1+Resumo!$C$11)-(AI$4*(Resumo!$B$6+Resumo!$B$7)+Resumo!$B$9+Resumo!$B$10*CEILING(AI$3/100,1)+(Resumo!$B$12+Resumo!$B$14)*CEILING(AI$3,1))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2" s="13" t="n">
        <f aca="false">(W72+AJ$4*(Resumo!$C$6+Resumo!$C$7+Resumo!$C$8)+Resumo!$C$10*CEILING(AJ$3/100,1)+Resumo!$C$9+Resumo!$C$13+Resumo!$C$14*CEILING(AJ$3,1))*(1+Resumo!$C$11)-(AJ$4*(Resumo!$B$6+Resumo!$B$7)+Resumo!$B$9+Resumo!$B$10*CEILING(AJ$3/100,1)+(Resumo!$B$12+Resumo!$B$14)*CEILING(AJ$3,1))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2" s="13" t="n">
        <f aca="false">(X72+AK$4*(Resumo!$C$6+Resumo!$C$7+Resumo!$C$8)+Resumo!$C$10*CEILING(AK$3/100,1)+Resumo!$C$9+Resumo!$C$13+Resumo!$C$14*CEILING(AK$3,1))*(1+Resumo!$C$11)-(AK$4*(Resumo!$B$6+Resumo!$B$7)+Resumo!$B$9+Resumo!$B$10*CEILING(AK$3/100,1)+(Resumo!$B$12+Resumo!$B$14)*CEILING(AK$3,1))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2" s="13" t="n">
        <f aca="false">(Y72+AL$4*(Resumo!$C$6+Resumo!$C$7+Resumo!$C$8)+Resumo!$C$10*CEILING(AL$3/100,1)+Resumo!$C$9+Resumo!$C$13+Resumo!$C$14*CEILING(AL$3,1))*(1+Resumo!$C$11)-(AL$4*(Resumo!$B$6+Resumo!$B$7)+Resumo!$B$9+Resumo!$B$10*CEILING(AL$3/100,1)+(Resumo!$B$12+Resumo!$B$14)*CEILING(AL$3,1))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2" s="13" t="n">
        <f aca="false">(Z72+AM$4*(Resumo!$C$6+Resumo!$C$7+Resumo!$C$8)+Resumo!$C$10*CEILING(AM$3/100,1)+Resumo!$C$9+Resumo!$C$13+Resumo!$C$14*CEILING(AM$3,1))*(1+Resumo!$C$11)-(AM$4*(Resumo!$B$6+Resumo!$B$7)+Resumo!$B$9+Resumo!$B$10*CEILING(AM$3/100,1)+(Resumo!$B$12+Resumo!$B$14)*CEILING(AM$3,1))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2" s="13" t="n">
        <f aca="false">(AA72+AN$4*(Resumo!$C$6+Resumo!$C$7+Resumo!$C$8)+Resumo!$C$10*CEILING(AN$3/100,1)+Resumo!$C$9+Resumo!$C$13+Resumo!$C$14*CEILING(AN$3,1))*(1+Resumo!$C$11)-(AN$4*(Resumo!$B$6+Resumo!$B$7)+Resumo!$B$9+Resumo!$B$10*CEILING(AN$3/100,1)+(Resumo!$B$12+Resumo!$B$14)*CEILING(AN$3,1))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2" s="13" t="n">
        <f aca="false">(AB72+AO$4*(Resumo!$C$6+Resumo!$C$7+Resumo!$C$8)+Resumo!$C$10*CEILING(AO$3/100,1)+Resumo!$C$9+Resumo!$C$13+Resumo!$C$14*CEILING(AO$3,1))*(1+Resumo!$C$11)-(AO$4*(Resumo!$B$6+Resumo!$B$7)+Resumo!$B$9+Resumo!$B$10*CEILING(AO$3/100,1)+(Resumo!$B$12+Resumo!$B$14)*CEILING(AO$3,1))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2" s="13" t="n">
        <f aca="false">(AC72+AP$4*(Resumo!$C$6+Resumo!$C$7+Resumo!$C$8)+Resumo!$C$10*CEILING(AP$3/100,1)+Resumo!$C$9+Resumo!$C$13+Resumo!$C$14*CEILING(AP$3,1))*(1+Resumo!$C$11)-(AP$4*(Resumo!$B$6+Resumo!$B$7)+Resumo!$B$9+Resumo!$B$10*CEILING(AP$3/100,1)+(Resumo!$B$12+Resumo!$B$14)*CEILING(AP$3,1))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2" s="13" t="n">
        <f aca="false">(AD72+AQ$4*(Resumo!$C$6+Resumo!$C$7+Resumo!$C$8)+Resumo!$C$10*CEILING(AQ$3/100,1)+Resumo!$C$9+Resumo!$C$13+Resumo!$C$14*CEILING(AQ$3,1))*(1+Resumo!$C$11)-(AQ$4*(Resumo!$B$6+Resumo!$B$7)+Resumo!$B$9+Resumo!$B$10*CEILING(AQ$3/100,1)+(Resumo!$B$12+Resumo!$B$14)*CEILING(AQ$3,1))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2" s="13" t="n">
        <f aca="false">(AE72+AR$4*(Resumo!$C$6+Resumo!$C$7+Resumo!$C$8)+Resumo!$C$10*CEILING(AR$3/100,1)+Resumo!$C$9+Resumo!$C$13+Resumo!$C$14*CEILING(AR$3,1))*(1+Resumo!$C$11)-(AR$4*(Resumo!$B$6+Resumo!$B$7)+Resumo!$B$9+Resumo!$B$10*CEILING(AR$3/100,1)+(Resumo!$B$12+Resumo!$B$14)*CEILING(AR$3,1))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2" s="13" t="n">
        <f aca="false">(AF72+AS$4*(Resumo!$C$6+Resumo!$C$7+Resumo!$C$8)+Resumo!$C$10*CEILING(AS$3/100,1)+Resumo!$C$9+Resumo!$C$13+Resumo!$C$14*CEILING(AS$3,1))*(1+Resumo!$C$11)-(AS$4*(Resumo!$B$6+Resumo!$B$7)+Resumo!$B$9+Resumo!$B$10*CEILING(AS$3/100,1)+(Resumo!$B$12+Resumo!$B$14)*CEILING(AS$3,1))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2" s="13" t="n">
        <f aca="false">(AG72+AT$4*(Resumo!$C$6+Resumo!$C$7+Resumo!$C$8)+Resumo!$C$10*CEILING(AT$3/100,1)+Resumo!$C$9+Resumo!$C$13+Resumo!$C$14*CEILING(AT$3,1))*(1+Resumo!$C$11)-(AT$4*(Resumo!$B$6+Resumo!$B$7)+Resumo!$B$9+Resumo!$B$10*CEILING(AT$3/100,1)+(Resumo!$B$12+Resumo!$B$14)*CEILING(AT$3,1))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2" s="44" t="n">
        <f aca="false">1-AH72/H72</f>
        <v>0.553790009855127</v>
      </c>
      <c r="AV72" s="44" t="n">
        <f aca="false">1-AI72/I72</f>
        <v>0.468426082913158</v>
      </c>
      <c r="AW72" s="44" t="n">
        <f aca="false">1-AJ72/J72</f>
        <v>0.424299969908939</v>
      </c>
      <c r="AX72" s="44" t="n">
        <f aca="false">1-AK72/K72</f>
        <v>0.444318235095027</v>
      </c>
      <c r="AY72" s="44" t="n">
        <f aca="false">1-AL72/L72</f>
        <v>0.44289446919564</v>
      </c>
      <c r="AZ72" s="44" t="n">
        <f aca="false">1-AM72/M72</f>
        <v>0.439248965608252</v>
      </c>
      <c r="BA72" s="44" t="n">
        <f aca="false">1-AN72/N72</f>
        <v>0.433759067609368</v>
      </c>
      <c r="BB72" s="44" t="n">
        <f aca="false">1-AO72/O72</f>
        <v>0.427042392574117</v>
      </c>
      <c r="BC72" s="44" t="n">
        <f aca="false">1-AP72/P72</f>
        <v>0.493280443868681</v>
      </c>
      <c r="BD72" s="44" t="n">
        <f aca="false">1-AQ72/Q72</f>
        <v>0.455794679894486</v>
      </c>
      <c r="BE72" s="44" t="n">
        <f aca="false">1-AR72/R72</f>
        <v>0.489018797268033</v>
      </c>
      <c r="BF72" s="44" t="n">
        <f aca="false">1-AS72/S72</f>
        <v>0.820503440269559</v>
      </c>
      <c r="BG72" s="44" t="n">
        <f aca="false">1-AT72/T72</f>
        <v>0.528263860444042</v>
      </c>
    </row>
    <row r="73" customFormat="false" ht="15" hidden="false" customHeight="false" outlineLevel="0" collapsed="false">
      <c r="A73" s="10" t="s">
        <v>261</v>
      </c>
      <c r="B73" s="10" t="s">
        <v>319</v>
      </c>
      <c r="C73" s="58" t="n">
        <v>28495000</v>
      </c>
      <c r="D73" s="58" t="n">
        <v>28499999</v>
      </c>
      <c r="E73" s="10" t="s">
        <v>24</v>
      </c>
      <c r="F73" s="10" t="s">
        <v>302</v>
      </c>
      <c r="G73" s="10" t="n">
        <f aca="false">COUNTIFS(Pedidos!$C$2:$C$2224,"&gt;="&amp;C73,Pedidos!$C$2:$C$2224,"&lt;="&amp;D73)</f>
        <v>1</v>
      </c>
      <c r="H73" s="40" t="n">
        <v>124.04</v>
      </c>
      <c r="I73" s="40" t="n">
        <v>138.29</v>
      </c>
      <c r="J73" s="40" t="n">
        <v>143.04</v>
      </c>
      <c r="K73" s="40" t="n">
        <v>152.54</v>
      </c>
      <c r="L73" s="40" t="n">
        <v>162.04</v>
      </c>
      <c r="M73" s="40" t="n">
        <v>171.54</v>
      </c>
      <c r="N73" s="40" t="n">
        <v>181.04</v>
      </c>
      <c r="O73" s="40" t="n">
        <v>200.04</v>
      </c>
      <c r="P73" s="40" t="n">
        <v>236.82</v>
      </c>
      <c r="Q73" s="40" t="n">
        <v>264.84</v>
      </c>
      <c r="R73" s="40" t="n">
        <v>300.15</v>
      </c>
      <c r="S73" s="40" t="n">
        <v>353.17</v>
      </c>
      <c r="T73" s="40" t="n">
        <v>441.4</v>
      </c>
      <c r="U73" s="40" t="n">
        <v>46.95</v>
      </c>
      <c r="V73" s="40" t="n">
        <v>65.63</v>
      </c>
      <c r="W73" s="40" t="n">
        <v>74.97</v>
      </c>
      <c r="X73" s="40" t="n">
        <v>77.7</v>
      </c>
      <c r="Y73" s="40" t="n">
        <v>83.58</v>
      </c>
      <c r="Z73" s="40" t="n">
        <v>90.2</v>
      </c>
      <c r="AA73" s="40" t="n">
        <v>96.77</v>
      </c>
      <c r="AB73" s="40" t="n">
        <v>109.63</v>
      </c>
      <c r="AC73" s="40" t="n">
        <v>119.5</v>
      </c>
      <c r="AD73" s="40" t="n">
        <v>144.24</v>
      </c>
      <c r="AE73" s="40" t="n">
        <v>155.09</v>
      </c>
      <c r="AF73" s="40" t="n">
        <v>66.69</v>
      </c>
      <c r="AG73" s="40" t="n">
        <v>214.88</v>
      </c>
      <c r="AH73" s="13" t="n">
        <f aca="false">(U73+AH$4*(Resumo!$C$6+Resumo!$C$7+Resumo!$C$8)+Resumo!$C$10*CEILING(AH$3/100,1)+Resumo!$C$9+Resumo!$C$13+Resumo!$C$14*CEILING(AH$3,1))*(1+Resumo!$C$11)-(AH$4*(Resumo!$B$6+Resumo!$B$7)+Resumo!$B$9+Resumo!$B$10*CEILING(AH$3/100,1)+(Resumo!$B$12+Resumo!$B$14)*CEILING(AH$3,1))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3" s="13" t="n">
        <f aca="false">(V73+AI$4*(Resumo!$C$6+Resumo!$C$7+Resumo!$C$8)+Resumo!$C$10*CEILING(AI$3/100,1)+Resumo!$C$9+Resumo!$C$13+Resumo!$C$14*CEILING(AI$3,1))*(1+Resumo!$C$11)-(AI$4*(Resumo!$B$6+Resumo!$B$7)+Resumo!$B$9+Resumo!$B$10*CEILING(AI$3/100,1)+(Resumo!$B$12+Resumo!$B$14)*CEILING(AI$3,1))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3" s="13" t="n">
        <f aca="false">(W73+AJ$4*(Resumo!$C$6+Resumo!$C$7+Resumo!$C$8)+Resumo!$C$10*CEILING(AJ$3/100,1)+Resumo!$C$9+Resumo!$C$13+Resumo!$C$14*CEILING(AJ$3,1))*(1+Resumo!$C$11)-(AJ$4*(Resumo!$B$6+Resumo!$B$7)+Resumo!$B$9+Resumo!$B$10*CEILING(AJ$3/100,1)+(Resumo!$B$12+Resumo!$B$14)*CEILING(AJ$3,1))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3" s="13" t="n">
        <f aca="false">(X73+AK$4*(Resumo!$C$6+Resumo!$C$7+Resumo!$C$8)+Resumo!$C$10*CEILING(AK$3/100,1)+Resumo!$C$9+Resumo!$C$13+Resumo!$C$14*CEILING(AK$3,1))*(1+Resumo!$C$11)-(AK$4*(Resumo!$B$6+Resumo!$B$7)+Resumo!$B$9+Resumo!$B$10*CEILING(AK$3/100,1)+(Resumo!$B$12+Resumo!$B$14)*CEILING(AK$3,1))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3" s="13" t="n">
        <f aca="false">(Y73+AL$4*(Resumo!$C$6+Resumo!$C$7+Resumo!$C$8)+Resumo!$C$10*CEILING(AL$3/100,1)+Resumo!$C$9+Resumo!$C$13+Resumo!$C$14*CEILING(AL$3,1))*(1+Resumo!$C$11)-(AL$4*(Resumo!$B$6+Resumo!$B$7)+Resumo!$B$9+Resumo!$B$10*CEILING(AL$3/100,1)+(Resumo!$B$12+Resumo!$B$14)*CEILING(AL$3,1))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3" s="13" t="n">
        <f aca="false">(Z73+AM$4*(Resumo!$C$6+Resumo!$C$7+Resumo!$C$8)+Resumo!$C$10*CEILING(AM$3/100,1)+Resumo!$C$9+Resumo!$C$13+Resumo!$C$14*CEILING(AM$3,1))*(1+Resumo!$C$11)-(AM$4*(Resumo!$B$6+Resumo!$B$7)+Resumo!$B$9+Resumo!$B$10*CEILING(AM$3/100,1)+(Resumo!$B$12+Resumo!$B$14)*CEILING(AM$3,1))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3" s="13" t="n">
        <f aca="false">(AA73+AN$4*(Resumo!$C$6+Resumo!$C$7+Resumo!$C$8)+Resumo!$C$10*CEILING(AN$3/100,1)+Resumo!$C$9+Resumo!$C$13+Resumo!$C$14*CEILING(AN$3,1))*(1+Resumo!$C$11)-(AN$4*(Resumo!$B$6+Resumo!$B$7)+Resumo!$B$9+Resumo!$B$10*CEILING(AN$3/100,1)+(Resumo!$B$12+Resumo!$B$14)*CEILING(AN$3,1))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3" s="13" t="n">
        <f aca="false">(AB73+AO$4*(Resumo!$C$6+Resumo!$C$7+Resumo!$C$8)+Resumo!$C$10*CEILING(AO$3/100,1)+Resumo!$C$9+Resumo!$C$13+Resumo!$C$14*CEILING(AO$3,1))*(1+Resumo!$C$11)-(AO$4*(Resumo!$B$6+Resumo!$B$7)+Resumo!$B$9+Resumo!$B$10*CEILING(AO$3/100,1)+(Resumo!$B$12+Resumo!$B$14)*CEILING(AO$3,1))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3" s="13" t="n">
        <f aca="false">(AC73+AP$4*(Resumo!$C$6+Resumo!$C$7+Resumo!$C$8)+Resumo!$C$10*CEILING(AP$3/100,1)+Resumo!$C$9+Resumo!$C$13+Resumo!$C$14*CEILING(AP$3,1))*(1+Resumo!$C$11)-(AP$4*(Resumo!$B$6+Resumo!$B$7)+Resumo!$B$9+Resumo!$B$10*CEILING(AP$3/100,1)+(Resumo!$B$12+Resumo!$B$14)*CEILING(AP$3,1))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3" s="13" t="n">
        <f aca="false">(AD73+AQ$4*(Resumo!$C$6+Resumo!$C$7+Resumo!$C$8)+Resumo!$C$10*CEILING(AQ$3/100,1)+Resumo!$C$9+Resumo!$C$13+Resumo!$C$14*CEILING(AQ$3,1))*(1+Resumo!$C$11)-(AQ$4*(Resumo!$B$6+Resumo!$B$7)+Resumo!$B$9+Resumo!$B$10*CEILING(AQ$3/100,1)+(Resumo!$B$12+Resumo!$B$14)*CEILING(AQ$3,1))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3" s="13" t="n">
        <f aca="false">(AE73+AR$4*(Resumo!$C$6+Resumo!$C$7+Resumo!$C$8)+Resumo!$C$10*CEILING(AR$3/100,1)+Resumo!$C$9+Resumo!$C$13+Resumo!$C$14*CEILING(AR$3,1))*(1+Resumo!$C$11)-(AR$4*(Resumo!$B$6+Resumo!$B$7)+Resumo!$B$9+Resumo!$B$10*CEILING(AR$3/100,1)+(Resumo!$B$12+Resumo!$B$14)*CEILING(AR$3,1))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3" s="13" t="n">
        <f aca="false">(AF73+AS$4*(Resumo!$C$6+Resumo!$C$7+Resumo!$C$8)+Resumo!$C$10*CEILING(AS$3/100,1)+Resumo!$C$9+Resumo!$C$13+Resumo!$C$14*CEILING(AS$3,1))*(1+Resumo!$C$11)-(AS$4*(Resumo!$B$6+Resumo!$B$7)+Resumo!$B$9+Resumo!$B$10*CEILING(AS$3/100,1)+(Resumo!$B$12+Resumo!$B$14)*CEILING(AS$3,1))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3" s="13" t="n">
        <f aca="false">(AG73+AT$4*(Resumo!$C$6+Resumo!$C$7+Resumo!$C$8)+Resumo!$C$10*CEILING(AT$3/100,1)+Resumo!$C$9+Resumo!$C$13+Resumo!$C$14*CEILING(AT$3,1))*(1+Resumo!$C$11)-(AT$4*(Resumo!$B$6+Resumo!$B$7)+Resumo!$B$9+Resumo!$B$10*CEILING(AT$3/100,1)+(Resumo!$B$12+Resumo!$B$14)*CEILING(AT$3,1))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3" s="44" t="n">
        <f aca="false">1-AH73/H73</f>
        <v>0.553790009855127</v>
      </c>
      <c r="AV73" s="44" t="n">
        <f aca="false">1-AI73/I73</f>
        <v>0.468426082913158</v>
      </c>
      <c r="AW73" s="44" t="n">
        <f aca="false">1-AJ73/J73</f>
        <v>0.424299969908939</v>
      </c>
      <c r="AX73" s="44" t="n">
        <f aca="false">1-AK73/K73</f>
        <v>0.444318235095027</v>
      </c>
      <c r="AY73" s="44" t="n">
        <f aca="false">1-AL73/L73</f>
        <v>0.44289446919564</v>
      </c>
      <c r="AZ73" s="44" t="n">
        <f aca="false">1-AM73/M73</f>
        <v>0.439248965608252</v>
      </c>
      <c r="BA73" s="44" t="n">
        <f aca="false">1-AN73/N73</f>
        <v>0.433759067609368</v>
      </c>
      <c r="BB73" s="44" t="n">
        <f aca="false">1-AO73/O73</f>
        <v>0.427042392574117</v>
      </c>
      <c r="BC73" s="44" t="n">
        <f aca="false">1-AP73/P73</f>
        <v>0.493280443868681</v>
      </c>
      <c r="BD73" s="44" t="n">
        <f aca="false">1-AQ73/Q73</f>
        <v>0.455794679894486</v>
      </c>
      <c r="BE73" s="44" t="n">
        <f aca="false">1-AR73/R73</f>
        <v>0.489018797268033</v>
      </c>
      <c r="BF73" s="44" t="n">
        <f aca="false">1-AS73/S73</f>
        <v>0.820503440269559</v>
      </c>
      <c r="BG73" s="44" t="n">
        <f aca="false">1-AT73/T73</f>
        <v>0.528263860444042</v>
      </c>
    </row>
    <row r="74" customFormat="false" ht="15" hidden="false" customHeight="false" outlineLevel="0" collapsed="false">
      <c r="A74" s="10" t="s">
        <v>261</v>
      </c>
      <c r="B74" s="10" t="s">
        <v>320</v>
      </c>
      <c r="C74" s="58" t="n">
        <v>28500000</v>
      </c>
      <c r="D74" s="58" t="n">
        <v>28539999</v>
      </c>
      <c r="E74" s="10" t="s">
        <v>24</v>
      </c>
      <c r="F74" s="10" t="s">
        <v>302</v>
      </c>
      <c r="G74" s="10" t="n">
        <f aca="false">COUNTIFS(Pedidos!$C$2:$C$2224,"&gt;="&amp;C74,Pedidos!$C$2:$C$2224,"&lt;="&amp;D74)</f>
        <v>2</v>
      </c>
      <c r="H74" s="40" t="n">
        <v>124.04</v>
      </c>
      <c r="I74" s="40" t="n">
        <v>138.29</v>
      </c>
      <c r="J74" s="40" t="n">
        <v>143.04</v>
      </c>
      <c r="K74" s="40" t="n">
        <v>152.54</v>
      </c>
      <c r="L74" s="40" t="n">
        <v>162.04</v>
      </c>
      <c r="M74" s="40" t="n">
        <v>171.54</v>
      </c>
      <c r="N74" s="40" t="n">
        <v>181.04</v>
      </c>
      <c r="O74" s="40" t="n">
        <v>200.04</v>
      </c>
      <c r="P74" s="40" t="n">
        <v>236.82</v>
      </c>
      <c r="Q74" s="40" t="n">
        <v>264.84</v>
      </c>
      <c r="R74" s="40" t="n">
        <v>300.15</v>
      </c>
      <c r="S74" s="40" t="n">
        <v>353.17</v>
      </c>
      <c r="T74" s="40" t="n">
        <v>441.4</v>
      </c>
      <c r="U74" s="40" t="n">
        <v>46.95</v>
      </c>
      <c r="V74" s="40" t="n">
        <v>65.63</v>
      </c>
      <c r="W74" s="40" t="n">
        <v>74.97</v>
      </c>
      <c r="X74" s="40" t="n">
        <v>77.7</v>
      </c>
      <c r="Y74" s="40" t="n">
        <v>83.58</v>
      </c>
      <c r="Z74" s="40" t="n">
        <v>90.2</v>
      </c>
      <c r="AA74" s="40" t="n">
        <v>96.77</v>
      </c>
      <c r="AB74" s="40" t="n">
        <v>109.63</v>
      </c>
      <c r="AC74" s="40" t="n">
        <v>119.5</v>
      </c>
      <c r="AD74" s="40" t="n">
        <v>144.24</v>
      </c>
      <c r="AE74" s="40" t="n">
        <v>155.09</v>
      </c>
      <c r="AF74" s="40" t="n">
        <v>66.69</v>
      </c>
      <c r="AG74" s="40" t="n">
        <v>214.88</v>
      </c>
      <c r="AH74" s="13" t="n">
        <f aca="false">(U74+AH$4*(Resumo!$C$6+Resumo!$C$7+Resumo!$C$8)+Resumo!$C$10*CEILING(AH$3/100,1)+Resumo!$C$9+Resumo!$C$13+Resumo!$C$14*CEILING(AH$3,1))*(1+Resumo!$C$11)-(AH$4*(Resumo!$B$6+Resumo!$B$7)+Resumo!$B$9+Resumo!$B$10*CEILING(AH$3/100,1)+(Resumo!$B$12+Resumo!$B$14)*CEILING(AH$3,1))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4" s="13" t="n">
        <f aca="false">(V74+AI$4*(Resumo!$C$6+Resumo!$C$7+Resumo!$C$8)+Resumo!$C$10*CEILING(AI$3/100,1)+Resumo!$C$9+Resumo!$C$13+Resumo!$C$14*CEILING(AI$3,1))*(1+Resumo!$C$11)-(AI$4*(Resumo!$B$6+Resumo!$B$7)+Resumo!$B$9+Resumo!$B$10*CEILING(AI$3/100,1)+(Resumo!$B$12+Resumo!$B$14)*CEILING(AI$3,1))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4" s="13" t="n">
        <f aca="false">(W74+AJ$4*(Resumo!$C$6+Resumo!$C$7+Resumo!$C$8)+Resumo!$C$10*CEILING(AJ$3/100,1)+Resumo!$C$9+Resumo!$C$13+Resumo!$C$14*CEILING(AJ$3,1))*(1+Resumo!$C$11)-(AJ$4*(Resumo!$B$6+Resumo!$B$7)+Resumo!$B$9+Resumo!$B$10*CEILING(AJ$3/100,1)+(Resumo!$B$12+Resumo!$B$14)*CEILING(AJ$3,1))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4" s="13" t="n">
        <f aca="false">(X74+AK$4*(Resumo!$C$6+Resumo!$C$7+Resumo!$C$8)+Resumo!$C$10*CEILING(AK$3/100,1)+Resumo!$C$9+Resumo!$C$13+Resumo!$C$14*CEILING(AK$3,1))*(1+Resumo!$C$11)-(AK$4*(Resumo!$B$6+Resumo!$B$7)+Resumo!$B$9+Resumo!$B$10*CEILING(AK$3/100,1)+(Resumo!$B$12+Resumo!$B$14)*CEILING(AK$3,1))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4" s="13" t="n">
        <f aca="false">(Y74+AL$4*(Resumo!$C$6+Resumo!$C$7+Resumo!$C$8)+Resumo!$C$10*CEILING(AL$3/100,1)+Resumo!$C$9+Resumo!$C$13+Resumo!$C$14*CEILING(AL$3,1))*(1+Resumo!$C$11)-(AL$4*(Resumo!$B$6+Resumo!$B$7)+Resumo!$B$9+Resumo!$B$10*CEILING(AL$3/100,1)+(Resumo!$B$12+Resumo!$B$14)*CEILING(AL$3,1))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4" s="13" t="n">
        <f aca="false">(Z74+AM$4*(Resumo!$C$6+Resumo!$C$7+Resumo!$C$8)+Resumo!$C$10*CEILING(AM$3/100,1)+Resumo!$C$9+Resumo!$C$13+Resumo!$C$14*CEILING(AM$3,1))*(1+Resumo!$C$11)-(AM$4*(Resumo!$B$6+Resumo!$B$7)+Resumo!$B$9+Resumo!$B$10*CEILING(AM$3/100,1)+(Resumo!$B$12+Resumo!$B$14)*CEILING(AM$3,1))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4" s="13" t="n">
        <f aca="false">(AA74+AN$4*(Resumo!$C$6+Resumo!$C$7+Resumo!$C$8)+Resumo!$C$10*CEILING(AN$3/100,1)+Resumo!$C$9+Resumo!$C$13+Resumo!$C$14*CEILING(AN$3,1))*(1+Resumo!$C$11)-(AN$4*(Resumo!$B$6+Resumo!$B$7)+Resumo!$B$9+Resumo!$B$10*CEILING(AN$3/100,1)+(Resumo!$B$12+Resumo!$B$14)*CEILING(AN$3,1))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4" s="13" t="n">
        <f aca="false">(AB74+AO$4*(Resumo!$C$6+Resumo!$C$7+Resumo!$C$8)+Resumo!$C$10*CEILING(AO$3/100,1)+Resumo!$C$9+Resumo!$C$13+Resumo!$C$14*CEILING(AO$3,1))*(1+Resumo!$C$11)-(AO$4*(Resumo!$B$6+Resumo!$B$7)+Resumo!$B$9+Resumo!$B$10*CEILING(AO$3/100,1)+(Resumo!$B$12+Resumo!$B$14)*CEILING(AO$3,1))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4" s="13" t="n">
        <f aca="false">(AC74+AP$4*(Resumo!$C$6+Resumo!$C$7+Resumo!$C$8)+Resumo!$C$10*CEILING(AP$3/100,1)+Resumo!$C$9+Resumo!$C$13+Resumo!$C$14*CEILING(AP$3,1))*(1+Resumo!$C$11)-(AP$4*(Resumo!$B$6+Resumo!$B$7)+Resumo!$B$9+Resumo!$B$10*CEILING(AP$3/100,1)+(Resumo!$B$12+Resumo!$B$14)*CEILING(AP$3,1))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4" s="13" t="n">
        <f aca="false">(AD74+AQ$4*(Resumo!$C$6+Resumo!$C$7+Resumo!$C$8)+Resumo!$C$10*CEILING(AQ$3/100,1)+Resumo!$C$9+Resumo!$C$13+Resumo!$C$14*CEILING(AQ$3,1))*(1+Resumo!$C$11)-(AQ$4*(Resumo!$B$6+Resumo!$B$7)+Resumo!$B$9+Resumo!$B$10*CEILING(AQ$3/100,1)+(Resumo!$B$12+Resumo!$B$14)*CEILING(AQ$3,1))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4" s="13" t="n">
        <f aca="false">(AE74+AR$4*(Resumo!$C$6+Resumo!$C$7+Resumo!$C$8)+Resumo!$C$10*CEILING(AR$3/100,1)+Resumo!$C$9+Resumo!$C$13+Resumo!$C$14*CEILING(AR$3,1))*(1+Resumo!$C$11)-(AR$4*(Resumo!$B$6+Resumo!$B$7)+Resumo!$B$9+Resumo!$B$10*CEILING(AR$3/100,1)+(Resumo!$B$12+Resumo!$B$14)*CEILING(AR$3,1))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4" s="13" t="n">
        <f aca="false">(AF74+AS$4*(Resumo!$C$6+Resumo!$C$7+Resumo!$C$8)+Resumo!$C$10*CEILING(AS$3/100,1)+Resumo!$C$9+Resumo!$C$13+Resumo!$C$14*CEILING(AS$3,1))*(1+Resumo!$C$11)-(AS$4*(Resumo!$B$6+Resumo!$B$7)+Resumo!$B$9+Resumo!$B$10*CEILING(AS$3/100,1)+(Resumo!$B$12+Resumo!$B$14)*CEILING(AS$3,1))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4" s="13" t="n">
        <f aca="false">(AG74+AT$4*(Resumo!$C$6+Resumo!$C$7+Resumo!$C$8)+Resumo!$C$10*CEILING(AT$3/100,1)+Resumo!$C$9+Resumo!$C$13+Resumo!$C$14*CEILING(AT$3,1))*(1+Resumo!$C$11)-(AT$4*(Resumo!$B$6+Resumo!$B$7)+Resumo!$B$9+Resumo!$B$10*CEILING(AT$3/100,1)+(Resumo!$B$12+Resumo!$B$14)*CEILING(AT$3,1))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4" s="44" t="n">
        <f aca="false">1-AH74/H74</f>
        <v>0.553790009855127</v>
      </c>
      <c r="AV74" s="44" t="n">
        <f aca="false">1-AI74/I74</f>
        <v>0.468426082913158</v>
      </c>
      <c r="AW74" s="44" t="n">
        <f aca="false">1-AJ74/J74</f>
        <v>0.424299969908939</v>
      </c>
      <c r="AX74" s="44" t="n">
        <f aca="false">1-AK74/K74</f>
        <v>0.444318235095027</v>
      </c>
      <c r="AY74" s="44" t="n">
        <f aca="false">1-AL74/L74</f>
        <v>0.44289446919564</v>
      </c>
      <c r="AZ74" s="44" t="n">
        <f aca="false">1-AM74/M74</f>
        <v>0.439248965608252</v>
      </c>
      <c r="BA74" s="44" t="n">
        <f aca="false">1-AN74/N74</f>
        <v>0.433759067609368</v>
      </c>
      <c r="BB74" s="44" t="n">
        <f aca="false">1-AO74/O74</f>
        <v>0.427042392574117</v>
      </c>
      <c r="BC74" s="44" t="n">
        <f aca="false">1-AP74/P74</f>
        <v>0.493280443868681</v>
      </c>
      <c r="BD74" s="44" t="n">
        <f aca="false">1-AQ74/Q74</f>
        <v>0.455794679894486</v>
      </c>
      <c r="BE74" s="44" t="n">
        <f aca="false">1-AR74/R74</f>
        <v>0.489018797268033</v>
      </c>
      <c r="BF74" s="44" t="n">
        <f aca="false">1-AS74/S74</f>
        <v>0.820503440269559</v>
      </c>
      <c r="BG74" s="44" t="n">
        <f aca="false">1-AT74/T74</f>
        <v>0.528263860444042</v>
      </c>
    </row>
    <row r="75" customFormat="false" ht="15" hidden="false" customHeight="false" outlineLevel="0" collapsed="false">
      <c r="A75" s="10" t="s">
        <v>261</v>
      </c>
      <c r="B75" s="10" t="s">
        <v>321</v>
      </c>
      <c r="C75" s="58" t="n">
        <v>28540000</v>
      </c>
      <c r="D75" s="58" t="n">
        <v>28544999</v>
      </c>
      <c r="E75" s="10" t="s">
        <v>24</v>
      </c>
      <c r="F75" s="10" t="s">
        <v>266</v>
      </c>
      <c r="G75" s="10" t="n">
        <f aca="false">COUNTIFS(Pedidos!$C$2:$C$2224,"&gt;="&amp;C75,Pedidos!$C$2:$C$2224,"&lt;="&amp;D75)</f>
        <v>3</v>
      </c>
      <c r="H75" s="40" t="n">
        <v>106.53</v>
      </c>
      <c r="I75" s="40" t="n">
        <v>120.78</v>
      </c>
      <c r="J75" s="40" t="n">
        <v>125.63</v>
      </c>
      <c r="K75" s="40" t="n">
        <v>135.03</v>
      </c>
      <c r="L75" s="40" t="n">
        <v>144.53</v>
      </c>
      <c r="M75" s="40" t="n">
        <v>166.05</v>
      </c>
      <c r="N75" s="40" t="n">
        <v>166.05</v>
      </c>
      <c r="O75" s="40" t="n">
        <v>197.35</v>
      </c>
      <c r="P75" s="40" t="n">
        <v>236.82</v>
      </c>
      <c r="Q75" s="40" t="n">
        <v>264.84</v>
      </c>
      <c r="R75" s="40" t="n">
        <v>300.15</v>
      </c>
      <c r="S75" s="40" t="n">
        <v>353.12</v>
      </c>
      <c r="T75" s="40" t="n">
        <v>441.4</v>
      </c>
      <c r="U75" s="40" t="n">
        <v>46.95</v>
      </c>
      <c r="V75" s="40" t="n">
        <v>65.63</v>
      </c>
      <c r="W75" s="40" t="n">
        <v>74.97</v>
      </c>
      <c r="X75" s="40" t="n">
        <v>77.7</v>
      </c>
      <c r="Y75" s="40" t="n">
        <v>83.58</v>
      </c>
      <c r="Z75" s="40" t="n">
        <v>90.2</v>
      </c>
      <c r="AA75" s="40" t="n">
        <v>96.77</v>
      </c>
      <c r="AB75" s="40" t="n">
        <v>109.63</v>
      </c>
      <c r="AC75" s="40" t="n">
        <v>119.5</v>
      </c>
      <c r="AD75" s="40" t="n">
        <v>144.24</v>
      </c>
      <c r="AE75" s="40" t="n">
        <v>155.09</v>
      </c>
      <c r="AF75" s="40" t="n">
        <v>66.69</v>
      </c>
      <c r="AG75" s="40" t="n">
        <v>214.88</v>
      </c>
      <c r="AH75" s="13" t="n">
        <f aca="false">(U75+AH$4*(Resumo!$C$6+Resumo!$C$7+Resumo!$C$8)+Resumo!$C$10*CEILING(AH$3/100,1)+Resumo!$C$9+Resumo!$C$13+Resumo!$C$14*CEILING(AH$3,1))*(1+Resumo!$C$11)-(AH$4*(Resumo!$B$6+Resumo!$B$7)+Resumo!$B$9+Resumo!$B$10*CEILING(AH$3/100,1)+(Resumo!$B$12+Resumo!$B$14)*CEILING(AH$3,1))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5" s="13" t="n">
        <f aca="false">(V75+AI$4*(Resumo!$C$6+Resumo!$C$7+Resumo!$C$8)+Resumo!$C$10*CEILING(AI$3/100,1)+Resumo!$C$9+Resumo!$C$13+Resumo!$C$14*CEILING(AI$3,1))*(1+Resumo!$C$11)-(AI$4*(Resumo!$B$6+Resumo!$B$7)+Resumo!$B$9+Resumo!$B$10*CEILING(AI$3/100,1)+(Resumo!$B$12+Resumo!$B$14)*CEILING(AI$3,1))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5" s="13" t="n">
        <f aca="false">(W75+AJ$4*(Resumo!$C$6+Resumo!$C$7+Resumo!$C$8)+Resumo!$C$10*CEILING(AJ$3/100,1)+Resumo!$C$9+Resumo!$C$13+Resumo!$C$14*CEILING(AJ$3,1))*(1+Resumo!$C$11)-(AJ$4*(Resumo!$B$6+Resumo!$B$7)+Resumo!$B$9+Resumo!$B$10*CEILING(AJ$3/100,1)+(Resumo!$B$12+Resumo!$B$14)*CEILING(AJ$3,1))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5" s="13" t="n">
        <f aca="false">(X75+AK$4*(Resumo!$C$6+Resumo!$C$7+Resumo!$C$8)+Resumo!$C$10*CEILING(AK$3/100,1)+Resumo!$C$9+Resumo!$C$13+Resumo!$C$14*CEILING(AK$3,1))*(1+Resumo!$C$11)-(AK$4*(Resumo!$B$6+Resumo!$B$7)+Resumo!$B$9+Resumo!$B$10*CEILING(AK$3/100,1)+(Resumo!$B$12+Resumo!$B$14)*CEILING(AK$3,1))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5" s="13" t="n">
        <f aca="false">(Y75+AL$4*(Resumo!$C$6+Resumo!$C$7+Resumo!$C$8)+Resumo!$C$10*CEILING(AL$3/100,1)+Resumo!$C$9+Resumo!$C$13+Resumo!$C$14*CEILING(AL$3,1))*(1+Resumo!$C$11)-(AL$4*(Resumo!$B$6+Resumo!$B$7)+Resumo!$B$9+Resumo!$B$10*CEILING(AL$3/100,1)+(Resumo!$B$12+Resumo!$B$14)*CEILING(AL$3,1))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5" s="13" t="n">
        <f aca="false">(Z75+AM$4*(Resumo!$C$6+Resumo!$C$7+Resumo!$C$8)+Resumo!$C$10*CEILING(AM$3/100,1)+Resumo!$C$9+Resumo!$C$13+Resumo!$C$14*CEILING(AM$3,1))*(1+Resumo!$C$11)-(AM$4*(Resumo!$B$6+Resumo!$B$7)+Resumo!$B$9+Resumo!$B$10*CEILING(AM$3/100,1)+(Resumo!$B$12+Resumo!$B$14)*CEILING(AM$3,1))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5" s="13" t="n">
        <f aca="false">(AA75+AN$4*(Resumo!$C$6+Resumo!$C$7+Resumo!$C$8)+Resumo!$C$10*CEILING(AN$3/100,1)+Resumo!$C$9+Resumo!$C$13+Resumo!$C$14*CEILING(AN$3,1))*(1+Resumo!$C$11)-(AN$4*(Resumo!$B$6+Resumo!$B$7)+Resumo!$B$9+Resumo!$B$10*CEILING(AN$3/100,1)+(Resumo!$B$12+Resumo!$B$14)*CEILING(AN$3,1))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5" s="13" t="n">
        <f aca="false">(AB75+AO$4*(Resumo!$C$6+Resumo!$C$7+Resumo!$C$8)+Resumo!$C$10*CEILING(AO$3/100,1)+Resumo!$C$9+Resumo!$C$13+Resumo!$C$14*CEILING(AO$3,1))*(1+Resumo!$C$11)-(AO$4*(Resumo!$B$6+Resumo!$B$7)+Resumo!$B$9+Resumo!$B$10*CEILING(AO$3/100,1)+(Resumo!$B$12+Resumo!$B$14)*CEILING(AO$3,1))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5" s="13" t="n">
        <f aca="false">(AC75+AP$4*(Resumo!$C$6+Resumo!$C$7+Resumo!$C$8)+Resumo!$C$10*CEILING(AP$3/100,1)+Resumo!$C$9+Resumo!$C$13+Resumo!$C$14*CEILING(AP$3,1))*(1+Resumo!$C$11)-(AP$4*(Resumo!$B$6+Resumo!$B$7)+Resumo!$B$9+Resumo!$B$10*CEILING(AP$3/100,1)+(Resumo!$B$12+Resumo!$B$14)*CEILING(AP$3,1))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5" s="13" t="n">
        <f aca="false">(AD75+AQ$4*(Resumo!$C$6+Resumo!$C$7+Resumo!$C$8)+Resumo!$C$10*CEILING(AQ$3/100,1)+Resumo!$C$9+Resumo!$C$13+Resumo!$C$14*CEILING(AQ$3,1))*(1+Resumo!$C$11)-(AQ$4*(Resumo!$B$6+Resumo!$B$7)+Resumo!$B$9+Resumo!$B$10*CEILING(AQ$3/100,1)+(Resumo!$B$12+Resumo!$B$14)*CEILING(AQ$3,1))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5" s="13" t="n">
        <f aca="false">(AE75+AR$4*(Resumo!$C$6+Resumo!$C$7+Resumo!$C$8)+Resumo!$C$10*CEILING(AR$3/100,1)+Resumo!$C$9+Resumo!$C$13+Resumo!$C$14*CEILING(AR$3,1))*(1+Resumo!$C$11)-(AR$4*(Resumo!$B$6+Resumo!$B$7)+Resumo!$B$9+Resumo!$B$10*CEILING(AR$3/100,1)+(Resumo!$B$12+Resumo!$B$14)*CEILING(AR$3,1))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5" s="13" t="n">
        <f aca="false">(AF75+AS$4*(Resumo!$C$6+Resumo!$C$7+Resumo!$C$8)+Resumo!$C$10*CEILING(AS$3/100,1)+Resumo!$C$9+Resumo!$C$13+Resumo!$C$14*CEILING(AS$3,1))*(1+Resumo!$C$11)-(AS$4*(Resumo!$B$6+Resumo!$B$7)+Resumo!$B$9+Resumo!$B$10*CEILING(AS$3/100,1)+(Resumo!$B$12+Resumo!$B$14)*CEILING(AS$3,1))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5" s="13" t="n">
        <f aca="false">(AG75+AT$4*(Resumo!$C$6+Resumo!$C$7+Resumo!$C$8)+Resumo!$C$10*CEILING(AT$3/100,1)+Resumo!$C$9+Resumo!$C$13+Resumo!$C$14*CEILING(AT$3,1))*(1+Resumo!$C$11)-(AT$4*(Resumo!$B$6+Resumo!$B$7)+Resumo!$B$9+Resumo!$B$10*CEILING(AT$3/100,1)+(Resumo!$B$12+Resumo!$B$14)*CEILING(AT$3,1))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5" s="44" t="n">
        <f aca="false">1-AH75/H75</f>
        <v>0.480447881558527</v>
      </c>
      <c r="AV75" s="44" t="n">
        <f aca="false">1-AI75/I75</f>
        <v>0.391361508578081</v>
      </c>
      <c r="AW75" s="44" t="n">
        <f aca="false">1-AJ75/J75</f>
        <v>0.34451856798356</v>
      </c>
      <c r="AX75" s="44" t="n">
        <f aca="false">1-AK75/K75</f>
        <v>0.372260264988487</v>
      </c>
      <c r="AY75" s="44" t="n">
        <f aca="false">1-AL75/L75</f>
        <v>0.375400399837138</v>
      </c>
      <c r="AZ75" s="44" t="n">
        <f aca="false">1-AM75/M75</f>
        <v>0.420709229511831</v>
      </c>
      <c r="BA75" s="44" t="n">
        <f aca="false">1-AN75/N75</f>
        <v>0.382642225835592</v>
      </c>
      <c r="BB75" s="44" t="n">
        <f aca="false">1-AO75/O75</f>
        <v>0.419232633445788</v>
      </c>
      <c r="BC75" s="44" t="n">
        <f aca="false">1-AP75/P75</f>
        <v>0.493280443868681</v>
      </c>
      <c r="BD75" s="44" t="n">
        <f aca="false">1-AQ75/Q75</f>
        <v>0.455794679894486</v>
      </c>
      <c r="BE75" s="44" t="n">
        <f aca="false">1-AR75/R75</f>
        <v>0.489018797268033</v>
      </c>
      <c r="BF75" s="44" t="n">
        <f aca="false">1-AS75/S75</f>
        <v>0.820478024467603</v>
      </c>
      <c r="BG75" s="44" t="n">
        <f aca="false">1-AT75/T75</f>
        <v>0.528263860444042</v>
      </c>
    </row>
    <row r="76" customFormat="false" ht="15" hidden="false" customHeight="false" outlineLevel="0" collapsed="false">
      <c r="A76" s="10" t="s">
        <v>261</v>
      </c>
      <c r="B76" s="10" t="s">
        <v>322</v>
      </c>
      <c r="C76" s="58" t="n">
        <v>28545000</v>
      </c>
      <c r="D76" s="58" t="n">
        <v>28549999</v>
      </c>
      <c r="E76" s="10" t="s">
        <v>24</v>
      </c>
      <c r="F76" s="10" t="s">
        <v>266</v>
      </c>
      <c r="G76" s="10" t="n">
        <f aca="false">COUNTIFS(Pedidos!$C$2:$C$2224,"&gt;="&amp;C76,Pedidos!$C$2:$C$2224,"&lt;="&amp;D76)</f>
        <v>0</v>
      </c>
      <c r="H76" s="40" t="n">
        <v>106.53</v>
      </c>
      <c r="I76" s="40" t="n">
        <v>120.78</v>
      </c>
      <c r="J76" s="40" t="n">
        <v>125.63</v>
      </c>
      <c r="K76" s="40" t="n">
        <v>135.03</v>
      </c>
      <c r="L76" s="40" t="n">
        <v>144.53</v>
      </c>
      <c r="M76" s="40" t="n">
        <v>166.05</v>
      </c>
      <c r="N76" s="40" t="n">
        <v>166.05</v>
      </c>
      <c r="O76" s="40" t="n">
        <v>197.35</v>
      </c>
      <c r="P76" s="40" t="n">
        <v>236.82</v>
      </c>
      <c r="Q76" s="40" t="n">
        <v>264.84</v>
      </c>
      <c r="R76" s="40" t="n">
        <v>300.15</v>
      </c>
      <c r="S76" s="40" t="n">
        <v>353.12</v>
      </c>
      <c r="T76" s="40" t="n">
        <v>441.4</v>
      </c>
      <c r="U76" s="40" t="n">
        <v>46.95</v>
      </c>
      <c r="V76" s="40" t="n">
        <v>65.63</v>
      </c>
      <c r="W76" s="40" t="n">
        <v>74.97</v>
      </c>
      <c r="X76" s="40" t="n">
        <v>77.7</v>
      </c>
      <c r="Y76" s="40" t="n">
        <v>83.58</v>
      </c>
      <c r="Z76" s="40" t="n">
        <v>90.2</v>
      </c>
      <c r="AA76" s="40" t="n">
        <v>96.77</v>
      </c>
      <c r="AB76" s="40" t="n">
        <v>109.63</v>
      </c>
      <c r="AC76" s="40" t="n">
        <v>119.5</v>
      </c>
      <c r="AD76" s="40" t="n">
        <v>144.24</v>
      </c>
      <c r="AE76" s="40" t="n">
        <v>155.09</v>
      </c>
      <c r="AF76" s="40" t="n">
        <v>66.69</v>
      </c>
      <c r="AG76" s="40" t="n">
        <v>214.88</v>
      </c>
      <c r="AH76" s="13" t="n">
        <f aca="false">(U76+AH$4*(Resumo!$C$6+Resumo!$C$7+Resumo!$C$8)+Resumo!$C$10*CEILING(AH$3/100,1)+Resumo!$C$9+Resumo!$C$13+Resumo!$C$14*CEILING(AH$3,1))*(1+Resumo!$C$11)-(AH$4*(Resumo!$B$6+Resumo!$B$7)+Resumo!$B$9+Resumo!$B$10*CEILING(AH$3/100,1)+(Resumo!$B$12+Resumo!$B$14)*CEILING(AH$3,1))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6" s="13" t="n">
        <f aca="false">(V76+AI$4*(Resumo!$C$6+Resumo!$C$7+Resumo!$C$8)+Resumo!$C$10*CEILING(AI$3/100,1)+Resumo!$C$9+Resumo!$C$13+Resumo!$C$14*CEILING(AI$3,1))*(1+Resumo!$C$11)-(AI$4*(Resumo!$B$6+Resumo!$B$7)+Resumo!$B$9+Resumo!$B$10*CEILING(AI$3/100,1)+(Resumo!$B$12+Resumo!$B$14)*CEILING(AI$3,1))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6" s="13" t="n">
        <f aca="false">(W76+AJ$4*(Resumo!$C$6+Resumo!$C$7+Resumo!$C$8)+Resumo!$C$10*CEILING(AJ$3/100,1)+Resumo!$C$9+Resumo!$C$13+Resumo!$C$14*CEILING(AJ$3,1))*(1+Resumo!$C$11)-(AJ$4*(Resumo!$B$6+Resumo!$B$7)+Resumo!$B$9+Resumo!$B$10*CEILING(AJ$3/100,1)+(Resumo!$B$12+Resumo!$B$14)*CEILING(AJ$3,1))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6" s="13" t="n">
        <f aca="false">(X76+AK$4*(Resumo!$C$6+Resumo!$C$7+Resumo!$C$8)+Resumo!$C$10*CEILING(AK$3/100,1)+Resumo!$C$9+Resumo!$C$13+Resumo!$C$14*CEILING(AK$3,1))*(1+Resumo!$C$11)-(AK$4*(Resumo!$B$6+Resumo!$B$7)+Resumo!$B$9+Resumo!$B$10*CEILING(AK$3/100,1)+(Resumo!$B$12+Resumo!$B$14)*CEILING(AK$3,1))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6" s="13" t="n">
        <f aca="false">(Y76+AL$4*(Resumo!$C$6+Resumo!$C$7+Resumo!$C$8)+Resumo!$C$10*CEILING(AL$3/100,1)+Resumo!$C$9+Resumo!$C$13+Resumo!$C$14*CEILING(AL$3,1))*(1+Resumo!$C$11)-(AL$4*(Resumo!$B$6+Resumo!$B$7)+Resumo!$B$9+Resumo!$B$10*CEILING(AL$3/100,1)+(Resumo!$B$12+Resumo!$B$14)*CEILING(AL$3,1))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6" s="13" t="n">
        <f aca="false">(Z76+AM$4*(Resumo!$C$6+Resumo!$C$7+Resumo!$C$8)+Resumo!$C$10*CEILING(AM$3/100,1)+Resumo!$C$9+Resumo!$C$13+Resumo!$C$14*CEILING(AM$3,1))*(1+Resumo!$C$11)-(AM$4*(Resumo!$B$6+Resumo!$B$7)+Resumo!$B$9+Resumo!$B$10*CEILING(AM$3/100,1)+(Resumo!$B$12+Resumo!$B$14)*CEILING(AM$3,1))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6" s="13" t="n">
        <f aca="false">(AA76+AN$4*(Resumo!$C$6+Resumo!$C$7+Resumo!$C$8)+Resumo!$C$10*CEILING(AN$3/100,1)+Resumo!$C$9+Resumo!$C$13+Resumo!$C$14*CEILING(AN$3,1))*(1+Resumo!$C$11)-(AN$4*(Resumo!$B$6+Resumo!$B$7)+Resumo!$B$9+Resumo!$B$10*CEILING(AN$3/100,1)+(Resumo!$B$12+Resumo!$B$14)*CEILING(AN$3,1))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6" s="13" t="n">
        <f aca="false">(AB76+AO$4*(Resumo!$C$6+Resumo!$C$7+Resumo!$C$8)+Resumo!$C$10*CEILING(AO$3/100,1)+Resumo!$C$9+Resumo!$C$13+Resumo!$C$14*CEILING(AO$3,1))*(1+Resumo!$C$11)-(AO$4*(Resumo!$B$6+Resumo!$B$7)+Resumo!$B$9+Resumo!$B$10*CEILING(AO$3/100,1)+(Resumo!$B$12+Resumo!$B$14)*CEILING(AO$3,1))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6" s="13" t="n">
        <f aca="false">(AC76+AP$4*(Resumo!$C$6+Resumo!$C$7+Resumo!$C$8)+Resumo!$C$10*CEILING(AP$3/100,1)+Resumo!$C$9+Resumo!$C$13+Resumo!$C$14*CEILING(AP$3,1))*(1+Resumo!$C$11)-(AP$4*(Resumo!$B$6+Resumo!$B$7)+Resumo!$B$9+Resumo!$B$10*CEILING(AP$3/100,1)+(Resumo!$B$12+Resumo!$B$14)*CEILING(AP$3,1))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6" s="13" t="n">
        <f aca="false">(AD76+AQ$4*(Resumo!$C$6+Resumo!$C$7+Resumo!$C$8)+Resumo!$C$10*CEILING(AQ$3/100,1)+Resumo!$C$9+Resumo!$C$13+Resumo!$C$14*CEILING(AQ$3,1))*(1+Resumo!$C$11)-(AQ$4*(Resumo!$B$6+Resumo!$B$7)+Resumo!$B$9+Resumo!$B$10*CEILING(AQ$3/100,1)+(Resumo!$B$12+Resumo!$B$14)*CEILING(AQ$3,1))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6" s="13" t="n">
        <f aca="false">(AE76+AR$4*(Resumo!$C$6+Resumo!$C$7+Resumo!$C$8)+Resumo!$C$10*CEILING(AR$3/100,1)+Resumo!$C$9+Resumo!$C$13+Resumo!$C$14*CEILING(AR$3,1))*(1+Resumo!$C$11)-(AR$4*(Resumo!$B$6+Resumo!$B$7)+Resumo!$B$9+Resumo!$B$10*CEILING(AR$3/100,1)+(Resumo!$B$12+Resumo!$B$14)*CEILING(AR$3,1))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6" s="13" t="n">
        <f aca="false">(AF76+AS$4*(Resumo!$C$6+Resumo!$C$7+Resumo!$C$8)+Resumo!$C$10*CEILING(AS$3/100,1)+Resumo!$C$9+Resumo!$C$13+Resumo!$C$14*CEILING(AS$3,1))*(1+Resumo!$C$11)-(AS$4*(Resumo!$B$6+Resumo!$B$7)+Resumo!$B$9+Resumo!$B$10*CEILING(AS$3/100,1)+(Resumo!$B$12+Resumo!$B$14)*CEILING(AS$3,1))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6" s="13" t="n">
        <f aca="false">(AG76+AT$4*(Resumo!$C$6+Resumo!$C$7+Resumo!$C$8)+Resumo!$C$10*CEILING(AT$3/100,1)+Resumo!$C$9+Resumo!$C$13+Resumo!$C$14*CEILING(AT$3,1))*(1+Resumo!$C$11)-(AT$4*(Resumo!$B$6+Resumo!$B$7)+Resumo!$B$9+Resumo!$B$10*CEILING(AT$3/100,1)+(Resumo!$B$12+Resumo!$B$14)*CEILING(AT$3,1))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6" s="44" t="n">
        <f aca="false">1-AH76/H76</f>
        <v>0.480447881558527</v>
      </c>
      <c r="AV76" s="44" t="n">
        <f aca="false">1-AI76/I76</f>
        <v>0.391361508578081</v>
      </c>
      <c r="AW76" s="44" t="n">
        <f aca="false">1-AJ76/J76</f>
        <v>0.34451856798356</v>
      </c>
      <c r="AX76" s="44" t="n">
        <f aca="false">1-AK76/K76</f>
        <v>0.372260264988487</v>
      </c>
      <c r="AY76" s="44" t="n">
        <f aca="false">1-AL76/L76</f>
        <v>0.375400399837138</v>
      </c>
      <c r="AZ76" s="44" t="n">
        <f aca="false">1-AM76/M76</f>
        <v>0.420709229511831</v>
      </c>
      <c r="BA76" s="44" t="n">
        <f aca="false">1-AN76/N76</f>
        <v>0.382642225835592</v>
      </c>
      <c r="BB76" s="44" t="n">
        <f aca="false">1-AO76/O76</f>
        <v>0.419232633445788</v>
      </c>
      <c r="BC76" s="44" t="n">
        <f aca="false">1-AP76/P76</f>
        <v>0.493280443868681</v>
      </c>
      <c r="BD76" s="44" t="n">
        <f aca="false">1-AQ76/Q76</f>
        <v>0.455794679894486</v>
      </c>
      <c r="BE76" s="44" t="n">
        <f aca="false">1-AR76/R76</f>
        <v>0.489018797268033</v>
      </c>
      <c r="BF76" s="44" t="n">
        <f aca="false">1-AS76/S76</f>
        <v>0.820478024467603</v>
      </c>
      <c r="BG76" s="44" t="n">
        <f aca="false">1-AT76/T76</f>
        <v>0.528263860444042</v>
      </c>
    </row>
    <row r="77" customFormat="false" ht="15" hidden="false" customHeight="false" outlineLevel="0" collapsed="false">
      <c r="A77" s="10" t="s">
        <v>261</v>
      </c>
      <c r="B77" s="10" t="s">
        <v>323</v>
      </c>
      <c r="C77" s="58" t="n">
        <v>28550000</v>
      </c>
      <c r="D77" s="58" t="n">
        <v>28569999</v>
      </c>
      <c r="E77" s="10" t="s">
        <v>24</v>
      </c>
      <c r="F77" s="10" t="s">
        <v>266</v>
      </c>
      <c r="G77" s="10" t="n">
        <f aca="false">COUNTIFS(Pedidos!$C$2:$C$2224,"&gt;="&amp;C77,Pedidos!$C$2:$C$2224,"&lt;="&amp;D77)</f>
        <v>0</v>
      </c>
      <c r="H77" s="40" t="n">
        <v>106.53</v>
      </c>
      <c r="I77" s="40" t="n">
        <v>120.78</v>
      </c>
      <c r="J77" s="40" t="n">
        <v>125.63</v>
      </c>
      <c r="K77" s="40" t="n">
        <v>135.03</v>
      </c>
      <c r="L77" s="40" t="n">
        <v>144.53</v>
      </c>
      <c r="M77" s="40" t="n">
        <v>166.05</v>
      </c>
      <c r="N77" s="40" t="n">
        <v>166.05</v>
      </c>
      <c r="O77" s="40" t="n">
        <v>197.35</v>
      </c>
      <c r="P77" s="40" t="n">
        <v>236.82</v>
      </c>
      <c r="Q77" s="40" t="n">
        <v>264.84</v>
      </c>
      <c r="R77" s="40" t="n">
        <v>300.15</v>
      </c>
      <c r="S77" s="40" t="n">
        <v>353.12</v>
      </c>
      <c r="T77" s="40" t="n">
        <v>441.4</v>
      </c>
      <c r="U77" s="40" t="n">
        <v>46.95</v>
      </c>
      <c r="V77" s="40" t="n">
        <v>65.63</v>
      </c>
      <c r="W77" s="40" t="n">
        <v>74.97</v>
      </c>
      <c r="X77" s="40" t="n">
        <v>77.7</v>
      </c>
      <c r="Y77" s="40" t="n">
        <v>83.58</v>
      </c>
      <c r="Z77" s="40" t="n">
        <v>90.2</v>
      </c>
      <c r="AA77" s="40" t="n">
        <v>96.77</v>
      </c>
      <c r="AB77" s="40" t="n">
        <v>109.63</v>
      </c>
      <c r="AC77" s="40" t="n">
        <v>119.5</v>
      </c>
      <c r="AD77" s="40" t="n">
        <v>144.24</v>
      </c>
      <c r="AE77" s="40" t="n">
        <v>155.09</v>
      </c>
      <c r="AF77" s="40" t="n">
        <v>66.69</v>
      </c>
      <c r="AG77" s="40" t="n">
        <v>214.88</v>
      </c>
      <c r="AH77" s="13" t="n">
        <f aca="false">(U77+AH$4*(Resumo!$C$6+Resumo!$C$7+Resumo!$C$8)+Resumo!$C$10*CEILING(AH$3/100,1)+Resumo!$C$9+Resumo!$C$13+Resumo!$C$14*CEILING(AH$3,1))*(1+Resumo!$C$11)-(AH$4*(Resumo!$B$6+Resumo!$B$7)+Resumo!$B$9+Resumo!$B$10*CEILING(AH$3/100,1)+(Resumo!$B$12+Resumo!$B$14)*CEILING(AH$3,1))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7" s="13" t="n">
        <f aca="false">(V77+AI$4*(Resumo!$C$6+Resumo!$C$7+Resumo!$C$8)+Resumo!$C$10*CEILING(AI$3/100,1)+Resumo!$C$9+Resumo!$C$13+Resumo!$C$14*CEILING(AI$3,1))*(1+Resumo!$C$11)-(AI$4*(Resumo!$B$6+Resumo!$B$7)+Resumo!$B$9+Resumo!$B$10*CEILING(AI$3/100,1)+(Resumo!$B$12+Resumo!$B$14)*CEILING(AI$3,1))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7" s="13" t="n">
        <f aca="false">(W77+AJ$4*(Resumo!$C$6+Resumo!$C$7+Resumo!$C$8)+Resumo!$C$10*CEILING(AJ$3/100,1)+Resumo!$C$9+Resumo!$C$13+Resumo!$C$14*CEILING(AJ$3,1))*(1+Resumo!$C$11)-(AJ$4*(Resumo!$B$6+Resumo!$B$7)+Resumo!$B$9+Resumo!$B$10*CEILING(AJ$3/100,1)+(Resumo!$B$12+Resumo!$B$14)*CEILING(AJ$3,1))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7" s="13" t="n">
        <f aca="false">(X77+AK$4*(Resumo!$C$6+Resumo!$C$7+Resumo!$C$8)+Resumo!$C$10*CEILING(AK$3/100,1)+Resumo!$C$9+Resumo!$C$13+Resumo!$C$14*CEILING(AK$3,1))*(1+Resumo!$C$11)-(AK$4*(Resumo!$B$6+Resumo!$B$7)+Resumo!$B$9+Resumo!$B$10*CEILING(AK$3/100,1)+(Resumo!$B$12+Resumo!$B$14)*CEILING(AK$3,1))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7" s="13" t="n">
        <f aca="false">(Y77+AL$4*(Resumo!$C$6+Resumo!$C$7+Resumo!$C$8)+Resumo!$C$10*CEILING(AL$3/100,1)+Resumo!$C$9+Resumo!$C$13+Resumo!$C$14*CEILING(AL$3,1))*(1+Resumo!$C$11)-(AL$4*(Resumo!$B$6+Resumo!$B$7)+Resumo!$B$9+Resumo!$B$10*CEILING(AL$3/100,1)+(Resumo!$B$12+Resumo!$B$14)*CEILING(AL$3,1))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7" s="13" t="n">
        <f aca="false">(Z77+AM$4*(Resumo!$C$6+Resumo!$C$7+Resumo!$C$8)+Resumo!$C$10*CEILING(AM$3/100,1)+Resumo!$C$9+Resumo!$C$13+Resumo!$C$14*CEILING(AM$3,1))*(1+Resumo!$C$11)-(AM$4*(Resumo!$B$6+Resumo!$B$7)+Resumo!$B$9+Resumo!$B$10*CEILING(AM$3/100,1)+(Resumo!$B$12+Resumo!$B$14)*CEILING(AM$3,1))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7" s="13" t="n">
        <f aca="false">(AA77+AN$4*(Resumo!$C$6+Resumo!$C$7+Resumo!$C$8)+Resumo!$C$10*CEILING(AN$3/100,1)+Resumo!$C$9+Resumo!$C$13+Resumo!$C$14*CEILING(AN$3,1))*(1+Resumo!$C$11)-(AN$4*(Resumo!$B$6+Resumo!$B$7)+Resumo!$B$9+Resumo!$B$10*CEILING(AN$3/100,1)+(Resumo!$B$12+Resumo!$B$14)*CEILING(AN$3,1))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7" s="13" t="n">
        <f aca="false">(AB77+AO$4*(Resumo!$C$6+Resumo!$C$7+Resumo!$C$8)+Resumo!$C$10*CEILING(AO$3/100,1)+Resumo!$C$9+Resumo!$C$13+Resumo!$C$14*CEILING(AO$3,1))*(1+Resumo!$C$11)-(AO$4*(Resumo!$B$6+Resumo!$B$7)+Resumo!$B$9+Resumo!$B$10*CEILING(AO$3/100,1)+(Resumo!$B$12+Resumo!$B$14)*CEILING(AO$3,1))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7" s="13" t="n">
        <f aca="false">(AC77+AP$4*(Resumo!$C$6+Resumo!$C$7+Resumo!$C$8)+Resumo!$C$10*CEILING(AP$3/100,1)+Resumo!$C$9+Resumo!$C$13+Resumo!$C$14*CEILING(AP$3,1))*(1+Resumo!$C$11)-(AP$4*(Resumo!$B$6+Resumo!$B$7)+Resumo!$B$9+Resumo!$B$10*CEILING(AP$3/100,1)+(Resumo!$B$12+Resumo!$B$14)*CEILING(AP$3,1))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7" s="13" t="n">
        <f aca="false">(AD77+AQ$4*(Resumo!$C$6+Resumo!$C$7+Resumo!$C$8)+Resumo!$C$10*CEILING(AQ$3/100,1)+Resumo!$C$9+Resumo!$C$13+Resumo!$C$14*CEILING(AQ$3,1))*(1+Resumo!$C$11)-(AQ$4*(Resumo!$B$6+Resumo!$B$7)+Resumo!$B$9+Resumo!$B$10*CEILING(AQ$3/100,1)+(Resumo!$B$12+Resumo!$B$14)*CEILING(AQ$3,1))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7" s="13" t="n">
        <f aca="false">(AE77+AR$4*(Resumo!$C$6+Resumo!$C$7+Resumo!$C$8)+Resumo!$C$10*CEILING(AR$3/100,1)+Resumo!$C$9+Resumo!$C$13+Resumo!$C$14*CEILING(AR$3,1))*(1+Resumo!$C$11)-(AR$4*(Resumo!$B$6+Resumo!$B$7)+Resumo!$B$9+Resumo!$B$10*CEILING(AR$3/100,1)+(Resumo!$B$12+Resumo!$B$14)*CEILING(AR$3,1))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7" s="13" t="n">
        <f aca="false">(AF77+AS$4*(Resumo!$C$6+Resumo!$C$7+Resumo!$C$8)+Resumo!$C$10*CEILING(AS$3/100,1)+Resumo!$C$9+Resumo!$C$13+Resumo!$C$14*CEILING(AS$3,1))*(1+Resumo!$C$11)-(AS$4*(Resumo!$B$6+Resumo!$B$7)+Resumo!$B$9+Resumo!$B$10*CEILING(AS$3/100,1)+(Resumo!$B$12+Resumo!$B$14)*CEILING(AS$3,1))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7" s="13" t="n">
        <f aca="false">(AG77+AT$4*(Resumo!$C$6+Resumo!$C$7+Resumo!$C$8)+Resumo!$C$10*CEILING(AT$3/100,1)+Resumo!$C$9+Resumo!$C$13+Resumo!$C$14*CEILING(AT$3,1))*(1+Resumo!$C$11)-(AT$4*(Resumo!$B$6+Resumo!$B$7)+Resumo!$B$9+Resumo!$B$10*CEILING(AT$3/100,1)+(Resumo!$B$12+Resumo!$B$14)*CEILING(AT$3,1))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7" s="44" t="n">
        <f aca="false">1-AH77/H77</f>
        <v>0.480447881558527</v>
      </c>
      <c r="AV77" s="44" t="n">
        <f aca="false">1-AI77/I77</f>
        <v>0.391361508578081</v>
      </c>
      <c r="AW77" s="44" t="n">
        <f aca="false">1-AJ77/J77</f>
        <v>0.34451856798356</v>
      </c>
      <c r="AX77" s="44" t="n">
        <f aca="false">1-AK77/K77</f>
        <v>0.372260264988487</v>
      </c>
      <c r="AY77" s="44" t="n">
        <f aca="false">1-AL77/L77</f>
        <v>0.375400399837138</v>
      </c>
      <c r="AZ77" s="44" t="n">
        <f aca="false">1-AM77/M77</f>
        <v>0.420709229511831</v>
      </c>
      <c r="BA77" s="44" t="n">
        <f aca="false">1-AN77/N77</f>
        <v>0.382642225835592</v>
      </c>
      <c r="BB77" s="44" t="n">
        <f aca="false">1-AO77/O77</f>
        <v>0.419232633445788</v>
      </c>
      <c r="BC77" s="44" t="n">
        <f aca="false">1-AP77/P77</f>
        <v>0.493280443868681</v>
      </c>
      <c r="BD77" s="44" t="n">
        <f aca="false">1-AQ77/Q77</f>
        <v>0.455794679894486</v>
      </c>
      <c r="BE77" s="44" t="n">
        <f aca="false">1-AR77/R77</f>
        <v>0.489018797268033</v>
      </c>
      <c r="BF77" s="44" t="n">
        <f aca="false">1-AS77/S77</f>
        <v>0.820478024467603</v>
      </c>
      <c r="BG77" s="44" t="n">
        <f aca="false">1-AT77/T77</f>
        <v>0.528263860444042</v>
      </c>
    </row>
    <row r="78" customFormat="false" ht="15" hidden="false" customHeight="false" outlineLevel="0" collapsed="false">
      <c r="A78" s="10" t="s">
        <v>261</v>
      </c>
      <c r="B78" s="10" t="s">
        <v>324</v>
      </c>
      <c r="C78" s="58" t="n">
        <v>28570000</v>
      </c>
      <c r="D78" s="58" t="n">
        <v>28599999</v>
      </c>
      <c r="E78" s="10" t="s">
        <v>24</v>
      </c>
      <c r="F78" s="10" t="s">
        <v>302</v>
      </c>
      <c r="G78" s="10" t="n">
        <f aca="false">COUNTIFS(Pedidos!$C$2:$C$2224,"&gt;="&amp;C78,Pedidos!$C$2:$C$2224,"&lt;="&amp;D78)</f>
        <v>1</v>
      </c>
      <c r="H78" s="40" t="n">
        <v>124.04</v>
      </c>
      <c r="I78" s="40" t="n">
        <v>138.29</v>
      </c>
      <c r="J78" s="40" t="n">
        <v>143.04</v>
      </c>
      <c r="K78" s="40" t="n">
        <v>152.54</v>
      </c>
      <c r="L78" s="40" t="n">
        <v>162.04</v>
      </c>
      <c r="M78" s="40" t="n">
        <v>171.54</v>
      </c>
      <c r="N78" s="40" t="n">
        <v>181.04</v>
      </c>
      <c r="O78" s="40" t="n">
        <v>200.04</v>
      </c>
      <c r="P78" s="40" t="n">
        <v>236.82</v>
      </c>
      <c r="Q78" s="40" t="n">
        <v>264.84</v>
      </c>
      <c r="R78" s="40" t="n">
        <v>300.15</v>
      </c>
      <c r="S78" s="40" t="n">
        <v>353.17</v>
      </c>
      <c r="T78" s="40" t="n">
        <v>441.4</v>
      </c>
      <c r="U78" s="40" t="n">
        <v>46.95</v>
      </c>
      <c r="V78" s="40" t="n">
        <v>65.63</v>
      </c>
      <c r="W78" s="40" t="n">
        <v>74.97</v>
      </c>
      <c r="X78" s="40" t="n">
        <v>77.7</v>
      </c>
      <c r="Y78" s="40" t="n">
        <v>83.58</v>
      </c>
      <c r="Z78" s="40" t="n">
        <v>90.2</v>
      </c>
      <c r="AA78" s="40" t="n">
        <v>96.77</v>
      </c>
      <c r="AB78" s="40" t="n">
        <v>109.63</v>
      </c>
      <c r="AC78" s="40" t="n">
        <v>119.5</v>
      </c>
      <c r="AD78" s="40" t="n">
        <v>144.24</v>
      </c>
      <c r="AE78" s="40" t="n">
        <v>155.09</v>
      </c>
      <c r="AF78" s="40" t="n">
        <v>66.69</v>
      </c>
      <c r="AG78" s="40" t="n">
        <v>214.88</v>
      </c>
      <c r="AH78" s="13" t="n">
        <f aca="false">(U78+AH$4*(Resumo!$C$6+Resumo!$C$7+Resumo!$C$8)+Resumo!$C$10*CEILING(AH$3/100,1)+Resumo!$C$9+Resumo!$C$13+Resumo!$C$14*CEILING(AH$3,1))*(1+Resumo!$C$11)-(AH$4*(Resumo!$B$6+Resumo!$B$7)+Resumo!$B$9+Resumo!$B$10*CEILING(AH$3/100,1)+(Resumo!$B$12+Resumo!$B$14)*CEILING(AH$3,1))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8" s="13" t="n">
        <f aca="false">(V78+AI$4*(Resumo!$C$6+Resumo!$C$7+Resumo!$C$8)+Resumo!$C$10*CEILING(AI$3/100,1)+Resumo!$C$9+Resumo!$C$13+Resumo!$C$14*CEILING(AI$3,1))*(1+Resumo!$C$11)-(AI$4*(Resumo!$B$6+Resumo!$B$7)+Resumo!$B$9+Resumo!$B$10*CEILING(AI$3/100,1)+(Resumo!$B$12+Resumo!$B$14)*CEILING(AI$3,1))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8" s="13" t="n">
        <f aca="false">(W78+AJ$4*(Resumo!$C$6+Resumo!$C$7+Resumo!$C$8)+Resumo!$C$10*CEILING(AJ$3/100,1)+Resumo!$C$9+Resumo!$C$13+Resumo!$C$14*CEILING(AJ$3,1))*(1+Resumo!$C$11)-(AJ$4*(Resumo!$B$6+Resumo!$B$7)+Resumo!$B$9+Resumo!$B$10*CEILING(AJ$3/100,1)+(Resumo!$B$12+Resumo!$B$14)*CEILING(AJ$3,1))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8" s="13" t="n">
        <f aca="false">(X78+AK$4*(Resumo!$C$6+Resumo!$C$7+Resumo!$C$8)+Resumo!$C$10*CEILING(AK$3/100,1)+Resumo!$C$9+Resumo!$C$13+Resumo!$C$14*CEILING(AK$3,1))*(1+Resumo!$C$11)-(AK$4*(Resumo!$B$6+Resumo!$B$7)+Resumo!$B$9+Resumo!$B$10*CEILING(AK$3/100,1)+(Resumo!$B$12+Resumo!$B$14)*CEILING(AK$3,1))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8" s="13" t="n">
        <f aca="false">(Y78+AL$4*(Resumo!$C$6+Resumo!$C$7+Resumo!$C$8)+Resumo!$C$10*CEILING(AL$3/100,1)+Resumo!$C$9+Resumo!$C$13+Resumo!$C$14*CEILING(AL$3,1))*(1+Resumo!$C$11)-(AL$4*(Resumo!$B$6+Resumo!$B$7)+Resumo!$B$9+Resumo!$B$10*CEILING(AL$3/100,1)+(Resumo!$B$12+Resumo!$B$14)*CEILING(AL$3,1))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8" s="13" t="n">
        <f aca="false">(Z78+AM$4*(Resumo!$C$6+Resumo!$C$7+Resumo!$C$8)+Resumo!$C$10*CEILING(AM$3/100,1)+Resumo!$C$9+Resumo!$C$13+Resumo!$C$14*CEILING(AM$3,1))*(1+Resumo!$C$11)-(AM$4*(Resumo!$B$6+Resumo!$B$7)+Resumo!$B$9+Resumo!$B$10*CEILING(AM$3/100,1)+(Resumo!$B$12+Resumo!$B$14)*CEILING(AM$3,1))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8" s="13" t="n">
        <f aca="false">(AA78+AN$4*(Resumo!$C$6+Resumo!$C$7+Resumo!$C$8)+Resumo!$C$10*CEILING(AN$3/100,1)+Resumo!$C$9+Resumo!$C$13+Resumo!$C$14*CEILING(AN$3,1))*(1+Resumo!$C$11)-(AN$4*(Resumo!$B$6+Resumo!$B$7)+Resumo!$B$9+Resumo!$B$10*CEILING(AN$3/100,1)+(Resumo!$B$12+Resumo!$B$14)*CEILING(AN$3,1))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8" s="13" t="n">
        <f aca="false">(AB78+AO$4*(Resumo!$C$6+Resumo!$C$7+Resumo!$C$8)+Resumo!$C$10*CEILING(AO$3/100,1)+Resumo!$C$9+Resumo!$C$13+Resumo!$C$14*CEILING(AO$3,1))*(1+Resumo!$C$11)-(AO$4*(Resumo!$B$6+Resumo!$B$7)+Resumo!$B$9+Resumo!$B$10*CEILING(AO$3/100,1)+(Resumo!$B$12+Resumo!$B$14)*CEILING(AO$3,1))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8" s="13" t="n">
        <f aca="false">(AC78+AP$4*(Resumo!$C$6+Resumo!$C$7+Resumo!$C$8)+Resumo!$C$10*CEILING(AP$3/100,1)+Resumo!$C$9+Resumo!$C$13+Resumo!$C$14*CEILING(AP$3,1))*(1+Resumo!$C$11)-(AP$4*(Resumo!$B$6+Resumo!$B$7)+Resumo!$B$9+Resumo!$B$10*CEILING(AP$3/100,1)+(Resumo!$B$12+Resumo!$B$14)*CEILING(AP$3,1))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8" s="13" t="n">
        <f aca="false">(AD78+AQ$4*(Resumo!$C$6+Resumo!$C$7+Resumo!$C$8)+Resumo!$C$10*CEILING(AQ$3/100,1)+Resumo!$C$9+Resumo!$C$13+Resumo!$C$14*CEILING(AQ$3,1))*(1+Resumo!$C$11)-(AQ$4*(Resumo!$B$6+Resumo!$B$7)+Resumo!$B$9+Resumo!$B$10*CEILING(AQ$3/100,1)+(Resumo!$B$12+Resumo!$B$14)*CEILING(AQ$3,1))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8" s="13" t="n">
        <f aca="false">(AE78+AR$4*(Resumo!$C$6+Resumo!$C$7+Resumo!$C$8)+Resumo!$C$10*CEILING(AR$3/100,1)+Resumo!$C$9+Resumo!$C$13+Resumo!$C$14*CEILING(AR$3,1))*(1+Resumo!$C$11)-(AR$4*(Resumo!$B$6+Resumo!$B$7)+Resumo!$B$9+Resumo!$B$10*CEILING(AR$3/100,1)+(Resumo!$B$12+Resumo!$B$14)*CEILING(AR$3,1))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8" s="13" t="n">
        <f aca="false">(AF78+AS$4*(Resumo!$C$6+Resumo!$C$7+Resumo!$C$8)+Resumo!$C$10*CEILING(AS$3/100,1)+Resumo!$C$9+Resumo!$C$13+Resumo!$C$14*CEILING(AS$3,1))*(1+Resumo!$C$11)-(AS$4*(Resumo!$B$6+Resumo!$B$7)+Resumo!$B$9+Resumo!$B$10*CEILING(AS$3/100,1)+(Resumo!$B$12+Resumo!$B$14)*CEILING(AS$3,1))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8" s="13" t="n">
        <f aca="false">(AG78+AT$4*(Resumo!$C$6+Resumo!$C$7+Resumo!$C$8)+Resumo!$C$10*CEILING(AT$3/100,1)+Resumo!$C$9+Resumo!$C$13+Resumo!$C$14*CEILING(AT$3,1))*(1+Resumo!$C$11)-(AT$4*(Resumo!$B$6+Resumo!$B$7)+Resumo!$B$9+Resumo!$B$10*CEILING(AT$3/100,1)+(Resumo!$B$12+Resumo!$B$14)*CEILING(AT$3,1))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8" s="44" t="n">
        <f aca="false">1-AH78/H78</f>
        <v>0.553790009855127</v>
      </c>
      <c r="AV78" s="44" t="n">
        <f aca="false">1-AI78/I78</f>
        <v>0.468426082913158</v>
      </c>
      <c r="AW78" s="44" t="n">
        <f aca="false">1-AJ78/J78</f>
        <v>0.424299969908939</v>
      </c>
      <c r="AX78" s="44" t="n">
        <f aca="false">1-AK78/K78</f>
        <v>0.444318235095027</v>
      </c>
      <c r="AY78" s="44" t="n">
        <f aca="false">1-AL78/L78</f>
        <v>0.44289446919564</v>
      </c>
      <c r="AZ78" s="44" t="n">
        <f aca="false">1-AM78/M78</f>
        <v>0.439248965608252</v>
      </c>
      <c r="BA78" s="44" t="n">
        <f aca="false">1-AN78/N78</f>
        <v>0.433759067609368</v>
      </c>
      <c r="BB78" s="44" t="n">
        <f aca="false">1-AO78/O78</f>
        <v>0.427042392574117</v>
      </c>
      <c r="BC78" s="44" t="n">
        <f aca="false">1-AP78/P78</f>
        <v>0.493280443868681</v>
      </c>
      <c r="BD78" s="44" t="n">
        <f aca="false">1-AQ78/Q78</f>
        <v>0.455794679894486</v>
      </c>
      <c r="BE78" s="44" t="n">
        <f aca="false">1-AR78/R78</f>
        <v>0.489018797268033</v>
      </c>
      <c r="BF78" s="44" t="n">
        <f aca="false">1-AS78/S78</f>
        <v>0.820503440269559</v>
      </c>
      <c r="BG78" s="44" t="n">
        <f aca="false">1-AT78/T78</f>
        <v>0.528263860444042</v>
      </c>
    </row>
    <row r="79" customFormat="false" ht="15" hidden="false" customHeight="false" outlineLevel="0" collapsed="false">
      <c r="A79" s="10" t="s">
        <v>261</v>
      </c>
      <c r="B79" s="10" t="s">
        <v>226</v>
      </c>
      <c r="C79" s="58" t="n">
        <v>28600000</v>
      </c>
      <c r="D79" s="58" t="n">
        <v>28636999</v>
      </c>
      <c r="E79" s="10" t="s">
        <v>24</v>
      </c>
      <c r="F79" s="10" t="s">
        <v>266</v>
      </c>
      <c r="G79" s="10" t="n">
        <f aca="false">COUNTIFS(Pedidos!$C$2:$C$2224,"&gt;="&amp;C79,Pedidos!$C$2:$C$2224,"&lt;="&amp;D79)</f>
        <v>18</v>
      </c>
      <c r="H79" s="40" t="n">
        <v>106.53</v>
      </c>
      <c r="I79" s="40" t="n">
        <v>120.78</v>
      </c>
      <c r="J79" s="40" t="n">
        <v>125.63</v>
      </c>
      <c r="K79" s="40" t="n">
        <v>135.03</v>
      </c>
      <c r="L79" s="40" t="n">
        <v>144.53</v>
      </c>
      <c r="M79" s="40" t="n">
        <v>166.05</v>
      </c>
      <c r="N79" s="40" t="n">
        <v>166.05</v>
      </c>
      <c r="O79" s="40" t="n">
        <v>197.35</v>
      </c>
      <c r="P79" s="40" t="n">
        <v>236.82</v>
      </c>
      <c r="Q79" s="40" t="n">
        <v>264.84</v>
      </c>
      <c r="R79" s="40" t="n">
        <v>300.15</v>
      </c>
      <c r="S79" s="40" t="n">
        <v>353.12</v>
      </c>
      <c r="T79" s="40" t="n">
        <v>441.4</v>
      </c>
      <c r="U79" s="40" t="n">
        <v>46.95</v>
      </c>
      <c r="V79" s="40" t="n">
        <v>65.63</v>
      </c>
      <c r="W79" s="40" t="n">
        <v>74.97</v>
      </c>
      <c r="X79" s="40" t="n">
        <v>77.7</v>
      </c>
      <c r="Y79" s="40" t="n">
        <v>83.58</v>
      </c>
      <c r="Z79" s="40" t="n">
        <v>90.2</v>
      </c>
      <c r="AA79" s="40" t="n">
        <v>96.77</v>
      </c>
      <c r="AB79" s="40" t="n">
        <v>109.63</v>
      </c>
      <c r="AC79" s="40" t="n">
        <v>119.5</v>
      </c>
      <c r="AD79" s="40" t="n">
        <v>144.24</v>
      </c>
      <c r="AE79" s="40" t="n">
        <v>155.09</v>
      </c>
      <c r="AF79" s="40" t="n">
        <v>66.69</v>
      </c>
      <c r="AG79" s="40" t="n">
        <v>214.88</v>
      </c>
      <c r="AH79" s="13" t="n">
        <f aca="false">(U79+AH$4*(Resumo!$C$6+Resumo!$C$7+Resumo!$C$8)+Resumo!$C$10*CEILING(AH$3/100,1)+Resumo!$C$9+Resumo!$C$13+Resumo!$C$14*CEILING(AH$3,1))*(1+Resumo!$C$11)-(AH$4*(Resumo!$B$6+Resumo!$B$7)+Resumo!$B$9+Resumo!$B$10*CEILING(AH$3/100,1)+(Resumo!$B$12+Resumo!$B$14)*CEILING(AH$3,1))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79" s="13" t="n">
        <f aca="false">(V79+AI$4*(Resumo!$C$6+Resumo!$C$7+Resumo!$C$8)+Resumo!$C$10*CEILING(AI$3/100,1)+Resumo!$C$9+Resumo!$C$13+Resumo!$C$14*CEILING(AI$3,1))*(1+Resumo!$C$11)-(AI$4*(Resumo!$B$6+Resumo!$B$7)+Resumo!$B$9+Resumo!$B$10*CEILING(AI$3/100,1)+(Resumo!$B$12+Resumo!$B$14)*CEILING(AI$3,1))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79" s="13" t="n">
        <f aca="false">(W79+AJ$4*(Resumo!$C$6+Resumo!$C$7+Resumo!$C$8)+Resumo!$C$10*CEILING(AJ$3/100,1)+Resumo!$C$9+Resumo!$C$13+Resumo!$C$14*CEILING(AJ$3,1))*(1+Resumo!$C$11)-(AJ$4*(Resumo!$B$6+Resumo!$B$7)+Resumo!$B$9+Resumo!$B$10*CEILING(AJ$3/100,1)+(Resumo!$B$12+Resumo!$B$14)*CEILING(AJ$3,1))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79" s="13" t="n">
        <f aca="false">(X79+AK$4*(Resumo!$C$6+Resumo!$C$7+Resumo!$C$8)+Resumo!$C$10*CEILING(AK$3/100,1)+Resumo!$C$9+Resumo!$C$13+Resumo!$C$14*CEILING(AK$3,1))*(1+Resumo!$C$11)-(AK$4*(Resumo!$B$6+Resumo!$B$7)+Resumo!$B$9+Resumo!$B$10*CEILING(AK$3/100,1)+(Resumo!$B$12+Resumo!$B$14)*CEILING(AK$3,1))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79" s="13" t="n">
        <f aca="false">(Y79+AL$4*(Resumo!$C$6+Resumo!$C$7+Resumo!$C$8)+Resumo!$C$10*CEILING(AL$3/100,1)+Resumo!$C$9+Resumo!$C$13+Resumo!$C$14*CEILING(AL$3,1))*(1+Resumo!$C$11)-(AL$4*(Resumo!$B$6+Resumo!$B$7)+Resumo!$B$9+Resumo!$B$10*CEILING(AL$3/100,1)+(Resumo!$B$12+Resumo!$B$14)*CEILING(AL$3,1))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79" s="13" t="n">
        <f aca="false">(Z79+AM$4*(Resumo!$C$6+Resumo!$C$7+Resumo!$C$8)+Resumo!$C$10*CEILING(AM$3/100,1)+Resumo!$C$9+Resumo!$C$13+Resumo!$C$14*CEILING(AM$3,1))*(1+Resumo!$C$11)-(AM$4*(Resumo!$B$6+Resumo!$B$7)+Resumo!$B$9+Resumo!$B$10*CEILING(AM$3/100,1)+(Resumo!$B$12+Resumo!$B$14)*CEILING(AM$3,1))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79" s="13" t="n">
        <f aca="false">(AA79+AN$4*(Resumo!$C$6+Resumo!$C$7+Resumo!$C$8)+Resumo!$C$10*CEILING(AN$3/100,1)+Resumo!$C$9+Resumo!$C$13+Resumo!$C$14*CEILING(AN$3,1))*(1+Resumo!$C$11)-(AN$4*(Resumo!$B$6+Resumo!$B$7)+Resumo!$B$9+Resumo!$B$10*CEILING(AN$3/100,1)+(Resumo!$B$12+Resumo!$B$14)*CEILING(AN$3,1))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79" s="13" t="n">
        <f aca="false">(AB79+AO$4*(Resumo!$C$6+Resumo!$C$7+Resumo!$C$8)+Resumo!$C$10*CEILING(AO$3/100,1)+Resumo!$C$9+Resumo!$C$13+Resumo!$C$14*CEILING(AO$3,1))*(1+Resumo!$C$11)-(AO$4*(Resumo!$B$6+Resumo!$B$7)+Resumo!$B$9+Resumo!$B$10*CEILING(AO$3/100,1)+(Resumo!$B$12+Resumo!$B$14)*CEILING(AO$3,1))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79" s="13" t="n">
        <f aca="false">(AC79+AP$4*(Resumo!$C$6+Resumo!$C$7+Resumo!$C$8)+Resumo!$C$10*CEILING(AP$3/100,1)+Resumo!$C$9+Resumo!$C$13+Resumo!$C$14*CEILING(AP$3,1))*(1+Resumo!$C$11)-(AP$4*(Resumo!$B$6+Resumo!$B$7)+Resumo!$B$9+Resumo!$B$10*CEILING(AP$3/100,1)+(Resumo!$B$12+Resumo!$B$14)*CEILING(AP$3,1))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79" s="13" t="n">
        <f aca="false">(AD79+AQ$4*(Resumo!$C$6+Resumo!$C$7+Resumo!$C$8)+Resumo!$C$10*CEILING(AQ$3/100,1)+Resumo!$C$9+Resumo!$C$13+Resumo!$C$14*CEILING(AQ$3,1))*(1+Resumo!$C$11)-(AQ$4*(Resumo!$B$6+Resumo!$B$7)+Resumo!$B$9+Resumo!$B$10*CEILING(AQ$3/100,1)+(Resumo!$B$12+Resumo!$B$14)*CEILING(AQ$3,1))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79" s="13" t="n">
        <f aca="false">(AE79+AR$4*(Resumo!$C$6+Resumo!$C$7+Resumo!$C$8)+Resumo!$C$10*CEILING(AR$3/100,1)+Resumo!$C$9+Resumo!$C$13+Resumo!$C$14*CEILING(AR$3,1))*(1+Resumo!$C$11)-(AR$4*(Resumo!$B$6+Resumo!$B$7)+Resumo!$B$9+Resumo!$B$10*CEILING(AR$3/100,1)+(Resumo!$B$12+Resumo!$B$14)*CEILING(AR$3,1))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79" s="13" t="n">
        <f aca="false">(AF79+AS$4*(Resumo!$C$6+Resumo!$C$7+Resumo!$C$8)+Resumo!$C$10*CEILING(AS$3/100,1)+Resumo!$C$9+Resumo!$C$13+Resumo!$C$14*CEILING(AS$3,1))*(1+Resumo!$C$11)-(AS$4*(Resumo!$B$6+Resumo!$B$7)+Resumo!$B$9+Resumo!$B$10*CEILING(AS$3/100,1)+(Resumo!$B$12+Resumo!$B$14)*CEILING(AS$3,1))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79" s="13" t="n">
        <f aca="false">(AG79+AT$4*(Resumo!$C$6+Resumo!$C$7+Resumo!$C$8)+Resumo!$C$10*CEILING(AT$3/100,1)+Resumo!$C$9+Resumo!$C$13+Resumo!$C$14*CEILING(AT$3,1))*(1+Resumo!$C$11)-(AT$4*(Resumo!$B$6+Resumo!$B$7)+Resumo!$B$9+Resumo!$B$10*CEILING(AT$3/100,1)+(Resumo!$B$12+Resumo!$B$14)*CEILING(AT$3,1))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79" s="44" t="n">
        <f aca="false">1-AH79/H79</f>
        <v>0.480447881558527</v>
      </c>
      <c r="AV79" s="44" t="n">
        <f aca="false">1-AI79/I79</f>
        <v>0.391361508578081</v>
      </c>
      <c r="AW79" s="44" t="n">
        <f aca="false">1-AJ79/J79</f>
        <v>0.34451856798356</v>
      </c>
      <c r="AX79" s="44" t="n">
        <f aca="false">1-AK79/K79</f>
        <v>0.372260264988487</v>
      </c>
      <c r="AY79" s="44" t="n">
        <f aca="false">1-AL79/L79</f>
        <v>0.375400399837138</v>
      </c>
      <c r="AZ79" s="44" t="n">
        <f aca="false">1-AM79/M79</f>
        <v>0.420709229511831</v>
      </c>
      <c r="BA79" s="44" t="n">
        <f aca="false">1-AN79/N79</f>
        <v>0.382642225835592</v>
      </c>
      <c r="BB79" s="44" t="n">
        <f aca="false">1-AO79/O79</f>
        <v>0.419232633445788</v>
      </c>
      <c r="BC79" s="44" t="n">
        <f aca="false">1-AP79/P79</f>
        <v>0.493280443868681</v>
      </c>
      <c r="BD79" s="44" t="n">
        <f aca="false">1-AQ79/Q79</f>
        <v>0.455794679894486</v>
      </c>
      <c r="BE79" s="44" t="n">
        <f aca="false">1-AR79/R79</f>
        <v>0.489018797268033</v>
      </c>
      <c r="BF79" s="44" t="n">
        <f aca="false">1-AS79/S79</f>
        <v>0.820478024467603</v>
      </c>
      <c r="BG79" s="44" t="n">
        <f aca="false">1-AT79/T79</f>
        <v>0.528263860444042</v>
      </c>
    </row>
    <row r="80" customFormat="false" ht="15" hidden="false" customHeight="false" outlineLevel="0" collapsed="false">
      <c r="A80" s="10" t="s">
        <v>261</v>
      </c>
      <c r="B80" s="10" t="s">
        <v>325</v>
      </c>
      <c r="C80" s="58" t="n">
        <v>28637000</v>
      </c>
      <c r="D80" s="58" t="n">
        <v>28639999</v>
      </c>
      <c r="E80" s="10" t="s">
        <v>24</v>
      </c>
      <c r="F80" s="10" t="s">
        <v>266</v>
      </c>
      <c r="G80" s="10" t="n">
        <f aca="false">COUNTIFS(Pedidos!$C$2:$C$2224,"&gt;="&amp;C80,Pedidos!$C$2:$C$2224,"&lt;="&amp;D80)</f>
        <v>3</v>
      </c>
      <c r="H80" s="40" t="n">
        <v>106.53</v>
      </c>
      <c r="I80" s="40" t="n">
        <v>120.78</v>
      </c>
      <c r="J80" s="40" t="n">
        <v>125.63</v>
      </c>
      <c r="K80" s="40" t="n">
        <v>135.03</v>
      </c>
      <c r="L80" s="40" t="n">
        <v>144.53</v>
      </c>
      <c r="M80" s="40" t="n">
        <v>166.05</v>
      </c>
      <c r="N80" s="40" t="n">
        <v>166.05</v>
      </c>
      <c r="O80" s="40" t="n">
        <v>197.35</v>
      </c>
      <c r="P80" s="40" t="n">
        <v>236.82</v>
      </c>
      <c r="Q80" s="40" t="n">
        <v>264.84</v>
      </c>
      <c r="R80" s="40" t="n">
        <v>300.15</v>
      </c>
      <c r="S80" s="40" t="n">
        <v>353.12</v>
      </c>
      <c r="T80" s="40" t="n">
        <v>441.4</v>
      </c>
      <c r="U80" s="40" t="n">
        <v>46.95</v>
      </c>
      <c r="V80" s="40" t="n">
        <v>65.63</v>
      </c>
      <c r="W80" s="40" t="n">
        <v>74.97</v>
      </c>
      <c r="X80" s="40" t="n">
        <v>77.7</v>
      </c>
      <c r="Y80" s="40" t="n">
        <v>83.58</v>
      </c>
      <c r="Z80" s="40" t="n">
        <v>90.2</v>
      </c>
      <c r="AA80" s="40" t="n">
        <v>96.77</v>
      </c>
      <c r="AB80" s="40" t="n">
        <v>109.63</v>
      </c>
      <c r="AC80" s="40" t="n">
        <v>119.5</v>
      </c>
      <c r="AD80" s="40" t="n">
        <v>144.24</v>
      </c>
      <c r="AE80" s="40" t="n">
        <v>155.09</v>
      </c>
      <c r="AF80" s="40" t="n">
        <v>66.69</v>
      </c>
      <c r="AG80" s="40" t="n">
        <v>214.88</v>
      </c>
      <c r="AH80" s="13" t="n">
        <f aca="false">(U80+AH$4*(Resumo!$C$6+Resumo!$C$7+Resumo!$C$8)+Resumo!$C$10*CEILING(AH$3/100,1)+Resumo!$C$9+Resumo!$C$13+Resumo!$C$14*CEILING(AH$3,1))*(1+Resumo!$C$11)-(AH$4*(Resumo!$B$6+Resumo!$B$7)+Resumo!$B$9+Resumo!$B$10*CEILING(AH$3/100,1)+(Resumo!$B$12+Resumo!$B$14)*CEILING(AH$3,1))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0" s="13" t="n">
        <f aca="false">(V80+AI$4*(Resumo!$C$6+Resumo!$C$7+Resumo!$C$8)+Resumo!$C$10*CEILING(AI$3/100,1)+Resumo!$C$9+Resumo!$C$13+Resumo!$C$14*CEILING(AI$3,1))*(1+Resumo!$C$11)-(AI$4*(Resumo!$B$6+Resumo!$B$7)+Resumo!$B$9+Resumo!$B$10*CEILING(AI$3/100,1)+(Resumo!$B$12+Resumo!$B$14)*CEILING(AI$3,1))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0" s="13" t="n">
        <f aca="false">(W80+AJ$4*(Resumo!$C$6+Resumo!$C$7+Resumo!$C$8)+Resumo!$C$10*CEILING(AJ$3/100,1)+Resumo!$C$9+Resumo!$C$13+Resumo!$C$14*CEILING(AJ$3,1))*(1+Resumo!$C$11)-(AJ$4*(Resumo!$B$6+Resumo!$B$7)+Resumo!$B$9+Resumo!$B$10*CEILING(AJ$3/100,1)+(Resumo!$B$12+Resumo!$B$14)*CEILING(AJ$3,1))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0" s="13" t="n">
        <f aca="false">(X80+AK$4*(Resumo!$C$6+Resumo!$C$7+Resumo!$C$8)+Resumo!$C$10*CEILING(AK$3/100,1)+Resumo!$C$9+Resumo!$C$13+Resumo!$C$14*CEILING(AK$3,1))*(1+Resumo!$C$11)-(AK$4*(Resumo!$B$6+Resumo!$B$7)+Resumo!$B$9+Resumo!$B$10*CEILING(AK$3/100,1)+(Resumo!$B$12+Resumo!$B$14)*CEILING(AK$3,1))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0" s="13" t="n">
        <f aca="false">(Y80+AL$4*(Resumo!$C$6+Resumo!$C$7+Resumo!$C$8)+Resumo!$C$10*CEILING(AL$3/100,1)+Resumo!$C$9+Resumo!$C$13+Resumo!$C$14*CEILING(AL$3,1))*(1+Resumo!$C$11)-(AL$4*(Resumo!$B$6+Resumo!$B$7)+Resumo!$B$9+Resumo!$B$10*CEILING(AL$3/100,1)+(Resumo!$B$12+Resumo!$B$14)*CEILING(AL$3,1))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0" s="13" t="n">
        <f aca="false">(Z80+AM$4*(Resumo!$C$6+Resumo!$C$7+Resumo!$C$8)+Resumo!$C$10*CEILING(AM$3/100,1)+Resumo!$C$9+Resumo!$C$13+Resumo!$C$14*CEILING(AM$3,1))*(1+Resumo!$C$11)-(AM$4*(Resumo!$B$6+Resumo!$B$7)+Resumo!$B$9+Resumo!$B$10*CEILING(AM$3/100,1)+(Resumo!$B$12+Resumo!$B$14)*CEILING(AM$3,1))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0" s="13" t="n">
        <f aca="false">(AA80+AN$4*(Resumo!$C$6+Resumo!$C$7+Resumo!$C$8)+Resumo!$C$10*CEILING(AN$3/100,1)+Resumo!$C$9+Resumo!$C$13+Resumo!$C$14*CEILING(AN$3,1))*(1+Resumo!$C$11)-(AN$4*(Resumo!$B$6+Resumo!$B$7)+Resumo!$B$9+Resumo!$B$10*CEILING(AN$3/100,1)+(Resumo!$B$12+Resumo!$B$14)*CEILING(AN$3,1))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0" s="13" t="n">
        <f aca="false">(AB80+AO$4*(Resumo!$C$6+Resumo!$C$7+Resumo!$C$8)+Resumo!$C$10*CEILING(AO$3/100,1)+Resumo!$C$9+Resumo!$C$13+Resumo!$C$14*CEILING(AO$3,1))*(1+Resumo!$C$11)-(AO$4*(Resumo!$B$6+Resumo!$B$7)+Resumo!$B$9+Resumo!$B$10*CEILING(AO$3/100,1)+(Resumo!$B$12+Resumo!$B$14)*CEILING(AO$3,1))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0" s="13" t="n">
        <f aca="false">(AC80+AP$4*(Resumo!$C$6+Resumo!$C$7+Resumo!$C$8)+Resumo!$C$10*CEILING(AP$3/100,1)+Resumo!$C$9+Resumo!$C$13+Resumo!$C$14*CEILING(AP$3,1))*(1+Resumo!$C$11)-(AP$4*(Resumo!$B$6+Resumo!$B$7)+Resumo!$B$9+Resumo!$B$10*CEILING(AP$3/100,1)+(Resumo!$B$12+Resumo!$B$14)*CEILING(AP$3,1))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0" s="13" t="n">
        <f aca="false">(AD80+AQ$4*(Resumo!$C$6+Resumo!$C$7+Resumo!$C$8)+Resumo!$C$10*CEILING(AQ$3/100,1)+Resumo!$C$9+Resumo!$C$13+Resumo!$C$14*CEILING(AQ$3,1))*(1+Resumo!$C$11)-(AQ$4*(Resumo!$B$6+Resumo!$B$7)+Resumo!$B$9+Resumo!$B$10*CEILING(AQ$3/100,1)+(Resumo!$B$12+Resumo!$B$14)*CEILING(AQ$3,1))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0" s="13" t="n">
        <f aca="false">(AE80+AR$4*(Resumo!$C$6+Resumo!$C$7+Resumo!$C$8)+Resumo!$C$10*CEILING(AR$3/100,1)+Resumo!$C$9+Resumo!$C$13+Resumo!$C$14*CEILING(AR$3,1))*(1+Resumo!$C$11)-(AR$4*(Resumo!$B$6+Resumo!$B$7)+Resumo!$B$9+Resumo!$B$10*CEILING(AR$3/100,1)+(Resumo!$B$12+Resumo!$B$14)*CEILING(AR$3,1))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0" s="13" t="n">
        <f aca="false">(AF80+AS$4*(Resumo!$C$6+Resumo!$C$7+Resumo!$C$8)+Resumo!$C$10*CEILING(AS$3/100,1)+Resumo!$C$9+Resumo!$C$13+Resumo!$C$14*CEILING(AS$3,1))*(1+Resumo!$C$11)-(AS$4*(Resumo!$B$6+Resumo!$B$7)+Resumo!$B$9+Resumo!$B$10*CEILING(AS$3/100,1)+(Resumo!$B$12+Resumo!$B$14)*CEILING(AS$3,1))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0" s="13" t="n">
        <f aca="false">(AG80+AT$4*(Resumo!$C$6+Resumo!$C$7+Resumo!$C$8)+Resumo!$C$10*CEILING(AT$3/100,1)+Resumo!$C$9+Resumo!$C$13+Resumo!$C$14*CEILING(AT$3,1))*(1+Resumo!$C$11)-(AT$4*(Resumo!$B$6+Resumo!$B$7)+Resumo!$B$9+Resumo!$B$10*CEILING(AT$3/100,1)+(Resumo!$B$12+Resumo!$B$14)*CEILING(AT$3,1))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0" s="44" t="n">
        <f aca="false">1-AH80/H80</f>
        <v>0.480447881558527</v>
      </c>
      <c r="AV80" s="44" t="n">
        <f aca="false">1-AI80/I80</f>
        <v>0.391361508578081</v>
      </c>
      <c r="AW80" s="44" t="n">
        <f aca="false">1-AJ80/J80</f>
        <v>0.34451856798356</v>
      </c>
      <c r="AX80" s="44" t="n">
        <f aca="false">1-AK80/K80</f>
        <v>0.372260264988487</v>
      </c>
      <c r="AY80" s="44" t="n">
        <f aca="false">1-AL80/L80</f>
        <v>0.375400399837138</v>
      </c>
      <c r="AZ80" s="44" t="n">
        <f aca="false">1-AM80/M80</f>
        <v>0.420709229511831</v>
      </c>
      <c r="BA80" s="44" t="n">
        <f aca="false">1-AN80/N80</f>
        <v>0.382642225835592</v>
      </c>
      <c r="BB80" s="44" t="n">
        <f aca="false">1-AO80/O80</f>
        <v>0.419232633445788</v>
      </c>
      <c r="BC80" s="44" t="n">
        <f aca="false">1-AP80/P80</f>
        <v>0.493280443868681</v>
      </c>
      <c r="BD80" s="44" t="n">
        <f aca="false">1-AQ80/Q80</f>
        <v>0.455794679894486</v>
      </c>
      <c r="BE80" s="44" t="n">
        <f aca="false">1-AR80/R80</f>
        <v>0.489018797268033</v>
      </c>
      <c r="BF80" s="44" t="n">
        <f aca="false">1-AS80/S80</f>
        <v>0.820478024467603</v>
      </c>
      <c r="BG80" s="44" t="n">
        <f aca="false">1-AT80/T80</f>
        <v>0.528263860444042</v>
      </c>
    </row>
    <row r="81" customFormat="false" ht="15" hidden="false" customHeight="false" outlineLevel="0" collapsed="false">
      <c r="A81" s="10" t="s">
        <v>261</v>
      </c>
      <c r="B81" s="10" t="s">
        <v>326</v>
      </c>
      <c r="C81" s="58" t="n">
        <v>28640000</v>
      </c>
      <c r="D81" s="58" t="n">
        <v>28649999</v>
      </c>
      <c r="E81" s="10" t="s">
        <v>24</v>
      </c>
      <c r="F81" s="10" t="s">
        <v>266</v>
      </c>
      <c r="G81" s="10" t="n">
        <f aca="false">COUNTIFS(Pedidos!$C$2:$C$2224,"&gt;="&amp;C81,Pedidos!$C$2:$C$2224,"&lt;="&amp;D81)</f>
        <v>0</v>
      </c>
      <c r="H81" s="40" t="n">
        <v>106.53</v>
      </c>
      <c r="I81" s="40" t="n">
        <v>120.78</v>
      </c>
      <c r="J81" s="40" t="n">
        <v>125.63</v>
      </c>
      <c r="K81" s="40" t="n">
        <v>135.03</v>
      </c>
      <c r="L81" s="40" t="n">
        <v>144.53</v>
      </c>
      <c r="M81" s="40" t="n">
        <v>166.05</v>
      </c>
      <c r="N81" s="40" t="n">
        <v>166.05</v>
      </c>
      <c r="O81" s="40" t="n">
        <v>197.35</v>
      </c>
      <c r="P81" s="40" t="n">
        <v>236.82</v>
      </c>
      <c r="Q81" s="40" t="n">
        <v>264.84</v>
      </c>
      <c r="R81" s="40" t="n">
        <v>300.15</v>
      </c>
      <c r="S81" s="40" t="n">
        <v>353.12</v>
      </c>
      <c r="T81" s="40" t="n">
        <v>441.4</v>
      </c>
      <c r="U81" s="40" t="n">
        <v>46.95</v>
      </c>
      <c r="V81" s="40" t="n">
        <v>65.63</v>
      </c>
      <c r="W81" s="40" t="n">
        <v>74.97</v>
      </c>
      <c r="X81" s="40" t="n">
        <v>77.7</v>
      </c>
      <c r="Y81" s="40" t="n">
        <v>83.58</v>
      </c>
      <c r="Z81" s="40" t="n">
        <v>90.2</v>
      </c>
      <c r="AA81" s="40" t="n">
        <v>96.77</v>
      </c>
      <c r="AB81" s="40" t="n">
        <v>109.63</v>
      </c>
      <c r="AC81" s="40" t="n">
        <v>119.5</v>
      </c>
      <c r="AD81" s="40" t="n">
        <v>144.24</v>
      </c>
      <c r="AE81" s="40" t="n">
        <v>155.09</v>
      </c>
      <c r="AF81" s="40" t="n">
        <v>66.69</v>
      </c>
      <c r="AG81" s="40" t="n">
        <v>214.88</v>
      </c>
      <c r="AH81" s="13" t="n">
        <f aca="false">(U81+AH$4*(Resumo!$C$6+Resumo!$C$7+Resumo!$C$8)+Resumo!$C$10*CEILING(AH$3/100,1)+Resumo!$C$9+Resumo!$C$13+Resumo!$C$14*CEILING(AH$3,1))*(1+Resumo!$C$11)-(AH$4*(Resumo!$B$6+Resumo!$B$7)+Resumo!$B$9+Resumo!$B$10*CEILING(AH$3/100,1)+(Resumo!$B$12+Resumo!$B$14)*CEILING(AH$3,1))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1" s="13" t="n">
        <f aca="false">(V81+AI$4*(Resumo!$C$6+Resumo!$C$7+Resumo!$C$8)+Resumo!$C$10*CEILING(AI$3/100,1)+Resumo!$C$9+Resumo!$C$13+Resumo!$C$14*CEILING(AI$3,1))*(1+Resumo!$C$11)-(AI$4*(Resumo!$B$6+Resumo!$B$7)+Resumo!$B$9+Resumo!$B$10*CEILING(AI$3/100,1)+(Resumo!$B$12+Resumo!$B$14)*CEILING(AI$3,1))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1" s="13" t="n">
        <f aca="false">(W81+AJ$4*(Resumo!$C$6+Resumo!$C$7+Resumo!$C$8)+Resumo!$C$10*CEILING(AJ$3/100,1)+Resumo!$C$9+Resumo!$C$13+Resumo!$C$14*CEILING(AJ$3,1))*(1+Resumo!$C$11)-(AJ$4*(Resumo!$B$6+Resumo!$B$7)+Resumo!$B$9+Resumo!$B$10*CEILING(AJ$3/100,1)+(Resumo!$B$12+Resumo!$B$14)*CEILING(AJ$3,1))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1" s="13" t="n">
        <f aca="false">(X81+AK$4*(Resumo!$C$6+Resumo!$C$7+Resumo!$C$8)+Resumo!$C$10*CEILING(AK$3/100,1)+Resumo!$C$9+Resumo!$C$13+Resumo!$C$14*CEILING(AK$3,1))*(1+Resumo!$C$11)-(AK$4*(Resumo!$B$6+Resumo!$B$7)+Resumo!$B$9+Resumo!$B$10*CEILING(AK$3/100,1)+(Resumo!$B$12+Resumo!$B$14)*CEILING(AK$3,1))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1" s="13" t="n">
        <f aca="false">(Y81+AL$4*(Resumo!$C$6+Resumo!$C$7+Resumo!$C$8)+Resumo!$C$10*CEILING(AL$3/100,1)+Resumo!$C$9+Resumo!$C$13+Resumo!$C$14*CEILING(AL$3,1))*(1+Resumo!$C$11)-(AL$4*(Resumo!$B$6+Resumo!$B$7)+Resumo!$B$9+Resumo!$B$10*CEILING(AL$3/100,1)+(Resumo!$B$12+Resumo!$B$14)*CEILING(AL$3,1))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1" s="13" t="n">
        <f aca="false">(Z81+AM$4*(Resumo!$C$6+Resumo!$C$7+Resumo!$C$8)+Resumo!$C$10*CEILING(AM$3/100,1)+Resumo!$C$9+Resumo!$C$13+Resumo!$C$14*CEILING(AM$3,1))*(1+Resumo!$C$11)-(AM$4*(Resumo!$B$6+Resumo!$B$7)+Resumo!$B$9+Resumo!$B$10*CEILING(AM$3/100,1)+(Resumo!$B$12+Resumo!$B$14)*CEILING(AM$3,1))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1" s="13" t="n">
        <f aca="false">(AA81+AN$4*(Resumo!$C$6+Resumo!$C$7+Resumo!$C$8)+Resumo!$C$10*CEILING(AN$3/100,1)+Resumo!$C$9+Resumo!$C$13+Resumo!$C$14*CEILING(AN$3,1))*(1+Resumo!$C$11)-(AN$4*(Resumo!$B$6+Resumo!$B$7)+Resumo!$B$9+Resumo!$B$10*CEILING(AN$3/100,1)+(Resumo!$B$12+Resumo!$B$14)*CEILING(AN$3,1))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1" s="13" t="n">
        <f aca="false">(AB81+AO$4*(Resumo!$C$6+Resumo!$C$7+Resumo!$C$8)+Resumo!$C$10*CEILING(AO$3/100,1)+Resumo!$C$9+Resumo!$C$13+Resumo!$C$14*CEILING(AO$3,1))*(1+Resumo!$C$11)-(AO$4*(Resumo!$B$6+Resumo!$B$7)+Resumo!$B$9+Resumo!$B$10*CEILING(AO$3/100,1)+(Resumo!$B$12+Resumo!$B$14)*CEILING(AO$3,1))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1" s="13" t="n">
        <f aca="false">(AC81+AP$4*(Resumo!$C$6+Resumo!$C$7+Resumo!$C$8)+Resumo!$C$10*CEILING(AP$3/100,1)+Resumo!$C$9+Resumo!$C$13+Resumo!$C$14*CEILING(AP$3,1))*(1+Resumo!$C$11)-(AP$4*(Resumo!$B$6+Resumo!$B$7)+Resumo!$B$9+Resumo!$B$10*CEILING(AP$3/100,1)+(Resumo!$B$12+Resumo!$B$14)*CEILING(AP$3,1))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1" s="13" t="n">
        <f aca="false">(AD81+AQ$4*(Resumo!$C$6+Resumo!$C$7+Resumo!$C$8)+Resumo!$C$10*CEILING(AQ$3/100,1)+Resumo!$C$9+Resumo!$C$13+Resumo!$C$14*CEILING(AQ$3,1))*(1+Resumo!$C$11)-(AQ$4*(Resumo!$B$6+Resumo!$B$7)+Resumo!$B$9+Resumo!$B$10*CEILING(AQ$3/100,1)+(Resumo!$B$12+Resumo!$B$14)*CEILING(AQ$3,1))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1" s="13" t="n">
        <f aca="false">(AE81+AR$4*(Resumo!$C$6+Resumo!$C$7+Resumo!$C$8)+Resumo!$C$10*CEILING(AR$3/100,1)+Resumo!$C$9+Resumo!$C$13+Resumo!$C$14*CEILING(AR$3,1))*(1+Resumo!$C$11)-(AR$4*(Resumo!$B$6+Resumo!$B$7)+Resumo!$B$9+Resumo!$B$10*CEILING(AR$3/100,1)+(Resumo!$B$12+Resumo!$B$14)*CEILING(AR$3,1))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1" s="13" t="n">
        <f aca="false">(AF81+AS$4*(Resumo!$C$6+Resumo!$C$7+Resumo!$C$8)+Resumo!$C$10*CEILING(AS$3/100,1)+Resumo!$C$9+Resumo!$C$13+Resumo!$C$14*CEILING(AS$3,1))*(1+Resumo!$C$11)-(AS$4*(Resumo!$B$6+Resumo!$B$7)+Resumo!$B$9+Resumo!$B$10*CEILING(AS$3/100,1)+(Resumo!$B$12+Resumo!$B$14)*CEILING(AS$3,1))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1" s="13" t="n">
        <f aca="false">(AG81+AT$4*(Resumo!$C$6+Resumo!$C$7+Resumo!$C$8)+Resumo!$C$10*CEILING(AT$3/100,1)+Resumo!$C$9+Resumo!$C$13+Resumo!$C$14*CEILING(AT$3,1))*(1+Resumo!$C$11)-(AT$4*(Resumo!$B$6+Resumo!$B$7)+Resumo!$B$9+Resumo!$B$10*CEILING(AT$3/100,1)+(Resumo!$B$12+Resumo!$B$14)*CEILING(AT$3,1))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1" s="44" t="n">
        <f aca="false">1-AH81/H81</f>
        <v>0.480447881558527</v>
      </c>
      <c r="AV81" s="44" t="n">
        <f aca="false">1-AI81/I81</f>
        <v>0.391361508578081</v>
      </c>
      <c r="AW81" s="44" t="n">
        <f aca="false">1-AJ81/J81</f>
        <v>0.34451856798356</v>
      </c>
      <c r="AX81" s="44" t="n">
        <f aca="false">1-AK81/K81</f>
        <v>0.372260264988487</v>
      </c>
      <c r="AY81" s="44" t="n">
        <f aca="false">1-AL81/L81</f>
        <v>0.375400399837138</v>
      </c>
      <c r="AZ81" s="44" t="n">
        <f aca="false">1-AM81/M81</f>
        <v>0.420709229511831</v>
      </c>
      <c r="BA81" s="44" t="n">
        <f aca="false">1-AN81/N81</f>
        <v>0.382642225835592</v>
      </c>
      <c r="BB81" s="44" t="n">
        <f aca="false">1-AO81/O81</f>
        <v>0.419232633445788</v>
      </c>
      <c r="BC81" s="44" t="n">
        <f aca="false">1-AP81/P81</f>
        <v>0.493280443868681</v>
      </c>
      <c r="BD81" s="44" t="n">
        <f aca="false">1-AQ81/Q81</f>
        <v>0.455794679894486</v>
      </c>
      <c r="BE81" s="44" t="n">
        <f aca="false">1-AR81/R81</f>
        <v>0.489018797268033</v>
      </c>
      <c r="BF81" s="44" t="n">
        <f aca="false">1-AS81/S81</f>
        <v>0.820478024467603</v>
      </c>
      <c r="BG81" s="44" t="n">
        <f aca="false">1-AT81/T81</f>
        <v>0.528263860444042</v>
      </c>
    </row>
    <row r="82" customFormat="false" ht="15" hidden="false" customHeight="false" outlineLevel="0" collapsed="false">
      <c r="A82" s="10" t="s">
        <v>261</v>
      </c>
      <c r="B82" s="10" t="s">
        <v>327</v>
      </c>
      <c r="C82" s="58" t="n">
        <v>28650000</v>
      </c>
      <c r="D82" s="58" t="n">
        <v>28659999</v>
      </c>
      <c r="E82" s="10" t="s">
        <v>24</v>
      </c>
      <c r="F82" s="10" t="s">
        <v>266</v>
      </c>
      <c r="G82" s="10" t="n">
        <f aca="false">COUNTIFS(Pedidos!$C$2:$C$2224,"&gt;="&amp;C82,Pedidos!$C$2:$C$2224,"&lt;="&amp;D82)</f>
        <v>2</v>
      </c>
      <c r="H82" s="40" t="n">
        <v>106.53</v>
      </c>
      <c r="I82" s="40" t="n">
        <v>120.78</v>
      </c>
      <c r="J82" s="40" t="n">
        <v>125.63</v>
      </c>
      <c r="K82" s="40" t="n">
        <v>135.03</v>
      </c>
      <c r="L82" s="40" t="n">
        <v>144.53</v>
      </c>
      <c r="M82" s="40" t="n">
        <v>166.05</v>
      </c>
      <c r="N82" s="40" t="n">
        <v>166.05</v>
      </c>
      <c r="O82" s="40" t="n">
        <v>197.35</v>
      </c>
      <c r="P82" s="40" t="n">
        <v>236.82</v>
      </c>
      <c r="Q82" s="40" t="n">
        <v>264.84</v>
      </c>
      <c r="R82" s="40" t="n">
        <v>300.15</v>
      </c>
      <c r="S82" s="40" t="n">
        <v>353.12</v>
      </c>
      <c r="T82" s="40" t="n">
        <v>441.4</v>
      </c>
      <c r="U82" s="40" t="n">
        <v>46.95</v>
      </c>
      <c r="V82" s="40" t="n">
        <v>65.63</v>
      </c>
      <c r="W82" s="40" t="n">
        <v>74.97</v>
      </c>
      <c r="X82" s="40" t="n">
        <v>77.7</v>
      </c>
      <c r="Y82" s="40" t="n">
        <v>83.58</v>
      </c>
      <c r="Z82" s="40" t="n">
        <v>90.2</v>
      </c>
      <c r="AA82" s="40" t="n">
        <v>96.77</v>
      </c>
      <c r="AB82" s="40" t="n">
        <v>109.63</v>
      </c>
      <c r="AC82" s="40" t="n">
        <v>119.5</v>
      </c>
      <c r="AD82" s="40" t="n">
        <v>144.24</v>
      </c>
      <c r="AE82" s="40" t="n">
        <v>155.09</v>
      </c>
      <c r="AF82" s="40" t="n">
        <v>66.69</v>
      </c>
      <c r="AG82" s="40" t="n">
        <v>214.88</v>
      </c>
      <c r="AH82" s="13" t="n">
        <f aca="false">(U82+AH$4*(Resumo!$C$6+Resumo!$C$7+Resumo!$C$8)+Resumo!$C$10*CEILING(AH$3/100,1)+Resumo!$C$9+Resumo!$C$13+Resumo!$C$14*CEILING(AH$3,1))*(1+Resumo!$C$11)-(AH$4*(Resumo!$B$6+Resumo!$B$7)+Resumo!$B$9+Resumo!$B$10*CEILING(AH$3/100,1)+(Resumo!$B$12+Resumo!$B$14)*CEILING(AH$3,1))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2" s="13" t="n">
        <f aca="false">(V82+AI$4*(Resumo!$C$6+Resumo!$C$7+Resumo!$C$8)+Resumo!$C$10*CEILING(AI$3/100,1)+Resumo!$C$9+Resumo!$C$13+Resumo!$C$14*CEILING(AI$3,1))*(1+Resumo!$C$11)-(AI$4*(Resumo!$B$6+Resumo!$B$7)+Resumo!$B$9+Resumo!$B$10*CEILING(AI$3/100,1)+(Resumo!$B$12+Resumo!$B$14)*CEILING(AI$3,1))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2" s="13" t="n">
        <f aca="false">(W82+AJ$4*(Resumo!$C$6+Resumo!$C$7+Resumo!$C$8)+Resumo!$C$10*CEILING(AJ$3/100,1)+Resumo!$C$9+Resumo!$C$13+Resumo!$C$14*CEILING(AJ$3,1))*(1+Resumo!$C$11)-(AJ$4*(Resumo!$B$6+Resumo!$B$7)+Resumo!$B$9+Resumo!$B$10*CEILING(AJ$3/100,1)+(Resumo!$B$12+Resumo!$B$14)*CEILING(AJ$3,1))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2" s="13" t="n">
        <f aca="false">(X82+AK$4*(Resumo!$C$6+Resumo!$C$7+Resumo!$C$8)+Resumo!$C$10*CEILING(AK$3/100,1)+Resumo!$C$9+Resumo!$C$13+Resumo!$C$14*CEILING(AK$3,1))*(1+Resumo!$C$11)-(AK$4*(Resumo!$B$6+Resumo!$B$7)+Resumo!$B$9+Resumo!$B$10*CEILING(AK$3/100,1)+(Resumo!$B$12+Resumo!$B$14)*CEILING(AK$3,1))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2" s="13" t="n">
        <f aca="false">(Y82+AL$4*(Resumo!$C$6+Resumo!$C$7+Resumo!$C$8)+Resumo!$C$10*CEILING(AL$3/100,1)+Resumo!$C$9+Resumo!$C$13+Resumo!$C$14*CEILING(AL$3,1))*(1+Resumo!$C$11)-(AL$4*(Resumo!$B$6+Resumo!$B$7)+Resumo!$B$9+Resumo!$B$10*CEILING(AL$3/100,1)+(Resumo!$B$12+Resumo!$B$14)*CEILING(AL$3,1))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2" s="13" t="n">
        <f aca="false">(Z82+AM$4*(Resumo!$C$6+Resumo!$C$7+Resumo!$C$8)+Resumo!$C$10*CEILING(AM$3/100,1)+Resumo!$C$9+Resumo!$C$13+Resumo!$C$14*CEILING(AM$3,1))*(1+Resumo!$C$11)-(AM$4*(Resumo!$B$6+Resumo!$B$7)+Resumo!$B$9+Resumo!$B$10*CEILING(AM$3/100,1)+(Resumo!$B$12+Resumo!$B$14)*CEILING(AM$3,1))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2" s="13" t="n">
        <f aca="false">(AA82+AN$4*(Resumo!$C$6+Resumo!$C$7+Resumo!$C$8)+Resumo!$C$10*CEILING(AN$3/100,1)+Resumo!$C$9+Resumo!$C$13+Resumo!$C$14*CEILING(AN$3,1))*(1+Resumo!$C$11)-(AN$4*(Resumo!$B$6+Resumo!$B$7)+Resumo!$B$9+Resumo!$B$10*CEILING(AN$3/100,1)+(Resumo!$B$12+Resumo!$B$14)*CEILING(AN$3,1))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2" s="13" t="n">
        <f aca="false">(AB82+AO$4*(Resumo!$C$6+Resumo!$C$7+Resumo!$C$8)+Resumo!$C$10*CEILING(AO$3/100,1)+Resumo!$C$9+Resumo!$C$13+Resumo!$C$14*CEILING(AO$3,1))*(1+Resumo!$C$11)-(AO$4*(Resumo!$B$6+Resumo!$B$7)+Resumo!$B$9+Resumo!$B$10*CEILING(AO$3/100,1)+(Resumo!$B$12+Resumo!$B$14)*CEILING(AO$3,1))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2" s="13" t="n">
        <f aca="false">(AC82+AP$4*(Resumo!$C$6+Resumo!$C$7+Resumo!$C$8)+Resumo!$C$10*CEILING(AP$3/100,1)+Resumo!$C$9+Resumo!$C$13+Resumo!$C$14*CEILING(AP$3,1))*(1+Resumo!$C$11)-(AP$4*(Resumo!$B$6+Resumo!$B$7)+Resumo!$B$9+Resumo!$B$10*CEILING(AP$3/100,1)+(Resumo!$B$12+Resumo!$B$14)*CEILING(AP$3,1))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2" s="13" t="n">
        <f aca="false">(AD82+AQ$4*(Resumo!$C$6+Resumo!$C$7+Resumo!$C$8)+Resumo!$C$10*CEILING(AQ$3/100,1)+Resumo!$C$9+Resumo!$C$13+Resumo!$C$14*CEILING(AQ$3,1))*(1+Resumo!$C$11)-(AQ$4*(Resumo!$B$6+Resumo!$B$7)+Resumo!$B$9+Resumo!$B$10*CEILING(AQ$3/100,1)+(Resumo!$B$12+Resumo!$B$14)*CEILING(AQ$3,1))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2" s="13" t="n">
        <f aca="false">(AE82+AR$4*(Resumo!$C$6+Resumo!$C$7+Resumo!$C$8)+Resumo!$C$10*CEILING(AR$3/100,1)+Resumo!$C$9+Resumo!$C$13+Resumo!$C$14*CEILING(AR$3,1))*(1+Resumo!$C$11)-(AR$4*(Resumo!$B$6+Resumo!$B$7)+Resumo!$B$9+Resumo!$B$10*CEILING(AR$3/100,1)+(Resumo!$B$12+Resumo!$B$14)*CEILING(AR$3,1))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2" s="13" t="n">
        <f aca="false">(AF82+AS$4*(Resumo!$C$6+Resumo!$C$7+Resumo!$C$8)+Resumo!$C$10*CEILING(AS$3/100,1)+Resumo!$C$9+Resumo!$C$13+Resumo!$C$14*CEILING(AS$3,1))*(1+Resumo!$C$11)-(AS$4*(Resumo!$B$6+Resumo!$B$7)+Resumo!$B$9+Resumo!$B$10*CEILING(AS$3/100,1)+(Resumo!$B$12+Resumo!$B$14)*CEILING(AS$3,1))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2" s="13" t="n">
        <f aca="false">(AG82+AT$4*(Resumo!$C$6+Resumo!$C$7+Resumo!$C$8)+Resumo!$C$10*CEILING(AT$3/100,1)+Resumo!$C$9+Resumo!$C$13+Resumo!$C$14*CEILING(AT$3,1))*(1+Resumo!$C$11)-(AT$4*(Resumo!$B$6+Resumo!$B$7)+Resumo!$B$9+Resumo!$B$10*CEILING(AT$3/100,1)+(Resumo!$B$12+Resumo!$B$14)*CEILING(AT$3,1))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2" s="44" t="n">
        <f aca="false">1-AH82/H82</f>
        <v>0.480447881558527</v>
      </c>
      <c r="AV82" s="44" t="n">
        <f aca="false">1-AI82/I82</f>
        <v>0.391361508578081</v>
      </c>
      <c r="AW82" s="44" t="n">
        <f aca="false">1-AJ82/J82</f>
        <v>0.34451856798356</v>
      </c>
      <c r="AX82" s="44" t="n">
        <f aca="false">1-AK82/K82</f>
        <v>0.372260264988487</v>
      </c>
      <c r="AY82" s="44" t="n">
        <f aca="false">1-AL82/L82</f>
        <v>0.375400399837138</v>
      </c>
      <c r="AZ82" s="44" t="n">
        <f aca="false">1-AM82/M82</f>
        <v>0.420709229511831</v>
      </c>
      <c r="BA82" s="44" t="n">
        <f aca="false">1-AN82/N82</f>
        <v>0.382642225835592</v>
      </c>
      <c r="BB82" s="44" t="n">
        <f aca="false">1-AO82/O82</f>
        <v>0.419232633445788</v>
      </c>
      <c r="BC82" s="44" t="n">
        <f aca="false">1-AP82/P82</f>
        <v>0.493280443868681</v>
      </c>
      <c r="BD82" s="44" t="n">
        <f aca="false">1-AQ82/Q82</f>
        <v>0.455794679894486</v>
      </c>
      <c r="BE82" s="44" t="n">
        <f aca="false">1-AR82/R82</f>
        <v>0.489018797268033</v>
      </c>
      <c r="BF82" s="44" t="n">
        <f aca="false">1-AS82/S82</f>
        <v>0.820478024467603</v>
      </c>
      <c r="BG82" s="44" t="n">
        <f aca="false">1-AT82/T82</f>
        <v>0.528263860444042</v>
      </c>
    </row>
    <row r="83" customFormat="false" ht="15" hidden="false" customHeight="false" outlineLevel="0" collapsed="false">
      <c r="A83" s="10" t="s">
        <v>261</v>
      </c>
      <c r="B83" s="10" t="s">
        <v>328</v>
      </c>
      <c r="C83" s="58" t="n">
        <v>28660000</v>
      </c>
      <c r="D83" s="58" t="n">
        <v>28679999</v>
      </c>
      <c r="E83" s="10" t="s">
        <v>24</v>
      </c>
      <c r="F83" s="10" t="s">
        <v>266</v>
      </c>
      <c r="G83" s="10" t="n">
        <f aca="false">COUNTIFS(Pedidos!$C$2:$C$2224,"&gt;="&amp;C83,Pedidos!$C$2:$C$2224,"&lt;="&amp;D83)</f>
        <v>4</v>
      </c>
      <c r="H83" s="40" t="n">
        <v>106.53</v>
      </c>
      <c r="I83" s="40" t="n">
        <v>120.78</v>
      </c>
      <c r="J83" s="40" t="n">
        <v>125.63</v>
      </c>
      <c r="K83" s="40" t="n">
        <v>135.03</v>
      </c>
      <c r="L83" s="40" t="n">
        <v>144.53</v>
      </c>
      <c r="M83" s="40" t="n">
        <v>166.05</v>
      </c>
      <c r="N83" s="40" t="n">
        <v>166.05</v>
      </c>
      <c r="O83" s="40" t="n">
        <v>197.35</v>
      </c>
      <c r="P83" s="40" t="n">
        <v>236.82</v>
      </c>
      <c r="Q83" s="40" t="n">
        <v>264.84</v>
      </c>
      <c r="R83" s="40" t="n">
        <v>300.15</v>
      </c>
      <c r="S83" s="40" t="n">
        <v>353.12</v>
      </c>
      <c r="T83" s="40" t="n">
        <v>441.4</v>
      </c>
      <c r="U83" s="40" t="n">
        <v>46.95</v>
      </c>
      <c r="V83" s="40" t="n">
        <v>65.63</v>
      </c>
      <c r="W83" s="40" t="n">
        <v>74.97</v>
      </c>
      <c r="X83" s="40" t="n">
        <v>77.7</v>
      </c>
      <c r="Y83" s="40" t="n">
        <v>83.58</v>
      </c>
      <c r="Z83" s="40" t="n">
        <v>90.2</v>
      </c>
      <c r="AA83" s="40" t="n">
        <v>96.77</v>
      </c>
      <c r="AB83" s="40" t="n">
        <v>109.63</v>
      </c>
      <c r="AC83" s="40" t="n">
        <v>119.5</v>
      </c>
      <c r="AD83" s="40" t="n">
        <v>144.24</v>
      </c>
      <c r="AE83" s="40" t="n">
        <v>155.09</v>
      </c>
      <c r="AF83" s="40" t="n">
        <v>66.69</v>
      </c>
      <c r="AG83" s="40" t="n">
        <v>214.88</v>
      </c>
      <c r="AH83" s="13" t="n">
        <f aca="false">(U83+AH$4*(Resumo!$C$6+Resumo!$C$7+Resumo!$C$8)+Resumo!$C$10*CEILING(AH$3/100,1)+Resumo!$C$9+Resumo!$C$13+Resumo!$C$14*CEILING(AH$3,1))*(1+Resumo!$C$11)-(AH$4*(Resumo!$B$6+Resumo!$B$7)+Resumo!$B$9+Resumo!$B$10*CEILING(AH$3/100,1)+(Resumo!$B$12+Resumo!$B$14)*CEILING(AH$3,1))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3" s="13" t="n">
        <f aca="false">(V83+AI$4*(Resumo!$C$6+Resumo!$C$7+Resumo!$C$8)+Resumo!$C$10*CEILING(AI$3/100,1)+Resumo!$C$9+Resumo!$C$13+Resumo!$C$14*CEILING(AI$3,1))*(1+Resumo!$C$11)-(AI$4*(Resumo!$B$6+Resumo!$B$7)+Resumo!$B$9+Resumo!$B$10*CEILING(AI$3/100,1)+(Resumo!$B$12+Resumo!$B$14)*CEILING(AI$3,1))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3" s="13" t="n">
        <f aca="false">(W83+AJ$4*(Resumo!$C$6+Resumo!$C$7+Resumo!$C$8)+Resumo!$C$10*CEILING(AJ$3/100,1)+Resumo!$C$9+Resumo!$C$13+Resumo!$C$14*CEILING(AJ$3,1))*(1+Resumo!$C$11)-(AJ$4*(Resumo!$B$6+Resumo!$B$7)+Resumo!$B$9+Resumo!$B$10*CEILING(AJ$3/100,1)+(Resumo!$B$12+Resumo!$B$14)*CEILING(AJ$3,1))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3" s="13" t="n">
        <f aca="false">(X83+AK$4*(Resumo!$C$6+Resumo!$C$7+Resumo!$C$8)+Resumo!$C$10*CEILING(AK$3/100,1)+Resumo!$C$9+Resumo!$C$13+Resumo!$C$14*CEILING(AK$3,1))*(1+Resumo!$C$11)-(AK$4*(Resumo!$B$6+Resumo!$B$7)+Resumo!$B$9+Resumo!$B$10*CEILING(AK$3/100,1)+(Resumo!$B$12+Resumo!$B$14)*CEILING(AK$3,1))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3" s="13" t="n">
        <f aca="false">(Y83+AL$4*(Resumo!$C$6+Resumo!$C$7+Resumo!$C$8)+Resumo!$C$10*CEILING(AL$3/100,1)+Resumo!$C$9+Resumo!$C$13+Resumo!$C$14*CEILING(AL$3,1))*(1+Resumo!$C$11)-(AL$4*(Resumo!$B$6+Resumo!$B$7)+Resumo!$B$9+Resumo!$B$10*CEILING(AL$3/100,1)+(Resumo!$B$12+Resumo!$B$14)*CEILING(AL$3,1))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3" s="13" t="n">
        <f aca="false">(Z83+AM$4*(Resumo!$C$6+Resumo!$C$7+Resumo!$C$8)+Resumo!$C$10*CEILING(AM$3/100,1)+Resumo!$C$9+Resumo!$C$13+Resumo!$C$14*CEILING(AM$3,1))*(1+Resumo!$C$11)-(AM$4*(Resumo!$B$6+Resumo!$B$7)+Resumo!$B$9+Resumo!$B$10*CEILING(AM$3/100,1)+(Resumo!$B$12+Resumo!$B$14)*CEILING(AM$3,1))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3" s="13" t="n">
        <f aca="false">(AA83+AN$4*(Resumo!$C$6+Resumo!$C$7+Resumo!$C$8)+Resumo!$C$10*CEILING(AN$3/100,1)+Resumo!$C$9+Resumo!$C$13+Resumo!$C$14*CEILING(AN$3,1))*(1+Resumo!$C$11)-(AN$4*(Resumo!$B$6+Resumo!$B$7)+Resumo!$B$9+Resumo!$B$10*CEILING(AN$3/100,1)+(Resumo!$B$12+Resumo!$B$14)*CEILING(AN$3,1))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3" s="13" t="n">
        <f aca="false">(AB83+AO$4*(Resumo!$C$6+Resumo!$C$7+Resumo!$C$8)+Resumo!$C$10*CEILING(AO$3/100,1)+Resumo!$C$9+Resumo!$C$13+Resumo!$C$14*CEILING(AO$3,1))*(1+Resumo!$C$11)-(AO$4*(Resumo!$B$6+Resumo!$B$7)+Resumo!$B$9+Resumo!$B$10*CEILING(AO$3/100,1)+(Resumo!$B$12+Resumo!$B$14)*CEILING(AO$3,1))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3" s="13" t="n">
        <f aca="false">(AC83+AP$4*(Resumo!$C$6+Resumo!$C$7+Resumo!$C$8)+Resumo!$C$10*CEILING(AP$3/100,1)+Resumo!$C$9+Resumo!$C$13+Resumo!$C$14*CEILING(AP$3,1))*(1+Resumo!$C$11)-(AP$4*(Resumo!$B$6+Resumo!$B$7)+Resumo!$B$9+Resumo!$B$10*CEILING(AP$3/100,1)+(Resumo!$B$12+Resumo!$B$14)*CEILING(AP$3,1))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3" s="13" t="n">
        <f aca="false">(AD83+AQ$4*(Resumo!$C$6+Resumo!$C$7+Resumo!$C$8)+Resumo!$C$10*CEILING(AQ$3/100,1)+Resumo!$C$9+Resumo!$C$13+Resumo!$C$14*CEILING(AQ$3,1))*(1+Resumo!$C$11)-(AQ$4*(Resumo!$B$6+Resumo!$B$7)+Resumo!$B$9+Resumo!$B$10*CEILING(AQ$3/100,1)+(Resumo!$B$12+Resumo!$B$14)*CEILING(AQ$3,1))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3" s="13" t="n">
        <f aca="false">(AE83+AR$4*(Resumo!$C$6+Resumo!$C$7+Resumo!$C$8)+Resumo!$C$10*CEILING(AR$3/100,1)+Resumo!$C$9+Resumo!$C$13+Resumo!$C$14*CEILING(AR$3,1))*(1+Resumo!$C$11)-(AR$4*(Resumo!$B$6+Resumo!$B$7)+Resumo!$B$9+Resumo!$B$10*CEILING(AR$3/100,1)+(Resumo!$B$12+Resumo!$B$14)*CEILING(AR$3,1))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3" s="13" t="n">
        <f aca="false">(AF83+AS$4*(Resumo!$C$6+Resumo!$C$7+Resumo!$C$8)+Resumo!$C$10*CEILING(AS$3/100,1)+Resumo!$C$9+Resumo!$C$13+Resumo!$C$14*CEILING(AS$3,1))*(1+Resumo!$C$11)-(AS$4*(Resumo!$B$6+Resumo!$B$7)+Resumo!$B$9+Resumo!$B$10*CEILING(AS$3/100,1)+(Resumo!$B$12+Resumo!$B$14)*CEILING(AS$3,1))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3" s="13" t="n">
        <f aca="false">(AG83+AT$4*(Resumo!$C$6+Resumo!$C$7+Resumo!$C$8)+Resumo!$C$10*CEILING(AT$3/100,1)+Resumo!$C$9+Resumo!$C$13+Resumo!$C$14*CEILING(AT$3,1))*(1+Resumo!$C$11)-(AT$4*(Resumo!$B$6+Resumo!$B$7)+Resumo!$B$9+Resumo!$B$10*CEILING(AT$3/100,1)+(Resumo!$B$12+Resumo!$B$14)*CEILING(AT$3,1))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3" s="44" t="n">
        <f aca="false">1-AH83/H83</f>
        <v>0.480447881558527</v>
      </c>
      <c r="AV83" s="44" t="n">
        <f aca="false">1-AI83/I83</f>
        <v>0.391361508578081</v>
      </c>
      <c r="AW83" s="44" t="n">
        <f aca="false">1-AJ83/J83</f>
        <v>0.34451856798356</v>
      </c>
      <c r="AX83" s="44" t="n">
        <f aca="false">1-AK83/K83</f>
        <v>0.372260264988487</v>
      </c>
      <c r="AY83" s="44" t="n">
        <f aca="false">1-AL83/L83</f>
        <v>0.375400399837138</v>
      </c>
      <c r="AZ83" s="44" t="n">
        <f aca="false">1-AM83/M83</f>
        <v>0.420709229511831</v>
      </c>
      <c r="BA83" s="44" t="n">
        <f aca="false">1-AN83/N83</f>
        <v>0.382642225835592</v>
      </c>
      <c r="BB83" s="44" t="n">
        <f aca="false">1-AO83/O83</f>
        <v>0.419232633445788</v>
      </c>
      <c r="BC83" s="44" t="n">
        <f aca="false">1-AP83/P83</f>
        <v>0.493280443868681</v>
      </c>
      <c r="BD83" s="44" t="n">
        <f aca="false">1-AQ83/Q83</f>
        <v>0.455794679894486</v>
      </c>
      <c r="BE83" s="44" t="n">
        <f aca="false">1-AR83/R83</f>
        <v>0.489018797268033</v>
      </c>
      <c r="BF83" s="44" t="n">
        <f aca="false">1-AS83/S83</f>
        <v>0.820478024467603</v>
      </c>
      <c r="BG83" s="44" t="n">
        <f aca="false">1-AT83/T83</f>
        <v>0.528263860444042</v>
      </c>
    </row>
    <row r="84" customFormat="false" ht="15" hidden="false" customHeight="false" outlineLevel="0" collapsed="false">
      <c r="A84" s="10" t="s">
        <v>261</v>
      </c>
      <c r="B84" s="10" t="s">
        <v>329</v>
      </c>
      <c r="C84" s="58" t="n">
        <v>28680000</v>
      </c>
      <c r="D84" s="58" t="n">
        <v>28699999</v>
      </c>
      <c r="E84" s="10" t="s">
        <v>24</v>
      </c>
      <c r="F84" s="10" t="s">
        <v>266</v>
      </c>
      <c r="G84" s="10" t="n">
        <f aca="false">COUNTIFS(Pedidos!$C$2:$C$2224,"&gt;="&amp;C84,Pedidos!$C$2:$C$2224,"&lt;="&amp;D84)</f>
        <v>7</v>
      </c>
      <c r="H84" s="40" t="n">
        <v>106.53</v>
      </c>
      <c r="I84" s="40" t="n">
        <v>120.78</v>
      </c>
      <c r="J84" s="40" t="n">
        <v>125.63</v>
      </c>
      <c r="K84" s="40" t="n">
        <v>135.03</v>
      </c>
      <c r="L84" s="40" t="n">
        <v>144.53</v>
      </c>
      <c r="M84" s="40" t="n">
        <v>166.05</v>
      </c>
      <c r="N84" s="40" t="n">
        <v>166.05</v>
      </c>
      <c r="O84" s="40" t="n">
        <v>197.35</v>
      </c>
      <c r="P84" s="40" t="n">
        <v>236.82</v>
      </c>
      <c r="Q84" s="40" t="n">
        <v>264.84</v>
      </c>
      <c r="R84" s="40" t="n">
        <v>300.15</v>
      </c>
      <c r="S84" s="40" t="n">
        <v>353.12</v>
      </c>
      <c r="T84" s="40" t="n">
        <v>441.4</v>
      </c>
      <c r="U84" s="40" t="n">
        <v>46.95</v>
      </c>
      <c r="V84" s="40" t="n">
        <v>65.63</v>
      </c>
      <c r="W84" s="40" t="n">
        <v>74.97</v>
      </c>
      <c r="X84" s="40" t="n">
        <v>77.7</v>
      </c>
      <c r="Y84" s="40" t="n">
        <v>83.58</v>
      </c>
      <c r="Z84" s="40" t="n">
        <v>90.2</v>
      </c>
      <c r="AA84" s="40" t="n">
        <v>96.77</v>
      </c>
      <c r="AB84" s="40" t="n">
        <v>109.63</v>
      </c>
      <c r="AC84" s="40" t="n">
        <v>119.5</v>
      </c>
      <c r="AD84" s="40" t="n">
        <v>144.24</v>
      </c>
      <c r="AE84" s="40" t="n">
        <v>155.09</v>
      </c>
      <c r="AF84" s="40" t="n">
        <v>66.69</v>
      </c>
      <c r="AG84" s="40" t="n">
        <v>214.88</v>
      </c>
      <c r="AH84" s="13" t="n">
        <f aca="false">(U84+AH$4*(Resumo!$C$6+Resumo!$C$7+Resumo!$C$8)+Resumo!$C$10*CEILING(AH$3/100,1)+Resumo!$C$9+Resumo!$C$13+Resumo!$C$14*CEILING(AH$3,1))*(1+Resumo!$C$11)-(AH$4*(Resumo!$B$6+Resumo!$B$7)+Resumo!$B$9+Resumo!$B$10*CEILING(AH$3/100,1)+(Resumo!$B$12+Resumo!$B$14)*CEILING(AH$3,1))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4" s="13" t="n">
        <f aca="false">(V84+AI$4*(Resumo!$C$6+Resumo!$C$7+Resumo!$C$8)+Resumo!$C$10*CEILING(AI$3/100,1)+Resumo!$C$9+Resumo!$C$13+Resumo!$C$14*CEILING(AI$3,1))*(1+Resumo!$C$11)-(AI$4*(Resumo!$B$6+Resumo!$B$7)+Resumo!$B$9+Resumo!$B$10*CEILING(AI$3/100,1)+(Resumo!$B$12+Resumo!$B$14)*CEILING(AI$3,1))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4" s="13" t="n">
        <f aca="false">(W84+AJ$4*(Resumo!$C$6+Resumo!$C$7+Resumo!$C$8)+Resumo!$C$10*CEILING(AJ$3/100,1)+Resumo!$C$9+Resumo!$C$13+Resumo!$C$14*CEILING(AJ$3,1))*(1+Resumo!$C$11)-(AJ$4*(Resumo!$B$6+Resumo!$B$7)+Resumo!$B$9+Resumo!$B$10*CEILING(AJ$3/100,1)+(Resumo!$B$12+Resumo!$B$14)*CEILING(AJ$3,1))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4" s="13" t="n">
        <f aca="false">(X84+AK$4*(Resumo!$C$6+Resumo!$C$7+Resumo!$C$8)+Resumo!$C$10*CEILING(AK$3/100,1)+Resumo!$C$9+Resumo!$C$13+Resumo!$C$14*CEILING(AK$3,1))*(1+Resumo!$C$11)-(AK$4*(Resumo!$B$6+Resumo!$B$7)+Resumo!$B$9+Resumo!$B$10*CEILING(AK$3/100,1)+(Resumo!$B$12+Resumo!$B$14)*CEILING(AK$3,1))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4" s="13" t="n">
        <f aca="false">(Y84+AL$4*(Resumo!$C$6+Resumo!$C$7+Resumo!$C$8)+Resumo!$C$10*CEILING(AL$3/100,1)+Resumo!$C$9+Resumo!$C$13+Resumo!$C$14*CEILING(AL$3,1))*(1+Resumo!$C$11)-(AL$4*(Resumo!$B$6+Resumo!$B$7)+Resumo!$B$9+Resumo!$B$10*CEILING(AL$3/100,1)+(Resumo!$B$12+Resumo!$B$14)*CEILING(AL$3,1))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4" s="13" t="n">
        <f aca="false">(Z84+AM$4*(Resumo!$C$6+Resumo!$C$7+Resumo!$C$8)+Resumo!$C$10*CEILING(AM$3/100,1)+Resumo!$C$9+Resumo!$C$13+Resumo!$C$14*CEILING(AM$3,1))*(1+Resumo!$C$11)-(AM$4*(Resumo!$B$6+Resumo!$B$7)+Resumo!$B$9+Resumo!$B$10*CEILING(AM$3/100,1)+(Resumo!$B$12+Resumo!$B$14)*CEILING(AM$3,1))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4" s="13" t="n">
        <f aca="false">(AA84+AN$4*(Resumo!$C$6+Resumo!$C$7+Resumo!$C$8)+Resumo!$C$10*CEILING(AN$3/100,1)+Resumo!$C$9+Resumo!$C$13+Resumo!$C$14*CEILING(AN$3,1))*(1+Resumo!$C$11)-(AN$4*(Resumo!$B$6+Resumo!$B$7)+Resumo!$B$9+Resumo!$B$10*CEILING(AN$3/100,1)+(Resumo!$B$12+Resumo!$B$14)*CEILING(AN$3,1))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4" s="13" t="n">
        <f aca="false">(AB84+AO$4*(Resumo!$C$6+Resumo!$C$7+Resumo!$C$8)+Resumo!$C$10*CEILING(AO$3/100,1)+Resumo!$C$9+Resumo!$C$13+Resumo!$C$14*CEILING(AO$3,1))*(1+Resumo!$C$11)-(AO$4*(Resumo!$B$6+Resumo!$B$7)+Resumo!$B$9+Resumo!$B$10*CEILING(AO$3/100,1)+(Resumo!$B$12+Resumo!$B$14)*CEILING(AO$3,1))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4" s="13" t="n">
        <f aca="false">(AC84+AP$4*(Resumo!$C$6+Resumo!$C$7+Resumo!$C$8)+Resumo!$C$10*CEILING(AP$3/100,1)+Resumo!$C$9+Resumo!$C$13+Resumo!$C$14*CEILING(AP$3,1))*(1+Resumo!$C$11)-(AP$4*(Resumo!$B$6+Resumo!$B$7)+Resumo!$B$9+Resumo!$B$10*CEILING(AP$3/100,1)+(Resumo!$B$12+Resumo!$B$14)*CEILING(AP$3,1))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4" s="13" t="n">
        <f aca="false">(AD84+AQ$4*(Resumo!$C$6+Resumo!$C$7+Resumo!$C$8)+Resumo!$C$10*CEILING(AQ$3/100,1)+Resumo!$C$9+Resumo!$C$13+Resumo!$C$14*CEILING(AQ$3,1))*(1+Resumo!$C$11)-(AQ$4*(Resumo!$B$6+Resumo!$B$7)+Resumo!$B$9+Resumo!$B$10*CEILING(AQ$3/100,1)+(Resumo!$B$12+Resumo!$B$14)*CEILING(AQ$3,1))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4" s="13" t="n">
        <f aca="false">(AE84+AR$4*(Resumo!$C$6+Resumo!$C$7+Resumo!$C$8)+Resumo!$C$10*CEILING(AR$3/100,1)+Resumo!$C$9+Resumo!$C$13+Resumo!$C$14*CEILING(AR$3,1))*(1+Resumo!$C$11)-(AR$4*(Resumo!$B$6+Resumo!$B$7)+Resumo!$B$9+Resumo!$B$10*CEILING(AR$3/100,1)+(Resumo!$B$12+Resumo!$B$14)*CEILING(AR$3,1))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4" s="13" t="n">
        <f aca="false">(AF84+AS$4*(Resumo!$C$6+Resumo!$C$7+Resumo!$C$8)+Resumo!$C$10*CEILING(AS$3/100,1)+Resumo!$C$9+Resumo!$C$13+Resumo!$C$14*CEILING(AS$3,1))*(1+Resumo!$C$11)-(AS$4*(Resumo!$B$6+Resumo!$B$7)+Resumo!$B$9+Resumo!$B$10*CEILING(AS$3/100,1)+(Resumo!$B$12+Resumo!$B$14)*CEILING(AS$3,1))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4" s="13" t="n">
        <f aca="false">(AG84+AT$4*(Resumo!$C$6+Resumo!$C$7+Resumo!$C$8)+Resumo!$C$10*CEILING(AT$3/100,1)+Resumo!$C$9+Resumo!$C$13+Resumo!$C$14*CEILING(AT$3,1))*(1+Resumo!$C$11)-(AT$4*(Resumo!$B$6+Resumo!$B$7)+Resumo!$B$9+Resumo!$B$10*CEILING(AT$3/100,1)+(Resumo!$B$12+Resumo!$B$14)*CEILING(AT$3,1))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4" s="44" t="n">
        <f aca="false">1-AH84/H84</f>
        <v>0.480447881558527</v>
      </c>
      <c r="AV84" s="44" t="n">
        <f aca="false">1-AI84/I84</f>
        <v>0.391361508578081</v>
      </c>
      <c r="AW84" s="44" t="n">
        <f aca="false">1-AJ84/J84</f>
        <v>0.34451856798356</v>
      </c>
      <c r="AX84" s="44" t="n">
        <f aca="false">1-AK84/K84</f>
        <v>0.372260264988487</v>
      </c>
      <c r="AY84" s="44" t="n">
        <f aca="false">1-AL84/L84</f>
        <v>0.375400399837138</v>
      </c>
      <c r="AZ84" s="44" t="n">
        <f aca="false">1-AM84/M84</f>
        <v>0.420709229511831</v>
      </c>
      <c r="BA84" s="44" t="n">
        <f aca="false">1-AN84/N84</f>
        <v>0.382642225835592</v>
      </c>
      <c r="BB84" s="44" t="n">
        <f aca="false">1-AO84/O84</f>
        <v>0.419232633445788</v>
      </c>
      <c r="BC84" s="44" t="n">
        <f aca="false">1-AP84/P84</f>
        <v>0.493280443868681</v>
      </c>
      <c r="BD84" s="44" t="n">
        <f aca="false">1-AQ84/Q84</f>
        <v>0.455794679894486</v>
      </c>
      <c r="BE84" s="44" t="n">
        <f aca="false">1-AR84/R84</f>
        <v>0.489018797268033</v>
      </c>
      <c r="BF84" s="44" t="n">
        <f aca="false">1-AS84/S84</f>
        <v>0.820478024467603</v>
      </c>
      <c r="BG84" s="44" t="n">
        <f aca="false">1-AT84/T84</f>
        <v>0.528263860444042</v>
      </c>
    </row>
    <row r="85" customFormat="false" ht="15" hidden="false" customHeight="false" outlineLevel="0" collapsed="false">
      <c r="A85" s="10" t="s">
        <v>261</v>
      </c>
      <c r="B85" s="10" t="s">
        <v>330</v>
      </c>
      <c r="C85" s="58" t="n">
        <v>28735000</v>
      </c>
      <c r="D85" s="58" t="n">
        <v>28739999</v>
      </c>
      <c r="E85" s="10" t="s">
        <v>24</v>
      </c>
      <c r="F85" s="10" t="s">
        <v>302</v>
      </c>
      <c r="G85" s="10" t="n">
        <f aca="false">COUNTIFS(Pedidos!$C$2:$C$2224,"&gt;="&amp;C85,Pedidos!$C$2:$C$2224,"&lt;="&amp;D85)</f>
        <v>1</v>
      </c>
      <c r="H85" s="40" t="n">
        <v>124.04</v>
      </c>
      <c r="I85" s="40" t="n">
        <v>138.29</v>
      </c>
      <c r="J85" s="40" t="n">
        <v>143.04</v>
      </c>
      <c r="K85" s="40" t="n">
        <v>152.54</v>
      </c>
      <c r="L85" s="40" t="n">
        <v>162.04</v>
      </c>
      <c r="M85" s="40" t="n">
        <v>171.54</v>
      </c>
      <c r="N85" s="40" t="n">
        <v>181.04</v>
      </c>
      <c r="O85" s="40" t="n">
        <v>200.04</v>
      </c>
      <c r="P85" s="40" t="n">
        <v>236.82</v>
      </c>
      <c r="Q85" s="40" t="n">
        <v>264.84</v>
      </c>
      <c r="R85" s="40" t="n">
        <v>300.15</v>
      </c>
      <c r="S85" s="40" t="n">
        <v>353.17</v>
      </c>
      <c r="T85" s="40" t="n">
        <v>441.4</v>
      </c>
      <c r="U85" s="40" t="n">
        <v>46.95</v>
      </c>
      <c r="V85" s="40" t="n">
        <v>65.63</v>
      </c>
      <c r="W85" s="40" t="n">
        <v>74.97</v>
      </c>
      <c r="X85" s="40" t="n">
        <v>77.7</v>
      </c>
      <c r="Y85" s="40" t="n">
        <v>83.58</v>
      </c>
      <c r="Z85" s="40" t="n">
        <v>90.2</v>
      </c>
      <c r="AA85" s="40" t="n">
        <v>96.77</v>
      </c>
      <c r="AB85" s="40" t="n">
        <v>109.63</v>
      </c>
      <c r="AC85" s="40" t="n">
        <v>119.5</v>
      </c>
      <c r="AD85" s="40" t="n">
        <v>144.24</v>
      </c>
      <c r="AE85" s="40" t="n">
        <v>155.09</v>
      </c>
      <c r="AF85" s="40" t="n">
        <v>66.69</v>
      </c>
      <c r="AG85" s="40" t="n">
        <v>214.88</v>
      </c>
      <c r="AH85" s="13" t="n">
        <f aca="false">(U85+AH$4*(Resumo!$C$6+Resumo!$C$7+Resumo!$C$8)+Resumo!$C$10*CEILING(AH$3/100,1)+Resumo!$C$9+Resumo!$C$13+Resumo!$C$14*CEILING(AH$3,1))*(1+Resumo!$C$11)-(AH$4*(Resumo!$B$6+Resumo!$B$7)+Resumo!$B$9+Resumo!$B$10*CEILING(AH$3/100,1)+(Resumo!$B$12+Resumo!$B$14)*CEILING(AH$3,1))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5" s="13" t="n">
        <f aca="false">(V85+AI$4*(Resumo!$C$6+Resumo!$C$7+Resumo!$C$8)+Resumo!$C$10*CEILING(AI$3/100,1)+Resumo!$C$9+Resumo!$C$13+Resumo!$C$14*CEILING(AI$3,1))*(1+Resumo!$C$11)-(AI$4*(Resumo!$B$6+Resumo!$B$7)+Resumo!$B$9+Resumo!$B$10*CEILING(AI$3/100,1)+(Resumo!$B$12+Resumo!$B$14)*CEILING(AI$3,1))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5" s="13" t="n">
        <f aca="false">(W85+AJ$4*(Resumo!$C$6+Resumo!$C$7+Resumo!$C$8)+Resumo!$C$10*CEILING(AJ$3/100,1)+Resumo!$C$9+Resumo!$C$13+Resumo!$C$14*CEILING(AJ$3,1))*(1+Resumo!$C$11)-(AJ$4*(Resumo!$B$6+Resumo!$B$7)+Resumo!$B$9+Resumo!$B$10*CEILING(AJ$3/100,1)+(Resumo!$B$12+Resumo!$B$14)*CEILING(AJ$3,1))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5" s="13" t="n">
        <f aca="false">(X85+AK$4*(Resumo!$C$6+Resumo!$C$7+Resumo!$C$8)+Resumo!$C$10*CEILING(AK$3/100,1)+Resumo!$C$9+Resumo!$C$13+Resumo!$C$14*CEILING(AK$3,1))*(1+Resumo!$C$11)-(AK$4*(Resumo!$B$6+Resumo!$B$7)+Resumo!$B$9+Resumo!$B$10*CEILING(AK$3/100,1)+(Resumo!$B$12+Resumo!$B$14)*CEILING(AK$3,1))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5" s="13" t="n">
        <f aca="false">(Y85+AL$4*(Resumo!$C$6+Resumo!$C$7+Resumo!$C$8)+Resumo!$C$10*CEILING(AL$3/100,1)+Resumo!$C$9+Resumo!$C$13+Resumo!$C$14*CEILING(AL$3,1))*(1+Resumo!$C$11)-(AL$4*(Resumo!$B$6+Resumo!$B$7)+Resumo!$B$9+Resumo!$B$10*CEILING(AL$3/100,1)+(Resumo!$B$12+Resumo!$B$14)*CEILING(AL$3,1))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5" s="13" t="n">
        <f aca="false">(Z85+AM$4*(Resumo!$C$6+Resumo!$C$7+Resumo!$C$8)+Resumo!$C$10*CEILING(AM$3/100,1)+Resumo!$C$9+Resumo!$C$13+Resumo!$C$14*CEILING(AM$3,1))*(1+Resumo!$C$11)-(AM$4*(Resumo!$B$6+Resumo!$B$7)+Resumo!$B$9+Resumo!$B$10*CEILING(AM$3/100,1)+(Resumo!$B$12+Resumo!$B$14)*CEILING(AM$3,1))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5" s="13" t="n">
        <f aca="false">(AA85+AN$4*(Resumo!$C$6+Resumo!$C$7+Resumo!$C$8)+Resumo!$C$10*CEILING(AN$3/100,1)+Resumo!$C$9+Resumo!$C$13+Resumo!$C$14*CEILING(AN$3,1))*(1+Resumo!$C$11)-(AN$4*(Resumo!$B$6+Resumo!$B$7)+Resumo!$B$9+Resumo!$B$10*CEILING(AN$3/100,1)+(Resumo!$B$12+Resumo!$B$14)*CEILING(AN$3,1))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5" s="13" t="n">
        <f aca="false">(AB85+AO$4*(Resumo!$C$6+Resumo!$C$7+Resumo!$C$8)+Resumo!$C$10*CEILING(AO$3/100,1)+Resumo!$C$9+Resumo!$C$13+Resumo!$C$14*CEILING(AO$3,1))*(1+Resumo!$C$11)-(AO$4*(Resumo!$B$6+Resumo!$B$7)+Resumo!$B$9+Resumo!$B$10*CEILING(AO$3/100,1)+(Resumo!$B$12+Resumo!$B$14)*CEILING(AO$3,1))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5" s="13" t="n">
        <f aca="false">(AC85+AP$4*(Resumo!$C$6+Resumo!$C$7+Resumo!$C$8)+Resumo!$C$10*CEILING(AP$3/100,1)+Resumo!$C$9+Resumo!$C$13+Resumo!$C$14*CEILING(AP$3,1))*(1+Resumo!$C$11)-(AP$4*(Resumo!$B$6+Resumo!$B$7)+Resumo!$B$9+Resumo!$B$10*CEILING(AP$3/100,1)+(Resumo!$B$12+Resumo!$B$14)*CEILING(AP$3,1))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5" s="13" t="n">
        <f aca="false">(AD85+AQ$4*(Resumo!$C$6+Resumo!$C$7+Resumo!$C$8)+Resumo!$C$10*CEILING(AQ$3/100,1)+Resumo!$C$9+Resumo!$C$13+Resumo!$C$14*CEILING(AQ$3,1))*(1+Resumo!$C$11)-(AQ$4*(Resumo!$B$6+Resumo!$B$7)+Resumo!$B$9+Resumo!$B$10*CEILING(AQ$3/100,1)+(Resumo!$B$12+Resumo!$B$14)*CEILING(AQ$3,1))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5" s="13" t="n">
        <f aca="false">(AE85+AR$4*(Resumo!$C$6+Resumo!$C$7+Resumo!$C$8)+Resumo!$C$10*CEILING(AR$3/100,1)+Resumo!$C$9+Resumo!$C$13+Resumo!$C$14*CEILING(AR$3,1))*(1+Resumo!$C$11)-(AR$4*(Resumo!$B$6+Resumo!$B$7)+Resumo!$B$9+Resumo!$B$10*CEILING(AR$3/100,1)+(Resumo!$B$12+Resumo!$B$14)*CEILING(AR$3,1))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5" s="13" t="n">
        <f aca="false">(AF85+AS$4*(Resumo!$C$6+Resumo!$C$7+Resumo!$C$8)+Resumo!$C$10*CEILING(AS$3/100,1)+Resumo!$C$9+Resumo!$C$13+Resumo!$C$14*CEILING(AS$3,1))*(1+Resumo!$C$11)-(AS$4*(Resumo!$B$6+Resumo!$B$7)+Resumo!$B$9+Resumo!$B$10*CEILING(AS$3/100,1)+(Resumo!$B$12+Resumo!$B$14)*CEILING(AS$3,1))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5" s="13" t="n">
        <f aca="false">(AG85+AT$4*(Resumo!$C$6+Resumo!$C$7+Resumo!$C$8)+Resumo!$C$10*CEILING(AT$3/100,1)+Resumo!$C$9+Resumo!$C$13+Resumo!$C$14*CEILING(AT$3,1))*(1+Resumo!$C$11)-(AT$4*(Resumo!$B$6+Resumo!$B$7)+Resumo!$B$9+Resumo!$B$10*CEILING(AT$3/100,1)+(Resumo!$B$12+Resumo!$B$14)*CEILING(AT$3,1))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5" s="44" t="n">
        <f aca="false">1-AH85/H85</f>
        <v>0.553790009855127</v>
      </c>
      <c r="AV85" s="44" t="n">
        <f aca="false">1-AI85/I85</f>
        <v>0.468426082913158</v>
      </c>
      <c r="AW85" s="44" t="n">
        <f aca="false">1-AJ85/J85</f>
        <v>0.424299969908939</v>
      </c>
      <c r="AX85" s="44" t="n">
        <f aca="false">1-AK85/K85</f>
        <v>0.444318235095027</v>
      </c>
      <c r="AY85" s="44" t="n">
        <f aca="false">1-AL85/L85</f>
        <v>0.44289446919564</v>
      </c>
      <c r="AZ85" s="44" t="n">
        <f aca="false">1-AM85/M85</f>
        <v>0.439248965608252</v>
      </c>
      <c r="BA85" s="44" t="n">
        <f aca="false">1-AN85/N85</f>
        <v>0.433759067609368</v>
      </c>
      <c r="BB85" s="44" t="n">
        <f aca="false">1-AO85/O85</f>
        <v>0.427042392574117</v>
      </c>
      <c r="BC85" s="44" t="n">
        <f aca="false">1-AP85/P85</f>
        <v>0.493280443868681</v>
      </c>
      <c r="BD85" s="44" t="n">
        <f aca="false">1-AQ85/Q85</f>
        <v>0.455794679894486</v>
      </c>
      <c r="BE85" s="44" t="n">
        <f aca="false">1-AR85/R85</f>
        <v>0.489018797268033</v>
      </c>
      <c r="BF85" s="44" t="n">
        <f aca="false">1-AS85/S85</f>
        <v>0.820503440269559</v>
      </c>
      <c r="BG85" s="44" t="n">
        <f aca="false">1-AT85/T85</f>
        <v>0.528263860444042</v>
      </c>
    </row>
    <row r="86" customFormat="false" ht="15" hidden="false" customHeight="false" outlineLevel="0" collapsed="false">
      <c r="A86" s="10" t="s">
        <v>261</v>
      </c>
      <c r="B86" s="10" t="s">
        <v>331</v>
      </c>
      <c r="C86" s="58" t="n">
        <v>28740000</v>
      </c>
      <c r="D86" s="58" t="n">
        <v>28749999</v>
      </c>
      <c r="E86" s="10" t="s">
        <v>24</v>
      </c>
      <c r="F86" s="10" t="s">
        <v>302</v>
      </c>
      <c r="G86" s="10" t="n">
        <f aca="false">COUNTIFS(Pedidos!$C$2:$C$2224,"&gt;="&amp;C86,Pedidos!$C$2:$C$2224,"&lt;="&amp;D86)</f>
        <v>2</v>
      </c>
      <c r="H86" s="40" t="n">
        <v>124.04</v>
      </c>
      <c r="I86" s="40" t="n">
        <v>138.29</v>
      </c>
      <c r="J86" s="40" t="n">
        <v>143.04</v>
      </c>
      <c r="K86" s="40" t="n">
        <v>152.54</v>
      </c>
      <c r="L86" s="40" t="n">
        <v>162.04</v>
      </c>
      <c r="M86" s="40" t="n">
        <v>171.54</v>
      </c>
      <c r="N86" s="40" t="n">
        <v>181.04</v>
      </c>
      <c r="O86" s="40" t="n">
        <v>200.04</v>
      </c>
      <c r="P86" s="40" t="n">
        <v>236.82</v>
      </c>
      <c r="Q86" s="40" t="n">
        <v>264.84</v>
      </c>
      <c r="R86" s="40" t="n">
        <v>300.15</v>
      </c>
      <c r="S86" s="40" t="n">
        <v>353.17</v>
      </c>
      <c r="T86" s="40" t="n">
        <v>441.4</v>
      </c>
      <c r="U86" s="40" t="n">
        <v>46.95</v>
      </c>
      <c r="V86" s="40" t="n">
        <v>65.63</v>
      </c>
      <c r="W86" s="40" t="n">
        <v>74.97</v>
      </c>
      <c r="X86" s="40" t="n">
        <v>77.7</v>
      </c>
      <c r="Y86" s="40" t="n">
        <v>83.58</v>
      </c>
      <c r="Z86" s="40" t="n">
        <v>90.2</v>
      </c>
      <c r="AA86" s="40" t="n">
        <v>96.77</v>
      </c>
      <c r="AB86" s="40" t="n">
        <v>109.63</v>
      </c>
      <c r="AC86" s="40" t="n">
        <v>119.5</v>
      </c>
      <c r="AD86" s="40" t="n">
        <v>144.24</v>
      </c>
      <c r="AE86" s="40" t="n">
        <v>155.09</v>
      </c>
      <c r="AF86" s="40" t="n">
        <v>66.69</v>
      </c>
      <c r="AG86" s="40" t="n">
        <v>214.88</v>
      </c>
      <c r="AH86" s="13" t="n">
        <f aca="false">(U86+AH$4*(Resumo!$C$6+Resumo!$C$7+Resumo!$C$8)+Resumo!$C$10*CEILING(AH$3/100,1)+Resumo!$C$9+Resumo!$C$13+Resumo!$C$14*CEILING(AH$3,1))*(1+Resumo!$C$11)-(AH$4*(Resumo!$B$6+Resumo!$B$7)+Resumo!$B$9+Resumo!$B$10*CEILING(AH$3/100,1)+(Resumo!$B$12+Resumo!$B$14)*CEILING(AH$3,1))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6" s="13" t="n">
        <f aca="false">(V86+AI$4*(Resumo!$C$6+Resumo!$C$7+Resumo!$C$8)+Resumo!$C$10*CEILING(AI$3/100,1)+Resumo!$C$9+Resumo!$C$13+Resumo!$C$14*CEILING(AI$3,1))*(1+Resumo!$C$11)-(AI$4*(Resumo!$B$6+Resumo!$B$7)+Resumo!$B$9+Resumo!$B$10*CEILING(AI$3/100,1)+(Resumo!$B$12+Resumo!$B$14)*CEILING(AI$3,1))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6" s="13" t="n">
        <f aca="false">(W86+AJ$4*(Resumo!$C$6+Resumo!$C$7+Resumo!$C$8)+Resumo!$C$10*CEILING(AJ$3/100,1)+Resumo!$C$9+Resumo!$C$13+Resumo!$C$14*CEILING(AJ$3,1))*(1+Resumo!$C$11)-(AJ$4*(Resumo!$B$6+Resumo!$B$7)+Resumo!$B$9+Resumo!$B$10*CEILING(AJ$3/100,1)+(Resumo!$B$12+Resumo!$B$14)*CEILING(AJ$3,1))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6" s="13" t="n">
        <f aca="false">(X86+AK$4*(Resumo!$C$6+Resumo!$C$7+Resumo!$C$8)+Resumo!$C$10*CEILING(AK$3/100,1)+Resumo!$C$9+Resumo!$C$13+Resumo!$C$14*CEILING(AK$3,1))*(1+Resumo!$C$11)-(AK$4*(Resumo!$B$6+Resumo!$B$7)+Resumo!$B$9+Resumo!$B$10*CEILING(AK$3/100,1)+(Resumo!$B$12+Resumo!$B$14)*CEILING(AK$3,1))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6" s="13" t="n">
        <f aca="false">(Y86+AL$4*(Resumo!$C$6+Resumo!$C$7+Resumo!$C$8)+Resumo!$C$10*CEILING(AL$3/100,1)+Resumo!$C$9+Resumo!$C$13+Resumo!$C$14*CEILING(AL$3,1))*(1+Resumo!$C$11)-(AL$4*(Resumo!$B$6+Resumo!$B$7)+Resumo!$B$9+Resumo!$B$10*CEILING(AL$3/100,1)+(Resumo!$B$12+Resumo!$B$14)*CEILING(AL$3,1))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6" s="13" t="n">
        <f aca="false">(Z86+AM$4*(Resumo!$C$6+Resumo!$C$7+Resumo!$C$8)+Resumo!$C$10*CEILING(AM$3/100,1)+Resumo!$C$9+Resumo!$C$13+Resumo!$C$14*CEILING(AM$3,1))*(1+Resumo!$C$11)-(AM$4*(Resumo!$B$6+Resumo!$B$7)+Resumo!$B$9+Resumo!$B$10*CEILING(AM$3/100,1)+(Resumo!$B$12+Resumo!$B$14)*CEILING(AM$3,1))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6" s="13" t="n">
        <f aca="false">(AA86+AN$4*(Resumo!$C$6+Resumo!$C$7+Resumo!$C$8)+Resumo!$C$10*CEILING(AN$3/100,1)+Resumo!$C$9+Resumo!$C$13+Resumo!$C$14*CEILING(AN$3,1))*(1+Resumo!$C$11)-(AN$4*(Resumo!$B$6+Resumo!$B$7)+Resumo!$B$9+Resumo!$B$10*CEILING(AN$3/100,1)+(Resumo!$B$12+Resumo!$B$14)*CEILING(AN$3,1))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6" s="13" t="n">
        <f aca="false">(AB86+AO$4*(Resumo!$C$6+Resumo!$C$7+Resumo!$C$8)+Resumo!$C$10*CEILING(AO$3/100,1)+Resumo!$C$9+Resumo!$C$13+Resumo!$C$14*CEILING(AO$3,1))*(1+Resumo!$C$11)-(AO$4*(Resumo!$B$6+Resumo!$B$7)+Resumo!$B$9+Resumo!$B$10*CEILING(AO$3/100,1)+(Resumo!$B$12+Resumo!$B$14)*CEILING(AO$3,1))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6" s="13" t="n">
        <f aca="false">(AC86+AP$4*(Resumo!$C$6+Resumo!$C$7+Resumo!$C$8)+Resumo!$C$10*CEILING(AP$3/100,1)+Resumo!$C$9+Resumo!$C$13+Resumo!$C$14*CEILING(AP$3,1))*(1+Resumo!$C$11)-(AP$4*(Resumo!$B$6+Resumo!$B$7)+Resumo!$B$9+Resumo!$B$10*CEILING(AP$3/100,1)+(Resumo!$B$12+Resumo!$B$14)*CEILING(AP$3,1))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6" s="13" t="n">
        <f aca="false">(AD86+AQ$4*(Resumo!$C$6+Resumo!$C$7+Resumo!$C$8)+Resumo!$C$10*CEILING(AQ$3/100,1)+Resumo!$C$9+Resumo!$C$13+Resumo!$C$14*CEILING(AQ$3,1))*(1+Resumo!$C$11)-(AQ$4*(Resumo!$B$6+Resumo!$B$7)+Resumo!$B$9+Resumo!$B$10*CEILING(AQ$3/100,1)+(Resumo!$B$12+Resumo!$B$14)*CEILING(AQ$3,1))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6" s="13" t="n">
        <f aca="false">(AE86+AR$4*(Resumo!$C$6+Resumo!$C$7+Resumo!$C$8)+Resumo!$C$10*CEILING(AR$3/100,1)+Resumo!$C$9+Resumo!$C$13+Resumo!$C$14*CEILING(AR$3,1))*(1+Resumo!$C$11)-(AR$4*(Resumo!$B$6+Resumo!$B$7)+Resumo!$B$9+Resumo!$B$10*CEILING(AR$3/100,1)+(Resumo!$B$12+Resumo!$B$14)*CEILING(AR$3,1))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6" s="13" t="n">
        <f aca="false">(AF86+AS$4*(Resumo!$C$6+Resumo!$C$7+Resumo!$C$8)+Resumo!$C$10*CEILING(AS$3/100,1)+Resumo!$C$9+Resumo!$C$13+Resumo!$C$14*CEILING(AS$3,1))*(1+Resumo!$C$11)-(AS$4*(Resumo!$B$6+Resumo!$B$7)+Resumo!$B$9+Resumo!$B$10*CEILING(AS$3/100,1)+(Resumo!$B$12+Resumo!$B$14)*CEILING(AS$3,1))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6" s="13" t="n">
        <f aca="false">(AG86+AT$4*(Resumo!$C$6+Resumo!$C$7+Resumo!$C$8)+Resumo!$C$10*CEILING(AT$3/100,1)+Resumo!$C$9+Resumo!$C$13+Resumo!$C$14*CEILING(AT$3,1))*(1+Resumo!$C$11)-(AT$4*(Resumo!$B$6+Resumo!$B$7)+Resumo!$B$9+Resumo!$B$10*CEILING(AT$3/100,1)+(Resumo!$B$12+Resumo!$B$14)*CEILING(AT$3,1))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6" s="44" t="n">
        <f aca="false">1-AH86/H86</f>
        <v>0.553790009855127</v>
      </c>
      <c r="AV86" s="44" t="n">
        <f aca="false">1-AI86/I86</f>
        <v>0.468426082913158</v>
      </c>
      <c r="AW86" s="44" t="n">
        <f aca="false">1-AJ86/J86</f>
        <v>0.424299969908939</v>
      </c>
      <c r="AX86" s="44" t="n">
        <f aca="false">1-AK86/K86</f>
        <v>0.444318235095027</v>
      </c>
      <c r="AY86" s="44" t="n">
        <f aca="false">1-AL86/L86</f>
        <v>0.44289446919564</v>
      </c>
      <c r="AZ86" s="44" t="n">
        <f aca="false">1-AM86/M86</f>
        <v>0.439248965608252</v>
      </c>
      <c r="BA86" s="44" t="n">
        <f aca="false">1-AN86/N86</f>
        <v>0.433759067609368</v>
      </c>
      <c r="BB86" s="44" t="n">
        <f aca="false">1-AO86/O86</f>
        <v>0.427042392574117</v>
      </c>
      <c r="BC86" s="44" t="n">
        <f aca="false">1-AP86/P86</f>
        <v>0.493280443868681</v>
      </c>
      <c r="BD86" s="44" t="n">
        <f aca="false">1-AQ86/Q86</f>
        <v>0.455794679894486</v>
      </c>
      <c r="BE86" s="44" t="n">
        <f aca="false">1-AR86/R86</f>
        <v>0.489018797268033</v>
      </c>
      <c r="BF86" s="44" t="n">
        <f aca="false">1-AS86/S86</f>
        <v>0.820503440269559</v>
      </c>
      <c r="BG86" s="44" t="n">
        <f aca="false">1-AT86/T86</f>
        <v>0.528263860444042</v>
      </c>
    </row>
    <row r="87" customFormat="false" ht="15" hidden="false" customHeight="false" outlineLevel="0" collapsed="false">
      <c r="A87" s="10" t="s">
        <v>261</v>
      </c>
      <c r="B87" s="10" t="s">
        <v>332</v>
      </c>
      <c r="C87" s="58" t="n">
        <v>28750000</v>
      </c>
      <c r="D87" s="58" t="n">
        <v>28769999</v>
      </c>
      <c r="E87" s="10" t="s">
        <v>24</v>
      </c>
      <c r="F87" s="10" t="s">
        <v>302</v>
      </c>
      <c r="G87" s="10" t="n">
        <f aca="false">COUNTIFS(Pedidos!$C$2:$C$2224,"&gt;="&amp;C87,Pedidos!$C$2:$C$2224,"&lt;="&amp;D87)</f>
        <v>1</v>
      </c>
      <c r="H87" s="40" t="n">
        <v>124.04</v>
      </c>
      <c r="I87" s="40" t="n">
        <v>138.29</v>
      </c>
      <c r="J87" s="40" t="n">
        <v>143.04</v>
      </c>
      <c r="K87" s="40" t="n">
        <v>152.54</v>
      </c>
      <c r="L87" s="40" t="n">
        <v>162.04</v>
      </c>
      <c r="M87" s="40" t="n">
        <v>171.54</v>
      </c>
      <c r="N87" s="40" t="n">
        <v>181.04</v>
      </c>
      <c r="O87" s="40" t="n">
        <v>200.04</v>
      </c>
      <c r="P87" s="40" t="n">
        <v>236.82</v>
      </c>
      <c r="Q87" s="40" t="n">
        <v>264.84</v>
      </c>
      <c r="R87" s="40" t="n">
        <v>300.15</v>
      </c>
      <c r="S87" s="40" t="n">
        <v>353.17</v>
      </c>
      <c r="T87" s="40" t="n">
        <v>441.4</v>
      </c>
      <c r="U87" s="40" t="n">
        <v>46.95</v>
      </c>
      <c r="V87" s="40" t="n">
        <v>65.63</v>
      </c>
      <c r="W87" s="40" t="n">
        <v>74.97</v>
      </c>
      <c r="X87" s="40" t="n">
        <v>77.7</v>
      </c>
      <c r="Y87" s="40" t="n">
        <v>83.58</v>
      </c>
      <c r="Z87" s="40" t="n">
        <v>90.2</v>
      </c>
      <c r="AA87" s="40" t="n">
        <v>96.77</v>
      </c>
      <c r="AB87" s="40" t="n">
        <v>109.63</v>
      </c>
      <c r="AC87" s="40" t="n">
        <v>119.5</v>
      </c>
      <c r="AD87" s="40" t="n">
        <v>144.24</v>
      </c>
      <c r="AE87" s="40" t="n">
        <v>155.09</v>
      </c>
      <c r="AF87" s="40" t="n">
        <v>66.69</v>
      </c>
      <c r="AG87" s="40" t="n">
        <v>214.88</v>
      </c>
      <c r="AH87" s="13" t="n">
        <f aca="false">(U87+AH$4*(Resumo!$C$6+Resumo!$C$7+Resumo!$C$8)+Resumo!$C$10*CEILING(AH$3/100,1)+Resumo!$C$9+Resumo!$C$13+Resumo!$C$14*CEILING(AH$3,1))*(1+Resumo!$C$11)-(AH$4*(Resumo!$B$6+Resumo!$B$7)+Resumo!$B$9+Resumo!$B$10*CEILING(AH$3/100,1)+(Resumo!$B$12+Resumo!$B$14)*CEILING(AH$3,1))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7" s="13" t="n">
        <f aca="false">(V87+AI$4*(Resumo!$C$6+Resumo!$C$7+Resumo!$C$8)+Resumo!$C$10*CEILING(AI$3/100,1)+Resumo!$C$9+Resumo!$C$13+Resumo!$C$14*CEILING(AI$3,1))*(1+Resumo!$C$11)-(AI$4*(Resumo!$B$6+Resumo!$B$7)+Resumo!$B$9+Resumo!$B$10*CEILING(AI$3/100,1)+(Resumo!$B$12+Resumo!$B$14)*CEILING(AI$3,1))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7" s="13" t="n">
        <f aca="false">(W87+AJ$4*(Resumo!$C$6+Resumo!$C$7+Resumo!$C$8)+Resumo!$C$10*CEILING(AJ$3/100,1)+Resumo!$C$9+Resumo!$C$13+Resumo!$C$14*CEILING(AJ$3,1))*(1+Resumo!$C$11)-(AJ$4*(Resumo!$B$6+Resumo!$B$7)+Resumo!$B$9+Resumo!$B$10*CEILING(AJ$3/100,1)+(Resumo!$B$12+Resumo!$B$14)*CEILING(AJ$3,1))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7" s="13" t="n">
        <f aca="false">(X87+AK$4*(Resumo!$C$6+Resumo!$C$7+Resumo!$C$8)+Resumo!$C$10*CEILING(AK$3/100,1)+Resumo!$C$9+Resumo!$C$13+Resumo!$C$14*CEILING(AK$3,1))*(1+Resumo!$C$11)-(AK$4*(Resumo!$B$6+Resumo!$B$7)+Resumo!$B$9+Resumo!$B$10*CEILING(AK$3/100,1)+(Resumo!$B$12+Resumo!$B$14)*CEILING(AK$3,1))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7" s="13" t="n">
        <f aca="false">(Y87+AL$4*(Resumo!$C$6+Resumo!$C$7+Resumo!$C$8)+Resumo!$C$10*CEILING(AL$3/100,1)+Resumo!$C$9+Resumo!$C$13+Resumo!$C$14*CEILING(AL$3,1))*(1+Resumo!$C$11)-(AL$4*(Resumo!$B$6+Resumo!$B$7)+Resumo!$B$9+Resumo!$B$10*CEILING(AL$3/100,1)+(Resumo!$B$12+Resumo!$B$14)*CEILING(AL$3,1))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7" s="13" t="n">
        <f aca="false">(Z87+AM$4*(Resumo!$C$6+Resumo!$C$7+Resumo!$C$8)+Resumo!$C$10*CEILING(AM$3/100,1)+Resumo!$C$9+Resumo!$C$13+Resumo!$C$14*CEILING(AM$3,1))*(1+Resumo!$C$11)-(AM$4*(Resumo!$B$6+Resumo!$B$7)+Resumo!$B$9+Resumo!$B$10*CEILING(AM$3/100,1)+(Resumo!$B$12+Resumo!$B$14)*CEILING(AM$3,1))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7" s="13" t="n">
        <f aca="false">(AA87+AN$4*(Resumo!$C$6+Resumo!$C$7+Resumo!$C$8)+Resumo!$C$10*CEILING(AN$3/100,1)+Resumo!$C$9+Resumo!$C$13+Resumo!$C$14*CEILING(AN$3,1))*(1+Resumo!$C$11)-(AN$4*(Resumo!$B$6+Resumo!$B$7)+Resumo!$B$9+Resumo!$B$10*CEILING(AN$3/100,1)+(Resumo!$B$12+Resumo!$B$14)*CEILING(AN$3,1))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7" s="13" t="n">
        <f aca="false">(AB87+AO$4*(Resumo!$C$6+Resumo!$C$7+Resumo!$C$8)+Resumo!$C$10*CEILING(AO$3/100,1)+Resumo!$C$9+Resumo!$C$13+Resumo!$C$14*CEILING(AO$3,1))*(1+Resumo!$C$11)-(AO$4*(Resumo!$B$6+Resumo!$B$7)+Resumo!$B$9+Resumo!$B$10*CEILING(AO$3/100,1)+(Resumo!$B$12+Resumo!$B$14)*CEILING(AO$3,1))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7" s="13" t="n">
        <f aca="false">(AC87+AP$4*(Resumo!$C$6+Resumo!$C$7+Resumo!$C$8)+Resumo!$C$10*CEILING(AP$3/100,1)+Resumo!$C$9+Resumo!$C$13+Resumo!$C$14*CEILING(AP$3,1))*(1+Resumo!$C$11)-(AP$4*(Resumo!$B$6+Resumo!$B$7)+Resumo!$B$9+Resumo!$B$10*CEILING(AP$3/100,1)+(Resumo!$B$12+Resumo!$B$14)*CEILING(AP$3,1))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7" s="13" t="n">
        <f aca="false">(AD87+AQ$4*(Resumo!$C$6+Resumo!$C$7+Resumo!$C$8)+Resumo!$C$10*CEILING(AQ$3/100,1)+Resumo!$C$9+Resumo!$C$13+Resumo!$C$14*CEILING(AQ$3,1))*(1+Resumo!$C$11)-(AQ$4*(Resumo!$B$6+Resumo!$B$7)+Resumo!$B$9+Resumo!$B$10*CEILING(AQ$3/100,1)+(Resumo!$B$12+Resumo!$B$14)*CEILING(AQ$3,1))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7" s="13" t="n">
        <f aca="false">(AE87+AR$4*(Resumo!$C$6+Resumo!$C$7+Resumo!$C$8)+Resumo!$C$10*CEILING(AR$3/100,1)+Resumo!$C$9+Resumo!$C$13+Resumo!$C$14*CEILING(AR$3,1))*(1+Resumo!$C$11)-(AR$4*(Resumo!$B$6+Resumo!$B$7)+Resumo!$B$9+Resumo!$B$10*CEILING(AR$3/100,1)+(Resumo!$B$12+Resumo!$B$14)*CEILING(AR$3,1))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7" s="13" t="n">
        <f aca="false">(AF87+AS$4*(Resumo!$C$6+Resumo!$C$7+Resumo!$C$8)+Resumo!$C$10*CEILING(AS$3/100,1)+Resumo!$C$9+Resumo!$C$13+Resumo!$C$14*CEILING(AS$3,1))*(1+Resumo!$C$11)-(AS$4*(Resumo!$B$6+Resumo!$B$7)+Resumo!$B$9+Resumo!$B$10*CEILING(AS$3/100,1)+(Resumo!$B$12+Resumo!$B$14)*CEILING(AS$3,1))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7" s="13" t="n">
        <f aca="false">(AG87+AT$4*(Resumo!$C$6+Resumo!$C$7+Resumo!$C$8)+Resumo!$C$10*CEILING(AT$3/100,1)+Resumo!$C$9+Resumo!$C$13+Resumo!$C$14*CEILING(AT$3,1))*(1+Resumo!$C$11)-(AT$4*(Resumo!$B$6+Resumo!$B$7)+Resumo!$B$9+Resumo!$B$10*CEILING(AT$3/100,1)+(Resumo!$B$12+Resumo!$B$14)*CEILING(AT$3,1))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7" s="44" t="n">
        <f aca="false">1-AH87/H87</f>
        <v>0.553790009855127</v>
      </c>
      <c r="AV87" s="44" t="n">
        <f aca="false">1-AI87/I87</f>
        <v>0.468426082913158</v>
      </c>
      <c r="AW87" s="44" t="n">
        <f aca="false">1-AJ87/J87</f>
        <v>0.424299969908939</v>
      </c>
      <c r="AX87" s="44" t="n">
        <f aca="false">1-AK87/K87</f>
        <v>0.444318235095027</v>
      </c>
      <c r="AY87" s="44" t="n">
        <f aca="false">1-AL87/L87</f>
        <v>0.44289446919564</v>
      </c>
      <c r="AZ87" s="44" t="n">
        <f aca="false">1-AM87/M87</f>
        <v>0.439248965608252</v>
      </c>
      <c r="BA87" s="44" t="n">
        <f aca="false">1-AN87/N87</f>
        <v>0.433759067609368</v>
      </c>
      <c r="BB87" s="44" t="n">
        <f aca="false">1-AO87/O87</f>
        <v>0.427042392574117</v>
      </c>
      <c r="BC87" s="44" t="n">
        <f aca="false">1-AP87/P87</f>
        <v>0.493280443868681</v>
      </c>
      <c r="BD87" s="44" t="n">
        <f aca="false">1-AQ87/Q87</f>
        <v>0.455794679894486</v>
      </c>
      <c r="BE87" s="44" t="n">
        <f aca="false">1-AR87/R87</f>
        <v>0.489018797268033</v>
      </c>
      <c r="BF87" s="44" t="n">
        <f aca="false">1-AS87/S87</f>
        <v>0.820503440269559</v>
      </c>
      <c r="BG87" s="44" t="n">
        <f aca="false">1-AT87/T87</f>
        <v>0.528263860444042</v>
      </c>
    </row>
    <row r="88" customFormat="false" ht="15" hidden="false" customHeight="false" outlineLevel="0" collapsed="false">
      <c r="A88" s="10" t="s">
        <v>261</v>
      </c>
      <c r="B88" s="10" t="s">
        <v>333</v>
      </c>
      <c r="C88" s="58" t="n">
        <v>28770000</v>
      </c>
      <c r="D88" s="58" t="n">
        <v>28799999</v>
      </c>
      <c r="E88" s="10" t="s">
        <v>24</v>
      </c>
      <c r="F88" s="10" t="s">
        <v>302</v>
      </c>
      <c r="G88" s="10" t="n">
        <f aca="false">COUNTIFS(Pedidos!$C$2:$C$2224,"&gt;="&amp;C88,Pedidos!$C$2:$C$2224,"&lt;="&amp;D88)</f>
        <v>2</v>
      </c>
      <c r="H88" s="40" t="n">
        <v>124.04</v>
      </c>
      <c r="I88" s="40" t="n">
        <v>138.29</v>
      </c>
      <c r="J88" s="40" t="n">
        <v>143.04</v>
      </c>
      <c r="K88" s="40" t="n">
        <v>152.54</v>
      </c>
      <c r="L88" s="40" t="n">
        <v>162.04</v>
      </c>
      <c r="M88" s="40" t="n">
        <v>171.54</v>
      </c>
      <c r="N88" s="40" t="n">
        <v>181.04</v>
      </c>
      <c r="O88" s="40" t="n">
        <v>200.04</v>
      </c>
      <c r="P88" s="40" t="n">
        <v>236.82</v>
      </c>
      <c r="Q88" s="40" t="n">
        <v>264.84</v>
      </c>
      <c r="R88" s="40" t="n">
        <v>300.15</v>
      </c>
      <c r="S88" s="40" t="n">
        <v>353.17</v>
      </c>
      <c r="T88" s="40" t="n">
        <v>441.4</v>
      </c>
      <c r="U88" s="40" t="n">
        <v>46.95</v>
      </c>
      <c r="V88" s="40" t="n">
        <v>65.63</v>
      </c>
      <c r="W88" s="40" t="n">
        <v>74.97</v>
      </c>
      <c r="X88" s="40" t="n">
        <v>77.7</v>
      </c>
      <c r="Y88" s="40" t="n">
        <v>83.58</v>
      </c>
      <c r="Z88" s="40" t="n">
        <v>90.2</v>
      </c>
      <c r="AA88" s="40" t="n">
        <v>96.77</v>
      </c>
      <c r="AB88" s="40" t="n">
        <v>109.63</v>
      </c>
      <c r="AC88" s="40" t="n">
        <v>119.5</v>
      </c>
      <c r="AD88" s="40" t="n">
        <v>144.24</v>
      </c>
      <c r="AE88" s="40" t="n">
        <v>155.09</v>
      </c>
      <c r="AF88" s="40" t="n">
        <v>66.69</v>
      </c>
      <c r="AG88" s="40" t="n">
        <v>214.88</v>
      </c>
      <c r="AH88" s="13" t="n">
        <f aca="false">(U88+AH$4*(Resumo!$C$6+Resumo!$C$7+Resumo!$C$8)+Resumo!$C$10*CEILING(AH$3/100,1)+Resumo!$C$9+Resumo!$C$13+Resumo!$C$14*CEILING(AH$3,1))*(1+Resumo!$C$11)-(AH$4*(Resumo!$B$6+Resumo!$B$7)+Resumo!$B$9+Resumo!$B$10*CEILING(AH$3/100,1)+(Resumo!$B$12+Resumo!$B$14)*CEILING(AH$3,1))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8" s="13" t="n">
        <f aca="false">(V88+AI$4*(Resumo!$C$6+Resumo!$C$7+Resumo!$C$8)+Resumo!$C$10*CEILING(AI$3/100,1)+Resumo!$C$9+Resumo!$C$13+Resumo!$C$14*CEILING(AI$3,1))*(1+Resumo!$C$11)-(AI$4*(Resumo!$B$6+Resumo!$B$7)+Resumo!$B$9+Resumo!$B$10*CEILING(AI$3/100,1)+(Resumo!$B$12+Resumo!$B$14)*CEILING(AI$3,1))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8" s="13" t="n">
        <f aca="false">(W88+AJ$4*(Resumo!$C$6+Resumo!$C$7+Resumo!$C$8)+Resumo!$C$10*CEILING(AJ$3/100,1)+Resumo!$C$9+Resumo!$C$13+Resumo!$C$14*CEILING(AJ$3,1))*(1+Resumo!$C$11)-(AJ$4*(Resumo!$B$6+Resumo!$B$7)+Resumo!$B$9+Resumo!$B$10*CEILING(AJ$3/100,1)+(Resumo!$B$12+Resumo!$B$14)*CEILING(AJ$3,1))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8" s="13" t="n">
        <f aca="false">(X88+AK$4*(Resumo!$C$6+Resumo!$C$7+Resumo!$C$8)+Resumo!$C$10*CEILING(AK$3/100,1)+Resumo!$C$9+Resumo!$C$13+Resumo!$C$14*CEILING(AK$3,1))*(1+Resumo!$C$11)-(AK$4*(Resumo!$B$6+Resumo!$B$7)+Resumo!$B$9+Resumo!$B$10*CEILING(AK$3/100,1)+(Resumo!$B$12+Resumo!$B$14)*CEILING(AK$3,1))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8" s="13" t="n">
        <f aca="false">(Y88+AL$4*(Resumo!$C$6+Resumo!$C$7+Resumo!$C$8)+Resumo!$C$10*CEILING(AL$3/100,1)+Resumo!$C$9+Resumo!$C$13+Resumo!$C$14*CEILING(AL$3,1))*(1+Resumo!$C$11)-(AL$4*(Resumo!$B$6+Resumo!$B$7)+Resumo!$B$9+Resumo!$B$10*CEILING(AL$3/100,1)+(Resumo!$B$12+Resumo!$B$14)*CEILING(AL$3,1))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8" s="13" t="n">
        <f aca="false">(Z88+AM$4*(Resumo!$C$6+Resumo!$C$7+Resumo!$C$8)+Resumo!$C$10*CEILING(AM$3/100,1)+Resumo!$C$9+Resumo!$C$13+Resumo!$C$14*CEILING(AM$3,1))*(1+Resumo!$C$11)-(AM$4*(Resumo!$B$6+Resumo!$B$7)+Resumo!$B$9+Resumo!$B$10*CEILING(AM$3/100,1)+(Resumo!$B$12+Resumo!$B$14)*CEILING(AM$3,1))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8" s="13" t="n">
        <f aca="false">(AA88+AN$4*(Resumo!$C$6+Resumo!$C$7+Resumo!$C$8)+Resumo!$C$10*CEILING(AN$3/100,1)+Resumo!$C$9+Resumo!$C$13+Resumo!$C$14*CEILING(AN$3,1))*(1+Resumo!$C$11)-(AN$4*(Resumo!$B$6+Resumo!$B$7)+Resumo!$B$9+Resumo!$B$10*CEILING(AN$3/100,1)+(Resumo!$B$12+Resumo!$B$14)*CEILING(AN$3,1))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8" s="13" t="n">
        <f aca="false">(AB88+AO$4*(Resumo!$C$6+Resumo!$C$7+Resumo!$C$8)+Resumo!$C$10*CEILING(AO$3/100,1)+Resumo!$C$9+Resumo!$C$13+Resumo!$C$14*CEILING(AO$3,1))*(1+Resumo!$C$11)-(AO$4*(Resumo!$B$6+Resumo!$B$7)+Resumo!$B$9+Resumo!$B$10*CEILING(AO$3/100,1)+(Resumo!$B$12+Resumo!$B$14)*CEILING(AO$3,1))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8" s="13" t="n">
        <f aca="false">(AC88+AP$4*(Resumo!$C$6+Resumo!$C$7+Resumo!$C$8)+Resumo!$C$10*CEILING(AP$3/100,1)+Resumo!$C$9+Resumo!$C$13+Resumo!$C$14*CEILING(AP$3,1))*(1+Resumo!$C$11)-(AP$4*(Resumo!$B$6+Resumo!$B$7)+Resumo!$B$9+Resumo!$B$10*CEILING(AP$3/100,1)+(Resumo!$B$12+Resumo!$B$14)*CEILING(AP$3,1))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8" s="13" t="n">
        <f aca="false">(AD88+AQ$4*(Resumo!$C$6+Resumo!$C$7+Resumo!$C$8)+Resumo!$C$10*CEILING(AQ$3/100,1)+Resumo!$C$9+Resumo!$C$13+Resumo!$C$14*CEILING(AQ$3,1))*(1+Resumo!$C$11)-(AQ$4*(Resumo!$B$6+Resumo!$B$7)+Resumo!$B$9+Resumo!$B$10*CEILING(AQ$3/100,1)+(Resumo!$B$12+Resumo!$B$14)*CEILING(AQ$3,1))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8" s="13" t="n">
        <f aca="false">(AE88+AR$4*(Resumo!$C$6+Resumo!$C$7+Resumo!$C$8)+Resumo!$C$10*CEILING(AR$3/100,1)+Resumo!$C$9+Resumo!$C$13+Resumo!$C$14*CEILING(AR$3,1))*(1+Resumo!$C$11)-(AR$4*(Resumo!$B$6+Resumo!$B$7)+Resumo!$B$9+Resumo!$B$10*CEILING(AR$3/100,1)+(Resumo!$B$12+Resumo!$B$14)*CEILING(AR$3,1))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8" s="13" t="n">
        <f aca="false">(AF88+AS$4*(Resumo!$C$6+Resumo!$C$7+Resumo!$C$8)+Resumo!$C$10*CEILING(AS$3/100,1)+Resumo!$C$9+Resumo!$C$13+Resumo!$C$14*CEILING(AS$3,1))*(1+Resumo!$C$11)-(AS$4*(Resumo!$B$6+Resumo!$B$7)+Resumo!$B$9+Resumo!$B$10*CEILING(AS$3/100,1)+(Resumo!$B$12+Resumo!$B$14)*CEILING(AS$3,1))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8" s="13" t="n">
        <f aca="false">(AG88+AT$4*(Resumo!$C$6+Resumo!$C$7+Resumo!$C$8)+Resumo!$C$10*CEILING(AT$3/100,1)+Resumo!$C$9+Resumo!$C$13+Resumo!$C$14*CEILING(AT$3,1))*(1+Resumo!$C$11)-(AT$4*(Resumo!$B$6+Resumo!$B$7)+Resumo!$B$9+Resumo!$B$10*CEILING(AT$3/100,1)+(Resumo!$B$12+Resumo!$B$14)*CEILING(AT$3,1))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8" s="44" t="n">
        <f aca="false">1-AH88/H88</f>
        <v>0.553790009855127</v>
      </c>
      <c r="AV88" s="44" t="n">
        <f aca="false">1-AI88/I88</f>
        <v>0.468426082913158</v>
      </c>
      <c r="AW88" s="44" t="n">
        <f aca="false">1-AJ88/J88</f>
        <v>0.424299969908939</v>
      </c>
      <c r="AX88" s="44" t="n">
        <f aca="false">1-AK88/K88</f>
        <v>0.444318235095027</v>
      </c>
      <c r="AY88" s="44" t="n">
        <f aca="false">1-AL88/L88</f>
        <v>0.44289446919564</v>
      </c>
      <c r="AZ88" s="44" t="n">
        <f aca="false">1-AM88/M88</f>
        <v>0.439248965608252</v>
      </c>
      <c r="BA88" s="44" t="n">
        <f aca="false">1-AN88/N88</f>
        <v>0.433759067609368</v>
      </c>
      <c r="BB88" s="44" t="n">
        <f aca="false">1-AO88/O88</f>
        <v>0.427042392574117</v>
      </c>
      <c r="BC88" s="44" t="n">
        <f aca="false">1-AP88/P88</f>
        <v>0.493280443868681</v>
      </c>
      <c r="BD88" s="44" t="n">
        <f aca="false">1-AQ88/Q88</f>
        <v>0.455794679894486</v>
      </c>
      <c r="BE88" s="44" t="n">
        <f aca="false">1-AR88/R88</f>
        <v>0.489018797268033</v>
      </c>
      <c r="BF88" s="44" t="n">
        <f aca="false">1-AS88/S88</f>
        <v>0.820503440269559</v>
      </c>
      <c r="BG88" s="44" t="n">
        <f aca="false">1-AT88/T88</f>
        <v>0.528263860444042</v>
      </c>
    </row>
    <row r="89" customFormat="false" ht="15" hidden="false" customHeight="false" outlineLevel="0" collapsed="false">
      <c r="A89" s="10" t="s">
        <v>261</v>
      </c>
      <c r="B89" s="10" t="s">
        <v>334</v>
      </c>
      <c r="C89" s="58" t="n">
        <v>28800000</v>
      </c>
      <c r="D89" s="58" t="n">
        <v>28819999</v>
      </c>
      <c r="E89" s="10" t="s">
        <v>24</v>
      </c>
      <c r="F89" s="10" t="s">
        <v>270</v>
      </c>
      <c r="G89" s="10" t="n">
        <f aca="false">COUNTIFS(Pedidos!$C$2:$C$2224,"&gt;="&amp;C89,Pedidos!$C$2:$C$2224,"&lt;="&amp;D89)</f>
        <v>4</v>
      </c>
      <c r="H89" s="40" t="n">
        <v>57.47</v>
      </c>
      <c r="I89" s="40" t="n">
        <v>100.58</v>
      </c>
      <c r="J89" s="40" t="n">
        <v>114.95</v>
      </c>
      <c r="K89" s="40" t="n">
        <v>114.95</v>
      </c>
      <c r="L89" s="40" t="n">
        <v>128.14</v>
      </c>
      <c r="M89" s="40" t="n">
        <v>149.5</v>
      </c>
      <c r="N89" s="40" t="n">
        <v>142.74</v>
      </c>
      <c r="O89" s="40" t="n">
        <v>178.42</v>
      </c>
      <c r="P89" s="40" t="n">
        <v>214.11</v>
      </c>
      <c r="Q89" s="40" t="n">
        <v>249.03</v>
      </c>
      <c r="R89" s="40" t="n">
        <v>282.23</v>
      </c>
      <c r="S89" s="40" t="n">
        <v>332.05</v>
      </c>
      <c r="T89" s="40" t="n">
        <v>415.05</v>
      </c>
      <c r="U89" s="40" t="n">
        <v>46.95</v>
      </c>
      <c r="V89" s="40" t="n">
        <v>65.63</v>
      </c>
      <c r="W89" s="40" t="n">
        <v>74.97</v>
      </c>
      <c r="X89" s="40" t="n">
        <v>77.7</v>
      </c>
      <c r="Y89" s="40" t="n">
        <v>83.58</v>
      </c>
      <c r="Z89" s="40" t="n">
        <v>90.2</v>
      </c>
      <c r="AA89" s="40" t="n">
        <v>96.77</v>
      </c>
      <c r="AB89" s="40" t="n">
        <v>109.63</v>
      </c>
      <c r="AC89" s="40" t="n">
        <v>119.5</v>
      </c>
      <c r="AD89" s="40" t="n">
        <v>144.24</v>
      </c>
      <c r="AE89" s="40" t="n">
        <v>155.09</v>
      </c>
      <c r="AF89" s="40" t="n">
        <v>66.69</v>
      </c>
      <c r="AG89" s="40" t="n">
        <v>214.88</v>
      </c>
      <c r="AH89" s="13" t="n">
        <f aca="false">(U89+AH$4*(Resumo!$C$6+Resumo!$C$7+Resumo!$C$8)+Resumo!$C$10*CEILING(AH$3/100,1)+Resumo!$C$9+Resumo!$C$13+Resumo!$C$14*CEILING(AH$3,1))*(1+Resumo!$C$11)-(AH$4*(Resumo!$B$6+Resumo!$B$7)+Resumo!$B$9+Resumo!$B$10*CEILING(AH$3/100,1)+(Resumo!$B$12+Resumo!$B$14)*CEILING(AH$3,1))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89" s="13" t="n">
        <f aca="false">(V89+AI$4*(Resumo!$C$6+Resumo!$C$7+Resumo!$C$8)+Resumo!$C$10*CEILING(AI$3/100,1)+Resumo!$C$9+Resumo!$C$13+Resumo!$C$14*CEILING(AI$3,1))*(1+Resumo!$C$11)-(AI$4*(Resumo!$B$6+Resumo!$B$7)+Resumo!$B$9+Resumo!$B$10*CEILING(AI$3/100,1)+(Resumo!$B$12+Resumo!$B$14)*CEILING(AI$3,1))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89" s="13" t="n">
        <f aca="false">(W89+AJ$4*(Resumo!$C$6+Resumo!$C$7+Resumo!$C$8)+Resumo!$C$10*CEILING(AJ$3/100,1)+Resumo!$C$9+Resumo!$C$13+Resumo!$C$14*CEILING(AJ$3,1))*(1+Resumo!$C$11)-(AJ$4*(Resumo!$B$6+Resumo!$B$7)+Resumo!$B$9+Resumo!$B$10*CEILING(AJ$3/100,1)+(Resumo!$B$12+Resumo!$B$14)*CEILING(AJ$3,1))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89" s="13" t="n">
        <f aca="false">(X89+AK$4*(Resumo!$C$6+Resumo!$C$7+Resumo!$C$8)+Resumo!$C$10*CEILING(AK$3/100,1)+Resumo!$C$9+Resumo!$C$13+Resumo!$C$14*CEILING(AK$3,1))*(1+Resumo!$C$11)-(AK$4*(Resumo!$B$6+Resumo!$B$7)+Resumo!$B$9+Resumo!$B$10*CEILING(AK$3/100,1)+(Resumo!$B$12+Resumo!$B$14)*CEILING(AK$3,1))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89" s="13" t="n">
        <f aca="false">(Y89+AL$4*(Resumo!$C$6+Resumo!$C$7+Resumo!$C$8)+Resumo!$C$10*CEILING(AL$3/100,1)+Resumo!$C$9+Resumo!$C$13+Resumo!$C$14*CEILING(AL$3,1))*(1+Resumo!$C$11)-(AL$4*(Resumo!$B$6+Resumo!$B$7)+Resumo!$B$9+Resumo!$B$10*CEILING(AL$3/100,1)+(Resumo!$B$12+Resumo!$B$14)*CEILING(AL$3,1))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89" s="13" t="n">
        <f aca="false">(Z89+AM$4*(Resumo!$C$6+Resumo!$C$7+Resumo!$C$8)+Resumo!$C$10*CEILING(AM$3/100,1)+Resumo!$C$9+Resumo!$C$13+Resumo!$C$14*CEILING(AM$3,1))*(1+Resumo!$C$11)-(AM$4*(Resumo!$B$6+Resumo!$B$7)+Resumo!$B$9+Resumo!$B$10*CEILING(AM$3/100,1)+(Resumo!$B$12+Resumo!$B$14)*CEILING(AM$3,1))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89" s="13" t="n">
        <f aca="false">(AA89+AN$4*(Resumo!$C$6+Resumo!$C$7+Resumo!$C$8)+Resumo!$C$10*CEILING(AN$3/100,1)+Resumo!$C$9+Resumo!$C$13+Resumo!$C$14*CEILING(AN$3,1))*(1+Resumo!$C$11)-(AN$4*(Resumo!$B$6+Resumo!$B$7)+Resumo!$B$9+Resumo!$B$10*CEILING(AN$3/100,1)+(Resumo!$B$12+Resumo!$B$14)*CEILING(AN$3,1))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89" s="13" t="n">
        <f aca="false">(AB89+AO$4*(Resumo!$C$6+Resumo!$C$7+Resumo!$C$8)+Resumo!$C$10*CEILING(AO$3/100,1)+Resumo!$C$9+Resumo!$C$13+Resumo!$C$14*CEILING(AO$3,1))*(1+Resumo!$C$11)-(AO$4*(Resumo!$B$6+Resumo!$B$7)+Resumo!$B$9+Resumo!$B$10*CEILING(AO$3/100,1)+(Resumo!$B$12+Resumo!$B$14)*CEILING(AO$3,1))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89" s="13" t="n">
        <f aca="false">(AC89+AP$4*(Resumo!$C$6+Resumo!$C$7+Resumo!$C$8)+Resumo!$C$10*CEILING(AP$3/100,1)+Resumo!$C$9+Resumo!$C$13+Resumo!$C$14*CEILING(AP$3,1))*(1+Resumo!$C$11)-(AP$4*(Resumo!$B$6+Resumo!$B$7)+Resumo!$B$9+Resumo!$B$10*CEILING(AP$3/100,1)+(Resumo!$B$12+Resumo!$B$14)*CEILING(AP$3,1))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89" s="13" t="n">
        <f aca="false">(AD89+AQ$4*(Resumo!$C$6+Resumo!$C$7+Resumo!$C$8)+Resumo!$C$10*CEILING(AQ$3/100,1)+Resumo!$C$9+Resumo!$C$13+Resumo!$C$14*CEILING(AQ$3,1))*(1+Resumo!$C$11)-(AQ$4*(Resumo!$B$6+Resumo!$B$7)+Resumo!$B$9+Resumo!$B$10*CEILING(AQ$3/100,1)+(Resumo!$B$12+Resumo!$B$14)*CEILING(AQ$3,1))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89" s="13" t="n">
        <f aca="false">(AE89+AR$4*(Resumo!$C$6+Resumo!$C$7+Resumo!$C$8)+Resumo!$C$10*CEILING(AR$3/100,1)+Resumo!$C$9+Resumo!$C$13+Resumo!$C$14*CEILING(AR$3,1))*(1+Resumo!$C$11)-(AR$4*(Resumo!$B$6+Resumo!$B$7)+Resumo!$B$9+Resumo!$B$10*CEILING(AR$3/100,1)+(Resumo!$B$12+Resumo!$B$14)*CEILING(AR$3,1))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89" s="13" t="n">
        <f aca="false">(AF89+AS$4*(Resumo!$C$6+Resumo!$C$7+Resumo!$C$8)+Resumo!$C$10*CEILING(AS$3/100,1)+Resumo!$C$9+Resumo!$C$13+Resumo!$C$14*CEILING(AS$3,1))*(1+Resumo!$C$11)-(AS$4*(Resumo!$B$6+Resumo!$B$7)+Resumo!$B$9+Resumo!$B$10*CEILING(AS$3/100,1)+(Resumo!$B$12+Resumo!$B$14)*CEILING(AS$3,1))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89" s="13" t="n">
        <f aca="false">(AG89+AT$4*(Resumo!$C$6+Resumo!$C$7+Resumo!$C$8)+Resumo!$C$10*CEILING(AT$3/100,1)+Resumo!$C$9+Resumo!$C$13+Resumo!$C$14*CEILING(AT$3,1))*(1+Resumo!$C$11)-(AT$4*(Resumo!$B$6+Resumo!$B$7)+Resumo!$B$9+Resumo!$B$10*CEILING(AT$3/100,1)+(Resumo!$B$12+Resumo!$B$14)*CEILING(AT$3,1))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89" s="44" t="n">
        <f aca="false">1-AH89/H89</f>
        <v>0.0369255754729408</v>
      </c>
      <c r="AV89" s="44" t="n">
        <f aca="false">1-AI89/I89</f>
        <v>0.269125502148147</v>
      </c>
      <c r="AW89" s="44" t="n">
        <f aca="false">1-AJ89/J89</f>
        <v>0.283617813795343</v>
      </c>
      <c r="AX89" s="44" t="n">
        <f aca="false">1-AK89/K89</f>
        <v>0.262603771912965</v>
      </c>
      <c r="AY89" s="44" t="n">
        <f aca="false">1-AL89/L89</f>
        <v>0.295509753304679</v>
      </c>
      <c r="AZ89" s="44" t="n">
        <f aca="false">1-AM89/M89</f>
        <v>0.356580385019663</v>
      </c>
      <c r="BA89" s="44" t="n">
        <f aca="false">1-AN89/N89</f>
        <v>0.281825287936108</v>
      </c>
      <c r="BB89" s="44" t="n">
        <f aca="false">1-AO89/O89</f>
        <v>0.357614394185216</v>
      </c>
      <c r="BC89" s="44" t="n">
        <f aca="false">1-AP89/P89</f>
        <v>0.439534233417314</v>
      </c>
      <c r="BD89" s="44" t="n">
        <f aca="false">1-AQ89/Q89</f>
        <v>0.421245083015122</v>
      </c>
      <c r="BE89" s="44" t="n">
        <f aca="false">1-AR89/R89</f>
        <v>0.456574396768593</v>
      </c>
      <c r="BF89" s="44" t="n">
        <f aca="false">1-AS89/S89</f>
        <v>0.809086583345882</v>
      </c>
      <c r="BG89" s="44" t="n">
        <f aca="false">1-AT89/T89</f>
        <v>0.49831506565474</v>
      </c>
    </row>
    <row r="90" customFormat="false" ht="15" hidden="false" customHeight="false" outlineLevel="0" collapsed="false">
      <c r="A90" s="10" t="s">
        <v>261</v>
      </c>
      <c r="B90" s="10" t="s">
        <v>335</v>
      </c>
      <c r="C90" s="58" t="n">
        <v>28820000</v>
      </c>
      <c r="D90" s="58" t="n">
        <v>28859999</v>
      </c>
      <c r="E90" s="10" t="s">
        <v>24</v>
      </c>
      <c r="F90" s="10" t="s">
        <v>270</v>
      </c>
      <c r="G90" s="10" t="n">
        <f aca="false">COUNTIFS(Pedidos!$C$2:$C$2224,"&gt;="&amp;C90,Pedidos!$C$2:$C$2224,"&lt;="&amp;D90)</f>
        <v>0</v>
      </c>
      <c r="H90" s="40" t="n">
        <v>57.47</v>
      </c>
      <c r="I90" s="40" t="n">
        <v>100.58</v>
      </c>
      <c r="J90" s="40" t="n">
        <v>114.95</v>
      </c>
      <c r="K90" s="40" t="n">
        <v>114.95</v>
      </c>
      <c r="L90" s="40" t="n">
        <v>128.14</v>
      </c>
      <c r="M90" s="40" t="n">
        <v>149.5</v>
      </c>
      <c r="N90" s="40" t="n">
        <v>142.74</v>
      </c>
      <c r="O90" s="40" t="n">
        <v>178.42</v>
      </c>
      <c r="P90" s="40" t="n">
        <v>214.11</v>
      </c>
      <c r="Q90" s="40" t="n">
        <v>249.03</v>
      </c>
      <c r="R90" s="40" t="n">
        <v>282.23</v>
      </c>
      <c r="S90" s="40" t="n">
        <v>332.05</v>
      </c>
      <c r="T90" s="40" t="n">
        <v>415.05</v>
      </c>
      <c r="U90" s="40" t="n">
        <v>46.95</v>
      </c>
      <c r="V90" s="40" t="n">
        <v>65.63</v>
      </c>
      <c r="W90" s="40" t="n">
        <v>74.97</v>
      </c>
      <c r="X90" s="40" t="n">
        <v>77.7</v>
      </c>
      <c r="Y90" s="40" t="n">
        <v>83.58</v>
      </c>
      <c r="Z90" s="40" t="n">
        <v>90.2</v>
      </c>
      <c r="AA90" s="40" t="n">
        <v>96.77</v>
      </c>
      <c r="AB90" s="40" t="n">
        <v>109.63</v>
      </c>
      <c r="AC90" s="40" t="n">
        <v>119.5</v>
      </c>
      <c r="AD90" s="40" t="n">
        <v>144.24</v>
      </c>
      <c r="AE90" s="40" t="n">
        <v>155.09</v>
      </c>
      <c r="AF90" s="40" t="n">
        <v>66.69</v>
      </c>
      <c r="AG90" s="40" t="n">
        <v>214.88</v>
      </c>
      <c r="AH90" s="13" t="n">
        <f aca="false">(U90+AH$4*(Resumo!$C$6+Resumo!$C$7+Resumo!$C$8)+Resumo!$C$10*CEILING(AH$3/100,1)+Resumo!$C$9+Resumo!$C$13+Resumo!$C$14*CEILING(AH$3,1))*(1+Resumo!$C$11)-(AH$4*(Resumo!$B$6+Resumo!$B$7)+Resumo!$B$9+Resumo!$B$10*CEILING(AH$3/100,1)+(Resumo!$B$12+Resumo!$B$14)*CEILING(AH$3,1))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0" s="13" t="n">
        <f aca="false">(V90+AI$4*(Resumo!$C$6+Resumo!$C$7+Resumo!$C$8)+Resumo!$C$10*CEILING(AI$3/100,1)+Resumo!$C$9+Resumo!$C$13+Resumo!$C$14*CEILING(AI$3,1))*(1+Resumo!$C$11)-(AI$4*(Resumo!$B$6+Resumo!$B$7)+Resumo!$B$9+Resumo!$B$10*CEILING(AI$3/100,1)+(Resumo!$B$12+Resumo!$B$14)*CEILING(AI$3,1))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0" s="13" t="n">
        <f aca="false">(W90+AJ$4*(Resumo!$C$6+Resumo!$C$7+Resumo!$C$8)+Resumo!$C$10*CEILING(AJ$3/100,1)+Resumo!$C$9+Resumo!$C$13+Resumo!$C$14*CEILING(AJ$3,1))*(1+Resumo!$C$11)-(AJ$4*(Resumo!$B$6+Resumo!$B$7)+Resumo!$B$9+Resumo!$B$10*CEILING(AJ$3/100,1)+(Resumo!$B$12+Resumo!$B$14)*CEILING(AJ$3,1))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0" s="13" t="n">
        <f aca="false">(X90+AK$4*(Resumo!$C$6+Resumo!$C$7+Resumo!$C$8)+Resumo!$C$10*CEILING(AK$3/100,1)+Resumo!$C$9+Resumo!$C$13+Resumo!$C$14*CEILING(AK$3,1))*(1+Resumo!$C$11)-(AK$4*(Resumo!$B$6+Resumo!$B$7)+Resumo!$B$9+Resumo!$B$10*CEILING(AK$3/100,1)+(Resumo!$B$12+Resumo!$B$14)*CEILING(AK$3,1))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0" s="13" t="n">
        <f aca="false">(Y90+AL$4*(Resumo!$C$6+Resumo!$C$7+Resumo!$C$8)+Resumo!$C$10*CEILING(AL$3/100,1)+Resumo!$C$9+Resumo!$C$13+Resumo!$C$14*CEILING(AL$3,1))*(1+Resumo!$C$11)-(AL$4*(Resumo!$B$6+Resumo!$B$7)+Resumo!$B$9+Resumo!$B$10*CEILING(AL$3/100,1)+(Resumo!$B$12+Resumo!$B$14)*CEILING(AL$3,1))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0" s="13" t="n">
        <f aca="false">(Z90+AM$4*(Resumo!$C$6+Resumo!$C$7+Resumo!$C$8)+Resumo!$C$10*CEILING(AM$3/100,1)+Resumo!$C$9+Resumo!$C$13+Resumo!$C$14*CEILING(AM$3,1))*(1+Resumo!$C$11)-(AM$4*(Resumo!$B$6+Resumo!$B$7)+Resumo!$B$9+Resumo!$B$10*CEILING(AM$3/100,1)+(Resumo!$B$12+Resumo!$B$14)*CEILING(AM$3,1))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0" s="13" t="n">
        <f aca="false">(AA90+AN$4*(Resumo!$C$6+Resumo!$C$7+Resumo!$C$8)+Resumo!$C$10*CEILING(AN$3/100,1)+Resumo!$C$9+Resumo!$C$13+Resumo!$C$14*CEILING(AN$3,1))*(1+Resumo!$C$11)-(AN$4*(Resumo!$B$6+Resumo!$B$7)+Resumo!$B$9+Resumo!$B$10*CEILING(AN$3/100,1)+(Resumo!$B$12+Resumo!$B$14)*CEILING(AN$3,1))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0" s="13" t="n">
        <f aca="false">(AB90+AO$4*(Resumo!$C$6+Resumo!$C$7+Resumo!$C$8)+Resumo!$C$10*CEILING(AO$3/100,1)+Resumo!$C$9+Resumo!$C$13+Resumo!$C$14*CEILING(AO$3,1))*(1+Resumo!$C$11)-(AO$4*(Resumo!$B$6+Resumo!$B$7)+Resumo!$B$9+Resumo!$B$10*CEILING(AO$3/100,1)+(Resumo!$B$12+Resumo!$B$14)*CEILING(AO$3,1))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0" s="13" t="n">
        <f aca="false">(AC90+AP$4*(Resumo!$C$6+Resumo!$C$7+Resumo!$C$8)+Resumo!$C$10*CEILING(AP$3/100,1)+Resumo!$C$9+Resumo!$C$13+Resumo!$C$14*CEILING(AP$3,1))*(1+Resumo!$C$11)-(AP$4*(Resumo!$B$6+Resumo!$B$7)+Resumo!$B$9+Resumo!$B$10*CEILING(AP$3/100,1)+(Resumo!$B$12+Resumo!$B$14)*CEILING(AP$3,1))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0" s="13" t="n">
        <f aca="false">(AD90+AQ$4*(Resumo!$C$6+Resumo!$C$7+Resumo!$C$8)+Resumo!$C$10*CEILING(AQ$3/100,1)+Resumo!$C$9+Resumo!$C$13+Resumo!$C$14*CEILING(AQ$3,1))*(1+Resumo!$C$11)-(AQ$4*(Resumo!$B$6+Resumo!$B$7)+Resumo!$B$9+Resumo!$B$10*CEILING(AQ$3/100,1)+(Resumo!$B$12+Resumo!$B$14)*CEILING(AQ$3,1))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0" s="13" t="n">
        <f aca="false">(AE90+AR$4*(Resumo!$C$6+Resumo!$C$7+Resumo!$C$8)+Resumo!$C$10*CEILING(AR$3/100,1)+Resumo!$C$9+Resumo!$C$13+Resumo!$C$14*CEILING(AR$3,1))*(1+Resumo!$C$11)-(AR$4*(Resumo!$B$6+Resumo!$B$7)+Resumo!$B$9+Resumo!$B$10*CEILING(AR$3/100,1)+(Resumo!$B$12+Resumo!$B$14)*CEILING(AR$3,1))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0" s="13" t="n">
        <f aca="false">(AF90+AS$4*(Resumo!$C$6+Resumo!$C$7+Resumo!$C$8)+Resumo!$C$10*CEILING(AS$3/100,1)+Resumo!$C$9+Resumo!$C$13+Resumo!$C$14*CEILING(AS$3,1))*(1+Resumo!$C$11)-(AS$4*(Resumo!$B$6+Resumo!$B$7)+Resumo!$B$9+Resumo!$B$10*CEILING(AS$3/100,1)+(Resumo!$B$12+Resumo!$B$14)*CEILING(AS$3,1))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0" s="13" t="n">
        <f aca="false">(AG90+AT$4*(Resumo!$C$6+Resumo!$C$7+Resumo!$C$8)+Resumo!$C$10*CEILING(AT$3/100,1)+Resumo!$C$9+Resumo!$C$13+Resumo!$C$14*CEILING(AT$3,1))*(1+Resumo!$C$11)-(AT$4*(Resumo!$B$6+Resumo!$B$7)+Resumo!$B$9+Resumo!$B$10*CEILING(AT$3/100,1)+(Resumo!$B$12+Resumo!$B$14)*CEILING(AT$3,1))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0" s="44" t="n">
        <f aca="false">1-AH90/H90</f>
        <v>0.0369255754729408</v>
      </c>
      <c r="AV90" s="44" t="n">
        <f aca="false">1-AI90/I90</f>
        <v>0.269125502148147</v>
      </c>
      <c r="AW90" s="44" t="n">
        <f aca="false">1-AJ90/J90</f>
        <v>0.283617813795343</v>
      </c>
      <c r="AX90" s="44" t="n">
        <f aca="false">1-AK90/K90</f>
        <v>0.262603771912965</v>
      </c>
      <c r="AY90" s="44" t="n">
        <f aca="false">1-AL90/L90</f>
        <v>0.295509753304679</v>
      </c>
      <c r="AZ90" s="44" t="n">
        <f aca="false">1-AM90/M90</f>
        <v>0.356580385019663</v>
      </c>
      <c r="BA90" s="44" t="n">
        <f aca="false">1-AN90/N90</f>
        <v>0.281825287936108</v>
      </c>
      <c r="BB90" s="44" t="n">
        <f aca="false">1-AO90/O90</f>
        <v>0.357614394185216</v>
      </c>
      <c r="BC90" s="44" t="n">
        <f aca="false">1-AP90/P90</f>
        <v>0.439534233417314</v>
      </c>
      <c r="BD90" s="44" t="n">
        <f aca="false">1-AQ90/Q90</f>
        <v>0.421245083015122</v>
      </c>
      <c r="BE90" s="44" t="n">
        <f aca="false">1-AR90/R90</f>
        <v>0.456574396768593</v>
      </c>
      <c r="BF90" s="44" t="n">
        <f aca="false">1-AS90/S90</f>
        <v>0.809086583345882</v>
      </c>
      <c r="BG90" s="44" t="n">
        <f aca="false">1-AT90/T90</f>
        <v>0.49831506565474</v>
      </c>
    </row>
    <row r="91" customFormat="false" ht="15" hidden="false" customHeight="false" outlineLevel="0" collapsed="false">
      <c r="A91" s="10" t="s">
        <v>261</v>
      </c>
      <c r="B91" s="10" t="s">
        <v>336</v>
      </c>
      <c r="C91" s="58" t="n">
        <v>28860000</v>
      </c>
      <c r="D91" s="58" t="n">
        <v>28889999</v>
      </c>
      <c r="E91" s="10" t="s">
        <v>24</v>
      </c>
      <c r="F91" s="10" t="s">
        <v>266</v>
      </c>
      <c r="G91" s="10" t="n">
        <f aca="false">COUNTIFS(Pedidos!$C$2:$C$2224,"&gt;="&amp;C91,Pedidos!$C$2:$C$2224,"&lt;="&amp;D91)</f>
        <v>7</v>
      </c>
      <c r="H91" s="40" t="n">
        <v>100.7</v>
      </c>
      <c r="I91" s="40" t="n">
        <v>114.95</v>
      </c>
      <c r="J91" s="40" t="n">
        <v>124.38</v>
      </c>
      <c r="K91" s="40" t="n">
        <v>129.29</v>
      </c>
      <c r="L91" s="40" t="n">
        <v>142.32</v>
      </c>
      <c r="M91" s="40" t="n">
        <v>166.05</v>
      </c>
      <c r="N91" s="40" t="n">
        <v>166.05</v>
      </c>
      <c r="O91" s="40" t="n">
        <v>197.35</v>
      </c>
      <c r="P91" s="40" t="n">
        <v>236.82</v>
      </c>
      <c r="Q91" s="40" t="n">
        <v>264.84</v>
      </c>
      <c r="R91" s="40" t="n">
        <v>300.15</v>
      </c>
      <c r="S91" s="40" t="n">
        <v>353.12</v>
      </c>
      <c r="T91" s="40" t="n">
        <v>441.4</v>
      </c>
      <c r="U91" s="40" t="n">
        <v>46.95</v>
      </c>
      <c r="V91" s="40" t="n">
        <v>65.63</v>
      </c>
      <c r="W91" s="40" t="n">
        <v>74.97</v>
      </c>
      <c r="X91" s="40" t="n">
        <v>77.7</v>
      </c>
      <c r="Y91" s="40" t="n">
        <v>83.58</v>
      </c>
      <c r="Z91" s="40" t="n">
        <v>90.2</v>
      </c>
      <c r="AA91" s="40" t="n">
        <v>96.77</v>
      </c>
      <c r="AB91" s="40" t="n">
        <v>109.63</v>
      </c>
      <c r="AC91" s="40" t="n">
        <v>119.5</v>
      </c>
      <c r="AD91" s="40" t="n">
        <v>144.24</v>
      </c>
      <c r="AE91" s="40" t="n">
        <v>155.09</v>
      </c>
      <c r="AF91" s="40" t="n">
        <v>66.69</v>
      </c>
      <c r="AG91" s="40" t="n">
        <v>214.88</v>
      </c>
      <c r="AH91" s="13" t="n">
        <f aca="false">(U91+AH$4*(Resumo!$C$6+Resumo!$C$7+Resumo!$C$8)+Resumo!$C$10*CEILING(AH$3/100,1)+Resumo!$C$9+Resumo!$C$13+Resumo!$C$14*CEILING(AH$3,1))*(1+Resumo!$C$11)-(AH$4*(Resumo!$B$6+Resumo!$B$7)+Resumo!$B$9+Resumo!$B$10*CEILING(AH$3/100,1)+(Resumo!$B$12+Resumo!$B$14)*CEILING(AH$3,1))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1" s="13" t="n">
        <f aca="false">(V91+AI$4*(Resumo!$C$6+Resumo!$C$7+Resumo!$C$8)+Resumo!$C$10*CEILING(AI$3/100,1)+Resumo!$C$9+Resumo!$C$13+Resumo!$C$14*CEILING(AI$3,1))*(1+Resumo!$C$11)-(AI$4*(Resumo!$B$6+Resumo!$B$7)+Resumo!$B$9+Resumo!$B$10*CEILING(AI$3/100,1)+(Resumo!$B$12+Resumo!$B$14)*CEILING(AI$3,1))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1" s="13" t="n">
        <f aca="false">(W91+AJ$4*(Resumo!$C$6+Resumo!$C$7+Resumo!$C$8)+Resumo!$C$10*CEILING(AJ$3/100,1)+Resumo!$C$9+Resumo!$C$13+Resumo!$C$14*CEILING(AJ$3,1))*(1+Resumo!$C$11)-(AJ$4*(Resumo!$B$6+Resumo!$B$7)+Resumo!$B$9+Resumo!$B$10*CEILING(AJ$3/100,1)+(Resumo!$B$12+Resumo!$B$14)*CEILING(AJ$3,1))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1" s="13" t="n">
        <f aca="false">(X91+AK$4*(Resumo!$C$6+Resumo!$C$7+Resumo!$C$8)+Resumo!$C$10*CEILING(AK$3/100,1)+Resumo!$C$9+Resumo!$C$13+Resumo!$C$14*CEILING(AK$3,1))*(1+Resumo!$C$11)-(AK$4*(Resumo!$B$6+Resumo!$B$7)+Resumo!$B$9+Resumo!$B$10*CEILING(AK$3/100,1)+(Resumo!$B$12+Resumo!$B$14)*CEILING(AK$3,1))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1" s="13" t="n">
        <f aca="false">(Y91+AL$4*(Resumo!$C$6+Resumo!$C$7+Resumo!$C$8)+Resumo!$C$10*CEILING(AL$3/100,1)+Resumo!$C$9+Resumo!$C$13+Resumo!$C$14*CEILING(AL$3,1))*(1+Resumo!$C$11)-(AL$4*(Resumo!$B$6+Resumo!$B$7)+Resumo!$B$9+Resumo!$B$10*CEILING(AL$3/100,1)+(Resumo!$B$12+Resumo!$B$14)*CEILING(AL$3,1))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1" s="13" t="n">
        <f aca="false">(Z91+AM$4*(Resumo!$C$6+Resumo!$C$7+Resumo!$C$8)+Resumo!$C$10*CEILING(AM$3/100,1)+Resumo!$C$9+Resumo!$C$13+Resumo!$C$14*CEILING(AM$3,1))*(1+Resumo!$C$11)-(AM$4*(Resumo!$B$6+Resumo!$B$7)+Resumo!$B$9+Resumo!$B$10*CEILING(AM$3/100,1)+(Resumo!$B$12+Resumo!$B$14)*CEILING(AM$3,1))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1" s="13" t="n">
        <f aca="false">(AA91+AN$4*(Resumo!$C$6+Resumo!$C$7+Resumo!$C$8)+Resumo!$C$10*CEILING(AN$3/100,1)+Resumo!$C$9+Resumo!$C$13+Resumo!$C$14*CEILING(AN$3,1))*(1+Resumo!$C$11)-(AN$4*(Resumo!$B$6+Resumo!$B$7)+Resumo!$B$9+Resumo!$B$10*CEILING(AN$3/100,1)+(Resumo!$B$12+Resumo!$B$14)*CEILING(AN$3,1))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1" s="13" t="n">
        <f aca="false">(AB91+AO$4*(Resumo!$C$6+Resumo!$C$7+Resumo!$C$8)+Resumo!$C$10*CEILING(AO$3/100,1)+Resumo!$C$9+Resumo!$C$13+Resumo!$C$14*CEILING(AO$3,1))*(1+Resumo!$C$11)-(AO$4*(Resumo!$B$6+Resumo!$B$7)+Resumo!$B$9+Resumo!$B$10*CEILING(AO$3/100,1)+(Resumo!$B$12+Resumo!$B$14)*CEILING(AO$3,1))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1" s="13" t="n">
        <f aca="false">(AC91+AP$4*(Resumo!$C$6+Resumo!$C$7+Resumo!$C$8)+Resumo!$C$10*CEILING(AP$3/100,1)+Resumo!$C$9+Resumo!$C$13+Resumo!$C$14*CEILING(AP$3,1))*(1+Resumo!$C$11)-(AP$4*(Resumo!$B$6+Resumo!$B$7)+Resumo!$B$9+Resumo!$B$10*CEILING(AP$3/100,1)+(Resumo!$B$12+Resumo!$B$14)*CEILING(AP$3,1))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1" s="13" t="n">
        <f aca="false">(AD91+AQ$4*(Resumo!$C$6+Resumo!$C$7+Resumo!$C$8)+Resumo!$C$10*CEILING(AQ$3/100,1)+Resumo!$C$9+Resumo!$C$13+Resumo!$C$14*CEILING(AQ$3,1))*(1+Resumo!$C$11)-(AQ$4*(Resumo!$B$6+Resumo!$B$7)+Resumo!$B$9+Resumo!$B$10*CEILING(AQ$3/100,1)+(Resumo!$B$12+Resumo!$B$14)*CEILING(AQ$3,1))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1" s="13" t="n">
        <f aca="false">(AE91+AR$4*(Resumo!$C$6+Resumo!$C$7+Resumo!$C$8)+Resumo!$C$10*CEILING(AR$3/100,1)+Resumo!$C$9+Resumo!$C$13+Resumo!$C$14*CEILING(AR$3,1))*(1+Resumo!$C$11)-(AR$4*(Resumo!$B$6+Resumo!$B$7)+Resumo!$B$9+Resumo!$B$10*CEILING(AR$3/100,1)+(Resumo!$B$12+Resumo!$B$14)*CEILING(AR$3,1))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1" s="13" t="n">
        <f aca="false">(AF91+AS$4*(Resumo!$C$6+Resumo!$C$7+Resumo!$C$8)+Resumo!$C$10*CEILING(AS$3/100,1)+Resumo!$C$9+Resumo!$C$13+Resumo!$C$14*CEILING(AS$3,1))*(1+Resumo!$C$11)-(AS$4*(Resumo!$B$6+Resumo!$B$7)+Resumo!$B$9+Resumo!$B$10*CEILING(AS$3/100,1)+(Resumo!$B$12+Resumo!$B$14)*CEILING(AS$3,1))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1" s="13" t="n">
        <f aca="false">(AG91+AT$4*(Resumo!$C$6+Resumo!$C$7+Resumo!$C$8)+Resumo!$C$10*CEILING(AT$3/100,1)+Resumo!$C$9+Resumo!$C$13+Resumo!$C$14*CEILING(AT$3,1))*(1+Resumo!$C$11)-(AT$4*(Resumo!$B$6+Resumo!$B$7)+Resumo!$B$9+Resumo!$B$10*CEILING(AT$3/100,1)+(Resumo!$B$12+Resumo!$B$14)*CEILING(AT$3,1))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1" s="44" t="n">
        <f aca="false">1-AH91/H91</f>
        <v>0.4503685483856</v>
      </c>
      <c r="AV91" s="44" t="n">
        <f aca="false">1-AI91/I91</f>
        <v>0.360492762123189</v>
      </c>
      <c r="AW91" s="44" t="n">
        <f aca="false">1-AJ91/J91</f>
        <v>0.337931079721616</v>
      </c>
      <c r="AX91" s="44" t="n">
        <f aca="false">1-AK91/K91</f>
        <v>0.344390931869405</v>
      </c>
      <c r="AY91" s="44" t="n">
        <f aca="false">1-AL91/L91</f>
        <v>0.365701375691832</v>
      </c>
      <c r="AZ91" s="44" t="n">
        <f aca="false">1-AM91/M91</f>
        <v>0.420709229511831</v>
      </c>
      <c r="BA91" s="44" t="n">
        <f aca="false">1-AN91/N91</f>
        <v>0.382642225835592</v>
      </c>
      <c r="BB91" s="44" t="n">
        <f aca="false">1-AO91/O91</f>
        <v>0.419232633445788</v>
      </c>
      <c r="BC91" s="44" t="n">
        <f aca="false">1-AP91/P91</f>
        <v>0.493280443868681</v>
      </c>
      <c r="BD91" s="44" t="n">
        <f aca="false">1-AQ91/Q91</f>
        <v>0.455794679894486</v>
      </c>
      <c r="BE91" s="44" t="n">
        <f aca="false">1-AR91/R91</f>
        <v>0.489018797268033</v>
      </c>
      <c r="BF91" s="44" t="n">
        <f aca="false">1-AS91/S91</f>
        <v>0.820478024467603</v>
      </c>
      <c r="BG91" s="44" t="n">
        <f aca="false">1-AT91/T91</f>
        <v>0.528263860444042</v>
      </c>
    </row>
    <row r="92" customFormat="false" ht="15" hidden="false" customHeight="false" outlineLevel="0" collapsed="false">
      <c r="A92" s="10" t="s">
        <v>261</v>
      </c>
      <c r="B92" s="10" t="s">
        <v>227</v>
      </c>
      <c r="C92" s="58" t="n">
        <v>28890000</v>
      </c>
      <c r="D92" s="58" t="n">
        <v>28899999</v>
      </c>
      <c r="E92" s="10" t="s">
        <v>24</v>
      </c>
      <c r="F92" s="10" t="s">
        <v>266</v>
      </c>
      <c r="G92" s="10" t="n">
        <f aca="false">COUNTIFS(Pedidos!$C$2:$C$2224,"&gt;="&amp;C92,Pedidos!$C$2:$C$2224,"&lt;="&amp;D92)</f>
        <v>18</v>
      </c>
      <c r="H92" s="40" t="n">
        <v>100.7</v>
      </c>
      <c r="I92" s="40" t="n">
        <v>114.95</v>
      </c>
      <c r="J92" s="40" t="n">
        <v>124.38</v>
      </c>
      <c r="K92" s="40" t="n">
        <v>129.29</v>
      </c>
      <c r="L92" s="40" t="n">
        <v>142.32</v>
      </c>
      <c r="M92" s="40" t="n">
        <v>166.05</v>
      </c>
      <c r="N92" s="40" t="n">
        <v>166.05</v>
      </c>
      <c r="O92" s="40" t="n">
        <v>197.35</v>
      </c>
      <c r="P92" s="40" t="n">
        <v>236.82</v>
      </c>
      <c r="Q92" s="40" t="n">
        <v>264.84</v>
      </c>
      <c r="R92" s="40" t="n">
        <v>300.15</v>
      </c>
      <c r="S92" s="40" t="n">
        <v>353.12</v>
      </c>
      <c r="T92" s="40" t="n">
        <v>441.4</v>
      </c>
      <c r="U92" s="40" t="n">
        <v>46.95</v>
      </c>
      <c r="V92" s="40" t="n">
        <v>65.63</v>
      </c>
      <c r="W92" s="40" t="n">
        <v>74.97</v>
      </c>
      <c r="X92" s="40" t="n">
        <v>77.7</v>
      </c>
      <c r="Y92" s="40" t="n">
        <v>83.58</v>
      </c>
      <c r="Z92" s="40" t="n">
        <v>90.2</v>
      </c>
      <c r="AA92" s="40" t="n">
        <v>96.77</v>
      </c>
      <c r="AB92" s="40" t="n">
        <v>109.63</v>
      </c>
      <c r="AC92" s="40" t="n">
        <v>119.5</v>
      </c>
      <c r="AD92" s="40" t="n">
        <v>144.24</v>
      </c>
      <c r="AE92" s="40" t="n">
        <v>155.09</v>
      </c>
      <c r="AF92" s="40" t="n">
        <v>66.69</v>
      </c>
      <c r="AG92" s="40" t="n">
        <v>214.88</v>
      </c>
      <c r="AH92" s="13" t="n">
        <f aca="false">(U92+AH$4*(Resumo!$C$6+Resumo!$C$7+Resumo!$C$8)+Resumo!$C$10*CEILING(AH$3/100,1)+Resumo!$C$9+Resumo!$C$13+Resumo!$C$14*CEILING(AH$3,1))*(1+Resumo!$C$11)-(AH$4*(Resumo!$B$6+Resumo!$B$7)+Resumo!$B$9+Resumo!$B$10*CEILING(AH$3/100,1)+(Resumo!$B$12+Resumo!$B$14)*CEILING(AH$3,1))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2" s="13" t="n">
        <f aca="false">(V92+AI$4*(Resumo!$C$6+Resumo!$C$7+Resumo!$C$8)+Resumo!$C$10*CEILING(AI$3/100,1)+Resumo!$C$9+Resumo!$C$13+Resumo!$C$14*CEILING(AI$3,1))*(1+Resumo!$C$11)-(AI$4*(Resumo!$B$6+Resumo!$B$7)+Resumo!$B$9+Resumo!$B$10*CEILING(AI$3/100,1)+(Resumo!$B$12+Resumo!$B$14)*CEILING(AI$3,1))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2" s="13" t="n">
        <f aca="false">(W92+AJ$4*(Resumo!$C$6+Resumo!$C$7+Resumo!$C$8)+Resumo!$C$10*CEILING(AJ$3/100,1)+Resumo!$C$9+Resumo!$C$13+Resumo!$C$14*CEILING(AJ$3,1))*(1+Resumo!$C$11)-(AJ$4*(Resumo!$B$6+Resumo!$B$7)+Resumo!$B$9+Resumo!$B$10*CEILING(AJ$3/100,1)+(Resumo!$B$12+Resumo!$B$14)*CEILING(AJ$3,1))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2" s="13" t="n">
        <f aca="false">(X92+AK$4*(Resumo!$C$6+Resumo!$C$7+Resumo!$C$8)+Resumo!$C$10*CEILING(AK$3/100,1)+Resumo!$C$9+Resumo!$C$13+Resumo!$C$14*CEILING(AK$3,1))*(1+Resumo!$C$11)-(AK$4*(Resumo!$B$6+Resumo!$B$7)+Resumo!$B$9+Resumo!$B$10*CEILING(AK$3/100,1)+(Resumo!$B$12+Resumo!$B$14)*CEILING(AK$3,1))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2" s="13" t="n">
        <f aca="false">(Y92+AL$4*(Resumo!$C$6+Resumo!$C$7+Resumo!$C$8)+Resumo!$C$10*CEILING(AL$3/100,1)+Resumo!$C$9+Resumo!$C$13+Resumo!$C$14*CEILING(AL$3,1))*(1+Resumo!$C$11)-(AL$4*(Resumo!$B$6+Resumo!$B$7)+Resumo!$B$9+Resumo!$B$10*CEILING(AL$3/100,1)+(Resumo!$B$12+Resumo!$B$14)*CEILING(AL$3,1))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2" s="13" t="n">
        <f aca="false">(Z92+AM$4*(Resumo!$C$6+Resumo!$C$7+Resumo!$C$8)+Resumo!$C$10*CEILING(AM$3/100,1)+Resumo!$C$9+Resumo!$C$13+Resumo!$C$14*CEILING(AM$3,1))*(1+Resumo!$C$11)-(AM$4*(Resumo!$B$6+Resumo!$B$7)+Resumo!$B$9+Resumo!$B$10*CEILING(AM$3/100,1)+(Resumo!$B$12+Resumo!$B$14)*CEILING(AM$3,1))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2" s="13" t="n">
        <f aca="false">(AA92+AN$4*(Resumo!$C$6+Resumo!$C$7+Resumo!$C$8)+Resumo!$C$10*CEILING(AN$3/100,1)+Resumo!$C$9+Resumo!$C$13+Resumo!$C$14*CEILING(AN$3,1))*(1+Resumo!$C$11)-(AN$4*(Resumo!$B$6+Resumo!$B$7)+Resumo!$B$9+Resumo!$B$10*CEILING(AN$3/100,1)+(Resumo!$B$12+Resumo!$B$14)*CEILING(AN$3,1))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2" s="13" t="n">
        <f aca="false">(AB92+AO$4*(Resumo!$C$6+Resumo!$C$7+Resumo!$C$8)+Resumo!$C$10*CEILING(AO$3/100,1)+Resumo!$C$9+Resumo!$C$13+Resumo!$C$14*CEILING(AO$3,1))*(1+Resumo!$C$11)-(AO$4*(Resumo!$B$6+Resumo!$B$7)+Resumo!$B$9+Resumo!$B$10*CEILING(AO$3/100,1)+(Resumo!$B$12+Resumo!$B$14)*CEILING(AO$3,1))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2" s="13" t="n">
        <f aca="false">(AC92+AP$4*(Resumo!$C$6+Resumo!$C$7+Resumo!$C$8)+Resumo!$C$10*CEILING(AP$3/100,1)+Resumo!$C$9+Resumo!$C$13+Resumo!$C$14*CEILING(AP$3,1))*(1+Resumo!$C$11)-(AP$4*(Resumo!$B$6+Resumo!$B$7)+Resumo!$B$9+Resumo!$B$10*CEILING(AP$3/100,1)+(Resumo!$B$12+Resumo!$B$14)*CEILING(AP$3,1))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2" s="13" t="n">
        <f aca="false">(AD92+AQ$4*(Resumo!$C$6+Resumo!$C$7+Resumo!$C$8)+Resumo!$C$10*CEILING(AQ$3/100,1)+Resumo!$C$9+Resumo!$C$13+Resumo!$C$14*CEILING(AQ$3,1))*(1+Resumo!$C$11)-(AQ$4*(Resumo!$B$6+Resumo!$B$7)+Resumo!$B$9+Resumo!$B$10*CEILING(AQ$3/100,1)+(Resumo!$B$12+Resumo!$B$14)*CEILING(AQ$3,1))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2" s="13" t="n">
        <f aca="false">(AE92+AR$4*(Resumo!$C$6+Resumo!$C$7+Resumo!$C$8)+Resumo!$C$10*CEILING(AR$3/100,1)+Resumo!$C$9+Resumo!$C$13+Resumo!$C$14*CEILING(AR$3,1))*(1+Resumo!$C$11)-(AR$4*(Resumo!$B$6+Resumo!$B$7)+Resumo!$B$9+Resumo!$B$10*CEILING(AR$3/100,1)+(Resumo!$B$12+Resumo!$B$14)*CEILING(AR$3,1))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2" s="13" t="n">
        <f aca="false">(AF92+AS$4*(Resumo!$C$6+Resumo!$C$7+Resumo!$C$8)+Resumo!$C$10*CEILING(AS$3/100,1)+Resumo!$C$9+Resumo!$C$13+Resumo!$C$14*CEILING(AS$3,1))*(1+Resumo!$C$11)-(AS$4*(Resumo!$B$6+Resumo!$B$7)+Resumo!$B$9+Resumo!$B$10*CEILING(AS$3/100,1)+(Resumo!$B$12+Resumo!$B$14)*CEILING(AS$3,1))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2" s="13" t="n">
        <f aca="false">(AG92+AT$4*(Resumo!$C$6+Resumo!$C$7+Resumo!$C$8)+Resumo!$C$10*CEILING(AT$3/100,1)+Resumo!$C$9+Resumo!$C$13+Resumo!$C$14*CEILING(AT$3,1))*(1+Resumo!$C$11)-(AT$4*(Resumo!$B$6+Resumo!$B$7)+Resumo!$B$9+Resumo!$B$10*CEILING(AT$3/100,1)+(Resumo!$B$12+Resumo!$B$14)*CEILING(AT$3,1))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2" s="44" t="n">
        <f aca="false">1-AH92/H92</f>
        <v>0.4503685483856</v>
      </c>
      <c r="AV92" s="44" t="n">
        <f aca="false">1-AI92/I92</f>
        <v>0.360492762123189</v>
      </c>
      <c r="AW92" s="44" t="n">
        <f aca="false">1-AJ92/J92</f>
        <v>0.337931079721616</v>
      </c>
      <c r="AX92" s="44" t="n">
        <f aca="false">1-AK92/K92</f>
        <v>0.344390931869405</v>
      </c>
      <c r="AY92" s="44" t="n">
        <f aca="false">1-AL92/L92</f>
        <v>0.365701375691832</v>
      </c>
      <c r="AZ92" s="44" t="n">
        <f aca="false">1-AM92/M92</f>
        <v>0.420709229511831</v>
      </c>
      <c r="BA92" s="44" t="n">
        <f aca="false">1-AN92/N92</f>
        <v>0.382642225835592</v>
      </c>
      <c r="BB92" s="44" t="n">
        <f aca="false">1-AO92/O92</f>
        <v>0.419232633445788</v>
      </c>
      <c r="BC92" s="44" t="n">
        <f aca="false">1-AP92/P92</f>
        <v>0.493280443868681</v>
      </c>
      <c r="BD92" s="44" t="n">
        <f aca="false">1-AQ92/Q92</f>
        <v>0.455794679894486</v>
      </c>
      <c r="BE92" s="44" t="n">
        <f aca="false">1-AR92/R92</f>
        <v>0.489018797268033</v>
      </c>
      <c r="BF92" s="44" t="n">
        <f aca="false">1-AS92/S92</f>
        <v>0.820478024467603</v>
      </c>
      <c r="BG92" s="44" t="n">
        <f aca="false">1-AT92/T92</f>
        <v>0.528263860444042</v>
      </c>
    </row>
    <row r="93" customFormat="false" ht="15" hidden="false" customHeight="false" outlineLevel="0" collapsed="false">
      <c r="A93" s="10" t="s">
        <v>261</v>
      </c>
      <c r="B93" s="10" t="s">
        <v>221</v>
      </c>
      <c r="C93" s="58" t="n">
        <v>28900000</v>
      </c>
      <c r="D93" s="58" t="n">
        <v>28929999</v>
      </c>
      <c r="E93" s="10" t="s">
        <v>24</v>
      </c>
      <c r="F93" s="10" t="s">
        <v>266</v>
      </c>
      <c r="G93" s="10" t="n">
        <f aca="false">COUNTIFS(Pedidos!$C$2:$C$2224,"&gt;="&amp;C93,Pedidos!$C$2:$C$2224,"&lt;="&amp;D93)</f>
        <v>28</v>
      </c>
      <c r="H93" s="40" t="n">
        <v>100.7</v>
      </c>
      <c r="I93" s="40" t="n">
        <v>114.95</v>
      </c>
      <c r="J93" s="40" t="n">
        <v>124.38</v>
      </c>
      <c r="K93" s="40" t="n">
        <v>129.29</v>
      </c>
      <c r="L93" s="40" t="n">
        <v>142.32</v>
      </c>
      <c r="M93" s="40" t="n">
        <v>166.05</v>
      </c>
      <c r="N93" s="40" t="n">
        <v>166.05</v>
      </c>
      <c r="O93" s="40" t="n">
        <v>197.35</v>
      </c>
      <c r="P93" s="40" t="n">
        <v>236.82</v>
      </c>
      <c r="Q93" s="40" t="n">
        <v>264.84</v>
      </c>
      <c r="R93" s="40" t="n">
        <v>300.15</v>
      </c>
      <c r="S93" s="40" t="n">
        <v>353.12</v>
      </c>
      <c r="T93" s="40" t="n">
        <v>441.4</v>
      </c>
      <c r="U93" s="40" t="n">
        <v>46.95</v>
      </c>
      <c r="V93" s="40" t="n">
        <v>65.63</v>
      </c>
      <c r="W93" s="40" t="n">
        <v>74.97</v>
      </c>
      <c r="X93" s="40" t="n">
        <v>77.7</v>
      </c>
      <c r="Y93" s="40" t="n">
        <v>83.58</v>
      </c>
      <c r="Z93" s="40" t="n">
        <v>90.2</v>
      </c>
      <c r="AA93" s="40" t="n">
        <v>96.77</v>
      </c>
      <c r="AB93" s="40" t="n">
        <v>109.63</v>
      </c>
      <c r="AC93" s="40" t="n">
        <v>119.5</v>
      </c>
      <c r="AD93" s="40" t="n">
        <v>144.24</v>
      </c>
      <c r="AE93" s="40" t="n">
        <v>155.09</v>
      </c>
      <c r="AF93" s="40" t="n">
        <v>66.69</v>
      </c>
      <c r="AG93" s="40" t="n">
        <v>214.88</v>
      </c>
      <c r="AH93" s="13" t="n">
        <f aca="false">(U93+AH$4*(Resumo!$C$6+Resumo!$C$7+Resumo!$C$8)+Resumo!$C$10*CEILING(AH$3/100,1)+Resumo!$C$9+Resumo!$C$13+Resumo!$C$14*CEILING(AH$3,1))*(1+Resumo!$C$11)-(AH$4*(Resumo!$B$6+Resumo!$B$7)+Resumo!$B$9+Resumo!$B$10*CEILING(AH$3/100,1)+(Resumo!$B$12+Resumo!$B$14)*CEILING(AH$3,1))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3" s="13" t="n">
        <f aca="false">(V93+AI$4*(Resumo!$C$6+Resumo!$C$7+Resumo!$C$8)+Resumo!$C$10*CEILING(AI$3/100,1)+Resumo!$C$9+Resumo!$C$13+Resumo!$C$14*CEILING(AI$3,1))*(1+Resumo!$C$11)-(AI$4*(Resumo!$B$6+Resumo!$B$7)+Resumo!$B$9+Resumo!$B$10*CEILING(AI$3/100,1)+(Resumo!$B$12+Resumo!$B$14)*CEILING(AI$3,1))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3" s="13" t="n">
        <f aca="false">(W93+AJ$4*(Resumo!$C$6+Resumo!$C$7+Resumo!$C$8)+Resumo!$C$10*CEILING(AJ$3/100,1)+Resumo!$C$9+Resumo!$C$13+Resumo!$C$14*CEILING(AJ$3,1))*(1+Resumo!$C$11)-(AJ$4*(Resumo!$B$6+Resumo!$B$7)+Resumo!$B$9+Resumo!$B$10*CEILING(AJ$3/100,1)+(Resumo!$B$12+Resumo!$B$14)*CEILING(AJ$3,1))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3" s="13" t="n">
        <f aca="false">(X93+AK$4*(Resumo!$C$6+Resumo!$C$7+Resumo!$C$8)+Resumo!$C$10*CEILING(AK$3/100,1)+Resumo!$C$9+Resumo!$C$13+Resumo!$C$14*CEILING(AK$3,1))*(1+Resumo!$C$11)-(AK$4*(Resumo!$B$6+Resumo!$B$7)+Resumo!$B$9+Resumo!$B$10*CEILING(AK$3/100,1)+(Resumo!$B$12+Resumo!$B$14)*CEILING(AK$3,1))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3" s="13" t="n">
        <f aca="false">(Y93+AL$4*(Resumo!$C$6+Resumo!$C$7+Resumo!$C$8)+Resumo!$C$10*CEILING(AL$3/100,1)+Resumo!$C$9+Resumo!$C$13+Resumo!$C$14*CEILING(AL$3,1))*(1+Resumo!$C$11)-(AL$4*(Resumo!$B$6+Resumo!$B$7)+Resumo!$B$9+Resumo!$B$10*CEILING(AL$3/100,1)+(Resumo!$B$12+Resumo!$B$14)*CEILING(AL$3,1))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3" s="13" t="n">
        <f aca="false">(Z93+AM$4*(Resumo!$C$6+Resumo!$C$7+Resumo!$C$8)+Resumo!$C$10*CEILING(AM$3/100,1)+Resumo!$C$9+Resumo!$C$13+Resumo!$C$14*CEILING(AM$3,1))*(1+Resumo!$C$11)-(AM$4*(Resumo!$B$6+Resumo!$B$7)+Resumo!$B$9+Resumo!$B$10*CEILING(AM$3/100,1)+(Resumo!$B$12+Resumo!$B$14)*CEILING(AM$3,1))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3" s="13" t="n">
        <f aca="false">(AA93+AN$4*(Resumo!$C$6+Resumo!$C$7+Resumo!$C$8)+Resumo!$C$10*CEILING(AN$3/100,1)+Resumo!$C$9+Resumo!$C$13+Resumo!$C$14*CEILING(AN$3,1))*(1+Resumo!$C$11)-(AN$4*(Resumo!$B$6+Resumo!$B$7)+Resumo!$B$9+Resumo!$B$10*CEILING(AN$3/100,1)+(Resumo!$B$12+Resumo!$B$14)*CEILING(AN$3,1))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3" s="13" t="n">
        <f aca="false">(AB93+AO$4*(Resumo!$C$6+Resumo!$C$7+Resumo!$C$8)+Resumo!$C$10*CEILING(AO$3/100,1)+Resumo!$C$9+Resumo!$C$13+Resumo!$C$14*CEILING(AO$3,1))*(1+Resumo!$C$11)-(AO$4*(Resumo!$B$6+Resumo!$B$7)+Resumo!$B$9+Resumo!$B$10*CEILING(AO$3/100,1)+(Resumo!$B$12+Resumo!$B$14)*CEILING(AO$3,1))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3" s="13" t="n">
        <f aca="false">(AC93+AP$4*(Resumo!$C$6+Resumo!$C$7+Resumo!$C$8)+Resumo!$C$10*CEILING(AP$3/100,1)+Resumo!$C$9+Resumo!$C$13+Resumo!$C$14*CEILING(AP$3,1))*(1+Resumo!$C$11)-(AP$4*(Resumo!$B$6+Resumo!$B$7)+Resumo!$B$9+Resumo!$B$10*CEILING(AP$3/100,1)+(Resumo!$B$12+Resumo!$B$14)*CEILING(AP$3,1))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3" s="13" t="n">
        <f aca="false">(AD93+AQ$4*(Resumo!$C$6+Resumo!$C$7+Resumo!$C$8)+Resumo!$C$10*CEILING(AQ$3/100,1)+Resumo!$C$9+Resumo!$C$13+Resumo!$C$14*CEILING(AQ$3,1))*(1+Resumo!$C$11)-(AQ$4*(Resumo!$B$6+Resumo!$B$7)+Resumo!$B$9+Resumo!$B$10*CEILING(AQ$3/100,1)+(Resumo!$B$12+Resumo!$B$14)*CEILING(AQ$3,1))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3" s="13" t="n">
        <f aca="false">(AE93+AR$4*(Resumo!$C$6+Resumo!$C$7+Resumo!$C$8)+Resumo!$C$10*CEILING(AR$3/100,1)+Resumo!$C$9+Resumo!$C$13+Resumo!$C$14*CEILING(AR$3,1))*(1+Resumo!$C$11)-(AR$4*(Resumo!$B$6+Resumo!$B$7)+Resumo!$B$9+Resumo!$B$10*CEILING(AR$3/100,1)+(Resumo!$B$12+Resumo!$B$14)*CEILING(AR$3,1))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3" s="13" t="n">
        <f aca="false">(AF93+AS$4*(Resumo!$C$6+Resumo!$C$7+Resumo!$C$8)+Resumo!$C$10*CEILING(AS$3/100,1)+Resumo!$C$9+Resumo!$C$13+Resumo!$C$14*CEILING(AS$3,1))*(1+Resumo!$C$11)-(AS$4*(Resumo!$B$6+Resumo!$B$7)+Resumo!$B$9+Resumo!$B$10*CEILING(AS$3/100,1)+(Resumo!$B$12+Resumo!$B$14)*CEILING(AS$3,1))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3" s="13" t="n">
        <f aca="false">(AG93+AT$4*(Resumo!$C$6+Resumo!$C$7+Resumo!$C$8)+Resumo!$C$10*CEILING(AT$3/100,1)+Resumo!$C$9+Resumo!$C$13+Resumo!$C$14*CEILING(AT$3,1))*(1+Resumo!$C$11)-(AT$4*(Resumo!$B$6+Resumo!$B$7)+Resumo!$B$9+Resumo!$B$10*CEILING(AT$3/100,1)+(Resumo!$B$12+Resumo!$B$14)*CEILING(AT$3,1))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3" s="44" t="n">
        <f aca="false">1-AH93/H93</f>
        <v>0.4503685483856</v>
      </c>
      <c r="AV93" s="44" t="n">
        <f aca="false">1-AI93/I93</f>
        <v>0.360492762123189</v>
      </c>
      <c r="AW93" s="44" t="n">
        <f aca="false">1-AJ93/J93</f>
        <v>0.337931079721616</v>
      </c>
      <c r="AX93" s="44" t="n">
        <f aca="false">1-AK93/K93</f>
        <v>0.344390931869405</v>
      </c>
      <c r="AY93" s="44" t="n">
        <f aca="false">1-AL93/L93</f>
        <v>0.365701375691832</v>
      </c>
      <c r="AZ93" s="44" t="n">
        <f aca="false">1-AM93/M93</f>
        <v>0.420709229511831</v>
      </c>
      <c r="BA93" s="44" t="n">
        <f aca="false">1-AN93/N93</f>
        <v>0.382642225835592</v>
      </c>
      <c r="BB93" s="44" t="n">
        <f aca="false">1-AO93/O93</f>
        <v>0.419232633445788</v>
      </c>
      <c r="BC93" s="44" t="n">
        <f aca="false">1-AP93/P93</f>
        <v>0.493280443868681</v>
      </c>
      <c r="BD93" s="44" t="n">
        <f aca="false">1-AQ93/Q93</f>
        <v>0.455794679894486</v>
      </c>
      <c r="BE93" s="44" t="n">
        <f aca="false">1-AR93/R93</f>
        <v>0.489018797268033</v>
      </c>
      <c r="BF93" s="44" t="n">
        <f aca="false">1-AS93/S93</f>
        <v>0.820478024467603</v>
      </c>
      <c r="BG93" s="44" t="n">
        <f aca="false">1-AT93/T93</f>
        <v>0.528263860444042</v>
      </c>
    </row>
    <row r="94" customFormat="false" ht="15" hidden="false" customHeight="false" outlineLevel="0" collapsed="false">
      <c r="A94" s="10" t="s">
        <v>261</v>
      </c>
      <c r="B94" s="10" t="s">
        <v>337</v>
      </c>
      <c r="C94" s="58" t="n">
        <v>28930000</v>
      </c>
      <c r="D94" s="58" t="n">
        <v>28939999</v>
      </c>
      <c r="E94" s="10" t="s">
        <v>24</v>
      </c>
      <c r="F94" s="10" t="s">
        <v>266</v>
      </c>
      <c r="G94" s="10" t="n">
        <f aca="false">COUNTIFS(Pedidos!$C$2:$C$2224,"&gt;="&amp;C94,Pedidos!$C$2:$C$2224,"&lt;="&amp;D94)</f>
        <v>6</v>
      </c>
      <c r="H94" s="40" t="n">
        <v>100.7</v>
      </c>
      <c r="I94" s="40" t="n">
        <v>114.95</v>
      </c>
      <c r="J94" s="40" t="n">
        <v>124.38</v>
      </c>
      <c r="K94" s="40" t="n">
        <v>129.29</v>
      </c>
      <c r="L94" s="40" t="n">
        <v>142.32</v>
      </c>
      <c r="M94" s="40" t="n">
        <v>166.05</v>
      </c>
      <c r="N94" s="40" t="n">
        <v>166.05</v>
      </c>
      <c r="O94" s="40" t="n">
        <v>197.35</v>
      </c>
      <c r="P94" s="40" t="n">
        <v>236.82</v>
      </c>
      <c r="Q94" s="40" t="n">
        <v>264.84</v>
      </c>
      <c r="R94" s="40" t="n">
        <v>300.15</v>
      </c>
      <c r="S94" s="40" t="n">
        <v>353.12</v>
      </c>
      <c r="T94" s="40" t="n">
        <v>441.4</v>
      </c>
      <c r="U94" s="40" t="n">
        <v>46.95</v>
      </c>
      <c r="V94" s="40" t="n">
        <v>65.63</v>
      </c>
      <c r="W94" s="40" t="n">
        <v>74.97</v>
      </c>
      <c r="X94" s="40" t="n">
        <v>77.7</v>
      </c>
      <c r="Y94" s="40" t="n">
        <v>83.58</v>
      </c>
      <c r="Z94" s="40" t="n">
        <v>90.2</v>
      </c>
      <c r="AA94" s="40" t="n">
        <v>96.77</v>
      </c>
      <c r="AB94" s="40" t="n">
        <v>109.63</v>
      </c>
      <c r="AC94" s="40" t="n">
        <v>119.5</v>
      </c>
      <c r="AD94" s="40" t="n">
        <v>144.24</v>
      </c>
      <c r="AE94" s="40" t="n">
        <v>155.09</v>
      </c>
      <c r="AF94" s="40" t="n">
        <v>66.69</v>
      </c>
      <c r="AG94" s="40" t="n">
        <v>214.88</v>
      </c>
      <c r="AH94" s="13" t="n">
        <f aca="false">(U94+AH$4*(Resumo!$C$6+Resumo!$C$7+Resumo!$C$8)+Resumo!$C$10*CEILING(AH$3/100,1)+Resumo!$C$9+Resumo!$C$13+Resumo!$C$14*CEILING(AH$3,1))*(1+Resumo!$C$11)-(AH$4*(Resumo!$B$6+Resumo!$B$7)+Resumo!$B$9+Resumo!$B$10*CEILING(AH$3/100,1)+(Resumo!$B$12+Resumo!$B$14)*CEILING(AH$3,1))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4" s="13" t="n">
        <f aca="false">(V94+AI$4*(Resumo!$C$6+Resumo!$C$7+Resumo!$C$8)+Resumo!$C$10*CEILING(AI$3/100,1)+Resumo!$C$9+Resumo!$C$13+Resumo!$C$14*CEILING(AI$3,1))*(1+Resumo!$C$11)-(AI$4*(Resumo!$B$6+Resumo!$B$7)+Resumo!$B$9+Resumo!$B$10*CEILING(AI$3/100,1)+(Resumo!$B$12+Resumo!$B$14)*CEILING(AI$3,1))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4" s="13" t="n">
        <f aca="false">(W94+AJ$4*(Resumo!$C$6+Resumo!$C$7+Resumo!$C$8)+Resumo!$C$10*CEILING(AJ$3/100,1)+Resumo!$C$9+Resumo!$C$13+Resumo!$C$14*CEILING(AJ$3,1))*(1+Resumo!$C$11)-(AJ$4*(Resumo!$B$6+Resumo!$B$7)+Resumo!$B$9+Resumo!$B$10*CEILING(AJ$3/100,1)+(Resumo!$B$12+Resumo!$B$14)*CEILING(AJ$3,1))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4" s="13" t="n">
        <f aca="false">(X94+AK$4*(Resumo!$C$6+Resumo!$C$7+Resumo!$C$8)+Resumo!$C$10*CEILING(AK$3/100,1)+Resumo!$C$9+Resumo!$C$13+Resumo!$C$14*CEILING(AK$3,1))*(1+Resumo!$C$11)-(AK$4*(Resumo!$B$6+Resumo!$B$7)+Resumo!$B$9+Resumo!$B$10*CEILING(AK$3/100,1)+(Resumo!$B$12+Resumo!$B$14)*CEILING(AK$3,1))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4" s="13" t="n">
        <f aca="false">(Y94+AL$4*(Resumo!$C$6+Resumo!$C$7+Resumo!$C$8)+Resumo!$C$10*CEILING(AL$3/100,1)+Resumo!$C$9+Resumo!$C$13+Resumo!$C$14*CEILING(AL$3,1))*(1+Resumo!$C$11)-(AL$4*(Resumo!$B$6+Resumo!$B$7)+Resumo!$B$9+Resumo!$B$10*CEILING(AL$3/100,1)+(Resumo!$B$12+Resumo!$B$14)*CEILING(AL$3,1))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4" s="13" t="n">
        <f aca="false">(Z94+AM$4*(Resumo!$C$6+Resumo!$C$7+Resumo!$C$8)+Resumo!$C$10*CEILING(AM$3/100,1)+Resumo!$C$9+Resumo!$C$13+Resumo!$C$14*CEILING(AM$3,1))*(1+Resumo!$C$11)-(AM$4*(Resumo!$B$6+Resumo!$B$7)+Resumo!$B$9+Resumo!$B$10*CEILING(AM$3/100,1)+(Resumo!$B$12+Resumo!$B$14)*CEILING(AM$3,1))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4" s="13" t="n">
        <f aca="false">(AA94+AN$4*(Resumo!$C$6+Resumo!$C$7+Resumo!$C$8)+Resumo!$C$10*CEILING(AN$3/100,1)+Resumo!$C$9+Resumo!$C$13+Resumo!$C$14*CEILING(AN$3,1))*(1+Resumo!$C$11)-(AN$4*(Resumo!$B$6+Resumo!$B$7)+Resumo!$B$9+Resumo!$B$10*CEILING(AN$3/100,1)+(Resumo!$B$12+Resumo!$B$14)*CEILING(AN$3,1))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4" s="13" t="n">
        <f aca="false">(AB94+AO$4*(Resumo!$C$6+Resumo!$C$7+Resumo!$C$8)+Resumo!$C$10*CEILING(AO$3/100,1)+Resumo!$C$9+Resumo!$C$13+Resumo!$C$14*CEILING(AO$3,1))*(1+Resumo!$C$11)-(AO$4*(Resumo!$B$6+Resumo!$B$7)+Resumo!$B$9+Resumo!$B$10*CEILING(AO$3/100,1)+(Resumo!$B$12+Resumo!$B$14)*CEILING(AO$3,1))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4" s="13" t="n">
        <f aca="false">(AC94+AP$4*(Resumo!$C$6+Resumo!$C$7+Resumo!$C$8)+Resumo!$C$10*CEILING(AP$3/100,1)+Resumo!$C$9+Resumo!$C$13+Resumo!$C$14*CEILING(AP$3,1))*(1+Resumo!$C$11)-(AP$4*(Resumo!$B$6+Resumo!$B$7)+Resumo!$B$9+Resumo!$B$10*CEILING(AP$3/100,1)+(Resumo!$B$12+Resumo!$B$14)*CEILING(AP$3,1))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4" s="13" t="n">
        <f aca="false">(AD94+AQ$4*(Resumo!$C$6+Resumo!$C$7+Resumo!$C$8)+Resumo!$C$10*CEILING(AQ$3/100,1)+Resumo!$C$9+Resumo!$C$13+Resumo!$C$14*CEILING(AQ$3,1))*(1+Resumo!$C$11)-(AQ$4*(Resumo!$B$6+Resumo!$B$7)+Resumo!$B$9+Resumo!$B$10*CEILING(AQ$3/100,1)+(Resumo!$B$12+Resumo!$B$14)*CEILING(AQ$3,1))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4" s="13" t="n">
        <f aca="false">(AE94+AR$4*(Resumo!$C$6+Resumo!$C$7+Resumo!$C$8)+Resumo!$C$10*CEILING(AR$3/100,1)+Resumo!$C$9+Resumo!$C$13+Resumo!$C$14*CEILING(AR$3,1))*(1+Resumo!$C$11)-(AR$4*(Resumo!$B$6+Resumo!$B$7)+Resumo!$B$9+Resumo!$B$10*CEILING(AR$3/100,1)+(Resumo!$B$12+Resumo!$B$14)*CEILING(AR$3,1))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4" s="13" t="n">
        <f aca="false">(AF94+AS$4*(Resumo!$C$6+Resumo!$C$7+Resumo!$C$8)+Resumo!$C$10*CEILING(AS$3/100,1)+Resumo!$C$9+Resumo!$C$13+Resumo!$C$14*CEILING(AS$3,1))*(1+Resumo!$C$11)-(AS$4*(Resumo!$B$6+Resumo!$B$7)+Resumo!$B$9+Resumo!$B$10*CEILING(AS$3/100,1)+(Resumo!$B$12+Resumo!$B$14)*CEILING(AS$3,1))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4" s="13" t="n">
        <f aca="false">(AG94+AT$4*(Resumo!$C$6+Resumo!$C$7+Resumo!$C$8)+Resumo!$C$10*CEILING(AT$3/100,1)+Resumo!$C$9+Resumo!$C$13+Resumo!$C$14*CEILING(AT$3,1))*(1+Resumo!$C$11)-(AT$4*(Resumo!$B$6+Resumo!$B$7)+Resumo!$B$9+Resumo!$B$10*CEILING(AT$3/100,1)+(Resumo!$B$12+Resumo!$B$14)*CEILING(AT$3,1))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4" s="44" t="n">
        <f aca="false">1-AH94/H94</f>
        <v>0.4503685483856</v>
      </c>
      <c r="AV94" s="44" t="n">
        <f aca="false">1-AI94/I94</f>
        <v>0.360492762123189</v>
      </c>
      <c r="AW94" s="44" t="n">
        <f aca="false">1-AJ94/J94</f>
        <v>0.337931079721616</v>
      </c>
      <c r="AX94" s="44" t="n">
        <f aca="false">1-AK94/K94</f>
        <v>0.344390931869405</v>
      </c>
      <c r="AY94" s="44" t="n">
        <f aca="false">1-AL94/L94</f>
        <v>0.365701375691832</v>
      </c>
      <c r="AZ94" s="44" t="n">
        <f aca="false">1-AM94/M94</f>
        <v>0.420709229511831</v>
      </c>
      <c r="BA94" s="44" t="n">
        <f aca="false">1-AN94/N94</f>
        <v>0.382642225835592</v>
      </c>
      <c r="BB94" s="44" t="n">
        <f aca="false">1-AO94/O94</f>
        <v>0.419232633445788</v>
      </c>
      <c r="BC94" s="44" t="n">
        <f aca="false">1-AP94/P94</f>
        <v>0.493280443868681</v>
      </c>
      <c r="BD94" s="44" t="n">
        <f aca="false">1-AQ94/Q94</f>
        <v>0.455794679894486</v>
      </c>
      <c r="BE94" s="44" t="n">
        <f aca="false">1-AR94/R94</f>
        <v>0.489018797268033</v>
      </c>
      <c r="BF94" s="44" t="n">
        <f aca="false">1-AS94/S94</f>
        <v>0.820478024467603</v>
      </c>
      <c r="BG94" s="44" t="n">
        <f aca="false">1-AT94/T94</f>
        <v>0.528263860444042</v>
      </c>
    </row>
    <row r="95" customFormat="false" ht="15" hidden="false" customHeight="false" outlineLevel="0" collapsed="false">
      <c r="A95" s="10" t="s">
        <v>261</v>
      </c>
      <c r="B95" s="10" t="s">
        <v>338</v>
      </c>
      <c r="C95" s="58" t="n">
        <v>28940000</v>
      </c>
      <c r="D95" s="58" t="n">
        <v>28949999</v>
      </c>
      <c r="E95" s="10" t="s">
        <v>24</v>
      </c>
      <c r="F95" s="10" t="s">
        <v>266</v>
      </c>
      <c r="G95" s="10" t="n">
        <f aca="false">COUNTIFS(Pedidos!$C$2:$C$2224,"&gt;="&amp;C95,Pedidos!$C$2:$C$2224,"&lt;="&amp;D95)</f>
        <v>14</v>
      </c>
      <c r="H95" s="40" t="n">
        <v>100.7</v>
      </c>
      <c r="I95" s="40" t="n">
        <v>114.95</v>
      </c>
      <c r="J95" s="40" t="n">
        <v>124.38</v>
      </c>
      <c r="K95" s="40" t="n">
        <v>129.29</v>
      </c>
      <c r="L95" s="40" t="n">
        <v>142.32</v>
      </c>
      <c r="M95" s="40" t="n">
        <v>166.05</v>
      </c>
      <c r="N95" s="40" t="n">
        <v>166.05</v>
      </c>
      <c r="O95" s="40" t="n">
        <v>197.35</v>
      </c>
      <c r="P95" s="40" t="n">
        <v>236.82</v>
      </c>
      <c r="Q95" s="40" t="n">
        <v>264.84</v>
      </c>
      <c r="R95" s="40" t="n">
        <v>300.15</v>
      </c>
      <c r="S95" s="40" t="n">
        <v>353.12</v>
      </c>
      <c r="T95" s="40" t="n">
        <v>441.4</v>
      </c>
      <c r="U95" s="40" t="n">
        <v>46.95</v>
      </c>
      <c r="V95" s="40" t="n">
        <v>65.63</v>
      </c>
      <c r="W95" s="40" t="n">
        <v>74.97</v>
      </c>
      <c r="X95" s="40" t="n">
        <v>77.7</v>
      </c>
      <c r="Y95" s="40" t="n">
        <v>83.58</v>
      </c>
      <c r="Z95" s="40" t="n">
        <v>90.2</v>
      </c>
      <c r="AA95" s="40" t="n">
        <v>96.77</v>
      </c>
      <c r="AB95" s="40" t="n">
        <v>109.63</v>
      </c>
      <c r="AC95" s="40" t="n">
        <v>119.5</v>
      </c>
      <c r="AD95" s="40" t="n">
        <v>144.24</v>
      </c>
      <c r="AE95" s="40" t="n">
        <v>155.09</v>
      </c>
      <c r="AF95" s="40" t="n">
        <v>66.69</v>
      </c>
      <c r="AG95" s="40" t="n">
        <v>214.88</v>
      </c>
      <c r="AH95" s="13" t="n">
        <f aca="false">(U95+AH$4*(Resumo!$C$6+Resumo!$C$7+Resumo!$C$8)+Resumo!$C$10*CEILING(AH$3/100,1)+Resumo!$C$9+Resumo!$C$13+Resumo!$C$14*CEILING(AH$3,1))*(1+Resumo!$C$11)-(AH$4*(Resumo!$B$6+Resumo!$B$7)+Resumo!$B$9+Resumo!$B$10*CEILING(AH$3/100,1)+(Resumo!$B$12+Resumo!$B$14)*CEILING(AH$3,1))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5" s="13" t="n">
        <f aca="false">(V95+AI$4*(Resumo!$C$6+Resumo!$C$7+Resumo!$C$8)+Resumo!$C$10*CEILING(AI$3/100,1)+Resumo!$C$9+Resumo!$C$13+Resumo!$C$14*CEILING(AI$3,1))*(1+Resumo!$C$11)-(AI$4*(Resumo!$B$6+Resumo!$B$7)+Resumo!$B$9+Resumo!$B$10*CEILING(AI$3/100,1)+(Resumo!$B$12+Resumo!$B$14)*CEILING(AI$3,1))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5" s="13" t="n">
        <f aca="false">(W95+AJ$4*(Resumo!$C$6+Resumo!$C$7+Resumo!$C$8)+Resumo!$C$10*CEILING(AJ$3/100,1)+Resumo!$C$9+Resumo!$C$13+Resumo!$C$14*CEILING(AJ$3,1))*(1+Resumo!$C$11)-(AJ$4*(Resumo!$B$6+Resumo!$B$7)+Resumo!$B$9+Resumo!$B$10*CEILING(AJ$3/100,1)+(Resumo!$B$12+Resumo!$B$14)*CEILING(AJ$3,1))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5" s="13" t="n">
        <f aca="false">(X95+AK$4*(Resumo!$C$6+Resumo!$C$7+Resumo!$C$8)+Resumo!$C$10*CEILING(AK$3/100,1)+Resumo!$C$9+Resumo!$C$13+Resumo!$C$14*CEILING(AK$3,1))*(1+Resumo!$C$11)-(AK$4*(Resumo!$B$6+Resumo!$B$7)+Resumo!$B$9+Resumo!$B$10*CEILING(AK$3/100,1)+(Resumo!$B$12+Resumo!$B$14)*CEILING(AK$3,1))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5" s="13" t="n">
        <f aca="false">(Y95+AL$4*(Resumo!$C$6+Resumo!$C$7+Resumo!$C$8)+Resumo!$C$10*CEILING(AL$3/100,1)+Resumo!$C$9+Resumo!$C$13+Resumo!$C$14*CEILING(AL$3,1))*(1+Resumo!$C$11)-(AL$4*(Resumo!$B$6+Resumo!$B$7)+Resumo!$B$9+Resumo!$B$10*CEILING(AL$3/100,1)+(Resumo!$B$12+Resumo!$B$14)*CEILING(AL$3,1))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5" s="13" t="n">
        <f aca="false">(Z95+AM$4*(Resumo!$C$6+Resumo!$C$7+Resumo!$C$8)+Resumo!$C$10*CEILING(AM$3/100,1)+Resumo!$C$9+Resumo!$C$13+Resumo!$C$14*CEILING(AM$3,1))*(1+Resumo!$C$11)-(AM$4*(Resumo!$B$6+Resumo!$B$7)+Resumo!$B$9+Resumo!$B$10*CEILING(AM$3/100,1)+(Resumo!$B$12+Resumo!$B$14)*CEILING(AM$3,1))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5" s="13" t="n">
        <f aca="false">(AA95+AN$4*(Resumo!$C$6+Resumo!$C$7+Resumo!$C$8)+Resumo!$C$10*CEILING(AN$3/100,1)+Resumo!$C$9+Resumo!$C$13+Resumo!$C$14*CEILING(AN$3,1))*(1+Resumo!$C$11)-(AN$4*(Resumo!$B$6+Resumo!$B$7)+Resumo!$B$9+Resumo!$B$10*CEILING(AN$3/100,1)+(Resumo!$B$12+Resumo!$B$14)*CEILING(AN$3,1))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5" s="13" t="n">
        <f aca="false">(AB95+AO$4*(Resumo!$C$6+Resumo!$C$7+Resumo!$C$8)+Resumo!$C$10*CEILING(AO$3/100,1)+Resumo!$C$9+Resumo!$C$13+Resumo!$C$14*CEILING(AO$3,1))*(1+Resumo!$C$11)-(AO$4*(Resumo!$B$6+Resumo!$B$7)+Resumo!$B$9+Resumo!$B$10*CEILING(AO$3/100,1)+(Resumo!$B$12+Resumo!$B$14)*CEILING(AO$3,1))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5" s="13" t="n">
        <f aca="false">(AC95+AP$4*(Resumo!$C$6+Resumo!$C$7+Resumo!$C$8)+Resumo!$C$10*CEILING(AP$3/100,1)+Resumo!$C$9+Resumo!$C$13+Resumo!$C$14*CEILING(AP$3,1))*(1+Resumo!$C$11)-(AP$4*(Resumo!$B$6+Resumo!$B$7)+Resumo!$B$9+Resumo!$B$10*CEILING(AP$3/100,1)+(Resumo!$B$12+Resumo!$B$14)*CEILING(AP$3,1))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5" s="13" t="n">
        <f aca="false">(AD95+AQ$4*(Resumo!$C$6+Resumo!$C$7+Resumo!$C$8)+Resumo!$C$10*CEILING(AQ$3/100,1)+Resumo!$C$9+Resumo!$C$13+Resumo!$C$14*CEILING(AQ$3,1))*(1+Resumo!$C$11)-(AQ$4*(Resumo!$B$6+Resumo!$B$7)+Resumo!$B$9+Resumo!$B$10*CEILING(AQ$3/100,1)+(Resumo!$B$12+Resumo!$B$14)*CEILING(AQ$3,1))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5" s="13" t="n">
        <f aca="false">(AE95+AR$4*(Resumo!$C$6+Resumo!$C$7+Resumo!$C$8)+Resumo!$C$10*CEILING(AR$3/100,1)+Resumo!$C$9+Resumo!$C$13+Resumo!$C$14*CEILING(AR$3,1))*(1+Resumo!$C$11)-(AR$4*(Resumo!$B$6+Resumo!$B$7)+Resumo!$B$9+Resumo!$B$10*CEILING(AR$3/100,1)+(Resumo!$B$12+Resumo!$B$14)*CEILING(AR$3,1))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5" s="13" t="n">
        <f aca="false">(AF95+AS$4*(Resumo!$C$6+Resumo!$C$7+Resumo!$C$8)+Resumo!$C$10*CEILING(AS$3/100,1)+Resumo!$C$9+Resumo!$C$13+Resumo!$C$14*CEILING(AS$3,1))*(1+Resumo!$C$11)-(AS$4*(Resumo!$B$6+Resumo!$B$7)+Resumo!$B$9+Resumo!$B$10*CEILING(AS$3/100,1)+(Resumo!$B$12+Resumo!$B$14)*CEILING(AS$3,1))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5" s="13" t="n">
        <f aca="false">(AG95+AT$4*(Resumo!$C$6+Resumo!$C$7+Resumo!$C$8)+Resumo!$C$10*CEILING(AT$3/100,1)+Resumo!$C$9+Resumo!$C$13+Resumo!$C$14*CEILING(AT$3,1))*(1+Resumo!$C$11)-(AT$4*(Resumo!$B$6+Resumo!$B$7)+Resumo!$B$9+Resumo!$B$10*CEILING(AT$3/100,1)+(Resumo!$B$12+Resumo!$B$14)*CEILING(AT$3,1))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5" s="44" t="n">
        <f aca="false">1-AH95/H95</f>
        <v>0.4503685483856</v>
      </c>
      <c r="AV95" s="44" t="n">
        <f aca="false">1-AI95/I95</f>
        <v>0.360492762123189</v>
      </c>
      <c r="AW95" s="44" t="n">
        <f aca="false">1-AJ95/J95</f>
        <v>0.337931079721616</v>
      </c>
      <c r="AX95" s="44" t="n">
        <f aca="false">1-AK95/K95</f>
        <v>0.344390931869405</v>
      </c>
      <c r="AY95" s="44" t="n">
        <f aca="false">1-AL95/L95</f>
        <v>0.365701375691832</v>
      </c>
      <c r="AZ95" s="44" t="n">
        <f aca="false">1-AM95/M95</f>
        <v>0.420709229511831</v>
      </c>
      <c r="BA95" s="44" t="n">
        <f aca="false">1-AN95/N95</f>
        <v>0.382642225835592</v>
      </c>
      <c r="BB95" s="44" t="n">
        <f aca="false">1-AO95/O95</f>
        <v>0.419232633445788</v>
      </c>
      <c r="BC95" s="44" t="n">
        <f aca="false">1-AP95/P95</f>
        <v>0.493280443868681</v>
      </c>
      <c r="BD95" s="44" t="n">
        <f aca="false">1-AQ95/Q95</f>
        <v>0.455794679894486</v>
      </c>
      <c r="BE95" s="44" t="n">
        <f aca="false">1-AR95/R95</f>
        <v>0.489018797268033</v>
      </c>
      <c r="BF95" s="44" t="n">
        <f aca="false">1-AS95/S95</f>
        <v>0.820478024467603</v>
      </c>
      <c r="BG95" s="44" t="n">
        <f aca="false">1-AT95/T95</f>
        <v>0.528263860444042</v>
      </c>
    </row>
    <row r="96" customFormat="false" ht="15" hidden="false" customHeight="false" outlineLevel="0" collapsed="false">
      <c r="A96" s="10" t="s">
        <v>261</v>
      </c>
      <c r="B96" s="10" t="s">
        <v>339</v>
      </c>
      <c r="C96" s="58" t="n">
        <v>28950000</v>
      </c>
      <c r="D96" s="58" t="n">
        <v>28959999</v>
      </c>
      <c r="E96" s="10" t="s">
        <v>24</v>
      </c>
      <c r="F96" s="10" t="s">
        <v>266</v>
      </c>
      <c r="G96" s="10" t="n">
        <f aca="false">COUNTIFS(Pedidos!$C$2:$C$2224,"&gt;="&amp;C96,Pedidos!$C$2:$C$2224,"&lt;="&amp;D96)</f>
        <v>5</v>
      </c>
      <c r="H96" s="40" t="n">
        <v>100.7</v>
      </c>
      <c r="I96" s="40" t="n">
        <v>114.95</v>
      </c>
      <c r="J96" s="40" t="n">
        <v>124.38</v>
      </c>
      <c r="K96" s="40" t="n">
        <v>129.29</v>
      </c>
      <c r="L96" s="40" t="n">
        <v>142.32</v>
      </c>
      <c r="M96" s="40" t="n">
        <v>166.05</v>
      </c>
      <c r="N96" s="40" t="n">
        <v>166.05</v>
      </c>
      <c r="O96" s="40" t="n">
        <v>197.35</v>
      </c>
      <c r="P96" s="40" t="n">
        <v>236.82</v>
      </c>
      <c r="Q96" s="40" t="n">
        <v>264.84</v>
      </c>
      <c r="R96" s="40" t="n">
        <v>300.15</v>
      </c>
      <c r="S96" s="40" t="n">
        <v>353.12</v>
      </c>
      <c r="T96" s="40" t="n">
        <v>441.4</v>
      </c>
      <c r="U96" s="40" t="n">
        <v>46.95</v>
      </c>
      <c r="V96" s="40" t="n">
        <v>65.63</v>
      </c>
      <c r="W96" s="40" t="n">
        <v>74.97</v>
      </c>
      <c r="X96" s="40" t="n">
        <v>77.7</v>
      </c>
      <c r="Y96" s="40" t="n">
        <v>83.58</v>
      </c>
      <c r="Z96" s="40" t="n">
        <v>90.2</v>
      </c>
      <c r="AA96" s="40" t="n">
        <v>96.77</v>
      </c>
      <c r="AB96" s="40" t="n">
        <v>109.63</v>
      </c>
      <c r="AC96" s="40" t="n">
        <v>119.5</v>
      </c>
      <c r="AD96" s="40" t="n">
        <v>144.24</v>
      </c>
      <c r="AE96" s="40" t="n">
        <v>155.09</v>
      </c>
      <c r="AF96" s="40" t="n">
        <v>66.69</v>
      </c>
      <c r="AG96" s="40" t="n">
        <v>214.88</v>
      </c>
      <c r="AH96" s="13" t="n">
        <f aca="false">(U96+AH$4*(Resumo!$C$6+Resumo!$C$7+Resumo!$C$8)+Resumo!$C$10*CEILING(AH$3/100,1)+Resumo!$C$9+Resumo!$C$13+Resumo!$C$14*CEILING(AH$3,1))*(1+Resumo!$C$11)-(AH$4*(Resumo!$B$6+Resumo!$B$7)+Resumo!$B$9+Resumo!$B$10*CEILING(AH$3/100,1)+(Resumo!$B$12+Resumo!$B$14)*CEILING(AH$3,1))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6" s="13" t="n">
        <f aca="false">(V96+AI$4*(Resumo!$C$6+Resumo!$C$7+Resumo!$C$8)+Resumo!$C$10*CEILING(AI$3/100,1)+Resumo!$C$9+Resumo!$C$13+Resumo!$C$14*CEILING(AI$3,1))*(1+Resumo!$C$11)-(AI$4*(Resumo!$B$6+Resumo!$B$7)+Resumo!$B$9+Resumo!$B$10*CEILING(AI$3/100,1)+(Resumo!$B$12+Resumo!$B$14)*CEILING(AI$3,1))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6" s="13" t="n">
        <f aca="false">(W96+AJ$4*(Resumo!$C$6+Resumo!$C$7+Resumo!$C$8)+Resumo!$C$10*CEILING(AJ$3/100,1)+Resumo!$C$9+Resumo!$C$13+Resumo!$C$14*CEILING(AJ$3,1))*(1+Resumo!$C$11)-(AJ$4*(Resumo!$B$6+Resumo!$B$7)+Resumo!$B$9+Resumo!$B$10*CEILING(AJ$3/100,1)+(Resumo!$B$12+Resumo!$B$14)*CEILING(AJ$3,1))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6" s="13" t="n">
        <f aca="false">(X96+AK$4*(Resumo!$C$6+Resumo!$C$7+Resumo!$C$8)+Resumo!$C$10*CEILING(AK$3/100,1)+Resumo!$C$9+Resumo!$C$13+Resumo!$C$14*CEILING(AK$3,1))*(1+Resumo!$C$11)-(AK$4*(Resumo!$B$6+Resumo!$B$7)+Resumo!$B$9+Resumo!$B$10*CEILING(AK$3/100,1)+(Resumo!$B$12+Resumo!$B$14)*CEILING(AK$3,1))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6" s="13" t="n">
        <f aca="false">(Y96+AL$4*(Resumo!$C$6+Resumo!$C$7+Resumo!$C$8)+Resumo!$C$10*CEILING(AL$3/100,1)+Resumo!$C$9+Resumo!$C$13+Resumo!$C$14*CEILING(AL$3,1))*(1+Resumo!$C$11)-(AL$4*(Resumo!$B$6+Resumo!$B$7)+Resumo!$B$9+Resumo!$B$10*CEILING(AL$3/100,1)+(Resumo!$B$12+Resumo!$B$14)*CEILING(AL$3,1))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6" s="13" t="n">
        <f aca="false">(Z96+AM$4*(Resumo!$C$6+Resumo!$C$7+Resumo!$C$8)+Resumo!$C$10*CEILING(AM$3/100,1)+Resumo!$C$9+Resumo!$C$13+Resumo!$C$14*CEILING(AM$3,1))*(1+Resumo!$C$11)-(AM$4*(Resumo!$B$6+Resumo!$B$7)+Resumo!$B$9+Resumo!$B$10*CEILING(AM$3/100,1)+(Resumo!$B$12+Resumo!$B$14)*CEILING(AM$3,1))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6" s="13" t="n">
        <f aca="false">(AA96+AN$4*(Resumo!$C$6+Resumo!$C$7+Resumo!$C$8)+Resumo!$C$10*CEILING(AN$3/100,1)+Resumo!$C$9+Resumo!$C$13+Resumo!$C$14*CEILING(AN$3,1))*(1+Resumo!$C$11)-(AN$4*(Resumo!$B$6+Resumo!$B$7)+Resumo!$B$9+Resumo!$B$10*CEILING(AN$3/100,1)+(Resumo!$B$12+Resumo!$B$14)*CEILING(AN$3,1))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6" s="13" t="n">
        <f aca="false">(AB96+AO$4*(Resumo!$C$6+Resumo!$C$7+Resumo!$C$8)+Resumo!$C$10*CEILING(AO$3/100,1)+Resumo!$C$9+Resumo!$C$13+Resumo!$C$14*CEILING(AO$3,1))*(1+Resumo!$C$11)-(AO$4*(Resumo!$B$6+Resumo!$B$7)+Resumo!$B$9+Resumo!$B$10*CEILING(AO$3/100,1)+(Resumo!$B$12+Resumo!$B$14)*CEILING(AO$3,1))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6" s="13" t="n">
        <f aca="false">(AC96+AP$4*(Resumo!$C$6+Resumo!$C$7+Resumo!$C$8)+Resumo!$C$10*CEILING(AP$3/100,1)+Resumo!$C$9+Resumo!$C$13+Resumo!$C$14*CEILING(AP$3,1))*(1+Resumo!$C$11)-(AP$4*(Resumo!$B$6+Resumo!$B$7)+Resumo!$B$9+Resumo!$B$10*CEILING(AP$3/100,1)+(Resumo!$B$12+Resumo!$B$14)*CEILING(AP$3,1))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6" s="13" t="n">
        <f aca="false">(AD96+AQ$4*(Resumo!$C$6+Resumo!$C$7+Resumo!$C$8)+Resumo!$C$10*CEILING(AQ$3/100,1)+Resumo!$C$9+Resumo!$C$13+Resumo!$C$14*CEILING(AQ$3,1))*(1+Resumo!$C$11)-(AQ$4*(Resumo!$B$6+Resumo!$B$7)+Resumo!$B$9+Resumo!$B$10*CEILING(AQ$3/100,1)+(Resumo!$B$12+Resumo!$B$14)*CEILING(AQ$3,1))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6" s="13" t="n">
        <f aca="false">(AE96+AR$4*(Resumo!$C$6+Resumo!$C$7+Resumo!$C$8)+Resumo!$C$10*CEILING(AR$3/100,1)+Resumo!$C$9+Resumo!$C$13+Resumo!$C$14*CEILING(AR$3,1))*(1+Resumo!$C$11)-(AR$4*(Resumo!$B$6+Resumo!$B$7)+Resumo!$B$9+Resumo!$B$10*CEILING(AR$3/100,1)+(Resumo!$B$12+Resumo!$B$14)*CEILING(AR$3,1))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6" s="13" t="n">
        <f aca="false">(AF96+AS$4*(Resumo!$C$6+Resumo!$C$7+Resumo!$C$8)+Resumo!$C$10*CEILING(AS$3/100,1)+Resumo!$C$9+Resumo!$C$13+Resumo!$C$14*CEILING(AS$3,1))*(1+Resumo!$C$11)-(AS$4*(Resumo!$B$6+Resumo!$B$7)+Resumo!$B$9+Resumo!$B$10*CEILING(AS$3/100,1)+(Resumo!$B$12+Resumo!$B$14)*CEILING(AS$3,1))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6" s="13" t="n">
        <f aca="false">(AG96+AT$4*(Resumo!$C$6+Resumo!$C$7+Resumo!$C$8)+Resumo!$C$10*CEILING(AT$3/100,1)+Resumo!$C$9+Resumo!$C$13+Resumo!$C$14*CEILING(AT$3,1))*(1+Resumo!$C$11)-(AT$4*(Resumo!$B$6+Resumo!$B$7)+Resumo!$B$9+Resumo!$B$10*CEILING(AT$3/100,1)+(Resumo!$B$12+Resumo!$B$14)*CEILING(AT$3,1))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6" s="44" t="n">
        <f aca="false">1-AH96/H96</f>
        <v>0.4503685483856</v>
      </c>
      <c r="AV96" s="44" t="n">
        <f aca="false">1-AI96/I96</f>
        <v>0.360492762123189</v>
      </c>
      <c r="AW96" s="44" t="n">
        <f aca="false">1-AJ96/J96</f>
        <v>0.337931079721616</v>
      </c>
      <c r="AX96" s="44" t="n">
        <f aca="false">1-AK96/K96</f>
        <v>0.344390931869405</v>
      </c>
      <c r="AY96" s="44" t="n">
        <f aca="false">1-AL96/L96</f>
        <v>0.365701375691832</v>
      </c>
      <c r="AZ96" s="44" t="n">
        <f aca="false">1-AM96/M96</f>
        <v>0.420709229511831</v>
      </c>
      <c r="BA96" s="44" t="n">
        <f aca="false">1-AN96/N96</f>
        <v>0.382642225835592</v>
      </c>
      <c r="BB96" s="44" t="n">
        <f aca="false">1-AO96/O96</f>
        <v>0.419232633445788</v>
      </c>
      <c r="BC96" s="44" t="n">
        <f aca="false">1-AP96/P96</f>
        <v>0.493280443868681</v>
      </c>
      <c r="BD96" s="44" t="n">
        <f aca="false">1-AQ96/Q96</f>
        <v>0.455794679894486</v>
      </c>
      <c r="BE96" s="44" t="n">
        <f aca="false">1-AR96/R96</f>
        <v>0.489018797268033</v>
      </c>
      <c r="BF96" s="44" t="n">
        <f aca="false">1-AS96/S96</f>
        <v>0.820478024467603</v>
      </c>
      <c r="BG96" s="44" t="n">
        <f aca="false">1-AT96/T96</f>
        <v>0.528263860444042</v>
      </c>
    </row>
    <row r="97" customFormat="false" ht="15" hidden="false" customHeight="false" outlineLevel="0" collapsed="false">
      <c r="A97" s="10" t="s">
        <v>261</v>
      </c>
      <c r="B97" s="10" t="s">
        <v>340</v>
      </c>
      <c r="C97" s="58" t="n">
        <v>28960000</v>
      </c>
      <c r="D97" s="58" t="n">
        <v>28969999</v>
      </c>
      <c r="E97" s="10" t="s">
        <v>24</v>
      </c>
      <c r="F97" s="10" t="s">
        <v>266</v>
      </c>
      <c r="G97" s="10" t="n">
        <f aca="false">COUNTIFS(Pedidos!$C$2:$C$2224,"&gt;="&amp;C97,Pedidos!$C$2:$C$2224,"&lt;="&amp;D97)</f>
        <v>7</v>
      </c>
      <c r="H97" s="40" t="n">
        <v>100.7</v>
      </c>
      <c r="I97" s="40" t="n">
        <v>114.95</v>
      </c>
      <c r="J97" s="40" t="n">
        <v>124.38</v>
      </c>
      <c r="K97" s="40" t="n">
        <v>129.29</v>
      </c>
      <c r="L97" s="40" t="n">
        <v>142.32</v>
      </c>
      <c r="M97" s="40" t="n">
        <v>166.05</v>
      </c>
      <c r="N97" s="40" t="n">
        <v>166.05</v>
      </c>
      <c r="O97" s="40" t="n">
        <v>197.35</v>
      </c>
      <c r="P97" s="40" t="n">
        <v>236.82</v>
      </c>
      <c r="Q97" s="40" t="n">
        <v>264.84</v>
      </c>
      <c r="R97" s="40" t="n">
        <v>300.15</v>
      </c>
      <c r="S97" s="40" t="n">
        <v>353.12</v>
      </c>
      <c r="T97" s="40" t="n">
        <v>441.4</v>
      </c>
      <c r="U97" s="40" t="n">
        <v>46.95</v>
      </c>
      <c r="V97" s="40" t="n">
        <v>65.63</v>
      </c>
      <c r="W97" s="40" t="n">
        <v>74.97</v>
      </c>
      <c r="X97" s="40" t="n">
        <v>77.7</v>
      </c>
      <c r="Y97" s="40" t="n">
        <v>83.58</v>
      </c>
      <c r="Z97" s="40" t="n">
        <v>90.2</v>
      </c>
      <c r="AA97" s="40" t="n">
        <v>96.77</v>
      </c>
      <c r="AB97" s="40" t="n">
        <v>109.63</v>
      </c>
      <c r="AC97" s="40" t="n">
        <v>119.5</v>
      </c>
      <c r="AD97" s="40" t="n">
        <v>144.24</v>
      </c>
      <c r="AE97" s="40" t="n">
        <v>155.09</v>
      </c>
      <c r="AF97" s="40" t="n">
        <v>66.69</v>
      </c>
      <c r="AG97" s="40" t="n">
        <v>214.88</v>
      </c>
      <c r="AH97" s="13" t="n">
        <f aca="false">(U97+AH$4*(Resumo!$C$6+Resumo!$C$7+Resumo!$C$8)+Resumo!$C$10*CEILING(AH$3/100,1)+Resumo!$C$9+Resumo!$C$13+Resumo!$C$14*CEILING(AH$3,1))*(1+Resumo!$C$11)-(AH$4*(Resumo!$B$6+Resumo!$B$7)+Resumo!$B$9+Resumo!$B$10*CEILING(AH$3/100,1)+(Resumo!$B$12+Resumo!$B$14)*CEILING(AH$3,1))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7" s="13" t="n">
        <f aca="false">(V97+AI$4*(Resumo!$C$6+Resumo!$C$7+Resumo!$C$8)+Resumo!$C$10*CEILING(AI$3/100,1)+Resumo!$C$9+Resumo!$C$13+Resumo!$C$14*CEILING(AI$3,1))*(1+Resumo!$C$11)-(AI$4*(Resumo!$B$6+Resumo!$B$7)+Resumo!$B$9+Resumo!$B$10*CEILING(AI$3/100,1)+(Resumo!$B$12+Resumo!$B$14)*CEILING(AI$3,1))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7" s="13" t="n">
        <f aca="false">(W97+AJ$4*(Resumo!$C$6+Resumo!$C$7+Resumo!$C$8)+Resumo!$C$10*CEILING(AJ$3/100,1)+Resumo!$C$9+Resumo!$C$13+Resumo!$C$14*CEILING(AJ$3,1))*(1+Resumo!$C$11)-(AJ$4*(Resumo!$B$6+Resumo!$B$7)+Resumo!$B$9+Resumo!$B$10*CEILING(AJ$3/100,1)+(Resumo!$B$12+Resumo!$B$14)*CEILING(AJ$3,1))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7" s="13" t="n">
        <f aca="false">(X97+AK$4*(Resumo!$C$6+Resumo!$C$7+Resumo!$C$8)+Resumo!$C$10*CEILING(AK$3/100,1)+Resumo!$C$9+Resumo!$C$13+Resumo!$C$14*CEILING(AK$3,1))*(1+Resumo!$C$11)-(AK$4*(Resumo!$B$6+Resumo!$B$7)+Resumo!$B$9+Resumo!$B$10*CEILING(AK$3/100,1)+(Resumo!$B$12+Resumo!$B$14)*CEILING(AK$3,1))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7" s="13" t="n">
        <f aca="false">(Y97+AL$4*(Resumo!$C$6+Resumo!$C$7+Resumo!$C$8)+Resumo!$C$10*CEILING(AL$3/100,1)+Resumo!$C$9+Resumo!$C$13+Resumo!$C$14*CEILING(AL$3,1))*(1+Resumo!$C$11)-(AL$4*(Resumo!$B$6+Resumo!$B$7)+Resumo!$B$9+Resumo!$B$10*CEILING(AL$3/100,1)+(Resumo!$B$12+Resumo!$B$14)*CEILING(AL$3,1))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7" s="13" t="n">
        <f aca="false">(Z97+AM$4*(Resumo!$C$6+Resumo!$C$7+Resumo!$C$8)+Resumo!$C$10*CEILING(AM$3/100,1)+Resumo!$C$9+Resumo!$C$13+Resumo!$C$14*CEILING(AM$3,1))*(1+Resumo!$C$11)-(AM$4*(Resumo!$B$6+Resumo!$B$7)+Resumo!$B$9+Resumo!$B$10*CEILING(AM$3/100,1)+(Resumo!$B$12+Resumo!$B$14)*CEILING(AM$3,1))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7" s="13" t="n">
        <f aca="false">(AA97+AN$4*(Resumo!$C$6+Resumo!$C$7+Resumo!$C$8)+Resumo!$C$10*CEILING(AN$3/100,1)+Resumo!$C$9+Resumo!$C$13+Resumo!$C$14*CEILING(AN$3,1))*(1+Resumo!$C$11)-(AN$4*(Resumo!$B$6+Resumo!$B$7)+Resumo!$B$9+Resumo!$B$10*CEILING(AN$3/100,1)+(Resumo!$B$12+Resumo!$B$14)*CEILING(AN$3,1))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7" s="13" t="n">
        <f aca="false">(AB97+AO$4*(Resumo!$C$6+Resumo!$C$7+Resumo!$C$8)+Resumo!$C$10*CEILING(AO$3/100,1)+Resumo!$C$9+Resumo!$C$13+Resumo!$C$14*CEILING(AO$3,1))*(1+Resumo!$C$11)-(AO$4*(Resumo!$B$6+Resumo!$B$7)+Resumo!$B$9+Resumo!$B$10*CEILING(AO$3/100,1)+(Resumo!$B$12+Resumo!$B$14)*CEILING(AO$3,1))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7" s="13" t="n">
        <f aca="false">(AC97+AP$4*(Resumo!$C$6+Resumo!$C$7+Resumo!$C$8)+Resumo!$C$10*CEILING(AP$3/100,1)+Resumo!$C$9+Resumo!$C$13+Resumo!$C$14*CEILING(AP$3,1))*(1+Resumo!$C$11)-(AP$4*(Resumo!$B$6+Resumo!$B$7)+Resumo!$B$9+Resumo!$B$10*CEILING(AP$3/100,1)+(Resumo!$B$12+Resumo!$B$14)*CEILING(AP$3,1))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7" s="13" t="n">
        <f aca="false">(AD97+AQ$4*(Resumo!$C$6+Resumo!$C$7+Resumo!$C$8)+Resumo!$C$10*CEILING(AQ$3/100,1)+Resumo!$C$9+Resumo!$C$13+Resumo!$C$14*CEILING(AQ$3,1))*(1+Resumo!$C$11)-(AQ$4*(Resumo!$B$6+Resumo!$B$7)+Resumo!$B$9+Resumo!$B$10*CEILING(AQ$3/100,1)+(Resumo!$B$12+Resumo!$B$14)*CEILING(AQ$3,1))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7" s="13" t="n">
        <f aca="false">(AE97+AR$4*(Resumo!$C$6+Resumo!$C$7+Resumo!$C$8)+Resumo!$C$10*CEILING(AR$3/100,1)+Resumo!$C$9+Resumo!$C$13+Resumo!$C$14*CEILING(AR$3,1))*(1+Resumo!$C$11)-(AR$4*(Resumo!$B$6+Resumo!$B$7)+Resumo!$B$9+Resumo!$B$10*CEILING(AR$3/100,1)+(Resumo!$B$12+Resumo!$B$14)*CEILING(AR$3,1))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7" s="13" t="n">
        <f aca="false">(AF97+AS$4*(Resumo!$C$6+Resumo!$C$7+Resumo!$C$8)+Resumo!$C$10*CEILING(AS$3/100,1)+Resumo!$C$9+Resumo!$C$13+Resumo!$C$14*CEILING(AS$3,1))*(1+Resumo!$C$11)-(AS$4*(Resumo!$B$6+Resumo!$B$7)+Resumo!$B$9+Resumo!$B$10*CEILING(AS$3/100,1)+(Resumo!$B$12+Resumo!$B$14)*CEILING(AS$3,1))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7" s="13" t="n">
        <f aca="false">(AG97+AT$4*(Resumo!$C$6+Resumo!$C$7+Resumo!$C$8)+Resumo!$C$10*CEILING(AT$3/100,1)+Resumo!$C$9+Resumo!$C$13+Resumo!$C$14*CEILING(AT$3,1))*(1+Resumo!$C$11)-(AT$4*(Resumo!$B$6+Resumo!$B$7)+Resumo!$B$9+Resumo!$B$10*CEILING(AT$3/100,1)+(Resumo!$B$12+Resumo!$B$14)*CEILING(AT$3,1))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7" s="44" t="n">
        <f aca="false">1-AH97/H97</f>
        <v>0.4503685483856</v>
      </c>
      <c r="AV97" s="44" t="n">
        <f aca="false">1-AI97/I97</f>
        <v>0.360492762123189</v>
      </c>
      <c r="AW97" s="44" t="n">
        <f aca="false">1-AJ97/J97</f>
        <v>0.337931079721616</v>
      </c>
      <c r="AX97" s="44" t="n">
        <f aca="false">1-AK97/K97</f>
        <v>0.344390931869405</v>
      </c>
      <c r="AY97" s="44" t="n">
        <f aca="false">1-AL97/L97</f>
        <v>0.365701375691832</v>
      </c>
      <c r="AZ97" s="44" t="n">
        <f aca="false">1-AM97/M97</f>
        <v>0.420709229511831</v>
      </c>
      <c r="BA97" s="44" t="n">
        <f aca="false">1-AN97/N97</f>
        <v>0.382642225835592</v>
      </c>
      <c r="BB97" s="44" t="n">
        <f aca="false">1-AO97/O97</f>
        <v>0.419232633445788</v>
      </c>
      <c r="BC97" s="44" t="n">
        <f aca="false">1-AP97/P97</f>
        <v>0.493280443868681</v>
      </c>
      <c r="BD97" s="44" t="n">
        <f aca="false">1-AQ97/Q97</f>
        <v>0.455794679894486</v>
      </c>
      <c r="BE97" s="44" t="n">
        <f aca="false">1-AR97/R97</f>
        <v>0.489018797268033</v>
      </c>
      <c r="BF97" s="44" t="n">
        <f aca="false">1-AS97/S97</f>
        <v>0.820478024467603</v>
      </c>
      <c r="BG97" s="44" t="n">
        <f aca="false">1-AT97/T97</f>
        <v>0.528263860444042</v>
      </c>
    </row>
    <row r="98" customFormat="false" ht="15" hidden="false" customHeight="false" outlineLevel="0" collapsed="false">
      <c r="A98" s="10" t="s">
        <v>261</v>
      </c>
      <c r="B98" s="10" t="s">
        <v>222</v>
      </c>
      <c r="C98" s="58" t="n">
        <v>28970000</v>
      </c>
      <c r="D98" s="58" t="n">
        <v>28989999</v>
      </c>
      <c r="E98" s="10" t="s">
        <v>24</v>
      </c>
      <c r="F98" s="10" t="s">
        <v>266</v>
      </c>
      <c r="G98" s="10" t="n">
        <f aca="false">COUNTIFS(Pedidos!$C$2:$C$2224,"&gt;="&amp;C98,Pedidos!$C$2:$C$2224,"&lt;="&amp;D98)</f>
        <v>28</v>
      </c>
      <c r="H98" s="40" t="n">
        <v>100.7</v>
      </c>
      <c r="I98" s="40" t="n">
        <v>114.95</v>
      </c>
      <c r="J98" s="40" t="n">
        <v>124.38</v>
      </c>
      <c r="K98" s="40" t="n">
        <v>129.29</v>
      </c>
      <c r="L98" s="40" t="n">
        <v>142.32</v>
      </c>
      <c r="M98" s="40" t="n">
        <v>166.05</v>
      </c>
      <c r="N98" s="40" t="n">
        <v>166.05</v>
      </c>
      <c r="O98" s="40" t="n">
        <v>197.35</v>
      </c>
      <c r="P98" s="40" t="n">
        <v>236.82</v>
      </c>
      <c r="Q98" s="40" t="n">
        <v>264.84</v>
      </c>
      <c r="R98" s="40" t="n">
        <v>300.15</v>
      </c>
      <c r="S98" s="40" t="n">
        <v>353.12</v>
      </c>
      <c r="T98" s="40" t="n">
        <v>441.4</v>
      </c>
      <c r="U98" s="40" t="n">
        <v>46.95</v>
      </c>
      <c r="V98" s="40" t="n">
        <v>65.63</v>
      </c>
      <c r="W98" s="40" t="n">
        <v>74.97</v>
      </c>
      <c r="X98" s="40" t="n">
        <v>77.7</v>
      </c>
      <c r="Y98" s="40" t="n">
        <v>83.58</v>
      </c>
      <c r="Z98" s="40" t="n">
        <v>90.2</v>
      </c>
      <c r="AA98" s="40" t="n">
        <v>96.77</v>
      </c>
      <c r="AB98" s="40" t="n">
        <v>109.63</v>
      </c>
      <c r="AC98" s="40" t="n">
        <v>119.5</v>
      </c>
      <c r="AD98" s="40" t="n">
        <v>144.24</v>
      </c>
      <c r="AE98" s="40" t="n">
        <v>155.09</v>
      </c>
      <c r="AF98" s="40" t="n">
        <v>66.69</v>
      </c>
      <c r="AG98" s="40" t="n">
        <v>214.88</v>
      </c>
      <c r="AH98" s="13" t="n">
        <f aca="false">(U98+AH$4*(Resumo!$C$6+Resumo!$C$7+Resumo!$C$8)+Resumo!$C$10*CEILING(AH$3/100,1)+Resumo!$C$9+Resumo!$C$13+Resumo!$C$14*CEILING(AH$3,1))*(1+Resumo!$C$11)-(AH$4*(Resumo!$B$6+Resumo!$B$7)+Resumo!$B$9+Resumo!$B$10*CEILING(AH$3/100,1)+(Resumo!$B$12+Resumo!$B$14)*CEILING(AH$3,1))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8" s="13" t="n">
        <f aca="false">(V98+AI$4*(Resumo!$C$6+Resumo!$C$7+Resumo!$C$8)+Resumo!$C$10*CEILING(AI$3/100,1)+Resumo!$C$9+Resumo!$C$13+Resumo!$C$14*CEILING(AI$3,1))*(1+Resumo!$C$11)-(AI$4*(Resumo!$B$6+Resumo!$B$7)+Resumo!$B$9+Resumo!$B$10*CEILING(AI$3/100,1)+(Resumo!$B$12+Resumo!$B$14)*CEILING(AI$3,1))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8" s="13" t="n">
        <f aca="false">(W98+AJ$4*(Resumo!$C$6+Resumo!$C$7+Resumo!$C$8)+Resumo!$C$10*CEILING(AJ$3/100,1)+Resumo!$C$9+Resumo!$C$13+Resumo!$C$14*CEILING(AJ$3,1))*(1+Resumo!$C$11)-(AJ$4*(Resumo!$B$6+Resumo!$B$7)+Resumo!$B$9+Resumo!$B$10*CEILING(AJ$3/100,1)+(Resumo!$B$12+Resumo!$B$14)*CEILING(AJ$3,1))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8" s="13" t="n">
        <f aca="false">(X98+AK$4*(Resumo!$C$6+Resumo!$C$7+Resumo!$C$8)+Resumo!$C$10*CEILING(AK$3/100,1)+Resumo!$C$9+Resumo!$C$13+Resumo!$C$14*CEILING(AK$3,1))*(1+Resumo!$C$11)-(AK$4*(Resumo!$B$6+Resumo!$B$7)+Resumo!$B$9+Resumo!$B$10*CEILING(AK$3/100,1)+(Resumo!$B$12+Resumo!$B$14)*CEILING(AK$3,1))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8" s="13" t="n">
        <f aca="false">(Y98+AL$4*(Resumo!$C$6+Resumo!$C$7+Resumo!$C$8)+Resumo!$C$10*CEILING(AL$3/100,1)+Resumo!$C$9+Resumo!$C$13+Resumo!$C$14*CEILING(AL$3,1))*(1+Resumo!$C$11)-(AL$4*(Resumo!$B$6+Resumo!$B$7)+Resumo!$B$9+Resumo!$B$10*CEILING(AL$3/100,1)+(Resumo!$B$12+Resumo!$B$14)*CEILING(AL$3,1))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8" s="13" t="n">
        <f aca="false">(Z98+AM$4*(Resumo!$C$6+Resumo!$C$7+Resumo!$C$8)+Resumo!$C$10*CEILING(AM$3/100,1)+Resumo!$C$9+Resumo!$C$13+Resumo!$C$14*CEILING(AM$3,1))*(1+Resumo!$C$11)-(AM$4*(Resumo!$B$6+Resumo!$B$7)+Resumo!$B$9+Resumo!$B$10*CEILING(AM$3/100,1)+(Resumo!$B$12+Resumo!$B$14)*CEILING(AM$3,1))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8" s="13" t="n">
        <f aca="false">(AA98+AN$4*(Resumo!$C$6+Resumo!$C$7+Resumo!$C$8)+Resumo!$C$10*CEILING(AN$3/100,1)+Resumo!$C$9+Resumo!$C$13+Resumo!$C$14*CEILING(AN$3,1))*(1+Resumo!$C$11)-(AN$4*(Resumo!$B$6+Resumo!$B$7)+Resumo!$B$9+Resumo!$B$10*CEILING(AN$3/100,1)+(Resumo!$B$12+Resumo!$B$14)*CEILING(AN$3,1))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8" s="13" t="n">
        <f aca="false">(AB98+AO$4*(Resumo!$C$6+Resumo!$C$7+Resumo!$C$8)+Resumo!$C$10*CEILING(AO$3/100,1)+Resumo!$C$9+Resumo!$C$13+Resumo!$C$14*CEILING(AO$3,1))*(1+Resumo!$C$11)-(AO$4*(Resumo!$B$6+Resumo!$B$7)+Resumo!$B$9+Resumo!$B$10*CEILING(AO$3/100,1)+(Resumo!$B$12+Resumo!$B$14)*CEILING(AO$3,1))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8" s="13" t="n">
        <f aca="false">(AC98+AP$4*(Resumo!$C$6+Resumo!$C$7+Resumo!$C$8)+Resumo!$C$10*CEILING(AP$3/100,1)+Resumo!$C$9+Resumo!$C$13+Resumo!$C$14*CEILING(AP$3,1))*(1+Resumo!$C$11)-(AP$4*(Resumo!$B$6+Resumo!$B$7)+Resumo!$B$9+Resumo!$B$10*CEILING(AP$3/100,1)+(Resumo!$B$12+Resumo!$B$14)*CEILING(AP$3,1))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8" s="13" t="n">
        <f aca="false">(AD98+AQ$4*(Resumo!$C$6+Resumo!$C$7+Resumo!$C$8)+Resumo!$C$10*CEILING(AQ$3/100,1)+Resumo!$C$9+Resumo!$C$13+Resumo!$C$14*CEILING(AQ$3,1))*(1+Resumo!$C$11)-(AQ$4*(Resumo!$B$6+Resumo!$B$7)+Resumo!$B$9+Resumo!$B$10*CEILING(AQ$3/100,1)+(Resumo!$B$12+Resumo!$B$14)*CEILING(AQ$3,1))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8" s="13" t="n">
        <f aca="false">(AE98+AR$4*(Resumo!$C$6+Resumo!$C$7+Resumo!$C$8)+Resumo!$C$10*CEILING(AR$3/100,1)+Resumo!$C$9+Resumo!$C$13+Resumo!$C$14*CEILING(AR$3,1))*(1+Resumo!$C$11)-(AR$4*(Resumo!$B$6+Resumo!$B$7)+Resumo!$B$9+Resumo!$B$10*CEILING(AR$3/100,1)+(Resumo!$B$12+Resumo!$B$14)*CEILING(AR$3,1))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8" s="13" t="n">
        <f aca="false">(AF98+AS$4*(Resumo!$C$6+Resumo!$C$7+Resumo!$C$8)+Resumo!$C$10*CEILING(AS$3/100,1)+Resumo!$C$9+Resumo!$C$13+Resumo!$C$14*CEILING(AS$3,1))*(1+Resumo!$C$11)-(AS$4*(Resumo!$B$6+Resumo!$B$7)+Resumo!$B$9+Resumo!$B$10*CEILING(AS$3/100,1)+(Resumo!$B$12+Resumo!$B$14)*CEILING(AS$3,1))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8" s="13" t="n">
        <f aca="false">(AG98+AT$4*(Resumo!$C$6+Resumo!$C$7+Resumo!$C$8)+Resumo!$C$10*CEILING(AT$3/100,1)+Resumo!$C$9+Resumo!$C$13+Resumo!$C$14*CEILING(AT$3,1))*(1+Resumo!$C$11)-(AT$4*(Resumo!$B$6+Resumo!$B$7)+Resumo!$B$9+Resumo!$B$10*CEILING(AT$3/100,1)+(Resumo!$B$12+Resumo!$B$14)*CEILING(AT$3,1))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8" s="44" t="n">
        <f aca="false">1-AH98/H98</f>
        <v>0.4503685483856</v>
      </c>
      <c r="AV98" s="44" t="n">
        <f aca="false">1-AI98/I98</f>
        <v>0.360492762123189</v>
      </c>
      <c r="AW98" s="44" t="n">
        <f aca="false">1-AJ98/J98</f>
        <v>0.337931079721616</v>
      </c>
      <c r="AX98" s="44" t="n">
        <f aca="false">1-AK98/K98</f>
        <v>0.344390931869405</v>
      </c>
      <c r="AY98" s="44" t="n">
        <f aca="false">1-AL98/L98</f>
        <v>0.365701375691832</v>
      </c>
      <c r="AZ98" s="44" t="n">
        <f aca="false">1-AM98/M98</f>
        <v>0.420709229511831</v>
      </c>
      <c r="BA98" s="44" t="n">
        <f aca="false">1-AN98/N98</f>
        <v>0.382642225835592</v>
      </c>
      <c r="BB98" s="44" t="n">
        <f aca="false">1-AO98/O98</f>
        <v>0.419232633445788</v>
      </c>
      <c r="BC98" s="44" t="n">
        <f aca="false">1-AP98/P98</f>
        <v>0.493280443868681</v>
      </c>
      <c r="BD98" s="44" t="n">
        <f aca="false">1-AQ98/Q98</f>
        <v>0.455794679894486</v>
      </c>
      <c r="BE98" s="44" t="n">
        <f aca="false">1-AR98/R98</f>
        <v>0.489018797268033</v>
      </c>
      <c r="BF98" s="44" t="n">
        <f aca="false">1-AS98/S98</f>
        <v>0.820478024467603</v>
      </c>
      <c r="BG98" s="44" t="n">
        <f aca="false">1-AT98/T98</f>
        <v>0.528263860444042</v>
      </c>
    </row>
    <row r="99" customFormat="false" ht="15" hidden="false" customHeight="false" outlineLevel="0" collapsed="false">
      <c r="A99" s="10" t="s">
        <v>261</v>
      </c>
      <c r="B99" s="10" t="s">
        <v>341</v>
      </c>
      <c r="C99" s="58" t="n">
        <v>28990000</v>
      </c>
      <c r="D99" s="58" t="n">
        <v>28999999</v>
      </c>
      <c r="E99" s="10" t="s">
        <v>24</v>
      </c>
      <c r="F99" s="10" t="s">
        <v>266</v>
      </c>
      <c r="G99" s="10" t="n">
        <f aca="false">COUNTIFS(Pedidos!$C$2:$C$2224,"&gt;="&amp;C99,Pedidos!$C$2:$C$2224,"&lt;="&amp;D99)</f>
        <v>15</v>
      </c>
      <c r="H99" s="40" t="n">
        <v>100.7</v>
      </c>
      <c r="I99" s="40" t="n">
        <v>114.95</v>
      </c>
      <c r="J99" s="40" t="n">
        <v>124.38</v>
      </c>
      <c r="K99" s="40" t="n">
        <v>129.29</v>
      </c>
      <c r="L99" s="40" t="n">
        <v>142.32</v>
      </c>
      <c r="M99" s="40" t="n">
        <v>166.05</v>
      </c>
      <c r="N99" s="40" t="n">
        <v>166.05</v>
      </c>
      <c r="O99" s="40" t="n">
        <v>197.35</v>
      </c>
      <c r="P99" s="40" t="n">
        <v>236.82</v>
      </c>
      <c r="Q99" s="40" t="n">
        <v>264.84</v>
      </c>
      <c r="R99" s="40" t="n">
        <v>300.15</v>
      </c>
      <c r="S99" s="40" t="n">
        <v>353.12</v>
      </c>
      <c r="T99" s="40" t="n">
        <v>441.4</v>
      </c>
      <c r="U99" s="40" t="n">
        <v>46.95</v>
      </c>
      <c r="V99" s="40" t="n">
        <v>65.63</v>
      </c>
      <c r="W99" s="40" t="n">
        <v>74.97</v>
      </c>
      <c r="X99" s="40" t="n">
        <v>77.7</v>
      </c>
      <c r="Y99" s="40" t="n">
        <v>83.58</v>
      </c>
      <c r="Z99" s="40" t="n">
        <v>90.2</v>
      </c>
      <c r="AA99" s="40" t="n">
        <v>96.77</v>
      </c>
      <c r="AB99" s="40" t="n">
        <v>109.63</v>
      </c>
      <c r="AC99" s="40" t="n">
        <v>119.5</v>
      </c>
      <c r="AD99" s="40" t="n">
        <v>144.24</v>
      </c>
      <c r="AE99" s="40" t="n">
        <v>155.09</v>
      </c>
      <c r="AF99" s="40" t="n">
        <v>66.69</v>
      </c>
      <c r="AG99" s="40" t="n">
        <v>214.88</v>
      </c>
      <c r="AH99" s="13" t="n">
        <f aca="false">(U99+AH$4*(Resumo!$C$6+Resumo!$C$7+Resumo!$C$8)+Resumo!$C$10*CEILING(AH$3/100,1)+Resumo!$C$9+Resumo!$C$13+Resumo!$C$14*CEILING(AH$3,1))*(1+Resumo!$C$11)-(AH$4*(Resumo!$B$6+Resumo!$B$7)+Resumo!$B$9+Resumo!$B$10*CEILING(AH$3/100,1)+(Resumo!$B$12+Resumo!$B$14)*CEILING(AH$3,1))</f>
        <v>55.3478871775701</v>
      </c>
      <c r="AI99" s="13" t="n">
        <f aca="false">(V99+AI$4*(Resumo!$C$6+Resumo!$C$7+Resumo!$C$8)+Resumo!$C$10*CEILING(AI$3/100,1)+Resumo!$C$9+Resumo!$C$13+Resumo!$C$14*CEILING(AI$3,1))*(1+Resumo!$C$11)-(AI$4*(Resumo!$B$6+Resumo!$B$7)+Resumo!$B$9+Resumo!$B$10*CEILING(AI$3/100,1)+(Resumo!$B$12+Resumo!$B$14)*CEILING(AI$3,1))</f>
        <v>73.5113569939394</v>
      </c>
      <c r="AJ99" s="13" t="n">
        <f aca="false">(W99+AJ$4*(Resumo!$C$6+Resumo!$C$7+Resumo!$C$8)+Resumo!$C$10*CEILING(AJ$3/100,1)+Resumo!$C$9+Resumo!$C$13+Resumo!$C$14*CEILING(AJ$3,1))*(1+Resumo!$C$11)-(AJ$4*(Resumo!$B$6+Resumo!$B$7)+Resumo!$B$9+Resumo!$B$10*CEILING(AJ$3/100,1)+(Resumo!$B$12+Resumo!$B$14)*CEILING(AJ$3,1))</f>
        <v>82.3481323042254</v>
      </c>
      <c r="AK99" s="13" t="n">
        <f aca="false">(X99+AK$4*(Resumo!$C$6+Resumo!$C$7+Resumo!$C$8)+Resumo!$C$10*CEILING(AK$3/100,1)+Resumo!$C$9+Resumo!$C$13+Resumo!$C$14*CEILING(AK$3,1))*(1+Resumo!$C$11)-(AK$4*(Resumo!$B$6+Resumo!$B$7)+Resumo!$B$9+Resumo!$B$10*CEILING(AK$3/100,1)+(Resumo!$B$12+Resumo!$B$14)*CEILING(AK$3,1))</f>
        <v>84.7636964186046</v>
      </c>
      <c r="AL99" s="13" t="n">
        <f aca="false">(Y99+AL$4*(Resumo!$C$6+Resumo!$C$7+Resumo!$C$8)+Resumo!$C$10*CEILING(AL$3/100,1)+Resumo!$C$9+Resumo!$C$13+Resumo!$C$14*CEILING(AL$3,1))*(1+Resumo!$C$11)-(AL$4*(Resumo!$B$6+Resumo!$B$7)+Resumo!$B$9+Resumo!$B$10*CEILING(AL$3/100,1)+(Resumo!$B$12+Resumo!$B$14)*CEILING(AL$3,1))</f>
        <v>90.2733802115385</v>
      </c>
      <c r="AM99" s="13" t="n">
        <f aca="false">(Z99+AM$4*(Resumo!$C$6+Resumo!$C$7+Resumo!$C$8)+Resumo!$C$10*CEILING(AM$3/100,1)+Resumo!$C$9+Resumo!$C$13+Resumo!$C$14*CEILING(AM$3,1))*(1+Resumo!$C$11)-(AM$4*(Resumo!$B$6+Resumo!$B$7)+Resumo!$B$9+Resumo!$B$10*CEILING(AM$3/100,1)+(Resumo!$B$12+Resumo!$B$14)*CEILING(AM$3,1))</f>
        <v>96.1912324395604</v>
      </c>
      <c r="AN99" s="13" t="n">
        <f aca="false">(AA99+AN$4*(Resumo!$C$6+Resumo!$C$7+Resumo!$C$8)+Resumo!$C$10*CEILING(AN$3/100,1)+Resumo!$C$9+Resumo!$C$13+Resumo!$C$14*CEILING(AN$3,1))*(1+Resumo!$C$11)-(AN$4*(Resumo!$B$6+Resumo!$B$7)+Resumo!$B$9+Resumo!$B$10*CEILING(AN$3/100,1)+(Resumo!$B$12+Resumo!$B$14)*CEILING(AN$3,1))</f>
        <v>102.5122584</v>
      </c>
      <c r="AO99" s="13" t="n">
        <f aca="false">(AB99+AO$4*(Resumo!$C$6+Resumo!$C$7+Resumo!$C$8)+Resumo!$C$10*CEILING(AO$3/100,1)+Resumo!$C$9+Resumo!$C$13+Resumo!$C$14*CEILING(AO$3,1))*(1+Resumo!$C$11)-(AO$4*(Resumo!$B$6+Resumo!$B$7)+Resumo!$B$9+Resumo!$B$10*CEILING(AO$3/100,1)+(Resumo!$B$12+Resumo!$B$14)*CEILING(AO$3,1))</f>
        <v>114.614439789474</v>
      </c>
      <c r="AP99" s="13" t="n">
        <f aca="false">(AC99+AP$4*(Resumo!$C$6+Resumo!$C$7+Resumo!$C$8)+Resumo!$C$10*CEILING(AP$3/100,1)+Resumo!$C$9+Resumo!$C$13+Resumo!$C$14*CEILING(AP$3,1))*(1+Resumo!$C$11)-(AP$4*(Resumo!$B$6+Resumo!$B$7)+Resumo!$B$9+Resumo!$B$10*CEILING(AP$3/100,1)+(Resumo!$B$12+Resumo!$B$14)*CEILING(AP$3,1))</f>
        <v>120.001325283019</v>
      </c>
      <c r="AQ99" s="13" t="n">
        <f aca="false">(AD99+AQ$4*(Resumo!$C$6+Resumo!$C$7+Resumo!$C$8)+Resumo!$C$10*CEILING(AQ$3/100,1)+Resumo!$C$9+Resumo!$C$13+Resumo!$C$14*CEILING(AQ$3,1))*(1+Resumo!$C$11)-(AQ$4*(Resumo!$B$6+Resumo!$B$7)+Resumo!$B$9+Resumo!$B$10*CEILING(AQ$3/100,1)+(Resumo!$B$12+Resumo!$B$14)*CEILING(AQ$3,1))</f>
        <v>144.127336976744</v>
      </c>
      <c r="AR99" s="13" t="n">
        <f aca="false">(AE99+AR$4*(Resumo!$C$6+Resumo!$C$7+Resumo!$C$8)+Resumo!$C$10*CEILING(AR$3/100,1)+Resumo!$C$9+Resumo!$C$13+Resumo!$C$14*CEILING(AR$3,1))*(1+Resumo!$C$11)-(AR$4*(Resumo!$B$6+Resumo!$B$7)+Resumo!$B$9+Resumo!$B$10*CEILING(AR$3/100,1)+(Resumo!$B$12+Resumo!$B$14)*CEILING(AR$3,1))</f>
        <v>153.371008</v>
      </c>
      <c r="AS99" s="13" t="n">
        <f aca="false">(AF99+AS$4*(Resumo!$C$6+Resumo!$C$7+Resumo!$C$8)+Resumo!$C$10*CEILING(AS$3/100,1)+Resumo!$C$9+Resumo!$C$13+Resumo!$C$14*CEILING(AS$3,1))*(1+Resumo!$C$11)-(AS$4*(Resumo!$B$6+Resumo!$B$7)+Resumo!$B$9+Resumo!$B$10*CEILING(AS$3/100,1)+(Resumo!$B$12+Resumo!$B$14)*CEILING(AS$3,1))</f>
        <v>63.3928</v>
      </c>
      <c r="AT99" s="13" t="n">
        <f aca="false">(AG99+AT$4*(Resumo!$C$6+Resumo!$C$7+Resumo!$C$8)+Resumo!$C$10*CEILING(AT$3/100,1)+Resumo!$C$9+Resumo!$C$13+Resumo!$C$14*CEILING(AT$3,1))*(1+Resumo!$C$11)-(AT$4*(Resumo!$B$6+Resumo!$B$7)+Resumo!$B$9+Resumo!$B$10*CEILING(AT$3/100,1)+(Resumo!$B$12+Resumo!$B$14)*CEILING(AT$3,1))</f>
        <v>208.224332</v>
      </c>
      <c r="AU99" s="44" t="n">
        <f aca="false">1-AH99/H99</f>
        <v>0.4503685483856</v>
      </c>
      <c r="AV99" s="44" t="n">
        <f aca="false">1-AI99/I99</f>
        <v>0.360492762123189</v>
      </c>
      <c r="AW99" s="44" t="n">
        <f aca="false">1-AJ99/J99</f>
        <v>0.337931079721616</v>
      </c>
      <c r="AX99" s="44" t="n">
        <f aca="false">1-AK99/K99</f>
        <v>0.344390931869405</v>
      </c>
      <c r="AY99" s="44" t="n">
        <f aca="false">1-AL99/L99</f>
        <v>0.365701375691832</v>
      </c>
      <c r="AZ99" s="44" t="n">
        <f aca="false">1-AM99/M99</f>
        <v>0.420709229511831</v>
      </c>
      <c r="BA99" s="44" t="n">
        <f aca="false">1-AN99/N99</f>
        <v>0.382642225835592</v>
      </c>
      <c r="BB99" s="44" t="n">
        <f aca="false">1-AO99/O99</f>
        <v>0.419232633445788</v>
      </c>
      <c r="BC99" s="44" t="n">
        <f aca="false">1-AP99/P99</f>
        <v>0.493280443868681</v>
      </c>
      <c r="BD99" s="44" t="n">
        <f aca="false">1-AQ99/Q99</f>
        <v>0.455794679894486</v>
      </c>
      <c r="BE99" s="44" t="n">
        <f aca="false">1-AR99/R99</f>
        <v>0.489018797268033</v>
      </c>
      <c r="BF99" s="44" t="n">
        <f aca="false">1-AS99/S99</f>
        <v>0.820478024467603</v>
      </c>
      <c r="BG99" s="44" t="n">
        <f aca="false">1-AT99/T99</f>
        <v>0.528263860444042</v>
      </c>
    </row>
    <row r="101" customFormat="false" ht="15" hidden="false" customHeight="false" outlineLevel="0" collapsed="false">
      <c r="B101" s="2" t="s">
        <v>342</v>
      </c>
    </row>
  </sheetData>
  <mergeCells count="4">
    <mergeCell ref="H5:T5"/>
    <mergeCell ref="U5:AG5"/>
    <mergeCell ref="AH5:AT5"/>
    <mergeCell ref="AU5:BG5"/>
  </mergeCells>
  <conditionalFormatting sqref="AU7:BG99">
    <cfRule type="colorScale" priority="2">
      <colorScale>
        <cfvo type="num" val="0"/>
        <cfvo type="num" val="0.3"/>
        <cfvo type="num" val="0.6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10" min="6" style="0" width="12"/>
  </cols>
  <sheetData>
    <row r="1" customFormat="false" ht="17.35" hidden="false" customHeight="false" outlineLevel="0" collapsed="false">
      <c r="A1" s="36" t="s">
        <v>343</v>
      </c>
    </row>
    <row r="3" customFormat="false" ht="15" hidden="false" customHeight="false" outlineLevel="0" collapsed="false">
      <c r="A3" s="37" t="s">
        <v>344</v>
      </c>
    </row>
    <row r="4" customFormat="false" ht="45" hidden="false" customHeight="true" outlineLevel="0" collapsed="false">
      <c r="A4" s="9" t="s">
        <v>345</v>
      </c>
      <c r="B4" s="9" t="s">
        <v>12</v>
      </c>
      <c r="C4" s="9" t="s">
        <v>207</v>
      </c>
      <c r="D4" s="9" t="s">
        <v>208</v>
      </c>
      <c r="E4" s="9" t="s">
        <v>16</v>
      </c>
      <c r="F4" s="9" t="s">
        <v>346</v>
      </c>
      <c r="G4" s="9" t="s">
        <v>347</v>
      </c>
      <c r="H4" s="9" t="s">
        <v>17</v>
      </c>
      <c r="I4" s="9" t="s">
        <v>211</v>
      </c>
      <c r="J4" s="9" t="s">
        <v>348</v>
      </c>
    </row>
    <row r="5" customFormat="false" ht="15" hidden="false" customHeight="false" outlineLevel="0" collapsed="false">
      <c r="A5" s="10" t="s">
        <v>232</v>
      </c>
      <c r="B5" s="11" t="n">
        <f aca="false">COUNTIFS(Pedidos!$AH$2:$AH$2224,"SIM",Pedidos!$F$2:$F$2224,$A5)</f>
        <v>96</v>
      </c>
      <c r="C5" s="13" t="n">
        <f aca="false">IFERROR(AVERAGEIFS(Pedidos!$S$2:$S$2224,Pedidos!$AH$2:$AH$2224,"SIM",Pedidos!$F$2:$F$2224,$A5),"")</f>
        <v>69.1415323153409</v>
      </c>
      <c r="D5" s="13" t="n">
        <f aca="false">IFERROR(AVERAGEIFS(Pedidos!$AB$2:$AB$2224,Pedidos!$AH$2:$AH$2224,"SIM",Pedidos!$F$2:$F$2224,$A5),"")</f>
        <v>76.0752219460227</v>
      </c>
      <c r="E5" s="44" t="n">
        <f aca="false">IFERROR(D5/C5-1,"")</f>
        <v>0.100282556641334</v>
      </c>
      <c r="F5" s="13" t="n">
        <f aca="false">IFERROR(AVERAGEIFS(Pedidos!$I$2:$I$2224,Pedidos!$AH$2:$AH$2224,"SIM",Pedidos!$F$2:$F$2224,$A5),"")</f>
        <v>36.8725</v>
      </c>
      <c r="G5" s="13" t="n">
        <f aca="false">IFERROR(AVERAGEIFS(Pedidos!$T$2:$T$2224,Pedidos!$AH$2:$AH$2224,"SIM",Pedidos!$F$2:$F$2224,$A5),"")</f>
        <v>51.369375</v>
      </c>
      <c r="H5" s="44" t="n">
        <f aca="false">IFERROR(G5/F5-1,"")</f>
        <v>0.39316224828802</v>
      </c>
      <c r="I5" s="45" t="n">
        <f aca="false">IFERROR(COUNTIFS(Pedidos!$AH$2:$AH$2224,"SIM",Pedidos!$F$2:$F$2224,$A5,Pedidos!$AE$2:$AE$2224,"SIM")/B5,"")</f>
        <v>0.145833333333333</v>
      </c>
      <c r="J5" s="45" t="n">
        <f aca="false">IFERROR(MAX(0,1-C5/D5),"")</f>
        <v>0.091142548826232</v>
      </c>
    </row>
    <row r="6" customFormat="false" ht="15" hidden="false" customHeight="false" outlineLevel="0" collapsed="false">
      <c r="A6" s="10" t="s">
        <v>233</v>
      </c>
      <c r="B6" s="11" t="n">
        <f aca="false">COUNTIFS(Pedidos!$AH$2:$AH$2224,"SIM",Pedidos!$F$2:$F$2224,$A6)</f>
        <v>431</v>
      </c>
      <c r="C6" s="13" t="n">
        <f aca="false">IFERROR(AVERAGEIFS(Pedidos!$S$2:$S$2224,Pedidos!$AH$2:$AH$2224,"SIM",Pedidos!$F$2:$F$2224,$A6),"")</f>
        <v>90.0414434771145</v>
      </c>
      <c r="D6" s="13" t="n">
        <f aca="false">IFERROR(AVERAGEIFS(Pedidos!$AB$2:$AB$2224,Pedidos!$AH$2:$AH$2224,"SIM",Pedidos!$F$2:$F$2224,$A6),"")</f>
        <v>127.444546588273</v>
      </c>
      <c r="E6" s="44" t="n">
        <f aca="false">IFERROR(D6/C6-1,"")</f>
        <v>0.415398750472771</v>
      </c>
      <c r="F6" s="13" t="n">
        <f aca="false">IFERROR(AVERAGEIFS(Pedidos!$I$2:$I$2224,Pedidos!$AH$2:$AH$2224,"SIM",Pedidos!$F$2:$F$2224,$A6),"")</f>
        <v>49.9467517401392</v>
      </c>
      <c r="G6" s="13" t="n">
        <f aca="false">IFERROR(AVERAGEIFS(Pedidos!$T$2:$T$2224,Pedidos!$AH$2:$AH$2224,"SIM",Pedidos!$F$2:$F$2224,$A6),"")</f>
        <v>90.7630394431554</v>
      </c>
      <c r="H6" s="44" t="n">
        <f aca="false">IFERROR(G6/F6-1,"")</f>
        <v>0.81719603940159</v>
      </c>
      <c r="I6" s="45" t="n">
        <f aca="false">IFERROR(COUNTIFS(Pedidos!$AH$2:$AH$2224,"SIM",Pedidos!$F$2:$F$2224,$A6,Pedidos!$AE$2:$AE$2224,"SIM")/B6,"")</f>
        <v>0</v>
      </c>
      <c r="J6" s="45" t="n">
        <f aca="false">IFERROR(MAX(0,1-C6/D6),"")</f>
        <v>0.293485316653006</v>
      </c>
    </row>
    <row r="7" customFormat="false" ht="15" hidden="false" customHeight="false" outlineLevel="0" collapsed="false">
      <c r="A7" s="10" t="s">
        <v>234</v>
      </c>
      <c r="B7" s="11" t="n">
        <f aca="false">COUNTIFS(Pedidos!$AH$2:$AH$2224,"SIM",Pedidos!$F$2:$F$2224,$A7)</f>
        <v>299</v>
      </c>
      <c r="C7" s="13" t="n">
        <f aca="false">IFERROR(AVERAGEIFS(Pedidos!$S$2:$S$2224,Pedidos!$AH$2:$AH$2224,"SIM",Pedidos!$F$2:$F$2224,$A7),"")</f>
        <v>104.753808338401</v>
      </c>
      <c r="D7" s="13" t="n">
        <f aca="false">IFERROR(AVERAGEIFS(Pedidos!$AB$2:$AB$2224,Pedidos!$AH$2:$AH$2224,"SIM",Pedidos!$F$2:$F$2224,$A7),"")</f>
        <v>146.773661257221</v>
      </c>
      <c r="E7" s="44" t="n">
        <f aca="false">IFERROR(D7/C7-1,"")</f>
        <v>0.401129596960119</v>
      </c>
      <c r="F7" s="13" t="n">
        <f aca="false">IFERROR(AVERAGEIFS(Pedidos!$I$2:$I$2224,Pedidos!$AH$2:$AH$2224,"SIM",Pedidos!$F$2:$F$2224,$A7),"")</f>
        <v>58.4979598662207</v>
      </c>
      <c r="G7" s="13" t="n">
        <f aca="false">IFERROR(AVERAGEIFS(Pedidos!$T$2:$T$2224,Pedidos!$AH$2:$AH$2224,"SIM",Pedidos!$F$2:$F$2224,$A7),"")</f>
        <v>102.850702341137</v>
      </c>
      <c r="H7" s="44" t="n">
        <f aca="false">IFERROR(G7/F7-1,"")</f>
        <v>0.758192979316662</v>
      </c>
      <c r="I7" s="45" t="n">
        <f aca="false">IFERROR(COUNTIFS(Pedidos!$AH$2:$AH$2224,"SIM",Pedidos!$F$2:$F$2224,$A7,Pedidos!$AE$2:$AE$2224,"SIM")/B7,"")</f>
        <v>0</v>
      </c>
      <c r="J7" s="45" t="n">
        <f aca="false">IFERROR(MAX(0,1-C7/D7),"")</f>
        <v>0.286290146058157</v>
      </c>
    </row>
    <row r="8" customFormat="false" ht="15" hidden="false" customHeight="false" outlineLevel="0" collapsed="false">
      <c r="A8" s="10" t="s">
        <v>235</v>
      </c>
      <c r="B8" s="11" t="n">
        <f aca="false">COUNTIFS(Pedidos!$AH$2:$AH$2224,"SIM",Pedidos!$F$2:$F$2224,$A8)</f>
        <v>305</v>
      </c>
      <c r="C8" s="13" t="n">
        <f aca="false">IFERROR(AVERAGEIFS(Pedidos!$S$2:$S$2224,Pedidos!$AH$2:$AH$2224,"SIM",Pedidos!$F$2:$F$2224,$A8),"")</f>
        <v>113.443192965723</v>
      </c>
      <c r="D8" s="13" t="n">
        <f aca="false">IFERROR(AVERAGEIFS(Pedidos!$AB$2:$AB$2224,Pedidos!$AH$2:$AH$2224,"SIM",Pedidos!$F$2:$F$2224,$A8),"")</f>
        <v>153.471457824143</v>
      </c>
      <c r="E8" s="44" t="n">
        <f aca="false">IFERROR(D8/C8-1,"")</f>
        <v>0.35284853865595</v>
      </c>
      <c r="F8" s="13" t="n">
        <f aca="false">IFERROR(AVERAGEIFS(Pedidos!$I$2:$I$2224,Pedidos!$AH$2:$AH$2224,"SIM",Pedidos!$F$2:$F$2224,$A8),"")</f>
        <v>61.9053770491803</v>
      </c>
      <c r="G8" s="13" t="n">
        <f aca="false">IFERROR(AVERAGEIFS(Pedidos!$T$2:$T$2224,Pedidos!$AH$2:$AH$2224,"SIM",Pedidos!$F$2:$F$2224,$A8),"")</f>
        <v>104.183049180328</v>
      </c>
      <c r="H8" s="44" t="n">
        <f aca="false">IFERROR(G8/F8-1,"")</f>
        <v>0.6829402250076</v>
      </c>
      <c r="I8" s="45" t="n">
        <f aca="false">IFERROR(COUNTIFS(Pedidos!$AH$2:$AH$2224,"SIM",Pedidos!$F$2:$F$2224,$A8,Pedidos!$AE$2:$AE$2224,"SIM")/B8,"")</f>
        <v>0</v>
      </c>
      <c r="J8" s="45" t="n">
        <f aca="false">IFERROR(MAX(0,1-C8/D8),"")</f>
        <v>0.260818952435358</v>
      </c>
    </row>
    <row r="9" customFormat="false" ht="15" hidden="false" customHeight="false" outlineLevel="0" collapsed="false">
      <c r="A9" s="10" t="s">
        <v>236</v>
      </c>
      <c r="B9" s="11" t="n">
        <f aca="false">COUNTIFS(Pedidos!$AH$2:$AH$2224,"SIM",Pedidos!$F$2:$F$2224,$A9)</f>
        <v>361</v>
      </c>
      <c r="C9" s="13" t="n">
        <f aca="false">IFERROR(AVERAGEIFS(Pedidos!$S$2:$S$2224,Pedidos!$AH$2:$AH$2224,"SIM",Pedidos!$F$2:$F$2224,$A9),"")</f>
        <v>123.836988630068</v>
      </c>
      <c r="D9" s="13" t="n">
        <f aca="false">IFERROR(AVERAGEIFS(Pedidos!$AB$2:$AB$2224,Pedidos!$AH$2:$AH$2224,"SIM",Pedidos!$F$2:$F$2224,$A9),"")</f>
        <v>176.449797972803</v>
      </c>
      <c r="E9" s="44" t="n">
        <f aca="false">IFERROR(D9/C9-1,"")</f>
        <v>0.424855367727831</v>
      </c>
      <c r="F9" s="13" t="n">
        <f aca="false">IFERROR(AVERAGEIFS(Pedidos!$I$2:$I$2224,Pedidos!$AH$2:$AH$2224,"SIM",Pedidos!$F$2:$F$2224,$A9),"")</f>
        <v>67.006648199446</v>
      </c>
      <c r="G9" s="13" t="n">
        <f aca="false">IFERROR(AVERAGEIFS(Pedidos!$T$2:$T$2224,Pedidos!$AH$2:$AH$2224,"SIM",Pedidos!$F$2:$F$2224,$A9),"")</f>
        <v>119.98296398892</v>
      </c>
      <c r="H9" s="44" t="n">
        <f aca="false">IFERROR(G9/F9-1,"")</f>
        <v>0.790612830413321</v>
      </c>
      <c r="I9" s="45" t="n">
        <f aca="false">IFERROR(COUNTIFS(Pedidos!$AH$2:$AH$2224,"SIM",Pedidos!$F$2:$F$2224,$A9,Pedidos!$AE$2:$AE$2224,"SIM")/B9,"")</f>
        <v>0</v>
      </c>
      <c r="J9" s="45" t="n">
        <f aca="false">IFERROR(MAX(0,1-C9/D9),"")</f>
        <v>0.298174381309546</v>
      </c>
    </row>
    <row r="10" customFormat="false" ht="15" hidden="false" customHeight="false" outlineLevel="0" collapsed="false">
      <c r="A10" s="10" t="s">
        <v>237</v>
      </c>
      <c r="B10" s="11" t="n">
        <f aca="false">COUNTIFS(Pedidos!$AH$2:$AH$2224,"SIM",Pedidos!$F$2:$F$2224,$A10)</f>
        <v>228</v>
      </c>
      <c r="C10" s="13" t="n">
        <f aca="false">IFERROR(AVERAGEIFS(Pedidos!$S$2:$S$2224,Pedidos!$AH$2:$AH$2224,"SIM",Pedidos!$F$2:$F$2224,$A10),"")</f>
        <v>136.885410307018</v>
      </c>
      <c r="D10" s="13" t="n">
        <f aca="false">IFERROR(AVERAGEIFS(Pedidos!$AB$2:$AB$2224,Pedidos!$AH$2:$AH$2224,"SIM",Pedidos!$F$2:$F$2224,$A10),"")</f>
        <v>206.197406598884</v>
      </c>
      <c r="E10" s="44" t="n">
        <f aca="false">IFERROR(D10/C10-1,"")</f>
        <v>0.506350502485309</v>
      </c>
      <c r="F10" s="13" t="n">
        <f aca="false">IFERROR(AVERAGEIFS(Pedidos!$I$2:$I$2224,Pedidos!$AH$2:$AH$2224,"SIM",Pedidos!$F$2:$F$2224,$A10),"")</f>
        <v>72.8108333333333</v>
      </c>
      <c r="G10" s="13" t="n">
        <f aca="false">IFERROR(AVERAGEIFS(Pedidos!$T$2:$T$2224,Pedidos!$AH$2:$AH$2224,"SIM",Pedidos!$F$2:$F$2224,$A10),"")</f>
        <v>139.837543859649</v>
      </c>
      <c r="H10" s="44" t="n">
        <f aca="false">IFERROR(G10/F10-1,"")</f>
        <v>0.920559585130177</v>
      </c>
      <c r="I10" s="45" t="n">
        <f aca="false">IFERROR(COUNTIFS(Pedidos!$AH$2:$AH$2224,"SIM",Pedidos!$F$2:$F$2224,$A10,Pedidos!$AE$2:$AE$2224,"SIM")/B10,"")</f>
        <v>0</v>
      </c>
      <c r="J10" s="45" t="n">
        <f aca="false">IFERROR(MAX(0,1-C10/D10),"")</f>
        <v>0.336143879960134</v>
      </c>
    </row>
    <row r="11" customFormat="false" ht="15" hidden="false" customHeight="false" outlineLevel="0" collapsed="false">
      <c r="A11" s="10" t="s">
        <v>238</v>
      </c>
      <c r="B11" s="11" t="n">
        <f aca="false">COUNTIFS(Pedidos!$AH$2:$AH$2224,"SIM",Pedidos!$F$2:$F$2224,$A11)</f>
        <v>24</v>
      </c>
      <c r="C11" s="13" t="n">
        <f aca="false">IFERROR(AVERAGEIFS(Pedidos!$S$2:$S$2224,Pedidos!$AH$2:$AH$2224,"SIM",Pedidos!$F$2:$F$2224,$A11),"")</f>
        <v>148.670766287879</v>
      </c>
      <c r="D11" s="13" t="n">
        <f aca="false">IFERROR(AVERAGEIFS(Pedidos!$AB$2:$AB$2224,Pedidos!$AH$2:$AH$2224,"SIM",Pedidos!$F$2:$F$2224,$A11),"")</f>
        <v>211.160869318182</v>
      </c>
      <c r="E11" s="44" t="n">
        <f aca="false">IFERROR(D11/C11-1,"")</f>
        <v>0.420325425035479</v>
      </c>
      <c r="F11" s="13" t="n">
        <f aca="false">IFERROR(AVERAGEIFS(Pedidos!$I$2:$I$2224,Pedidos!$AH$2:$AH$2224,"SIM",Pedidos!$F$2:$F$2224,$A11),"")</f>
        <v>78.6283333333333</v>
      </c>
      <c r="G11" s="13" t="n">
        <f aca="false">IFERROR(AVERAGEIFS(Pedidos!$T$2:$T$2224,Pedidos!$AH$2:$AH$2224,"SIM",Pedidos!$F$2:$F$2224,$A11),"")</f>
        <v>139.39875</v>
      </c>
      <c r="H11" s="44" t="n">
        <f aca="false">IFERROR(G11/F11-1,"")</f>
        <v>0.77288191279649</v>
      </c>
      <c r="I11" s="45" t="n">
        <f aca="false">IFERROR(COUNTIFS(Pedidos!$AH$2:$AH$2224,"SIM",Pedidos!$F$2:$F$2224,$A11,Pedidos!$AE$2:$AE$2224,"SIM")/B11,"")</f>
        <v>0</v>
      </c>
      <c r="J11" s="45" t="n">
        <f aca="false">IFERROR(MAX(0,1-C11/D11),"")</f>
        <v>0.295936000036738</v>
      </c>
    </row>
    <row r="12" customFormat="false" ht="15" hidden="false" customHeight="false" outlineLevel="0" collapsed="false">
      <c r="A12" s="10" t="s">
        <v>239</v>
      </c>
      <c r="B12" s="11" t="n">
        <f aca="false">COUNTIFS(Pedidos!$AH$2:$AH$2224,"SIM",Pedidos!$F$2:$F$2224,$A12)</f>
        <v>43</v>
      </c>
      <c r="C12" s="13" t="n">
        <f aca="false">IFERROR(AVERAGEIFS(Pedidos!$S$2:$S$2224,Pedidos!$AH$2:$AH$2224,"SIM",Pedidos!$F$2:$F$2224,$A12),"")</f>
        <v>172.649376109937</v>
      </c>
      <c r="D12" s="13" t="n">
        <f aca="false">IFERROR(AVERAGEIFS(Pedidos!$AB$2:$AB$2224,Pedidos!$AH$2:$AH$2224,"SIM",Pedidos!$F$2:$F$2224,$A12),"")</f>
        <v>262.075588794926</v>
      </c>
      <c r="E12" s="44" t="n">
        <f aca="false">IFERROR(D12/C12-1,"")</f>
        <v>0.517964296772473</v>
      </c>
      <c r="F12" s="13" t="n">
        <f aca="false">IFERROR(AVERAGEIFS(Pedidos!$I$2:$I$2224,Pedidos!$AH$2:$AH$2224,"SIM",Pedidos!$F$2:$F$2224,$A12),"")</f>
        <v>93.7841860465116</v>
      </c>
      <c r="G12" s="13" t="n">
        <f aca="false">IFERROR(AVERAGEIFS(Pedidos!$T$2:$T$2224,Pedidos!$AH$2:$AH$2224,"SIM",Pedidos!$F$2:$F$2224,$A12),"")</f>
        <v>177.466511627907</v>
      </c>
      <c r="H12" s="44" t="n">
        <f aca="false">IFERROR(G12/F12-1,"")</f>
        <v>0.892286099704418</v>
      </c>
      <c r="I12" s="45" t="n">
        <f aca="false">IFERROR(COUNTIFS(Pedidos!$AH$2:$AH$2224,"SIM",Pedidos!$F$2:$F$2224,$A12,Pedidos!$AE$2:$AE$2224,"SIM")/B12,"")</f>
        <v>0</v>
      </c>
      <c r="J12" s="45" t="n">
        <f aca="false">IFERROR(MAX(0,1-C12/D12),"")</f>
        <v>0.34122297729517</v>
      </c>
    </row>
    <row r="13" customFormat="false" ht="15" hidden="false" customHeight="false" outlineLevel="0" collapsed="false">
      <c r="A13" s="10" t="s">
        <v>240</v>
      </c>
      <c r="B13" s="11" t="n">
        <f aca="false">COUNTIFS(Pedidos!$AH$2:$AH$2224,"SIM",Pedidos!$F$2:$F$2224,$A13)</f>
        <v>47</v>
      </c>
      <c r="C13" s="13" t="n">
        <f aca="false">IFERROR(AVERAGEIFS(Pedidos!$S$2:$S$2224,Pedidos!$AH$2:$AH$2224,"SIM",Pedidos!$F$2:$F$2224,$A13),"")</f>
        <v>194.292983413927</v>
      </c>
      <c r="D13" s="13" t="n">
        <f aca="false">IFERROR(AVERAGEIFS(Pedidos!$AB$2:$AB$2224,Pedidos!$AH$2:$AH$2224,"SIM",Pedidos!$F$2:$F$2224,$A13),"")</f>
        <v>316.242328578337</v>
      </c>
      <c r="E13" s="44" t="n">
        <f aca="false">IFERROR(D13/C13-1,"")</f>
        <v>0.627656969498514</v>
      </c>
      <c r="F13" s="13" t="n">
        <f aca="false">IFERROR(AVERAGEIFS(Pedidos!$I$2:$I$2224,Pedidos!$AH$2:$AH$2224,"SIM",Pedidos!$F$2:$F$2224,$A13),"")</f>
        <v>100.37914893617</v>
      </c>
      <c r="G13" s="13" t="n">
        <f aca="false">IFERROR(AVERAGEIFS(Pedidos!$T$2:$T$2224,Pedidos!$AH$2:$AH$2224,"SIM",Pedidos!$F$2:$F$2224,$A13),"")</f>
        <v>208.168936170213</v>
      </c>
      <c r="H13" s="44" t="n">
        <f aca="false">IFERROR(G13/F13-1,"")</f>
        <v>1.07382647070045</v>
      </c>
      <c r="I13" s="45" t="n">
        <f aca="false">IFERROR(COUNTIFS(Pedidos!$AH$2:$AH$2224,"SIM",Pedidos!$F$2:$F$2224,$A13,Pedidos!$AE$2:$AE$2224,"SIM")/B13,"")</f>
        <v>0</v>
      </c>
      <c r="J13" s="45" t="n">
        <f aca="false">IFERROR(MAX(0,1-C13/D13),"")</f>
        <v>0.385619931754967</v>
      </c>
    </row>
    <row r="14" customFormat="false" ht="15" hidden="false" customHeight="false" outlineLevel="0" collapsed="false">
      <c r="A14" s="10" t="s">
        <v>241</v>
      </c>
      <c r="B14" s="11" t="n">
        <f aca="false">COUNTIFS(Pedidos!$AH$2:$AH$2224,"SIM",Pedidos!$F$2:$F$2224,$A14)</f>
        <v>73</v>
      </c>
      <c r="C14" s="13" t="n">
        <f aca="false">IFERROR(AVERAGEIFS(Pedidos!$S$2:$S$2224,Pedidos!$AH$2:$AH$2224,"SIM",Pedidos!$F$2:$F$2224,$A14),"")</f>
        <v>237.12482749066</v>
      </c>
      <c r="D14" s="13" t="n">
        <f aca="false">IFERROR(AVERAGEIFS(Pedidos!$AB$2:$AB$2224,Pedidos!$AH$2:$AH$2224,"SIM",Pedidos!$F$2:$F$2224,$A14),"")</f>
        <v>369.59085258406</v>
      </c>
      <c r="E14" s="44" t="n">
        <f aca="false">IFERROR(D14/C14-1,"")</f>
        <v>0.558634144282582</v>
      </c>
      <c r="F14" s="13" t="n">
        <f aca="false">IFERROR(AVERAGEIFS(Pedidos!$I$2:$I$2224,Pedidos!$AH$2:$AH$2224,"SIM",Pedidos!$F$2:$F$2224,$A14),"")</f>
        <v>128.000136986301</v>
      </c>
      <c r="G14" s="13" t="n">
        <f aca="false">IFERROR(AVERAGEIFS(Pedidos!$T$2:$T$2224,Pedidos!$AH$2:$AH$2224,"SIM",Pedidos!$F$2:$F$2224,$A14),"")</f>
        <v>244.445753424658</v>
      </c>
      <c r="H14" s="44" t="n">
        <f aca="false">IFERROR(G14/F14-1,"")</f>
        <v>0.909730404826193</v>
      </c>
      <c r="I14" s="45" t="n">
        <f aca="false">IFERROR(COUNTIFS(Pedidos!$AH$2:$AH$2224,"SIM",Pedidos!$F$2:$F$2224,$A14,Pedidos!$AE$2:$AE$2224,"SIM")/B14,"")</f>
        <v>0</v>
      </c>
      <c r="J14" s="45" t="n">
        <f aca="false">IFERROR(MAX(0,1-C14/D14),"")</f>
        <v>0.358412618080886</v>
      </c>
    </row>
    <row r="15" customFormat="false" ht="15" hidden="false" customHeight="false" outlineLevel="0" collapsed="false">
      <c r="A15" s="10" t="s">
        <v>242</v>
      </c>
      <c r="B15" s="11" t="n">
        <f aca="false">COUNTIFS(Pedidos!$AH$2:$AH$2224,"SIM",Pedidos!$F$2:$F$2224,$A15)</f>
        <v>3</v>
      </c>
      <c r="C15" s="13" t="n">
        <f aca="false">IFERROR(AVERAGEIFS(Pedidos!$S$2:$S$2224,Pedidos!$AH$2:$AH$2224,"SIM",Pedidos!$F$2:$F$2224,$A15),"")</f>
        <v>260.90363030303</v>
      </c>
      <c r="D15" s="13" t="n">
        <f aca="false">IFERROR(AVERAGEIFS(Pedidos!$AB$2:$AB$2224,Pedidos!$AH$2:$AH$2224,"SIM",Pedidos!$F$2:$F$2224,$A15),"")</f>
        <v>423.50096969697</v>
      </c>
      <c r="E15" s="44" t="n">
        <f aca="false">IFERROR(D15/C15-1,"")</f>
        <v>0.623208420691917</v>
      </c>
      <c r="F15" s="13" t="n">
        <f aca="false">IFERROR(AVERAGEIFS(Pedidos!$I$2:$I$2224,Pedidos!$AH$2:$AH$2224,"SIM",Pedidos!$F$2:$F$2224,$A15),"")</f>
        <v>133.476666666667</v>
      </c>
      <c r="G15" s="13" t="n">
        <f aca="false">IFERROR(AVERAGEIFS(Pedidos!$T$2:$T$2224,Pedidos!$AH$2:$AH$2224,"SIM",Pedidos!$F$2:$F$2224,$A15),"")</f>
        <v>274.843333333333</v>
      </c>
      <c r="H15" s="44" t="n">
        <f aca="false">IFERROR(G15/F15-1,"")</f>
        <v>1.05911145518568</v>
      </c>
      <c r="I15" s="45" t="n">
        <f aca="false">IFERROR(COUNTIFS(Pedidos!$AH$2:$AH$2224,"SIM",Pedidos!$F$2:$F$2224,$A15,Pedidos!$AE$2:$AE$2224,"SIM")/B15,"")</f>
        <v>0</v>
      </c>
      <c r="J15" s="45" t="n">
        <f aca="false">IFERROR(MAX(0,1-C15/D15),"")</f>
        <v>0.383936167868243</v>
      </c>
    </row>
    <row r="16" customFormat="false" ht="15" hidden="false" customHeight="false" outlineLevel="0" collapsed="false">
      <c r="A16" s="10" t="s">
        <v>243</v>
      </c>
      <c r="B16" s="11" t="n">
        <f aca="false">COUNTIFS(Pedidos!$AH$2:$AH$2224,"SIM",Pedidos!$F$2:$F$2224,$A16)</f>
        <v>1</v>
      </c>
      <c r="C16" s="13" t="n">
        <f aca="false">IFERROR(AVERAGEIFS(Pedidos!$S$2:$S$2224,Pedidos!$AH$2:$AH$2224,"SIM",Pedidos!$F$2:$F$2224,$A16),"")</f>
        <v>199.732727272727</v>
      </c>
      <c r="D16" s="13" t="n">
        <f aca="false">IFERROR(AVERAGEIFS(Pedidos!$AB$2:$AB$2224,Pedidos!$AH$2:$AH$2224,"SIM",Pedidos!$F$2:$F$2224,$A16),"")</f>
        <v>529.025</v>
      </c>
      <c r="E16" s="44" t="n">
        <f aca="false">IFERROR(D16/C16-1,"")</f>
        <v>1.64866457902834</v>
      </c>
      <c r="F16" s="13" t="n">
        <f aca="false">IFERROR(AVERAGEIFS(Pedidos!$I$2:$I$2224,Pedidos!$AH$2:$AH$2224,"SIM",Pedidos!$F$2:$F$2224,$A16),"")</f>
        <v>66.69</v>
      </c>
      <c r="G16" s="13" t="n">
        <f aca="false">IFERROR(AVERAGEIFS(Pedidos!$T$2:$T$2224,Pedidos!$AH$2:$AH$2224,"SIM",Pedidos!$F$2:$F$2224,$A16),"")</f>
        <v>353.17</v>
      </c>
      <c r="H16" s="44" t="n">
        <f aca="false">IFERROR(G16/F16-1,"")</f>
        <v>4.29569650622282</v>
      </c>
      <c r="I16" s="45" t="n">
        <f aca="false">IFERROR(COUNTIFS(Pedidos!$AH$2:$AH$2224,"SIM",Pedidos!$F$2:$F$2224,$A16,Pedidos!$AE$2:$AE$2224,"SIM")/B16,"")</f>
        <v>0</v>
      </c>
      <c r="J16" s="45" t="n">
        <f aca="false">IFERROR(MAX(0,1-C16/D16),"")</f>
        <v>0.622451250370536</v>
      </c>
    </row>
    <row r="17" customFormat="false" ht="15" hidden="false" customHeight="false" outlineLevel="0" collapsed="false">
      <c r="A17" s="10" t="s">
        <v>244</v>
      </c>
      <c r="B17" s="11" t="n">
        <f aca="false">COUNTIFS(Pedidos!$AH$2:$AH$2224,"SIM",Pedidos!$F$2:$F$2224,$A17)</f>
        <v>1</v>
      </c>
      <c r="C17" s="13" t="n">
        <f aca="false">IFERROR(AVERAGEIFS(Pedidos!$S$2:$S$2224,Pedidos!$AH$2:$AH$2224,"SIM",Pedidos!$F$2:$F$2224,$A17),"")</f>
        <v>338.214713636364</v>
      </c>
      <c r="D17" s="13" t="n">
        <f aca="false">IFERROR(AVERAGEIFS(Pedidos!$AB$2:$AB$2224,Pedidos!$AH$2:$AH$2224,"SIM",Pedidos!$F$2:$F$2224,$A17),"")</f>
        <v>593.327068181818</v>
      </c>
      <c r="E17" s="44" t="n">
        <f aca="false">IFERROR(D17/C17-1,"")</f>
        <v>0.754291118214751</v>
      </c>
      <c r="F17" s="13" t="n">
        <f aca="false">IFERROR(AVERAGEIFS(Pedidos!$I$2:$I$2224,Pedidos!$AH$2:$AH$2224,"SIM",Pedidos!$F$2:$F$2224,$A17),"")</f>
        <v>181.55</v>
      </c>
      <c r="G17" s="13" t="n">
        <f aca="false">IFERROR(AVERAGEIFS(Pedidos!$T$2:$T$2224,Pedidos!$AH$2:$AH$2224,"SIM",Pedidos!$F$2:$F$2224,$A17),"")</f>
        <v>398.74</v>
      </c>
      <c r="H17" s="44" t="n">
        <f aca="false">IFERROR(G17/F17-1,"")</f>
        <v>1.19630955659598</v>
      </c>
      <c r="I17" s="45" t="n">
        <f aca="false">IFERROR(COUNTIFS(Pedidos!$AH$2:$AH$2224,"SIM",Pedidos!$F$2:$F$2224,$A17,Pedidos!$AE$2:$AE$2224,"SIM")/B17,"")</f>
        <v>0</v>
      </c>
      <c r="J17" s="45" t="n">
        <f aca="false">IFERROR(MAX(0,1-C17/D17),"")</f>
        <v>0.429969182641906</v>
      </c>
    </row>
    <row r="18" customFormat="false" ht="15" hidden="false" customHeight="false" outlineLevel="0" collapsed="false">
      <c r="A18" s="16" t="s">
        <v>25</v>
      </c>
      <c r="B18" s="17" t="n">
        <f aca="false">COUNTIFS(Pedidos!$AH$2:$AH$2224,"SIM")</f>
        <v>1912</v>
      </c>
      <c r="C18" s="19" t="n">
        <f aca="false">IFERROR(AVERAGEIFS(Pedidos!$S$2:$S$2224,Pedidos!$AH$2:$AH$2224,"SIM"),"")</f>
        <v>118.219979475323</v>
      </c>
      <c r="D18" s="19" t="n">
        <f aca="false">IFERROR(AVERAGEIFS(Pedidos!$AB$2:$AB$2224,Pedidos!$AH$2:$AH$2224,"SIM"),"")</f>
        <v>169.566325236544</v>
      </c>
      <c r="E18" s="48" t="n">
        <f aca="false">IFERROR(D18/C18-1,"")</f>
        <v>0.434328833324986</v>
      </c>
      <c r="F18" s="19" t="n">
        <f aca="false">IFERROR(AVERAGEIFS(Pedidos!$I$2:$I$2224,Pedidos!$AH$2:$AH$2224,"SIM"),"")</f>
        <v>64.2570135983264</v>
      </c>
      <c r="G18" s="19" t="n">
        <f aca="false">IFERROR(AVERAGEIFS(Pedidos!$T$2:$T$2224,Pedidos!$AH$2:$AH$2224,"SIM"),"")</f>
        <v>116.086234309623</v>
      </c>
      <c r="H18" s="48" t="n">
        <f aca="false">IFERROR(G18/F18-1,"")</f>
        <v>0.806592429509469</v>
      </c>
      <c r="I18" s="53" t="n">
        <f aca="false">IFERROR(COUNTIFS(Pedidos!$AH$2:$AH$2224,"SIM",Pedidos!$AE$2:$AE$2224,"SIM")/B18,"")</f>
        <v>0.00732217573221757</v>
      </c>
      <c r="J18" s="53" t="n">
        <f aca="false">IFERROR(MAX(0,1-C18/D18),"")</f>
        <v>0.302809804302789</v>
      </c>
    </row>
    <row r="20" customFormat="false" ht="15" hidden="false" customHeight="false" outlineLevel="0" collapsed="false">
      <c r="A20" s="37" t="s">
        <v>349</v>
      </c>
    </row>
    <row r="21" customFormat="false" ht="45" hidden="false" customHeight="true" outlineLevel="0" collapsed="false">
      <c r="A21" s="9" t="s">
        <v>345</v>
      </c>
      <c r="B21" s="9" t="s">
        <v>12</v>
      </c>
      <c r="C21" s="9" t="s">
        <v>207</v>
      </c>
      <c r="D21" s="9" t="s">
        <v>208</v>
      </c>
      <c r="E21" s="9" t="s">
        <v>16</v>
      </c>
      <c r="F21" s="9" t="s">
        <v>346</v>
      </c>
      <c r="G21" s="9" t="s">
        <v>347</v>
      </c>
      <c r="H21" s="9" t="s">
        <v>17</v>
      </c>
      <c r="I21" s="9" t="s">
        <v>211</v>
      </c>
      <c r="J21" s="9" t="s">
        <v>348</v>
      </c>
    </row>
    <row r="22" customFormat="false" ht="15" hidden="false" customHeight="false" outlineLevel="0" collapsed="false">
      <c r="A22" s="10" t="s">
        <v>232</v>
      </c>
      <c r="B22" s="11" t="n">
        <f aca="false">COUNTIFS(Pedidos!$AH$2:$AH$2224,"SIM",Pedidos!$E$2:$E$2224,"Capital",Pedidos!$F$2:$F$2224,$A22)</f>
        <v>64</v>
      </c>
      <c r="C22" s="13" t="n">
        <f aca="false">IFERROR(AVERAGEIFS(Pedidos!$S$2:$S$2224,Pedidos!$AH$2:$AH$2224,"SIM",Pedidos!$E$2:$E$2224,"Capital",Pedidos!$F$2:$F$2224,$A22),"")</f>
        <v>65.055134375</v>
      </c>
      <c r="D22" s="13" t="n">
        <f aca="false">IFERROR(AVERAGEIFS(Pedidos!$AB$2:$AB$2224,Pedidos!$AH$2:$AH$2224,"SIM",Pedidos!$E$2:$E$2224,"Capital",Pedidos!$F$2:$F$2224,$A22),"")</f>
        <v>70.9239190340909</v>
      </c>
      <c r="E22" s="44" t="n">
        <f aca="false">IFERROR(D22/C22-1,"")</f>
        <v>0.0902124746259259</v>
      </c>
      <c r="F22" s="13" t="n">
        <f aca="false">IFERROR(AVERAGEIFS(Pedidos!$I$2:$I$2224,Pedidos!$AH$2:$AH$2224,"SIM",Pedidos!$E$2:$E$2224,"Capital",Pedidos!$F$2:$F$2224,$A22),"")</f>
        <v>33.42</v>
      </c>
      <c r="G22" s="13" t="n">
        <f aca="false">IFERROR(AVERAGEIFS(Pedidos!$T$2:$T$2224,Pedidos!$AH$2:$AH$2224,"SIM",Pedidos!$E$2:$E$2224,"Capital",Pedidos!$F$2:$F$2224,$A22),"")</f>
        <v>46.98</v>
      </c>
      <c r="H22" s="44" t="n">
        <f aca="false">IFERROR(G22/F22-1,"")</f>
        <v>0.405745062836625</v>
      </c>
      <c r="I22" s="45" t="n">
        <f aca="false">IFERROR(COUNTIFS(Pedidos!$AH$2:$AH$2224,"SIM",Pedidos!$E$2:$E$2224,"Capital",Pedidos!$F$2:$F$2224,$A22,Pedidos!$AE$2:$AE$2224,"SIM")/B22,"")</f>
        <v>0</v>
      </c>
      <c r="J22" s="45" t="n">
        <f aca="false">IFERROR(MAX(0,1-C22/D22),"")</f>
        <v>0.0827476081273787</v>
      </c>
    </row>
    <row r="23" customFormat="false" ht="15" hidden="false" customHeight="false" outlineLevel="0" collapsed="false">
      <c r="A23" s="10" t="s">
        <v>233</v>
      </c>
      <c r="B23" s="11" t="n">
        <f aca="false">COUNTIFS(Pedidos!$AH$2:$AH$2224,"SIM",Pedidos!$E$2:$E$2224,"Capital",Pedidos!$F$2:$F$2224,$A23)</f>
        <v>263</v>
      </c>
      <c r="C23" s="13" t="n">
        <f aca="false">IFERROR(AVERAGEIFS(Pedidos!$S$2:$S$2224,Pedidos!$AH$2:$AH$2224,"SIM",Pedidos!$E$2:$E$2224,"Capital",Pedidos!$F$2:$F$2224,$A23),"")</f>
        <v>80.8465285689596</v>
      </c>
      <c r="D23" s="13" t="n">
        <f aca="false">IFERROR(AVERAGEIFS(Pedidos!$AB$2:$AB$2224,Pedidos!$AH$2:$AH$2224,"SIM",Pedidos!$E$2:$E$2224,"Capital",Pedidos!$F$2:$F$2224,$A23),"")</f>
        <v>117.403426287591</v>
      </c>
      <c r="E23" s="44" t="n">
        <f aca="false">IFERROR(D23/C23-1,"")</f>
        <v>0.452176467755808</v>
      </c>
      <c r="F23" s="13" t="n">
        <f aca="false">IFERROR(AVERAGEIFS(Pedidos!$I$2:$I$2224,Pedidos!$AH$2:$AH$2224,"SIM",Pedidos!$E$2:$E$2224,"Capital",Pedidos!$F$2:$F$2224,$A23),"")</f>
        <v>42.11</v>
      </c>
      <c r="G23" s="13" t="n">
        <f aca="false">IFERROR(AVERAGEIFS(Pedidos!$T$2:$T$2224,Pedidos!$AH$2:$AH$2224,"SIM",Pedidos!$E$2:$E$2224,"Capital",Pedidos!$F$2:$F$2224,$A23),"")</f>
        <v>82.21</v>
      </c>
      <c r="H23" s="44" t="n">
        <f aca="false">IFERROR(G23/F23-1,"")</f>
        <v>0.95226786986464</v>
      </c>
      <c r="I23" s="45" t="n">
        <f aca="false">IFERROR(COUNTIFS(Pedidos!$AH$2:$AH$2224,"SIM",Pedidos!$E$2:$E$2224,"Capital",Pedidos!$F$2:$F$2224,$A23,Pedidos!$AE$2:$AE$2224,"SIM")/B23,"")</f>
        <v>0</v>
      </c>
      <c r="J23" s="45" t="n">
        <f aca="false">IFERROR(MAX(0,1-C23/D23),"")</f>
        <v>0.311378456954754</v>
      </c>
    </row>
    <row r="24" customFormat="false" ht="15" hidden="false" customHeight="false" outlineLevel="0" collapsed="false">
      <c r="A24" s="10" t="s">
        <v>234</v>
      </c>
      <c r="B24" s="11" t="n">
        <f aca="false">COUNTIFS(Pedidos!$AH$2:$AH$2224,"SIM",Pedidos!$E$2:$E$2224,"Capital",Pedidos!$F$2:$F$2224,$A24)</f>
        <v>163</v>
      </c>
      <c r="C24" s="13" t="n">
        <f aca="false">IFERROR(AVERAGEIFS(Pedidos!$S$2:$S$2224,Pedidos!$AH$2:$AH$2224,"SIM",Pedidos!$E$2:$E$2224,"Capital",Pedidos!$F$2:$F$2224,$A24),"")</f>
        <v>93.1497815114334</v>
      </c>
      <c r="D24" s="13" t="n">
        <f aca="false">IFERROR(AVERAGEIFS(Pedidos!$AB$2:$AB$2224,Pedidos!$AH$2:$AH$2224,"SIM",Pedidos!$E$2:$E$2224,"Capital",Pedidos!$F$2:$F$2224,$A24),"")</f>
        <v>136.608839235917</v>
      </c>
      <c r="E24" s="44" t="n">
        <f aca="false">IFERROR(D24/C24-1,"")</f>
        <v>0.466550291576904</v>
      </c>
      <c r="F24" s="13" t="n">
        <f aca="false">IFERROR(AVERAGEIFS(Pedidos!$I$2:$I$2224,Pedidos!$AH$2:$AH$2224,"SIM",Pedidos!$E$2:$E$2224,"Capital",Pedidos!$F$2:$F$2224,$A24),"")</f>
        <v>48.35</v>
      </c>
      <c r="G24" s="13" t="n">
        <f aca="false">IFERROR(AVERAGEIFS(Pedidos!$T$2:$T$2224,Pedidos!$AH$2:$AH$2224,"SIM",Pedidos!$E$2:$E$2224,"Capital",Pedidos!$F$2:$F$2224,$A24),"")</f>
        <v>93.97</v>
      </c>
      <c r="H24" s="44" t="n">
        <f aca="false">IFERROR(G24/F24-1,"")</f>
        <v>0.9435367114788</v>
      </c>
      <c r="I24" s="45" t="n">
        <f aca="false">IFERROR(COUNTIFS(Pedidos!$AH$2:$AH$2224,"SIM",Pedidos!$E$2:$E$2224,"Capital",Pedidos!$F$2:$F$2224,$A24,Pedidos!$AE$2:$AE$2224,"SIM")/B24,"")</f>
        <v>0</v>
      </c>
      <c r="J24" s="45" t="n">
        <f aca="false">IFERROR(MAX(0,1-C24/D24),"")</f>
        <v>0.318127713898749</v>
      </c>
    </row>
    <row r="25" customFormat="false" ht="15" hidden="false" customHeight="false" outlineLevel="0" collapsed="false">
      <c r="A25" s="10" t="s">
        <v>235</v>
      </c>
      <c r="B25" s="11" t="n">
        <f aca="false">COUNTIFS(Pedidos!$AH$2:$AH$2224,"SIM",Pedidos!$E$2:$E$2224,"Capital",Pedidos!$F$2:$F$2224,$A25)</f>
        <v>154</v>
      </c>
      <c r="C25" s="13" t="n">
        <f aca="false">IFERROR(AVERAGEIFS(Pedidos!$S$2:$S$2224,Pedidos!$AH$2:$AH$2224,"SIM",Pedidos!$E$2:$E$2224,"Capital",Pedidos!$F$2:$F$2224,$A25),"")</f>
        <v>103.86877027745</v>
      </c>
      <c r="D25" s="13" t="n">
        <f aca="false">IFERROR(AVERAGEIFS(Pedidos!$AB$2:$AB$2224,Pedidos!$AH$2:$AH$2224,"SIM",Pedidos!$E$2:$E$2224,"Capital",Pedidos!$F$2:$F$2224,$A25),"")</f>
        <v>141.783351682409</v>
      </c>
      <c r="E25" s="44" t="n">
        <f aca="false">IFERROR(D25/C25-1,"")</f>
        <v>0.365023878723921</v>
      </c>
      <c r="F25" s="13" t="n">
        <f aca="false">IFERROR(AVERAGEIFS(Pedidos!$I$2:$I$2224,Pedidos!$AH$2:$AH$2224,"SIM",Pedidos!$E$2:$E$2224,"Capital",Pedidos!$F$2:$F$2224,$A25),"")</f>
        <v>53.55</v>
      </c>
      <c r="G25" s="13" t="n">
        <f aca="false">IFERROR(AVERAGEIFS(Pedidos!$T$2:$T$2224,Pedidos!$AH$2:$AH$2224,"SIM",Pedidos!$E$2:$E$2224,"Capital",Pedidos!$F$2:$F$2224,$A25),"")</f>
        <v>93.97</v>
      </c>
      <c r="H25" s="44" t="n">
        <f aca="false">IFERROR(G25/F25-1,"")</f>
        <v>0.754808590102708</v>
      </c>
      <c r="I25" s="45" t="n">
        <f aca="false">IFERROR(COUNTIFS(Pedidos!$AH$2:$AH$2224,"SIM",Pedidos!$E$2:$E$2224,"Capital",Pedidos!$F$2:$F$2224,$A25,Pedidos!$AE$2:$AE$2224,"SIM")/B25,"")</f>
        <v>0</v>
      </c>
      <c r="J25" s="45" t="n">
        <f aca="false">IFERROR(MAX(0,1-C25/D25),"")</f>
        <v>0.267412082977743</v>
      </c>
    </row>
    <row r="26" customFormat="false" ht="15" hidden="false" customHeight="false" outlineLevel="0" collapsed="false">
      <c r="A26" s="10" t="s">
        <v>236</v>
      </c>
      <c r="B26" s="11" t="n">
        <f aca="false">COUNTIFS(Pedidos!$AH$2:$AH$2224,"SIM",Pedidos!$E$2:$E$2224,"Capital",Pedidos!$F$2:$F$2224,$A26)</f>
        <v>181</v>
      </c>
      <c r="C26" s="13" t="n">
        <f aca="false">IFERROR(AVERAGEIFS(Pedidos!$S$2:$S$2224,Pedidos!$AH$2:$AH$2224,"SIM",Pedidos!$E$2:$E$2224,"Capital",Pedidos!$F$2:$F$2224,$A26),"")</f>
        <v>114.108765218483</v>
      </c>
      <c r="D26" s="13" t="n">
        <f aca="false">IFERROR(AVERAGEIFS(Pedidos!$AB$2:$AB$2224,Pedidos!$AH$2:$AH$2224,"SIM",Pedidos!$E$2:$E$2224,"Capital",Pedidos!$F$2:$F$2224,$A26),"")</f>
        <v>167.535212581617</v>
      </c>
      <c r="E26" s="44" t="n">
        <f aca="false">IFERROR(D26/C26-1,"")</f>
        <v>0.468206340335371</v>
      </c>
      <c r="F26" s="13" t="n">
        <f aca="false">IFERROR(AVERAGEIFS(Pedidos!$I$2:$I$2224,Pedidos!$AH$2:$AH$2224,"SIM",Pedidos!$E$2:$E$2224,"Capital",Pedidos!$F$2:$F$2224,$A26),"")</f>
        <v>58.6</v>
      </c>
      <c r="G26" s="13" t="n">
        <f aca="false">IFERROR(AVERAGEIFS(Pedidos!$T$2:$T$2224,Pedidos!$AH$2:$AH$2224,"SIM",Pedidos!$E$2:$E$2224,"Capital",Pedidos!$F$2:$F$2224,$A26),"")</f>
        <v>112.3</v>
      </c>
      <c r="H26" s="44" t="n">
        <f aca="false">IFERROR(G26/F26-1,"")</f>
        <v>0.916382252559727</v>
      </c>
      <c r="I26" s="45" t="n">
        <f aca="false">IFERROR(COUNTIFS(Pedidos!$AH$2:$AH$2224,"SIM",Pedidos!$E$2:$E$2224,"Capital",Pedidos!$F$2:$F$2224,$A26,Pedidos!$AE$2:$AE$2224,"SIM")/B26,"")</f>
        <v>0</v>
      </c>
      <c r="J26" s="45" t="n">
        <f aca="false">IFERROR(MAX(0,1-C26/D26),"")</f>
        <v>0.318896824971088</v>
      </c>
    </row>
    <row r="27" customFormat="false" ht="15" hidden="false" customHeight="false" outlineLevel="0" collapsed="false">
      <c r="A27" s="10" t="s">
        <v>237</v>
      </c>
      <c r="B27" s="11" t="n">
        <f aca="false">COUNTIFS(Pedidos!$AH$2:$AH$2224,"SIM",Pedidos!$E$2:$E$2224,"Capital",Pedidos!$F$2:$F$2224,$A27)</f>
        <v>112</v>
      </c>
      <c r="C27" s="13" t="n">
        <f aca="false">IFERROR(AVERAGEIFS(Pedidos!$S$2:$S$2224,Pedidos!$AH$2:$AH$2224,"SIM",Pedidos!$E$2:$E$2224,"Capital",Pedidos!$F$2:$F$2224,$A27),"")</f>
        <v>126.057911038961</v>
      </c>
      <c r="D27" s="13" t="n">
        <f aca="false">IFERROR(AVERAGEIFS(Pedidos!$AB$2:$AB$2224,Pedidos!$AH$2:$AH$2224,"SIM",Pedidos!$E$2:$E$2224,"Capital",Pedidos!$F$2:$F$2224,$A27),"")</f>
        <v>196.260694805195</v>
      </c>
      <c r="E27" s="44" t="n">
        <f aca="false">IFERROR(D27/C27-1,"")</f>
        <v>0.556908988794333</v>
      </c>
      <c r="F27" s="13" t="n">
        <f aca="false">IFERROR(AVERAGEIFS(Pedidos!$I$2:$I$2224,Pedidos!$AH$2:$AH$2224,"SIM",Pedidos!$E$2:$E$2224,"Capital",Pedidos!$F$2:$F$2224,$A27),"")</f>
        <v>63.21</v>
      </c>
      <c r="G27" s="13" t="n">
        <f aca="false">IFERROR(AVERAGEIFS(Pedidos!$T$2:$T$2224,Pedidos!$AH$2:$AH$2224,"SIM",Pedidos!$E$2:$E$2224,"Capital",Pedidos!$F$2:$F$2224,$A27),"")</f>
        <v>131.02</v>
      </c>
      <c r="H27" s="44" t="n">
        <f aca="false">IFERROR(G27/F27-1,"")</f>
        <v>1.07277329536466</v>
      </c>
      <c r="I27" s="45" t="n">
        <f aca="false">IFERROR(COUNTIFS(Pedidos!$AH$2:$AH$2224,"SIM",Pedidos!$E$2:$E$2224,"Capital",Pedidos!$F$2:$F$2224,$A27,Pedidos!$AE$2:$AE$2224,"SIM")/B27,"")</f>
        <v>0</v>
      </c>
      <c r="J27" s="45" t="n">
        <f aca="false">IFERROR(MAX(0,1-C27/D27),"")</f>
        <v>0.357701697917232</v>
      </c>
    </row>
    <row r="28" customFormat="false" ht="15" hidden="false" customHeight="false" outlineLevel="0" collapsed="false">
      <c r="A28" s="10" t="s">
        <v>238</v>
      </c>
      <c r="B28" s="11" t="n">
        <f aca="false">COUNTIFS(Pedidos!$AH$2:$AH$2224,"SIM",Pedidos!$E$2:$E$2224,"Capital",Pedidos!$F$2:$F$2224,$A28)</f>
        <v>11</v>
      </c>
      <c r="C28" s="13" t="n">
        <f aca="false">IFERROR(AVERAGEIFS(Pedidos!$S$2:$S$2224,Pedidos!$AH$2:$AH$2224,"SIM",Pedidos!$E$2:$E$2224,"Capital",Pedidos!$F$2:$F$2224,$A28),"")</f>
        <v>139.18836053719</v>
      </c>
      <c r="D28" s="13" t="n">
        <f aca="false">IFERROR(AVERAGEIFS(Pedidos!$AB$2:$AB$2224,Pedidos!$AH$2:$AH$2224,"SIM",Pedidos!$E$2:$E$2224,"Capital",Pedidos!$F$2:$F$2224,$A28),"")</f>
        <v>207.029023760331</v>
      </c>
      <c r="E28" s="44" t="n">
        <f aca="false">IFERROR(D28/C28-1,"")</f>
        <v>0.487401841370306</v>
      </c>
      <c r="F28" s="13" t="n">
        <f aca="false">IFERROR(AVERAGEIFS(Pedidos!$I$2:$I$2224,Pedidos!$AH$2:$AH$2224,"SIM",Pedidos!$E$2:$E$2224,"Capital",Pedidos!$F$2:$F$2224,$A28),"")</f>
        <v>68.88</v>
      </c>
      <c r="G28" s="13" t="n">
        <f aca="false">IFERROR(AVERAGEIFS(Pedidos!$T$2:$T$2224,Pedidos!$AH$2:$AH$2224,"SIM",Pedidos!$E$2:$E$2224,"Capital",Pedidos!$F$2:$F$2224,$A28),"")</f>
        <v>134.39</v>
      </c>
      <c r="H28" s="44" t="n">
        <f aca="false">IFERROR(G28/F28-1,"")</f>
        <v>0.951074332171893</v>
      </c>
      <c r="I28" s="45" t="n">
        <f aca="false">IFERROR(COUNTIFS(Pedidos!$AH$2:$AH$2224,"SIM",Pedidos!$E$2:$E$2224,"Capital",Pedidos!$F$2:$F$2224,$A28,Pedidos!$AE$2:$AE$2224,"SIM")/B28,"")</f>
        <v>0</v>
      </c>
      <c r="J28" s="45" t="n">
        <f aca="false">IFERROR(MAX(0,1-C28/D28),"")</f>
        <v>0.327686727159942</v>
      </c>
    </row>
    <row r="29" customFormat="false" ht="15" hidden="false" customHeight="false" outlineLevel="0" collapsed="false">
      <c r="A29" s="10" t="s">
        <v>239</v>
      </c>
      <c r="B29" s="11" t="n">
        <f aca="false">COUNTIFS(Pedidos!$AH$2:$AH$2224,"SIM",Pedidos!$E$2:$E$2224,"Capital",Pedidos!$F$2:$F$2224,$A29)</f>
        <v>19</v>
      </c>
      <c r="C29" s="13" t="n">
        <f aca="false">IFERROR(AVERAGEIFS(Pedidos!$S$2:$S$2224,Pedidos!$AH$2:$AH$2224,"SIM",Pedidos!$E$2:$E$2224,"Capital",Pedidos!$F$2:$F$2224,$A29),"")</f>
        <v>161.831090789474</v>
      </c>
      <c r="D29" s="13" t="n">
        <f aca="false">IFERROR(AVERAGEIFS(Pedidos!$AB$2:$AB$2224,Pedidos!$AH$2:$AH$2224,"SIM",Pedidos!$E$2:$E$2224,"Capital",Pedidos!$F$2:$F$2224,$A29),"")</f>
        <v>251.894388157895</v>
      </c>
      <c r="E29" s="44" t="n">
        <f aca="false">IFERROR(D29/C29-1,"")</f>
        <v>0.556526542143774</v>
      </c>
      <c r="F29" s="13" t="n">
        <f aca="false">IFERROR(AVERAGEIFS(Pedidos!$I$2:$I$2224,Pedidos!$AH$2:$AH$2224,"SIM",Pedidos!$E$2:$E$2224,"Capital",Pedidos!$F$2:$F$2224,$A29),"")</f>
        <v>83.79</v>
      </c>
      <c r="G29" s="13" t="n">
        <f aca="false">IFERROR(AVERAGEIFS(Pedidos!$T$2:$T$2224,Pedidos!$AH$2:$AH$2224,"SIM",Pedidos!$E$2:$E$2224,"Capital",Pedidos!$F$2:$F$2224,$A29),"")</f>
        <v>167.99</v>
      </c>
      <c r="H29" s="44" t="n">
        <f aca="false">IFERROR(G29/F29-1,"")</f>
        <v>1.00489318534431</v>
      </c>
      <c r="I29" s="45" t="n">
        <f aca="false">IFERROR(COUNTIFS(Pedidos!$AH$2:$AH$2224,"SIM",Pedidos!$E$2:$E$2224,"Capital",Pedidos!$F$2:$F$2224,$A29,Pedidos!$AE$2:$AE$2224,"SIM")/B29,"")</f>
        <v>0</v>
      </c>
      <c r="J29" s="45" t="n">
        <f aca="false">IFERROR(MAX(0,1-C29/D29),"")</f>
        <v>0.357543881890559</v>
      </c>
    </row>
    <row r="30" customFormat="false" ht="15" hidden="false" customHeight="false" outlineLevel="0" collapsed="false">
      <c r="A30" s="10" t="s">
        <v>240</v>
      </c>
      <c r="B30" s="11" t="n">
        <f aca="false">COUNTIFS(Pedidos!$AH$2:$AH$2224,"SIM",Pedidos!$E$2:$E$2224,"Capital",Pedidos!$F$2:$F$2224,$A30)</f>
        <v>21</v>
      </c>
      <c r="C30" s="13" t="n">
        <f aca="false">IFERROR(AVERAGEIFS(Pedidos!$S$2:$S$2224,Pedidos!$AH$2:$AH$2224,"SIM",Pedidos!$E$2:$E$2224,"Capital",Pedidos!$F$2:$F$2224,$A30),"")</f>
        <v>185.508201948052</v>
      </c>
      <c r="D30" s="13" t="n">
        <f aca="false">IFERROR(AVERAGEIFS(Pedidos!$AB$2:$AB$2224,Pedidos!$AH$2:$AH$2224,"SIM",Pedidos!$E$2:$E$2224,"Capital",Pedidos!$F$2:$F$2224,$A30),"")</f>
        <v>309.111146103896</v>
      </c>
      <c r="E30" s="44" t="n">
        <f aca="false">IFERROR(D30/C30-1,"")</f>
        <v>0.666293688677209</v>
      </c>
      <c r="F30" s="13" t="n">
        <f aca="false">IFERROR(AVERAGEIFS(Pedidos!$I$2:$I$2224,Pedidos!$AH$2:$AH$2224,"SIM",Pedidos!$E$2:$E$2224,"Capital",Pedidos!$F$2:$F$2224,$A30),"")</f>
        <v>92.34</v>
      </c>
      <c r="G30" s="13" t="n">
        <f aca="false">IFERROR(AVERAGEIFS(Pedidos!$T$2:$T$2224,Pedidos!$AH$2:$AH$2224,"SIM",Pedidos!$E$2:$E$2224,"Capital",Pedidos!$F$2:$F$2224,$A30),"")</f>
        <v>201.59</v>
      </c>
      <c r="H30" s="44" t="n">
        <f aca="false">IFERROR(G30/F30-1,"")</f>
        <v>1.18312757201646</v>
      </c>
      <c r="I30" s="45" t="n">
        <f aca="false">IFERROR(COUNTIFS(Pedidos!$AH$2:$AH$2224,"SIM",Pedidos!$E$2:$E$2224,"Capital",Pedidos!$F$2:$F$2224,$A30,Pedidos!$AE$2:$AE$2224,"SIM")/B30,"")</f>
        <v>0</v>
      </c>
      <c r="J30" s="45" t="n">
        <f aca="false">IFERROR(MAX(0,1-C30/D30),"")</f>
        <v>0.399865697868752</v>
      </c>
    </row>
    <row r="31" customFormat="false" ht="15" hidden="false" customHeight="false" outlineLevel="0" collapsed="false">
      <c r="A31" s="10" t="s">
        <v>241</v>
      </c>
      <c r="B31" s="11" t="n">
        <f aca="false">COUNTIFS(Pedidos!$AH$2:$AH$2224,"SIM",Pedidos!$E$2:$E$2224,"Capital",Pedidos!$F$2:$F$2224,$A31)</f>
        <v>39</v>
      </c>
      <c r="C31" s="13" t="n">
        <f aca="false">IFERROR(AVERAGEIFS(Pedidos!$S$2:$S$2224,Pedidos!$AH$2:$AH$2224,"SIM",Pedidos!$E$2:$E$2224,"Capital",Pedidos!$F$2:$F$2224,$A31),"")</f>
        <v>228.484038986014</v>
      </c>
      <c r="D31" s="13" t="n">
        <f aca="false">IFERROR(AVERAGEIFS(Pedidos!$AB$2:$AB$2224,Pedidos!$AH$2:$AH$2224,"SIM",Pedidos!$E$2:$E$2224,"Capital",Pedidos!$F$2:$F$2224,$A31),"")</f>
        <v>363.472490384615</v>
      </c>
      <c r="E31" s="44" t="n">
        <f aca="false">IFERROR(D31/C31-1,"")</f>
        <v>0.590800355235599</v>
      </c>
      <c r="F31" s="13" t="n">
        <f aca="false">IFERROR(AVERAGEIFS(Pedidos!$I$2:$I$2224,Pedidos!$AH$2:$AH$2224,"SIM",Pedidos!$E$2:$E$2224,"Capital",Pedidos!$F$2:$F$2224,$A31),"")</f>
        <v>120.59</v>
      </c>
      <c r="G31" s="13" t="n">
        <f aca="false">IFERROR(AVERAGEIFS(Pedidos!$T$2:$T$2224,Pedidos!$AH$2:$AH$2224,"SIM",Pedidos!$E$2:$E$2224,"Capital",Pedidos!$F$2:$F$2224,$A31),"")</f>
        <v>239.25</v>
      </c>
      <c r="H31" s="44" t="n">
        <f aca="false">IFERROR(G31/F31-1,"")</f>
        <v>0.98399535616552</v>
      </c>
      <c r="I31" s="45" t="n">
        <f aca="false">IFERROR(COUNTIFS(Pedidos!$AH$2:$AH$2224,"SIM",Pedidos!$E$2:$E$2224,"Capital",Pedidos!$F$2:$F$2224,$A31,Pedidos!$AE$2:$AE$2224,"SIM")/B31,"")</f>
        <v>0</v>
      </c>
      <c r="J31" s="45" t="n">
        <f aca="false">IFERROR(MAX(0,1-C31/D31),"")</f>
        <v>0.371385606805513</v>
      </c>
    </row>
    <row r="32" customFormat="false" ht="15" hidden="false" customHeight="false" outlineLevel="0" collapsed="false">
      <c r="A32" s="10" t="s">
        <v>242</v>
      </c>
      <c r="B32" s="11" t="n">
        <f aca="false">COUNTIFS(Pedidos!$AH$2:$AH$2224,"SIM",Pedidos!$E$2:$E$2224,"Capital",Pedidos!$F$2:$F$2224,$A32)</f>
        <v>2</v>
      </c>
      <c r="C32" s="13" t="n">
        <f aca="false">IFERROR(AVERAGEIFS(Pedidos!$S$2:$S$2224,Pedidos!$AH$2:$AH$2224,"SIM",Pedidos!$E$2:$E$2224,"Capital",Pedidos!$F$2:$F$2224,$A32),"")</f>
        <v>255.666832954545</v>
      </c>
      <c r="D32" s="13" t="n">
        <f aca="false">IFERROR(AVERAGEIFS(Pedidos!$AB$2:$AB$2224,Pedidos!$AH$2:$AH$2224,"SIM",Pedidos!$E$2:$E$2224,"Capital",Pedidos!$F$2:$F$2224,$A32),"")</f>
        <v>417.5980625</v>
      </c>
      <c r="E32" s="44" t="n">
        <f aca="false">IFERROR(D32/C32-1,"")</f>
        <v>0.633368152114764</v>
      </c>
      <c r="F32" s="13" t="n">
        <f aca="false">IFERROR(AVERAGEIFS(Pedidos!$I$2:$I$2224,Pedidos!$AH$2:$AH$2224,"SIM",Pedidos!$E$2:$E$2224,"Capital",Pedidos!$F$2:$F$2224,$A32),"")</f>
        <v>130.31</v>
      </c>
      <c r="G32" s="13" t="n">
        <f aca="false">IFERROR(AVERAGEIFS(Pedidos!$T$2:$T$2224,Pedidos!$AH$2:$AH$2224,"SIM",Pedidos!$E$2:$E$2224,"Capital",Pedidos!$F$2:$F$2224,$A32),"")</f>
        <v>271.15</v>
      </c>
      <c r="H32" s="44" t="n">
        <f aca="false">IFERROR(G32/F32-1,"")</f>
        <v>1.08080730565574</v>
      </c>
      <c r="I32" s="45" t="n">
        <f aca="false">IFERROR(COUNTIFS(Pedidos!$AH$2:$AH$2224,"SIM",Pedidos!$E$2:$E$2224,"Capital",Pedidos!$F$2:$F$2224,$A32,Pedidos!$AE$2:$AE$2224,"SIM")/B32,"")</f>
        <v>0</v>
      </c>
      <c r="J32" s="45" t="n">
        <f aca="false">IFERROR(MAX(0,1-C32/D32),"")</f>
        <v>0.387768153367461</v>
      </c>
    </row>
    <row r="33" customFormat="false" ht="15" hidden="false" customHeight="false" outlineLevel="0" collapsed="false">
      <c r="A33" s="10" t="s">
        <v>243</v>
      </c>
      <c r="B33" s="11" t="n">
        <f aca="false">COUNTIFS(Pedidos!$AH$2:$AH$2224,"SIM",Pedidos!$E$2:$E$2224,"Capital",Pedidos!$F$2:$F$2224,$A33)</f>
        <v>0</v>
      </c>
      <c r="C33" s="13" t="str">
        <f aca="false">IFERROR(AVERAGEIFS(Pedidos!$S$2:$S$2224,Pedidos!$AH$2:$AH$2224,"SIM",Pedidos!$E$2:$E$2224,"Capital",Pedidos!$F$2:$F$2224,$A33),"")</f>
        <v/>
      </c>
      <c r="D33" s="13" t="str">
        <f aca="false">IFERROR(AVERAGEIFS(Pedidos!$AB$2:$AB$2224,Pedidos!$AH$2:$AH$2224,"SIM",Pedidos!$E$2:$E$2224,"Capital",Pedidos!$F$2:$F$2224,$A33),"")</f>
        <v/>
      </c>
      <c r="E33" s="44" t="str">
        <f aca="false">IFERROR(D33/C33-1,"")</f>
        <v/>
      </c>
      <c r="F33" s="13" t="str">
        <f aca="false">IFERROR(AVERAGEIFS(Pedidos!$I$2:$I$2224,Pedidos!$AH$2:$AH$2224,"SIM",Pedidos!$E$2:$E$2224,"Capital",Pedidos!$F$2:$F$2224,$A33),"")</f>
        <v/>
      </c>
      <c r="G33" s="13" t="str">
        <f aca="false">IFERROR(AVERAGEIFS(Pedidos!$T$2:$T$2224,Pedidos!$AH$2:$AH$2224,"SIM",Pedidos!$E$2:$E$2224,"Capital",Pedidos!$F$2:$F$2224,$A33),"")</f>
        <v/>
      </c>
      <c r="H33" s="44" t="str">
        <f aca="false">IFERROR(G33/F33-1,"")</f>
        <v/>
      </c>
      <c r="I33" s="45" t="str">
        <f aca="false">IFERROR(COUNTIFS(Pedidos!$AH$2:$AH$2224,"SIM",Pedidos!$E$2:$E$2224,"Capital",Pedidos!$F$2:$F$2224,$A33,Pedidos!$AE$2:$AE$2224,"SIM")/B33,"")</f>
        <v/>
      </c>
      <c r="J33" s="45" t="str">
        <f aca="false">IFERROR(MAX(0,1-C33/D33),"")</f>
        <v/>
      </c>
    </row>
    <row r="34" customFormat="false" ht="15" hidden="false" customHeight="false" outlineLevel="0" collapsed="false">
      <c r="A34" s="10" t="s">
        <v>244</v>
      </c>
      <c r="B34" s="11" t="n">
        <f aca="false">COUNTIFS(Pedidos!$AH$2:$AH$2224,"SIM",Pedidos!$E$2:$E$2224,"Capital",Pedidos!$F$2:$F$2224,$A34)</f>
        <v>1</v>
      </c>
      <c r="C34" s="13" t="n">
        <f aca="false">IFERROR(AVERAGEIFS(Pedidos!$S$2:$S$2224,Pedidos!$AH$2:$AH$2224,"SIM",Pedidos!$E$2:$E$2224,"Capital",Pedidos!$F$2:$F$2224,$A34),"")</f>
        <v>338.214713636364</v>
      </c>
      <c r="D34" s="13" t="n">
        <f aca="false">IFERROR(AVERAGEIFS(Pedidos!$AB$2:$AB$2224,Pedidos!$AH$2:$AH$2224,"SIM",Pedidos!$E$2:$E$2224,"Capital",Pedidos!$F$2:$F$2224,$A34),"")</f>
        <v>593.327068181818</v>
      </c>
      <c r="E34" s="44" t="n">
        <f aca="false">IFERROR(D34/C34-1,"")</f>
        <v>0.754291118214751</v>
      </c>
      <c r="F34" s="13" t="n">
        <f aca="false">IFERROR(AVERAGEIFS(Pedidos!$I$2:$I$2224,Pedidos!$AH$2:$AH$2224,"SIM",Pedidos!$E$2:$E$2224,"Capital",Pedidos!$F$2:$F$2224,$A34),"")</f>
        <v>181.55</v>
      </c>
      <c r="G34" s="13" t="n">
        <f aca="false">IFERROR(AVERAGEIFS(Pedidos!$T$2:$T$2224,Pedidos!$AH$2:$AH$2224,"SIM",Pedidos!$E$2:$E$2224,"Capital",Pedidos!$F$2:$F$2224,$A34),"")</f>
        <v>398.74</v>
      </c>
      <c r="H34" s="44" t="n">
        <f aca="false">IFERROR(G34/F34-1,"")</f>
        <v>1.19630955659598</v>
      </c>
      <c r="I34" s="45" t="n">
        <f aca="false">IFERROR(COUNTIFS(Pedidos!$AH$2:$AH$2224,"SIM",Pedidos!$E$2:$E$2224,"Capital",Pedidos!$F$2:$F$2224,$A34,Pedidos!$AE$2:$AE$2224,"SIM")/B34,"")</f>
        <v>0</v>
      </c>
      <c r="J34" s="45" t="n">
        <f aca="false">IFERROR(MAX(0,1-C34/D34),"")</f>
        <v>0.429969182641906</v>
      </c>
    </row>
    <row r="35" customFormat="false" ht="15" hidden="false" customHeight="false" outlineLevel="0" collapsed="false">
      <c r="A35" s="16" t="s">
        <v>25</v>
      </c>
      <c r="B35" s="17" t="n">
        <f aca="false">COUNTIFS(Pedidos!$AH$2:$AH$2224,"SIM",Pedidos!$E$2:$E$2224,"Capital")</f>
        <v>1030</v>
      </c>
      <c r="C35" s="19" t="n">
        <f aca="false">IFERROR(AVERAGEIFS(Pedidos!$S$2:$S$2224,Pedidos!$AH$2:$AH$2224,"SIM",Pedidos!$E$2:$E$2224,"Capital"),"")</f>
        <v>106.446120383936</v>
      </c>
      <c r="D35" s="19" t="n">
        <f aca="false">IFERROR(AVERAGEIFS(Pedidos!$AB$2:$AB$2224,Pedidos!$AH$2:$AH$2224,"SIM",Pedidos!$E$2:$E$2224,"Capital"),"")</f>
        <v>156.292987577229</v>
      </c>
      <c r="E35" s="48" t="n">
        <f aca="false">IFERROR(D35/C35-1,"")</f>
        <v>0.46828261108532</v>
      </c>
      <c r="F35" s="19" t="n">
        <f aca="false">IFERROR(AVERAGEIFS(Pedidos!$I$2:$I$2224,Pedidos!$AH$2:$AH$2224,"SIM",Pedidos!$E$2:$E$2224,"Capital"),"")</f>
        <v>54.8171747572816</v>
      </c>
      <c r="G35" s="19" t="n">
        <f aca="false">IFERROR(AVERAGEIFS(Pedidos!$T$2:$T$2224,Pedidos!$AH$2:$AH$2224,"SIM",Pedidos!$E$2:$E$2224,"Capital"),"")</f>
        <v>105.429378640777</v>
      </c>
      <c r="H35" s="48" t="n">
        <f aca="false">IFERROR(G35/F35-1,"")</f>
        <v>0.92329099607185</v>
      </c>
      <c r="I35" s="53" t="n">
        <f aca="false">IFERROR(COUNTIFS(Pedidos!$AH$2:$AH$2224,"SIM",Pedidos!$E$2:$E$2224,"Capital",Pedidos!$AE$2:$AE$2224,"SIM")/B35,"")</f>
        <v>0</v>
      </c>
      <c r="J35" s="53" t="n">
        <f aca="false">IFERROR(MAX(0,1-C35/D35),"")</f>
        <v>0.318932205251125</v>
      </c>
    </row>
    <row r="37" customFormat="false" ht="15" hidden="false" customHeight="false" outlineLevel="0" collapsed="false">
      <c r="A37" s="37" t="s">
        <v>350</v>
      </c>
    </row>
    <row r="38" customFormat="false" ht="45" hidden="false" customHeight="true" outlineLevel="0" collapsed="false">
      <c r="A38" s="9" t="s">
        <v>345</v>
      </c>
      <c r="B38" s="9" t="s">
        <v>12</v>
      </c>
      <c r="C38" s="9" t="s">
        <v>207</v>
      </c>
      <c r="D38" s="9" t="s">
        <v>208</v>
      </c>
      <c r="E38" s="9" t="s">
        <v>16</v>
      </c>
      <c r="F38" s="9" t="s">
        <v>346</v>
      </c>
      <c r="G38" s="9" t="s">
        <v>347</v>
      </c>
      <c r="H38" s="9" t="s">
        <v>17</v>
      </c>
      <c r="I38" s="9" t="s">
        <v>211</v>
      </c>
      <c r="J38" s="9" t="s">
        <v>348</v>
      </c>
    </row>
    <row r="39" customFormat="false" ht="15" hidden="false" customHeight="false" outlineLevel="0" collapsed="false">
      <c r="A39" s="10" t="s">
        <v>232</v>
      </c>
      <c r="B39" s="11" t="n">
        <f aca="false">COUNTIFS(Pedidos!$AH$2:$AH$2224,"SIM",Pedidos!$E$2:$E$2224,"Metropolitana",Pedidos!$F$2:$F$2224,$A39)</f>
        <v>24</v>
      </c>
      <c r="C39" s="13" t="n">
        <f aca="false">IFERROR(AVERAGEIFS(Pedidos!$S$2:$S$2224,Pedidos!$AH$2:$AH$2224,"SIM",Pedidos!$E$2:$E$2224,"Metropolitana",Pedidos!$F$2:$F$2224,$A39),"")</f>
        <v>76.3756528409091</v>
      </c>
      <c r="D39" s="13" t="n">
        <f aca="false">IFERROR(AVERAGEIFS(Pedidos!$AB$2:$AB$2224,Pedidos!$AH$2:$AH$2224,"SIM",Pedidos!$E$2:$E$2224,"Metropolitana",Pedidos!$F$2:$F$2224,$A39),"")</f>
        <v>76.6580691287879</v>
      </c>
      <c r="E39" s="44" t="n">
        <f aca="false">IFERROR(D39/C39-1,"")</f>
        <v>0.00369772666254087</v>
      </c>
      <c r="F39" s="13" t="n">
        <f aca="false">IFERROR(AVERAGEIFS(Pedidos!$I$2:$I$2224,Pedidos!$AH$2:$AH$2224,"SIM",Pedidos!$E$2:$E$2224,"Metropolitana",Pedidos!$F$2:$F$2224,$A39),"")</f>
        <v>42.72</v>
      </c>
      <c r="G39" s="13" t="n">
        <f aca="false">IFERROR(AVERAGEIFS(Pedidos!$T$2:$T$2224,Pedidos!$AH$2:$AH$2224,"SIM",Pedidos!$E$2:$E$2224,"Metropolitana",Pedidos!$F$2:$F$2224,$A39),"")</f>
        <v>51.3508333333333</v>
      </c>
      <c r="H39" s="44" t="n">
        <f aca="false">IFERROR(G39/F39-1,"")</f>
        <v>0.202032615480649</v>
      </c>
      <c r="I39" s="45" t="n">
        <f aca="false">IFERROR(COUNTIFS(Pedidos!$AH$2:$AH$2224,"SIM",Pedidos!$E$2:$E$2224,"Metropolitana",Pedidos!$F$2:$F$2224,$A39,Pedidos!$AE$2:$AE$2224,"SIM")/B39,"")</f>
        <v>0.583333333333333</v>
      </c>
      <c r="J39" s="45" t="n">
        <f aca="false">IFERROR(MAX(0,1-C39/D39),"")</f>
        <v>0.00368410385349416</v>
      </c>
    </row>
    <row r="40" customFormat="false" ht="15" hidden="false" customHeight="false" outlineLevel="0" collapsed="false">
      <c r="A40" s="10" t="s">
        <v>233</v>
      </c>
      <c r="B40" s="11" t="n">
        <f aca="false">COUNTIFS(Pedidos!$AH$2:$AH$2224,"SIM",Pedidos!$E$2:$E$2224,"Metropolitana",Pedidos!$F$2:$F$2224,$A40)</f>
        <v>84</v>
      </c>
      <c r="C40" s="13" t="n">
        <f aca="false">IFERROR(AVERAGEIFS(Pedidos!$S$2:$S$2224,Pedidos!$AH$2:$AH$2224,"SIM",Pedidos!$E$2:$E$2224,"Metropolitana",Pedidos!$F$2:$F$2224,$A40),"")</f>
        <v>100.408458116883</v>
      </c>
      <c r="D40" s="13" t="n">
        <f aca="false">IFERROR(AVERAGEIFS(Pedidos!$AB$2:$AB$2224,Pedidos!$AH$2:$AH$2224,"SIM",Pedidos!$E$2:$E$2224,"Metropolitana",Pedidos!$F$2:$F$2224,$A40),"")</f>
        <v>128.005886904762</v>
      </c>
      <c r="E40" s="44" t="n">
        <f aca="false">IFERROR(D40/C40-1,"")</f>
        <v>0.274851634070043</v>
      </c>
      <c r="F40" s="13" t="n">
        <f aca="false">IFERROR(AVERAGEIFS(Pedidos!$I$2:$I$2224,Pedidos!$AH$2:$AH$2224,"SIM",Pedidos!$E$2:$E$2224,"Metropolitana",Pedidos!$F$2:$F$2224,$A40),"")</f>
        <v>58.8</v>
      </c>
      <c r="G40" s="13" t="n">
        <f aca="false">IFERROR(AVERAGEIFS(Pedidos!$T$2:$T$2224,Pedidos!$AH$2:$AH$2224,"SIM",Pedidos!$E$2:$E$2224,"Metropolitana",Pedidos!$F$2:$F$2224,$A40),"")</f>
        <v>90.9576190476191</v>
      </c>
      <c r="H40" s="44" t="n">
        <f aca="false">IFERROR(G40/F40-1,"")</f>
        <v>0.546898283122773</v>
      </c>
      <c r="I40" s="45" t="n">
        <f aca="false">IFERROR(COUNTIFS(Pedidos!$AH$2:$AH$2224,"SIM",Pedidos!$E$2:$E$2224,"Metropolitana",Pedidos!$F$2:$F$2224,$A40,Pedidos!$AE$2:$AE$2224,"SIM")/B40,"")</f>
        <v>0</v>
      </c>
      <c r="J40" s="45" t="n">
        <f aca="false">IFERROR(MAX(0,1-C40/D40),"")</f>
        <v>0.215594996880195</v>
      </c>
    </row>
    <row r="41" customFormat="false" ht="15" hidden="false" customHeight="false" outlineLevel="0" collapsed="false">
      <c r="A41" s="10" t="s">
        <v>234</v>
      </c>
      <c r="B41" s="11" t="n">
        <f aca="false">COUNTIFS(Pedidos!$AH$2:$AH$2224,"SIM",Pedidos!$E$2:$E$2224,"Metropolitana",Pedidos!$F$2:$F$2224,$A41)</f>
        <v>72</v>
      </c>
      <c r="C41" s="13" t="n">
        <f aca="false">IFERROR(AVERAGEIFS(Pedidos!$S$2:$S$2224,Pedidos!$AH$2:$AH$2224,"SIM",Pedidos!$E$2:$E$2224,"Metropolitana",Pedidos!$F$2:$F$2224,$A41),"")</f>
        <v>114.347380397727</v>
      </c>
      <c r="D41" s="13" t="n">
        <f aca="false">IFERROR(AVERAGEIFS(Pedidos!$AB$2:$AB$2224,Pedidos!$AH$2:$AH$2224,"SIM",Pedidos!$E$2:$E$2224,"Metropolitana",Pedidos!$F$2:$F$2224,$A41),"")</f>
        <v>146.408076546717</v>
      </c>
      <c r="E41" s="44" t="n">
        <f aca="false">IFERROR(D41/C41-1,"")</f>
        <v>0.280379804394951</v>
      </c>
      <c r="F41" s="13" t="n">
        <f aca="false">IFERROR(AVERAGEIFS(Pedidos!$I$2:$I$2224,Pedidos!$AH$2:$AH$2224,"SIM",Pedidos!$E$2:$E$2224,"Metropolitana",Pedidos!$F$2:$F$2224,$A41),"")</f>
        <v>66.83</v>
      </c>
      <c r="G41" s="13" t="n">
        <f aca="false">IFERROR(AVERAGEIFS(Pedidos!$T$2:$T$2224,Pedidos!$AH$2:$AH$2224,"SIM",Pedidos!$E$2:$E$2224,"Metropolitana",Pedidos!$F$2:$F$2224,$A41),"")</f>
        <v>102.420277777778</v>
      </c>
      <c r="H41" s="44" t="n">
        <f aca="false">IFERROR(G41/F41-1,"")</f>
        <v>0.53254942058623</v>
      </c>
      <c r="I41" s="45" t="n">
        <f aca="false">IFERROR(COUNTIFS(Pedidos!$AH$2:$AH$2224,"SIM",Pedidos!$E$2:$E$2224,"Metropolitana",Pedidos!$F$2:$F$2224,$A41,Pedidos!$AE$2:$AE$2224,"SIM")/B41,"")</f>
        <v>0</v>
      </c>
      <c r="J41" s="45" t="n">
        <f aca="false">IFERROR(MAX(0,1-C41/D41),"")</f>
        <v>0.21898174544189</v>
      </c>
    </row>
    <row r="42" customFormat="false" ht="15" hidden="false" customHeight="false" outlineLevel="0" collapsed="false">
      <c r="A42" s="10" t="s">
        <v>235</v>
      </c>
      <c r="B42" s="11" t="n">
        <f aca="false">COUNTIFS(Pedidos!$AH$2:$AH$2224,"SIM",Pedidos!$E$2:$E$2224,"Metropolitana",Pedidos!$F$2:$F$2224,$A42)</f>
        <v>89</v>
      </c>
      <c r="C42" s="13" t="n">
        <f aca="false">IFERROR(AVERAGEIFS(Pedidos!$S$2:$S$2224,Pedidos!$AH$2:$AH$2224,"SIM",Pedidos!$E$2:$E$2224,"Metropolitana",Pedidos!$F$2:$F$2224,$A42),"")</f>
        <v>117.696555822268</v>
      </c>
      <c r="D42" s="13" t="n">
        <f aca="false">IFERROR(AVERAGEIFS(Pedidos!$AB$2:$AB$2224,Pedidos!$AH$2:$AH$2224,"SIM",Pedidos!$E$2:$E$2224,"Metropolitana",Pedidos!$F$2:$F$2224,$A42),"")</f>
        <v>152.123087078652</v>
      </c>
      <c r="E42" s="44" t="n">
        <f aca="false">IFERROR(D42/C42-1,"")</f>
        <v>0.292502452734227</v>
      </c>
      <c r="F42" s="13" t="n">
        <f aca="false">IFERROR(AVERAGEIFS(Pedidos!$I$2:$I$2224,Pedidos!$AH$2:$AH$2224,"SIM",Pedidos!$E$2:$E$2224,"Metropolitana",Pedidos!$F$2:$F$2224,$A42),"")</f>
        <v>65.36</v>
      </c>
      <c r="G42" s="13" t="n">
        <f aca="false">IFERROR(AVERAGEIFS(Pedidos!$T$2:$T$2224,Pedidos!$AH$2:$AH$2224,"SIM",Pedidos!$E$2:$E$2224,"Metropolitana",Pedidos!$F$2:$F$2224,$A42),"")</f>
        <v>102.69202247191</v>
      </c>
      <c r="H42" s="44" t="n">
        <f aca="false">IFERROR(G42/F42-1,"")</f>
        <v>0.571175374417229</v>
      </c>
      <c r="I42" s="45" t="n">
        <f aca="false">IFERROR(COUNTIFS(Pedidos!$AH$2:$AH$2224,"SIM",Pedidos!$E$2:$E$2224,"Metropolitana",Pedidos!$F$2:$F$2224,$A42,Pedidos!$AE$2:$AE$2224,"SIM")/B42,"")</f>
        <v>0</v>
      </c>
      <c r="J42" s="45" t="n">
        <f aca="false">IFERROR(MAX(0,1-C42/D42),"")</f>
        <v>0.226307077495638</v>
      </c>
    </row>
    <row r="43" customFormat="false" ht="15" hidden="false" customHeight="false" outlineLevel="0" collapsed="false">
      <c r="A43" s="10" t="s">
        <v>236</v>
      </c>
      <c r="B43" s="11" t="n">
        <f aca="false">COUNTIFS(Pedidos!$AH$2:$AH$2224,"SIM",Pedidos!$E$2:$E$2224,"Metropolitana",Pedidos!$F$2:$F$2224,$A43)</f>
        <v>116</v>
      </c>
      <c r="C43" s="13" t="n">
        <f aca="false">IFERROR(AVERAGEIFS(Pedidos!$S$2:$S$2224,Pedidos!$AH$2:$AH$2224,"SIM",Pedidos!$E$2:$E$2224,"Metropolitana",Pedidos!$F$2:$F$2224,$A43),"")</f>
        <v>128.35567104232</v>
      </c>
      <c r="D43" s="13" t="n">
        <f aca="false">IFERROR(AVERAGEIFS(Pedidos!$AB$2:$AB$2224,Pedidos!$AH$2:$AH$2224,"SIM",Pedidos!$E$2:$E$2224,"Metropolitana",Pedidos!$F$2:$F$2224,$A43),"")</f>
        <v>174.565962970219</v>
      </c>
      <c r="E43" s="44" t="n">
        <f aca="false">IFERROR(D43/C43-1,"")</f>
        <v>0.360017532163918</v>
      </c>
      <c r="F43" s="13" t="n">
        <f aca="false">IFERROR(AVERAGEIFS(Pedidos!$I$2:$I$2224,Pedidos!$AH$2:$AH$2224,"SIM",Pedidos!$E$2:$E$2224,"Metropolitana",Pedidos!$F$2:$F$2224,$A43),"")</f>
        <v>70.98</v>
      </c>
      <c r="G43" s="13" t="n">
        <f aca="false">IFERROR(AVERAGEIFS(Pedidos!$T$2:$T$2224,Pedidos!$AH$2:$AH$2224,"SIM",Pedidos!$E$2:$E$2224,"Metropolitana",Pedidos!$F$2:$F$2224,$A43),"")</f>
        <v>118.308275862069</v>
      </c>
      <c r="H43" s="44" t="n">
        <f aca="false">IFERROR(G43/F43-1,"")</f>
        <v>0.666783260947717</v>
      </c>
      <c r="I43" s="45" t="n">
        <f aca="false">IFERROR(COUNTIFS(Pedidos!$AH$2:$AH$2224,"SIM",Pedidos!$E$2:$E$2224,"Metropolitana",Pedidos!$F$2:$F$2224,$A43,Pedidos!$AE$2:$AE$2224,"SIM")/B43,"")</f>
        <v>0</v>
      </c>
      <c r="J43" s="45" t="n">
        <f aca="false">IFERROR(MAX(0,1-C43/D43),"")</f>
        <v>0.2647153611256</v>
      </c>
    </row>
    <row r="44" customFormat="false" ht="15" hidden="false" customHeight="false" outlineLevel="0" collapsed="false">
      <c r="A44" s="10" t="s">
        <v>237</v>
      </c>
      <c r="B44" s="11" t="n">
        <f aca="false">COUNTIFS(Pedidos!$AH$2:$AH$2224,"SIM",Pedidos!$E$2:$E$2224,"Metropolitana",Pedidos!$F$2:$F$2224,$A44)</f>
        <v>69</v>
      </c>
      <c r="C44" s="13" t="n">
        <f aca="false">IFERROR(AVERAGEIFS(Pedidos!$S$2:$S$2224,Pedidos!$AH$2:$AH$2224,"SIM",Pedidos!$E$2:$E$2224,"Metropolitana",Pedidos!$F$2:$F$2224,$A44),"")</f>
        <v>141.076741304348</v>
      </c>
      <c r="D44" s="13" t="n">
        <f aca="false">IFERROR(AVERAGEIFS(Pedidos!$AB$2:$AB$2224,Pedidos!$AH$2:$AH$2224,"SIM",Pedidos!$E$2:$E$2224,"Metropolitana",Pedidos!$F$2:$F$2224,$A44),"")</f>
        <v>204.090882411067</v>
      </c>
      <c r="E44" s="44" t="n">
        <f aca="false">IFERROR(D44/C44-1,"")</f>
        <v>0.446665697861405</v>
      </c>
      <c r="F44" s="13" t="n">
        <f aca="false">IFERROR(AVERAGEIFS(Pedidos!$I$2:$I$2224,Pedidos!$AH$2:$AH$2224,"SIM",Pedidos!$E$2:$E$2224,"Metropolitana",Pedidos!$F$2:$F$2224,$A44),"")</f>
        <v>76.55</v>
      </c>
      <c r="G44" s="13" t="n">
        <f aca="false">IFERROR(AVERAGEIFS(Pedidos!$T$2:$T$2224,Pedidos!$AH$2:$AH$2224,"SIM",Pedidos!$E$2:$E$2224,"Metropolitana",Pedidos!$F$2:$F$2224,$A44),"")</f>
        <v>137.98347826087</v>
      </c>
      <c r="H44" s="44" t="n">
        <f aca="false">IFERROR(G44/F44-1,"")</f>
        <v>0.802527475648198</v>
      </c>
      <c r="I44" s="45" t="n">
        <f aca="false">IFERROR(COUNTIFS(Pedidos!$AH$2:$AH$2224,"SIM",Pedidos!$E$2:$E$2224,"Metropolitana",Pedidos!$F$2:$F$2224,$A44,Pedidos!$AE$2:$AE$2224,"SIM")/B44,"")</f>
        <v>0</v>
      </c>
      <c r="J44" s="45" t="n">
        <f aca="false">IFERROR(MAX(0,1-C44/D44),"")</f>
        <v>0.308755297455181</v>
      </c>
    </row>
    <row r="45" customFormat="false" ht="15" hidden="false" customHeight="false" outlineLevel="0" collapsed="false">
      <c r="A45" s="10" t="s">
        <v>238</v>
      </c>
      <c r="B45" s="11" t="n">
        <f aca="false">COUNTIFS(Pedidos!$AH$2:$AH$2224,"SIM",Pedidos!$E$2:$E$2224,"Metropolitana",Pedidos!$F$2:$F$2224,$A45)</f>
        <v>9</v>
      </c>
      <c r="C45" s="13" t="n">
        <f aca="false">IFERROR(AVERAGEIFS(Pedidos!$S$2:$S$2224,Pedidos!$AH$2:$AH$2224,"SIM",Pedidos!$E$2:$E$2224,"Metropolitana",Pedidos!$F$2:$F$2224,$A45),"")</f>
        <v>151.893861363636</v>
      </c>
      <c r="D45" s="13" t="n">
        <f aca="false">IFERROR(AVERAGEIFS(Pedidos!$AB$2:$AB$2224,Pedidos!$AH$2:$AH$2224,"SIM",Pedidos!$E$2:$E$2224,"Metropolitana",Pedidos!$F$2:$F$2224,$A45),"")</f>
        <v>207.516178030303</v>
      </c>
      <c r="E45" s="44" t="n">
        <f aca="false">IFERROR(D45/C45-1,"")</f>
        <v>0.366191998592399</v>
      </c>
      <c r="F45" s="13" t="n">
        <f aca="false">IFERROR(AVERAGEIFS(Pedidos!$I$2:$I$2224,Pedidos!$AH$2:$AH$2224,"SIM",Pedidos!$E$2:$E$2224,"Metropolitana",Pedidos!$F$2:$F$2224,$A45),"")</f>
        <v>82.48</v>
      </c>
      <c r="G45" s="13" t="n">
        <f aca="false">IFERROR(AVERAGEIFS(Pedidos!$T$2:$T$2224,Pedidos!$AH$2:$AH$2224,"SIM",Pedidos!$E$2:$E$2224,"Metropolitana",Pedidos!$F$2:$F$2224,$A45),"")</f>
        <v>137.173333333333</v>
      </c>
      <c r="H45" s="44" t="n">
        <f aca="false">IFERROR(G45/F45-1,"")</f>
        <v>0.66311024894924</v>
      </c>
      <c r="I45" s="45" t="n">
        <f aca="false">IFERROR(COUNTIFS(Pedidos!$AH$2:$AH$2224,"SIM",Pedidos!$E$2:$E$2224,"Metropolitana",Pedidos!$F$2:$F$2224,$A45,Pedidos!$AE$2:$AE$2224,"SIM")/B45,"")</f>
        <v>0</v>
      </c>
      <c r="J45" s="45" t="n">
        <f aca="false">IFERROR(MAX(0,1-C45/D45),"")</f>
        <v>0.268038459433</v>
      </c>
    </row>
    <row r="46" customFormat="false" ht="15" hidden="false" customHeight="false" outlineLevel="0" collapsed="false">
      <c r="A46" s="10" t="s">
        <v>239</v>
      </c>
      <c r="B46" s="11" t="n">
        <f aca="false">COUNTIFS(Pedidos!$AH$2:$AH$2224,"SIM",Pedidos!$E$2:$E$2224,"Metropolitana",Pedidos!$F$2:$F$2224,$A46)</f>
        <v>11</v>
      </c>
      <c r="C46" s="13" t="n">
        <f aca="false">IFERROR(AVERAGEIFS(Pedidos!$S$2:$S$2224,Pedidos!$AH$2:$AH$2224,"SIM",Pedidos!$E$2:$E$2224,"Metropolitana",Pedidos!$F$2:$F$2224,$A46),"")</f>
        <v>170.551505578512</v>
      </c>
      <c r="D46" s="13" t="n">
        <f aca="false">IFERROR(AVERAGEIFS(Pedidos!$AB$2:$AB$2224,Pedidos!$AH$2:$AH$2224,"SIM",Pedidos!$E$2:$E$2224,"Metropolitana",Pedidos!$F$2:$F$2224,$A46),"")</f>
        <v>255.117810950413</v>
      </c>
      <c r="E46" s="44" t="n">
        <f aca="false">IFERROR(D46/C46-1,"")</f>
        <v>0.495840274672751</v>
      </c>
      <c r="F46" s="13" t="n">
        <f aca="false">IFERROR(AVERAGEIFS(Pedidos!$I$2:$I$2224,Pedidos!$AH$2:$AH$2224,"SIM",Pedidos!$E$2:$E$2224,"Metropolitana",Pedidos!$F$2:$F$2224,$A46),"")</f>
        <v>92.32</v>
      </c>
      <c r="G46" s="13" t="n">
        <f aca="false">IFERROR(AVERAGEIFS(Pedidos!$T$2:$T$2224,Pedidos!$AH$2:$AH$2224,"SIM",Pedidos!$E$2:$E$2224,"Metropolitana",Pedidos!$F$2:$F$2224,$A46),"")</f>
        <v>171.782727272727</v>
      </c>
      <c r="H46" s="44" t="n">
        <f aca="false">IFERROR(G46/F46-1,"")</f>
        <v>0.860731447928155</v>
      </c>
      <c r="I46" s="45" t="n">
        <f aca="false">IFERROR(COUNTIFS(Pedidos!$AH$2:$AH$2224,"SIM",Pedidos!$E$2:$E$2224,"Metropolitana",Pedidos!$F$2:$F$2224,$A46,Pedidos!$AE$2:$AE$2224,"SIM")/B46,"")</f>
        <v>0</v>
      </c>
      <c r="J46" s="45" t="n">
        <f aca="false">IFERROR(MAX(0,1-C46/D46),"")</f>
        <v>0.331479425355911</v>
      </c>
    </row>
    <row r="47" customFormat="false" ht="15" hidden="false" customHeight="false" outlineLevel="0" collapsed="false">
      <c r="A47" s="10" t="s">
        <v>240</v>
      </c>
      <c r="B47" s="11" t="n">
        <f aca="false">COUNTIFS(Pedidos!$AH$2:$AH$2224,"SIM",Pedidos!$E$2:$E$2224,"Metropolitana",Pedidos!$F$2:$F$2224,$A47)</f>
        <v>18</v>
      </c>
      <c r="C47" s="13" t="n">
        <f aca="false">IFERROR(AVERAGEIFS(Pedidos!$S$2:$S$2224,Pedidos!$AH$2:$AH$2224,"SIM",Pedidos!$E$2:$E$2224,"Metropolitana",Pedidos!$F$2:$F$2224,$A47),"")</f>
        <v>195.087438636364</v>
      </c>
      <c r="D47" s="13" t="n">
        <f aca="false">IFERROR(AVERAGEIFS(Pedidos!$AB$2:$AB$2224,Pedidos!$AH$2:$AH$2224,"SIM",Pedidos!$E$2:$E$2224,"Metropolitana",Pedidos!$F$2:$F$2224,$A47),"")</f>
        <v>311.737059343434</v>
      </c>
      <c r="E47" s="44" t="n">
        <f aca="false">IFERROR(D47/C47-1,"")</f>
        <v>0.597935067077802</v>
      </c>
      <c r="F47" s="13" t="n">
        <f aca="false">IFERROR(AVERAGEIFS(Pedidos!$I$2:$I$2224,Pedidos!$AH$2:$AH$2224,"SIM",Pedidos!$E$2:$E$2224,"Metropolitana",Pedidos!$F$2:$F$2224,$A47),"")</f>
        <v>101.26</v>
      </c>
      <c r="G47" s="13" t="n">
        <f aca="false">IFERROR(AVERAGEIFS(Pedidos!$T$2:$T$2224,Pedidos!$AH$2:$AH$2224,"SIM",Pedidos!$E$2:$E$2224,"Metropolitana",Pedidos!$F$2:$F$2224,$A47),"")</f>
        <v>204.372222222222</v>
      </c>
      <c r="H47" s="44" t="n">
        <f aca="false">IFERROR(G47/F47-1,"")</f>
        <v>1.01829174621985</v>
      </c>
      <c r="I47" s="45" t="n">
        <f aca="false">IFERROR(COUNTIFS(Pedidos!$AH$2:$AH$2224,"SIM",Pedidos!$E$2:$E$2224,"Metropolitana",Pedidos!$F$2:$F$2224,$A47,Pedidos!$AE$2:$AE$2224,"SIM")/B47,"")</f>
        <v>0</v>
      </c>
      <c r="J47" s="45" t="n">
        <f aca="false">IFERROR(MAX(0,1-C47/D47),"")</f>
        <v>0.374192343229106</v>
      </c>
    </row>
    <row r="48" customFormat="false" ht="15" hidden="false" customHeight="false" outlineLevel="0" collapsed="false">
      <c r="A48" s="10" t="s">
        <v>241</v>
      </c>
      <c r="B48" s="11" t="n">
        <f aca="false">COUNTIFS(Pedidos!$AH$2:$AH$2224,"SIM",Pedidos!$E$2:$E$2224,"Metropolitana",Pedidos!$F$2:$F$2224,$A48)</f>
        <v>18</v>
      </c>
      <c r="C48" s="13" t="n">
        <f aca="false">IFERROR(AVERAGEIFS(Pedidos!$S$2:$S$2224,Pedidos!$AH$2:$AH$2224,"SIM",Pedidos!$E$2:$E$2224,"Metropolitana",Pedidos!$F$2:$F$2224,$A48),"")</f>
        <v>239.503561742424</v>
      </c>
      <c r="D48" s="13" t="n">
        <f aca="false">IFERROR(AVERAGEIFS(Pedidos!$AB$2:$AB$2224,Pedidos!$AH$2:$AH$2224,"SIM",Pedidos!$E$2:$E$2224,"Metropolitana",Pedidos!$F$2:$F$2224,$A48),"")</f>
        <v>367.450054924242</v>
      </c>
      <c r="E48" s="44" t="n">
        <f aca="false">IFERROR(D48/C48-1,"")</f>
        <v>0.534215408952536</v>
      </c>
      <c r="F48" s="13" t="n">
        <f aca="false">IFERROR(AVERAGEIFS(Pedidos!$I$2:$I$2224,Pedidos!$AH$2:$AH$2224,"SIM",Pedidos!$E$2:$E$2224,"Metropolitana",Pedidos!$F$2:$F$2224,$A48),"")</f>
        <v>129.62</v>
      </c>
      <c r="G48" s="13" t="n">
        <f aca="false">IFERROR(AVERAGEIFS(Pedidos!$T$2:$T$2224,Pedidos!$AH$2:$AH$2224,"SIM",Pedidos!$E$2:$E$2224,"Metropolitana",Pedidos!$F$2:$F$2224,$A48),"")</f>
        <v>241.966666666667</v>
      </c>
      <c r="H48" s="44" t="n">
        <f aca="false">IFERROR(G48/F48-1,"")</f>
        <v>0.866738672015635</v>
      </c>
      <c r="I48" s="45" t="n">
        <f aca="false">IFERROR(COUNTIFS(Pedidos!$AH$2:$AH$2224,"SIM",Pedidos!$E$2:$E$2224,"Metropolitana",Pedidos!$F$2:$F$2224,$A48,Pedidos!$AE$2:$AE$2224,"SIM")/B48,"")</f>
        <v>0</v>
      </c>
      <c r="J48" s="45" t="n">
        <f aca="false">IFERROR(MAX(0,1-C48/D48),"")</f>
        <v>0.348201045195644</v>
      </c>
    </row>
    <row r="49" customFormat="false" ht="15" hidden="false" customHeight="false" outlineLevel="0" collapsed="false">
      <c r="A49" s="10" t="s">
        <v>242</v>
      </c>
      <c r="B49" s="11" t="n">
        <f aca="false">COUNTIFS(Pedidos!$AH$2:$AH$2224,"SIM",Pedidos!$E$2:$E$2224,"Metropolitana",Pedidos!$F$2:$F$2224,$A49)</f>
        <v>1</v>
      </c>
      <c r="C49" s="13" t="n">
        <f aca="false">IFERROR(AVERAGEIFS(Pedidos!$S$2:$S$2224,Pedidos!$AH$2:$AH$2224,"SIM",Pedidos!$E$2:$E$2224,"Metropolitana",Pedidos!$F$2:$F$2224,$A49),"")</f>
        <v>271.377225</v>
      </c>
      <c r="D49" s="13" t="n">
        <f aca="false">IFERROR(AVERAGEIFS(Pedidos!$AB$2:$AB$2224,Pedidos!$AH$2:$AH$2224,"SIM",Pedidos!$E$2:$E$2224,"Metropolitana",Pedidos!$F$2:$F$2224,$A49),"")</f>
        <v>435.306784090909</v>
      </c>
      <c r="E49" s="44" t="n">
        <f aca="false">IFERROR(D49/C49-1,"")</f>
        <v>0.60406527884169</v>
      </c>
      <c r="F49" s="13" t="n">
        <f aca="false">IFERROR(AVERAGEIFS(Pedidos!$I$2:$I$2224,Pedidos!$AH$2:$AH$2224,"SIM",Pedidos!$E$2:$E$2224,"Metropolitana",Pedidos!$F$2:$F$2224,$A49),"")</f>
        <v>139.81</v>
      </c>
      <c r="G49" s="13" t="n">
        <f aca="false">IFERROR(AVERAGEIFS(Pedidos!$T$2:$T$2224,Pedidos!$AH$2:$AH$2224,"SIM",Pedidos!$E$2:$E$2224,"Metropolitana",Pedidos!$F$2:$F$2224,$A49),"")</f>
        <v>282.23</v>
      </c>
      <c r="H49" s="44" t="n">
        <f aca="false">IFERROR(G49/F49-1,"")</f>
        <v>1.01866819254703</v>
      </c>
      <c r="I49" s="45" t="n">
        <f aca="false">IFERROR(COUNTIFS(Pedidos!$AH$2:$AH$2224,"SIM",Pedidos!$E$2:$E$2224,"Metropolitana",Pedidos!$F$2:$F$2224,$A49,Pedidos!$AE$2:$AE$2224,"SIM")/B49,"")</f>
        <v>0</v>
      </c>
      <c r="J49" s="45" t="n">
        <f aca="false">IFERROR(MAX(0,1-C49/D49),"")</f>
        <v>0.37658397498504</v>
      </c>
    </row>
    <row r="50" customFormat="false" ht="15" hidden="false" customHeight="false" outlineLevel="0" collapsed="false">
      <c r="A50" s="10" t="s">
        <v>243</v>
      </c>
      <c r="B50" s="11" t="n">
        <f aca="false">COUNTIFS(Pedidos!$AH$2:$AH$2224,"SIM",Pedidos!$E$2:$E$2224,"Metropolitana",Pedidos!$F$2:$F$2224,$A50)</f>
        <v>0</v>
      </c>
      <c r="C50" s="13" t="str">
        <f aca="false">IFERROR(AVERAGEIFS(Pedidos!$S$2:$S$2224,Pedidos!$AH$2:$AH$2224,"SIM",Pedidos!$E$2:$E$2224,"Metropolitana",Pedidos!$F$2:$F$2224,$A50),"")</f>
        <v/>
      </c>
      <c r="D50" s="13" t="str">
        <f aca="false">IFERROR(AVERAGEIFS(Pedidos!$AB$2:$AB$2224,Pedidos!$AH$2:$AH$2224,"SIM",Pedidos!$E$2:$E$2224,"Metropolitana",Pedidos!$F$2:$F$2224,$A50),"")</f>
        <v/>
      </c>
      <c r="E50" s="44" t="str">
        <f aca="false">IFERROR(D50/C50-1,"")</f>
        <v/>
      </c>
      <c r="F50" s="13" t="str">
        <f aca="false">IFERROR(AVERAGEIFS(Pedidos!$I$2:$I$2224,Pedidos!$AH$2:$AH$2224,"SIM",Pedidos!$E$2:$E$2224,"Metropolitana",Pedidos!$F$2:$F$2224,$A50),"")</f>
        <v/>
      </c>
      <c r="G50" s="13" t="str">
        <f aca="false">IFERROR(AVERAGEIFS(Pedidos!$T$2:$T$2224,Pedidos!$AH$2:$AH$2224,"SIM",Pedidos!$E$2:$E$2224,"Metropolitana",Pedidos!$F$2:$F$2224,$A50),"")</f>
        <v/>
      </c>
      <c r="H50" s="44" t="str">
        <f aca="false">IFERROR(G50/F50-1,"")</f>
        <v/>
      </c>
      <c r="I50" s="45" t="str">
        <f aca="false">IFERROR(COUNTIFS(Pedidos!$AH$2:$AH$2224,"SIM",Pedidos!$E$2:$E$2224,"Metropolitana",Pedidos!$F$2:$F$2224,$A50,Pedidos!$AE$2:$AE$2224,"SIM")/B50,"")</f>
        <v/>
      </c>
      <c r="J50" s="45" t="str">
        <f aca="false">IFERROR(MAX(0,1-C50/D50),"")</f>
        <v/>
      </c>
    </row>
    <row r="51" customFormat="false" ht="15" hidden="false" customHeight="false" outlineLevel="0" collapsed="false">
      <c r="A51" s="10" t="s">
        <v>244</v>
      </c>
      <c r="B51" s="11" t="n">
        <f aca="false">COUNTIFS(Pedidos!$AH$2:$AH$2224,"SIM",Pedidos!$E$2:$E$2224,"Metropolitana",Pedidos!$F$2:$F$2224,$A51)</f>
        <v>0</v>
      </c>
      <c r="C51" s="13" t="str">
        <f aca="false">IFERROR(AVERAGEIFS(Pedidos!$S$2:$S$2224,Pedidos!$AH$2:$AH$2224,"SIM",Pedidos!$E$2:$E$2224,"Metropolitana",Pedidos!$F$2:$F$2224,$A51),"")</f>
        <v/>
      </c>
      <c r="D51" s="13" t="str">
        <f aca="false">IFERROR(AVERAGEIFS(Pedidos!$AB$2:$AB$2224,Pedidos!$AH$2:$AH$2224,"SIM",Pedidos!$E$2:$E$2224,"Metropolitana",Pedidos!$F$2:$F$2224,$A51),"")</f>
        <v/>
      </c>
      <c r="E51" s="44" t="str">
        <f aca="false">IFERROR(D51/C51-1,"")</f>
        <v/>
      </c>
      <c r="F51" s="13" t="str">
        <f aca="false">IFERROR(AVERAGEIFS(Pedidos!$I$2:$I$2224,Pedidos!$AH$2:$AH$2224,"SIM",Pedidos!$E$2:$E$2224,"Metropolitana",Pedidos!$F$2:$F$2224,$A51),"")</f>
        <v/>
      </c>
      <c r="G51" s="13" t="str">
        <f aca="false">IFERROR(AVERAGEIFS(Pedidos!$T$2:$T$2224,Pedidos!$AH$2:$AH$2224,"SIM",Pedidos!$E$2:$E$2224,"Metropolitana",Pedidos!$F$2:$F$2224,$A51),"")</f>
        <v/>
      </c>
      <c r="H51" s="44" t="str">
        <f aca="false">IFERROR(G51/F51-1,"")</f>
        <v/>
      </c>
      <c r="I51" s="45" t="str">
        <f aca="false">IFERROR(COUNTIFS(Pedidos!$AH$2:$AH$2224,"SIM",Pedidos!$E$2:$E$2224,"Metropolitana",Pedidos!$F$2:$F$2224,$A51,Pedidos!$AE$2:$AE$2224,"SIM")/B51,"")</f>
        <v/>
      </c>
      <c r="J51" s="45" t="str">
        <f aca="false">IFERROR(MAX(0,1-C51/D51),"")</f>
        <v/>
      </c>
    </row>
    <row r="52" customFormat="false" ht="15" hidden="false" customHeight="false" outlineLevel="0" collapsed="false">
      <c r="A52" s="16" t="s">
        <v>25</v>
      </c>
      <c r="B52" s="17" t="n">
        <f aca="false">COUNTIFS(Pedidos!$AH$2:$AH$2224,"SIM",Pedidos!$E$2:$E$2224,"Metropolitana")</f>
        <v>511</v>
      </c>
      <c r="C52" s="19" t="n">
        <f aca="false">IFERROR(AVERAGEIFS(Pedidos!$S$2:$S$2224,Pedidos!$AH$2:$AH$2224,"SIM",Pedidos!$E$2:$E$2224,"Metropolitana"),"")</f>
        <v>127.076341571784</v>
      </c>
      <c r="D52" s="19" t="n">
        <f aca="false">IFERROR(AVERAGEIFS(Pedidos!$AB$2:$AB$2224,Pedidos!$AH$2:$AH$2224,"SIM",Pedidos!$E$2:$E$2224,"Metropolitana"),"")</f>
        <v>172.875075097847</v>
      </c>
      <c r="E52" s="48" t="n">
        <f aca="false">IFERROR(D52/C52-1,"")</f>
        <v>0.360403305285522</v>
      </c>
      <c r="F52" s="19" t="n">
        <f aca="false">IFERROR(AVERAGEIFS(Pedidos!$I$2:$I$2224,Pedidos!$AH$2:$AH$2224,"SIM",Pedidos!$E$2:$E$2224,"Metropolitana"),"")</f>
        <v>70.7679060665362</v>
      </c>
      <c r="G52" s="19" t="n">
        <f aca="false">IFERROR(AVERAGEIFS(Pedidos!$T$2:$T$2224,Pedidos!$AH$2:$AH$2224,"SIM",Pedidos!$E$2:$E$2224,"Metropolitana"),"")</f>
        <v>117.557397260274</v>
      </c>
      <c r="H52" s="48" t="n">
        <f aca="false">IFERROR(G52/F52-1,"")</f>
        <v>0.661168229984735</v>
      </c>
      <c r="I52" s="53" t="n">
        <f aca="false">IFERROR(COUNTIFS(Pedidos!$AH$2:$AH$2224,"SIM",Pedidos!$E$2:$E$2224,"Metropolitana",Pedidos!$AE$2:$AE$2224,"SIM")/B52,"")</f>
        <v>0.0273972602739726</v>
      </c>
      <c r="J52" s="53" t="n">
        <f aca="false">IFERROR(MAX(0,1-C52/D52),"")</f>
        <v>0.264923867712803</v>
      </c>
    </row>
    <row r="54" customFormat="false" ht="15" hidden="false" customHeight="false" outlineLevel="0" collapsed="false">
      <c r="A54" s="37" t="s">
        <v>351</v>
      </c>
    </row>
    <row r="55" customFormat="false" ht="45" hidden="false" customHeight="true" outlineLevel="0" collapsed="false">
      <c r="A55" s="9" t="s">
        <v>345</v>
      </c>
      <c r="B55" s="9" t="s">
        <v>12</v>
      </c>
      <c r="C55" s="9" t="s">
        <v>207</v>
      </c>
      <c r="D55" s="9" t="s">
        <v>208</v>
      </c>
      <c r="E55" s="9" t="s">
        <v>16</v>
      </c>
      <c r="F55" s="9" t="s">
        <v>346</v>
      </c>
      <c r="G55" s="9" t="s">
        <v>347</v>
      </c>
      <c r="H55" s="9" t="s">
        <v>17</v>
      </c>
      <c r="I55" s="9" t="s">
        <v>211</v>
      </c>
      <c r="J55" s="9" t="s">
        <v>348</v>
      </c>
    </row>
    <row r="56" customFormat="false" ht="15" hidden="false" customHeight="false" outlineLevel="0" collapsed="false">
      <c r="A56" s="10" t="s">
        <v>232</v>
      </c>
      <c r="B56" s="11" t="n">
        <f aca="false">COUNTIFS(Pedidos!$AH$2:$AH$2224,"SIM",Pedidos!$E$2:$E$2224,"Interior",Pedidos!$F$2:$F$2224,$A56)</f>
        <v>8</v>
      </c>
      <c r="C56" s="13" t="n">
        <f aca="false">IFERROR(AVERAGEIFS(Pedidos!$S$2:$S$2224,Pedidos!$AH$2:$AH$2224,"SIM",Pedidos!$E$2:$E$2224,"Interior",Pedidos!$F$2:$F$2224,$A56),"")</f>
        <v>80.1303542613636</v>
      </c>
      <c r="D56" s="13" t="n">
        <f aca="false">IFERROR(AVERAGEIFS(Pedidos!$AB$2:$AB$2224,Pedidos!$AH$2:$AH$2224,"SIM",Pedidos!$E$2:$E$2224,"Interior",Pedidos!$F$2:$F$2224,$A56),"")</f>
        <v>115.537103693182</v>
      </c>
      <c r="E56" s="44" t="n">
        <f aca="false">IFERROR(D56/C56-1,"")</f>
        <v>0.441864381584173</v>
      </c>
      <c r="F56" s="13" t="n">
        <f aca="false">IFERROR(AVERAGEIFS(Pedidos!$I$2:$I$2224,Pedidos!$AH$2:$AH$2224,"SIM",Pedidos!$E$2:$E$2224,"Interior",Pedidos!$F$2:$F$2224,$A56),"")</f>
        <v>46.95</v>
      </c>
      <c r="G56" s="13" t="n">
        <f aca="false">IFERROR(AVERAGEIFS(Pedidos!$T$2:$T$2224,Pedidos!$AH$2:$AH$2224,"SIM",Pedidos!$E$2:$E$2224,"Interior",Pedidos!$F$2:$F$2224,$A56),"")</f>
        <v>86.54</v>
      </c>
      <c r="H56" s="44" t="n">
        <f aca="false">IFERROR(G56/F56-1,"")</f>
        <v>0.843237486687966</v>
      </c>
      <c r="I56" s="45" t="n">
        <f aca="false">IFERROR(COUNTIFS(Pedidos!$AH$2:$AH$2224,"SIM",Pedidos!$E$2:$E$2224,"Interior",Pedidos!$F$2:$F$2224,$A56,Pedidos!$AE$2:$AE$2224,"SIM")/B56,"")</f>
        <v>0</v>
      </c>
      <c r="J56" s="45" t="n">
        <f aca="false">IFERROR(MAX(0,1-C56/D56),"")</f>
        <v>0.306453496755845</v>
      </c>
    </row>
    <row r="57" customFormat="false" ht="15" hidden="false" customHeight="false" outlineLevel="0" collapsed="false">
      <c r="A57" s="10" t="s">
        <v>233</v>
      </c>
      <c r="B57" s="11" t="n">
        <f aca="false">COUNTIFS(Pedidos!$AH$2:$AH$2224,"SIM",Pedidos!$E$2:$E$2224,"Interior",Pedidos!$F$2:$F$2224,$A57)</f>
        <v>84</v>
      </c>
      <c r="C57" s="13" t="n">
        <f aca="false">IFERROR(AVERAGEIFS(Pedidos!$S$2:$S$2224,Pedidos!$AH$2:$AH$2224,"SIM",Pedidos!$E$2:$E$2224,"Interior",Pedidos!$F$2:$F$2224,$A57),"")</f>
        <v>108.463269561688</v>
      </c>
      <c r="D57" s="13" t="n">
        <f aca="false">IFERROR(AVERAGEIFS(Pedidos!$AB$2:$AB$2224,Pedidos!$AH$2:$AH$2224,"SIM",Pedidos!$E$2:$E$2224,"Interior",Pedidos!$F$2:$F$2224,$A57),"")</f>
        <v>158.321475784632</v>
      </c>
      <c r="E57" s="44" t="n">
        <f aca="false">IFERROR(D57/C57-1,"")</f>
        <v>0.459678252595797</v>
      </c>
      <c r="F57" s="13" t="n">
        <f aca="false">IFERROR(AVERAGEIFS(Pedidos!$I$2:$I$2224,Pedidos!$AH$2:$AH$2224,"SIM",Pedidos!$E$2:$E$2224,"Interior",Pedidos!$F$2:$F$2224,$A57),"")</f>
        <v>65.63</v>
      </c>
      <c r="G57" s="13" t="n">
        <f aca="false">IFERROR(AVERAGEIFS(Pedidos!$T$2:$T$2224,Pedidos!$AH$2:$AH$2224,"SIM",Pedidos!$E$2:$E$2224,"Interior",Pedidos!$F$2:$F$2224,$A57),"")</f>
        <v>117.347619047619</v>
      </c>
      <c r="H57" s="44" t="n">
        <f aca="false">IFERROR(G57/F57-1,"")</f>
        <v>0.788017965071142</v>
      </c>
      <c r="I57" s="45" t="n">
        <f aca="false">IFERROR(COUNTIFS(Pedidos!$AH$2:$AH$2224,"SIM",Pedidos!$E$2:$E$2224,"Interior",Pedidos!$F$2:$F$2224,$A57,Pedidos!$AE$2:$AE$2224,"SIM")/B57,"")</f>
        <v>0</v>
      </c>
      <c r="J57" s="45" t="n">
        <f aca="false">IFERROR(MAX(0,1-C57/D57),"")</f>
        <v>0.314917518143697</v>
      </c>
    </row>
    <row r="58" customFormat="false" ht="15" hidden="false" customHeight="false" outlineLevel="0" collapsed="false">
      <c r="A58" s="10" t="s">
        <v>234</v>
      </c>
      <c r="B58" s="11" t="n">
        <f aca="false">COUNTIFS(Pedidos!$AH$2:$AH$2224,"SIM",Pedidos!$E$2:$E$2224,"Interior",Pedidos!$F$2:$F$2224,$A58)</f>
        <v>64</v>
      </c>
      <c r="C58" s="13" t="n">
        <f aca="false">IFERROR(AVERAGEIFS(Pedidos!$S$2:$S$2224,Pedidos!$AH$2:$AH$2224,"SIM",Pedidos!$E$2:$E$2224,"Interior",Pedidos!$F$2:$F$2224,$A58),"")</f>
        <v>123.515045596591</v>
      </c>
      <c r="D58" s="13" t="n">
        <f aca="false">IFERROR(AVERAGEIFS(Pedidos!$AB$2:$AB$2224,Pedidos!$AH$2:$AH$2224,"SIM",Pedidos!$E$2:$E$2224,"Interior",Pedidos!$F$2:$F$2224,$A58),"")</f>
        <v>173.073475142045</v>
      </c>
      <c r="E58" s="44" t="n">
        <f aca="false">IFERROR(D58/C58-1,"")</f>
        <v>0.401233949322384</v>
      </c>
      <c r="F58" s="13" t="n">
        <f aca="false">IFERROR(AVERAGEIFS(Pedidos!$I$2:$I$2224,Pedidos!$AH$2:$AH$2224,"SIM",Pedidos!$E$2:$E$2224,"Interior",Pedidos!$F$2:$F$2224,$A58),"")</f>
        <v>74.97</v>
      </c>
      <c r="G58" s="13" t="n">
        <f aca="false">IFERROR(AVERAGEIFS(Pedidos!$T$2:$T$2224,Pedidos!$AH$2:$AH$2224,"SIM",Pedidos!$E$2:$E$2224,"Interior",Pedidos!$F$2:$F$2224,$A58),"")</f>
        <v>125.95296875</v>
      </c>
      <c r="H58" s="44" t="n">
        <f aca="false">IFERROR(G58/F58-1,"")</f>
        <v>0.680044934640523</v>
      </c>
      <c r="I58" s="45" t="n">
        <f aca="false">IFERROR(COUNTIFS(Pedidos!$AH$2:$AH$2224,"SIM",Pedidos!$E$2:$E$2224,"Interior",Pedidos!$F$2:$F$2224,$A58,Pedidos!$AE$2:$AE$2224,"SIM")/B58,"")</f>
        <v>0</v>
      </c>
      <c r="J58" s="45" t="n">
        <f aca="false">IFERROR(MAX(0,1-C58/D58),"")</f>
        <v>0.286343297289089</v>
      </c>
    </row>
    <row r="59" customFormat="false" ht="15" hidden="false" customHeight="false" outlineLevel="0" collapsed="false">
      <c r="A59" s="10" t="s">
        <v>235</v>
      </c>
      <c r="B59" s="11" t="n">
        <f aca="false">COUNTIFS(Pedidos!$AH$2:$AH$2224,"SIM",Pedidos!$E$2:$E$2224,"Interior",Pedidos!$F$2:$F$2224,$A59)</f>
        <v>62</v>
      </c>
      <c r="C59" s="13" t="n">
        <f aca="false">IFERROR(AVERAGEIFS(Pedidos!$S$2:$S$2224,Pedidos!$AH$2:$AH$2224,"SIM",Pedidos!$E$2:$E$2224,"Interior",Pedidos!$F$2:$F$2224,$A59),"")</f>
        <v>131.11918973607</v>
      </c>
      <c r="D59" s="13" t="n">
        <f aca="false">IFERROR(AVERAGEIFS(Pedidos!$AB$2:$AB$2224,Pedidos!$AH$2:$AH$2224,"SIM",Pedidos!$E$2:$E$2224,"Interior",Pedidos!$F$2:$F$2224,$A59),"")</f>
        <v>184.438769794721</v>
      </c>
      <c r="E59" s="44" t="n">
        <f aca="false">IFERROR(D59/C59-1,"")</f>
        <v>0.406649706774256</v>
      </c>
      <c r="F59" s="13" t="n">
        <f aca="false">IFERROR(AVERAGEIFS(Pedidos!$I$2:$I$2224,Pedidos!$AH$2:$AH$2224,"SIM",Pedidos!$E$2:$E$2224,"Interior",Pedidos!$F$2:$F$2224,$A59),"")</f>
        <v>77.7</v>
      </c>
      <c r="G59" s="13" t="n">
        <f aca="false">IFERROR(AVERAGEIFS(Pedidos!$T$2:$T$2224,Pedidos!$AH$2:$AH$2224,"SIM",Pedidos!$E$2:$E$2224,"Interior",Pedidos!$F$2:$F$2224,$A59),"")</f>
        <v>131.691290322581</v>
      </c>
      <c r="H59" s="44" t="n">
        <f aca="false">IFERROR(G59/F59-1,"")</f>
        <v>0.694868601320214</v>
      </c>
      <c r="I59" s="45" t="n">
        <f aca="false">IFERROR(COUNTIFS(Pedidos!$AH$2:$AH$2224,"SIM",Pedidos!$E$2:$E$2224,"Interior",Pedidos!$F$2:$F$2224,$A59,Pedidos!$AE$2:$AE$2224,"SIM")/B59,"")</f>
        <v>0</v>
      </c>
      <c r="J59" s="45" t="n">
        <f aca="false">IFERROR(MAX(0,1-C59/D59),"")</f>
        <v>0.289090954781336</v>
      </c>
    </row>
    <row r="60" customFormat="false" ht="15" hidden="false" customHeight="false" outlineLevel="0" collapsed="false">
      <c r="A60" s="10" t="s">
        <v>236</v>
      </c>
      <c r="B60" s="11" t="n">
        <f aca="false">COUNTIFS(Pedidos!$AH$2:$AH$2224,"SIM",Pedidos!$E$2:$E$2224,"Interior",Pedidos!$F$2:$F$2224,$A60)</f>
        <v>64</v>
      </c>
      <c r="C60" s="13" t="n">
        <f aca="false">IFERROR(AVERAGEIFS(Pedidos!$S$2:$S$2224,Pedidos!$AH$2:$AH$2224,"SIM",Pedidos!$E$2:$E$2224,"Interior",Pedidos!$F$2:$F$2224,$A60),"")</f>
        <v>143.15950859375</v>
      </c>
      <c r="D60" s="13" t="n">
        <f aca="false">IFERROR(AVERAGEIFS(Pedidos!$AB$2:$AB$2224,Pedidos!$AH$2:$AH$2224,"SIM",Pedidos!$E$2:$E$2224,"Interior",Pedidos!$F$2:$F$2224,$A60),"")</f>
        <v>205.075810724432</v>
      </c>
      <c r="E60" s="44" t="n">
        <f aca="false">IFERROR(D60/C60-1,"")</f>
        <v>0.43249870538732</v>
      </c>
      <c r="F60" s="13" t="n">
        <f aca="false">IFERROR(AVERAGEIFS(Pedidos!$I$2:$I$2224,Pedidos!$AH$2:$AH$2224,"SIM",Pedidos!$E$2:$E$2224,"Interior",Pedidos!$F$2:$F$2224,$A60),"")</f>
        <v>83.58</v>
      </c>
      <c r="G60" s="13" t="n">
        <f aca="false">IFERROR(AVERAGEIFS(Pedidos!$T$2:$T$2224,Pedidos!$AH$2:$AH$2224,"SIM",Pedidos!$E$2:$E$2224,"Interior",Pedidos!$F$2:$F$2224,$A60),"")</f>
        <v>144.74671875</v>
      </c>
      <c r="H60" s="44" t="n">
        <f aca="false">IFERROR(G60/F60-1,"")</f>
        <v>0.731834395190237</v>
      </c>
      <c r="I60" s="45" t="n">
        <f aca="false">IFERROR(COUNTIFS(Pedidos!$AH$2:$AH$2224,"SIM",Pedidos!$E$2:$E$2224,"Interior",Pedidos!$F$2:$F$2224,$A60,Pedidos!$AE$2:$AE$2224,"SIM")/B60,"")</f>
        <v>0</v>
      </c>
      <c r="J60" s="45" t="n">
        <f aca="false">IFERROR(MAX(0,1-C60/D60),"")</f>
        <v>0.301919089881747</v>
      </c>
    </row>
    <row r="61" customFormat="false" ht="15" hidden="false" customHeight="false" outlineLevel="0" collapsed="false">
      <c r="A61" s="10" t="s">
        <v>237</v>
      </c>
      <c r="B61" s="11" t="n">
        <f aca="false">COUNTIFS(Pedidos!$AH$2:$AH$2224,"SIM",Pedidos!$E$2:$E$2224,"Interior",Pedidos!$F$2:$F$2224,$A61)</f>
        <v>47</v>
      </c>
      <c r="C61" s="13" t="n">
        <f aca="false">IFERROR(AVERAGEIFS(Pedidos!$S$2:$S$2224,Pedidos!$AH$2:$AH$2224,"SIM",Pedidos!$E$2:$E$2224,"Interior",Pedidos!$F$2:$F$2224,$A61),"")</f>
        <v>156.533880077369</v>
      </c>
      <c r="D61" s="13" t="n">
        <f aca="false">IFERROR(AVERAGEIFS(Pedidos!$AB$2:$AB$2224,Pedidos!$AH$2:$AH$2224,"SIM",Pedidos!$E$2:$E$2224,"Interior",Pedidos!$F$2:$F$2224,$A61),"")</f>
        <v>232.968936170213</v>
      </c>
      <c r="E61" s="44" t="n">
        <f aca="false">IFERROR(D61/C61-1,"")</f>
        <v>0.488297204765282</v>
      </c>
      <c r="F61" s="13" t="n">
        <f aca="false">IFERROR(AVERAGEIFS(Pedidos!$I$2:$I$2224,Pedidos!$AH$2:$AH$2224,"SIM",Pedidos!$E$2:$E$2224,"Interior",Pedidos!$F$2:$F$2224,$A61),"")</f>
        <v>90.2</v>
      </c>
      <c r="G61" s="13" t="n">
        <f aca="false">IFERROR(AVERAGEIFS(Pedidos!$T$2:$T$2224,Pedidos!$AH$2:$AH$2224,"SIM",Pedidos!$E$2:$E$2224,"Interior",Pedidos!$F$2:$F$2224,$A61),"")</f>
        <v>163.571489361702</v>
      </c>
      <c r="H61" s="44" t="n">
        <f aca="false">IFERROR(G61/F61-1,"")</f>
        <v>0.813431145916875</v>
      </c>
      <c r="I61" s="45" t="n">
        <f aca="false">IFERROR(COUNTIFS(Pedidos!$AH$2:$AH$2224,"SIM",Pedidos!$E$2:$E$2224,"Interior",Pedidos!$F$2:$F$2224,$A61,Pedidos!$AE$2:$AE$2224,"SIM")/B61,"")</f>
        <v>0</v>
      </c>
      <c r="J61" s="45" t="n">
        <f aca="false">IFERROR(MAX(0,1-C61/D61),"")</f>
        <v>0.328091192539927</v>
      </c>
    </row>
    <row r="62" customFormat="false" ht="15" hidden="false" customHeight="false" outlineLevel="0" collapsed="false">
      <c r="A62" s="10" t="s">
        <v>238</v>
      </c>
      <c r="B62" s="11" t="n">
        <f aca="false">COUNTIFS(Pedidos!$AH$2:$AH$2224,"SIM",Pedidos!$E$2:$E$2224,"Interior",Pedidos!$F$2:$F$2224,$A62)</f>
        <v>4</v>
      </c>
      <c r="C62" s="13" t="n">
        <f aca="false">IFERROR(AVERAGEIFS(Pedidos!$S$2:$S$2224,Pedidos!$AH$2:$AH$2224,"SIM",Pedidos!$E$2:$E$2224,"Interior",Pedidos!$F$2:$F$2224,$A62),"")</f>
        <v>167.495418181818</v>
      </c>
      <c r="D62" s="13" t="n">
        <f aca="false">IFERROR(AVERAGEIFS(Pedidos!$AB$2:$AB$2224,Pedidos!$AH$2:$AH$2224,"SIM",Pedidos!$E$2:$E$2224,"Interior",Pedidos!$F$2:$F$2224,$A62),"")</f>
        <v>230.724</v>
      </c>
      <c r="E62" s="44" t="n">
        <f aca="false">IFERROR(D62/C62-1,"")</f>
        <v>0.377494396590279</v>
      </c>
      <c r="F62" s="13" t="n">
        <f aca="false">IFERROR(AVERAGEIFS(Pedidos!$I$2:$I$2224,Pedidos!$AH$2:$AH$2224,"SIM",Pedidos!$E$2:$E$2224,"Interior",Pedidos!$F$2:$F$2224,$A62),"")</f>
        <v>96.77</v>
      </c>
      <c r="G62" s="13" t="n">
        <f aca="false">IFERROR(AVERAGEIFS(Pedidos!$T$2:$T$2224,Pedidos!$AH$2:$AH$2224,"SIM",Pedidos!$E$2:$E$2224,"Interior",Pedidos!$F$2:$F$2224,$A62),"")</f>
        <v>158.18</v>
      </c>
      <c r="H62" s="44" t="n">
        <f aca="false">IFERROR(G62/F62-1,"")</f>
        <v>0.634597499224967</v>
      </c>
      <c r="I62" s="45" t="n">
        <f aca="false">IFERROR(COUNTIFS(Pedidos!$AH$2:$AH$2224,"SIM",Pedidos!$E$2:$E$2224,"Interior",Pedidos!$F$2:$F$2224,$A62,Pedidos!$AE$2:$AE$2224,"SIM")/B62,"")</f>
        <v>0</v>
      </c>
      <c r="J62" s="45" t="n">
        <f aca="false">IFERROR(MAX(0,1-C62/D62),"")</f>
        <v>0.274044233881962</v>
      </c>
    </row>
    <row r="63" customFormat="false" ht="15" hidden="false" customHeight="false" outlineLevel="0" collapsed="false">
      <c r="A63" s="10" t="s">
        <v>239</v>
      </c>
      <c r="B63" s="11" t="n">
        <f aca="false">COUNTIFS(Pedidos!$AH$2:$AH$2224,"SIM",Pedidos!$E$2:$E$2224,"Interior",Pedidos!$F$2:$F$2224,$A63)</f>
        <v>13</v>
      </c>
      <c r="C63" s="13" t="n">
        <f aca="false">IFERROR(AVERAGEIFS(Pedidos!$S$2:$S$2224,Pedidos!$AH$2:$AH$2224,"SIM",Pedidos!$E$2:$E$2224,"Interior",Pedidos!$F$2:$F$2224,$A63),"")</f>
        <v>190.235837412587</v>
      </c>
      <c r="D63" s="13" t="n">
        <f aca="false">IFERROR(AVERAGEIFS(Pedidos!$AB$2:$AB$2224,Pedidos!$AH$2:$AH$2224,"SIM",Pedidos!$E$2:$E$2224,"Interior",Pedidos!$F$2:$F$2224,$A63),"")</f>
        <v>282.843155594406</v>
      </c>
      <c r="E63" s="44" t="n">
        <f aca="false">IFERROR(D63/C63-1,"")</f>
        <v>0.486802694178855</v>
      </c>
      <c r="F63" s="13" t="n">
        <f aca="false">IFERROR(AVERAGEIFS(Pedidos!$I$2:$I$2224,Pedidos!$AH$2:$AH$2224,"SIM",Pedidos!$E$2:$E$2224,"Interior",Pedidos!$F$2:$F$2224,$A63),"")</f>
        <v>109.63</v>
      </c>
      <c r="G63" s="13" t="n">
        <f aca="false">IFERROR(AVERAGEIFS(Pedidos!$T$2:$T$2224,Pedidos!$AH$2:$AH$2224,"SIM",Pedidos!$E$2:$E$2224,"Interior",Pedidos!$F$2:$F$2224,$A63),"")</f>
        <v>196.126153846154</v>
      </c>
      <c r="H63" s="44" t="n">
        <f aca="false">IFERROR(G63/F63-1,"")</f>
        <v>0.788982521628695</v>
      </c>
      <c r="I63" s="45" t="n">
        <f aca="false">IFERROR(COUNTIFS(Pedidos!$AH$2:$AH$2224,"SIM",Pedidos!$E$2:$E$2224,"Interior",Pedidos!$F$2:$F$2224,$A63,Pedidos!$AE$2:$AE$2224,"SIM")/B63,"")</f>
        <v>0</v>
      </c>
      <c r="J63" s="45" t="n">
        <f aca="false">IFERROR(MAX(0,1-C63/D63),"")</f>
        <v>0.327415800418435</v>
      </c>
    </row>
    <row r="64" customFormat="false" ht="15" hidden="false" customHeight="false" outlineLevel="0" collapsed="false">
      <c r="A64" s="10" t="s">
        <v>240</v>
      </c>
      <c r="B64" s="11" t="n">
        <f aca="false">COUNTIFS(Pedidos!$AH$2:$AH$2224,"SIM",Pedidos!$E$2:$E$2224,"Interior",Pedidos!$F$2:$F$2224,$A64)</f>
        <v>8</v>
      </c>
      <c r="C64" s="13" t="n">
        <f aca="false">IFERROR(AVERAGEIFS(Pedidos!$S$2:$S$2224,Pedidos!$AH$2:$AH$2224,"SIM",Pedidos!$E$2:$E$2224,"Interior",Pedidos!$F$2:$F$2224,$A64),"")</f>
        <v>215.565510511364</v>
      </c>
      <c r="D64" s="13" t="n">
        <f aca="false">IFERROR(AVERAGEIFS(Pedidos!$AB$2:$AB$2224,Pedidos!$AH$2:$AH$2224,"SIM",Pedidos!$E$2:$E$2224,"Interior",Pedidos!$F$2:$F$2224,$A64),"")</f>
        <v>345.098538352273</v>
      </c>
      <c r="E64" s="44" t="n">
        <f aca="false">IFERROR(D64/C64-1,"")</f>
        <v>0.600898666644916</v>
      </c>
      <c r="F64" s="13" t="n">
        <f aca="false">IFERROR(AVERAGEIFS(Pedidos!$I$2:$I$2224,Pedidos!$AH$2:$AH$2224,"SIM",Pedidos!$E$2:$E$2224,"Interior",Pedidos!$F$2:$F$2224,$A64),"")</f>
        <v>119.5</v>
      </c>
      <c r="G64" s="13" t="n">
        <f aca="false">IFERROR(AVERAGEIFS(Pedidos!$T$2:$T$2224,Pedidos!$AH$2:$AH$2224,"SIM",Pedidos!$E$2:$E$2224,"Interior",Pedidos!$F$2:$F$2224,$A64),"")</f>
        <v>233.98125</v>
      </c>
      <c r="H64" s="44" t="n">
        <f aca="false">IFERROR(G64/F64-1,"")</f>
        <v>0.958002092050209</v>
      </c>
      <c r="I64" s="45" t="n">
        <f aca="false">IFERROR(COUNTIFS(Pedidos!$AH$2:$AH$2224,"SIM",Pedidos!$E$2:$E$2224,"Interior",Pedidos!$F$2:$F$2224,$A64,Pedidos!$AE$2:$AE$2224,"SIM")/B64,"")</f>
        <v>0</v>
      </c>
      <c r="J64" s="45" t="n">
        <f aca="false">IFERROR(MAX(0,1-C64/D64),"")</f>
        <v>0.375350844600458</v>
      </c>
    </row>
    <row r="65" customFormat="false" ht="15" hidden="false" customHeight="false" outlineLevel="0" collapsed="false">
      <c r="A65" s="10" t="s">
        <v>241</v>
      </c>
      <c r="B65" s="11" t="n">
        <f aca="false">COUNTIFS(Pedidos!$AH$2:$AH$2224,"SIM",Pedidos!$E$2:$E$2224,"Interior",Pedidos!$F$2:$F$2224,$A65)</f>
        <v>16</v>
      </c>
      <c r="C65" s="13" t="n">
        <f aca="false">IFERROR(AVERAGEIFS(Pedidos!$S$2:$S$2224,Pedidos!$AH$2:$AH$2224,"SIM",Pedidos!$E$2:$E$2224,"Interior",Pedidos!$F$2:$F$2224,$A65),"")</f>
        <v>255.5106734375</v>
      </c>
      <c r="D65" s="13" t="n">
        <f aca="false">IFERROR(AVERAGEIFS(Pedidos!$AB$2:$AB$2224,Pedidos!$AH$2:$AH$2224,"SIM",Pedidos!$E$2:$E$2224,"Interior",Pedidos!$F$2:$F$2224,$A65),"")</f>
        <v>386.9127578125</v>
      </c>
      <c r="E65" s="44" t="n">
        <f aca="false">IFERROR(D65/C65-1,"")</f>
        <v>0.514272388731119</v>
      </c>
      <c r="F65" s="13" t="n">
        <f aca="false">IFERROR(AVERAGEIFS(Pedidos!$I$2:$I$2224,Pedidos!$AH$2:$AH$2224,"SIM",Pedidos!$E$2:$E$2224,"Interior",Pedidos!$F$2:$F$2224,$A65),"")</f>
        <v>144.24</v>
      </c>
      <c r="G65" s="13" t="n">
        <f aca="false">IFERROR(AVERAGEIFS(Pedidos!$T$2:$T$2224,Pedidos!$AH$2:$AH$2224,"SIM",Pedidos!$E$2:$E$2224,"Interior",Pedidos!$F$2:$F$2224,$A65),"")</f>
        <v>259.899375</v>
      </c>
      <c r="H65" s="44" t="n">
        <f aca="false">IFERROR(G65/F65-1,"")</f>
        <v>0.801853681364392</v>
      </c>
      <c r="I65" s="45" t="n">
        <f aca="false">IFERROR(COUNTIFS(Pedidos!$AH$2:$AH$2224,"SIM",Pedidos!$E$2:$E$2224,"Interior",Pedidos!$F$2:$F$2224,$A65,Pedidos!$AE$2:$AE$2224,"SIM")/B65,"")</f>
        <v>0</v>
      </c>
      <c r="J65" s="45" t="n">
        <f aca="false">IFERROR(MAX(0,1-C65/D65),"")</f>
        <v>0.339616830207181</v>
      </c>
    </row>
    <row r="66" customFormat="false" ht="15" hidden="false" customHeight="false" outlineLevel="0" collapsed="false">
      <c r="A66" s="10" t="s">
        <v>242</v>
      </c>
      <c r="B66" s="11" t="n">
        <f aca="false">COUNTIFS(Pedidos!$AH$2:$AH$2224,"SIM",Pedidos!$E$2:$E$2224,"Interior",Pedidos!$F$2:$F$2224,$A66)</f>
        <v>0</v>
      </c>
      <c r="C66" s="13" t="str">
        <f aca="false">IFERROR(AVERAGEIFS(Pedidos!$S$2:$S$2224,Pedidos!$AH$2:$AH$2224,"SIM",Pedidos!$E$2:$E$2224,"Interior",Pedidos!$F$2:$F$2224,$A66),"")</f>
        <v/>
      </c>
      <c r="D66" s="13" t="str">
        <f aca="false">IFERROR(AVERAGEIFS(Pedidos!$AB$2:$AB$2224,Pedidos!$AH$2:$AH$2224,"SIM",Pedidos!$E$2:$E$2224,"Interior",Pedidos!$F$2:$F$2224,$A66),"")</f>
        <v/>
      </c>
      <c r="E66" s="44" t="str">
        <f aca="false">IFERROR(D66/C66-1,"")</f>
        <v/>
      </c>
      <c r="F66" s="13" t="str">
        <f aca="false">IFERROR(AVERAGEIFS(Pedidos!$I$2:$I$2224,Pedidos!$AH$2:$AH$2224,"SIM",Pedidos!$E$2:$E$2224,"Interior",Pedidos!$F$2:$F$2224,$A66),"")</f>
        <v/>
      </c>
      <c r="G66" s="13" t="str">
        <f aca="false">IFERROR(AVERAGEIFS(Pedidos!$T$2:$T$2224,Pedidos!$AH$2:$AH$2224,"SIM",Pedidos!$E$2:$E$2224,"Interior",Pedidos!$F$2:$F$2224,$A66),"")</f>
        <v/>
      </c>
      <c r="H66" s="44" t="str">
        <f aca="false">IFERROR(G66/F66-1,"")</f>
        <v/>
      </c>
      <c r="I66" s="45" t="str">
        <f aca="false">IFERROR(COUNTIFS(Pedidos!$AH$2:$AH$2224,"SIM",Pedidos!$E$2:$E$2224,"Interior",Pedidos!$F$2:$F$2224,$A66,Pedidos!$AE$2:$AE$2224,"SIM")/B66,"")</f>
        <v/>
      </c>
      <c r="J66" s="45" t="str">
        <f aca="false">IFERROR(MAX(0,1-C66/D66),"")</f>
        <v/>
      </c>
    </row>
    <row r="67" customFormat="false" ht="15" hidden="false" customHeight="false" outlineLevel="0" collapsed="false">
      <c r="A67" s="10" t="s">
        <v>243</v>
      </c>
      <c r="B67" s="11" t="n">
        <f aca="false">COUNTIFS(Pedidos!$AH$2:$AH$2224,"SIM",Pedidos!$E$2:$E$2224,"Interior",Pedidos!$F$2:$F$2224,$A67)</f>
        <v>1</v>
      </c>
      <c r="C67" s="13" t="n">
        <f aca="false">IFERROR(AVERAGEIFS(Pedidos!$S$2:$S$2224,Pedidos!$AH$2:$AH$2224,"SIM",Pedidos!$E$2:$E$2224,"Interior",Pedidos!$F$2:$F$2224,$A67),"")</f>
        <v>199.732727272727</v>
      </c>
      <c r="D67" s="13" t="n">
        <f aca="false">IFERROR(AVERAGEIFS(Pedidos!$AB$2:$AB$2224,Pedidos!$AH$2:$AH$2224,"SIM",Pedidos!$E$2:$E$2224,"Interior",Pedidos!$F$2:$F$2224,$A67),"")</f>
        <v>529.025</v>
      </c>
      <c r="E67" s="44" t="n">
        <f aca="false">IFERROR(D67/C67-1,"")</f>
        <v>1.64866457902834</v>
      </c>
      <c r="F67" s="13" t="n">
        <f aca="false">IFERROR(AVERAGEIFS(Pedidos!$I$2:$I$2224,Pedidos!$AH$2:$AH$2224,"SIM",Pedidos!$E$2:$E$2224,"Interior",Pedidos!$F$2:$F$2224,$A67),"")</f>
        <v>66.69</v>
      </c>
      <c r="G67" s="13" t="n">
        <f aca="false">IFERROR(AVERAGEIFS(Pedidos!$T$2:$T$2224,Pedidos!$AH$2:$AH$2224,"SIM",Pedidos!$E$2:$E$2224,"Interior",Pedidos!$F$2:$F$2224,$A67),"")</f>
        <v>353.17</v>
      </c>
      <c r="H67" s="44" t="n">
        <f aca="false">IFERROR(G67/F67-1,"")</f>
        <v>4.29569650622282</v>
      </c>
      <c r="I67" s="45" t="n">
        <f aca="false">IFERROR(COUNTIFS(Pedidos!$AH$2:$AH$2224,"SIM",Pedidos!$E$2:$E$2224,"Interior",Pedidos!$F$2:$F$2224,$A67,Pedidos!$AE$2:$AE$2224,"SIM")/B67,"")</f>
        <v>0</v>
      </c>
      <c r="J67" s="45" t="n">
        <f aca="false">IFERROR(MAX(0,1-C67/D67),"")</f>
        <v>0.622451250370536</v>
      </c>
    </row>
    <row r="68" customFormat="false" ht="15" hidden="false" customHeight="false" outlineLevel="0" collapsed="false">
      <c r="A68" s="10" t="s">
        <v>244</v>
      </c>
      <c r="B68" s="11" t="n">
        <f aca="false">COUNTIFS(Pedidos!$AH$2:$AH$2224,"SIM",Pedidos!$E$2:$E$2224,"Interior",Pedidos!$F$2:$F$2224,$A68)</f>
        <v>0</v>
      </c>
      <c r="C68" s="13" t="str">
        <f aca="false">IFERROR(AVERAGEIFS(Pedidos!$S$2:$S$2224,Pedidos!$AH$2:$AH$2224,"SIM",Pedidos!$E$2:$E$2224,"Interior",Pedidos!$F$2:$F$2224,$A68),"")</f>
        <v/>
      </c>
      <c r="D68" s="13" t="str">
        <f aca="false">IFERROR(AVERAGEIFS(Pedidos!$AB$2:$AB$2224,Pedidos!$AH$2:$AH$2224,"SIM",Pedidos!$E$2:$E$2224,"Interior",Pedidos!$F$2:$F$2224,$A68),"")</f>
        <v/>
      </c>
      <c r="E68" s="44" t="str">
        <f aca="false">IFERROR(D68/C68-1,"")</f>
        <v/>
      </c>
      <c r="F68" s="13" t="str">
        <f aca="false">IFERROR(AVERAGEIFS(Pedidos!$I$2:$I$2224,Pedidos!$AH$2:$AH$2224,"SIM",Pedidos!$E$2:$E$2224,"Interior",Pedidos!$F$2:$F$2224,$A68),"")</f>
        <v/>
      </c>
      <c r="G68" s="13" t="str">
        <f aca="false">IFERROR(AVERAGEIFS(Pedidos!$T$2:$T$2224,Pedidos!$AH$2:$AH$2224,"SIM",Pedidos!$E$2:$E$2224,"Interior",Pedidos!$F$2:$F$2224,$A68),"")</f>
        <v/>
      </c>
      <c r="H68" s="44" t="str">
        <f aca="false">IFERROR(G68/F68-1,"")</f>
        <v/>
      </c>
      <c r="I68" s="45" t="str">
        <f aca="false">IFERROR(COUNTIFS(Pedidos!$AH$2:$AH$2224,"SIM",Pedidos!$E$2:$E$2224,"Interior",Pedidos!$F$2:$F$2224,$A68,Pedidos!$AE$2:$AE$2224,"SIM")/B68,"")</f>
        <v/>
      </c>
      <c r="J68" s="45" t="str">
        <f aca="false">IFERROR(MAX(0,1-C68/D68),"")</f>
        <v/>
      </c>
    </row>
    <row r="69" customFormat="false" ht="15" hidden="false" customHeight="false" outlineLevel="0" collapsed="false">
      <c r="A69" s="16" t="s">
        <v>25</v>
      </c>
      <c r="B69" s="17" t="n">
        <f aca="false">COUNTIFS(Pedidos!$AH$2:$AH$2224,"SIM",Pedidos!$E$2:$E$2224,"Interior")</f>
        <v>371</v>
      </c>
      <c r="C69" s="19" t="n">
        <f aca="false">IFERROR(AVERAGEIFS(Pedidos!$S$2:$S$2224,Pedidos!$AH$2:$AH$2224,"SIM",Pedidos!$E$2:$E$2224,"Interior"),"")</f>
        <v>138.709127272727</v>
      </c>
      <c r="D69" s="19" t="n">
        <f aca="false">IFERROR(AVERAGEIFS(Pedidos!$AB$2:$AB$2224,Pedidos!$AH$2:$AH$2224,"SIM",Pedidos!$E$2:$E$2224,"Interior"),"")</f>
        <v>201.859496691987</v>
      </c>
      <c r="E69" s="48" t="n">
        <f aca="false">IFERROR(D69/C69-1,"")</f>
        <v>0.45527191080292</v>
      </c>
      <c r="F69" s="19" t="n">
        <f aca="false">IFERROR(AVERAGEIFS(Pedidos!$I$2:$I$2224,Pedidos!$AH$2:$AH$2224,"SIM",Pedidos!$E$2:$E$2224,"Interior"),"")</f>
        <v>81.4968194070081</v>
      </c>
      <c r="G69" s="19" t="n">
        <f aca="false">IFERROR(AVERAGEIFS(Pedidos!$T$2:$T$2224,Pedidos!$AH$2:$AH$2224,"SIM",Pedidos!$E$2:$E$2224,"Interior"),"")</f>
        <v>143.646334231806</v>
      </c>
      <c r="H69" s="48" t="n">
        <f aca="false">IFERROR(G69/F69-1,"")</f>
        <v>0.76260049505016</v>
      </c>
      <c r="I69" s="53" t="n">
        <f aca="false">IFERROR(COUNTIFS(Pedidos!$AH$2:$AH$2224,"SIM",Pedidos!$E$2:$E$2224,"Interior",Pedidos!$AE$2:$AE$2224,"SIM")/B69,"")</f>
        <v>0</v>
      </c>
      <c r="J69" s="53" t="n">
        <f aca="false">IFERROR(MAX(0,1-C69/D69),"")</f>
        <v>0.312843192686741</v>
      </c>
    </row>
  </sheetData>
  <conditionalFormatting sqref="E5:E17">
    <cfRule type="colorScale" priority="2">
      <colorScale>
        <cfvo type="num" val="-0.3"/>
        <cfvo type="num" val="0"/>
        <cfvo type="num" val="0.8"/>
        <color rgb="FF63BE7B"/>
        <color rgb="FFFFFFFF"/>
        <color rgb="FFF8696B"/>
      </colorScale>
    </cfRule>
  </conditionalFormatting>
  <conditionalFormatting sqref="H5:H17">
    <cfRule type="colorScale" priority="3">
      <colorScale>
        <cfvo type="num" val="-0.3"/>
        <cfvo type="num" val="0"/>
        <cfvo type="num" val="1.2"/>
        <color rgb="FF63BE7B"/>
        <color rgb="FFFFFFFF"/>
        <color rgb="FFF8696B"/>
      </colorScale>
    </cfRule>
  </conditionalFormatting>
  <conditionalFormatting sqref="E22:E34">
    <cfRule type="colorScale" priority="4">
      <colorScale>
        <cfvo type="num" val="-0.3"/>
        <cfvo type="num" val="0"/>
        <cfvo type="num" val="0.8"/>
        <color rgb="FF63BE7B"/>
        <color rgb="FFFFFFFF"/>
        <color rgb="FFF8696B"/>
      </colorScale>
    </cfRule>
  </conditionalFormatting>
  <conditionalFormatting sqref="H22:H34">
    <cfRule type="colorScale" priority="5">
      <colorScale>
        <cfvo type="num" val="-0.3"/>
        <cfvo type="num" val="0"/>
        <cfvo type="num" val="1.2"/>
        <color rgb="FF63BE7B"/>
        <color rgb="FFFFFFFF"/>
        <color rgb="FFF8696B"/>
      </colorScale>
    </cfRule>
  </conditionalFormatting>
  <conditionalFormatting sqref="E39:E51">
    <cfRule type="colorScale" priority="6">
      <colorScale>
        <cfvo type="num" val="-0.3"/>
        <cfvo type="num" val="0"/>
        <cfvo type="num" val="0.8"/>
        <color rgb="FF63BE7B"/>
        <color rgb="FFFFFFFF"/>
        <color rgb="FFF8696B"/>
      </colorScale>
    </cfRule>
  </conditionalFormatting>
  <conditionalFormatting sqref="H39:H51">
    <cfRule type="colorScale" priority="7">
      <colorScale>
        <cfvo type="num" val="-0.3"/>
        <cfvo type="num" val="0"/>
        <cfvo type="num" val="1.2"/>
        <color rgb="FF63BE7B"/>
        <color rgb="FFFFFFFF"/>
        <color rgb="FFF8696B"/>
      </colorScale>
    </cfRule>
  </conditionalFormatting>
  <conditionalFormatting sqref="E56:E68">
    <cfRule type="colorScale" priority="8">
      <colorScale>
        <cfvo type="num" val="-0.3"/>
        <cfvo type="num" val="0"/>
        <cfvo type="num" val="0.8"/>
        <color rgb="FF63BE7B"/>
        <color rgb="FFFFFFFF"/>
        <color rgb="FFF8696B"/>
      </colorScale>
    </cfRule>
  </conditionalFormatting>
  <conditionalFormatting sqref="H56:H68">
    <cfRule type="colorScale" priority="9">
      <colorScale>
        <cfvo type="num" val="-0.3"/>
        <cfvo type="num" val="0"/>
        <cfvo type="num" val="1.2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true" outlineLevel="0" max="3" min="3" style="0" width="12"/>
    <col collapsed="false" customWidth="true" hidden="false" outlineLevel="0" max="4" min="4" style="0" width="22"/>
    <col collapsed="false" customWidth="true" hidden="false" outlineLevel="0" max="36" min="5" style="0" width="12"/>
  </cols>
  <sheetData>
    <row r="1" customFormat="false" ht="48" hidden="false" customHeight="true" outlineLevel="0" collapsed="false">
      <c r="A1" s="9" t="s">
        <v>352</v>
      </c>
      <c r="B1" s="9" t="s">
        <v>353</v>
      </c>
      <c r="C1" s="9" t="s">
        <v>354</v>
      </c>
      <c r="D1" s="9" t="s">
        <v>43</v>
      </c>
      <c r="E1" s="9" t="s">
        <v>203</v>
      </c>
      <c r="F1" s="9" t="s">
        <v>345</v>
      </c>
      <c r="G1" s="9" t="s">
        <v>355</v>
      </c>
      <c r="H1" s="9" t="s">
        <v>356</v>
      </c>
      <c r="I1" s="55" t="s">
        <v>346</v>
      </c>
      <c r="J1" s="55" t="s">
        <v>357</v>
      </c>
      <c r="K1" s="55" t="s">
        <v>358</v>
      </c>
      <c r="L1" s="55" t="s">
        <v>359</v>
      </c>
      <c r="M1" s="55" t="s">
        <v>360</v>
      </c>
      <c r="N1" s="55" t="s">
        <v>361</v>
      </c>
      <c r="O1" s="55" t="s">
        <v>362</v>
      </c>
      <c r="P1" s="55" t="s">
        <v>363</v>
      </c>
      <c r="Q1" s="55" t="s">
        <v>364</v>
      </c>
      <c r="R1" s="55" t="s">
        <v>365</v>
      </c>
      <c r="S1" s="55" t="s">
        <v>366</v>
      </c>
      <c r="T1" s="54" t="s">
        <v>347</v>
      </c>
      <c r="U1" s="54" t="s">
        <v>367</v>
      </c>
      <c r="V1" s="54" t="s">
        <v>368</v>
      </c>
      <c r="W1" s="54" t="s">
        <v>369</v>
      </c>
      <c r="X1" s="54" t="s">
        <v>370</v>
      </c>
      <c r="Y1" s="54" t="s">
        <v>371</v>
      </c>
      <c r="Z1" s="54" t="s">
        <v>372</v>
      </c>
      <c r="AA1" s="54" t="s">
        <v>373</v>
      </c>
      <c r="AB1" s="54" t="s">
        <v>374</v>
      </c>
      <c r="AC1" s="9" t="s">
        <v>375</v>
      </c>
      <c r="AD1" s="9" t="s">
        <v>376</v>
      </c>
      <c r="AE1" s="9" t="s">
        <v>377</v>
      </c>
      <c r="AF1" s="9" t="s">
        <v>20</v>
      </c>
      <c r="AG1" s="9" t="s">
        <v>19</v>
      </c>
      <c r="AH1" s="9" t="s">
        <v>378</v>
      </c>
      <c r="AI1" s="9" t="s">
        <v>379</v>
      </c>
      <c r="AJ1" s="9" t="s">
        <v>380</v>
      </c>
    </row>
    <row r="2" customFormat="false" ht="15" hidden="false" customHeight="false" outlineLevel="0" collapsed="false">
      <c r="A2" s="59" t="n">
        <v>46204.4207638889</v>
      </c>
      <c r="B2" s="60" t="s">
        <v>381</v>
      </c>
      <c r="C2" s="60" t="n">
        <v>28913240</v>
      </c>
      <c r="D2" s="60" t="s">
        <v>221</v>
      </c>
      <c r="E2" s="60" t="s">
        <v>24</v>
      </c>
      <c r="F2" s="60" t="s">
        <v>233</v>
      </c>
      <c r="G2" s="60" t="n">
        <v>33</v>
      </c>
      <c r="H2" s="61" t="n">
        <v>389.99</v>
      </c>
      <c r="I2" s="61" t="n">
        <v>65.63</v>
      </c>
      <c r="J2" s="61" t="n">
        <f aca="false">H2*Resumo!$C$6</f>
        <v>0</v>
      </c>
      <c r="K2" s="61" t="n">
        <f aca="false">H2*Resumo!$C$7</f>
        <v>0.818979</v>
      </c>
      <c r="L2" s="61" t="n">
        <f aca="false">H2*Resumo!$C$8</f>
        <v>0.818979</v>
      </c>
      <c r="M2" s="61" t="n">
        <f aca="false">Resumo!$C$10*CEILING(G2/100,1)</f>
        <v>1.05</v>
      </c>
      <c r="N2" s="61" t="n">
        <f aca="false">Resumo!$C$9</f>
        <v>0</v>
      </c>
      <c r="O2" s="61" t="n">
        <f aca="false">Resumo!$C$13</f>
        <v>13.55</v>
      </c>
      <c r="P2" s="61" t="n">
        <f aca="false">Resumo!$C$14*CEILING(G2,1)</f>
        <v>14.85</v>
      </c>
      <c r="Q2" s="61" t="n">
        <f aca="false">SUM(I2:P2)*Resumo!$C$11</f>
        <v>0</v>
      </c>
      <c r="R2" s="61" t="n">
        <f aca="false">SUM(I2:Q2)</f>
        <v>96.717958</v>
      </c>
      <c r="S2" s="61" t="n">
        <f aca="false">R2/(1-Resumo!$C$5)</f>
        <v>109.906770454545</v>
      </c>
      <c r="T2" s="61" t="n">
        <v>114.95</v>
      </c>
      <c r="U2" s="61" t="n">
        <f aca="false">H2*Resumo!$B$6</f>
        <v>0.38999</v>
      </c>
      <c r="V2" s="61" t="n">
        <f aca="false">H2*Resumo!$B$7</f>
        <v>0.77998</v>
      </c>
      <c r="W2" s="61" t="n">
        <f aca="false">Resumo!$B$9</f>
        <v>1</v>
      </c>
      <c r="X2" s="61" t="n">
        <f aca="false">Resumo!$B$10*CEILING(G2/100,1)</f>
        <v>4.5</v>
      </c>
      <c r="Y2" s="61" t="n">
        <f aca="false">Resumo!$B$12*CEILING(G2,1)</f>
        <v>1.98</v>
      </c>
      <c r="Z2" s="61" t="n">
        <f aca="false">Resumo!$B$14*CEILING(G2,1)</f>
        <v>14.85</v>
      </c>
      <c r="AA2" s="61" t="n">
        <f aca="false">SUM(T2:Z2)</f>
        <v>138.44997</v>
      </c>
      <c r="AB2" s="61" t="n">
        <f aca="false">AA2/(1-Resumo!$B$5)</f>
        <v>157.329511363636</v>
      </c>
      <c r="AC2" s="61" t="n">
        <f aca="false">AB2-S2</f>
        <v>47.4227409090909</v>
      </c>
      <c r="AD2" s="62" t="n">
        <f aca="false">AB2/S2-1</f>
        <v>0.431481524868422</v>
      </c>
      <c r="AE2" s="60" t="str">
        <f aca="false">IF(AB2&lt;S2,"SIM","NÃO")</f>
        <v>NÃO</v>
      </c>
      <c r="AF2" s="60" t="n">
        <v>13</v>
      </c>
      <c r="AG2" s="60" t="n">
        <v>10</v>
      </c>
      <c r="AH2" s="60" t="s">
        <v>382</v>
      </c>
      <c r="AI2" s="61" t="n">
        <f aca="false">(T2*(1-Painel!$C$40)+U2+V2+Painel!$C$41+Painel!$C$42*CEILING(G2/100,1)+Painel!$C$43*CEILING(G2,1)+Z2)/(1-Resumo!$B$5)</f>
        <v>108.052806818182</v>
      </c>
      <c r="AJ2" s="60" t="str">
        <f aca="false">IF(AI2&lt;S2,"SIM","NÃO")</f>
        <v>SIM</v>
      </c>
    </row>
    <row r="3" customFormat="false" ht="15" hidden="false" customHeight="false" outlineLevel="0" collapsed="false">
      <c r="A3" s="59" t="n">
        <v>46204.4749768519</v>
      </c>
      <c r="B3" s="60" t="s">
        <v>383</v>
      </c>
      <c r="C3" s="60" t="n">
        <v>21032000</v>
      </c>
      <c r="D3" s="60" t="s">
        <v>46</v>
      </c>
      <c r="E3" s="60" t="s">
        <v>22</v>
      </c>
      <c r="F3" s="60" t="s">
        <v>235</v>
      </c>
      <c r="G3" s="60" t="n">
        <v>49.6</v>
      </c>
      <c r="H3" s="61" t="n">
        <v>799.99</v>
      </c>
      <c r="I3" s="61" t="n">
        <v>53.55</v>
      </c>
      <c r="J3" s="61" t="n">
        <f aca="false">H3*Resumo!$C$6</f>
        <v>0</v>
      </c>
      <c r="K3" s="61" t="n">
        <f aca="false">H3*Resumo!$C$7</f>
        <v>1.679979</v>
      </c>
      <c r="L3" s="61" t="n">
        <f aca="false">H3*Resumo!$C$8</f>
        <v>1.679979</v>
      </c>
      <c r="M3" s="61" t="n">
        <f aca="false">Resumo!$C$10*CEILING(G3/100,1)</f>
        <v>1.05</v>
      </c>
      <c r="N3" s="61" t="n">
        <f aca="false">Resumo!$C$9</f>
        <v>0</v>
      </c>
      <c r="O3" s="61" t="n">
        <f aca="false">Resumo!$C$13</f>
        <v>13.55</v>
      </c>
      <c r="P3" s="61" t="n">
        <f aca="false">Resumo!$C$14*CEILING(G3,1)</f>
        <v>22.5</v>
      </c>
      <c r="Q3" s="61" t="n">
        <f aca="false">SUM(I3:P3)*Resumo!$C$11</f>
        <v>0</v>
      </c>
      <c r="R3" s="61" t="n">
        <f aca="false">SUM(I3:Q3)</f>
        <v>94.009958</v>
      </c>
      <c r="S3" s="61" t="n">
        <f aca="false">R3/(1-Resumo!$C$5)</f>
        <v>106.829497727273</v>
      </c>
      <c r="T3" s="61" t="n">
        <v>93.97</v>
      </c>
      <c r="U3" s="61" t="n">
        <f aca="false">H3*Resumo!$B$6</f>
        <v>0.79999</v>
      </c>
      <c r="V3" s="61" t="n">
        <f aca="false">H3*Resumo!$B$7</f>
        <v>1.59998</v>
      </c>
      <c r="W3" s="61" t="n">
        <f aca="false">Resumo!$B$9</f>
        <v>1</v>
      </c>
      <c r="X3" s="61" t="n">
        <f aca="false">Resumo!$B$10*CEILING(G3/100,1)</f>
        <v>4.5</v>
      </c>
      <c r="Y3" s="61" t="n">
        <f aca="false">Resumo!$B$12*CEILING(G3,1)</f>
        <v>3</v>
      </c>
      <c r="Z3" s="61" t="n">
        <f aca="false">Resumo!$B$14*CEILING(G3,1)</f>
        <v>22.5</v>
      </c>
      <c r="AA3" s="61" t="n">
        <f aca="false">SUM(T3:Z3)</f>
        <v>127.36997</v>
      </c>
      <c r="AB3" s="61" t="n">
        <f aca="false">AA3/(1-Resumo!$B$5)</f>
        <v>144.738602272727</v>
      </c>
      <c r="AC3" s="61" t="n">
        <f aca="false">AB3-S3</f>
        <v>37.9091045454545</v>
      </c>
      <c r="AD3" s="62" t="n">
        <f aca="false">AB3/S3-1</f>
        <v>0.35485615257907</v>
      </c>
      <c r="AE3" s="60" t="str">
        <f aca="false">IF(AB3&lt;S3,"SIM","NÃO")</f>
        <v>NÃO</v>
      </c>
      <c r="AF3" s="60" t="n">
        <v>2</v>
      </c>
      <c r="AG3" s="60" t="n">
        <v>5</v>
      </c>
      <c r="AH3" s="60" t="s">
        <v>382</v>
      </c>
      <c r="AI3" s="61" t="n">
        <f aca="false">(T3*(1-Painel!$C$40)+U3+V3+Painel!$C$41+Painel!$C$42*CEILING(G3/100,1)+Painel!$C$43*CEILING(G3,1)+Z3)/(1-Resumo!$B$5)</f>
        <v>102.170306818182</v>
      </c>
      <c r="AJ3" s="60" t="str">
        <f aca="false">IF(AI3&lt;S3,"SIM","NÃO")</f>
        <v>SIM</v>
      </c>
    </row>
    <row r="4" customFormat="false" ht="15" hidden="false" customHeight="false" outlineLevel="0" collapsed="false">
      <c r="A4" s="59" t="n">
        <v>46204.5868055556</v>
      </c>
      <c r="B4" s="60" t="s">
        <v>384</v>
      </c>
      <c r="C4" s="60" t="n">
        <v>26545580</v>
      </c>
      <c r="D4" s="60" t="s">
        <v>284</v>
      </c>
      <c r="E4" s="60" t="s">
        <v>23</v>
      </c>
      <c r="F4" s="60" t="s">
        <v>236</v>
      </c>
      <c r="G4" s="60" t="n">
        <v>58.5</v>
      </c>
      <c r="H4" s="61" t="n">
        <v>843.2</v>
      </c>
      <c r="I4" s="61" t="n">
        <v>70.98</v>
      </c>
      <c r="J4" s="61" t="n">
        <f aca="false">H4*Resumo!$C$6</f>
        <v>0</v>
      </c>
      <c r="K4" s="61" t="n">
        <f aca="false">H4*Resumo!$C$7</f>
        <v>1.77072</v>
      </c>
      <c r="L4" s="61" t="n">
        <f aca="false">H4*Resumo!$C$8</f>
        <v>1.77072</v>
      </c>
      <c r="M4" s="61" t="n">
        <f aca="false">Resumo!$C$10*CEILING(G4/100,1)</f>
        <v>1.05</v>
      </c>
      <c r="N4" s="61" t="n">
        <f aca="false">Resumo!$C$9</f>
        <v>0</v>
      </c>
      <c r="O4" s="61" t="n">
        <f aca="false">Resumo!$C$13</f>
        <v>13.55</v>
      </c>
      <c r="P4" s="61" t="n">
        <f aca="false">Resumo!$C$14*CEILING(G4,1)</f>
        <v>26.55</v>
      </c>
      <c r="Q4" s="61" t="n">
        <f aca="false">SUM(I4:P4)*Resumo!$C$11</f>
        <v>0</v>
      </c>
      <c r="R4" s="61" t="n">
        <f aca="false">SUM(I4:Q4)</f>
        <v>115.67144</v>
      </c>
      <c r="S4" s="61" t="n">
        <f aca="false">R4/(1-Resumo!$C$5)</f>
        <v>131.444818181818</v>
      </c>
      <c r="T4" s="61" t="n">
        <v>112.3</v>
      </c>
      <c r="U4" s="61" t="n">
        <f aca="false">H4*Resumo!$B$6</f>
        <v>0.8432</v>
      </c>
      <c r="V4" s="61" t="n">
        <f aca="false">H4*Resumo!$B$7</f>
        <v>1.6864</v>
      </c>
      <c r="W4" s="61" t="n">
        <f aca="false">Resumo!$B$9</f>
        <v>1</v>
      </c>
      <c r="X4" s="61" t="n">
        <f aca="false">Resumo!$B$10*CEILING(G4/100,1)</f>
        <v>4.5</v>
      </c>
      <c r="Y4" s="61" t="n">
        <f aca="false">Resumo!$B$12*CEILING(G4,1)</f>
        <v>3.54</v>
      </c>
      <c r="Z4" s="61" t="n">
        <f aca="false">Resumo!$B$14*CEILING(G4,1)</f>
        <v>26.55</v>
      </c>
      <c r="AA4" s="61" t="n">
        <f aca="false">SUM(T4:Z4)</f>
        <v>150.4196</v>
      </c>
      <c r="AB4" s="61" t="n">
        <f aca="false">AA4/(1-Resumo!$B$5)</f>
        <v>170.931363636364</v>
      </c>
      <c r="AC4" s="61" t="n">
        <f aca="false">AB4-S4</f>
        <v>39.4865454545455</v>
      </c>
      <c r="AD4" s="62" t="n">
        <f aca="false">AB4/S4-1</f>
        <v>0.300403971801509</v>
      </c>
      <c r="AE4" s="60" t="str">
        <f aca="false">IF(AB4&lt;S4,"SIM","NÃO")</f>
        <v>NÃO</v>
      </c>
      <c r="AF4" s="60" t="n">
        <v>2</v>
      </c>
      <c r="AG4" s="60" t="n">
        <v>5</v>
      </c>
      <c r="AH4" s="60" t="s">
        <v>385</v>
      </c>
      <c r="AI4" s="61" t="n">
        <f aca="false">(T4*(1-Painel!$C$40)+U4+V4+Painel!$C$41+Painel!$C$42*CEILING(G4/100,1)+Painel!$C$43*CEILING(G4,1)+Z4)/(1-Resumo!$B$5)</f>
        <v>120.875681818182</v>
      </c>
      <c r="AJ4" s="60" t="str">
        <f aca="false">IF(AI4&lt;S4,"SIM","NÃO")</f>
        <v>SIM</v>
      </c>
    </row>
    <row r="5" customFormat="false" ht="15" hidden="false" customHeight="false" outlineLevel="0" collapsed="false">
      <c r="A5" s="59" t="n">
        <v>46204.690162037</v>
      </c>
      <c r="B5" s="60" t="s">
        <v>386</v>
      </c>
      <c r="C5" s="60" t="n">
        <v>22471150</v>
      </c>
      <c r="D5" s="60" t="s">
        <v>46</v>
      </c>
      <c r="E5" s="60" t="s">
        <v>22</v>
      </c>
      <c r="F5" s="60" t="s">
        <v>234</v>
      </c>
      <c r="G5" s="60" t="n">
        <v>35.4</v>
      </c>
      <c r="H5" s="61" t="n">
        <v>543.69</v>
      </c>
      <c r="I5" s="61" t="n">
        <v>48.35</v>
      </c>
      <c r="J5" s="61" t="n">
        <f aca="false">H5*Resumo!$C$6</f>
        <v>0</v>
      </c>
      <c r="K5" s="61" t="n">
        <f aca="false">H5*Resumo!$C$7</f>
        <v>1.141749</v>
      </c>
      <c r="L5" s="61" t="n">
        <f aca="false">H5*Resumo!$C$8</f>
        <v>1.141749</v>
      </c>
      <c r="M5" s="61" t="n">
        <f aca="false">Resumo!$C$10*CEILING(G5/100,1)</f>
        <v>1.05</v>
      </c>
      <c r="N5" s="61" t="n">
        <f aca="false">Resumo!$C$9</f>
        <v>0</v>
      </c>
      <c r="O5" s="61" t="n">
        <f aca="false">Resumo!$C$13</f>
        <v>13.55</v>
      </c>
      <c r="P5" s="61" t="n">
        <f aca="false">Resumo!$C$14*CEILING(G5,1)</f>
        <v>16.2</v>
      </c>
      <c r="Q5" s="61" t="n">
        <f aca="false">SUM(I5:P5)*Resumo!$C$11</f>
        <v>0</v>
      </c>
      <c r="R5" s="61" t="n">
        <f aca="false">SUM(I5:Q5)</f>
        <v>81.433498</v>
      </c>
      <c r="S5" s="61" t="n">
        <f aca="false">R5/(1-Resumo!$C$5)</f>
        <v>92.5380659090909</v>
      </c>
      <c r="T5" s="61" t="n">
        <v>93.97</v>
      </c>
      <c r="U5" s="61" t="n">
        <f aca="false">H5*Resumo!$B$6</f>
        <v>0.54369</v>
      </c>
      <c r="V5" s="61" t="n">
        <f aca="false">H5*Resumo!$B$7</f>
        <v>1.08738</v>
      </c>
      <c r="W5" s="61" t="n">
        <f aca="false">Resumo!$B$9</f>
        <v>1</v>
      </c>
      <c r="X5" s="61" t="n">
        <f aca="false">Resumo!$B$10*CEILING(G5/100,1)</f>
        <v>4.5</v>
      </c>
      <c r="Y5" s="61" t="n">
        <f aca="false">Resumo!$B$12*CEILING(G5,1)</f>
        <v>2.16</v>
      </c>
      <c r="Z5" s="61" t="n">
        <f aca="false">Resumo!$B$14*CEILING(G5,1)</f>
        <v>16.2</v>
      </c>
      <c r="AA5" s="61" t="n">
        <f aca="false">SUM(T5:Z5)</f>
        <v>119.46107</v>
      </c>
      <c r="AB5" s="61" t="n">
        <f aca="false">AA5/(1-Resumo!$B$5)</f>
        <v>135.751215909091</v>
      </c>
      <c r="AC5" s="61" t="n">
        <f aca="false">AB5-S5</f>
        <v>43.21315</v>
      </c>
      <c r="AD5" s="62" t="n">
        <f aca="false">AB5/S5-1</f>
        <v>0.466977017246637</v>
      </c>
      <c r="AE5" s="60" t="str">
        <f aca="false">IF(AB5&lt;S5,"SIM","NÃO")</f>
        <v>NÃO</v>
      </c>
      <c r="AF5" s="60" t="n">
        <v>2</v>
      </c>
      <c r="AG5" s="60" t="n">
        <v>5</v>
      </c>
      <c r="AH5" s="60" t="s">
        <v>382</v>
      </c>
      <c r="AI5" s="61" t="n">
        <f aca="false">(T5*(1-Painel!$C$40)+U5+V5+Painel!$C$41+Painel!$C$42*CEILING(G5/100,1)+Painel!$C$43*CEILING(G5,1)+Z5)/(1-Resumo!$B$5)</f>
        <v>94.1374659090909</v>
      </c>
      <c r="AJ5" s="60" t="str">
        <f aca="false">IF(AI5&lt;S5,"SIM","NÃO")</f>
        <v>NÃO</v>
      </c>
    </row>
    <row r="6" customFormat="false" ht="15" hidden="false" customHeight="false" outlineLevel="0" collapsed="false">
      <c r="A6" s="59" t="n">
        <v>46204.7498032407</v>
      </c>
      <c r="B6" s="60" t="s">
        <v>387</v>
      </c>
      <c r="C6" s="60" t="n">
        <v>26325100</v>
      </c>
      <c r="D6" s="60" t="s">
        <v>282</v>
      </c>
      <c r="E6" s="60" t="s">
        <v>23</v>
      </c>
      <c r="F6" s="60" t="s">
        <v>233</v>
      </c>
      <c r="G6" s="60" t="n">
        <v>27</v>
      </c>
      <c r="H6" s="61" t="n">
        <v>329.99</v>
      </c>
      <c r="I6" s="61" t="n">
        <v>58.8</v>
      </c>
      <c r="J6" s="61" t="n">
        <f aca="false">H6*Resumo!$C$6</f>
        <v>0</v>
      </c>
      <c r="K6" s="61" t="n">
        <f aca="false">H6*Resumo!$C$7</f>
        <v>0.692979</v>
      </c>
      <c r="L6" s="61" t="n">
        <f aca="false">H6*Resumo!$C$8</f>
        <v>0.692979</v>
      </c>
      <c r="M6" s="61" t="n">
        <f aca="false">Resumo!$C$10*CEILING(G6/100,1)</f>
        <v>1.05</v>
      </c>
      <c r="N6" s="61" t="n">
        <f aca="false">Resumo!$C$9</f>
        <v>0</v>
      </c>
      <c r="O6" s="61" t="n">
        <f aca="false">Resumo!$C$13</f>
        <v>13.55</v>
      </c>
      <c r="P6" s="61" t="n">
        <f aca="false">Resumo!$C$14*CEILING(G6,1)</f>
        <v>12.15</v>
      </c>
      <c r="Q6" s="61" t="n">
        <f aca="false">SUM(I6:P6)*Resumo!$C$11</f>
        <v>0</v>
      </c>
      <c r="R6" s="61" t="n">
        <f aca="false">SUM(I6:Q6)</f>
        <v>86.935958</v>
      </c>
      <c r="S6" s="61" t="n">
        <f aca="false">R6/(1-Resumo!$C$5)</f>
        <v>98.7908613636364</v>
      </c>
      <c r="T6" s="61" t="n">
        <v>82.21</v>
      </c>
      <c r="U6" s="61" t="n">
        <f aca="false">H6*Resumo!$B$6</f>
        <v>0.32999</v>
      </c>
      <c r="V6" s="61" t="n">
        <f aca="false">H6*Resumo!$B$7</f>
        <v>0.65998</v>
      </c>
      <c r="W6" s="61" t="n">
        <f aca="false">Resumo!$B$9</f>
        <v>1</v>
      </c>
      <c r="X6" s="61" t="n">
        <f aca="false">Resumo!$B$10*CEILING(G6/100,1)</f>
        <v>4.5</v>
      </c>
      <c r="Y6" s="61" t="n">
        <f aca="false">Resumo!$B$12*CEILING(G6,1)</f>
        <v>1.62</v>
      </c>
      <c r="Z6" s="61" t="n">
        <f aca="false">Resumo!$B$14*CEILING(G6,1)</f>
        <v>12.15</v>
      </c>
      <c r="AA6" s="61" t="n">
        <f aca="false">SUM(T6:Z6)</f>
        <v>102.46997</v>
      </c>
      <c r="AB6" s="61" t="n">
        <f aca="false">AA6/(1-Resumo!$B$5)</f>
        <v>116.443147727273</v>
      </c>
      <c r="AC6" s="61" t="n">
        <f aca="false">AB6-S6</f>
        <v>17.6522863636364</v>
      </c>
      <c r="AD6" s="62" t="n">
        <f aca="false">AB6/S6-1</f>
        <v>0.178683393584965</v>
      </c>
      <c r="AE6" s="60" t="str">
        <f aca="false">IF(AB6&lt;S6,"SIM","NÃO")</f>
        <v>NÃO</v>
      </c>
      <c r="AF6" s="60" t="n">
        <v>2</v>
      </c>
      <c r="AG6" s="60" t="n">
        <v>5</v>
      </c>
      <c r="AH6" s="60" t="s">
        <v>385</v>
      </c>
      <c r="AI6" s="61" t="n">
        <f aca="false">(T6*(1-Painel!$C$40)+U6+V6+Painel!$C$41+Painel!$C$42*CEILING(G6/100,1)+Painel!$C$43*CEILING(G6,1)+Z6)/(1-Resumo!$B$5)</f>
        <v>79.8530340909091</v>
      </c>
      <c r="AJ6" s="60" t="str">
        <f aca="false">IF(AI6&lt;S6,"SIM","NÃO")</f>
        <v>SIM</v>
      </c>
    </row>
    <row r="7" customFormat="false" ht="15" hidden="false" customHeight="false" outlineLevel="0" collapsed="false">
      <c r="A7" s="59" t="n">
        <v>46204.8063773148</v>
      </c>
      <c r="B7" s="60" t="s">
        <v>388</v>
      </c>
      <c r="C7" s="60" t="n">
        <v>21044020</v>
      </c>
      <c r="D7" s="60" t="s">
        <v>46</v>
      </c>
      <c r="E7" s="60" t="s">
        <v>22</v>
      </c>
      <c r="F7" s="60" t="s">
        <v>236</v>
      </c>
      <c r="G7" s="60" t="n">
        <v>55</v>
      </c>
      <c r="H7" s="61" t="n">
        <v>739.98</v>
      </c>
      <c r="I7" s="61" t="n">
        <v>58.6</v>
      </c>
      <c r="J7" s="61" t="n">
        <f aca="false">H7*Resumo!$C$6</f>
        <v>0</v>
      </c>
      <c r="K7" s="61" t="n">
        <f aca="false">H7*Resumo!$C$7</f>
        <v>1.553958</v>
      </c>
      <c r="L7" s="61" t="n">
        <f aca="false">H7*Resumo!$C$8</f>
        <v>1.553958</v>
      </c>
      <c r="M7" s="61" t="n">
        <f aca="false">Resumo!$C$10*CEILING(G7/100,1)</f>
        <v>1.05</v>
      </c>
      <c r="N7" s="61" t="n">
        <f aca="false">Resumo!$C$9</f>
        <v>0</v>
      </c>
      <c r="O7" s="61" t="n">
        <f aca="false">Resumo!$C$13</f>
        <v>13.55</v>
      </c>
      <c r="P7" s="61" t="n">
        <f aca="false">Resumo!$C$14*CEILING(G7,1)</f>
        <v>24.75</v>
      </c>
      <c r="Q7" s="61" t="n">
        <f aca="false">SUM(I7:P7)*Resumo!$C$11</f>
        <v>0</v>
      </c>
      <c r="R7" s="61" t="n">
        <f aca="false">SUM(I7:Q7)</f>
        <v>101.057916</v>
      </c>
      <c r="S7" s="61" t="n">
        <f aca="false">R7/(1-Resumo!$C$5)</f>
        <v>114.838540909091</v>
      </c>
      <c r="T7" s="61" t="n">
        <v>112.3</v>
      </c>
      <c r="U7" s="61" t="n">
        <f aca="false">H7*Resumo!$B$6</f>
        <v>0.73998</v>
      </c>
      <c r="V7" s="61" t="n">
        <f aca="false">H7*Resumo!$B$7</f>
        <v>1.47996</v>
      </c>
      <c r="W7" s="61" t="n">
        <f aca="false">Resumo!$B$9</f>
        <v>1</v>
      </c>
      <c r="X7" s="61" t="n">
        <f aca="false">Resumo!$B$10*CEILING(G7/100,1)</f>
        <v>4.5</v>
      </c>
      <c r="Y7" s="61" t="n">
        <f aca="false">Resumo!$B$12*CEILING(G7,1)</f>
        <v>3.3</v>
      </c>
      <c r="Z7" s="61" t="n">
        <f aca="false">Resumo!$B$14*CEILING(G7,1)</f>
        <v>24.75</v>
      </c>
      <c r="AA7" s="61" t="n">
        <f aca="false">SUM(T7:Z7)</f>
        <v>148.06994</v>
      </c>
      <c r="AB7" s="61" t="n">
        <f aca="false">AA7/(1-Resumo!$B$5)</f>
        <v>168.261295454545</v>
      </c>
      <c r="AC7" s="61" t="n">
        <f aca="false">AB7-S7</f>
        <v>53.4227545454546</v>
      </c>
      <c r="AD7" s="62" t="n">
        <f aca="false">AB7/S7-1</f>
        <v>0.465198827175498</v>
      </c>
      <c r="AE7" s="60" t="str">
        <f aca="false">IF(AB7&lt;S7,"SIM","NÃO")</f>
        <v>NÃO</v>
      </c>
      <c r="AF7" s="60" t="n">
        <v>2</v>
      </c>
      <c r="AG7" s="60" t="n">
        <v>5</v>
      </c>
      <c r="AH7" s="60" t="s">
        <v>382</v>
      </c>
      <c r="AI7" s="61" t="n">
        <f aca="false">(T7*(1-Painel!$C$40)+U7+V7+Painel!$C$41+Painel!$C$42*CEILING(G7/100,1)+Painel!$C$43*CEILING(G7,1)+Z7)/(1-Resumo!$B$5)</f>
        <v>118.478340909091</v>
      </c>
      <c r="AJ7" s="60" t="str">
        <f aca="false">IF(AI7&lt;S7,"SIM","NÃO")</f>
        <v>NÃO</v>
      </c>
    </row>
    <row r="8" customFormat="false" ht="15" hidden="false" customHeight="false" outlineLevel="0" collapsed="false">
      <c r="A8" s="59" t="n">
        <v>46204.9109722222</v>
      </c>
      <c r="B8" s="60" t="s">
        <v>389</v>
      </c>
      <c r="C8" s="60" t="n">
        <v>28025537</v>
      </c>
      <c r="D8" s="60" t="s">
        <v>51</v>
      </c>
      <c r="E8" s="60" t="s">
        <v>24</v>
      </c>
      <c r="F8" s="60" t="s">
        <v>233</v>
      </c>
      <c r="G8" s="60" t="n">
        <v>35</v>
      </c>
      <c r="H8" s="61" t="n">
        <v>459.99</v>
      </c>
      <c r="I8" s="61" t="n">
        <v>65.63</v>
      </c>
      <c r="J8" s="61" t="n">
        <f aca="false">H8*Resumo!$C$6</f>
        <v>0</v>
      </c>
      <c r="K8" s="61" t="n">
        <f aca="false">H8*Resumo!$C$7</f>
        <v>0.965979</v>
      </c>
      <c r="L8" s="61" t="n">
        <f aca="false">H8*Resumo!$C$8</f>
        <v>0.965979</v>
      </c>
      <c r="M8" s="61" t="n">
        <f aca="false">Resumo!$C$10*CEILING(G8/100,1)</f>
        <v>1.05</v>
      </c>
      <c r="N8" s="61" t="n">
        <f aca="false">Resumo!$C$9</f>
        <v>0</v>
      </c>
      <c r="O8" s="61" t="n">
        <f aca="false">Resumo!$C$13</f>
        <v>13.55</v>
      </c>
      <c r="P8" s="61" t="n">
        <f aca="false">Resumo!$C$14*CEILING(G8,1)</f>
        <v>15.75</v>
      </c>
      <c r="Q8" s="61" t="n">
        <f aca="false">SUM(I8:P8)*Resumo!$C$11</f>
        <v>0</v>
      </c>
      <c r="R8" s="61" t="n">
        <f aca="false">SUM(I8:Q8)</f>
        <v>97.911958</v>
      </c>
      <c r="S8" s="61" t="n">
        <f aca="false">R8/(1-Resumo!$C$5)</f>
        <v>111.263588636364</v>
      </c>
      <c r="T8" s="61" t="n">
        <v>138.29</v>
      </c>
      <c r="U8" s="61" t="n">
        <f aca="false">H8*Resumo!$B$6</f>
        <v>0.45999</v>
      </c>
      <c r="V8" s="61" t="n">
        <f aca="false">H8*Resumo!$B$7</f>
        <v>0.91998</v>
      </c>
      <c r="W8" s="61" t="n">
        <f aca="false">Resumo!$B$9</f>
        <v>1</v>
      </c>
      <c r="X8" s="61" t="n">
        <f aca="false">Resumo!$B$10*CEILING(G8/100,1)</f>
        <v>4.5</v>
      </c>
      <c r="Y8" s="61" t="n">
        <f aca="false">Resumo!$B$12*CEILING(G8,1)</f>
        <v>2.1</v>
      </c>
      <c r="Z8" s="61" t="n">
        <f aca="false">Resumo!$B$14*CEILING(G8,1)</f>
        <v>15.75</v>
      </c>
      <c r="AA8" s="61" t="n">
        <f aca="false">SUM(T8:Z8)</f>
        <v>163.01997</v>
      </c>
      <c r="AB8" s="61" t="n">
        <f aca="false">AA8/(1-Resumo!$B$5)</f>
        <v>185.249965909091</v>
      </c>
      <c r="AC8" s="61" t="n">
        <f aca="false">AB8-S8</f>
        <v>73.9863772727273</v>
      </c>
      <c r="AD8" s="62" t="n">
        <f aca="false">AB8/S8-1</f>
        <v>0.664964865680656</v>
      </c>
      <c r="AE8" s="60" t="str">
        <f aca="false">IF(AB8&lt;S8,"SIM","NÃO")</f>
        <v>NÃO</v>
      </c>
      <c r="AF8" s="60" t="n">
        <v>13</v>
      </c>
      <c r="AG8" s="60" t="n">
        <v>11</v>
      </c>
      <c r="AH8" s="60" t="s">
        <v>382</v>
      </c>
      <c r="AI8" s="61" t="n">
        <f aca="false">(T8*(1-Painel!$C$40)+U8+V8+Painel!$C$41+Painel!$C$42*CEILING(G8/100,1)+Painel!$C$43*CEILING(G8,1)+Z8)/(1-Resumo!$B$5)</f>
        <v>127.084397727273</v>
      </c>
      <c r="AJ8" s="60" t="str">
        <f aca="false">IF(AI8&lt;S8,"SIM","NÃO")</f>
        <v>NÃO</v>
      </c>
    </row>
    <row r="9" customFormat="false" ht="15" hidden="false" customHeight="false" outlineLevel="0" collapsed="false">
      <c r="A9" s="59" t="n">
        <v>46205.4576736111</v>
      </c>
      <c r="B9" s="60" t="s">
        <v>390</v>
      </c>
      <c r="C9" s="60" t="n">
        <v>25555570</v>
      </c>
      <c r="D9" s="60" t="s">
        <v>216</v>
      </c>
      <c r="E9" s="60" t="s">
        <v>23</v>
      </c>
      <c r="F9" s="60" t="s">
        <v>235</v>
      </c>
      <c r="G9" s="60" t="n">
        <v>46.8</v>
      </c>
      <c r="H9" s="61" t="n">
        <v>556.99</v>
      </c>
      <c r="I9" s="61" t="n">
        <v>65.36</v>
      </c>
      <c r="J9" s="61" t="n">
        <f aca="false">H9*Resumo!$C$6</f>
        <v>0</v>
      </c>
      <c r="K9" s="61" t="n">
        <f aca="false">H9*Resumo!$C$7</f>
        <v>1.169679</v>
      </c>
      <c r="L9" s="61" t="n">
        <f aca="false">H9*Resumo!$C$8</f>
        <v>1.169679</v>
      </c>
      <c r="M9" s="61" t="n">
        <f aca="false">Resumo!$C$10*CEILING(G9/100,1)</f>
        <v>1.05</v>
      </c>
      <c r="N9" s="61" t="n">
        <f aca="false">Resumo!$C$9</f>
        <v>0</v>
      </c>
      <c r="O9" s="61" t="n">
        <f aca="false">Resumo!$C$13</f>
        <v>13.55</v>
      </c>
      <c r="P9" s="61" t="n">
        <f aca="false">Resumo!$C$14*CEILING(G9,1)</f>
        <v>21.15</v>
      </c>
      <c r="Q9" s="61" t="n">
        <f aca="false">SUM(I9:P9)*Resumo!$C$11</f>
        <v>0</v>
      </c>
      <c r="R9" s="61" t="n">
        <f aca="false">SUM(I9:Q9)</f>
        <v>103.449358</v>
      </c>
      <c r="S9" s="61" t="n">
        <f aca="false">R9/(1-Resumo!$C$5)</f>
        <v>117.556088636364</v>
      </c>
      <c r="T9" s="61" t="n">
        <v>93.97</v>
      </c>
      <c r="U9" s="61" t="n">
        <f aca="false">H9*Resumo!$B$6</f>
        <v>0.55699</v>
      </c>
      <c r="V9" s="61" t="n">
        <f aca="false">H9*Resumo!$B$7</f>
        <v>1.11398</v>
      </c>
      <c r="W9" s="61" t="n">
        <f aca="false">Resumo!$B$9</f>
        <v>1</v>
      </c>
      <c r="X9" s="61" t="n">
        <f aca="false">Resumo!$B$10*CEILING(G9/100,1)</f>
        <v>4.5</v>
      </c>
      <c r="Y9" s="61" t="n">
        <f aca="false">Resumo!$B$12*CEILING(G9,1)</f>
        <v>2.82</v>
      </c>
      <c r="Z9" s="61" t="n">
        <f aca="false">Resumo!$B$14*CEILING(G9,1)</f>
        <v>21.15</v>
      </c>
      <c r="AA9" s="61" t="n">
        <f aca="false">SUM(T9:Z9)</f>
        <v>125.11097</v>
      </c>
      <c r="AB9" s="61" t="n">
        <f aca="false">AA9/(1-Resumo!$B$5)</f>
        <v>142.171556818182</v>
      </c>
      <c r="AC9" s="61" t="n">
        <f aca="false">AB9-S9</f>
        <v>24.6154681818182</v>
      </c>
      <c r="AD9" s="62" t="n">
        <f aca="false">AB9/S9-1</f>
        <v>0.209393392272188</v>
      </c>
      <c r="AE9" s="60" t="str">
        <f aca="false">IF(AB9&lt;S9,"SIM","NÃO")</f>
        <v>NÃO</v>
      </c>
      <c r="AF9" s="60" t="n">
        <v>2</v>
      </c>
      <c r="AG9" s="60" t="n">
        <v>5</v>
      </c>
      <c r="AH9" s="60" t="s">
        <v>382</v>
      </c>
      <c r="AI9" s="61" t="n">
        <f aca="false">(T9*(1-Painel!$C$40)+U9+V9+Painel!$C$41+Painel!$C$42*CEILING(G9/100,1)+Painel!$C$43*CEILING(G9,1)+Z9)/(1-Resumo!$B$5)</f>
        <v>99.8078068181818</v>
      </c>
      <c r="AJ9" s="60" t="str">
        <f aca="false">IF(AI9&lt;S9,"SIM","NÃO")</f>
        <v>SIM</v>
      </c>
    </row>
    <row r="10" customFormat="false" ht="15" hidden="false" customHeight="false" outlineLevel="0" collapsed="false">
      <c r="A10" s="59" t="n">
        <v>46205.4605902778</v>
      </c>
      <c r="B10" s="60" t="s">
        <v>391</v>
      </c>
      <c r="C10" s="60" t="n">
        <v>25947790</v>
      </c>
      <c r="D10" s="60" t="s">
        <v>280</v>
      </c>
      <c r="E10" s="60" t="s">
        <v>24</v>
      </c>
      <c r="F10" s="60" t="s">
        <v>235</v>
      </c>
      <c r="G10" s="60" t="n">
        <v>44.5</v>
      </c>
      <c r="H10" s="61" t="n">
        <v>735.99</v>
      </c>
      <c r="I10" s="61" t="n">
        <v>77.7</v>
      </c>
      <c r="J10" s="61" t="n">
        <f aca="false">H10*Resumo!$C$6</f>
        <v>0</v>
      </c>
      <c r="K10" s="61" t="n">
        <f aca="false">H10*Resumo!$C$7</f>
        <v>1.545579</v>
      </c>
      <c r="L10" s="61" t="n">
        <f aca="false">H10*Resumo!$C$8</f>
        <v>1.545579</v>
      </c>
      <c r="M10" s="61" t="n">
        <f aca="false">Resumo!$C$10*CEILING(G10/100,1)</f>
        <v>1.05</v>
      </c>
      <c r="N10" s="61" t="n">
        <f aca="false">Resumo!$C$9</f>
        <v>0</v>
      </c>
      <c r="O10" s="61" t="n">
        <f aca="false">Resumo!$C$13</f>
        <v>13.55</v>
      </c>
      <c r="P10" s="61" t="n">
        <f aca="false">Resumo!$C$14*CEILING(G10,1)</f>
        <v>20.25</v>
      </c>
      <c r="Q10" s="61" t="n">
        <f aca="false">SUM(I10:P10)*Resumo!$C$11</f>
        <v>0</v>
      </c>
      <c r="R10" s="61" t="n">
        <f aca="false">SUM(I10:Q10)</f>
        <v>115.641158</v>
      </c>
      <c r="S10" s="61" t="n">
        <f aca="false">R10/(1-Resumo!$C$5)</f>
        <v>131.410406818182</v>
      </c>
      <c r="T10" s="61" t="n">
        <v>117.23</v>
      </c>
      <c r="U10" s="61" t="n">
        <f aca="false">H10*Resumo!$B$6</f>
        <v>0.73599</v>
      </c>
      <c r="V10" s="61" t="n">
        <f aca="false">H10*Resumo!$B$7</f>
        <v>1.47198</v>
      </c>
      <c r="W10" s="61" t="n">
        <f aca="false">Resumo!$B$9</f>
        <v>1</v>
      </c>
      <c r="X10" s="61" t="n">
        <f aca="false">Resumo!$B$10*CEILING(G10/100,1)</f>
        <v>4.5</v>
      </c>
      <c r="Y10" s="61" t="n">
        <f aca="false">Resumo!$B$12*CEILING(G10,1)</f>
        <v>2.7</v>
      </c>
      <c r="Z10" s="61" t="n">
        <f aca="false">Resumo!$B$14*CEILING(G10,1)</f>
        <v>20.25</v>
      </c>
      <c r="AA10" s="61" t="n">
        <f aca="false">SUM(T10:Z10)</f>
        <v>147.88797</v>
      </c>
      <c r="AB10" s="61" t="n">
        <f aca="false">AA10/(1-Resumo!$B$5)</f>
        <v>168.054511363636</v>
      </c>
      <c r="AC10" s="61" t="n">
        <f aca="false">AB10-S10</f>
        <v>36.6441045454545</v>
      </c>
      <c r="AD10" s="62" t="n">
        <f aca="false">AB10/S10-1</f>
        <v>0.278852378839029</v>
      </c>
      <c r="AE10" s="60" t="str">
        <f aca="false">IF(AB10&lt;S10,"SIM","NÃO")</f>
        <v>NÃO</v>
      </c>
      <c r="AF10" s="60" t="n">
        <v>13</v>
      </c>
      <c r="AG10" s="60" t="n">
        <v>6</v>
      </c>
      <c r="AH10" s="60" t="s">
        <v>385</v>
      </c>
      <c r="AI10" s="61" t="n">
        <f aca="false">(T10*(1-Painel!$C$40)+U10+V10+Painel!$C$41+Painel!$C$42*CEILING(G10/100,1)+Painel!$C$43*CEILING(G10,1)+Z10)/(1-Resumo!$B$5)</f>
        <v>117.104625</v>
      </c>
      <c r="AJ10" s="60" t="str">
        <f aca="false">IF(AI10&lt;S10,"SIM","NÃO")</f>
        <v>SIM</v>
      </c>
    </row>
    <row r="11" customFormat="false" ht="15" hidden="false" customHeight="false" outlineLevel="0" collapsed="false">
      <c r="A11" s="59" t="n">
        <v>46205.6204976852</v>
      </c>
      <c r="B11" s="60" t="s">
        <v>392</v>
      </c>
      <c r="C11" s="60" t="n">
        <v>22790725</v>
      </c>
      <c r="D11" s="60" t="s">
        <v>46</v>
      </c>
      <c r="E11" s="60" t="s">
        <v>22</v>
      </c>
      <c r="F11" s="60" t="s">
        <v>233</v>
      </c>
      <c r="G11" s="60" t="n">
        <v>29</v>
      </c>
      <c r="H11" s="61" t="n">
        <v>339.99</v>
      </c>
      <c r="I11" s="61" t="n">
        <v>42.11</v>
      </c>
      <c r="J11" s="61" t="n">
        <f aca="false">H11*Resumo!$C$6</f>
        <v>0</v>
      </c>
      <c r="K11" s="61" t="n">
        <f aca="false">H11*Resumo!$C$7</f>
        <v>0.713979</v>
      </c>
      <c r="L11" s="61" t="n">
        <f aca="false">H11*Resumo!$C$8</f>
        <v>0.713979</v>
      </c>
      <c r="M11" s="61" t="n">
        <f aca="false">Resumo!$C$10*CEILING(G11/100,1)</f>
        <v>1.05</v>
      </c>
      <c r="N11" s="61" t="n">
        <f aca="false">Resumo!$C$9</f>
        <v>0</v>
      </c>
      <c r="O11" s="61" t="n">
        <f aca="false">Resumo!$C$13</f>
        <v>13.55</v>
      </c>
      <c r="P11" s="61" t="n">
        <f aca="false">Resumo!$C$14*CEILING(G11,1)</f>
        <v>13.05</v>
      </c>
      <c r="Q11" s="61" t="n">
        <f aca="false">SUM(I11:P11)*Resumo!$C$11</f>
        <v>0</v>
      </c>
      <c r="R11" s="61" t="n">
        <f aca="false">SUM(I11:Q11)</f>
        <v>71.187958</v>
      </c>
      <c r="S11" s="61" t="n">
        <f aca="false">R11/(1-Resumo!$C$5)</f>
        <v>80.8954068181818</v>
      </c>
      <c r="T11" s="61" t="n">
        <v>82.21</v>
      </c>
      <c r="U11" s="61" t="n">
        <f aca="false">H11*Resumo!$B$6</f>
        <v>0.33999</v>
      </c>
      <c r="V11" s="61" t="n">
        <f aca="false">H11*Resumo!$B$7</f>
        <v>0.67998</v>
      </c>
      <c r="W11" s="61" t="n">
        <f aca="false">Resumo!$B$9</f>
        <v>1</v>
      </c>
      <c r="X11" s="61" t="n">
        <f aca="false">Resumo!$B$10*CEILING(G11/100,1)</f>
        <v>4.5</v>
      </c>
      <c r="Y11" s="61" t="n">
        <f aca="false">Resumo!$B$12*CEILING(G11,1)</f>
        <v>1.74</v>
      </c>
      <c r="Z11" s="61" t="n">
        <f aca="false">Resumo!$B$14*CEILING(G11,1)</f>
        <v>13.05</v>
      </c>
      <c r="AA11" s="61" t="n">
        <f aca="false">SUM(T11:Z11)</f>
        <v>103.51997</v>
      </c>
      <c r="AB11" s="61" t="n">
        <f aca="false">AA11/(1-Resumo!$B$5)</f>
        <v>117.636329545455</v>
      </c>
      <c r="AC11" s="61" t="n">
        <f aca="false">AB11-S11</f>
        <v>36.7409227272727</v>
      </c>
      <c r="AD11" s="62" t="n">
        <f aca="false">AB11/S11-1</f>
        <v>0.454178106920836</v>
      </c>
      <c r="AE11" s="60" t="str">
        <f aca="false">IF(AB11&lt;S11,"SIM","NÃO")</f>
        <v>NÃO</v>
      </c>
      <c r="AF11" s="60" t="n">
        <v>2</v>
      </c>
      <c r="AG11" s="60" t="n">
        <v>5</v>
      </c>
      <c r="AH11" s="60" t="s">
        <v>382</v>
      </c>
      <c r="AI11" s="61" t="n">
        <f aca="false">(T11*(1-Painel!$C$40)+U11+V11+Painel!$C$41+Painel!$C$42*CEILING(G11/100,1)+Painel!$C$43*CEILING(G11,1)+Z11)/(1-Resumo!$B$5)</f>
        <v>80.9098522727273</v>
      </c>
      <c r="AJ11" s="60" t="str">
        <f aca="false">IF(AI11&lt;S11,"SIM","NÃO")</f>
        <v>NÃO</v>
      </c>
    </row>
    <row r="12" customFormat="false" ht="15" hidden="false" customHeight="false" outlineLevel="0" collapsed="false">
      <c r="A12" s="59" t="n">
        <v>46205.661087963</v>
      </c>
      <c r="B12" s="60" t="s">
        <v>393</v>
      </c>
      <c r="C12" s="60" t="n">
        <v>25811005</v>
      </c>
      <c r="D12" s="60" t="s">
        <v>274</v>
      </c>
      <c r="E12" s="60" t="s">
        <v>24</v>
      </c>
      <c r="F12" s="60" t="s">
        <v>235</v>
      </c>
      <c r="G12" s="60" t="n">
        <v>48.3</v>
      </c>
      <c r="H12" s="61" t="n">
        <v>459.99</v>
      </c>
      <c r="I12" s="61" t="n">
        <v>77.7</v>
      </c>
      <c r="J12" s="61" t="n">
        <f aca="false">H12*Resumo!$C$6</f>
        <v>0</v>
      </c>
      <c r="K12" s="61" t="n">
        <f aca="false">H12*Resumo!$C$7</f>
        <v>0.965979</v>
      </c>
      <c r="L12" s="61" t="n">
        <f aca="false">H12*Resumo!$C$8</f>
        <v>0.965979</v>
      </c>
      <c r="M12" s="61" t="n">
        <f aca="false">Resumo!$C$10*CEILING(G12/100,1)</f>
        <v>1.05</v>
      </c>
      <c r="N12" s="61" t="n">
        <f aca="false">Resumo!$C$9</f>
        <v>0</v>
      </c>
      <c r="O12" s="61" t="n">
        <f aca="false">Resumo!$C$13</f>
        <v>13.55</v>
      </c>
      <c r="P12" s="61" t="n">
        <f aca="false">Resumo!$C$14*CEILING(G12,1)</f>
        <v>22.05</v>
      </c>
      <c r="Q12" s="61" t="n">
        <f aca="false">SUM(I12:P12)*Resumo!$C$11</f>
        <v>0</v>
      </c>
      <c r="R12" s="61" t="n">
        <f aca="false">SUM(I12:Q12)</f>
        <v>116.281958</v>
      </c>
      <c r="S12" s="61" t="n">
        <f aca="false">R12/(1-Resumo!$C$5)</f>
        <v>132.138588636364</v>
      </c>
      <c r="T12" s="61" t="n">
        <v>124.38</v>
      </c>
      <c r="U12" s="61" t="n">
        <f aca="false">H12*Resumo!$B$6</f>
        <v>0.45999</v>
      </c>
      <c r="V12" s="61" t="n">
        <f aca="false">H12*Resumo!$B$7</f>
        <v>0.91998</v>
      </c>
      <c r="W12" s="61" t="n">
        <f aca="false">Resumo!$B$9</f>
        <v>1</v>
      </c>
      <c r="X12" s="61" t="n">
        <f aca="false">Resumo!$B$10*CEILING(G12/100,1)</f>
        <v>4.5</v>
      </c>
      <c r="Y12" s="61" t="n">
        <f aca="false">Resumo!$B$12*CEILING(G12,1)</f>
        <v>2.94</v>
      </c>
      <c r="Z12" s="61" t="n">
        <f aca="false">Resumo!$B$14*CEILING(G12,1)</f>
        <v>22.05</v>
      </c>
      <c r="AA12" s="61" t="n">
        <f aca="false">SUM(T12:Z12)</f>
        <v>156.24997</v>
      </c>
      <c r="AB12" s="61" t="n">
        <f aca="false">AA12/(1-Resumo!$B$5)</f>
        <v>177.556784090909</v>
      </c>
      <c r="AC12" s="61" t="n">
        <f aca="false">AB12-S12</f>
        <v>45.4181954545455</v>
      </c>
      <c r="AD12" s="62" t="n">
        <f aca="false">AB12/S12-1</f>
        <v>0.343716365697936</v>
      </c>
      <c r="AE12" s="60" t="str">
        <f aca="false">IF(AB12&lt;S12,"SIM","NÃO")</f>
        <v>NÃO</v>
      </c>
      <c r="AF12" s="60" t="n">
        <v>13</v>
      </c>
      <c r="AG12" s="60" t="n">
        <v>8</v>
      </c>
      <c r="AH12" s="60" t="s">
        <v>385</v>
      </c>
      <c r="AI12" s="61" t="n">
        <f aca="false">(T12*(1-Painel!$C$40)+U12+V12+Painel!$C$41+Painel!$C$42*CEILING(G12/100,1)+Painel!$C$43*CEILING(G12,1)+Z12)/(1-Resumo!$B$5)</f>
        <v>123.652920454545</v>
      </c>
      <c r="AJ12" s="60" t="str">
        <f aca="false">IF(AI12&lt;S12,"SIM","NÃO")</f>
        <v>SIM</v>
      </c>
    </row>
    <row r="13" customFormat="false" ht="15" hidden="false" customHeight="false" outlineLevel="0" collapsed="false">
      <c r="A13" s="59" t="n">
        <v>46205.8112847222</v>
      </c>
      <c r="B13" s="60" t="s">
        <v>394</v>
      </c>
      <c r="C13" s="60" t="n">
        <v>24467575</v>
      </c>
      <c r="D13" s="60" t="s">
        <v>47</v>
      </c>
      <c r="E13" s="60" t="s">
        <v>23</v>
      </c>
      <c r="F13" s="60" t="s">
        <v>234</v>
      </c>
      <c r="G13" s="60" t="n">
        <v>40</v>
      </c>
      <c r="H13" s="61" t="n">
        <v>599.99</v>
      </c>
      <c r="I13" s="61" t="n">
        <v>66.83</v>
      </c>
      <c r="J13" s="61" t="n">
        <f aca="false">H13*Resumo!$C$6</f>
        <v>0</v>
      </c>
      <c r="K13" s="61" t="n">
        <f aca="false">H13*Resumo!$C$7</f>
        <v>1.259979</v>
      </c>
      <c r="L13" s="61" t="n">
        <f aca="false">H13*Resumo!$C$8</f>
        <v>1.259979</v>
      </c>
      <c r="M13" s="61" t="n">
        <f aca="false">Resumo!$C$10*CEILING(G13/100,1)</f>
        <v>1.05</v>
      </c>
      <c r="N13" s="61" t="n">
        <f aca="false">Resumo!$C$9</f>
        <v>0</v>
      </c>
      <c r="O13" s="61" t="n">
        <f aca="false">Resumo!$C$13</f>
        <v>13.55</v>
      </c>
      <c r="P13" s="61" t="n">
        <f aca="false">Resumo!$C$14*CEILING(G13,1)</f>
        <v>18</v>
      </c>
      <c r="Q13" s="61" t="n">
        <f aca="false">SUM(I13:P13)*Resumo!$C$11</f>
        <v>0</v>
      </c>
      <c r="R13" s="61" t="n">
        <f aca="false">SUM(I13:Q13)</f>
        <v>101.949958</v>
      </c>
      <c r="S13" s="61" t="n">
        <f aca="false">R13/(1-Resumo!$C$5)</f>
        <v>115.852225</v>
      </c>
      <c r="T13" s="61" t="n">
        <v>114.95</v>
      </c>
      <c r="U13" s="61" t="n">
        <f aca="false">H13*Resumo!$B$6</f>
        <v>0.59999</v>
      </c>
      <c r="V13" s="61" t="n">
        <f aca="false">H13*Resumo!$B$7</f>
        <v>1.19998</v>
      </c>
      <c r="W13" s="61" t="n">
        <f aca="false">Resumo!$B$9</f>
        <v>1</v>
      </c>
      <c r="X13" s="61" t="n">
        <f aca="false">Resumo!$B$10*CEILING(G13/100,1)</f>
        <v>4.5</v>
      </c>
      <c r="Y13" s="61" t="n">
        <f aca="false">Resumo!$B$12*CEILING(G13,1)</f>
        <v>2.4</v>
      </c>
      <c r="Z13" s="61" t="n">
        <f aca="false">Resumo!$B$14*CEILING(G13,1)</f>
        <v>18</v>
      </c>
      <c r="AA13" s="61" t="n">
        <f aca="false">SUM(T13:Z13)</f>
        <v>142.64997</v>
      </c>
      <c r="AB13" s="61" t="n">
        <f aca="false">AA13/(1-Resumo!$B$5)</f>
        <v>162.102238636364</v>
      </c>
      <c r="AC13" s="61" t="n">
        <f aca="false">AB13-S13</f>
        <v>46.2500136363637</v>
      </c>
      <c r="AD13" s="62" t="n">
        <f aca="false">AB13/S13-1</f>
        <v>0.399215583786705</v>
      </c>
      <c r="AE13" s="60" t="str">
        <f aca="false">IF(AB13&lt;S13,"SIM","NÃO")</f>
        <v>NÃO</v>
      </c>
      <c r="AF13" s="60" t="n">
        <v>2</v>
      </c>
      <c r="AG13" s="60" t="n">
        <v>7</v>
      </c>
      <c r="AH13" s="60" t="s">
        <v>382</v>
      </c>
      <c r="AI13" s="61" t="n">
        <f aca="false">(T13*(1-Painel!$C$40)+U13+V13+Painel!$C$41+Painel!$C$42*CEILING(G13/100,1)+Painel!$C$43*CEILING(G13,1)+Z13)/(1-Resumo!$B$5)</f>
        <v>112.348261363636</v>
      </c>
      <c r="AJ13" s="60" t="str">
        <f aca="false">IF(AI13&lt;S13,"SIM","NÃO")</f>
        <v>SIM</v>
      </c>
    </row>
    <row r="14" customFormat="false" ht="15" hidden="false" customHeight="false" outlineLevel="0" collapsed="false">
      <c r="A14" s="59" t="n">
        <v>46206.297962963</v>
      </c>
      <c r="B14" s="60" t="s">
        <v>395</v>
      </c>
      <c r="C14" s="60" t="n">
        <v>26116340</v>
      </c>
      <c r="D14" s="60" t="s">
        <v>52</v>
      </c>
      <c r="E14" s="60" t="s">
        <v>23</v>
      </c>
      <c r="F14" s="60" t="s">
        <v>235</v>
      </c>
      <c r="G14" s="60" t="n">
        <v>45.3</v>
      </c>
      <c r="H14" s="61" t="n">
        <v>699.99</v>
      </c>
      <c r="I14" s="61" t="n">
        <v>65.36</v>
      </c>
      <c r="J14" s="61" t="n">
        <f aca="false">H14*Resumo!$C$6</f>
        <v>0</v>
      </c>
      <c r="K14" s="61" t="n">
        <f aca="false">H14*Resumo!$C$7</f>
        <v>1.469979</v>
      </c>
      <c r="L14" s="61" t="n">
        <f aca="false">H14*Resumo!$C$8</f>
        <v>1.469979</v>
      </c>
      <c r="M14" s="61" t="n">
        <f aca="false">Resumo!$C$10*CEILING(G14/100,1)</f>
        <v>1.05</v>
      </c>
      <c r="N14" s="61" t="n">
        <f aca="false">Resumo!$C$9</f>
        <v>0</v>
      </c>
      <c r="O14" s="61" t="n">
        <f aca="false">Resumo!$C$13</f>
        <v>13.55</v>
      </c>
      <c r="P14" s="61" t="n">
        <f aca="false">Resumo!$C$14*CEILING(G14,1)</f>
        <v>20.7</v>
      </c>
      <c r="Q14" s="61" t="n">
        <f aca="false">SUM(I14:P14)*Resumo!$C$11</f>
        <v>0</v>
      </c>
      <c r="R14" s="61" t="n">
        <f aca="false">SUM(I14:Q14)</f>
        <v>103.599958</v>
      </c>
      <c r="S14" s="61" t="n">
        <f aca="false">R14/(1-Resumo!$C$5)</f>
        <v>117.727225</v>
      </c>
      <c r="T14" s="61" t="n">
        <v>93.97</v>
      </c>
      <c r="U14" s="61" t="n">
        <f aca="false">H14*Resumo!$B$6</f>
        <v>0.69999</v>
      </c>
      <c r="V14" s="61" t="n">
        <f aca="false">H14*Resumo!$B$7</f>
        <v>1.39998</v>
      </c>
      <c r="W14" s="61" t="n">
        <f aca="false">Resumo!$B$9</f>
        <v>1</v>
      </c>
      <c r="X14" s="61" t="n">
        <f aca="false">Resumo!$B$10*CEILING(G14/100,1)</f>
        <v>4.5</v>
      </c>
      <c r="Y14" s="61" t="n">
        <f aca="false">Resumo!$B$12*CEILING(G14,1)</f>
        <v>2.76</v>
      </c>
      <c r="Z14" s="61" t="n">
        <f aca="false">Resumo!$B$14*CEILING(G14,1)</f>
        <v>20.7</v>
      </c>
      <c r="AA14" s="61" t="n">
        <f aca="false">SUM(T14:Z14)</f>
        <v>125.02997</v>
      </c>
      <c r="AB14" s="61" t="n">
        <f aca="false">AA14/(1-Resumo!$B$5)</f>
        <v>142.079511363636</v>
      </c>
      <c r="AC14" s="61" t="n">
        <f aca="false">AB14-S14</f>
        <v>24.3522863636364</v>
      </c>
      <c r="AD14" s="62" t="n">
        <f aca="false">AB14/S14-1</f>
        <v>0.206853481542917</v>
      </c>
      <c r="AE14" s="60" t="str">
        <f aca="false">IF(AB14&lt;S14,"SIM","NÃO")</f>
        <v>NÃO</v>
      </c>
      <c r="AF14" s="60" t="n">
        <v>2</v>
      </c>
      <c r="AG14" s="60" t="n">
        <v>5</v>
      </c>
      <c r="AH14" s="60" t="s">
        <v>382</v>
      </c>
      <c r="AI14" s="61" t="n">
        <f aca="false">(T14*(1-Painel!$C$40)+U14+V14+Painel!$C$41+Painel!$C$42*CEILING(G14/100,1)+Painel!$C$43*CEILING(G14,1)+Z14)/(1-Resumo!$B$5)</f>
        <v>99.7839431818182</v>
      </c>
      <c r="AJ14" s="60" t="str">
        <f aca="false">IF(AI14&lt;S14,"SIM","NÃO")</f>
        <v>SIM</v>
      </c>
    </row>
    <row r="15" customFormat="false" ht="15" hidden="false" customHeight="false" outlineLevel="0" collapsed="false">
      <c r="A15" s="59" t="n">
        <v>46206.4154398148</v>
      </c>
      <c r="B15" s="60" t="s">
        <v>396</v>
      </c>
      <c r="C15" s="60" t="n">
        <v>24350042</v>
      </c>
      <c r="D15" s="60" t="s">
        <v>50</v>
      </c>
      <c r="E15" s="60" t="s">
        <v>23</v>
      </c>
      <c r="F15" s="60" t="s">
        <v>237</v>
      </c>
      <c r="G15" s="60" t="n">
        <v>69</v>
      </c>
      <c r="H15" s="61" t="n">
        <v>640.19</v>
      </c>
      <c r="I15" s="61" t="n">
        <v>76.55</v>
      </c>
      <c r="J15" s="61" t="n">
        <f aca="false">H15*Resumo!$C$6</f>
        <v>0</v>
      </c>
      <c r="K15" s="61" t="n">
        <f aca="false">H15*Resumo!$C$7</f>
        <v>1.344399</v>
      </c>
      <c r="L15" s="61" t="n">
        <f aca="false">H15*Resumo!$C$8</f>
        <v>1.344399</v>
      </c>
      <c r="M15" s="61" t="n">
        <f aca="false">Resumo!$C$10*CEILING(G15/100,1)</f>
        <v>1.05</v>
      </c>
      <c r="N15" s="61" t="n">
        <f aca="false">Resumo!$C$9</f>
        <v>0</v>
      </c>
      <c r="O15" s="61" t="n">
        <f aca="false">Resumo!$C$13</f>
        <v>13.55</v>
      </c>
      <c r="P15" s="61" t="n">
        <f aca="false">Resumo!$C$14*CEILING(G15,1)</f>
        <v>31.05</v>
      </c>
      <c r="Q15" s="61" t="n">
        <f aca="false">SUM(I15:P15)*Resumo!$C$11</f>
        <v>0</v>
      </c>
      <c r="R15" s="61" t="n">
        <f aca="false">SUM(I15:Q15)</f>
        <v>124.888798</v>
      </c>
      <c r="S15" s="61" t="n">
        <f aca="false">R15/(1-Resumo!$C$5)</f>
        <v>141.919088636364</v>
      </c>
      <c r="T15" s="61" t="n">
        <v>149.5</v>
      </c>
      <c r="U15" s="61" t="n">
        <f aca="false">H15*Resumo!$B$6</f>
        <v>0.64019</v>
      </c>
      <c r="V15" s="61" t="n">
        <f aca="false">H15*Resumo!$B$7</f>
        <v>1.28038</v>
      </c>
      <c r="W15" s="61" t="n">
        <f aca="false">Resumo!$B$9</f>
        <v>1</v>
      </c>
      <c r="X15" s="61" t="n">
        <f aca="false">Resumo!$B$10*CEILING(G15/100,1)</f>
        <v>4.5</v>
      </c>
      <c r="Y15" s="61" t="n">
        <f aca="false">Resumo!$B$12*CEILING(G15,1)</f>
        <v>4.14</v>
      </c>
      <c r="Z15" s="61" t="n">
        <f aca="false">Resumo!$B$14*CEILING(G15,1)</f>
        <v>31.05</v>
      </c>
      <c r="AA15" s="61" t="n">
        <f aca="false">SUM(T15:Z15)</f>
        <v>192.11057</v>
      </c>
      <c r="AB15" s="61" t="n">
        <f aca="false">AA15/(1-Resumo!$B$5)</f>
        <v>218.307465909091</v>
      </c>
      <c r="AC15" s="61" t="n">
        <f aca="false">AB15-S15</f>
        <v>76.3883772727273</v>
      </c>
      <c r="AD15" s="62" t="n">
        <f aca="false">AB15/S15-1</f>
        <v>0.538253014493742</v>
      </c>
      <c r="AE15" s="60" t="str">
        <f aca="false">IF(AB15&lt;S15,"SIM","NÃO")</f>
        <v>NÃO</v>
      </c>
      <c r="AF15" s="60" t="n">
        <v>2</v>
      </c>
      <c r="AG15" s="60" t="n">
        <v>7</v>
      </c>
      <c r="AH15" s="60" t="s">
        <v>382</v>
      </c>
      <c r="AI15" s="61" t="n">
        <f aca="false">(T15*(1-Painel!$C$40)+U15+V15+Painel!$C$41+Painel!$C$42*CEILING(G15/100,1)+Painel!$C$43*CEILING(G15,1)+Z15)/(1-Resumo!$B$5)</f>
        <v>153.619965909091</v>
      </c>
      <c r="AJ15" s="60" t="str">
        <f aca="false">IF(AI15&lt;S15,"SIM","NÃO")</f>
        <v>NÃO</v>
      </c>
    </row>
    <row r="16" customFormat="false" ht="15" hidden="false" customHeight="false" outlineLevel="0" collapsed="false">
      <c r="A16" s="59" t="n">
        <v>46206.5290393519</v>
      </c>
      <c r="B16" s="60" t="s">
        <v>397</v>
      </c>
      <c r="C16" s="60" t="n">
        <v>25945865</v>
      </c>
      <c r="D16" s="60" t="s">
        <v>280</v>
      </c>
      <c r="E16" s="60" t="s">
        <v>24</v>
      </c>
      <c r="F16" s="60" t="s">
        <v>237</v>
      </c>
      <c r="G16" s="60" t="n">
        <v>69.45</v>
      </c>
      <c r="H16" s="61" t="n">
        <v>849.99</v>
      </c>
      <c r="I16" s="61" t="n">
        <v>90.2</v>
      </c>
      <c r="J16" s="61" t="n">
        <f aca="false">H16*Resumo!$C$6</f>
        <v>0</v>
      </c>
      <c r="K16" s="61" t="n">
        <f aca="false">H16*Resumo!$C$7</f>
        <v>1.784979</v>
      </c>
      <c r="L16" s="61" t="n">
        <f aca="false">H16*Resumo!$C$8</f>
        <v>1.784979</v>
      </c>
      <c r="M16" s="61" t="n">
        <f aca="false">Resumo!$C$10*CEILING(G16/100,1)</f>
        <v>1.05</v>
      </c>
      <c r="N16" s="61" t="n">
        <f aca="false">Resumo!$C$9</f>
        <v>0</v>
      </c>
      <c r="O16" s="61" t="n">
        <f aca="false">Resumo!$C$13</f>
        <v>13.55</v>
      </c>
      <c r="P16" s="61" t="n">
        <f aca="false">Resumo!$C$14*CEILING(G16,1)</f>
        <v>31.5</v>
      </c>
      <c r="Q16" s="61" t="n">
        <f aca="false">SUM(I16:P16)*Resumo!$C$11</f>
        <v>0</v>
      </c>
      <c r="R16" s="61" t="n">
        <f aca="false">SUM(I16:Q16)</f>
        <v>139.869958</v>
      </c>
      <c r="S16" s="61" t="n">
        <f aca="false">R16/(1-Resumo!$C$5)</f>
        <v>158.943134090909</v>
      </c>
      <c r="T16" s="61" t="n">
        <v>136.53</v>
      </c>
      <c r="U16" s="61" t="n">
        <f aca="false">H16*Resumo!$B$6</f>
        <v>0.84999</v>
      </c>
      <c r="V16" s="61" t="n">
        <f aca="false">H16*Resumo!$B$7</f>
        <v>1.69998</v>
      </c>
      <c r="W16" s="61" t="n">
        <f aca="false">Resumo!$B$9</f>
        <v>1</v>
      </c>
      <c r="X16" s="61" t="n">
        <f aca="false">Resumo!$B$10*CEILING(G16/100,1)</f>
        <v>4.5</v>
      </c>
      <c r="Y16" s="61" t="n">
        <f aca="false">Resumo!$B$12*CEILING(G16,1)</f>
        <v>4.2</v>
      </c>
      <c r="Z16" s="61" t="n">
        <f aca="false">Resumo!$B$14*CEILING(G16,1)</f>
        <v>31.5</v>
      </c>
      <c r="AA16" s="61" t="n">
        <f aca="false">SUM(T16:Z16)</f>
        <v>180.27997</v>
      </c>
      <c r="AB16" s="61" t="n">
        <f aca="false">AA16/(1-Resumo!$B$5)</f>
        <v>204.863602272727</v>
      </c>
      <c r="AC16" s="61" t="n">
        <f aca="false">AB16-S16</f>
        <v>45.9204681818182</v>
      </c>
      <c r="AD16" s="62" t="n">
        <f aca="false">AB16/S16-1</f>
        <v>0.28891130431311</v>
      </c>
      <c r="AE16" s="60" t="str">
        <f aca="false">IF(AB16&lt;S16,"SIM","NÃO")</f>
        <v>NÃO</v>
      </c>
      <c r="AF16" s="60" t="n">
        <v>13</v>
      </c>
      <c r="AG16" s="60" t="n">
        <v>6</v>
      </c>
      <c r="AH16" s="60" t="s">
        <v>385</v>
      </c>
      <c r="AI16" s="61" t="n">
        <f aca="false">(T16*(1-Painel!$C$40)+U16+V16+Painel!$C$41+Painel!$C$42*CEILING(G16/100,1)+Painel!$C$43*CEILING(G16,1)+Z16)/(1-Resumo!$B$5)</f>
        <v>144.971670454545</v>
      </c>
      <c r="AJ16" s="60" t="str">
        <f aca="false">IF(AI16&lt;S16,"SIM","NÃO")</f>
        <v>SIM</v>
      </c>
    </row>
    <row r="17" customFormat="false" ht="15" hidden="false" customHeight="false" outlineLevel="0" collapsed="false">
      <c r="A17" s="59" t="n">
        <v>46206.5460532407</v>
      </c>
      <c r="B17" s="60" t="s">
        <v>398</v>
      </c>
      <c r="C17" s="60" t="n">
        <v>23078415</v>
      </c>
      <c r="D17" s="60" t="s">
        <v>46</v>
      </c>
      <c r="E17" s="60" t="s">
        <v>22</v>
      </c>
      <c r="F17" s="60" t="s">
        <v>234</v>
      </c>
      <c r="G17" s="60" t="n">
        <v>35.3</v>
      </c>
      <c r="H17" s="61" t="n">
        <v>529.95</v>
      </c>
      <c r="I17" s="61" t="n">
        <v>48.35</v>
      </c>
      <c r="J17" s="61" t="n">
        <f aca="false">H17*Resumo!$C$6</f>
        <v>0</v>
      </c>
      <c r="K17" s="61" t="n">
        <f aca="false">H17*Resumo!$C$7</f>
        <v>1.112895</v>
      </c>
      <c r="L17" s="61" t="n">
        <f aca="false">H17*Resumo!$C$8</f>
        <v>1.112895</v>
      </c>
      <c r="M17" s="61" t="n">
        <f aca="false">Resumo!$C$10*CEILING(G17/100,1)</f>
        <v>1.05</v>
      </c>
      <c r="N17" s="61" t="n">
        <f aca="false">Resumo!$C$9</f>
        <v>0</v>
      </c>
      <c r="O17" s="61" t="n">
        <f aca="false">Resumo!$C$13</f>
        <v>13.55</v>
      </c>
      <c r="P17" s="61" t="n">
        <f aca="false">Resumo!$C$14*CEILING(G17,1)</f>
        <v>16.2</v>
      </c>
      <c r="Q17" s="61" t="n">
        <f aca="false">SUM(I17:P17)*Resumo!$C$11</f>
        <v>0</v>
      </c>
      <c r="R17" s="61" t="n">
        <f aca="false">SUM(I17:Q17)</f>
        <v>81.37579</v>
      </c>
      <c r="S17" s="61" t="n">
        <f aca="false">R17/(1-Resumo!$C$5)</f>
        <v>92.4724886363637</v>
      </c>
      <c r="T17" s="61" t="n">
        <v>93.97</v>
      </c>
      <c r="U17" s="61" t="n">
        <f aca="false">H17*Resumo!$B$6</f>
        <v>0.52995</v>
      </c>
      <c r="V17" s="61" t="n">
        <f aca="false">H17*Resumo!$B$7</f>
        <v>1.0599</v>
      </c>
      <c r="W17" s="61" t="n">
        <f aca="false">Resumo!$B$9</f>
        <v>1</v>
      </c>
      <c r="X17" s="61" t="n">
        <f aca="false">Resumo!$B$10*CEILING(G17/100,1)</f>
        <v>4.5</v>
      </c>
      <c r="Y17" s="61" t="n">
        <f aca="false">Resumo!$B$12*CEILING(G17,1)</f>
        <v>2.16</v>
      </c>
      <c r="Z17" s="61" t="n">
        <f aca="false">Resumo!$B$14*CEILING(G17,1)</f>
        <v>16.2</v>
      </c>
      <c r="AA17" s="61" t="n">
        <f aca="false">SUM(T17:Z17)</f>
        <v>119.41985</v>
      </c>
      <c r="AB17" s="61" t="n">
        <f aca="false">AA17/(1-Resumo!$B$5)</f>
        <v>135.704375</v>
      </c>
      <c r="AC17" s="61" t="n">
        <f aca="false">AB17-S17</f>
        <v>43.2318863636364</v>
      </c>
      <c r="AD17" s="62" t="n">
        <f aca="false">AB17/S17-1</f>
        <v>0.467510791600303</v>
      </c>
      <c r="AE17" s="60" t="str">
        <f aca="false">IF(AB17&lt;S17,"SIM","NÃO")</f>
        <v>NÃO</v>
      </c>
      <c r="AF17" s="60" t="n">
        <v>2</v>
      </c>
      <c r="AG17" s="60" t="n">
        <v>5</v>
      </c>
      <c r="AH17" s="60" t="s">
        <v>382</v>
      </c>
      <c r="AI17" s="61" t="n">
        <f aca="false">(T17*(1-Painel!$C$40)+U17+V17+Painel!$C$41+Painel!$C$42*CEILING(G17/100,1)+Painel!$C$43*CEILING(G17,1)+Z17)/(1-Resumo!$B$5)</f>
        <v>94.090625</v>
      </c>
      <c r="AJ17" s="60" t="str">
        <f aca="false">IF(AI17&lt;S17,"SIM","NÃO")</f>
        <v>NÃO</v>
      </c>
    </row>
    <row r="18" customFormat="false" ht="15" hidden="false" customHeight="false" outlineLevel="0" collapsed="false">
      <c r="A18" s="59" t="n">
        <v>46206.8274884259</v>
      </c>
      <c r="B18" s="60" t="s">
        <v>399</v>
      </c>
      <c r="C18" s="60" t="n">
        <v>20785224</v>
      </c>
      <c r="D18" s="60" t="s">
        <v>46</v>
      </c>
      <c r="E18" s="60" t="s">
        <v>22</v>
      </c>
      <c r="F18" s="60" t="s">
        <v>233</v>
      </c>
      <c r="G18" s="60" t="n">
        <v>33.3</v>
      </c>
      <c r="H18" s="61" t="n">
        <v>459.99</v>
      </c>
      <c r="I18" s="61" t="n">
        <v>42.11</v>
      </c>
      <c r="J18" s="61" t="n">
        <f aca="false">H18*Resumo!$C$6</f>
        <v>0</v>
      </c>
      <c r="K18" s="61" t="n">
        <f aca="false">H18*Resumo!$C$7</f>
        <v>0.965979</v>
      </c>
      <c r="L18" s="61" t="n">
        <f aca="false">H18*Resumo!$C$8</f>
        <v>0.965979</v>
      </c>
      <c r="M18" s="61" t="n">
        <f aca="false">Resumo!$C$10*CEILING(G18/100,1)</f>
        <v>1.05</v>
      </c>
      <c r="N18" s="61" t="n">
        <f aca="false">Resumo!$C$9</f>
        <v>0</v>
      </c>
      <c r="O18" s="61" t="n">
        <f aca="false">Resumo!$C$13</f>
        <v>13.55</v>
      </c>
      <c r="P18" s="61" t="n">
        <f aca="false">Resumo!$C$14*CEILING(G18,1)</f>
        <v>15.3</v>
      </c>
      <c r="Q18" s="61" t="n">
        <f aca="false">SUM(I18:P18)*Resumo!$C$11</f>
        <v>0</v>
      </c>
      <c r="R18" s="61" t="n">
        <f aca="false">SUM(I18:Q18)</f>
        <v>73.941958</v>
      </c>
      <c r="S18" s="61" t="n">
        <f aca="false">R18/(1-Resumo!$C$5)</f>
        <v>84.0249522727273</v>
      </c>
      <c r="T18" s="61" t="n">
        <v>82.21</v>
      </c>
      <c r="U18" s="61" t="n">
        <f aca="false">H18*Resumo!$B$6</f>
        <v>0.45999</v>
      </c>
      <c r="V18" s="61" t="n">
        <f aca="false">H18*Resumo!$B$7</f>
        <v>0.91998</v>
      </c>
      <c r="W18" s="61" t="n">
        <f aca="false">Resumo!$B$9</f>
        <v>1</v>
      </c>
      <c r="X18" s="61" t="n">
        <f aca="false">Resumo!$B$10*CEILING(G18/100,1)</f>
        <v>4.5</v>
      </c>
      <c r="Y18" s="61" t="n">
        <f aca="false">Resumo!$B$12*CEILING(G18,1)</f>
        <v>2.04</v>
      </c>
      <c r="Z18" s="61" t="n">
        <f aca="false">Resumo!$B$14*CEILING(G18,1)</f>
        <v>15.3</v>
      </c>
      <c r="AA18" s="61" t="n">
        <f aca="false">SUM(T18:Z18)</f>
        <v>106.42997</v>
      </c>
      <c r="AB18" s="61" t="n">
        <f aca="false">AA18/(1-Resumo!$B$5)</f>
        <v>120.943147727273</v>
      </c>
      <c r="AC18" s="61" t="n">
        <f aca="false">AB18-S18</f>
        <v>36.9181954545455</v>
      </c>
      <c r="AD18" s="62" t="n">
        <f aca="false">AB18/S18-1</f>
        <v>0.439371811062942</v>
      </c>
      <c r="AE18" s="60" t="str">
        <f aca="false">IF(AB18&lt;S18,"SIM","NÃO")</f>
        <v>NÃO</v>
      </c>
      <c r="AF18" s="60" t="n">
        <v>2</v>
      </c>
      <c r="AG18" s="60" t="n">
        <v>5</v>
      </c>
      <c r="AH18" s="60" t="s">
        <v>382</v>
      </c>
      <c r="AI18" s="61" t="n">
        <f aca="false">(T18*(1-Painel!$C$40)+U18+V18+Painel!$C$41+Painel!$C$42*CEILING(G18/100,1)+Painel!$C$43*CEILING(G18,1)+Z18)/(1-Resumo!$B$5)</f>
        <v>83.8757613636363</v>
      </c>
      <c r="AJ18" s="60" t="str">
        <f aca="false">IF(AI18&lt;S18,"SIM","NÃO")</f>
        <v>SIM</v>
      </c>
    </row>
    <row r="19" customFormat="false" ht="15" hidden="false" customHeight="false" outlineLevel="0" collapsed="false">
      <c r="A19" s="59" t="n">
        <v>46206.9037847222</v>
      </c>
      <c r="B19" s="60" t="s">
        <v>400</v>
      </c>
      <c r="C19" s="60" t="n">
        <v>27948310</v>
      </c>
      <c r="D19" s="60" t="s">
        <v>53</v>
      </c>
      <c r="E19" s="60" t="s">
        <v>24</v>
      </c>
      <c r="F19" s="60" t="s">
        <v>241</v>
      </c>
      <c r="G19" s="60" t="n">
        <v>124.2</v>
      </c>
      <c r="H19" s="61" t="n">
        <v>1699.99</v>
      </c>
      <c r="I19" s="61" t="n">
        <v>144.24</v>
      </c>
      <c r="J19" s="61" t="n">
        <f aca="false">H19*Resumo!$C$6</f>
        <v>0</v>
      </c>
      <c r="K19" s="61" t="n">
        <f aca="false">H19*Resumo!$C$7</f>
        <v>3.569979</v>
      </c>
      <c r="L19" s="61" t="n">
        <f aca="false">H19*Resumo!$C$8</f>
        <v>3.569979</v>
      </c>
      <c r="M19" s="61" t="n">
        <f aca="false">Resumo!$C$10*CEILING(G19/100,1)</f>
        <v>2.1</v>
      </c>
      <c r="N19" s="61" t="n">
        <f aca="false">Resumo!$C$9</f>
        <v>0</v>
      </c>
      <c r="O19" s="61" t="n">
        <f aca="false">Resumo!$C$13</f>
        <v>13.55</v>
      </c>
      <c r="P19" s="61" t="n">
        <f aca="false">Resumo!$C$14*CEILING(G19,1)</f>
        <v>56.25</v>
      </c>
      <c r="Q19" s="61" t="n">
        <f aca="false">SUM(I19:P19)*Resumo!$C$11</f>
        <v>0</v>
      </c>
      <c r="R19" s="61" t="n">
        <f aca="false">SUM(I19:Q19)</f>
        <v>223.279958</v>
      </c>
      <c r="S19" s="61" t="n">
        <f aca="false">R19/(1-Resumo!$C$5)</f>
        <v>253.727225</v>
      </c>
      <c r="T19" s="61" t="n">
        <v>264.84</v>
      </c>
      <c r="U19" s="61" t="n">
        <f aca="false">H19*Resumo!$B$6</f>
        <v>1.69999</v>
      </c>
      <c r="V19" s="61" t="n">
        <f aca="false">H19*Resumo!$B$7</f>
        <v>3.39998</v>
      </c>
      <c r="W19" s="61" t="n">
        <f aca="false">Resumo!$B$9</f>
        <v>1</v>
      </c>
      <c r="X19" s="61" t="n">
        <f aca="false">Resumo!$B$10*CEILING(G19/100,1)</f>
        <v>9</v>
      </c>
      <c r="Y19" s="61" t="n">
        <f aca="false">Resumo!$B$12*CEILING(G19,1)</f>
        <v>7.5</v>
      </c>
      <c r="Z19" s="61" t="n">
        <f aca="false">Resumo!$B$14*CEILING(G19,1)</f>
        <v>56.25</v>
      </c>
      <c r="AA19" s="61" t="n">
        <f aca="false">SUM(T19:Z19)</f>
        <v>343.68997</v>
      </c>
      <c r="AB19" s="61" t="n">
        <f aca="false">AA19/(1-Resumo!$B$5)</f>
        <v>390.556784090909</v>
      </c>
      <c r="AC19" s="61" t="n">
        <f aca="false">AB19-S19</f>
        <v>136.829559090909</v>
      </c>
      <c r="AD19" s="62" t="n">
        <f aca="false">AB19/S19-1</f>
        <v>0.539278191730939</v>
      </c>
      <c r="AE19" s="60" t="str">
        <f aca="false">IF(AB19&lt;S19,"SIM","NÃO")</f>
        <v>NÃO</v>
      </c>
      <c r="AF19" s="60" t="n">
        <v>13</v>
      </c>
      <c r="AG19" s="60" t="n">
        <v>11</v>
      </c>
      <c r="AH19" s="60" t="s">
        <v>382</v>
      </c>
      <c r="AI19" s="61" t="n">
        <f aca="false">(T19*(1-Painel!$C$40)+U19+V19+Painel!$C$41+Painel!$C$42*CEILING(G19/100,1)+Painel!$C$43*CEILING(G19,1)+Z19)/(1-Resumo!$B$5)</f>
        <v>274.878147727273</v>
      </c>
      <c r="AJ19" s="60" t="str">
        <f aca="false">IF(AI19&lt;S19,"SIM","NÃO")</f>
        <v>NÃO</v>
      </c>
    </row>
    <row r="20" customFormat="false" ht="15" hidden="false" customHeight="false" outlineLevel="0" collapsed="false">
      <c r="A20" s="59" t="n">
        <v>46206.9302893519</v>
      </c>
      <c r="B20" s="60" t="s">
        <v>401</v>
      </c>
      <c r="C20" s="60" t="n">
        <v>21361190</v>
      </c>
      <c r="D20" s="60" t="s">
        <v>46</v>
      </c>
      <c r="E20" s="60" t="s">
        <v>22</v>
      </c>
      <c r="F20" s="60" t="s">
        <v>235</v>
      </c>
      <c r="G20" s="60" t="n">
        <v>45.3</v>
      </c>
      <c r="H20" s="61" t="n">
        <v>699.99</v>
      </c>
      <c r="I20" s="61" t="n">
        <v>53.55</v>
      </c>
      <c r="J20" s="61" t="n">
        <f aca="false">H20*Resumo!$C$6</f>
        <v>0</v>
      </c>
      <c r="K20" s="61" t="n">
        <f aca="false">H20*Resumo!$C$7</f>
        <v>1.469979</v>
      </c>
      <c r="L20" s="61" t="n">
        <f aca="false">H20*Resumo!$C$8</f>
        <v>1.469979</v>
      </c>
      <c r="M20" s="61" t="n">
        <f aca="false">Resumo!$C$10*CEILING(G20/100,1)</f>
        <v>1.05</v>
      </c>
      <c r="N20" s="61" t="n">
        <f aca="false">Resumo!$C$9</f>
        <v>0</v>
      </c>
      <c r="O20" s="61" t="n">
        <f aca="false">Resumo!$C$13</f>
        <v>13.55</v>
      </c>
      <c r="P20" s="61" t="n">
        <f aca="false">Resumo!$C$14*CEILING(G20,1)</f>
        <v>20.7</v>
      </c>
      <c r="Q20" s="61" t="n">
        <f aca="false">SUM(I20:P20)*Resumo!$C$11</f>
        <v>0</v>
      </c>
      <c r="R20" s="61" t="n">
        <f aca="false">SUM(I20:Q20)</f>
        <v>91.789958</v>
      </c>
      <c r="S20" s="61" t="n">
        <f aca="false">R20/(1-Resumo!$C$5)</f>
        <v>104.306770454545</v>
      </c>
      <c r="T20" s="61" t="n">
        <v>93.97</v>
      </c>
      <c r="U20" s="61" t="n">
        <f aca="false">H20*Resumo!$B$6</f>
        <v>0.69999</v>
      </c>
      <c r="V20" s="61" t="n">
        <f aca="false">H20*Resumo!$B$7</f>
        <v>1.39998</v>
      </c>
      <c r="W20" s="61" t="n">
        <f aca="false">Resumo!$B$9</f>
        <v>1</v>
      </c>
      <c r="X20" s="61" t="n">
        <f aca="false">Resumo!$B$10*CEILING(G20/100,1)</f>
        <v>4.5</v>
      </c>
      <c r="Y20" s="61" t="n">
        <f aca="false">Resumo!$B$12*CEILING(G20,1)</f>
        <v>2.76</v>
      </c>
      <c r="Z20" s="61" t="n">
        <f aca="false">Resumo!$B$14*CEILING(G20,1)</f>
        <v>20.7</v>
      </c>
      <c r="AA20" s="61" t="n">
        <f aca="false">SUM(T20:Z20)</f>
        <v>125.02997</v>
      </c>
      <c r="AB20" s="61" t="n">
        <f aca="false">AA20/(1-Resumo!$B$5)</f>
        <v>142.079511363636</v>
      </c>
      <c r="AC20" s="61" t="n">
        <f aca="false">AB20-S20</f>
        <v>37.7727409090909</v>
      </c>
      <c r="AD20" s="62" t="n">
        <f aca="false">AB20/S20-1</f>
        <v>0.362131247516204</v>
      </c>
      <c r="AE20" s="60" t="str">
        <f aca="false">IF(AB20&lt;S20,"SIM","NÃO")</f>
        <v>NÃO</v>
      </c>
      <c r="AF20" s="60" t="n">
        <v>2</v>
      </c>
      <c r="AG20" s="60" t="n">
        <v>5</v>
      </c>
      <c r="AH20" s="60" t="s">
        <v>382</v>
      </c>
      <c r="AI20" s="61" t="n">
        <f aca="false">(T20*(1-Painel!$C$40)+U20+V20+Painel!$C$41+Painel!$C$42*CEILING(G20/100,1)+Painel!$C$43*CEILING(G20,1)+Z20)/(1-Resumo!$B$5)</f>
        <v>99.7839431818182</v>
      </c>
      <c r="AJ20" s="60" t="str">
        <f aca="false">IF(AI20&lt;S20,"SIM","NÃO")</f>
        <v>SIM</v>
      </c>
    </row>
    <row r="21" customFormat="false" ht="15" hidden="false" customHeight="false" outlineLevel="0" collapsed="false">
      <c r="A21" s="59" t="n">
        <v>46206.9387152778</v>
      </c>
      <c r="B21" s="60" t="s">
        <v>402</v>
      </c>
      <c r="C21" s="60" t="n">
        <v>22050002</v>
      </c>
      <c r="D21" s="60" t="s">
        <v>46</v>
      </c>
      <c r="E21" s="60" t="s">
        <v>22</v>
      </c>
      <c r="F21" s="60" t="s">
        <v>233</v>
      </c>
      <c r="G21" s="60" t="n">
        <v>27.5</v>
      </c>
      <c r="H21" s="61" t="n">
        <v>332.99</v>
      </c>
      <c r="I21" s="61" t="n">
        <v>42.11</v>
      </c>
      <c r="J21" s="61" t="n">
        <f aca="false">H21*Resumo!$C$6</f>
        <v>0</v>
      </c>
      <c r="K21" s="61" t="n">
        <f aca="false">H21*Resumo!$C$7</f>
        <v>0.699279</v>
      </c>
      <c r="L21" s="61" t="n">
        <f aca="false">H21*Resumo!$C$8</f>
        <v>0.699279</v>
      </c>
      <c r="M21" s="61" t="n">
        <f aca="false">Resumo!$C$10*CEILING(G21/100,1)</f>
        <v>1.05</v>
      </c>
      <c r="N21" s="61" t="n">
        <f aca="false">Resumo!$C$9</f>
        <v>0</v>
      </c>
      <c r="O21" s="61" t="n">
        <f aca="false">Resumo!$C$13</f>
        <v>13.55</v>
      </c>
      <c r="P21" s="61" t="n">
        <f aca="false">Resumo!$C$14*CEILING(G21,1)</f>
        <v>12.6</v>
      </c>
      <c r="Q21" s="61" t="n">
        <f aca="false">SUM(I21:P21)*Resumo!$C$11</f>
        <v>0</v>
      </c>
      <c r="R21" s="61" t="n">
        <f aca="false">SUM(I21:Q21)</f>
        <v>70.708558</v>
      </c>
      <c r="S21" s="61" t="n">
        <f aca="false">R21/(1-Resumo!$C$5)</f>
        <v>80.3506340909091</v>
      </c>
      <c r="T21" s="61" t="n">
        <v>82.21</v>
      </c>
      <c r="U21" s="61" t="n">
        <f aca="false">H21*Resumo!$B$6</f>
        <v>0.33299</v>
      </c>
      <c r="V21" s="61" t="n">
        <f aca="false">H21*Resumo!$B$7</f>
        <v>0.66598</v>
      </c>
      <c r="W21" s="61" t="n">
        <f aca="false">Resumo!$B$9</f>
        <v>1</v>
      </c>
      <c r="X21" s="61" t="n">
        <f aca="false">Resumo!$B$10*CEILING(G21/100,1)</f>
        <v>4.5</v>
      </c>
      <c r="Y21" s="61" t="n">
        <f aca="false">Resumo!$B$12*CEILING(G21,1)</f>
        <v>1.68</v>
      </c>
      <c r="Z21" s="61" t="n">
        <f aca="false">Resumo!$B$14*CEILING(G21,1)</f>
        <v>12.6</v>
      </c>
      <c r="AA21" s="61" t="n">
        <f aca="false">SUM(T21:Z21)</f>
        <v>102.98897</v>
      </c>
      <c r="AB21" s="61" t="n">
        <f aca="false">AA21/(1-Resumo!$B$5)</f>
        <v>117.032920454545</v>
      </c>
      <c r="AC21" s="61" t="n">
        <f aca="false">AB21-S21</f>
        <v>36.6822863636364</v>
      </c>
      <c r="AD21" s="62" t="n">
        <f aca="false">AB21/S21-1</f>
        <v>0.456527652565055</v>
      </c>
      <c r="AE21" s="60" t="str">
        <f aca="false">IF(AB21&lt;S21,"SIM","NÃO")</f>
        <v>NÃO</v>
      </c>
      <c r="AF21" s="60" t="n">
        <v>2</v>
      </c>
      <c r="AG21" s="60" t="n">
        <v>5</v>
      </c>
      <c r="AH21" s="60" t="s">
        <v>382</v>
      </c>
      <c r="AI21" s="61" t="n">
        <f aca="false">(T21*(1-Painel!$C$40)+U21+V21+Painel!$C$41+Painel!$C$42*CEILING(G21/100,1)+Painel!$C$43*CEILING(G21,1)+Z21)/(1-Resumo!$B$5)</f>
        <v>80.374625</v>
      </c>
      <c r="AJ21" s="60" t="str">
        <f aca="false">IF(AI21&lt;S21,"SIM","NÃO")</f>
        <v>NÃO</v>
      </c>
    </row>
    <row r="22" customFormat="false" ht="15" hidden="false" customHeight="false" outlineLevel="0" collapsed="false">
      <c r="A22" s="59" t="n">
        <v>46206.9400694444</v>
      </c>
      <c r="B22" s="60" t="s">
        <v>403</v>
      </c>
      <c r="C22" s="60" t="n">
        <v>25530460</v>
      </c>
      <c r="D22" s="60" t="s">
        <v>216</v>
      </c>
      <c r="E22" s="60" t="s">
        <v>23</v>
      </c>
      <c r="F22" s="60" t="s">
        <v>239</v>
      </c>
      <c r="G22" s="60" t="n">
        <v>93.8</v>
      </c>
      <c r="H22" s="61" t="n">
        <v>999.99</v>
      </c>
      <c r="I22" s="61" t="n">
        <v>92.32</v>
      </c>
      <c r="J22" s="61" t="n">
        <f aca="false">H22*Resumo!$C$6</f>
        <v>0</v>
      </c>
      <c r="K22" s="61" t="n">
        <f aca="false">H22*Resumo!$C$7</f>
        <v>2.099979</v>
      </c>
      <c r="L22" s="61" t="n">
        <f aca="false">H22*Resumo!$C$8</f>
        <v>2.099979</v>
      </c>
      <c r="M22" s="61" t="n">
        <f aca="false">Resumo!$C$10*CEILING(G22/100,1)</f>
        <v>1.05</v>
      </c>
      <c r="N22" s="61" t="n">
        <f aca="false">Resumo!$C$9</f>
        <v>0</v>
      </c>
      <c r="O22" s="61" t="n">
        <f aca="false">Resumo!$C$13</f>
        <v>13.55</v>
      </c>
      <c r="P22" s="61" t="n">
        <f aca="false">Resumo!$C$14*CEILING(G22,1)</f>
        <v>42.3</v>
      </c>
      <c r="Q22" s="61" t="n">
        <f aca="false">SUM(I22:P22)*Resumo!$C$11</f>
        <v>0</v>
      </c>
      <c r="R22" s="61" t="n">
        <f aca="false">SUM(I22:Q22)</f>
        <v>153.419958</v>
      </c>
      <c r="S22" s="61" t="n">
        <f aca="false">R22/(1-Resumo!$C$5)</f>
        <v>174.340861363636</v>
      </c>
      <c r="T22" s="61" t="n">
        <v>167.99</v>
      </c>
      <c r="U22" s="61" t="n">
        <f aca="false">H22*Resumo!$B$6</f>
        <v>0.99999</v>
      </c>
      <c r="V22" s="61" t="n">
        <f aca="false">H22*Resumo!$B$7</f>
        <v>1.99998</v>
      </c>
      <c r="W22" s="61" t="n">
        <f aca="false">Resumo!$B$9</f>
        <v>1</v>
      </c>
      <c r="X22" s="61" t="n">
        <f aca="false">Resumo!$B$10*CEILING(G22/100,1)</f>
        <v>4.5</v>
      </c>
      <c r="Y22" s="61" t="n">
        <f aca="false">Resumo!$B$12*CEILING(G22,1)</f>
        <v>5.64</v>
      </c>
      <c r="Z22" s="61" t="n">
        <f aca="false">Resumo!$B$14*CEILING(G22,1)</f>
        <v>42.3</v>
      </c>
      <c r="AA22" s="61" t="n">
        <f aca="false">SUM(T22:Z22)</f>
        <v>224.42997</v>
      </c>
      <c r="AB22" s="61" t="n">
        <f aca="false">AA22/(1-Resumo!$B$5)</f>
        <v>255.034056818182</v>
      </c>
      <c r="AC22" s="61" t="n">
        <f aca="false">AB22-S22</f>
        <v>80.6931954545455</v>
      </c>
      <c r="AD22" s="62" t="n">
        <f aca="false">AB22/S22-1</f>
        <v>0.462847291354362</v>
      </c>
      <c r="AE22" s="60" t="str">
        <f aca="false">IF(AB22&lt;S22,"SIM","NÃO")</f>
        <v>NÃO</v>
      </c>
      <c r="AF22" s="60" t="n">
        <v>2</v>
      </c>
      <c r="AG22" s="60" t="n">
        <v>5</v>
      </c>
      <c r="AH22" s="60" t="s">
        <v>382</v>
      </c>
      <c r="AI22" s="61" t="n">
        <f aca="false">(T22*(1-Painel!$C$40)+U22+V22+Painel!$C$41+Painel!$C$42*CEILING(G22/100,1)+Painel!$C$43*CEILING(G22,1)+Z22)/(1-Resumo!$B$5)</f>
        <v>181.708261363636</v>
      </c>
      <c r="AJ22" s="60" t="str">
        <f aca="false">IF(AI22&lt;S22,"SIM","NÃO")</f>
        <v>NÃO</v>
      </c>
    </row>
    <row r="23" customFormat="false" ht="15" hidden="false" customHeight="false" outlineLevel="0" collapsed="false">
      <c r="A23" s="59" t="n">
        <v>46206.9758333333</v>
      </c>
      <c r="B23" s="60" t="s">
        <v>404</v>
      </c>
      <c r="C23" s="60" t="n">
        <v>26445140</v>
      </c>
      <c r="D23" s="60" t="s">
        <v>283</v>
      </c>
      <c r="E23" s="60" t="s">
        <v>24</v>
      </c>
      <c r="F23" s="60" t="s">
        <v>239</v>
      </c>
      <c r="G23" s="60" t="n">
        <v>94.8</v>
      </c>
      <c r="H23" s="61" t="n">
        <v>1112.28</v>
      </c>
      <c r="I23" s="61" t="n">
        <v>109.63</v>
      </c>
      <c r="J23" s="61" t="n">
        <f aca="false">H23*Resumo!$C$6</f>
        <v>0</v>
      </c>
      <c r="K23" s="61" t="n">
        <f aca="false">H23*Resumo!$C$7</f>
        <v>2.335788</v>
      </c>
      <c r="L23" s="61" t="n">
        <f aca="false">H23*Resumo!$C$8</f>
        <v>2.335788</v>
      </c>
      <c r="M23" s="61" t="n">
        <f aca="false">Resumo!$C$10*CEILING(G23/100,1)</f>
        <v>1.05</v>
      </c>
      <c r="N23" s="61" t="n">
        <f aca="false">Resumo!$C$9</f>
        <v>0</v>
      </c>
      <c r="O23" s="61" t="n">
        <f aca="false">Resumo!$C$13</f>
        <v>13.55</v>
      </c>
      <c r="P23" s="61" t="n">
        <f aca="false">Resumo!$C$14*CEILING(G23,1)</f>
        <v>42.75</v>
      </c>
      <c r="Q23" s="61" t="n">
        <f aca="false">SUM(I23:P23)*Resumo!$C$11</f>
        <v>0</v>
      </c>
      <c r="R23" s="61" t="n">
        <f aca="false">SUM(I23:Q23)</f>
        <v>171.651576</v>
      </c>
      <c r="S23" s="61" t="n">
        <f aca="false">R23/(1-Resumo!$C$5)</f>
        <v>195.058609090909</v>
      </c>
      <c r="T23" s="61" t="n">
        <v>167.99</v>
      </c>
      <c r="U23" s="61" t="n">
        <f aca="false">H23*Resumo!$B$6</f>
        <v>1.11228</v>
      </c>
      <c r="V23" s="61" t="n">
        <f aca="false">H23*Resumo!$B$7</f>
        <v>2.22456</v>
      </c>
      <c r="W23" s="61" t="n">
        <f aca="false">Resumo!$B$9</f>
        <v>1</v>
      </c>
      <c r="X23" s="61" t="n">
        <f aca="false">Resumo!$B$10*CEILING(G23/100,1)</f>
        <v>4.5</v>
      </c>
      <c r="Y23" s="61" t="n">
        <f aca="false">Resumo!$B$12*CEILING(G23,1)</f>
        <v>5.7</v>
      </c>
      <c r="Z23" s="61" t="n">
        <f aca="false">Resumo!$B$14*CEILING(G23,1)</f>
        <v>42.75</v>
      </c>
      <c r="AA23" s="61" t="n">
        <f aca="false">SUM(T23:Z23)</f>
        <v>225.27684</v>
      </c>
      <c r="AB23" s="61" t="n">
        <f aca="false">AA23/(1-Resumo!$B$5)</f>
        <v>255.996409090909</v>
      </c>
      <c r="AC23" s="61" t="n">
        <f aca="false">AB23-S23</f>
        <v>60.9378</v>
      </c>
      <c r="AD23" s="62" t="n">
        <f aca="false">AB23/S23-1</f>
        <v>0.312407641395614</v>
      </c>
      <c r="AE23" s="60" t="str">
        <f aca="false">IF(AB23&lt;S23,"SIM","NÃO")</f>
        <v>NÃO</v>
      </c>
      <c r="AF23" s="60" t="n">
        <v>13</v>
      </c>
      <c r="AG23" s="60" t="n">
        <v>5</v>
      </c>
      <c r="AH23" s="60" t="s">
        <v>385</v>
      </c>
      <c r="AI23" s="61" t="n">
        <f aca="false">(T23*(1-Painel!$C$40)+U23+V23+Painel!$C$41+Painel!$C$42*CEILING(G23/100,1)+Painel!$C$43*CEILING(G23,1)+Z23)/(1-Resumo!$B$5)</f>
        <v>182.602431818182</v>
      </c>
      <c r="AJ23" s="60" t="str">
        <f aca="false">IF(AI23&lt;S23,"SIM","NÃO")</f>
        <v>SIM</v>
      </c>
    </row>
    <row r="24" customFormat="false" ht="15" hidden="false" customHeight="false" outlineLevel="0" collapsed="false">
      <c r="A24" s="59" t="n">
        <v>46207.2326157407</v>
      </c>
      <c r="B24" s="60" t="s">
        <v>405</v>
      </c>
      <c r="C24" s="60" t="n">
        <v>27120320</v>
      </c>
      <c r="D24" s="60" t="s">
        <v>290</v>
      </c>
      <c r="E24" s="60" t="s">
        <v>24</v>
      </c>
      <c r="F24" s="60" t="s">
        <v>241</v>
      </c>
      <c r="G24" s="60" t="n">
        <v>124.2</v>
      </c>
      <c r="H24" s="61" t="n">
        <v>1716.89</v>
      </c>
      <c r="I24" s="61" t="n">
        <v>144.24</v>
      </c>
      <c r="J24" s="61" t="n">
        <f aca="false">H24*Resumo!$C$6</f>
        <v>0</v>
      </c>
      <c r="K24" s="61" t="n">
        <f aca="false">H24*Resumo!$C$7</f>
        <v>3.605469</v>
      </c>
      <c r="L24" s="61" t="n">
        <f aca="false">H24*Resumo!$C$8</f>
        <v>3.605469</v>
      </c>
      <c r="M24" s="61" t="n">
        <f aca="false">Resumo!$C$10*CEILING(G24/100,1)</f>
        <v>2.1</v>
      </c>
      <c r="N24" s="61" t="n">
        <f aca="false">Resumo!$C$9</f>
        <v>0</v>
      </c>
      <c r="O24" s="61" t="n">
        <f aca="false">Resumo!$C$13</f>
        <v>13.55</v>
      </c>
      <c r="P24" s="61" t="n">
        <f aca="false">Resumo!$C$14*CEILING(G24,1)</f>
        <v>56.25</v>
      </c>
      <c r="Q24" s="61" t="n">
        <f aca="false">SUM(I24:P24)*Resumo!$C$11</f>
        <v>0</v>
      </c>
      <c r="R24" s="61" t="n">
        <f aca="false">SUM(I24:Q24)</f>
        <v>223.350938</v>
      </c>
      <c r="S24" s="61" t="n">
        <f aca="false">R24/(1-Resumo!$C$5)</f>
        <v>253.807884090909</v>
      </c>
      <c r="T24" s="61" t="n">
        <v>264.84</v>
      </c>
      <c r="U24" s="61" t="n">
        <f aca="false">H24*Resumo!$B$6</f>
        <v>1.71689</v>
      </c>
      <c r="V24" s="61" t="n">
        <f aca="false">H24*Resumo!$B$7</f>
        <v>3.43378</v>
      </c>
      <c r="W24" s="61" t="n">
        <f aca="false">Resumo!$B$9</f>
        <v>1</v>
      </c>
      <c r="X24" s="61" t="n">
        <f aca="false">Resumo!$B$10*CEILING(G24/100,1)</f>
        <v>9</v>
      </c>
      <c r="Y24" s="61" t="n">
        <f aca="false">Resumo!$B$12*CEILING(G24,1)</f>
        <v>7.5</v>
      </c>
      <c r="Z24" s="61" t="n">
        <f aca="false">Resumo!$B$14*CEILING(G24,1)</f>
        <v>56.25</v>
      </c>
      <c r="AA24" s="61" t="n">
        <f aca="false">SUM(T24:Z24)</f>
        <v>343.74067</v>
      </c>
      <c r="AB24" s="61" t="n">
        <f aca="false">AA24/(1-Resumo!$B$5)</f>
        <v>390.614397727273</v>
      </c>
      <c r="AC24" s="61" t="n">
        <f aca="false">AB24-S24</f>
        <v>136.806513636364</v>
      </c>
      <c r="AD24" s="62" t="n">
        <f aca="false">AB24/S24-1</f>
        <v>0.539016012549721</v>
      </c>
      <c r="AE24" s="60" t="str">
        <f aca="false">IF(AB24&lt;S24,"SIM","NÃO")</f>
        <v>NÃO</v>
      </c>
      <c r="AF24" s="60" t="n">
        <v>13</v>
      </c>
      <c r="AG24" s="60" t="n">
        <v>10</v>
      </c>
      <c r="AH24" s="60" t="s">
        <v>385</v>
      </c>
      <c r="AI24" s="61" t="n">
        <f aca="false">(T24*(1-Painel!$C$40)+U24+V24+Painel!$C$41+Painel!$C$42*CEILING(G24/100,1)+Painel!$C$43*CEILING(G24,1)+Z24)/(1-Resumo!$B$5)</f>
        <v>274.935761363636</v>
      </c>
      <c r="AJ24" s="60" t="str">
        <f aca="false">IF(AI24&lt;S24,"SIM","NÃO")</f>
        <v>NÃO</v>
      </c>
    </row>
    <row r="25" customFormat="false" ht="15" hidden="false" customHeight="false" outlineLevel="0" collapsed="false">
      <c r="A25" s="59" t="n">
        <v>46207.3634606482</v>
      </c>
      <c r="B25" s="60" t="s">
        <v>406</v>
      </c>
      <c r="C25" s="60" t="n">
        <v>21535590</v>
      </c>
      <c r="D25" s="60" t="s">
        <v>46</v>
      </c>
      <c r="E25" s="60" t="s">
        <v>22</v>
      </c>
      <c r="F25" s="60" t="s">
        <v>234</v>
      </c>
      <c r="G25" s="60" t="n">
        <v>38.6</v>
      </c>
      <c r="H25" s="61" t="n">
        <v>599.99</v>
      </c>
      <c r="I25" s="61" t="n">
        <v>48.35</v>
      </c>
      <c r="J25" s="61" t="n">
        <f aca="false">H25*Resumo!$C$6</f>
        <v>0</v>
      </c>
      <c r="K25" s="61" t="n">
        <f aca="false">H25*Resumo!$C$7</f>
        <v>1.259979</v>
      </c>
      <c r="L25" s="61" t="n">
        <f aca="false">H25*Resumo!$C$8</f>
        <v>1.259979</v>
      </c>
      <c r="M25" s="61" t="n">
        <f aca="false">Resumo!$C$10*CEILING(G25/100,1)</f>
        <v>1.05</v>
      </c>
      <c r="N25" s="61" t="n">
        <f aca="false">Resumo!$C$9</f>
        <v>0</v>
      </c>
      <c r="O25" s="61" t="n">
        <f aca="false">Resumo!$C$13</f>
        <v>13.55</v>
      </c>
      <c r="P25" s="61" t="n">
        <f aca="false">Resumo!$C$14*CEILING(G25,1)</f>
        <v>17.55</v>
      </c>
      <c r="Q25" s="61" t="n">
        <f aca="false">SUM(I25:P25)*Resumo!$C$11</f>
        <v>0</v>
      </c>
      <c r="R25" s="61" t="n">
        <f aca="false">SUM(I25:Q25)</f>
        <v>83.019958</v>
      </c>
      <c r="S25" s="61" t="n">
        <f aca="false">R25/(1-Resumo!$C$5)</f>
        <v>94.3408613636364</v>
      </c>
      <c r="T25" s="61" t="n">
        <v>93.97</v>
      </c>
      <c r="U25" s="61" t="n">
        <f aca="false">H25*Resumo!$B$6</f>
        <v>0.59999</v>
      </c>
      <c r="V25" s="61" t="n">
        <f aca="false">H25*Resumo!$B$7</f>
        <v>1.19998</v>
      </c>
      <c r="W25" s="61" t="n">
        <f aca="false">Resumo!$B$9</f>
        <v>1</v>
      </c>
      <c r="X25" s="61" t="n">
        <f aca="false">Resumo!$B$10*CEILING(G25/100,1)</f>
        <v>4.5</v>
      </c>
      <c r="Y25" s="61" t="n">
        <f aca="false">Resumo!$B$12*CEILING(G25,1)</f>
        <v>2.34</v>
      </c>
      <c r="Z25" s="61" t="n">
        <f aca="false">Resumo!$B$14*CEILING(G25,1)</f>
        <v>17.55</v>
      </c>
      <c r="AA25" s="61" t="n">
        <f aca="false">SUM(T25:Z25)</f>
        <v>121.15997</v>
      </c>
      <c r="AB25" s="61" t="n">
        <f aca="false">AA25/(1-Resumo!$B$5)</f>
        <v>137.681784090909</v>
      </c>
      <c r="AC25" s="61" t="n">
        <f aca="false">AB25-S25</f>
        <v>43.3409227272727</v>
      </c>
      <c r="AD25" s="62" t="n">
        <f aca="false">AB25/S25-1</f>
        <v>0.459407748676529</v>
      </c>
      <c r="AE25" s="60" t="str">
        <f aca="false">IF(AB25&lt;S25,"SIM","NÃO")</f>
        <v>NÃO</v>
      </c>
      <c r="AF25" s="60" t="n">
        <v>2</v>
      </c>
      <c r="AG25" s="60" t="n">
        <v>5</v>
      </c>
      <c r="AH25" s="60" t="s">
        <v>382</v>
      </c>
      <c r="AI25" s="61" t="n">
        <f aca="false">(T25*(1-Painel!$C$40)+U25+V25+Painel!$C$41+Painel!$C$42*CEILING(G25/100,1)+Painel!$C$43*CEILING(G25,1)+Z25)/(1-Resumo!$B$5)</f>
        <v>95.8634886363636</v>
      </c>
      <c r="AJ25" s="60" t="str">
        <f aca="false">IF(AI25&lt;S25,"SIM","NÃO")</f>
        <v>NÃO</v>
      </c>
    </row>
    <row r="26" customFormat="false" ht="15" hidden="false" customHeight="false" outlineLevel="0" collapsed="false">
      <c r="A26" s="59" t="n">
        <v>46207.376099537</v>
      </c>
      <c r="B26" s="60" t="s">
        <v>407</v>
      </c>
      <c r="C26" s="60" t="n">
        <v>21041140</v>
      </c>
      <c r="D26" s="60" t="s">
        <v>46</v>
      </c>
      <c r="E26" s="60" t="s">
        <v>22</v>
      </c>
      <c r="F26" s="60" t="s">
        <v>237</v>
      </c>
      <c r="G26" s="60" t="n">
        <v>63.9</v>
      </c>
      <c r="H26" s="61" t="n">
        <v>799.99</v>
      </c>
      <c r="I26" s="61" t="n">
        <v>63.21</v>
      </c>
      <c r="J26" s="61" t="n">
        <f aca="false">H26*Resumo!$C$6</f>
        <v>0</v>
      </c>
      <c r="K26" s="61" t="n">
        <f aca="false">H26*Resumo!$C$7</f>
        <v>1.679979</v>
      </c>
      <c r="L26" s="61" t="n">
        <f aca="false">H26*Resumo!$C$8</f>
        <v>1.679979</v>
      </c>
      <c r="M26" s="61" t="n">
        <f aca="false">Resumo!$C$10*CEILING(G26/100,1)</f>
        <v>1.05</v>
      </c>
      <c r="N26" s="61" t="n">
        <f aca="false">Resumo!$C$9</f>
        <v>0</v>
      </c>
      <c r="O26" s="61" t="n">
        <f aca="false">Resumo!$C$13</f>
        <v>13.55</v>
      </c>
      <c r="P26" s="61" t="n">
        <f aca="false">Resumo!$C$14*CEILING(G26,1)</f>
        <v>28.8</v>
      </c>
      <c r="Q26" s="61" t="n">
        <f aca="false">SUM(I26:P26)*Resumo!$C$11</f>
        <v>0</v>
      </c>
      <c r="R26" s="61" t="n">
        <f aca="false">SUM(I26:Q26)</f>
        <v>109.969958</v>
      </c>
      <c r="S26" s="61" t="n">
        <f aca="false">R26/(1-Resumo!$C$5)</f>
        <v>124.965861363636</v>
      </c>
      <c r="T26" s="61" t="n">
        <v>131.02</v>
      </c>
      <c r="U26" s="61" t="n">
        <f aca="false">H26*Resumo!$B$6</f>
        <v>0.79999</v>
      </c>
      <c r="V26" s="61" t="n">
        <f aca="false">H26*Resumo!$B$7</f>
        <v>1.59998</v>
      </c>
      <c r="W26" s="61" t="n">
        <f aca="false">Resumo!$B$9</f>
        <v>1</v>
      </c>
      <c r="X26" s="61" t="n">
        <f aca="false">Resumo!$B$10*CEILING(G26/100,1)</f>
        <v>4.5</v>
      </c>
      <c r="Y26" s="61" t="n">
        <f aca="false">Resumo!$B$12*CEILING(G26,1)</f>
        <v>3.84</v>
      </c>
      <c r="Z26" s="61" t="n">
        <f aca="false">Resumo!$B$14*CEILING(G26,1)</f>
        <v>28.8</v>
      </c>
      <c r="AA26" s="61" t="n">
        <f aca="false">SUM(T26:Z26)</f>
        <v>171.55997</v>
      </c>
      <c r="AB26" s="61" t="n">
        <f aca="false">AA26/(1-Resumo!$B$5)</f>
        <v>194.954511363636</v>
      </c>
      <c r="AC26" s="61" t="n">
        <f aca="false">AB26-S26</f>
        <v>69.98865</v>
      </c>
      <c r="AD26" s="62" t="n">
        <f aca="false">AB26/S26-1</f>
        <v>0.560062158066842</v>
      </c>
      <c r="AE26" s="60" t="str">
        <f aca="false">IF(AB26&lt;S26,"SIM","NÃO")</f>
        <v>NÃO</v>
      </c>
      <c r="AF26" s="60" t="n">
        <v>2</v>
      </c>
      <c r="AG26" s="60" t="n">
        <v>5</v>
      </c>
      <c r="AH26" s="60" t="s">
        <v>382</v>
      </c>
      <c r="AI26" s="61" t="n">
        <f aca="false">(T26*(1-Painel!$C$40)+U26+V26+Painel!$C$41+Painel!$C$42*CEILING(G26/100,1)+Painel!$C$43*CEILING(G26,1)+Z26)/(1-Resumo!$B$5)</f>
        <v>137.537920454545</v>
      </c>
      <c r="AJ26" s="60" t="str">
        <f aca="false">IF(AI26&lt;S26,"SIM","NÃO")</f>
        <v>NÃO</v>
      </c>
    </row>
    <row r="27" customFormat="false" ht="15" hidden="false" customHeight="false" outlineLevel="0" collapsed="false">
      <c r="A27" s="59" t="n">
        <v>46207.3978356482</v>
      </c>
      <c r="B27" s="60" t="s">
        <v>408</v>
      </c>
      <c r="C27" s="60" t="n">
        <v>26430020</v>
      </c>
      <c r="D27" s="60" t="s">
        <v>283</v>
      </c>
      <c r="E27" s="60" t="s">
        <v>24</v>
      </c>
      <c r="F27" s="60" t="s">
        <v>239</v>
      </c>
      <c r="G27" s="60" t="n">
        <v>87.7</v>
      </c>
      <c r="H27" s="61" t="n">
        <v>1003.18</v>
      </c>
      <c r="I27" s="61" t="n">
        <v>109.63</v>
      </c>
      <c r="J27" s="61" t="n">
        <f aca="false">H27*Resumo!$C$6</f>
        <v>0</v>
      </c>
      <c r="K27" s="61" t="n">
        <f aca="false">H27*Resumo!$C$7</f>
        <v>2.106678</v>
      </c>
      <c r="L27" s="61" t="n">
        <f aca="false">H27*Resumo!$C$8</f>
        <v>2.106678</v>
      </c>
      <c r="M27" s="61" t="n">
        <f aca="false">Resumo!$C$10*CEILING(G27/100,1)</f>
        <v>1.05</v>
      </c>
      <c r="N27" s="61" t="n">
        <f aca="false">Resumo!$C$9</f>
        <v>0</v>
      </c>
      <c r="O27" s="61" t="n">
        <f aca="false">Resumo!$C$13</f>
        <v>13.55</v>
      </c>
      <c r="P27" s="61" t="n">
        <f aca="false">Resumo!$C$14*CEILING(G27,1)</f>
        <v>39.6</v>
      </c>
      <c r="Q27" s="61" t="n">
        <f aca="false">SUM(I27:P27)*Resumo!$C$11</f>
        <v>0</v>
      </c>
      <c r="R27" s="61" t="n">
        <f aca="false">SUM(I27:Q27)</f>
        <v>168.043356</v>
      </c>
      <c r="S27" s="61" t="n">
        <f aca="false">R27/(1-Resumo!$C$5)</f>
        <v>190.958359090909</v>
      </c>
      <c r="T27" s="61" t="n">
        <v>167.99</v>
      </c>
      <c r="U27" s="61" t="n">
        <f aca="false">H27*Resumo!$B$6</f>
        <v>1.00318</v>
      </c>
      <c r="V27" s="61" t="n">
        <f aca="false">H27*Resumo!$B$7</f>
        <v>2.00636</v>
      </c>
      <c r="W27" s="61" t="n">
        <f aca="false">Resumo!$B$9</f>
        <v>1</v>
      </c>
      <c r="X27" s="61" t="n">
        <f aca="false">Resumo!$B$10*CEILING(G27/100,1)</f>
        <v>4.5</v>
      </c>
      <c r="Y27" s="61" t="n">
        <f aca="false">Resumo!$B$12*CEILING(G27,1)</f>
        <v>5.28</v>
      </c>
      <c r="Z27" s="61" t="n">
        <f aca="false">Resumo!$B$14*CEILING(G27,1)</f>
        <v>39.6</v>
      </c>
      <c r="AA27" s="61" t="n">
        <f aca="false">SUM(T27:Z27)</f>
        <v>221.37954</v>
      </c>
      <c r="AB27" s="61" t="n">
        <f aca="false">AA27/(1-Resumo!$B$5)</f>
        <v>251.567659090909</v>
      </c>
      <c r="AC27" s="61" t="n">
        <f aca="false">AB27-S27</f>
        <v>60.6093</v>
      </c>
      <c r="AD27" s="62" t="n">
        <f aca="false">AB27/S27-1</f>
        <v>0.317395375036428</v>
      </c>
      <c r="AE27" s="60" t="str">
        <f aca="false">IF(AB27&lt;S27,"SIM","NÃO")</f>
        <v>NÃO</v>
      </c>
      <c r="AF27" s="60" t="n">
        <v>13</v>
      </c>
      <c r="AG27" s="60" t="n">
        <v>5</v>
      </c>
      <c r="AH27" s="60" t="s">
        <v>385</v>
      </c>
      <c r="AI27" s="61" t="n">
        <f aca="false">(T27*(1-Painel!$C$40)+U27+V27+Painel!$C$41+Painel!$C$42*CEILING(G27/100,1)+Painel!$C$43*CEILING(G27,1)+Z27)/(1-Resumo!$B$5)</f>
        <v>178.650954545455</v>
      </c>
      <c r="AJ27" s="60" t="str">
        <f aca="false">IF(AI27&lt;S27,"SIM","NÃO")</f>
        <v>SIM</v>
      </c>
    </row>
    <row r="28" customFormat="false" ht="15" hidden="false" customHeight="false" outlineLevel="0" collapsed="false">
      <c r="A28" s="59" t="n">
        <v>46207.4017824074</v>
      </c>
      <c r="B28" s="60" t="s">
        <v>409</v>
      </c>
      <c r="C28" s="60" t="n">
        <v>21021380</v>
      </c>
      <c r="D28" s="60" t="s">
        <v>46</v>
      </c>
      <c r="E28" s="60" t="s">
        <v>22</v>
      </c>
      <c r="F28" s="60" t="s">
        <v>237</v>
      </c>
      <c r="G28" s="60" t="n">
        <v>63.9</v>
      </c>
      <c r="H28" s="61" t="n">
        <v>799.99</v>
      </c>
      <c r="I28" s="61" t="n">
        <v>63.21</v>
      </c>
      <c r="J28" s="61" t="n">
        <f aca="false">H28*Resumo!$C$6</f>
        <v>0</v>
      </c>
      <c r="K28" s="61" t="n">
        <f aca="false">H28*Resumo!$C$7</f>
        <v>1.679979</v>
      </c>
      <c r="L28" s="61" t="n">
        <f aca="false">H28*Resumo!$C$8</f>
        <v>1.679979</v>
      </c>
      <c r="M28" s="61" t="n">
        <f aca="false">Resumo!$C$10*CEILING(G28/100,1)</f>
        <v>1.05</v>
      </c>
      <c r="N28" s="61" t="n">
        <f aca="false">Resumo!$C$9</f>
        <v>0</v>
      </c>
      <c r="O28" s="61" t="n">
        <f aca="false">Resumo!$C$13</f>
        <v>13.55</v>
      </c>
      <c r="P28" s="61" t="n">
        <f aca="false">Resumo!$C$14*CEILING(G28,1)</f>
        <v>28.8</v>
      </c>
      <c r="Q28" s="61" t="n">
        <f aca="false">SUM(I28:P28)*Resumo!$C$11</f>
        <v>0</v>
      </c>
      <c r="R28" s="61" t="n">
        <f aca="false">SUM(I28:Q28)</f>
        <v>109.969958</v>
      </c>
      <c r="S28" s="61" t="n">
        <f aca="false">R28/(1-Resumo!$C$5)</f>
        <v>124.965861363636</v>
      </c>
      <c r="T28" s="61" t="n">
        <v>131.02</v>
      </c>
      <c r="U28" s="61" t="n">
        <f aca="false">H28*Resumo!$B$6</f>
        <v>0.79999</v>
      </c>
      <c r="V28" s="61" t="n">
        <f aca="false">H28*Resumo!$B$7</f>
        <v>1.59998</v>
      </c>
      <c r="W28" s="61" t="n">
        <f aca="false">Resumo!$B$9</f>
        <v>1</v>
      </c>
      <c r="X28" s="61" t="n">
        <f aca="false">Resumo!$B$10*CEILING(G28/100,1)</f>
        <v>4.5</v>
      </c>
      <c r="Y28" s="61" t="n">
        <f aca="false">Resumo!$B$12*CEILING(G28,1)</f>
        <v>3.84</v>
      </c>
      <c r="Z28" s="61" t="n">
        <f aca="false">Resumo!$B$14*CEILING(G28,1)</f>
        <v>28.8</v>
      </c>
      <c r="AA28" s="61" t="n">
        <f aca="false">SUM(T28:Z28)</f>
        <v>171.55997</v>
      </c>
      <c r="AB28" s="61" t="n">
        <f aca="false">AA28/(1-Resumo!$B$5)</f>
        <v>194.954511363636</v>
      </c>
      <c r="AC28" s="61" t="n">
        <f aca="false">AB28-S28</f>
        <v>69.98865</v>
      </c>
      <c r="AD28" s="62" t="n">
        <f aca="false">AB28/S28-1</f>
        <v>0.560062158066842</v>
      </c>
      <c r="AE28" s="60" t="str">
        <f aca="false">IF(AB28&lt;S28,"SIM","NÃO")</f>
        <v>NÃO</v>
      </c>
      <c r="AF28" s="60" t="n">
        <v>2</v>
      </c>
      <c r="AG28" s="60" t="n">
        <v>5</v>
      </c>
      <c r="AH28" s="60" t="s">
        <v>382</v>
      </c>
      <c r="AI28" s="61" t="n">
        <f aca="false">(T28*(1-Painel!$C$40)+U28+V28+Painel!$C$41+Painel!$C$42*CEILING(G28/100,1)+Painel!$C$43*CEILING(G28,1)+Z28)/(1-Resumo!$B$5)</f>
        <v>137.537920454545</v>
      </c>
      <c r="AJ28" s="60" t="str">
        <f aca="false">IF(AI28&lt;S28,"SIM","NÃO")</f>
        <v>NÃO</v>
      </c>
    </row>
    <row r="29" customFormat="false" ht="15" hidden="false" customHeight="false" outlineLevel="0" collapsed="false">
      <c r="A29" s="59" t="n">
        <v>46207.4090856482</v>
      </c>
      <c r="B29" s="60" t="s">
        <v>383</v>
      </c>
      <c r="C29" s="60" t="n">
        <v>21032000</v>
      </c>
      <c r="D29" s="60" t="s">
        <v>46</v>
      </c>
      <c r="E29" s="60" t="s">
        <v>22</v>
      </c>
      <c r="F29" s="60" t="s">
        <v>237</v>
      </c>
      <c r="G29" s="60" t="n">
        <v>65.1</v>
      </c>
      <c r="H29" s="61" t="n">
        <v>879.99</v>
      </c>
      <c r="I29" s="61" t="n">
        <v>63.21</v>
      </c>
      <c r="J29" s="61" t="n">
        <f aca="false">H29*Resumo!$C$6</f>
        <v>0</v>
      </c>
      <c r="K29" s="61" t="n">
        <f aca="false">H29*Resumo!$C$7</f>
        <v>1.847979</v>
      </c>
      <c r="L29" s="61" t="n">
        <f aca="false">H29*Resumo!$C$8</f>
        <v>1.847979</v>
      </c>
      <c r="M29" s="61" t="n">
        <f aca="false">Resumo!$C$10*CEILING(G29/100,1)</f>
        <v>1.05</v>
      </c>
      <c r="N29" s="61" t="n">
        <f aca="false">Resumo!$C$9</f>
        <v>0</v>
      </c>
      <c r="O29" s="61" t="n">
        <f aca="false">Resumo!$C$13</f>
        <v>13.55</v>
      </c>
      <c r="P29" s="61" t="n">
        <f aca="false">Resumo!$C$14*CEILING(G29,1)</f>
        <v>29.7</v>
      </c>
      <c r="Q29" s="61" t="n">
        <f aca="false">SUM(I29:P29)*Resumo!$C$11</f>
        <v>0</v>
      </c>
      <c r="R29" s="61" t="n">
        <f aca="false">SUM(I29:Q29)</f>
        <v>111.205958</v>
      </c>
      <c r="S29" s="61" t="n">
        <f aca="false">R29/(1-Resumo!$C$5)</f>
        <v>126.370406818182</v>
      </c>
      <c r="T29" s="61" t="n">
        <v>131.02</v>
      </c>
      <c r="U29" s="61" t="n">
        <f aca="false">H29*Resumo!$B$6</f>
        <v>0.87999</v>
      </c>
      <c r="V29" s="61" t="n">
        <f aca="false">H29*Resumo!$B$7</f>
        <v>1.75998</v>
      </c>
      <c r="W29" s="61" t="n">
        <f aca="false">Resumo!$B$9</f>
        <v>1</v>
      </c>
      <c r="X29" s="61" t="n">
        <f aca="false">Resumo!$B$10*CEILING(G29/100,1)</f>
        <v>4.5</v>
      </c>
      <c r="Y29" s="61" t="n">
        <f aca="false">Resumo!$B$12*CEILING(G29,1)</f>
        <v>3.96</v>
      </c>
      <c r="Z29" s="61" t="n">
        <f aca="false">Resumo!$B$14*CEILING(G29,1)</f>
        <v>29.7</v>
      </c>
      <c r="AA29" s="61" t="n">
        <f aca="false">SUM(T29:Z29)</f>
        <v>172.81997</v>
      </c>
      <c r="AB29" s="61" t="n">
        <f aca="false">AA29/(1-Resumo!$B$5)</f>
        <v>196.386329545455</v>
      </c>
      <c r="AC29" s="61" t="n">
        <f aca="false">AB29-S29</f>
        <v>70.0159227272727</v>
      </c>
      <c r="AD29" s="62" t="n">
        <f aca="false">AB29/S29-1</f>
        <v>0.554053156036838</v>
      </c>
      <c r="AE29" s="60" t="str">
        <f aca="false">IF(AB29&lt;S29,"SIM","NÃO")</f>
        <v>NÃO</v>
      </c>
      <c r="AF29" s="60" t="n">
        <v>2</v>
      </c>
      <c r="AG29" s="60" t="n">
        <v>5</v>
      </c>
      <c r="AH29" s="60" t="s">
        <v>382</v>
      </c>
      <c r="AI29" s="61" t="n">
        <f aca="false">(T29*(1-Painel!$C$40)+U29+V29+Painel!$C$41+Painel!$C$42*CEILING(G29/100,1)+Painel!$C$43*CEILING(G29,1)+Z29)/(1-Resumo!$B$5)</f>
        <v>138.833375</v>
      </c>
      <c r="AJ29" s="60" t="str">
        <f aca="false">IF(AI29&lt;S29,"SIM","NÃO")</f>
        <v>NÃO</v>
      </c>
    </row>
    <row r="30" customFormat="false" ht="15" hidden="false" customHeight="false" outlineLevel="0" collapsed="false">
      <c r="A30" s="59" t="n">
        <v>46207.4546064815</v>
      </c>
      <c r="B30" s="60" t="s">
        <v>410</v>
      </c>
      <c r="C30" s="60" t="n">
        <v>26060015</v>
      </c>
      <c r="D30" s="60" t="s">
        <v>49</v>
      </c>
      <c r="E30" s="60" t="s">
        <v>23</v>
      </c>
      <c r="F30" s="60" t="s">
        <v>234</v>
      </c>
      <c r="G30" s="60" t="n">
        <v>37.6</v>
      </c>
      <c r="H30" s="61" t="n">
        <v>413.99</v>
      </c>
      <c r="I30" s="61" t="n">
        <v>66.83</v>
      </c>
      <c r="J30" s="61" t="n">
        <f aca="false">H30*Resumo!$C$6</f>
        <v>0</v>
      </c>
      <c r="K30" s="61" t="n">
        <f aca="false">H30*Resumo!$C$7</f>
        <v>0.869379</v>
      </c>
      <c r="L30" s="61" t="n">
        <f aca="false">H30*Resumo!$C$8</f>
        <v>0.869379</v>
      </c>
      <c r="M30" s="61" t="n">
        <f aca="false">Resumo!$C$10*CEILING(G30/100,1)</f>
        <v>1.05</v>
      </c>
      <c r="N30" s="61" t="n">
        <f aca="false">Resumo!$C$9</f>
        <v>0</v>
      </c>
      <c r="O30" s="61" t="n">
        <f aca="false">Resumo!$C$13</f>
        <v>13.55</v>
      </c>
      <c r="P30" s="61" t="n">
        <f aca="false">Resumo!$C$14*CEILING(G30,1)</f>
        <v>17.1</v>
      </c>
      <c r="Q30" s="61" t="n">
        <f aca="false">SUM(I30:P30)*Resumo!$C$11</f>
        <v>0</v>
      </c>
      <c r="R30" s="61" t="n">
        <f aca="false">SUM(I30:Q30)</f>
        <v>100.268758</v>
      </c>
      <c r="S30" s="61" t="n">
        <f aca="false">R30/(1-Resumo!$C$5)</f>
        <v>113.941770454545</v>
      </c>
      <c r="T30" s="61" t="n">
        <v>93.97</v>
      </c>
      <c r="U30" s="61" t="n">
        <f aca="false">H30*Resumo!$B$6</f>
        <v>0.41399</v>
      </c>
      <c r="V30" s="61" t="n">
        <f aca="false">H30*Resumo!$B$7</f>
        <v>0.82798</v>
      </c>
      <c r="W30" s="61" t="n">
        <f aca="false">Resumo!$B$9</f>
        <v>1</v>
      </c>
      <c r="X30" s="61" t="n">
        <f aca="false">Resumo!$B$10*CEILING(G30/100,1)</f>
        <v>4.5</v>
      </c>
      <c r="Y30" s="61" t="n">
        <f aca="false">Resumo!$B$12*CEILING(G30,1)</f>
        <v>2.28</v>
      </c>
      <c r="Z30" s="61" t="n">
        <f aca="false">Resumo!$B$14*CEILING(G30,1)</f>
        <v>17.1</v>
      </c>
      <c r="AA30" s="61" t="n">
        <f aca="false">SUM(T30:Z30)</f>
        <v>120.09197</v>
      </c>
      <c r="AB30" s="61" t="n">
        <f aca="false">AA30/(1-Resumo!$B$5)</f>
        <v>136.468147727273</v>
      </c>
      <c r="AC30" s="61" t="n">
        <f aca="false">AB30-S30</f>
        <v>22.5263772727273</v>
      </c>
      <c r="AD30" s="62" t="n">
        <f aca="false">AB30/S30-1</f>
        <v>0.197700783328741</v>
      </c>
      <c r="AE30" s="60" t="str">
        <f aca="false">IF(AB30&lt;S30,"SIM","NÃO")</f>
        <v>NÃO</v>
      </c>
      <c r="AF30" s="60" t="n">
        <v>2</v>
      </c>
      <c r="AG30" s="60" t="n">
        <v>5</v>
      </c>
      <c r="AH30" s="60" t="s">
        <v>382</v>
      </c>
      <c r="AI30" s="61" t="n">
        <f aca="false">(T30*(1-Painel!$C$40)+U30+V30+Painel!$C$41+Painel!$C$42*CEILING(G30/100,1)+Painel!$C$43*CEILING(G30,1)+Z30)/(1-Resumo!$B$5)</f>
        <v>94.7180340909091</v>
      </c>
      <c r="AJ30" s="60" t="str">
        <f aca="false">IF(AI30&lt;S30,"SIM","NÃO")</f>
        <v>SIM</v>
      </c>
    </row>
    <row r="31" customFormat="false" ht="15" hidden="false" customHeight="false" outlineLevel="0" collapsed="false">
      <c r="A31" s="59" t="n">
        <v>46207.4801851852</v>
      </c>
      <c r="B31" s="60" t="s">
        <v>411</v>
      </c>
      <c r="C31" s="60" t="n">
        <v>24745630</v>
      </c>
      <c r="D31" s="60" t="s">
        <v>47</v>
      </c>
      <c r="E31" s="60" t="s">
        <v>23</v>
      </c>
      <c r="F31" s="60" t="s">
        <v>241</v>
      </c>
      <c r="G31" s="60" t="n">
        <v>127.8</v>
      </c>
      <c r="H31" s="61" t="n">
        <v>1387.09</v>
      </c>
      <c r="I31" s="61" t="n">
        <v>129.62</v>
      </c>
      <c r="J31" s="61" t="n">
        <f aca="false">H31*Resumo!$C$6</f>
        <v>0</v>
      </c>
      <c r="K31" s="61" t="n">
        <f aca="false">H31*Resumo!$C$7</f>
        <v>2.912889</v>
      </c>
      <c r="L31" s="61" t="n">
        <f aca="false">H31*Resumo!$C$8</f>
        <v>2.912889</v>
      </c>
      <c r="M31" s="61" t="n">
        <f aca="false">Resumo!$C$10*CEILING(G31/100,1)</f>
        <v>2.1</v>
      </c>
      <c r="N31" s="61" t="n">
        <f aca="false">Resumo!$C$9</f>
        <v>0</v>
      </c>
      <c r="O31" s="61" t="n">
        <f aca="false">Resumo!$C$13</f>
        <v>13.55</v>
      </c>
      <c r="P31" s="61" t="n">
        <f aca="false">Resumo!$C$14*CEILING(G31,1)</f>
        <v>57.6</v>
      </c>
      <c r="Q31" s="61" t="n">
        <f aca="false">SUM(I31:P31)*Resumo!$C$11</f>
        <v>0</v>
      </c>
      <c r="R31" s="61" t="n">
        <f aca="false">SUM(I31:Q31)</f>
        <v>208.695778</v>
      </c>
      <c r="S31" s="61" t="n">
        <f aca="false">R31/(1-Resumo!$C$5)</f>
        <v>237.154293181818</v>
      </c>
      <c r="T31" s="61" t="n">
        <v>249.03</v>
      </c>
      <c r="U31" s="61" t="n">
        <f aca="false">H31*Resumo!$B$6</f>
        <v>1.38709</v>
      </c>
      <c r="V31" s="61" t="n">
        <f aca="false">H31*Resumo!$B$7</f>
        <v>2.77418</v>
      </c>
      <c r="W31" s="61" t="n">
        <f aca="false">Resumo!$B$9</f>
        <v>1</v>
      </c>
      <c r="X31" s="61" t="n">
        <f aca="false">Resumo!$B$10*CEILING(G31/100,1)</f>
        <v>9</v>
      </c>
      <c r="Y31" s="61" t="n">
        <f aca="false">Resumo!$B$12*CEILING(G31,1)</f>
        <v>7.68</v>
      </c>
      <c r="Z31" s="61" t="n">
        <f aca="false">Resumo!$B$14*CEILING(G31,1)</f>
        <v>57.6</v>
      </c>
      <c r="AA31" s="61" t="n">
        <f aca="false">SUM(T31:Z31)</f>
        <v>328.47127</v>
      </c>
      <c r="AB31" s="61" t="n">
        <f aca="false">AA31/(1-Resumo!$B$5)</f>
        <v>373.262806818182</v>
      </c>
      <c r="AC31" s="61" t="n">
        <f aca="false">AB31-S31</f>
        <v>136.108513636364</v>
      </c>
      <c r="AD31" s="62" t="n">
        <f aca="false">AB31/S31-1</f>
        <v>0.573923886471724</v>
      </c>
      <c r="AE31" s="60" t="str">
        <f aca="false">IF(AB31&lt;S31,"SIM","NÃO")</f>
        <v>NÃO</v>
      </c>
      <c r="AF31" s="60" t="n">
        <v>2</v>
      </c>
      <c r="AG31" s="60" t="n">
        <v>7</v>
      </c>
      <c r="AH31" s="60" t="s">
        <v>382</v>
      </c>
      <c r="AI31" s="61" t="n">
        <f aca="false">(T31*(1-Painel!$C$40)+U31+V31+Painel!$C$41+Painel!$C$42*CEILING(G31/100,1)+Painel!$C$43*CEILING(G31,1)+Z31)/(1-Resumo!$B$5)</f>
        <v>263.308375</v>
      </c>
      <c r="AJ31" s="60" t="str">
        <f aca="false">IF(AI31&lt;S31,"SIM","NÃO")</f>
        <v>NÃO</v>
      </c>
    </row>
    <row r="32" customFormat="false" ht="15" hidden="false" customHeight="false" outlineLevel="0" collapsed="false">
      <c r="A32" s="59" t="n">
        <v>46207.5155092593</v>
      </c>
      <c r="B32" s="60" t="s">
        <v>412</v>
      </c>
      <c r="C32" s="60" t="n">
        <v>21770220</v>
      </c>
      <c r="D32" s="60" t="s">
        <v>46</v>
      </c>
      <c r="E32" s="60" t="s">
        <v>22</v>
      </c>
      <c r="F32" s="60" t="s">
        <v>241</v>
      </c>
      <c r="G32" s="60" t="n">
        <v>124.2</v>
      </c>
      <c r="H32" s="61" t="n">
        <v>1520.94</v>
      </c>
      <c r="I32" s="61" t="n">
        <v>120.59</v>
      </c>
      <c r="J32" s="61" t="n">
        <f aca="false">H32*Resumo!$C$6</f>
        <v>0</v>
      </c>
      <c r="K32" s="61" t="n">
        <f aca="false">H32*Resumo!$C$7</f>
        <v>3.193974</v>
      </c>
      <c r="L32" s="61" t="n">
        <f aca="false">H32*Resumo!$C$8</f>
        <v>3.193974</v>
      </c>
      <c r="M32" s="61" t="n">
        <f aca="false">Resumo!$C$10*CEILING(G32/100,1)</f>
        <v>2.1</v>
      </c>
      <c r="N32" s="61" t="n">
        <f aca="false">Resumo!$C$9</f>
        <v>0</v>
      </c>
      <c r="O32" s="61" t="n">
        <f aca="false">Resumo!$C$13</f>
        <v>13.55</v>
      </c>
      <c r="P32" s="61" t="n">
        <f aca="false">Resumo!$C$14*CEILING(G32,1)</f>
        <v>56.25</v>
      </c>
      <c r="Q32" s="61" t="n">
        <f aca="false">SUM(I32:P32)*Resumo!$C$11</f>
        <v>0</v>
      </c>
      <c r="R32" s="61" t="n">
        <f aca="false">SUM(I32:Q32)</f>
        <v>198.877948</v>
      </c>
      <c r="S32" s="61" t="n">
        <f aca="false">R32/(1-Resumo!$C$5)</f>
        <v>225.997668181818</v>
      </c>
      <c r="T32" s="61" t="n">
        <v>239.25</v>
      </c>
      <c r="U32" s="61" t="n">
        <f aca="false">H32*Resumo!$B$6</f>
        <v>1.52094</v>
      </c>
      <c r="V32" s="61" t="n">
        <f aca="false">H32*Resumo!$B$7</f>
        <v>3.04188</v>
      </c>
      <c r="W32" s="61" t="n">
        <f aca="false">Resumo!$B$9</f>
        <v>1</v>
      </c>
      <c r="X32" s="61" t="n">
        <f aca="false">Resumo!$B$10*CEILING(G32/100,1)</f>
        <v>9</v>
      </c>
      <c r="Y32" s="61" t="n">
        <f aca="false">Resumo!$B$12*CEILING(G32,1)</f>
        <v>7.5</v>
      </c>
      <c r="Z32" s="61" t="n">
        <f aca="false">Resumo!$B$14*CEILING(G32,1)</f>
        <v>56.25</v>
      </c>
      <c r="AA32" s="61" t="n">
        <f aca="false">SUM(T32:Z32)</f>
        <v>317.56282</v>
      </c>
      <c r="AB32" s="61" t="n">
        <f aca="false">AA32/(1-Resumo!$B$5)</f>
        <v>360.866840909091</v>
      </c>
      <c r="AC32" s="61" t="n">
        <f aca="false">AB32-S32</f>
        <v>134.869172727273</v>
      </c>
      <c r="AD32" s="62" t="n">
        <f aca="false">AB32/S32-1</f>
        <v>0.596772408371792</v>
      </c>
      <c r="AE32" s="60" t="str">
        <f aca="false">IF(AB32&lt;S32,"SIM","NÃO")</f>
        <v>NÃO</v>
      </c>
      <c r="AF32" s="60" t="n">
        <v>2</v>
      </c>
      <c r="AG32" s="60" t="n">
        <v>5</v>
      </c>
      <c r="AH32" s="60" t="s">
        <v>382</v>
      </c>
      <c r="AI32" s="61" t="n">
        <f aca="false">(T32*(1-Painel!$C$40)+U32+V32+Painel!$C$41+Painel!$C$42*CEILING(G32/100,1)+Painel!$C$43*CEILING(G32,1)+Z32)/(1-Resumo!$B$5)</f>
        <v>254.784454545455</v>
      </c>
      <c r="AJ32" s="60" t="str">
        <f aca="false">IF(AI32&lt;S32,"SIM","NÃO")</f>
        <v>NÃO</v>
      </c>
    </row>
    <row r="33" customFormat="false" ht="15" hidden="false" customHeight="false" outlineLevel="0" collapsed="false">
      <c r="A33" s="59" t="n">
        <v>46207.5971759259</v>
      </c>
      <c r="B33" s="60" t="s">
        <v>413</v>
      </c>
      <c r="C33" s="60" t="n">
        <v>21741060</v>
      </c>
      <c r="D33" s="60" t="s">
        <v>46</v>
      </c>
      <c r="E33" s="60" t="s">
        <v>22</v>
      </c>
      <c r="F33" s="60" t="s">
        <v>233</v>
      </c>
      <c r="G33" s="60" t="n">
        <v>21.75</v>
      </c>
      <c r="H33" s="61" t="n">
        <v>341.99</v>
      </c>
      <c r="I33" s="61" t="n">
        <v>42.11</v>
      </c>
      <c r="J33" s="61" t="n">
        <f aca="false">H33*Resumo!$C$6</f>
        <v>0</v>
      </c>
      <c r="K33" s="61" t="n">
        <f aca="false">H33*Resumo!$C$7</f>
        <v>0.718179</v>
      </c>
      <c r="L33" s="61" t="n">
        <f aca="false">H33*Resumo!$C$8</f>
        <v>0.718179</v>
      </c>
      <c r="M33" s="61" t="n">
        <f aca="false">Resumo!$C$10*CEILING(G33/100,1)</f>
        <v>1.05</v>
      </c>
      <c r="N33" s="61" t="n">
        <f aca="false">Resumo!$C$9</f>
        <v>0</v>
      </c>
      <c r="O33" s="61" t="n">
        <f aca="false">Resumo!$C$13</f>
        <v>13.55</v>
      </c>
      <c r="P33" s="61" t="n">
        <f aca="false">Resumo!$C$14*CEILING(G33,1)</f>
        <v>9.9</v>
      </c>
      <c r="Q33" s="61" t="n">
        <f aca="false">SUM(I33:P33)*Resumo!$C$11</f>
        <v>0</v>
      </c>
      <c r="R33" s="61" t="n">
        <f aca="false">SUM(I33:Q33)</f>
        <v>68.046358</v>
      </c>
      <c r="S33" s="61" t="n">
        <f aca="false">R33/(1-Resumo!$C$5)</f>
        <v>77.3254068181818</v>
      </c>
      <c r="T33" s="61" t="n">
        <v>82.21</v>
      </c>
      <c r="U33" s="61" t="n">
        <f aca="false">H33*Resumo!$B$6</f>
        <v>0.34199</v>
      </c>
      <c r="V33" s="61" t="n">
        <f aca="false">H33*Resumo!$B$7</f>
        <v>0.68398</v>
      </c>
      <c r="W33" s="61" t="n">
        <f aca="false">Resumo!$B$9</f>
        <v>1</v>
      </c>
      <c r="X33" s="61" t="n">
        <f aca="false">Resumo!$B$10*CEILING(G33/100,1)</f>
        <v>4.5</v>
      </c>
      <c r="Y33" s="61" t="n">
        <f aca="false">Resumo!$B$12*CEILING(G33,1)</f>
        <v>1.32</v>
      </c>
      <c r="Z33" s="61" t="n">
        <f aca="false">Resumo!$B$14*CEILING(G33,1)</f>
        <v>9.9</v>
      </c>
      <c r="AA33" s="61" t="n">
        <f aca="false">SUM(T33:Z33)</f>
        <v>99.95597</v>
      </c>
      <c r="AB33" s="61" t="n">
        <f aca="false">AA33/(1-Resumo!$B$5)</f>
        <v>113.586329545455</v>
      </c>
      <c r="AC33" s="61" t="n">
        <f aca="false">AB33-S33</f>
        <v>36.2609227272727</v>
      </c>
      <c r="AD33" s="62" t="n">
        <f aca="false">AB33/S33-1</f>
        <v>0.468939307523262</v>
      </c>
      <c r="AE33" s="60" t="str">
        <f aca="false">IF(AB33&lt;S33,"SIM","NÃO")</f>
        <v>NÃO</v>
      </c>
      <c r="AF33" s="60" t="n">
        <v>2</v>
      </c>
      <c r="AG33" s="60" t="n">
        <v>5</v>
      </c>
      <c r="AH33" s="60" t="s">
        <v>382</v>
      </c>
      <c r="AI33" s="61" t="n">
        <f aca="false">(T33*(1-Painel!$C$40)+U33+V33+Painel!$C$41+Painel!$C$42*CEILING(G33/100,1)+Painel!$C$43*CEILING(G33,1)+Z33)/(1-Resumo!$B$5)</f>
        <v>77.337125</v>
      </c>
      <c r="AJ33" s="60" t="str">
        <f aca="false">IF(AI33&lt;S33,"SIM","NÃO")</f>
        <v>NÃO</v>
      </c>
    </row>
    <row r="34" customFormat="false" ht="15" hidden="false" customHeight="false" outlineLevel="0" collapsed="false">
      <c r="A34" s="59" t="n">
        <v>46207.6318865741</v>
      </c>
      <c r="B34" s="60" t="s">
        <v>414</v>
      </c>
      <c r="C34" s="60" t="n">
        <v>26298608</v>
      </c>
      <c r="D34" s="60" t="s">
        <v>49</v>
      </c>
      <c r="E34" s="60" t="s">
        <v>23</v>
      </c>
      <c r="F34" s="60" t="s">
        <v>233</v>
      </c>
      <c r="G34" s="60" t="n">
        <v>33</v>
      </c>
      <c r="H34" s="61" t="n">
        <v>399.99</v>
      </c>
      <c r="I34" s="61" t="n">
        <v>58.8</v>
      </c>
      <c r="J34" s="61" t="n">
        <f aca="false">H34*Resumo!$C$6</f>
        <v>0</v>
      </c>
      <c r="K34" s="61" t="n">
        <f aca="false">H34*Resumo!$C$7</f>
        <v>0.839979</v>
      </c>
      <c r="L34" s="61" t="n">
        <f aca="false">H34*Resumo!$C$8</f>
        <v>0.839979</v>
      </c>
      <c r="M34" s="61" t="n">
        <f aca="false">Resumo!$C$10*CEILING(G34/100,1)</f>
        <v>1.05</v>
      </c>
      <c r="N34" s="61" t="n">
        <f aca="false">Resumo!$C$9</f>
        <v>0</v>
      </c>
      <c r="O34" s="61" t="n">
        <f aca="false">Resumo!$C$13</f>
        <v>13.55</v>
      </c>
      <c r="P34" s="61" t="n">
        <f aca="false">Resumo!$C$14*CEILING(G34,1)</f>
        <v>14.85</v>
      </c>
      <c r="Q34" s="61" t="n">
        <f aca="false">SUM(I34:P34)*Resumo!$C$11</f>
        <v>0</v>
      </c>
      <c r="R34" s="61" t="n">
        <f aca="false">SUM(I34:Q34)</f>
        <v>89.929958</v>
      </c>
      <c r="S34" s="61" t="n">
        <f aca="false">R34/(1-Resumo!$C$5)</f>
        <v>102.193134090909</v>
      </c>
      <c r="T34" s="61" t="n">
        <v>82.21</v>
      </c>
      <c r="U34" s="61" t="n">
        <f aca="false">H34*Resumo!$B$6</f>
        <v>0.39999</v>
      </c>
      <c r="V34" s="61" t="n">
        <f aca="false">H34*Resumo!$B$7</f>
        <v>0.79998</v>
      </c>
      <c r="W34" s="61" t="n">
        <f aca="false">Resumo!$B$9</f>
        <v>1</v>
      </c>
      <c r="X34" s="61" t="n">
        <f aca="false">Resumo!$B$10*CEILING(G34/100,1)</f>
        <v>4.5</v>
      </c>
      <c r="Y34" s="61" t="n">
        <f aca="false">Resumo!$B$12*CEILING(G34,1)</f>
        <v>1.98</v>
      </c>
      <c r="Z34" s="61" t="n">
        <f aca="false">Resumo!$B$14*CEILING(G34,1)</f>
        <v>14.85</v>
      </c>
      <c r="AA34" s="61" t="n">
        <f aca="false">SUM(T34:Z34)</f>
        <v>105.73997</v>
      </c>
      <c r="AB34" s="61" t="n">
        <f aca="false">AA34/(1-Resumo!$B$5)</f>
        <v>120.159056818182</v>
      </c>
      <c r="AC34" s="61" t="n">
        <f aca="false">AB34-S34</f>
        <v>17.9659227272727</v>
      </c>
      <c r="AD34" s="62" t="n">
        <f aca="false">AB34/S34-1</f>
        <v>0.175803618189169</v>
      </c>
      <c r="AE34" s="60" t="str">
        <f aca="false">IF(AB34&lt;S34,"SIM","NÃO")</f>
        <v>NÃO</v>
      </c>
      <c r="AF34" s="60" t="n">
        <v>2</v>
      </c>
      <c r="AG34" s="60" t="n">
        <v>5</v>
      </c>
      <c r="AH34" s="60" t="s">
        <v>382</v>
      </c>
      <c r="AI34" s="61" t="n">
        <f aca="false">(T34*(1-Painel!$C$40)+U34+V34+Painel!$C$41+Painel!$C$42*CEILING(G34/100,1)+Painel!$C$43*CEILING(G34,1)+Z34)/(1-Resumo!$B$5)</f>
        <v>83.1598522727273</v>
      </c>
      <c r="AJ34" s="60" t="str">
        <f aca="false">IF(AI34&lt;S34,"SIM","NÃO")</f>
        <v>SIM</v>
      </c>
    </row>
    <row r="35" customFormat="false" ht="15" hidden="false" customHeight="false" outlineLevel="0" collapsed="false">
      <c r="A35" s="59" t="n">
        <v>46207.7331597222</v>
      </c>
      <c r="B35" s="60" t="s">
        <v>415</v>
      </c>
      <c r="C35" s="60" t="n">
        <v>26143290</v>
      </c>
      <c r="D35" s="60" t="s">
        <v>52</v>
      </c>
      <c r="E35" s="60" t="s">
        <v>23</v>
      </c>
      <c r="F35" s="60" t="s">
        <v>233</v>
      </c>
      <c r="G35" s="60" t="n">
        <v>33</v>
      </c>
      <c r="H35" s="61" t="n">
        <v>419.99</v>
      </c>
      <c r="I35" s="61" t="n">
        <v>58.8</v>
      </c>
      <c r="J35" s="61" t="n">
        <f aca="false">H35*Resumo!$C$6</f>
        <v>0</v>
      </c>
      <c r="K35" s="61" t="n">
        <f aca="false">H35*Resumo!$C$7</f>
        <v>0.881979</v>
      </c>
      <c r="L35" s="61" t="n">
        <f aca="false">H35*Resumo!$C$8</f>
        <v>0.881979</v>
      </c>
      <c r="M35" s="61" t="n">
        <f aca="false">Resumo!$C$10*CEILING(G35/100,1)</f>
        <v>1.05</v>
      </c>
      <c r="N35" s="61" t="n">
        <f aca="false">Resumo!$C$9</f>
        <v>0</v>
      </c>
      <c r="O35" s="61" t="n">
        <f aca="false">Resumo!$C$13</f>
        <v>13.55</v>
      </c>
      <c r="P35" s="61" t="n">
        <f aca="false">Resumo!$C$14*CEILING(G35,1)</f>
        <v>14.85</v>
      </c>
      <c r="Q35" s="61" t="n">
        <f aca="false">SUM(I35:P35)*Resumo!$C$11</f>
        <v>0</v>
      </c>
      <c r="R35" s="61" t="n">
        <f aca="false">SUM(I35:Q35)</f>
        <v>90.013958</v>
      </c>
      <c r="S35" s="61" t="n">
        <f aca="false">R35/(1-Resumo!$C$5)</f>
        <v>102.288588636364</v>
      </c>
      <c r="T35" s="61" t="n">
        <v>82.21</v>
      </c>
      <c r="U35" s="61" t="n">
        <f aca="false">H35*Resumo!$B$6</f>
        <v>0.41999</v>
      </c>
      <c r="V35" s="61" t="n">
        <f aca="false">H35*Resumo!$B$7</f>
        <v>0.83998</v>
      </c>
      <c r="W35" s="61" t="n">
        <f aca="false">Resumo!$B$9</f>
        <v>1</v>
      </c>
      <c r="X35" s="61" t="n">
        <f aca="false">Resumo!$B$10*CEILING(G35/100,1)</f>
        <v>4.5</v>
      </c>
      <c r="Y35" s="61" t="n">
        <f aca="false">Resumo!$B$12*CEILING(G35,1)</f>
        <v>1.98</v>
      </c>
      <c r="Z35" s="61" t="n">
        <f aca="false">Resumo!$B$14*CEILING(G35,1)</f>
        <v>14.85</v>
      </c>
      <c r="AA35" s="61" t="n">
        <f aca="false">SUM(T35:Z35)</f>
        <v>105.79997</v>
      </c>
      <c r="AB35" s="61" t="n">
        <f aca="false">AA35/(1-Resumo!$B$5)</f>
        <v>120.227238636364</v>
      </c>
      <c r="AC35" s="61" t="n">
        <f aca="false">AB35-S35</f>
        <v>17.93865</v>
      </c>
      <c r="AD35" s="62" t="n">
        <f aca="false">AB35/S35-1</f>
        <v>0.175372934939712</v>
      </c>
      <c r="AE35" s="60" t="str">
        <f aca="false">IF(AB35&lt;S35,"SIM","NÃO")</f>
        <v>NÃO</v>
      </c>
      <c r="AF35" s="60" t="n">
        <v>2</v>
      </c>
      <c r="AG35" s="60" t="n">
        <v>5</v>
      </c>
      <c r="AH35" s="60" t="s">
        <v>382</v>
      </c>
      <c r="AI35" s="61" t="n">
        <f aca="false">(T35*(1-Painel!$C$40)+U35+V35+Painel!$C$41+Painel!$C$42*CEILING(G35/100,1)+Painel!$C$43*CEILING(G35,1)+Z35)/(1-Resumo!$B$5)</f>
        <v>83.2280340909091</v>
      </c>
      <c r="AJ35" s="60" t="str">
        <f aca="false">IF(AI35&lt;S35,"SIM","NÃO")</f>
        <v>SIM</v>
      </c>
    </row>
    <row r="36" customFormat="false" ht="15" hidden="false" customHeight="false" outlineLevel="0" collapsed="false">
      <c r="A36" s="59" t="n">
        <v>46207.8455439815</v>
      </c>
      <c r="B36" s="60" t="s">
        <v>416</v>
      </c>
      <c r="C36" s="60" t="n">
        <v>23893770</v>
      </c>
      <c r="D36" s="60" t="s">
        <v>267</v>
      </c>
      <c r="E36" s="60" t="s">
        <v>24</v>
      </c>
      <c r="F36" s="60" t="s">
        <v>233</v>
      </c>
      <c r="G36" s="60" t="n">
        <v>27</v>
      </c>
      <c r="H36" s="61" t="n">
        <v>314.99</v>
      </c>
      <c r="I36" s="61" t="n">
        <v>65.63</v>
      </c>
      <c r="J36" s="61" t="n">
        <f aca="false">H36*Resumo!$C$6</f>
        <v>0</v>
      </c>
      <c r="K36" s="61" t="n">
        <f aca="false">H36*Resumo!$C$7</f>
        <v>0.661479</v>
      </c>
      <c r="L36" s="61" t="n">
        <f aca="false">H36*Resumo!$C$8</f>
        <v>0.661479</v>
      </c>
      <c r="M36" s="61" t="n">
        <f aca="false">Resumo!$C$10*CEILING(G36/100,1)</f>
        <v>1.05</v>
      </c>
      <c r="N36" s="61" t="n">
        <f aca="false">Resumo!$C$9</f>
        <v>0</v>
      </c>
      <c r="O36" s="61" t="n">
        <f aca="false">Resumo!$C$13</f>
        <v>13.55</v>
      </c>
      <c r="P36" s="61" t="n">
        <f aca="false">Resumo!$C$14*CEILING(G36,1)</f>
        <v>12.15</v>
      </c>
      <c r="Q36" s="61" t="n">
        <f aca="false">SUM(I36:P36)*Resumo!$C$11</f>
        <v>0</v>
      </c>
      <c r="R36" s="61" t="n">
        <f aca="false">SUM(I36:Q36)</f>
        <v>93.702958</v>
      </c>
      <c r="S36" s="61" t="n">
        <f aca="false">R36/(1-Resumo!$C$5)</f>
        <v>106.480634090909</v>
      </c>
      <c r="T36" s="61" t="n">
        <v>92.21</v>
      </c>
      <c r="U36" s="61" t="n">
        <f aca="false">H36*Resumo!$B$6</f>
        <v>0.31499</v>
      </c>
      <c r="V36" s="61" t="n">
        <f aca="false">H36*Resumo!$B$7</f>
        <v>0.62998</v>
      </c>
      <c r="W36" s="61" t="n">
        <f aca="false">Resumo!$B$9</f>
        <v>1</v>
      </c>
      <c r="X36" s="61" t="n">
        <f aca="false">Resumo!$B$10*CEILING(G36/100,1)</f>
        <v>4.5</v>
      </c>
      <c r="Y36" s="61" t="n">
        <f aca="false">Resumo!$B$12*CEILING(G36,1)</f>
        <v>1.62</v>
      </c>
      <c r="Z36" s="61" t="n">
        <f aca="false">Resumo!$B$14*CEILING(G36,1)</f>
        <v>12.15</v>
      </c>
      <c r="AA36" s="61" t="n">
        <f aca="false">SUM(T36:Z36)</f>
        <v>112.42497</v>
      </c>
      <c r="AB36" s="61" t="n">
        <f aca="false">AA36/(1-Resumo!$B$5)</f>
        <v>127.755647727273</v>
      </c>
      <c r="AC36" s="61" t="n">
        <f aca="false">AB36-S36</f>
        <v>21.2750136363636</v>
      </c>
      <c r="AD36" s="62" t="n">
        <f aca="false">AB36/S36-1</f>
        <v>0.199801718105847</v>
      </c>
      <c r="AE36" s="60" t="str">
        <f aca="false">IF(AB36&lt;S36,"SIM","NÃO")</f>
        <v>NÃO</v>
      </c>
      <c r="AF36" s="60" t="n">
        <v>13</v>
      </c>
      <c r="AG36" s="60" t="n">
        <v>5</v>
      </c>
      <c r="AH36" s="60" t="s">
        <v>385</v>
      </c>
      <c r="AI36" s="61" t="n">
        <f aca="false">(T36*(1-Painel!$C$40)+U36+V36+Painel!$C$41+Painel!$C$42*CEILING(G36/100,1)+Painel!$C$43*CEILING(G36,1)+Z36)/(1-Resumo!$B$5)</f>
        <v>87.4155340909091</v>
      </c>
      <c r="AJ36" s="60" t="str">
        <f aca="false">IF(AI36&lt;S36,"SIM","NÃO")</f>
        <v>SIM</v>
      </c>
    </row>
    <row r="37" customFormat="false" ht="15" hidden="false" customHeight="false" outlineLevel="0" collapsed="false">
      <c r="A37" s="59" t="n">
        <v>46207.8796064815</v>
      </c>
      <c r="B37" s="60" t="s">
        <v>417</v>
      </c>
      <c r="C37" s="60" t="n">
        <v>23036076</v>
      </c>
      <c r="D37" s="60" t="s">
        <v>46</v>
      </c>
      <c r="E37" s="60" t="s">
        <v>22</v>
      </c>
      <c r="F37" s="60" t="s">
        <v>232</v>
      </c>
      <c r="G37" s="60" t="n">
        <v>19.9</v>
      </c>
      <c r="H37" s="61" t="n">
        <v>260.99</v>
      </c>
      <c r="I37" s="61" t="n">
        <v>33.42</v>
      </c>
      <c r="J37" s="61" t="n">
        <f aca="false">H37*Resumo!$C$6</f>
        <v>0</v>
      </c>
      <c r="K37" s="61" t="n">
        <f aca="false">H37*Resumo!$C$7</f>
        <v>0.548079</v>
      </c>
      <c r="L37" s="61" t="n">
        <f aca="false">H37*Resumo!$C$8</f>
        <v>0.548079</v>
      </c>
      <c r="M37" s="61" t="n">
        <f aca="false">Resumo!$C$10*CEILING(G37/100,1)</f>
        <v>1.05</v>
      </c>
      <c r="N37" s="61" t="n">
        <f aca="false">Resumo!$C$9</f>
        <v>0</v>
      </c>
      <c r="O37" s="61" t="n">
        <f aca="false">Resumo!$C$13</f>
        <v>13.55</v>
      </c>
      <c r="P37" s="61" t="n">
        <f aca="false">Resumo!$C$14*CEILING(G37,1)</f>
        <v>9</v>
      </c>
      <c r="Q37" s="61" t="n">
        <f aca="false">SUM(I37:P37)*Resumo!$C$11</f>
        <v>0</v>
      </c>
      <c r="R37" s="61" t="n">
        <f aca="false">SUM(I37:Q37)</f>
        <v>58.116158</v>
      </c>
      <c r="S37" s="61" t="n">
        <f aca="false">R37/(1-Resumo!$C$5)</f>
        <v>66.0410886363636</v>
      </c>
      <c r="T37" s="61" t="n">
        <v>46.98</v>
      </c>
      <c r="U37" s="61" t="n">
        <f aca="false">H37*Resumo!$B$6</f>
        <v>0.26099</v>
      </c>
      <c r="V37" s="61" t="n">
        <f aca="false">H37*Resumo!$B$7</f>
        <v>0.52198</v>
      </c>
      <c r="W37" s="61" t="n">
        <f aca="false">Resumo!$B$9</f>
        <v>1</v>
      </c>
      <c r="X37" s="61" t="n">
        <f aca="false">Resumo!$B$10*CEILING(G37/100,1)</f>
        <v>4.5</v>
      </c>
      <c r="Y37" s="61" t="n">
        <f aca="false">Resumo!$B$12*CEILING(G37,1)</f>
        <v>1.2</v>
      </c>
      <c r="Z37" s="61" t="n">
        <f aca="false">Resumo!$B$14*CEILING(G37,1)</f>
        <v>9</v>
      </c>
      <c r="AA37" s="61" t="n">
        <f aca="false">SUM(T37:Z37)</f>
        <v>63.46297</v>
      </c>
      <c r="AB37" s="61" t="n">
        <f aca="false">AA37/(1-Resumo!$B$5)</f>
        <v>72.1170113636364</v>
      </c>
      <c r="AC37" s="61" t="n">
        <f aca="false">AB37-S37</f>
        <v>6.07592272727273</v>
      </c>
      <c r="AD37" s="62" t="n">
        <f aca="false">AB37/S37-1</f>
        <v>0.0920021588488351</v>
      </c>
      <c r="AE37" s="60" t="str">
        <f aca="false">IF(AB37&lt;S37,"SIM","NÃO")</f>
        <v>NÃO</v>
      </c>
      <c r="AF37" s="60" t="n">
        <v>2</v>
      </c>
      <c r="AG37" s="60" t="n">
        <v>5</v>
      </c>
      <c r="AH37" s="60" t="s">
        <v>382</v>
      </c>
      <c r="AI37" s="61" t="n">
        <f aca="false">(T37*(1-Painel!$C$40)+U37+V37+Painel!$C$41+Painel!$C$42*CEILING(G37/100,1)+Painel!$C$43*CEILING(G37,1)+Z37)/(1-Resumo!$B$5)</f>
        <v>49.2154204545454</v>
      </c>
      <c r="AJ37" s="60" t="str">
        <f aca="false">IF(AI37&lt;S37,"SIM","NÃO")</f>
        <v>SIM</v>
      </c>
    </row>
    <row r="38" customFormat="false" ht="15" hidden="false" customHeight="false" outlineLevel="0" collapsed="false">
      <c r="A38" s="59" t="n">
        <v>46207.9394560185</v>
      </c>
      <c r="B38" s="60" t="s">
        <v>418</v>
      </c>
      <c r="C38" s="60" t="n">
        <v>21381009</v>
      </c>
      <c r="D38" s="60" t="s">
        <v>46</v>
      </c>
      <c r="E38" s="60" t="s">
        <v>22</v>
      </c>
      <c r="F38" s="60" t="s">
        <v>235</v>
      </c>
      <c r="G38" s="60" t="n">
        <v>49.6</v>
      </c>
      <c r="H38" s="61" t="n">
        <v>799.99</v>
      </c>
      <c r="I38" s="61" t="n">
        <v>53.55</v>
      </c>
      <c r="J38" s="61" t="n">
        <f aca="false">H38*Resumo!$C$6</f>
        <v>0</v>
      </c>
      <c r="K38" s="61" t="n">
        <f aca="false">H38*Resumo!$C$7</f>
        <v>1.679979</v>
      </c>
      <c r="L38" s="61" t="n">
        <f aca="false">H38*Resumo!$C$8</f>
        <v>1.679979</v>
      </c>
      <c r="M38" s="61" t="n">
        <f aca="false">Resumo!$C$10*CEILING(G38/100,1)</f>
        <v>1.05</v>
      </c>
      <c r="N38" s="61" t="n">
        <f aca="false">Resumo!$C$9</f>
        <v>0</v>
      </c>
      <c r="O38" s="61" t="n">
        <f aca="false">Resumo!$C$13</f>
        <v>13.55</v>
      </c>
      <c r="P38" s="61" t="n">
        <f aca="false">Resumo!$C$14*CEILING(G38,1)</f>
        <v>22.5</v>
      </c>
      <c r="Q38" s="61" t="n">
        <f aca="false">SUM(I38:P38)*Resumo!$C$11</f>
        <v>0</v>
      </c>
      <c r="R38" s="61" t="n">
        <f aca="false">SUM(I38:Q38)</f>
        <v>94.009958</v>
      </c>
      <c r="S38" s="61" t="n">
        <f aca="false">R38/(1-Resumo!$C$5)</f>
        <v>106.829497727273</v>
      </c>
      <c r="T38" s="61" t="n">
        <v>93.97</v>
      </c>
      <c r="U38" s="61" t="n">
        <f aca="false">H38*Resumo!$B$6</f>
        <v>0.79999</v>
      </c>
      <c r="V38" s="61" t="n">
        <f aca="false">H38*Resumo!$B$7</f>
        <v>1.59998</v>
      </c>
      <c r="W38" s="61" t="n">
        <f aca="false">Resumo!$B$9</f>
        <v>1</v>
      </c>
      <c r="X38" s="61" t="n">
        <f aca="false">Resumo!$B$10*CEILING(G38/100,1)</f>
        <v>4.5</v>
      </c>
      <c r="Y38" s="61" t="n">
        <f aca="false">Resumo!$B$12*CEILING(G38,1)</f>
        <v>3</v>
      </c>
      <c r="Z38" s="61" t="n">
        <f aca="false">Resumo!$B$14*CEILING(G38,1)</f>
        <v>22.5</v>
      </c>
      <c r="AA38" s="61" t="n">
        <f aca="false">SUM(T38:Z38)</f>
        <v>127.36997</v>
      </c>
      <c r="AB38" s="61" t="n">
        <f aca="false">AA38/(1-Resumo!$B$5)</f>
        <v>144.738602272727</v>
      </c>
      <c r="AC38" s="61" t="n">
        <f aca="false">AB38-S38</f>
        <v>37.9091045454545</v>
      </c>
      <c r="AD38" s="62" t="n">
        <f aca="false">AB38/S38-1</f>
        <v>0.35485615257907</v>
      </c>
      <c r="AE38" s="60" t="str">
        <f aca="false">IF(AB38&lt;S38,"SIM","NÃO")</f>
        <v>NÃO</v>
      </c>
      <c r="AF38" s="60" t="n">
        <v>2</v>
      </c>
      <c r="AG38" s="60" t="n">
        <v>5</v>
      </c>
      <c r="AH38" s="60" t="s">
        <v>382</v>
      </c>
      <c r="AI38" s="61" t="n">
        <f aca="false">(T38*(1-Painel!$C$40)+U38+V38+Painel!$C$41+Painel!$C$42*CEILING(G38/100,1)+Painel!$C$43*CEILING(G38,1)+Z38)/(1-Resumo!$B$5)</f>
        <v>102.170306818182</v>
      </c>
      <c r="AJ38" s="60" t="str">
        <f aca="false">IF(AI38&lt;S38,"SIM","NÃO")</f>
        <v>SIM</v>
      </c>
    </row>
    <row r="39" customFormat="false" ht="15" hidden="false" customHeight="false" outlineLevel="0" collapsed="false">
      <c r="A39" s="59" t="n">
        <v>46207.9641435185</v>
      </c>
      <c r="B39" s="60" t="s">
        <v>419</v>
      </c>
      <c r="C39" s="60" t="n">
        <v>20541170</v>
      </c>
      <c r="D39" s="60" t="s">
        <v>46</v>
      </c>
      <c r="E39" s="60" t="s">
        <v>22</v>
      </c>
      <c r="F39" s="60" t="s">
        <v>238</v>
      </c>
      <c r="G39" s="60" t="n">
        <v>71.9</v>
      </c>
      <c r="H39" s="61" t="n">
        <v>735.99</v>
      </c>
      <c r="I39" s="61" t="n">
        <v>68.88</v>
      </c>
      <c r="J39" s="61" t="n">
        <f aca="false">H39*Resumo!$C$6</f>
        <v>0</v>
      </c>
      <c r="K39" s="61" t="n">
        <f aca="false">H39*Resumo!$C$7</f>
        <v>1.545579</v>
      </c>
      <c r="L39" s="61" t="n">
        <f aca="false">H39*Resumo!$C$8</f>
        <v>1.545579</v>
      </c>
      <c r="M39" s="61" t="n">
        <f aca="false">Resumo!$C$10*CEILING(G39/100,1)</f>
        <v>1.05</v>
      </c>
      <c r="N39" s="61" t="n">
        <f aca="false">Resumo!$C$9</f>
        <v>0</v>
      </c>
      <c r="O39" s="61" t="n">
        <f aca="false">Resumo!$C$13</f>
        <v>13.55</v>
      </c>
      <c r="P39" s="61" t="n">
        <f aca="false">Resumo!$C$14*CEILING(G39,1)</f>
        <v>32.4</v>
      </c>
      <c r="Q39" s="61" t="n">
        <f aca="false">SUM(I39:P39)*Resumo!$C$11</f>
        <v>0</v>
      </c>
      <c r="R39" s="61" t="n">
        <f aca="false">SUM(I39:Q39)</f>
        <v>118.971158</v>
      </c>
      <c r="S39" s="61" t="n">
        <f aca="false">R39/(1-Resumo!$C$5)</f>
        <v>135.194497727273</v>
      </c>
      <c r="T39" s="61" t="n">
        <v>134.39</v>
      </c>
      <c r="U39" s="61" t="n">
        <f aca="false">H39*Resumo!$B$6</f>
        <v>0.73599</v>
      </c>
      <c r="V39" s="61" t="n">
        <f aca="false">H39*Resumo!$B$7</f>
        <v>1.47198</v>
      </c>
      <c r="W39" s="61" t="n">
        <f aca="false">Resumo!$B$9</f>
        <v>1</v>
      </c>
      <c r="X39" s="61" t="n">
        <f aca="false">Resumo!$B$10*CEILING(G39/100,1)</f>
        <v>4.5</v>
      </c>
      <c r="Y39" s="61" t="n">
        <f aca="false">Resumo!$B$12*CEILING(G39,1)</f>
        <v>4.32</v>
      </c>
      <c r="Z39" s="61" t="n">
        <f aca="false">Resumo!$B$14*CEILING(G39,1)</f>
        <v>32.4</v>
      </c>
      <c r="AA39" s="61" t="n">
        <f aca="false">SUM(T39:Z39)</f>
        <v>178.81797</v>
      </c>
      <c r="AB39" s="61" t="n">
        <f aca="false">AA39/(1-Resumo!$B$5)</f>
        <v>203.202238636364</v>
      </c>
      <c r="AC39" s="61" t="n">
        <f aca="false">AB39-S39</f>
        <v>68.0077409090909</v>
      </c>
      <c r="AD39" s="62" t="n">
        <f aca="false">AB39/S39-1</f>
        <v>0.503036307337615</v>
      </c>
      <c r="AE39" s="60" t="str">
        <f aca="false">IF(AB39&lt;S39,"SIM","NÃO")</f>
        <v>NÃO</v>
      </c>
      <c r="AF39" s="60" t="n">
        <v>2</v>
      </c>
      <c r="AG39" s="60" t="n">
        <v>5</v>
      </c>
      <c r="AH39" s="60" t="s">
        <v>382</v>
      </c>
      <c r="AI39" s="61" t="n">
        <f aca="false">(T39*(1-Painel!$C$40)+U39+V39+Painel!$C$41+Painel!$C$42*CEILING(G39/100,1)+Painel!$C$43*CEILING(G39,1)+Z39)/(1-Resumo!$B$5)</f>
        <v>143.976443181818</v>
      </c>
      <c r="AJ39" s="60" t="str">
        <f aca="false">IF(AI39&lt;S39,"SIM","NÃO")</f>
        <v>NÃO</v>
      </c>
    </row>
    <row r="40" customFormat="false" ht="15" hidden="false" customHeight="false" outlineLevel="0" collapsed="false">
      <c r="A40" s="59" t="n">
        <v>46208.5555092593</v>
      </c>
      <c r="B40" s="60" t="s">
        <v>420</v>
      </c>
      <c r="C40" s="60" t="n">
        <v>21380090</v>
      </c>
      <c r="D40" s="60" t="s">
        <v>46</v>
      </c>
      <c r="E40" s="60" t="s">
        <v>22</v>
      </c>
      <c r="F40" s="60" t="s">
        <v>233</v>
      </c>
      <c r="G40" s="60" t="n">
        <v>27.5</v>
      </c>
      <c r="H40" s="61" t="n">
        <v>377.99</v>
      </c>
      <c r="I40" s="61" t="n">
        <v>42.11</v>
      </c>
      <c r="J40" s="61" t="n">
        <f aca="false">H40*Resumo!$C$6</f>
        <v>0</v>
      </c>
      <c r="K40" s="61" t="n">
        <f aca="false">H40*Resumo!$C$7</f>
        <v>0.793779</v>
      </c>
      <c r="L40" s="61" t="n">
        <f aca="false">H40*Resumo!$C$8</f>
        <v>0.793779</v>
      </c>
      <c r="M40" s="61" t="n">
        <f aca="false">Resumo!$C$10*CEILING(G40/100,1)</f>
        <v>1.05</v>
      </c>
      <c r="N40" s="61" t="n">
        <f aca="false">Resumo!$C$9</f>
        <v>0</v>
      </c>
      <c r="O40" s="61" t="n">
        <f aca="false">Resumo!$C$13</f>
        <v>13.55</v>
      </c>
      <c r="P40" s="61" t="n">
        <f aca="false">Resumo!$C$14*CEILING(G40,1)</f>
        <v>12.6</v>
      </c>
      <c r="Q40" s="61" t="n">
        <f aca="false">SUM(I40:P40)*Resumo!$C$11</f>
        <v>0</v>
      </c>
      <c r="R40" s="61" t="n">
        <f aca="false">SUM(I40:Q40)</f>
        <v>70.897558</v>
      </c>
      <c r="S40" s="61" t="n">
        <f aca="false">R40/(1-Resumo!$C$5)</f>
        <v>80.5654068181818</v>
      </c>
      <c r="T40" s="61" t="n">
        <v>82.21</v>
      </c>
      <c r="U40" s="61" t="n">
        <f aca="false">H40*Resumo!$B$6</f>
        <v>0.37799</v>
      </c>
      <c r="V40" s="61" t="n">
        <f aca="false">H40*Resumo!$B$7</f>
        <v>0.75598</v>
      </c>
      <c r="W40" s="61" t="n">
        <f aca="false">Resumo!$B$9</f>
        <v>1</v>
      </c>
      <c r="X40" s="61" t="n">
        <f aca="false">Resumo!$B$10*CEILING(G40/100,1)</f>
        <v>4.5</v>
      </c>
      <c r="Y40" s="61" t="n">
        <f aca="false">Resumo!$B$12*CEILING(G40,1)</f>
        <v>1.68</v>
      </c>
      <c r="Z40" s="61" t="n">
        <f aca="false">Resumo!$B$14*CEILING(G40,1)</f>
        <v>12.6</v>
      </c>
      <c r="AA40" s="61" t="n">
        <f aca="false">SUM(T40:Z40)</f>
        <v>103.12397</v>
      </c>
      <c r="AB40" s="61" t="n">
        <f aca="false">AA40/(1-Resumo!$B$5)</f>
        <v>117.186329545455</v>
      </c>
      <c r="AC40" s="61" t="n">
        <f aca="false">AB40-S40</f>
        <v>36.6209227272727</v>
      </c>
      <c r="AD40" s="62" t="n">
        <f aca="false">AB40/S40-1</f>
        <v>0.454548970501917</v>
      </c>
      <c r="AE40" s="60" t="str">
        <f aca="false">IF(AB40&lt;S40,"SIM","NÃO")</f>
        <v>NÃO</v>
      </c>
      <c r="AF40" s="60" t="n">
        <v>2</v>
      </c>
      <c r="AG40" s="60" t="n">
        <v>5</v>
      </c>
      <c r="AH40" s="60" t="s">
        <v>382</v>
      </c>
      <c r="AI40" s="61" t="n">
        <f aca="false">(T40*(1-Painel!$C$40)+U40+V40+Painel!$C$41+Painel!$C$42*CEILING(G40/100,1)+Painel!$C$43*CEILING(G40,1)+Z40)/(1-Resumo!$B$5)</f>
        <v>80.5280340909091</v>
      </c>
      <c r="AJ40" s="60" t="str">
        <f aca="false">IF(AI40&lt;S40,"SIM","NÃO")</f>
        <v>SIM</v>
      </c>
    </row>
    <row r="41" customFormat="false" ht="15" hidden="false" customHeight="false" outlineLevel="0" collapsed="false">
      <c r="A41" s="59" t="n">
        <v>46208.6180324074</v>
      </c>
      <c r="B41" s="60" t="s">
        <v>421</v>
      </c>
      <c r="C41" s="60" t="n">
        <v>23056630</v>
      </c>
      <c r="D41" s="60" t="s">
        <v>46</v>
      </c>
      <c r="E41" s="60" t="s">
        <v>22</v>
      </c>
      <c r="F41" s="60" t="s">
        <v>235</v>
      </c>
      <c r="G41" s="60" t="n">
        <v>46.8</v>
      </c>
      <c r="H41" s="61" t="n">
        <v>556.99</v>
      </c>
      <c r="I41" s="61" t="n">
        <v>53.55</v>
      </c>
      <c r="J41" s="61" t="n">
        <f aca="false">H41*Resumo!$C$6</f>
        <v>0</v>
      </c>
      <c r="K41" s="61" t="n">
        <f aca="false">H41*Resumo!$C$7</f>
        <v>1.169679</v>
      </c>
      <c r="L41" s="61" t="n">
        <f aca="false">H41*Resumo!$C$8</f>
        <v>1.169679</v>
      </c>
      <c r="M41" s="61" t="n">
        <f aca="false">Resumo!$C$10*CEILING(G41/100,1)</f>
        <v>1.05</v>
      </c>
      <c r="N41" s="61" t="n">
        <f aca="false">Resumo!$C$9</f>
        <v>0</v>
      </c>
      <c r="O41" s="61" t="n">
        <f aca="false">Resumo!$C$13</f>
        <v>13.55</v>
      </c>
      <c r="P41" s="61" t="n">
        <f aca="false">Resumo!$C$14*CEILING(G41,1)</f>
        <v>21.15</v>
      </c>
      <c r="Q41" s="61" t="n">
        <f aca="false">SUM(I41:P41)*Resumo!$C$11</f>
        <v>0</v>
      </c>
      <c r="R41" s="61" t="n">
        <f aca="false">SUM(I41:Q41)</f>
        <v>91.639358</v>
      </c>
      <c r="S41" s="61" t="n">
        <f aca="false">R41/(1-Resumo!$C$5)</f>
        <v>104.135634090909</v>
      </c>
      <c r="T41" s="61" t="n">
        <v>93.97</v>
      </c>
      <c r="U41" s="61" t="n">
        <f aca="false">H41*Resumo!$B$6</f>
        <v>0.55699</v>
      </c>
      <c r="V41" s="61" t="n">
        <f aca="false">H41*Resumo!$B$7</f>
        <v>1.11398</v>
      </c>
      <c r="W41" s="61" t="n">
        <f aca="false">Resumo!$B$9</f>
        <v>1</v>
      </c>
      <c r="X41" s="61" t="n">
        <f aca="false">Resumo!$B$10*CEILING(G41/100,1)</f>
        <v>4.5</v>
      </c>
      <c r="Y41" s="61" t="n">
        <f aca="false">Resumo!$B$12*CEILING(G41,1)</f>
        <v>2.82</v>
      </c>
      <c r="Z41" s="61" t="n">
        <f aca="false">Resumo!$B$14*CEILING(G41,1)</f>
        <v>21.15</v>
      </c>
      <c r="AA41" s="61" t="n">
        <f aca="false">SUM(T41:Z41)</f>
        <v>125.11097</v>
      </c>
      <c r="AB41" s="61" t="n">
        <f aca="false">AA41/(1-Resumo!$B$5)</f>
        <v>142.171556818182</v>
      </c>
      <c r="AC41" s="61" t="n">
        <f aca="false">AB41-S41</f>
        <v>38.0359227272728</v>
      </c>
      <c r="AD41" s="62" t="n">
        <f aca="false">AB41/S41-1</f>
        <v>0.36525367189936</v>
      </c>
      <c r="AE41" s="60" t="str">
        <f aca="false">IF(AB41&lt;S41,"SIM","NÃO")</f>
        <v>NÃO</v>
      </c>
      <c r="AF41" s="60" t="n">
        <v>2</v>
      </c>
      <c r="AG41" s="60" t="n">
        <v>5</v>
      </c>
      <c r="AH41" s="60" t="s">
        <v>382</v>
      </c>
      <c r="AI41" s="61" t="n">
        <f aca="false">(T41*(1-Painel!$C$40)+U41+V41+Painel!$C$41+Painel!$C$42*CEILING(G41/100,1)+Painel!$C$43*CEILING(G41,1)+Z41)/(1-Resumo!$B$5)</f>
        <v>99.8078068181818</v>
      </c>
      <c r="AJ41" s="60" t="str">
        <f aca="false">IF(AI41&lt;S41,"SIM","NÃO")</f>
        <v>SIM</v>
      </c>
    </row>
    <row r="42" customFormat="false" ht="15" hidden="false" customHeight="false" outlineLevel="0" collapsed="false">
      <c r="A42" s="59" t="n">
        <v>46208.6562384259</v>
      </c>
      <c r="B42" s="60" t="s">
        <v>422</v>
      </c>
      <c r="C42" s="60" t="n">
        <v>24310005</v>
      </c>
      <c r="D42" s="60" t="s">
        <v>50</v>
      </c>
      <c r="E42" s="60" t="s">
        <v>23</v>
      </c>
      <c r="F42" s="60" t="s">
        <v>233</v>
      </c>
      <c r="G42" s="60" t="n">
        <v>27.5</v>
      </c>
      <c r="H42" s="61" t="n">
        <v>332.99</v>
      </c>
      <c r="I42" s="61" t="n">
        <v>58.8</v>
      </c>
      <c r="J42" s="61" t="n">
        <f aca="false">H42*Resumo!$C$6</f>
        <v>0</v>
      </c>
      <c r="K42" s="61" t="n">
        <f aca="false">H42*Resumo!$C$7</f>
        <v>0.699279</v>
      </c>
      <c r="L42" s="61" t="n">
        <f aca="false">H42*Resumo!$C$8</f>
        <v>0.699279</v>
      </c>
      <c r="M42" s="61" t="n">
        <f aca="false">Resumo!$C$10*CEILING(G42/100,1)</f>
        <v>1.05</v>
      </c>
      <c r="N42" s="61" t="n">
        <f aca="false">Resumo!$C$9</f>
        <v>0</v>
      </c>
      <c r="O42" s="61" t="n">
        <f aca="false">Resumo!$C$13</f>
        <v>13.55</v>
      </c>
      <c r="P42" s="61" t="n">
        <f aca="false">Resumo!$C$14*CEILING(G42,1)</f>
        <v>12.6</v>
      </c>
      <c r="Q42" s="61" t="n">
        <f aca="false">SUM(I42:P42)*Resumo!$C$11</f>
        <v>0</v>
      </c>
      <c r="R42" s="61" t="n">
        <f aca="false">SUM(I42:Q42)</f>
        <v>87.398558</v>
      </c>
      <c r="S42" s="61" t="n">
        <f aca="false">R42/(1-Resumo!$C$5)</f>
        <v>99.3165431818182</v>
      </c>
      <c r="T42" s="61" t="n">
        <v>100.58</v>
      </c>
      <c r="U42" s="61" t="n">
        <f aca="false">H42*Resumo!$B$6</f>
        <v>0.33299</v>
      </c>
      <c r="V42" s="61" t="n">
        <f aca="false">H42*Resumo!$B$7</f>
        <v>0.66598</v>
      </c>
      <c r="W42" s="61" t="n">
        <f aca="false">Resumo!$B$9</f>
        <v>1</v>
      </c>
      <c r="X42" s="61" t="n">
        <f aca="false">Resumo!$B$10*CEILING(G42/100,1)</f>
        <v>4.5</v>
      </c>
      <c r="Y42" s="61" t="n">
        <f aca="false">Resumo!$B$12*CEILING(G42,1)</f>
        <v>1.68</v>
      </c>
      <c r="Z42" s="61" t="n">
        <f aca="false">Resumo!$B$14*CEILING(G42,1)</f>
        <v>12.6</v>
      </c>
      <c r="AA42" s="61" t="n">
        <f aca="false">SUM(T42:Z42)</f>
        <v>121.35897</v>
      </c>
      <c r="AB42" s="61" t="n">
        <f aca="false">AA42/(1-Resumo!$B$5)</f>
        <v>137.907920454545</v>
      </c>
      <c r="AC42" s="61" t="n">
        <f aca="false">AB42-S42</f>
        <v>38.5913772727273</v>
      </c>
      <c r="AD42" s="62" t="n">
        <f aca="false">AB42/S42-1</f>
        <v>0.388569477313344</v>
      </c>
      <c r="AE42" s="60" t="str">
        <f aca="false">IF(AB42&lt;S42,"SIM","NÃO")</f>
        <v>NÃO</v>
      </c>
      <c r="AF42" s="60" t="n">
        <v>2</v>
      </c>
      <c r="AG42" s="60" t="n">
        <v>7</v>
      </c>
      <c r="AH42" s="60" t="s">
        <v>382</v>
      </c>
      <c r="AI42" s="61" t="n">
        <f aca="false">(T42*(1-Painel!$C$40)+U42+V42+Painel!$C$41+Painel!$C$42*CEILING(G42/100,1)+Painel!$C$43*CEILING(G42,1)+Z42)/(1-Resumo!$B$5)</f>
        <v>94.360875</v>
      </c>
      <c r="AJ42" s="60" t="str">
        <f aca="false">IF(AI42&lt;S42,"SIM","NÃO")</f>
        <v>SIM</v>
      </c>
    </row>
    <row r="43" customFormat="false" ht="15" hidden="false" customHeight="false" outlineLevel="0" collapsed="false">
      <c r="A43" s="59" t="n">
        <v>46208.7254050926</v>
      </c>
      <c r="B43" s="60" t="s">
        <v>423</v>
      </c>
      <c r="C43" s="60" t="n">
        <v>23820810</v>
      </c>
      <c r="D43" s="60" t="s">
        <v>263</v>
      </c>
      <c r="E43" s="60" t="s">
        <v>24</v>
      </c>
      <c r="F43" s="60" t="s">
        <v>237</v>
      </c>
      <c r="G43" s="60" t="n">
        <v>63.9</v>
      </c>
      <c r="H43" s="61" t="n">
        <v>799.99</v>
      </c>
      <c r="I43" s="61" t="n">
        <v>90.2</v>
      </c>
      <c r="J43" s="61" t="n">
        <f aca="false">H43*Resumo!$C$6</f>
        <v>0</v>
      </c>
      <c r="K43" s="61" t="n">
        <f aca="false">H43*Resumo!$C$7</f>
        <v>1.679979</v>
      </c>
      <c r="L43" s="61" t="n">
        <f aca="false">H43*Resumo!$C$8</f>
        <v>1.679979</v>
      </c>
      <c r="M43" s="61" t="n">
        <f aca="false">Resumo!$C$10*CEILING(G43/100,1)</f>
        <v>1.05</v>
      </c>
      <c r="N43" s="61" t="n">
        <f aca="false">Resumo!$C$9</f>
        <v>0</v>
      </c>
      <c r="O43" s="61" t="n">
        <f aca="false">Resumo!$C$13</f>
        <v>13.55</v>
      </c>
      <c r="P43" s="61" t="n">
        <f aca="false">Resumo!$C$14*CEILING(G43,1)</f>
        <v>28.8</v>
      </c>
      <c r="Q43" s="61" t="n">
        <f aca="false">SUM(I43:P43)*Resumo!$C$11</f>
        <v>0</v>
      </c>
      <c r="R43" s="61" t="n">
        <f aca="false">SUM(I43:Q43)</f>
        <v>136.959958</v>
      </c>
      <c r="S43" s="61" t="n">
        <f aca="false">R43/(1-Resumo!$C$5)</f>
        <v>155.636315909091</v>
      </c>
      <c r="T43" s="61" t="n">
        <v>141.02</v>
      </c>
      <c r="U43" s="61" t="n">
        <f aca="false">H43*Resumo!$B$6</f>
        <v>0.79999</v>
      </c>
      <c r="V43" s="61" t="n">
        <f aca="false">H43*Resumo!$B$7</f>
        <v>1.59998</v>
      </c>
      <c r="W43" s="61" t="n">
        <f aca="false">Resumo!$B$9</f>
        <v>1</v>
      </c>
      <c r="X43" s="61" t="n">
        <f aca="false">Resumo!$B$10*CEILING(G43/100,1)</f>
        <v>4.5</v>
      </c>
      <c r="Y43" s="61" t="n">
        <f aca="false">Resumo!$B$12*CEILING(G43,1)</f>
        <v>3.84</v>
      </c>
      <c r="Z43" s="61" t="n">
        <f aca="false">Resumo!$B$14*CEILING(G43,1)</f>
        <v>28.8</v>
      </c>
      <c r="AA43" s="61" t="n">
        <f aca="false">SUM(T43:Z43)</f>
        <v>181.55997</v>
      </c>
      <c r="AB43" s="61" t="n">
        <f aca="false">AA43/(1-Resumo!$B$5)</f>
        <v>206.318147727273</v>
      </c>
      <c r="AC43" s="61" t="n">
        <f aca="false">AB43-S43</f>
        <v>50.6818318181819</v>
      </c>
      <c r="AD43" s="62" t="n">
        <f aca="false">AB43/S43-1</f>
        <v>0.325642710842537</v>
      </c>
      <c r="AE43" s="60" t="str">
        <f aca="false">IF(AB43&lt;S43,"SIM","NÃO")</f>
        <v>NÃO</v>
      </c>
      <c r="AF43" s="60" t="n">
        <v>13</v>
      </c>
      <c r="AG43" s="60" t="n">
        <v>5</v>
      </c>
      <c r="AH43" s="60" t="s">
        <v>385</v>
      </c>
      <c r="AI43" s="61" t="n">
        <f aca="false">(T43*(1-Painel!$C$40)+U43+V43+Painel!$C$41+Painel!$C$42*CEILING(G43/100,1)+Painel!$C$43*CEILING(G43,1)+Z43)/(1-Resumo!$B$5)</f>
        <v>145.151556818182</v>
      </c>
      <c r="AJ43" s="60" t="str">
        <f aca="false">IF(AI43&lt;S43,"SIM","NÃO")</f>
        <v>SIM</v>
      </c>
    </row>
    <row r="44" customFormat="false" ht="15" hidden="false" customHeight="false" outlineLevel="0" collapsed="false">
      <c r="A44" s="59" t="n">
        <v>46208.7990509259</v>
      </c>
      <c r="B44" s="60" t="s">
        <v>424</v>
      </c>
      <c r="C44" s="60" t="n">
        <v>22753031</v>
      </c>
      <c r="D44" s="60" t="s">
        <v>46</v>
      </c>
      <c r="E44" s="60" t="s">
        <v>22</v>
      </c>
      <c r="F44" s="60" t="s">
        <v>235</v>
      </c>
      <c r="G44" s="60" t="n">
        <v>44.6</v>
      </c>
      <c r="H44" s="61" t="n">
        <v>484.68</v>
      </c>
      <c r="I44" s="61" t="n">
        <v>53.55</v>
      </c>
      <c r="J44" s="61" t="n">
        <f aca="false">H44*Resumo!$C$6</f>
        <v>0</v>
      </c>
      <c r="K44" s="61" t="n">
        <f aca="false">H44*Resumo!$C$7</f>
        <v>1.017828</v>
      </c>
      <c r="L44" s="61" t="n">
        <f aca="false">H44*Resumo!$C$8</f>
        <v>1.017828</v>
      </c>
      <c r="M44" s="61" t="n">
        <f aca="false">Resumo!$C$10*CEILING(G44/100,1)</f>
        <v>1.05</v>
      </c>
      <c r="N44" s="61" t="n">
        <f aca="false">Resumo!$C$9</f>
        <v>0</v>
      </c>
      <c r="O44" s="61" t="n">
        <f aca="false">Resumo!$C$13</f>
        <v>13.55</v>
      </c>
      <c r="P44" s="61" t="n">
        <f aca="false">Resumo!$C$14*CEILING(G44,1)</f>
        <v>20.25</v>
      </c>
      <c r="Q44" s="61" t="n">
        <f aca="false">SUM(I44:P44)*Resumo!$C$11</f>
        <v>0</v>
      </c>
      <c r="R44" s="61" t="n">
        <f aca="false">SUM(I44:Q44)</f>
        <v>90.435656</v>
      </c>
      <c r="S44" s="61" t="n">
        <f aca="false">R44/(1-Resumo!$C$5)</f>
        <v>102.767790909091</v>
      </c>
      <c r="T44" s="61" t="n">
        <v>93.97</v>
      </c>
      <c r="U44" s="61" t="n">
        <f aca="false">H44*Resumo!$B$6</f>
        <v>0.48468</v>
      </c>
      <c r="V44" s="61" t="n">
        <f aca="false">H44*Resumo!$B$7</f>
        <v>0.96936</v>
      </c>
      <c r="W44" s="61" t="n">
        <f aca="false">Resumo!$B$9</f>
        <v>1</v>
      </c>
      <c r="X44" s="61" t="n">
        <f aca="false">Resumo!$B$10*CEILING(G44/100,1)</f>
        <v>4.5</v>
      </c>
      <c r="Y44" s="61" t="n">
        <f aca="false">Resumo!$B$12*CEILING(G44,1)</f>
        <v>2.7</v>
      </c>
      <c r="Z44" s="61" t="n">
        <f aca="false">Resumo!$B$14*CEILING(G44,1)</f>
        <v>20.25</v>
      </c>
      <c r="AA44" s="61" t="n">
        <f aca="false">SUM(T44:Z44)</f>
        <v>123.87404</v>
      </c>
      <c r="AB44" s="61" t="n">
        <f aca="false">AA44/(1-Resumo!$B$5)</f>
        <v>140.765954545455</v>
      </c>
      <c r="AC44" s="61" t="n">
        <f aca="false">AB44-S44</f>
        <v>37.9981636363636</v>
      </c>
      <c r="AD44" s="62" t="n">
        <f aca="false">AB44/S44-1</f>
        <v>0.369747790628068</v>
      </c>
      <c r="AE44" s="60" t="str">
        <f aca="false">IF(AB44&lt;S44,"SIM","NÃO")</f>
        <v>NÃO</v>
      </c>
      <c r="AF44" s="60" t="n">
        <v>2</v>
      </c>
      <c r="AG44" s="60" t="n">
        <v>5</v>
      </c>
      <c r="AH44" s="60" t="s">
        <v>382</v>
      </c>
      <c r="AI44" s="61" t="n">
        <f aca="false">(T44*(1-Painel!$C$40)+U44+V44+Painel!$C$41+Painel!$C$42*CEILING(G44/100,1)+Painel!$C$43*CEILING(G44,1)+Z44)/(1-Resumo!$B$5)</f>
        <v>98.5385681818182</v>
      </c>
      <c r="AJ44" s="60" t="str">
        <f aca="false">IF(AI44&lt;S44,"SIM","NÃO")</f>
        <v>SIM</v>
      </c>
    </row>
    <row r="45" customFormat="false" ht="15" hidden="false" customHeight="false" outlineLevel="0" collapsed="false">
      <c r="A45" s="59" t="n">
        <v>46208.9671875</v>
      </c>
      <c r="B45" s="60" t="s">
        <v>425</v>
      </c>
      <c r="C45" s="60" t="n">
        <v>28735560</v>
      </c>
      <c r="D45" s="60" t="s">
        <v>330</v>
      </c>
      <c r="E45" s="60" t="s">
        <v>24</v>
      </c>
      <c r="F45" s="60" t="s">
        <v>236</v>
      </c>
      <c r="G45" s="60" t="n">
        <v>58.6</v>
      </c>
      <c r="H45" s="61" t="n">
        <v>644.99</v>
      </c>
      <c r="I45" s="61" t="n">
        <v>83.58</v>
      </c>
      <c r="J45" s="61" t="n">
        <f aca="false">H45*Resumo!$C$6</f>
        <v>0</v>
      </c>
      <c r="K45" s="61" t="n">
        <f aca="false">H45*Resumo!$C$7</f>
        <v>1.354479</v>
      </c>
      <c r="L45" s="61" t="n">
        <f aca="false">H45*Resumo!$C$8</f>
        <v>1.354479</v>
      </c>
      <c r="M45" s="61" t="n">
        <f aca="false">Resumo!$C$10*CEILING(G45/100,1)</f>
        <v>1.05</v>
      </c>
      <c r="N45" s="61" t="n">
        <f aca="false">Resumo!$C$9</f>
        <v>0</v>
      </c>
      <c r="O45" s="61" t="n">
        <f aca="false">Resumo!$C$13</f>
        <v>13.55</v>
      </c>
      <c r="P45" s="61" t="n">
        <f aca="false">Resumo!$C$14*CEILING(G45,1)</f>
        <v>26.55</v>
      </c>
      <c r="Q45" s="61" t="n">
        <f aca="false">SUM(I45:P45)*Resumo!$C$11</f>
        <v>0</v>
      </c>
      <c r="R45" s="61" t="n">
        <f aca="false">SUM(I45:Q45)</f>
        <v>127.438958</v>
      </c>
      <c r="S45" s="61" t="n">
        <f aca="false">R45/(1-Resumo!$C$5)</f>
        <v>144.816997727273</v>
      </c>
      <c r="T45" s="61" t="n">
        <v>162.04</v>
      </c>
      <c r="U45" s="61" t="n">
        <f aca="false">H45*Resumo!$B$6</f>
        <v>0.64499</v>
      </c>
      <c r="V45" s="61" t="n">
        <f aca="false">H45*Resumo!$B$7</f>
        <v>1.28998</v>
      </c>
      <c r="W45" s="61" t="n">
        <f aca="false">Resumo!$B$9</f>
        <v>1</v>
      </c>
      <c r="X45" s="61" t="n">
        <f aca="false">Resumo!$B$10*CEILING(G45/100,1)</f>
        <v>4.5</v>
      </c>
      <c r="Y45" s="61" t="n">
        <f aca="false">Resumo!$B$12*CEILING(G45,1)</f>
        <v>3.54</v>
      </c>
      <c r="Z45" s="61" t="n">
        <f aca="false">Resumo!$B$14*CEILING(G45,1)</f>
        <v>26.55</v>
      </c>
      <c r="AA45" s="61" t="n">
        <f aca="false">SUM(T45:Z45)</f>
        <v>199.56497</v>
      </c>
      <c r="AB45" s="61" t="n">
        <f aca="false">AA45/(1-Resumo!$B$5)</f>
        <v>226.778375</v>
      </c>
      <c r="AC45" s="61" t="n">
        <f aca="false">AB45-S45</f>
        <v>81.9613772727273</v>
      </c>
      <c r="AD45" s="62" t="n">
        <f aca="false">AB45/S45-1</f>
        <v>0.565965173695159</v>
      </c>
      <c r="AE45" s="60" t="str">
        <f aca="false">IF(AB45&lt;S45,"SIM","NÃO")</f>
        <v>NÃO</v>
      </c>
      <c r="AF45" s="60" t="n">
        <v>13</v>
      </c>
      <c r="AG45" s="60" t="n">
        <v>11</v>
      </c>
      <c r="AH45" s="60" t="s">
        <v>385</v>
      </c>
      <c r="AI45" s="61" t="n">
        <f aca="false">(T45*(1-Painel!$C$40)+U45+V45+Painel!$C$41+Painel!$C$42*CEILING(G45/100,1)+Painel!$C$43*CEILING(G45,1)+Z45)/(1-Resumo!$B$5)</f>
        <v>158.070193181818</v>
      </c>
      <c r="AJ45" s="60" t="str">
        <f aca="false">IF(AI45&lt;S45,"SIM","NÃO")</f>
        <v>NÃO</v>
      </c>
    </row>
    <row r="46" customFormat="false" ht="15" hidden="false" customHeight="false" outlineLevel="0" collapsed="false">
      <c r="A46" s="59" t="n">
        <v>46209.5015162037</v>
      </c>
      <c r="B46" s="60" t="s">
        <v>426</v>
      </c>
      <c r="C46" s="60" t="n">
        <v>20950072</v>
      </c>
      <c r="D46" s="60" t="s">
        <v>46</v>
      </c>
      <c r="E46" s="60" t="s">
        <v>22</v>
      </c>
      <c r="F46" s="60" t="s">
        <v>235</v>
      </c>
      <c r="G46" s="60" t="n">
        <v>49.6</v>
      </c>
      <c r="H46" s="61" t="n">
        <v>775.39</v>
      </c>
      <c r="I46" s="61" t="n">
        <v>53.55</v>
      </c>
      <c r="J46" s="61" t="n">
        <f aca="false">H46*Resumo!$C$6</f>
        <v>0</v>
      </c>
      <c r="K46" s="61" t="n">
        <f aca="false">H46*Resumo!$C$7</f>
        <v>1.628319</v>
      </c>
      <c r="L46" s="61" t="n">
        <f aca="false">H46*Resumo!$C$8</f>
        <v>1.628319</v>
      </c>
      <c r="M46" s="61" t="n">
        <f aca="false">Resumo!$C$10*CEILING(G46/100,1)</f>
        <v>1.05</v>
      </c>
      <c r="N46" s="61" t="n">
        <f aca="false">Resumo!$C$9</f>
        <v>0</v>
      </c>
      <c r="O46" s="61" t="n">
        <f aca="false">Resumo!$C$13</f>
        <v>13.55</v>
      </c>
      <c r="P46" s="61" t="n">
        <f aca="false">Resumo!$C$14*CEILING(G46,1)</f>
        <v>22.5</v>
      </c>
      <c r="Q46" s="61" t="n">
        <f aca="false">SUM(I46:P46)*Resumo!$C$11</f>
        <v>0</v>
      </c>
      <c r="R46" s="61" t="n">
        <f aca="false">SUM(I46:Q46)</f>
        <v>93.906638</v>
      </c>
      <c r="S46" s="61" t="n">
        <f aca="false">R46/(1-Resumo!$C$5)</f>
        <v>106.712088636364</v>
      </c>
      <c r="T46" s="61" t="n">
        <v>93.97</v>
      </c>
      <c r="U46" s="61" t="n">
        <f aca="false">H46*Resumo!$B$6</f>
        <v>0.77539</v>
      </c>
      <c r="V46" s="61" t="n">
        <f aca="false">H46*Resumo!$B$7</f>
        <v>1.55078</v>
      </c>
      <c r="W46" s="61" t="n">
        <f aca="false">Resumo!$B$9</f>
        <v>1</v>
      </c>
      <c r="X46" s="61" t="n">
        <f aca="false">Resumo!$B$10*CEILING(G46/100,1)</f>
        <v>4.5</v>
      </c>
      <c r="Y46" s="61" t="n">
        <f aca="false">Resumo!$B$12*CEILING(G46,1)</f>
        <v>3</v>
      </c>
      <c r="Z46" s="61" t="n">
        <f aca="false">Resumo!$B$14*CEILING(G46,1)</f>
        <v>22.5</v>
      </c>
      <c r="AA46" s="61" t="n">
        <f aca="false">SUM(T46:Z46)</f>
        <v>127.29617</v>
      </c>
      <c r="AB46" s="61" t="n">
        <f aca="false">AA46/(1-Resumo!$B$5)</f>
        <v>144.654738636364</v>
      </c>
      <c r="AC46" s="61" t="n">
        <f aca="false">AB46-S46</f>
        <v>37.94265</v>
      </c>
      <c r="AD46" s="62" t="n">
        <f aca="false">AB46/S46-1</f>
        <v>0.355560934893655</v>
      </c>
      <c r="AE46" s="60" t="str">
        <f aca="false">IF(AB46&lt;S46,"SIM","NÃO")</f>
        <v>NÃO</v>
      </c>
      <c r="AF46" s="60" t="n">
        <v>2</v>
      </c>
      <c r="AG46" s="60" t="n">
        <v>5</v>
      </c>
      <c r="AH46" s="60" t="s">
        <v>382</v>
      </c>
      <c r="AI46" s="61" t="n">
        <f aca="false">(T46*(1-Painel!$C$40)+U46+V46+Painel!$C$41+Painel!$C$42*CEILING(G46/100,1)+Painel!$C$43*CEILING(G46,1)+Z46)/(1-Resumo!$B$5)</f>
        <v>102.086443181818</v>
      </c>
      <c r="AJ46" s="60" t="str">
        <f aca="false">IF(AI46&lt;S46,"SIM","NÃO")</f>
        <v>SIM</v>
      </c>
    </row>
    <row r="47" customFormat="false" ht="15" hidden="false" customHeight="false" outlineLevel="0" collapsed="false">
      <c r="A47" s="59" t="n">
        <v>46209.5547222222</v>
      </c>
      <c r="B47" s="60" t="s">
        <v>427</v>
      </c>
      <c r="C47" s="60" t="n">
        <v>26140110</v>
      </c>
      <c r="D47" s="60" t="s">
        <v>52</v>
      </c>
      <c r="E47" s="60" t="s">
        <v>23</v>
      </c>
      <c r="F47" s="60" t="s">
        <v>235</v>
      </c>
      <c r="G47" s="60" t="n">
        <v>49.6</v>
      </c>
      <c r="H47" s="61" t="n">
        <v>819.99</v>
      </c>
      <c r="I47" s="61" t="n">
        <v>65.36</v>
      </c>
      <c r="J47" s="61" t="n">
        <f aca="false">H47*Resumo!$C$6</f>
        <v>0</v>
      </c>
      <c r="K47" s="61" t="n">
        <f aca="false">H47*Resumo!$C$7</f>
        <v>1.721979</v>
      </c>
      <c r="L47" s="61" t="n">
        <f aca="false">H47*Resumo!$C$8</f>
        <v>1.721979</v>
      </c>
      <c r="M47" s="61" t="n">
        <f aca="false">Resumo!$C$10*CEILING(G47/100,1)</f>
        <v>1.05</v>
      </c>
      <c r="N47" s="61" t="n">
        <f aca="false">Resumo!$C$9</f>
        <v>0</v>
      </c>
      <c r="O47" s="61" t="n">
        <f aca="false">Resumo!$C$13</f>
        <v>13.55</v>
      </c>
      <c r="P47" s="61" t="n">
        <f aca="false">Resumo!$C$14*CEILING(G47,1)</f>
        <v>22.5</v>
      </c>
      <c r="Q47" s="61" t="n">
        <f aca="false">SUM(I47:P47)*Resumo!$C$11</f>
        <v>0</v>
      </c>
      <c r="R47" s="61" t="n">
        <f aca="false">SUM(I47:Q47)</f>
        <v>105.903958</v>
      </c>
      <c r="S47" s="61" t="n">
        <f aca="false">R47/(1-Resumo!$C$5)</f>
        <v>120.345406818182</v>
      </c>
      <c r="T47" s="61" t="n">
        <v>93.97</v>
      </c>
      <c r="U47" s="61" t="n">
        <f aca="false">H47*Resumo!$B$6</f>
        <v>0.81999</v>
      </c>
      <c r="V47" s="61" t="n">
        <f aca="false">H47*Resumo!$B$7</f>
        <v>1.63998</v>
      </c>
      <c r="W47" s="61" t="n">
        <f aca="false">Resumo!$B$9</f>
        <v>1</v>
      </c>
      <c r="X47" s="61" t="n">
        <f aca="false">Resumo!$B$10*CEILING(G47/100,1)</f>
        <v>4.5</v>
      </c>
      <c r="Y47" s="61" t="n">
        <f aca="false">Resumo!$B$12*CEILING(G47,1)</f>
        <v>3</v>
      </c>
      <c r="Z47" s="61" t="n">
        <f aca="false">Resumo!$B$14*CEILING(G47,1)</f>
        <v>22.5</v>
      </c>
      <c r="AA47" s="61" t="n">
        <f aca="false">SUM(T47:Z47)</f>
        <v>127.42997</v>
      </c>
      <c r="AB47" s="61" t="n">
        <f aca="false">AA47/(1-Resumo!$B$5)</f>
        <v>144.806784090909</v>
      </c>
      <c r="AC47" s="61" t="n">
        <f aca="false">AB47-S47</f>
        <v>24.4613772727273</v>
      </c>
      <c r="AD47" s="62" t="n">
        <f aca="false">AB47/S47-1</f>
        <v>0.203259749744197</v>
      </c>
      <c r="AE47" s="60" t="str">
        <f aca="false">IF(AB47&lt;S47,"SIM","NÃO")</f>
        <v>NÃO</v>
      </c>
      <c r="AF47" s="60" t="n">
        <v>2</v>
      </c>
      <c r="AG47" s="60" t="n">
        <v>5</v>
      </c>
      <c r="AH47" s="60" t="s">
        <v>382</v>
      </c>
      <c r="AI47" s="61" t="n">
        <f aca="false">(T47*(1-Painel!$C$40)+U47+V47+Painel!$C$41+Painel!$C$42*CEILING(G47/100,1)+Painel!$C$43*CEILING(G47,1)+Z47)/(1-Resumo!$B$5)</f>
        <v>102.238488636364</v>
      </c>
      <c r="AJ47" s="60" t="str">
        <f aca="false">IF(AI47&lt;S47,"SIM","NÃO")</f>
        <v>SIM</v>
      </c>
    </row>
    <row r="48" customFormat="false" ht="15" hidden="false" customHeight="false" outlineLevel="0" collapsed="false">
      <c r="A48" s="59" t="n">
        <v>46209.5906712963</v>
      </c>
      <c r="B48" s="60" t="s">
        <v>428</v>
      </c>
      <c r="C48" s="60" t="n">
        <v>27525524</v>
      </c>
      <c r="D48" s="60" t="s">
        <v>296</v>
      </c>
      <c r="E48" s="60" t="s">
        <v>24</v>
      </c>
      <c r="F48" s="60" t="s">
        <v>235</v>
      </c>
      <c r="G48" s="60" t="n">
        <v>49.6</v>
      </c>
      <c r="H48" s="61" t="n">
        <v>799.99</v>
      </c>
      <c r="I48" s="61" t="n">
        <v>77.7</v>
      </c>
      <c r="J48" s="61" t="n">
        <f aca="false">H48*Resumo!$C$6</f>
        <v>0</v>
      </c>
      <c r="K48" s="61" t="n">
        <f aca="false">H48*Resumo!$C$7</f>
        <v>1.679979</v>
      </c>
      <c r="L48" s="61" t="n">
        <f aca="false">H48*Resumo!$C$8</f>
        <v>1.679979</v>
      </c>
      <c r="M48" s="61" t="n">
        <f aca="false">Resumo!$C$10*CEILING(G48/100,1)</f>
        <v>1.05</v>
      </c>
      <c r="N48" s="61" t="n">
        <f aca="false">Resumo!$C$9</f>
        <v>0</v>
      </c>
      <c r="O48" s="61" t="n">
        <f aca="false">Resumo!$C$13</f>
        <v>13.55</v>
      </c>
      <c r="P48" s="61" t="n">
        <f aca="false">Resumo!$C$14*CEILING(G48,1)</f>
        <v>22.5</v>
      </c>
      <c r="Q48" s="61" t="n">
        <f aca="false">SUM(I48:P48)*Resumo!$C$11</f>
        <v>0</v>
      </c>
      <c r="R48" s="61" t="n">
        <f aca="false">SUM(I48:Q48)</f>
        <v>118.159958</v>
      </c>
      <c r="S48" s="61" t="n">
        <f aca="false">R48/(1-Resumo!$C$5)</f>
        <v>134.272679545455</v>
      </c>
      <c r="T48" s="61" t="n">
        <v>124.38</v>
      </c>
      <c r="U48" s="61" t="n">
        <f aca="false">H48*Resumo!$B$6</f>
        <v>0.79999</v>
      </c>
      <c r="V48" s="61" t="n">
        <f aca="false">H48*Resumo!$B$7</f>
        <v>1.59998</v>
      </c>
      <c r="W48" s="61" t="n">
        <f aca="false">Resumo!$B$9</f>
        <v>1</v>
      </c>
      <c r="X48" s="61" t="n">
        <f aca="false">Resumo!$B$10*CEILING(G48/100,1)</f>
        <v>4.5</v>
      </c>
      <c r="Y48" s="61" t="n">
        <f aca="false">Resumo!$B$12*CEILING(G48,1)</f>
        <v>3</v>
      </c>
      <c r="Z48" s="61" t="n">
        <f aca="false">Resumo!$B$14*CEILING(G48,1)</f>
        <v>22.5</v>
      </c>
      <c r="AA48" s="61" t="n">
        <f aca="false">SUM(T48:Z48)</f>
        <v>157.77997</v>
      </c>
      <c r="AB48" s="61" t="n">
        <f aca="false">AA48/(1-Resumo!$B$5)</f>
        <v>179.295420454545</v>
      </c>
      <c r="AC48" s="61" t="n">
        <f aca="false">AB48-S48</f>
        <v>45.0227409090909</v>
      </c>
      <c r="AD48" s="62" t="n">
        <f aca="false">AB48/S48-1</f>
        <v>0.335308277614655</v>
      </c>
      <c r="AE48" s="60" t="str">
        <f aca="false">IF(AB48&lt;S48,"SIM","NÃO")</f>
        <v>NÃO</v>
      </c>
      <c r="AF48" s="60" t="n">
        <v>13</v>
      </c>
      <c r="AG48" s="60" t="n">
        <v>10</v>
      </c>
      <c r="AH48" s="60" t="s">
        <v>385</v>
      </c>
      <c r="AI48" s="61" t="n">
        <f aca="false">(T48*(1-Painel!$C$40)+U48+V48+Painel!$C$41+Painel!$C$42*CEILING(G48/100,1)+Painel!$C$43*CEILING(G48,1)+Z48)/(1-Resumo!$B$5)</f>
        <v>125.323375</v>
      </c>
      <c r="AJ48" s="60" t="str">
        <f aca="false">IF(AI48&lt;S48,"SIM","NÃO")</f>
        <v>SIM</v>
      </c>
    </row>
    <row r="49" customFormat="false" ht="15" hidden="false" customHeight="false" outlineLevel="0" collapsed="false">
      <c r="A49" s="59" t="n">
        <v>46209.7972106482</v>
      </c>
      <c r="B49" s="60" t="s">
        <v>429</v>
      </c>
      <c r="C49" s="60" t="n">
        <v>21730290</v>
      </c>
      <c r="D49" s="60" t="s">
        <v>46</v>
      </c>
      <c r="E49" s="60" t="s">
        <v>22</v>
      </c>
      <c r="F49" s="60" t="s">
        <v>232</v>
      </c>
      <c r="G49" s="60" t="n">
        <v>10.2</v>
      </c>
      <c r="H49" s="61" t="n">
        <v>219.99</v>
      </c>
      <c r="I49" s="61" t="n">
        <v>33.42</v>
      </c>
      <c r="J49" s="61" t="n">
        <f aca="false">H49*Resumo!$C$6</f>
        <v>0</v>
      </c>
      <c r="K49" s="61" t="n">
        <f aca="false">H49*Resumo!$C$7</f>
        <v>0.461979</v>
      </c>
      <c r="L49" s="61" t="n">
        <f aca="false">H49*Resumo!$C$8</f>
        <v>0.461979</v>
      </c>
      <c r="M49" s="61" t="n">
        <f aca="false">Resumo!$C$10*CEILING(G49/100,1)</f>
        <v>1.05</v>
      </c>
      <c r="N49" s="61" t="n">
        <f aca="false">Resumo!$C$9</f>
        <v>0</v>
      </c>
      <c r="O49" s="61" t="n">
        <f aca="false">Resumo!$C$13</f>
        <v>13.55</v>
      </c>
      <c r="P49" s="61" t="n">
        <f aca="false">Resumo!$C$14*CEILING(G49,1)</f>
        <v>4.95</v>
      </c>
      <c r="Q49" s="61" t="n">
        <f aca="false">SUM(I49:P49)*Resumo!$C$11</f>
        <v>0</v>
      </c>
      <c r="R49" s="61" t="n">
        <f aca="false">SUM(I49:Q49)</f>
        <v>53.893958</v>
      </c>
      <c r="S49" s="61" t="n">
        <f aca="false">R49/(1-Resumo!$C$5)</f>
        <v>61.2431340909091</v>
      </c>
      <c r="T49" s="61" t="n">
        <v>46.98</v>
      </c>
      <c r="U49" s="61" t="n">
        <f aca="false">H49*Resumo!$B$6</f>
        <v>0.21999</v>
      </c>
      <c r="V49" s="61" t="n">
        <f aca="false">H49*Resumo!$B$7</f>
        <v>0.43998</v>
      </c>
      <c r="W49" s="61" t="n">
        <f aca="false">Resumo!$B$9</f>
        <v>1</v>
      </c>
      <c r="X49" s="61" t="n">
        <f aca="false">Resumo!$B$10*CEILING(G49/100,1)</f>
        <v>4.5</v>
      </c>
      <c r="Y49" s="61" t="n">
        <f aca="false">Resumo!$B$12*CEILING(G49,1)</f>
        <v>0.66</v>
      </c>
      <c r="Z49" s="61" t="n">
        <f aca="false">Resumo!$B$14*CEILING(G49,1)</f>
        <v>4.95</v>
      </c>
      <c r="AA49" s="61" t="n">
        <f aca="false">SUM(T49:Z49)</f>
        <v>58.74997</v>
      </c>
      <c r="AB49" s="61" t="n">
        <f aca="false">AA49/(1-Resumo!$B$5)</f>
        <v>66.7613295454545</v>
      </c>
      <c r="AC49" s="61" t="n">
        <f aca="false">AB49-S49</f>
        <v>5.51819545454545</v>
      </c>
      <c r="AD49" s="62" t="n">
        <f aca="false">AB49/S49-1</f>
        <v>0.0901030872514503</v>
      </c>
      <c r="AE49" s="60" t="str">
        <f aca="false">IF(AB49&lt;S49,"SIM","NÃO")</f>
        <v>NÃO</v>
      </c>
      <c r="AF49" s="60" t="n">
        <v>2</v>
      </c>
      <c r="AG49" s="60" t="n">
        <v>5</v>
      </c>
      <c r="AH49" s="60" t="s">
        <v>382</v>
      </c>
      <c r="AI49" s="61" t="n">
        <f aca="false">(T49*(1-Painel!$C$40)+U49+V49+Painel!$C$41+Painel!$C$42*CEILING(G49/100,1)+Painel!$C$43*CEILING(G49,1)+Z49)/(1-Resumo!$B$5)</f>
        <v>44.473375</v>
      </c>
      <c r="AJ49" s="60" t="str">
        <f aca="false">IF(AI49&lt;S49,"SIM","NÃO")</f>
        <v>SIM</v>
      </c>
    </row>
    <row r="50" customFormat="false" ht="15" hidden="false" customHeight="false" outlineLevel="0" collapsed="false">
      <c r="A50" s="59" t="n">
        <v>46209.802974537</v>
      </c>
      <c r="B50" s="60" t="s">
        <v>430</v>
      </c>
      <c r="C50" s="60" t="n">
        <v>23520400</v>
      </c>
      <c r="D50" s="60" t="s">
        <v>46</v>
      </c>
      <c r="E50" s="60" t="s">
        <v>22</v>
      </c>
      <c r="F50" s="60" t="s">
        <v>241</v>
      </c>
      <c r="G50" s="60" t="n">
        <v>124.2</v>
      </c>
      <c r="H50" s="61" t="n">
        <v>1687.99</v>
      </c>
      <c r="I50" s="61" t="n">
        <v>120.59</v>
      </c>
      <c r="J50" s="61" t="n">
        <f aca="false">H50*Resumo!$C$6</f>
        <v>0</v>
      </c>
      <c r="K50" s="61" t="n">
        <f aca="false">H50*Resumo!$C$7</f>
        <v>3.544779</v>
      </c>
      <c r="L50" s="61" t="n">
        <f aca="false">H50*Resumo!$C$8</f>
        <v>3.544779</v>
      </c>
      <c r="M50" s="61" t="n">
        <f aca="false">Resumo!$C$10*CEILING(G50/100,1)</f>
        <v>2.1</v>
      </c>
      <c r="N50" s="61" t="n">
        <f aca="false">Resumo!$C$9</f>
        <v>0</v>
      </c>
      <c r="O50" s="61" t="n">
        <f aca="false">Resumo!$C$13</f>
        <v>13.55</v>
      </c>
      <c r="P50" s="61" t="n">
        <f aca="false">Resumo!$C$14*CEILING(G50,1)</f>
        <v>56.25</v>
      </c>
      <c r="Q50" s="61" t="n">
        <f aca="false">SUM(I50:P50)*Resumo!$C$11</f>
        <v>0</v>
      </c>
      <c r="R50" s="61" t="n">
        <f aca="false">SUM(I50:Q50)</f>
        <v>199.579558</v>
      </c>
      <c r="S50" s="61" t="n">
        <f aca="false">R50/(1-Resumo!$C$5)</f>
        <v>226.794952272727</v>
      </c>
      <c r="T50" s="61" t="n">
        <v>239.25</v>
      </c>
      <c r="U50" s="61" t="n">
        <f aca="false">H50*Resumo!$B$6</f>
        <v>1.68799</v>
      </c>
      <c r="V50" s="61" t="n">
        <f aca="false">H50*Resumo!$B$7</f>
        <v>3.37598</v>
      </c>
      <c r="W50" s="61" t="n">
        <f aca="false">Resumo!$B$9</f>
        <v>1</v>
      </c>
      <c r="X50" s="61" t="n">
        <f aca="false">Resumo!$B$10*CEILING(G50/100,1)</f>
        <v>9</v>
      </c>
      <c r="Y50" s="61" t="n">
        <f aca="false">Resumo!$B$12*CEILING(G50,1)</f>
        <v>7.5</v>
      </c>
      <c r="Z50" s="61" t="n">
        <f aca="false">Resumo!$B$14*CEILING(G50,1)</f>
        <v>56.25</v>
      </c>
      <c r="AA50" s="61" t="n">
        <f aca="false">SUM(T50:Z50)</f>
        <v>318.06397</v>
      </c>
      <c r="AB50" s="61" t="n">
        <f aca="false">AA50/(1-Resumo!$B$5)</f>
        <v>361.436329545455</v>
      </c>
      <c r="AC50" s="61" t="n">
        <f aca="false">AB50-S50</f>
        <v>134.641377272727</v>
      </c>
      <c r="AD50" s="62" t="n">
        <f aca="false">AB50/S50-1</f>
        <v>0.593670079177147</v>
      </c>
      <c r="AE50" s="60" t="str">
        <f aca="false">IF(AB50&lt;S50,"SIM","NÃO")</f>
        <v>NÃO</v>
      </c>
      <c r="AF50" s="60" t="n">
        <v>2</v>
      </c>
      <c r="AG50" s="60" t="n">
        <v>5</v>
      </c>
      <c r="AH50" s="60" t="s">
        <v>382</v>
      </c>
      <c r="AI50" s="61" t="n">
        <f aca="false">(T50*(1-Painel!$C$40)+U50+V50+Painel!$C$41+Painel!$C$42*CEILING(G50/100,1)+Painel!$C$43*CEILING(G50,1)+Z50)/(1-Resumo!$B$5)</f>
        <v>255.353943181818</v>
      </c>
      <c r="AJ50" s="60" t="str">
        <f aca="false">IF(AI50&lt;S50,"SIM","NÃO")</f>
        <v>NÃO</v>
      </c>
    </row>
    <row r="51" customFormat="false" ht="15" hidden="false" customHeight="false" outlineLevel="0" collapsed="false">
      <c r="A51" s="59" t="n">
        <v>46209.8668518519</v>
      </c>
      <c r="B51" s="60" t="s">
        <v>431</v>
      </c>
      <c r="C51" s="60" t="n">
        <v>25085135</v>
      </c>
      <c r="D51" s="60" t="s">
        <v>48</v>
      </c>
      <c r="E51" s="60" t="s">
        <v>23</v>
      </c>
      <c r="F51" s="60" t="s">
        <v>234</v>
      </c>
      <c r="G51" s="60" t="n">
        <v>39.8</v>
      </c>
      <c r="H51" s="61" t="n">
        <v>449.99</v>
      </c>
      <c r="I51" s="61" t="n">
        <v>66.83</v>
      </c>
      <c r="J51" s="61" t="n">
        <f aca="false">H51*Resumo!$C$6</f>
        <v>0</v>
      </c>
      <c r="K51" s="61" t="n">
        <f aca="false">H51*Resumo!$C$7</f>
        <v>0.944979</v>
      </c>
      <c r="L51" s="61" t="n">
        <f aca="false">H51*Resumo!$C$8</f>
        <v>0.944979</v>
      </c>
      <c r="M51" s="61" t="n">
        <f aca="false">Resumo!$C$10*CEILING(G51/100,1)</f>
        <v>1.05</v>
      </c>
      <c r="N51" s="61" t="n">
        <f aca="false">Resumo!$C$9</f>
        <v>0</v>
      </c>
      <c r="O51" s="61" t="n">
        <f aca="false">Resumo!$C$13</f>
        <v>13.55</v>
      </c>
      <c r="P51" s="61" t="n">
        <f aca="false">Resumo!$C$14*CEILING(G51,1)</f>
        <v>18</v>
      </c>
      <c r="Q51" s="61" t="n">
        <f aca="false">SUM(I51:P51)*Resumo!$C$11</f>
        <v>0</v>
      </c>
      <c r="R51" s="61" t="n">
        <f aca="false">SUM(I51:Q51)</f>
        <v>101.319958</v>
      </c>
      <c r="S51" s="61" t="n">
        <f aca="false">R51/(1-Resumo!$C$5)</f>
        <v>115.136315909091</v>
      </c>
      <c r="T51" s="61" t="n">
        <v>93.97</v>
      </c>
      <c r="U51" s="61" t="n">
        <f aca="false">H51*Resumo!$B$6</f>
        <v>0.44999</v>
      </c>
      <c r="V51" s="61" t="n">
        <f aca="false">H51*Resumo!$B$7</f>
        <v>0.89998</v>
      </c>
      <c r="W51" s="61" t="n">
        <f aca="false">Resumo!$B$9</f>
        <v>1</v>
      </c>
      <c r="X51" s="61" t="n">
        <f aca="false">Resumo!$B$10*CEILING(G51/100,1)</f>
        <v>4.5</v>
      </c>
      <c r="Y51" s="61" t="n">
        <f aca="false">Resumo!$B$12*CEILING(G51,1)</f>
        <v>2.4</v>
      </c>
      <c r="Z51" s="61" t="n">
        <f aca="false">Resumo!$B$14*CEILING(G51,1)</f>
        <v>18</v>
      </c>
      <c r="AA51" s="61" t="n">
        <f aca="false">SUM(T51:Z51)</f>
        <v>121.21997</v>
      </c>
      <c r="AB51" s="61" t="n">
        <f aca="false">AA51/(1-Resumo!$B$5)</f>
        <v>137.749965909091</v>
      </c>
      <c r="AC51" s="61" t="n">
        <f aca="false">AB51-S51</f>
        <v>22.61365</v>
      </c>
      <c r="AD51" s="62" t="n">
        <f aca="false">AB51/S51-1</f>
        <v>0.196407621882354</v>
      </c>
      <c r="AE51" s="60" t="str">
        <f aca="false">IF(AB51&lt;S51,"SIM","NÃO")</f>
        <v>NÃO</v>
      </c>
      <c r="AF51" s="60" t="n">
        <v>2</v>
      </c>
      <c r="AG51" s="60" t="n">
        <v>5</v>
      </c>
      <c r="AH51" s="60" t="s">
        <v>382</v>
      </c>
      <c r="AI51" s="61" t="n">
        <f aca="false">(T51*(1-Painel!$C$40)+U51+V51+Painel!$C$41+Painel!$C$42*CEILING(G51/100,1)+Painel!$C$43*CEILING(G51,1)+Z51)/(1-Resumo!$B$5)</f>
        <v>95.8634886363636</v>
      </c>
      <c r="AJ51" s="60" t="str">
        <f aca="false">IF(AI51&lt;S51,"SIM","NÃO")</f>
        <v>SIM</v>
      </c>
    </row>
    <row r="52" customFormat="false" ht="15" hidden="false" customHeight="false" outlineLevel="0" collapsed="false">
      <c r="A52" s="59" t="n">
        <v>46209.9061805556</v>
      </c>
      <c r="B52" s="60" t="s">
        <v>432</v>
      </c>
      <c r="C52" s="60" t="n">
        <v>28920015</v>
      </c>
      <c r="D52" s="60" t="s">
        <v>221</v>
      </c>
      <c r="E52" s="60" t="s">
        <v>24</v>
      </c>
      <c r="F52" s="60" t="s">
        <v>233</v>
      </c>
      <c r="G52" s="60" t="n">
        <v>27.4</v>
      </c>
      <c r="H52" s="61" t="n">
        <v>359.99</v>
      </c>
      <c r="I52" s="61" t="n">
        <v>65.63</v>
      </c>
      <c r="J52" s="61" t="n">
        <f aca="false">H52*Resumo!$C$6</f>
        <v>0</v>
      </c>
      <c r="K52" s="61" t="n">
        <f aca="false">H52*Resumo!$C$7</f>
        <v>0.755979</v>
      </c>
      <c r="L52" s="61" t="n">
        <f aca="false">H52*Resumo!$C$8</f>
        <v>0.755979</v>
      </c>
      <c r="M52" s="61" t="n">
        <f aca="false">Resumo!$C$10*CEILING(G52/100,1)</f>
        <v>1.05</v>
      </c>
      <c r="N52" s="61" t="n">
        <f aca="false">Resumo!$C$9</f>
        <v>0</v>
      </c>
      <c r="O52" s="61" t="n">
        <f aca="false">Resumo!$C$13</f>
        <v>13.55</v>
      </c>
      <c r="P52" s="61" t="n">
        <f aca="false">Resumo!$C$14*CEILING(G52,1)</f>
        <v>12.6</v>
      </c>
      <c r="Q52" s="61" t="n">
        <f aca="false">SUM(I52:P52)*Resumo!$C$11</f>
        <v>0</v>
      </c>
      <c r="R52" s="61" t="n">
        <f aca="false">SUM(I52:Q52)</f>
        <v>94.341958</v>
      </c>
      <c r="S52" s="61" t="n">
        <f aca="false">R52/(1-Resumo!$C$5)</f>
        <v>107.206770454545</v>
      </c>
      <c r="T52" s="61" t="n">
        <v>114.95</v>
      </c>
      <c r="U52" s="61" t="n">
        <f aca="false">H52*Resumo!$B$6</f>
        <v>0.35999</v>
      </c>
      <c r="V52" s="61" t="n">
        <f aca="false">H52*Resumo!$B$7</f>
        <v>0.71998</v>
      </c>
      <c r="W52" s="61" t="n">
        <f aca="false">Resumo!$B$9</f>
        <v>1</v>
      </c>
      <c r="X52" s="61" t="n">
        <f aca="false">Resumo!$B$10*CEILING(G52/100,1)</f>
        <v>4.5</v>
      </c>
      <c r="Y52" s="61" t="n">
        <f aca="false">Resumo!$B$12*CEILING(G52,1)</f>
        <v>1.68</v>
      </c>
      <c r="Z52" s="61" t="n">
        <f aca="false">Resumo!$B$14*CEILING(G52,1)</f>
        <v>12.6</v>
      </c>
      <c r="AA52" s="61" t="n">
        <f aca="false">SUM(T52:Z52)</f>
        <v>135.80997</v>
      </c>
      <c r="AB52" s="61" t="n">
        <f aca="false">AA52/(1-Resumo!$B$5)</f>
        <v>154.329511363636</v>
      </c>
      <c r="AC52" s="61" t="n">
        <f aca="false">AB52-S52</f>
        <v>47.1227409090909</v>
      </c>
      <c r="AD52" s="62" t="n">
        <f aca="false">AB52/S52-1</f>
        <v>0.439550046226516</v>
      </c>
      <c r="AE52" s="60" t="str">
        <f aca="false">IF(AB52&lt;S52,"SIM","NÃO")</f>
        <v>NÃO</v>
      </c>
      <c r="AF52" s="60" t="n">
        <v>13</v>
      </c>
      <c r="AG52" s="60" t="n">
        <v>10</v>
      </c>
      <c r="AH52" s="60" t="s">
        <v>382</v>
      </c>
      <c r="AI52" s="61" t="n">
        <f aca="false">(T52*(1-Painel!$C$40)+U52+V52+Painel!$C$41+Painel!$C$42*CEILING(G52/100,1)+Painel!$C$43*CEILING(G52,1)+Z52)/(1-Resumo!$B$5)</f>
        <v>105.393715909091</v>
      </c>
      <c r="AJ52" s="60" t="str">
        <f aca="false">IF(AI52&lt;S52,"SIM","NÃO")</f>
        <v>SIM</v>
      </c>
    </row>
    <row r="53" customFormat="false" ht="15" hidden="false" customHeight="false" outlineLevel="0" collapsed="false">
      <c r="A53" s="59" t="n">
        <v>46209.9533333333</v>
      </c>
      <c r="B53" s="60" t="s">
        <v>433</v>
      </c>
      <c r="C53" s="60" t="n">
        <v>28976666</v>
      </c>
      <c r="D53" s="60" t="s">
        <v>222</v>
      </c>
      <c r="E53" s="60" t="s">
        <v>24</v>
      </c>
      <c r="F53" s="60" t="s">
        <v>235</v>
      </c>
      <c r="G53" s="60" t="n">
        <v>44.5</v>
      </c>
      <c r="H53" s="61" t="n">
        <v>735.99</v>
      </c>
      <c r="I53" s="61" t="n">
        <v>77.7</v>
      </c>
      <c r="J53" s="61" t="n">
        <f aca="false">H53*Resumo!$C$6</f>
        <v>0</v>
      </c>
      <c r="K53" s="61" t="n">
        <f aca="false">H53*Resumo!$C$7</f>
        <v>1.545579</v>
      </c>
      <c r="L53" s="61" t="n">
        <f aca="false">H53*Resumo!$C$8</f>
        <v>1.545579</v>
      </c>
      <c r="M53" s="61" t="n">
        <f aca="false">Resumo!$C$10*CEILING(G53/100,1)</f>
        <v>1.05</v>
      </c>
      <c r="N53" s="61" t="n">
        <f aca="false">Resumo!$C$9</f>
        <v>0</v>
      </c>
      <c r="O53" s="61" t="n">
        <f aca="false">Resumo!$C$13</f>
        <v>13.55</v>
      </c>
      <c r="P53" s="61" t="n">
        <f aca="false">Resumo!$C$14*CEILING(G53,1)</f>
        <v>20.25</v>
      </c>
      <c r="Q53" s="61" t="n">
        <f aca="false">SUM(I53:P53)*Resumo!$C$11</f>
        <v>0</v>
      </c>
      <c r="R53" s="61" t="n">
        <f aca="false">SUM(I53:Q53)</f>
        <v>115.641158</v>
      </c>
      <c r="S53" s="61" t="n">
        <f aca="false">R53/(1-Resumo!$C$5)</f>
        <v>131.410406818182</v>
      </c>
      <c r="T53" s="61" t="n">
        <v>129.29</v>
      </c>
      <c r="U53" s="61" t="n">
        <f aca="false">H53*Resumo!$B$6</f>
        <v>0.73599</v>
      </c>
      <c r="V53" s="61" t="n">
        <f aca="false">H53*Resumo!$B$7</f>
        <v>1.47198</v>
      </c>
      <c r="W53" s="61" t="n">
        <f aca="false">Resumo!$B$9</f>
        <v>1</v>
      </c>
      <c r="X53" s="61" t="n">
        <f aca="false">Resumo!$B$10*CEILING(G53/100,1)</f>
        <v>4.5</v>
      </c>
      <c r="Y53" s="61" t="n">
        <f aca="false">Resumo!$B$12*CEILING(G53,1)</f>
        <v>2.7</v>
      </c>
      <c r="Z53" s="61" t="n">
        <f aca="false">Resumo!$B$14*CEILING(G53,1)</f>
        <v>20.25</v>
      </c>
      <c r="AA53" s="61" t="n">
        <f aca="false">SUM(T53:Z53)</f>
        <v>159.94797</v>
      </c>
      <c r="AB53" s="61" t="n">
        <f aca="false">AA53/(1-Resumo!$B$5)</f>
        <v>181.759056818182</v>
      </c>
      <c r="AC53" s="61" t="n">
        <f aca="false">AB53-S53</f>
        <v>50.34865</v>
      </c>
      <c r="AD53" s="62" t="n">
        <f aca="false">AB53/S53-1</f>
        <v>0.383140507811241</v>
      </c>
      <c r="AE53" s="60" t="str">
        <f aca="false">IF(AB53&lt;S53,"SIM","NÃO")</f>
        <v>NÃO</v>
      </c>
      <c r="AF53" s="60" t="n">
        <v>13</v>
      </c>
      <c r="AG53" s="60" t="n">
        <v>10</v>
      </c>
      <c r="AH53" s="60" t="s">
        <v>382</v>
      </c>
      <c r="AI53" s="61" t="n">
        <f aca="false">(T53*(1-Painel!$C$40)+U53+V53+Painel!$C$41+Painel!$C$42*CEILING(G53/100,1)+Painel!$C$43*CEILING(G53,1)+Z53)/(1-Resumo!$B$5)</f>
        <v>126.286670454545</v>
      </c>
      <c r="AJ53" s="60" t="str">
        <f aca="false">IF(AI53&lt;S53,"SIM","NÃO")</f>
        <v>SIM</v>
      </c>
    </row>
    <row r="54" customFormat="false" ht="15" hidden="false" customHeight="false" outlineLevel="0" collapsed="false">
      <c r="A54" s="59" t="n">
        <v>46209.999212963</v>
      </c>
      <c r="B54" s="60" t="s">
        <v>434</v>
      </c>
      <c r="C54" s="60" t="n">
        <v>21842553</v>
      </c>
      <c r="D54" s="60" t="s">
        <v>46</v>
      </c>
      <c r="E54" s="60" t="s">
        <v>22</v>
      </c>
      <c r="F54" s="60" t="s">
        <v>234</v>
      </c>
      <c r="G54" s="60" t="n">
        <v>39.9</v>
      </c>
      <c r="H54" s="61" t="n">
        <v>599.99</v>
      </c>
      <c r="I54" s="61" t="n">
        <v>48.35</v>
      </c>
      <c r="J54" s="61" t="n">
        <f aca="false">H54*Resumo!$C$6</f>
        <v>0</v>
      </c>
      <c r="K54" s="61" t="n">
        <f aca="false">H54*Resumo!$C$7</f>
        <v>1.259979</v>
      </c>
      <c r="L54" s="61" t="n">
        <f aca="false">H54*Resumo!$C$8</f>
        <v>1.259979</v>
      </c>
      <c r="M54" s="61" t="n">
        <f aca="false">Resumo!$C$10*CEILING(G54/100,1)</f>
        <v>1.05</v>
      </c>
      <c r="N54" s="61" t="n">
        <f aca="false">Resumo!$C$9</f>
        <v>0</v>
      </c>
      <c r="O54" s="61" t="n">
        <f aca="false">Resumo!$C$13</f>
        <v>13.55</v>
      </c>
      <c r="P54" s="61" t="n">
        <f aca="false">Resumo!$C$14*CEILING(G54,1)</f>
        <v>18</v>
      </c>
      <c r="Q54" s="61" t="n">
        <f aca="false">SUM(I54:P54)*Resumo!$C$11</f>
        <v>0</v>
      </c>
      <c r="R54" s="61" t="n">
        <f aca="false">SUM(I54:Q54)</f>
        <v>83.469958</v>
      </c>
      <c r="S54" s="61" t="n">
        <f aca="false">R54/(1-Resumo!$C$5)</f>
        <v>94.852225</v>
      </c>
      <c r="T54" s="61" t="n">
        <v>93.97</v>
      </c>
      <c r="U54" s="61" t="n">
        <f aca="false">H54*Resumo!$B$6</f>
        <v>0.59999</v>
      </c>
      <c r="V54" s="61" t="n">
        <f aca="false">H54*Resumo!$B$7</f>
        <v>1.19998</v>
      </c>
      <c r="W54" s="61" t="n">
        <f aca="false">Resumo!$B$9</f>
        <v>1</v>
      </c>
      <c r="X54" s="61" t="n">
        <f aca="false">Resumo!$B$10*CEILING(G54/100,1)</f>
        <v>4.5</v>
      </c>
      <c r="Y54" s="61" t="n">
        <f aca="false">Resumo!$B$12*CEILING(G54,1)</f>
        <v>2.4</v>
      </c>
      <c r="Z54" s="61" t="n">
        <f aca="false">Resumo!$B$14*CEILING(G54,1)</f>
        <v>18</v>
      </c>
      <c r="AA54" s="61" t="n">
        <f aca="false">SUM(T54:Z54)</f>
        <v>121.66997</v>
      </c>
      <c r="AB54" s="61" t="n">
        <f aca="false">AA54/(1-Resumo!$B$5)</f>
        <v>138.261329545455</v>
      </c>
      <c r="AC54" s="61" t="n">
        <f aca="false">AB54-S54</f>
        <v>43.4091045454545</v>
      </c>
      <c r="AD54" s="62" t="n">
        <f aca="false">AB54/S54-1</f>
        <v>0.457649828936059</v>
      </c>
      <c r="AE54" s="60" t="str">
        <f aca="false">IF(AB54&lt;S54,"SIM","NÃO")</f>
        <v>NÃO</v>
      </c>
      <c r="AF54" s="60" t="n">
        <v>2</v>
      </c>
      <c r="AG54" s="60" t="n">
        <v>5</v>
      </c>
      <c r="AH54" s="60" t="s">
        <v>382</v>
      </c>
      <c r="AI54" s="61" t="n">
        <f aca="false">(T54*(1-Painel!$C$40)+U54+V54+Painel!$C$41+Painel!$C$42*CEILING(G54/100,1)+Painel!$C$43*CEILING(G54,1)+Z54)/(1-Resumo!$B$5)</f>
        <v>96.3748522727273</v>
      </c>
      <c r="AJ54" s="60" t="str">
        <f aca="false">IF(AI54&lt;S54,"SIM","NÃO")</f>
        <v>NÃO</v>
      </c>
    </row>
    <row r="55" customFormat="false" ht="15" hidden="false" customHeight="false" outlineLevel="0" collapsed="false">
      <c r="A55" s="59" t="n">
        <v>46210.0137731481</v>
      </c>
      <c r="B55" s="60" t="s">
        <v>435</v>
      </c>
      <c r="C55" s="60" t="n">
        <v>22735000</v>
      </c>
      <c r="D55" s="60" t="s">
        <v>46</v>
      </c>
      <c r="E55" s="60" t="s">
        <v>22</v>
      </c>
      <c r="F55" s="60" t="s">
        <v>234</v>
      </c>
      <c r="G55" s="60" t="n">
        <v>37.2</v>
      </c>
      <c r="H55" s="61" t="n">
        <v>360.99</v>
      </c>
      <c r="I55" s="61" t="n">
        <v>48.35</v>
      </c>
      <c r="J55" s="61" t="n">
        <f aca="false">H55*Resumo!$C$6</f>
        <v>0</v>
      </c>
      <c r="K55" s="61" t="n">
        <f aca="false">H55*Resumo!$C$7</f>
        <v>0.758079</v>
      </c>
      <c r="L55" s="61" t="n">
        <f aca="false">H55*Resumo!$C$8</f>
        <v>0.758079</v>
      </c>
      <c r="M55" s="61" t="n">
        <f aca="false">Resumo!$C$10*CEILING(G55/100,1)</f>
        <v>1.05</v>
      </c>
      <c r="N55" s="61" t="n">
        <f aca="false">Resumo!$C$9</f>
        <v>0</v>
      </c>
      <c r="O55" s="61" t="n">
        <f aca="false">Resumo!$C$13</f>
        <v>13.55</v>
      </c>
      <c r="P55" s="61" t="n">
        <f aca="false">Resumo!$C$14*CEILING(G55,1)</f>
        <v>17.1</v>
      </c>
      <c r="Q55" s="61" t="n">
        <f aca="false">SUM(I55:P55)*Resumo!$C$11</f>
        <v>0</v>
      </c>
      <c r="R55" s="61" t="n">
        <f aca="false">SUM(I55:Q55)</f>
        <v>81.566158</v>
      </c>
      <c r="S55" s="61" t="n">
        <f aca="false">R55/(1-Resumo!$C$5)</f>
        <v>92.6888159090909</v>
      </c>
      <c r="T55" s="61" t="n">
        <v>93.97</v>
      </c>
      <c r="U55" s="61" t="n">
        <f aca="false">H55*Resumo!$B$6</f>
        <v>0.36099</v>
      </c>
      <c r="V55" s="61" t="n">
        <f aca="false">H55*Resumo!$B$7</f>
        <v>0.72198</v>
      </c>
      <c r="W55" s="61" t="n">
        <f aca="false">Resumo!$B$9</f>
        <v>1</v>
      </c>
      <c r="X55" s="61" t="n">
        <f aca="false">Resumo!$B$10*CEILING(G55/100,1)</f>
        <v>4.5</v>
      </c>
      <c r="Y55" s="61" t="n">
        <f aca="false">Resumo!$B$12*CEILING(G55,1)</f>
        <v>2.28</v>
      </c>
      <c r="Z55" s="61" t="n">
        <f aca="false">Resumo!$B$14*CEILING(G55,1)</f>
        <v>17.1</v>
      </c>
      <c r="AA55" s="61" t="n">
        <f aca="false">SUM(T55:Z55)</f>
        <v>119.93297</v>
      </c>
      <c r="AB55" s="61" t="n">
        <f aca="false">AA55/(1-Resumo!$B$5)</f>
        <v>136.287465909091</v>
      </c>
      <c r="AC55" s="61" t="n">
        <f aca="false">AB55-S55</f>
        <v>43.59865</v>
      </c>
      <c r="AD55" s="62" t="n">
        <f aca="false">AB55/S55-1</f>
        <v>0.470376599079241</v>
      </c>
      <c r="AE55" s="60" t="str">
        <f aca="false">IF(AB55&lt;S55,"SIM","NÃO")</f>
        <v>NÃO</v>
      </c>
      <c r="AF55" s="60" t="n">
        <v>2</v>
      </c>
      <c r="AG55" s="60" t="n">
        <v>5</v>
      </c>
      <c r="AH55" s="60" t="s">
        <v>382</v>
      </c>
      <c r="AI55" s="61" t="n">
        <f aca="false">(T55*(1-Painel!$C$40)+U55+V55+Painel!$C$41+Painel!$C$42*CEILING(G55/100,1)+Painel!$C$43*CEILING(G55,1)+Z55)/(1-Resumo!$B$5)</f>
        <v>94.5373522727273</v>
      </c>
      <c r="AJ55" s="60" t="str">
        <f aca="false">IF(AI55&lt;S55,"SIM","NÃO")</f>
        <v>NÃO</v>
      </c>
    </row>
    <row r="56" customFormat="false" ht="15" hidden="false" customHeight="false" outlineLevel="0" collapsed="false">
      <c r="A56" s="59" t="n">
        <v>46210.022025463</v>
      </c>
      <c r="B56" s="60" t="s">
        <v>436</v>
      </c>
      <c r="C56" s="60" t="n">
        <v>21241300</v>
      </c>
      <c r="D56" s="60" t="s">
        <v>46</v>
      </c>
      <c r="E56" s="60" t="s">
        <v>22</v>
      </c>
      <c r="F56" s="60" t="s">
        <v>234</v>
      </c>
      <c r="G56" s="60" t="n">
        <v>37.2</v>
      </c>
      <c r="H56" s="61" t="n">
        <v>360.99</v>
      </c>
      <c r="I56" s="61" t="n">
        <v>48.35</v>
      </c>
      <c r="J56" s="61" t="n">
        <f aca="false">H56*Resumo!$C$6</f>
        <v>0</v>
      </c>
      <c r="K56" s="61" t="n">
        <f aca="false">H56*Resumo!$C$7</f>
        <v>0.758079</v>
      </c>
      <c r="L56" s="61" t="n">
        <f aca="false">H56*Resumo!$C$8</f>
        <v>0.758079</v>
      </c>
      <c r="M56" s="61" t="n">
        <f aca="false">Resumo!$C$10*CEILING(G56/100,1)</f>
        <v>1.05</v>
      </c>
      <c r="N56" s="61" t="n">
        <f aca="false">Resumo!$C$9</f>
        <v>0</v>
      </c>
      <c r="O56" s="61" t="n">
        <f aca="false">Resumo!$C$13</f>
        <v>13.55</v>
      </c>
      <c r="P56" s="61" t="n">
        <f aca="false">Resumo!$C$14*CEILING(G56,1)</f>
        <v>17.1</v>
      </c>
      <c r="Q56" s="61" t="n">
        <f aca="false">SUM(I56:P56)*Resumo!$C$11</f>
        <v>0</v>
      </c>
      <c r="R56" s="61" t="n">
        <f aca="false">SUM(I56:Q56)</f>
        <v>81.566158</v>
      </c>
      <c r="S56" s="61" t="n">
        <f aca="false">R56/(1-Resumo!$C$5)</f>
        <v>92.6888159090909</v>
      </c>
      <c r="T56" s="61" t="n">
        <v>93.97</v>
      </c>
      <c r="U56" s="61" t="n">
        <f aca="false">H56*Resumo!$B$6</f>
        <v>0.36099</v>
      </c>
      <c r="V56" s="61" t="n">
        <f aca="false">H56*Resumo!$B$7</f>
        <v>0.72198</v>
      </c>
      <c r="W56" s="61" t="n">
        <f aca="false">Resumo!$B$9</f>
        <v>1</v>
      </c>
      <c r="X56" s="61" t="n">
        <f aca="false">Resumo!$B$10*CEILING(G56/100,1)</f>
        <v>4.5</v>
      </c>
      <c r="Y56" s="61" t="n">
        <f aca="false">Resumo!$B$12*CEILING(G56,1)</f>
        <v>2.28</v>
      </c>
      <c r="Z56" s="61" t="n">
        <f aca="false">Resumo!$B$14*CEILING(G56,1)</f>
        <v>17.1</v>
      </c>
      <c r="AA56" s="61" t="n">
        <f aca="false">SUM(T56:Z56)</f>
        <v>119.93297</v>
      </c>
      <c r="AB56" s="61" t="n">
        <f aca="false">AA56/(1-Resumo!$B$5)</f>
        <v>136.287465909091</v>
      </c>
      <c r="AC56" s="61" t="n">
        <f aca="false">AB56-S56</f>
        <v>43.59865</v>
      </c>
      <c r="AD56" s="62" t="n">
        <f aca="false">AB56/S56-1</f>
        <v>0.470376599079241</v>
      </c>
      <c r="AE56" s="60" t="str">
        <f aca="false">IF(AB56&lt;S56,"SIM","NÃO")</f>
        <v>NÃO</v>
      </c>
      <c r="AF56" s="60" t="n">
        <v>2</v>
      </c>
      <c r="AG56" s="60" t="n">
        <v>5</v>
      </c>
      <c r="AH56" s="60" t="s">
        <v>382</v>
      </c>
      <c r="AI56" s="61" t="n">
        <f aca="false">(T56*(1-Painel!$C$40)+U56+V56+Painel!$C$41+Painel!$C$42*CEILING(G56/100,1)+Painel!$C$43*CEILING(G56,1)+Z56)/(1-Resumo!$B$5)</f>
        <v>94.5373522727273</v>
      </c>
      <c r="AJ56" s="60" t="str">
        <f aca="false">IF(AI56&lt;S56,"SIM","NÃO")</f>
        <v>NÃO</v>
      </c>
    </row>
    <row r="57" customFormat="false" ht="15" hidden="false" customHeight="false" outlineLevel="0" collapsed="false">
      <c r="A57" s="59" t="n">
        <v>46210.0742592593</v>
      </c>
      <c r="B57" s="60" t="s">
        <v>437</v>
      </c>
      <c r="C57" s="60" t="n">
        <v>20251440</v>
      </c>
      <c r="D57" s="60" t="s">
        <v>46</v>
      </c>
      <c r="E57" s="60" t="s">
        <v>22</v>
      </c>
      <c r="F57" s="60" t="s">
        <v>233</v>
      </c>
      <c r="G57" s="60" t="n">
        <v>27.4</v>
      </c>
      <c r="H57" s="61" t="n">
        <v>324.99</v>
      </c>
      <c r="I57" s="61" t="n">
        <v>42.11</v>
      </c>
      <c r="J57" s="61" t="n">
        <f aca="false">H57*Resumo!$C$6</f>
        <v>0</v>
      </c>
      <c r="K57" s="61" t="n">
        <f aca="false">H57*Resumo!$C$7</f>
        <v>0.682479</v>
      </c>
      <c r="L57" s="61" t="n">
        <f aca="false">H57*Resumo!$C$8</f>
        <v>0.682479</v>
      </c>
      <c r="M57" s="61" t="n">
        <f aca="false">Resumo!$C$10*CEILING(G57/100,1)</f>
        <v>1.05</v>
      </c>
      <c r="N57" s="61" t="n">
        <f aca="false">Resumo!$C$9</f>
        <v>0</v>
      </c>
      <c r="O57" s="61" t="n">
        <f aca="false">Resumo!$C$13</f>
        <v>13.55</v>
      </c>
      <c r="P57" s="61" t="n">
        <f aca="false">Resumo!$C$14*CEILING(G57,1)</f>
        <v>12.6</v>
      </c>
      <c r="Q57" s="61" t="n">
        <f aca="false">SUM(I57:P57)*Resumo!$C$11</f>
        <v>0</v>
      </c>
      <c r="R57" s="61" t="n">
        <f aca="false">SUM(I57:Q57)</f>
        <v>70.674958</v>
      </c>
      <c r="S57" s="61" t="n">
        <f aca="false">R57/(1-Resumo!$C$5)</f>
        <v>80.3124522727273</v>
      </c>
      <c r="T57" s="61" t="n">
        <v>82.21</v>
      </c>
      <c r="U57" s="61" t="n">
        <f aca="false">H57*Resumo!$B$6</f>
        <v>0.32499</v>
      </c>
      <c r="V57" s="61" t="n">
        <f aca="false">H57*Resumo!$B$7</f>
        <v>0.64998</v>
      </c>
      <c r="W57" s="61" t="n">
        <f aca="false">Resumo!$B$9</f>
        <v>1</v>
      </c>
      <c r="X57" s="61" t="n">
        <f aca="false">Resumo!$B$10*CEILING(G57/100,1)</f>
        <v>4.5</v>
      </c>
      <c r="Y57" s="61" t="n">
        <f aca="false">Resumo!$B$12*CEILING(G57,1)</f>
        <v>1.68</v>
      </c>
      <c r="Z57" s="61" t="n">
        <f aca="false">Resumo!$B$14*CEILING(G57,1)</f>
        <v>12.6</v>
      </c>
      <c r="AA57" s="61" t="n">
        <f aca="false">SUM(T57:Z57)</f>
        <v>102.96497</v>
      </c>
      <c r="AB57" s="61" t="n">
        <f aca="false">AA57/(1-Resumo!$B$5)</f>
        <v>117.005647727273</v>
      </c>
      <c r="AC57" s="61" t="n">
        <f aca="false">AB57-S57</f>
        <v>36.6931954545454</v>
      </c>
      <c r="AD57" s="62" t="n">
        <f aca="false">AB57/S57-1</f>
        <v>0.456880526197129</v>
      </c>
      <c r="AE57" s="60" t="str">
        <f aca="false">IF(AB57&lt;S57,"SIM","NÃO")</f>
        <v>NÃO</v>
      </c>
      <c r="AF57" s="60" t="n">
        <v>2</v>
      </c>
      <c r="AG57" s="60" t="n">
        <v>5</v>
      </c>
      <c r="AH57" s="60" t="s">
        <v>382</v>
      </c>
      <c r="AI57" s="61" t="n">
        <f aca="false">(T57*(1-Painel!$C$40)+U57+V57+Painel!$C$41+Painel!$C$42*CEILING(G57/100,1)+Painel!$C$43*CEILING(G57,1)+Z57)/(1-Resumo!$B$5)</f>
        <v>80.3473522727273</v>
      </c>
      <c r="AJ57" s="60" t="str">
        <f aca="false">IF(AI57&lt;S57,"SIM","NÃO")</f>
        <v>NÃO</v>
      </c>
    </row>
    <row r="58" customFormat="false" ht="15" hidden="false" customHeight="false" outlineLevel="0" collapsed="false">
      <c r="A58" s="59" t="n">
        <v>46210.1184375</v>
      </c>
      <c r="B58" s="60" t="s">
        <v>438</v>
      </c>
      <c r="C58" s="60" t="n">
        <v>26087230</v>
      </c>
      <c r="D58" s="60" t="s">
        <v>49</v>
      </c>
      <c r="E58" s="60" t="s">
        <v>23</v>
      </c>
      <c r="F58" s="60" t="s">
        <v>233</v>
      </c>
      <c r="G58" s="60" t="n">
        <v>27.4</v>
      </c>
      <c r="H58" s="61" t="n">
        <v>324.99</v>
      </c>
      <c r="I58" s="61" t="n">
        <v>58.8</v>
      </c>
      <c r="J58" s="61" t="n">
        <f aca="false">H58*Resumo!$C$6</f>
        <v>0</v>
      </c>
      <c r="K58" s="61" t="n">
        <f aca="false">H58*Resumo!$C$7</f>
        <v>0.682479</v>
      </c>
      <c r="L58" s="61" t="n">
        <f aca="false">H58*Resumo!$C$8</f>
        <v>0.682479</v>
      </c>
      <c r="M58" s="61" t="n">
        <f aca="false">Resumo!$C$10*CEILING(G58/100,1)</f>
        <v>1.05</v>
      </c>
      <c r="N58" s="61" t="n">
        <f aca="false">Resumo!$C$9</f>
        <v>0</v>
      </c>
      <c r="O58" s="61" t="n">
        <f aca="false">Resumo!$C$13</f>
        <v>13.55</v>
      </c>
      <c r="P58" s="61" t="n">
        <f aca="false">Resumo!$C$14*CEILING(G58,1)</f>
        <v>12.6</v>
      </c>
      <c r="Q58" s="61" t="n">
        <f aca="false">SUM(I58:P58)*Resumo!$C$11</f>
        <v>0</v>
      </c>
      <c r="R58" s="61" t="n">
        <f aca="false">SUM(I58:Q58)</f>
        <v>87.364958</v>
      </c>
      <c r="S58" s="61" t="n">
        <f aca="false">R58/(1-Resumo!$C$5)</f>
        <v>99.2783613636364</v>
      </c>
      <c r="T58" s="61" t="n">
        <v>82.21</v>
      </c>
      <c r="U58" s="61" t="n">
        <f aca="false">H58*Resumo!$B$6</f>
        <v>0.32499</v>
      </c>
      <c r="V58" s="61" t="n">
        <f aca="false">H58*Resumo!$B$7</f>
        <v>0.64998</v>
      </c>
      <c r="W58" s="61" t="n">
        <f aca="false">Resumo!$B$9</f>
        <v>1</v>
      </c>
      <c r="X58" s="61" t="n">
        <f aca="false">Resumo!$B$10*CEILING(G58/100,1)</f>
        <v>4.5</v>
      </c>
      <c r="Y58" s="61" t="n">
        <f aca="false">Resumo!$B$12*CEILING(G58,1)</f>
        <v>1.68</v>
      </c>
      <c r="Z58" s="61" t="n">
        <f aca="false">Resumo!$B$14*CEILING(G58,1)</f>
        <v>12.6</v>
      </c>
      <c r="AA58" s="61" t="n">
        <f aca="false">SUM(T58:Z58)</f>
        <v>102.96497</v>
      </c>
      <c r="AB58" s="61" t="n">
        <f aca="false">AA58/(1-Resumo!$B$5)</f>
        <v>117.005647727273</v>
      </c>
      <c r="AC58" s="61" t="n">
        <f aca="false">AB58-S58</f>
        <v>17.7272863636364</v>
      </c>
      <c r="AD58" s="62" t="n">
        <f aca="false">AB58/S58-1</f>
        <v>0.178561431918733</v>
      </c>
      <c r="AE58" s="60" t="str">
        <f aca="false">IF(AB58&lt;S58,"SIM","NÃO")</f>
        <v>NÃO</v>
      </c>
      <c r="AF58" s="60" t="n">
        <v>2</v>
      </c>
      <c r="AG58" s="60" t="n">
        <v>5</v>
      </c>
      <c r="AH58" s="60" t="s">
        <v>382</v>
      </c>
      <c r="AI58" s="61" t="n">
        <f aca="false">(T58*(1-Painel!$C$40)+U58+V58+Painel!$C$41+Painel!$C$42*CEILING(G58/100,1)+Painel!$C$43*CEILING(G58,1)+Z58)/(1-Resumo!$B$5)</f>
        <v>80.3473522727273</v>
      </c>
      <c r="AJ58" s="60" t="str">
        <f aca="false">IF(AI58&lt;S58,"SIM","NÃO")</f>
        <v>SIM</v>
      </c>
    </row>
    <row r="59" customFormat="false" ht="15" hidden="false" customHeight="false" outlineLevel="0" collapsed="false">
      <c r="A59" s="59" t="n">
        <v>46210.3415972222</v>
      </c>
      <c r="B59" s="60" t="s">
        <v>439</v>
      </c>
      <c r="C59" s="60" t="n">
        <v>25710093</v>
      </c>
      <c r="D59" s="60" t="s">
        <v>219</v>
      </c>
      <c r="E59" s="60" t="s">
        <v>24</v>
      </c>
      <c r="F59" s="60" t="s">
        <v>234</v>
      </c>
      <c r="G59" s="60" t="n">
        <v>37.2</v>
      </c>
      <c r="H59" s="61" t="n">
        <v>360.99</v>
      </c>
      <c r="I59" s="61" t="n">
        <v>74.97</v>
      </c>
      <c r="J59" s="61" t="n">
        <f aca="false">H59*Resumo!$C$6</f>
        <v>0</v>
      </c>
      <c r="K59" s="61" t="n">
        <f aca="false">H59*Resumo!$C$7</f>
        <v>0.758079</v>
      </c>
      <c r="L59" s="61" t="n">
        <f aca="false">H59*Resumo!$C$8</f>
        <v>0.758079</v>
      </c>
      <c r="M59" s="61" t="n">
        <f aca="false">Resumo!$C$10*CEILING(G59/100,1)</f>
        <v>1.05</v>
      </c>
      <c r="N59" s="61" t="n">
        <f aca="false">Resumo!$C$9</f>
        <v>0</v>
      </c>
      <c r="O59" s="61" t="n">
        <f aca="false">Resumo!$C$13</f>
        <v>13.55</v>
      </c>
      <c r="P59" s="61" t="n">
        <f aca="false">Resumo!$C$14*CEILING(G59,1)</f>
        <v>17.1</v>
      </c>
      <c r="Q59" s="61" t="n">
        <f aca="false">SUM(I59:P59)*Resumo!$C$11</f>
        <v>0</v>
      </c>
      <c r="R59" s="61" t="n">
        <f aca="false">SUM(I59:Q59)</f>
        <v>108.186158</v>
      </c>
      <c r="S59" s="61" t="n">
        <f aca="false">R59/(1-Resumo!$C$5)</f>
        <v>122.938815909091</v>
      </c>
      <c r="T59" s="61" t="n">
        <v>124.38</v>
      </c>
      <c r="U59" s="61" t="n">
        <f aca="false">H59*Resumo!$B$6</f>
        <v>0.36099</v>
      </c>
      <c r="V59" s="61" t="n">
        <f aca="false">H59*Resumo!$B$7</f>
        <v>0.72198</v>
      </c>
      <c r="W59" s="61" t="n">
        <f aca="false">Resumo!$B$9</f>
        <v>1</v>
      </c>
      <c r="X59" s="61" t="n">
        <f aca="false">Resumo!$B$10*CEILING(G59/100,1)</f>
        <v>4.5</v>
      </c>
      <c r="Y59" s="61" t="n">
        <f aca="false">Resumo!$B$12*CEILING(G59,1)</f>
        <v>2.28</v>
      </c>
      <c r="Z59" s="61" t="n">
        <f aca="false">Resumo!$B$14*CEILING(G59,1)</f>
        <v>17.1</v>
      </c>
      <c r="AA59" s="61" t="n">
        <f aca="false">SUM(T59:Z59)</f>
        <v>150.34297</v>
      </c>
      <c r="AB59" s="61" t="n">
        <f aca="false">AA59/(1-Resumo!$B$5)</f>
        <v>170.844284090909</v>
      </c>
      <c r="AC59" s="61" t="n">
        <f aca="false">AB59-S59</f>
        <v>47.9054681818182</v>
      </c>
      <c r="AD59" s="62" t="n">
        <f aca="false">AB59/S59-1</f>
        <v>0.389669184850801</v>
      </c>
      <c r="AE59" s="60" t="str">
        <f aca="false">IF(AB59&lt;S59,"SIM","NÃO")</f>
        <v>NÃO</v>
      </c>
      <c r="AF59" s="60" t="n">
        <v>13</v>
      </c>
      <c r="AG59" s="60" t="n">
        <v>8</v>
      </c>
      <c r="AH59" s="60" t="s">
        <v>382</v>
      </c>
      <c r="AI59" s="61" t="n">
        <f aca="false">(T59*(1-Painel!$C$40)+U59+V59+Painel!$C$41+Painel!$C$42*CEILING(G59/100,1)+Painel!$C$43*CEILING(G59,1)+Z59)/(1-Resumo!$B$5)</f>
        <v>117.690420454545</v>
      </c>
      <c r="AJ59" s="60" t="str">
        <f aca="false">IF(AI59&lt;S59,"SIM","NÃO")</f>
        <v>SIM</v>
      </c>
    </row>
    <row r="60" customFormat="false" ht="15" hidden="false" customHeight="false" outlineLevel="0" collapsed="false">
      <c r="A60" s="59" t="n">
        <v>46210.3669907407</v>
      </c>
      <c r="B60" s="60" t="s">
        <v>440</v>
      </c>
      <c r="C60" s="60" t="n">
        <v>21032060</v>
      </c>
      <c r="D60" s="60" t="s">
        <v>46</v>
      </c>
      <c r="E60" s="60" t="s">
        <v>22</v>
      </c>
      <c r="F60" s="60" t="s">
        <v>235</v>
      </c>
      <c r="G60" s="60" t="n">
        <v>43.5</v>
      </c>
      <c r="H60" s="61" t="n">
        <v>719.98</v>
      </c>
      <c r="I60" s="61" t="n">
        <v>53.55</v>
      </c>
      <c r="J60" s="61" t="n">
        <f aca="false">H60*Resumo!$C$6</f>
        <v>0</v>
      </c>
      <c r="K60" s="61" t="n">
        <f aca="false">H60*Resumo!$C$7</f>
        <v>1.511958</v>
      </c>
      <c r="L60" s="61" t="n">
        <f aca="false">H60*Resumo!$C$8</f>
        <v>1.511958</v>
      </c>
      <c r="M60" s="61" t="n">
        <f aca="false">Resumo!$C$10*CEILING(G60/100,1)</f>
        <v>1.05</v>
      </c>
      <c r="N60" s="61" t="n">
        <f aca="false">Resumo!$C$9</f>
        <v>0</v>
      </c>
      <c r="O60" s="61" t="n">
        <f aca="false">Resumo!$C$13</f>
        <v>13.55</v>
      </c>
      <c r="P60" s="61" t="n">
        <f aca="false">Resumo!$C$14*CEILING(G60,1)</f>
        <v>19.8</v>
      </c>
      <c r="Q60" s="61" t="n">
        <f aca="false">SUM(I60:P60)*Resumo!$C$11</f>
        <v>0</v>
      </c>
      <c r="R60" s="61" t="n">
        <f aca="false">SUM(I60:Q60)</f>
        <v>90.973916</v>
      </c>
      <c r="S60" s="61" t="n">
        <f aca="false">R60/(1-Resumo!$C$5)</f>
        <v>103.37945</v>
      </c>
      <c r="T60" s="61" t="n">
        <v>93.97</v>
      </c>
      <c r="U60" s="61" t="n">
        <f aca="false">H60*Resumo!$B$6</f>
        <v>0.71998</v>
      </c>
      <c r="V60" s="61" t="n">
        <f aca="false">H60*Resumo!$B$7</f>
        <v>1.43996</v>
      </c>
      <c r="W60" s="61" t="n">
        <f aca="false">Resumo!$B$9</f>
        <v>1</v>
      </c>
      <c r="X60" s="61" t="n">
        <f aca="false">Resumo!$B$10*CEILING(G60/100,1)</f>
        <v>4.5</v>
      </c>
      <c r="Y60" s="61" t="n">
        <f aca="false">Resumo!$B$12*CEILING(G60,1)</f>
        <v>2.64</v>
      </c>
      <c r="Z60" s="61" t="n">
        <f aca="false">Resumo!$B$14*CEILING(G60,1)</f>
        <v>19.8</v>
      </c>
      <c r="AA60" s="61" t="n">
        <f aca="false">SUM(T60:Z60)</f>
        <v>124.06994</v>
      </c>
      <c r="AB60" s="61" t="n">
        <f aca="false">AA60/(1-Resumo!$B$5)</f>
        <v>140.988568181818</v>
      </c>
      <c r="AC60" s="61" t="n">
        <f aca="false">AB60-S60</f>
        <v>37.6091181818182</v>
      </c>
      <c r="AD60" s="62" t="n">
        <f aca="false">AB60/S60-1</f>
        <v>0.363796849197962</v>
      </c>
      <c r="AE60" s="60" t="str">
        <f aca="false">IF(AB60&lt;S60,"SIM","NÃO")</f>
        <v>NÃO</v>
      </c>
      <c r="AF60" s="60" t="n">
        <v>2</v>
      </c>
      <c r="AG60" s="60" t="n">
        <v>5</v>
      </c>
      <c r="AH60" s="60" t="s">
        <v>382</v>
      </c>
      <c r="AI60" s="61" t="n">
        <f aca="false">(T60*(1-Painel!$C$40)+U60+V60+Painel!$C$41+Painel!$C$42*CEILING(G60/100,1)+Painel!$C$43*CEILING(G60,1)+Z60)/(1-Resumo!$B$5)</f>
        <v>98.8293636363636</v>
      </c>
      <c r="AJ60" s="60" t="str">
        <f aca="false">IF(AI60&lt;S60,"SIM","NÃO")</f>
        <v>SIM</v>
      </c>
    </row>
    <row r="61" customFormat="false" ht="15" hidden="false" customHeight="false" outlineLevel="0" collapsed="false">
      <c r="A61" s="59" t="n">
        <v>46210.4490740741</v>
      </c>
      <c r="B61" s="60" t="s">
        <v>441</v>
      </c>
      <c r="C61" s="60" t="n">
        <v>22733010</v>
      </c>
      <c r="D61" s="60" t="s">
        <v>46</v>
      </c>
      <c r="E61" s="60" t="s">
        <v>22</v>
      </c>
      <c r="F61" s="60" t="s">
        <v>235</v>
      </c>
      <c r="G61" s="60" t="n">
        <v>49.6</v>
      </c>
      <c r="H61" s="61" t="n">
        <v>799.99</v>
      </c>
      <c r="I61" s="61" t="n">
        <v>53.55</v>
      </c>
      <c r="J61" s="61" t="n">
        <f aca="false">H61*Resumo!$C$6</f>
        <v>0</v>
      </c>
      <c r="K61" s="61" t="n">
        <f aca="false">H61*Resumo!$C$7</f>
        <v>1.679979</v>
      </c>
      <c r="L61" s="61" t="n">
        <f aca="false">H61*Resumo!$C$8</f>
        <v>1.679979</v>
      </c>
      <c r="M61" s="61" t="n">
        <f aca="false">Resumo!$C$10*CEILING(G61/100,1)</f>
        <v>1.05</v>
      </c>
      <c r="N61" s="61" t="n">
        <f aca="false">Resumo!$C$9</f>
        <v>0</v>
      </c>
      <c r="O61" s="61" t="n">
        <f aca="false">Resumo!$C$13</f>
        <v>13.55</v>
      </c>
      <c r="P61" s="61" t="n">
        <f aca="false">Resumo!$C$14*CEILING(G61,1)</f>
        <v>22.5</v>
      </c>
      <c r="Q61" s="61" t="n">
        <f aca="false">SUM(I61:P61)*Resumo!$C$11</f>
        <v>0</v>
      </c>
      <c r="R61" s="61" t="n">
        <f aca="false">SUM(I61:Q61)</f>
        <v>94.009958</v>
      </c>
      <c r="S61" s="61" t="n">
        <f aca="false">R61/(1-Resumo!$C$5)</f>
        <v>106.829497727273</v>
      </c>
      <c r="T61" s="61" t="n">
        <v>93.97</v>
      </c>
      <c r="U61" s="61" t="n">
        <f aca="false">H61*Resumo!$B$6</f>
        <v>0.79999</v>
      </c>
      <c r="V61" s="61" t="n">
        <f aca="false">H61*Resumo!$B$7</f>
        <v>1.59998</v>
      </c>
      <c r="W61" s="61" t="n">
        <f aca="false">Resumo!$B$9</f>
        <v>1</v>
      </c>
      <c r="X61" s="61" t="n">
        <f aca="false">Resumo!$B$10*CEILING(G61/100,1)</f>
        <v>4.5</v>
      </c>
      <c r="Y61" s="61" t="n">
        <f aca="false">Resumo!$B$12*CEILING(G61,1)</f>
        <v>3</v>
      </c>
      <c r="Z61" s="61" t="n">
        <f aca="false">Resumo!$B$14*CEILING(G61,1)</f>
        <v>22.5</v>
      </c>
      <c r="AA61" s="61" t="n">
        <f aca="false">SUM(T61:Z61)</f>
        <v>127.36997</v>
      </c>
      <c r="AB61" s="61" t="n">
        <f aca="false">AA61/(1-Resumo!$B$5)</f>
        <v>144.738602272727</v>
      </c>
      <c r="AC61" s="61" t="n">
        <f aca="false">AB61-S61</f>
        <v>37.9091045454545</v>
      </c>
      <c r="AD61" s="62" t="n">
        <f aca="false">AB61/S61-1</f>
        <v>0.35485615257907</v>
      </c>
      <c r="AE61" s="60" t="str">
        <f aca="false">IF(AB61&lt;S61,"SIM","NÃO")</f>
        <v>NÃO</v>
      </c>
      <c r="AF61" s="60" t="n">
        <v>2</v>
      </c>
      <c r="AG61" s="60" t="n">
        <v>5</v>
      </c>
      <c r="AH61" s="60" t="s">
        <v>382</v>
      </c>
      <c r="AI61" s="61" t="n">
        <f aca="false">(T61*(1-Painel!$C$40)+U61+V61+Painel!$C$41+Painel!$C$42*CEILING(G61/100,1)+Painel!$C$43*CEILING(G61,1)+Z61)/(1-Resumo!$B$5)</f>
        <v>102.170306818182</v>
      </c>
      <c r="AJ61" s="60" t="str">
        <f aca="false">IF(AI61&lt;S61,"SIM","NÃO")</f>
        <v>SIM</v>
      </c>
    </row>
    <row r="62" customFormat="false" ht="15" hidden="false" customHeight="false" outlineLevel="0" collapsed="false">
      <c r="A62" s="59" t="n">
        <v>46210.4503472222</v>
      </c>
      <c r="B62" s="60" t="s">
        <v>442</v>
      </c>
      <c r="C62" s="60" t="n">
        <v>20760020</v>
      </c>
      <c r="D62" s="60" t="s">
        <v>46</v>
      </c>
      <c r="E62" s="60" t="s">
        <v>22</v>
      </c>
      <c r="F62" s="60" t="s">
        <v>241</v>
      </c>
      <c r="G62" s="60" t="n">
        <v>124.2</v>
      </c>
      <c r="H62" s="61" t="n">
        <v>1599.99</v>
      </c>
      <c r="I62" s="61" t="n">
        <v>120.59</v>
      </c>
      <c r="J62" s="61" t="n">
        <f aca="false">H62*Resumo!$C$6</f>
        <v>0</v>
      </c>
      <c r="K62" s="61" t="n">
        <f aca="false">H62*Resumo!$C$7</f>
        <v>3.359979</v>
      </c>
      <c r="L62" s="61" t="n">
        <f aca="false">H62*Resumo!$C$8</f>
        <v>3.359979</v>
      </c>
      <c r="M62" s="61" t="n">
        <f aca="false">Resumo!$C$10*CEILING(G62/100,1)</f>
        <v>2.1</v>
      </c>
      <c r="N62" s="61" t="n">
        <f aca="false">Resumo!$C$9</f>
        <v>0</v>
      </c>
      <c r="O62" s="61" t="n">
        <f aca="false">Resumo!$C$13</f>
        <v>13.55</v>
      </c>
      <c r="P62" s="61" t="n">
        <f aca="false">Resumo!$C$14*CEILING(G62,1)</f>
        <v>56.25</v>
      </c>
      <c r="Q62" s="61" t="n">
        <f aca="false">SUM(I62:P62)*Resumo!$C$11</f>
        <v>0</v>
      </c>
      <c r="R62" s="61" t="n">
        <f aca="false">SUM(I62:Q62)</f>
        <v>199.209958</v>
      </c>
      <c r="S62" s="61" t="n">
        <f aca="false">R62/(1-Resumo!$C$5)</f>
        <v>226.374952272727</v>
      </c>
      <c r="T62" s="61" t="n">
        <v>239.25</v>
      </c>
      <c r="U62" s="61" t="n">
        <f aca="false">H62*Resumo!$B$6</f>
        <v>1.59999</v>
      </c>
      <c r="V62" s="61" t="n">
        <f aca="false">H62*Resumo!$B$7</f>
        <v>3.19998</v>
      </c>
      <c r="W62" s="61" t="n">
        <f aca="false">Resumo!$B$9</f>
        <v>1</v>
      </c>
      <c r="X62" s="61" t="n">
        <f aca="false">Resumo!$B$10*CEILING(G62/100,1)</f>
        <v>9</v>
      </c>
      <c r="Y62" s="61" t="n">
        <f aca="false">Resumo!$B$12*CEILING(G62,1)</f>
        <v>7.5</v>
      </c>
      <c r="Z62" s="61" t="n">
        <f aca="false">Resumo!$B$14*CEILING(G62,1)</f>
        <v>56.25</v>
      </c>
      <c r="AA62" s="61" t="n">
        <f aca="false">SUM(T62:Z62)</f>
        <v>317.79997</v>
      </c>
      <c r="AB62" s="61" t="n">
        <f aca="false">AA62/(1-Resumo!$B$5)</f>
        <v>361.136329545455</v>
      </c>
      <c r="AC62" s="61" t="n">
        <f aca="false">AB62-S62</f>
        <v>134.761377272727</v>
      </c>
      <c r="AD62" s="62" t="n">
        <f aca="false">AB62/S62-1</f>
        <v>0.59530162643777</v>
      </c>
      <c r="AE62" s="60" t="str">
        <f aca="false">IF(AB62&lt;S62,"SIM","NÃO")</f>
        <v>NÃO</v>
      </c>
      <c r="AF62" s="60" t="n">
        <v>2</v>
      </c>
      <c r="AG62" s="60" t="n">
        <v>5</v>
      </c>
      <c r="AH62" s="60" t="s">
        <v>382</v>
      </c>
      <c r="AI62" s="61" t="n">
        <f aca="false">(T62*(1-Painel!$C$40)+U62+V62+Painel!$C$41+Painel!$C$42*CEILING(G62/100,1)+Painel!$C$43*CEILING(G62,1)+Z62)/(1-Resumo!$B$5)</f>
        <v>255.053943181818</v>
      </c>
      <c r="AJ62" s="60" t="str">
        <f aca="false">IF(AI62&lt;S62,"SIM","NÃO")</f>
        <v>NÃO</v>
      </c>
    </row>
    <row r="63" customFormat="false" ht="15" hidden="false" customHeight="false" outlineLevel="0" collapsed="false">
      <c r="A63" s="59" t="n">
        <v>46210.4725231482</v>
      </c>
      <c r="B63" s="60" t="s">
        <v>443</v>
      </c>
      <c r="C63" s="60" t="n">
        <v>22795135</v>
      </c>
      <c r="D63" s="60" t="s">
        <v>46</v>
      </c>
      <c r="E63" s="60" t="s">
        <v>22</v>
      </c>
      <c r="F63" s="60" t="s">
        <v>237</v>
      </c>
      <c r="G63" s="60" t="n">
        <v>62.8</v>
      </c>
      <c r="H63" s="61" t="n">
        <v>754.99</v>
      </c>
      <c r="I63" s="61" t="n">
        <v>63.21</v>
      </c>
      <c r="J63" s="61" t="n">
        <f aca="false">H63*Resumo!$C$6</f>
        <v>0</v>
      </c>
      <c r="K63" s="61" t="n">
        <f aca="false">H63*Resumo!$C$7</f>
        <v>1.585479</v>
      </c>
      <c r="L63" s="61" t="n">
        <f aca="false">H63*Resumo!$C$8</f>
        <v>1.585479</v>
      </c>
      <c r="M63" s="61" t="n">
        <f aca="false">Resumo!$C$10*CEILING(G63/100,1)</f>
        <v>1.05</v>
      </c>
      <c r="N63" s="61" t="n">
        <f aca="false">Resumo!$C$9</f>
        <v>0</v>
      </c>
      <c r="O63" s="61" t="n">
        <f aca="false">Resumo!$C$13</f>
        <v>13.55</v>
      </c>
      <c r="P63" s="61" t="n">
        <f aca="false">Resumo!$C$14*CEILING(G63,1)</f>
        <v>28.35</v>
      </c>
      <c r="Q63" s="61" t="n">
        <f aca="false">SUM(I63:P63)*Resumo!$C$11</f>
        <v>0</v>
      </c>
      <c r="R63" s="61" t="n">
        <f aca="false">SUM(I63:Q63)</f>
        <v>109.330958</v>
      </c>
      <c r="S63" s="61" t="n">
        <f aca="false">R63/(1-Resumo!$C$5)</f>
        <v>124.239725</v>
      </c>
      <c r="T63" s="61" t="n">
        <v>131.02</v>
      </c>
      <c r="U63" s="61" t="n">
        <f aca="false">H63*Resumo!$B$6</f>
        <v>0.75499</v>
      </c>
      <c r="V63" s="61" t="n">
        <f aca="false">H63*Resumo!$B$7</f>
        <v>1.50998</v>
      </c>
      <c r="W63" s="61" t="n">
        <f aca="false">Resumo!$B$9</f>
        <v>1</v>
      </c>
      <c r="X63" s="61" t="n">
        <f aca="false">Resumo!$B$10*CEILING(G63/100,1)</f>
        <v>4.5</v>
      </c>
      <c r="Y63" s="61" t="n">
        <f aca="false">Resumo!$B$12*CEILING(G63,1)</f>
        <v>3.78</v>
      </c>
      <c r="Z63" s="61" t="n">
        <f aca="false">Resumo!$B$14*CEILING(G63,1)</f>
        <v>28.35</v>
      </c>
      <c r="AA63" s="61" t="n">
        <f aca="false">SUM(T63:Z63)</f>
        <v>170.91497</v>
      </c>
      <c r="AB63" s="61" t="n">
        <f aca="false">AA63/(1-Resumo!$B$5)</f>
        <v>194.221556818182</v>
      </c>
      <c r="AC63" s="61" t="n">
        <f aca="false">AB63-S63</f>
        <v>69.9818318181818</v>
      </c>
      <c r="AD63" s="62" t="n">
        <f aca="false">AB63/S63-1</f>
        <v>0.563280640054393</v>
      </c>
      <c r="AE63" s="60" t="str">
        <f aca="false">IF(AB63&lt;S63,"SIM","NÃO")</f>
        <v>NÃO</v>
      </c>
      <c r="AF63" s="60" t="n">
        <v>2</v>
      </c>
      <c r="AG63" s="60" t="n">
        <v>5</v>
      </c>
      <c r="AH63" s="60" t="s">
        <v>382</v>
      </c>
      <c r="AI63" s="61" t="n">
        <f aca="false">(T63*(1-Painel!$C$40)+U63+V63+Painel!$C$41+Painel!$C$42*CEILING(G63/100,1)+Painel!$C$43*CEILING(G63,1)+Z63)/(1-Resumo!$B$5)</f>
        <v>136.873147727273</v>
      </c>
      <c r="AJ63" s="60" t="str">
        <f aca="false">IF(AI63&lt;S63,"SIM","NÃO")</f>
        <v>NÃO</v>
      </c>
    </row>
    <row r="64" customFormat="false" ht="15" hidden="false" customHeight="false" outlineLevel="0" collapsed="false">
      <c r="A64" s="59" t="n">
        <v>46210.4872569444</v>
      </c>
      <c r="B64" s="60" t="s">
        <v>383</v>
      </c>
      <c r="C64" s="60" t="n">
        <v>21032000</v>
      </c>
      <c r="D64" s="60" t="s">
        <v>46</v>
      </c>
      <c r="E64" s="60" t="s">
        <v>22</v>
      </c>
      <c r="F64" s="60" t="s">
        <v>233</v>
      </c>
      <c r="G64" s="60" t="n">
        <v>27.4</v>
      </c>
      <c r="H64" s="61" t="n">
        <v>324.99</v>
      </c>
      <c r="I64" s="61" t="n">
        <v>42.11</v>
      </c>
      <c r="J64" s="61" t="n">
        <f aca="false">H64*Resumo!$C$6</f>
        <v>0</v>
      </c>
      <c r="K64" s="61" t="n">
        <f aca="false">H64*Resumo!$C$7</f>
        <v>0.682479</v>
      </c>
      <c r="L64" s="61" t="n">
        <f aca="false">H64*Resumo!$C$8</f>
        <v>0.682479</v>
      </c>
      <c r="M64" s="61" t="n">
        <f aca="false">Resumo!$C$10*CEILING(G64/100,1)</f>
        <v>1.05</v>
      </c>
      <c r="N64" s="61" t="n">
        <f aca="false">Resumo!$C$9</f>
        <v>0</v>
      </c>
      <c r="O64" s="61" t="n">
        <f aca="false">Resumo!$C$13</f>
        <v>13.55</v>
      </c>
      <c r="P64" s="61" t="n">
        <f aca="false">Resumo!$C$14*CEILING(G64,1)</f>
        <v>12.6</v>
      </c>
      <c r="Q64" s="61" t="n">
        <f aca="false">SUM(I64:P64)*Resumo!$C$11</f>
        <v>0</v>
      </c>
      <c r="R64" s="61" t="n">
        <f aca="false">SUM(I64:Q64)</f>
        <v>70.674958</v>
      </c>
      <c r="S64" s="61" t="n">
        <f aca="false">R64/(1-Resumo!$C$5)</f>
        <v>80.3124522727273</v>
      </c>
      <c r="T64" s="61" t="n">
        <v>82.21</v>
      </c>
      <c r="U64" s="61" t="n">
        <f aca="false">H64*Resumo!$B$6</f>
        <v>0.32499</v>
      </c>
      <c r="V64" s="61" t="n">
        <f aca="false">H64*Resumo!$B$7</f>
        <v>0.64998</v>
      </c>
      <c r="W64" s="61" t="n">
        <f aca="false">Resumo!$B$9</f>
        <v>1</v>
      </c>
      <c r="X64" s="61" t="n">
        <f aca="false">Resumo!$B$10*CEILING(G64/100,1)</f>
        <v>4.5</v>
      </c>
      <c r="Y64" s="61" t="n">
        <f aca="false">Resumo!$B$12*CEILING(G64,1)</f>
        <v>1.68</v>
      </c>
      <c r="Z64" s="61" t="n">
        <f aca="false">Resumo!$B$14*CEILING(G64,1)</f>
        <v>12.6</v>
      </c>
      <c r="AA64" s="61" t="n">
        <f aca="false">SUM(T64:Z64)</f>
        <v>102.96497</v>
      </c>
      <c r="AB64" s="61" t="n">
        <f aca="false">AA64/(1-Resumo!$B$5)</f>
        <v>117.005647727273</v>
      </c>
      <c r="AC64" s="61" t="n">
        <f aca="false">AB64-S64</f>
        <v>36.6931954545454</v>
      </c>
      <c r="AD64" s="62" t="n">
        <f aca="false">AB64/S64-1</f>
        <v>0.456880526197129</v>
      </c>
      <c r="AE64" s="60" t="str">
        <f aca="false">IF(AB64&lt;S64,"SIM","NÃO")</f>
        <v>NÃO</v>
      </c>
      <c r="AF64" s="60" t="n">
        <v>2</v>
      </c>
      <c r="AG64" s="60" t="n">
        <v>5</v>
      </c>
      <c r="AH64" s="60" t="s">
        <v>382</v>
      </c>
      <c r="AI64" s="61" t="n">
        <f aca="false">(T64*(1-Painel!$C$40)+U64+V64+Painel!$C$41+Painel!$C$42*CEILING(G64/100,1)+Painel!$C$43*CEILING(G64,1)+Z64)/(1-Resumo!$B$5)</f>
        <v>80.3473522727273</v>
      </c>
      <c r="AJ64" s="60" t="str">
        <f aca="false">IF(AI64&lt;S64,"SIM","NÃO")</f>
        <v>NÃO</v>
      </c>
    </row>
    <row r="65" customFormat="false" ht="15" hidden="false" customHeight="false" outlineLevel="0" collapsed="false">
      <c r="A65" s="59" t="n">
        <v>46210.5409259259</v>
      </c>
      <c r="B65" s="60" t="s">
        <v>444</v>
      </c>
      <c r="C65" s="60" t="n">
        <v>21715195</v>
      </c>
      <c r="D65" s="60" t="s">
        <v>46</v>
      </c>
      <c r="E65" s="60" t="s">
        <v>22</v>
      </c>
      <c r="F65" s="60" t="s">
        <v>234</v>
      </c>
      <c r="G65" s="60" t="n">
        <v>38.6</v>
      </c>
      <c r="H65" s="61" t="n">
        <v>533.99</v>
      </c>
      <c r="I65" s="61" t="n">
        <v>48.35</v>
      </c>
      <c r="J65" s="61" t="n">
        <f aca="false">H65*Resumo!$C$6</f>
        <v>0</v>
      </c>
      <c r="K65" s="61" t="n">
        <f aca="false">H65*Resumo!$C$7</f>
        <v>1.121379</v>
      </c>
      <c r="L65" s="61" t="n">
        <f aca="false">H65*Resumo!$C$8</f>
        <v>1.121379</v>
      </c>
      <c r="M65" s="61" t="n">
        <f aca="false">Resumo!$C$10*CEILING(G65/100,1)</f>
        <v>1.05</v>
      </c>
      <c r="N65" s="61" t="n">
        <f aca="false">Resumo!$C$9</f>
        <v>0</v>
      </c>
      <c r="O65" s="61" t="n">
        <f aca="false">Resumo!$C$13</f>
        <v>13.55</v>
      </c>
      <c r="P65" s="61" t="n">
        <f aca="false">Resumo!$C$14*CEILING(G65,1)</f>
        <v>17.55</v>
      </c>
      <c r="Q65" s="61" t="n">
        <f aca="false">SUM(I65:P65)*Resumo!$C$11</f>
        <v>0</v>
      </c>
      <c r="R65" s="61" t="n">
        <f aca="false">SUM(I65:Q65)</f>
        <v>82.742758</v>
      </c>
      <c r="S65" s="61" t="n">
        <f aca="false">R65/(1-Resumo!$C$5)</f>
        <v>94.0258613636364</v>
      </c>
      <c r="T65" s="61" t="n">
        <v>93.97</v>
      </c>
      <c r="U65" s="61" t="n">
        <f aca="false">H65*Resumo!$B$6</f>
        <v>0.53399</v>
      </c>
      <c r="V65" s="61" t="n">
        <f aca="false">H65*Resumo!$B$7</f>
        <v>1.06798</v>
      </c>
      <c r="W65" s="61" t="n">
        <f aca="false">Resumo!$B$9</f>
        <v>1</v>
      </c>
      <c r="X65" s="61" t="n">
        <f aca="false">Resumo!$B$10*CEILING(G65/100,1)</f>
        <v>4.5</v>
      </c>
      <c r="Y65" s="61" t="n">
        <f aca="false">Resumo!$B$12*CEILING(G65,1)</f>
        <v>2.34</v>
      </c>
      <c r="Z65" s="61" t="n">
        <f aca="false">Resumo!$B$14*CEILING(G65,1)</f>
        <v>17.55</v>
      </c>
      <c r="AA65" s="61" t="n">
        <f aca="false">SUM(T65:Z65)</f>
        <v>120.96197</v>
      </c>
      <c r="AB65" s="61" t="n">
        <f aca="false">AA65/(1-Resumo!$B$5)</f>
        <v>137.456784090909</v>
      </c>
      <c r="AC65" s="61" t="n">
        <f aca="false">AB65-S65</f>
        <v>43.4309227272727</v>
      </c>
      <c r="AD65" s="62" t="n">
        <f aca="false">AB65/S65-1</f>
        <v>0.461904013400182</v>
      </c>
      <c r="AE65" s="60" t="str">
        <f aca="false">IF(AB65&lt;S65,"SIM","NÃO")</f>
        <v>NÃO</v>
      </c>
      <c r="AF65" s="60" t="n">
        <v>2</v>
      </c>
      <c r="AG65" s="60" t="n">
        <v>5</v>
      </c>
      <c r="AH65" s="60" t="s">
        <v>382</v>
      </c>
      <c r="AI65" s="61" t="n">
        <f aca="false">(T65*(1-Painel!$C$40)+U65+V65+Painel!$C$41+Painel!$C$42*CEILING(G65/100,1)+Painel!$C$43*CEILING(G65,1)+Z65)/(1-Resumo!$B$5)</f>
        <v>95.6384886363636</v>
      </c>
      <c r="AJ65" s="60" t="str">
        <f aca="false">IF(AI65&lt;S65,"SIM","NÃO")</f>
        <v>NÃO</v>
      </c>
    </row>
    <row r="66" customFormat="false" ht="15" hidden="false" customHeight="false" outlineLevel="0" collapsed="false">
      <c r="A66" s="59" t="n">
        <v>46210.5655439815</v>
      </c>
      <c r="B66" s="60" t="s">
        <v>445</v>
      </c>
      <c r="C66" s="60" t="n">
        <v>20211220</v>
      </c>
      <c r="D66" s="60" t="s">
        <v>46</v>
      </c>
      <c r="E66" s="60" t="s">
        <v>22</v>
      </c>
      <c r="F66" s="60" t="s">
        <v>241</v>
      </c>
      <c r="G66" s="60" t="n">
        <v>124.2</v>
      </c>
      <c r="H66" s="61" t="n">
        <v>1589.99</v>
      </c>
      <c r="I66" s="61" t="n">
        <v>120.59</v>
      </c>
      <c r="J66" s="61" t="n">
        <f aca="false">H66*Resumo!$C$6</f>
        <v>0</v>
      </c>
      <c r="K66" s="61" t="n">
        <f aca="false">H66*Resumo!$C$7</f>
        <v>3.338979</v>
      </c>
      <c r="L66" s="61" t="n">
        <f aca="false">H66*Resumo!$C$8</f>
        <v>3.338979</v>
      </c>
      <c r="M66" s="61" t="n">
        <f aca="false">Resumo!$C$10*CEILING(G66/100,1)</f>
        <v>2.1</v>
      </c>
      <c r="N66" s="61" t="n">
        <f aca="false">Resumo!$C$9</f>
        <v>0</v>
      </c>
      <c r="O66" s="61" t="n">
        <f aca="false">Resumo!$C$13</f>
        <v>13.55</v>
      </c>
      <c r="P66" s="61" t="n">
        <f aca="false">Resumo!$C$14*CEILING(G66,1)</f>
        <v>56.25</v>
      </c>
      <c r="Q66" s="61" t="n">
        <f aca="false">SUM(I66:P66)*Resumo!$C$11</f>
        <v>0</v>
      </c>
      <c r="R66" s="61" t="n">
        <f aca="false">SUM(I66:Q66)</f>
        <v>199.167958</v>
      </c>
      <c r="S66" s="61" t="n">
        <f aca="false">R66/(1-Resumo!$C$5)</f>
        <v>226.327225</v>
      </c>
      <c r="T66" s="61" t="n">
        <v>239.25</v>
      </c>
      <c r="U66" s="61" t="n">
        <f aca="false">H66*Resumo!$B$6</f>
        <v>1.58999</v>
      </c>
      <c r="V66" s="61" t="n">
        <f aca="false">H66*Resumo!$B$7</f>
        <v>3.17998</v>
      </c>
      <c r="W66" s="61" t="n">
        <f aca="false">Resumo!$B$9</f>
        <v>1</v>
      </c>
      <c r="X66" s="61" t="n">
        <f aca="false">Resumo!$B$10*CEILING(G66/100,1)</f>
        <v>9</v>
      </c>
      <c r="Y66" s="61" t="n">
        <f aca="false">Resumo!$B$12*CEILING(G66,1)</f>
        <v>7.5</v>
      </c>
      <c r="Z66" s="61" t="n">
        <f aca="false">Resumo!$B$14*CEILING(G66,1)</f>
        <v>56.25</v>
      </c>
      <c r="AA66" s="61" t="n">
        <f aca="false">SUM(T66:Z66)</f>
        <v>317.76997</v>
      </c>
      <c r="AB66" s="61" t="n">
        <f aca="false">AA66/(1-Resumo!$B$5)</f>
        <v>361.102238636364</v>
      </c>
      <c r="AC66" s="61" t="n">
        <f aca="false">AB66-S66</f>
        <v>134.775013636364</v>
      </c>
      <c r="AD66" s="62" t="n">
        <f aca="false">AB66/S66-1</f>
        <v>0.595487412689143</v>
      </c>
      <c r="AE66" s="60" t="str">
        <f aca="false">IF(AB66&lt;S66,"SIM","NÃO")</f>
        <v>NÃO</v>
      </c>
      <c r="AF66" s="60" t="n">
        <v>2</v>
      </c>
      <c r="AG66" s="60" t="n">
        <v>5</v>
      </c>
      <c r="AH66" s="60" t="s">
        <v>382</v>
      </c>
      <c r="AI66" s="61" t="n">
        <f aca="false">(T66*(1-Painel!$C$40)+U66+V66+Painel!$C$41+Painel!$C$42*CEILING(G66/100,1)+Painel!$C$43*CEILING(G66,1)+Z66)/(1-Resumo!$B$5)</f>
        <v>255.019852272727</v>
      </c>
      <c r="AJ66" s="60" t="str">
        <f aca="false">IF(AI66&lt;S66,"SIM","NÃO")</f>
        <v>NÃO</v>
      </c>
    </row>
    <row r="67" customFormat="false" ht="15" hidden="false" customHeight="false" outlineLevel="0" collapsed="false">
      <c r="A67" s="59" t="n">
        <v>46210.6278819444</v>
      </c>
      <c r="B67" s="60" t="s">
        <v>446</v>
      </c>
      <c r="C67" s="60" t="n">
        <v>24110310</v>
      </c>
      <c r="D67" s="60" t="s">
        <v>50</v>
      </c>
      <c r="E67" s="60" t="s">
        <v>23</v>
      </c>
      <c r="F67" s="60" t="s">
        <v>235</v>
      </c>
      <c r="G67" s="60" t="n">
        <v>46.8</v>
      </c>
      <c r="H67" s="61" t="n">
        <v>506.99</v>
      </c>
      <c r="I67" s="61" t="n">
        <v>65.36</v>
      </c>
      <c r="J67" s="61" t="n">
        <f aca="false">H67*Resumo!$C$6</f>
        <v>0</v>
      </c>
      <c r="K67" s="61" t="n">
        <f aca="false">H67*Resumo!$C$7</f>
        <v>1.064679</v>
      </c>
      <c r="L67" s="61" t="n">
        <f aca="false">H67*Resumo!$C$8</f>
        <v>1.064679</v>
      </c>
      <c r="M67" s="61" t="n">
        <f aca="false">Resumo!$C$10*CEILING(G67/100,1)</f>
        <v>1.05</v>
      </c>
      <c r="N67" s="61" t="n">
        <f aca="false">Resumo!$C$9</f>
        <v>0</v>
      </c>
      <c r="O67" s="61" t="n">
        <f aca="false">Resumo!$C$13</f>
        <v>13.55</v>
      </c>
      <c r="P67" s="61" t="n">
        <f aca="false">Resumo!$C$14*CEILING(G67,1)</f>
        <v>21.15</v>
      </c>
      <c r="Q67" s="61" t="n">
        <f aca="false">SUM(I67:P67)*Resumo!$C$11</f>
        <v>0</v>
      </c>
      <c r="R67" s="61" t="n">
        <f aca="false">SUM(I67:Q67)</f>
        <v>103.239358</v>
      </c>
      <c r="S67" s="61" t="n">
        <f aca="false">R67/(1-Resumo!$C$5)</f>
        <v>117.317452272727</v>
      </c>
      <c r="T67" s="61" t="n">
        <v>114.95</v>
      </c>
      <c r="U67" s="61" t="n">
        <f aca="false">H67*Resumo!$B$6</f>
        <v>0.50699</v>
      </c>
      <c r="V67" s="61" t="n">
        <f aca="false">H67*Resumo!$B$7</f>
        <v>1.01398</v>
      </c>
      <c r="W67" s="61" t="n">
        <f aca="false">Resumo!$B$9</f>
        <v>1</v>
      </c>
      <c r="X67" s="61" t="n">
        <f aca="false">Resumo!$B$10*CEILING(G67/100,1)</f>
        <v>4.5</v>
      </c>
      <c r="Y67" s="61" t="n">
        <f aca="false">Resumo!$B$12*CEILING(G67,1)</f>
        <v>2.82</v>
      </c>
      <c r="Z67" s="61" t="n">
        <f aca="false">Resumo!$B$14*CEILING(G67,1)</f>
        <v>21.15</v>
      </c>
      <c r="AA67" s="61" t="n">
        <f aca="false">SUM(T67:Z67)</f>
        <v>145.94097</v>
      </c>
      <c r="AB67" s="61" t="n">
        <f aca="false">AA67/(1-Resumo!$B$5)</f>
        <v>165.842011363636</v>
      </c>
      <c r="AC67" s="61" t="n">
        <f aca="false">AB67-S67</f>
        <v>48.5245590909091</v>
      </c>
      <c r="AD67" s="62" t="n">
        <f aca="false">AB67/S67-1</f>
        <v>0.413617566277388</v>
      </c>
      <c r="AE67" s="60" t="str">
        <f aca="false">IF(AB67&lt;S67,"SIM","NÃO")</f>
        <v>NÃO</v>
      </c>
      <c r="AF67" s="60" t="n">
        <v>2</v>
      </c>
      <c r="AG67" s="60" t="n">
        <v>7</v>
      </c>
      <c r="AH67" s="60" t="s">
        <v>382</v>
      </c>
      <c r="AI67" s="61" t="n">
        <f aca="false">(T67*(1-Painel!$C$40)+U67+V67+Painel!$C$41+Painel!$C$42*CEILING(G67/100,1)+Painel!$C$43*CEILING(G67,1)+Z67)/(1-Resumo!$B$5)</f>
        <v>115.610761363636</v>
      </c>
      <c r="AJ67" s="60" t="str">
        <f aca="false">IF(AI67&lt;S67,"SIM","NÃO")</f>
        <v>SIM</v>
      </c>
    </row>
    <row r="68" customFormat="false" ht="15" hidden="false" customHeight="false" outlineLevel="0" collapsed="false">
      <c r="A68" s="59" t="n">
        <v>46210.7418981482</v>
      </c>
      <c r="B68" s="60" t="s">
        <v>447</v>
      </c>
      <c r="C68" s="60" t="n">
        <v>28680040</v>
      </c>
      <c r="D68" s="60" t="s">
        <v>329</v>
      </c>
      <c r="E68" s="60" t="s">
        <v>24</v>
      </c>
      <c r="F68" s="60" t="s">
        <v>239</v>
      </c>
      <c r="G68" s="60" t="n">
        <v>97.5</v>
      </c>
      <c r="H68" s="61" t="n">
        <v>1259.98</v>
      </c>
      <c r="I68" s="61" t="n">
        <v>109.63</v>
      </c>
      <c r="J68" s="61" t="n">
        <f aca="false">H68*Resumo!$C$6</f>
        <v>0</v>
      </c>
      <c r="K68" s="61" t="n">
        <f aca="false">H68*Resumo!$C$7</f>
        <v>2.645958</v>
      </c>
      <c r="L68" s="61" t="n">
        <f aca="false">H68*Resumo!$C$8</f>
        <v>2.645958</v>
      </c>
      <c r="M68" s="61" t="n">
        <f aca="false">Resumo!$C$10*CEILING(G68/100,1)</f>
        <v>1.05</v>
      </c>
      <c r="N68" s="61" t="n">
        <f aca="false">Resumo!$C$9</f>
        <v>0</v>
      </c>
      <c r="O68" s="61" t="n">
        <f aca="false">Resumo!$C$13</f>
        <v>13.55</v>
      </c>
      <c r="P68" s="61" t="n">
        <f aca="false">Resumo!$C$14*CEILING(G68,1)</f>
        <v>44.1</v>
      </c>
      <c r="Q68" s="61" t="n">
        <f aca="false">SUM(I68:P68)*Resumo!$C$11</f>
        <v>0</v>
      </c>
      <c r="R68" s="61" t="n">
        <f aca="false">SUM(I68:Q68)</f>
        <v>173.621916</v>
      </c>
      <c r="S68" s="61" t="n">
        <f aca="false">R68/(1-Resumo!$C$5)</f>
        <v>197.297631818182</v>
      </c>
      <c r="T68" s="61" t="n">
        <v>197.35</v>
      </c>
      <c r="U68" s="61" t="n">
        <f aca="false">H68*Resumo!$B$6</f>
        <v>1.25998</v>
      </c>
      <c r="V68" s="61" t="n">
        <f aca="false">H68*Resumo!$B$7</f>
        <v>2.51996</v>
      </c>
      <c r="W68" s="61" t="n">
        <f aca="false">Resumo!$B$9</f>
        <v>1</v>
      </c>
      <c r="X68" s="61" t="n">
        <f aca="false">Resumo!$B$10*CEILING(G68/100,1)</f>
        <v>4.5</v>
      </c>
      <c r="Y68" s="61" t="n">
        <f aca="false">Resumo!$B$12*CEILING(G68,1)</f>
        <v>5.88</v>
      </c>
      <c r="Z68" s="61" t="n">
        <f aca="false">Resumo!$B$14*CEILING(G68,1)</f>
        <v>44.1</v>
      </c>
      <c r="AA68" s="61" t="n">
        <f aca="false">SUM(T68:Z68)</f>
        <v>256.60994</v>
      </c>
      <c r="AB68" s="61" t="n">
        <f aca="false">AA68/(1-Resumo!$B$5)</f>
        <v>291.602204545455</v>
      </c>
      <c r="AC68" s="61" t="n">
        <f aca="false">AB68-S68</f>
        <v>94.3045727272727</v>
      </c>
      <c r="AD68" s="62" t="n">
        <f aca="false">AB68/S68-1</f>
        <v>0.477981270521171</v>
      </c>
      <c r="AE68" s="60" t="str">
        <f aca="false">IF(AB68&lt;S68,"SIM","NÃO")</f>
        <v>NÃO</v>
      </c>
      <c r="AF68" s="60" t="n">
        <v>13</v>
      </c>
      <c r="AG68" s="60" t="n">
        <v>10</v>
      </c>
      <c r="AH68" s="60" t="s">
        <v>385</v>
      </c>
      <c r="AI68" s="61" t="n">
        <f aca="false">(T68*(1-Painel!$C$40)+U68+V68+Painel!$C$41+Painel!$C$42*CEILING(G68/100,1)+Painel!$C$43*CEILING(G68,1)+Z68)/(1-Resumo!$B$5)</f>
        <v>206.993681818182</v>
      </c>
      <c r="AJ68" s="60" t="str">
        <f aca="false">IF(AI68&lt;S68,"SIM","NÃO")</f>
        <v>NÃO</v>
      </c>
    </row>
    <row r="69" customFormat="false" ht="15" hidden="false" customHeight="false" outlineLevel="0" collapsed="false">
      <c r="A69" s="59" t="n">
        <v>46210.7628472222</v>
      </c>
      <c r="B69" s="60" t="s">
        <v>448</v>
      </c>
      <c r="C69" s="60" t="n">
        <v>25561211</v>
      </c>
      <c r="D69" s="60" t="s">
        <v>216</v>
      </c>
      <c r="E69" s="60" t="s">
        <v>23</v>
      </c>
      <c r="F69" s="60" t="s">
        <v>235</v>
      </c>
      <c r="G69" s="60" t="n">
        <v>48.53</v>
      </c>
      <c r="H69" s="61" t="n">
        <v>529.99</v>
      </c>
      <c r="I69" s="61" t="n">
        <v>65.36</v>
      </c>
      <c r="J69" s="61" t="n">
        <f aca="false">H69*Resumo!$C$6</f>
        <v>0</v>
      </c>
      <c r="K69" s="61" t="n">
        <f aca="false">H69*Resumo!$C$7</f>
        <v>1.112979</v>
      </c>
      <c r="L69" s="61" t="n">
        <f aca="false">H69*Resumo!$C$8</f>
        <v>1.112979</v>
      </c>
      <c r="M69" s="61" t="n">
        <f aca="false">Resumo!$C$10*CEILING(G69/100,1)</f>
        <v>1.05</v>
      </c>
      <c r="N69" s="61" t="n">
        <f aca="false">Resumo!$C$9</f>
        <v>0</v>
      </c>
      <c r="O69" s="61" t="n">
        <f aca="false">Resumo!$C$13</f>
        <v>13.55</v>
      </c>
      <c r="P69" s="61" t="n">
        <f aca="false">Resumo!$C$14*CEILING(G69,1)</f>
        <v>22.05</v>
      </c>
      <c r="Q69" s="61" t="n">
        <f aca="false">SUM(I69:P69)*Resumo!$C$11</f>
        <v>0</v>
      </c>
      <c r="R69" s="61" t="n">
        <f aca="false">SUM(I69:Q69)</f>
        <v>104.235958</v>
      </c>
      <c r="S69" s="61" t="n">
        <f aca="false">R69/(1-Resumo!$C$5)</f>
        <v>118.449952272727</v>
      </c>
      <c r="T69" s="61" t="n">
        <v>93.97</v>
      </c>
      <c r="U69" s="61" t="n">
        <f aca="false">H69*Resumo!$B$6</f>
        <v>0.52999</v>
      </c>
      <c r="V69" s="61" t="n">
        <f aca="false">H69*Resumo!$B$7</f>
        <v>1.05998</v>
      </c>
      <c r="W69" s="61" t="n">
        <f aca="false">Resumo!$B$9</f>
        <v>1</v>
      </c>
      <c r="X69" s="61" t="n">
        <f aca="false">Resumo!$B$10*CEILING(G69/100,1)</f>
        <v>4.5</v>
      </c>
      <c r="Y69" s="61" t="n">
        <f aca="false">Resumo!$B$12*CEILING(G69,1)</f>
        <v>2.94</v>
      </c>
      <c r="Z69" s="61" t="n">
        <f aca="false">Resumo!$B$14*CEILING(G69,1)</f>
        <v>22.05</v>
      </c>
      <c r="AA69" s="61" t="n">
        <f aca="false">SUM(T69:Z69)</f>
        <v>126.04997</v>
      </c>
      <c r="AB69" s="61" t="n">
        <f aca="false">AA69/(1-Resumo!$B$5)</f>
        <v>143.238602272727</v>
      </c>
      <c r="AC69" s="61" t="n">
        <f aca="false">AB69-S69</f>
        <v>24.78865</v>
      </c>
      <c r="AD69" s="62" t="n">
        <f aca="false">AB69/S69-1</f>
        <v>0.209275305936172</v>
      </c>
      <c r="AE69" s="60" t="str">
        <f aca="false">IF(AB69&lt;S69,"SIM","NÃO")</f>
        <v>NÃO</v>
      </c>
      <c r="AF69" s="60" t="n">
        <v>2</v>
      </c>
      <c r="AG69" s="60" t="n">
        <v>5</v>
      </c>
      <c r="AH69" s="60" t="s">
        <v>382</v>
      </c>
      <c r="AI69" s="61" t="n">
        <f aca="false">(T69*(1-Painel!$C$40)+U69+V69+Painel!$C$41+Painel!$C$42*CEILING(G69/100,1)+Painel!$C$43*CEILING(G69,1)+Z69)/(1-Resumo!$B$5)</f>
        <v>100.738488636364</v>
      </c>
      <c r="AJ69" s="60" t="str">
        <f aca="false">IF(AI69&lt;S69,"SIM","NÃO")</f>
        <v>SIM</v>
      </c>
    </row>
    <row r="70" customFormat="false" ht="15" hidden="false" customHeight="false" outlineLevel="0" collapsed="false">
      <c r="A70" s="59" t="n">
        <v>46210.815462963</v>
      </c>
      <c r="B70" s="60" t="s">
        <v>449</v>
      </c>
      <c r="C70" s="60" t="n">
        <v>25846220</v>
      </c>
      <c r="D70" s="60" t="s">
        <v>275</v>
      </c>
      <c r="E70" s="60" t="s">
        <v>24</v>
      </c>
      <c r="F70" s="60" t="s">
        <v>237</v>
      </c>
      <c r="G70" s="60" t="n">
        <v>63.9</v>
      </c>
      <c r="H70" s="61" t="n">
        <v>735.99</v>
      </c>
      <c r="I70" s="61" t="n">
        <v>90.2</v>
      </c>
      <c r="J70" s="61" t="n">
        <f aca="false">H70*Resumo!$C$6</f>
        <v>0</v>
      </c>
      <c r="K70" s="61" t="n">
        <f aca="false">H70*Resumo!$C$7</f>
        <v>1.545579</v>
      </c>
      <c r="L70" s="61" t="n">
        <f aca="false">H70*Resumo!$C$8</f>
        <v>1.545579</v>
      </c>
      <c r="M70" s="61" t="n">
        <f aca="false">Resumo!$C$10*CEILING(G70/100,1)</f>
        <v>1.05</v>
      </c>
      <c r="N70" s="61" t="n">
        <f aca="false">Resumo!$C$9</f>
        <v>0</v>
      </c>
      <c r="O70" s="61" t="n">
        <f aca="false">Resumo!$C$13</f>
        <v>13.55</v>
      </c>
      <c r="P70" s="61" t="n">
        <f aca="false">Resumo!$C$14*CEILING(G70,1)</f>
        <v>28.8</v>
      </c>
      <c r="Q70" s="61" t="n">
        <f aca="false">SUM(I70:P70)*Resumo!$C$11</f>
        <v>0</v>
      </c>
      <c r="R70" s="61" t="n">
        <f aca="false">SUM(I70:Q70)</f>
        <v>136.691158</v>
      </c>
      <c r="S70" s="61" t="n">
        <f aca="false">R70/(1-Resumo!$C$5)</f>
        <v>155.330861363636</v>
      </c>
      <c r="T70" s="61" t="n">
        <v>166.05</v>
      </c>
      <c r="U70" s="61" t="n">
        <f aca="false">H70*Resumo!$B$6</f>
        <v>0.73599</v>
      </c>
      <c r="V70" s="61" t="n">
        <f aca="false">H70*Resumo!$B$7</f>
        <v>1.47198</v>
      </c>
      <c r="W70" s="61" t="n">
        <f aca="false">Resumo!$B$9</f>
        <v>1</v>
      </c>
      <c r="X70" s="61" t="n">
        <f aca="false">Resumo!$B$10*CEILING(G70/100,1)</f>
        <v>4.5</v>
      </c>
      <c r="Y70" s="61" t="n">
        <f aca="false">Resumo!$B$12*CEILING(G70,1)</f>
        <v>3.84</v>
      </c>
      <c r="Z70" s="61" t="n">
        <f aca="false">Resumo!$B$14*CEILING(G70,1)</f>
        <v>28.8</v>
      </c>
      <c r="AA70" s="61" t="n">
        <f aca="false">SUM(T70:Z70)</f>
        <v>206.39797</v>
      </c>
      <c r="AB70" s="61" t="n">
        <f aca="false">AA70/(1-Resumo!$B$5)</f>
        <v>234.543147727273</v>
      </c>
      <c r="AC70" s="61" t="n">
        <f aca="false">AB70-S70</f>
        <v>79.2122863636364</v>
      </c>
      <c r="AD70" s="62" t="n">
        <f aca="false">AB70/S70-1</f>
        <v>0.509958456859368</v>
      </c>
      <c r="AE70" s="60" t="str">
        <f aca="false">IF(AB70&lt;S70,"SIM","NÃO")</f>
        <v>NÃO</v>
      </c>
      <c r="AF70" s="60" t="n">
        <v>13</v>
      </c>
      <c r="AG70" s="60" t="n">
        <v>8</v>
      </c>
      <c r="AH70" s="60" t="s">
        <v>385</v>
      </c>
      <c r="AI70" s="61" t="n">
        <f aca="false">(T70*(1-Painel!$C$40)+U70+V70+Painel!$C$41+Painel!$C$42*CEILING(G70/100,1)+Painel!$C$43*CEILING(G70,1)+Z70)/(1-Resumo!$B$5)</f>
        <v>163.990306818182</v>
      </c>
      <c r="AJ70" s="60" t="str">
        <f aca="false">IF(AI70&lt;S70,"SIM","NÃO")</f>
        <v>NÃO</v>
      </c>
    </row>
    <row r="71" customFormat="false" ht="15" hidden="false" customHeight="false" outlineLevel="0" collapsed="false">
      <c r="A71" s="59" t="n">
        <v>46210.8305439815</v>
      </c>
      <c r="B71" s="60" t="s">
        <v>450</v>
      </c>
      <c r="C71" s="60" t="n">
        <v>21060090</v>
      </c>
      <c r="D71" s="60" t="s">
        <v>46</v>
      </c>
      <c r="E71" s="60" t="s">
        <v>22</v>
      </c>
      <c r="F71" s="60" t="s">
        <v>240</v>
      </c>
      <c r="G71" s="60" t="n">
        <v>117.5</v>
      </c>
      <c r="H71" s="61" t="n">
        <v>1349.99</v>
      </c>
      <c r="I71" s="61" t="n">
        <v>92.34</v>
      </c>
      <c r="J71" s="61" t="n">
        <f aca="false">H71*Resumo!$C$6</f>
        <v>0</v>
      </c>
      <c r="K71" s="61" t="n">
        <f aca="false">H71*Resumo!$C$7</f>
        <v>2.834979</v>
      </c>
      <c r="L71" s="61" t="n">
        <f aca="false">H71*Resumo!$C$8</f>
        <v>2.834979</v>
      </c>
      <c r="M71" s="61" t="n">
        <f aca="false">Resumo!$C$10*CEILING(G71/100,1)</f>
        <v>2.1</v>
      </c>
      <c r="N71" s="61" t="n">
        <f aca="false">Resumo!$C$9</f>
        <v>0</v>
      </c>
      <c r="O71" s="61" t="n">
        <f aca="false">Resumo!$C$13</f>
        <v>13.55</v>
      </c>
      <c r="P71" s="61" t="n">
        <f aca="false">Resumo!$C$14*CEILING(G71,1)</f>
        <v>53.1</v>
      </c>
      <c r="Q71" s="61" t="n">
        <f aca="false">SUM(I71:P71)*Resumo!$C$11</f>
        <v>0</v>
      </c>
      <c r="R71" s="61" t="n">
        <f aca="false">SUM(I71:Q71)</f>
        <v>166.759958</v>
      </c>
      <c r="S71" s="61" t="n">
        <f aca="false">R71/(1-Resumo!$C$5)</f>
        <v>189.499952272727</v>
      </c>
      <c r="T71" s="61" t="n">
        <v>201.59</v>
      </c>
      <c r="U71" s="61" t="n">
        <f aca="false">H71*Resumo!$B$6</f>
        <v>1.34999</v>
      </c>
      <c r="V71" s="61" t="n">
        <f aca="false">H71*Resumo!$B$7</f>
        <v>2.69998</v>
      </c>
      <c r="W71" s="61" t="n">
        <f aca="false">Resumo!$B$9</f>
        <v>1</v>
      </c>
      <c r="X71" s="61" t="n">
        <f aca="false">Resumo!$B$10*CEILING(G71/100,1)</f>
        <v>9</v>
      </c>
      <c r="Y71" s="61" t="n">
        <f aca="false">Resumo!$B$12*CEILING(G71,1)</f>
        <v>7.08</v>
      </c>
      <c r="Z71" s="61" t="n">
        <f aca="false">Resumo!$B$14*CEILING(G71,1)</f>
        <v>53.1</v>
      </c>
      <c r="AA71" s="61" t="n">
        <f aca="false">SUM(T71:Z71)</f>
        <v>275.81997</v>
      </c>
      <c r="AB71" s="61" t="n">
        <f aca="false">AA71/(1-Resumo!$B$5)</f>
        <v>313.431784090909</v>
      </c>
      <c r="AC71" s="61" t="n">
        <f aca="false">AB71-S71</f>
        <v>123.931831818182</v>
      </c>
      <c r="AD71" s="62" t="n">
        <f aca="false">AB71/S71-1</f>
        <v>0.653994000166395</v>
      </c>
      <c r="AE71" s="60" t="str">
        <f aca="false">IF(AB71&lt;S71,"SIM","NÃO")</f>
        <v>NÃO</v>
      </c>
      <c r="AF71" s="60" t="n">
        <v>2</v>
      </c>
      <c r="AG71" s="60" t="n">
        <v>5</v>
      </c>
      <c r="AH71" s="60" t="s">
        <v>382</v>
      </c>
      <c r="AI71" s="61" t="n">
        <f aca="false">(T71*(1-Painel!$C$40)+U71+V71+Painel!$C$41+Painel!$C$42*CEILING(G71/100,1)+Painel!$C$43*CEILING(G71,1)+Z71)/(1-Resumo!$B$5)</f>
        <v>221.949170454545</v>
      </c>
      <c r="AJ71" s="60" t="str">
        <f aca="false">IF(AI71&lt;S71,"SIM","NÃO")</f>
        <v>NÃO</v>
      </c>
    </row>
    <row r="72" customFormat="false" ht="15" hidden="false" customHeight="false" outlineLevel="0" collapsed="false">
      <c r="A72" s="59" t="n">
        <v>46210.8583796296</v>
      </c>
      <c r="B72" s="60" t="s">
        <v>451</v>
      </c>
      <c r="C72" s="60" t="n">
        <v>23570084</v>
      </c>
      <c r="D72" s="60" t="s">
        <v>46</v>
      </c>
      <c r="E72" s="60" t="s">
        <v>22</v>
      </c>
      <c r="F72" s="60" t="s">
        <v>236</v>
      </c>
      <c r="G72" s="60" t="n">
        <v>51.3</v>
      </c>
      <c r="H72" s="61" t="n">
        <v>588.99</v>
      </c>
      <c r="I72" s="61" t="n">
        <v>58.6</v>
      </c>
      <c r="J72" s="61" t="n">
        <f aca="false">H72*Resumo!$C$6</f>
        <v>0</v>
      </c>
      <c r="K72" s="61" t="n">
        <f aca="false">H72*Resumo!$C$7</f>
        <v>1.236879</v>
      </c>
      <c r="L72" s="61" t="n">
        <f aca="false">H72*Resumo!$C$8</f>
        <v>1.236879</v>
      </c>
      <c r="M72" s="61" t="n">
        <f aca="false">Resumo!$C$10*CEILING(G72/100,1)</f>
        <v>1.05</v>
      </c>
      <c r="N72" s="61" t="n">
        <f aca="false">Resumo!$C$9</f>
        <v>0</v>
      </c>
      <c r="O72" s="61" t="n">
        <f aca="false">Resumo!$C$13</f>
        <v>13.55</v>
      </c>
      <c r="P72" s="61" t="n">
        <f aca="false">Resumo!$C$14*CEILING(G72,1)</f>
        <v>23.4</v>
      </c>
      <c r="Q72" s="61" t="n">
        <f aca="false">SUM(I72:P72)*Resumo!$C$11</f>
        <v>0</v>
      </c>
      <c r="R72" s="61" t="n">
        <f aca="false">SUM(I72:Q72)</f>
        <v>99.073758</v>
      </c>
      <c r="S72" s="61" t="n">
        <f aca="false">R72/(1-Resumo!$C$5)</f>
        <v>112.583815909091</v>
      </c>
      <c r="T72" s="61" t="n">
        <v>112.3</v>
      </c>
      <c r="U72" s="61" t="n">
        <f aca="false">H72*Resumo!$B$6</f>
        <v>0.58899</v>
      </c>
      <c r="V72" s="61" t="n">
        <f aca="false">H72*Resumo!$B$7</f>
        <v>1.17798</v>
      </c>
      <c r="W72" s="61" t="n">
        <f aca="false">Resumo!$B$9</f>
        <v>1</v>
      </c>
      <c r="X72" s="61" t="n">
        <f aca="false">Resumo!$B$10*CEILING(G72/100,1)</f>
        <v>4.5</v>
      </c>
      <c r="Y72" s="61" t="n">
        <f aca="false">Resumo!$B$12*CEILING(G72,1)</f>
        <v>3.12</v>
      </c>
      <c r="Z72" s="61" t="n">
        <f aca="false">Resumo!$B$14*CEILING(G72,1)</f>
        <v>23.4</v>
      </c>
      <c r="AA72" s="61" t="n">
        <f aca="false">SUM(T72:Z72)</f>
        <v>146.08697</v>
      </c>
      <c r="AB72" s="61" t="n">
        <f aca="false">AA72/(1-Resumo!$B$5)</f>
        <v>166.007920454545</v>
      </c>
      <c r="AC72" s="61" t="n">
        <f aca="false">AB72-S72</f>
        <v>53.4241045454545</v>
      </c>
      <c r="AD72" s="62" t="n">
        <f aca="false">AB72/S72-1</f>
        <v>0.474527392006267</v>
      </c>
      <c r="AE72" s="60" t="str">
        <f aca="false">IF(AB72&lt;S72,"SIM","NÃO")</f>
        <v>NÃO</v>
      </c>
      <c r="AF72" s="60" t="n">
        <v>2</v>
      </c>
      <c r="AG72" s="60" t="n">
        <v>5</v>
      </c>
      <c r="AH72" s="60" t="s">
        <v>382</v>
      </c>
      <c r="AI72" s="61" t="n">
        <f aca="false">(T72*(1-Painel!$C$40)+U72+V72+Painel!$C$41+Painel!$C$42*CEILING(G72/100,1)+Painel!$C$43*CEILING(G72,1)+Z72)/(1-Resumo!$B$5)</f>
        <v>116.429511363636</v>
      </c>
      <c r="AJ72" s="60" t="str">
        <f aca="false">IF(AI72&lt;S72,"SIM","NÃO")</f>
        <v>NÃO</v>
      </c>
    </row>
    <row r="73" customFormat="false" ht="15" hidden="false" customHeight="false" outlineLevel="0" collapsed="false">
      <c r="A73" s="59" t="n">
        <v>46210.8920486111</v>
      </c>
      <c r="B73" s="60" t="s">
        <v>452</v>
      </c>
      <c r="C73" s="60" t="n">
        <v>21852001</v>
      </c>
      <c r="D73" s="60" t="s">
        <v>46</v>
      </c>
      <c r="E73" s="60" t="s">
        <v>22</v>
      </c>
      <c r="F73" s="60" t="s">
        <v>238</v>
      </c>
      <c r="G73" s="60" t="n">
        <v>71.9</v>
      </c>
      <c r="H73" s="61" t="n">
        <v>736.99</v>
      </c>
      <c r="I73" s="61" t="n">
        <v>68.88</v>
      </c>
      <c r="J73" s="61" t="n">
        <f aca="false">H73*Resumo!$C$6</f>
        <v>0</v>
      </c>
      <c r="K73" s="61" t="n">
        <f aca="false">H73*Resumo!$C$7</f>
        <v>1.547679</v>
      </c>
      <c r="L73" s="61" t="n">
        <f aca="false">H73*Resumo!$C$8</f>
        <v>1.547679</v>
      </c>
      <c r="M73" s="61" t="n">
        <f aca="false">Resumo!$C$10*CEILING(G73/100,1)</f>
        <v>1.05</v>
      </c>
      <c r="N73" s="61" t="n">
        <f aca="false">Resumo!$C$9</f>
        <v>0</v>
      </c>
      <c r="O73" s="61" t="n">
        <f aca="false">Resumo!$C$13</f>
        <v>13.55</v>
      </c>
      <c r="P73" s="61" t="n">
        <f aca="false">Resumo!$C$14*CEILING(G73,1)</f>
        <v>32.4</v>
      </c>
      <c r="Q73" s="61" t="n">
        <f aca="false">SUM(I73:P73)*Resumo!$C$11</f>
        <v>0</v>
      </c>
      <c r="R73" s="61" t="n">
        <f aca="false">SUM(I73:Q73)</f>
        <v>118.975358</v>
      </c>
      <c r="S73" s="61" t="n">
        <f aca="false">R73/(1-Resumo!$C$5)</f>
        <v>135.199270454545</v>
      </c>
      <c r="T73" s="61" t="n">
        <v>134.39</v>
      </c>
      <c r="U73" s="61" t="n">
        <f aca="false">H73*Resumo!$B$6</f>
        <v>0.73699</v>
      </c>
      <c r="V73" s="61" t="n">
        <f aca="false">H73*Resumo!$B$7</f>
        <v>1.47398</v>
      </c>
      <c r="W73" s="61" t="n">
        <f aca="false">Resumo!$B$9</f>
        <v>1</v>
      </c>
      <c r="X73" s="61" t="n">
        <f aca="false">Resumo!$B$10*CEILING(G73/100,1)</f>
        <v>4.5</v>
      </c>
      <c r="Y73" s="61" t="n">
        <f aca="false">Resumo!$B$12*CEILING(G73,1)</f>
        <v>4.32</v>
      </c>
      <c r="Z73" s="61" t="n">
        <f aca="false">Resumo!$B$14*CEILING(G73,1)</f>
        <v>32.4</v>
      </c>
      <c r="AA73" s="61" t="n">
        <f aca="false">SUM(T73:Z73)</f>
        <v>178.82097</v>
      </c>
      <c r="AB73" s="61" t="n">
        <f aca="false">AA73/(1-Resumo!$B$5)</f>
        <v>203.205647727273</v>
      </c>
      <c r="AC73" s="61" t="n">
        <f aca="false">AB73-S73</f>
        <v>68.0063772727273</v>
      </c>
      <c r="AD73" s="62" t="n">
        <f aca="false">AB73/S73-1</f>
        <v>0.503008463315572</v>
      </c>
      <c r="AE73" s="60" t="str">
        <f aca="false">IF(AB73&lt;S73,"SIM","NÃO")</f>
        <v>NÃO</v>
      </c>
      <c r="AF73" s="60" t="n">
        <v>2</v>
      </c>
      <c r="AG73" s="60" t="n">
        <v>5</v>
      </c>
      <c r="AH73" s="60" t="s">
        <v>382</v>
      </c>
      <c r="AI73" s="61" t="n">
        <f aca="false">(T73*(1-Painel!$C$40)+U73+V73+Painel!$C$41+Painel!$C$42*CEILING(G73/100,1)+Painel!$C$43*CEILING(G73,1)+Z73)/(1-Resumo!$B$5)</f>
        <v>143.979852272727</v>
      </c>
      <c r="AJ73" s="60" t="str">
        <f aca="false">IF(AI73&lt;S73,"SIM","NÃO")</f>
        <v>NÃO</v>
      </c>
    </row>
    <row r="74" customFormat="false" ht="15" hidden="false" customHeight="false" outlineLevel="0" collapsed="false">
      <c r="A74" s="59" t="n">
        <v>46210.9125231481</v>
      </c>
      <c r="B74" s="60" t="s">
        <v>453</v>
      </c>
      <c r="C74" s="60" t="n">
        <v>26298373</v>
      </c>
      <c r="D74" s="60" t="s">
        <v>49</v>
      </c>
      <c r="E74" s="60" t="s">
        <v>23</v>
      </c>
      <c r="F74" s="60" t="s">
        <v>238</v>
      </c>
      <c r="G74" s="60" t="n">
        <v>71.9</v>
      </c>
      <c r="H74" s="61" t="n">
        <v>736.99</v>
      </c>
      <c r="I74" s="61" t="n">
        <v>82.48</v>
      </c>
      <c r="J74" s="61" t="n">
        <f aca="false">H74*Resumo!$C$6</f>
        <v>0</v>
      </c>
      <c r="K74" s="61" t="n">
        <f aca="false">H74*Resumo!$C$7</f>
        <v>1.547679</v>
      </c>
      <c r="L74" s="61" t="n">
        <f aca="false">H74*Resumo!$C$8</f>
        <v>1.547679</v>
      </c>
      <c r="M74" s="61" t="n">
        <f aca="false">Resumo!$C$10*CEILING(G74/100,1)</f>
        <v>1.05</v>
      </c>
      <c r="N74" s="61" t="n">
        <f aca="false">Resumo!$C$9</f>
        <v>0</v>
      </c>
      <c r="O74" s="61" t="n">
        <f aca="false">Resumo!$C$13</f>
        <v>13.55</v>
      </c>
      <c r="P74" s="61" t="n">
        <f aca="false">Resumo!$C$14*CEILING(G74,1)</f>
        <v>32.4</v>
      </c>
      <c r="Q74" s="61" t="n">
        <f aca="false">SUM(I74:P74)*Resumo!$C$11</f>
        <v>0</v>
      </c>
      <c r="R74" s="61" t="n">
        <f aca="false">SUM(I74:Q74)</f>
        <v>132.575358</v>
      </c>
      <c r="S74" s="61" t="n">
        <f aca="false">R74/(1-Resumo!$C$5)</f>
        <v>150.653815909091</v>
      </c>
      <c r="T74" s="61" t="n">
        <v>134.39</v>
      </c>
      <c r="U74" s="61" t="n">
        <f aca="false">H74*Resumo!$B$6</f>
        <v>0.73699</v>
      </c>
      <c r="V74" s="61" t="n">
        <f aca="false">H74*Resumo!$B$7</f>
        <v>1.47398</v>
      </c>
      <c r="W74" s="61" t="n">
        <f aca="false">Resumo!$B$9</f>
        <v>1</v>
      </c>
      <c r="X74" s="61" t="n">
        <f aca="false">Resumo!$B$10*CEILING(G74/100,1)</f>
        <v>4.5</v>
      </c>
      <c r="Y74" s="61" t="n">
        <f aca="false">Resumo!$B$12*CEILING(G74,1)</f>
        <v>4.32</v>
      </c>
      <c r="Z74" s="61" t="n">
        <f aca="false">Resumo!$B$14*CEILING(G74,1)</f>
        <v>32.4</v>
      </c>
      <c r="AA74" s="61" t="n">
        <f aca="false">SUM(T74:Z74)</f>
        <v>178.82097</v>
      </c>
      <c r="AB74" s="61" t="n">
        <f aca="false">AA74/(1-Resumo!$B$5)</f>
        <v>203.205647727273</v>
      </c>
      <c r="AC74" s="61" t="n">
        <f aca="false">AB74-S74</f>
        <v>52.5518318181818</v>
      </c>
      <c r="AD74" s="62" t="n">
        <f aca="false">AB74/S74-1</f>
        <v>0.348825096138907</v>
      </c>
      <c r="AE74" s="60" t="str">
        <f aca="false">IF(AB74&lt;S74,"SIM","NÃO")</f>
        <v>NÃO</v>
      </c>
      <c r="AF74" s="60" t="n">
        <v>2</v>
      </c>
      <c r="AG74" s="60" t="n">
        <v>5</v>
      </c>
      <c r="AH74" s="60" t="s">
        <v>382</v>
      </c>
      <c r="AI74" s="61" t="n">
        <f aca="false">(T74*(1-Painel!$C$40)+U74+V74+Painel!$C$41+Painel!$C$42*CEILING(G74/100,1)+Painel!$C$43*CEILING(G74,1)+Z74)/(1-Resumo!$B$5)</f>
        <v>143.979852272727</v>
      </c>
      <c r="AJ74" s="60" t="str">
        <f aca="false">IF(AI74&lt;S74,"SIM","NÃO")</f>
        <v>SIM</v>
      </c>
    </row>
    <row r="75" customFormat="false" ht="15" hidden="false" customHeight="false" outlineLevel="0" collapsed="false">
      <c r="A75" s="59" t="n">
        <v>46210.9358912037</v>
      </c>
      <c r="B75" s="60" t="s">
        <v>454</v>
      </c>
      <c r="C75" s="60" t="n">
        <v>22230000</v>
      </c>
      <c r="D75" s="60" t="s">
        <v>46</v>
      </c>
      <c r="E75" s="60" t="s">
        <v>22</v>
      </c>
      <c r="F75" s="60" t="s">
        <v>234</v>
      </c>
      <c r="G75" s="60" t="n">
        <v>40</v>
      </c>
      <c r="H75" s="61" t="n">
        <v>479.99</v>
      </c>
      <c r="I75" s="61" t="n">
        <v>48.35</v>
      </c>
      <c r="J75" s="61" t="n">
        <f aca="false">H75*Resumo!$C$6</f>
        <v>0</v>
      </c>
      <c r="K75" s="61" t="n">
        <f aca="false">H75*Resumo!$C$7</f>
        <v>1.007979</v>
      </c>
      <c r="L75" s="61" t="n">
        <f aca="false">H75*Resumo!$C$8</f>
        <v>1.007979</v>
      </c>
      <c r="M75" s="61" t="n">
        <f aca="false">Resumo!$C$10*CEILING(G75/100,1)</f>
        <v>1.05</v>
      </c>
      <c r="N75" s="61" t="n">
        <f aca="false">Resumo!$C$9</f>
        <v>0</v>
      </c>
      <c r="O75" s="61" t="n">
        <f aca="false">Resumo!$C$13</f>
        <v>13.55</v>
      </c>
      <c r="P75" s="61" t="n">
        <f aca="false">Resumo!$C$14*CEILING(G75,1)</f>
        <v>18</v>
      </c>
      <c r="Q75" s="61" t="n">
        <f aca="false">SUM(I75:P75)*Resumo!$C$11</f>
        <v>0</v>
      </c>
      <c r="R75" s="61" t="n">
        <f aca="false">SUM(I75:Q75)</f>
        <v>82.965958</v>
      </c>
      <c r="S75" s="61" t="n">
        <f aca="false">R75/(1-Resumo!$C$5)</f>
        <v>94.2794977272727</v>
      </c>
      <c r="T75" s="61" t="n">
        <v>93.97</v>
      </c>
      <c r="U75" s="61" t="n">
        <f aca="false">H75*Resumo!$B$6</f>
        <v>0.47999</v>
      </c>
      <c r="V75" s="61" t="n">
        <f aca="false">H75*Resumo!$B$7</f>
        <v>0.95998</v>
      </c>
      <c r="W75" s="61" t="n">
        <f aca="false">Resumo!$B$9</f>
        <v>1</v>
      </c>
      <c r="X75" s="61" t="n">
        <f aca="false">Resumo!$B$10*CEILING(G75/100,1)</f>
        <v>4.5</v>
      </c>
      <c r="Y75" s="61" t="n">
        <f aca="false">Resumo!$B$12*CEILING(G75,1)</f>
        <v>2.4</v>
      </c>
      <c r="Z75" s="61" t="n">
        <f aca="false">Resumo!$B$14*CEILING(G75,1)</f>
        <v>18</v>
      </c>
      <c r="AA75" s="61" t="n">
        <f aca="false">SUM(T75:Z75)</f>
        <v>121.30997</v>
      </c>
      <c r="AB75" s="61" t="n">
        <f aca="false">AA75/(1-Resumo!$B$5)</f>
        <v>137.852238636364</v>
      </c>
      <c r="AC75" s="61" t="n">
        <f aca="false">AB75-S75</f>
        <v>43.5727409090909</v>
      </c>
      <c r="AD75" s="62" t="n">
        <f aca="false">AB75/S75-1</f>
        <v>0.462165602909087</v>
      </c>
      <c r="AE75" s="60" t="str">
        <f aca="false">IF(AB75&lt;S75,"SIM","NÃO")</f>
        <v>NÃO</v>
      </c>
      <c r="AF75" s="60" t="n">
        <v>2</v>
      </c>
      <c r="AG75" s="60" t="n">
        <v>5</v>
      </c>
      <c r="AH75" s="60" t="s">
        <v>382</v>
      </c>
      <c r="AI75" s="61" t="n">
        <f aca="false">(T75*(1-Painel!$C$40)+U75+V75+Painel!$C$41+Painel!$C$42*CEILING(G75/100,1)+Painel!$C$43*CEILING(G75,1)+Z75)/(1-Resumo!$B$5)</f>
        <v>95.9657613636364</v>
      </c>
      <c r="AJ75" s="60" t="str">
        <f aca="false">IF(AI75&lt;S75,"SIM","NÃO")</f>
        <v>NÃO</v>
      </c>
    </row>
    <row r="76" customFormat="false" ht="15" hidden="false" customHeight="false" outlineLevel="0" collapsed="false">
      <c r="A76" s="59" t="n">
        <v>46210.9434259259</v>
      </c>
      <c r="B76" s="60" t="s">
        <v>455</v>
      </c>
      <c r="C76" s="60" t="n">
        <v>22770330</v>
      </c>
      <c r="D76" s="60" t="s">
        <v>46</v>
      </c>
      <c r="E76" s="60" t="s">
        <v>22</v>
      </c>
      <c r="F76" s="60" t="s">
        <v>234</v>
      </c>
      <c r="G76" s="60" t="n">
        <v>39.8</v>
      </c>
      <c r="H76" s="61" t="n">
        <v>449.99</v>
      </c>
      <c r="I76" s="61" t="n">
        <v>48.35</v>
      </c>
      <c r="J76" s="61" t="n">
        <f aca="false">H76*Resumo!$C$6</f>
        <v>0</v>
      </c>
      <c r="K76" s="61" t="n">
        <f aca="false">H76*Resumo!$C$7</f>
        <v>0.944979</v>
      </c>
      <c r="L76" s="61" t="n">
        <f aca="false">H76*Resumo!$C$8</f>
        <v>0.944979</v>
      </c>
      <c r="M76" s="61" t="n">
        <f aca="false">Resumo!$C$10*CEILING(G76/100,1)</f>
        <v>1.05</v>
      </c>
      <c r="N76" s="61" t="n">
        <f aca="false">Resumo!$C$9</f>
        <v>0</v>
      </c>
      <c r="O76" s="61" t="n">
        <f aca="false">Resumo!$C$13</f>
        <v>13.55</v>
      </c>
      <c r="P76" s="61" t="n">
        <f aca="false">Resumo!$C$14*CEILING(G76,1)</f>
        <v>18</v>
      </c>
      <c r="Q76" s="61" t="n">
        <f aca="false">SUM(I76:P76)*Resumo!$C$11</f>
        <v>0</v>
      </c>
      <c r="R76" s="61" t="n">
        <f aca="false">SUM(I76:Q76)</f>
        <v>82.839958</v>
      </c>
      <c r="S76" s="61" t="n">
        <f aca="false">R76/(1-Resumo!$C$5)</f>
        <v>94.1363159090909</v>
      </c>
      <c r="T76" s="61" t="n">
        <v>93.97</v>
      </c>
      <c r="U76" s="61" t="n">
        <f aca="false">H76*Resumo!$B$6</f>
        <v>0.44999</v>
      </c>
      <c r="V76" s="61" t="n">
        <f aca="false">H76*Resumo!$B$7</f>
        <v>0.89998</v>
      </c>
      <c r="W76" s="61" t="n">
        <f aca="false">Resumo!$B$9</f>
        <v>1</v>
      </c>
      <c r="X76" s="61" t="n">
        <f aca="false">Resumo!$B$10*CEILING(G76/100,1)</f>
        <v>4.5</v>
      </c>
      <c r="Y76" s="61" t="n">
        <f aca="false">Resumo!$B$12*CEILING(G76,1)</f>
        <v>2.4</v>
      </c>
      <c r="Z76" s="61" t="n">
        <f aca="false">Resumo!$B$14*CEILING(G76,1)</f>
        <v>18</v>
      </c>
      <c r="AA76" s="61" t="n">
        <f aca="false">SUM(T76:Z76)</f>
        <v>121.21997</v>
      </c>
      <c r="AB76" s="61" t="n">
        <f aca="false">AA76/(1-Resumo!$B$5)</f>
        <v>137.749965909091</v>
      </c>
      <c r="AC76" s="61" t="n">
        <f aca="false">AB76-S76</f>
        <v>43.61365</v>
      </c>
      <c r="AD76" s="62" t="n">
        <f aca="false">AB76/S76-1</f>
        <v>0.463303132046494</v>
      </c>
      <c r="AE76" s="60" t="str">
        <f aca="false">IF(AB76&lt;S76,"SIM","NÃO")</f>
        <v>NÃO</v>
      </c>
      <c r="AF76" s="60" t="n">
        <v>2</v>
      </c>
      <c r="AG76" s="60" t="n">
        <v>5</v>
      </c>
      <c r="AH76" s="60" t="s">
        <v>382</v>
      </c>
      <c r="AI76" s="61" t="n">
        <f aca="false">(T76*(1-Painel!$C$40)+U76+V76+Painel!$C$41+Painel!$C$42*CEILING(G76/100,1)+Painel!$C$43*CEILING(G76,1)+Z76)/(1-Resumo!$B$5)</f>
        <v>95.8634886363636</v>
      </c>
      <c r="AJ76" s="60" t="str">
        <f aca="false">IF(AI76&lt;S76,"SIM","NÃO")</f>
        <v>NÃO</v>
      </c>
    </row>
    <row r="77" customFormat="false" ht="15" hidden="false" customHeight="false" outlineLevel="0" collapsed="false">
      <c r="A77" s="59" t="n">
        <v>46210.9771527778</v>
      </c>
      <c r="B77" s="60" t="s">
        <v>456</v>
      </c>
      <c r="C77" s="60" t="n">
        <v>21675350</v>
      </c>
      <c r="D77" s="60" t="s">
        <v>46</v>
      </c>
      <c r="E77" s="60" t="s">
        <v>22</v>
      </c>
      <c r="F77" s="60" t="s">
        <v>241</v>
      </c>
      <c r="G77" s="60" t="n">
        <v>124.2</v>
      </c>
      <c r="H77" s="61" t="n">
        <v>1799.98</v>
      </c>
      <c r="I77" s="61" t="n">
        <v>120.59</v>
      </c>
      <c r="J77" s="61" t="n">
        <f aca="false">H77*Resumo!$C$6</f>
        <v>0</v>
      </c>
      <c r="K77" s="61" t="n">
        <f aca="false">H77*Resumo!$C$7</f>
        <v>3.779958</v>
      </c>
      <c r="L77" s="61" t="n">
        <f aca="false">H77*Resumo!$C$8</f>
        <v>3.779958</v>
      </c>
      <c r="M77" s="61" t="n">
        <f aca="false">Resumo!$C$10*CEILING(G77/100,1)</f>
        <v>2.1</v>
      </c>
      <c r="N77" s="61" t="n">
        <f aca="false">Resumo!$C$9</f>
        <v>0</v>
      </c>
      <c r="O77" s="61" t="n">
        <f aca="false">Resumo!$C$13</f>
        <v>13.55</v>
      </c>
      <c r="P77" s="61" t="n">
        <f aca="false">Resumo!$C$14*CEILING(G77,1)</f>
        <v>56.25</v>
      </c>
      <c r="Q77" s="61" t="n">
        <f aca="false">SUM(I77:P77)*Resumo!$C$11</f>
        <v>0</v>
      </c>
      <c r="R77" s="61" t="n">
        <f aca="false">SUM(I77:Q77)</f>
        <v>200.049916</v>
      </c>
      <c r="S77" s="61" t="n">
        <f aca="false">R77/(1-Resumo!$C$5)</f>
        <v>227.32945</v>
      </c>
      <c r="T77" s="61" t="n">
        <v>239.25</v>
      </c>
      <c r="U77" s="61" t="n">
        <f aca="false">H77*Resumo!$B$6</f>
        <v>1.79998</v>
      </c>
      <c r="V77" s="61" t="n">
        <f aca="false">H77*Resumo!$B$7</f>
        <v>3.59996</v>
      </c>
      <c r="W77" s="61" t="n">
        <f aca="false">Resumo!$B$9</f>
        <v>1</v>
      </c>
      <c r="X77" s="61" t="n">
        <f aca="false">Resumo!$B$10*CEILING(G77/100,1)</f>
        <v>9</v>
      </c>
      <c r="Y77" s="61" t="n">
        <f aca="false">Resumo!$B$12*CEILING(G77,1)</f>
        <v>7.5</v>
      </c>
      <c r="Z77" s="61" t="n">
        <f aca="false">Resumo!$B$14*CEILING(G77,1)</f>
        <v>56.25</v>
      </c>
      <c r="AA77" s="61" t="n">
        <f aca="false">SUM(T77:Z77)</f>
        <v>318.39994</v>
      </c>
      <c r="AB77" s="61" t="n">
        <f aca="false">AA77/(1-Resumo!$B$5)</f>
        <v>361.818113636364</v>
      </c>
      <c r="AC77" s="61" t="n">
        <f aca="false">AB77-S77</f>
        <v>134.488663636364</v>
      </c>
      <c r="AD77" s="62" t="n">
        <f aca="false">AB77/S77-1</f>
        <v>0.591602467856073</v>
      </c>
      <c r="AE77" s="60" t="str">
        <f aca="false">IF(AB77&lt;S77,"SIM","NÃO")</f>
        <v>NÃO</v>
      </c>
      <c r="AF77" s="60" t="n">
        <v>2</v>
      </c>
      <c r="AG77" s="60" t="n">
        <v>5</v>
      </c>
      <c r="AH77" s="60" t="s">
        <v>382</v>
      </c>
      <c r="AI77" s="61" t="n">
        <f aca="false">(T77*(1-Painel!$C$40)+U77+V77+Painel!$C$41+Painel!$C$42*CEILING(G77/100,1)+Painel!$C$43*CEILING(G77,1)+Z77)/(1-Resumo!$B$5)</f>
        <v>255.735727272727</v>
      </c>
      <c r="AJ77" s="60" t="str">
        <f aca="false">IF(AI77&lt;S77,"SIM","NÃO")</f>
        <v>NÃO</v>
      </c>
    </row>
    <row r="78" customFormat="false" ht="15" hidden="false" customHeight="false" outlineLevel="0" collapsed="false">
      <c r="A78" s="59" t="n">
        <v>46210.9803935185</v>
      </c>
      <c r="B78" s="60" t="s">
        <v>457</v>
      </c>
      <c r="C78" s="60" t="n">
        <v>24931415</v>
      </c>
      <c r="D78" s="60" t="s">
        <v>220</v>
      </c>
      <c r="E78" s="60" t="s">
        <v>24</v>
      </c>
      <c r="F78" s="60" t="s">
        <v>241</v>
      </c>
      <c r="G78" s="60" t="n">
        <v>146</v>
      </c>
      <c r="H78" s="61" t="n">
        <v>2699.99</v>
      </c>
      <c r="I78" s="61" t="n">
        <v>144.24</v>
      </c>
      <c r="J78" s="61" t="n">
        <f aca="false">H78*Resumo!$C$6</f>
        <v>0</v>
      </c>
      <c r="K78" s="61" t="n">
        <f aca="false">H78*Resumo!$C$7</f>
        <v>5.669979</v>
      </c>
      <c r="L78" s="61" t="n">
        <f aca="false">H78*Resumo!$C$8</f>
        <v>5.669979</v>
      </c>
      <c r="M78" s="61" t="n">
        <f aca="false">Resumo!$C$10*CEILING(G78/100,1)</f>
        <v>2.1</v>
      </c>
      <c r="N78" s="61" t="n">
        <f aca="false">Resumo!$C$9</f>
        <v>0</v>
      </c>
      <c r="O78" s="61" t="n">
        <f aca="false">Resumo!$C$13</f>
        <v>13.55</v>
      </c>
      <c r="P78" s="61" t="n">
        <f aca="false">Resumo!$C$14*CEILING(G78,1)</f>
        <v>65.7</v>
      </c>
      <c r="Q78" s="61" t="n">
        <f aca="false">SUM(I78:P78)*Resumo!$C$11</f>
        <v>0</v>
      </c>
      <c r="R78" s="61" t="n">
        <f aca="false">SUM(I78:Q78)</f>
        <v>236.929958</v>
      </c>
      <c r="S78" s="61" t="n">
        <f aca="false">R78/(1-Resumo!$C$5)</f>
        <v>269.238588636364</v>
      </c>
      <c r="T78" s="61" t="n">
        <v>249.03</v>
      </c>
      <c r="U78" s="61" t="n">
        <f aca="false">H78*Resumo!$B$6</f>
        <v>2.69999</v>
      </c>
      <c r="V78" s="61" t="n">
        <f aca="false">H78*Resumo!$B$7</f>
        <v>5.39998</v>
      </c>
      <c r="W78" s="61" t="n">
        <f aca="false">Resumo!$B$9</f>
        <v>1</v>
      </c>
      <c r="X78" s="61" t="n">
        <f aca="false">Resumo!$B$10*CEILING(G78/100,1)</f>
        <v>9</v>
      </c>
      <c r="Y78" s="61" t="n">
        <f aca="false">Resumo!$B$12*CEILING(G78,1)</f>
        <v>8.76</v>
      </c>
      <c r="Z78" s="61" t="n">
        <f aca="false">Resumo!$B$14*CEILING(G78,1)</f>
        <v>65.7</v>
      </c>
      <c r="AA78" s="61" t="n">
        <f aca="false">SUM(T78:Z78)</f>
        <v>341.58997</v>
      </c>
      <c r="AB78" s="61" t="n">
        <f aca="false">AA78/(1-Resumo!$B$5)</f>
        <v>388.170420454545</v>
      </c>
      <c r="AC78" s="61" t="n">
        <f aca="false">AB78-S78</f>
        <v>118.931831818182</v>
      </c>
      <c r="AD78" s="62" t="n">
        <f aca="false">AB78/S78-1</f>
        <v>0.44173397439255</v>
      </c>
      <c r="AE78" s="60" t="str">
        <f aca="false">IF(AB78&lt;S78,"SIM","NÃO")</f>
        <v>NÃO</v>
      </c>
      <c r="AF78" s="60" t="n">
        <v>13</v>
      </c>
      <c r="AG78" s="60" t="n">
        <v>7</v>
      </c>
      <c r="AH78" s="60" t="s">
        <v>382</v>
      </c>
      <c r="AI78" s="61" t="n">
        <f aca="false">(T78*(1-Painel!$C$40)+U78+V78+Painel!$C$41+Painel!$C$42*CEILING(G78/100,1)+Painel!$C$43*CEILING(G78,1)+Z78)/(1-Resumo!$B$5)</f>
        <v>276.988715909091</v>
      </c>
      <c r="AJ78" s="60" t="str">
        <f aca="false">IF(AI78&lt;S78,"SIM","NÃO")</f>
        <v>NÃO</v>
      </c>
    </row>
    <row r="79" customFormat="false" ht="15" hidden="false" customHeight="false" outlineLevel="0" collapsed="false">
      <c r="A79" s="59" t="n">
        <v>46210.9932060185</v>
      </c>
      <c r="B79" s="60" t="s">
        <v>458</v>
      </c>
      <c r="C79" s="60" t="n">
        <v>24451230</v>
      </c>
      <c r="D79" s="60" t="s">
        <v>47</v>
      </c>
      <c r="E79" s="60" t="s">
        <v>23</v>
      </c>
      <c r="F79" s="60" t="s">
        <v>234</v>
      </c>
      <c r="G79" s="60" t="n">
        <v>39.8</v>
      </c>
      <c r="H79" s="61" t="n">
        <v>449.99</v>
      </c>
      <c r="I79" s="61" t="n">
        <v>66.83</v>
      </c>
      <c r="J79" s="61" t="n">
        <f aca="false">H79*Resumo!$C$6</f>
        <v>0</v>
      </c>
      <c r="K79" s="61" t="n">
        <f aca="false">H79*Resumo!$C$7</f>
        <v>0.944979</v>
      </c>
      <c r="L79" s="61" t="n">
        <f aca="false">H79*Resumo!$C$8</f>
        <v>0.944979</v>
      </c>
      <c r="M79" s="61" t="n">
        <f aca="false">Resumo!$C$10*CEILING(G79/100,1)</f>
        <v>1.05</v>
      </c>
      <c r="N79" s="61" t="n">
        <f aca="false">Resumo!$C$9</f>
        <v>0</v>
      </c>
      <c r="O79" s="61" t="n">
        <f aca="false">Resumo!$C$13</f>
        <v>13.55</v>
      </c>
      <c r="P79" s="61" t="n">
        <f aca="false">Resumo!$C$14*CEILING(G79,1)</f>
        <v>18</v>
      </c>
      <c r="Q79" s="61" t="n">
        <f aca="false">SUM(I79:P79)*Resumo!$C$11</f>
        <v>0</v>
      </c>
      <c r="R79" s="61" t="n">
        <f aca="false">SUM(I79:Q79)</f>
        <v>101.319958</v>
      </c>
      <c r="S79" s="61" t="n">
        <f aca="false">R79/(1-Resumo!$C$5)</f>
        <v>115.136315909091</v>
      </c>
      <c r="T79" s="61" t="n">
        <v>114.95</v>
      </c>
      <c r="U79" s="61" t="n">
        <f aca="false">H79*Resumo!$B$6</f>
        <v>0.44999</v>
      </c>
      <c r="V79" s="61" t="n">
        <f aca="false">H79*Resumo!$B$7</f>
        <v>0.89998</v>
      </c>
      <c r="W79" s="61" t="n">
        <f aca="false">Resumo!$B$9</f>
        <v>1</v>
      </c>
      <c r="X79" s="61" t="n">
        <f aca="false">Resumo!$B$10*CEILING(G79/100,1)</f>
        <v>4.5</v>
      </c>
      <c r="Y79" s="61" t="n">
        <f aca="false">Resumo!$B$12*CEILING(G79,1)</f>
        <v>2.4</v>
      </c>
      <c r="Z79" s="61" t="n">
        <f aca="false">Resumo!$B$14*CEILING(G79,1)</f>
        <v>18</v>
      </c>
      <c r="AA79" s="61" t="n">
        <f aca="false">SUM(T79:Z79)</f>
        <v>142.19997</v>
      </c>
      <c r="AB79" s="61" t="n">
        <f aca="false">AA79/(1-Resumo!$B$5)</f>
        <v>161.590875</v>
      </c>
      <c r="AC79" s="61" t="n">
        <f aca="false">AB79-S79</f>
        <v>46.4545590909091</v>
      </c>
      <c r="AD79" s="62" t="n">
        <f aca="false">AB79/S79-1</f>
        <v>0.403474427022562</v>
      </c>
      <c r="AE79" s="60" t="str">
        <f aca="false">IF(AB79&lt;S79,"SIM","NÃO")</f>
        <v>NÃO</v>
      </c>
      <c r="AF79" s="60" t="n">
        <v>2</v>
      </c>
      <c r="AG79" s="60" t="n">
        <v>7</v>
      </c>
      <c r="AH79" s="60" t="s">
        <v>382</v>
      </c>
      <c r="AI79" s="61" t="n">
        <f aca="false">(T79*(1-Painel!$C$40)+U79+V79+Painel!$C$41+Painel!$C$42*CEILING(G79/100,1)+Painel!$C$43*CEILING(G79,1)+Z79)/(1-Resumo!$B$5)</f>
        <v>111.836897727273</v>
      </c>
      <c r="AJ79" s="60" t="str">
        <f aca="false">IF(AI79&lt;S79,"SIM","NÃO")</f>
        <v>SIM</v>
      </c>
    </row>
    <row r="80" customFormat="false" ht="15" hidden="false" customHeight="false" outlineLevel="0" collapsed="false">
      <c r="A80" s="59" t="n">
        <v>46211.0871412037</v>
      </c>
      <c r="B80" s="60" t="s">
        <v>459</v>
      </c>
      <c r="C80" s="60" t="n">
        <v>22755155</v>
      </c>
      <c r="D80" s="60" t="s">
        <v>46</v>
      </c>
      <c r="E80" s="60" t="s">
        <v>22</v>
      </c>
      <c r="F80" s="60" t="s">
        <v>234</v>
      </c>
      <c r="G80" s="60" t="n">
        <v>35.9</v>
      </c>
      <c r="H80" s="61" t="n">
        <v>504.38</v>
      </c>
      <c r="I80" s="61" t="n">
        <v>48.35</v>
      </c>
      <c r="J80" s="61" t="n">
        <f aca="false">H80*Resumo!$C$6</f>
        <v>0</v>
      </c>
      <c r="K80" s="61" t="n">
        <f aca="false">H80*Resumo!$C$7</f>
        <v>1.059198</v>
      </c>
      <c r="L80" s="61" t="n">
        <f aca="false">H80*Resumo!$C$8</f>
        <v>1.059198</v>
      </c>
      <c r="M80" s="61" t="n">
        <f aca="false">Resumo!$C$10*CEILING(G80/100,1)</f>
        <v>1.05</v>
      </c>
      <c r="N80" s="61" t="n">
        <f aca="false">Resumo!$C$9</f>
        <v>0</v>
      </c>
      <c r="O80" s="61" t="n">
        <f aca="false">Resumo!$C$13</f>
        <v>13.55</v>
      </c>
      <c r="P80" s="61" t="n">
        <f aca="false">Resumo!$C$14*CEILING(G80,1)</f>
        <v>16.2</v>
      </c>
      <c r="Q80" s="61" t="n">
        <f aca="false">SUM(I80:P80)*Resumo!$C$11</f>
        <v>0</v>
      </c>
      <c r="R80" s="61" t="n">
        <f aca="false">SUM(I80:Q80)</f>
        <v>81.268396</v>
      </c>
      <c r="S80" s="61" t="n">
        <f aca="false">R80/(1-Resumo!$C$5)</f>
        <v>92.35045</v>
      </c>
      <c r="T80" s="61" t="n">
        <v>93.97</v>
      </c>
      <c r="U80" s="61" t="n">
        <f aca="false">H80*Resumo!$B$6</f>
        <v>0.50438</v>
      </c>
      <c r="V80" s="61" t="n">
        <f aca="false">H80*Resumo!$B$7</f>
        <v>1.00876</v>
      </c>
      <c r="W80" s="61" t="n">
        <f aca="false">Resumo!$B$9</f>
        <v>1</v>
      </c>
      <c r="X80" s="61" t="n">
        <f aca="false">Resumo!$B$10*CEILING(G80/100,1)</f>
        <v>4.5</v>
      </c>
      <c r="Y80" s="61" t="n">
        <f aca="false">Resumo!$B$12*CEILING(G80,1)</f>
        <v>2.16</v>
      </c>
      <c r="Z80" s="61" t="n">
        <f aca="false">Resumo!$B$14*CEILING(G80,1)</f>
        <v>16.2</v>
      </c>
      <c r="AA80" s="61" t="n">
        <f aca="false">SUM(T80:Z80)</f>
        <v>119.34314</v>
      </c>
      <c r="AB80" s="61" t="n">
        <f aca="false">AA80/(1-Resumo!$B$5)</f>
        <v>135.617204545455</v>
      </c>
      <c r="AC80" s="61" t="n">
        <f aca="false">AB80-S80</f>
        <v>43.2667545454545</v>
      </c>
      <c r="AD80" s="62" t="n">
        <f aca="false">AB80/S80-1</f>
        <v>0.468506158285688</v>
      </c>
      <c r="AE80" s="60" t="str">
        <f aca="false">IF(AB80&lt;S80,"SIM","NÃO")</f>
        <v>NÃO</v>
      </c>
      <c r="AF80" s="60" t="n">
        <v>2</v>
      </c>
      <c r="AG80" s="60" t="n">
        <v>5</v>
      </c>
      <c r="AH80" s="60" t="s">
        <v>382</v>
      </c>
      <c r="AI80" s="61" t="n">
        <f aca="false">(T80*(1-Painel!$C$40)+U80+V80+Painel!$C$41+Painel!$C$42*CEILING(G80/100,1)+Painel!$C$43*CEILING(G80,1)+Z80)/(1-Resumo!$B$5)</f>
        <v>94.0034545454545</v>
      </c>
      <c r="AJ80" s="60" t="str">
        <f aca="false">IF(AI80&lt;S80,"SIM","NÃO")</f>
        <v>NÃO</v>
      </c>
    </row>
    <row r="81" customFormat="false" ht="15" hidden="false" customHeight="false" outlineLevel="0" collapsed="false">
      <c r="A81" s="59" t="n">
        <v>46211.261099537</v>
      </c>
      <c r="B81" s="60" t="s">
        <v>460</v>
      </c>
      <c r="C81" s="60" t="n">
        <v>24878095</v>
      </c>
      <c r="D81" s="60" t="s">
        <v>223</v>
      </c>
      <c r="E81" s="60" t="s">
        <v>24</v>
      </c>
      <c r="F81" s="60" t="s">
        <v>235</v>
      </c>
      <c r="G81" s="60" t="n">
        <v>44.5</v>
      </c>
      <c r="H81" s="61" t="n">
        <v>799.99</v>
      </c>
      <c r="I81" s="61" t="n">
        <v>77.7</v>
      </c>
      <c r="J81" s="61" t="n">
        <f aca="false">H81*Resumo!$C$6</f>
        <v>0</v>
      </c>
      <c r="K81" s="61" t="n">
        <f aca="false">H81*Resumo!$C$7</f>
        <v>1.679979</v>
      </c>
      <c r="L81" s="61" t="n">
        <f aca="false">H81*Resumo!$C$8</f>
        <v>1.679979</v>
      </c>
      <c r="M81" s="61" t="n">
        <f aca="false">Resumo!$C$10*CEILING(G81/100,1)</f>
        <v>1.05</v>
      </c>
      <c r="N81" s="61" t="n">
        <f aca="false">Resumo!$C$9</f>
        <v>0</v>
      </c>
      <c r="O81" s="61" t="n">
        <f aca="false">Resumo!$C$13</f>
        <v>13.55</v>
      </c>
      <c r="P81" s="61" t="n">
        <f aca="false">Resumo!$C$14*CEILING(G81,1)</f>
        <v>20.25</v>
      </c>
      <c r="Q81" s="61" t="n">
        <f aca="false">SUM(I81:P81)*Resumo!$C$11</f>
        <v>0</v>
      </c>
      <c r="R81" s="61" t="n">
        <f aca="false">SUM(I81:Q81)</f>
        <v>115.909958</v>
      </c>
      <c r="S81" s="61" t="n">
        <f aca="false">R81/(1-Resumo!$C$5)</f>
        <v>131.715861363636</v>
      </c>
      <c r="T81" s="61" t="n">
        <v>114.95</v>
      </c>
      <c r="U81" s="61" t="n">
        <f aca="false">H81*Resumo!$B$6</f>
        <v>0.79999</v>
      </c>
      <c r="V81" s="61" t="n">
        <f aca="false">H81*Resumo!$B$7</f>
        <v>1.59998</v>
      </c>
      <c r="W81" s="61" t="n">
        <f aca="false">Resumo!$B$9</f>
        <v>1</v>
      </c>
      <c r="X81" s="61" t="n">
        <f aca="false">Resumo!$B$10*CEILING(G81/100,1)</f>
        <v>4.5</v>
      </c>
      <c r="Y81" s="61" t="n">
        <f aca="false">Resumo!$B$12*CEILING(G81,1)</f>
        <v>2.7</v>
      </c>
      <c r="Z81" s="61" t="n">
        <f aca="false">Resumo!$B$14*CEILING(G81,1)</f>
        <v>20.25</v>
      </c>
      <c r="AA81" s="61" t="n">
        <f aca="false">SUM(T81:Z81)</f>
        <v>145.79997</v>
      </c>
      <c r="AB81" s="61" t="n">
        <f aca="false">AA81/(1-Resumo!$B$5)</f>
        <v>165.681784090909</v>
      </c>
      <c r="AC81" s="61" t="n">
        <f aca="false">AB81-S81</f>
        <v>33.9659227272727</v>
      </c>
      <c r="AD81" s="62" t="n">
        <f aca="false">AB81/S81-1</f>
        <v>0.257872684243402</v>
      </c>
      <c r="AE81" s="60" t="str">
        <f aca="false">IF(AB81&lt;S81,"SIM","NÃO")</f>
        <v>NÃO</v>
      </c>
      <c r="AF81" s="60" t="n">
        <v>13</v>
      </c>
      <c r="AG81" s="60" t="n">
        <v>7</v>
      </c>
      <c r="AH81" s="60" t="s">
        <v>382</v>
      </c>
      <c r="AI81" s="61" t="n">
        <f aca="false">(T81*(1-Painel!$C$40)+U81+V81+Painel!$C$41+Painel!$C$42*CEILING(G81/100,1)+Painel!$C$43*CEILING(G81,1)+Z81)/(1-Resumo!$B$5)</f>
        <v>115.586897727273</v>
      </c>
      <c r="AJ81" s="60" t="str">
        <f aca="false">IF(AI81&lt;S81,"SIM","NÃO")</f>
        <v>SIM</v>
      </c>
    </row>
    <row r="82" customFormat="false" ht="15" hidden="false" customHeight="false" outlineLevel="0" collapsed="false">
      <c r="A82" s="59" t="n">
        <v>46211.3439236111</v>
      </c>
      <c r="B82" s="60" t="s">
        <v>461</v>
      </c>
      <c r="C82" s="60" t="n">
        <v>28880000</v>
      </c>
      <c r="D82" s="60" t="s">
        <v>336</v>
      </c>
      <c r="E82" s="60" t="s">
        <v>24</v>
      </c>
      <c r="F82" s="60" t="s">
        <v>235</v>
      </c>
      <c r="G82" s="60" t="n">
        <v>48.3</v>
      </c>
      <c r="H82" s="61" t="n">
        <v>391.99</v>
      </c>
      <c r="I82" s="61" t="n">
        <v>77.7</v>
      </c>
      <c r="J82" s="61" t="n">
        <f aca="false">H82*Resumo!$C$6</f>
        <v>0</v>
      </c>
      <c r="K82" s="61" t="n">
        <f aca="false">H82*Resumo!$C$7</f>
        <v>0.823179</v>
      </c>
      <c r="L82" s="61" t="n">
        <f aca="false">H82*Resumo!$C$8</f>
        <v>0.823179</v>
      </c>
      <c r="M82" s="61" t="n">
        <f aca="false">Resumo!$C$10*CEILING(G82/100,1)</f>
        <v>1.05</v>
      </c>
      <c r="N82" s="61" t="n">
        <f aca="false">Resumo!$C$9</f>
        <v>0</v>
      </c>
      <c r="O82" s="61" t="n">
        <f aca="false">Resumo!$C$13</f>
        <v>13.55</v>
      </c>
      <c r="P82" s="61" t="n">
        <f aca="false">Resumo!$C$14*CEILING(G82,1)</f>
        <v>22.05</v>
      </c>
      <c r="Q82" s="61" t="n">
        <f aca="false">SUM(I82:P82)*Resumo!$C$11</f>
        <v>0</v>
      </c>
      <c r="R82" s="61" t="n">
        <f aca="false">SUM(I82:Q82)</f>
        <v>115.996358</v>
      </c>
      <c r="S82" s="61" t="n">
        <f aca="false">R82/(1-Resumo!$C$5)</f>
        <v>131.814043181818</v>
      </c>
      <c r="T82" s="61" t="n">
        <v>129.29</v>
      </c>
      <c r="U82" s="61" t="n">
        <f aca="false">H82*Resumo!$B$6</f>
        <v>0.39199</v>
      </c>
      <c r="V82" s="61" t="n">
        <f aca="false">H82*Resumo!$B$7</f>
        <v>0.78398</v>
      </c>
      <c r="W82" s="61" t="n">
        <f aca="false">Resumo!$B$9</f>
        <v>1</v>
      </c>
      <c r="X82" s="61" t="n">
        <f aca="false">Resumo!$B$10*CEILING(G82/100,1)</f>
        <v>4.5</v>
      </c>
      <c r="Y82" s="61" t="n">
        <f aca="false">Resumo!$B$12*CEILING(G82,1)</f>
        <v>2.94</v>
      </c>
      <c r="Z82" s="61" t="n">
        <f aca="false">Resumo!$B$14*CEILING(G82,1)</f>
        <v>22.05</v>
      </c>
      <c r="AA82" s="61" t="n">
        <f aca="false">SUM(T82:Z82)</f>
        <v>160.95597</v>
      </c>
      <c r="AB82" s="61" t="n">
        <f aca="false">AA82/(1-Resumo!$B$5)</f>
        <v>182.904511363636</v>
      </c>
      <c r="AC82" s="61" t="n">
        <f aca="false">AB82-S82</f>
        <v>51.0904681818182</v>
      </c>
      <c r="AD82" s="62" t="n">
        <f aca="false">AB82/S82-1</f>
        <v>0.387595031216411</v>
      </c>
      <c r="AE82" s="60" t="str">
        <f aca="false">IF(AB82&lt;S82,"SIM","NÃO")</f>
        <v>NÃO</v>
      </c>
      <c r="AF82" s="60" t="n">
        <v>13</v>
      </c>
      <c r="AG82" s="60" t="n">
        <v>10</v>
      </c>
      <c r="AH82" s="60" t="s">
        <v>385</v>
      </c>
      <c r="AI82" s="61" t="n">
        <f aca="false">(T82*(1-Painel!$C$40)+U82+V82+Painel!$C$41+Painel!$C$42*CEILING(G82/100,1)+Painel!$C$43*CEILING(G82,1)+Z82)/(1-Resumo!$B$5)</f>
        <v>127.159397727273</v>
      </c>
      <c r="AJ82" s="60" t="str">
        <f aca="false">IF(AI82&lt;S82,"SIM","NÃO")</f>
        <v>SIM</v>
      </c>
    </row>
    <row r="83" customFormat="false" ht="15" hidden="false" customHeight="false" outlineLevel="0" collapsed="false">
      <c r="A83" s="59" t="n">
        <v>46211.3519444445</v>
      </c>
      <c r="B83" s="60" t="s">
        <v>455</v>
      </c>
      <c r="C83" s="60" t="n">
        <v>22770330</v>
      </c>
      <c r="D83" s="60" t="s">
        <v>46</v>
      </c>
      <c r="E83" s="60" t="s">
        <v>22</v>
      </c>
      <c r="F83" s="60" t="s">
        <v>237</v>
      </c>
      <c r="G83" s="60" t="n">
        <v>67.3</v>
      </c>
      <c r="H83" s="61" t="n">
        <v>899.98</v>
      </c>
      <c r="I83" s="61" t="n">
        <v>63.21</v>
      </c>
      <c r="J83" s="61" t="n">
        <f aca="false">H83*Resumo!$C$6</f>
        <v>0</v>
      </c>
      <c r="K83" s="61" t="n">
        <f aca="false">H83*Resumo!$C$7</f>
        <v>1.889958</v>
      </c>
      <c r="L83" s="61" t="n">
        <f aca="false">H83*Resumo!$C$8</f>
        <v>1.889958</v>
      </c>
      <c r="M83" s="61" t="n">
        <f aca="false">Resumo!$C$10*CEILING(G83/100,1)</f>
        <v>1.05</v>
      </c>
      <c r="N83" s="61" t="n">
        <f aca="false">Resumo!$C$9</f>
        <v>0</v>
      </c>
      <c r="O83" s="61" t="n">
        <f aca="false">Resumo!$C$13</f>
        <v>13.55</v>
      </c>
      <c r="P83" s="61" t="n">
        <f aca="false">Resumo!$C$14*CEILING(G83,1)</f>
        <v>30.6</v>
      </c>
      <c r="Q83" s="61" t="n">
        <f aca="false">SUM(I83:P83)*Resumo!$C$11</f>
        <v>0</v>
      </c>
      <c r="R83" s="61" t="n">
        <f aca="false">SUM(I83:Q83)</f>
        <v>112.189916</v>
      </c>
      <c r="S83" s="61" t="n">
        <f aca="false">R83/(1-Resumo!$C$5)</f>
        <v>127.488540909091</v>
      </c>
      <c r="T83" s="61" t="n">
        <v>131.02</v>
      </c>
      <c r="U83" s="61" t="n">
        <f aca="false">H83*Resumo!$B$6</f>
        <v>0.89998</v>
      </c>
      <c r="V83" s="61" t="n">
        <f aca="false">H83*Resumo!$B$7</f>
        <v>1.79996</v>
      </c>
      <c r="W83" s="61" t="n">
        <f aca="false">Resumo!$B$9</f>
        <v>1</v>
      </c>
      <c r="X83" s="61" t="n">
        <f aca="false">Resumo!$B$10*CEILING(G83/100,1)</f>
        <v>4.5</v>
      </c>
      <c r="Y83" s="61" t="n">
        <f aca="false">Resumo!$B$12*CEILING(G83,1)</f>
        <v>4.08</v>
      </c>
      <c r="Z83" s="61" t="n">
        <f aca="false">Resumo!$B$14*CEILING(G83,1)</f>
        <v>30.6</v>
      </c>
      <c r="AA83" s="61" t="n">
        <f aca="false">SUM(T83:Z83)</f>
        <v>173.89994</v>
      </c>
      <c r="AB83" s="61" t="n">
        <f aca="false">AA83/(1-Resumo!$B$5)</f>
        <v>197.613568181818</v>
      </c>
      <c r="AC83" s="61" t="n">
        <f aca="false">AB83-S83</f>
        <v>70.1250272727273</v>
      </c>
      <c r="AD83" s="62" t="n">
        <f aca="false">AB83/S83-1</f>
        <v>0.550049649738574</v>
      </c>
      <c r="AE83" s="60" t="str">
        <f aca="false">IF(AB83&lt;S83,"SIM","NÃO")</f>
        <v>NÃO</v>
      </c>
      <c r="AF83" s="60" t="n">
        <v>2</v>
      </c>
      <c r="AG83" s="60" t="n">
        <v>5</v>
      </c>
      <c r="AH83" s="60" t="s">
        <v>382</v>
      </c>
      <c r="AI83" s="61" t="n">
        <f aca="false">(T83*(1-Painel!$C$40)+U83+V83+Painel!$C$41+Painel!$C$42*CEILING(G83/100,1)+Painel!$C$43*CEILING(G83,1)+Z83)/(1-Resumo!$B$5)</f>
        <v>139.92425</v>
      </c>
      <c r="AJ83" s="60" t="str">
        <f aca="false">IF(AI83&lt;S83,"SIM","NÃO")</f>
        <v>NÃO</v>
      </c>
    </row>
    <row r="84" customFormat="false" ht="15" hidden="false" customHeight="false" outlineLevel="0" collapsed="false">
      <c r="A84" s="59" t="n">
        <v>46211.3573032407</v>
      </c>
      <c r="B84" s="60" t="s">
        <v>462</v>
      </c>
      <c r="C84" s="60" t="n">
        <v>23900120</v>
      </c>
      <c r="D84" s="60" t="s">
        <v>218</v>
      </c>
      <c r="E84" s="60" t="s">
        <v>24</v>
      </c>
      <c r="F84" s="60" t="s">
        <v>238</v>
      </c>
      <c r="G84" s="60" t="n">
        <v>71.9</v>
      </c>
      <c r="H84" s="61" t="n">
        <v>769.99</v>
      </c>
      <c r="I84" s="61" t="n">
        <v>96.77</v>
      </c>
      <c r="J84" s="61" t="n">
        <f aca="false">H84*Resumo!$C$6</f>
        <v>0</v>
      </c>
      <c r="K84" s="61" t="n">
        <f aca="false">H84*Resumo!$C$7</f>
        <v>1.616979</v>
      </c>
      <c r="L84" s="61" t="n">
        <f aca="false">H84*Resumo!$C$8</f>
        <v>1.616979</v>
      </c>
      <c r="M84" s="61" t="n">
        <f aca="false">Resumo!$C$10*CEILING(G84/100,1)</f>
        <v>1.05</v>
      </c>
      <c r="N84" s="61" t="n">
        <f aca="false">Resumo!$C$9</f>
        <v>0</v>
      </c>
      <c r="O84" s="61" t="n">
        <f aca="false">Resumo!$C$13</f>
        <v>13.55</v>
      </c>
      <c r="P84" s="61" t="n">
        <f aca="false">Resumo!$C$14*CEILING(G84,1)</f>
        <v>32.4</v>
      </c>
      <c r="Q84" s="61" t="n">
        <f aca="false">SUM(I84:P84)*Resumo!$C$11</f>
        <v>0</v>
      </c>
      <c r="R84" s="61" t="n">
        <f aca="false">SUM(I84:Q84)</f>
        <v>147.003958</v>
      </c>
      <c r="S84" s="61" t="n">
        <f aca="false">R84/(1-Resumo!$C$5)</f>
        <v>167.049952272727</v>
      </c>
      <c r="T84" s="61" t="n">
        <v>157.88</v>
      </c>
      <c r="U84" s="61" t="n">
        <f aca="false">H84*Resumo!$B$6</f>
        <v>0.76999</v>
      </c>
      <c r="V84" s="61" t="n">
        <f aca="false">H84*Resumo!$B$7</f>
        <v>1.53998</v>
      </c>
      <c r="W84" s="61" t="n">
        <f aca="false">Resumo!$B$9</f>
        <v>1</v>
      </c>
      <c r="X84" s="61" t="n">
        <f aca="false">Resumo!$B$10*CEILING(G84/100,1)</f>
        <v>4.5</v>
      </c>
      <c r="Y84" s="61" t="n">
        <f aca="false">Resumo!$B$12*CEILING(G84,1)</f>
        <v>4.32</v>
      </c>
      <c r="Z84" s="61" t="n">
        <f aca="false">Resumo!$B$14*CEILING(G84,1)</f>
        <v>32.4</v>
      </c>
      <c r="AA84" s="61" t="n">
        <f aca="false">SUM(T84:Z84)</f>
        <v>202.40997</v>
      </c>
      <c r="AB84" s="61" t="n">
        <f aca="false">AA84/(1-Resumo!$B$5)</f>
        <v>230.011329545455</v>
      </c>
      <c r="AC84" s="61" t="n">
        <f aca="false">AB84-S84</f>
        <v>62.9613772727273</v>
      </c>
      <c r="AD84" s="62" t="n">
        <f aca="false">AB84/S84-1</f>
        <v>0.376901498121568</v>
      </c>
      <c r="AE84" s="60" t="str">
        <f aca="false">IF(AB84&lt;S84,"SIM","NÃO")</f>
        <v>NÃO</v>
      </c>
      <c r="AF84" s="60" t="n">
        <v>13</v>
      </c>
      <c r="AG84" s="60" t="n">
        <v>10</v>
      </c>
      <c r="AH84" s="60" t="s">
        <v>382</v>
      </c>
      <c r="AI84" s="61" t="n">
        <f aca="false">(T84*(1-Painel!$C$40)+U84+V84+Painel!$C$41+Painel!$C$42*CEILING(G84/100,1)+Painel!$C$43*CEILING(G84,1)+Z84)/(1-Resumo!$B$5)</f>
        <v>161.976784090909</v>
      </c>
      <c r="AJ84" s="60" t="str">
        <f aca="false">IF(AI84&lt;S84,"SIM","NÃO")</f>
        <v>SIM</v>
      </c>
    </row>
    <row r="85" customFormat="false" ht="15" hidden="false" customHeight="false" outlineLevel="0" collapsed="false">
      <c r="A85" s="59" t="n">
        <v>46211.4185648148</v>
      </c>
      <c r="B85" s="60" t="s">
        <v>463</v>
      </c>
      <c r="C85" s="60" t="n">
        <v>23059039</v>
      </c>
      <c r="D85" s="60" t="s">
        <v>46</v>
      </c>
      <c r="E85" s="60" t="s">
        <v>22</v>
      </c>
      <c r="F85" s="60" t="s">
        <v>235</v>
      </c>
      <c r="G85" s="60" t="n">
        <v>48.3</v>
      </c>
      <c r="H85" s="61" t="n">
        <v>459.99</v>
      </c>
      <c r="I85" s="61" t="n">
        <v>53.55</v>
      </c>
      <c r="J85" s="61" t="n">
        <f aca="false">H85*Resumo!$C$6</f>
        <v>0</v>
      </c>
      <c r="K85" s="61" t="n">
        <f aca="false">H85*Resumo!$C$7</f>
        <v>0.965979</v>
      </c>
      <c r="L85" s="61" t="n">
        <f aca="false">H85*Resumo!$C$8</f>
        <v>0.965979</v>
      </c>
      <c r="M85" s="61" t="n">
        <f aca="false">Resumo!$C$10*CEILING(G85/100,1)</f>
        <v>1.05</v>
      </c>
      <c r="N85" s="61" t="n">
        <f aca="false">Resumo!$C$9</f>
        <v>0</v>
      </c>
      <c r="O85" s="61" t="n">
        <f aca="false">Resumo!$C$13</f>
        <v>13.55</v>
      </c>
      <c r="P85" s="61" t="n">
        <f aca="false">Resumo!$C$14*CEILING(G85,1)</f>
        <v>22.05</v>
      </c>
      <c r="Q85" s="61" t="n">
        <f aca="false">SUM(I85:P85)*Resumo!$C$11</f>
        <v>0</v>
      </c>
      <c r="R85" s="61" t="n">
        <f aca="false">SUM(I85:Q85)</f>
        <v>92.131958</v>
      </c>
      <c r="S85" s="61" t="n">
        <f aca="false">R85/(1-Resumo!$C$5)</f>
        <v>104.695406818182</v>
      </c>
      <c r="T85" s="61" t="n">
        <v>93.97</v>
      </c>
      <c r="U85" s="61" t="n">
        <f aca="false">H85*Resumo!$B$6</f>
        <v>0.45999</v>
      </c>
      <c r="V85" s="61" t="n">
        <f aca="false">H85*Resumo!$B$7</f>
        <v>0.91998</v>
      </c>
      <c r="W85" s="61" t="n">
        <f aca="false">Resumo!$B$9</f>
        <v>1</v>
      </c>
      <c r="X85" s="61" t="n">
        <f aca="false">Resumo!$B$10*CEILING(G85/100,1)</f>
        <v>4.5</v>
      </c>
      <c r="Y85" s="61" t="n">
        <f aca="false">Resumo!$B$12*CEILING(G85,1)</f>
        <v>2.94</v>
      </c>
      <c r="Z85" s="61" t="n">
        <f aca="false">Resumo!$B$14*CEILING(G85,1)</f>
        <v>22.05</v>
      </c>
      <c r="AA85" s="61" t="n">
        <f aca="false">SUM(T85:Z85)</f>
        <v>125.83997</v>
      </c>
      <c r="AB85" s="61" t="n">
        <f aca="false">AA85/(1-Resumo!$B$5)</f>
        <v>142.999965909091</v>
      </c>
      <c r="AC85" s="61" t="n">
        <f aca="false">AB85-S85</f>
        <v>38.3045590909091</v>
      </c>
      <c r="AD85" s="62" t="n">
        <f aca="false">AB85/S85-1</f>
        <v>0.365866662683973</v>
      </c>
      <c r="AE85" s="60" t="str">
        <f aca="false">IF(AB85&lt;S85,"SIM","NÃO")</f>
        <v>NÃO</v>
      </c>
      <c r="AF85" s="60" t="n">
        <v>2</v>
      </c>
      <c r="AG85" s="60" t="n">
        <v>5</v>
      </c>
      <c r="AH85" s="60" t="s">
        <v>382</v>
      </c>
      <c r="AI85" s="61" t="n">
        <f aca="false">(T85*(1-Painel!$C$40)+U85+V85+Painel!$C$41+Painel!$C$42*CEILING(G85/100,1)+Painel!$C$43*CEILING(G85,1)+Z85)/(1-Resumo!$B$5)</f>
        <v>100.499852272727</v>
      </c>
      <c r="AJ85" s="60" t="str">
        <f aca="false">IF(AI85&lt;S85,"SIM","NÃO")</f>
        <v>SIM</v>
      </c>
    </row>
    <row r="86" customFormat="false" ht="15" hidden="false" customHeight="false" outlineLevel="0" collapsed="false">
      <c r="A86" s="59" t="n">
        <v>46211.6128356482</v>
      </c>
      <c r="B86" s="60" t="s">
        <v>464</v>
      </c>
      <c r="C86" s="60" t="n">
        <v>24727190</v>
      </c>
      <c r="D86" s="60" t="s">
        <v>47</v>
      </c>
      <c r="E86" s="60" t="s">
        <v>23</v>
      </c>
      <c r="F86" s="60" t="s">
        <v>234</v>
      </c>
      <c r="G86" s="60" t="n">
        <v>37.2</v>
      </c>
      <c r="H86" s="61" t="n">
        <v>399.99</v>
      </c>
      <c r="I86" s="61" t="n">
        <v>66.83</v>
      </c>
      <c r="J86" s="61" t="n">
        <f aca="false">H86*Resumo!$C$6</f>
        <v>0</v>
      </c>
      <c r="K86" s="61" t="n">
        <f aca="false">H86*Resumo!$C$7</f>
        <v>0.839979</v>
      </c>
      <c r="L86" s="61" t="n">
        <f aca="false">H86*Resumo!$C$8</f>
        <v>0.839979</v>
      </c>
      <c r="M86" s="61" t="n">
        <f aca="false">Resumo!$C$10*CEILING(G86/100,1)</f>
        <v>1.05</v>
      </c>
      <c r="N86" s="61" t="n">
        <f aca="false">Resumo!$C$9</f>
        <v>0</v>
      </c>
      <c r="O86" s="61" t="n">
        <f aca="false">Resumo!$C$13</f>
        <v>13.55</v>
      </c>
      <c r="P86" s="61" t="n">
        <f aca="false">Resumo!$C$14*CEILING(G86,1)</f>
        <v>17.1</v>
      </c>
      <c r="Q86" s="61" t="n">
        <f aca="false">SUM(I86:P86)*Resumo!$C$11</f>
        <v>0</v>
      </c>
      <c r="R86" s="61" t="n">
        <f aca="false">SUM(I86:Q86)</f>
        <v>100.209958</v>
      </c>
      <c r="S86" s="61" t="n">
        <f aca="false">R86/(1-Resumo!$C$5)</f>
        <v>113.874952272727</v>
      </c>
      <c r="T86" s="61" t="n">
        <v>114.95</v>
      </c>
      <c r="U86" s="61" t="n">
        <f aca="false">H86*Resumo!$B$6</f>
        <v>0.39999</v>
      </c>
      <c r="V86" s="61" t="n">
        <f aca="false">H86*Resumo!$B$7</f>
        <v>0.79998</v>
      </c>
      <c r="W86" s="61" t="n">
        <f aca="false">Resumo!$B$9</f>
        <v>1</v>
      </c>
      <c r="X86" s="61" t="n">
        <f aca="false">Resumo!$B$10*CEILING(G86/100,1)</f>
        <v>4.5</v>
      </c>
      <c r="Y86" s="61" t="n">
        <f aca="false">Resumo!$B$12*CEILING(G86,1)</f>
        <v>2.28</v>
      </c>
      <c r="Z86" s="61" t="n">
        <f aca="false">Resumo!$B$14*CEILING(G86,1)</f>
        <v>17.1</v>
      </c>
      <c r="AA86" s="61" t="n">
        <f aca="false">SUM(T86:Z86)</f>
        <v>141.02997</v>
      </c>
      <c r="AB86" s="61" t="n">
        <f aca="false">AA86/(1-Resumo!$B$5)</f>
        <v>160.261329545455</v>
      </c>
      <c r="AC86" s="61" t="n">
        <f aca="false">AB86-S86</f>
        <v>46.3863772727273</v>
      </c>
      <c r="AD86" s="62" t="n">
        <f aca="false">AB86/S86-1</f>
        <v>0.407344866864429</v>
      </c>
      <c r="AE86" s="60" t="str">
        <f aca="false">IF(AB86&lt;S86,"SIM","NÃO")</f>
        <v>NÃO</v>
      </c>
      <c r="AF86" s="60" t="n">
        <v>2</v>
      </c>
      <c r="AG86" s="60" t="n">
        <v>7</v>
      </c>
      <c r="AH86" s="60" t="s">
        <v>382</v>
      </c>
      <c r="AI86" s="61" t="n">
        <f aca="false">(T86*(1-Painel!$C$40)+U86+V86+Painel!$C$41+Painel!$C$42*CEILING(G86/100,1)+Painel!$C$43*CEILING(G86,1)+Z86)/(1-Resumo!$B$5)</f>
        <v>110.643715909091</v>
      </c>
      <c r="AJ86" s="60" t="str">
        <f aca="false">IF(AI86&lt;S86,"SIM","NÃO")</f>
        <v>SIM</v>
      </c>
    </row>
    <row r="87" customFormat="false" ht="15" hidden="false" customHeight="false" outlineLevel="0" collapsed="false">
      <c r="A87" s="59" t="n">
        <v>46211.6709259259</v>
      </c>
      <c r="B87" s="60" t="s">
        <v>465</v>
      </c>
      <c r="C87" s="60" t="n">
        <v>25970077</v>
      </c>
      <c r="D87" s="60" t="s">
        <v>281</v>
      </c>
      <c r="E87" s="60" t="s">
        <v>24</v>
      </c>
      <c r="F87" s="60" t="s">
        <v>235</v>
      </c>
      <c r="G87" s="60" t="n">
        <v>48.3</v>
      </c>
      <c r="H87" s="61" t="n">
        <v>459.99</v>
      </c>
      <c r="I87" s="61" t="n">
        <v>77.7</v>
      </c>
      <c r="J87" s="61" t="n">
        <f aca="false">H87*Resumo!$C$6</f>
        <v>0</v>
      </c>
      <c r="K87" s="61" t="n">
        <f aca="false">H87*Resumo!$C$7</f>
        <v>0.965979</v>
      </c>
      <c r="L87" s="61" t="n">
        <f aca="false">H87*Resumo!$C$8</f>
        <v>0.965979</v>
      </c>
      <c r="M87" s="61" t="n">
        <f aca="false">Resumo!$C$10*CEILING(G87/100,1)</f>
        <v>1.05</v>
      </c>
      <c r="N87" s="61" t="n">
        <f aca="false">Resumo!$C$9</f>
        <v>0</v>
      </c>
      <c r="O87" s="61" t="n">
        <f aca="false">Resumo!$C$13</f>
        <v>13.55</v>
      </c>
      <c r="P87" s="61" t="n">
        <f aca="false">Resumo!$C$14*CEILING(G87,1)</f>
        <v>22.05</v>
      </c>
      <c r="Q87" s="61" t="n">
        <f aca="false">SUM(I87:P87)*Resumo!$C$11</f>
        <v>0</v>
      </c>
      <c r="R87" s="61" t="n">
        <f aca="false">SUM(I87:Q87)</f>
        <v>116.281958</v>
      </c>
      <c r="S87" s="61" t="n">
        <f aca="false">R87/(1-Resumo!$C$5)</f>
        <v>132.138588636364</v>
      </c>
      <c r="T87" s="61" t="n">
        <v>135.03</v>
      </c>
      <c r="U87" s="61" t="n">
        <f aca="false">H87*Resumo!$B$6</f>
        <v>0.45999</v>
      </c>
      <c r="V87" s="61" t="n">
        <f aca="false">H87*Resumo!$B$7</f>
        <v>0.91998</v>
      </c>
      <c r="W87" s="61" t="n">
        <f aca="false">Resumo!$B$9</f>
        <v>1</v>
      </c>
      <c r="X87" s="61" t="n">
        <f aca="false">Resumo!$B$10*CEILING(G87/100,1)</f>
        <v>4.5</v>
      </c>
      <c r="Y87" s="61" t="n">
        <f aca="false">Resumo!$B$12*CEILING(G87,1)</f>
        <v>2.94</v>
      </c>
      <c r="Z87" s="61" t="n">
        <f aca="false">Resumo!$B$14*CEILING(G87,1)</f>
        <v>22.05</v>
      </c>
      <c r="AA87" s="61" t="n">
        <f aca="false">SUM(T87:Z87)</f>
        <v>166.89997</v>
      </c>
      <c r="AB87" s="61" t="n">
        <f aca="false">AA87/(1-Resumo!$B$5)</f>
        <v>189.659056818182</v>
      </c>
      <c r="AC87" s="61" t="n">
        <f aca="false">AB87-S87</f>
        <v>57.5204681818182</v>
      </c>
      <c r="AD87" s="62" t="n">
        <f aca="false">AB87/S87-1</f>
        <v>0.43530409076875</v>
      </c>
      <c r="AE87" s="60" t="str">
        <f aca="false">IF(AB87&lt;S87,"SIM","NÃO")</f>
        <v>NÃO</v>
      </c>
      <c r="AF87" s="60" t="n">
        <v>13</v>
      </c>
      <c r="AG87" s="60" t="n">
        <v>10</v>
      </c>
      <c r="AH87" s="60" t="s">
        <v>385</v>
      </c>
      <c r="AI87" s="61" t="n">
        <f aca="false">(T87*(1-Painel!$C$40)+U87+V87+Painel!$C$41+Painel!$C$42*CEILING(G87/100,1)+Painel!$C$43*CEILING(G87,1)+Z87)/(1-Resumo!$B$5)</f>
        <v>131.761443181818</v>
      </c>
      <c r="AJ87" s="60" t="str">
        <f aca="false">IF(AI87&lt;S87,"SIM","NÃO")</f>
        <v>SIM</v>
      </c>
    </row>
    <row r="88" customFormat="false" ht="15" hidden="false" customHeight="false" outlineLevel="0" collapsed="false">
      <c r="A88" s="59" t="n">
        <v>46211.744212963</v>
      </c>
      <c r="B88" s="60" t="s">
        <v>466</v>
      </c>
      <c r="C88" s="60" t="n">
        <v>21750001</v>
      </c>
      <c r="D88" s="60" t="s">
        <v>46</v>
      </c>
      <c r="E88" s="60" t="s">
        <v>22</v>
      </c>
      <c r="F88" s="60" t="s">
        <v>237</v>
      </c>
      <c r="G88" s="60" t="n">
        <v>66.8</v>
      </c>
      <c r="H88" s="61" t="n">
        <v>679.98</v>
      </c>
      <c r="I88" s="61" t="n">
        <v>63.21</v>
      </c>
      <c r="J88" s="61" t="n">
        <f aca="false">H88*Resumo!$C$6</f>
        <v>0</v>
      </c>
      <c r="K88" s="61" t="n">
        <f aca="false">H88*Resumo!$C$7</f>
        <v>1.427958</v>
      </c>
      <c r="L88" s="61" t="n">
        <f aca="false">H88*Resumo!$C$8</f>
        <v>1.427958</v>
      </c>
      <c r="M88" s="61" t="n">
        <f aca="false">Resumo!$C$10*CEILING(G88/100,1)</f>
        <v>1.05</v>
      </c>
      <c r="N88" s="61" t="n">
        <f aca="false">Resumo!$C$9</f>
        <v>0</v>
      </c>
      <c r="O88" s="61" t="n">
        <f aca="false">Resumo!$C$13</f>
        <v>13.55</v>
      </c>
      <c r="P88" s="61" t="n">
        <f aca="false">Resumo!$C$14*CEILING(G88,1)</f>
        <v>30.15</v>
      </c>
      <c r="Q88" s="61" t="n">
        <f aca="false">SUM(I88:P88)*Resumo!$C$11</f>
        <v>0</v>
      </c>
      <c r="R88" s="61" t="n">
        <f aca="false">SUM(I88:Q88)</f>
        <v>110.815916</v>
      </c>
      <c r="S88" s="61" t="n">
        <f aca="false">R88/(1-Resumo!$C$5)</f>
        <v>125.927177272727</v>
      </c>
      <c r="T88" s="61" t="n">
        <v>131.02</v>
      </c>
      <c r="U88" s="61" t="n">
        <f aca="false">H88*Resumo!$B$6</f>
        <v>0.67998</v>
      </c>
      <c r="V88" s="61" t="n">
        <f aca="false">H88*Resumo!$B$7</f>
        <v>1.35996</v>
      </c>
      <c r="W88" s="61" t="n">
        <f aca="false">Resumo!$B$9</f>
        <v>1</v>
      </c>
      <c r="X88" s="61" t="n">
        <f aca="false">Resumo!$B$10*CEILING(G88/100,1)</f>
        <v>4.5</v>
      </c>
      <c r="Y88" s="61" t="n">
        <f aca="false">Resumo!$B$12*CEILING(G88,1)</f>
        <v>4.02</v>
      </c>
      <c r="Z88" s="61" t="n">
        <f aca="false">Resumo!$B$14*CEILING(G88,1)</f>
        <v>30.15</v>
      </c>
      <c r="AA88" s="61" t="n">
        <f aca="false">SUM(T88:Z88)</f>
        <v>172.72994</v>
      </c>
      <c r="AB88" s="61" t="n">
        <f aca="false">AA88/(1-Resumo!$B$5)</f>
        <v>196.284022727273</v>
      </c>
      <c r="AC88" s="61" t="n">
        <f aca="false">AB88-S88</f>
        <v>70.3568454545455</v>
      </c>
      <c r="AD88" s="62" t="n">
        <f aca="false">AB88/S88-1</f>
        <v>0.558710573668859</v>
      </c>
      <c r="AE88" s="60" t="str">
        <f aca="false">IF(AB88&lt;S88,"SIM","NÃO")</f>
        <v>NÃO</v>
      </c>
      <c r="AF88" s="60" t="n">
        <v>2</v>
      </c>
      <c r="AG88" s="60" t="n">
        <v>5</v>
      </c>
      <c r="AH88" s="60" t="s">
        <v>382</v>
      </c>
      <c r="AI88" s="61" t="n">
        <f aca="false">(T88*(1-Painel!$C$40)+U88+V88+Painel!$C$41+Painel!$C$42*CEILING(G88/100,1)+Painel!$C$43*CEILING(G88,1)+Z88)/(1-Resumo!$B$5)</f>
        <v>138.662886363636</v>
      </c>
      <c r="AJ88" s="60" t="str">
        <f aca="false">IF(AI88&lt;S88,"SIM","NÃO")</f>
        <v>NÃO</v>
      </c>
    </row>
    <row r="89" customFormat="false" ht="15" hidden="false" customHeight="false" outlineLevel="0" collapsed="false">
      <c r="A89" s="59" t="n">
        <v>46211.8102893519</v>
      </c>
      <c r="B89" s="60" t="s">
        <v>467</v>
      </c>
      <c r="C89" s="60" t="n">
        <v>27281640</v>
      </c>
      <c r="D89" s="60" t="s">
        <v>217</v>
      </c>
      <c r="E89" s="60" t="s">
        <v>24</v>
      </c>
      <c r="F89" s="60" t="s">
        <v>241</v>
      </c>
      <c r="G89" s="60" t="n">
        <v>124.2</v>
      </c>
      <c r="H89" s="61" t="n">
        <v>1611.28</v>
      </c>
      <c r="I89" s="61" t="n">
        <v>144.24</v>
      </c>
      <c r="J89" s="61" t="n">
        <f aca="false">H89*Resumo!$C$6</f>
        <v>0</v>
      </c>
      <c r="K89" s="61" t="n">
        <f aca="false">H89*Resumo!$C$7</f>
        <v>3.383688</v>
      </c>
      <c r="L89" s="61" t="n">
        <f aca="false">H89*Resumo!$C$8</f>
        <v>3.383688</v>
      </c>
      <c r="M89" s="61" t="n">
        <f aca="false">Resumo!$C$10*CEILING(G89/100,1)</f>
        <v>2.1</v>
      </c>
      <c r="N89" s="61" t="n">
        <f aca="false">Resumo!$C$9</f>
        <v>0</v>
      </c>
      <c r="O89" s="61" t="n">
        <f aca="false">Resumo!$C$13</f>
        <v>13.55</v>
      </c>
      <c r="P89" s="61" t="n">
        <f aca="false">Resumo!$C$14*CEILING(G89,1)</f>
        <v>56.25</v>
      </c>
      <c r="Q89" s="61" t="n">
        <f aca="false">SUM(I89:P89)*Resumo!$C$11</f>
        <v>0</v>
      </c>
      <c r="R89" s="61" t="n">
        <f aca="false">SUM(I89:Q89)</f>
        <v>222.907376</v>
      </c>
      <c r="S89" s="61" t="n">
        <f aca="false">R89/(1-Resumo!$C$5)</f>
        <v>253.303836363636</v>
      </c>
      <c r="T89" s="61" t="n">
        <v>264.84</v>
      </c>
      <c r="U89" s="61" t="n">
        <f aca="false">H89*Resumo!$B$6</f>
        <v>1.61128</v>
      </c>
      <c r="V89" s="61" t="n">
        <f aca="false">H89*Resumo!$B$7</f>
        <v>3.22256</v>
      </c>
      <c r="W89" s="61" t="n">
        <f aca="false">Resumo!$B$9</f>
        <v>1</v>
      </c>
      <c r="X89" s="61" t="n">
        <f aca="false">Resumo!$B$10*CEILING(G89/100,1)</f>
        <v>9</v>
      </c>
      <c r="Y89" s="61" t="n">
        <f aca="false">Resumo!$B$12*CEILING(G89,1)</f>
        <v>7.5</v>
      </c>
      <c r="Z89" s="61" t="n">
        <f aca="false">Resumo!$B$14*CEILING(G89,1)</f>
        <v>56.25</v>
      </c>
      <c r="AA89" s="61" t="n">
        <f aca="false">SUM(T89:Z89)</f>
        <v>343.42384</v>
      </c>
      <c r="AB89" s="61" t="n">
        <f aca="false">AA89/(1-Resumo!$B$5)</f>
        <v>390.254363636364</v>
      </c>
      <c r="AC89" s="61" t="n">
        <f aca="false">AB89-S89</f>
        <v>136.950527272727</v>
      </c>
      <c r="AD89" s="62" t="n">
        <f aca="false">AB89/S89-1</f>
        <v>0.540657138236646</v>
      </c>
      <c r="AE89" s="60" t="str">
        <f aca="false">IF(AB89&lt;S89,"SIM","NÃO")</f>
        <v>NÃO</v>
      </c>
      <c r="AF89" s="60" t="n">
        <v>13</v>
      </c>
      <c r="AG89" s="60" t="n">
        <v>10</v>
      </c>
      <c r="AH89" s="60" t="s">
        <v>382</v>
      </c>
      <c r="AI89" s="61" t="n">
        <f aca="false">(T89*(1-Painel!$C$40)+U89+V89+Painel!$C$41+Painel!$C$42*CEILING(G89/100,1)+Painel!$C$43*CEILING(G89,1)+Z89)/(1-Resumo!$B$5)</f>
        <v>274.575727272727</v>
      </c>
      <c r="AJ89" s="60" t="str">
        <f aca="false">IF(AI89&lt;S89,"SIM","NÃO")</f>
        <v>NÃO</v>
      </c>
    </row>
    <row r="90" customFormat="false" ht="15" hidden="false" customHeight="false" outlineLevel="0" collapsed="false">
      <c r="A90" s="59" t="n">
        <v>46211.856087963</v>
      </c>
      <c r="B90" s="60" t="s">
        <v>468</v>
      </c>
      <c r="C90" s="60" t="n">
        <v>26177010</v>
      </c>
      <c r="D90" s="60" t="s">
        <v>52</v>
      </c>
      <c r="E90" s="60" t="s">
        <v>23</v>
      </c>
      <c r="F90" s="60" t="s">
        <v>236</v>
      </c>
      <c r="G90" s="60" t="n">
        <v>51.06</v>
      </c>
      <c r="H90" s="61" t="n">
        <v>679.98</v>
      </c>
      <c r="I90" s="61" t="n">
        <v>70.98</v>
      </c>
      <c r="J90" s="61" t="n">
        <f aca="false">H90*Resumo!$C$6</f>
        <v>0</v>
      </c>
      <c r="K90" s="61" t="n">
        <f aca="false">H90*Resumo!$C$7</f>
        <v>1.427958</v>
      </c>
      <c r="L90" s="61" t="n">
        <f aca="false">H90*Resumo!$C$8</f>
        <v>1.427958</v>
      </c>
      <c r="M90" s="61" t="n">
        <f aca="false">Resumo!$C$10*CEILING(G90/100,1)</f>
        <v>1.05</v>
      </c>
      <c r="N90" s="61" t="n">
        <f aca="false">Resumo!$C$9</f>
        <v>0</v>
      </c>
      <c r="O90" s="61" t="n">
        <f aca="false">Resumo!$C$13</f>
        <v>13.55</v>
      </c>
      <c r="P90" s="61" t="n">
        <f aca="false">Resumo!$C$14*CEILING(G90,1)</f>
        <v>23.4</v>
      </c>
      <c r="Q90" s="61" t="n">
        <f aca="false">SUM(I90:P90)*Resumo!$C$11</f>
        <v>0</v>
      </c>
      <c r="R90" s="61" t="n">
        <f aca="false">SUM(I90:Q90)</f>
        <v>111.835916</v>
      </c>
      <c r="S90" s="61" t="n">
        <f aca="false">R90/(1-Resumo!$C$5)</f>
        <v>127.086268181818</v>
      </c>
      <c r="T90" s="61" t="n">
        <v>112.3</v>
      </c>
      <c r="U90" s="61" t="n">
        <f aca="false">H90*Resumo!$B$6</f>
        <v>0.67998</v>
      </c>
      <c r="V90" s="61" t="n">
        <f aca="false">H90*Resumo!$B$7</f>
        <v>1.35996</v>
      </c>
      <c r="W90" s="61" t="n">
        <f aca="false">Resumo!$B$9</f>
        <v>1</v>
      </c>
      <c r="X90" s="61" t="n">
        <f aca="false">Resumo!$B$10*CEILING(G90/100,1)</f>
        <v>4.5</v>
      </c>
      <c r="Y90" s="61" t="n">
        <f aca="false">Resumo!$B$12*CEILING(G90,1)</f>
        <v>3.12</v>
      </c>
      <c r="Z90" s="61" t="n">
        <f aca="false">Resumo!$B$14*CEILING(G90,1)</f>
        <v>23.4</v>
      </c>
      <c r="AA90" s="61" t="n">
        <f aca="false">SUM(T90:Z90)</f>
        <v>146.35994</v>
      </c>
      <c r="AB90" s="61" t="n">
        <f aca="false">AA90/(1-Resumo!$B$5)</f>
        <v>166.318113636364</v>
      </c>
      <c r="AC90" s="61" t="n">
        <f aca="false">AB90-S90</f>
        <v>39.2318454545454</v>
      </c>
      <c r="AD90" s="62" t="n">
        <f aca="false">AB90/S90-1</f>
        <v>0.308702474435851</v>
      </c>
      <c r="AE90" s="60" t="str">
        <f aca="false">IF(AB90&lt;S90,"SIM","NÃO")</f>
        <v>NÃO</v>
      </c>
      <c r="AF90" s="60" t="n">
        <v>2</v>
      </c>
      <c r="AG90" s="60" t="n">
        <v>5</v>
      </c>
      <c r="AH90" s="60" t="s">
        <v>382</v>
      </c>
      <c r="AI90" s="61" t="n">
        <f aca="false">(T90*(1-Painel!$C$40)+U90+V90+Painel!$C$41+Painel!$C$42*CEILING(G90/100,1)+Painel!$C$43*CEILING(G90,1)+Z90)/(1-Resumo!$B$5)</f>
        <v>116.739704545455</v>
      </c>
      <c r="AJ90" s="60" t="str">
        <f aca="false">IF(AI90&lt;S90,"SIM","NÃO")</f>
        <v>SIM</v>
      </c>
    </row>
    <row r="91" customFormat="false" ht="15" hidden="false" customHeight="false" outlineLevel="0" collapsed="false">
      <c r="A91" s="59" t="n">
        <v>46211.9269560185</v>
      </c>
      <c r="B91" s="60" t="s">
        <v>469</v>
      </c>
      <c r="C91" s="60" t="n">
        <v>21310030</v>
      </c>
      <c r="D91" s="60" t="s">
        <v>46</v>
      </c>
      <c r="E91" s="60" t="s">
        <v>22</v>
      </c>
      <c r="F91" s="60" t="s">
        <v>234</v>
      </c>
      <c r="G91" s="60" t="n">
        <v>37.2</v>
      </c>
      <c r="H91" s="61" t="n">
        <v>459.99</v>
      </c>
      <c r="I91" s="61" t="n">
        <v>48.35</v>
      </c>
      <c r="J91" s="61" t="n">
        <f aca="false">H91*Resumo!$C$6</f>
        <v>0</v>
      </c>
      <c r="K91" s="61" t="n">
        <f aca="false">H91*Resumo!$C$7</f>
        <v>0.965979</v>
      </c>
      <c r="L91" s="61" t="n">
        <f aca="false">H91*Resumo!$C$8</f>
        <v>0.965979</v>
      </c>
      <c r="M91" s="61" t="n">
        <f aca="false">Resumo!$C$10*CEILING(G91/100,1)</f>
        <v>1.05</v>
      </c>
      <c r="N91" s="61" t="n">
        <f aca="false">Resumo!$C$9</f>
        <v>0</v>
      </c>
      <c r="O91" s="61" t="n">
        <f aca="false">Resumo!$C$13</f>
        <v>13.55</v>
      </c>
      <c r="P91" s="61" t="n">
        <f aca="false">Resumo!$C$14*CEILING(G91,1)</f>
        <v>17.1</v>
      </c>
      <c r="Q91" s="61" t="n">
        <f aca="false">SUM(I91:P91)*Resumo!$C$11</f>
        <v>0</v>
      </c>
      <c r="R91" s="61" t="n">
        <f aca="false">SUM(I91:Q91)</f>
        <v>81.981958</v>
      </c>
      <c r="S91" s="61" t="n">
        <f aca="false">R91/(1-Resumo!$C$5)</f>
        <v>93.1613159090909</v>
      </c>
      <c r="T91" s="61" t="n">
        <v>93.97</v>
      </c>
      <c r="U91" s="61" t="n">
        <f aca="false">H91*Resumo!$B$6</f>
        <v>0.45999</v>
      </c>
      <c r="V91" s="61" t="n">
        <f aca="false">H91*Resumo!$B$7</f>
        <v>0.91998</v>
      </c>
      <c r="W91" s="61" t="n">
        <f aca="false">Resumo!$B$9</f>
        <v>1</v>
      </c>
      <c r="X91" s="61" t="n">
        <f aca="false">Resumo!$B$10*CEILING(G91/100,1)</f>
        <v>4.5</v>
      </c>
      <c r="Y91" s="61" t="n">
        <f aca="false">Resumo!$B$12*CEILING(G91,1)</f>
        <v>2.28</v>
      </c>
      <c r="Z91" s="61" t="n">
        <f aca="false">Resumo!$B$14*CEILING(G91,1)</f>
        <v>17.1</v>
      </c>
      <c r="AA91" s="61" t="n">
        <f aca="false">SUM(T91:Z91)</f>
        <v>120.22997</v>
      </c>
      <c r="AB91" s="61" t="n">
        <f aca="false">AA91/(1-Resumo!$B$5)</f>
        <v>136.624965909091</v>
      </c>
      <c r="AC91" s="61" t="n">
        <f aca="false">AB91-S91</f>
        <v>43.46365</v>
      </c>
      <c r="AD91" s="62" t="n">
        <f aca="false">AB91/S91-1</f>
        <v>0.466541821311465</v>
      </c>
      <c r="AE91" s="60" t="str">
        <f aca="false">IF(AB91&lt;S91,"SIM","NÃO")</f>
        <v>NÃO</v>
      </c>
      <c r="AF91" s="60" t="n">
        <v>2</v>
      </c>
      <c r="AG91" s="60" t="n">
        <v>5</v>
      </c>
      <c r="AH91" s="60" t="s">
        <v>382</v>
      </c>
      <c r="AI91" s="61" t="n">
        <f aca="false">(T91*(1-Painel!$C$40)+U91+V91+Painel!$C$41+Painel!$C$42*CEILING(G91/100,1)+Painel!$C$43*CEILING(G91,1)+Z91)/(1-Resumo!$B$5)</f>
        <v>94.8748522727273</v>
      </c>
      <c r="AJ91" s="60" t="str">
        <f aca="false">IF(AI91&lt;S91,"SIM","NÃO")</f>
        <v>NÃO</v>
      </c>
    </row>
    <row r="92" customFormat="false" ht="15" hidden="false" customHeight="false" outlineLevel="0" collapsed="false">
      <c r="A92" s="59" t="n">
        <v>46211.9686689815</v>
      </c>
      <c r="B92" s="60" t="s">
        <v>470</v>
      </c>
      <c r="C92" s="60" t="n">
        <v>26480320</v>
      </c>
      <c r="D92" s="60" t="s">
        <v>283</v>
      </c>
      <c r="E92" s="60" t="s">
        <v>24</v>
      </c>
      <c r="F92" s="60" t="s">
        <v>235</v>
      </c>
      <c r="G92" s="60" t="n">
        <v>48.3</v>
      </c>
      <c r="H92" s="61" t="n">
        <v>499.99</v>
      </c>
      <c r="I92" s="61" t="n">
        <v>77.7</v>
      </c>
      <c r="J92" s="61" t="n">
        <f aca="false">H92*Resumo!$C$6</f>
        <v>0</v>
      </c>
      <c r="K92" s="61" t="n">
        <f aca="false">H92*Resumo!$C$7</f>
        <v>1.049979</v>
      </c>
      <c r="L92" s="61" t="n">
        <f aca="false">H92*Resumo!$C$8</f>
        <v>1.049979</v>
      </c>
      <c r="M92" s="61" t="n">
        <f aca="false">Resumo!$C$10*CEILING(G92/100,1)</f>
        <v>1.05</v>
      </c>
      <c r="N92" s="61" t="n">
        <f aca="false">Resumo!$C$9</f>
        <v>0</v>
      </c>
      <c r="O92" s="61" t="n">
        <f aca="false">Resumo!$C$13</f>
        <v>13.55</v>
      </c>
      <c r="P92" s="61" t="n">
        <f aca="false">Resumo!$C$14*CEILING(G92,1)</f>
        <v>22.05</v>
      </c>
      <c r="Q92" s="61" t="n">
        <f aca="false">SUM(I92:P92)*Resumo!$C$11</f>
        <v>0</v>
      </c>
      <c r="R92" s="61" t="n">
        <f aca="false">SUM(I92:Q92)</f>
        <v>116.449958</v>
      </c>
      <c r="S92" s="61" t="n">
        <f aca="false">R92/(1-Resumo!$C$5)</f>
        <v>132.329497727273</v>
      </c>
      <c r="T92" s="61" t="n">
        <v>93.97</v>
      </c>
      <c r="U92" s="61" t="n">
        <f aca="false">H92*Resumo!$B$6</f>
        <v>0.49999</v>
      </c>
      <c r="V92" s="61" t="n">
        <f aca="false">H92*Resumo!$B$7</f>
        <v>0.99998</v>
      </c>
      <c r="W92" s="61" t="n">
        <f aca="false">Resumo!$B$9</f>
        <v>1</v>
      </c>
      <c r="X92" s="61" t="n">
        <f aca="false">Resumo!$B$10*CEILING(G92/100,1)</f>
        <v>4.5</v>
      </c>
      <c r="Y92" s="61" t="n">
        <f aca="false">Resumo!$B$12*CEILING(G92,1)</f>
        <v>2.94</v>
      </c>
      <c r="Z92" s="61" t="n">
        <f aca="false">Resumo!$B$14*CEILING(G92,1)</f>
        <v>22.05</v>
      </c>
      <c r="AA92" s="61" t="n">
        <f aca="false">SUM(T92:Z92)</f>
        <v>125.95997</v>
      </c>
      <c r="AB92" s="61" t="n">
        <f aca="false">AA92/(1-Resumo!$B$5)</f>
        <v>143.136329545455</v>
      </c>
      <c r="AC92" s="61" t="n">
        <f aca="false">AB92-S92</f>
        <v>10.8068318181818</v>
      </c>
      <c r="AD92" s="62" t="n">
        <f aca="false">AB92/S92-1</f>
        <v>0.0816660835549636</v>
      </c>
      <c r="AE92" s="60" t="str">
        <f aca="false">IF(AB92&lt;S92,"SIM","NÃO")</f>
        <v>NÃO</v>
      </c>
      <c r="AF92" s="60" t="n">
        <v>13</v>
      </c>
      <c r="AG92" s="60" t="n">
        <v>5</v>
      </c>
      <c r="AH92" s="60" t="s">
        <v>385</v>
      </c>
      <c r="AI92" s="61" t="n">
        <f aca="false">(T92*(1-Painel!$C$40)+U92+V92+Painel!$C$41+Painel!$C$42*CEILING(G92/100,1)+Painel!$C$43*CEILING(G92,1)+Z92)/(1-Resumo!$B$5)</f>
        <v>100.636215909091</v>
      </c>
      <c r="AJ92" s="60" t="str">
        <f aca="false">IF(AI92&lt;S92,"SIM","NÃO")</f>
        <v>SIM</v>
      </c>
    </row>
    <row r="93" customFormat="false" ht="15" hidden="false" customHeight="false" outlineLevel="0" collapsed="false">
      <c r="A93" s="59" t="n">
        <v>46212.0133217593</v>
      </c>
      <c r="B93" s="60" t="s">
        <v>471</v>
      </c>
      <c r="C93" s="60" t="n">
        <v>24805900</v>
      </c>
      <c r="D93" s="60" t="s">
        <v>223</v>
      </c>
      <c r="E93" s="60" t="s">
        <v>24</v>
      </c>
      <c r="F93" s="60" t="s">
        <v>235</v>
      </c>
      <c r="G93" s="60" t="n">
        <v>46.8</v>
      </c>
      <c r="H93" s="61" t="n">
        <v>556.99</v>
      </c>
      <c r="I93" s="61" t="n">
        <v>77.7</v>
      </c>
      <c r="J93" s="61" t="n">
        <f aca="false">H93*Resumo!$C$6</f>
        <v>0</v>
      </c>
      <c r="K93" s="61" t="n">
        <f aca="false">H93*Resumo!$C$7</f>
        <v>1.169679</v>
      </c>
      <c r="L93" s="61" t="n">
        <f aca="false">H93*Resumo!$C$8</f>
        <v>1.169679</v>
      </c>
      <c r="M93" s="61" t="n">
        <f aca="false">Resumo!$C$10*CEILING(G93/100,1)</f>
        <v>1.05</v>
      </c>
      <c r="N93" s="61" t="n">
        <f aca="false">Resumo!$C$9</f>
        <v>0</v>
      </c>
      <c r="O93" s="61" t="n">
        <f aca="false">Resumo!$C$13</f>
        <v>13.55</v>
      </c>
      <c r="P93" s="61" t="n">
        <f aca="false">Resumo!$C$14*CEILING(G93,1)</f>
        <v>21.15</v>
      </c>
      <c r="Q93" s="61" t="n">
        <f aca="false">SUM(I93:P93)*Resumo!$C$11</f>
        <v>0</v>
      </c>
      <c r="R93" s="61" t="n">
        <f aca="false">SUM(I93:Q93)</f>
        <v>115.789358</v>
      </c>
      <c r="S93" s="61" t="n">
        <f aca="false">R93/(1-Resumo!$C$5)</f>
        <v>131.578815909091</v>
      </c>
      <c r="T93" s="61" t="n">
        <v>114.95</v>
      </c>
      <c r="U93" s="61" t="n">
        <f aca="false">H93*Resumo!$B$6</f>
        <v>0.55699</v>
      </c>
      <c r="V93" s="61" t="n">
        <f aca="false">H93*Resumo!$B$7</f>
        <v>1.11398</v>
      </c>
      <c r="W93" s="61" t="n">
        <f aca="false">Resumo!$B$9</f>
        <v>1</v>
      </c>
      <c r="X93" s="61" t="n">
        <f aca="false">Resumo!$B$10*CEILING(G93/100,1)</f>
        <v>4.5</v>
      </c>
      <c r="Y93" s="61" t="n">
        <f aca="false">Resumo!$B$12*CEILING(G93,1)</f>
        <v>2.82</v>
      </c>
      <c r="Z93" s="61" t="n">
        <f aca="false">Resumo!$B$14*CEILING(G93,1)</f>
        <v>21.15</v>
      </c>
      <c r="AA93" s="61" t="n">
        <f aca="false">SUM(T93:Z93)</f>
        <v>146.09097</v>
      </c>
      <c r="AB93" s="61" t="n">
        <f aca="false">AA93/(1-Resumo!$B$5)</f>
        <v>166.012465909091</v>
      </c>
      <c r="AC93" s="61" t="n">
        <f aca="false">AB93-S93</f>
        <v>34.43365</v>
      </c>
      <c r="AD93" s="62" t="n">
        <f aca="false">AB93/S93-1</f>
        <v>0.261696001458096</v>
      </c>
      <c r="AE93" s="60" t="str">
        <f aca="false">IF(AB93&lt;S93,"SIM","NÃO")</f>
        <v>NÃO</v>
      </c>
      <c r="AF93" s="60" t="n">
        <v>13</v>
      </c>
      <c r="AG93" s="60" t="n">
        <v>7</v>
      </c>
      <c r="AH93" s="60" t="s">
        <v>382</v>
      </c>
      <c r="AI93" s="61" t="n">
        <f aca="false">(T93*(1-Painel!$C$40)+U93+V93+Painel!$C$41+Painel!$C$42*CEILING(G93/100,1)+Painel!$C$43*CEILING(G93,1)+Z93)/(1-Resumo!$B$5)</f>
        <v>115.781215909091</v>
      </c>
      <c r="AJ93" s="60" t="str">
        <f aca="false">IF(AI93&lt;S93,"SIM","NÃO")</f>
        <v>SIM</v>
      </c>
    </row>
    <row r="94" customFormat="false" ht="15" hidden="false" customHeight="false" outlineLevel="0" collapsed="false">
      <c r="A94" s="59" t="n">
        <v>46212.4535069445</v>
      </c>
      <c r="B94" s="60" t="s">
        <v>472</v>
      </c>
      <c r="C94" s="60" t="n">
        <v>22641100</v>
      </c>
      <c r="D94" s="60" t="s">
        <v>46</v>
      </c>
      <c r="E94" s="60" t="s">
        <v>22</v>
      </c>
      <c r="F94" s="60" t="s">
        <v>232</v>
      </c>
      <c r="G94" s="60" t="n">
        <v>15.05</v>
      </c>
      <c r="H94" s="61" t="n">
        <v>239.99</v>
      </c>
      <c r="I94" s="61" t="n">
        <v>33.42</v>
      </c>
      <c r="J94" s="61" t="n">
        <f aca="false">H94*Resumo!$C$6</f>
        <v>0</v>
      </c>
      <c r="K94" s="61" t="n">
        <f aca="false">H94*Resumo!$C$7</f>
        <v>0.503979</v>
      </c>
      <c r="L94" s="61" t="n">
        <f aca="false">H94*Resumo!$C$8</f>
        <v>0.503979</v>
      </c>
      <c r="M94" s="61" t="n">
        <f aca="false">Resumo!$C$10*CEILING(G94/100,1)</f>
        <v>1.05</v>
      </c>
      <c r="N94" s="61" t="n">
        <f aca="false">Resumo!$C$9</f>
        <v>0</v>
      </c>
      <c r="O94" s="61" t="n">
        <f aca="false">Resumo!$C$13</f>
        <v>13.55</v>
      </c>
      <c r="P94" s="61" t="n">
        <f aca="false">Resumo!$C$14*CEILING(G94,1)</f>
        <v>7.2</v>
      </c>
      <c r="Q94" s="61" t="n">
        <f aca="false">SUM(I94:P94)*Resumo!$C$11</f>
        <v>0</v>
      </c>
      <c r="R94" s="61" t="n">
        <f aca="false">SUM(I94:Q94)</f>
        <v>56.227958</v>
      </c>
      <c r="S94" s="61" t="n">
        <f aca="false">R94/(1-Resumo!$C$5)</f>
        <v>63.8954068181818</v>
      </c>
      <c r="T94" s="61" t="n">
        <v>46.98</v>
      </c>
      <c r="U94" s="61" t="n">
        <f aca="false">H94*Resumo!$B$6</f>
        <v>0.23999</v>
      </c>
      <c r="V94" s="61" t="n">
        <f aca="false">H94*Resumo!$B$7</f>
        <v>0.47998</v>
      </c>
      <c r="W94" s="61" t="n">
        <f aca="false">Resumo!$B$9</f>
        <v>1</v>
      </c>
      <c r="X94" s="61" t="n">
        <f aca="false">Resumo!$B$10*CEILING(G94/100,1)</f>
        <v>4.5</v>
      </c>
      <c r="Y94" s="61" t="n">
        <f aca="false">Resumo!$B$12*CEILING(G94,1)</f>
        <v>0.96</v>
      </c>
      <c r="Z94" s="61" t="n">
        <f aca="false">Resumo!$B$14*CEILING(G94,1)</f>
        <v>7.2</v>
      </c>
      <c r="AA94" s="61" t="n">
        <f aca="false">SUM(T94:Z94)</f>
        <v>61.35997</v>
      </c>
      <c r="AB94" s="61" t="n">
        <f aca="false">AA94/(1-Resumo!$B$5)</f>
        <v>69.7272386363636</v>
      </c>
      <c r="AC94" s="61" t="n">
        <f aca="false">AB94-S94</f>
        <v>5.83183181818181</v>
      </c>
      <c r="AD94" s="62" t="n">
        <f aca="false">AB94/S94-1</f>
        <v>0.0912715343495134</v>
      </c>
      <c r="AE94" s="60" t="str">
        <f aca="false">IF(AB94&lt;S94,"SIM","NÃO")</f>
        <v>NÃO</v>
      </c>
      <c r="AF94" s="60" t="n">
        <v>2</v>
      </c>
      <c r="AG94" s="60" t="n">
        <v>5</v>
      </c>
      <c r="AH94" s="60" t="s">
        <v>382</v>
      </c>
      <c r="AI94" s="61" t="n">
        <f aca="false">(T94*(1-Painel!$C$40)+U94+V94+Painel!$C$41+Painel!$C$42*CEILING(G94/100,1)+Painel!$C$43*CEILING(G94,1)+Z94)/(1-Resumo!$B$5)</f>
        <v>47.098375</v>
      </c>
      <c r="AJ94" s="60" t="str">
        <f aca="false">IF(AI94&lt;S94,"SIM","NÃO")</f>
        <v>SIM</v>
      </c>
    </row>
    <row r="95" customFormat="false" ht="15" hidden="false" customHeight="false" outlineLevel="0" collapsed="false">
      <c r="A95" s="59" t="n">
        <v>46212.5090277778</v>
      </c>
      <c r="B95" s="60" t="s">
        <v>473</v>
      </c>
      <c r="C95" s="60" t="n">
        <v>26279240</v>
      </c>
      <c r="D95" s="60" t="s">
        <v>49</v>
      </c>
      <c r="E95" s="60" t="s">
        <v>23</v>
      </c>
      <c r="F95" s="60" t="s">
        <v>237</v>
      </c>
      <c r="G95" s="60" t="n">
        <v>69.15</v>
      </c>
      <c r="H95" s="61" t="n">
        <v>721.99</v>
      </c>
      <c r="I95" s="61" t="n">
        <v>76.55</v>
      </c>
      <c r="J95" s="61" t="n">
        <f aca="false">H95*Resumo!$C$6</f>
        <v>0</v>
      </c>
      <c r="K95" s="61" t="n">
        <f aca="false">H95*Resumo!$C$7</f>
        <v>1.516179</v>
      </c>
      <c r="L95" s="61" t="n">
        <f aca="false">H95*Resumo!$C$8</f>
        <v>1.516179</v>
      </c>
      <c r="M95" s="61" t="n">
        <f aca="false">Resumo!$C$10*CEILING(G95/100,1)</f>
        <v>1.05</v>
      </c>
      <c r="N95" s="61" t="n">
        <f aca="false">Resumo!$C$9</f>
        <v>0</v>
      </c>
      <c r="O95" s="61" t="n">
        <f aca="false">Resumo!$C$13</f>
        <v>13.55</v>
      </c>
      <c r="P95" s="61" t="n">
        <f aca="false">Resumo!$C$14*CEILING(G95,1)</f>
        <v>31.5</v>
      </c>
      <c r="Q95" s="61" t="n">
        <f aca="false">SUM(I95:P95)*Resumo!$C$11</f>
        <v>0</v>
      </c>
      <c r="R95" s="61" t="n">
        <f aca="false">SUM(I95:Q95)</f>
        <v>125.682358</v>
      </c>
      <c r="S95" s="61" t="n">
        <f aca="false">R95/(1-Resumo!$C$5)</f>
        <v>142.820861363636</v>
      </c>
      <c r="T95" s="61" t="n">
        <v>131.02</v>
      </c>
      <c r="U95" s="61" t="n">
        <f aca="false">H95*Resumo!$B$6</f>
        <v>0.72199</v>
      </c>
      <c r="V95" s="61" t="n">
        <f aca="false">H95*Resumo!$B$7</f>
        <v>1.44398</v>
      </c>
      <c r="W95" s="61" t="n">
        <f aca="false">Resumo!$B$9</f>
        <v>1</v>
      </c>
      <c r="X95" s="61" t="n">
        <f aca="false">Resumo!$B$10*CEILING(G95/100,1)</f>
        <v>4.5</v>
      </c>
      <c r="Y95" s="61" t="n">
        <f aca="false">Resumo!$B$12*CEILING(G95,1)</f>
        <v>4.2</v>
      </c>
      <c r="Z95" s="61" t="n">
        <f aca="false">Resumo!$B$14*CEILING(G95,1)</f>
        <v>31.5</v>
      </c>
      <c r="AA95" s="61" t="n">
        <f aca="false">SUM(T95:Z95)</f>
        <v>174.38597</v>
      </c>
      <c r="AB95" s="61" t="n">
        <f aca="false">AA95/(1-Resumo!$B$5)</f>
        <v>198.165875</v>
      </c>
      <c r="AC95" s="61" t="n">
        <f aca="false">AB95-S95</f>
        <v>55.3450136363637</v>
      </c>
      <c r="AD95" s="62" t="n">
        <f aca="false">AB95/S95-1</f>
        <v>0.387513512437442</v>
      </c>
      <c r="AE95" s="60" t="str">
        <f aca="false">IF(AB95&lt;S95,"SIM","NÃO")</f>
        <v>NÃO</v>
      </c>
      <c r="AF95" s="60" t="n">
        <v>2</v>
      </c>
      <c r="AG95" s="60" t="n">
        <v>5</v>
      </c>
      <c r="AH95" s="60" t="s">
        <v>382</v>
      </c>
      <c r="AI95" s="61" t="n">
        <f aca="false">(T95*(1-Painel!$C$40)+U95+V95+Painel!$C$41+Painel!$C$42*CEILING(G95/100,1)+Painel!$C$43*CEILING(G95,1)+Z95)/(1-Resumo!$B$5)</f>
        <v>140.340193181818</v>
      </c>
      <c r="AJ95" s="60" t="str">
        <f aca="false">IF(AI95&lt;S95,"SIM","NÃO")</f>
        <v>SIM</v>
      </c>
    </row>
    <row r="96" customFormat="false" ht="15" hidden="false" customHeight="false" outlineLevel="0" collapsed="false">
      <c r="A96" s="59" t="n">
        <v>46212.5322800926</v>
      </c>
      <c r="B96" s="60" t="s">
        <v>474</v>
      </c>
      <c r="C96" s="60" t="n">
        <v>25937048</v>
      </c>
      <c r="D96" s="60" t="s">
        <v>225</v>
      </c>
      <c r="E96" s="60" t="s">
        <v>24</v>
      </c>
      <c r="F96" s="60" t="s">
        <v>235</v>
      </c>
      <c r="G96" s="60" t="n">
        <v>46.8</v>
      </c>
      <c r="H96" s="61" t="n">
        <v>556.99</v>
      </c>
      <c r="I96" s="61" t="n">
        <v>77.7</v>
      </c>
      <c r="J96" s="61" t="n">
        <f aca="false">H96*Resumo!$C$6</f>
        <v>0</v>
      </c>
      <c r="K96" s="61" t="n">
        <f aca="false">H96*Resumo!$C$7</f>
        <v>1.169679</v>
      </c>
      <c r="L96" s="61" t="n">
        <f aca="false">H96*Resumo!$C$8</f>
        <v>1.169679</v>
      </c>
      <c r="M96" s="61" t="n">
        <f aca="false">Resumo!$C$10*CEILING(G96/100,1)</f>
        <v>1.05</v>
      </c>
      <c r="N96" s="61" t="n">
        <f aca="false">Resumo!$C$9</f>
        <v>0</v>
      </c>
      <c r="O96" s="61" t="n">
        <f aca="false">Resumo!$C$13</f>
        <v>13.55</v>
      </c>
      <c r="P96" s="61" t="n">
        <f aca="false">Resumo!$C$14*CEILING(G96,1)</f>
        <v>21.15</v>
      </c>
      <c r="Q96" s="61" t="n">
        <f aca="false">SUM(I96:P96)*Resumo!$C$11</f>
        <v>0</v>
      </c>
      <c r="R96" s="61" t="n">
        <f aca="false">SUM(I96:Q96)</f>
        <v>115.789358</v>
      </c>
      <c r="S96" s="61" t="n">
        <f aca="false">R96/(1-Resumo!$C$5)</f>
        <v>131.578815909091</v>
      </c>
      <c r="T96" s="61" t="n">
        <v>117.23</v>
      </c>
      <c r="U96" s="61" t="n">
        <f aca="false">H96*Resumo!$B$6</f>
        <v>0.55699</v>
      </c>
      <c r="V96" s="61" t="n">
        <f aca="false">H96*Resumo!$B$7</f>
        <v>1.11398</v>
      </c>
      <c r="W96" s="61" t="n">
        <f aca="false">Resumo!$B$9</f>
        <v>1</v>
      </c>
      <c r="X96" s="61" t="n">
        <f aca="false">Resumo!$B$10*CEILING(G96/100,1)</f>
        <v>4.5</v>
      </c>
      <c r="Y96" s="61" t="n">
        <f aca="false">Resumo!$B$12*CEILING(G96,1)</f>
        <v>2.82</v>
      </c>
      <c r="Z96" s="61" t="n">
        <f aca="false">Resumo!$B$14*CEILING(G96,1)</f>
        <v>21.15</v>
      </c>
      <c r="AA96" s="61" t="n">
        <f aca="false">SUM(T96:Z96)</f>
        <v>148.37097</v>
      </c>
      <c r="AB96" s="61" t="n">
        <f aca="false">AA96/(1-Resumo!$B$5)</f>
        <v>168.603375</v>
      </c>
      <c r="AC96" s="61" t="n">
        <f aca="false">AB96-S96</f>
        <v>37.0245590909091</v>
      </c>
      <c r="AD96" s="62" t="n">
        <f aca="false">AB96/S96-1</f>
        <v>0.281386930222033</v>
      </c>
      <c r="AE96" s="60" t="str">
        <f aca="false">IF(AB96&lt;S96,"SIM","NÃO")</f>
        <v>NÃO</v>
      </c>
      <c r="AF96" s="60" t="n">
        <v>13</v>
      </c>
      <c r="AG96" s="60" t="n">
        <v>6</v>
      </c>
      <c r="AH96" s="60" t="s">
        <v>382</v>
      </c>
      <c r="AI96" s="61" t="n">
        <f aca="false">(T96*(1-Painel!$C$40)+U96+V96+Painel!$C$41+Painel!$C$42*CEILING(G96/100,1)+Painel!$C$43*CEILING(G96,1)+Z96)/(1-Resumo!$B$5)</f>
        <v>117.517125</v>
      </c>
      <c r="AJ96" s="60" t="str">
        <f aca="false">IF(AI96&lt;S96,"SIM","NÃO")</f>
        <v>SIM</v>
      </c>
    </row>
    <row r="97" customFormat="false" ht="15" hidden="false" customHeight="false" outlineLevel="0" collapsed="false">
      <c r="A97" s="59" t="n">
        <v>46212.6134837963</v>
      </c>
      <c r="B97" s="60" t="s">
        <v>475</v>
      </c>
      <c r="C97" s="60" t="n">
        <v>25015045</v>
      </c>
      <c r="D97" s="60" t="s">
        <v>48</v>
      </c>
      <c r="E97" s="60" t="s">
        <v>23</v>
      </c>
      <c r="F97" s="60" t="s">
        <v>236</v>
      </c>
      <c r="G97" s="60" t="n">
        <v>52.3</v>
      </c>
      <c r="H97" s="61" t="n">
        <v>643.99</v>
      </c>
      <c r="I97" s="61" t="n">
        <v>70.98</v>
      </c>
      <c r="J97" s="61" t="n">
        <f aca="false">H97*Resumo!$C$6</f>
        <v>0</v>
      </c>
      <c r="K97" s="61" t="n">
        <f aca="false">H97*Resumo!$C$7</f>
        <v>1.352379</v>
      </c>
      <c r="L97" s="61" t="n">
        <f aca="false">H97*Resumo!$C$8</f>
        <v>1.352379</v>
      </c>
      <c r="M97" s="61" t="n">
        <f aca="false">Resumo!$C$10*CEILING(G97/100,1)</f>
        <v>1.05</v>
      </c>
      <c r="N97" s="61" t="n">
        <f aca="false">Resumo!$C$9</f>
        <v>0</v>
      </c>
      <c r="O97" s="61" t="n">
        <f aca="false">Resumo!$C$13</f>
        <v>13.55</v>
      </c>
      <c r="P97" s="61" t="n">
        <f aca="false">Resumo!$C$14*CEILING(G97,1)</f>
        <v>23.85</v>
      </c>
      <c r="Q97" s="61" t="n">
        <f aca="false">SUM(I97:P97)*Resumo!$C$11</f>
        <v>0</v>
      </c>
      <c r="R97" s="61" t="n">
        <f aca="false">SUM(I97:Q97)</f>
        <v>112.134758</v>
      </c>
      <c r="S97" s="61" t="n">
        <f aca="false">R97/(1-Resumo!$C$5)</f>
        <v>127.425861363636</v>
      </c>
      <c r="T97" s="61" t="n">
        <v>112.3</v>
      </c>
      <c r="U97" s="61" t="n">
        <f aca="false">H97*Resumo!$B$6</f>
        <v>0.64399</v>
      </c>
      <c r="V97" s="61" t="n">
        <f aca="false">H97*Resumo!$B$7</f>
        <v>1.28798</v>
      </c>
      <c r="W97" s="61" t="n">
        <f aca="false">Resumo!$B$9</f>
        <v>1</v>
      </c>
      <c r="X97" s="61" t="n">
        <f aca="false">Resumo!$B$10*CEILING(G97/100,1)</f>
        <v>4.5</v>
      </c>
      <c r="Y97" s="61" t="n">
        <f aca="false">Resumo!$B$12*CEILING(G97,1)</f>
        <v>3.18</v>
      </c>
      <c r="Z97" s="61" t="n">
        <f aca="false">Resumo!$B$14*CEILING(G97,1)</f>
        <v>23.85</v>
      </c>
      <c r="AA97" s="61" t="n">
        <f aca="false">SUM(T97:Z97)</f>
        <v>146.76197</v>
      </c>
      <c r="AB97" s="61" t="n">
        <f aca="false">AA97/(1-Resumo!$B$5)</f>
        <v>166.774965909091</v>
      </c>
      <c r="AC97" s="61" t="n">
        <f aca="false">AB97-S97</f>
        <v>39.3491045454545</v>
      </c>
      <c r="AD97" s="62" t="n">
        <f aca="false">AB97/S97-1</f>
        <v>0.308799988670774</v>
      </c>
      <c r="AE97" s="60" t="str">
        <f aca="false">IF(AB97&lt;S97,"SIM","NÃO")</f>
        <v>NÃO</v>
      </c>
      <c r="AF97" s="60" t="n">
        <v>2</v>
      </c>
      <c r="AG97" s="60" t="n">
        <v>5</v>
      </c>
      <c r="AH97" s="60" t="s">
        <v>382</v>
      </c>
      <c r="AI97" s="61" t="n">
        <f aca="false">(T97*(1-Painel!$C$40)+U97+V97+Painel!$C$41+Painel!$C$42*CEILING(G97/100,1)+Painel!$C$43*CEILING(G97,1)+Z97)/(1-Resumo!$B$5)</f>
        <v>117.128375</v>
      </c>
      <c r="AJ97" s="60" t="str">
        <f aca="false">IF(AI97&lt;S97,"SIM","NÃO")</f>
        <v>SIM</v>
      </c>
    </row>
    <row r="98" customFormat="false" ht="15" hidden="false" customHeight="false" outlineLevel="0" collapsed="false">
      <c r="A98" s="59" t="n">
        <v>46212.6219097222</v>
      </c>
      <c r="B98" s="60" t="s">
        <v>476</v>
      </c>
      <c r="C98" s="60" t="n">
        <v>21221280</v>
      </c>
      <c r="D98" s="60" t="s">
        <v>46</v>
      </c>
      <c r="E98" s="60" t="s">
        <v>22</v>
      </c>
      <c r="F98" s="60" t="s">
        <v>235</v>
      </c>
      <c r="G98" s="60" t="n">
        <v>48</v>
      </c>
      <c r="H98" s="61" t="n">
        <v>827.99</v>
      </c>
      <c r="I98" s="61" t="n">
        <v>53.55</v>
      </c>
      <c r="J98" s="61" t="n">
        <f aca="false">H98*Resumo!$C$6</f>
        <v>0</v>
      </c>
      <c r="K98" s="61" t="n">
        <f aca="false">H98*Resumo!$C$7</f>
        <v>1.738779</v>
      </c>
      <c r="L98" s="61" t="n">
        <f aca="false">H98*Resumo!$C$8</f>
        <v>1.738779</v>
      </c>
      <c r="M98" s="61" t="n">
        <f aca="false">Resumo!$C$10*CEILING(G98/100,1)</f>
        <v>1.05</v>
      </c>
      <c r="N98" s="61" t="n">
        <f aca="false">Resumo!$C$9</f>
        <v>0</v>
      </c>
      <c r="O98" s="61" t="n">
        <f aca="false">Resumo!$C$13</f>
        <v>13.55</v>
      </c>
      <c r="P98" s="61" t="n">
        <f aca="false">Resumo!$C$14*CEILING(G98,1)</f>
        <v>21.6</v>
      </c>
      <c r="Q98" s="61" t="n">
        <f aca="false">SUM(I98:P98)*Resumo!$C$11</f>
        <v>0</v>
      </c>
      <c r="R98" s="61" t="n">
        <f aca="false">SUM(I98:Q98)</f>
        <v>93.227558</v>
      </c>
      <c r="S98" s="61" t="n">
        <f aca="false">R98/(1-Resumo!$C$5)</f>
        <v>105.940406818182</v>
      </c>
      <c r="T98" s="61" t="n">
        <v>93.97</v>
      </c>
      <c r="U98" s="61" t="n">
        <f aca="false">H98*Resumo!$B$6</f>
        <v>0.82799</v>
      </c>
      <c r="V98" s="61" t="n">
        <f aca="false">H98*Resumo!$B$7</f>
        <v>1.65598</v>
      </c>
      <c r="W98" s="61" t="n">
        <f aca="false">Resumo!$B$9</f>
        <v>1</v>
      </c>
      <c r="X98" s="61" t="n">
        <f aca="false">Resumo!$B$10*CEILING(G98/100,1)</f>
        <v>4.5</v>
      </c>
      <c r="Y98" s="61" t="n">
        <f aca="false">Resumo!$B$12*CEILING(G98,1)</f>
        <v>2.88</v>
      </c>
      <c r="Z98" s="61" t="n">
        <f aca="false">Resumo!$B$14*CEILING(G98,1)</f>
        <v>21.6</v>
      </c>
      <c r="AA98" s="61" t="n">
        <f aca="false">SUM(T98:Z98)</f>
        <v>126.43397</v>
      </c>
      <c r="AB98" s="61" t="n">
        <f aca="false">AA98/(1-Resumo!$B$5)</f>
        <v>143.674965909091</v>
      </c>
      <c r="AC98" s="61" t="n">
        <f aca="false">AB98-S98</f>
        <v>37.7345590909091</v>
      </c>
      <c r="AD98" s="62" t="n">
        <f aca="false">AB98/S98-1</f>
        <v>0.356186654594128</v>
      </c>
      <c r="AE98" s="60" t="str">
        <f aca="false">IF(AB98&lt;S98,"SIM","NÃO")</f>
        <v>NÃO</v>
      </c>
      <c r="AF98" s="60" t="n">
        <v>2</v>
      </c>
      <c r="AG98" s="60" t="n">
        <v>5</v>
      </c>
      <c r="AH98" s="60" t="s">
        <v>382</v>
      </c>
      <c r="AI98" s="61" t="n">
        <f aca="false">(T98*(1-Painel!$C$40)+U98+V98+Painel!$C$41+Painel!$C$42*CEILING(G98/100,1)+Painel!$C$43*CEILING(G98,1)+Z98)/(1-Resumo!$B$5)</f>
        <v>101.243034090909</v>
      </c>
      <c r="AJ98" s="60" t="str">
        <f aca="false">IF(AI98&lt;S98,"SIM","NÃO")</f>
        <v>SIM</v>
      </c>
    </row>
    <row r="99" customFormat="false" ht="15" hidden="false" customHeight="false" outlineLevel="0" collapsed="false">
      <c r="A99" s="59" t="n">
        <v>46212.6292708333</v>
      </c>
      <c r="B99" s="60" t="s">
        <v>477</v>
      </c>
      <c r="C99" s="60" t="n">
        <v>22790550</v>
      </c>
      <c r="D99" s="60" t="s">
        <v>46</v>
      </c>
      <c r="E99" s="60" t="s">
        <v>22</v>
      </c>
      <c r="F99" s="60" t="s">
        <v>234</v>
      </c>
      <c r="G99" s="60" t="n">
        <v>37.2</v>
      </c>
      <c r="H99" s="61" t="n">
        <v>359.99</v>
      </c>
      <c r="I99" s="61" t="n">
        <v>48.35</v>
      </c>
      <c r="J99" s="61" t="n">
        <f aca="false">H99*Resumo!$C$6</f>
        <v>0</v>
      </c>
      <c r="K99" s="61" t="n">
        <f aca="false">H99*Resumo!$C$7</f>
        <v>0.755979</v>
      </c>
      <c r="L99" s="61" t="n">
        <f aca="false">H99*Resumo!$C$8</f>
        <v>0.755979</v>
      </c>
      <c r="M99" s="61" t="n">
        <f aca="false">Resumo!$C$10*CEILING(G99/100,1)</f>
        <v>1.05</v>
      </c>
      <c r="N99" s="61" t="n">
        <f aca="false">Resumo!$C$9</f>
        <v>0</v>
      </c>
      <c r="O99" s="61" t="n">
        <f aca="false">Resumo!$C$13</f>
        <v>13.55</v>
      </c>
      <c r="P99" s="61" t="n">
        <f aca="false">Resumo!$C$14*CEILING(G99,1)</f>
        <v>17.1</v>
      </c>
      <c r="Q99" s="61" t="n">
        <f aca="false">SUM(I99:P99)*Resumo!$C$11</f>
        <v>0</v>
      </c>
      <c r="R99" s="61" t="n">
        <f aca="false">SUM(I99:Q99)</f>
        <v>81.561958</v>
      </c>
      <c r="S99" s="61" t="n">
        <f aca="false">R99/(1-Resumo!$C$5)</f>
        <v>92.6840431818182</v>
      </c>
      <c r="T99" s="61" t="n">
        <v>93.97</v>
      </c>
      <c r="U99" s="61" t="n">
        <f aca="false">H99*Resumo!$B$6</f>
        <v>0.35999</v>
      </c>
      <c r="V99" s="61" t="n">
        <f aca="false">H99*Resumo!$B$7</f>
        <v>0.71998</v>
      </c>
      <c r="W99" s="61" t="n">
        <f aca="false">Resumo!$B$9</f>
        <v>1</v>
      </c>
      <c r="X99" s="61" t="n">
        <f aca="false">Resumo!$B$10*CEILING(G99/100,1)</f>
        <v>4.5</v>
      </c>
      <c r="Y99" s="61" t="n">
        <f aca="false">Resumo!$B$12*CEILING(G99,1)</f>
        <v>2.28</v>
      </c>
      <c r="Z99" s="61" t="n">
        <f aca="false">Resumo!$B$14*CEILING(G99,1)</f>
        <v>17.1</v>
      </c>
      <c r="AA99" s="61" t="n">
        <f aca="false">SUM(T99:Z99)</f>
        <v>119.92997</v>
      </c>
      <c r="AB99" s="61" t="n">
        <f aca="false">AA99/(1-Resumo!$B$5)</f>
        <v>136.284056818182</v>
      </c>
      <c r="AC99" s="61" t="n">
        <f aca="false">AB99-S99</f>
        <v>43.6000136363636</v>
      </c>
      <c r="AD99" s="62" t="n">
        <f aca="false">AB99/S99-1</f>
        <v>0.470415533673186</v>
      </c>
      <c r="AE99" s="60" t="str">
        <f aca="false">IF(AB99&lt;S99,"SIM","NÃO")</f>
        <v>NÃO</v>
      </c>
      <c r="AF99" s="60" t="n">
        <v>2</v>
      </c>
      <c r="AG99" s="60" t="n">
        <v>5</v>
      </c>
      <c r="AH99" s="60" t="s">
        <v>382</v>
      </c>
      <c r="AI99" s="61" t="n">
        <f aca="false">(T99*(1-Painel!$C$40)+U99+V99+Painel!$C$41+Painel!$C$42*CEILING(G99/100,1)+Painel!$C$43*CEILING(G99,1)+Z99)/(1-Resumo!$B$5)</f>
        <v>94.5339431818182</v>
      </c>
      <c r="AJ99" s="60" t="str">
        <f aca="false">IF(AI99&lt;S99,"SIM","NÃO")</f>
        <v>NÃO</v>
      </c>
    </row>
    <row r="100" customFormat="false" ht="15" hidden="false" customHeight="false" outlineLevel="0" collapsed="false">
      <c r="A100" s="59" t="n">
        <v>46212.6403587963</v>
      </c>
      <c r="B100" s="60" t="s">
        <v>478</v>
      </c>
      <c r="C100" s="60" t="n">
        <v>22790587</v>
      </c>
      <c r="D100" s="60" t="s">
        <v>46</v>
      </c>
      <c r="E100" s="60" t="s">
        <v>22</v>
      </c>
      <c r="F100" s="60" t="s">
        <v>235</v>
      </c>
      <c r="G100" s="60" t="n">
        <v>41</v>
      </c>
      <c r="H100" s="61" t="n">
        <v>515.19</v>
      </c>
      <c r="I100" s="61" t="n">
        <v>53.55</v>
      </c>
      <c r="J100" s="61" t="n">
        <f aca="false">H100*Resumo!$C$6</f>
        <v>0</v>
      </c>
      <c r="K100" s="61" t="n">
        <f aca="false">H100*Resumo!$C$7</f>
        <v>1.081899</v>
      </c>
      <c r="L100" s="61" t="n">
        <f aca="false">H100*Resumo!$C$8</f>
        <v>1.081899</v>
      </c>
      <c r="M100" s="61" t="n">
        <f aca="false">Resumo!$C$10*CEILING(G100/100,1)</f>
        <v>1.05</v>
      </c>
      <c r="N100" s="61" t="n">
        <f aca="false">Resumo!$C$9</f>
        <v>0</v>
      </c>
      <c r="O100" s="61" t="n">
        <f aca="false">Resumo!$C$13</f>
        <v>13.55</v>
      </c>
      <c r="P100" s="61" t="n">
        <f aca="false">Resumo!$C$14*CEILING(G100,1)</f>
        <v>18.45</v>
      </c>
      <c r="Q100" s="61" t="n">
        <f aca="false">SUM(I100:P100)*Resumo!$C$11</f>
        <v>0</v>
      </c>
      <c r="R100" s="61" t="n">
        <f aca="false">SUM(I100:Q100)</f>
        <v>88.763798</v>
      </c>
      <c r="S100" s="61" t="n">
        <f aca="false">R100/(1-Resumo!$C$5)</f>
        <v>100.867952272727</v>
      </c>
      <c r="T100" s="61" t="n">
        <v>93.97</v>
      </c>
      <c r="U100" s="61" t="n">
        <f aca="false">H100*Resumo!$B$6</f>
        <v>0.51519</v>
      </c>
      <c r="V100" s="61" t="n">
        <f aca="false">H100*Resumo!$B$7</f>
        <v>1.03038</v>
      </c>
      <c r="W100" s="61" t="n">
        <f aca="false">Resumo!$B$9</f>
        <v>1</v>
      </c>
      <c r="X100" s="61" t="n">
        <f aca="false">Resumo!$B$10*CEILING(G100/100,1)</f>
        <v>4.5</v>
      </c>
      <c r="Y100" s="61" t="n">
        <f aca="false">Resumo!$B$12*CEILING(G100,1)</f>
        <v>2.46</v>
      </c>
      <c r="Z100" s="61" t="n">
        <f aca="false">Resumo!$B$14*CEILING(G100,1)</f>
        <v>18.45</v>
      </c>
      <c r="AA100" s="61" t="n">
        <f aca="false">SUM(T100:Z100)</f>
        <v>121.92557</v>
      </c>
      <c r="AB100" s="61" t="n">
        <f aca="false">AA100/(1-Resumo!$B$5)</f>
        <v>138.551784090909</v>
      </c>
      <c r="AC100" s="61" t="n">
        <f aca="false">AB100-S100</f>
        <v>37.6838318181818</v>
      </c>
      <c r="AD100" s="62" t="n">
        <f aca="false">AB100/S100-1</f>
        <v>0.373595685934935</v>
      </c>
      <c r="AE100" s="60" t="str">
        <f aca="false">IF(AB100&lt;S100,"SIM","NÃO")</f>
        <v>NÃO</v>
      </c>
      <c r="AF100" s="60" t="n">
        <v>2</v>
      </c>
      <c r="AG100" s="60" t="n">
        <v>5</v>
      </c>
      <c r="AH100" s="60" t="s">
        <v>382</v>
      </c>
      <c r="AI100" s="61" t="n">
        <f aca="false">(T100*(1-Painel!$C$40)+U100+V100+Painel!$C$41+Painel!$C$42*CEILING(G100/100,1)+Painel!$C$43*CEILING(G100,1)+Z100)/(1-Resumo!$B$5)</f>
        <v>96.597125</v>
      </c>
      <c r="AJ100" s="60" t="str">
        <f aca="false">IF(AI100&lt;S100,"SIM","NÃO")</f>
        <v>SIM</v>
      </c>
    </row>
    <row r="101" customFormat="false" ht="15" hidden="false" customHeight="false" outlineLevel="0" collapsed="false">
      <c r="A101" s="59" t="n">
        <v>46212.7845023148</v>
      </c>
      <c r="B101" s="60" t="s">
        <v>479</v>
      </c>
      <c r="C101" s="60" t="n">
        <v>21665001</v>
      </c>
      <c r="D101" s="60" t="s">
        <v>46</v>
      </c>
      <c r="E101" s="60" t="s">
        <v>22</v>
      </c>
      <c r="F101" s="60" t="s">
        <v>237</v>
      </c>
      <c r="G101" s="60" t="n">
        <v>66.8</v>
      </c>
      <c r="H101" s="61" t="n">
        <v>606.87</v>
      </c>
      <c r="I101" s="61" t="n">
        <v>63.21</v>
      </c>
      <c r="J101" s="61" t="n">
        <f aca="false">H101*Resumo!$C$6</f>
        <v>0</v>
      </c>
      <c r="K101" s="61" t="n">
        <f aca="false">H101*Resumo!$C$7</f>
        <v>1.274427</v>
      </c>
      <c r="L101" s="61" t="n">
        <f aca="false">H101*Resumo!$C$8</f>
        <v>1.274427</v>
      </c>
      <c r="M101" s="61" t="n">
        <f aca="false">Resumo!$C$10*CEILING(G101/100,1)</f>
        <v>1.05</v>
      </c>
      <c r="N101" s="61" t="n">
        <f aca="false">Resumo!$C$9</f>
        <v>0</v>
      </c>
      <c r="O101" s="61" t="n">
        <f aca="false">Resumo!$C$13</f>
        <v>13.55</v>
      </c>
      <c r="P101" s="61" t="n">
        <f aca="false">Resumo!$C$14*CEILING(G101,1)</f>
        <v>30.15</v>
      </c>
      <c r="Q101" s="61" t="n">
        <f aca="false">SUM(I101:P101)*Resumo!$C$11</f>
        <v>0</v>
      </c>
      <c r="R101" s="61" t="n">
        <f aca="false">SUM(I101:Q101)</f>
        <v>110.508854</v>
      </c>
      <c r="S101" s="61" t="n">
        <f aca="false">R101/(1-Resumo!$C$5)</f>
        <v>125.578243181818</v>
      </c>
      <c r="T101" s="61" t="n">
        <v>131.02</v>
      </c>
      <c r="U101" s="61" t="n">
        <f aca="false">H101*Resumo!$B$6</f>
        <v>0.60687</v>
      </c>
      <c r="V101" s="61" t="n">
        <f aca="false">H101*Resumo!$B$7</f>
        <v>1.21374</v>
      </c>
      <c r="W101" s="61" t="n">
        <f aca="false">Resumo!$B$9</f>
        <v>1</v>
      </c>
      <c r="X101" s="61" t="n">
        <f aca="false">Resumo!$B$10*CEILING(G101/100,1)</f>
        <v>4.5</v>
      </c>
      <c r="Y101" s="61" t="n">
        <f aca="false">Resumo!$B$12*CEILING(G101,1)</f>
        <v>4.02</v>
      </c>
      <c r="Z101" s="61" t="n">
        <f aca="false">Resumo!$B$14*CEILING(G101,1)</f>
        <v>30.15</v>
      </c>
      <c r="AA101" s="61" t="n">
        <f aca="false">SUM(T101:Z101)</f>
        <v>172.51061</v>
      </c>
      <c r="AB101" s="61" t="n">
        <f aca="false">AA101/(1-Resumo!$B$5)</f>
        <v>196.034784090909</v>
      </c>
      <c r="AC101" s="61" t="n">
        <f aca="false">AB101-S101</f>
        <v>70.4565409090909</v>
      </c>
      <c r="AD101" s="62" t="n">
        <f aca="false">AB101/S101-1</f>
        <v>0.561056908616571</v>
      </c>
      <c r="AE101" s="60" t="str">
        <f aca="false">IF(AB101&lt;S101,"SIM","NÃO")</f>
        <v>NÃO</v>
      </c>
      <c r="AF101" s="60" t="n">
        <v>2</v>
      </c>
      <c r="AG101" s="60" t="n">
        <v>5</v>
      </c>
      <c r="AH101" s="60" t="s">
        <v>382</v>
      </c>
      <c r="AI101" s="61" t="n">
        <f aca="false">(T101*(1-Painel!$C$40)+U101+V101+Painel!$C$41+Painel!$C$42*CEILING(G101/100,1)+Painel!$C$43*CEILING(G101,1)+Z101)/(1-Resumo!$B$5)</f>
        <v>138.413647727273</v>
      </c>
      <c r="AJ101" s="60" t="str">
        <f aca="false">IF(AI101&lt;S101,"SIM","NÃO")</f>
        <v>NÃO</v>
      </c>
    </row>
    <row r="102" customFormat="false" ht="15" hidden="false" customHeight="false" outlineLevel="0" collapsed="false">
      <c r="A102" s="59" t="n">
        <v>46212.7866782407</v>
      </c>
      <c r="B102" s="60" t="s">
        <v>480</v>
      </c>
      <c r="C102" s="60" t="n">
        <v>25995290</v>
      </c>
      <c r="D102" s="60" t="s">
        <v>281</v>
      </c>
      <c r="E102" s="60" t="s">
        <v>24</v>
      </c>
      <c r="F102" s="60" t="s">
        <v>233</v>
      </c>
      <c r="G102" s="60" t="n">
        <v>34.4</v>
      </c>
      <c r="H102" s="61" t="n">
        <v>404.99</v>
      </c>
      <c r="I102" s="61" t="n">
        <v>65.63</v>
      </c>
      <c r="J102" s="61" t="n">
        <f aca="false">H102*Resumo!$C$6</f>
        <v>0</v>
      </c>
      <c r="K102" s="61" t="n">
        <f aca="false">H102*Resumo!$C$7</f>
        <v>0.850479</v>
      </c>
      <c r="L102" s="61" t="n">
        <f aca="false">H102*Resumo!$C$8</f>
        <v>0.850479</v>
      </c>
      <c r="M102" s="61" t="n">
        <f aca="false">Resumo!$C$10*CEILING(G102/100,1)</f>
        <v>1.05</v>
      </c>
      <c r="N102" s="61" t="n">
        <f aca="false">Resumo!$C$9</f>
        <v>0</v>
      </c>
      <c r="O102" s="61" t="n">
        <f aca="false">Resumo!$C$13</f>
        <v>13.55</v>
      </c>
      <c r="P102" s="61" t="n">
        <f aca="false">Resumo!$C$14*CEILING(G102,1)</f>
        <v>15.75</v>
      </c>
      <c r="Q102" s="61" t="n">
        <f aca="false">SUM(I102:P102)*Resumo!$C$11</f>
        <v>0</v>
      </c>
      <c r="R102" s="61" t="n">
        <f aca="false">SUM(I102:Q102)</f>
        <v>97.680958</v>
      </c>
      <c r="S102" s="61" t="n">
        <f aca="false">R102/(1-Resumo!$C$5)</f>
        <v>111.001088636364</v>
      </c>
      <c r="T102" s="61" t="n">
        <v>120.78</v>
      </c>
      <c r="U102" s="61" t="n">
        <f aca="false">H102*Resumo!$B$6</f>
        <v>0.40499</v>
      </c>
      <c r="V102" s="61" t="n">
        <f aca="false">H102*Resumo!$B$7</f>
        <v>0.80998</v>
      </c>
      <c r="W102" s="61" t="n">
        <f aca="false">Resumo!$B$9</f>
        <v>1</v>
      </c>
      <c r="X102" s="61" t="n">
        <f aca="false">Resumo!$B$10*CEILING(G102/100,1)</f>
        <v>4.5</v>
      </c>
      <c r="Y102" s="61" t="n">
        <f aca="false">Resumo!$B$12*CEILING(G102,1)</f>
        <v>2.1</v>
      </c>
      <c r="Z102" s="61" t="n">
        <f aca="false">Resumo!$B$14*CEILING(G102,1)</f>
        <v>15.75</v>
      </c>
      <c r="AA102" s="61" t="n">
        <f aca="false">SUM(T102:Z102)</f>
        <v>145.34497</v>
      </c>
      <c r="AB102" s="61" t="n">
        <f aca="false">AA102/(1-Resumo!$B$5)</f>
        <v>165.164738636364</v>
      </c>
      <c r="AC102" s="61" t="n">
        <f aca="false">AB102-S102</f>
        <v>54.16365</v>
      </c>
      <c r="AD102" s="62" t="n">
        <f aca="false">AB102/S102-1</f>
        <v>0.48795602516511</v>
      </c>
      <c r="AE102" s="60" t="str">
        <f aca="false">IF(AB102&lt;S102,"SIM","NÃO")</f>
        <v>NÃO</v>
      </c>
      <c r="AF102" s="60" t="n">
        <v>13</v>
      </c>
      <c r="AG102" s="60" t="n">
        <v>10</v>
      </c>
      <c r="AH102" s="60" t="s">
        <v>385</v>
      </c>
      <c r="AI102" s="61" t="n">
        <f aca="false">(T102*(1-Painel!$C$40)+U102+V102+Painel!$C$41+Painel!$C$42*CEILING(G102/100,1)+Painel!$C$43*CEILING(G102,1)+Z102)/(1-Resumo!$B$5)</f>
        <v>113.565420454545</v>
      </c>
      <c r="AJ102" s="60" t="str">
        <f aca="false">IF(AI102&lt;S102,"SIM","NÃO")</f>
        <v>NÃO</v>
      </c>
    </row>
    <row r="103" customFormat="false" ht="15" hidden="false" customHeight="false" outlineLevel="0" collapsed="false">
      <c r="A103" s="59" t="n">
        <v>46212.8819907407</v>
      </c>
      <c r="B103" s="60" t="s">
        <v>481</v>
      </c>
      <c r="C103" s="60" t="n">
        <v>20530003</v>
      </c>
      <c r="D103" s="60" t="s">
        <v>46</v>
      </c>
      <c r="E103" s="60" t="s">
        <v>22</v>
      </c>
      <c r="F103" s="60" t="s">
        <v>235</v>
      </c>
      <c r="G103" s="60" t="n">
        <v>44.5</v>
      </c>
      <c r="H103" s="61" t="n">
        <v>819.99</v>
      </c>
      <c r="I103" s="61" t="n">
        <v>53.55</v>
      </c>
      <c r="J103" s="61" t="n">
        <f aca="false">H103*Resumo!$C$6</f>
        <v>0</v>
      </c>
      <c r="K103" s="61" t="n">
        <f aca="false">H103*Resumo!$C$7</f>
        <v>1.721979</v>
      </c>
      <c r="L103" s="61" t="n">
        <f aca="false">H103*Resumo!$C$8</f>
        <v>1.721979</v>
      </c>
      <c r="M103" s="61" t="n">
        <f aca="false">Resumo!$C$10*CEILING(G103/100,1)</f>
        <v>1.05</v>
      </c>
      <c r="N103" s="61" t="n">
        <f aca="false">Resumo!$C$9</f>
        <v>0</v>
      </c>
      <c r="O103" s="61" t="n">
        <f aca="false">Resumo!$C$13</f>
        <v>13.55</v>
      </c>
      <c r="P103" s="61" t="n">
        <f aca="false">Resumo!$C$14*CEILING(G103,1)</f>
        <v>20.25</v>
      </c>
      <c r="Q103" s="61" t="n">
        <f aca="false">SUM(I103:P103)*Resumo!$C$11</f>
        <v>0</v>
      </c>
      <c r="R103" s="61" t="n">
        <f aca="false">SUM(I103:Q103)</f>
        <v>91.843958</v>
      </c>
      <c r="S103" s="61" t="n">
        <f aca="false">R103/(1-Resumo!$C$5)</f>
        <v>104.368134090909</v>
      </c>
      <c r="T103" s="61" t="n">
        <v>93.97</v>
      </c>
      <c r="U103" s="61" t="n">
        <f aca="false">H103*Resumo!$B$6</f>
        <v>0.81999</v>
      </c>
      <c r="V103" s="61" t="n">
        <f aca="false">H103*Resumo!$B$7</f>
        <v>1.63998</v>
      </c>
      <c r="W103" s="61" t="n">
        <f aca="false">Resumo!$B$9</f>
        <v>1</v>
      </c>
      <c r="X103" s="61" t="n">
        <f aca="false">Resumo!$B$10*CEILING(G103/100,1)</f>
        <v>4.5</v>
      </c>
      <c r="Y103" s="61" t="n">
        <f aca="false">Resumo!$B$12*CEILING(G103,1)</f>
        <v>2.7</v>
      </c>
      <c r="Z103" s="61" t="n">
        <f aca="false">Resumo!$B$14*CEILING(G103,1)</f>
        <v>20.25</v>
      </c>
      <c r="AA103" s="61" t="n">
        <f aca="false">SUM(T103:Z103)</f>
        <v>124.87997</v>
      </c>
      <c r="AB103" s="61" t="n">
        <f aca="false">AA103/(1-Resumo!$B$5)</f>
        <v>141.909056818182</v>
      </c>
      <c r="AC103" s="61" t="n">
        <f aca="false">AB103-S103</f>
        <v>37.5409227272727</v>
      </c>
      <c r="AD103" s="62" t="n">
        <f aca="false">AB103/S103-1</f>
        <v>0.35969717245853</v>
      </c>
      <c r="AE103" s="60" t="str">
        <f aca="false">IF(AB103&lt;S103,"SIM","NÃO")</f>
        <v>NÃO</v>
      </c>
      <c r="AF103" s="60" t="n">
        <v>2</v>
      </c>
      <c r="AG103" s="60" t="n">
        <v>5</v>
      </c>
      <c r="AH103" s="60" t="s">
        <v>382</v>
      </c>
      <c r="AI103" s="61" t="n">
        <f aca="false">(T103*(1-Painel!$C$40)+U103+V103+Painel!$C$41+Painel!$C$42*CEILING(G103/100,1)+Painel!$C$43*CEILING(G103,1)+Z103)/(1-Resumo!$B$5)</f>
        <v>99.6816704545454</v>
      </c>
      <c r="AJ103" s="60" t="str">
        <f aca="false">IF(AI103&lt;S103,"SIM","NÃO")</f>
        <v>SIM</v>
      </c>
    </row>
    <row r="104" customFormat="false" ht="15" hidden="false" customHeight="false" outlineLevel="0" collapsed="false">
      <c r="A104" s="59" t="n">
        <v>46212.8863194444</v>
      </c>
      <c r="B104" s="60" t="s">
        <v>482</v>
      </c>
      <c r="C104" s="60" t="n">
        <v>24744010</v>
      </c>
      <c r="D104" s="60" t="s">
        <v>47</v>
      </c>
      <c r="E104" s="60" t="s">
        <v>23</v>
      </c>
      <c r="F104" s="60" t="s">
        <v>237</v>
      </c>
      <c r="G104" s="60" t="n">
        <v>66.8</v>
      </c>
      <c r="H104" s="61" t="n">
        <v>643.99</v>
      </c>
      <c r="I104" s="61" t="n">
        <v>76.55</v>
      </c>
      <c r="J104" s="61" t="n">
        <f aca="false">H104*Resumo!$C$6</f>
        <v>0</v>
      </c>
      <c r="K104" s="61" t="n">
        <f aca="false">H104*Resumo!$C$7</f>
        <v>1.352379</v>
      </c>
      <c r="L104" s="61" t="n">
        <f aca="false">H104*Resumo!$C$8</f>
        <v>1.352379</v>
      </c>
      <c r="M104" s="61" t="n">
        <f aca="false">Resumo!$C$10*CEILING(G104/100,1)</f>
        <v>1.05</v>
      </c>
      <c r="N104" s="61" t="n">
        <f aca="false">Resumo!$C$9</f>
        <v>0</v>
      </c>
      <c r="O104" s="61" t="n">
        <f aca="false">Resumo!$C$13</f>
        <v>13.55</v>
      </c>
      <c r="P104" s="61" t="n">
        <f aca="false">Resumo!$C$14*CEILING(G104,1)</f>
        <v>30.15</v>
      </c>
      <c r="Q104" s="61" t="n">
        <f aca="false">SUM(I104:P104)*Resumo!$C$11</f>
        <v>0</v>
      </c>
      <c r="R104" s="61" t="n">
        <f aca="false">SUM(I104:Q104)</f>
        <v>124.004758</v>
      </c>
      <c r="S104" s="61" t="n">
        <f aca="false">R104/(1-Resumo!$C$5)</f>
        <v>140.914497727273</v>
      </c>
      <c r="T104" s="61" t="n">
        <v>149.5</v>
      </c>
      <c r="U104" s="61" t="n">
        <f aca="false">H104*Resumo!$B$6</f>
        <v>0.64399</v>
      </c>
      <c r="V104" s="61" t="n">
        <f aca="false">H104*Resumo!$B$7</f>
        <v>1.28798</v>
      </c>
      <c r="W104" s="61" t="n">
        <f aca="false">Resumo!$B$9</f>
        <v>1</v>
      </c>
      <c r="X104" s="61" t="n">
        <f aca="false">Resumo!$B$10*CEILING(G104/100,1)</f>
        <v>4.5</v>
      </c>
      <c r="Y104" s="61" t="n">
        <f aca="false">Resumo!$B$12*CEILING(G104,1)</f>
        <v>4.02</v>
      </c>
      <c r="Z104" s="61" t="n">
        <f aca="false">Resumo!$B$14*CEILING(G104,1)</f>
        <v>30.15</v>
      </c>
      <c r="AA104" s="61" t="n">
        <f aca="false">SUM(T104:Z104)</f>
        <v>191.10197</v>
      </c>
      <c r="AB104" s="61" t="n">
        <f aca="false">AA104/(1-Resumo!$B$5)</f>
        <v>217.161329545455</v>
      </c>
      <c r="AC104" s="61" t="n">
        <f aca="false">AB104-S104</f>
        <v>76.2468318181818</v>
      </c>
      <c r="AD104" s="62" t="n">
        <f aca="false">AB104/S104-1</f>
        <v>0.541085786401841</v>
      </c>
      <c r="AE104" s="60" t="str">
        <f aca="false">IF(AB104&lt;S104,"SIM","NÃO")</f>
        <v>NÃO</v>
      </c>
      <c r="AF104" s="60" t="n">
        <v>2</v>
      </c>
      <c r="AG104" s="60" t="n">
        <v>7</v>
      </c>
      <c r="AH104" s="60" t="s">
        <v>382</v>
      </c>
      <c r="AI104" s="61" t="n">
        <f aca="false">(T104*(1-Painel!$C$40)+U104+V104+Painel!$C$41+Painel!$C$42*CEILING(G104/100,1)+Painel!$C$43*CEILING(G104,1)+Z104)/(1-Resumo!$B$5)</f>
        <v>152.610193181818</v>
      </c>
      <c r="AJ104" s="60" t="str">
        <f aca="false">IF(AI104&lt;S104,"SIM","NÃO")</f>
        <v>NÃO</v>
      </c>
    </row>
    <row r="105" customFormat="false" ht="15" hidden="false" customHeight="false" outlineLevel="0" collapsed="false">
      <c r="A105" s="59" t="n">
        <v>46212.8879513889</v>
      </c>
      <c r="B105" s="60" t="s">
        <v>483</v>
      </c>
      <c r="C105" s="60" t="n">
        <v>24344487</v>
      </c>
      <c r="D105" s="60" t="s">
        <v>50</v>
      </c>
      <c r="E105" s="60" t="s">
        <v>23</v>
      </c>
      <c r="F105" s="60" t="s">
        <v>237</v>
      </c>
      <c r="G105" s="60" t="n">
        <v>69</v>
      </c>
      <c r="H105" s="61" t="n">
        <v>859.99</v>
      </c>
      <c r="I105" s="61" t="n">
        <v>76.55</v>
      </c>
      <c r="J105" s="61" t="n">
        <f aca="false">H105*Resumo!$C$6</f>
        <v>0</v>
      </c>
      <c r="K105" s="61" t="n">
        <f aca="false">H105*Resumo!$C$7</f>
        <v>1.805979</v>
      </c>
      <c r="L105" s="61" t="n">
        <f aca="false">H105*Resumo!$C$8</f>
        <v>1.805979</v>
      </c>
      <c r="M105" s="61" t="n">
        <f aca="false">Resumo!$C$10*CEILING(G105/100,1)</f>
        <v>1.05</v>
      </c>
      <c r="N105" s="61" t="n">
        <f aca="false">Resumo!$C$9</f>
        <v>0</v>
      </c>
      <c r="O105" s="61" t="n">
        <f aca="false">Resumo!$C$13</f>
        <v>13.55</v>
      </c>
      <c r="P105" s="61" t="n">
        <f aca="false">Resumo!$C$14*CEILING(G105,1)</f>
        <v>31.05</v>
      </c>
      <c r="Q105" s="61" t="n">
        <f aca="false">SUM(I105:P105)*Resumo!$C$11</f>
        <v>0</v>
      </c>
      <c r="R105" s="61" t="n">
        <f aca="false">SUM(I105:Q105)</f>
        <v>125.811958</v>
      </c>
      <c r="S105" s="61" t="n">
        <f aca="false">R105/(1-Resumo!$C$5)</f>
        <v>142.968134090909</v>
      </c>
      <c r="T105" s="61" t="n">
        <v>149.5</v>
      </c>
      <c r="U105" s="61" t="n">
        <f aca="false">H105*Resumo!$B$6</f>
        <v>0.85999</v>
      </c>
      <c r="V105" s="61" t="n">
        <f aca="false">H105*Resumo!$B$7</f>
        <v>1.71998</v>
      </c>
      <c r="W105" s="61" t="n">
        <f aca="false">Resumo!$B$9</f>
        <v>1</v>
      </c>
      <c r="X105" s="61" t="n">
        <f aca="false">Resumo!$B$10*CEILING(G105/100,1)</f>
        <v>4.5</v>
      </c>
      <c r="Y105" s="61" t="n">
        <f aca="false">Resumo!$B$12*CEILING(G105,1)</f>
        <v>4.14</v>
      </c>
      <c r="Z105" s="61" t="n">
        <f aca="false">Resumo!$B$14*CEILING(G105,1)</f>
        <v>31.05</v>
      </c>
      <c r="AA105" s="61" t="n">
        <f aca="false">SUM(T105:Z105)</f>
        <v>192.76997</v>
      </c>
      <c r="AB105" s="61" t="n">
        <f aca="false">AA105/(1-Resumo!$B$5)</f>
        <v>219.056784090909</v>
      </c>
      <c r="AC105" s="61" t="n">
        <f aca="false">AB105-S105</f>
        <v>76.08865</v>
      </c>
      <c r="AD105" s="62" t="n">
        <f aca="false">AB105/S105-1</f>
        <v>0.53220705777427</v>
      </c>
      <c r="AE105" s="60" t="str">
        <f aca="false">IF(AB105&lt;S105,"SIM","NÃO")</f>
        <v>NÃO</v>
      </c>
      <c r="AF105" s="60" t="n">
        <v>2</v>
      </c>
      <c r="AG105" s="60" t="n">
        <v>7</v>
      </c>
      <c r="AH105" s="60" t="s">
        <v>382</v>
      </c>
      <c r="AI105" s="61" t="n">
        <f aca="false">(T105*(1-Painel!$C$40)+U105+V105+Painel!$C$41+Painel!$C$42*CEILING(G105/100,1)+Painel!$C$43*CEILING(G105,1)+Z105)/(1-Resumo!$B$5)</f>
        <v>154.369284090909</v>
      </c>
      <c r="AJ105" s="60" t="str">
        <f aca="false">IF(AI105&lt;S105,"SIM","NÃO")</f>
        <v>NÃO</v>
      </c>
    </row>
    <row r="106" customFormat="false" ht="15" hidden="false" customHeight="false" outlineLevel="0" collapsed="false">
      <c r="A106" s="59" t="n">
        <v>46212.9213657407</v>
      </c>
      <c r="B106" s="60" t="s">
        <v>484</v>
      </c>
      <c r="C106" s="60" t="n">
        <v>27602270</v>
      </c>
      <c r="D106" s="60" t="s">
        <v>299</v>
      </c>
      <c r="E106" s="60" t="s">
        <v>24</v>
      </c>
      <c r="F106" s="60" t="s">
        <v>236</v>
      </c>
      <c r="G106" s="60" t="n">
        <v>52.3</v>
      </c>
      <c r="H106" s="61" t="n">
        <v>643.99</v>
      </c>
      <c r="I106" s="61" t="n">
        <v>83.58</v>
      </c>
      <c r="J106" s="61" t="n">
        <f aca="false">H106*Resumo!$C$6</f>
        <v>0</v>
      </c>
      <c r="K106" s="61" t="n">
        <f aca="false">H106*Resumo!$C$7</f>
        <v>1.352379</v>
      </c>
      <c r="L106" s="61" t="n">
        <f aca="false">H106*Resumo!$C$8</f>
        <v>1.352379</v>
      </c>
      <c r="M106" s="61" t="n">
        <f aca="false">Resumo!$C$10*CEILING(G106/100,1)</f>
        <v>1.05</v>
      </c>
      <c r="N106" s="61" t="n">
        <f aca="false">Resumo!$C$9</f>
        <v>0</v>
      </c>
      <c r="O106" s="61" t="n">
        <f aca="false">Resumo!$C$13</f>
        <v>13.55</v>
      </c>
      <c r="P106" s="61" t="n">
        <f aca="false">Resumo!$C$14*CEILING(G106,1)</f>
        <v>23.85</v>
      </c>
      <c r="Q106" s="61" t="n">
        <f aca="false">SUM(I106:P106)*Resumo!$C$11</f>
        <v>0</v>
      </c>
      <c r="R106" s="61" t="n">
        <f aca="false">SUM(I106:Q106)</f>
        <v>124.734758</v>
      </c>
      <c r="S106" s="61" t="n">
        <f aca="false">R106/(1-Resumo!$C$5)</f>
        <v>141.744043181818</v>
      </c>
      <c r="T106" s="61" t="n">
        <v>142.32</v>
      </c>
      <c r="U106" s="61" t="n">
        <f aca="false">H106*Resumo!$B$6</f>
        <v>0.64399</v>
      </c>
      <c r="V106" s="61" t="n">
        <f aca="false">H106*Resumo!$B$7</f>
        <v>1.28798</v>
      </c>
      <c r="W106" s="61" t="n">
        <f aca="false">Resumo!$B$9</f>
        <v>1</v>
      </c>
      <c r="X106" s="61" t="n">
        <f aca="false">Resumo!$B$10*CEILING(G106/100,1)</f>
        <v>4.5</v>
      </c>
      <c r="Y106" s="61" t="n">
        <f aca="false">Resumo!$B$12*CEILING(G106,1)</f>
        <v>3.18</v>
      </c>
      <c r="Z106" s="61" t="n">
        <f aca="false">Resumo!$B$14*CEILING(G106,1)</f>
        <v>23.85</v>
      </c>
      <c r="AA106" s="61" t="n">
        <f aca="false">SUM(T106:Z106)</f>
        <v>176.78197</v>
      </c>
      <c r="AB106" s="61" t="n">
        <f aca="false">AA106/(1-Resumo!$B$5)</f>
        <v>200.888602272727</v>
      </c>
      <c r="AC106" s="61" t="n">
        <f aca="false">AB106-S106</f>
        <v>59.1445590909091</v>
      </c>
      <c r="AD106" s="62" t="n">
        <f aca="false">AB106/S106-1</f>
        <v>0.41726310159675</v>
      </c>
      <c r="AE106" s="60" t="str">
        <f aca="false">IF(AB106&lt;S106,"SIM","NÃO")</f>
        <v>NÃO</v>
      </c>
      <c r="AF106" s="60" t="n">
        <v>13</v>
      </c>
      <c r="AG106" s="60" t="n">
        <v>10</v>
      </c>
      <c r="AH106" s="60" t="s">
        <v>385</v>
      </c>
      <c r="AI106" s="61" t="n">
        <f aca="false">(T106*(1-Painel!$C$40)+U106+V106+Painel!$C$41+Painel!$C$42*CEILING(G106/100,1)+Painel!$C$43*CEILING(G106,1)+Z106)/(1-Resumo!$B$5)</f>
        <v>139.984511363636</v>
      </c>
      <c r="AJ106" s="60" t="str">
        <f aca="false">IF(AI106&lt;S106,"SIM","NÃO")</f>
        <v>SIM</v>
      </c>
    </row>
    <row r="107" customFormat="false" ht="15" hidden="false" customHeight="false" outlineLevel="0" collapsed="false">
      <c r="A107" s="59" t="n">
        <v>46212.9667939815</v>
      </c>
      <c r="B107" s="60" t="s">
        <v>485</v>
      </c>
      <c r="C107" s="60" t="n">
        <v>21381350</v>
      </c>
      <c r="D107" s="60" t="s">
        <v>46</v>
      </c>
      <c r="E107" s="60" t="s">
        <v>22</v>
      </c>
      <c r="F107" s="60" t="s">
        <v>236</v>
      </c>
      <c r="G107" s="60" t="n">
        <v>52.3</v>
      </c>
      <c r="H107" s="61" t="n">
        <v>643.99</v>
      </c>
      <c r="I107" s="61" t="n">
        <v>58.6</v>
      </c>
      <c r="J107" s="61" t="n">
        <f aca="false">H107*Resumo!$C$6</f>
        <v>0</v>
      </c>
      <c r="K107" s="61" t="n">
        <f aca="false">H107*Resumo!$C$7</f>
        <v>1.352379</v>
      </c>
      <c r="L107" s="61" t="n">
        <f aca="false">H107*Resumo!$C$8</f>
        <v>1.352379</v>
      </c>
      <c r="M107" s="61" t="n">
        <f aca="false">Resumo!$C$10*CEILING(G107/100,1)</f>
        <v>1.05</v>
      </c>
      <c r="N107" s="61" t="n">
        <f aca="false">Resumo!$C$9</f>
        <v>0</v>
      </c>
      <c r="O107" s="61" t="n">
        <f aca="false">Resumo!$C$13</f>
        <v>13.55</v>
      </c>
      <c r="P107" s="61" t="n">
        <f aca="false">Resumo!$C$14*CEILING(G107,1)</f>
        <v>23.85</v>
      </c>
      <c r="Q107" s="61" t="n">
        <f aca="false">SUM(I107:P107)*Resumo!$C$11</f>
        <v>0</v>
      </c>
      <c r="R107" s="61" t="n">
        <f aca="false">SUM(I107:Q107)</f>
        <v>99.754758</v>
      </c>
      <c r="S107" s="61" t="n">
        <f aca="false">R107/(1-Resumo!$C$5)</f>
        <v>113.357679545455</v>
      </c>
      <c r="T107" s="61" t="n">
        <v>112.3</v>
      </c>
      <c r="U107" s="61" t="n">
        <f aca="false">H107*Resumo!$B$6</f>
        <v>0.64399</v>
      </c>
      <c r="V107" s="61" t="n">
        <f aca="false">H107*Resumo!$B$7</f>
        <v>1.28798</v>
      </c>
      <c r="W107" s="61" t="n">
        <f aca="false">Resumo!$B$9</f>
        <v>1</v>
      </c>
      <c r="X107" s="61" t="n">
        <f aca="false">Resumo!$B$10*CEILING(G107/100,1)</f>
        <v>4.5</v>
      </c>
      <c r="Y107" s="61" t="n">
        <f aca="false">Resumo!$B$12*CEILING(G107,1)</f>
        <v>3.18</v>
      </c>
      <c r="Z107" s="61" t="n">
        <f aca="false">Resumo!$B$14*CEILING(G107,1)</f>
        <v>23.85</v>
      </c>
      <c r="AA107" s="61" t="n">
        <f aca="false">SUM(T107:Z107)</f>
        <v>146.76197</v>
      </c>
      <c r="AB107" s="61" t="n">
        <f aca="false">AA107/(1-Resumo!$B$5)</f>
        <v>166.774965909091</v>
      </c>
      <c r="AC107" s="61" t="n">
        <f aca="false">AB107-S107</f>
        <v>53.4172863636363</v>
      </c>
      <c r="AD107" s="62" t="n">
        <f aca="false">AB107/S107-1</f>
        <v>0.471227768403788</v>
      </c>
      <c r="AE107" s="60" t="str">
        <f aca="false">IF(AB107&lt;S107,"SIM","NÃO")</f>
        <v>NÃO</v>
      </c>
      <c r="AF107" s="60" t="n">
        <v>2</v>
      </c>
      <c r="AG107" s="60" t="n">
        <v>5</v>
      </c>
      <c r="AH107" s="60" t="s">
        <v>382</v>
      </c>
      <c r="AI107" s="61" t="n">
        <f aca="false">(T107*(1-Painel!$C$40)+U107+V107+Painel!$C$41+Painel!$C$42*CEILING(G107/100,1)+Painel!$C$43*CEILING(G107,1)+Z107)/(1-Resumo!$B$5)</f>
        <v>117.128375</v>
      </c>
      <c r="AJ107" s="60" t="str">
        <f aca="false">IF(AI107&lt;S107,"SIM","NÃO")</f>
        <v>NÃO</v>
      </c>
    </row>
    <row r="108" customFormat="false" ht="15" hidden="false" customHeight="false" outlineLevel="0" collapsed="false">
      <c r="A108" s="59" t="n">
        <v>46212.9798611111</v>
      </c>
      <c r="B108" s="60" t="s">
        <v>486</v>
      </c>
      <c r="C108" s="60" t="n">
        <v>28200000</v>
      </c>
      <c r="D108" s="60" t="s">
        <v>305</v>
      </c>
      <c r="E108" s="60" t="s">
        <v>24</v>
      </c>
      <c r="F108" s="60" t="s">
        <v>234</v>
      </c>
      <c r="G108" s="60" t="n">
        <v>40</v>
      </c>
      <c r="H108" s="61" t="n">
        <v>599.99</v>
      </c>
      <c r="I108" s="61" t="n">
        <v>74.97</v>
      </c>
      <c r="J108" s="61" t="n">
        <f aca="false">H108*Resumo!$C$6</f>
        <v>0</v>
      </c>
      <c r="K108" s="61" t="n">
        <f aca="false">H108*Resumo!$C$7</f>
        <v>1.259979</v>
      </c>
      <c r="L108" s="61" t="n">
        <f aca="false">H108*Resumo!$C$8</f>
        <v>1.259979</v>
      </c>
      <c r="M108" s="61" t="n">
        <f aca="false">Resumo!$C$10*CEILING(G108/100,1)</f>
        <v>1.05</v>
      </c>
      <c r="N108" s="61" t="n">
        <f aca="false">Resumo!$C$9</f>
        <v>0</v>
      </c>
      <c r="O108" s="61" t="n">
        <f aca="false">Resumo!$C$13</f>
        <v>13.55</v>
      </c>
      <c r="P108" s="61" t="n">
        <f aca="false">Resumo!$C$14*CEILING(G108,1)</f>
        <v>18</v>
      </c>
      <c r="Q108" s="61" t="n">
        <f aca="false">SUM(I108:P108)*Resumo!$C$11</f>
        <v>0</v>
      </c>
      <c r="R108" s="61" t="n">
        <f aca="false">SUM(I108:Q108)</f>
        <v>110.089958</v>
      </c>
      <c r="S108" s="61" t="n">
        <f aca="false">R108/(1-Resumo!$C$5)</f>
        <v>125.102225</v>
      </c>
      <c r="T108" s="61" t="n">
        <v>143.04</v>
      </c>
      <c r="U108" s="61" t="n">
        <f aca="false">H108*Resumo!$B$6</f>
        <v>0.59999</v>
      </c>
      <c r="V108" s="61" t="n">
        <f aca="false">H108*Resumo!$B$7</f>
        <v>1.19998</v>
      </c>
      <c r="W108" s="61" t="n">
        <f aca="false">Resumo!$B$9</f>
        <v>1</v>
      </c>
      <c r="X108" s="61" t="n">
        <f aca="false">Resumo!$B$10*CEILING(G108/100,1)</f>
        <v>4.5</v>
      </c>
      <c r="Y108" s="61" t="n">
        <f aca="false">Resumo!$B$12*CEILING(G108,1)</f>
        <v>2.4</v>
      </c>
      <c r="Z108" s="61" t="n">
        <f aca="false">Resumo!$B$14*CEILING(G108,1)</f>
        <v>18</v>
      </c>
      <c r="AA108" s="61" t="n">
        <f aca="false">SUM(T108:Z108)</f>
        <v>170.73997</v>
      </c>
      <c r="AB108" s="61" t="n">
        <f aca="false">AA108/(1-Resumo!$B$5)</f>
        <v>194.022693181818</v>
      </c>
      <c r="AC108" s="61" t="n">
        <f aca="false">AB108-S108</f>
        <v>68.9204681818182</v>
      </c>
      <c r="AD108" s="62" t="n">
        <f aca="false">AB108/S108-1</f>
        <v>0.550913208632526</v>
      </c>
      <c r="AE108" s="60" t="str">
        <f aca="false">IF(AB108&lt;S108,"SIM","NÃO")</f>
        <v>NÃO</v>
      </c>
      <c r="AF108" s="60" t="n">
        <v>13</v>
      </c>
      <c r="AG108" s="60" t="n">
        <v>11</v>
      </c>
      <c r="AH108" s="60" t="s">
        <v>385</v>
      </c>
      <c r="AI108" s="61" t="n">
        <f aca="false">(T108*(1-Painel!$C$40)+U108+V108+Painel!$C$41+Painel!$C$42*CEILING(G108/100,1)+Painel!$C$43*CEILING(G108,1)+Z108)/(1-Resumo!$B$5)</f>
        <v>133.734965909091</v>
      </c>
      <c r="AJ108" s="60" t="str">
        <f aca="false">IF(AI108&lt;S108,"SIM","NÃO")</f>
        <v>NÃO</v>
      </c>
    </row>
    <row r="109" customFormat="false" ht="15" hidden="false" customHeight="false" outlineLevel="0" collapsed="false">
      <c r="A109" s="59" t="n">
        <v>46213.0104166667</v>
      </c>
      <c r="B109" s="60" t="s">
        <v>487</v>
      </c>
      <c r="C109" s="60" t="n">
        <v>25251210</v>
      </c>
      <c r="D109" s="60" t="s">
        <v>48</v>
      </c>
      <c r="E109" s="60" t="s">
        <v>23</v>
      </c>
      <c r="F109" s="60" t="s">
        <v>235</v>
      </c>
      <c r="G109" s="60" t="n">
        <v>48</v>
      </c>
      <c r="H109" s="61" t="n">
        <v>899.98</v>
      </c>
      <c r="I109" s="61" t="n">
        <v>65.36</v>
      </c>
      <c r="J109" s="61" t="n">
        <f aca="false">H109*Resumo!$C$6</f>
        <v>0</v>
      </c>
      <c r="K109" s="61" t="n">
        <f aca="false">H109*Resumo!$C$7</f>
        <v>1.889958</v>
      </c>
      <c r="L109" s="61" t="n">
        <f aca="false">H109*Resumo!$C$8</f>
        <v>1.889958</v>
      </c>
      <c r="M109" s="61" t="n">
        <f aca="false">Resumo!$C$10*CEILING(G109/100,1)</f>
        <v>1.05</v>
      </c>
      <c r="N109" s="61" t="n">
        <f aca="false">Resumo!$C$9</f>
        <v>0</v>
      </c>
      <c r="O109" s="61" t="n">
        <f aca="false">Resumo!$C$13</f>
        <v>13.55</v>
      </c>
      <c r="P109" s="61" t="n">
        <f aca="false">Resumo!$C$14*CEILING(G109,1)</f>
        <v>21.6</v>
      </c>
      <c r="Q109" s="61" t="n">
        <f aca="false">SUM(I109:P109)*Resumo!$C$11</f>
        <v>0</v>
      </c>
      <c r="R109" s="61" t="n">
        <f aca="false">SUM(I109:Q109)</f>
        <v>105.339916</v>
      </c>
      <c r="S109" s="61" t="n">
        <f aca="false">R109/(1-Resumo!$C$5)</f>
        <v>119.70445</v>
      </c>
      <c r="T109" s="61" t="n">
        <v>93.97</v>
      </c>
      <c r="U109" s="61" t="n">
        <f aca="false">H109*Resumo!$B$6</f>
        <v>0.89998</v>
      </c>
      <c r="V109" s="61" t="n">
        <f aca="false">H109*Resumo!$B$7</f>
        <v>1.79996</v>
      </c>
      <c r="W109" s="61" t="n">
        <f aca="false">Resumo!$B$9</f>
        <v>1</v>
      </c>
      <c r="X109" s="61" t="n">
        <f aca="false">Resumo!$B$10*CEILING(G109/100,1)</f>
        <v>4.5</v>
      </c>
      <c r="Y109" s="61" t="n">
        <f aca="false">Resumo!$B$12*CEILING(G109,1)</f>
        <v>2.88</v>
      </c>
      <c r="Z109" s="61" t="n">
        <f aca="false">Resumo!$B$14*CEILING(G109,1)</f>
        <v>21.6</v>
      </c>
      <c r="AA109" s="61" t="n">
        <f aca="false">SUM(T109:Z109)</f>
        <v>126.64994</v>
      </c>
      <c r="AB109" s="61" t="n">
        <f aca="false">AA109/(1-Resumo!$B$5)</f>
        <v>143.920386363636</v>
      </c>
      <c r="AC109" s="61" t="n">
        <f aca="false">AB109-S109</f>
        <v>24.2159363636364</v>
      </c>
      <c r="AD109" s="62" t="n">
        <f aca="false">AB109/S109-1</f>
        <v>0.202297712103739</v>
      </c>
      <c r="AE109" s="60" t="str">
        <f aca="false">IF(AB109&lt;S109,"SIM","NÃO")</f>
        <v>NÃO</v>
      </c>
      <c r="AF109" s="60" t="n">
        <v>2</v>
      </c>
      <c r="AG109" s="60" t="n">
        <v>5</v>
      </c>
      <c r="AH109" s="60" t="s">
        <v>382</v>
      </c>
      <c r="AI109" s="61" t="n">
        <f aca="false">(T109*(1-Painel!$C$40)+U109+V109+Painel!$C$41+Painel!$C$42*CEILING(G109/100,1)+Painel!$C$43*CEILING(G109,1)+Z109)/(1-Resumo!$B$5)</f>
        <v>101.488454545455</v>
      </c>
      <c r="AJ109" s="60" t="str">
        <f aca="false">IF(AI109&lt;S109,"SIM","NÃO")</f>
        <v>SIM</v>
      </c>
    </row>
    <row r="110" customFormat="false" ht="15" hidden="false" customHeight="false" outlineLevel="0" collapsed="false">
      <c r="A110" s="59" t="n">
        <v>46213.0746527778</v>
      </c>
      <c r="B110" s="60" t="s">
        <v>488</v>
      </c>
      <c r="C110" s="60" t="n">
        <v>21531450</v>
      </c>
      <c r="D110" s="60" t="s">
        <v>46</v>
      </c>
      <c r="E110" s="60" t="s">
        <v>22</v>
      </c>
      <c r="F110" s="60" t="s">
        <v>237</v>
      </c>
      <c r="G110" s="60" t="n">
        <v>69</v>
      </c>
      <c r="H110" s="61" t="n">
        <v>695.99</v>
      </c>
      <c r="I110" s="61" t="n">
        <v>63.21</v>
      </c>
      <c r="J110" s="61" t="n">
        <f aca="false">H110*Resumo!$C$6</f>
        <v>0</v>
      </c>
      <c r="K110" s="61" t="n">
        <f aca="false">H110*Resumo!$C$7</f>
        <v>1.461579</v>
      </c>
      <c r="L110" s="61" t="n">
        <f aca="false">H110*Resumo!$C$8</f>
        <v>1.461579</v>
      </c>
      <c r="M110" s="61" t="n">
        <f aca="false">Resumo!$C$10*CEILING(G110/100,1)</f>
        <v>1.05</v>
      </c>
      <c r="N110" s="61" t="n">
        <f aca="false">Resumo!$C$9</f>
        <v>0</v>
      </c>
      <c r="O110" s="61" t="n">
        <f aca="false">Resumo!$C$13</f>
        <v>13.55</v>
      </c>
      <c r="P110" s="61" t="n">
        <f aca="false">Resumo!$C$14*CEILING(G110,1)</f>
        <v>31.05</v>
      </c>
      <c r="Q110" s="61" t="n">
        <f aca="false">SUM(I110:P110)*Resumo!$C$11</f>
        <v>0</v>
      </c>
      <c r="R110" s="61" t="n">
        <f aca="false">SUM(I110:Q110)</f>
        <v>111.783158</v>
      </c>
      <c r="S110" s="61" t="n">
        <f aca="false">R110/(1-Resumo!$C$5)</f>
        <v>127.026315909091</v>
      </c>
      <c r="T110" s="61" t="n">
        <v>131.02</v>
      </c>
      <c r="U110" s="61" t="n">
        <f aca="false">H110*Resumo!$B$6</f>
        <v>0.69599</v>
      </c>
      <c r="V110" s="61" t="n">
        <f aca="false">H110*Resumo!$B$7</f>
        <v>1.39198</v>
      </c>
      <c r="W110" s="61" t="n">
        <f aca="false">Resumo!$B$9</f>
        <v>1</v>
      </c>
      <c r="X110" s="61" t="n">
        <f aca="false">Resumo!$B$10*CEILING(G110/100,1)</f>
        <v>4.5</v>
      </c>
      <c r="Y110" s="61" t="n">
        <f aca="false">Resumo!$B$12*CEILING(G110,1)</f>
        <v>4.14</v>
      </c>
      <c r="Z110" s="61" t="n">
        <f aca="false">Resumo!$B$14*CEILING(G110,1)</f>
        <v>31.05</v>
      </c>
      <c r="AA110" s="61" t="n">
        <f aca="false">SUM(T110:Z110)</f>
        <v>173.79797</v>
      </c>
      <c r="AB110" s="61" t="n">
        <f aca="false">AA110/(1-Resumo!$B$5)</f>
        <v>197.497693181818</v>
      </c>
      <c r="AC110" s="61" t="n">
        <f aca="false">AB110-S110</f>
        <v>70.4713772727273</v>
      </c>
      <c r="AD110" s="62" t="n">
        <f aca="false">AB110/S110-1</f>
        <v>0.554777777883141</v>
      </c>
      <c r="AE110" s="60" t="str">
        <f aca="false">IF(AB110&lt;S110,"SIM","NÃO")</f>
        <v>NÃO</v>
      </c>
      <c r="AF110" s="60" t="n">
        <v>2</v>
      </c>
      <c r="AG110" s="60" t="n">
        <v>5</v>
      </c>
      <c r="AH110" s="60" t="s">
        <v>382</v>
      </c>
      <c r="AI110" s="61" t="n">
        <f aca="false">(T110*(1-Painel!$C$40)+U110+V110+Painel!$C$41+Painel!$C$42*CEILING(G110/100,1)+Painel!$C$43*CEILING(G110,1)+Z110)/(1-Resumo!$B$5)</f>
        <v>139.740193181818</v>
      </c>
      <c r="AJ110" s="60" t="str">
        <f aca="false">IF(AI110&lt;S110,"SIM","NÃO")</f>
        <v>NÃO</v>
      </c>
    </row>
    <row r="111" customFormat="false" ht="15" hidden="false" customHeight="false" outlineLevel="0" collapsed="false">
      <c r="A111" s="59" t="n">
        <v>46213.2619560185</v>
      </c>
      <c r="B111" s="60" t="s">
        <v>489</v>
      </c>
      <c r="C111" s="60" t="n">
        <v>23891730</v>
      </c>
      <c r="D111" s="60" t="s">
        <v>267</v>
      </c>
      <c r="E111" s="60" t="s">
        <v>24</v>
      </c>
      <c r="F111" s="60" t="s">
        <v>236</v>
      </c>
      <c r="G111" s="60" t="n">
        <v>52.3</v>
      </c>
      <c r="H111" s="61" t="n">
        <v>644.83</v>
      </c>
      <c r="I111" s="61" t="n">
        <v>83.58</v>
      </c>
      <c r="J111" s="61" t="n">
        <f aca="false">H111*Resumo!$C$6</f>
        <v>0</v>
      </c>
      <c r="K111" s="61" t="n">
        <f aca="false">H111*Resumo!$C$7</f>
        <v>1.354143</v>
      </c>
      <c r="L111" s="61" t="n">
        <f aca="false">H111*Resumo!$C$8</f>
        <v>1.354143</v>
      </c>
      <c r="M111" s="61" t="n">
        <f aca="false">Resumo!$C$10*CEILING(G111/100,1)</f>
        <v>1.05</v>
      </c>
      <c r="N111" s="61" t="n">
        <f aca="false">Resumo!$C$9</f>
        <v>0</v>
      </c>
      <c r="O111" s="61" t="n">
        <f aca="false">Resumo!$C$13</f>
        <v>13.55</v>
      </c>
      <c r="P111" s="61" t="n">
        <f aca="false">Resumo!$C$14*CEILING(G111,1)</f>
        <v>23.85</v>
      </c>
      <c r="Q111" s="61" t="n">
        <f aca="false">SUM(I111:P111)*Resumo!$C$11</f>
        <v>0</v>
      </c>
      <c r="R111" s="61" t="n">
        <f aca="false">SUM(I111:Q111)</f>
        <v>124.738286</v>
      </c>
      <c r="S111" s="61" t="n">
        <f aca="false">R111/(1-Resumo!$C$5)</f>
        <v>141.748052272727</v>
      </c>
      <c r="T111" s="61" t="n">
        <v>122.3</v>
      </c>
      <c r="U111" s="61" t="n">
        <f aca="false">H111*Resumo!$B$6</f>
        <v>0.64483</v>
      </c>
      <c r="V111" s="61" t="n">
        <f aca="false">H111*Resumo!$B$7</f>
        <v>1.28966</v>
      </c>
      <c r="W111" s="61" t="n">
        <f aca="false">Resumo!$B$9</f>
        <v>1</v>
      </c>
      <c r="X111" s="61" t="n">
        <f aca="false">Resumo!$B$10*CEILING(G111/100,1)</f>
        <v>4.5</v>
      </c>
      <c r="Y111" s="61" t="n">
        <f aca="false">Resumo!$B$12*CEILING(G111,1)</f>
        <v>3.18</v>
      </c>
      <c r="Z111" s="61" t="n">
        <f aca="false">Resumo!$B$14*CEILING(G111,1)</f>
        <v>23.85</v>
      </c>
      <c r="AA111" s="61" t="n">
        <f aca="false">SUM(T111:Z111)</f>
        <v>156.76449</v>
      </c>
      <c r="AB111" s="61" t="n">
        <f aca="false">AA111/(1-Resumo!$B$5)</f>
        <v>178.141465909091</v>
      </c>
      <c r="AC111" s="61" t="n">
        <f aca="false">AB111-S111</f>
        <v>36.3934136363637</v>
      </c>
      <c r="AD111" s="62" t="n">
        <f aca="false">AB111/S111-1</f>
        <v>0.256747186665688</v>
      </c>
      <c r="AE111" s="60" t="str">
        <f aca="false">IF(AB111&lt;S111,"SIM","NÃO")</f>
        <v>NÃO</v>
      </c>
      <c r="AF111" s="60" t="n">
        <v>13</v>
      </c>
      <c r="AG111" s="60" t="n">
        <v>5</v>
      </c>
      <c r="AH111" s="60" t="s">
        <v>385</v>
      </c>
      <c r="AI111" s="61" t="n">
        <f aca="false">(T111*(1-Painel!$C$40)+U111+V111+Painel!$C$41+Painel!$C$42*CEILING(G111/100,1)+Painel!$C$43*CEILING(G111,1)+Z111)/(1-Resumo!$B$5)</f>
        <v>124.744875</v>
      </c>
      <c r="AJ111" s="60" t="str">
        <f aca="false">IF(AI111&lt;S111,"SIM","NÃO")</f>
        <v>SIM</v>
      </c>
    </row>
    <row r="112" customFormat="false" ht="15" hidden="false" customHeight="false" outlineLevel="0" collapsed="false">
      <c r="A112" s="59" t="n">
        <v>46213.3598032407</v>
      </c>
      <c r="B112" s="60" t="s">
        <v>490</v>
      </c>
      <c r="C112" s="60" t="n">
        <v>28986330</v>
      </c>
      <c r="D112" s="60" t="s">
        <v>222</v>
      </c>
      <c r="E112" s="60" t="s">
        <v>24</v>
      </c>
      <c r="F112" s="60" t="s">
        <v>237</v>
      </c>
      <c r="G112" s="60" t="n">
        <v>66.8</v>
      </c>
      <c r="H112" s="61" t="n">
        <v>888.88</v>
      </c>
      <c r="I112" s="61" t="n">
        <v>90.2</v>
      </c>
      <c r="J112" s="61" t="n">
        <f aca="false">H112*Resumo!$C$6</f>
        <v>0</v>
      </c>
      <c r="K112" s="61" t="n">
        <f aca="false">H112*Resumo!$C$7</f>
        <v>1.866648</v>
      </c>
      <c r="L112" s="61" t="n">
        <f aca="false">H112*Resumo!$C$8</f>
        <v>1.866648</v>
      </c>
      <c r="M112" s="61" t="n">
        <f aca="false">Resumo!$C$10*CEILING(G112/100,1)</f>
        <v>1.05</v>
      </c>
      <c r="N112" s="61" t="n">
        <f aca="false">Resumo!$C$9</f>
        <v>0</v>
      </c>
      <c r="O112" s="61" t="n">
        <f aca="false">Resumo!$C$13</f>
        <v>13.55</v>
      </c>
      <c r="P112" s="61" t="n">
        <f aca="false">Resumo!$C$14*CEILING(G112,1)</f>
        <v>30.15</v>
      </c>
      <c r="Q112" s="61" t="n">
        <f aca="false">SUM(I112:P112)*Resumo!$C$11</f>
        <v>0</v>
      </c>
      <c r="R112" s="61" t="n">
        <f aca="false">SUM(I112:Q112)</f>
        <v>138.683296</v>
      </c>
      <c r="S112" s="61" t="n">
        <f aca="false">R112/(1-Resumo!$C$5)</f>
        <v>157.594654545455</v>
      </c>
      <c r="T112" s="61" t="n">
        <v>166.05</v>
      </c>
      <c r="U112" s="61" t="n">
        <f aca="false">H112*Resumo!$B$6</f>
        <v>0.88888</v>
      </c>
      <c r="V112" s="61" t="n">
        <f aca="false">H112*Resumo!$B$7</f>
        <v>1.77776</v>
      </c>
      <c r="W112" s="61" t="n">
        <f aca="false">Resumo!$B$9</f>
        <v>1</v>
      </c>
      <c r="X112" s="61" t="n">
        <f aca="false">Resumo!$B$10*CEILING(G112/100,1)</f>
        <v>4.5</v>
      </c>
      <c r="Y112" s="61" t="n">
        <f aca="false">Resumo!$B$12*CEILING(G112,1)</f>
        <v>4.02</v>
      </c>
      <c r="Z112" s="61" t="n">
        <f aca="false">Resumo!$B$14*CEILING(G112,1)</f>
        <v>30.15</v>
      </c>
      <c r="AA112" s="61" t="n">
        <f aca="false">SUM(T112:Z112)</f>
        <v>208.38664</v>
      </c>
      <c r="AB112" s="61" t="n">
        <f aca="false">AA112/(1-Resumo!$B$5)</f>
        <v>236.803</v>
      </c>
      <c r="AC112" s="61" t="n">
        <f aca="false">AB112-S112</f>
        <v>79.2083454545455</v>
      </c>
      <c r="AD112" s="62" t="n">
        <f aca="false">AB112/S112-1</f>
        <v>0.502608071847384</v>
      </c>
      <c r="AE112" s="60" t="str">
        <f aca="false">IF(AB112&lt;S112,"SIM","NÃO")</f>
        <v>NÃO</v>
      </c>
      <c r="AF112" s="60" t="n">
        <v>13</v>
      </c>
      <c r="AG112" s="60" t="n">
        <v>10</v>
      </c>
      <c r="AH112" s="60" t="s">
        <v>382</v>
      </c>
      <c r="AI112" s="61" t="n">
        <f aca="false">(T112*(1-Painel!$C$40)+U112+V112+Painel!$C$41+Painel!$C$42*CEILING(G112/100,1)+Painel!$C$43*CEILING(G112,1)+Z112)/(1-Resumo!$B$5)</f>
        <v>166.045613636364</v>
      </c>
      <c r="AJ112" s="60" t="str">
        <f aca="false">IF(AI112&lt;S112,"SIM","NÃO")</f>
        <v>NÃO</v>
      </c>
    </row>
    <row r="113" customFormat="false" ht="15" hidden="false" customHeight="false" outlineLevel="0" collapsed="false">
      <c r="A113" s="59" t="n">
        <v>46213.3848726852</v>
      </c>
      <c r="B113" s="60" t="s">
        <v>491</v>
      </c>
      <c r="C113" s="60" t="n">
        <v>24750045</v>
      </c>
      <c r="D113" s="60" t="s">
        <v>47</v>
      </c>
      <c r="E113" s="60" t="s">
        <v>23</v>
      </c>
      <c r="F113" s="60" t="s">
        <v>235</v>
      </c>
      <c r="G113" s="60" t="n">
        <v>48</v>
      </c>
      <c r="H113" s="61" t="n">
        <v>939.98</v>
      </c>
      <c r="I113" s="61" t="n">
        <v>65.36</v>
      </c>
      <c r="J113" s="61" t="n">
        <f aca="false">H113*Resumo!$C$6</f>
        <v>0</v>
      </c>
      <c r="K113" s="61" t="n">
        <f aca="false">H113*Resumo!$C$7</f>
        <v>1.973958</v>
      </c>
      <c r="L113" s="61" t="n">
        <f aca="false">H113*Resumo!$C$8</f>
        <v>1.973958</v>
      </c>
      <c r="M113" s="61" t="n">
        <f aca="false">Resumo!$C$10*CEILING(G113/100,1)</f>
        <v>1.05</v>
      </c>
      <c r="N113" s="61" t="n">
        <f aca="false">Resumo!$C$9</f>
        <v>0</v>
      </c>
      <c r="O113" s="61" t="n">
        <f aca="false">Resumo!$C$13</f>
        <v>13.55</v>
      </c>
      <c r="P113" s="61" t="n">
        <f aca="false">Resumo!$C$14*CEILING(G113,1)</f>
        <v>21.6</v>
      </c>
      <c r="Q113" s="61" t="n">
        <f aca="false">SUM(I113:P113)*Resumo!$C$11</f>
        <v>0</v>
      </c>
      <c r="R113" s="61" t="n">
        <f aca="false">SUM(I113:Q113)</f>
        <v>105.507916</v>
      </c>
      <c r="S113" s="61" t="n">
        <f aca="false">R113/(1-Resumo!$C$5)</f>
        <v>119.895359090909</v>
      </c>
      <c r="T113" s="61" t="n">
        <v>114.95</v>
      </c>
      <c r="U113" s="61" t="n">
        <f aca="false">H113*Resumo!$B$6</f>
        <v>0.93998</v>
      </c>
      <c r="V113" s="61" t="n">
        <f aca="false">H113*Resumo!$B$7</f>
        <v>1.87996</v>
      </c>
      <c r="W113" s="61" t="n">
        <f aca="false">Resumo!$B$9</f>
        <v>1</v>
      </c>
      <c r="X113" s="61" t="n">
        <f aca="false">Resumo!$B$10*CEILING(G113/100,1)</f>
        <v>4.5</v>
      </c>
      <c r="Y113" s="61" t="n">
        <f aca="false">Resumo!$B$12*CEILING(G113,1)</f>
        <v>2.88</v>
      </c>
      <c r="Z113" s="61" t="n">
        <f aca="false">Resumo!$B$14*CEILING(G113,1)</f>
        <v>21.6</v>
      </c>
      <c r="AA113" s="61" t="n">
        <f aca="false">SUM(T113:Z113)</f>
        <v>147.74994</v>
      </c>
      <c r="AB113" s="61" t="n">
        <f aca="false">AA113/(1-Resumo!$B$5)</f>
        <v>167.897659090909</v>
      </c>
      <c r="AC113" s="61" t="n">
        <f aca="false">AB113-S113</f>
        <v>48.0023</v>
      </c>
      <c r="AD113" s="62" t="n">
        <f aca="false">AB113/S113-1</f>
        <v>0.40036829084938</v>
      </c>
      <c r="AE113" s="60" t="str">
        <f aca="false">IF(AB113&lt;S113,"SIM","NÃO")</f>
        <v>NÃO</v>
      </c>
      <c r="AF113" s="60" t="n">
        <v>2</v>
      </c>
      <c r="AG113" s="60" t="n">
        <v>7</v>
      </c>
      <c r="AH113" s="60" t="s">
        <v>382</v>
      </c>
      <c r="AI113" s="61" t="n">
        <f aca="false">(T113*(1-Painel!$C$40)+U113+V113+Painel!$C$41+Painel!$C$42*CEILING(G113/100,1)+Painel!$C$43*CEILING(G113,1)+Z113)/(1-Resumo!$B$5)</f>
        <v>117.598227272727</v>
      </c>
      <c r="AJ113" s="60" t="str">
        <f aca="false">IF(AI113&lt;S113,"SIM","NÃO")</f>
        <v>SIM</v>
      </c>
    </row>
    <row r="114" customFormat="false" ht="15" hidden="false" customHeight="false" outlineLevel="0" collapsed="false">
      <c r="A114" s="59" t="n">
        <v>46213.4549305556</v>
      </c>
      <c r="B114" s="60" t="s">
        <v>492</v>
      </c>
      <c r="C114" s="60" t="n">
        <v>25035770</v>
      </c>
      <c r="D114" s="60" t="s">
        <v>48</v>
      </c>
      <c r="E114" s="60" t="s">
        <v>23</v>
      </c>
      <c r="F114" s="60" t="s">
        <v>236</v>
      </c>
      <c r="G114" s="60" t="n">
        <v>52.3</v>
      </c>
      <c r="H114" s="61" t="n">
        <v>643.99</v>
      </c>
      <c r="I114" s="61" t="n">
        <v>70.98</v>
      </c>
      <c r="J114" s="61" t="n">
        <f aca="false">H114*Resumo!$C$6</f>
        <v>0</v>
      </c>
      <c r="K114" s="61" t="n">
        <f aca="false">H114*Resumo!$C$7</f>
        <v>1.352379</v>
      </c>
      <c r="L114" s="61" t="n">
        <f aca="false">H114*Resumo!$C$8</f>
        <v>1.352379</v>
      </c>
      <c r="M114" s="61" t="n">
        <f aca="false">Resumo!$C$10*CEILING(G114/100,1)</f>
        <v>1.05</v>
      </c>
      <c r="N114" s="61" t="n">
        <f aca="false">Resumo!$C$9</f>
        <v>0</v>
      </c>
      <c r="O114" s="61" t="n">
        <f aca="false">Resumo!$C$13</f>
        <v>13.55</v>
      </c>
      <c r="P114" s="61" t="n">
        <f aca="false">Resumo!$C$14*CEILING(G114,1)</f>
        <v>23.85</v>
      </c>
      <c r="Q114" s="61" t="n">
        <f aca="false">SUM(I114:P114)*Resumo!$C$11</f>
        <v>0</v>
      </c>
      <c r="R114" s="61" t="n">
        <f aca="false">SUM(I114:Q114)</f>
        <v>112.134758</v>
      </c>
      <c r="S114" s="61" t="n">
        <f aca="false">R114/(1-Resumo!$C$5)</f>
        <v>127.425861363636</v>
      </c>
      <c r="T114" s="61" t="n">
        <v>112.3</v>
      </c>
      <c r="U114" s="61" t="n">
        <f aca="false">H114*Resumo!$B$6</f>
        <v>0.64399</v>
      </c>
      <c r="V114" s="61" t="n">
        <f aca="false">H114*Resumo!$B$7</f>
        <v>1.28798</v>
      </c>
      <c r="W114" s="61" t="n">
        <f aca="false">Resumo!$B$9</f>
        <v>1</v>
      </c>
      <c r="X114" s="61" t="n">
        <f aca="false">Resumo!$B$10*CEILING(G114/100,1)</f>
        <v>4.5</v>
      </c>
      <c r="Y114" s="61" t="n">
        <f aca="false">Resumo!$B$12*CEILING(G114,1)</f>
        <v>3.18</v>
      </c>
      <c r="Z114" s="61" t="n">
        <f aca="false">Resumo!$B$14*CEILING(G114,1)</f>
        <v>23.85</v>
      </c>
      <c r="AA114" s="61" t="n">
        <f aca="false">SUM(T114:Z114)</f>
        <v>146.76197</v>
      </c>
      <c r="AB114" s="61" t="n">
        <f aca="false">AA114/(1-Resumo!$B$5)</f>
        <v>166.774965909091</v>
      </c>
      <c r="AC114" s="61" t="n">
        <f aca="false">AB114-S114</f>
        <v>39.3491045454545</v>
      </c>
      <c r="AD114" s="62" t="n">
        <f aca="false">AB114/S114-1</f>
        <v>0.308799988670774</v>
      </c>
      <c r="AE114" s="60" t="str">
        <f aca="false">IF(AB114&lt;S114,"SIM","NÃO")</f>
        <v>NÃO</v>
      </c>
      <c r="AF114" s="60" t="n">
        <v>2</v>
      </c>
      <c r="AG114" s="60" t="n">
        <v>5</v>
      </c>
      <c r="AH114" s="60" t="s">
        <v>382</v>
      </c>
      <c r="AI114" s="61" t="n">
        <f aca="false">(T114*(1-Painel!$C$40)+U114+V114+Painel!$C$41+Painel!$C$42*CEILING(G114/100,1)+Painel!$C$43*CEILING(G114,1)+Z114)/(1-Resumo!$B$5)</f>
        <v>117.128375</v>
      </c>
      <c r="AJ114" s="60" t="str">
        <f aca="false">IF(AI114&lt;S114,"SIM","NÃO")</f>
        <v>SIM</v>
      </c>
    </row>
    <row r="115" customFormat="false" ht="15" hidden="false" customHeight="false" outlineLevel="0" collapsed="false">
      <c r="A115" s="59" t="n">
        <v>46213.4567939815</v>
      </c>
      <c r="B115" s="60" t="s">
        <v>493</v>
      </c>
      <c r="C115" s="60" t="n">
        <v>28024417</v>
      </c>
      <c r="D115" s="60" t="s">
        <v>51</v>
      </c>
      <c r="E115" s="60" t="s">
        <v>24</v>
      </c>
      <c r="F115" s="60" t="s">
        <v>236</v>
      </c>
      <c r="G115" s="60" t="n">
        <v>52.3</v>
      </c>
      <c r="H115" s="61" t="n">
        <v>644.99</v>
      </c>
      <c r="I115" s="61" t="n">
        <v>83.58</v>
      </c>
      <c r="J115" s="61" t="n">
        <f aca="false">H115*Resumo!$C$6</f>
        <v>0</v>
      </c>
      <c r="K115" s="61" t="n">
        <f aca="false">H115*Resumo!$C$7</f>
        <v>1.354479</v>
      </c>
      <c r="L115" s="61" t="n">
        <f aca="false">H115*Resumo!$C$8</f>
        <v>1.354479</v>
      </c>
      <c r="M115" s="61" t="n">
        <f aca="false">Resumo!$C$10*CEILING(G115/100,1)</f>
        <v>1.05</v>
      </c>
      <c r="N115" s="61" t="n">
        <f aca="false">Resumo!$C$9</f>
        <v>0</v>
      </c>
      <c r="O115" s="61" t="n">
        <f aca="false">Resumo!$C$13</f>
        <v>13.55</v>
      </c>
      <c r="P115" s="61" t="n">
        <f aca="false">Resumo!$C$14*CEILING(G115,1)</f>
        <v>23.85</v>
      </c>
      <c r="Q115" s="61" t="n">
        <f aca="false">SUM(I115:P115)*Resumo!$C$11</f>
        <v>0</v>
      </c>
      <c r="R115" s="61" t="n">
        <f aca="false">SUM(I115:Q115)</f>
        <v>124.738958</v>
      </c>
      <c r="S115" s="61" t="n">
        <f aca="false">R115/(1-Resumo!$C$5)</f>
        <v>141.748815909091</v>
      </c>
      <c r="T115" s="61" t="n">
        <v>162.04</v>
      </c>
      <c r="U115" s="61" t="n">
        <f aca="false">H115*Resumo!$B$6</f>
        <v>0.64499</v>
      </c>
      <c r="V115" s="61" t="n">
        <f aca="false">H115*Resumo!$B$7</f>
        <v>1.28998</v>
      </c>
      <c r="W115" s="61" t="n">
        <f aca="false">Resumo!$B$9</f>
        <v>1</v>
      </c>
      <c r="X115" s="61" t="n">
        <f aca="false">Resumo!$B$10*CEILING(G115/100,1)</f>
        <v>4.5</v>
      </c>
      <c r="Y115" s="61" t="n">
        <f aca="false">Resumo!$B$12*CEILING(G115,1)</f>
        <v>3.18</v>
      </c>
      <c r="Z115" s="61" t="n">
        <f aca="false">Resumo!$B$14*CEILING(G115,1)</f>
        <v>23.85</v>
      </c>
      <c r="AA115" s="61" t="n">
        <f aca="false">SUM(T115:Z115)</f>
        <v>196.50497</v>
      </c>
      <c r="AB115" s="61" t="n">
        <f aca="false">AA115/(1-Resumo!$B$5)</f>
        <v>223.301102272727</v>
      </c>
      <c r="AC115" s="61" t="n">
        <f aca="false">AB115-S115</f>
        <v>81.5522863636364</v>
      </c>
      <c r="AD115" s="62" t="n">
        <f aca="false">AB115/S115-1</f>
        <v>0.575329577468492</v>
      </c>
      <c r="AE115" s="60" t="str">
        <f aca="false">IF(AB115&lt;S115,"SIM","NÃO")</f>
        <v>NÃO</v>
      </c>
      <c r="AF115" s="60" t="n">
        <v>13</v>
      </c>
      <c r="AG115" s="60" t="n">
        <v>11</v>
      </c>
      <c r="AH115" s="60" t="s">
        <v>382</v>
      </c>
      <c r="AI115" s="61" t="n">
        <f aca="false">(T115*(1-Painel!$C$40)+U115+V115+Painel!$C$41+Painel!$C$42*CEILING(G115/100,1)+Painel!$C$43*CEILING(G115,1)+Z115)/(1-Resumo!$B$5)</f>
        <v>155.002011363636</v>
      </c>
      <c r="AJ115" s="60" t="str">
        <f aca="false">IF(AI115&lt;S115,"SIM","NÃO")</f>
        <v>NÃO</v>
      </c>
    </row>
    <row r="116" customFormat="false" ht="15" hidden="false" customHeight="false" outlineLevel="0" collapsed="false">
      <c r="A116" s="59" t="n">
        <v>46213.4639814815</v>
      </c>
      <c r="B116" s="60" t="s">
        <v>494</v>
      </c>
      <c r="C116" s="60" t="n">
        <v>24315000</v>
      </c>
      <c r="D116" s="60" t="s">
        <v>50</v>
      </c>
      <c r="E116" s="60" t="s">
        <v>23</v>
      </c>
      <c r="F116" s="60" t="s">
        <v>237</v>
      </c>
      <c r="G116" s="60" t="n">
        <v>66.8</v>
      </c>
      <c r="H116" s="61" t="n">
        <v>630.3</v>
      </c>
      <c r="I116" s="61" t="n">
        <v>76.55</v>
      </c>
      <c r="J116" s="61" t="n">
        <f aca="false">H116*Resumo!$C$6</f>
        <v>0</v>
      </c>
      <c r="K116" s="61" t="n">
        <f aca="false">H116*Resumo!$C$7</f>
        <v>1.32363</v>
      </c>
      <c r="L116" s="61" t="n">
        <f aca="false">H116*Resumo!$C$8</f>
        <v>1.32363</v>
      </c>
      <c r="M116" s="61" t="n">
        <f aca="false">Resumo!$C$10*CEILING(G116/100,1)</f>
        <v>1.05</v>
      </c>
      <c r="N116" s="61" t="n">
        <f aca="false">Resumo!$C$9</f>
        <v>0</v>
      </c>
      <c r="O116" s="61" t="n">
        <f aca="false">Resumo!$C$13</f>
        <v>13.55</v>
      </c>
      <c r="P116" s="61" t="n">
        <f aca="false">Resumo!$C$14*CEILING(G116,1)</f>
        <v>30.15</v>
      </c>
      <c r="Q116" s="61" t="n">
        <f aca="false">SUM(I116:P116)*Resumo!$C$11</f>
        <v>0</v>
      </c>
      <c r="R116" s="61" t="n">
        <f aca="false">SUM(I116:Q116)</f>
        <v>123.94726</v>
      </c>
      <c r="S116" s="61" t="n">
        <f aca="false">R116/(1-Resumo!$C$5)</f>
        <v>140.849159090909</v>
      </c>
      <c r="T116" s="61" t="n">
        <v>149.5</v>
      </c>
      <c r="U116" s="61" t="n">
        <f aca="false">H116*Resumo!$B$6</f>
        <v>0.6303</v>
      </c>
      <c r="V116" s="61" t="n">
        <f aca="false">H116*Resumo!$B$7</f>
        <v>1.2606</v>
      </c>
      <c r="W116" s="61" t="n">
        <f aca="false">Resumo!$B$9</f>
        <v>1</v>
      </c>
      <c r="X116" s="61" t="n">
        <f aca="false">Resumo!$B$10*CEILING(G116/100,1)</f>
        <v>4.5</v>
      </c>
      <c r="Y116" s="61" t="n">
        <f aca="false">Resumo!$B$12*CEILING(G116,1)</f>
        <v>4.02</v>
      </c>
      <c r="Z116" s="61" t="n">
        <f aca="false">Resumo!$B$14*CEILING(G116,1)</f>
        <v>30.15</v>
      </c>
      <c r="AA116" s="61" t="n">
        <f aca="false">SUM(T116:Z116)</f>
        <v>191.0609</v>
      </c>
      <c r="AB116" s="61" t="n">
        <f aca="false">AA116/(1-Resumo!$B$5)</f>
        <v>217.114659090909</v>
      </c>
      <c r="AC116" s="61" t="n">
        <f aca="false">AB116-S116</f>
        <v>76.2655</v>
      </c>
      <c r="AD116" s="62" t="n">
        <f aca="false">AB116/S116-1</f>
        <v>0.541469331391432</v>
      </c>
      <c r="AE116" s="60" t="str">
        <f aca="false">IF(AB116&lt;S116,"SIM","NÃO")</f>
        <v>NÃO</v>
      </c>
      <c r="AF116" s="60" t="n">
        <v>2</v>
      </c>
      <c r="AG116" s="60" t="n">
        <v>7</v>
      </c>
      <c r="AH116" s="60" t="s">
        <v>382</v>
      </c>
      <c r="AI116" s="61" t="n">
        <f aca="false">(T116*(1-Painel!$C$40)+U116+V116+Painel!$C$41+Painel!$C$42*CEILING(G116/100,1)+Painel!$C$43*CEILING(G116,1)+Z116)/(1-Resumo!$B$5)</f>
        <v>152.563522727273</v>
      </c>
      <c r="AJ116" s="60" t="str">
        <f aca="false">IF(AI116&lt;S116,"SIM","NÃO")</f>
        <v>NÃO</v>
      </c>
    </row>
    <row r="117" customFormat="false" ht="15" hidden="false" customHeight="false" outlineLevel="0" collapsed="false">
      <c r="A117" s="59" t="n">
        <v>46213.4656712963</v>
      </c>
      <c r="B117" s="60" t="s">
        <v>495</v>
      </c>
      <c r="C117" s="60" t="n">
        <v>28430014</v>
      </c>
      <c r="D117" s="60" t="s">
        <v>315</v>
      </c>
      <c r="E117" s="60" t="s">
        <v>24</v>
      </c>
      <c r="F117" s="60" t="s">
        <v>235</v>
      </c>
      <c r="G117" s="60" t="n">
        <v>41</v>
      </c>
      <c r="H117" s="61" t="n">
        <v>515.19</v>
      </c>
      <c r="I117" s="61" t="n">
        <v>77.7</v>
      </c>
      <c r="J117" s="61" t="n">
        <f aca="false">H117*Resumo!$C$6</f>
        <v>0</v>
      </c>
      <c r="K117" s="61" t="n">
        <f aca="false">H117*Resumo!$C$7</f>
        <v>1.081899</v>
      </c>
      <c r="L117" s="61" t="n">
        <f aca="false">H117*Resumo!$C$8</f>
        <v>1.081899</v>
      </c>
      <c r="M117" s="61" t="n">
        <f aca="false">Resumo!$C$10*CEILING(G117/100,1)</f>
        <v>1.05</v>
      </c>
      <c r="N117" s="61" t="n">
        <f aca="false">Resumo!$C$9</f>
        <v>0</v>
      </c>
      <c r="O117" s="61" t="n">
        <f aca="false">Resumo!$C$13</f>
        <v>13.55</v>
      </c>
      <c r="P117" s="61" t="n">
        <f aca="false">Resumo!$C$14*CEILING(G117,1)</f>
        <v>18.45</v>
      </c>
      <c r="Q117" s="61" t="n">
        <f aca="false">SUM(I117:P117)*Resumo!$C$11</f>
        <v>0</v>
      </c>
      <c r="R117" s="61" t="n">
        <f aca="false">SUM(I117:Q117)</f>
        <v>112.913798</v>
      </c>
      <c r="S117" s="61" t="n">
        <f aca="false">R117/(1-Resumo!$C$5)</f>
        <v>128.311134090909</v>
      </c>
      <c r="T117" s="61" t="n">
        <v>152.54</v>
      </c>
      <c r="U117" s="61" t="n">
        <f aca="false">H117*Resumo!$B$6</f>
        <v>0.51519</v>
      </c>
      <c r="V117" s="61" t="n">
        <f aca="false">H117*Resumo!$B$7</f>
        <v>1.03038</v>
      </c>
      <c r="W117" s="61" t="n">
        <f aca="false">Resumo!$B$9</f>
        <v>1</v>
      </c>
      <c r="X117" s="61" t="n">
        <f aca="false">Resumo!$B$10*CEILING(G117/100,1)</f>
        <v>4.5</v>
      </c>
      <c r="Y117" s="61" t="n">
        <f aca="false">Resumo!$B$12*CEILING(G117,1)</f>
        <v>2.46</v>
      </c>
      <c r="Z117" s="61" t="n">
        <f aca="false">Resumo!$B$14*CEILING(G117,1)</f>
        <v>18.45</v>
      </c>
      <c r="AA117" s="61" t="n">
        <f aca="false">SUM(T117:Z117)</f>
        <v>180.49557</v>
      </c>
      <c r="AB117" s="61" t="n">
        <f aca="false">AA117/(1-Resumo!$B$5)</f>
        <v>205.108602272727</v>
      </c>
      <c r="AC117" s="61" t="n">
        <f aca="false">AB117-S117</f>
        <v>76.7974681818182</v>
      </c>
      <c r="AD117" s="62" t="n">
        <f aca="false">AB117/S117-1</f>
        <v>0.598525363569827</v>
      </c>
      <c r="AE117" s="60" t="str">
        <f aca="false">IF(AB117&lt;S117,"SIM","NÃO")</f>
        <v>NÃO</v>
      </c>
      <c r="AF117" s="60" t="n">
        <v>13</v>
      </c>
      <c r="AG117" s="60" t="n">
        <v>11</v>
      </c>
      <c r="AH117" s="60" t="s">
        <v>385</v>
      </c>
      <c r="AI117" s="61" t="n">
        <f aca="false">(T117*(1-Painel!$C$40)+U117+V117+Painel!$C$41+Painel!$C$42*CEILING(G117/100,1)+Painel!$C$43*CEILING(G117,1)+Z117)/(1-Resumo!$B$5)</f>
        <v>141.190193181818</v>
      </c>
      <c r="AJ117" s="60" t="str">
        <f aca="false">IF(AI117&lt;S117,"SIM","NÃO")</f>
        <v>NÃO</v>
      </c>
    </row>
    <row r="118" customFormat="false" ht="15" hidden="false" customHeight="false" outlineLevel="0" collapsed="false">
      <c r="A118" s="59" t="n">
        <v>46213.5474305556</v>
      </c>
      <c r="B118" s="60" t="s">
        <v>496</v>
      </c>
      <c r="C118" s="60" t="n">
        <v>21041030</v>
      </c>
      <c r="D118" s="60" t="s">
        <v>46</v>
      </c>
      <c r="E118" s="60" t="s">
        <v>22</v>
      </c>
      <c r="F118" s="60" t="s">
        <v>234</v>
      </c>
      <c r="G118" s="60" t="n">
        <v>37.2</v>
      </c>
      <c r="H118" s="61" t="n">
        <v>359.99</v>
      </c>
      <c r="I118" s="61" t="n">
        <v>48.35</v>
      </c>
      <c r="J118" s="61" t="n">
        <f aca="false">H118*Resumo!$C$6</f>
        <v>0</v>
      </c>
      <c r="K118" s="61" t="n">
        <f aca="false">H118*Resumo!$C$7</f>
        <v>0.755979</v>
      </c>
      <c r="L118" s="61" t="n">
        <f aca="false">H118*Resumo!$C$8</f>
        <v>0.755979</v>
      </c>
      <c r="M118" s="61" t="n">
        <f aca="false">Resumo!$C$10*CEILING(G118/100,1)</f>
        <v>1.05</v>
      </c>
      <c r="N118" s="61" t="n">
        <f aca="false">Resumo!$C$9</f>
        <v>0</v>
      </c>
      <c r="O118" s="61" t="n">
        <f aca="false">Resumo!$C$13</f>
        <v>13.55</v>
      </c>
      <c r="P118" s="61" t="n">
        <f aca="false">Resumo!$C$14*CEILING(G118,1)</f>
        <v>17.1</v>
      </c>
      <c r="Q118" s="61" t="n">
        <f aca="false">SUM(I118:P118)*Resumo!$C$11</f>
        <v>0</v>
      </c>
      <c r="R118" s="61" t="n">
        <f aca="false">SUM(I118:Q118)</f>
        <v>81.561958</v>
      </c>
      <c r="S118" s="61" t="n">
        <f aca="false">R118/(1-Resumo!$C$5)</f>
        <v>92.6840431818182</v>
      </c>
      <c r="T118" s="61" t="n">
        <v>93.97</v>
      </c>
      <c r="U118" s="61" t="n">
        <f aca="false">H118*Resumo!$B$6</f>
        <v>0.35999</v>
      </c>
      <c r="V118" s="61" t="n">
        <f aca="false">H118*Resumo!$B$7</f>
        <v>0.71998</v>
      </c>
      <c r="W118" s="61" t="n">
        <f aca="false">Resumo!$B$9</f>
        <v>1</v>
      </c>
      <c r="X118" s="61" t="n">
        <f aca="false">Resumo!$B$10*CEILING(G118/100,1)</f>
        <v>4.5</v>
      </c>
      <c r="Y118" s="61" t="n">
        <f aca="false">Resumo!$B$12*CEILING(G118,1)</f>
        <v>2.28</v>
      </c>
      <c r="Z118" s="61" t="n">
        <f aca="false">Resumo!$B$14*CEILING(G118,1)</f>
        <v>17.1</v>
      </c>
      <c r="AA118" s="61" t="n">
        <f aca="false">SUM(T118:Z118)</f>
        <v>119.92997</v>
      </c>
      <c r="AB118" s="61" t="n">
        <f aca="false">AA118/(1-Resumo!$B$5)</f>
        <v>136.284056818182</v>
      </c>
      <c r="AC118" s="61" t="n">
        <f aca="false">AB118-S118</f>
        <v>43.6000136363636</v>
      </c>
      <c r="AD118" s="62" t="n">
        <f aca="false">AB118/S118-1</f>
        <v>0.470415533673186</v>
      </c>
      <c r="AE118" s="60" t="str">
        <f aca="false">IF(AB118&lt;S118,"SIM","NÃO")</f>
        <v>NÃO</v>
      </c>
      <c r="AF118" s="60" t="n">
        <v>2</v>
      </c>
      <c r="AG118" s="60" t="n">
        <v>5</v>
      </c>
      <c r="AH118" s="60" t="s">
        <v>382</v>
      </c>
      <c r="AI118" s="61" t="n">
        <f aca="false">(T118*(1-Painel!$C$40)+U118+V118+Painel!$C$41+Painel!$C$42*CEILING(G118/100,1)+Painel!$C$43*CEILING(G118,1)+Z118)/(1-Resumo!$B$5)</f>
        <v>94.5339431818182</v>
      </c>
      <c r="AJ118" s="60" t="str">
        <f aca="false">IF(AI118&lt;S118,"SIM","NÃO")</f>
        <v>NÃO</v>
      </c>
    </row>
    <row r="119" customFormat="false" ht="15" hidden="false" customHeight="false" outlineLevel="0" collapsed="false">
      <c r="A119" s="59" t="n">
        <v>46213.5684027778</v>
      </c>
      <c r="B119" s="60" t="s">
        <v>497</v>
      </c>
      <c r="C119" s="60" t="n">
        <v>21321620</v>
      </c>
      <c r="D119" s="60" t="s">
        <v>46</v>
      </c>
      <c r="E119" s="60" t="s">
        <v>22</v>
      </c>
      <c r="F119" s="60" t="s">
        <v>236</v>
      </c>
      <c r="G119" s="60" t="n">
        <v>52.3</v>
      </c>
      <c r="H119" s="61" t="n">
        <v>643.99</v>
      </c>
      <c r="I119" s="61" t="n">
        <v>58.6</v>
      </c>
      <c r="J119" s="61" t="n">
        <f aca="false">H119*Resumo!$C$6</f>
        <v>0</v>
      </c>
      <c r="K119" s="61" t="n">
        <f aca="false">H119*Resumo!$C$7</f>
        <v>1.352379</v>
      </c>
      <c r="L119" s="61" t="n">
        <f aca="false">H119*Resumo!$C$8</f>
        <v>1.352379</v>
      </c>
      <c r="M119" s="61" t="n">
        <f aca="false">Resumo!$C$10*CEILING(G119/100,1)</f>
        <v>1.05</v>
      </c>
      <c r="N119" s="61" t="n">
        <f aca="false">Resumo!$C$9</f>
        <v>0</v>
      </c>
      <c r="O119" s="61" t="n">
        <f aca="false">Resumo!$C$13</f>
        <v>13.55</v>
      </c>
      <c r="P119" s="61" t="n">
        <f aca="false">Resumo!$C$14*CEILING(G119,1)</f>
        <v>23.85</v>
      </c>
      <c r="Q119" s="61" t="n">
        <f aca="false">SUM(I119:P119)*Resumo!$C$11</f>
        <v>0</v>
      </c>
      <c r="R119" s="61" t="n">
        <f aca="false">SUM(I119:Q119)</f>
        <v>99.754758</v>
      </c>
      <c r="S119" s="61" t="n">
        <f aca="false">R119/(1-Resumo!$C$5)</f>
        <v>113.357679545455</v>
      </c>
      <c r="T119" s="61" t="n">
        <v>112.3</v>
      </c>
      <c r="U119" s="61" t="n">
        <f aca="false">H119*Resumo!$B$6</f>
        <v>0.64399</v>
      </c>
      <c r="V119" s="61" t="n">
        <f aca="false">H119*Resumo!$B$7</f>
        <v>1.28798</v>
      </c>
      <c r="W119" s="61" t="n">
        <f aca="false">Resumo!$B$9</f>
        <v>1</v>
      </c>
      <c r="X119" s="61" t="n">
        <f aca="false">Resumo!$B$10*CEILING(G119/100,1)</f>
        <v>4.5</v>
      </c>
      <c r="Y119" s="61" t="n">
        <f aca="false">Resumo!$B$12*CEILING(G119,1)</f>
        <v>3.18</v>
      </c>
      <c r="Z119" s="61" t="n">
        <f aca="false">Resumo!$B$14*CEILING(G119,1)</f>
        <v>23.85</v>
      </c>
      <c r="AA119" s="61" t="n">
        <f aca="false">SUM(T119:Z119)</f>
        <v>146.76197</v>
      </c>
      <c r="AB119" s="61" t="n">
        <f aca="false">AA119/(1-Resumo!$B$5)</f>
        <v>166.774965909091</v>
      </c>
      <c r="AC119" s="61" t="n">
        <f aca="false">AB119-S119</f>
        <v>53.4172863636363</v>
      </c>
      <c r="AD119" s="62" t="n">
        <f aca="false">AB119/S119-1</f>
        <v>0.471227768403788</v>
      </c>
      <c r="AE119" s="60" t="str">
        <f aca="false">IF(AB119&lt;S119,"SIM","NÃO")</f>
        <v>NÃO</v>
      </c>
      <c r="AF119" s="60" t="n">
        <v>2</v>
      </c>
      <c r="AG119" s="60" t="n">
        <v>5</v>
      </c>
      <c r="AH119" s="60" t="s">
        <v>382</v>
      </c>
      <c r="AI119" s="61" t="n">
        <f aca="false">(T119*(1-Painel!$C$40)+U119+V119+Painel!$C$41+Painel!$C$42*CEILING(G119/100,1)+Painel!$C$43*CEILING(G119,1)+Z119)/(1-Resumo!$B$5)</f>
        <v>117.128375</v>
      </c>
      <c r="AJ119" s="60" t="str">
        <f aca="false">IF(AI119&lt;S119,"SIM","NÃO")</f>
        <v>NÃO</v>
      </c>
    </row>
    <row r="120" customFormat="false" ht="15" hidden="false" customHeight="false" outlineLevel="0" collapsed="false">
      <c r="A120" s="59" t="n">
        <v>46213.5761574074</v>
      </c>
      <c r="B120" s="60" t="s">
        <v>498</v>
      </c>
      <c r="C120" s="60" t="n">
        <v>25271330</v>
      </c>
      <c r="D120" s="60" t="s">
        <v>48</v>
      </c>
      <c r="E120" s="60" t="s">
        <v>23</v>
      </c>
      <c r="F120" s="60" t="s">
        <v>237</v>
      </c>
      <c r="G120" s="60" t="n">
        <v>63.9</v>
      </c>
      <c r="H120" s="61" t="n">
        <v>799.99</v>
      </c>
      <c r="I120" s="61" t="n">
        <v>76.55</v>
      </c>
      <c r="J120" s="61" t="n">
        <f aca="false">H120*Resumo!$C$6</f>
        <v>0</v>
      </c>
      <c r="K120" s="61" t="n">
        <f aca="false">H120*Resumo!$C$7</f>
        <v>1.679979</v>
      </c>
      <c r="L120" s="61" t="n">
        <f aca="false">H120*Resumo!$C$8</f>
        <v>1.679979</v>
      </c>
      <c r="M120" s="61" t="n">
        <f aca="false">Resumo!$C$10*CEILING(G120/100,1)</f>
        <v>1.05</v>
      </c>
      <c r="N120" s="61" t="n">
        <f aca="false">Resumo!$C$9</f>
        <v>0</v>
      </c>
      <c r="O120" s="61" t="n">
        <f aca="false">Resumo!$C$13</f>
        <v>13.55</v>
      </c>
      <c r="P120" s="61" t="n">
        <f aca="false">Resumo!$C$14*CEILING(G120,1)</f>
        <v>28.8</v>
      </c>
      <c r="Q120" s="61" t="n">
        <f aca="false">SUM(I120:P120)*Resumo!$C$11</f>
        <v>0</v>
      </c>
      <c r="R120" s="61" t="n">
        <f aca="false">SUM(I120:Q120)</f>
        <v>123.309958</v>
      </c>
      <c r="S120" s="61" t="n">
        <f aca="false">R120/(1-Resumo!$C$5)</f>
        <v>140.124952272727</v>
      </c>
      <c r="T120" s="61" t="n">
        <v>131.02</v>
      </c>
      <c r="U120" s="61" t="n">
        <f aca="false">H120*Resumo!$B$6</f>
        <v>0.79999</v>
      </c>
      <c r="V120" s="61" t="n">
        <f aca="false">H120*Resumo!$B$7</f>
        <v>1.59998</v>
      </c>
      <c r="W120" s="61" t="n">
        <f aca="false">Resumo!$B$9</f>
        <v>1</v>
      </c>
      <c r="X120" s="61" t="n">
        <f aca="false">Resumo!$B$10*CEILING(G120/100,1)</f>
        <v>4.5</v>
      </c>
      <c r="Y120" s="61" t="n">
        <f aca="false">Resumo!$B$12*CEILING(G120,1)</f>
        <v>3.84</v>
      </c>
      <c r="Z120" s="61" t="n">
        <f aca="false">Resumo!$B$14*CEILING(G120,1)</f>
        <v>28.8</v>
      </c>
      <c r="AA120" s="61" t="n">
        <f aca="false">SUM(T120:Z120)</f>
        <v>171.55997</v>
      </c>
      <c r="AB120" s="61" t="n">
        <f aca="false">AA120/(1-Resumo!$B$5)</f>
        <v>194.954511363636</v>
      </c>
      <c r="AC120" s="61" t="n">
        <f aca="false">AB120-S120</f>
        <v>54.8295590909091</v>
      </c>
      <c r="AD120" s="62" t="n">
        <f aca="false">AB120/S120-1</f>
        <v>0.391290474691428</v>
      </c>
      <c r="AE120" s="60" t="str">
        <f aca="false">IF(AB120&lt;S120,"SIM","NÃO")</f>
        <v>NÃO</v>
      </c>
      <c r="AF120" s="60" t="n">
        <v>2</v>
      </c>
      <c r="AG120" s="60" t="n">
        <v>5</v>
      </c>
      <c r="AH120" s="60" t="s">
        <v>382</v>
      </c>
      <c r="AI120" s="61" t="n">
        <f aca="false">(T120*(1-Painel!$C$40)+U120+V120+Painel!$C$41+Painel!$C$42*CEILING(G120/100,1)+Painel!$C$43*CEILING(G120,1)+Z120)/(1-Resumo!$B$5)</f>
        <v>137.537920454545</v>
      </c>
      <c r="AJ120" s="60" t="str">
        <f aca="false">IF(AI120&lt;S120,"SIM","NÃO")</f>
        <v>SIM</v>
      </c>
    </row>
    <row r="121" customFormat="false" ht="15" hidden="false" customHeight="false" outlineLevel="0" collapsed="false">
      <c r="A121" s="59" t="n">
        <v>46213.687974537</v>
      </c>
      <c r="B121" s="60" t="s">
        <v>499</v>
      </c>
      <c r="C121" s="60" t="n">
        <v>20760110</v>
      </c>
      <c r="D121" s="60" t="s">
        <v>46</v>
      </c>
      <c r="E121" s="60" t="s">
        <v>22</v>
      </c>
      <c r="F121" s="60" t="s">
        <v>235</v>
      </c>
      <c r="G121" s="60" t="n">
        <v>41</v>
      </c>
      <c r="H121" s="61" t="n">
        <v>515.19</v>
      </c>
      <c r="I121" s="61" t="n">
        <v>53.55</v>
      </c>
      <c r="J121" s="61" t="n">
        <f aca="false">H121*Resumo!$C$6</f>
        <v>0</v>
      </c>
      <c r="K121" s="61" t="n">
        <f aca="false">H121*Resumo!$C$7</f>
        <v>1.081899</v>
      </c>
      <c r="L121" s="61" t="n">
        <f aca="false">H121*Resumo!$C$8</f>
        <v>1.081899</v>
      </c>
      <c r="M121" s="61" t="n">
        <f aca="false">Resumo!$C$10*CEILING(G121/100,1)</f>
        <v>1.05</v>
      </c>
      <c r="N121" s="61" t="n">
        <f aca="false">Resumo!$C$9</f>
        <v>0</v>
      </c>
      <c r="O121" s="61" t="n">
        <f aca="false">Resumo!$C$13</f>
        <v>13.55</v>
      </c>
      <c r="P121" s="61" t="n">
        <f aca="false">Resumo!$C$14*CEILING(G121,1)</f>
        <v>18.45</v>
      </c>
      <c r="Q121" s="61" t="n">
        <f aca="false">SUM(I121:P121)*Resumo!$C$11</f>
        <v>0</v>
      </c>
      <c r="R121" s="61" t="n">
        <f aca="false">SUM(I121:Q121)</f>
        <v>88.763798</v>
      </c>
      <c r="S121" s="61" t="n">
        <f aca="false">R121/(1-Resumo!$C$5)</f>
        <v>100.867952272727</v>
      </c>
      <c r="T121" s="61" t="n">
        <v>93.97</v>
      </c>
      <c r="U121" s="61" t="n">
        <f aca="false">H121*Resumo!$B$6</f>
        <v>0.51519</v>
      </c>
      <c r="V121" s="61" t="n">
        <f aca="false">H121*Resumo!$B$7</f>
        <v>1.03038</v>
      </c>
      <c r="W121" s="61" t="n">
        <f aca="false">Resumo!$B$9</f>
        <v>1</v>
      </c>
      <c r="X121" s="61" t="n">
        <f aca="false">Resumo!$B$10*CEILING(G121/100,1)</f>
        <v>4.5</v>
      </c>
      <c r="Y121" s="61" t="n">
        <f aca="false">Resumo!$B$12*CEILING(G121,1)</f>
        <v>2.46</v>
      </c>
      <c r="Z121" s="61" t="n">
        <f aca="false">Resumo!$B$14*CEILING(G121,1)</f>
        <v>18.45</v>
      </c>
      <c r="AA121" s="61" t="n">
        <f aca="false">SUM(T121:Z121)</f>
        <v>121.92557</v>
      </c>
      <c r="AB121" s="61" t="n">
        <f aca="false">AA121/(1-Resumo!$B$5)</f>
        <v>138.551784090909</v>
      </c>
      <c r="AC121" s="61" t="n">
        <f aca="false">AB121-S121</f>
        <v>37.6838318181818</v>
      </c>
      <c r="AD121" s="62" t="n">
        <f aca="false">AB121/S121-1</f>
        <v>0.373595685934935</v>
      </c>
      <c r="AE121" s="60" t="str">
        <f aca="false">IF(AB121&lt;S121,"SIM","NÃO")</f>
        <v>NÃO</v>
      </c>
      <c r="AF121" s="60" t="n">
        <v>2</v>
      </c>
      <c r="AG121" s="60" t="n">
        <v>5</v>
      </c>
      <c r="AH121" s="60" t="s">
        <v>382</v>
      </c>
      <c r="AI121" s="61" t="n">
        <f aca="false">(T121*(1-Painel!$C$40)+U121+V121+Painel!$C$41+Painel!$C$42*CEILING(G121/100,1)+Painel!$C$43*CEILING(G121,1)+Z121)/(1-Resumo!$B$5)</f>
        <v>96.597125</v>
      </c>
      <c r="AJ121" s="60" t="str">
        <f aca="false">IF(AI121&lt;S121,"SIM","NÃO")</f>
        <v>SIM</v>
      </c>
    </row>
    <row r="122" customFormat="false" ht="15" hidden="false" customHeight="false" outlineLevel="0" collapsed="false">
      <c r="A122" s="59" t="n">
        <v>46213.7650694445</v>
      </c>
      <c r="B122" s="60" t="s">
        <v>500</v>
      </c>
      <c r="C122" s="60" t="n">
        <v>21911130</v>
      </c>
      <c r="D122" s="60" t="s">
        <v>46</v>
      </c>
      <c r="E122" s="60" t="s">
        <v>22</v>
      </c>
      <c r="F122" s="60" t="s">
        <v>235</v>
      </c>
      <c r="G122" s="60" t="n">
        <v>46.8</v>
      </c>
      <c r="H122" s="61" t="n">
        <v>556.99</v>
      </c>
      <c r="I122" s="61" t="n">
        <v>53.55</v>
      </c>
      <c r="J122" s="61" t="n">
        <f aca="false">H122*Resumo!$C$6</f>
        <v>0</v>
      </c>
      <c r="K122" s="61" t="n">
        <f aca="false">H122*Resumo!$C$7</f>
        <v>1.169679</v>
      </c>
      <c r="L122" s="61" t="n">
        <f aca="false">H122*Resumo!$C$8</f>
        <v>1.169679</v>
      </c>
      <c r="M122" s="61" t="n">
        <f aca="false">Resumo!$C$10*CEILING(G122/100,1)</f>
        <v>1.05</v>
      </c>
      <c r="N122" s="61" t="n">
        <f aca="false">Resumo!$C$9</f>
        <v>0</v>
      </c>
      <c r="O122" s="61" t="n">
        <f aca="false">Resumo!$C$13</f>
        <v>13.55</v>
      </c>
      <c r="P122" s="61" t="n">
        <f aca="false">Resumo!$C$14*CEILING(G122,1)</f>
        <v>21.15</v>
      </c>
      <c r="Q122" s="61" t="n">
        <f aca="false">SUM(I122:P122)*Resumo!$C$11</f>
        <v>0</v>
      </c>
      <c r="R122" s="61" t="n">
        <f aca="false">SUM(I122:Q122)</f>
        <v>91.639358</v>
      </c>
      <c r="S122" s="61" t="n">
        <f aca="false">R122/(1-Resumo!$C$5)</f>
        <v>104.135634090909</v>
      </c>
      <c r="T122" s="61" t="n">
        <v>93.97</v>
      </c>
      <c r="U122" s="61" t="n">
        <f aca="false">H122*Resumo!$B$6</f>
        <v>0.55699</v>
      </c>
      <c r="V122" s="61" t="n">
        <f aca="false">H122*Resumo!$B$7</f>
        <v>1.11398</v>
      </c>
      <c r="W122" s="61" t="n">
        <f aca="false">Resumo!$B$9</f>
        <v>1</v>
      </c>
      <c r="X122" s="61" t="n">
        <f aca="false">Resumo!$B$10*CEILING(G122/100,1)</f>
        <v>4.5</v>
      </c>
      <c r="Y122" s="61" t="n">
        <f aca="false">Resumo!$B$12*CEILING(G122,1)</f>
        <v>2.82</v>
      </c>
      <c r="Z122" s="61" t="n">
        <f aca="false">Resumo!$B$14*CEILING(G122,1)</f>
        <v>21.15</v>
      </c>
      <c r="AA122" s="61" t="n">
        <f aca="false">SUM(T122:Z122)</f>
        <v>125.11097</v>
      </c>
      <c r="AB122" s="61" t="n">
        <f aca="false">AA122/(1-Resumo!$B$5)</f>
        <v>142.171556818182</v>
      </c>
      <c r="AC122" s="61" t="n">
        <f aca="false">AB122-S122</f>
        <v>38.0359227272728</v>
      </c>
      <c r="AD122" s="62" t="n">
        <f aca="false">AB122/S122-1</f>
        <v>0.36525367189936</v>
      </c>
      <c r="AE122" s="60" t="str">
        <f aca="false">IF(AB122&lt;S122,"SIM","NÃO")</f>
        <v>NÃO</v>
      </c>
      <c r="AF122" s="60" t="n">
        <v>2</v>
      </c>
      <c r="AG122" s="60" t="n">
        <v>5</v>
      </c>
      <c r="AH122" s="60" t="s">
        <v>382</v>
      </c>
      <c r="AI122" s="61" t="n">
        <f aca="false">(T122*(1-Painel!$C$40)+U122+V122+Painel!$C$41+Painel!$C$42*CEILING(G122/100,1)+Painel!$C$43*CEILING(G122,1)+Z122)/(1-Resumo!$B$5)</f>
        <v>99.8078068181818</v>
      </c>
      <c r="AJ122" s="60" t="str">
        <f aca="false">IF(AI122&lt;S122,"SIM","NÃO")</f>
        <v>SIM</v>
      </c>
    </row>
    <row r="123" customFormat="false" ht="15" hidden="false" customHeight="false" outlineLevel="0" collapsed="false">
      <c r="A123" s="59" t="n">
        <v>46213.7881597222</v>
      </c>
      <c r="B123" s="60" t="s">
        <v>501</v>
      </c>
      <c r="C123" s="60" t="n">
        <v>24320200</v>
      </c>
      <c r="D123" s="60" t="s">
        <v>50</v>
      </c>
      <c r="E123" s="60" t="s">
        <v>23</v>
      </c>
      <c r="F123" s="60" t="s">
        <v>236</v>
      </c>
      <c r="G123" s="60" t="n">
        <v>52.3</v>
      </c>
      <c r="H123" s="61" t="n">
        <v>644.99</v>
      </c>
      <c r="I123" s="61" t="n">
        <v>70.98</v>
      </c>
      <c r="J123" s="61" t="n">
        <f aca="false">H123*Resumo!$C$6</f>
        <v>0</v>
      </c>
      <c r="K123" s="61" t="n">
        <f aca="false">H123*Resumo!$C$7</f>
        <v>1.354479</v>
      </c>
      <c r="L123" s="61" t="n">
        <f aca="false">H123*Resumo!$C$8</f>
        <v>1.354479</v>
      </c>
      <c r="M123" s="61" t="n">
        <f aca="false">Resumo!$C$10*CEILING(G123/100,1)</f>
        <v>1.05</v>
      </c>
      <c r="N123" s="61" t="n">
        <f aca="false">Resumo!$C$9</f>
        <v>0</v>
      </c>
      <c r="O123" s="61" t="n">
        <f aca="false">Resumo!$C$13</f>
        <v>13.55</v>
      </c>
      <c r="P123" s="61" t="n">
        <f aca="false">Resumo!$C$14*CEILING(G123,1)</f>
        <v>23.85</v>
      </c>
      <c r="Q123" s="61" t="n">
        <f aca="false">SUM(I123:P123)*Resumo!$C$11</f>
        <v>0</v>
      </c>
      <c r="R123" s="61" t="n">
        <f aca="false">SUM(I123:Q123)</f>
        <v>112.138958</v>
      </c>
      <c r="S123" s="61" t="n">
        <f aca="false">R123/(1-Resumo!$C$5)</f>
        <v>127.430634090909</v>
      </c>
      <c r="T123" s="61" t="n">
        <v>128.14</v>
      </c>
      <c r="U123" s="61" t="n">
        <f aca="false">H123*Resumo!$B$6</f>
        <v>0.64499</v>
      </c>
      <c r="V123" s="61" t="n">
        <f aca="false">H123*Resumo!$B$7</f>
        <v>1.28998</v>
      </c>
      <c r="W123" s="61" t="n">
        <f aca="false">Resumo!$B$9</f>
        <v>1</v>
      </c>
      <c r="X123" s="61" t="n">
        <f aca="false">Resumo!$B$10*CEILING(G123/100,1)</f>
        <v>4.5</v>
      </c>
      <c r="Y123" s="61" t="n">
        <f aca="false">Resumo!$B$12*CEILING(G123,1)</f>
        <v>3.18</v>
      </c>
      <c r="Z123" s="61" t="n">
        <f aca="false">Resumo!$B$14*CEILING(G123,1)</f>
        <v>23.85</v>
      </c>
      <c r="AA123" s="61" t="n">
        <f aca="false">SUM(T123:Z123)</f>
        <v>162.60497</v>
      </c>
      <c r="AB123" s="61" t="n">
        <f aca="false">AA123/(1-Resumo!$B$5)</f>
        <v>184.778375</v>
      </c>
      <c r="AC123" s="61" t="n">
        <f aca="false">AB123-S123</f>
        <v>57.3477409090909</v>
      </c>
      <c r="AD123" s="62" t="n">
        <f aca="false">AB123/S123-1</f>
        <v>0.450031040951887</v>
      </c>
      <c r="AE123" s="60" t="str">
        <f aca="false">IF(AB123&lt;S123,"SIM","NÃO")</f>
        <v>NÃO</v>
      </c>
      <c r="AF123" s="60" t="n">
        <v>2</v>
      </c>
      <c r="AG123" s="60" t="n">
        <v>7</v>
      </c>
      <c r="AH123" s="60" t="s">
        <v>382</v>
      </c>
      <c r="AI123" s="61" t="n">
        <f aca="false">(T123*(1-Painel!$C$40)+U123+V123+Painel!$C$41+Painel!$C$42*CEILING(G123/100,1)+Painel!$C$43*CEILING(G123,1)+Z123)/(1-Resumo!$B$5)</f>
        <v>129.191784090909</v>
      </c>
      <c r="AJ123" s="60" t="str">
        <f aca="false">IF(AI123&lt;S123,"SIM","NÃO")</f>
        <v>NÃO</v>
      </c>
    </row>
    <row r="124" customFormat="false" ht="15" hidden="false" customHeight="false" outlineLevel="0" collapsed="false">
      <c r="A124" s="59" t="n">
        <v>46213.8119444445</v>
      </c>
      <c r="B124" s="60" t="s">
        <v>502</v>
      </c>
      <c r="C124" s="60" t="n">
        <v>26116670</v>
      </c>
      <c r="D124" s="60" t="s">
        <v>52</v>
      </c>
      <c r="E124" s="60" t="s">
        <v>23</v>
      </c>
      <c r="F124" s="60" t="s">
        <v>236</v>
      </c>
      <c r="G124" s="60" t="n">
        <v>52.3</v>
      </c>
      <c r="H124" s="61" t="n">
        <v>688.24</v>
      </c>
      <c r="I124" s="61" t="n">
        <v>70.98</v>
      </c>
      <c r="J124" s="61" t="n">
        <f aca="false">H124*Resumo!$C$6</f>
        <v>0</v>
      </c>
      <c r="K124" s="61" t="n">
        <f aca="false">H124*Resumo!$C$7</f>
        <v>1.445304</v>
      </c>
      <c r="L124" s="61" t="n">
        <f aca="false">H124*Resumo!$C$8</f>
        <v>1.445304</v>
      </c>
      <c r="M124" s="61" t="n">
        <f aca="false">Resumo!$C$10*CEILING(G124/100,1)</f>
        <v>1.05</v>
      </c>
      <c r="N124" s="61" t="n">
        <f aca="false">Resumo!$C$9</f>
        <v>0</v>
      </c>
      <c r="O124" s="61" t="n">
        <f aca="false">Resumo!$C$13</f>
        <v>13.55</v>
      </c>
      <c r="P124" s="61" t="n">
        <f aca="false">Resumo!$C$14*CEILING(G124,1)</f>
        <v>23.85</v>
      </c>
      <c r="Q124" s="61" t="n">
        <f aca="false">SUM(I124:P124)*Resumo!$C$11</f>
        <v>0</v>
      </c>
      <c r="R124" s="61" t="n">
        <f aca="false">SUM(I124:Q124)</f>
        <v>112.320608</v>
      </c>
      <c r="S124" s="61" t="n">
        <f aca="false">R124/(1-Resumo!$C$5)</f>
        <v>127.637054545455</v>
      </c>
      <c r="T124" s="61" t="n">
        <v>112.3</v>
      </c>
      <c r="U124" s="61" t="n">
        <f aca="false">H124*Resumo!$B$6</f>
        <v>0.68824</v>
      </c>
      <c r="V124" s="61" t="n">
        <f aca="false">H124*Resumo!$B$7</f>
        <v>1.37648</v>
      </c>
      <c r="W124" s="61" t="n">
        <f aca="false">Resumo!$B$9</f>
        <v>1</v>
      </c>
      <c r="X124" s="61" t="n">
        <f aca="false">Resumo!$B$10*CEILING(G124/100,1)</f>
        <v>4.5</v>
      </c>
      <c r="Y124" s="61" t="n">
        <f aca="false">Resumo!$B$12*CEILING(G124,1)</f>
        <v>3.18</v>
      </c>
      <c r="Z124" s="61" t="n">
        <f aca="false">Resumo!$B$14*CEILING(G124,1)</f>
        <v>23.85</v>
      </c>
      <c r="AA124" s="61" t="n">
        <f aca="false">SUM(T124:Z124)</f>
        <v>146.89472</v>
      </c>
      <c r="AB124" s="61" t="n">
        <f aca="false">AA124/(1-Resumo!$B$5)</f>
        <v>166.925818181818</v>
      </c>
      <c r="AC124" s="61" t="n">
        <f aca="false">AB124-S124</f>
        <v>39.2887636363637</v>
      </c>
      <c r="AD124" s="62" t="n">
        <f aca="false">AB124/S124-1</f>
        <v>0.307816282475964</v>
      </c>
      <c r="AE124" s="60" t="str">
        <f aca="false">IF(AB124&lt;S124,"SIM","NÃO")</f>
        <v>NÃO</v>
      </c>
      <c r="AF124" s="60" t="n">
        <v>2</v>
      </c>
      <c r="AG124" s="60" t="n">
        <v>5</v>
      </c>
      <c r="AH124" s="60" t="s">
        <v>382</v>
      </c>
      <c r="AI124" s="61" t="n">
        <f aca="false">(T124*(1-Painel!$C$40)+U124+V124+Painel!$C$41+Painel!$C$42*CEILING(G124/100,1)+Painel!$C$43*CEILING(G124,1)+Z124)/(1-Resumo!$B$5)</f>
        <v>117.279227272727</v>
      </c>
      <c r="AJ124" s="60" t="str">
        <f aca="false">IF(AI124&lt;S124,"SIM","NÃO")</f>
        <v>SIM</v>
      </c>
    </row>
    <row r="125" customFormat="false" ht="15" hidden="false" customHeight="false" outlineLevel="0" collapsed="false">
      <c r="A125" s="59" t="n">
        <v>46213.8514814815</v>
      </c>
      <c r="B125" s="60" t="s">
        <v>503</v>
      </c>
      <c r="C125" s="60" t="n">
        <v>23060612</v>
      </c>
      <c r="D125" s="60" t="s">
        <v>46</v>
      </c>
      <c r="E125" s="60" t="s">
        <v>22</v>
      </c>
      <c r="F125" s="60" t="s">
        <v>232</v>
      </c>
      <c r="G125" s="60" t="n">
        <v>19.5</v>
      </c>
      <c r="H125" s="61" t="n">
        <v>369.99</v>
      </c>
      <c r="I125" s="61" t="n">
        <v>33.42</v>
      </c>
      <c r="J125" s="61" t="n">
        <f aca="false">H125*Resumo!$C$6</f>
        <v>0</v>
      </c>
      <c r="K125" s="61" t="n">
        <f aca="false">H125*Resumo!$C$7</f>
        <v>0.776979</v>
      </c>
      <c r="L125" s="61" t="n">
        <f aca="false">H125*Resumo!$C$8</f>
        <v>0.776979</v>
      </c>
      <c r="M125" s="61" t="n">
        <f aca="false">Resumo!$C$10*CEILING(G125/100,1)</f>
        <v>1.05</v>
      </c>
      <c r="N125" s="61" t="n">
        <f aca="false">Resumo!$C$9</f>
        <v>0</v>
      </c>
      <c r="O125" s="61" t="n">
        <f aca="false">Resumo!$C$13</f>
        <v>13.55</v>
      </c>
      <c r="P125" s="61" t="n">
        <f aca="false">Resumo!$C$14*CEILING(G125,1)</f>
        <v>9</v>
      </c>
      <c r="Q125" s="61" t="n">
        <f aca="false">SUM(I125:P125)*Resumo!$C$11</f>
        <v>0</v>
      </c>
      <c r="R125" s="61" t="n">
        <f aca="false">SUM(I125:Q125)</f>
        <v>58.573958</v>
      </c>
      <c r="S125" s="61" t="n">
        <f aca="false">R125/(1-Resumo!$C$5)</f>
        <v>66.5613159090909</v>
      </c>
      <c r="T125" s="61" t="n">
        <v>46.98</v>
      </c>
      <c r="U125" s="61" t="n">
        <f aca="false">H125*Resumo!$B$6</f>
        <v>0.36999</v>
      </c>
      <c r="V125" s="61" t="n">
        <f aca="false">H125*Resumo!$B$7</f>
        <v>0.73998</v>
      </c>
      <c r="W125" s="61" t="n">
        <f aca="false">Resumo!$B$9</f>
        <v>1</v>
      </c>
      <c r="X125" s="61" t="n">
        <f aca="false">Resumo!$B$10*CEILING(G125/100,1)</f>
        <v>4.5</v>
      </c>
      <c r="Y125" s="61" t="n">
        <f aca="false">Resumo!$B$12*CEILING(G125,1)</f>
        <v>1.2</v>
      </c>
      <c r="Z125" s="61" t="n">
        <f aca="false">Resumo!$B$14*CEILING(G125,1)</f>
        <v>9</v>
      </c>
      <c r="AA125" s="61" t="n">
        <f aca="false">SUM(T125:Z125)</f>
        <v>63.78997</v>
      </c>
      <c r="AB125" s="61" t="n">
        <f aca="false">AA125/(1-Resumo!$B$5)</f>
        <v>72.4886022727273</v>
      </c>
      <c r="AC125" s="61" t="n">
        <f aca="false">AB125-S125</f>
        <v>5.92728636363636</v>
      </c>
      <c r="AD125" s="62" t="n">
        <f aca="false">AB125/S125-1</f>
        <v>0.0890500177570379</v>
      </c>
      <c r="AE125" s="60" t="str">
        <f aca="false">IF(AB125&lt;S125,"SIM","NÃO")</f>
        <v>NÃO</v>
      </c>
      <c r="AF125" s="60" t="n">
        <v>2</v>
      </c>
      <c r="AG125" s="60" t="n">
        <v>5</v>
      </c>
      <c r="AH125" s="60" t="s">
        <v>382</v>
      </c>
      <c r="AI125" s="61" t="n">
        <f aca="false">(T125*(1-Painel!$C$40)+U125+V125+Painel!$C$41+Painel!$C$42*CEILING(G125/100,1)+Painel!$C$43*CEILING(G125,1)+Z125)/(1-Resumo!$B$5)</f>
        <v>49.5870113636364</v>
      </c>
      <c r="AJ125" s="60" t="str">
        <f aca="false">IF(AI125&lt;S125,"SIM","NÃO")</f>
        <v>SIM</v>
      </c>
    </row>
    <row r="126" customFormat="false" ht="15" hidden="false" customHeight="false" outlineLevel="0" collapsed="false">
      <c r="A126" s="59" t="n">
        <v>46213.8809953704</v>
      </c>
      <c r="B126" s="60" t="s">
        <v>504</v>
      </c>
      <c r="C126" s="60" t="n">
        <v>21830008</v>
      </c>
      <c r="D126" s="60" t="s">
        <v>46</v>
      </c>
      <c r="E126" s="60" t="s">
        <v>22</v>
      </c>
      <c r="F126" s="60" t="s">
        <v>237</v>
      </c>
      <c r="G126" s="60" t="n">
        <v>69</v>
      </c>
      <c r="H126" s="61" t="n">
        <v>735.99</v>
      </c>
      <c r="I126" s="61" t="n">
        <v>63.21</v>
      </c>
      <c r="J126" s="61" t="n">
        <f aca="false">H126*Resumo!$C$6</f>
        <v>0</v>
      </c>
      <c r="K126" s="61" t="n">
        <f aca="false">H126*Resumo!$C$7</f>
        <v>1.545579</v>
      </c>
      <c r="L126" s="61" t="n">
        <f aca="false">H126*Resumo!$C$8</f>
        <v>1.545579</v>
      </c>
      <c r="M126" s="61" t="n">
        <f aca="false">Resumo!$C$10*CEILING(G126/100,1)</f>
        <v>1.05</v>
      </c>
      <c r="N126" s="61" t="n">
        <f aca="false">Resumo!$C$9</f>
        <v>0</v>
      </c>
      <c r="O126" s="61" t="n">
        <f aca="false">Resumo!$C$13</f>
        <v>13.55</v>
      </c>
      <c r="P126" s="61" t="n">
        <f aca="false">Resumo!$C$14*CEILING(G126,1)</f>
        <v>31.05</v>
      </c>
      <c r="Q126" s="61" t="n">
        <f aca="false">SUM(I126:P126)*Resumo!$C$11</f>
        <v>0</v>
      </c>
      <c r="R126" s="61" t="n">
        <f aca="false">SUM(I126:Q126)</f>
        <v>111.951158</v>
      </c>
      <c r="S126" s="61" t="n">
        <f aca="false">R126/(1-Resumo!$C$5)</f>
        <v>127.217225</v>
      </c>
      <c r="T126" s="61" t="n">
        <v>131.02</v>
      </c>
      <c r="U126" s="61" t="n">
        <f aca="false">H126*Resumo!$B$6</f>
        <v>0.73599</v>
      </c>
      <c r="V126" s="61" t="n">
        <f aca="false">H126*Resumo!$B$7</f>
        <v>1.47198</v>
      </c>
      <c r="W126" s="61" t="n">
        <f aca="false">Resumo!$B$9</f>
        <v>1</v>
      </c>
      <c r="X126" s="61" t="n">
        <f aca="false">Resumo!$B$10*CEILING(G126/100,1)</f>
        <v>4.5</v>
      </c>
      <c r="Y126" s="61" t="n">
        <f aca="false">Resumo!$B$12*CEILING(G126,1)</f>
        <v>4.14</v>
      </c>
      <c r="Z126" s="61" t="n">
        <f aca="false">Resumo!$B$14*CEILING(G126,1)</f>
        <v>31.05</v>
      </c>
      <c r="AA126" s="61" t="n">
        <f aca="false">SUM(T126:Z126)</f>
        <v>173.91797</v>
      </c>
      <c r="AB126" s="61" t="n">
        <f aca="false">AA126/(1-Resumo!$B$5)</f>
        <v>197.634056818182</v>
      </c>
      <c r="AC126" s="61" t="n">
        <f aca="false">AB126-S126</f>
        <v>70.4168318181819</v>
      </c>
      <c r="AD126" s="62" t="n">
        <f aca="false">AB126/S126-1</f>
        <v>0.553516489753505</v>
      </c>
      <c r="AE126" s="60" t="str">
        <f aca="false">IF(AB126&lt;S126,"SIM","NÃO")</f>
        <v>NÃO</v>
      </c>
      <c r="AF126" s="60" t="n">
        <v>2</v>
      </c>
      <c r="AG126" s="60" t="n">
        <v>5</v>
      </c>
      <c r="AH126" s="60" t="s">
        <v>382</v>
      </c>
      <c r="AI126" s="61" t="n">
        <f aca="false">(T126*(1-Painel!$C$40)+U126+V126+Painel!$C$41+Painel!$C$42*CEILING(G126/100,1)+Painel!$C$43*CEILING(G126,1)+Z126)/(1-Resumo!$B$5)</f>
        <v>139.876556818182</v>
      </c>
      <c r="AJ126" s="60" t="str">
        <f aca="false">IF(AI126&lt;S126,"SIM","NÃO")</f>
        <v>NÃO</v>
      </c>
    </row>
    <row r="127" customFormat="false" ht="15" hidden="false" customHeight="false" outlineLevel="0" collapsed="false">
      <c r="A127" s="59" t="n">
        <v>46213.8882291667</v>
      </c>
      <c r="B127" s="60" t="s">
        <v>505</v>
      </c>
      <c r="C127" s="60" t="n">
        <v>22451010</v>
      </c>
      <c r="D127" s="60" t="s">
        <v>46</v>
      </c>
      <c r="E127" s="60" t="s">
        <v>22</v>
      </c>
      <c r="F127" s="60" t="s">
        <v>233</v>
      </c>
      <c r="G127" s="60" t="n">
        <v>21.55</v>
      </c>
      <c r="H127" s="61" t="n">
        <v>252.68</v>
      </c>
      <c r="I127" s="61" t="n">
        <v>42.11</v>
      </c>
      <c r="J127" s="61" t="n">
        <f aca="false">H127*Resumo!$C$6</f>
        <v>0</v>
      </c>
      <c r="K127" s="61" t="n">
        <f aca="false">H127*Resumo!$C$7</f>
        <v>0.530628</v>
      </c>
      <c r="L127" s="61" t="n">
        <f aca="false">H127*Resumo!$C$8</f>
        <v>0.530628</v>
      </c>
      <c r="M127" s="61" t="n">
        <f aca="false">Resumo!$C$10*CEILING(G127/100,1)</f>
        <v>1.05</v>
      </c>
      <c r="N127" s="61" t="n">
        <f aca="false">Resumo!$C$9</f>
        <v>0</v>
      </c>
      <c r="O127" s="61" t="n">
        <f aca="false">Resumo!$C$13</f>
        <v>13.55</v>
      </c>
      <c r="P127" s="61" t="n">
        <f aca="false">Resumo!$C$14*CEILING(G127,1)</f>
        <v>9.9</v>
      </c>
      <c r="Q127" s="61" t="n">
        <f aca="false">SUM(I127:P127)*Resumo!$C$11</f>
        <v>0</v>
      </c>
      <c r="R127" s="61" t="n">
        <f aca="false">SUM(I127:Q127)</f>
        <v>67.671256</v>
      </c>
      <c r="S127" s="61" t="n">
        <f aca="false">R127/(1-Resumo!$C$5)</f>
        <v>76.8991545454546</v>
      </c>
      <c r="T127" s="61" t="n">
        <v>82.21</v>
      </c>
      <c r="U127" s="61" t="n">
        <f aca="false">H127*Resumo!$B$6</f>
        <v>0.25268</v>
      </c>
      <c r="V127" s="61" t="n">
        <f aca="false">H127*Resumo!$B$7</f>
        <v>0.50536</v>
      </c>
      <c r="W127" s="61" t="n">
        <f aca="false">Resumo!$B$9</f>
        <v>1</v>
      </c>
      <c r="X127" s="61" t="n">
        <f aca="false">Resumo!$B$10*CEILING(G127/100,1)</f>
        <v>4.5</v>
      </c>
      <c r="Y127" s="61" t="n">
        <f aca="false">Resumo!$B$12*CEILING(G127,1)</f>
        <v>1.32</v>
      </c>
      <c r="Z127" s="61" t="n">
        <f aca="false">Resumo!$B$14*CEILING(G127,1)</f>
        <v>9.9</v>
      </c>
      <c r="AA127" s="61" t="n">
        <f aca="false">SUM(T127:Z127)</f>
        <v>99.68804</v>
      </c>
      <c r="AB127" s="61" t="n">
        <f aca="false">AA127/(1-Resumo!$B$5)</f>
        <v>113.281863636364</v>
      </c>
      <c r="AC127" s="61" t="n">
        <f aca="false">AB127-S127</f>
        <v>36.3827090909091</v>
      </c>
      <c r="AD127" s="62" t="n">
        <f aca="false">AB127/S127-1</f>
        <v>0.47312235493309</v>
      </c>
      <c r="AE127" s="60" t="str">
        <f aca="false">IF(AB127&lt;S127,"SIM","NÃO")</f>
        <v>NÃO</v>
      </c>
      <c r="AF127" s="60" t="n">
        <v>2</v>
      </c>
      <c r="AG127" s="60" t="n">
        <v>5</v>
      </c>
      <c r="AH127" s="60" t="s">
        <v>382</v>
      </c>
      <c r="AI127" s="61" t="n">
        <f aca="false">(T127*(1-Painel!$C$40)+U127+V127+Painel!$C$41+Painel!$C$42*CEILING(G127/100,1)+Painel!$C$43*CEILING(G127,1)+Z127)/(1-Resumo!$B$5)</f>
        <v>77.0326590909091</v>
      </c>
      <c r="AJ127" s="60" t="str">
        <f aca="false">IF(AI127&lt;S127,"SIM","NÃO")</f>
        <v>NÃO</v>
      </c>
    </row>
    <row r="128" customFormat="false" ht="15" hidden="false" customHeight="false" outlineLevel="0" collapsed="false">
      <c r="A128" s="59" t="n">
        <v>46213.9472916667</v>
      </c>
      <c r="B128" s="60" t="s">
        <v>506</v>
      </c>
      <c r="C128" s="60" t="n">
        <v>23575240</v>
      </c>
      <c r="D128" s="60" t="s">
        <v>46</v>
      </c>
      <c r="E128" s="60" t="s">
        <v>22</v>
      </c>
      <c r="F128" s="60" t="s">
        <v>235</v>
      </c>
      <c r="G128" s="60" t="n">
        <v>48.3</v>
      </c>
      <c r="H128" s="61" t="n">
        <v>413.99</v>
      </c>
      <c r="I128" s="61" t="n">
        <v>53.55</v>
      </c>
      <c r="J128" s="61" t="n">
        <f aca="false">H128*Resumo!$C$6</f>
        <v>0</v>
      </c>
      <c r="K128" s="61" t="n">
        <f aca="false">H128*Resumo!$C$7</f>
        <v>0.869379</v>
      </c>
      <c r="L128" s="61" t="n">
        <f aca="false">H128*Resumo!$C$8</f>
        <v>0.869379</v>
      </c>
      <c r="M128" s="61" t="n">
        <f aca="false">Resumo!$C$10*CEILING(G128/100,1)</f>
        <v>1.05</v>
      </c>
      <c r="N128" s="61" t="n">
        <f aca="false">Resumo!$C$9</f>
        <v>0</v>
      </c>
      <c r="O128" s="61" t="n">
        <f aca="false">Resumo!$C$13</f>
        <v>13.55</v>
      </c>
      <c r="P128" s="61" t="n">
        <f aca="false">Resumo!$C$14*CEILING(G128,1)</f>
        <v>22.05</v>
      </c>
      <c r="Q128" s="61" t="n">
        <f aca="false">SUM(I128:P128)*Resumo!$C$11</f>
        <v>0</v>
      </c>
      <c r="R128" s="61" t="n">
        <f aca="false">SUM(I128:Q128)</f>
        <v>91.938758</v>
      </c>
      <c r="S128" s="61" t="n">
        <f aca="false">R128/(1-Resumo!$C$5)</f>
        <v>104.475861363636</v>
      </c>
      <c r="T128" s="61" t="n">
        <v>93.97</v>
      </c>
      <c r="U128" s="61" t="n">
        <f aca="false">H128*Resumo!$B$6</f>
        <v>0.41399</v>
      </c>
      <c r="V128" s="61" t="n">
        <f aca="false">H128*Resumo!$B$7</f>
        <v>0.82798</v>
      </c>
      <c r="W128" s="61" t="n">
        <f aca="false">Resumo!$B$9</f>
        <v>1</v>
      </c>
      <c r="X128" s="61" t="n">
        <f aca="false">Resumo!$B$10*CEILING(G128/100,1)</f>
        <v>4.5</v>
      </c>
      <c r="Y128" s="61" t="n">
        <f aca="false">Resumo!$B$12*CEILING(G128,1)</f>
        <v>2.94</v>
      </c>
      <c r="Z128" s="61" t="n">
        <f aca="false">Resumo!$B$14*CEILING(G128,1)</f>
        <v>22.05</v>
      </c>
      <c r="AA128" s="61" t="n">
        <f aca="false">SUM(T128:Z128)</f>
        <v>125.70197</v>
      </c>
      <c r="AB128" s="61" t="n">
        <f aca="false">AA128/(1-Resumo!$B$5)</f>
        <v>142.843147727273</v>
      </c>
      <c r="AC128" s="61" t="n">
        <f aca="false">AB128-S128</f>
        <v>38.3672863636364</v>
      </c>
      <c r="AD128" s="62" t="n">
        <f aca="false">AB128/S128-1</f>
        <v>0.367235894137269</v>
      </c>
      <c r="AE128" s="60" t="str">
        <f aca="false">IF(AB128&lt;S128,"SIM","NÃO")</f>
        <v>NÃO</v>
      </c>
      <c r="AF128" s="60" t="n">
        <v>2</v>
      </c>
      <c r="AG128" s="60" t="n">
        <v>5</v>
      </c>
      <c r="AH128" s="60" t="s">
        <v>382</v>
      </c>
      <c r="AI128" s="61" t="n">
        <f aca="false">(T128*(1-Painel!$C$40)+U128+V128+Painel!$C$41+Painel!$C$42*CEILING(G128/100,1)+Painel!$C$43*CEILING(G128,1)+Z128)/(1-Resumo!$B$5)</f>
        <v>100.343034090909</v>
      </c>
      <c r="AJ128" s="60" t="str">
        <f aca="false">IF(AI128&lt;S128,"SIM","NÃO")</f>
        <v>SIM</v>
      </c>
    </row>
    <row r="129" customFormat="false" ht="15" hidden="false" customHeight="false" outlineLevel="0" collapsed="false">
      <c r="A129" s="59" t="n">
        <v>46213.9580439815</v>
      </c>
      <c r="B129" s="60" t="s">
        <v>507</v>
      </c>
      <c r="C129" s="60" t="n">
        <v>23575216</v>
      </c>
      <c r="D129" s="60" t="s">
        <v>46</v>
      </c>
      <c r="E129" s="60" t="s">
        <v>22</v>
      </c>
      <c r="F129" s="60" t="s">
        <v>236</v>
      </c>
      <c r="G129" s="60" t="n">
        <v>57</v>
      </c>
      <c r="H129" s="61" t="n">
        <v>644.99</v>
      </c>
      <c r="I129" s="61" t="n">
        <v>58.6</v>
      </c>
      <c r="J129" s="61" t="n">
        <f aca="false">H129*Resumo!$C$6</f>
        <v>0</v>
      </c>
      <c r="K129" s="61" t="n">
        <f aca="false">H129*Resumo!$C$7</f>
        <v>1.354479</v>
      </c>
      <c r="L129" s="61" t="n">
        <f aca="false">H129*Resumo!$C$8</f>
        <v>1.354479</v>
      </c>
      <c r="M129" s="61" t="n">
        <f aca="false">Resumo!$C$10*CEILING(G129/100,1)</f>
        <v>1.05</v>
      </c>
      <c r="N129" s="61" t="n">
        <f aca="false">Resumo!$C$9</f>
        <v>0</v>
      </c>
      <c r="O129" s="61" t="n">
        <f aca="false">Resumo!$C$13</f>
        <v>13.55</v>
      </c>
      <c r="P129" s="61" t="n">
        <f aca="false">Resumo!$C$14*CEILING(G129,1)</f>
        <v>25.65</v>
      </c>
      <c r="Q129" s="61" t="n">
        <f aca="false">SUM(I129:P129)*Resumo!$C$11</f>
        <v>0</v>
      </c>
      <c r="R129" s="61" t="n">
        <f aca="false">SUM(I129:Q129)</f>
        <v>101.558958</v>
      </c>
      <c r="S129" s="61" t="n">
        <f aca="false">R129/(1-Resumo!$C$5)</f>
        <v>115.407906818182</v>
      </c>
      <c r="T129" s="61" t="n">
        <v>112.3</v>
      </c>
      <c r="U129" s="61" t="n">
        <f aca="false">H129*Resumo!$B$6</f>
        <v>0.64499</v>
      </c>
      <c r="V129" s="61" t="n">
        <f aca="false">H129*Resumo!$B$7</f>
        <v>1.28998</v>
      </c>
      <c r="W129" s="61" t="n">
        <f aca="false">Resumo!$B$9</f>
        <v>1</v>
      </c>
      <c r="X129" s="61" t="n">
        <f aca="false">Resumo!$B$10*CEILING(G129/100,1)</f>
        <v>4.5</v>
      </c>
      <c r="Y129" s="61" t="n">
        <f aca="false">Resumo!$B$12*CEILING(G129,1)</f>
        <v>3.42</v>
      </c>
      <c r="Z129" s="61" t="n">
        <f aca="false">Resumo!$B$14*CEILING(G129,1)</f>
        <v>25.65</v>
      </c>
      <c r="AA129" s="61" t="n">
        <f aca="false">SUM(T129:Z129)</f>
        <v>148.80497</v>
      </c>
      <c r="AB129" s="61" t="n">
        <f aca="false">AA129/(1-Resumo!$B$5)</f>
        <v>169.096556818182</v>
      </c>
      <c r="AC129" s="61" t="n">
        <f aca="false">AB129-S129</f>
        <v>53.68865</v>
      </c>
      <c r="AD129" s="62" t="n">
        <f aca="false">AB129/S129-1</f>
        <v>0.465207726924492</v>
      </c>
      <c r="AE129" s="60" t="str">
        <f aca="false">IF(AB129&lt;S129,"SIM","NÃO")</f>
        <v>NÃO</v>
      </c>
      <c r="AF129" s="60" t="n">
        <v>2</v>
      </c>
      <c r="AG129" s="60" t="n">
        <v>5</v>
      </c>
      <c r="AH129" s="60" t="s">
        <v>382</v>
      </c>
      <c r="AI129" s="61" t="n">
        <f aca="false">(T129*(1-Painel!$C$40)+U129+V129+Painel!$C$41+Painel!$C$42*CEILING(G129/100,1)+Painel!$C$43*CEILING(G129,1)+Z129)/(1-Resumo!$B$5)</f>
        <v>119.177238636364</v>
      </c>
      <c r="AJ129" s="60" t="str">
        <f aca="false">IF(AI129&lt;S129,"SIM","NÃO")</f>
        <v>NÃO</v>
      </c>
    </row>
    <row r="130" customFormat="false" ht="15" hidden="false" customHeight="false" outlineLevel="0" collapsed="false">
      <c r="A130" s="59" t="n">
        <v>46214.295462963</v>
      </c>
      <c r="B130" s="60" t="s">
        <v>508</v>
      </c>
      <c r="C130" s="60" t="n">
        <v>26262120</v>
      </c>
      <c r="D130" s="60" t="s">
        <v>49</v>
      </c>
      <c r="E130" s="60" t="s">
        <v>23</v>
      </c>
      <c r="F130" s="60" t="s">
        <v>235</v>
      </c>
      <c r="G130" s="60" t="n">
        <v>48.3</v>
      </c>
      <c r="H130" s="61" t="n">
        <v>413.99</v>
      </c>
      <c r="I130" s="61" t="n">
        <v>65.36</v>
      </c>
      <c r="J130" s="61" t="n">
        <f aca="false">H130*Resumo!$C$6</f>
        <v>0</v>
      </c>
      <c r="K130" s="61" t="n">
        <f aca="false">H130*Resumo!$C$7</f>
        <v>0.869379</v>
      </c>
      <c r="L130" s="61" t="n">
        <f aca="false">H130*Resumo!$C$8</f>
        <v>0.869379</v>
      </c>
      <c r="M130" s="61" t="n">
        <f aca="false">Resumo!$C$10*CEILING(G130/100,1)</f>
        <v>1.05</v>
      </c>
      <c r="N130" s="61" t="n">
        <f aca="false">Resumo!$C$9</f>
        <v>0</v>
      </c>
      <c r="O130" s="61" t="n">
        <f aca="false">Resumo!$C$13</f>
        <v>13.55</v>
      </c>
      <c r="P130" s="61" t="n">
        <f aca="false">Resumo!$C$14*CEILING(G130,1)</f>
        <v>22.05</v>
      </c>
      <c r="Q130" s="61" t="n">
        <f aca="false">SUM(I130:P130)*Resumo!$C$11</f>
        <v>0</v>
      </c>
      <c r="R130" s="61" t="n">
        <f aca="false">SUM(I130:Q130)</f>
        <v>103.748758</v>
      </c>
      <c r="S130" s="61" t="n">
        <f aca="false">R130/(1-Resumo!$C$5)</f>
        <v>117.896315909091</v>
      </c>
      <c r="T130" s="61" t="n">
        <v>93.97</v>
      </c>
      <c r="U130" s="61" t="n">
        <f aca="false">H130*Resumo!$B$6</f>
        <v>0.41399</v>
      </c>
      <c r="V130" s="61" t="n">
        <f aca="false">H130*Resumo!$B$7</f>
        <v>0.82798</v>
      </c>
      <c r="W130" s="61" t="n">
        <f aca="false">Resumo!$B$9</f>
        <v>1</v>
      </c>
      <c r="X130" s="61" t="n">
        <f aca="false">Resumo!$B$10*CEILING(G130/100,1)</f>
        <v>4.5</v>
      </c>
      <c r="Y130" s="61" t="n">
        <f aca="false">Resumo!$B$12*CEILING(G130,1)</f>
        <v>2.94</v>
      </c>
      <c r="Z130" s="61" t="n">
        <f aca="false">Resumo!$B$14*CEILING(G130,1)</f>
        <v>22.05</v>
      </c>
      <c r="AA130" s="61" t="n">
        <f aca="false">SUM(T130:Z130)</f>
        <v>125.70197</v>
      </c>
      <c r="AB130" s="61" t="n">
        <f aca="false">AA130/(1-Resumo!$B$5)</f>
        <v>142.843147727273</v>
      </c>
      <c r="AC130" s="61" t="n">
        <f aca="false">AB130-S130</f>
        <v>24.9468318181818</v>
      </c>
      <c r="AD130" s="62" t="n">
        <f aca="false">AB130/S130-1</f>
        <v>0.211599757174925</v>
      </c>
      <c r="AE130" s="60" t="str">
        <f aca="false">IF(AB130&lt;S130,"SIM","NÃO")</f>
        <v>NÃO</v>
      </c>
      <c r="AF130" s="60" t="n">
        <v>2</v>
      </c>
      <c r="AG130" s="60" t="n">
        <v>5</v>
      </c>
      <c r="AH130" s="60" t="s">
        <v>382</v>
      </c>
      <c r="AI130" s="61" t="n">
        <f aca="false">(T130*(1-Painel!$C$40)+U130+V130+Painel!$C$41+Painel!$C$42*CEILING(G130/100,1)+Painel!$C$43*CEILING(G130,1)+Z130)/(1-Resumo!$B$5)</f>
        <v>100.343034090909</v>
      </c>
      <c r="AJ130" s="60" t="str">
        <f aca="false">IF(AI130&lt;S130,"SIM","NÃO")</f>
        <v>SIM</v>
      </c>
    </row>
    <row r="131" customFormat="false" ht="15" hidden="false" customHeight="false" outlineLevel="0" collapsed="false">
      <c r="A131" s="59" t="n">
        <v>46214.4187615741</v>
      </c>
      <c r="B131" s="60" t="s">
        <v>509</v>
      </c>
      <c r="C131" s="60" t="n">
        <v>20241320</v>
      </c>
      <c r="D131" s="60" t="s">
        <v>46</v>
      </c>
      <c r="E131" s="60" t="s">
        <v>22</v>
      </c>
      <c r="F131" s="60" t="s">
        <v>236</v>
      </c>
      <c r="G131" s="60" t="n">
        <v>52.3</v>
      </c>
      <c r="H131" s="61" t="n">
        <v>644.99</v>
      </c>
      <c r="I131" s="61" t="n">
        <v>58.6</v>
      </c>
      <c r="J131" s="61" t="n">
        <f aca="false">H131*Resumo!$C$6</f>
        <v>0</v>
      </c>
      <c r="K131" s="61" t="n">
        <f aca="false">H131*Resumo!$C$7</f>
        <v>1.354479</v>
      </c>
      <c r="L131" s="61" t="n">
        <f aca="false">H131*Resumo!$C$8</f>
        <v>1.354479</v>
      </c>
      <c r="M131" s="61" t="n">
        <f aca="false">Resumo!$C$10*CEILING(G131/100,1)</f>
        <v>1.05</v>
      </c>
      <c r="N131" s="61" t="n">
        <f aca="false">Resumo!$C$9</f>
        <v>0</v>
      </c>
      <c r="O131" s="61" t="n">
        <f aca="false">Resumo!$C$13</f>
        <v>13.55</v>
      </c>
      <c r="P131" s="61" t="n">
        <f aca="false">Resumo!$C$14*CEILING(G131,1)</f>
        <v>23.85</v>
      </c>
      <c r="Q131" s="61" t="n">
        <f aca="false">SUM(I131:P131)*Resumo!$C$11</f>
        <v>0</v>
      </c>
      <c r="R131" s="61" t="n">
        <f aca="false">SUM(I131:Q131)</f>
        <v>99.758958</v>
      </c>
      <c r="S131" s="61" t="n">
        <f aca="false">R131/(1-Resumo!$C$5)</f>
        <v>113.362452272727</v>
      </c>
      <c r="T131" s="61" t="n">
        <v>112.3</v>
      </c>
      <c r="U131" s="61" t="n">
        <f aca="false">H131*Resumo!$B$6</f>
        <v>0.64499</v>
      </c>
      <c r="V131" s="61" t="n">
        <f aca="false">H131*Resumo!$B$7</f>
        <v>1.28998</v>
      </c>
      <c r="W131" s="61" t="n">
        <f aca="false">Resumo!$B$9</f>
        <v>1</v>
      </c>
      <c r="X131" s="61" t="n">
        <f aca="false">Resumo!$B$10*CEILING(G131/100,1)</f>
        <v>4.5</v>
      </c>
      <c r="Y131" s="61" t="n">
        <f aca="false">Resumo!$B$12*CEILING(G131,1)</f>
        <v>3.18</v>
      </c>
      <c r="Z131" s="61" t="n">
        <f aca="false">Resumo!$B$14*CEILING(G131,1)</f>
        <v>23.85</v>
      </c>
      <c r="AA131" s="61" t="n">
        <f aca="false">SUM(T131:Z131)</f>
        <v>146.76497</v>
      </c>
      <c r="AB131" s="61" t="n">
        <f aca="false">AA131/(1-Resumo!$B$5)</f>
        <v>166.778375</v>
      </c>
      <c r="AC131" s="61" t="n">
        <f aca="false">AB131-S131</f>
        <v>53.4159227272727</v>
      </c>
      <c r="AD131" s="62" t="n">
        <f aca="false">AB131/S131-1</f>
        <v>0.47119590002133</v>
      </c>
      <c r="AE131" s="60" t="str">
        <f aca="false">IF(AB131&lt;S131,"SIM","NÃO")</f>
        <v>NÃO</v>
      </c>
      <c r="AF131" s="60" t="n">
        <v>2</v>
      </c>
      <c r="AG131" s="60" t="n">
        <v>5</v>
      </c>
      <c r="AH131" s="60" t="s">
        <v>382</v>
      </c>
      <c r="AI131" s="61" t="n">
        <f aca="false">(T131*(1-Painel!$C$40)+U131+V131+Painel!$C$41+Painel!$C$42*CEILING(G131/100,1)+Painel!$C$43*CEILING(G131,1)+Z131)/(1-Resumo!$B$5)</f>
        <v>117.131784090909</v>
      </c>
      <c r="AJ131" s="60" t="str">
        <f aca="false">IF(AI131&lt;S131,"SIM","NÃO")</f>
        <v>NÃO</v>
      </c>
    </row>
    <row r="132" customFormat="false" ht="15" hidden="false" customHeight="false" outlineLevel="0" collapsed="false">
      <c r="A132" s="59" t="n">
        <v>46214.4345949074</v>
      </c>
      <c r="B132" s="60" t="s">
        <v>510</v>
      </c>
      <c r="C132" s="60" t="n">
        <v>24935160</v>
      </c>
      <c r="D132" s="60" t="s">
        <v>220</v>
      </c>
      <c r="E132" s="60" t="s">
        <v>24</v>
      </c>
      <c r="F132" s="60" t="s">
        <v>236</v>
      </c>
      <c r="G132" s="60" t="n">
        <v>52.3</v>
      </c>
      <c r="H132" s="61" t="n">
        <v>644.99</v>
      </c>
      <c r="I132" s="61" t="n">
        <v>83.58</v>
      </c>
      <c r="J132" s="61" t="n">
        <f aca="false">H132*Resumo!$C$6</f>
        <v>0</v>
      </c>
      <c r="K132" s="61" t="n">
        <f aca="false">H132*Resumo!$C$7</f>
        <v>1.354479</v>
      </c>
      <c r="L132" s="61" t="n">
        <f aca="false">H132*Resumo!$C$8</f>
        <v>1.354479</v>
      </c>
      <c r="M132" s="61" t="n">
        <f aca="false">Resumo!$C$10*CEILING(G132/100,1)</f>
        <v>1.05</v>
      </c>
      <c r="N132" s="61" t="n">
        <f aca="false">Resumo!$C$9</f>
        <v>0</v>
      </c>
      <c r="O132" s="61" t="n">
        <f aca="false">Resumo!$C$13</f>
        <v>13.55</v>
      </c>
      <c r="P132" s="61" t="n">
        <f aca="false">Resumo!$C$14*CEILING(G132,1)</f>
        <v>23.85</v>
      </c>
      <c r="Q132" s="61" t="n">
        <f aca="false">SUM(I132:P132)*Resumo!$C$11</f>
        <v>0</v>
      </c>
      <c r="R132" s="61" t="n">
        <f aca="false">SUM(I132:Q132)</f>
        <v>124.738958</v>
      </c>
      <c r="S132" s="61" t="n">
        <f aca="false">R132/(1-Resumo!$C$5)</f>
        <v>141.748815909091</v>
      </c>
      <c r="T132" s="61" t="n">
        <v>128.14</v>
      </c>
      <c r="U132" s="61" t="n">
        <f aca="false">H132*Resumo!$B$6</f>
        <v>0.64499</v>
      </c>
      <c r="V132" s="61" t="n">
        <f aca="false">H132*Resumo!$B$7</f>
        <v>1.28998</v>
      </c>
      <c r="W132" s="61" t="n">
        <f aca="false">Resumo!$B$9</f>
        <v>1</v>
      </c>
      <c r="X132" s="61" t="n">
        <f aca="false">Resumo!$B$10*CEILING(G132/100,1)</f>
        <v>4.5</v>
      </c>
      <c r="Y132" s="61" t="n">
        <f aca="false">Resumo!$B$12*CEILING(G132,1)</f>
        <v>3.18</v>
      </c>
      <c r="Z132" s="61" t="n">
        <f aca="false">Resumo!$B$14*CEILING(G132,1)</f>
        <v>23.85</v>
      </c>
      <c r="AA132" s="61" t="n">
        <f aca="false">SUM(T132:Z132)</f>
        <v>162.60497</v>
      </c>
      <c r="AB132" s="61" t="n">
        <f aca="false">AA132/(1-Resumo!$B$5)</f>
        <v>184.778375</v>
      </c>
      <c r="AC132" s="61" t="n">
        <f aca="false">AB132-S132</f>
        <v>43.0295590909091</v>
      </c>
      <c r="AD132" s="62" t="n">
        <f aca="false">AB132/S132-1</f>
        <v>0.303562035527024</v>
      </c>
      <c r="AE132" s="60" t="str">
        <f aca="false">IF(AB132&lt;S132,"SIM","NÃO")</f>
        <v>NÃO</v>
      </c>
      <c r="AF132" s="60" t="n">
        <v>13</v>
      </c>
      <c r="AG132" s="60" t="n">
        <v>7</v>
      </c>
      <c r="AH132" s="60" t="s">
        <v>382</v>
      </c>
      <c r="AI132" s="61" t="n">
        <f aca="false">(T132*(1-Painel!$C$40)+U132+V132+Painel!$C$41+Painel!$C$42*CEILING(G132/100,1)+Painel!$C$43*CEILING(G132,1)+Z132)/(1-Resumo!$B$5)</f>
        <v>129.191784090909</v>
      </c>
      <c r="AJ132" s="60" t="str">
        <f aca="false">IF(AI132&lt;S132,"SIM","NÃO")</f>
        <v>SIM</v>
      </c>
    </row>
    <row r="133" customFormat="false" ht="15" hidden="false" customHeight="false" outlineLevel="0" collapsed="false">
      <c r="A133" s="59" t="n">
        <v>46214.4365393519</v>
      </c>
      <c r="B133" s="60" t="s">
        <v>511</v>
      </c>
      <c r="C133" s="60" t="n">
        <v>26298698</v>
      </c>
      <c r="D133" s="60" t="s">
        <v>49</v>
      </c>
      <c r="E133" s="60" t="s">
        <v>23</v>
      </c>
      <c r="F133" s="60" t="s">
        <v>232</v>
      </c>
      <c r="G133" s="60" t="n">
        <v>19.5</v>
      </c>
      <c r="H133" s="61" t="n">
        <v>369.99</v>
      </c>
      <c r="I133" s="61" t="n">
        <v>42.72</v>
      </c>
      <c r="J133" s="61" t="n">
        <f aca="false">H133*Resumo!$C$6</f>
        <v>0</v>
      </c>
      <c r="K133" s="61" t="n">
        <f aca="false">H133*Resumo!$C$7</f>
        <v>0.776979</v>
      </c>
      <c r="L133" s="61" t="n">
        <f aca="false">H133*Resumo!$C$8</f>
        <v>0.776979</v>
      </c>
      <c r="M133" s="61" t="n">
        <f aca="false">Resumo!$C$10*CEILING(G133/100,1)</f>
        <v>1.05</v>
      </c>
      <c r="N133" s="61" t="n">
        <f aca="false">Resumo!$C$9</f>
        <v>0</v>
      </c>
      <c r="O133" s="61" t="n">
        <f aca="false">Resumo!$C$13</f>
        <v>13.55</v>
      </c>
      <c r="P133" s="61" t="n">
        <f aca="false">Resumo!$C$14*CEILING(G133,1)</f>
        <v>9</v>
      </c>
      <c r="Q133" s="61" t="n">
        <f aca="false">SUM(I133:P133)*Resumo!$C$11</f>
        <v>0</v>
      </c>
      <c r="R133" s="61" t="n">
        <f aca="false">SUM(I133:Q133)</f>
        <v>67.873958</v>
      </c>
      <c r="S133" s="61" t="n">
        <f aca="false">R133/(1-Resumo!$C$5)</f>
        <v>77.1294977272727</v>
      </c>
      <c r="T133" s="61" t="n">
        <v>46.98</v>
      </c>
      <c r="U133" s="61" t="n">
        <f aca="false">H133*Resumo!$B$6</f>
        <v>0.36999</v>
      </c>
      <c r="V133" s="61" t="n">
        <f aca="false">H133*Resumo!$B$7</f>
        <v>0.73998</v>
      </c>
      <c r="W133" s="61" t="n">
        <f aca="false">Resumo!$B$9</f>
        <v>1</v>
      </c>
      <c r="X133" s="61" t="n">
        <f aca="false">Resumo!$B$10*CEILING(G133/100,1)</f>
        <v>4.5</v>
      </c>
      <c r="Y133" s="61" t="n">
        <f aca="false">Resumo!$B$12*CEILING(G133,1)</f>
        <v>1.2</v>
      </c>
      <c r="Z133" s="61" t="n">
        <f aca="false">Resumo!$B$14*CEILING(G133,1)</f>
        <v>9</v>
      </c>
      <c r="AA133" s="61" t="n">
        <f aca="false">SUM(T133:Z133)</f>
        <v>63.78997</v>
      </c>
      <c r="AB133" s="61" t="n">
        <f aca="false">AA133/(1-Resumo!$B$5)</f>
        <v>72.4886022727273</v>
      </c>
      <c r="AC133" s="61" t="n">
        <f aca="false">AB133-S133</f>
        <v>-4.64089545454547</v>
      </c>
      <c r="AD133" s="62" t="n">
        <f aca="false">AB133/S133-1</f>
        <v>-0.060170176019498</v>
      </c>
      <c r="AE133" s="60" t="str">
        <f aca="false">IF(AB133&lt;S133,"SIM","NÃO")</f>
        <v>SIM</v>
      </c>
      <c r="AF133" s="60" t="n">
        <v>2</v>
      </c>
      <c r="AG133" s="60" t="n">
        <v>5</v>
      </c>
      <c r="AH133" s="60" t="s">
        <v>382</v>
      </c>
      <c r="AI133" s="61" t="n">
        <f aca="false">(T133*(1-Painel!$C$40)+U133+V133+Painel!$C$41+Painel!$C$42*CEILING(G133/100,1)+Painel!$C$43*CEILING(G133,1)+Z133)/(1-Resumo!$B$5)</f>
        <v>49.5870113636364</v>
      </c>
      <c r="AJ133" s="60" t="str">
        <f aca="false">IF(AI133&lt;S133,"SIM","NÃO")</f>
        <v>SIM</v>
      </c>
    </row>
    <row r="134" customFormat="false" ht="15" hidden="false" customHeight="false" outlineLevel="0" collapsed="false">
      <c r="A134" s="59" t="n">
        <v>46214.4428240741</v>
      </c>
      <c r="B134" s="60" t="s">
        <v>480</v>
      </c>
      <c r="C134" s="60" t="n">
        <v>25995290</v>
      </c>
      <c r="D134" s="60" t="s">
        <v>281</v>
      </c>
      <c r="E134" s="60" t="s">
        <v>24</v>
      </c>
      <c r="F134" s="60" t="s">
        <v>232</v>
      </c>
      <c r="G134" s="60" t="n">
        <v>17.2</v>
      </c>
      <c r="H134" s="61" t="n">
        <v>224.99</v>
      </c>
      <c r="I134" s="61" t="n">
        <v>46.95</v>
      </c>
      <c r="J134" s="61" t="n">
        <f aca="false">H134*Resumo!$C$6</f>
        <v>0</v>
      </c>
      <c r="K134" s="61" t="n">
        <f aca="false">H134*Resumo!$C$7</f>
        <v>0.472479</v>
      </c>
      <c r="L134" s="61" t="n">
        <f aca="false">H134*Resumo!$C$8</f>
        <v>0.472479</v>
      </c>
      <c r="M134" s="61" t="n">
        <f aca="false">Resumo!$C$10*CEILING(G134/100,1)</f>
        <v>1.05</v>
      </c>
      <c r="N134" s="61" t="n">
        <f aca="false">Resumo!$C$9</f>
        <v>0</v>
      </c>
      <c r="O134" s="61" t="n">
        <f aca="false">Resumo!$C$13</f>
        <v>13.55</v>
      </c>
      <c r="P134" s="61" t="n">
        <f aca="false">Resumo!$C$14*CEILING(G134,1)</f>
        <v>8.1</v>
      </c>
      <c r="Q134" s="61" t="n">
        <f aca="false">SUM(I134:P134)*Resumo!$C$11</f>
        <v>0</v>
      </c>
      <c r="R134" s="61" t="n">
        <f aca="false">SUM(I134:Q134)</f>
        <v>70.594958</v>
      </c>
      <c r="S134" s="61" t="n">
        <f aca="false">R134/(1-Resumo!$C$5)</f>
        <v>80.2215431818182</v>
      </c>
      <c r="T134" s="61" t="n">
        <v>106.53</v>
      </c>
      <c r="U134" s="61" t="n">
        <f aca="false">H134*Resumo!$B$6</f>
        <v>0.22499</v>
      </c>
      <c r="V134" s="61" t="n">
        <f aca="false">H134*Resumo!$B$7</f>
        <v>0.44998</v>
      </c>
      <c r="W134" s="61" t="n">
        <f aca="false">Resumo!$B$9</f>
        <v>1</v>
      </c>
      <c r="X134" s="61" t="n">
        <f aca="false">Resumo!$B$10*CEILING(G134/100,1)</f>
        <v>4.5</v>
      </c>
      <c r="Y134" s="61" t="n">
        <f aca="false">Resumo!$B$12*CEILING(G134,1)</f>
        <v>1.08</v>
      </c>
      <c r="Z134" s="61" t="n">
        <f aca="false">Resumo!$B$14*CEILING(G134,1)</f>
        <v>8.1</v>
      </c>
      <c r="AA134" s="61" t="n">
        <f aca="false">SUM(T134:Z134)</f>
        <v>121.88497</v>
      </c>
      <c r="AB134" s="61" t="n">
        <f aca="false">AA134/(1-Resumo!$B$5)</f>
        <v>138.505647727273</v>
      </c>
      <c r="AC134" s="61" t="n">
        <f aca="false">AB134-S134</f>
        <v>58.2841045454545</v>
      </c>
      <c r="AD134" s="62" t="n">
        <f aca="false">AB134/S134-1</f>
        <v>0.726539308940449</v>
      </c>
      <c r="AE134" s="60" t="str">
        <f aca="false">IF(AB134&lt;S134,"SIM","NÃO")</f>
        <v>NÃO</v>
      </c>
      <c r="AF134" s="60" t="n">
        <v>13</v>
      </c>
      <c r="AG134" s="60" t="n">
        <v>10</v>
      </c>
      <c r="AH134" s="60" t="s">
        <v>385</v>
      </c>
      <c r="AI134" s="61" t="n">
        <f aca="false">(T134*(1-Painel!$C$40)+U134+V134+Painel!$C$41+Painel!$C$42*CEILING(G134/100,1)+Painel!$C$43*CEILING(G134,1)+Z134)/(1-Resumo!$B$5)</f>
        <v>93.4091704545454</v>
      </c>
      <c r="AJ134" s="60" t="str">
        <f aca="false">IF(AI134&lt;S134,"SIM","NÃO")</f>
        <v>NÃO</v>
      </c>
    </row>
    <row r="135" customFormat="false" ht="15" hidden="false" customHeight="false" outlineLevel="0" collapsed="false">
      <c r="A135" s="59" t="n">
        <v>46214.4823611111</v>
      </c>
      <c r="B135" s="60" t="s">
        <v>512</v>
      </c>
      <c r="C135" s="60" t="n">
        <v>27276375</v>
      </c>
      <c r="D135" s="60" t="s">
        <v>217</v>
      </c>
      <c r="E135" s="60" t="s">
        <v>24</v>
      </c>
      <c r="F135" s="60" t="s">
        <v>235</v>
      </c>
      <c r="G135" s="60" t="n">
        <v>41</v>
      </c>
      <c r="H135" s="61" t="n">
        <v>515.19</v>
      </c>
      <c r="I135" s="61" t="n">
        <v>77.7</v>
      </c>
      <c r="J135" s="61" t="n">
        <f aca="false">H135*Resumo!$C$6</f>
        <v>0</v>
      </c>
      <c r="K135" s="61" t="n">
        <f aca="false">H135*Resumo!$C$7</f>
        <v>1.081899</v>
      </c>
      <c r="L135" s="61" t="n">
        <f aca="false">H135*Resumo!$C$8</f>
        <v>1.081899</v>
      </c>
      <c r="M135" s="61" t="n">
        <f aca="false">Resumo!$C$10*CEILING(G135/100,1)</f>
        <v>1.05</v>
      </c>
      <c r="N135" s="61" t="n">
        <f aca="false">Resumo!$C$9</f>
        <v>0</v>
      </c>
      <c r="O135" s="61" t="n">
        <f aca="false">Resumo!$C$13</f>
        <v>13.55</v>
      </c>
      <c r="P135" s="61" t="n">
        <f aca="false">Resumo!$C$14*CEILING(G135,1)</f>
        <v>18.45</v>
      </c>
      <c r="Q135" s="61" t="n">
        <f aca="false">SUM(I135:P135)*Resumo!$C$11</f>
        <v>0</v>
      </c>
      <c r="R135" s="61" t="n">
        <f aca="false">SUM(I135:Q135)</f>
        <v>112.913798</v>
      </c>
      <c r="S135" s="61" t="n">
        <f aca="false">R135/(1-Resumo!$C$5)</f>
        <v>128.311134090909</v>
      </c>
      <c r="T135" s="61" t="n">
        <v>124.38</v>
      </c>
      <c r="U135" s="61" t="n">
        <f aca="false">H135*Resumo!$B$6</f>
        <v>0.51519</v>
      </c>
      <c r="V135" s="61" t="n">
        <f aca="false">H135*Resumo!$B$7</f>
        <v>1.03038</v>
      </c>
      <c r="W135" s="61" t="n">
        <f aca="false">Resumo!$B$9</f>
        <v>1</v>
      </c>
      <c r="X135" s="61" t="n">
        <f aca="false">Resumo!$B$10*CEILING(G135/100,1)</f>
        <v>4.5</v>
      </c>
      <c r="Y135" s="61" t="n">
        <f aca="false">Resumo!$B$12*CEILING(G135,1)</f>
        <v>2.46</v>
      </c>
      <c r="Z135" s="61" t="n">
        <f aca="false">Resumo!$B$14*CEILING(G135,1)</f>
        <v>18.45</v>
      </c>
      <c r="AA135" s="61" t="n">
        <f aca="false">SUM(T135:Z135)</f>
        <v>152.33557</v>
      </c>
      <c r="AB135" s="61" t="n">
        <f aca="false">AA135/(1-Resumo!$B$5)</f>
        <v>173.108602272727</v>
      </c>
      <c r="AC135" s="61" t="n">
        <f aca="false">AB135-S135</f>
        <v>44.7974681818182</v>
      </c>
      <c r="AD135" s="62" t="n">
        <f aca="false">AB135/S135-1</f>
        <v>0.349131573804647</v>
      </c>
      <c r="AE135" s="60" t="str">
        <f aca="false">IF(AB135&lt;S135,"SIM","NÃO")</f>
        <v>NÃO</v>
      </c>
      <c r="AF135" s="60" t="n">
        <v>13</v>
      </c>
      <c r="AG135" s="60" t="n">
        <v>10</v>
      </c>
      <c r="AH135" s="60" t="s">
        <v>382</v>
      </c>
      <c r="AI135" s="61" t="n">
        <f aca="false">(T135*(1-Painel!$C$40)+U135+V135+Painel!$C$41+Painel!$C$42*CEILING(G135/100,1)+Painel!$C$43*CEILING(G135,1)+Z135)/(1-Resumo!$B$5)</f>
        <v>119.750193181818</v>
      </c>
      <c r="AJ135" s="60" t="str">
        <f aca="false">IF(AI135&lt;S135,"SIM","NÃO")</f>
        <v>SIM</v>
      </c>
    </row>
    <row r="136" customFormat="false" ht="15" hidden="false" customHeight="false" outlineLevel="0" collapsed="false">
      <c r="A136" s="59" t="n">
        <v>46214.517662037</v>
      </c>
      <c r="B136" s="60" t="s">
        <v>513</v>
      </c>
      <c r="C136" s="60" t="n">
        <v>26310340</v>
      </c>
      <c r="D136" s="60" t="s">
        <v>282</v>
      </c>
      <c r="E136" s="60" t="s">
        <v>23</v>
      </c>
      <c r="F136" s="60" t="s">
        <v>237</v>
      </c>
      <c r="G136" s="60" t="n">
        <v>63.73</v>
      </c>
      <c r="H136" s="61" t="n">
        <v>879.99</v>
      </c>
      <c r="I136" s="61" t="n">
        <v>76.55</v>
      </c>
      <c r="J136" s="61" t="n">
        <f aca="false">H136*Resumo!$C$6</f>
        <v>0</v>
      </c>
      <c r="K136" s="61" t="n">
        <f aca="false">H136*Resumo!$C$7</f>
        <v>1.847979</v>
      </c>
      <c r="L136" s="61" t="n">
        <f aca="false">H136*Resumo!$C$8</f>
        <v>1.847979</v>
      </c>
      <c r="M136" s="61" t="n">
        <f aca="false">Resumo!$C$10*CEILING(G136/100,1)</f>
        <v>1.05</v>
      </c>
      <c r="N136" s="61" t="n">
        <f aca="false">Resumo!$C$9</f>
        <v>0</v>
      </c>
      <c r="O136" s="61" t="n">
        <f aca="false">Resumo!$C$13</f>
        <v>13.55</v>
      </c>
      <c r="P136" s="61" t="n">
        <f aca="false">Resumo!$C$14*CEILING(G136,1)</f>
        <v>28.8</v>
      </c>
      <c r="Q136" s="61" t="n">
        <f aca="false">SUM(I136:P136)*Resumo!$C$11</f>
        <v>0</v>
      </c>
      <c r="R136" s="61" t="n">
        <f aca="false">SUM(I136:Q136)</f>
        <v>123.645958</v>
      </c>
      <c r="S136" s="61" t="n">
        <f aca="false">R136/(1-Resumo!$C$5)</f>
        <v>140.506770454545</v>
      </c>
      <c r="T136" s="61" t="n">
        <v>131.02</v>
      </c>
      <c r="U136" s="61" t="n">
        <f aca="false">H136*Resumo!$B$6</f>
        <v>0.87999</v>
      </c>
      <c r="V136" s="61" t="n">
        <f aca="false">H136*Resumo!$B$7</f>
        <v>1.75998</v>
      </c>
      <c r="W136" s="61" t="n">
        <f aca="false">Resumo!$B$9</f>
        <v>1</v>
      </c>
      <c r="X136" s="61" t="n">
        <f aca="false">Resumo!$B$10*CEILING(G136/100,1)</f>
        <v>4.5</v>
      </c>
      <c r="Y136" s="61" t="n">
        <f aca="false">Resumo!$B$12*CEILING(G136,1)</f>
        <v>3.84</v>
      </c>
      <c r="Z136" s="61" t="n">
        <f aca="false">Resumo!$B$14*CEILING(G136,1)</f>
        <v>28.8</v>
      </c>
      <c r="AA136" s="61" t="n">
        <f aca="false">SUM(T136:Z136)</f>
        <v>171.79997</v>
      </c>
      <c r="AB136" s="61" t="n">
        <f aca="false">AA136/(1-Resumo!$B$5)</f>
        <v>195.227238636364</v>
      </c>
      <c r="AC136" s="61" t="n">
        <f aca="false">AB136-S136</f>
        <v>54.7204681818182</v>
      </c>
      <c r="AD136" s="62" t="n">
        <f aca="false">AB136/S136-1</f>
        <v>0.389450757460265</v>
      </c>
      <c r="AE136" s="60" t="str">
        <f aca="false">IF(AB136&lt;S136,"SIM","NÃO")</f>
        <v>NÃO</v>
      </c>
      <c r="AF136" s="60" t="n">
        <v>2</v>
      </c>
      <c r="AG136" s="60" t="n">
        <v>5</v>
      </c>
      <c r="AH136" s="60" t="s">
        <v>385</v>
      </c>
      <c r="AI136" s="61" t="n">
        <f aca="false">(T136*(1-Painel!$C$40)+U136+V136+Painel!$C$41+Painel!$C$42*CEILING(G136/100,1)+Painel!$C$43*CEILING(G136,1)+Z136)/(1-Resumo!$B$5)</f>
        <v>137.810647727273</v>
      </c>
      <c r="AJ136" s="60" t="str">
        <f aca="false">IF(AI136&lt;S136,"SIM","NÃO")</f>
        <v>SIM</v>
      </c>
    </row>
    <row r="137" customFormat="false" ht="15" hidden="false" customHeight="false" outlineLevel="0" collapsed="false">
      <c r="A137" s="59" t="n">
        <v>46214.5383449074</v>
      </c>
      <c r="B137" s="60" t="s">
        <v>514</v>
      </c>
      <c r="C137" s="60" t="n">
        <v>26445390</v>
      </c>
      <c r="D137" s="60" t="s">
        <v>283</v>
      </c>
      <c r="E137" s="60" t="s">
        <v>24</v>
      </c>
      <c r="F137" s="60" t="s">
        <v>234</v>
      </c>
      <c r="G137" s="60" t="n">
        <v>39.8</v>
      </c>
      <c r="H137" s="61" t="n">
        <v>519.99</v>
      </c>
      <c r="I137" s="61" t="n">
        <v>74.97</v>
      </c>
      <c r="J137" s="61" t="n">
        <f aca="false">H137*Resumo!$C$6</f>
        <v>0</v>
      </c>
      <c r="K137" s="61" t="n">
        <f aca="false">H137*Resumo!$C$7</f>
        <v>1.091979</v>
      </c>
      <c r="L137" s="61" t="n">
        <f aca="false">H137*Resumo!$C$8</f>
        <v>1.091979</v>
      </c>
      <c r="M137" s="61" t="n">
        <f aca="false">Resumo!$C$10*CEILING(G137/100,1)</f>
        <v>1.05</v>
      </c>
      <c r="N137" s="61" t="n">
        <f aca="false">Resumo!$C$9</f>
        <v>0</v>
      </c>
      <c r="O137" s="61" t="n">
        <f aca="false">Resumo!$C$13</f>
        <v>13.55</v>
      </c>
      <c r="P137" s="61" t="n">
        <f aca="false">Resumo!$C$14*CEILING(G137,1)</f>
        <v>18</v>
      </c>
      <c r="Q137" s="61" t="n">
        <f aca="false">SUM(I137:P137)*Resumo!$C$11</f>
        <v>0</v>
      </c>
      <c r="R137" s="61" t="n">
        <f aca="false">SUM(I137:Q137)</f>
        <v>109.753958</v>
      </c>
      <c r="S137" s="61" t="n">
        <f aca="false">R137/(1-Resumo!$C$5)</f>
        <v>124.720406818182</v>
      </c>
      <c r="T137" s="61" t="n">
        <v>93.97</v>
      </c>
      <c r="U137" s="61" t="n">
        <f aca="false">H137*Resumo!$B$6</f>
        <v>0.51999</v>
      </c>
      <c r="V137" s="61" t="n">
        <f aca="false">H137*Resumo!$B$7</f>
        <v>1.03998</v>
      </c>
      <c r="W137" s="61" t="n">
        <f aca="false">Resumo!$B$9</f>
        <v>1</v>
      </c>
      <c r="X137" s="61" t="n">
        <f aca="false">Resumo!$B$10*CEILING(G137/100,1)</f>
        <v>4.5</v>
      </c>
      <c r="Y137" s="61" t="n">
        <f aca="false">Resumo!$B$12*CEILING(G137,1)</f>
        <v>2.4</v>
      </c>
      <c r="Z137" s="61" t="n">
        <f aca="false">Resumo!$B$14*CEILING(G137,1)</f>
        <v>18</v>
      </c>
      <c r="AA137" s="61" t="n">
        <f aca="false">SUM(T137:Z137)</f>
        <v>121.42997</v>
      </c>
      <c r="AB137" s="61" t="n">
        <f aca="false">AA137/(1-Resumo!$B$5)</f>
        <v>137.988602272727</v>
      </c>
      <c r="AC137" s="61" t="n">
        <f aca="false">AB137-S137</f>
        <v>13.2681954545454</v>
      </c>
      <c r="AD137" s="62" t="n">
        <f aca="false">AB137/S137-1</f>
        <v>0.106383516483296</v>
      </c>
      <c r="AE137" s="60" t="str">
        <f aca="false">IF(AB137&lt;S137,"SIM","NÃO")</f>
        <v>NÃO</v>
      </c>
      <c r="AF137" s="60" t="n">
        <v>13</v>
      </c>
      <c r="AG137" s="60" t="n">
        <v>5</v>
      </c>
      <c r="AH137" s="60" t="s">
        <v>385</v>
      </c>
      <c r="AI137" s="61" t="n">
        <f aca="false">(T137*(1-Painel!$C$40)+U137+V137+Painel!$C$41+Painel!$C$42*CEILING(G137/100,1)+Painel!$C$43*CEILING(G137,1)+Z137)/(1-Resumo!$B$5)</f>
        <v>96.102125</v>
      </c>
      <c r="AJ137" s="60" t="str">
        <f aca="false">IF(AI137&lt;S137,"SIM","NÃO")</f>
        <v>SIM</v>
      </c>
    </row>
    <row r="138" customFormat="false" ht="15" hidden="false" customHeight="false" outlineLevel="0" collapsed="false">
      <c r="A138" s="59" t="n">
        <v>46214.5443055556</v>
      </c>
      <c r="B138" s="60" t="s">
        <v>515</v>
      </c>
      <c r="C138" s="60" t="n">
        <v>24754190</v>
      </c>
      <c r="D138" s="60" t="s">
        <v>47</v>
      </c>
      <c r="E138" s="60" t="s">
        <v>23</v>
      </c>
      <c r="F138" s="60" t="s">
        <v>240</v>
      </c>
      <c r="G138" s="60" t="n">
        <v>109.7</v>
      </c>
      <c r="H138" s="61" t="n">
        <v>1225.68</v>
      </c>
      <c r="I138" s="61" t="n">
        <v>101.26</v>
      </c>
      <c r="J138" s="61" t="n">
        <f aca="false">H138*Resumo!$C$6</f>
        <v>0</v>
      </c>
      <c r="K138" s="61" t="n">
        <f aca="false">H138*Resumo!$C$7</f>
        <v>2.573928</v>
      </c>
      <c r="L138" s="61" t="n">
        <f aca="false">H138*Resumo!$C$8</f>
        <v>2.573928</v>
      </c>
      <c r="M138" s="61" t="n">
        <f aca="false">Resumo!$C$10*CEILING(G138/100,1)</f>
        <v>2.1</v>
      </c>
      <c r="N138" s="61" t="n">
        <f aca="false">Resumo!$C$9</f>
        <v>0</v>
      </c>
      <c r="O138" s="61" t="n">
        <f aca="false">Resumo!$C$13</f>
        <v>13.55</v>
      </c>
      <c r="P138" s="61" t="n">
        <f aca="false">Resumo!$C$14*CEILING(G138,1)</f>
        <v>49.5</v>
      </c>
      <c r="Q138" s="61" t="n">
        <f aca="false">SUM(I138:P138)*Resumo!$C$11</f>
        <v>0</v>
      </c>
      <c r="R138" s="61" t="n">
        <f aca="false">SUM(I138:Q138)</f>
        <v>171.557856</v>
      </c>
      <c r="S138" s="61" t="n">
        <f aca="false">R138/(1-Resumo!$C$5)</f>
        <v>194.952109090909</v>
      </c>
      <c r="T138" s="61" t="n">
        <v>214.11</v>
      </c>
      <c r="U138" s="61" t="n">
        <f aca="false">H138*Resumo!$B$6</f>
        <v>1.22568</v>
      </c>
      <c r="V138" s="61" t="n">
        <f aca="false">H138*Resumo!$B$7</f>
        <v>2.45136</v>
      </c>
      <c r="W138" s="61" t="n">
        <f aca="false">Resumo!$B$9</f>
        <v>1</v>
      </c>
      <c r="X138" s="61" t="n">
        <f aca="false">Resumo!$B$10*CEILING(G138/100,1)</f>
        <v>9</v>
      </c>
      <c r="Y138" s="61" t="n">
        <f aca="false">Resumo!$B$12*CEILING(G138,1)</f>
        <v>6.6</v>
      </c>
      <c r="Z138" s="61" t="n">
        <f aca="false">Resumo!$B$14*CEILING(G138,1)</f>
        <v>49.5</v>
      </c>
      <c r="AA138" s="61" t="n">
        <f aca="false">SUM(T138:Z138)</f>
        <v>283.88704</v>
      </c>
      <c r="AB138" s="61" t="n">
        <f aca="false">AA138/(1-Resumo!$B$5)</f>
        <v>322.598909090909</v>
      </c>
      <c r="AC138" s="61" t="n">
        <f aca="false">AB138-S138</f>
        <v>127.6468</v>
      </c>
      <c r="AD138" s="62" t="n">
        <f aca="false">AB138/S138-1</f>
        <v>0.654759779697876</v>
      </c>
      <c r="AE138" s="60" t="str">
        <f aca="false">IF(AB138&lt;S138,"SIM","NÃO")</f>
        <v>NÃO</v>
      </c>
      <c r="AF138" s="60" t="n">
        <v>2</v>
      </c>
      <c r="AG138" s="60" t="n">
        <v>7</v>
      </c>
      <c r="AH138" s="60" t="s">
        <v>382</v>
      </c>
      <c r="AI138" s="61" t="n">
        <f aca="false">(T138*(1-Painel!$C$40)+U138+V138+Painel!$C$41+Painel!$C$42*CEILING(G138/100,1)+Painel!$C$43*CEILING(G138,1)+Z138)/(1-Resumo!$B$5)</f>
        <v>226.96675</v>
      </c>
      <c r="AJ138" s="60" t="str">
        <f aca="false">IF(AI138&lt;S138,"SIM","NÃO")</f>
        <v>NÃO</v>
      </c>
    </row>
    <row r="139" customFormat="false" ht="15" hidden="false" customHeight="false" outlineLevel="0" collapsed="false">
      <c r="A139" s="59" t="n">
        <v>46214.5646759259</v>
      </c>
      <c r="B139" s="60" t="s">
        <v>516</v>
      </c>
      <c r="C139" s="60" t="n">
        <v>27933140</v>
      </c>
      <c r="D139" s="60" t="s">
        <v>53</v>
      </c>
      <c r="E139" s="60" t="s">
        <v>24</v>
      </c>
      <c r="F139" s="60" t="s">
        <v>236</v>
      </c>
      <c r="G139" s="60" t="n">
        <v>52.3</v>
      </c>
      <c r="H139" s="61" t="n">
        <v>644.99</v>
      </c>
      <c r="I139" s="61" t="n">
        <v>83.58</v>
      </c>
      <c r="J139" s="61" t="n">
        <f aca="false">H139*Resumo!$C$6</f>
        <v>0</v>
      </c>
      <c r="K139" s="61" t="n">
        <f aca="false">H139*Resumo!$C$7</f>
        <v>1.354479</v>
      </c>
      <c r="L139" s="61" t="n">
        <f aca="false">H139*Resumo!$C$8</f>
        <v>1.354479</v>
      </c>
      <c r="M139" s="61" t="n">
        <f aca="false">Resumo!$C$10*CEILING(G139/100,1)</f>
        <v>1.05</v>
      </c>
      <c r="N139" s="61" t="n">
        <f aca="false">Resumo!$C$9</f>
        <v>0</v>
      </c>
      <c r="O139" s="61" t="n">
        <f aca="false">Resumo!$C$13</f>
        <v>13.55</v>
      </c>
      <c r="P139" s="61" t="n">
        <f aca="false">Resumo!$C$14*CEILING(G139,1)</f>
        <v>23.85</v>
      </c>
      <c r="Q139" s="61" t="n">
        <f aca="false">SUM(I139:P139)*Resumo!$C$11</f>
        <v>0</v>
      </c>
      <c r="R139" s="61" t="n">
        <f aca="false">SUM(I139:Q139)</f>
        <v>124.738958</v>
      </c>
      <c r="S139" s="61" t="n">
        <f aca="false">R139/(1-Resumo!$C$5)</f>
        <v>141.748815909091</v>
      </c>
      <c r="T139" s="61" t="n">
        <v>162.04</v>
      </c>
      <c r="U139" s="61" t="n">
        <f aca="false">H139*Resumo!$B$6</f>
        <v>0.64499</v>
      </c>
      <c r="V139" s="61" t="n">
        <f aca="false">H139*Resumo!$B$7</f>
        <v>1.28998</v>
      </c>
      <c r="W139" s="61" t="n">
        <f aca="false">Resumo!$B$9</f>
        <v>1</v>
      </c>
      <c r="X139" s="61" t="n">
        <f aca="false">Resumo!$B$10*CEILING(G139/100,1)</f>
        <v>4.5</v>
      </c>
      <c r="Y139" s="61" t="n">
        <f aca="false">Resumo!$B$12*CEILING(G139,1)</f>
        <v>3.18</v>
      </c>
      <c r="Z139" s="61" t="n">
        <f aca="false">Resumo!$B$14*CEILING(G139,1)</f>
        <v>23.85</v>
      </c>
      <c r="AA139" s="61" t="n">
        <f aca="false">SUM(T139:Z139)</f>
        <v>196.50497</v>
      </c>
      <c r="AB139" s="61" t="n">
        <f aca="false">AA139/(1-Resumo!$B$5)</f>
        <v>223.301102272727</v>
      </c>
      <c r="AC139" s="61" t="n">
        <f aca="false">AB139-S139</f>
        <v>81.5522863636364</v>
      </c>
      <c r="AD139" s="62" t="n">
        <f aca="false">AB139/S139-1</f>
        <v>0.575329577468492</v>
      </c>
      <c r="AE139" s="60" t="str">
        <f aca="false">IF(AB139&lt;S139,"SIM","NÃO")</f>
        <v>NÃO</v>
      </c>
      <c r="AF139" s="60" t="n">
        <v>13</v>
      </c>
      <c r="AG139" s="60" t="n">
        <v>11</v>
      </c>
      <c r="AH139" s="60" t="s">
        <v>382</v>
      </c>
      <c r="AI139" s="61" t="n">
        <f aca="false">(T139*(1-Painel!$C$40)+U139+V139+Painel!$C$41+Painel!$C$42*CEILING(G139/100,1)+Painel!$C$43*CEILING(G139,1)+Z139)/(1-Resumo!$B$5)</f>
        <v>155.002011363636</v>
      </c>
      <c r="AJ139" s="60" t="str">
        <f aca="false">IF(AI139&lt;S139,"SIM","NÃO")</f>
        <v>NÃO</v>
      </c>
    </row>
    <row r="140" customFormat="false" ht="15" hidden="false" customHeight="false" outlineLevel="0" collapsed="false">
      <c r="A140" s="59" t="n">
        <v>46214.6078472222</v>
      </c>
      <c r="B140" s="60" t="s">
        <v>517</v>
      </c>
      <c r="C140" s="60" t="n">
        <v>28660000</v>
      </c>
      <c r="D140" s="60" t="s">
        <v>328</v>
      </c>
      <c r="E140" s="60" t="s">
        <v>24</v>
      </c>
      <c r="F140" s="60" t="s">
        <v>237</v>
      </c>
      <c r="G140" s="60" t="n">
        <v>68.7</v>
      </c>
      <c r="H140" s="61" t="n">
        <v>839.99</v>
      </c>
      <c r="I140" s="61" t="n">
        <v>90.2</v>
      </c>
      <c r="J140" s="61" t="n">
        <f aca="false">H140*Resumo!$C$6</f>
        <v>0</v>
      </c>
      <c r="K140" s="61" t="n">
        <f aca="false">H140*Resumo!$C$7</f>
        <v>1.763979</v>
      </c>
      <c r="L140" s="61" t="n">
        <f aca="false">H140*Resumo!$C$8</f>
        <v>1.763979</v>
      </c>
      <c r="M140" s="61" t="n">
        <f aca="false">Resumo!$C$10*CEILING(G140/100,1)</f>
        <v>1.05</v>
      </c>
      <c r="N140" s="61" t="n">
        <f aca="false">Resumo!$C$9</f>
        <v>0</v>
      </c>
      <c r="O140" s="61" t="n">
        <f aca="false">Resumo!$C$13</f>
        <v>13.55</v>
      </c>
      <c r="P140" s="61" t="n">
        <f aca="false">Resumo!$C$14*CEILING(G140,1)</f>
        <v>31.05</v>
      </c>
      <c r="Q140" s="61" t="n">
        <f aca="false">SUM(I140:P140)*Resumo!$C$11</f>
        <v>0</v>
      </c>
      <c r="R140" s="61" t="n">
        <f aca="false">SUM(I140:Q140)</f>
        <v>139.377958</v>
      </c>
      <c r="S140" s="61" t="n">
        <f aca="false">R140/(1-Resumo!$C$5)</f>
        <v>158.384043181818</v>
      </c>
      <c r="T140" s="61" t="n">
        <v>166.05</v>
      </c>
      <c r="U140" s="61" t="n">
        <f aca="false">H140*Resumo!$B$6</f>
        <v>0.83999</v>
      </c>
      <c r="V140" s="61" t="n">
        <f aca="false">H140*Resumo!$B$7</f>
        <v>1.67998</v>
      </c>
      <c r="W140" s="61" t="n">
        <f aca="false">Resumo!$B$9</f>
        <v>1</v>
      </c>
      <c r="X140" s="61" t="n">
        <f aca="false">Resumo!$B$10*CEILING(G140/100,1)</f>
        <v>4.5</v>
      </c>
      <c r="Y140" s="61" t="n">
        <f aca="false">Resumo!$B$12*CEILING(G140,1)</f>
        <v>4.14</v>
      </c>
      <c r="Z140" s="61" t="n">
        <f aca="false">Resumo!$B$14*CEILING(G140,1)</f>
        <v>31.05</v>
      </c>
      <c r="AA140" s="61" t="n">
        <f aca="false">SUM(T140:Z140)</f>
        <v>209.25997</v>
      </c>
      <c r="AB140" s="61" t="n">
        <f aca="false">AA140/(1-Resumo!$B$5)</f>
        <v>237.795420454545</v>
      </c>
      <c r="AC140" s="61" t="n">
        <f aca="false">AB140-S140</f>
        <v>79.4113772727273</v>
      </c>
      <c r="AD140" s="62" t="n">
        <f aca="false">AB140/S140-1</f>
        <v>0.501384960741067</v>
      </c>
      <c r="AE140" s="60" t="str">
        <f aca="false">IF(AB140&lt;S140,"SIM","NÃO")</f>
        <v>NÃO</v>
      </c>
      <c r="AF140" s="60" t="n">
        <v>13</v>
      </c>
      <c r="AG140" s="60" t="n">
        <v>10</v>
      </c>
      <c r="AH140" s="60" t="s">
        <v>385</v>
      </c>
      <c r="AI140" s="61" t="n">
        <f aca="false">(T140*(1-Painel!$C$40)+U140+V140+Painel!$C$41+Painel!$C$42*CEILING(G140/100,1)+Painel!$C$43*CEILING(G140,1)+Z140)/(1-Resumo!$B$5)</f>
        <v>166.901670454545</v>
      </c>
      <c r="AJ140" s="60" t="str">
        <f aca="false">IF(AI140&lt;S140,"SIM","NÃO")</f>
        <v>NÃO</v>
      </c>
    </row>
    <row r="141" customFormat="false" ht="15" hidden="false" customHeight="false" outlineLevel="0" collapsed="false">
      <c r="A141" s="59" t="n">
        <v>46214.6166203704</v>
      </c>
      <c r="B141" s="60" t="s">
        <v>518</v>
      </c>
      <c r="C141" s="60" t="n">
        <v>22765240</v>
      </c>
      <c r="D141" s="60" t="s">
        <v>46</v>
      </c>
      <c r="E141" s="60" t="s">
        <v>22</v>
      </c>
      <c r="F141" s="60" t="s">
        <v>236</v>
      </c>
      <c r="G141" s="60" t="n">
        <v>52.3</v>
      </c>
      <c r="H141" s="61" t="n">
        <v>643.99</v>
      </c>
      <c r="I141" s="61" t="n">
        <v>58.6</v>
      </c>
      <c r="J141" s="61" t="n">
        <f aca="false">H141*Resumo!$C$6</f>
        <v>0</v>
      </c>
      <c r="K141" s="61" t="n">
        <f aca="false">H141*Resumo!$C$7</f>
        <v>1.352379</v>
      </c>
      <c r="L141" s="61" t="n">
        <f aca="false">H141*Resumo!$C$8</f>
        <v>1.352379</v>
      </c>
      <c r="M141" s="61" t="n">
        <f aca="false">Resumo!$C$10*CEILING(G141/100,1)</f>
        <v>1.05</v>
      </c>
      <c r="N141" s="61" t="n">
        <f aca="false">Resumo!$C$9</f>
        <v>0</v>
      </c>
      <c r="O141" s="61" t="n">
        <f aca="false">Resumo!$C$13</f>
        <v>13.55</v>
      </c>
      <c r="P141" s="61" t="n">
        <f aca="false">Resumo!$C$14*CEILING(G141,1)</f>
        <v>23.85</v>
      </c>
      <c r="Q141" s="61" t="n">
        <f aca="false">SUM(I141:P141)*Resumo!$C$11</f>
        <v>0</v>
      </c>
      <c r="R141" s="61" t="n">
        <f aca="false">SUM(I141:Q141)</f>
        <v>99.754758</v>
      </c>
      <c r="S141" s="61" t="n">
        <f aca="false">R141/(1-Resumo!$C$5)</f>
        <v>113.357679545455</v>
      </c>
      <c r="T141" s="61" t="n">
        <v>112.3</v>
      </c>
      <c r="U141" s="61" t="n">
        <f aca="false">H141*Resumo!$B$6</f>
        <v>0.64399</v>
      </c>
      <c r="V141" s="61" t="n">
        <f aca="false">H141*Resumo!$B$7</f>
        <v>1.28798</v>
      </c>
      <c r="W141" s="61" t="n">
        <f aca="false">Resumo!$B$9</f>
        <v>1</v>
      </c>
      <c r="X141" s="61" t="n">
        <f aca="false">Resumo!$B$10*CEILING(G141/100,1)</f>
        <v>4.5</v>
      </c>
      <c r="Y141" s="61" t="n">
        <f aca="false">Resumo!$B$12*CEILING(G141,1)</f>
        <v>3.18</v>
      </c>
      <c r="Z141" s="61" t="n">
        <f aca="false">Resumo!$B$14*CEILING(G141,1)</f>
        <v>23.85</v>
      </c>
      <c r="AA141" s="61" t="n">
        <f aca="false">SUM(T141:Z141)</f>
        <v>146.76197</v>
      </c>
      <c r="AB141" s="61" t="n">
        <f aca="false">AA141/(1-Resumo!$B$5)</f>
        <v>166.774965909091</v>
      </c>
      <c r="AC141" s="61" t="n">
        <f aca="false">AB141-S141</f>
        <v>53.4172863636363</v>
      </c>
      <c r="AD141" s="62" t="n">
        <f aca="false">AB141/S141-1</f>
        <v>0.471227768403788</v>
      </c>
      <c r="AE141" s="60" t="str">
        <f aca="false">IF(AB141&lt;S141,"SIM","NÃO")</f>
        <v>NÃO</v>
      </c>
      <c r="AF141" s="60" t="n">
        <v>2</v>
      </c>
      <c r="AG141" s="60" t="n">
        <v>5</v>
      </c>
      <c r="AH141" s="60" t="s">
        <v>382</v>
      </c>
      <c r="AI141" s="61" t="n">
        <f aca="false">(T141*(1-Painel!$C$40)+U141+V141+Painel!$C$41+Painel!$C$42*CEILING(G141/100,1)+Painel!$C$43*CEILING(G141,1)+Z141)/(1-Resumo!$B$5)</f>
        <v>117.128375</v>
      </c>
      <c r="AJ141" s="60" t="str">
        <f aca="false">IF(AI141&lt;S141,"SIM","NÃO")</f>
        <v>NÃO</v>
      </c>
    </row>
    <row r="142" customFormat="false" ht="15" hidden="false" customHeight="false" outlineLevel="0" collapsed="false">
      <c r="A142" s="59" t="n">
        <v>46214.6337037037</v>
      </c>
      <c r="B142" s="60" t="s">
        <v>519</v>
      </c>
      <c r="C142" s="60" t="n">
        <v>22763627</v>
      </c>
      <c r="D142" s="60" t="s">
        <v>46</v>
      </c>
      <c r="E142" s="60" t="s">
        <v>22</v>
      </c>
      <c r="F142" s="60" t="s">
        <v>234</v>
      </c>
      <c r="G142" s="60" t="n">
        <v>37.2</v>
      </c>
      <c r="H142" s="61" t="n">
        <v>359.99</v>
      </c>
      <c r="I142" s="61" t="n">
        <v>48.35</v>
      </c>
      <c r="J142" s="61" t="n">
        <f aca="false">H142*Resumo!$C$6</f>
        <v>0</v>
      </c>
      <c r="K142" s="61" t="n">
        <f aca="false">H142*Resumo!$C$7</f>
        <v>0.755979</v>
      </c>
      <c r="L142" s="61" t="n">
        <f aca="false">H142*Resumo!$C$8</f>
        <v>0.755979</v>
      </c>
      <c r="M142" s="61" t="n">
        <f aca="false">Resumo!$C$10*CEILING(G142/100,1)</f>
        <v>1.05</v>
      </c>
      <c r="N142" s="61" t="n">
        <f aca="false">Resumo!$C$9</f>
        <v>0</v>
      </c>
      <c r="O142" s="61" t="n">
        <f aca="false">Resumo!$C$13</f>
        <v>13.55</v>
      </c>
      <c r="P142" s="61" t="n">
        <f aca="false">Resumo!$C$14*CEILING(G142,1)</f>
        <v>17.1</v>
      </c>
      <c r="Q142" s="61" t="n">
        <f aca="false">SUM(I142:P142)*Resumo!$C$11</f>
        <v>0</v>
      </c>
      <c r="R142" s="61" t="n">
        <f aca="false">SUM(I142:Q142)</f>
        <v>81.561958</v>
      </c>
      <c r="S142" s="61" t="n">
        <f aca="false">R142/(1-Resumo!$C$5)</f>
        <v>92.6840431818182</v>
      </c>
      <c r="T142" s="61" t="n">
        <v>93.97</v>
      </c>
      <c r="U142" s="61" t="n">
        <f aca="false">H142*Resumo!$B$6</f>
        <v>0.35999</v>
      </c>
      <c r="V142" s="61" t="n">
        <f aca="false">H142*Resumo!$B$7</f>
        <v>0.71998</v>
      </c>
      <c r="W142" s="61" t="n">
        <f aca="false">Resumo!$B$9</f>
        <v>1</v>
      </c>
      <c r="X142" s="61" t="n">
        <f aca="false">Resumo!$B$10*CEILING(G142/100,1)</f>
        <v>4.5</v>
      </c>
      <c r="Y142" s="61" t="n">
        <f aca="false">Resumo!$B$12*CEILING(G142,1)</f>
        <v>2.28</v>
      </c>
      <c r="Z142" s="61" t="n">
        <f aca="false">Resumo!$B$14*CEILING(G142,1)</f>
        <v>17.1</v>
      </c>
      <c r="AA142" s="61" t="n">
        <f aca="false">SUM(T142:Z142)</f>
        <v>119.92997</v>
      </c>
      <c r="AB142" s="61" t="n">
        <f aca="false">AA142/(1-Resumo!$B$5)</f>
        <v>136.284056818182</v>
      </c>
      <c r="AC142" s="61" t="n">
        <f aca="false">AB142-S142</f>
        <v>43.6000136363636</v>
      </c>
      <c r="AD142" s="62" t="n">
        <f aca="false">AB142/S142-1</f>
        <v>0.470415533673186</v>
      </c>
      <c r="AE142" s="60" t="str">
        <f aca="false">IF(AB142&lt;S142,"SIM","NÃO")</f>
        <v>NÃO</v>
      </c>
      <c r="AF142" s="60" t="n">
        <v>2</v>
      </c>
      <c r="AG142" s="60" t="n">
        <v>5</v>
      </c>
      <c r="AH142" s="60" t="s">
        <v>382</v>
      </c>
      <c r="AI142" s="61" t="n">
        <f aca="false">(T142*(1-Painel!$C$40)+U142+V142+Painel!$C$41+Painel!$C$42*CEILING(G142/100,1)+Painel!$C$43*CEILING(G142,1)+Z142)/(1-Resumo!$B$5)</f>
        <v>94.5339431818182</v>
      </c>
      <c r="AJ142" s="60" t="str">
        <f aca="false">IF(AI142&lt;S142,"SIM","NÃO")</f>
        <v>NÃO</v>
      </c>
    </row>
    <row r="143" customFormat="false" ht="15" hidden="false" customHeight="false" outlineLevel="0" collapsed="false">
      <c r="A143" s="59" t="n">
        <v>46214.6365277778</v>
      </c>
      <c r="B143" s="60" t="s">
        <v>520</v>
      </c>
      <c r="C143" s="60" t="n">
        <v>20261040</v>
      </c>
      <c r="D143" s="60" t="s">
        <v>46</v>
      </c>
      <c r="E143" s="60" t="s">
        <v>22</v>
      </c>
      <c r="F143" s="60" t="s">
        <v>235</v>
      </c>
      <c r="G143" s="60" t="n">
        <v>46.8</v>
      </c>
      <c r="H143" s="61" t="n">
        <v>556.99</v>
      </c>
      <c r="I143" s="61" t="n">
        <v>53.55</v>
      </c>
      <c r="J143" s="61" t="n">
        <f aca="false">H143*Resumo!$C$6</f>
        <v>0</v>
      </c>
      <c r="K143" s="61" t="n">
        <f aca="false">H143*Resumo!$C$7</f>
        <v>1.169679</v>
      </c>
      <c r="L143" s="61" t="n">
        <f aca="false">H143*Resumo!$C$8</f>
        <v>1.169679</v>
      </c>
      <c r="M143" s="61" t="n">
        <f aca="false">Resumo!$C$10*CEILING(G143/100,1)</f>
        <v>1.05</v>
      </c>
      <c r="N143" s="61" t="n">
        <f aca="false">Resumo!$C$9</f>
        <v>0</v>
      </c>
      <c r="O143" s="61" t="n">
        <f aca="false">Resumo!$C$13</f>
        <v>13.55</v>
      </c>
      <c r="P143" s="61" t="n">
        <f aca="false">Resumo!$C$14*CEILING(G143,1)</f>
        <v>21.15</v>
      </c>
      <c r="Q143" s="61" t="n">
        <f aca="false">SUM(I143:P143)*Resumo!$C$11</f>
        <v>0</v>
      </c>
      <c r="R143" s="61" t="n">
        <f aca="false">SUM(I143:Q143)</f>
        <v>91.639358</v>
      </c>
      <c r="S143" s="61" t="n">
        <f aca="false">R143/(1-Resumo!$C$5)</f>
        <v>104.135634090909</v>
      </c>
      <c r="T143" s="61" t="n">
        <v>93.97</v>
      </c>
      <c r="U143" s="61" t="n">
        <f aca="false">H143*Resumo!$B$6</f>
        <v>0.55699</v>
      </c>
      <c r="V143" s="61" t="n">
        <f aca="false">H143*Resumo!$B$7</f>
        <v>1.11398</v>
      </c>
      <c r="W143" s="61" t="n">
        <f aca="false">Resumo!$B$9</f>
        <v>1</v>
      </c>
      <c r="X143" s="61" t="n">
        <f aca="false">Resumo!$B$10*CEILING(G143/100,1)</f>
        <v>4.5</v>
      </c>
      <c r="Y143" s="61" t="n">
        <f aca="false">Resumo!$B$12*CEILING(G143,1)</f>
        <v>2.82</v>
      </c>
      <c r="Z143" s="61" t="n">
        <f aca="false">Resumo!$B$14*CEILING(G143,1)</f>
        <v>21.15</v>
      </c>
      <c r="AA143" s="61" t="n">
        <f aca="false">SUM(T143:Z143)</f>
        <v>125.11097</v>
      </c>
      <c r="AB143" s="61" t="n">
        <f aca="false">AA143/(1-Resumo!$B$5)</f>
        <v>142.171556818182</v>
      </c>
      <c r="AC143" s="61" t="n">
        <f aca="false">AB143-S143</f>
        <v>38.0359227272728</v>
      </c>
      <c r="AD143" s="62" t="n">
        <f aca="false">AB143/S143-1</f>
        <v>0.36525367189936</v>
      </c>
      <c r="AE143" s="60" t="str">
        <f aca="false">IF(AB143&lt;S143,"SIM","NÃO")</f>
        <v>NÃO</v>
      </c>
      <c r="AF143" s="60" t="n">
        <v>2</v>
      </c>
      <c r="AG143" s="60" t="n">
        <v>5</v>
      </c>
      <c r="AH143" s="60" t="s">
        <v>382</v>
      </c>
      <c r="AI143" s="61" t="n">
        <f aca="false">(T143*(1-Painel!$C$40)+U143+V143+Painel!$C$41+Painel!$C$42*CEILING(G143/100,1)+Painel!$C$43*CEILING(G143,1)+Z143)/(1-Resumo!$B$5)</f>
        <v>99.8078068181818</v>
      </c>
      <c r="AJ143" s="60" t="str">
        <f aca="false">IF(AI143&lt;S143,"SIM","NÃO")</f>
        <v>SIM</v>
      </c>
    </row>
    <row r="144" customFormat="false" ht="15" hidden="false" customHeight="false" outlineLevel="0" collapsed="false">
      <c r="A144" s="59" t="n">
        <v>46214.6434722222</v>
      </c>
      <c r="B144" s="60" t="s">
        <v>521</v>
      </c>
      <c r="C144" s="60" t="n">
        <v>21735150</v>
      </c>
      <c r="D144" s="60" t="s">
        <v>46</v>
      </c>
      <c r="E144" s="60" t="s">
        <v>22</v>
      </c>
      <c r="F144" s="60" t="s">
        <v>233</v>
      </c>
      <c r="G144" s="60" t="n">
        <v>33</v>
      </c>
      <c r="H144" s="61" t="n">
        <v>459.99</v>
      </c>
      <c r="I144" s="61" t="n">
        <v>42.11</v>
      </c>
      <c r="J144" s="61" t="n">
        <f aca="false">H144*Resumo!$C$6</f>
        <v>0</v>
      </c>
      <c r="K144" s="61" t="n">
        <f aca="false">H144*Resumo!$C$7</f>
        <v>0.965979</v>
      </c>
      <c r="L144" s="61" t="n">
        <f aca="false">H144*Resumo!$C$8</f>
        <v>0.965979</v>
      </c>
      <c r="M144" s="61" t="n">
        <f aca="false">Resumo!$C$10*CEILING(G144/100,1)</f>
        <v>1.05</v>
      </c>
      <c r="N144" s="61" t="n">
        <f aca="false">Resumo!$C$9</f>
        <v>0</v>
      </c>
      <c r="O144" s="61" t="n">
        <f aca="false">Resumo!$C$13</f>
        <v>13.55</v>
      </c>
      <c r="P144" s="61" t="n">
        <f aca="false">Resumo!$C$14*CEILING(G144,1)</f>
        <v>14.85</v>
      </c>
      <c r="Q144" s="61" t="n">
        <f aca="false">SUM(I144:P144)*Resumo!$C$11</f>
        <v>0</v>
      </c>
      <c r="R144" s="61" t="n">
        <f aca="false">SUM(I144:Q144)</f>
        <v>73.491958</v>
      </c>
      <c r="S144" s="61" t="n">
        <f aca="false">R144/(1-Resumo!$C$5)</f>
        <v>83.5135886363636</v>
      </c>
      <c r="T144" s="61" t="n">
        <v>82.21</v>
      </c>
      <c r="U144" s="61" t="n">
        <f aca="false">H144*Resumo!$B$6</f>
        <v>0.45999</v>
      </c>
      <c r="V144" s="61" t="n">
        <f aca="false">H144*Resumo!$B$7</f>
        <v>0.91998</v>
      </c>
      <c r="W144" s="61" t="n">
        <f aca="false">Resumo!$B$9</f>
        <v>1</v>
      </c>
      <c r="X144" s="61" t="n">
        <f aca="false">Resumo!$B$10*CEILING(G144/100,1)</f>
        <v>4.5</v>
      </c>
      <c r="Y144" s="61" t="n">
        <f aca="false">Resumo!$B$12*CEILING(G144,1)</f>
        <v>1.98</v>
      </c>
      <c r="Z144" s="61" t="n">
        <f aca="false">Resumo!$B$14*CEILING(G144,1)</f>
        <v>14.85</v>
      </c>
      <c r="AA144" s="61" t="n">
        <f aca="false">SUM(T144:Z144)</f>
        <v>105.91997</v>
      </c>
      <c r="AB144" s="61" t="n">
        <f aca="false">AA144/(1-Resumo!$B$5)</f>
        <v>120.363602272727</v>
      </c>
      <c r="AC144" s="61" t="n">
        <f aca="false">AB144-S144</f>
        <v>36.8500136363636</v>
      </c>
      <c r="AD144" s="62" t="n">
        <f aca="false">AB144/S144-1</f>
        <v>0.441245721062432</v>
      </c>
      <c r="AE144" s="60" t="str">
        <f aca="false">IF(AB144&lt;S144,"SIM","NÃO")</f>
        <v>NÃO</v>
      </c>
      <c r="AF144" s="60" t="n">
        <v>2</v>
      </c>
      <c r="AG144" s="60" t="n">
        <v>5</v>
      </c>
      <c r="AH144" s="60" t="s">
        <v>382</v>
      </c>
      <c r="AI144" s="61" t="n">
        <f aca="false">(T144*(1-Painel!$C$40)+U144+V144+Painel!$C$41+Painel!$C$42*CEILING(G144/100,1)+Painel!$C$43*CEILING(G144,1)+Z144)/(1-Resumo!$B$5)</f>
        <v>83.3643977272727</v>
      </c>
      <c r="AJ144" s="60" t="str">
        <f aca="false">IF(AI144&lt;S144,"SIM","NÃO")</f>
        <v>SIM</v>
      </c>
    </row>
    <row r="145" customFormat="false" ht="15" hidden="false" customHeight="false" outlineLevel="0" collapsed="false">
      <c r="A145" s="59" t="n">
        <v>46214.6625231481</v>
      </c>
      <c r="B145" s="60" t="s">
        <v>522</v>
      </c>
      <c r="C145" s="60" t="n">
        <v>26115490</v>
      </c>
      <c r="D145" s="60" t="s">
        <v>52</v>
      </c>
      <c r="E145" s="60" t="s">
        <v>23</v>
      </c>
      <c r="F145" s="60" t="s">
        <v>240</v>
      </c>
      <c r="G145" s="60" t="n">
        <v>117.5</v>
      </c>
      <c r="H145" s="61" t="n">
        <v>1273.97</v>
      </c>
      <c r="I145" s="61" t="n">
        <v>101.26</v>
      </c>
      <c r="J145" s="61" t="n">
        <f aca="false">H145*Resumo!$C$6</f>
        <v>0</v>
      </c>
      <c r="K145" s="61" t="n">
        <f aca="false">H145*Resumo!$C$7</f>
        <v>2.675337</v>
      </c>
      <c r="L145" s="61" t="n">
        <f aca="false">H145*Resumo!$C$8</f>
        <v>2.675337</v>
      </c>
      <c r="M145" s="61" t="n">
        <f aca="false">Resumo!$C$10*CEILING(G145/100,1)</f>
        <v>2.1</v>
      </c>
      <c r="N145" s="61" t="n">
        <f aca="false">Resumo!$C$9</f>
        <v>0</v>
      </c>
      <c r="O145" s="61" t="n">
        <f aca="false">Resumo!$C$13</f>
        <v>13.55</v>
      </c>
      <c r="P145" s="61" t="n">
        <f aca="false">Resumo!$C$14*CEILING(G145,1)</f>
        <v>53.1</v>
      </c>
      <c r="Q145" s="61" t="n">
        <f aca="false">SUM(I145:P145)*Resumo!$C$11</f>
        <v>0</v>
      </c>
      <c r="R145" s="61" t="n">
        <f aca="false">SUM(I145:Q145)</f>
        <v>175.360674</v>
      </c>
      <c r="S145" s="61" t="n">
        <f aca="false">R145/(1-Resumo!$C$5)</f>
        <v>199.273493181818</v>
      </c>
      <c r="T145" s="61" t="n">
        <v>201.59</v>
      </c>
      <c r="U145" s="61" t="n">
        <f aca="false">H145*Resumo!$B$6</f>
        <v>1.27397</v>
      </c>
      <c r="V145" s="61" t="n">
        <f aca="false">H145*Resumo!$B$7</f>
        <v>2.54794</v>
      </c>
      <c r="W145" s="61" t="n">
        <f aca="false">Resumo!$B$9</f>
        <v>1</v>
      </c>
      <c r="X145" s="61" t="n">
        <f aca="false">Resumo!$B$10*CEILING(G145/100,1)</f>
        <v>9</v>
      </c>
      <c r="Y145" s="61" t="n">
        <f aca="false">Resumo!$B$12*CEILING(G145,1)</f>
        <v>7.08</v>
      </c>
      <c r="Z145" s="61" t="n">
        <f aca="false">Resumo!$B$14*CEILING(G145,1)</f>
        <v>53.1</v>
      </c>
      <c r="AA145" s="61" t="n">
        <f aca="false">SUM(T145:Z145)</f>
        <v>275.59191</v>
      </c>
      <c r="AB145" s="61" t="n">
        <f aca="false">AA145/(1-Resumo!$B$5)</f>
        <v>313.172625</v>
      </c>
      <c r="AC145" s="61" t="n">
        <f aca="false">AB145-S145</f>
        <v>113.899131818182</v>
      </c>
      <c r="AD145" s="62" t="n">
        <f aca="false">AB145/S145-1</f>
        <v>0.571571913552294</v>
      </c>
      <c r="AE145" s="60" t="str">
        <f aca="false">IF(AB145&lt;S145,"SIM","NÃO")</f>
        <v>NÃO</v>
      </c>
      <c r="AF145" s="60" t="n">
        <v>2</v>
      </c>
      <c r="AG145" s="60" t="n">
        <v>5</v>
      </c>
      <c r="AH145" s="60" t="s">
        <v>382</v>
      </c>
      <c r="AI145" s="61" t="n">
        <f aca="false">(T145*(1-Painel!$C$40)+U145+V145+Painel!$C$41+Painel!$C$42*CEILING(G145/100,1)+Painel!$C$43*CEILING(G145,1)+Z145)/(1-Resumo!$B$5)</f>
        <v>221.690011363636</v>
      </c>
      <c r="AJ145" s="60" t="str">
        <f aca="false">IF(AI145&lt;S145,"SIM","NÃO")</f>
        <v>NÃO</v>
      </c>
    </row>
    <row r="146" customFormat="false" ht="15" hidden="false" customHeight="false" outlineLevel="0" collapsed="false">
      <c r="A146" s="59" t="n">
        <v>46214.8718634259</v>
      </c>
      <c r="B146" s="60" t="s">
        <v>523</v>
      </c>
      <c r="C146" s="60" t="n">
        <v>25011420</v>
      </c>
      <c r="D146" s="60" t="s">
        <v>48</v>
      </c>
      <c r="E146" s="60" t="s">
        <v>23</v>
      </c>
      <c r="F146" s="60" t="s">
        <v>237</v>
      </c>
      <c r="G146" s="60" t="n">
        <v>66.8</v>
      </c>
      <c r="H146" s="61" t="n">
        <v>630.3</v>
      </c>
      <c r="I146" s="61" t="n">
        <v>76.55</v>
      </c>
      <c r="J146" s="61" t="n">
        <f aca="false">H146*Resumo!$C$6</f>
        <v>0</v>
      </c>
      <c r="K146" s="61" t="n">
        <f aca="false">H146*Resumo!$C$7</f>
        <v>1.32363</v>
      </c>
      <c r="L146" s="61" t="n">
        <f aca="false">H146*Resumo!$C$8</f>
        <v>1.32363</v>
      </c>
      <c r="M146" s="61" t="n">
        <f aca="false">Resumo!$C$10*CEILING(G146/100,1)</f>
        <v>1.05</v>
      </c>
      <c r="N146" s="61" t="n">
        <f aca="false">Resumo!$C$9</f>
        <v>0</v>
      </c>
      <c r="O146" s="61" t="n">
        <f aca="false">Resumo!$C$13</f>
        <v>13.55</v>
      </c>
      <c r="P146" s="61" t="n">
        <f aca="false">Resumo!$C$14*CEILING(G146,1)</f>
        <v>30.15</v>
      </c>
      <c r="Q146" s="61" t="n">
        <f aca="false">SUM(I146:P146)*Resumo!$C$11</f>
        <v>0</v>
      </c>
      <c r="R146" s="61" t="n">
        <f aca="false">SUM(I146:Q146)</f>
        <v>123.94726</v>
      </c>
      <c r="S146" s="61" t="n">
        <f aca="false">R146/(1-Resumo!$C$5)</f>
        <v>140.849159090909</v>
      </c>
      <c r="T146" s="61" t="n">
        <v>131.02</v>
      </c>
      <c r="U146" s="61" t="n">
        <f aca="false">H146*Resumo!$B$6</f>
        <v>0.6303</v>
      </c>
      <c r="V146" s="61" t="n">
        <f aca="false">H146*Resumo!$B$7</f>
        <v>1.2606</v>
      </c>
      <c r="W146" s="61" t="n">
        <f aca="false">Resumo!$B$9</f>
        <v>1</v>
      </c>
      <c r="X146" s="61" t="n">
        <f aca="false">Resumo!$B$10*CEILING(G146/100,1)</f>
        <v>4.5</v>
      </c>
      <c r="Y146" s="61" t="n">
        <f aca="false">Resumo!$B$12*CEILING(G146,1)</f>
        <v>4.02</v>
      </c>
      <c r="Z146" s="61" t="n">
        <f aca="false">Resumo!$B$14*CEILING(G146,1)</f>
        <v>30.15</v>
      </c>
      <c r="AA146" s="61" t="n">
        <f aca="false">SUM(T146:Z146)</f>
        <v>172.5809</v>
      </c>
      <c r="AB146" s="61" t="n">
        <f aca="false">AA146/(1-Resumo!$B$5)</f>
        <v>196.114659090909</v>
      </c>
      <c r="AC146" s="61" t="n">
        <f aca="false">AB146-S146</f>
        <v>55.2655</v>
      </c>
      <c r="AD146" s="62" t="n">
        <f aca="false">AB146/S146-1</f>
        <v>0.392373659571014</v>
      </c>
      <c r="AE146" s="60" t="str">
        <f aca="false">IF(AB146&lt;S146,"SIM","NÃO")</f>
        <v>NÃO</v>
      </c>
      <c r="AF146" s="60" t="n">
        <v>2</v>
      </c>
      <c r="AG146" s="60" t="n">
        <v>5</v>
      </c>
      <c r="AH146" s="60" t="s">
        <v>382</v>
      </c>
      <c r="AI146" s="61" t="n">
        <f aca="false">(T146*(1-Painel!$C$40)+U146+V146+Painel!$C$41+Painel!$C$42*CEILING(G146/100,1)+Painel!$C$43*CEILING(G146,1)+Z146)/(1-Resumo!$B$5)</f>
        <v>138.493522727273</v>
      </c>
      <c r="AJ146" s="60" t="str">
        <f aca="false">IF(AI146&lt;S146,"SIM","NÃO")</f>
        <v>SIM</v>
      </c>
    </row>
    <row r="147" customFormat="false" ht="15" hidden="false" customHeight="false" outlineLevel="0" collapsed="false">
      <c r="A147" s="59" t="n">
        <v>46214.9575115741</v>
      </c>
      <c r="B147" s="60" t="s">
        <v>524</v>
      </c>
      <c r="C147" s="60" t="n">
        <v>24320570</v>
      </c>
      <c r="D147" s="60" t="s">
        <v>50</v>
      </c>
      <c r="E147" s="60" t="s">
        <v>23</v>
      </c>
      <c r="F147" s="60" t="s">
        <v>236</v>
      </c>
      <c r="G147" s="60" t="n">
        <v>52.3</v>
      </c>
      <c r="H147" s="61" t="n">
        <v>643.99</v>
      </c>
      <c r="I147" s="61" t="n">
        <v>70.98</v>
      </c>
      <c r="J147" s="61" t="n">
        <f aca="false">H147*Resumo!$C$6</f>
        <v>0</v>
      </c>
      <c r="K147" s="61" t="n">
        <f aca="false">H147*Resumo!$C$7</f>
        <v>1.352379</v>
      </c>
      <c r="L147" s="61" t="n">
        <f aca="false">H147*Resumo!$C$8</f>
        <v>1.352379</v>
      </c>
      <c r="M147" s="61" t="n">
        <f aca="false">Resumo!$C$10*CEILING(G147/100,1)</f>
        <v>1.05</v>
      </c>
      <c r="N147" s="61" t="n">
        <f aca="false">Resumo!$C$9</f>
        <v>0</v>
      </c>
      <c r="O147" s="61" t="n">
        <f aca="false">Resumo!$C$13</f>
        <v>13.55</v>
      </c>
      <c r="P147" s="61" t="n">
        <f aca="false">Resumo!$C$14*CEILING(G147,1)</f>
        <v>23.85</v>
      </c>
      <c r="Q147" s="61" t="n">
        <f aca="false">SUM(I147:P147)*Resumo!$C$11</f>
        <v>0</v>
      </c>
      <c r="R147" s="61" t="n">
        <f aca="false">SUM(I147:Q147)</f>
        <v>112.134758</v>
      </c>
      <c r="S147" s="61" t="n">
        <f aca="false">R147/(1-Resumo!$C$5)</f>
        <v>127.425861363636</v>
      </c>
      <c r="T147" s="61" t="n">
        <v>128.14</v>
      </c>
      <c r="U147" s="61" t="n">
        <f aca="false">H147*Resumo!$B$6</f>
        <v>0.64399</v>
      </c>
      <c r="V147" s="61" t="n">
        <f aca="false">H147*Resumo!$B$7</f>
        <v>1.28798</v>
      </c>
      <c r="W147" s="61" t="n">
        <f aca="false">Resumo!$B$9</f>
        <v>1</v>
      </c>
      <c r="X147" s="61" t="n">
        <f aca="false">Resumo!$B$10*CEILING(G147/100,1)</f>
        <v>4.5</v>
      </c>
      <c r="Y147" s="61" t="n">
        <f aca="false">Resumo!$B$12*CEILING(G147,1)</f>
        <v>3.18</v>
      </c>
      <c r="Z147" s="61" t="n">
        <f aca="false">Resumo!$B$14*CEILING(G147,1)</f>
        <v>23.85</v>
      </c>
      <c r="AA147" s="61" t="n">
        <f aca="false">SUM(T147:Z147)</f>
        <v>162.60197</v>
      </c>
      <c r="AB147" s="61" t="n">
        <f aca="false">AA147/(1-Resumo!$B$5)</f>
        <v>184.774965909091</v>
      </c>
      <c r="AC147" s="61" t="n">
        <f aca="false">AB147-S147</f>
        <v>57.3491045454545</v>
      </c>
      <c r="AD147" s="62" t="n">
        <f aca="false">AB147/S147-1</f>
        <v>0.450058598244801</v>
      </c>
      <c r="AE147" s="60" t="str">
        <f aca="false">IF(AB147&lt;S147,"SIM","NÃO")</f>
        <v>NÃO</v>
      </c>
      <c r="AF147" s="60" t="n">
        <v>2</v>
      </c>
      <c r="AG147" s="60" t="n">
        <v>7</v>
      </c>
      <c r="AH147" s="60" t="s">
        <v>382</v>
      </c>
      <c r="AI147" s="61" t="n">
        <f aca="false">(T147*(1-Painel!$C$40)+U147+V147+Painel!$C$41+Painel!$C$42*CEILING(G147/100,1)+Painel!$C$43*CEILING(G147,1)+Z147)/(1-Resumo!$B$5)</f>
        <v>129.188375</v>
      </c>
      <c r="AJ147" s="60" t="str">
        <f aca="false">IF(AI147&lt;S147,"SIM","NÃO")</f>
        <v>NÃO</v>
      </c>
    </row>
    <row r="148" customFormat="false" ht="15" hidden="false" customHeight="false" outlineLevel="0" collapsed="false">
      <c r="A148" s="59" t="n">
        <v>46214.9767824074</v>
      </c>
      <c r="B148" s="60" t="s">
        <v>525</v>
      </c>
      <c r="C148" s="60" t="n">
        <v>24110360</v>
      </c>
      <c r="D148" s="60" t="s">
        <v>50</v>
      </c>
      <c r="E148" s="60" t="s">
        <v>23</v>
      </c>
      <c r="F148" s="60" t="s">
        <v>233</v>
      </c>
      <c r="G148" s="60" t="n">
        <v>34.4</v>
      </c>
      <c r="H148" s="61" t="n">
        <v>404.99</v>
      </c>
      <c r="I148" s="61" t="n">
        <v>58.8</v>
      </c>
      <c r="J148" s="61" t="n">
        <f aca="false">H148*Resumo!$C$6</f>
        <v>0</v>
      </c>
      <c r="K148" s="61" t="n">
        <f aca="false">H148*Resumo!$C$7</f>
        <v>0.850479</v>
      </c>
      <c r="L148" s="61" t="n">
        <f aca="false">H148*Resumo!$C$8</f>
        <v>0.850479</v>
      </c>
      <c r="M148" s="61" t="n">
        <f aca="false">Resumo!$C$10*CEILING(G148/100,1)</f>
        <v>1.05</v>
      </c>
      <c r="N148" s="61" t="n">
        <f aca="false">Resumo!$C$9</f>
        <v>0</v>
      </c>
      <c r="O148" s="61" t="n">
        <f aca="false">Resumo!$C$13</f>
        <v>13.55</v>
      </c>
      <c r="P148" s="61" t="n">
        <f aca="false">Resumo!$C$14*CEILING(G148,1)</f>
        <v>15.75</v>
      </c>
      <c r="Q148" s="61" t="n">
        <f aca="false">SUM(I148:P148)*Resumo!$C$11</f>
        <v>0</v>
      </c>
      <c r="R148" s="61" t="n">
        <f aca="false">SUM(I148:Q148)</f>
        <v>90.850958</v>
      </c>
      <c r="S148" s="61" t="n">
        <f aca="false">R148/(1-Resumo!$C$5)</f>
        <v>103.239725</v>
      </c>
      <c r="T148" s="61" t="n">
        <v>100.58</v>
      </c>
      <c r="U148" s="61" t="n">
        <f aca="false">H148*Resumo!$B$6</f>
        <v>0.40499</v>
      </c>
      <c r="V148" s="61" t="n">
        <f aca="false">H148*Resumo!$B$7</f>
        <v>0.80998</v>
      </c>
      <c r="W148" s="61" t="n">
        <f aca="false">Resumo!$B$9</f>
        <v>1</v>
      </c>
      <c r="X148" s="61" t="n">
        <f aca="false">Resumo!$B$10*CEILING(G148/100,1)</f>
        <v>4.5</v>
      </c>
      <c r="Y148" s="61" t="n">
        <f aca="false">Resumo!$B$12*CEILING(G148,1)</f>
        <v>2.1</v>
      </c>
      <c r="Z148" s="61" t="n">
        <f aca="false">Resumo!$B$14*CEILING(G148,1)</f>
        <v>15.75</v>
      </c>
      <c r="AA148" s="61" t="n">
        <f aca="false">SUM(T148:Z148)</f>
        <v>125.14497</v>
      </c>
      <c r="AB148" s="61" t="n">
        <f aca="false">AA148/(1-Resumo!$B$5)</f>
        <v>142.210193181818</v>
      </c>
      <c r="AC148" s="61" t="n">
        <f aca="false">AB148-S148</f>
        <v>38.9704681818182</v>
      </c>
      <c r="AD148" s="62" t="n">
        <f aca="false">AB148/S148-1</f>
        <v>0.377475513246652</v>
      </c>
      <c r="AE148" s="60" t="str">
        <f aca="false">IF(AB148&lt;S148,"SIM","NÃO")</f>
        <v>NÃO</v>
      </c>
      <c r="AF148" s="60" t="n">
        <v>2</v>
      </c>
      <c r="AG148" s="60" t="n">
        <v>7</v>
      </c>
      <c r="AH148" s="60" t="s">
        <v>382</v>
      </c>
      <c r="AI148" s="61" t="n">
        <f aca="false">(T148*(1-Painel!$C$40)+U148+V148+Painel!$C$41+Painel!$C$42*CEILING(G148/100,1)+Painel!$C$43*CEILING(G148,1)+Z148)/(1-Resumo!$B$5)</f>
        <v>98.185875</v>
      </c>
      <c r="AJ148" s="60" t="str">
        <f aca="false">IF(AI148&lt;S148,"SIM","NÃO")</f>
        <v>SIM</v>
      </c>
    </row>
    <row r="149" customFormat="false" ht="15" hidden="false" customHeight="false" outlineLevel="0" collapsed="false">
      <c r="A149" s="59" t="n">
        <v>46215.4087731482</v>
      </c>
      <c r="B149" s="60" t="s">
        <v>526</v>
      </c>
      <c r="C149" s="60" t="n">
        <v>23520132</v>
      </c>
      <c r="D149" s="60" t="s">
        <v>46</v>
      </c>
      <c r="E149" s="60" t="s">
        <v>22</v>
      </c>
      <c r="F149" s="60" t="s">
        <v>235</v>
      </c>
      <c r="G149" s="60" t="n">
        <v>41</v>
      </c>
      <c r="H149" s="61" t="n">
        <v>515.19</v>
      </c>
      <c r="I149" s="61" t="n">
        <v>53.55</v>
      </c>
      <c r="J149" s="61" t="n">
        <f aca="false">H149*Resumo!$C$6</f>
        <v>0</v>
      </c>
      <c r="K149" s="61" t="n">
        <f aca="false">H149*Resumo!$C$7</f>
        <v>1.081899</v>
      </c>
      <c r="L149" s="61" t="n">
        <f aca="false">H149*Resumo!$C$8</f>
        <v>1.081899</v>
      </c>
      <c r="M149" s="61" t="n">
        <f aca="false">Resumo!$C$10*CEILING(G149/100,1)</f>
        <v>1.05</v>
      </c>
      <c r="N149" s="61" t="n">
        <f aca="false">Resumo!$C$9</f>
        <v>0</v>
      </c>
      <c r="O149" s="61" t="n">
        <f aca="false">Resumo!$C$13</f>
        <v>13.55</v>
      </c>
      <c r="P149" s="61" t="n">
        <f aca="false">Resumo!$C$14*CEILING(G149,1)</f>
        <v>18.45</v>
      </c>
      <c r="Q149" s="61" t="n">
        <f aca="false">SUM(I149:P149)*Resumo!$C$11</f>
        <v>0</v>
      </c>
      <c r="R149" s="61" t="n">
        <f aca="false">SUM(I149:Q149)</f>
        <v>88.763798</v>
      </c>
      <c r="S149" s="61" t="n">
        <f aca="false">R149/(1-Resumo!$C$5)</f>
        <v>100.867952272727</v>
      </c>
      <c r="T149" s="61" t="n">
        <v>93.97</v>
      </c>
      <c r="U149" s="61" t="n">
        <f aca="false">H149*Resumo!$B$6</f>
        <v>0.51519</v>
      </c>
      <c r="V149" s="61" t="n">
        <f aca="false">H149*Resumo!$B$7</f>
        <v>1.03038</v>
      </c>
      <c r="W149" s="61" t="n">
        <f aca="false">Resumo!$B$9</f>
        <v>1</v>
      </c>
      <c r="X149" s="61" t="n">
        <f aca="false">Resumo!$B$10*CEILING(G149/100,1)</f>
        <v>4.5</v>
      </c>
      <c r="Y149" s="61" t="n">
        <f aca="false">Resumo!$B$12*CEILING(G149,1)</f>
        <v>2.46</v>
      </c>
      <c r="Z149" s="61" t="n">
        <f aca="false">Resumo!$B$14*CEILING(G149,1)</f>
        <v>18.45</v>
      </c>
      <c r="AA149" s="61" t="n">
        <f aca="false">SUM(T149:Z149)</f>
        <v>121.92557</v>
      </c>
      <c r="AB149" s="61" t="n">
        <f aca="false">AA149/(1-Resumo!$B$5)</f>
        <v>138.551784090909</v>
      </c>
      <c r="AC149" s="61" t="n">
        <f aca="false">AB149-S149</f>
        <v>37.6838318181818</v>
      </c>
      <c r="AD149" s="62" t="n">
        <f aca="false">AB149/S149-1</f>
        <v>0.373595685934935</v>
      </c>
      <c r="AE149" s="60" t="str">
        <f aca="false">IF(AB149&lt;S149,"SIM","NÃO")</f>
        <v>NÃO</v>
      </c>
      <c r="AF149" s="60" t="n">
        <v>2</v>
      </c>
      <c r="AG149" s="60" t="n">
        <v>5</v>
      </c>
      <c r="AH149" s="60" t="s">
        <v>382</v>
      </c>
      <c r="AI149" s="61" t="n">
        <f aca="false">(T149*(1-Painel!$C$40)+U149+V149+Painel!$C$41+Painel!$C$42*CEILING(G149/100,1)+Painel!$C$43*CEILING(G149,1)+Z149)/(1-Resumo!$B$5)</f>
        <v>96.597125</v>
      </c>
      <c r="AJ149" s="60" t="str">
        <f aca="false">IF(AI149&lt;S149,"SIM","NÃO")</f>
        <v>SIM</v>
      </c>
    </row>
    <row r="150" customFormat="false" ht="15" hidden="false" customHeight="false" outlineLevel="0" collapsed="false">
      <c r="A150" s="59" t="n">
        <v>46215.4288657407</v>
      </c>
      <c r="B150" s="60" t="s">
        <v>527</v>
      </c>
      <c r="C150" s="60" t="n">
        <v>23065006</v>
      </c>
      <c r="D150" s="60" t="s">
        <v>46</v>
      </c>
      <c r="E150" s="60" t="s">
        <v>22</v>
      </c>
      <c r="F150" s="60" t="s">
        <v>241</v>
      </c>
      <c r="G150" s="60" t="n">
        <v>124.64</v>
      </c>
      <c r="H150" s="61" t="n">
        <v>1673.96</v>
      </c>
      <c r="I150" s="61" t="n">
        <v>120.59</v>
      </c>
      <c r="J150" s="61" t="n">
        <f aca="false">H150*Resumo!$C$6</f>
        <v>0</v>
      </c>
      <c r="K150" s="61" t="n">
        <f aca="false">H150*Resumo!$C$7</f>
        <v>3.515316</v>
      </c>
      <c r="L150" s="61" t="n">
        <f aca="false">H150*Resumo!$C$8</f>
        <v>3.515316</v>
      </c>
      <c r="M150" s="61" t="n">
        <f aca="false">Resumo!$C$10*CEILING(G150/100,1)</f>
        <v>2.1</v>
      </c>
      <c r="N150" s="61" t="n">
        <f aca="false">Resumo!$C$9</f>
        <v>0</v>
      </c>
      <c r="O150" s="61" t="n">
        <f aca="false">Resumo!$C$13</f>
        <v>13.55</v>
      </c>
      <c r="P150" s="61" t="n">
        <f aca="false">Resumo!$C$14*CEILING(G150,1)</f>
        <v>56.25</v>
      </c>
      <c r="Q150" s="61" t="n">
        <f aca="false">SUM(I150:P150)*Resumo!$C$11</f>
        <v>0</v>
      </c>
      <c r="R150" s="61" t="n">
        <f aca="false">SUM(I150:Q150)</f>
        <v>199.520632</v>
      </c>
      <c r="S150" s="61" t="n">
        <f aca="false">R150/(1-Resumo!$C$5)</f>
        <v>226.727990909091</v>
      </c>
      <c r="T150" s="61" t="n">
        <v>239.25</v>
      </c>
      <c r="U150" s="61" t="n">
        <f aca="false">H150*Resumo!$B$6</f>
        <v>1.67396</v>
      </c>
      <c r="V150" s="61" t="n">
        <f aca="false">H150*Resumo!$B$7</f>
        <v>3.34792</v>
      </c>
      <c r="W150" s="61" t="n">
        <f aca="false">Resumo!$B$9</f>
        <v>1</v>
      </c>
      <c r="X150" s="61" t="n">
        <f aca="false">Resumo!$B$10*CEILING(G150/100,1)</f>
        <v>9</v>
      </c>
      <c r="Y150" s="61" t="n">
        <f aca="false">Resumo!$B$12*CEILING(G150,1)</f>
        <v>7.5</v>
      </c>
      <c r="Z150" s="61" t="n">
        <f aca="false">Resumo!$B$14*CEILING(G150,1)</f>
        <v>56.25</v>
      </c>
      <c r="AA150" s="61" t="n">
        <f aca="false">SUM(T150:Z150)</f>
        <v>318.02188</v>
      </c>
      <c r="AB150" s="61" t="n">
        <f aca="false">AA150/(1-Resumo!$B$5)</f>
        <v>361.3885</v>
      </c>
      <c r="AC150" s="61" t="n">
        <f aca="false">AB150-S150</f>
        <v>134.660509090909</v>
      </c>
      <c r="AD150" s="62" t="n">
        <f aca="false">AB150/S150-1</f>
        <v>0.593929794689103</v>
      </c>
      <c r="AE150" s="60" t="str">
        <f aca="false">IF(AB150&lt;S150,"SIM","NÃO")</f>
        <v>NÃO</v>
      </c>
      <c r="AF150" s="60" t="n">
        <v>2</v>
      </c>
      <c r="AG150" s="60" t="n">
        <v>5</v>
      </c>
      <c r="AH150" s="60" t="s">
        <v>382</v>
      </c>
      <c r="AI150" s="61" t="n">
        <f aca="false">(T150*(1-Painel!$C$40)+U150+V150+Painel!$C$41+Painel!$C$42*CEILING(G150/100,1)+Painel!$C$43*CEILING(G150,1)+Z150)/(1-Resumo!$B$5)</f>
        <v>255.306113636364</v>
      </c>
      <c r="AJ150" s="60" t="str">
        <f aca="false">IF(AI150&lt;S150,"SIM","NÃO")</f>
        <v>NÃO</v>
      </c>
    </row>
    <row r="151" customFormat="false" ht="15" hidden="false" customHeight="false" outlineLevel="0" collapsed="false">
      <c r="A151" s="59" t="n">
        <v>46215.4847685185</v>
      </c>
      <c r="B151" s="60" t="s">
        <v>528</v>
      </c>
      <c r="C151" s="60" t="n">
        <v>24802370</v>
      </c>
      <c r="D151" s="60" t="s">
        <v>223</v>
      </c>
      <c r="E151" s="60" t="s">
        <v>24</v>
      </c>
      <c r="F151" s="60" t="s">
        <v>235</v>
      </c>
      <c r="G151" s="60" t="n">
        <v>48</v>
      </c>
      <c r="H151" s="61" t="n">
        <v>827.99</v>
      </c>
      <c r="I151" s="61" t="n">
        <v>77.7</v>
      </c>
      <c r="J151" s="61" t="n">
        <f aca="false">H151*Resumo!$C$6</f>
        <v>0</v>
      </c>
      <c r="K151" s="61" t="n">
        <f aca="false">H151*Resumo!$C$7</f>
        <v>1.738779</v>
      </c>
      <c r="L151" s="61" t="n">
        <f aca="false">H151*Resumo!$C$8</f>
        <v>1.738779</v>
      </c>
      <c r="M151" s="61" t="n">
        <f aca="false">Resumo!$C$10*CEILING(G151/100,1)</f>
        <v>1.05</v>
      </c>
      <c r="N151" s="61" t="n">
        <f aca="false">Resumo!$C$9</f>
        <v>0</v>
      </c>
      <c r="O151" s="61" t="n">
        <f aca="false">Resumo!$C$13</f>
        <v>13.55</v>
      </c>
      <c r="P151" s="61" t="n">
        <f aca="false">Resumo!$C$14*CEILING(G151,1)</f>
        <v>21.6</v>
      </c>
      <c r="Q151" s="61" t="n">
        <f aca="false">SUM(I151:P151)*Resumo!$C$11</f>
        <v>0</v>
      </c>
      <c r="R151" s="61" t="n">
        <f aca="false">SUM(I151:Q151)</f>
        <v>117.377558</v>
      </c>
      <c r="S151" s="61" t="n">
        <f aca="false">R151/(1-Resumo!$C$5)</f>
        <v>133.383588636364</v>
      </c>
      <c r="T151" s="61" t="n">
        <v>114.95</v>
      </c>
      <c r="U151" s="61" t="n">
        <f aca="false">H151*Resumo!$B$6</f>
        <v>0.82799</v>
      </c>
      <c r="V151" s="61" t="n">
        <f aca="false">H151*Resumo!$B$7</f>
        <v>1.65598</v>
      </c>
      <c r="W151" s="61" t="n">
        <f aca="false">Resumo!$B$9</f>
        <v>1</v>
      </c>
      <c r="X151" s="61" t="n">
        <f aca="false">Resumo!$B$10*CEILING(G151/100,1)</f>
        <v>4.5</v>
      </c>
      <c r="Y151" s="61" t="n">
        <f aca="false">Resumo!$B$12*CEILING(G151,1)</f>
        <v>2.88</v>
      </c>
      <c r="Z151" s="61" t="n">
        <f aca="false">Resumo!$B$14*CEILING(G151,1)</f>
        <v>21.6</v>
      </c>
      <c r="AA151" s="61" t="n">
        <f aca="false">SUM(T151:Z151)</f>
        <v>147.41397</v>
      </c>
      <c r="AB151" s="61" t="n">
        <f aca="false">AA151/(1-Resumo!$B$5)</f>
        <v>167.515875</v>
      </c>
      <c r="AC151" s="61" t="n">
        <f aca="false">AB151-S151</f>
        <v>34.1322863636364</v>
      </c>
      <c r="AD151" s="62" t="n">
        <f aca="false">AB151/S151-1</f>
        <v>0.255895696858849</v>
      </c>
      <c r="AE151" s="60" t="str">
        <f aca="false">IF(AB151&lt;S151,"SIM","NÃO")</f>
        <v>NÃO</v>
      </c>
      <c r="AF151" s="60" t="n">
        <v>13</v>
      </c>
      <c r="AG151" s="60" t="n">
        <v>7</v>
      </c>
      <c r="AH151" s="60" t="s">
        <v>382</v>
      </c>
      <c r="AI151" s="61" t="n">
        <f aca="false">(T151*(1-Painel!$C$40)+U151+V151+Painel!$C$41+Painel!$C$42*CEILING(G151/100,1)+Painel!$C$43*CEILING(G151,1)+Z151)/(1-Resumo!$B$5)</f>
        <v>117.216443181818</v>
      </c>
      <c r="AJ151" s="60" t="str">
        <f aca="false">IF(AI151&lt;S151,"SIM","NÃO")</f>
        <v>SIM</v>
      </c>
    </row>
    <row r="152" customFormat="false" ht="15" hidden="false" customHeight="false" outlineLevel="0" collapsed="false">
      <c r="A152" s="59" t="n">
        <v>46215.5159375</v>
      </c>
      <c r="B152" s="60" t="s">
        <v>529</v>
      </c>
      <c r="C152" s="60" t="n">
        <v>26021061</v>
      </c>
      <c r="D152" s="60" t="s">
        <v>49</v>
      </c>
      <c r="E152" s="60" t="s">
        <v>23</v>
      </c>
      <c r="F152" s="60" t="s">
        <v>236</v>
      </c>
      <c r="G152" s="60" t="n">
        <v>52.3</v>
      </c>
      <c r="H152" s="61" t="n">
        <v>644.99</v>
      </c>
      <c r="I152" s="61" t="n">
        <v>70.98</v>
      </c>
      <c r="J152" s="61" t="n">
        <f aca="false">H152*Resumo!$C$6</f>
        <v>0</v>
      </c>
      <c r="K152" s="61" t="n">
        <f aca="false">H152*Resumo!$C$7</f>
        <v>1.354479</v>
      </c>
      <c r="L152" s="61" t="n">
        <f aca="false">H152*Resumo!$C$8</f>
        <v>1.354479</v>
      </c>
      <c r="M152" s="61" t="n">
        <f aca="false">Resumo!$C$10*CEILING(G152/100,1)</f>
        <v>1.05</v>
      </c>
      <c r="N152" s="61" t="n">
        <f aca="false">Resumo!$C$9</f>
        <v>0</v>
      </c>
      <c r="O152" s="61" t="n">
        <f aca="false">Resumo!$C$13</f>
        <v>13.55</v>
      </c>
      <c r="P152" s="61" t="n">
        <f aca="false">Resumo!$C$14*CEILING(G152,1)</f>
        <v>23.85</v>
      </c>
      <c r="Q152" s="61" t="n">
        <f aca="false">SUM(I152:P152)*Resumo!$C$11</f>
        <v>0</v>
      </c>
      <c r="R152" s="61" t="n">
        <f aca="false">SUM(I152:Q152)</f>
        <v>112.138958</v>
      </c>
      <c r="S152" s="61" t="n">
        <f aca="false">R152/(1-Resumo!$C$5)</f>
        <v>127.430634090909</v>
      </c>
      <c r="T152" s="61" t="n">
        <v>112.3</v>
      </c>
      <c r="U152" s="61" t="n">
        <f aca="false">H152*Resumo!$B$6</f>
        <v>0.64499</v>
      </c>
      <c r="V152" s="61" t="n">
        <f aca="false">H152*Resumo!$B$7</f>
        <v>1.28998</v>
      </c>
      <c r="W152" s="61" t="n">
        <f aca="false">Resumo!$B$9</f>
        <v>1</v>
      </c>
      <c r="X152" s="61" t="n">
        <f aca="false">Resumo!$B$10*CEILING(G152/100,1)</f>
        <v>4.5</v>
      </c>
      <c r="Y152" s="61" t="n">
        <f aca="false">Resumo!$B$12*CEILING(G152,1)</f>
        <v>3.18</v>
      </c>
      <c r="Z152" s="61" t="n">
        <f aca="false">Resumo!$B$14*CEILING(G152,1)</f>
        <v>23.85</v>
      </c>
      <c r="AA152" s="61" t="n">
        <f aca="false">SUM(T152:Z152)</f>
        <v>146.76497</v>
      </c>
      <c r="AB152" s="61" t="n">
        <f aca="false">AA152/(1-Resumo!$B$5)</f>
        <v>166.778375</v>
      </c>
      <c r="AC152" s="61" t="n">
        <f aca="false">AB152-S152</f>
        <v>39.3477409090909</v>
      </c>
      <c r="AD152" s="62" t="n">
        <f aca="false">AB152/S152-1</f>
        <v>0.308777722011649</v>
      </c>
      <c r="AE152" s="60" t="str">
        <f aca="false">IF(AB152&lt;S152,"SIM","NÃO")</f>
        <v>NÃO</v>
      </c>
      <c r="AF152" s="60" t="n">
        <v>2</v>
      </c>
      <c r="AG152" s="60" t="n">
        <v>5</v>
      </c>
      <c r="AH152" s="60" t="s">
        <v>382</v>
      </c>
      <c r="AI152" s="61" t="n">
        <f aca="false">(T152*(1-Painel!$C$40)+U152+V152+Painel!$C$41+Painel!$C$42*CEILING(G152/100,1)+Painel!$C$43*CEILING(G152,1)+Z152)/(1-Resumo!$B$5)</f>
        <v>117.131784090909</v>
      </c>
      <c r="AJ152" s="60" t="str">
        <f aca="false">IF(AI152&lt;S152,"SIM","NÃO")</f>
        <v>SIM</v>
      </c>
    </row>
    <row r="153" customFormat="false" ht="15" hidden="false" customHeight="false" outlineLevel="0" collapsed="false">
      <c r="A153" s="59" t="n">
        <v>46215.523599537</v>
      </c>
      <c r="B153" s="60" t="s">
        <v>530</v>
      </c>
      <c r="C153" s="60" t="n">
        <v>28982360</v>
      </c>
      <c r="D153" s="60" t="s">
        <v>222</v>
      </c>
      <c r="E153" s="60" t="s">
        <v>24</v>
      </c>
      <c r="F153" s="60" t="s">
        <v>236</v>
      </c>
      <c r="G153" s="60" t="n">
        <v>52.3</v>
      </c>
      <c r="H153" s="61" t="n">
        <v>643.99</v>
      </c>
      <c r="I153" s="61" t="n">
        <v>83.58</v>
      </c>
      <c r="J153" s="61" t="n">
        <f aca="false">H153*Resumo!$C$6</f>
        <v>0</v>
      </c>
      <c r="K153" s="61" t="n">
        <f aca="false">H153*Resumo!$C$7</f>
        <v>1.352379</v>
      </c>
      <c r="L153" s="61" t="n">
        <f aca="false">H153*Resumo!$C$8</f>
        <v>1.352379</v>
      </c>
      <c r="M153" s="61" t="n">
        <f aca="false">Resumo!$C$10*CEILING(G153/100,1)</f>
        <v>1.05</v>
      </c>
      <c r="N153" s="61" t="n">
        <f aca="false">Resumo!$C$9</f>
        <v>0</v>
      </c>
      <c r="O153" s="61" t="n">
        <f aca="false">Resumo!$C$13</f>
        <v>13.55</v>
      </c>
      <c r="P153" s="61" t="n">
        <f aca="false">Resumo!$C$14*CEILING(G153,1)</f>
        <v>23.85</v>
      </c>
      <c r="Q153" s="61" t="n">
        <f aca="false">SUM(I153:P153)*Resumo!$C$11</f>
        <v>0</v>
      </c>
      <c r="R153" s="61" t="n">
        <f aca="false">SUM(I153:Q153)</f>
        <v>124.734758</v>
      </c>
      <c r="S153" s="61" t="n">
        <f aca="false">R153/(1-Resumo!$C$5)</f>
        <v>141.744043181818</v>
      </c>
      <c r="T153" s="61" t="n">
        <v>142.32</v>
      </c>
      <c r="U153" s="61" t="n">
        <f aca="false">H153*Resumo!$B$6</f>
        <v>0.64399</v>
      </c>
      <c r="V153" s="61" t="n">
        <f aca="false">H153*Resumo!$B$7</f>
        <v>1.28798</v>
      </c>
      <c r="W153" s="61" t="n">
        <f aca="false">Resumo!$B$9</f>
        <v>1</v>
      </c>
      <c r="X153" s="61" t="n">
        <f aca="false">Resumo!$B$10*CEILING(G153/100,1)</f>
        <v>4.5</v>
      </c>
      <c r="Y153" s="61" t="n">
        <f aca="false">Resumo!$B$12*CEILING(G153,1)</f>
        <v>3.18</v>
      </c>
      <c r="Z153" s="61" t="n">
        <f aca="false">Resumo!$B$14*CEILING(G153,1)</f>
        <v>23.85</v>
      </c>
      <c r="AA153" s="61" t="n">
        <f aca="false">SUM(T153:Z153)</f>
        <v>176.78197</v>
      </c>
      <c r="AB153" s="61" t="n">
        <f aca="false">AA153/(1-Resumo!$B$5)</f>
        <v>200.888602272727</v>
      </c>
      <c r="AC153" s="61" t="n">
        <f aca="false">AB153-S153</f>
        <v>59.1445590909091</v>
      </c>
      <c r="AD153" s="62" t="n">
        <f aca="false">AB153/S153-1</f>
        <v>0.41726310159675</v>
      </c>
      <c r="AE153" s="60" t="str">
        <f aca="false">IF(AB153&lt;S153,"SIM","NÃO")</f>
        <v>NÃO</v>
      </c>
      <c r="AF153" s="60" t="n">
        <v>13</v>
      </c>
      <c r="AG153" s="60" t="n">
        <v>10</v>
      </c>
      <c r="AH153" s="60" t="s">
        <v>382</v>
      </c>
      <c r="AI153" s="61" t="n">
        <f aca="false">(T153*(1-Painel!$C$40)+U153+V153+Painel!$C$41+Painel!$C$42*CEILING(G153/100,1)+Painel!$C$43*CEILING(G153,1)+Z153)/(1-Resumo!$B$5)</f>
        <v>139.984511363636</v>
      </c>
      <c r="AJ153" s="60" t="str">
        <f aca="false">IF(AI153&lt;S153,"SIM","NÃO")</f>
        <v>SIM</v>
      </c>
    </row>
    <row r="154" customFormat="false" ht="15" hidden="false" customHeight="false" outlineLevel="0" collapsed="false">
      <c r="A154" s="59" t="n">
        <v>46215.5479513889</v>
      </c>
      <c r="B154" s="60" t="s">
        <v>531</v>
      </c>
      <c r="C154" s="60" t="n">
        <v>22710568</v>
      </c>
      <c r="D154" s="60" t="s">
        <v>46</v>
      </c>
      <c r="E154" s="60" t="s">
        <v>22</v>
      </c>
      <c r="F154" s="60" t="s">
        <v>235</v>
      </c>
      <c r="G154" s="60" t="n">
        <v>41</v>
      </c>
      <c r="H154" s="61" t="n">
        <v>515.19</v>
      </c>
      <c r="I154" s="61" t="n">
        <v>53.55</v>
      </c>
      <c r="J154" s="61" t="n">
        <f aca="false">H154*Resumo!$C$6</f>
        <v>0</v>
      </c>
      <c r="K154" s="61" t="n">
        <f aca="false">H154*Resumo!$C$7</f>
        <v>1.081899</v>
      </c>
      <c r="L154" s="61" t="n">
        <f aca="false">H154*Resumo!$C$8</f>
        <v>1.081899</v>
      </c>
      <c r="M154" s="61" t="n">
        <f aca="false">Resumo!$C$10*CEILING(G154/100,1)</f>
        <v>1.05</v>
      </c>
      <c r="N154" s="61" t="n">
        <f aca="false">Resumo!$C$9</f>
        <v>0</v>
      </c>
      <c r="O154" s="61" t="n">
        <f aca="false">Resumo!$C$13</f>
        <v>13.55</v>
      </c>
      <c r="P154" s="61" t="n">
        <f aca="false">Resumo!$C$14*CEILING(G154,1)</f>
        <v>18.45</v>
      </c>
      <c r="Q154" s="61" t="n">
        <f aca="false">SUM(I154:P154)*Resumo!$C$11</f>
        <v>0</v>
      </c>
      <c r="R154" s="61" t="n">
        <f aca="false">SUM(I154:Q154)</f>
        <v>88.763798</v>
      </c>
      <c r="S154" s="61" t="n">
        <f aca="false">R154/(1-Resumo!$C$5)</f>
        <v>100.867952272727</v>
      </c>
      <c r="T154" s="61" t="n">
        <v>93.97</v>
      </c>
      <c r="U154" s="61" t="n">
        <f aca="false">H154*Resumo!$B$6</f>
        <v>0.51519</v>
      </c>
      <c r="V154" s="61" t="n">
        <f aca="false">H154*Resumo!$B$7</f>
        <v>1.03038</v>
      </c>
      <c r="W154" s="61" t="n">
        <f aca="false">Resumo!$B$9</f>
        <v>1</v>
      </c>
      <c r="X154" s="61" t="n">
        <f aca="false">Resumo!$B$10*CEILING(G154/100,1)</f>
        <v>4.5</v>
      </c>
      <c r="Y154" s="61" t="n">
        <f aca="false">Resumo!$B$12*CEILING(G154,1)</f>
        <v>2.46</v>
      </c>
      <c r="Z154" s="61" t="n">
        <f aca="false">Resumo!$B$14*CEILING(G154,1)</f>
        <v>18.45</v>
      </c>
      <c r="AA154" s="61" t="n">
        <f aca="false">SUM(T154:Z154)</f>
        <v>121.92557</v>
      </c>
      <c r="AB154" s="61" t="n">
        <f aca="false">AA154/(1-Resumo!$B$5)</f>
        <v>138.551784090909</v>
      </c>
      <c r="AC154" s="61" t="n">
        <f aca="false">AB154-S154</f>
        <v>37.6838318181818</v>
      </c>
      <c r="AD154" s="62" t="n">
        <f aca="false">AB154/S154-1</f>
        <v>0.373595685934935</v>
      </c>
      <c r="AE154" s="60" t="str">
        <f aca="false">IF(AB154&lt;S154,"SIM","NÃO")</f>
        <v>NÃO</v>
      </c>
      <c r="AF154" s="60" t="n">
        <v>2</v>
      </c>
      <c r="AG154" s="60" t="n">
        <v>5</v>
      </c>
      <c r="AH154" s="60" t="s">
        <v>382</v>
      </c>
      <c r="AI154" s="61" t="n">
        <f aca="false">(T154*(1-Painel!$C$40)+U154+V154+Painel!$C$41+Painel!$C$42*CEILING(G154/100,1)+Painel!$C$43*CEILING(G154,1)+Z154)/(1-Resumo!$B$5)</f>
        <v>96.597125</v>
      </c>
      <c r="AJ154" s="60" t="str">
        <f aca="false">IF(AI154&lt;S154,"SIM","NÃO")</f>
        <v>SIM</v>
      </c>
    </row>
    <row r="155" customFormat="false" ht="15" hidden="false" customHeight="false" outlineLevel="0" collapsed="false">
      <c r="A155" s="59" t="n">
        <v>46215.5688310185</v>
      </c>
      <c r="B155" s="60" t="s">
        <v>532</v>
      </c>
      <c r="C155" s="60" t="n">
        <v>23017440</v>
      </c>
      <c r="D155" s="60" t="s">
        <v>46</v>
      </c>
      <c r="E155" s="60" t="s">
        <v>22</v>
      </c>
      <c r="F155" s="60" t="s">
        <v>237</v>
      </c>
      <c r="G155" s="60" t="n">
        <v>66.8</v>
      </c>
      <c r="H155" s="61" t="n">
        <v>630.3</v>
      </c>
      <c r="I155" s="61" t="n">
        <v>63.21</v>
      </c>
      <c r="J155" s="61" t="n">
        <f aca="false">H155*Resumo!$C$6</f>
        <v>0</v>
      </c>
      <c r="K155" s="61" t="n">
        <f aca="false">H155*Resumo!$C$7</f>
        <v>1.32363</v>
      </c>
      <c r="L155" s="61" t="n">
        <f aca="false">H155*Resumo!$C$8</f>
        <v>1.32363</v>
      </c>
      <c r="M155" s="61" t="n">
        <f aca="false">Resumo!$C$10*CEILING(G155/100,1)</f>
        <v>1.05</v>
      </c>
      <c r="N155" s="61" t="n">
        <f aca="false">Resumo!$C$9</f>
        <v>0</v>
      </c>
      <c r="O155" s="61" t="n">
        <f aca="false">Resumo!$C$13</f>
        <v>13.55</v>
      </c>
      <c r="P155" s="61" t="n">
        <f aca="false">Resumo!$C$14*CEILING(G155,1)</f>
        <v>30.15</v>
      </c>
      <c r="Q155" s="61" t="n">
        <f aca="false">SUM(I155:P155)*Resumo!$C$11</f>
        <v>0</v>
      </c>
      <c r="R155" s="61" t="n">
        <f aca="false">SUM(I155:Q155)</f>
        <v>110.60726</v>
      </c>
      <c r="S155" s="61" t="n">
        <f aca="false">R155/(1-Resumo!$C$5)</f>
        <v>125.690068181818</v>
      </c>
      <c r="T155" s="61" t="n">
        <v>131.02</v>
      </c>
      <c r="U155" s="61" t="n">
        <f aca="false">H155*Resumo!$B$6</f>
        <v>0.6303</v>
      </c>
      <c r="V155" s="61" t="n">
        <f aca="false">H155*Resumo!$B$7</f>
        <v>1.2606</v>
      </c>
      <c r="W155" s="61" t="n">
        <f aca="false">Resumo!$B$9</f>
        <v>1</v>
      </c>
      <c r="X155" s="61" t="n">
        <f aca="false">Resumo!$B$10*CEILING(G155/100,1)</f>
        <v>4.5</v>
      </c>
      <c r="Y155" s="61" t="n">
        <f aca="false">Resumo!$B$12*CEILING(G155,1)</f>
        <v>4.02</v>
      </c>
      <c r="Z155" s="61" t="n">
        <f aca="false">Resumo!$B$14*CEILING(G155,1)</f>
        <v>30.15</v>
      </c>
      <c r="AA155" s="61" t="n">
        <f aca="false">SUM(T155:Z155)</f>
        <v>172.5809</v>
      </c>
      <c r="AB155" s="61" t="n">
        <f aca="false">AA155/(1-Resumo!$B$5)</f>
        <v>196.114659090909</v>
      </c>
      <c r="AC155" s="61" t="n">
        <f aca="false">AB155-S155</f>
        <v>70.4245909090909</v>
      </c>
      <c r="AD155" s="62" t="n">
        <f aca="false">AB155/S155-1</f>
        <v>0.560303546078259</v>
      </c>
      <c r="AE155" s="60" t="str">
        <f aca="false">IF(AB155&lt;S155,"SIM","NÃO")</f>
        <v>NÃO</v>
      </c>
      <c r="AF155" s="60" t="n">
        <v>2</v>
      </c>
      <c r="AG155" s="60" t="n">
        <v>5</v>
      </c>
      <c r="AH155" s="60" t="s">
        <v>382</v>
      </c>
      <c r="AI155" s="61" t="n">
        <f aca="false">(T155*(1-Painel!$C$40)+U155+V155+Painel!$C$41+Painel!$C$42*CEILING(G155/100,1)+Painel!$C$43*CEILING(G155,1)+Z155)/(1-Resumo!$B$5)</f>
        <v>138.493522727273</v>
      </c>
      <c r="AJ155" s="60" t="str">
        <f aca="false">IF(AI155&lt;S155,"SIM","NÃO")</f>
        <v>NÃO</v>
      </c>
    </row>
    <row r="156" customFormat="false" ht="15" hidden="false" customHeight="false" outlineLevel="0" collapsed="false">
      <c r="A156" s="59" t="n">
        <v>46215.5972337963</v>
      </c>
      <c r="B156" s="60" t="s">
        <v>533</v>
      </c>
      <c r="C156" s="60" t="n">
        <v>26065012</v>
      </c>
      <c r="D156" s="60" t="s">
        <v>49</v>
      </c>
      <c r="E156" s="60" t="s">
        <v>23</v>
      </c>
      <c r="F156" s="60" t="s">
        <v>240</v>
      </c>
      <c r="G156" s="60" t="n">
        <v>117.5</v>
      </c>
      <c r="H156" s="61" t="n">
        <v>1273.97</v>
      </c>
      <c r="I156" s="61" t="n">
        <v>101.26</v>
      </c>
      <c r="J156" s="61" t="n">
        <f aca="false">H156*Resumo!$C$6</f>
        <v>0</v>
      </c>
      <c r="K156" s="61" t="n">
        <f aca="false">H156*Resumo!$C$7</f>
        <v>2.675337</v>
      </c>
      <c r="L156" s="61" t="n">
        <f aca="false">H156*Resumo!$C$8</f>
        <v>2.675337</v>
      </c>
      <c r="M156" s="61" t="n">
        <f aca="false">Resumo!$C$10*CEILING(G156/100,1)</f>
        <v>2.1</v>
      </c>
      <c r="N156" s="61" t="n">
        <f aca="false">Resumo!$C$9</f>
        <v>0</v>
      </c>
      <c r="O156" s="61" t="n">
        <f aca="false">Resumo!$C$13</f>
        <v>13.55</v>
      </c>
      <c r="P156" s="61" t="n">
        <f aca="false">Resumo!$C$14*CEILING(G156,1)</f>
        <v>53.1</v>
      </c>
      <c r="Q156" s="61" t="n">
        <f aca="false">SUM(I156:P156)*Resumo!$C$11</f>
        <v>0</v>
      </c>
      <c r="R156" s="61" t="n">
        <f aca="false">SUM(I156:Q156)</f>
        <v>175.360674</v>
      </c>
      <c r="S156" s="61" t="n">
        <f aca="false">R156/(1-Resumo!$C$5)</f>
        <v>199.273493181818</v>
      </c>
      <c r="T156" s="61" t="n">
        <v>201.59</v>
      </c>
      <c r="U156" s="61" t="n">
        <f aca="false">H156*Resumo!$B$6</f>
        <v>1.27397</v>
      </c>
      <c r="V156" s="61" t="n">
        <f aca="false">H156*Resumo!$B$7</f>
        <v>2.54794</v>
      </c>
      <c r="W156" s="61" t="n">
        <f aca="false">Resumo!$B$9</f>
        <v>1</v>
      </c>
      <c r="X156" s="61" t="n">
        <f aca="false">Resumo!$B$10*CEILING(G156/100,1)</f>
        <v>9</v>
      </c>
      <c r="Y156" s="61" t="n">
        <f aca="false">Resumo!$B$12*CEILING(G156,1)</f>
        <v>7.08</v>
      </c>
      <c r="Z156" s="61" t="n">
        <f aca="false">Resumo!$B$14*CEILING(G156,1)</f>
        <v>53.1</v>
      </c>
      <c r="AA156" s="61" t="n">
        <f aca="false">SUM(T156:Z156)</f>
        <v>275.59191</v>
      </c>
      <c r="AB156" s="61" t="n">
        <f aca="false">AA156/(1-Resumo!$B$5)</f>
        <v>313.172625</v>
      </c>
      <c r="AC156" s="61" t="n">
        <f aca="false">AB156-S156</f>
        <v>113.899131818182</v>
      </c>
      <c r="AD156" s="62" t="n">
        <f aca="false">AB156/S156-1</f>
        <v>0.571571913552294</v>
      </c>
      <c r="AE156" s="60" t="str">
        <f aca="false">IF(AB156&lt;S156,"SIM","NÃO")</f>
        <v>NÃO</v>
      </c>
      <c r="AF156" s="60" t="n">
        <v>2</v>
      </c>
      <c r="AG156" s="60" t="n">
        <v>5</v>
      </c>
      <c r="AH156" s="60" t="s">
        <v>382</v>
      </c>
      <c r="AI156" s="61" t="n">
        <f aca="false">(T156*(1-Painel!$C$40)+U156+V156+Painel!$C$41+Painel!$C$42*CEILING(G156/100,1)+Painel!$C$43*CEILING(G156,1)+Z156)/(1-Resumo!$B$5)</f>
        <v>221.690011363636</v>
      </c>
      <c r="AJ156" s="60" t="str">
        <f aca="false">IF(AI156&lt;S156,"SIM","NÃO")</f>
        <v>NÃO</v>
      </c>
    </row>
    <row r="157" customFormat="false" ht="15" hidden="false" customHeight="false" outlineLevel="0" collapsed="false">
      <c r="A157" s="59" t="n">
        <v>46215.6785648148</v>
      </c>
      <c r="B157" s="60" t="s">
        <v>534</v>
      </c>
      <c r="C157" s="60" t="n">
        <v>21235112</v>
      </c>
      <c r="D157" s="60" t="s">
        <v>46</v>
      </c>
      <c r="E157" s="60" t="s">
        <v>22</v>
      </c>
      <c r="F157" s="60" t="s">
        <v>234</v>
      </c>
      <c r="G157" s="60" t="n">
        <v>40</v>
      </c>
      <c r="H157" s="61" t="n">
        <v>619.99</v>
      </c>
      <c r="I157" s="61" t="n">
        <v>48.35</v>
      </c>
      <c r="J157" s="61" t="n">
        <f aca="false">H157*Resumo!$C$6</f>
        <v>0</v>
      </c>
      <c r="K157" s="61" t="n">
        <f aca="false">H157*Resumo!$C$7</f>
        <v>1.301979</v>
      </c>
      <c r="L157" s="61" t="n">
        <f aca="false">H157*Resumo!$C$8</f>
        <v>1.301979</v>
      </c>
      <c r="M157" s="61" t="n">
        <f aca="false">Resumo!$C$10*CEILING(G157/100,1)</f>
        <v>1.05</v>
      </c>
      <c r="N157" s="61" t="n">
        <f aca="false">Resumo!$C$9</f>
        <v>0</v>
      </c>
      <c r="O157" s="61" t="n">
        <f aca="false">Resumo!$C$13</f>
        <v>13.55</v>
      </c>
      <c r="P157" s="61" t="n">
        <f aca="false">Resumo!$C$14*CEILING(G157,1)</f>
        <v>18</v>
      </c>
      <c r="Q157" s="61" t="n">
        <f aca="false">SUM(I157:P157)*Resumo!$C$11</f>
        <v>0</v>
      </c>
      <c r="R157" s="61" t="n">
        <f aca="false">SUM(I157:Q157)</f>
        <v>83.553958</v>
      </c>
      <c r="S157" s="61" t="n">
        <f aca="false">R157/(1-Resumo!$C$5)</f>
        <v>94.9476795454546</v>
      </c>
      <c r="T157" s="61" t="n">
        <v>93.97</v>
      </c>
      <c r="U157" s="61" t="n">
        <f aca="false">H157*Resumo!$B$6</f>
        <v>0.61999</v>
      </c>
      <c r="V157" s="61" t="n">
        <f aca="false">H157*Resumo!$B$7</f>
        <v>1.23998</v>
      </c>
      <c r="W157" s="61" t="n">
        <f aca="false">Resumo!$B$9</f>
        <v>1</v>
      </c>
      <c r="X157" s="61" t="n">
        <f aca="false">Resumo!$B$10*CEILING(G157/100,1)</f>
        <v>4.5</v>
      </c>
      <c r="Y157" s="61" t="n">
        <f aca="false">Resumo!$B$12*CEILING(G157,1)</f>
        <v>2.4</v>
      </c>
      <c r="Z157" s="61" t="n">
        <f aca="false">Resumo!$B$14*CEILING(G157,1)</f>
        <v>18</v>
      </c>
      <c r="AA157" s="61" t="n">
        <f aca="false">SUM(T157:Z157)</f>
        <v>121.72997</v>
      </c>
      <c r="AB157" s="61" t="n">
        <f aca="false">AA157/(1-Resumo!$B$5)</f>
        <v>138.329511363636</v>
      </c>
      <c r="AC157" s="61" t="n">
        <f aca="false">AB157-S157</f>
        <v>43.3818318181818</v>
      </c>
      <c r="AD157" s="62" t="n">
        <f aca="false">AB157/S157-1</f>
        <v>0.45690249646821</v>
      </c>
      <c r="AE157" s="60" t="str">
        <f aca="false">IF(AB157&lt;S157,"SIM","NÃO")</f>
        <v>NÃO</v>
      </c>
      <c r="AF157" s="60" t="n">
        <v>2</v>
      </c>
      <c r="AG157" s="60" t="n">
        <v>5</v>
      </c>
      <c r="AH157" s="60" t="s">
        <v>382</v>
      </c>
      <c r="AI157" s="61" t="n">
        <f aca="false">(T157*(1-Painel!$C$40)+U157+V157+Painel!$C$41+Painel!$C$42*CEILING(G157/100,1)+Painel!$C$43*CEILING(G157,1)+Z157)/(1-Resumo!$B$5)</f>
        <v>96.4430340909091</v>
      </c>
      <c r="AJ157" s="60" t="str">
        <f aca="false">IF(AI157&lt;S157,"SIM","NÃO")</f>
        <v>NÃO</v>
      </c>
    </row>
    <row r="158" customFormat="false" ht="15" hidden="false" customHeight="false" outlineLevel="0" collapsed="false">
      <c r="A158" s="59" t="n">
        <v>46215.6987615741</v>
      </c>
      <c r="B158" s="60" t="s">
        <v>535</v>
      </c>
      <c r="C158" s="60" t="n">
        <v>22611070</v>
      </c>
      <c r="D158" s="60" t="s">
        <v>46</v>
      </c>
      <c r="E158" s="60" t="s">
        <v>22</v>
      </c>
      <c r="F158" s="60" t="s">
        <v>236</v>
      </c>
      <c r="G158" s="60" t="n">
        <v>52.3</v>
      </c>
      <c r="H158" s="61" t="n">
        <v>644.99</v>
      </c>
      <c r="I158" s="61" t="n">
        <v>58.6</v>
      </c>
      <c r="J158" s="61" t="n">
        <f aca="false">H158*Resumo!$C$6</f>
        <v>0</v>
      </c>
      <c r="K158" s="61" t="n">
        <f aca="false">H158*Resumo!$C$7</f>
        <v>1.354479</v>
      </c>
      <c r="L158" s="61" t="n">
        <f aca="false">H158*Resumo!$C$8</f>
        <v>1.354479</v>
      </c>
      <c r="M158" s="61" t="n">
        <f aca="false">Resumo!$C$10*CEILING(G158/100,1)</f>
        <v>1.05</v>
      </c>
      <c r="N158" s="61" t="n">
        <f aca="false">Resumo!$C$9</f>
        <v>0</v>
      </c>
      <c r="O158" s="61" t="n">
        <f aca="false">Resumo!$C$13</f>
        <v>13.55</v>
      </c>
      <c r="P158" s="61" t="n">
        <f aca="false">Resumo!$C$14*CEILING(G158,1)</f>
        <v>23.85</v>
      </c>
      <c r="Q158" s="61" t="n">
        <f aca="false">SUM(I158:P158)*Resumo!$C$11</f>
        <v>0</v>
      </c>
      <c r="R158" s="61" t="n">
        <f aca="false">SUM(I158:Q158)</f>
        <v>99.758958</v>
      </c>
      <c r="S158" s="61" t="n">
        <f aca="false">R158/(1-Resumo!$C$5)</f>
        <v>113.362452272727</v>
      </c>
      <c r="T158" s="61" t="n">
        <v>112.3</v>
      </c>
      <c r="U158" s="61" t="n">
        <f aca="false">H158*Resumo!$B$6</f>
        <v>0.64499</v>
      </c>
      <c r="V158" s="61" t="n">
        <f aca="false">H158*Resumo!$B$7</f>
        <v>1.28998</v>
      </c>
      <c r="W158" s="61" t="n">
        <f aca="false">Resumo!$B$9</f>
        <v>1</v>
      </c>
      <c r="X158" s="61" t="n">
        <f aca="false">Resumo!$B$10*CEILING(G158/100,1)</f>
        <v>4.5</v>
      </c>
      <c r="Y158" s="61" t="n">
        <f aca="false">Resumo!$B$12*CEILING(G158,1)</f>
        <v>3.18</v>
      </c>
      <c r="Z158" s="61" t="n">
        <f aca="false">Resumo!$B$14*CEILING(G158,1)</f>
        <v>23.85</v>
      </c>
      <c r="AA158" s="61" t="n">
        <f aca="false">SUM(T158:Z158)</f>
        <v>146.76497</v>
      </c>
      <c r="AB158" s="61" t="n">
        <f aca="false">AA158/(1-Resumo!$B$5)</f>
        <v>166.778375</v>
      </c>
      <c r="AC158" s="61" t="n">
        <f aca="false">AB158-S158</f>
        <v>53.4159227272727</v>
      </c>
      <c r="AD158" s="62" t="n">
        <f aca="false">AB158/S158-1</f>
        <v>0.47119590002133</v>
      </c>
      <c r="AE158" s="60" t="str">
        <f aca="false">IF(AB158&lt;S158,"SIM","NÃO")</f>
        <v>NÃO</v>
      </c>
      <c r="AF158" s="60" t="n">
        <v>2</v>
      </c>
      <c r="AG158" s="60" t="n">
        <v>5</v>
      </c>
      <c r="AH158" s="60" t="s">
        <v>382</v>
      </c>
      <c r="AI158" s="61" t="n">
        <f aca="false">(T158*(1-Painel!$C$40)+U158+V158+Painel!$C$41+Painel!$C$42*CEILING(G158/100,1)+Painel!$C$43*CEILING(G158,1)+Z158)/(1-Resumo!$B$5)</f>
        <v>117.131784090909</v>
      </c>
      <c r="AJ158" s="60" t="str">
        <f aca="false">IF(AI158&lt;S158,"SIM","NÃO")</f>
        <v>NÃO</v>
      </c>
    </row>
    <row r="159" customFormat="false" ht="15" hidden="false" customHeight="false" outlineLevel="0" collapsed="false">
      <c r="A159" s="59" t="n">
        <v>46215.7138425926</v>
      </c>
      <c r="B159" s="60" t="s">
        <v>536</v>
      </c>
      <c r="C159" s="60" t="n">
        <v>23898081</v>
      </c>
      <c r="D159" s="60" t="s">
        <v>267</v>
      </c>
      <c r="E159" s="60" t="s">
        <v>24</v>
      </c>
      <c r="F159" s="60" t="s">
        <v>237</v>
      </c>
      <c r="G159" s="60" t="n">
        <v>66.8</v>
      </c>
      <c r="H159" s="61" t="n">
        <v>643.99</v>
      </c>
      <c r="I159" s="61" t="n">
        <v>90.2</v>
      </c>
      <c r="J159" s="61" t="n">
        <f aca="false">H159*Resumo!$C$6</f>
        <v>0</v>
      </c>
      <c r="K159" s="61" t="n">
        <f aca="false">H159*Resumo!$C$7</f>
        <v>1.352379</v>
      </c>
      <c r="L159" s="61" t="n">
        <f aca="false">H159*Resumo!$C$8</f>
        <v>1.352379</v>
      </c>
      <c r="M159" s="61" t="n">
        <f aca="false">Resumo!$C$10*CEILING(G159/100,1)</f>
        <v>1.05</v>
      </c>
      <c r="N159" s="61" t="n">
        <f aca="false">Resumo!$C$9</f>
        <v>0</v>
      </c>
      <c r="O159" s="61" t="n">
        <f aca="false">Resumo!$C$13</f>
        <v>13.55</v>
      </c>
      <c r="P159" s="61" t="n">
        <f aca="false">Resumo!$C$14*CEILING(G159,1)</f>
        <v>30.15</v>
      </c>
      <c r="Q159" s="61" t="n">
        <f aca="false">SUM(I159:P159)*Resumo!$C$11</f>
        <v>0</v>
      </c>
      <c r="R159" s="61" t="n">
        <f aca="false">SUM(I159:Q159)</f>
        <v>137.654758</v>
      </c>
      <c r="S159" s="61" t="n">
        <f aca="false">R159/(1-Resumo!$C$5)</f>
        <v>156.425861363636</v>
      </c>
      <c r="T159" s="61" t="n">
        <v>141.02</v>
      </c>
      <c r="U159" s="61" t="n">
        <f aca="false">H159*Resumo!$B$6</f>
        <v>0.64399</v>
      </c>
      <c r="V159" s="61" t="n">
        <f aca="false">H159*Resumo!$B$7</f>
        <v>1.28798</v>
      </c>
      <c r="W159" s="61" t="n">
        <f aca="false">Resumo!$B$9</f>
        <v>1</v>
      </c>
      <c r="X159" s="61" t="n">
        <f aca="false">Resumo!$B$10*CEILING(G159/100,1)</f>
        <v>4.5</v>
      </c>
      <c r="Y159" s="61" t="n">
        <f aca="false">Resumo!$B$12*CEILING(G159,1)</f>
        <v>4.02</v>
      </c>
      <c r="Z159" s="61" t="n">
        <f aca="false">Resumo!$B$14*CEILING(G159,1)</f>
        <v>30.15</v>
      </c>
      <c r="AA159" s="61" t="n">
        <f aca="false">SUM(T159:Z159)</f>
        <v>182.62197</v>
      </c>
      <c r="AB159" s="61" t="n">
        <f aca="false">AA159/(1-Resumo!$B$5)</f>
        <v>207.524965909091</v>
      </c>
      <c r="AC159" s="61" t="n">
        <f aca="false">AB159-S159</f>
        <v>51.0991045454545</v>
      </c>
      <c r="AD159" s="62" t="n">
        <f aca="false">AB159/S159-1</f>
        <v>0.326666601673151</v>
      </c>
      <c r="AE159" s="60" t="str">
        <f aca="false">IF(AB159&lt;S159,"SIM","NÃO")</f>
        <v>NÃO</v>
      </c>
      <c r="AF159" s="60" t="n">
        <v>13</v>
      </c>
      <c r="AG159" s="60" t="n">
        <v>5</v>
      </c>
      <c r="AH159" s="60" t="s">
        <v>385</v>
      </c>
      <c r="AI159" s="61" t="n">
        <f aca="false">(T159*(1-Painel!$C$40)+U159+V159+Painel!$C$41+Painel!$C$42*CEILING(G159/100,1)+Painel!$C$43*CEILING(G159,1)+Z159)/(1-Resumo!$B$5)</f>
        <v>146.153829545455</v>
      </c>
      <c r="AJ159" s="60" t="str">
        <f aca="false">IF(AI159&lt;S159,"SIM","NÃO")</f>
        <v>SIM</v>
      </c>
    </row>
    <row r="160" customFormat="false" ht="15" hidden="false" customHeight="false" outlineLevel="0" collapsed="false">
      <c r="A160" s="59" t="n">
        <v>46215.7830902778</v>
      </c>
      <c r="B160" s="60" t="s">
        <v>537</v>
      </c>
      <c r="C160" s="60" t="n">
        <v>26280190</v>
      </c>
      <c r="D160" s="60" t="s">
        <v>49</v>
      </c>
      <c r="E160" s="60" t="s">
        <v>23</v>
      </c>
      <c r="F160" s="60" t="s">
        <v>234</v>
      </c>
      <c r="G160" s="60" t="n">
        <v>37.2</v>
      </c>
      <c r="H160" s="61" t="n">
        <v>359.99</v>
      </c>
      <c r="I160" s="61" t="n">
        <v>66.83</v>
      </c>
      <c r="J160" s="61" t="n">
        <f aca="false">H160*Resumo!$C$6</f>
        <v>0</v>
      </c>
      <c r="K160" s="61" t="n">
        <f aca="false">H160*Resumo!$C$7</f>
        <v>0.755979</v>
      </c>
      <c r="L160" s="61" t="n">
        <f aca="false">H160*Resumo!$C$8</f>
        <v>0.755979</v>
      </c>
      <c r="M160" s="61" t="n">
        <f aca="false">Resumo!$C$10*CEILING(G160/100,1)</f>
        <v>1.05</v>
      </c>
      <c r="N160" s="61" t="n">
        <f aca="false">Resumo!$C$9</f>
        <v>0</v>
      </c>
      <c r="O160" s="61" t="n">
        <f aca="false">Resumo!$C$13</f>
        <v>13.55</v>
      </c>
      <c r="P160" s="61" t="n">
        <f aca="false">Resumo!$C$14*CEILING(G160,1)</f>
        <v>17.1</v>
      </c>
      <c r="Q160" s="61" t="n">
        <f aca="false">SUM(I160:P160)*Resumo!$C$11</f>
        <v>0</v>
      </c>
      <c r="R160" s="61" t="n">
        <f aca="false">SUM(I160:Q160)</f>
        <v>100.041958</v>
      </c>
      <c r="S160" s="61" t="n">
        <f aca="false">R160/(1-Resumo!$C$5)</f>
        <v>113.684043181818</v>
      </c>
      <c r="T160" s="61" t="n">
        <v>93.97</v>
      </c>
      <c r="U160" s="61" t="n">
        <f aca="false">H160*Resumo!$B$6</f>
        <v>0.35999</v>
      </c>
      <c r="V160" s="61" t="n">
        <f aca="false">H160*Resumo!$B$7</f>
        <v>0.71998</v>
      </c>
      <c r="W160" s="61" t="n">
        <f aca="false">Resumo!$B$9</f>
        <v>1</v>
      </c>
      <c r="X160" s="61" t="n">
        <f aca="false">Resumo!$B$10*CEILING(G160/100,1)</f>
        <v>4.5</v>
      </c>
      <c r="Y160" s="61" t="n">
        <f aca="false">Resumo!$B$12*CEILING(G160,1)</f>
        <v>2.28</v>
      </c>
      <c r="Z160" s="61" t="n">
        <f aca="false">Resumo!$B$14*CEILING(G160,1)</f>
        <v>17.1</v>
      </c>
      <c r="AA160" s="61" t="n">
        <f aca="false">SUM(T160:Z160)</f>
        <v>119.92997</v>
      </c>
      <c r="AB160" s="61" t="n">
        <f aca="false">AA160/(1-Resumo!$B$5)</f>
        <v>136.284056818182</v>
      </c>
      <c r="AC160" s="61" t="n">
        <f aca="false">AB160-S160</f>
        <v>22.6000136363637</v>
      </c>
      <c r="AD160" s="62" t="n">
        <f aca="false">AB160/S160-1</f>
        <v>0.19879670887689</v>
      </c>
      <c r="AE160" s="60" t="str">
        <f aca="false">IF(AB160&lt;S160,"SIM","NÃO")</f>
        <v>NÃO</v>
      </c>
      <c r="AF160" s="60" t="n">
        <v>2</v>
      </c>
      <c r="AG160" s="60" t="n">
        <v>5</v>
      </c>
      <c r="AH160" s="60" t="s">
        <v>382</v>
      </c>
      <c r="AI160" s="61" t="n">
        <f aca="false">(T160*(1-Painel!$C$40)+U160+V160+Painel!$C$41+Painel!$C$42*CEILING(G160/100,1)+Painel!$C$43*CEILING(G160,1)+Z160)/(1-Resumo!$B$5)</f>
        <v>94.5339431818182</v>
      </c>
      <c r="AJ160" s="60" t="str">
        <f aca="false">IF(AI160&lt;S160,"SIM","NÃO")</f>
        <v>SIM</v>
      </c>
    </row>
    <row r="161" customFormat="false" ht="15" hidden="false" customHeight="false" outlineLevel="0" collapsed="false">
      <c r="A161" s="59" t="n">
        <v>46215.7874768519</v>
      </c>
      <c r="B161" s="60" t="s">
        <v>538</v>
      </c>
      <c r="C161" s="60" t="n">
        <v>24737475</v>
      </c>
      <c r="D161" s="60" t="s">
        <v>47</v>
      </c>
      <c r="E161" s="60" t="s">
        <v>23</v>
      </c>
      <c r="F161" s="60" t="s">
        <v>232</v>
      </c>
      <c r="G161" s="60" t="n">
        <v>19.5</v>
      </c>
      <c r="H161" s="61" t="n">
        <v>369.99</v>
      </c>
      <c r="I161" s="61" t="n">
        <v>42.72</v>
      </c>
      <c r="J161" s="61" t="n">
        <f aca="false">H161*Resumo!$C$6</f>
        <v>0</v>
      </c>
      <c r="K161" s="61" t="n">
        <f aca="false">H161*Resumo!$C$7</f>
        <v>0.776979</v>
      </c>
      <c r="L161" s="61" t="n">
        <f aca="false">H161*Resumo!$C$8</f>
        <v>0.776979</v>
      </c>
      <c r="M161" s="61" t="n">
        <f aca="false">Resumo!$C$10*CEILING(G161/100,1)</f>
        <v>1.05</v>
      </c>
      <c r="N161" s="61" t="n">
        <f aca="false">Resumo!$C$9</f>
        <v>0</v>
      </c>
      <c r="O161" s="61" t="n">
        <f aca="false">Resumo!$C$13</f>
        <v>13.55</v>
      </c>
      <c r="P161" s="61" t="n">
        <f aca="false">Resumo!$C$14*CEILING(G161,1)</f>
        <v>9</v>
      </c>
      <c r="Q161" s="61" t="n">
        <f aca="false">SUM(I161:P161)*Resumo!$C$11</f>
        <v>0</v>
      </c>
      <c r="R161" s="61" t="n">
        <f aca="false">SUM(I161:Q161)</f>
        <v>67.873958</v>
      </c>
      <c r="S161" s="61" t="n">
        <f aca="false">R161/(1-Resumo!$C$5)</f>
        <v>77.1294977272727</v>
      </c>
      <c r="T161" s="61" t="n">
        <v>57.47</v>
      </c>
      <c r="U161" s="61" t="n">
        <f aca="false">H161*Resumo!$B$6</f>
        <v>0.36999</v>
      </c>
      <c r="V161" s="61" t="n">
        <f aca="false">H161*Resumo!$B$7</f>
        <v>0.73998</v>
      </c>
      <c r="W161" s="61" t="n">
        <f aca="false">Resumo!$B$9</f>
        <v>1</v>
      </c>
      <c r="X161" s="61" t="n">
        <f aca="false">Resumo!$B$10*CEILING(G161/100,1)</f>
        <v>4.5</v>
      </c>
      <c r="Y161" s="61" t="n">
        <f aca="false">Resumo!$B$12*CEILING(G161,1)</f>
        <v>1.2</v>
      </c>
      <c r="Z161" s="61" t="n">
        <f aca="false">Resumo!$B$14*CEILING(G161,1)</f>
        <v>9</v>
      </c>
      <c r="AA161" s="61" t="n">
        <f aca="false">SUM(T161:Z161)</f>
        <v>74.27997</v>
      </c>
      <c r="AB161" s="61" t="n">
        <f aca="false">AA161/(1-Resumo!$B$5)</f>
        <v>84.4090568181818</v>
      </c>
      <c r="AC161" s="61" t="n">
        <f aca="false">AB161-S161</f>
        <v>7.27955909090909</v>
      </c>
      <c r="AD161" s="62" t="n">
        <f aca="false">AB161/S161-1</f>
        <v>0.0943809995580338</v>
      </c>
      <c r="AE161" s="60" t="str">
        <f aca="false">IF(AB161&lt;S161,"SIM","NÃO")</f>
        <v>NÃO</v>
      </c>
      <c r="AF161" s="60" t="n">
        <v>2</v>
      </c>
      <c r="AG161" s="60" t="n">
        <v>7</v>
      </c>
      <c r="AH161" s="60" t="s">
        <v>382</v>
      </c>
      <c r="AI161" s="61" t="n">
        <f aca="false">(T161*(1-Painel!$C$40)+U161+V161+Painel!$C$41+Painel!$C$42*CEILING(G161/100,1)+Painel!$C$43*CEILING(G161,1)+Z161)/(1-Resumo!$B$5)</f>
        <v>57.5737159090909</v>
      </c>
      <c r="AJ161" s="60" t="str">
        <f aca="false">IF(AI161&lt;S161,"SIM","NÃO")</f>
        <v>SIM</v>
      </c>
    </row>
    <row r="162" customFormat="false" ht="15" hidden="false" customHeight="false" outlineLevel="0" collapsed="false">
      <c r="A162" s="59" t="n">
        <v>46215.7925925926</v>
      </c>
      <c r="B162" s="60" t="s">
        <v>539</v>
      </c>
      <c r="C162" s="60" t="n">
        <v>22795216</v>
      </c>
      <c r="D162" s="60" t="s">
        <v>46</v>
      </c>
      <c r="E162" s="60" t="s">
        <v>22</v>
      </c>
      <c r="F162" s="60" t="s">
        <v>236</v>
      </c>
      <c r="G162" s="60" t="n">
        <v>52.3</v>
      </c>
      <c r="H162" s="61" t="n">
        <v>650.86</v>
      </c>
      <c r="I162" s="61" t="n">
        <v>58.6</v>
      </c>
      <c r="J162" s="61" t="n">
        <f aca="false">H162*Resumo!$C$6</f>
        <v>0</v>
      </c>
      <c r="K162" s="61" t="n">
        <f aca="false">H162*Resumo!$C$7</f>
        <v>1.366806</v>
      </c>
      <c r="L162" s="61" t="n">
        <f aca="false">H162*Resumo!$C$8</f>
        <v>1.366806</v>
      </c>
      <c r="M162" s="61" t="n">
        <f aca="false">Resumo!$C$10*CEILING(G162/100,1)</f>
        <v>1.05</v>
      </c>
      <c r="N162" s="61" t="n">
        <f aca="false">Resumo!$C$9</f>
        <v>0</v>
      </c>
      <c r="O162" s="61" t="n">
        <f aca="false">Resumo!$C$13</f>
        <v>13.55</v>
      </c>
      <c r="P162" s="61" t="n">
        <f aca="false">Resumo!$C$14*CEILING(G162,1)</f>
        <v>23.85</v>
      </c>
      <c r="Q162" s="61" t="n">
        <f aca="false">SUM(I162:P162)*Resumo!$C$11</f>
        <v>0</v>
      </c>
      <c r="R162" s="61" t="n">
        <f aca="false">SUM(I162:Q162)</f>
        <v>99.783612</v>
      </c>
      <c r="S162" s="61" t="n">
        <f aca="false">R162/(1-Resumo!$C$5)</f>
        <v>113.390468181818</v>
      </c>
      <c r="T162" s="61" t="n">
        <v>112.3</v>
      </c>
      <c r="U162" s="61" t="n">
        <f aca="false">H162*Resumo!$B$6</f>
        <v>0.65086</v>
      </c>
      <c r="V162" s="61" t="n">
        <f aca="false">H162*Resumo!$B$7</f>
        <v>1.30172</v>
      </c>
      <c r="W162" s="61" t="n">
        <f aca="false">Resumo!$B$9</f>
        <v>1</v>
      </c>
      <c r="X162" s="61" t="n">
        <f aca="false">Resumo!$B$10*CEILING(G162/100,1)</f>
        <v>4.5</v>
      </c>
      <c r="Y162" s="61" t="n">
        <f aca="false">Resumo!$B$12*CEILING(G162,1)</f>
        <v>3.18</v>
      </c>
      <c r="Z162" s="61" t="n">
        <f aca="false">Resumo!$B$14*CEILING(G162,1)</f>
        <v>23.85</v>
      </c>
      <c r="AA162" s="61" t="n">
        <f aca="false">SUM(T162:Z162)</f>
        <v>146.78258</v>
      </c>
      <c r="AB162" s="61" t="n">
        <f aca="false">AA162/(1-Resumo!$B$5)</f>
        <v>166.798386363636</v>
      </c>
      <c r="AC162" s="61" t="n">
        <f aca="false">AB162-S162</f>
        <v>53.4079181818182</v>
      </c>
      <c r="AD162" s="62" t="n">
        <f aca="false">AB162/S162-1</f>
        <v>0.471008886709773</v>
      </c>
      <c r="AE162" s="60" t="str">
        <f aca="false">IF(AB162&lt;S162,"SIM","NÃO")</f>
        <v>NÃO</v>
      </c>
      <c r="AF162" s="60" t="n">
        <v>2</v>
      </c>
      <c r="AG162" s="60" t="n">
        <v>5</v>
      </c>
      <c r="AH162" s="60" t="s">
        <v>382</v>
      </c>
      <c r="AI162" s="61" t="n">
        <f aca="false">(T162*(1-Painel!$C$40)+U162+V162+Painel!$C$41+Painel!$C$42*CEILING(G162/100,1)+Painel!$C$43*CEILING(G162,1)+Z162)/(1-Resumo!$B$5)</f>
        <v>117.151795454545</v>
      </c>
      <c r="AJ162" s="60" t="str">
        <f aca="false">IF(AI162&lt;S162,"SIM","NÃO")</f>
        <v>NÃO</v>
      </c>
    </row>
    <row r="163" customFormat="false" ht="15" hidden="false" customHeight="false" outlineLevel="0" collapsed="false">
      <c r="A163" s="59" t="n">
        <v>46215.8080208333</v>
      </c>
      <c r="B163" s="60" t="s">
        <v>540</v>
      </c>
      <c r="C163" s="60" t="n">
        <v>23898033</v>
      </c>
      <c r="D163" s="60" t="s">
        <v>267</v>
      </c>
      <c r="E163" s="60" t="s">
        <v>24</v>
      </c>
      <c r="F163" s="60" t="s">
        <v>237</v>
      </c>
      <c r="G163" s="60" t="n">
        <v>69</v>
      </c>
      <c r="H163" s="61" t="n">
        <v>859.99</v>
      </c>
      <c r="I163" s="61" t="n">
        <v>90.2</v>
      </c>
      <c r="J163" s="61" t="n">
        <f aca="false">H163*Resumo!$C$6</f>
        <v>0</v>
      </c>
      <c r="K163" s="61" t="n">
        <f aca="false">H163*Resumo!$C$7</f>
        <v>1.805979</v>
      </c>
      <c r="L163" s="61" t="n">
        <f aca="false">H163*Resumo!$C$8</f>
        <v>1.805979</v>
      </c>
      <c r="M163" s="61" t="n">
        <f aca="false">Resumo!$C$10*CEILING(G163/100,1)</f>
        <v>1.05</v>
      </c>
      <c r="N163" s="61" t="n">
        <f aca="false">Resumo!$C$9</f>
        <v>0</v>
      </c>
      <c r="O163" s="61" t="n">
        <f aca="false">Resumo!$C$13</f>
        <v>13.55</v>
      </c>
      <c r="P163" s="61" t="n">
        <f aca="false">Resumo!$C$14*CEILING(G163,1)</f>
        <v>31.05</v>
      </c>
      <c r="Q163" s="61" t="n">
        <f aca="false">SUM(I163:P163)*Resumo!$C$11</f>
        <v>0</v>
      </c>
      <c r="R163" s="61" t="n">
        <f aca="false">SUM(I163:Q163)</f>
        <v>139.461958</v>
      </c>
      <c r="S163" s="61" t="n">
        <f aca="false">R163/(1-Resumo!$C$5)</f>
        <v>158.479497727273</v>
      </c>
      <c r="T163" s="61" t="n">
        <v>141.02</v>
      </c>
      <c r="U163" s="61" t="n">
        <f aca="false">H163*Resumo!$B$6</f>
        <v>0.85999</v>
      </c>
      <c r="V163" s="61" t="n">
        <f aca="false">H163*Resumo!$B$7</f>
        <v>1.71998</v>
      </c>
      <c r="W163" s="61" t="n">
        <f aca="false">Resumo!$B$9</f>
        <v>1</v>
      </c>
      <c r="X163" s="61" t="n">
        <f aca="false">Resumo!$B$10*CEILING(G163/100,1)</f>
        <v>4.5</v>
      </c>
      <c r="Y163" s="61" t="n">
        <f aca="false">Resumo!$B$12*CEILING(G163,1)</f>
        <v>4.14</v>
      </c>
      <c r="Z163" s="61" t="n">
        <f aca="false">Resumo!$B$14*CEILING(G163,1)</f>
        <v>31.05</v>
      </c>
      <c r="AA163" s="61" t="n">
        <f aca="false">SUM(T163:Z163)</f>
        <v>184.28997</v>
      </c>
      <c r="AB163" s="61" t="n">
        <f aca="false">AA163/(1-Resumo!$B$5)</f>
        <v>209.420420454545</v>
      </c>
      <c r="AC163" s="61" t="n">
        <f aca="false">AB163-S163</f>
        <v>50.9409227272728</v>
      </c>
      <c r="AD163" s="62" t="n">
        <f aca="false">AB163/S163-1</f>
        <v>0.321435412515863</v>
      </c>
      <c r="AE163" s="60" t="str">
        <f aca="false">IF(AB163&lt;S163,"SIM","NÃO")</f>
        <v>NÃO</v>
      </c>
      <c r="AF163" s="60" t="n">
        <v>13</v>
      </c>
      <c r="AG163" s="60" t="n">
        <v>5</v>
      </c>
      <c r="AH163" s="60" t="s">
        <v>385</v>
      </c>
      <c r="AI163" s="61" t="n">
        <f aca="false">(T163*(1-Painel!$C$40)+U163+V163+Painel!$C$41+Painel!$C$42*CEILING(G163/100,1)+Painel!$C$43*CEILING(G163,1)+Z163)/(1-Resumo!$B$5)</f>
        <v>147.912920454545</v>
      </c>
      <c r="AJ163" s="60" t="str">
        <f aca="false">IF(AI163&lt;S163,"SIM","NÃO")</f>
        <v>SIM</v>
      </c>
    </row>
    <row r="164" customFormat="false" ht="15" hidden="false" customHeight="false" outlineLevel="0" collapsed="false">
      <c r="A164" s="59" t="n">
        <v>46215.8525810185</v>
      </c>
      <c r="B164" s="60" t="s">
        <v>541</v>
      </c>
      <c r="C164" s="60" t="n">
        <v>28943292</v>
      </c>
      <c r="D164" s="60" t="s">
        <v>338</v>
      </c>
      <c r="E164" s="60" t="s">
        <v>24</v>
      </c>
      <c r="F164" s="60" t="s">
        <v>234</v>
      </c>
      <c r="G164" s="60" t="n">
        <v>37.2</v>
      </c>
      <c r="H164" s="61" t="n">
        <v>359.99</v>
      </c>
      <c r="I164" s="61" t="n">
        <v>74.97</v>
      </c>
      <c r="J164" s="61" t="n">
        <f aca="false">H164*Resumo!$C$6</f>
        <v>0</v>
      </c>
      <c r="K164" s="61" t="n">
        <f aca="false">H164*Resumo!$C$7</f>
        <v>0.755979</v>
      </c>
      <c r="L164" s="61" t="n">
        <f aca="false">H164*Resumo!$C$8</f>
        <v>0.755979</v>
      </c>
      <c r="M164" s="61" t="n">
        <f aca="false">Resumo!$C$10*CEILING(G164/100,1)</f>
        <v>1.05</v>
      </c>
      <c r="N164" s="61" t="n">
        <f aca="false">Resumo!$C$9</f>
        <v>0</v>
      </c>
      <c r="O164" s="61" t="n">
        <f aca="false">Resumo!$C$13</f>
        <v>13.55</v>
      </c>
      <c r="P164" s="61" t="n">
        <f aca="false">Resumo!$C$14*CEILING(G164,1)</f>
        <v>17.1</v>
      </c>
      <c r="Q164" s="61" t="n">
        <f aca="false">SUM(I164:P164)*Resumo!$C$11</f>
        <v>0</v>
      </c>
      <c r="R164" s="61" t="n">
        <f aca="false">SUM(I164:Q164)</f>
        <v>108.181958</v>
      </c>
      <c r="S164" s="61" t="n">
        <f aca="false">R164/(1-Resumo!$C$5)</f>
        <v>122.934043181818</v>
      </c>
      <c r="T164" s="61" t="n">
        <v>124.38</v>
      </c>
      <c r="U164" s="61" t="n">
        <f aca="false">H164*Resumo!$B$6</f>
        <v>0.35999</v>
      </c>
      <c r="V164" s="61" t="n">
        <f aca="false">H164*Resumo!$B$7</f>
        <v>0.71998</v>
      </c>
      <c r="W164" s="61" t="n">
        <f aca="false">Resumo!$B$9</f>
        <v>1</v>
      </c>
      <c r="X164" s="61" t="n">
        <f aca="false">Resumo!$B$10*CEILING(G164/100,1)</f>
        <v>4.5</v>
      </c>
      <c r="Y164" s="61" t="n">
        <f aca="false">Resumo!$B$12*CEILING(G164,1)</f>
        <v>2.28</v>
      </c>
      <c r="Z164" s="61" t="n">
        <f aca="false">Resumo!$B$14*CEILING(G164,1)</f>
        <v>17.1</v>
      </c>
      <c r="AA164" s="61" t="n">
        <f aca="false">SUM(T164:Z164)</f>
        <v>150.33997</v>
      </c>
      <c r="AB164" s="61" t="n">
        <f aca="false">AA164/(1-Resumo!$B$5)</f>
        <v>170.840875</v>
      </c>
      <c r="AC164" s="61" t="n">
        <f aca="false">AB164-S164</f>
        <v>47.9068318181818</v>
      </c>
      <c r="AD164" s="62" t="n">
        <f aca="false">AB164/S164-1</f>
        <v>0.389695405586946</v>
      </c>
      <c r="AE164" s="60" t="str">
        <f aca="false">IF(AB164&lt;S164,"SIM","NÃO")</f>
        <v>NÃO</v>
      </c>
      <c r="AF164" s="60" t="n">
        <v>13</v>
      </c>
      <c r="AG164" s="60" t="n">
        <v>10</v>
      </c>
      <c r="AH164" s="60" t="s">
        <v>385</v>
      </c>
      <c r="AI164" s="61" t="n">
        <f aca="false">(T164*(1-Painel!$C$40)+U164+V164+Painel!$C$41+Painel!$C$42*CEILING(G164/100,1)+Painel!$C$43*CEILING(G164,1)+Z164)/(1-Resumo!$B$5)</f>
        <v>117.687011363636</v>
      </c>
      <c r="AJ164" s="60" t="str">
        <f aca="false">IF(AI164&lt;S164,"SIM","NÃO")</f>
        <v>SIM</v>
      </c>
    </row>
    <row r="165" customFormat="false" ht="15" hidden="false" customHeight="false" outlineLevel="0" collapsed="false">
      <c r="A165" s="59" t="n">
        <v>46215.8619097222</v>
      </c>
      <c r="B165" s="60" t="s">
        <v>542</v>
      </c>
      <c r="C165" s="60" t="n">
        <v>20060070</v>
      </c>
      <c r="D165" s="60" t="s">
        <v>46</v>
      </c>
      <c r="E165" s="60" t="s">
        <v>22</v>
      </c>
      <c r="F165" s="60" t="s">
        <v>235</v>
      </c>
      <c r="G165" s="60" t="n">
        <v>41</v>
      </c>
      <c r="H165" s="61" t="n">
        <v>498.99</v>
      </c>
      <c r="I165" s="61" t="n">
        <v>53.55</v>
      </c>
      <c r="J165" s="61" t="n">
        <f aca="false">H165*Resumo!$C$6</f>
        <v>0</v>
      </c>
      <c r="K165" s="61" t="n">
        <f aca="false">H165*Resumo!$C$7</f>
        <v>1.047879</v>
      </c>
      <c r="L165" s="61" t="n">
        <f aca="false">H165*Resumo!$C$8</f>
        <v>1.047879</v>
      </c>
      <c r="M165" s="61" t="n">
        <f aca="false">Resumo!$C$10*CEILING(G165/100,1)</f>
        <v>1.05</v>
      </c>
      <c r="N165" s="61" t="n">
        <f aca="false">Resumo!$C$9</f>
        <v>0</v>
      </c>
      <c r="O165" s="61" t="n">
        <f aca="false">Resumo!$C$13</f>
        <v>13.55</v>
      </c>
      <c r="P165" s="61" t="n">
        <f aca="false">Resumo!$C$14*CEILING(G165,1)</f>
        <v>18.45</v>
      </c>
      <c r="Q165" s="61" t="n">
        <f aca="false">SUM(I165:P165)*Resumo!$C$11</f>
        <v>0</v>
      </c>
      <c r="R165" s="61" t="n">
        <f aca="false">SUM(I165:Q165)</f>
        <v>88.695758</v>
      </c>
      <c r="S165" s="61" t="n">
        <f aca="false">R165/(1-Resumo!$C$5)</f>
        <v>100.790634090909</v>
      </c>
      <c r="T165" s="61" t="n">
        <v>93.97</v>
      </c>
      <c r="U165" s="61" t="n">
        <f aca="false">H165*Resumo!$B$6</f>
        <v>0.49899</v>
      </c>
      <c r="V165" s="61" t="n">
        <f aca="false">H165*Resumo!$B$7</f>
        <v>0.99798</v>
      </c>
      <c r="W165" s="61" t="n">
        <f aca="false">Resumo!$B$9</f>
        <v>1</v>
      </c>
      <c r="X165" s="61" t="n">
        <f aca="false">Resumo!$B$10*CEILING(G165/100,1)</f>
        <v>4.5</v>
      </c>
      <c r="Y165" s="61" t="n">
        <f aca="false">Resumo!$B$12*CEILING(G165,1)</f>
        <v>2.46</v>
      </c>
      <c r="Z165" s="61" t="n">
        <f aca="false">Resumo!$B$14*CEILING(G165,1)</f>
        <v>18.45</v>
      </c>
      <c r="AA165" s="61" t="n">
        <f aca="false">SUM(T165:Z165)</f>
        <v>121.87697</v>
      </c>
      <c r="AB165" s="61" t="n">
        <f aca="false">AA165/(1-Resumo!$B$5)</f>
        <v>138.496556818182</v>
      </c>
      <c r="AC165" s="61" t="n">
        <f aca="false">AB165-S165</f>
        <v>37.7059227272727</v>
      </c>
      <c r="AD165" s="62" t="n">
        <f aca="false">AB165/S165-1</f>
        <v>0.374101453645619</v>
      </c>
      <c r="AE165" s="60" t="str">
        <f aca="false">IF(AB165&lt;S165,"SIM","NÃO")</f>
        <v>NÃO</v>
      </c>
      <c r="AF165" s="60" t="n">
        <v>2</v>
      </c>
      <c r="AG165" s="60" t="n">
        <v>5</v>
      </c>
      <c r="AH165" s="60" t="s">
        <v>382</v>
      </c>
      <c r="AI165" s="61" t="n">
        <f aca="false">(T165*(1-Painel!$C$40)+U165+V165+Painel!$C$41+Painel!$C$42*CEILING(G165/100,1)+Painel!$C$43*CEILING(G165,1)+Z165)/(1-Resumo!$B$5)</f>
        <v>96.5418977272727</v>
      </c>
      <c r="AJ165" s="60" t="str">
        <f aca="false">IF(AI165&lt;S165,"SIM","NÃO")</f>
        <v>SIM</v>
      </c>
    </row>
    <row r="166" customFormat="false" ht="15" hidden="false" customHeight="false" outlineLevel="0" collapsed="false">
      <c r="A166" s="59" t="n">
        <v>46215.887037037</v>
      </c>
      <c r="B166" s="60" t="s">
        <v>543</v>
      </c>
      <c r="C166" s="60" t="n">
        <v>21370290</v>
      </c>
      <c r="D166" s="60" t="s">
        <v>46</v>
      </c>
      <c r="E166" s="60" t="s">
        <v>22</v>
      </c>
      <c r="F166" s="60" t="s">
        <v>236</v>
      </c>
      <c r="G166" s="60" t="n">
        <v>52.3</v>
      </c>
      <c r="H166" s="61" t="n">
        <v>644.99</v>
      </c>
      <c r="I166" s="61" t="n">
        <v>58.6</v>
      </c>
      <c r="J166" s="61" t="n">
        <f aca="false">H166*Resumo!$C$6</f>
        <v>0</v>
      </c>
      <c r="K166" s="61" t="n">
        <f aca="false">H166*Resumo!$C$7</f>
        <v>1.354479</v>
      </c>
      <c r="L166" s="61" t="n">
        <f aca="false">H166*Resumo!$C$8</f>
        <v>1.354479</v>
      </c>
      <c r="M166" s="61" t="n">
        <f aca="false">Resumo!$C$10*CEILING(G166/100,1)</f>
        <v>1.05</v>
      </c>
      <c r="N166" s="61" t="n">
        <f aca="false">Resumo!$C$9</f>
        <v>0</v>
      </c>
      <c r="O166" s="61" t="n">
        <f aca="false">Resumo!$C$13</f>
        <v>13.55</v>
      </c>
      <c r="P166" s="61" t="n">
        <f aca="false">Resumo!$C$14*CEILING(G166,1)</f>
        <v>23.85</v>
      </c>
      <c r="Q166" s="61" t="n">
        <f aca="false">SUM(I166:P166)*Resumo!$C$11</f>
        <v>0</v>
      </c>
      <c r="R166" s="61" t="n">
        <f aca="false">SUM(I166:Q166)</f>
        <v>99.758958</v>
      </c>
      <c r="S166" s="61" t="n">
        <f aca="false">R166/(1-Resumo!$C$5)</f>
        <v>113.362452272727</v>
      </c>
      <c r="T166" s="61" t="n">
        <v>112.3</v>
      </c>
      <c r="U166" s="61" t="n">
        <f aca="false">H166*Resumo!$B$6</f>
        <v>0.64499</v>
      </c>
      <c r="V166" s="61" t="n">
        <f aca="false">H166*Resumo!$B$7</f>
        <v>1.28998</v>
      </c>
      <c r="W166" s="61" t="n">
        <f aca="false">Resumo!$B$9</f>
        <v>1</v>
      </c>
      <c r="X166" s="61" t="n">
        <f aca="false">Resumo!$B$10*CEILING(G166/100,1)</f>
        <v>4.5</v>
      </c>
      <c r="Y166" s="61" t="n">
        <f aca="false">Resumo!$B$12*CEILING(G166,1)</f>
        <v>3.18</v>
      </c>
      <c r="Z166" s="61" t="n">
        <f aca="false">Resumo!$B$14*CEILING(G166,1)</f>
        <v>23.85</v>
      </c>
      <c r="AA166" s="61" t="n">
        <f aca="false">SUM(T166:Z166)</f>
        <v>146.76497</v>
      </c>
      <c r="AB166" s="61" t="n">
        <f aca="false">AA166/(1-Resumo!$B$5)</f>
        <v>166.778375</v>
      </c>
      <c r="AC166" s="61" t="n">
        <f aca="false">AB166-S166</f>
        <v>53.4159227272727</v>
      </c>
      <c r="AD166" s="62" t="n">
        <f aca="false">AB166/S166-1</f>
        <v>0.47119590002133</v>
      </c>
      <c r="AE166" s="60" t="str">
        <f aca="false">IF(AB166&lt;S166,"SIM","NÃO")</f>
        <v>NÃO</v>
      </c>
      <c r="AF166" s="60" t="n">
        <v>2</v>
      </c>
      <c r="AG166" s="60" t="n">
        <v>5</v>
      </c>
      <c r="AH166" s="60" t="s">
        <v>382</v>
      </c>
      <c r="AI166" s="61" t="n">
        <f aca="false">(T166*(1-Painel!$C$40)+U166+V166+Painel!$C$41+Painel!$C$42*CEILING(G166/100,1)+Painel!$C$43*CEILING(G166,1)+Z166)/(1-Resumo!$B$5)</f>
        <v>117.131784090909</v>
      </c>
      <c r="AJ166" s="60" t="str">
        <f aca="false">IF(AI166&lt;S166,"SIM","NÃO")</f>
        <v>NÃO</v>
      </c>
    </row>
    <row r="167" customFormat="false" ht="15" hidden="false" customHeight="false" outlineLevel="0" collapsed="false">
      <c r="A167" s="59" t="n">
        <v>46215.9210532407</v>
      </c>
      <c r="B167" s="60" t="s">
        <v>544</v>
      </c>
      <c r="C167" s="60" t="n">
        <v>21310050</v>
      </c>
      <c r="D167" s="60" t="s">
        <v>46</v>
      </c>
      <c r="E167" s="60" t="s">
        <v>22</v>
      </c>
      <c r="F167" s="60" t="s">
        <v>236</v>
      </c>
      <c r="G167" s="60" t="n">
        <v>52.3</v>
      </c>
      <c r="H167" s="61" t="n">
        <v>644.99</v>
      </c>
      <c r="I167" s="61" t="n">
        <v>58.6</v>
      </c>
      <c r="J167" s="61" t="n">
        <f aca="false">H167*Resumo!$C$6</f>
        <v>0</v>
      </c>
      <c r="K167" s="61" t="n">
        <f aca="false">H167*Resumo!$C$7</f>
        <v>1.354479</v>
      </c>
      <c r="L167" s="61" t="n">
        <f aca="false">H167*Resumo!$C$8</f>
        <v>1.354479</v>
      </c>
      <c r="M167" s="61" t="n">
        <f aca="false">Resumo!$C$10*CEILING(G167/100,1)</f>
        <v>1.05</v>
      </c>
      <c r="N167" s="61" t="n">
        <f aca="false">Resumo!$C$9</f>
        <v>0</v>
      </c>
      <c r="O167" s="61" t="n">
        <f aca="false">Resumo!$C$13</f>
        <v>13.55</v>
      </c>
      <c r="P167" s="61" t="n">
        <f aca="false">Resumo!$C$14*CEILING(G167,1)</f>
        <v>23.85</v>
      </c>
      <c r="Q167" s="61" t="n">
        <f aca="false">SUM(I167:P167)*Resumo!$C$11</f>
        <v>0</v>
      </c>
      <c r="R167" s="61" t="n">
        <f aca="false">SUM(I167:Q167)</f>
        <v>99.758958</v>
      </c>
      <c r="S167" s="61" t="n">
        <f aca="false">R167/(1-Resumo!$C$5)</f>
        <v>113.362452272727</v>
      </c>
      <c r="T167" s="61" t="n">
        <v>112.3</v>
      </c>
      <c r="U167" s="61" t="n">
        <f aca="false">H167*Resumo!$B$6</f>
        <v>0.64499</v>
      </c>
      <c r="V167" s="61" t="n">
        <f aca="false">H167*Resumo!$B$7</f>
        <v>1.28998</v>
      </c>
      <c r="W167" s="61" t="n">
        <f aca="false">Resumo!$B$9</f>
        <v>1</v>
      </c>
      <c r="X167" s="61" t="n">
        <f aca="false">Resumo!$B$10*CEILING(G167/100,1)</f>
        <v>4.5</v>
      </c>
      <c r="Y167" s="61" t="n">
        <f aca="false">Resumo!$B$12*CEILING(G167,1)</f>
        <v>3.18</v>
      </c>
      <c r="Z167" s="61" t="n">
        <f aca="false">Resumo!$B$14*CEILING(G167,1)</f>
        <v>23.85</v>
      </c>
      <c r="AA167" s="61" t="n">
        <f aca="false">SUM(T167:Z167)</f>
        <v>146.76497</v>
      </c>
      <c r="AB167" s="61" t="n">
        <f aca="false">AA167/(1-Resumo!$B$5)</f>
        <v>166.778375</v>
      </c>
      <c r="AC167" s="61" t="n">
        <f aca="false">AB167-S167</f>
        <v>53.4159227272727</v>
      </c>
      <c r="AD167" s="62" t="n">
        <f aca="false">AB167/S167-1</f>
        <v>0.47119590002133</v>
      </c>
      <c r="AE167" s="60" t="str">
        <f aca="false">IF(AB167&lt;S167,"SIM","NÃO")</f>
        <v>NÃO</v>
      </c>
      <c r="AF167" s="60" t="n">
        <v>2</v>
      </c>
      <c r="AG167" s="60" t="n">
        <v>5</v>
      </c>
      <c r="AH167" s="60" t="s">
        <v>382</v>
      </c>
      <c r="AI167" s="61" t="n">
        <f aca="false">(T167*(1-Painel!$C$40)+U167+V167+Painel!$C$41+Painel!$C$42*CEILING(G167/100,1)+Painel!$C$43*CEILING(G167,1)+Z167)/(1-Resumo!$B$5)</f>
        <v>117.131784090909</v>
      </c>
      <c r="AJ167" s="60" t="str">
        <f aca="false">IF(AI167&lt;S167,"SIM","NÃO")</f>
        <v>NÃO</v>
      </c>
    </row>
    <row r="168" customFormat="false" ht="15" hidden="false" customHeight="false" outlineLevel="0" collapsed="false">
      <c r="A168" s="59" t="n">
        <v>46215.9660763889</v>
      </c>
      <c r="B168" s="60" t="s">
        <v>545</v>
      </c>
      <c r="C168" s="60" t="n">
        <v>27251340</v>
      </c>
      <c r="D168" s="60" t="s">
        <v>217</v>
      </c>
      <c r="E168" s="60" t="s">
        <v>24</v>
      </c>
      <c r="F168" s="60" t="s">
        <v>236</v>
      </c>
      <c r="G168" s="60" t="n">
        <v>52.3</v>
      </c>
      <c r="H168" s="61" t="n">
        <v>677.59</v>
      </c>
      <c r="I168" s="61" t="n">
        <v>83.58</v>
      </c>
      <c r="J168" s="61" t="n">
        <f aca="false">H168*Resumo!$C$6</f>
        <v>0</v>
      </c>
      <c r="K168" s="61" t="n">
        <f aca="false">H168*Resumo!$C$7</f>
        <v>1.422939</v>
      </c>
      <c r="L168" s="61" t="n">
        <f aca="false">H168*Resumo!$C$8</f>
        <v>1.422939</v>
      </c>
      <c r="M168" s="61" t="n">
        <f aca="false">Resumo!$C$10*CEILING(G168/100,1)</f>
        <v>1.05</v>
      </c>
      <c r="N168" s="61" t="n">
        <f aca="false">Resumo!$C$9</f>
        <v>0</v>
      </c>
      <c r="O168" s="61" t="n">
        <f aca="false">Resumo!$C$13</f>
        <v>13.55</v>
      </c>
      <c r="P168" s="61" t="n">
        <f aca="false">Resumo!$C$14*CEILING(G168,1)</f>
        <v>23.85</v>
      </c>
      <c r="Q168" s="61" t="n">
        <f aca="false">SUM(I168:P168)*Resumo!$C$11</f>
        <v>0</v>
      </c>
      <c r="R168" s="61" t="n">
        <f aca="false">SUM(I168:Q168)</f>
        <v>124.875878</v>
      </c>
      <c r="S168" s="61" t="n">
        <f aca="false">R168/(1-Resumo!$C$5)</f>
        <v>141.904406818182</v>
      </c>
      <c r="T168" s="61" t="n">
        <v>142.32</v>
      </c>
      <c r="U168" s="61" t="n">
        <f aca="false">H168*Resumo!$B$6</f>
        <v>0.67759</v>
      </c>
      <c r="V168" s="61" t="n">
        <f aca="false">H168*Resumo!$B$7</f>
        <v>1.35518</v>
      </c>
      <c r="W168" s="61" t="n">
        <f aca="false">Resumo!$B$9</f>
        <v>1</v>
      </c>
      <c r="X168" s="61" t="n">
        <f aca="false">Resumo!$B$10*CEILING(G168/100,1)</f>
        <v>4.5</v>
      </c>
      <c r="Y168" s="61" t="n">
        <f aca="false">Resumo!$B$12*CEILING(G168,1)</f>
        <v>3.18</v>
      </c>
      <c r="Z168" s="61" t="n">
        <f aca="false">Resumo!$B$14*CEILING(G168,1)</f>
        <v>23.85</v>
      </c>
      <c r="AA168" s="61" t="n">
        <f aca="false">SUM(T168:Z168)</f>
        <v>176.88277</v>
      </c>
      <c r="AB168" s="61" t="n">
        <f aca="false">AA168/(1-Resumo!$B$5)</f>
        <v>201.003147727273</v>
      </c>
      <c r="AC168" s="61" t="n">
        <f aca="false">AB168-S168</f>
        <v>59.0987409090909</v>
      </c>
      <c r="AD168" s="62" t="n">
        <f aca="false">AB168/S168-1</f>
        <v>0.416468679403399</v>
      </c>
      <c r="AE168" s="60" t="str">
        <f aca="false">IF(AB168&lt;S168,"SIM","NÃO")</f>
        <v>NÃO</v>
      </c>
      <c r="AF168" s="60" t="n">
        <v>13</v>
      </c>
      <c r="AG168" s="60" t="n">
        <v>10</v>
      </c>
      <c r="AH168" s="60" t="s">
        <v>382</v>
      </c>
      <c r="AI168" s="61" t="n">
        <f aca="false">(T168*(1-Painel!$C$40)+U168+V168+Painel!$C$41+Painel!$C$42*CEILING(G168/100,1)+Painel!$C$43*CEILING(G168,1)+Z168)/(1-Resumo!$B$5)</f>
        <v>140.099056818182</v>
      </c>
      <c r="AJ168" s="60" t="str">
        <f aca="false">IF(AI168&lt;S168,"SIM","NÃO")</f>
        <v>SIM</v>
      </c>
    </row>
    <row r="169" customFormat="false" ht="15" hidden="false" customHeight="false" outlineLevel="0" collapsed="false">
      <c r="A169" s="59" t="n">
        <v>46216.32125</v>
      </c>
      <c r="B169" s="60" t="s">
        <v>546</v>
      </c>
      <c r="C169" s="60" t="n">
        <v>24751140</v>
      </c>
      <c r="D169" s="60" t="s">
        <v>47</v>
      </c>
      <c r="E169" s="60" t="s">
        <v>23</v>
      </c>
      <c r="F169" s="60" t="s">
        <v>236</v>
      </c>
      <c r="G169" s="60" t="n">
        <v>59.9</v>
      </c>
      <c r="H169" s="61" t="n">
        <v>949.99</v>
      </c>
      <c r="I169" s="61" t="n">
        <v>70.98</v>
      </c>
      <c r="J169" s="61" t="n">
        <f aca="false">H169*Resumo!$C$6</f>
        <v>0</v>
      </c>
      <c r="K169" s="61" t="n">
        <f aca="false">H169*Resumo!$C$7</f>
        <v>1.994979</v>
      </c>
      <c r="L169" s="61" t="n">
        <f aca="false">H169*Resumo!$C$8</f>
        <v>1.994979</v>
      </c>
      <c r="M169" s="61" t="n">
        <f aca="false">Resumo!$C$10*CEILING(G169/100,1)</f>
        <v>1.05</v>
      </c>
      <c r="N169" s="61" t="n">
        <f aca="false">Resumo!$C$9</f>
        <v>0</v>
      </c>
      <c r="O169" s="61" t="n">
        <f aca="false">Resumo!$C$13</f>
        <v>13.55</v>
      </c>
      <c r="P169" s="61" t="n">
        <f aca="false">Resumo!$C$14*CEILING(G169,1)</f>
        <v>27</v>
      </c>
      <c r="Q169" s="61" t="n">
        <f aca="false">SUM(I169:P169)*Resumo!$C$11</f>
        <v>0</v>
      </c>
      <c r="R169" s="61" t="n">
        <f aca="false">SUM(I169:Q169)</f>
        <v>116.569958</v>
      </c>
      <c r="S169" s="61" t="n">
        <f aca="false">R169/(1-Resumo!$C$5)</f>
        <v>132.465861363636</v>
      </c>
      <c r="T169" s="61" t="n">
        <v>128.14</v>
      </c>
      <c r="U169" s="61" t="n">
        <f aca="false">H169*Resumo!$B$6</f>
        <v>0.94999</v>
      </c>
      <c r="V169" s="61" t="n">
        <f aca="false">H169*Resumo!$B$7</f>
        <v>1.89998</v>
      </c>
      <c r="W169" s="61" t="n">
        <f aca="false">Resumo!$B$9</f>
        <v>1</v>
      </c>
      <c r="X169" s="61" t="n">
        <f aca="false">Resumo!$B$10*CEILING(G169/100,1)</f>
        <v>4.5</v>
      </c>
      <c r="Y169" s="61" t="n">
        <f aca="false">Resumo!$B$12*CEILING(G169,1)</f>
        <v>3.6</v>
      </c>
      <c r="Z169" s="61" t="n">
        <f aca="false">Resumo!$B$14*CEILING(G169,1)</f>
        <v>27</v>
      </c>
      <c r="AA169" s="61" t="n">
        <f aca="false">SUM(T169:Z169)</f>
        <v>167.08997</v>
      </c>
      <c r="AB169" s="61" t="n">
        <f aca="false">AA169/(1-Resumo!$B$5)</f>
        <v>189.874965909091</v>
      </c>
      <c r="AC169" s="61" t="n">
        <f aca="false">AB169-S169</f>
        <v>57.4091045454545</v>
      </c>
      <c r="AD169" s="62" t="n">
        <f aca="false">AB169/S169-1</f>
        <v>0.433387923155982</v>
      </c>
      <c r="AE169" s="60" t="str">
        <f aca="false">IF(AB169&lt;S169,"SIM","NÃO")</f>
        <v>NÃO</v>
      </c>
      <c r="AF169" s="60" t="n">
        <v>2</v>
      </c>
      <c r="AG169" s="60" t="n">
        <v>7</v>
      </c>
      <c r="AH169" s="60" t="s">
        <v>382</v>
      </c>
      <c r="AI169" s="61" t="n">
        <f aca="false">(T169*(1-Painel!$C$40)+U169+V169+Painel!$C$41+Painel!$C$42*CEILING(G169/100,1)+Painel!$C$43*CEILING(G169,1)+Z169)/(1-Resumo!$B$5)</f>
        <v>133.811102272727</v>
      </c>
      <c r="AJ169" s="60" t="str">
        <f aca="false">IF(AI169&lt;S169,"SIM","NÃO")</f>
        <v>NÃO</v>
      </c>
    </row>
    <row r="170" customFormat="false" ht="15" hidden="false" customHeight="false" outlineLevel="0" collapsed="false">
      <c r="A170" s="59" t="n">
        <v>46216.332962963</v>
      </c>
      <c r="B170" s="60" t="s">
        <v>547</v>
      </c>
      <c r="C170" s="60" t="n">
        <v>21011460</v>
      </c>
      <c r="D170" s="60" t="s">
        <v>46</v>
      </c>
      <c r="E170" s="60" t="s">
        <v>22</v>
      </c>
      <c r="F170" s="60" t="s">
        <v>237</v>
      </c>
      <c r="G170" s="60" t="n">
        <v>61.5</v>
      </c>
      <c r="H170" s="61" t="n">
        <v>767.99</v>
      </c>
      <c r="I170" s="61" t="n">
        <v>63.21</v>
      </c>
      <c r="J170" s="61" t="n">
        <f aca="false">H170*Resumo!$C$6</f>
        <v>0</v>
      </c>
      <c r="K170" s="61" t="n">
        <f aca="false">H170*Resumo!$C$7</f>
        <v>1.612779</v>
      </c>
      <c r="L170" s="61" t="n">
        <f aca="false">H170*Resumo!$C$8</f>
        <v>1.612779</v>
      </c>
      <c r="M170" s="61" t="n">
        <f aca="false">Resumo!$C$10*CEILING(G170/100,1)</f>
        <v>1.05</v>
      </c>
      <c r="N170" s="61" t="n">
        <f aca="false">Resumo!$C$9</f>
        <v>0</v>
      </c>
      <c r="O170" s="61" t="n">
        <f aca="false">Resumo!$C$13</f>
        <v>13.55</v>
      </c>
      <c r="P170" s="61" t="n">
        <f aca="false">Resumo!$C$14*CEILING(G170,1)</f>
        <v>27.9</v>
      </c>
      <c r="Q170" s="61" t="n">
        <f aca="false">SUM(I170:P170)*Resumo!$C$11</f>
        <v>0</v>
      </c>
      <c r="R170" s="61" t="n">
        <f aca="false">SUM(I170:Q170)</f>
        <v>108.935558</v>
      </c>
      <c r="S170" s="61" t="n">
        <f aca="false">R170/(1-Resumo!$C$5)</f>
        <v>123.790406818182</v>
      </c>
      <c r="T170" s="61" t="n">
        <v>131.02</v>
      </c>
      <c r="U170" s="61" t="n">
        <f aca="false">H170*Resumo!$B$6</f>
        <v>0.76799</v>
      </c>
      <c r="V170" s="61" t="n">
        <f aca="false">H170*Resumo!$B$7</f>
        <v>1.53598</v>
      </c>
      <c r="W170" s="61" t="n">
        <f aca="false">Resumo!$B$9</f>
        <v>1</v>
      </c>
      <c r="X170" s="61" t="n">
        <f aca="false">Resumo!$B$10*CEILING(G170/100,1)</f>
        <v>4.5</v>
      </c>
      <c r="Y170" s="61" t="n">
        <f aca="false">Resumo!$B$12*CEILING(G170,1)</f>
        <v>3.72</v>
      </c>
      <c r="Z170" s="61" t="n">
        <f aca="false">Resumo!$B$14*CEILING(G170,1)</f>
        <v>27.9</v>
      </c>
      <c r="AA170" s="61" t="n">
        <f aca="false">SUM(T170:Z170)</f>
        <v>170.44397</v>
      </c>
      <c r="AB170" s="61" t="n">
        <f aca="false">AA170/(1-Resumo!$B$5)</f>
        <v>193.686329545455</v>
      </c>
      <c r="AC170" s="61" t="n">
        <f aca="false">AB170-S170</f>
        <v>69.8959227272727</v>
      </c>
      <c r="AD170" s="62" t="n">
        <f aca="false">AB170/S170-1</f>
        <v>0.564631173964336</v>
      </c>
      <c r="AE170" s="60" t="str">
        <f aca="false">IF(AB170&lt;S170,"SIM","NÃO")</f>
        <v>NÃO</v>
      </c>
      <c r="AF170" s="60" t="n">
        <v>2</v>
      </c>
      <c r="AG170" s="60" t="n">
        <v>5</v>
      </c>
      <c r="AH170" s="60" t="s">
        <v>382</v>
      </c>
      <c r="AI170" s="61" t="n">
        <f aca="false">(T170*(1-Painel!$C$40)+U170+V170+Painel!$C$41+Painel!$C$42*CEILING(G170/100,1)+Painel!$C$43*CEILING(G170,1)+Z170)/(1-Resumo!$B$5)</f>
        <v>136.406102272727</v>
      </c>
      <c r="AJ170" s="60" t="str">
        <f aca="false">IF(AI170&lt;S170,"SIM","NÃO")</f>
        <v>NÃO</v>
      </c>
    </row>
    <row r="171" customFormat="false" ht="15" hidden="false" customHeight="false" outlineLevel="0" collapsed="false">
      <c r="A171" s="59" t="n">
        <v>46216.4030324074</v>
      </c>
      <c r="B171" s="60" t="s">
        <v>548</v>
      </c>
      <c r="C171" s="60" t="n">
        <v>22770040</v>
      </c>
      <c r="D171" s="60" t="s">
        <v>46</v>
      </c>
      <c r="E171" s="60" t="s">
        <v>22</v>
      </c>
      <c r="F171" s="60" t="s">
        <v>236</v>
      </c>
      <c r="G171" s="60" t="n">
        <v>52.3</v>
      </c>
      <c r="H171" s="61" t="n">
        <v>644.99</v>
      </c>
      <c r="I171" s="61" t="n">
        <v>58.6</v>
      </c>
      <c r="J171" s="61" t="n">
        <f aca="false">H171*Resumo!$C$6</f>
        <v>0</v>
      </c>
      <c r="K171" s="61" t="n">
        <f aca="false">H171*Resumo!$C$7</f>
        <v>1.354479</v>
      </c>
      <c r="L171" s="61" t="n">
        <f aca="false">H171*Resumo!$C$8</f>
        <v>1.354479</v>
      </c>
      <c r="M171" s="61" t="n">
        <f aca="false">Resumo!$C$10*CEILING(G171/100,1)</f>
        <v>1.05</v>
      </c>
      <c r="N171" s="61" t="n">
        <f aca="false">Resumo!$C$9</f>
        <v>0</v>
      </c>
      <c r="O171" s="61" t="n">
        <f aca="false">Resumo!$C$13</f>
        <v>13.55</v>
      </c>
      <c r="P171" s="61" t="n">
        <f aca="false">Resumo!$C$14*CEILING(G171,1)</f>
        <v>23.85</v>
      </c>
      <c r="Q171" s="61" t="n">
        <f aca="false">SUM(I171:P171)*Resumo!$C$11</f>
        <v>0</v>
      </c>
      <c r="R171" s="61" t="n">
        <f aca="false">SUM(I171:Q171)</f>
        <v>99.758958</v>
      </c>
      <c r="S171" s="61" t="n">
        <f aca="false">R171/(1-Resumo!$C$5)</f>
        <v>113.362452272727</v>
      </c>
      <c r="T171" s="61" t="n">
        <v>112.3</v>
      </c>
      <c r="U171" s="61" t="n">
        <f aca="false">H171*Resumo!$B$6</f>
        <v>0.64499</v>
      </c>
      <c r="V171" s="61" t="n">
        <f aca="false">H171*Resumo!$B$7</f>
        <v>1.28998</v>
      </c>
      <c r="W171" s="61" t="n">
        <f aca="false">Resumo!$B$9</f>
        <v>1</v>
      </c>
      <c r="X171" s="61" t="n">
        <f aca="false">Resumo!$B$10*CEILING(G171/100,1)</f>
        <v>4.5</v>
      </c>
      <c r="Y171" s="61" t="n">
        <f aca="false">Resumo!$B$12*CEILING(G171,1)</f>
        <v>3.18</v>
      </c>
      <c r="Z171" s="61" t="n">
        <f aca="false">Resumo!$B$14*CEILING(G171,1)</f>
        <v>23.85</v>
      </c>
      <c r="AA171" s="61" t="n">
        <f aca="false">SUM(T171:Z171)</f>
        <v>146.76497</v>
      </c>
      <c r="AB171" s="61" t="n">
        <f aca="false">AA171/(1-Resumo!$B$5)</f>
        <v>166.778375</v>
      </c>
      <c r="AC171" s="61" t="n">
        <f aca="false">AB171-S171</f>
        <v>53.4159227272727</v>
      </c>
      <c r="AD171" s="62" t="n">
        <f aca="false">AB171/S171-1</f>
        <v>0.47119590002133</v>
      </c>
      <c r="AE171" s="60" t="str">
        <f aca="false">IF(AB171&lt;S171,"SIM","NÃO")</f>
        <v>NÃO</v>
      </c>
      <c r="AF171" s="60" t="n">
        <v>2</v>
      </c>
      <c r="AG171" s="60" t="n">
        <v>5</v>
      </c>
      <c r="AH171" s="60" t="s">
        <v>382</v>
      </c>
      <c r="AI171" s="61" t="n">
        <f aca="false">(T171*(1-Painel!$C$40)+U171+V171+Painel!$C$41+Painel!$C$42*CEILING(G171/100,1)+Painel!$C$43*CEILING(G171,1)+Z171)/(1-Resumo!$B$5)</f>
        <v>117.131784090909</v>
      </c>
      <c r="AJ171" s="60" t="str">
        <f aca="false">IF(AI171&lt;S171,"SIM","NÃO")</f>
        <v>NÃO</v>
      </c>
    </row>
    <row r="172" customFormat="false" ht="15" hidden="false" customHeight="false" outlineLevel="0" collapsed="false">
      <c r="A172" s="59" t="n">
        <v>46216.532037037</v>
      </c>
      <c r="B172" s="60" t="s">
        <v>549</v>
      </c>
      <c r="C172" s="60" t="n">
        <v>21825320</v>
      </c>
      <c r="D172" s="60" t="s">
        <v>46</v>
      </c>
      <c r="E172" s="60" t="s">
        <v>22</v>
      </c>
      <c r="F172" s="60" t="s">
        <v>235</v>
      </c>
      <c r="G172" s="60" t="n">
        <v>46.8</v>
      </c>
      <c r="H172" s="61" t="n">
        <v>506.99</v>
      </c>
      <c r="I172" s="61" t="n">
        <v>53.55</v>
      </c>
      <c r="J172" s="61" t="n">
        <f aca="false">H172*Resumo!$C$6</f>
        <v>0</v>
      </c>
      <c r="K172" s="61" t="n">
        <f aca="false">H172*Resumo!$C$7</f>
        <v>1.064679</v>
      </c>
      <c r="L172" s="61" t="n">
        <f aca="false">H172*Resumo!$C$8</f>
        <v>1.064679</v>
      </c>
      <c r="M172" s="61" t="n">
        <f aca="false">Resumo!$C$10*CEILING(G172/100,1)</f>
        <v>1.05</v>
      </c>
      <c r="N172" s="61" t="n">
        <f aca="false">Resumo!$C$9</f>
        <v>0</v>
      </c>
      <c r="O172" s="61" t="n">
        <f aca="false">Resumo!$C$13</f>
        <v>13.55</v>
      </c>
      <c r="P172" s="61" t="n">
        <f aca="false">Resumo!$C$14*CEILING(G172,1)</f>
        <v>21.15</v>
      </c>
      <c r="Q172" s="61" t="n">
        <f aca="false">SUM(I172:P172)*Resumo!$C$11</f>
        <v>0</v>
      </c>
      <c r="R172" s="61" t="n">
        <f aca="false">SUM(I172:Q172)</f>
        <v>91.429358</v>
      </c>
      <c r="S172" s="61" t="n">
        <f aca="false">R172/(1-Resumo!$C$5)</f>
        <v>103.896997727273</v>
      </c>
      <c r="T172" s="61" t="n">
        <v>93.97</v>
      </c>
      <c r="U172" s="61" t="n">
        <f aca="false">H172*Resumo!$B$6</f>
        <v>0.50699</v>
      </c>
      <c r="V172" s="61" t="n">
        <f aca="false">H172*Resumo!$B$7</f>
        <v>1.01398</v>
      </c>
      <c r="W172" s="61" t="n">
        <f aca="false">Resumo!$B$9</f>
        <v>1</v>
      </c>
      <c r="X172" s="61" t="n">
        <f aca="false">Resumo!$B$10*CEILING(G172/100,1)</f>
        <v>4.5</v>
      </c>
      <c r="Y172" s="61" t="n">
        <f aca="false">Resumo!$B$12*CEILING(G172,1)</f>
        <v>2.82</v>
      </c>
      <c r="Z172" s="61" t="n">
        <f aca="false">Resumo!$B$14*CEILING(G172,1)</f>
        <v>21.15</v>
      </c>
      <c r="AA172" s="61" t="n">
        <f aca="false">SUM(T172:Z172)</f>
        <v>124.96097</v>
      </c>
      <c r="AB172" s="61" t="n">
        <f aca="false">AA172/(1-Resumo!$B$5)</f>
        <v>142.001102272727</v>
      </c>
      <c r="AC172" s="61" t="n">
        <f aca="false">AB172-S172</f>
        <v>38.1041045454546</v>
      </c>
      <c r="AD172" s="62" t="n">
        <f aca="false">AB172/S172-1</f>
        <v>0.366748851063791</v>
      </c>
      <c r="AE172" s="60" t="str">
        <f aca="false">IF(AB172&lt;S172,"SIM","NÃO")</f>
        <v>NÃO</v>
      </c>
      <c r="AF172" s="60" t="n">
        <v>2</v>
      </c>
      <c r="AG172" s="60" t="n">
        <v>5</v>
      </c>
      <c r="AH172" s="60" t="s">
        <v>382</v>
      </c>
      <c r="AI172" s="61" t="n">
        <f aca="false">(T172*(1-Painel!$C$40)+U172+V172+Painel!$C$41+Painel!$C$42*CEILING(G172/100,1)+Painel!$C$43*CEILING(G172,1)+Z172)/(1-Resumo!$B$5)</f>
        <v>99.6373522727273</v>
      </c>
      <c r="AJ172" s="60" t="str">
        <f aca="false">IF(AI172&lt;S172,"SIM","NÃO")</f>
        <v>SIM</v>
      </c>
    </row>
    <row r="173" customFormat="false" ht="15" hidden="false" customHeight="false" outlineLevel="0" collapsed="false">
      <c r="A173" s="59" t="n">
        <v>46216.5525925926</v>
      </c>
      <c r="B173" s="60" t="s">
        <v>550</v>
      </c>
      <c r="C173" s="60" t="n">
        <v>22780760</v>
      </c>
      <c r="D173" s="60" t="s">
        <v>46</v>
      </c>
      <c r="E173" s="60" t="s">
        <v>22</v>
      </c>
      <c r="F173" s="60" t="s">
        <v>236</v>
      </c>
      <c r="G173" s="60" t="n">
        <v>52.3</v>
      </c>
      <c r="H173" s="61" t="n">
        <v>644.99</v>
      </c>
      <c r="I173" s="61" t="n">
        <v>58.6</v>
      </c>
      <c r="J173" s="61" t="n">
        <f aca="false">H173*Resumo!$C$6</f>
        <v>0</v>
      </c>
      <c r="K173" s="61" t="n">
        <f aca="false">H173*Resumo!$C$7</f>
        <v>1.354479</v>
      </c>
      <c r="L173" s="61" t="n">
        <f aca="false">H173*Resumo!$C$8</f>
        <v>1.354479</v>
      </c>
      <c r="M173" s="61" t="n">
        <f aca="false">Resumo!$C$10*CEILING(G173/100,1)</f>
        <v>1.05</v>
      </c>
      <c r="N173" s="61" t="n">
        <f aca="false">Resumo!$C$9</f>
        <v>0</v>
      </c>
      <c r="O173" s="61" t="n">
        <f aca="false">Resumo!$C$13</f>
        <v>13.55</v>
      </c>
      <c r="P173" s="61" t="n">
        <f aca="false">Resumo!$C$14*CEILING(G173,1)</f>
        <v>23.85</v>
      </c>
      <c r="Q173" s="61" t="n">
        <f aca="false">SUM(I173:P173)*Resumo!$C$11</f>
        <v>0</v>
      </c>
      <c r="R173" s="61" t="n">
        <f aca="false">SUM(I173:Q173)</f>
        <v>99.758958</v>
      </c>
      <c r="S173" s="61" t="n">
        <f aca="false">R173/(1-Resumo!$C$5)</f>
        <v>113.362452272727</v>
      </c>
      <c r="T173" s="61" t="n">
        <v>112.3</v>
      </c>
      <c r="U173" s="61" t="n">
        <f aca="false">H173*Resumo!$B$6</f>
        <v>0.64499</v>
      </c>
      <c r="V173" s="61" t="n">
        <f aca="false">H173*Resumo!$B$7</f>
        <v>1.28998</v>
      </c>
      <c r="W173" s="61" t="n">
        <f aca="false">Resumo!$B$9</f>
        <v>1</v>
      </c>
      <c r="X173" s="61" t="n">
        <f aca="false">Resumo!$B$10*CEILING(G173/100,1)</f>
        <v>4.5</v>
      </c>
      <c r="Y173" s="61" t="n">
        <f aca="false">Resumo!$B$12*CEILING(G173,1)</f>
        <v>3.18</v>
      </c>
      <c r="Z173" s="61" t="n">
        <f aca="false">Resumo!$B$14*CEILING(G173,1)</f>
        <v>23.85</v>
      </c>
      <c r="AA173" s="61" t="n">
        <f aca="false">SUM(T173:Z173)</f>
        <v>146.76497</v>
      </c>
      <c r="AB173" s="61" t="n">
        <f aca="false">AA173/(1-Resumo!$B$5)</f>
        <v>166.778375</v>
      </c>
      <c r="AC173" s="61" t="n">
        <f aca="false">AB173-S173</f>
        <v>53.4159227272727</v>
      </c>
      <c r="AD173" s="62" t="n">
        <f aca="false">AB173/S173-1</f>
        <v>0.47119590002133</v>
      </c>
      <c r="AE173" s="60" t="str">
        <f aca="false">IF(AB173&lt;S173,"SIM","NÃO")</f>
        <v>NÃO</v>
      </c>
      <c r="AF173" s="60" t="n">
        <v>2</v>
      </c>
      <c r="AG173" s="60" t="n">
        <v>5</v>
      </c>
      <c r="AH173" s="60" t="s">
        <v>382</v>
      </c>
      <c r="AI173" s="61" t="n">
        <f aca="false">(T173*(1-Painel!$C$40)+U173+V173+Painel!$C$41+Painel!$C$42*CEILING(G173/100,1)+Painel!$C$43*CEILING(G173,1)+Z173)/(1-Resumo!$B$5)</f>
        <v>117.131784090909</v>
      </c>
      <c r="AJ173" s="60" t="str">
        <f aca="false">IF(AI173&lt;S173,"SIM","NÃO")</f>
        <v>NÃO</v>
      </c>
    </row>
    <row r="174" customFormat="false" ht="15" hidden="false" customHeight="false" outlineLevel="0" collapsed="false">
      <c r="A174" s="59" t="n">
        <v>46216.5530092593</v>
      </c>
      <c r="B174" s="60" t="s">
        <v>551</v>
      </c>
      <c r="C174" s="60" t="n">
        <v>25525670</v>
      </c>
      <c r="D174" s="60" t="s">
        <v>216</v>
      </c>
      <c r="E174" s="60" t="s">
        <v>23</v>
      </c>
      <c r="F174" s="60" t="s">
        <v>234</v>
      </c>
      <c r="G174" s="60" t="n">
        <v>40</v>
      </c>
      <c r="H174" s="61" t="n">
        <v>599.99</v>
      </c>
      <c r="I174" s="61" t="n">
        <v>66.83</v>
      </c>
      <c r="J174" s="61" t="n">
        <f aca="false">H174*Resumo!$C$6</f>
        <v>0</v>
      </c>
      <c r="K174" s="61" t="n">
        <f aca="false">H174*Resumo!$C$7</f>
        <v>1.259979</v>
      </c>
      <c r="L174" s="61" t="n">
        <f aca="false">H174*Resumo!$C$8</f>
        <v>1.259979</v>
      </c>
      <c r="M174" s="61" t="n">
        <f aca="false">Resumo!$C$10*CEILING(G174/100,1)</f>
        <v>1.05</v>
      </c>
      <c r="N174" s="61" t="n">
        <f aca="false">Resumo!$C$9</f>
        <v>0</v>
      </c>
      <c r="O174" s="61" t="n">
        <f aca="false">Resumo!$C$13</f>
        <v>13.55</v>
      </c>
      <c r="P174" s="61" t="n">
        <f aca="false">Resumo!$C$14*CEILING(G174,1)</f>
        <v>18</v>
      </c>
      <c r="Q174" s="61" t="n">
        <f aca="false">SUM(I174:P174)*Resumo!$C$11</f>
        <v>0</v>
      </c>
      <c r="R174" s="61" t="n">
        <f aca="false">SUM(I174:Q174)</f>
        <v>101.949958</v>
      </c>
      <c r="S174" s="61" t="n">
        <f aca="false">R174/(1-Resumo!$C$5)</f>
        <v>115.852225</v>
      </c>
      <c r="T174" s="61" t="n">
        <v>93.97</v>
      </c>
      <c r="U174" s="61" t="n">
        <f aca="false">H174*Resumo!$B$6</f>
        <v>0.59999</v>
      </c>
      <c r="V174" s="61" t="n">
        <f aca="false">H174*Resumo!$B$7</f>
        <v>1.19998</v>
      </c>
      <c r="W174" s="61" t="n">
        <f aca="false">Resumo!$B$9</f>
        <v>1</v>
      </c>
      <c r="X174" s="61" t="n">
        <f aca="false">Resumo!$B$10*CEILING(G174/100,1)</f>
        <v>4.5</v>
      </c>
      <c r="Y174" s="61" t="n">
        <f aca="false">Resumo!$B$12*CEILING(G174,1)</f>
        <v>2.4</v>
      </c>
      <c r="Z174" s="61" t="n">
        <f aca="false">Resumo!$B$14*CEILING(G174,1)</f>
        <v>18</v>
      </c>
      <c r="AA174" s="61" t="n">
        <f aca="false">SUM(T174:Z174)</f>
        <v>121.66997</v>
      </c>
      <c r="AB174" s="61" t="n">
        <f aca="false">AA174/(1-Resumo!$B$5)</f>
        <v>138.261329545455</v>
      </c>
      <c r="AC174" s="61" t="n">
        <f aca="false">AB174-S174</f>
        <v>22.4091045454546</v>
      </c>
      <c r="AD174" s="62" t="n">
        <f aca="false">AB174/S174-1</f>
        <v>0.193428348445225</v>
      </c>
      <c r="AE174" s="60" t="str">
        <f aca="false">IF(AB174&lt;S174,"SIM","NÃO")</f>
        <v>NÃO</v>
      </c>
      <c r="AF174" s="60" t="n">
        <v>2</v>
      </c>
      <c r="AG174" s="60" t="n">
        <v>5</v>
      </c>
      <c r="AH174" s="60" t="s">
        <v>382</v>
      </c>
      <c r="AI174" s="61" t="n">
        <f aca="false">(T174*(1-Painel!$C$40)+U174+V174+Painel!$C$41+Painel!$C$42*CEILING(G174/100,1)+Painel!$C$43*CEILING(G174,1)+Z174)/(1-Resumo!$B$5)</f>
        <v>96.3748522727273</v>
      </c>
      <c r="AJ174" s="60" t="str">
        <f aca="false">IF(AI174&lt;S174,"SIM","NÃO")</f>
        <v>SIM</v>
      </c>
    </row>
    <row r="175" customFormat="false" ht="15" hidden="false" customHeight="false" outlineLevel="0" collapsed="false">
      <c r="A175" s="59" t="n">
        <v>46216.684375</v>
      </c>
      <c r="B175" s="60" t="s">
        <v>552</v>
      </c>
      <c r="C175" s="60" t="n">
        <v>27940290</v>
      </c>
      <c r="D175" s="60" t="s">
        <v>53</v>
      </c>
      <c r="E175" s="60" t="s">
        <v>24</v>
      </c>
      <c r="F175" s="60" t="s">
        <v>236</v>
      </c>
      <c r="G175" s="60" t="n">
        <v>60</v>
      </c>
      <c r="H175" s="61" t="n">
        <v>859.99</v>
      </c>
      <c r="I175" s="61" t="n">
        <v>83.58</v>
      </c>
      <c r="J175" s="61" t="n">
        <f aca="false">H175*Resumo!$C$6</f>
        <v>0</v>
      </c>
      <c r="K175" s="61" t="n">
        <f aca="false">H175*Resumo!$C$7</f>
        <v>1.805979</v>
      </c>
      <c r="L175" s="61" t="n">
        <f aca="false">H175*Resumo!$C$8</f>
        <v>1.805979</v>
      </c>
      <c r="M175" s="61" t="n">
        <f aca="false">Resumo!$C$10*CEILING(G175/100,1)</f>
        <v>1.05</v>
      </c>
      <c r="N175" s="61" t="n">
        <f aca="false">Resumo!$C$9</f>
        <v>0</v>
      </c>
      <c r="O175" s="61" t="n">
        <f aca="false">Resumo!$C$13</f>
        <v>13.55</v>
      </c>
      <c r="P175" s="61" t="n">
        <f aca="false">Resumo!$C$14*CEILING(G175,1)</f>
        <v>27</v>
      </c>
      <c r="Q175" s="61" t="n">
        <f aca="false">SUM(I175:P175)*Resumo!$C$11</f>
        <v>0</v>
      </c>
      <c r="R175" s="61" t="n">
        <f aca="false">SUM(I175:Q175)</f>
        <v>128.791958</v>
      </c>
      <c r="S175" s="61" t="n">
        <f aca="false">R175/(1-Resumo!$C$5)</f>
        <v>146.354497727273</v>
      </c>
      <c r="T175" s="61" t="n">
        <v>162.04</v>
      </c>
      <c r="U175" s="61" t="n">
        <f aca="false">H175*Resumo!$B$6</f>
        <v>0.85999</v>
      </c>
      <c r="V175" s="61" t="n">
        <f aca="false">H175*Resumo!$B$7</f>
        <v>1.71998</v>
      </c>
      <c r="W175" s="61" t="n">
        <f aca="false">Resumo!$B$9</f>
        <v>1</v>
      </c>
      <c r="X175" s="61" t="n">
        <f aca="false">Resumo!$B$10*CEILING(G175/100,1)</f>
        <v>4.5</v>
      </c>
      <c r="Y175" s="61" t="n">
        <f aca="false">Resumo!$B$12*CEILING(G175,1)</f>
        <v>3.6</v>
      </c>
      <c r="Z175" s="61" t="n">
        <f aca="false">Resumo!$B$14*CEILING(G175,1)</f>
        <v>27</v>
      </c>
      <c r="AA175" s="61" t="n">
        <f aca="false">SUM(T175:Z175)</f>
        <v>200.71997</v>
      </c>
      <c r="AB175" s="61" t="n">
        <f aca="false">AA175/(1-Resumo!$B$5)</f>
        <v>228.090875</v>
      </c>
      <c r="AC175" s="61" t="n">
        <f aca="false">AB175-S175</f>
        <v>81.7363772727273</v>
      </c>
      <c r="AD175" s="62" t="n">
        <f aca="false">AB175/S175-1</f>
        <v>0.558482168583849</v>
      </c>
      <c r="AE175" s="60" t="str">
        <f aca="false">IF(AB175&lt;S175,"SIM","NÃO")</f>
        <v>NÃO</v>
      </c>
      <c r="AF175" s="60" t="n">
        <v>13</v>
      </c>
      <c r="AG175" s="60" t="n">
        <v>11</v>
      </c>
      <c r="AH175" s="60" t="s">
        <v>382</v>
      </c>
      <c r="AI175" s="61" t="n">
        <f aca="false">(T175*(1-Painel!$C$40)+U175+V175+Painel!$C$41+Painel!$C$42*CEILING(G175/100,1)+Painel!$C$43*CEILING(G175,1)+Z175)/(1-Resumo!$B$5)</f>
        <v>159.314511363636</v>
      </c>
      <c r="AJ175" s="60" t="str">
        <f aca="false">IF(AI175&lt;S175,"SIM","NÃO")</f>
        <v>NÃO</v>
      </c>
    </row>
    <row r="176" customFormat="false" ht="15" hidden="false" customHeight="false" outlineLevel="0" collapsed="false">
      <c r="A176" s="59" t="n">
        <v>46216.9080208333</v>
      </c>
      <c r="B176" s="60" t="s">
        <v>461</v>
      </c>
      <c r="C176" s="60" t="n">
        <v>28880000</v>
      </c>
      <c r="D176" s="60" t="s">
        <v>336</v>
      </c>
      <c r="E176" s="60" t="s">
        <v>24</v>
      </c>
      <c r="F176" s="60" t="s">
        <v>234</v>
      </c>
      <c r="G176" s="60" t="n">
        <v>40</v>
      </c>
      <c r="H176" s="61" t="n">
        <v>599.99</v>
      </c>
      <c r="I176" s="61" t="n">
        <v>74.97</v>
      </c>
      <c r="J176" s="61" t="n">
        <f aca="false">H176*Resumo!$C$6</f>
        <v>0</v>
      </c>
      <c r="K176" s="61" t="n">
        <f aca="false">H176*Resumo!$C$7</f>
        <v>1.259979</v>
      </c>
      <c r="L176" s="61" t="n">
        <f aca="false">H176*Resumo!$C$8</f>
        <v>1.259979</v>
      </c>
      <c r="M176" s="61" t="n">
        <f aca="false">Resumo!$C$10*CEILING(G176/100,1)</f>
        <v>1.05</v>
      </c>
      <c r="N176" s="61" t="n">
        <f aca="false">Resumo!$C$9</f>
        <v>0</v>
      </c>
      <c r="O176" s="61" t="n">
        <f aca="false">Resumo!$C$13</f>
        <v>13.55</v>
      </c>
      <c r="P176" s="61" t="n">
        <f aca="false">Resumo!$C$14*CEILING(G176,1)</f>
        <v>18</v>
      </c>
      <c r="Q176" s="61" t="n">
        <f aca="false">SUM(I176:P176)*Resumo!$C$11</f>
        <v>0</v>
      </c>
      <c r="R176" s="61" t="n">
        <f aca="false">SUM(I176:Q176)</f>
        <v>110.089958</v>
      </c>
      <c r="S176" s="61" t="n">
        <f aca="false">R176/(1-Resumo!$C$5)</f>
        <v>125.102225</v>
      </c>
      <c r="T176" s="61" t="n">
        <v>124.38</v>
      </c>
      <c r="U176" s="61" t="n">
        <f aca="false">H176*Resumo!$B$6</f>
        <v>0.59999</v>
      </c>
      <c r="V176" s="61" t="n">
        <f aca="false">H176*Resumo!$B$7</f>
        <v>1.19998</v>
      </c>
      <c r="W176" s="61" t="n">
        <f aca="false">Resumo!$B$9</f>
        <v>1</v>
      </c>
      <c r="X176" s="61" t="n">
        <f aca="false">Resumo!$B$10*CEILING(G176/100,1)</f>
        <v>4.5</v>
      </c>
      <c r="Y176" s="61" t="n">
        <f aca="false">Resumo!$B$12*CEILING(G176,1)</f>
        <v>2.4</v>
      </c>
      <c r="Z176" s="61" t="n">
        <f aca="false">Resumo!$B$14*CEILING(G176,1)</f>
        <v>18</v>
      </c>
      <c r="AA176" s="61" t="n">
        <f aca="false">SUM(T176:Z176)</f>
        <v>152.07997</v>
      </c>
      <c r="AB176" s="61" t="n">
        <f aca="false">AA176/(1-Resumo!$B$5)</f>
        <v>172.818147727273</v>
      </c>
      <c r="AC176" s="61" t="n">
        <f aca="false">AB176-S176</f>
        <v>47.7159227272727</v>
      </c>
      <c r="AD176" s="62" t="n">
        <f aca="false">AB176/S176-1</f>
        <v>0.381415460254786</v>
      </c>
      <c r="AE176" s="60" t="str">
        <f aca="false">IF(AB176&lt;S176,"SIM","NÃO")</f>
        <v>NÃO</v>
      </c>
      <c r="AF176" s="60" t="n">
        <v>13</v>
      </c>
      <c r="AG176" s="60" t="n">
        <v>10</v>
      </c>
      <c r="AH176" s="60" t="s">
        <v>385</v>
      </c>
      <c r="AI176" s="61" t="n">
        <f aca="false">(T176*(1-Painel!$C$40)+U176+V176+Painel!$C$41+Painel!$C$42*CEILING(G176/100,1)+Painel!$C$43*CEILING(G176,1)+Z176)/(1-Resumo!$B$5)</f>
        <v>119.527920454545</v>
      </c>
      <c r="AJ176" s="60" t="str">
        <f aca="false">IF(AI176&lt;S176,"SIM","NÃO")</f>
        <v>SIM</v>
      </c>
    </row>
    <row r="177" customFormat="false" ht="15" hidden="false" customHeight="false" outlineLevel="0" collapsed="false">
      <c r="A177" s="59" t="n">
        <v>46216.9614351852</v>
      </c>
      <c r="B177" s="60" t="s">
        <v>553</v>
      </c>
      <c r="C177" s="60" t="n">
        <v>25271550</v>
      </c>
      <c r="D177" s="60" t="s">
        <v>48</v>
      </c>
      <c r="E177" s="60" t="s">
        <v>23</v>
      </c>
      <c r="F177" s="60" t="s">
        <v>236</v>
      </c>
      <c r="G177" s="60" t="n">
        <v>52.3</v>
      </c>
      <c r="H177" s="61" t="n">
        <v>644.99</v>
      </c>
      <c r="I177" s="61" t="n">
        <v>70.98</v>
      </c>
      <c r="J177" s="61" t="n">
        <f aca="false">H177*Resumo!$C$6</f>
        <v>0</v>
      </c>
      <c r="K177" s="61" t="n">
        <f aca="false">H177*Resumo!$C$7</f>
        <v>1.354479</v>
      </c>
      <c r="L177" s="61" t="n">
        <f aca="false">H177*Resumo!$C$8</f>
        <v>1.354479</v>
      </c>
      <c r="M177" s="61" t="n">
        <f aca="false">Resumo!$C$10*CEILING(G177/100,1)</f>
        <v>1.05</v>
      </c>
      <c r="N177" s="61" t="n">
        <f aca="false">Resumo!$C$9</f>
        <v>0</v>
      </c>
      <c r="O177" s="61" t="n">
        <f aca="false">Resumo!$C$13</f>
        <v>13.55</v>
      </c>
      <c r="P177" s="61" t="n">
        <f aca="false">Resumo!$C$14*CEILING(G177,1)</f>
        <v>23.85</v>
      </c>
      <c r="Q177" s="61" t="n">
        <f aca="false">SUM(I177:P177)*Resumo!$C$11</f>
        <v>0</v>
      </c>
      <c r="R177" s="61" t="n">
        <f aca="false">SUM(I177:Q177)</f>
        <v>112.138958</v>
      </c>
      <c r="S177" s="61" t="n">
        <f aca="false">R177/(1-Resumo!$C$5)</f>
        <v>127.430634090909</v>
      </c>
      <c r="T177" s="61" t="n">
        <v>112.3</v>
      </c>
      <c r="U177" s="61" t="n">
        <f aca="false">H177*Resumo!$B$6</f>
        <v>0.64499</v>
      </c>
      <c r="V177" s="61" t="n">
        <f aca="false">H177*Resumo!$B$7</f>
        <v>1.28998</v>
      </c>
      <c r="W177" s="61" t="n">
        <f aca="false">Resumo!$B$9</f>
        <v>1</v>
      </c>
      <c r="X177" s="61" t="n">
        <f aca="false">Resumo!$B$10*CEILING(G177/100,1)</f>
        <v>4.5</v>
      </c>
      <c r="Y177" s="61" t="n">
        <f aca="false">Resumo!$B$12*CEILING(G177,1)</f>
        <v>3.18</v>
      </c>
      <c r="Z177" s="61" t="n">
        <f aca="false">Resumo!$B$14*CEILING(G177,1)</f>
        <v>23.85</v>
      </c>
      <c r="AA177" s="61" t="n">
        <f aca="false">SUM(T177:Z177)</f>
        <v>146.76497</v>
      </c>
      <c r="AB177" s="61" t="n">
        <f aca="false">AA177/(1-Resumo!$B$5)</f>
        <v>166.778375</v>
      </c>
      <c r="AC177" s="61" t="n">
        <f aca="false">AB177-S177</f>
        <v>39.3477409090909</v>
      </c>
      <c r="AD177" s="62" t="n">
        <f aca="false">AB177/S177-1</f>
        <v>0.308777722011649</v>
      </c>
      <c r="AE177" s="60" t="str">
        <f aca="false">IF(AB177&lt;S177,"SIM","NÃO")</f>
        <v>NÃO</v>
      </c>
      <c r="AF177" s="60" t="n">
        <v>2</v>
      </c>
      <c r="AG177" s="60" t="n">
        <v>5</v>
      </c>
      <c r="AH177" s="60" t="s">
        <v>382</v>
      </c>
      <c r="AI177" s="61" t="n">
        <f aca="false">(T177*(1-Painel!$C$40)+U177+V177+Painel!$C$41+Painel!$C$42*CEILING(G177/100,1)+Painel!$C$43*CEILING(G177,1)+Z177)/(1-Resumo!$B$5)</f>
        <v>117.131784090909</v>
      </c>
      <c r="AJ177" s="60" t="str">
        <f aca="false">IF(AI177&lt;S177,"SIM","NÃO")</f>
        <v>SIM</v>
      </c>
    </row>
    <row r="178" customFormat="false" ht="15" hidden="false" customHeight="false" outlineLevel="0" collapsed="false">
      <c r="A178" s="59" t="n">
        <v>46216.9768634259</v>
      </c>
      <c r="B178" s="60" t="s">
        <v>554</v>
      </c>
      <c r="C178" s="60" t="n">
        <v>21330600</v>
      </c>
      <c r="D178" s="60" t="s">
        <v>46</v>
      </c>
      <c r="E178" s="60" t="s">
        <v>22</v>
      </c>
      <c r="F178" s="60" t="s">
        <v>235</v>
      </c>
      <c r="G178" s="60" t="n">
        <v>41</v>
      </c>
      <c r="H178" s="61" t="n">
        <v>515.99</v>
      </c>
      <c r="I178" s="61" t="n">
        <v>53.55</v>
      </c>
      <c r="J178" s="61" t="n">
        <f aca="false">H178*Resumo!$C$6</f>
        <v>0</v>
      </c>
      <c r="K178" s="61" t="n">
        <f aca="false">H178*Resumo!$C$7</f>
        <v>1.083579</v>
      </c>
      <c r="L178" s="61" t="n">
        <f aca="false">H178*Resumo!$C$8</f>
        <v>1.083579</v>
      </c>
      <c r="M178" s="61" t="n">
        <f aca="false">Resumo!$C$10*CEILING(G178/100,1)</f>
        <v>1.05</v>
      </c>
      <c r="N178" s="61" t="n">
        <f aca="false">Resumo!$C$9</f>
        <v>0</v>
      </c>
      <c r="O178" s="61" t="n">
        <f aca="false">Resumo!$C$13</f>
        <v>13.55</v>
      </c>
      <c r="P178" s="61" t="n">
        <f aca="false">Resumo!$C$14*CEILING(G178,1)</f>
        <v>18.45</v>
      </c>
      <c r="Q178" s="61" t="n">
        <f aca="false">SUM(I178:P178)*Resumo!$C$11</f>
        <v>0</v>
      </c>
      <c r="R178" s="61" t="n">
        <f aca="false">SUM(I178:Q178)</f>
        <v>88.767158</v>
      </c>
      <c r="S178" s="61" t="n">
        <f aca="false">R178/(1-Resumo!$C$5)</f>
        <v>100.871770454545</v>
      </c>
      <c r="T178" s="61" t="n">
        <v>93.97</v>
      </c>
      <c r="U178" s="61" t="n">
        <f aca="false">H178*Resumo!$B$6</f>
        <v>0.51599</v>
      </c>
      <c r="V178" s="61" t="n">
        <f aca="false">H178*Resumo!$B$7</f>
        <v>1.03198</v>
      </c>
      <c r="W178" s="61" t="n">
        <f aca="false">Resumo!$B$9</f>
        <v>1</v>
      </c>
      <c r="X178" s="61" t="n">
        <f aca="false">Resumo!$B$10*CEILING(G178/100,1)</f>
        <v>4.5</v>
      </c>
      <c r="Y178" s="61" t="n">
        <f aca="false">Resumo!$B$12*CEILING(G178,1)</f>
        <v>2.46</v>
      </c>
      <c r="Z178" s="61" t="n">
        <f aca="false">Resumo!$B$14*CEILING(G178,1)</f>
        <v>18.45</v>
      </c>
      <c r="AA178" s="61" t="n">
        <f aca="false">SUM(T178:Z178)</f>
        <v>121.92797</v>
      </c>
      <c r="AB178" s="61" t="n">
        <f aca="false">AA178/(1-Resumo!$B$5)</f>
        <v>138.554511363636</v>
      </c>
      <c r="AC178" s="61" t="n">
        <f aca="false">AB178-S178</f>
        <v>37.6827409090909</v>
      </c>
      <c r="AD178" s="62" t="n">
        <f aca="false">AB178/S178-1</f>
        <v>0.373570729841322</v>
      </c>
      <c r="AE178" s="60" t="str">
        <f aca="false">IF(AB178&lt;S178,"SIM","NÃO")</f>
        <v>NÃO</v>
      </c>
      <c r="AF178" s="60" t="n">
        <v>2</v>
      </c>
      <c r="AG178" s="60" t="n">
        <v>5</v>
      </c>
      <c r="AH178" s="60" t="s">
        <v>382</v>
      </c>
      <c r="AI178" s="61" t="n">
        <f aca="false">(T178*(1-Painel!$C$40)+U178+V178+Painel!$C$41+Painel!$C$42*CEILING(G178/100,1)+Painel!$C$43*CEILING(G178,1)+Z178)/(1-Resumo!$B$5)</f>
        <v>96.5998522727273</v>
      </c>
      <c r="AJ178" s="60" t="str">
        <f aca="false">IF(AI178&lt;S178,"SIM","NÃO")</f>
        <v>SIM</v>
      </c>
    </row>
    <row r="179" customFormat="false" ht="15" hidden="false" customHeight="false" outlineLevel="0" collapsed="false">
      <c r="A179" s="59" t="n">
        <v>46217.3816319444</v>
      </c>
      <c r="B179" s="60" t="s">
        <v>555</v>
      </c>
      <c r="C179" s="60" t="n">
        <v>23026260</v>
      </c>
      <c r="D179" s="60" t="s">
        <v>46</v>
      </c>
      <c r="E179" s="60" t="s">
        <v>22</v>
      </c>
      <c r="F179" s="60" t="s">
        <v>237</v>
      </c>
      <c r="G179" s="60" t="n">
        <v>61.5</v>
      </c>
      <c r="H179" s="61" t="n">
        <v>767.99</v>
      </c>
      <c r="I179" s="61" t="n">
        <v>63.21</v>
      </c>
      <c r="J179" s="61" t="n">
        <f aca="false">H179*Resumo!$C$6</f>
        <v>0</v>
      </c>
      <c r="K179" s="61" t="n">
        <f aca="false">H179*Resumo!$C$7</f>
        <v>1.612779</v>
      </c>
      <c r="L179" s="61" t="n">
        <f aca="false">H179*Resumo!$C$8</f>
        <v>1.612779</v>
      </c>
      <c r="M179" s="61" t="n">
        <f aca="false">Resumo!$C$10*CEILING(G179/100,1)</f>
        <v>1.05</v>
      </c>
      <c r="N179" s="61" t="n">
        <f aca="false">Resumo!$C$9</f>
        <v>0</v>
      </c>
      <c r="O179" s="61" t="n">
        <f aca="false">Resumo!$C$13</f>
        <v>13.55</v>
      </c>
      <c r="P179" s="61" t="n">
        <f aca="false">Resumo!$C$14*CEILING(G179,1)</f>
        <v>27.9</v>
      </c>
      <c r="Q179" s="61" t="n">
        <f aca="false">SUM(I179:P179)*Resumo!$C$11</f>
        <v>0</v>
      </c>
      <c r="R179" s="61" t="n">
        <f aca="false">SUM(I179:Q179)</f>
        <v>108.935558</v>
      </c>
      <c r="S179" s="61" t="n">
        <f aca="false">R179/(1-Resumo!$C$5)</f>
        <v>123.790406818182</v>
      </c>
      <c r="T179" s="61" t="n">
        <v>131.02</v>
      </c>
      <c r="U179" s="61" t="n">
        <f aca="false">H179*Resumo!$B$6</f>
        <v>0.76799</v>
      </c>
      <c r="V179" s="61" t="n">
        <f aca="false">H179*Resumo!$B$7</f>
        <v>1.53598</v>
      </c>
      <c r="W179" s="61" t="n">
        <f aca="false">Resumo!$B$9</f>
        <v>1</v>
      </c>
      <c r="X179" s="61" t="n">
        <f aca="false">Resumo!$B$10*CEILING(G179/100,1)</f>
        <v>4.5</v>
      </c>
      <c r="Y179" s="61" t="n">
        <f aca="false">Resumo!$B$12*CEILING(G179,1)</f>
        <v>3.72</v>
      </c>
      <c r="Z179" s="61" t="n">
        <f aca="false">Resumo!$B$14*CEILING(G179,1)</f>
        <v>27.9</v>
      </c>
      <c r="AA179" s="61" t="n">
        <f aca="false">SUM(T179:Z179)</f>
        <v>170.44397</v>
      </c>
      <c r="AB179" s="61" t="n">
        <f aca="false">AA179/(1-Resumo!$B$5)</f>
        <v>193.686329545455</v>
      </c>
      <c r="AC179" s="61" t="n">
        <f aca="false">AB179-S179</f>
        <v>69.8959227272727</v>
      </c>
      <c r="AD179" s="62" t="n">
        <f aca="false">AB179/S179-1</f>
        <v>0.564631173964336</v>
      </c>
      <c r="AE179" s="60" t="str">
        <f aca="false">IF(AB179&lt;S179,"SIM","NÃO")</f>
        <v>NÃO</v>
      </c>
      <c r="AF179" s="60" t="n">
        <v>2</v>
      </c>
      <c r="AG179" s="60" t="n">
        <v>5</v>
      </c>
      <c r="AH179" s="60" t="s">
        <v>382</v>
      </c>
      <c r="AI179" s="61" t="n">
        <f aca="false">(T179*(1-Painel!$C$40)+U179+V179+Painel!$C$41+Painel!$C$42*CEILING(G179/100,1)+Painel!$C$43*CEILING(G179,1)+Z179)/(1-Resumo!$B$5)</f>
        <v>136.406102272727</v>
      </c>
      <c r="AJ179" s="60" t="str">
        <f aca="false">IF(AI179&lt;S179,"SIM","NÃO")</f>
        <v>NÃO</v>
      </c>
    </row>
    <row r="180" customFormat="false" ht="15" hidden="false" customHeight="false" outlineLevel="0" collapsed="false">
      <c r="A180" s="59" t="n">
        <v>46217.4078935185</v>
      </c>
      <c r="B180" s="60" t="s">
        <v>556</v>
      </c>
      <c r="C180" s="60" t="n">
        <v>22783412</v>
      </c>
      <c r="D180" s="60" t="s">
        <v>46</v>
      </c>
      <c r="E180" s="60" t="s">
        <v>22</v>
      </c>
      <c r="F180" s="60" t="s">
        <v>241</v>
      </c>
      <c r="G180" s="60" t="n">
        <v>145.8</v>
      </c>
      <c r="H180" s="61" t="n">
        <v>1994.99</v>
      </c>
      <c r="I180" s="61" t="n">
        <v>120.59</v>
      </c>
      <c r="J180" s="61" t="n">
        <f aca="false">H180*Resumo!$C$6</f>
        <v>0</v>
      </c>
      <c r="K180" s="61" t="n">
        <f aca="false">H180*Resumo!$C$7</f>
        <v>4.189479</v>
      </c>
      <c r="L180" s="61" t="n">
        <f aca="false">H180*Resumo!$C$8</f>
        <v>4.189479</v>
      </c>
      <c r="M180" s="61" t="n">
        <f aca="false">Resumo!$C$10*CEILING(G180/100,1)</f>
        <v>2.1</v>
      </c>
      <c r="N180" s="61" t="n">
        <f aca="false">Resumo!$C$9</f>
        <v>0</v>
      </c>
      <c r="O180" s="61" t="n">
        <f aca="false">Resumo!$C$13</f>
        <v>13.55</v>
      </c>
      <c r="P180" s="61" t="n">
        <f aca="false">Resumo!$C$14*CEILING(G180,1)</f>
        <v>65.7</v>
      </c>
      <c r="Q180" s="61" t="n">
        <f aca="false">SUM(I180:P180)*Resumo!$C$11</f>
        <v>0</v>
      </c>
      <c r="R180" s="61" t="n">
        <f aca="false">SUM(I180:Q180)</f>
        <v>210.318958</v>
      </c>
      <c r="S180" s="61" t="n">
        <f aca="false">R180/(1-Resumo!$C$5)</f>
        <v>238.998815909091</v>
      </c>
      <c r="T180" s="61" t="n">
        <v>239.25</v>
      </c>
      <c r="U180" s="61" t="n">
        <f aca="false">H180*Resumo!$B$6</f>
        <v>1.99499</v>
      </c>
      <c r="V180" s="61" t="n">
        <f aca="false">H180*Resumo!$B$7</f>
        <v>3.98998</v>
      </c>
      <c r="W180" s="61" t="n">
        <f aca="false">Resumo!$B$9</f>
        <v>1</v>
      </c>
      <c r="X180" s="61" t="n">
        <f aca="false">Resumo!$B$10*CEILING(G180/100,1)</f>
        <v>9</v>
      </c>
      <c r="Y180" s="61" t="n">
        <f aca="false">Resumo!$B$12*CEILING(G180,1)</f>
        <v>8.76</v>
      </c>
      <c r="Z180" s="61" t="n">
        <f aca="false">Resumo!$B$14*CEILING(G180,1)</f>
        <v>65.7</v>
      </c>
      <c r="AA180" s="61" t="n">
        <f aca="false">SUM(T180:Z180)</f>
        <v>329.69497</v>
      </c>
      <c r="AB180" s="61" t="n">
        <f aca="false">AA180/(1-Resumo!$B$5)</f>
        <v>374.653375</v>
      </c>
      <c r="AC180" s="61" t="n">
        <f aca="false">AB180-S180</f>
        <v>135.654559090909</v>
      </c>
      <c r="AD180" s="62" t="n">
        <f aca="false">AB180/S180-1</f>
        <v>0.567595109519324</v>
      </c>
      <c r="AE180" s="60" t="str">
        <f aca="false">IF(AB180&lt;S180,"SIM","NÃO")</f>
        <v>NÃO</v>
      </c>
      <c r="AF180" s="60" t="n">
        <v>2</v>
      </c>
      <c r="AG180" s="60" t="n">
        <v>5</v>
      </c>
      <c r="AH180" s="60" t="s">
        <v>382</v>
      </c>
      <c r="AI180" s="61" t="n">
        <f aca="false">(T180*(1-Painel!$C$40)+U180+V180+Painel!$C$41+Painel!$C$42*CEILING(G180/100,1)+Painel!$C$43*CEILING(G180,1)+Z180)/(1-Resumo!$B$5)</f>
        <v>267.139170454546</v>
      </c>
      <c r="AJ180" s="60" t="str">
        <f aca="false">IF(AI180&lt;S180,"SIM","NÃO")</f>
        <v>NÃO</v>
      </c>
    </row>
    <row r="181" customFormat="false" ht="15" hidden="false" customHeight="false" outlineLevel="0" collapsed="false">
      <c r="A181" s="59" t="n">
        <v>46217.4091550926</v>
      </c>
      <c r="B181" s="60" t="s">
        <v>557</v>
      </c>
      <c r="C181" s="60" t="n">
        <v>20560001</v>
      </c>
      <c r="D181" s="60" t="s">
        <v>46</v>
      </c>
      <c r="E181" s="60" t="s">
        <v>22</v>
      </c>
      <c r="F181" s="60" t="s">
        <v>235</v>
      </c>
      <c r="G181" s="60" t="n">
        <v>41</v>
      </c>
      <c r="H181" s="61" t="n">
        <v>509.99</v>
      </c>
      <c r="I181" s="61" t="n">
        <v>53.55</v>
      </c>
      <c r="J181" s="61" t="n">
        <f aca="false">H181*Resumo!$C$6</f>
        <v>0</v>
      </c>
      <c r="K181" s="61" t="n">
        <f aca="false">H181*Resumo!$C$7</f>
        <v>1.070979</v>
      </c>
      <c r="L181" s="61" t="n">
        <f aca="false">H181*Resumo!$C$8</f>
        <v>1.070979</v>
      </c>
      <c r="M181" s="61" t="n">
        <f aca="false">Resumo!$C$10*CEILING(G181/100,1)</f>
        <v>1.05</v>
      </c>
      <c r="N181" s="61" t="n">
        <f aca="false">Resumo!$C$9</f>
        <v>0</v>
      </c>
      <c r="O181" s="61" t="n">
        <f aca="false">Resumo!$C$13</f>
        <v>13.55</v>
      </c>
      <c r="P181" s="61" t="n">
        <f aca="false">Resumo!$C$14*CEILING(G181,1)</f>
        <v>18.45</v>
      </c>
      <c r="Q181" s="61" t="n">
        <f aca="false">SUM(I181:P181)*Resumo!$C$11</f>
        <v>0</v>
      </c>
      <c r="R181" s="61" t="n">
        <f aca="false">SUM(I181:Q181)</f>
        <v>88.741958</v>
      </c>
      <c r="S181" s="61" t="n">
        <f aca="false">R181/(1-Resumo!$C$5)</f>
        <v>100.843134090909</v>
      </c>
      <c r="T181" s="61" t="n">
        <v>93.97</v>
      </c>
      <c r="U181" s="61" t="n">
        <f aca="false">H181*Resumo!$B$6</f>
        <v>0.50999</v>
      </c>
      <c r="V181" s="61" t="n">
        <f aca="false">H181*Resumo!$B$7</f>
        <v>1.01998</v>
      </c>
      <c r="W181" s="61" t="n">
        <f aca="false">Resumo!$B$9</f>
        <v>1</v>
      </c>
      <c r="X181" s="61" t="n">
        <f aca="false">Resumo!$B$10*CEILING(G181/100,1)</f>
        <v>4.5</v>
      </c>
      <c r="Y181" s="61" t="n">
        <f aca="false">Resumo!$B$12*CEILING(G181,1)</f>
        <v>2.46</v>
      </c>
      <c r="Z181" s="61" t="n">
        <f aca="false">Resumo!$B$14*CEILING(G181,1)</f>
        <v>18.45</v>
      </c>
      <c r="AA181" s="61" t="n">
        <f aca="false">SUM(T181:Z181)</f>
        <v>121.90997</v>
      </c>
      <c r="AB181" s="61" t="n">
        <f aca="false">AA181/(1-Resumo!$B$5)</f>
        <v>138.534056818182</v>
      </c>
      <c r="AC181" s="61" t="n">
        <f aca="false">AB181-S181</f>
        <v>37.6909227272727</v>
      </c>
      <c r="AD181" s="62" t="n">
        <f aca="false">AB181/S181-1</f>
        <v>0.373757946607399</v>
      </c>
      <c r="AE181" s="60" t="str">
        <f aca="false">IF(AB181&lt;S181,"SIM","NÃO")</f>
        <v>NÃO</v>
      </c>
      <c r="AF181" s="60" t="n">
        <v>2</v>
      </c>
      <c r="AG181" s="60" t="n">
        <v>5</v>
      </c>
      <c r="AH181" s="60" t="s">
        <v>382</v>
      </c>
      <c r="AI181" s="61" t="n">
        <f aca="false">(T181*(1-Painel!$C$40)+U181+V181+Painel!$C$41+Painel!$C$42*CEILING(G181/100,1)+Painel!$C$43*CEILING(G181,1)+Z181)/(1-Resumo!$B$5)</f>
        <v>96.5793977272727</v>
      </c>
      <c r="AJ181" s="60" t="str">
        <f aca="false">IF(AI181&lt;S181,"SIM","NÃO")</f>
        <v>SIM</v>
      </c>
    </row>
    <row r="182" customFormat="false" ht="15" hidden="false" customHeight="false" outlineLevel="0" collapsed="false">
      <c r="A182" s="59" t="n">
        <v>46217.4829166667</v>
      </c>
      <c r="B182" s="60" t="s">
        <v>558</v>
      </c>
      <c r="C182" s="60" t="n">
        <v>24130775</v>
      </c>
      <c r="D182" s="60" t="s">
        <v>50</v>
      </c>
      <c r="E182" s="60" t="s">
        <v>23</v>
      </c>
      <c r="F182" s="60" t="s">
        <v>236</v>
      </c>
      <c r="G182" s="60" t="n">
        <v>52.3</v>
      </c>
      <c r="H182" s="61" t="n">
        <v>650.86</v>
      </c>
      <c r="I182" s="61" t="n">
        <v>70.98</v>
      </c>
      <c r="J182" s="61" t="n">
        <f aca="false">H182*Resumo!$C$6</f>
        <v>0</v>
      </c>
      <c r="K182" s="61" t="n">
        <f aca="false">H182*Resumo!$C$7</f>
        <v>1.366806</v>
      </c>
      <c r="L182" s="61" t="n">
        <f aca="false">H182*Resumo!$C$8</f>
        <v>1.366806</v>
      </c>
      <c r="M182" s="61" t="n">
        <f aca="false">Resumo!$C$10*CEILING(G182/100,1)</f>
        <v>1.05</v>
      </c>
      <c r="N182" s="61" t="n">
        <f aca="false">Resumo!$C$9</f>
        <v>0</v>
      </c>
      <c r="O182" s="61" t="n">
        <f aca="false">Resumo!$C$13</f>
        <v>13.55</v>
      </c>
      <c r="P182" s="61" t="n">
        <f aca="false">Resumo!$C$14*CEILING(G182,1)</f>
        <v>23.85</v>
      </c>
      <c r="Q182" s="61" t="n">
        <f aca="false">SUM(I182:P182)*Resumo!$C$11</f>
        <v>0</v>
      </c>
      <c r="R182" s="61" t="n">
        <f aca="false">SUM(I182:Q182)</f>
        <v>112.163612</v>
      </c>
      <c r="S182" s="61" t="n">
        <f aca="false">R182/(1-Resumo!$C$5)</f>
        <v>127.45865</v>
      </c>
      <c r="T182" s="61" t="n">
        <v>128.14</v>
      </c>
      <c r="U182" s="61" t="n">
        <f aca="false">H182*Resumo!$B$6</f>
        <v>0.65086</v>
      </c>
      <c r="V182" s="61" t="n">
        <f aca="false">H182*Resumo!$B$7</f>
        <v>1.30172</v>
      </c>
      <c r="W182" s="61" t="n">
        <f aca="false">Resumo!$B$9</f>
        <v>1</v>
      </c>
      <c r="X182" s="61" t="n">
        <f aca="false">Resumo!$B$10*CEILING(G182/100,1)</f>
        <v>4.5</v>
      </c>
      <c r="Y182" s="61" t="n">
        <f aca="false">Resumo!$B$12*CEILING(G182,1)</f>
        <v>3.18</v>
      </c>
      <c r="Z182" s="61" t="n">
        <f aca="false">Resumo!$B$14*CEILING(G182,1)</f>
        <v>23.85</v>
      </c>
      <c r="AA182" s="61" t="n">
        <f aca="false">SUM(T182:Z182)</f>
        <v>162.62258</v>
      </c>
      <c r="AB182" s="61" t="n">
        <f aca="false">AA182/(1-Resumo!$B$5)</f>
        <v>184.798386363636</v>
      </c>
      <c r="AC182" s="61" t="n">
        <f aca="false">AB182-S182</f>
        <v>57.3397363636363</v>
      </c>
      <c r="AD182" s="62" t="n">
        <f aca="false">AB182/S182-1</f>
        <v>0.449869321255453</v>
      </c>
      <c r="AE182" s="60" t="str">
        <f aca="false">IF(AB182&lt;S182,"SIM","NÃO")</f>
        <v>NÃO</v>
      </c>
      <c r="AF182" s="60" t="n">
        <v>2</v>
      </c>
      <c r="AG182" s="60" t="n">
        <v>7</v>
      </c>
      <c r="AH182" s="60" t="s">
        <v>382</v>
      </c>
      <c r="AI182" s="61" t="n">
        <f aca="false">(T182*(1-Painel!$C$40)+U182+V182+Painel!$C$41+Painel!$C$42*CEILING(G182/100,1)+Painel!$C$43*CEILING(G182,1)+Z182)/(1-Resumo!$B$5)</f>
        <v>129.211795454545</v>
      </c>
      <c r="AJ182" s="60" t="str">
        <f aca="false">IF(AI182&lt;S182,"SIM","NÃO")</f>
        <v>NÃO</v>
      </c>
    </row>
    <row r="183" customFormat="false" ht="15" hidden="false" customHeight="false" outlineLevel="0" collapsed="false">
      <c r="A183" s="59" t="n">
        <v>46217.5426041667</v>
      </c>
      <c r="B183" s="60" t="s">
        <v>559</v>
      </c>
      <c r="C183" s="60" t="n">
        <v>21031700</v>
      </c>
      <c r="D183" s="60" t="s">
        <v>46</v>
      </c>
      <c r="E183" s="60" t="s">
        <v>22</v>
      </c>
      <c r="F183" s="60" t="s">
        <v>235</v>
      </c>
      <c r="G183" s="60" t="n">
        <v>41</v>
      </c>
      <c r="H183" s="61" t="n">
        <v>559.99</v>
      </c>
      <c r="I183" s="61" t="n">
        <v>53.55</v>
      </c>
      <c r="J183" s="61" t="n">
        <f aca="false">H183*Resumo!$C$6</f>
        <v>0</v>
      </c>
      <c r="K183" s="61" t="n">
        <f aca="false">H183*Resumo!$C$7</f>
        <v>1.175979</v>
      </c>
      <c r="L183" s="61" t="n">
        <f aca="false">H183*Resumo!$C$8</f>
        <v>1.175979</v>
      </c>
      <c r="M183" s="61" t="n">
        <f aca="false">Resumo!$C$10*CEILING(G183/100,1)</f>
        <v>1.05</v>
      </c>
      <c r="N183" s="61" t="n">
        <f aca="false">Resumo!$C$9</f>
        <v>0</v>
      </c>
      <c r="O183" s="61" t="n">
        <f aca="false">Resumo!$C$13</f>
        <v>13.55</v>
      </c>
      <c r="P183" s="61" t="n">
        <f aca="false">Resumo!$C$14*CEILING(G183,1)</f>
        <v>18.45</v>
      </c>
      <c r="Q183" s="61" t="n">
        <f aca="false">SUM(I183:P183)*Resumo!$C$11</f>
        <v>0</v>
      </c>
      <c r="R183" s="61" t="n">
        <f aca="false">SUM(I183:Q183)</f>
        <v>88.951958</v>
      </c>
      <c r="S183" s="61" t="n">
        <f aca="false">R183/(1-Resumo!$C$5)</f>
        <v>101.081770454545</v>
      </c>
      <c r="T183" s="61" t="n">
        <v>93.97</v>
      </c>
      <c r="U183" s="61" t="n">
        <f aca="false">H183*Resumo!$B$6</f>
        <v>0.55999</v>
      </c>
      <c r="V183" s="61" t="n">
        <f aca="false">H183*Resumo!$B$7</f>
        <v>1.11998</v>
      </c>
      <c r="W183" s="61" t="n">
        <f aca="false">Resumo!$B$9</f>
        <v>1</v>
      </c>
      <c r="X183" s="61" t="n">
        <f aca="false">Resumo!$B$10*CEILING(G183/100,1)</f>
        <v>4.5</v>
      </c>
      <c r="Y183" s="61" t="n">
        <f aca="false">Resumo!$B$12*CEILING(G183,1)</f>
        <v>2.46</v>
      </c>
      <c r="Z183" s="61" t="n">
        <f aca="false">Resumo!$B$14*CEILING(G183,1)</f>
        <v>18.45</v>
      </c>
      <c r="AA183" s="61" t="n">
        <f aca="false">SUM(T183:Z183)</f>
        <v>122.05997</v>
      </c>
      <c r="AB183" s="61" t="n">
        <f aca="false">AA183/(1-Resumo!$B$5)</f>
        <v>138.704511363636</v>
      </c>
      <c r="AC183" s="61" t="n">
        <f aca="false">AB183-S183</f>
        <v>37.6227409090909</v>
      </c>
      <c r="AD183" s="62" t="n">
        <f aca="false">AB183/S183-1</f>
        <v>0.372201048120829</v>
      </c>
      <c r="AE183" s="60" t="str">
        <f aca="false">IF(AB183&lt;S183,"SIM","NÃO")</f>
        <v>NÃO</v>
      </c>
      <c r="AF183" s="60" t="n">
        <v>2</v>
      </c>
      <c r="AG183" s="60" t="n">
        <v>5</v>
      </c>
      <c r="AH183" s="60" t="s">
        <v>382</v>
      </c>
      <c r="AI183" s="61" t="n">
        <f aca="false">(T183*(1-Painel!$C$40)+U183+V183+Painel!$C$41+Painel!$C$42*CEILING(G183/100,1)+Painel!$C$43*CEILING(G183,1)+Z183)/(1-Resumo!$B$5)</f>
        <v>96.7498522727273</v>
      </c>
      <c r="AJ183" s="60" t="str">
        <f aca="false">IF(AI183&lt;S183,"SIM","NÃO")</f>
        <v>SIM</v>
      </c>
    </row>
    <row r="184" customFormat="false" ht="15" hidden="false" customHeight="false" outlineLevel="0" collapsed="false">
      <c r="A184" s="59" t="n">
        <v>46217.5465509259</v>
      </c>
      <c r="B184" s="60" t="s">
        <v>560</v>
      </c>
      <c r="C184" s="60" t="n">
        <v>20931005</v>
      </c>
      <c r="D184" s="60" t="s">
        <v>46</v>
      </c>
      <c r="E184" s="60" t="s">
        <v>22</v>
      </c>
      <c r="F184" s="60" t="s">
        <v>239</v>
      </c>
      <c r="G184" s="60" t="n">
        <v>81.7</v>
      </c>
      <c r="H184" s="61" t="n">
        <v>622.72</v>
      </c>
      <c r="I184" s="61" t="n">
        <v>83.79</v>
      </c>
      <c r="J184" s="61" t="n">
        <f aca="false">H184*Resumo!$C$6</f>
        <v>0</v>
      </c>
      <c r="K184" s="61" t="n">
        <f aca="false">H184*Resumo!$C$7</f>
        <v>1.307712</v>
      </c>
      <c r="L184" s="61" t="n">
        <f aca="false">H184*Resumo!$C$8</f>
        <v>1.307712</v>
      </c>
      <c r="M184" s="61" t="n">
        <f aca="false">Resumo!$C$10*CEILING(G184/100,1)</f>
        <v>1.05</v>
      </c>
      <c r="N184" s="61" t="n">
        <f aca="false">Resumo!$C$9</f>
        <v>0</v>
      </c>
      <c r="O184" s="61" t="n">
        <f aca="false">Resumo!$C$13</f>
        <v>13.55</v>
      </c>
      <c r="P184" s="61" t="n">
        <f aca="false">Resumo!$C$14*CEILING(G184,1)</f>
        <v>36.9</v>
      </c>
      <c r="Q184" s="61" t="n">
        <f aca="false">SUM(I184:P184)*Resumo!$C$11</f>
        <v>0</v>
      </c>
      <c r="R184" s="61" t="n">
        <f aca="false">SUM(I184:Q184)</f>
        <v>137.905424</v>
      </c>
      <c r="S184" s="61" t="n">
        <f aca="false">R184/(1-Resumo!$C$5)</f>
        <v>156.710709090909</v>
      </c>
      <c r="T184" s="61" t="n">
        <v>167.99</v>
      </c>
      <c r="U184" s="61" t="n">
        <f aca="false">H184*Resumo!$B$6</f>
        <v>0.62272</v>
      </c>
      <c r="V184" s="61" t="n">
        <f aca="false">H184*Resumo!$B$7</f>
        <v>1.24544</v>
      </c>
      <c r="W184" s="61" t="n">
        <f aca="false">Resumo!$B$9</f>
        <v>1</v>
      </c>
      <c r="X184" s="61" t="n">
        <f aca="false">Resumo!$B$10*CEILING(G184/100,1)</f>
        <v>4.5</v>
      </c>
      <c r="Y184" s="61" t="n">
        <f aca="false">Resumo!$B$12*CEILING(G184,1)</f>
        <v>4.92</v>
      </c>
      <c r="Z184" s="61" t="n">
        <f aca="false">Resumo!$B$14*CEILING(G184,1)</f>
        <v>36.9</v>
      </c>
      <c r="AA184" s="61" t="n">
        <f aca="false">SUM(T184:Z184)</f>
        <v>217.17816</v>
      </c>
      <c r="AB184" s="61" t="n">
        <f aca="false">AA184/(1-Resumo!$B$5)</f>
        <v>246.793363636364</v>
      </c>
      <c r="AC184" s="61" t="n">
        <f aca="false">AB184-S184</f>
        <v>90.0826545454546</v>
      </c>
      <c r="AD184" s="62" t="n">
        <f aca="false">AB184/S184-1</f>
        <v>0.574834068890576</v>
      </c>
      <c r="AE184" s="60" t="str">
        <f aca="false">IF(AB184&lt;S184,"SIM","NÃO")</f>
        <v>NÃO</v>
      </c>
      <c r="AF184" s="60" t="n">
        <v>2</v>
      </c>
      <c r="AG184" s="60" t="n">
        <v>5</v>
      </c>
      <c r="AH184" s="60" t="s">
        <v>382</v>
      </c>
      <c r="AI184" s="61" t="n">
        <f aca="false">(T184*(1-Painel!$C$40)+U184+V184+Painel!$C$41+Painel!$C$42*CEILING(G184/100,1)+Painel!$C$43*CEILING(G184,1)+Z184)/(1-Resumo!$B$5)</f>
        <v>174.28575</v>
      </c>
      <c r="AJ184" s="60" t="str">
        <f aca="false">IF(AI184&lt;S184,"SIM","NÃO")</f>
        <v>NÃO</v>
      </c>
    </row>
    <row r="185" customFormat="false" ht="15" hidden="false" customHeight="false" outlineLevel="0" collapsed="false">
      <c r="A185" s="59" t="n">
        <v>46217.6071296296</v>
      </c>
      <c r="B185" s="60" t="s">
        <v>561</v>
      </c>
      <c r="C185" s="60" t="n">
        <v>21852580</v>
      </c>
      <c r="D185" s="60" t="s">
        <v>46</v>
      </c>
      <c r="E185" s="60" t="s">
        <v>22</v>
      </c>
      <c r="F185" s="60" t="s">
        <v>233</v>
      </c>
      <c r="G185" s="60" t="n">
        <v>33.21</v>
      </c>
      <c r="H185" s="61" t="n">
        <v>439.99</v>
      </c>
      <c r="I185" s="61" t="n">
        <v>42.11</v>
      </c>
      <c r="J185" s="61" t="n">
        <f aca="false">H185*Resumo!$C$6</f>
        <v>0</v>
      </c>
      <c r="K185" s="61" t="n">
        <f aca="false">H185*Resumo!$C$7</f>
        <v>0.923979</v>
      </c>
      <c r="L185" s="61" t="n">
        <f aca="false">H185*Resumo!$C$8</f>
        <v>0.923979</v>
      </c>
      <c r="M185" s="61" t="n">
        <f aca="false">Resumo!$C$10*CEILING(G185/100,1)</f>
        <v>1.05</v>
      </c>
      <c r="N185" s="61" t="n">
        <f aca="false">Resumo!$C$9</f>
        <v>0</v>
      </c>
      <c r="O185" s="61" t="n">
        <f aca="false">Resumo!$C$13</f>
        <v>13.55</v>
      </c>
      <c r="P185" s="61" t="n">
        <f aca="false">Resumo!$C$14*CEILING(G185,1)</f>
        <v>15.3</v>
      </c>
      <c r="Q185" s="61" t="n">
        <f aca="false">SUM(I185:P185)*Resumo!$C$11</f>
        <v>0</v>
      </c>
      <c r="R185" s="61" t="n">
        <f aca="false">SUM(I185:Q185)</f>
        <v>73.857958</v>
      </c>
      <c r="S185" s="61" t="n">
        <f aca="false">R185/(1-Resumo!$C$5)</f>
        <v>83.9294977272727</v>
      </c>
      <c r="T185" s="61" t="n">
        <v>82.21</v>
      </c>
      <c r="U185" s="61" t="n">
        <f aca="false">H185*Resumo!$B$6</f>
        <v>0.43999</v>
      </c>
      <c r="V185" s="61" t="n">
        <f aca="false">H185*Resumo!$B$7</f>
        <v>0.87998</v>
      </c>
      <c r="W185" s="61" t="n">
        <f aca="false">Resumo!$B$9</f>
        <v>1</v>
      </c>
      <c r="X185" s="61" t="n">
        <f aca="false">Resumo!$B$10*CEILING(G185/100,1)</f>
        <v>4.5</v>
      </c>
      <c r="Y185" s="61" t="n">
        <f aca="false">Resumo!$B$12*CEILING(G185,1)</f>
        <v>2.04</v>
      </c>
      <c r="Z185" s="61" t="n">
        <f aca="false">Resumo!$B$14*CEILING(G185,1)</f>
        <v>15.3</v>
      </c>
      <c r="AA185" s="61" t="n">
        <f aca="false">SUM(T185:Z185)</f>
        <v>106.36997</v>
      </c>
      <c r="AB185" s="61" t="n">
        <f aca="false">AA185/(1-Resumo!$B$5)</f>
        <v>120.874965909091</v>
      </c>
      <c r="AC185" s="61" t="n">
        <f aca="false">AB185-S185</f>
        <v>36.9454681818182</v>
      </c>
      <c r="AD185" s="62" t="n">
        <f aca="false">AB185/S185-1</f>
        <v>0.440196464678864</v>
      </c>
      <c r="AE185" s="60" t="str">
        <f aca="false">IF(AB185&lt;S185,"SIM","NÃO")</f>
        <v>NÃO</v>
      </c>
      <c r="AF185" s="60" t="n">
        <v>2</v>
      </c>
      <c r="AG185" s="60" t="n">
        <v>5</v>
      </c>
      <c r="AH185" s="60" t="s">
        <v>382</v>
      </c>
      <c r="AI185" s="61" t="n">
        <f aca="false">(T185*(1-Painel!$C$40)+U185+V185+Painel!$C$41+Painel!$C$42*CEILING(G185/100,1)+Painel!$C$43*CEILING(G185,1)+Z185)/(1-Resumo!$B$5)</f>
        <v>83.8075795454545</v>
      </c>
      <c r="AJ185" s="60" t="str">
        <f aca="false">IF(AI185&lt;S185,"SIM","NÃO")</f>
        <v>SIM</v>
      </c>
    </row>
    <row r="186" customFormat="false" ht="15" hidden="false" customHeight="false" outlineLevel="0" collapsed="false">
      <c r="A186" s="59" t="n">
        <v>46217.6830671296</v>
      </c>
      <c r="B186" s="60" t="s">
        <v>562</v>
      </c>
      <c r="C186" s="60" t="n">
        <v>21235480</v>
      </c>
      <c r="D186" s="60" t="s">
        <v>46</v>
      </c>
      <c r="E186" s="60" t="s">
        <v>22</v>
      </c>
      <c r="F186" s="60" t="s">
        <v>233</v>
      </c>
      <c r="G186" s="60" t="n">
        <v>21.8</v>
      </c>
      <c r="H186" s="61" t="n">
        <v>319.99</v>
      </c>
      <c r="I186" s="61" t="n">
        <v>42.11</v>
      </c>
      <c r="J186" s="61" t="n">
        <f aca="false">H186*Resumo!$C$6</f>
        <v>0</v>
      </c>
      <c r="K186" s="61" t="n">
        <f aca="false">H186*Resumo!$C$7</f>
        <v>0.671979</v>
      </c>
      <c r="L186" s="61" t="n">
        <f aca="false">H186*Resumo!$C$8</f>
        <v>0.671979</v>
      </c>
      <c r="M186" s="61" t="n">
        <f aca="false">Resumo!$C$10*CEILING(G186/100,1)</f>
        <v>1.05</v>
      </c>
      <c r="N186" s="61" t="n">
        <f aca="false">Resumo!$C$9</f>
        <v>0</v>
      </c>
      <c r="O186" s="61" t="n">
        <f aca="false">Resumo!$C$13</f>
        <v>13.55</v>
      </c>
      <c r="P186" s="61" t="n">
        <f aca="false">Resumo!$C$14*CEILING(G186,1)</f>
        <v>9.9</v>
      </c>
      <c r="Q186" s="61" t="n">
        <f aca="false">SUM(I186:P186)*Resumo!$C$11</f>
        <v>0</v>
      </c>
      <c r="R186" s="61" t="n">
        <f aca="false">SUM(I186:Q186)</f>
        <v>67.953958</v>
      </c>
      <c r="S186" s="61" t="n">
        <f aca="false">R186/(1-Resumo!$C$5)</f>
        <v>77.2204068181818</v>
      </c>
      <c r="T186" s="61" t="n">
        <v>82.21</v>
      </c>
      <c r="U186" s="61" t="n">
        <f aca="false">H186*Resumo!$B$6</f>
        <v>0.31999</v>
      </c>
      <c r="V186" s="61" t="n">
        <f aca="false">H186*Resumo!$B$7</f>
        <v>0.63998</v>
      </c>
      <c r="W186" s="61" t="n">
        <f aca="false">Resumo!$B$9</f>
        <v>1</v>
      </c>
      <c r="X186" s="61" t="n">
        <f aca="false">Resumo!$B$10*CEILING(G186/100,1)</f>
        <v>4.5</v>
      </c>
      <c r="Y186" s="61" t="n">
        <f aca="false">Resumo!$B$12*CEILING(G186,1)</f>
        <v>1.32</v>
      </c>
      <c r="Z186" s="61" t="n">
        <f aca="false">Resumo!$B$14*CEILING(G186,1)</f>
        <v>9.9</v>
      </c>
      <c r="AA186" s="61" t="n">
        <f aca="false">SUM(T186:Z186)</f>
        <v>99.88997</v>
      </c>
      <c r="AB186" s="61" t="n">
        <f aca="false">AA186/(1-Resumo!$B$5)</f>
        <v>113.511329545455</v>
      </c>
      <c r="AC186" s="61" t="n">
        <f aca="false">AB186-S186</f>
        <v>36.2909227272727</v>
      </c>
      <c r="AD186" s="62" t="n">
        <f aca="false">AB186/S186-1</f>
        <v>0.469965443366816</v>
      </c>
      <c r="AE186" s="60" t="str">
        <f aca="false">IF(AB186&lt;S186,"SIM","NÃO")</f>
        <v>NÃO</v>
      </c>
      <c r="AF186" s="60" t="n">
        <v>2</v>
      </c>
      <c r="AG186" s="60" t="n">
        <v>5</v>
      </c>
      <c r="AH186" s="60" t="s">
        <v>382</v>
      </c>
      <c r="AI186" s="61" t="n">
        <f aca="false">(T186*(1-Painel!$C$40)+U186+V186+Painel!$C$41+Painel!$C$42*CEILING(G186/100,1)+Painel!$C$43*CEILING(G186,1)+Z186)/(1-Resumo!$B$5)</f>
        <v>77.262125</v>
      </c>
      <c r="AJ186" s="60" t="str">
        <f aca="false">IF(AI186&lt;S186,"SIM","NÃO")</f>
        <v>NÃO</v>
      </c>
    </row>
    <row r="187" customFormat="false" ht="15" hidden="false" customHeight="false" outlineLevel="0" collapsed="false">
      <c r="A187" s="59" t="n">
        <v>46217.7896064815</v>
      </c>
      <c r="B187" s="60" t="s">
        <v>563</v>
      </c>
      <c r="C187" s="60" t="n">
        <v>27211670</v>
      </c>
      <c r="D187" s="60" t="s">
        <v>217</v>
      </c>
      <c r="E187" s="60" t="s">
        <v>24</v>
      </c>
      <c r="F187" s="60" t="s">
        <v>239</v>
      </c>
      <c r="G187" s="60" t="n">
        <v>97.2</v>
      </c>
      <c r="H187" s="61" t="n">
        <v>1399.98</v>
      </c>
      <c r="I187" s="61" t="n">
        <v>109.63</v>
      </c>
      <c r="J187" s="61" t="n">
        <f aca="false">H187*Resumo!$C$6</f>
        <v>0</v>
      </c>
      <c r="K187" s="61" t="n">
        <f aca="false">H187*Resumo!$C$7</f>
        <v>2.939958</v>
      </c>
      <c r="L187" s="61" t="n">
        <f aca="false">H187*Resumo!$C$8</f>
        <v>2.939958</v>
      </c>
      <c r="M187" s="61" t="n">
        <f aca="false">Resumo!$C$10*CEILING(G187/100,1)</f>
        <v>1.05</v>
      </c>
      <c r="N187" s="61" t="n">
        <f aca="false">Resumo!$C$9</f>
        <v>0</v>
      </c>
      <c r="O187" s="61" t="n">
        <f aca="false">Resumo!$C$13</f>
        <v>13.55</v>
      </c>
      <c r="P187" s="61" t="n">
        <f aca="false">Resumo!$C$14*CEILING(G187,1)</f>
        <v>44.1</v>
      </c>
      <c r="Q187" s="61" t="n">
        <f aca="false">SUM(I187:P187)*Resumo!$C$11</f>
        <v>0</v>
      </c>
      <c r="R187" s="61" t="n">
        <f aca="false">SUM(I187:Q187)</f>
        <v>174.209916</v>
      </c>
      <c r="S187" s="61" t="n">
        <f aca="false">R187/(1-Resumo!$C$5)</f>
        <v>197.965813636364</v>
      </c>
      <c r="T187" s="61" t="n">
        <v>197.35</v>
      </c>
      <c r="U187" s="61" t="n">
        <f aca="false">H187*Resumo!$B$6</f>
        <v>1.39998</v>
      </c>
      <c r="V187" s="61" t="n">
        <f aca="false">H187*Resumo!$B$7</f>
        <v>2.79996</v>
      </c>
      <c r="W187" s="61" t="n">
        <f aca="false">Resumo!$B$9</f>
        <v>1</v>
      </c>
      <c r="X187" s="61" t="n">
        <f aca="false">Resumo!$B$10*CEILING(G187/100,1)</f>
        <v>4.5</v>
      </c>
      <c r="Y187" s="61" t="n">
        <f aca="false">Resumo!$B$12*CEILING(G187,1)</f>
        <v>5.88</v>
      </c>
      <c r="Z187" s="61" t="n">
        <f aca="false">Resumo!$B$14*CEILING(G187,1)</f>
        <v>44.1</v>
      </c>
      <c r="AA187" s="61" t="n">
        <f aca="false">SUM(T187:Z187)</f>
        <v>257.02994</v>
      </c>
      <c r="AB187" s="61" t="n">
        <f aca="false">AA187/(1-Resumo!$B$5)</f>
        <v>292.079477272727</v>
      </c>
      <c r="AC187" s="61" t="n">
        <f aca="false">AB187-S187</f>
        <v>94.1136636363636</v>
      </c>
      <c r="AD187" s="62" t="n">
        <f aca="false">AB187/S187-1</f>
        <v>0.475403615945719</v>
      </c>
      <c r="AE187" s="60" t="str">
        <f aca="false">IF(AB187&lt;S187,"SIM","NÃO")</f>
        <v>NÃO</v>
      </c>
      <c r="AF187" s="60" t="n">
        <v>13</v>
      </c>
      <c r="AG187" s="60" t="n">
        <v>10</v>
      </c>
      <c r="AH187" s="60" t="s">
        <v>382</v>
      </c>
      <c r="AI187" s="61" t="n">
        <f aca="false">(T187*(1-Painel!$C$40)+U187+V187+Painel!$C$41+Painel!$C$42*CEILING(G187/100,1)+Painel!$C$43*CEILING(G187,1)+Z187)/(1-Resumo!$B$5)</f>
        <v>207.470954545455</v>
      </c>
      <c r="AJ187" s="60" t="str">
        <f aca="false">IF(AI187&lt;S187,"SIM","NÃO")</f>
        <v>NÃO</v>
      </c>
    </row>
    <row r="188" customFormat="false" ht="15" hidden="false" customHeight="false" outlineLevel="0" collapsed="false">
      <c r="A188" s="59" t="n">
        <v>46217.8027430556</v>
      </c>
      <c r="B188" s="60" t="s">
        <v>564</v>
      </c>
      <c r="C188" s="60" t="n">
        <v>26041270</v>
      </c>
      <c r="D188" s="60" t="s">
        <v>49</v>
      </c>
      <c r="E188" s="60" t="s">
        <v>23</v>
      </c>
      <c r="F188" s="60" t="s">
        <v>235</v>
      </c>
      <c r="G188" s="60" t="n">
        <v>46.8</v>
      </c>
      <c r="H188" s="61" t="n">
        <v>599.99</v>
      </c>
      <c r="I188" s="61" t="n">
        <v>65.36</v>
      </c>
      <c r="J188" s="61" t="n">
        <f aca="false">H188*Resumo!$C$6</f>
        <v>0</v>
      </c>
      <c r="K188" s="61" t="n">
        <f aca="false">H188*Resumo!$C$7</f>
        <v>1.259979</v>
      </c>
      <c r="L188" s="61" t="n">
        <f aca="false">H188*Resumo!$C$8</f>
        <v>1.259979</v>
      </c>
      <c r="M188" s="61" t="n">
        <f aca="false">Resumo!$C$10*CEILING(G188/100,1)</f>
        <v>1.05</v>
      </c>
      <c r="N188" s="61" t="n">
        <f aca="false">Resumo!$C$9</f>
        <v>0</v>
      </c>
      <c r="O188" s="61" t="n">
        <f aca="false">Resumo!$C$13</f>
        <v>13.55</v>
      </c>
      <c r="P188" s="61" t="n">
        <f aca="false">Resumo!$C$14*CEILING(G188,1)</f>
        <v>21.15</v>
      </c>
      <c r="Q188" s="61" t="n">
        <f aca="false">SUM(I188:P188)*Resumo!$C$11</f>
        <v>0</v>
      </c>
      <c r="R188" s="61" t="n">
        <f aca="false">SUM(I188:Q188)</f>
        <v>103.629958</v>
      </c>
      <c r="S188" s="61" t="n">
        <f aca="false">R188/(1-Resumo!$C$5)</f>
        <v>117.761315909091</v>
      </c>
      <c r="T188" s="61" t="n">
        <v>93.97</v>
      </c>
      <c r="U188" s="61" t="n">
        <f aca="false">H188*Resumo!$B$6</f>
        <v>0.59999</v>
      </c>
      <c r="V188" s="61" t="n">
        <f aca="false">H188*Resumo!$B$7</f>
        <v>1.19998</v>
      </c>
      <c r="W188" s="61" t="n">
        <f aca="false">Resumo!$B$9</f>
        <v>1</v>
      </c>
      <c r="X188" s="61" t="n">
        <f aca="false">Resumo!$B$10*CEILING(G188/100,1)</f>
        <v>4.5</v>
      </c>
      <c r="Y188" s="61" t="n">
        <f aca="false">Resumo!$B$12*CEILING(G188,1)</f>
        <v>2.82</v>
      </c>
      <c r="Z188" s="61" t="n">
        <f aca="false">Resumo!$B$14*CEILING(G188,1)</f>
        <v>21.15</v>
      </c>
      <c r="AA188" s="61" t="n">
        <f aca="false">SUM(T188:Z188)</f>
        <v>125.23997</v>
      </c>
      <c r="AB188" s="61" t="n">
        <f aca="false">AA188/(1-Resumo!$B$5)</f>
        <v>142.318147727273</v>
      </c>
      <c r="AC188" s="61" t="n">
        <f aca="false">AB188-S188</f>
        <v>24.5568318181818</v>
      </c>
      <c r="AD188" s="62" t="n">
        <f aca="false">AB188/S188-1</f>
        <v>0.208530548666246</v>
      </c>
      <c r="AE188" s="60" t="str">
        <f aca="false">IF(AB188&lt;S188,"SIM","NÃO")</f>
        <v>NÃO</v>
      </c>
      <c r="AF188" s="60" t="n">
        <v>2</v>
      </c>
      <c r="AG188" s="60" t="n">
        <v>5</v>
      </c>
      <c r="AH188" s="60" t="s">
        <v>382</v>
      </c>
      <c r="AI188" s="61" t="n">
        <f aca="false">(T188*(1-Painel!$C$40)+U188+V188+Painel!$C$41+Painel!$C$42*CEILING(G188/100,1)+Painel!$C$43*CEILING(G188,1)+Z188)/(1-Resumo!$B$5)</f>
        <v>99.9543977272727</v>
      </c>
      <c r="AJ188" s="60" t="str">
        <f aca="false">IF(AI188&lt;S188,"SIM","NÃO")</f>
        <v>SIM</v>
      </c>
    </row>
    <row r="189" customFormat="false" ht="15" hidden="false" customHeight="false" outlineLevel="0" collapsed="false">
      <c r="A189" s="59" t="n">
        <v>46217.8602893519</v>
      </c>
      <c r="B189" s="60" t="s">
        <v>565</v>
      </c>
      <c r="C189" s="60" t="n">
        <v>20251060</v>
      </c>
      <c r="D189" s="60" t="s">
        <v>46</v>
      </c>
      <c r="E189" s="60" t="s">
        <v>22</v>
      </c>
      <c r="F189" s="60" t="s">
        <v>238</v>
      </c>
      <c r="G189" s="60" t="n">
        <v>78.7</v>
      </c>
      <c r="H189" s="61" t="n">
        <v>1551.99</v>
      </c>
      <c r="I189" s="61" t="n">
        <v>68.88</v>
      </c>
      <c r="J189" s="61" t="n">
        <f aca="false">H189*Resumo!$C$6</f>
        <v>0</v>
      </c>
      <c r="K189" s="61" t="n">
        <f aca="false">H189*Resumo!$C$7</f>
        <v>3.259179</v>
      </c>
      <c r="L189" s="61" t="n">
        <f aca="false">H189*Resumo!$C$8</f>
        <v>3.259179</v>
      </c>
      <c r="M189" s="61" t="n">
        <f aca="false">Resumo!$C$10*CEILING(G189/100,1)</f>
        <v>1.05</v>
      </c>
      <c r="N189" s="61" t="n">
        <f aca="false">Resumo!$C$9</f>
        <v>0</v>
      </c>
      <c r="O189" s="61" t="n">
        <f aca="false">Resumo!$C$13</f>
        <v>13.55</v>
      </c>
      <c r="P189" s="61" t="n">
        <f aca="false">Resumo!$C$14*CEILING(G189,1)</f>
        <v>35.55</v>
      </c>
      <c r="Q189" s="61" t="n">
        <f aca="false">SUM(I189:P189)*Resumo!$C$11</f>
        <v>0</v>
      </c>
      <c r="R189" s="61" t="n">
        <f aca="false">SUM(I189:Q189)</f>
        <v>125.548358</v>
      </c>
      <c r="S189" s="61" t="n">
        <f aca="false">R189/(1-Resumo!$C$5)</f>
        <v>142.668588636364</v>
      </c>
      <c r="T189" s="61" t="n">
        <v>134.39</v>
      </c>
      <c r="U189" s="61" t="n">
        <f aca="false">H189*Resumo!$B$6</f>
        <v>1.55199</v>
      </c>
      <c r="V189" s="61" t="n">
        <f aca="false">H189*Resumo!$B$7</f>
        <v>3.10398</v>
      </c>
      <c r="W189" s="61" t="n">
        <f aca="false">Resumo!$B$9</f>
        <v>1</v>
      </c>
      <c r="X189" s="61" t="n">
        <f aca="false">Resumo!$B$10*CEILING(G189/100,1)</f>
        <v>4.5</v>
      </c>
      <c r="Y189" s="61" t="n">
        <f aca="false">Resumo!$B$12*CEILING(G189,1)</f>
        <v>4.74</v>
      </c>
      <c r="Z189" s="61" t="n">
        <f aca="false">Resumo!$B$14*CEILING(G189,1)</f>
        <v>35.55</v>
      </c>
      <c r="AA189" s="61" t="n">
        <f aca="false">SUM(T189:Z189)</f>
        <v>184.83597</v>
      </c>
      <c r="AB189" s="61" t="n">
        <f aca="false">AA189/(1-Resumo!$B$5)</f>
        <v>210.040875</v>
      </c>
      <c r="AC189" s="61" t="n">
        <f aca="false">AB189-S189</f>
        <v>67.3722863636364</v>
      </c>
      <c r="AD189" s="62" t="n">
        <f aca="false">AB189/S189-1</f>
        <v>0.472229290326521</v>
      </c>
      <c r="AE189" s="60" t="str">
        <f aca="false">IF(AB189&lt;S189,"SIM","NÃO")</f>
        <v>NÃO</v>
      </c>
      <c r="AF189" s="60" t="n">
        <v>2</v>
      </c>
      <c r="AG189" s="60" t="n">
        <v>5</v>
      </c>
      <c r="AH189" s="60" t="s">
        <v>382</v>
      </c>
      <c r="AI189" s="61" t="n">
        <f aca="false">(T189*(1-Painel!$C$40)+U189+V189+Painel!$C$41+Painel!$C$42*CEILING(G189/100,1)+Painel!$C$43*CEILING(G189,1)+Z189)/(1-Resumo!$B$5)</f>
        <v>150.337806818182</v>
      </c>
      <c r="AJ189" s="60" t="str">
        <f aca="false">IF(AI189&lt;S189,"SIM","NÃO")</f>
        <v>NÃO</v>
      </c>
    </row>
    <row r="190" customFormat="false" ht="15" hidden="false" customHeight="false" outlineLevel="0" collapsed="false">
      <c r="A190" s="59" t="n">
        <v>46217.927650463</v>
      </c>
      <c r="B190" s="60" t="s">
        <v>566</v>
      </c>
      <c r="C190" s="60" t="n">
        <v>20397135</v>
      </c>
      <c r="D190" s="60" t="s">
        <v>46</v>
      </c>
      <c r="E190" s="60" t="s">
        <v>22</v>
      </c>
      <c r="F190" s="60" t="s">
        <v>235</v>
      </c>
      <c r="G190" s="60" t="n">
        <v>47.1</v>
      </c>
      <c r="H190" s="61" t="n">
        <v>619.99</v>
      </c>
      <c r="I190" s="61" t="n">
        <v>53.55</v>
      </c>
      <c r="J190" s="61" t="n">
        <f aca="false">H190*Resumo!$C$6</f>
        <v>0</v>
      </c>
      <c r="K190" s="61" t="n">
        <f aca="false">H190*Resumo!$C$7</f>
        <v>1.301979</v>
      </c>
      <c r="L190" s="61" t="n">
        <f aca="false">H190*Resumo!$C$8</f>
        <v>1.301979</v>
      </c>
      <c r="M190" s="61" t="n">
        <f aca="false">Resumo!$C$10*CEILING(G190/100,1)</f>
        <v>1.05</v>
      </c>
      <c r="N190" s="61" t="n">
        <f aca="false">Resumo!$C$9</f>
        <v>0</v>
      </c>
      <c r="O190" s="61" t="n">
        <f aca="false">Resumo!$C$13</f>
        <v>13.55</v>
      </c>
      <c r="P190" s="61" t="n">
        <f aca="false">Resumo!$C$14*CEILING(G190,1)</f>
        <v>21.6</v>
      </c>
      <c r="Q190" s="61" t="n">
        <f aca="false">SUM(I190:P190)*Resumo!$C$11</f>
        <v>0</v>
      </c>
      <c r="R190" s="61" t="n">
        <f aca="false">SUM(I190:Q190)</f>
        <v>92.353958</v>
      </c>
      <c r="S190" s="61" t="n">
        <f aca="false">R190/(1-Resumo!$C$5)</f>
        <v>104.947679545455</v>
      </c>
      <c r="T190" s="61" t="n">
        <v>93.97</v>
      </c>
      <c r="U190" s="61" t="n">
        <f aca="false">H190*Resumo!$B$6</f>
        <v>0.61999</v>
      </c>
      <c r="V190" s="61" t="n">
        <f aca="false">H190*Resumo!$B$7</f>
        <v>1.23998</v>
      </c>
      <c r="W190" s="61" t="n">
        <f aca="false">Resumo!$B$9</f>
        <v>1</v>
      </c>
      <c r="X190" s="61" t="n">
        <f aca="false">Resumo!$B$10*CEILING(G190/100,1)</f>
        <v>4.5</v>
      </c>
      <c r="Y190" s="61" t="n">
        <f aca="false">Resumo!$B$12*CEILING(G190,1)</f>
        <v>2.88</v>
      </c>
      <c r="Z190" s="61" t="n">
        <f aca="false">Resumo!$B$14*CEILING(G190,1)</f>
        <v>21.6</v>
      </c>
      <c r="AA190" s="61" t="n">
        <f aca="false">SUM(T190:Z190)</f>
        <v>125.80997</v>
      </c>
      <c r="AB190" s="61" t="n">
        <f aca="false">AA190/(1-Resumo!$B$5)</f>
        <v>142.965875</v>
      </c>
      <c r="AC190" s="61" t="n">
        <f aca="false">AB190-S190</f>
        <v>38.0181954545454</v>
      </c>
      <c r="AD190" s="62" t="n">
        <f aca="false">AB190/S190-1</f>
        <v>0.362258561782485</v>
      </c>
      <c r="AE190" s="60" t="str">
        <f aca="false">IF(AB190&lt;S190,"SIM","NÃO")</f>
        <v>NÃO</v>
      </c>
      <c r="AF190" s="60" t="n">
        <v>2</v>
      </c>
      <c r="AG190" s="60" t="n">
        <v>5</v>
      </c>
      <c r="AH190" s="60" t="s">
        <v>382</v>
      </c>
      <c r="AI190" s="61" t="n">
        <f aca="false">(T190*(1-Painel!$C$40)+U190+V190+Painel!$C$41+Painel!$C$42*CEILING(G190/100,1)+Painel!$C$43*CEILING(G190,1)+Z190)/(1-Resumo!$B$5)</f>
        <v>100.533943181818</v>
      </c>
      <c r="AJ190" s="60" t="str">
        <f aca="false">IF(AI190&lt;S190,"SIM","NÃO")</f>
        <v>SIM</v>
      </c>
    </row>
    <row r="191" customFormat="false" ht="15" hidden="false" customHeight="false" outlineLevel="0" collapsed="false">
      <c r="A191" s="59" t="n">
        <v>46217.9842476852</v>
      </c>
      <c r="B191" s="60" t="s">
        <v>567</v>
      </c>
      <c r="C191" s="60" t="n">
        <v>26022821</v>
      </c>
      <c r="D191" s="60" t="s">
        <v>49</v>
      </c>
      <c r="E191" s="60" t="s">
        <v>23</v>
      </c>
      <c r="F191" s="60" t="s">
        <v>233</v>
      </c>
      <c r="G191" s="60" t="n">
        <v>33</v>
      </c>
      <c r="H191" s="61" t="n">
        <v>399.99</v>
      </c>
      <c r="I191" s="61" t="n">
        <v>58.8</v>
      </c>
      <c r="J191" s="61" t="n">
        <f aca="false">H191*Resumo!$C$6</f>
        <v>0</v>
      </c>
      <c r="K191" s="61" t="n">
        <f aca="false">H191*Resumo!$C$7</f>
        <v>0.839979</v>
      </c>
      <c r="L191" s="61" t="n">
        <f aca="false">H191*Resumo!$C$8</f>
        <v>0.839979</v>
      </c>
      <c r="M191" s="61" t="n">
        <f aca="false">Resumo!$C$10*CEILING(G191/100,1)</f>
        <v>1.05</v>
      </c>
      <c r="N191" s="61" t="n">
        <f aca="false">Resumo!$C$9</f>
        <v>0</v>
      </c>
      <c r="O191" s="61" t="n">
        <f aca="false">Resumo!$C$13</f>
        <v>13.55</v>
      </c>
      <c r="P191" s="61" t="n">
        <f aca="false">Resumo!$C$14*CEILING(G191,1)</f>
        <v>14.85</v>
      </c>
      <c r="Q191" s="61" t="n">
        <f aca="false">SUM(I191:P191)*Resumo!$C$11</f>
        <v>0</v>
      </c>
      <c r="R191" s="61" t="n">
        <f aca="false">SUM(I191:Q191)</f>
        <v>89.929958</v>
      </c>
      <c r="S191" s="61" t="n">
        <f aca="false">R191/(1-Resumo!$C$5)</f>
        <v>102.193134090909</v>
      </c>
      <c r="T191" s="61" t="n">
        <v>82.21</v>
      </c>
      <c r="U191" s="61" t="n">
        <f aca="false">H191*Resumo!$B$6</f>
        <v>0.39999</v>
      </c>
      <c r="V191" s="61" t="n">
        <f aca="false">H191*Resumo!$B$7</f>
        <v>0.79998</v>
      </c>
      <c r="W191" s="61" t="n">
        <f aca="false">Resumo!$B$9</f>
        <v>1</v>
      </c>
      <c r="X191" s="61" t="n">
        <f aca="false">Resumo!$B$10*CEILING(G191/100,1)</f>
        <v>4.5</v>
      </c>
      <c r="Y191" s="61" t="n">
        <f aca="false">Resumo!$B$12*CEILING(G191,1)</f>
        <v>1.98</v>
      </c>
      <c r="Z191" s="61" t="n">
        <f aca="false">Resumo!$B$14*CEILING(G191,1)</f>
        <v>14.85</v>
      </c>
      <c r="AA191" s="61" t="n">
        <f aca="false">SUM(T191:Z191)</f>
        <v>105.73997</v>
      </c>
      <c r="AB191" s="61" t="n">
        <f aca="false">AA191/(1-Resumo!$B$5)</f>
        <v>120.159056818182</v>
      </c>
      <c r="AC191" s="61" t="n">
        <f aca="false">AB191-S191</f>
        <v>17.9659227272727</v>
      </c>
      <c r="AD191" s="62" t="n">
        <f aca="false">AB191/S191-1</f>
        <v>0.175803618189169</v>
      </c>
      <c r="AE191" s="60" t="str">
        <f aca="false">IF(AB191&lt;S191,"SIM","NÃO")</f>
        <v>NÃO</v>
      </c>
      <c r="AF191" s="60" t="n">
        <v>2</v>
      </c>
      <c r="AG191" s="60" t="n">
        <v>5</v>
      </c>
      <c r="AH191" s="60" t="s">
        <v>382</v>
      </c>
      <c r="AI191" s="61" t="n">
        <f aca="false">(T191*(1-Painel!$C$40)+U191+V191+Painel!$C$41+Painel!$C$42*CEILING(G191/100,1)+Painel!$C$43*CEILING(G191,1)+Z191)/(1-Resumo!$B$5)</f>
        <v>83.1598522727273</v>
      </c>
      <c r="AJ191" s="60" t="str">
        <f aca="false">IF(AI191&lt;S191,"SIM","NÃO")</f>
        <v>SIM</v>
      </c>
    </row>
    <row r="192" customFormat="false" ht="15" hidden="false" customHeight="false" outlineLevel="0" collapsed="false">
      <c r="A192" s="59" t="n">
        <v>46218.3675347222</v>
      </c>
      <c r="B192" s="60" t="s">
        <v>568</v>
      </c>
      <c r="C192" s="60" t="n">
        <v>25225210</v>
      </c>
      <c r="D192" s="60" t="s">
        <v>48</v>
      </c>
      <c r="E192" s="60" t="s">
        <v>23</v>
      </c>
      <c r="F192" s="60" t="s">
        <v>235</v>
      </c>
      <c r="G192" s="60" t="n">
        <v>40.5</v>
      </c>
      <c r="H192" s="61" t="n">
        <v>799.99</v>
      </c>
      <c r="I192" s="61" t="n">
        <v>65.36</v>
      </c>
      <c r="J192" s="61" t="n">
        <f aca="false">H192*Resumo!$C$6</f>
        <v>0</v>
      </c>
      <c r="K192" s="61" t="n">
        <f aca="false">H192*Resumo!$C$7</f>
        <v>1.679979</v>
      </c>
      <c r="L192" s="61" t="n">
        <f aca="false">H192*Resumo!$C$8</f>
        <v>1.679979</v>
      </c>
      <c r="M192" s="61" t="n">
        <f aca="false">Resumo!$C$10*CEILING(G192/100,1)</f>
        <v>1.05</v>
      </c>
      <c r="N192" s="61" t="n">
        <f aca="false">Resumo!$C$9</f>
        <v>0</v>
      </c>
      <c r="O192" s="61" t="n">
        <f aca="false">Resumo!$C$13</f>
        <v>13.55</v>
      </c>
      <c r="P192" s="61" t="n">
        <f aca="false">Resumo!$C$14*CEILING(G192,1)</f>
        <v>18.45</v>
      </c>
      <c r="Q192" s="61" t="n">
        <f aca="false">SUM(I192:P192)*Resumo!$C$11</f>
        <v>0</v>
      </c>
      <c r="R192" s="61" t="n">
        <f aca="false">SUM(I192:Q192)</f>
        <v>101.769958</v>
      </c>
      <c r="S192" s="61" t="n">
        <f aca="false">R192/(1-Resumo!$C$5)</f>
        <v>115.647679545455</v>
      </c>
      <c r="T192" s="61" t="n">
        <v>93.97</v>
      </c>
      <c r="U192" s="61" t="n">
        <f aca="false">H192*Resumo!$B$6</f>
        <v>0.79999</v>
      </c>
      <c r="V192" s="61" t="n">
        <f aca="false">H192*Resumo!$B$7</f>
        <v>1.59998</v>
      </c>
      <c r="W192" s="61" t="n">
        <f aca="false">Resumo!$B$9</f>
        <v>1</v>
      </c>
      <c r="X192" s="61" t="n">
        <f aca="false">Resumo!$B$10*CEILING(G192/100,1)</f>
        <v>4.5</v>
      </c>
      <c r="Y192" s="61" t="n">
        <f aca="false">Resumo!$B$12*CEILING(G192,1)</f>
        <v>2.46</v>
      </c>
      <c r="Z192" s="61" t="n">
        <f aca="false">Resumo!$B$14*CEILING(G192,1)</f>
        <v>18.45</v>
      </c>
      <c r="AA192" s="61" t="n">
        <f aca="false">SUM(T192:Z192)</f>
        <v>122.77997</v>
      </c>
      <c r="AB192" s="61" t="n">
        <f aca="false">AA192/(1-Resumo!$B$5)</f>
        <v>139.522693181818</v>
      </c>
      <c r="AC192" s="61" t="n">
        <f aca="false">AB192-S192</f>
        <v>23.8750136363636</v>
      </c>
      <c r="AD192" s="62" t="n">
        <f aca="false">AB192/S192-1</f>
        <v>0.206446110550621</v>
      </c>
      <c r="AE192" s="60" t="str">
        <f aca="false">IF(AB192&lt;S192,"SIM","NÃO")</f>
        <v>NÃO</v>
      </c>
      <c r="AF192" s="60" t="n">
        <v>2</v>
      </c>
      <c r="AG192" s="60" t="n">
        <v>5</v>
      </c>
      <c r="AH192" s="60" t="s">
        <v>382</v>
      </c>
      <c r="AI192" s="61" t="n">
        <f aca="false">(T192*(1-Painel!$C$40)+U192+V192+Painel!$C$41+Painel!$C$42*CEILING(G192/100,1)+Painel!$C$43*CEILING(G192,1)+Z192)/(1-Resumo!$B$5)</f>
        <v>97.5680340909091</v>
      </c>
      <c r="AJ192" s="60" t="str">
        <f aca="false">IF(AI192&lt;S192,"SIM","NÃO")</f>
        <v>SIM</v>
      </c>
    </row>
    <row r="193" customFormat="false" ht="15" hidden="false" customHeight="false" outlineLevel="0" collapsed="false">
      <c r="A193" s="59" t="n">
        <v>46218.6358101852</v>
      </c>
      <c r="B193" s="60" t="s">
        <v>569</v>
      </c>
      <c r="C193" s="60" t="n">
        <v>21512070</v>
      </c>
      <c r="D193" s="60" t="s">
        <v>46</v>
      </c>
      <c r="E193" s="60" t="s">
        <v>22</v>
      </c>
      <c r="F193" s="60" t="s">
        <v>236</v>
      </c>
      <c r="G193" s="60" t="n">
        <v>56.6</v>
      </c>
      <c r="H193" s="61" t="n">
        <v>1199.99</v>
      </c>
      <c r="I193" s="61" t="n">
        <v>58.6</v>
      </c>
      <c r="J193" s="61" t="n">
        <f aca="false">H193*Resumo!$C$6</f>
        <v>0</v>
      </c>
      <c r="K193" s="61" t="n">
        <f aca="false">H193*Resumo!$C$7</f>
        <v>2.519979</v>
      </c>
      <c r="L193" s="61" t="n">
        <f aca="false">H193*Resumo!$C$8</f>
        <v>2.519979</v>
      </c>
      <c r="M193" s="61" t="n">
        <f aca="false">Resumo!$C$10*CEILING(G193/100,1)</f>
        <v>1.05</v>
      </c>
      <c r="N193" s="61" t="n">
        <f aca="false">Resumo!$C$9</f>
        <v>0</v>
      </c>
      <c r="O193" s="61" t="n">
        <f aca="false">Resumo!$C$13</f>
        <v>13.55</v>
      </c>
      <c r="P193" s="61" t="n">
        <f aca="false">Resumo!$C$14*CEILING(G193,1)</f>
        <v>25.65</v>
      </c>
      <c r="Q193" s="61" t="n">
        <f aca="false">SUM(I193:P193)*Resumo!$C$11</f>
        <v>0</v>
      </c>
      <c r="R193" s="61" t="n">
        <f aca="false">SUM(I193:Q193)</f>
        <v>103.889958</v>
      </c>
      <c r="S193" s="61" t="n">
        <f aca="false">R193/(1-Resumo!$C$5)</f>
        <v>118.056770454545</v>
      </c>
      <c r="T193" s="61" t="n">
        <v>112.3</v>
      </c>
      <c r="U193" s="61" t="n">
        <f aca="false">H193*Resumo!$B$6</f>
        <v>1.19999</v>
      </c>
      <c r="V193" s="61" t="n">
        <f aca="false">H193*Resumo!$B$7</f>
        <v>2.39998</v>
      </c>
      <c r="W193" s="61" t="n">
        <f aca="false">Resumo!$B$9</f>
        <v>1</v>
      </c>
      <c r="X193" s="61" t="n">
        <f aca="false">Resumo!$B$10*CEILING(G193/100,1)</f>
        <v>4.5</v>
      </c>
      <c r="Y193" s="61" t="n">
        <f aca="false">Resumo!$B$12*CEILING(G193,1)</f>
        <v>3.42</v>
      </c>
      <c r="Z193" s="61" t="n">
        <f aca="false">Resumo!$B$14*CEILING(G193,1)</f>
        <v>25.65</v>
      </c>
      <c r="AA193" s="61" t="n">
        <f aca="false">SUM(T193:Z193)</f>
        <v>150.46997</v>
      </c>
      <c r="AB193" s="61" t="n">
        <f aca="false">AA193/(1-Resumo!$B$5)</f>
        <v>170.988602272727</v>
      </c>
      <c r="AC193" s="61" t="n">
        <f aca="false">AB193-S193</f>
        <v>52.9318318181818</v>
      </c>
      <c r="AD193" s="62" t="n">
        <f aca="false">AB193/S193-1</f>
        <v>0.44835913784853</v>
      </c>
      <c r="AE193" s="60" t="str">
        <f aca="false">IF(AB193&lt;S193,"SIM","NÃO")</f>
        <v>NÃO</v>
      </c>
      <c r="AF193" s="60" t="n">
        <v>2</v>
      </c>
      <c r="AG193" s="60" t="n">
        <v>5</v>
      </c>
      <c r="AH193" s="60" t="s">
        <v>382</v>
      </c>
      <c r="AI193" s="61" t="n">
        <f aca="false">(T193*(1-Painel!$C$40)+U193+V193+Painel!$C$41+Painel!$C$42*CEILING(G193/100,1)+Painel!$C$43*CEILING(G193,1)+Z193)/(1-Resumo!$B$5)</f>
        <v>121.069284090909</v>
      </c>
      <c r="AJ193" s="60" t="str">
        <f aca="false">IF(AI193&lt;S193,"SIM","NÃO")</f>
        <v>NÃO</v>
      </c>
    </row>
    <row r="194" customFormat="false" ht="15" hidden="false" customHeight="false" outlineLevel="0" collapsed="false">
      <c r="A194" s="59" t="n">
        <v>46218.6455324074</v>
      </c>
      <c r="B194" s="60" t="s">
        <v>570</v>
      </c>
      <c r="C194" s="60" t="n">
        <v>21911310</v>
      </c>
      <c r="D194" s="60" t="s">
        <v>46</v>
      </c>
      <c r="E194" s="60" t="s">
        <v>22</v>
      </c>
      <c r="F194" s="60" t="s">
        <v>233</v>
      </c>
      <c r="G194" s="60" t="n">
        <v>31.9</v>
      </c>
      <c r="H194" s="61" t="n">
        <v>508.42</v>
      </c>
      <c r="I194" s="61" t="n">
        <v>42.11</v>
      </c>
      <c r="J194" s="61" t="n">
        <f aca="false">H194*Resumo!$C$6</f>
        <v>0</v>
      </c>
      <c r="K194" s="61" t="n">
        <f aca="false">H194*Resumo!$C$7</f>
        <v>1.067682</v>
      </c>
      <c r="L194" s="61" t="n">
        <f aca="false">H194*Resumo!$C$8</f>
        <v>1.067682</v>
      </c>
      <c r="M194" s="61" t="n">
        <f aca="false">Resumo!$C$10*CEILING(G194/100,1)</f>
        <v>1.05</v>
      </c>
      <c r="N194" s="61" t="n">
        <f aca="false">Resumo!$C$9</f>
        <v>0</v>
      </c>
      <c r="O194" s="61" t="n">
        <f aca="false">Resumo!$C$13</f>
        <v>13.55</v>
      </c>
      <c r="P194" s="61" t="n">
        <f aca="false">Resumo!$C$14*CEILING(G194,1)</f>
        <v>14.4</v>
      </c>
      <c r="Q194" s="61" t="n">
        <f aca="false">SUM(I194:P194)*Resumo!$C$11</f>
        <v>0</v>
      </c>
      <c r="R194" s="61" t="n">
        <f aca="false">SUM(I194:Q194)</f>
        <v>73.245364</v>
      </c>
      <c r="S194" s="61" t="n">
        <f aca="false">R194/(1-Resumo!$C$5)</f>
        <v>83.2333681818182</v>
      </c>
      <c r="T194" s="61" t="n">
        <v>82.21</v>
      </c>
      <c r="U194" s="61" t="n">
        <f aca="false">H194*Resumo!$B$6</f>
        <v>0.50842</v>
      </c>
      <c r="V194" s="61" t="n">
        <f aca="false">H194*Resumo!$B$7</f>
        <v>1.01684</v>
      </c>
      <c r="W194" s="61" t="n">
        <f aca="false">Resumo!$B$9</f>
        <v>1</v>
      </c>
      <c r="X194" s="61" t="n">
        <f aca="false">Resumo!$B$10*CEILING(G194/100,1)</f>
        <v>4.5</v>
      </c>
      <c r="Y194" s="61" t="n">
        <f aca="false">Resumo!$B$12*CEILING(G194,1)</f>
        <v>1.92</v>
      </c>
      <c r="Z194" s="61" t="n">
        <f aca="false">Resumo!$B$14*CEILING(G194,1)</f>
        <v>14.4</v>
      </c>
      <c r="AA194" s="61" t="n">
        <f aca="false">SUM(T194:Z194)</f>
        <v>105.55526</v>
      </c>
      <c r="AB194" s="61" t="n">
        <f aca="false">AA194/(1-Resumo!$B$5)</f>
        <v>119.949159090909</v>
      </c>
      <c r="AC194" s="61" t="n">
        <f aca="false">AB194-S194</f>
        <v>36.7157909090909</v>
      </c>
      <c r="AD194" s="62" t="n">
        <f aca="false">AB194/S194-1</f>
        <v>0.441118648819876</v>
      </c>
      <c r="AE194" s="60" t="str">
        <f aca="false">IF(AB194&lt;S194,"SIM","NÃO")</f>
        <v>NÃO</v>
      </c>
      <c r="AF194" s="60" t="n">
        <v>2</v>
      </c>
      <c r="AG194" s="60" t="n">
        <v>5</v>
      </c>
      <c r="AH194" s="60" t="s">
        <v>382</v>
      </c>
      <c r="AI194" s="61" t="n">
        <f aca="false">(T194*(1-Painel!$C$40)+U194+V194+Painel!$C$41+Painel!$C$42*CEILING(G194/100,1)+Painel!$C$43*CEILING(G194,1)+Z194)/(1-Resumo!$B$5)</f>
        <v>83.0181363636364</v>
      </c>
      <c r="AJ194" s="60" t="str">
        <f aca="false">IF(AI194&lt;S194,"SIM","NÃO")</f>
        <v>SIM</v>
      </c>
    </row>
    <row r="195" customFormat="false" ht="15" hidden="false" customHeight="false" outlineLevel="0" collapsed="false">
      <c r="A195" s="59" t="n">
        <v>46218.6463425926</v>
      </c>
      <c r="B195" s="60" t="s">
        <v>571</v>
      </c>
      <c r="C195" s="60" t="n">
        <v>20940060</v>
      </c>
      <c r="D195" s="60" t="s">
        <v>46</v>
      </c>
      <c r="E195" s="60" t="s">
        <v>22</v>
      </c>
      <c r="F195" s="60" t="s">
        <v>233</v>
      </c>
      <c r="G195" s="60" t="n">
        <v>31.9</v>
      </c>
      <c r="H195" s="61" t="n">
        <v>466.39</v>
      </c>
      <c r="I195" s="61" t="n">
        <v>42.11</v>
      </c>
      <c r="J195" s="61" t="n">
        <f aca="false">H195*Resumo!$C$6</f>
        <v>0</v>
      </c>
      <c r="K195" s="61" t="n">
        <f aca="false">H195*Resumo!$C$7</f>
        <v>0.979419</v>
      </c>
      <c r="L195" s="61" t="n">
        <f aca="false">H195*Resumo!$C$8</f>
        <v>0.979419</v>
      </c>
      <c r="M195" s="61" t="n">
        <f aca="false">Resumo!$C$10*CEILING(G195/100,1)</f>
        <v>1.05</v>
      </c>
      <c r="N195" s="61" t="n">
        <f aca="false">Resumo!$C$9</f>
        <v>0</v>
      </c>
      <c r="O195" s="61" t="n">
        <f aca="false">Resumo!$C$13</f>
        <v>13.55</v>
      </c>
      <c r="P195" s="61" t="n">
        <f aca="false">Resumo!$C$14*CEILING(G195,1)</f>
        <v>14.4</v>
      </c>
      <c r="Q195" s="61" t="n">
        <f aca="false">SUM(I195:P195)*Resumo!$C$11</f>
        <v>0</v>
      </c>
      <c r="R195" s="61" t="n">
        <f aca="false">SUM(I195:Q195)</f>
        <v>73.068838</v>
      </c>
      <c r="S195" s="61" t="n">
        <f aca="false">R195/(1-Resumo!$C$5)</f>
        <v>83.0327704545455</v>
      </c>
      <c r="T195" s="61" t="n">
        <v>82.21</v>
      </c>
      <c r="U195" s="61" t="n">
        <f aca="false">H195*Resumo!$B$6</f>
        <v>0.46639</v>
      </c>
      <c r="V195" s="61" t="n">
        <f aca="false">H195*Resumo!$B$7</f>
        <v>0.93278</v>
      </c>
      <c r="W195" s="61" t="n">
        <f aca="false">Resumo!$B$9</f>
        <v>1</v>
      </c>
      <c r="X195" s="61" t="n">
        <f aca="false">Resumo!$B$10*CEILING(G195/100,1)</f>
        <v>4.5</v>
      </c>
      <c r="Y195" s="61" t="n">
        <f aca="false">Resumo!$B$12*CEILING(G195,1)</f>
        <v>1.92</v>
      </c>
      <c r="Z195" s="61" t="n">
        <f aca="false">Resumo!$B$14*CEILING(G195,1)</f>
        <v>14.4</v>
      </c>
      <c r="AA195" s="61" t="n">
        <f aca="false">SUM(T195:Z195)</f>
        <v>105.42917</v>
      </c>
      <c r="AB195" s="61" t="n">
        <f aca="false">AA195/(1-Resumo!$B$5)</f>
        <v>119.805875</v>
      </c>
      <c r="AC195" s="61" t="n">
        <f aca="false">AB195-S195</f>
        <v>36.7731045454545</v>
      </c>
      <c r="AD195" s="62" t="n">
        <f aca="false">AB195/S195-1</f>
        <v>0.442874594502242</v>
      </c>
      <c r="AE195" s="60" t="str">
        <f aca="false">IF(AB195&lt;S195,"SIM","NÃO")</f>
        <v>NÃO</v>
      </c>
      <c r="AF195" s="60" t="n">
        <v>2</v>
      </c>
      <c r="AG195" s="60" t="n">
        <v>5</v>
      </c>
      <c r="AH195" s="60" t="s">
        <v>382</v>
      </c>
      <c r="AI195" s="61" t="n">
        <f aca="false">(T195*(1-Painel!$C$40)+U195+V195+Painel!$C$41+Painel!$C$42*CEILING(G195/100,1)+Painel!$C$43*CEILING(G195,1)+Z195)/(1-Resumo!$B$5)</f>
        <v>82.8748522727273</v>
      </c>
      <c r="AJ195" s="60" t="str">
        <f aca="false">IF(AI195&lt;S195,"SIM","NÃO")</f>
        <v>SIM</v>
      </c>
    </row>
    <row r="196" customFormat="false" ht="15" hidden="false" customHeight="false" outlineLevel="0" collapsed="false">
      <c r="A196" s="59" t="n">
        <v>46218.7448263889</v>
      </c>
      <c r="B196" s="60" t="s">
        <v>572</v>
      </c>
      <c r="C196" s="60" t="n">
        <v>27963770</v>
      </c>
      <c r="D196" s="60" t="s">
        <v>53</v>
      </c>
      <c r="E196" s="60" t="s">
        <v>24</v>
      </c>
      <c r="F196" s="60" t="s">
        <v>234</v>
      </c>
      <c r="G196" s="60" t="n">
        <v>36</v>
      </c>
      <c r="H196" s="61" t="n">
        <v>395.26</v>
      </c>
      <c r="I196" s="61" t="n">
        <v>74.97</v>
      </c>
      <c r="J196" s="61" t="n">
        <f aca="false">H196*Resumo!$C$6</f>
        <v>0</v>
      </c>
      <c r="K196" s="61" t="n">
        <f aca="false">H196*Resumo!$C$7</f>
        <v>0.830046</v>
      </c>
      <c r="L196" s="61" t="n">
        <f aca="false">H196*Resumo!$C$8</f>
        <v>0.830046</v>
      </c>
      <c r="M196" s="61" t="n">
        <f aca="false">Resumo!$C$10*CEILING(G196/100,1)</f>
        <v>1.05</v>
      </c>
      <c r="N196" s="61" t="n">
        <f aca="false">Resumo!$C$9</f>
        <v>0</v>
      </c>
      <c r="O196" s="61" t="n">
        <f aca="false">Resumo!$C$13</f>
        <v>13.55</v>
      </c>
      <c r="P196" s="61" t="n">
        <f aca="false">Resumo!$C$14*CEILING(G196,1)</f>
        <v>16.2</v>
      </c>
      <c r="Q196" s="61" t="n">
        <f aca="false">SUM(I196:P196)*Resumo!$C$11</f>
        <v>0</v>
      </c>
      <c r="R196" s="61" t="n">
        <f aca="false">SUM(I196:Q196)</f>
        <v>107.430092</v>
      </c>
      <c r="S196" s="61" t="n">
        <f aca="false">R196/(1-Resumo!$C$5)</f>
        <v>122.07965</v>
      </c>
      <c r="T196" s="61" t="n">
        <v>143.04</v>
      </c>
      <c r="U196" s="61" t="n">
        <f aca="false">H196*Resumo!$B$6</f>
        <v>0.39526</v>
      </c>
      <c r="V196" s="61" t="n">
        <f aca="false">H196*Resumo!$B$7</f>
        <v>0.79052</v>
      </c>
      <c r="W196" s="61" t="n">
        <f aca="false">Resumo!$B$9</f>
        <v>1</v>
      </c>
      <c r="X196" s="61" t="n">
        <f aca="false">Resumo!$B$10*CEILING(G196/100,1)</f>
        <v>4.5</v>
      </c>
      <c r="Y196" s="61" t="n">
        <f aca="false">Resumo!$B$12*CEILING(G196,1)</f>
        <v>2.16</v>
      </c>
      <c r="Z196" s="61" t="n">
        <f aca="false">Resumo!$B$14*CEILING(G196,1)</f>
        <v>16.2</v>
      </c>
      <c r="AA196" s="61" t="n">
        <f aca="false">SUM(T196:Z196)</f>
        <v>168.08578</v>
      </c>
      <c r="AB196" s="61" t="n">
        <f aca="false">AA196/(1-Resumo!$B$5)</f>
        <v>191.006568181818</v>
      </c>
      <c r="AC196" s="61" t="n">
        <f aca="false">AB196-S196</f>
        <v>68.9269181818182</v>
      </c>
      <c r="AD196" s="62" t="n">
        <f aca="false">AB196/S196-1</f>
        <v>0.564606125442022</v>
      </c>
      <c r="AE196" s="60" t="str">
        <f aca="false">IF(AB196&lt;S196,"SIM","NÃO")</f>
        <v>NÃO</v>
      </c>
      <c r="AF196" s="60" t="n">
        <v>13</v>
      </c>
      <c r="AG196" s="60" t="n">
        <v>11</v>
      </c>
      <c r="AH196" s="60" t="s">
        <v>382</v>
      </c>
      <c r="AI196" s="61" t="n">
        <f aca="false">(T196*(1-Painel!$C$40)+U196+V196+Painel!$C$41+Painel!$C$42*CEILING(G196/100,1)+Painel!$C$43*CEILING(G196,1)+Z196)/(1-Resumo!$B$5)</f>
        <v>130.991568181818</v>
      </c>
      <c r="AJ196" s="60" t="str">
        <f aca="false">IF(AI196&lt;S196,"SIM","NÃO")</f>
        <v>NÃO</v>
      </c>
    </row>
    <row r="197" customFormat="false" ht="15" hidden="false" customHeight="false" outlineLevel="0" collapsed="false">
      <c r="A197" s="59" t="n">
        <v>46218.8727546296</v>
      </c>
      <c r="B197" s="60" t="s">
        <v>573</v>
      </c>
      <c r="C197" s="60" t="n">
        <v>25880000</v>
      </c>
      <c r="D197" s="60" t="s">
        <v>278</v>
      </c>
      <c r="E197" s="60" t="s">
        <v>24</v>
      </c>
      <c r="F197" s="60" t="s">
        <v>240</v>
      </c>
      <c r="G197" s="60" t="n">
        <v>109.7</v>
      </c>
      <c r="H197" s="61" t="n">
        <v>1225.68</v>
      </c>
      <c r="I197" s="61" t="n">
        <v>119.5</v>
      </c>
      <c r="J197" s="61" t="n">
        <f aca="false">H197*Resumo!$C$6</f>
        <v>0</v>
      </c>
      <c r="K197" s="61" t="n">
        <f aca="false">H197*Resumo!$C$7</f>
        <v>2.573928</v>
      </c>
      <c r="L197" s="61" t="n">
        <f aca="false">H197*Resumo!$C$8</f>
        <v>2.573928</v>
      </c>
      <c r="M197" s="61" t="n">
        <f aca="false">Resumo!$C$10*CEILING(G197/100,1)</f>
        <v>2.1</v>
      </c>
      <c r="N197" s="61" t="n">
        <f aca="false">Resumo!$C$9</f>
        <v>0</v>
      </c>
      <c r="O197" s="61" t="n">
        <f aca="false">Resumo!$C$13</f>
        <v>13.55</v>
      </c>
      <c r="P197" s="61" t="n">
        <f aca="false">Resumo!$C$14*CEILING(G197,1)</f>
        <v>49.5</v>
      </c>
      <c r="Q197" s="61" t="n">
        <f aca="false">SUM(I197:P197)*Resumo!$C$11</f>
        <v>0</v>
      </c>
      <c r="R197" s="61" t="n">
        <f aca="false">SUM(I197:Q197)</f>
        <v>189.797856</v>
      </c>
      <c r="S197" s="61" t="n">
        <f aca="false">R197/(1-Resumo!$C$5)</f>
        <v>215.679381818182</v>
      </c>
      <c r="T197" s="61" t="n">
        <v>236.82</v>
      </c>
      <c r="U197" s="61" t="n">
        <f aca="false">H197*Resumo!$B$6</f>
        <v>1.22568</v>
      </c>
      <c r="V197" s="61" t="n">
        <f aca="false">H197*Resumo!$B$7</f>
        <v>2.45136</v>
      </c>
      <c r="W197" s="61" t="n">
        <f aca="false">Resumo!$B$9</f>
        <v>1</v>
      </c>
      <c r="X197" s="61" t="n">
        <f aca="false">Resumo!$B$10*CEILING(G197/100,1)</f>
        <v>9</v>
      </c>
      <c r="Y197" s="61" t="n">
        <f aca="false">Resumo!$B$12*CEILING(G197,1)</f>
        <v>6.6</v>
      </c>
      <c r="Z197" s="61" t="n">
        <f aca="false">Resumo!$B$14*CEILING(G197,1)</f>
        <v>49.5</v>
      </c>
      <c r="AA197" s="61" t="n">
        <f aca="false">SUM(T197:Z197)</f>
        <v>306.59704</v>
      </c>
      <c r="AB197" s="61" t="n">
        <f aca="false">AA197/(1-Resumo!$B$5)</f>
        <v>348.405727272727</v>
      </c>
      <c r="AC197" s="61" t="n">
        <f aca="false">AB197-S197</f>
        <v>132.726345454545</v>
      </c>
      <c r="AD197" s="62" t="n">
        <f aca="false">AB197/S197-1</f>
        <v>0.615387267599061</v>
      </c>
      <c r="AE197" s="60" t="str">
        <f aca="false">IF(AB197&lt;S197,"SIM","NÃO")</f>
        <v>NÃO</v>
      </c>
      <c r="AF197" s="60" t="n">
        <v>13</v>
      </c>
      <c r="AG197" s="60" t="n">
        <v>10</v>
      </c>
      <c r="AH197" s="60" t="s">
        <v>385</v>
      </c>
      <c r="AI197" s="61" t="n">
        <f aca="false">(T197*(1-Painel!$C$40)+U197+V197+Painel!$C$41+Painel!$C$42*CEILING(G197/100,1)+Painel!$C$43*CEILING(G197,1)+Z197)/(1-Resumo!$B$5)</f>
        <v>244.257318181818</v>
      </c>
      <c r="AJ197" s="60" t="str">
        <f aca="false">IF(AI197&lt;S197,"SIM","NÃO")</f>
        <v>NÃO</v>
      </c>
    </row>
    <row r="198" customFormat="false" ht="15" hidden="false" customHeight="false" outlineLevel="0" collapsed="false">
      <c r="A198" s="59" t="n">
        <v>46218.8821296296</v>
      </c>
      <c r="B198" s="60" t="s">
        <v>574</v>
      </c>
      <c r="C198" s="60" t="n">
        <v>21010260</v>
      </c>
      <c r="D198" s="60" t="s">
        <v>46</v>
      </c>
      <c r="E198" s="60" t="s">
        <v>22</v>
      </c>
      <c r="F198" s="60" t="s">
        <v>233</v>
      </c>
      <c r="G198" s="60" t="n">
        <v>33</v>
      </c>
      <c r="H198" s="61" t="n">
        <v>419.99</v>
      </c>
      <c r="I198" s="61" t="n">
        <v>42.11</v>
      </c>
      <c r="J198" s="61" t="n">
        <f aca="false">H198*Resumo!$C$6</f>
        <v>0</v>
      </c>
      <c r="K198" s="61" t="n">
        <f aca="false">H198*Resumo!$C$7</f>
        <v>0.881979</v>
      </c>
      <c r="L198" s="61" t="n">
        <f aca="false">H198*Resumo!$C$8</f>
        <v>0.881979</v>
      </c>
      <c r="M198" s="61" t="n">
        <f aca="false">Resumo!$C$10*CEILING(G198/100,1)</f>
        <v>1.05</v>
      </c>
      <c r="N198" s="61" t="n">
        <f aca="false">Resumo!$C$9</f>
        <v>0</v>
      </c>
      <c r="O198" s="61" t="n">
        <f aca="false">Resumo!$C$13</f>
        <v>13.55</v>
      </c>
      <c r="P198" s="61" t="n">
        <f aca="false">Resumo!$C$14*CEILING(G198,1)</f>
        <v>14.85</v>
      </c>
      <c r="Q198" s="61" t="n">
        <f aca="false">SUM(I198:P198)*Resumo!$C$11</f>
        <v>0</v>
      </c>
      <c r="R198" s="61" t="n">
        <f aca="false">SUM(I198:Q198)</f>
        <v>73.323958</v>
      </c>
      <c r="S198" s="61" t="n">
        <f aca="false">R198/(1-Resumo!$C$5)</f>
        <v>83.3226795454546</v>
      </c>
      <c r="T198" s="61" t="n">
        <v>82.21</v>
      </c>
      <c r="U198" s="61" t="n">
        <f aca="false">H198*Resumo!$B$6</f>
        <v>0.41999</v>
      </c>
      <c r="V198" s="61" t="n">
        <f aca="false">H198*Resumo!$B$7</f>
        <v>0.83998</v>
      </c>
      <c r="W198" s="61" t="n">
        <f aca="false">Resumo!$B$9</f>
        <v>1</v>
      </c>
      <c r="X198" s="61" t="n">
        <f aca="false">Resumo!$B$10*CEILING(G198/100,1)</f>
        <v>4.5</v>
      </c>
      <c r="Y198" s="61" t="n">
        <f aca="false">Resumo!$B$12*CEILING(G198,1)</f>
        <v>1.98</v>
      </c>
      <c r="Z198" s="61" t="n">
        <f aca="false">Resumo!$B$14*CEILING(G198,1)</f>
        <v>14.85</v>
      </c>
      <c r="AA198" s="61" t="n">
        <f aca="false">SUM(T198:Z198)</f>
        <v>105.79997</v>
      </c>
      <c r="AB198" s="61" t="n">
        <f aca="false">AA198/(1-Resumo!$B$5)</f>
        <v>120.227238636364</v>
      </c>
      <c r="AC198" s="61" t="n">
        <f aca="false">AB198-S198</f>
        <v>36.9045590909091</v>
      </c>
      <c r="AD198" s="62" t="n">
        <f aca="false">AB198/S198-1</f>
        <v>0.442911333291637</v>
      </c>
      <c r="AE198" s="60" t="str">
        <f aca="false">IF(AB198&lt;S198,"SIM","NÃO")</f>
        <v>NÃO</v>
      </c>
      <c r="AF198" s="60" t="n">
        <v>2</v>
      </c>
      <c r="AG198" s="60" t="n">
        <v>5</v>
      </c>
      <c r="AH198" s="60" t="s">
        <v>382</v>
      </c>
      <c r="AI198" s="61" t="n">
        <f aca="false">(T198*(1-Painel!$C$40)+U198+V198+Painel!$C$41+Painel!$C$42*CEILING(G198/100,1)+Painel!$C$43*CEILING(G198,1)+Z198)/(1-Resumo!$B$5)</f>
        <v>83.2280340909091</v>
      </c>
      <c r="AJ198" s="60" t="str">
        <f aca="false">IF(AI198&lt;S198,"SIM","NÃO")</f>
        <v>SIM</v>
      </c>
    </row>
    <row r="199" customFormat="false" ht="15" hidden="false" customHeight="false" outlineLevel="0" collapsed="false">
      <c r="A199" s="59" t="n">
        <v>46218.9265625</v>
      </c>
      <c r="B199" s="60" t="s">
        <v>575</v>
      </c>
      <c r="C199" s="60" t="n">
        <v>28987608</v>
      </c>
      <c r="D199" s="60" t="s">
        <v>222</v>
      </c>
      <c r="E199" s="60" t="s">
        <v>24</v>
      </c>
      <c r="F199" s="60" t="s">
        <v>239</v>
      </c>
      <c r="G199" s="60" t="n">
        <v>81.7</v>
      </c>
      <c r="H199" s="61" t="n">
        <v>779.99</v>
      </c>
      <c r="I199" s="61" t="n">
        <v>109.63</v>
      </c>
      <c r="J199" s="61" t="n">
        <f aca="false">H199*Resumo!$C$6</f>
        <v>0</v>
      </c>
      <c r="K199" s="61" t="n">
        <f aca="false">H199*Resumo!$C$7</f>
        <v>1.637979</v>
      </c>
      <c r="L199" s="61" t="n">
        <f aca="false">H199*Resumo!$C$8</f>
        <v>1.637979</v>
      </c>
      <c r="M199" s="61" t="n">
        <f aca="false">Resumo!$C$10*CEILING(G199/100,1)</f>
        <v>1.05</v>
      </c>
      <c r="N199" s="61" t="n">
        <f aca="false">Resumo!$C$9</f>
        <v>0</v>
      </c>
      <c r="O199" s="61" t="n">
        <f aca="false">Resumo!$C$13</f>
        <v>13.55</v>
      </c>
      <c r="P199" s="61" t="n">
        <f aca="false">Resumo!$C$14*CEILING(G199,1)</f>
        <v>36.9</v>
      </c>
      <c r="Q199" s="61" t="n">
        <f aca="false">SUM(I199:P199)*Resumo!$C$11</f>
        <v>0</v>
      </c>
      <c r="R199" s="61" t="n">
        <f aca="false">SUM(I199:Q199)</f>
        <v>164.405958</v>
      </c>
      <c r="S199" s="61" t="n">
        <f aca="false">R199/(1-Resumo!$C$5)</f>
        <v>186.824952272727</v>
      </c>
      <c r="T199" s="61" t="n">
        <v>197.35</v>
      </c>
      <c r="U199" s="61" t="n">
        <f aca="false">H199*Resumo!$B$6</f>
        <v>0.77999</v>
      </c>
      <c r="V199" s="61" t="n">
        <f aca="false">H199*Resumo!$B$7</f>
        <v>1.55998</v>
      </c>
      <c r="W199" s="61" t="n">
        <f aca="false">Resumo!$B$9</f>
        <v>1</v>
      </c>
      <c r="X199" s="61" t="n">
        <f aca="false">Resumo!$B$10*CEILING(G199/100,1)</f>
        <v>4.5</v>
      </c>
      <c r="Y199" s="61" t="n">
        <f aca="false">Resumo!$B$12*CEILING(G199,1)</f>
        <v>4.92</v>
      </c>
      <c r="Z199" s="61" t="n">
        <f aca="false">Resumo!$B$14*CEILING(G199,1)</f>
        <v>36.9</v>
      </c>
      <c r="AA199" s="61" t="n">
        <f aca="false">SUM(T199:Z199)</f>
        <v>247.00997</v>
      </c>
      <c r="AB199" s="61" t="n">
        <f aca="false">AA199/(1-Resumo!$B$5)</f>
        <v>280.693147727273</v>
      </c>
      <c r="AC199" s="61" t="n">
        <f aca="false">AB199-S199</f>
        <v>93.8681954545455</v>
      </c>
      <c r="AD199" s="62" t="n">
        <f aca="false">AB199/S199-1</f>
        <v>0.502439285077491</v>
      </c>
      <c r="AE199" s="60" t="str">
        <f aca="false">IF(AB199&lt;S199,"SIM","NÃO")</f>
        <v>NÃO</v>
      </c>
      <c r="AF199" s="60" t="n">
        <v>13</v>
      </c>
      <c r="AG199" s="60" t="n">
        <v>10</v>
      </c>
      <c r="AH199" s="60" t="s">
        <v>382</v>
      </c>
      <c r="AI199" s="61" t="n">
        <f aca="false">(T199*(1-Painel!$C$40)+U199+V199+Painel!$C$41+Painel!$C$42*CEILING(G199/100,1)+Painel!$C$43*CEILING(G199,1)+Z199)/(1-Resumo!$B$5)</f>
        <v>197.175534090909</v>
      </c>
      <c r="AJ199" s="60" t="str">
        <f aca="false">IF(AI199&lt;S199,"SIM","NÃO")</f>
        <v>NÃO</v>
      </c>
    </row>
    <row r="200" customFormat="false" ht="15" hidden="false" customHeight="false" outlineLevel="0" collapsed="false">
      <c r="A200" s="59" t="n">
        <v>46218.948125</v>
      </c>
      <c r="B200" s="60" t="s">
        <v>576</v>
      </c>
      <c r="C200" s="60" t="n">
        <v>28380000</v>
      </c>
      <c r="D200" s="60" t="s">
        <v>312</v>
      </c>
      <c r="E200" s="60" t="s">
        <v>24</v>
      </c>
      <c r="F200" s="60" t="s">
        <v>235</v>
      </c>
      <c r="G200" s="60" t="n">
        <v>49.6</v>
      </c>
      <c r="H200" s="61" t="n">
        <v>683.99</v>
      </c>
      <c r="I200" s="61" t="n">
        <v>77.7</v>
      </c>
      <c r="J200" s="61" t="n">
        <f aca="false">H200*Resumo!$C$6</f>
        <v>0</v>
      </c>
      <c r="K200" s="61" t="n">
        <f aca="false">H200*Resumo!$C$7</f>
        <v>1.436379</v>
      </c>
      <c r="L200" s="61" t="n">
        <f aca="false">H200*Resumo!$C$8</f>
        <v>1.436379</v>
      </c>
      <c r="M200" s="61" t="n">
        <f aca="false">Resumo!$C$10*CEILING(G200/100,1)</f>
        <v>1.05</v>
      </c>
      <c r="N200" s="61" t="n">
        <f aca="false">Resumo!$C$9</f>
        <v>0</v>
      </c>
      <c r="O200" s="61" t="n">
        <f aca="false">Resumo!$C$13</f>
        <v>13.55</v>
      </c>
      <c r="P200" s="61" t="n">
        <f aca="false">Resumo!$C$14*CEILING(G200,1)</f>
        <v>22.5</v>
      </c>
      <c r="Q200" s="61" t="n">
        <f aca="false">SUM(I200:P200)*Resumo!$C$11</f>
        <v>0</v>
      </c>
      <c r="R200" s="61" t="n">
        <f aca="false">SUM(I200:Q200)</f>
        <v>117.672758</v>
      </c>
      <c r="S200" s="61" t="n">
        <f aca="false">R200/(1-Resumo!$C$5)</f>
        <v>133.719043181818</v>
      </c>
      <c r="T200" s="61" t="n">
        <v>152.54</v>
      </c>
      <c r="U200" s="61" t="n">
        <f aca="false">H200*Resumo!$B$6</f>
        <v>0.68399</v>
      </c>
      <c r="V200" s="61" t="n">
        <f aca="false">H200*Resumo!$B$7</f>
        <v>1.36798</v>
      </c>
      <c r="W200" s="61" t="n">
        <f aca="false">Resumo!$B$9</f>
        <v>1</v>
      </c>
      <c r="X200" s="61" t="n">
        <f aca="false">Resumo!$B$10*CEILING(G200/100,1)</f>
        <v>4.5</v>
      </c>
      <c r="Y200" s="61" t="n">
        <f aca="false">Resumo!$B$12*CEILING(G200,1)</f>
        <v>3</v>
      </c>
      <c r="Z200" s="61" t="n">
        <f aca="false">Resumo!$B$14*CEILING(G200,1)</f>
        <v>22.5</v>
      </c>
      <c r="AA200" s="61" t="n">
        <f aca="false">SUM(T200:Z200)</f>
        <v>185.59197</v>
      </c>
      <c r="AB200" s="61" t="n">
        <f aca="false">AA200/(1-Resumo!$B$5)</f>
        <v>210.899965909091</v>
      </c>
      <c r="AC200" s="61" t="n">
        <f aca="false">AB200-S200</f>
        <v>77.1809227272727</v>
      </c>
      <c r="AD200" s="62" t="n">
        <f aca="false">AB200/S200-1</f>
        <v>0.577187219492213</v>
      </c>
      <c r="AE200" s="60" t="str">
        <f aca="false">IF(AB200&lt;S200,"SIM","NÃO")</f>
        <v>NÃO</v>
      </c>
      <c r="AF200" s="60" t="n">
        <v>13</v>
      </c>
      <c r="AG200" s="60" t="n">
        <v>11</v>
      </c>
      <c r="AH200" s="60" t="s">
        <v>385</v>
      </c>
      <c r="AI200" s="61" t="n">
        <f aca="false">(T200*(1-Painel!$C$40)+U200+V200+Painel!$C$41+Painel!$C$42*CEILING(G200/100,1)+Painel!$C$43*CEILING(G200,1)+Z200)/(1-Resumo!$B$5)</f>
        <v>146.367920454545</v>
      </c>
      <c r="AJ200" s="60" t="str">
        <f aca="false">IF(AI200&lt;S200,"SIM","NÃO")</f>
        <v>NÃO</v>
      </c>
    </row>
    <row r="201" customFormat="false" ht="15" hidden="false" customHeight="false" outlineLevel="0" collapsed="false">
      <c r="A201" s="59" t="n">
        <v>46219.3428472222</v>
      </c>
      <c r="B201" s="60" t="s">
        <v>577</v>
      </c>
      <c r="C201" s="60" t="n">
        <v>25214410</v>
      </c>
      <c r="D201" s="60" t="s">
        <v>48</v>
      </c>
      <c r="E201" s="60" t="s">
        <v>23</v>
      </c>
      <c r="F201" s="60" t="s">
        <v>236</v>
      </c>
      <c r="G201" s="60" t="n">
        <v>52.3</v>
      </c>
      <c r="H201" s="61" t="n">
        <v>644.83</v>
      </c>
      <c r="I201" s="61" t="n">
        <v>70.98</v>
      </c>
      <c r="J201" s="61" t="n">
        <f aca="false">H201*Resumo!$C$6</f>
        <v>0</v>
      </c>
      <c r="K201" s="61" t="n">
        <f aca="false">H201*Resumo!$C$7</f>
        <v>1.354143</v>
      </c>
      <c r="L201" s="61" t="n">
        <f aca="false">H201*Resumo!$C$8</f>
        <v>1.354143</v>
      </c>
      <c r="M201" s="61" t="n">
        <f aca="false">Resumo!$C$10*CEILING(G201/100,1)</f>
        <v>1.05</v>
      </c>
      <c r="N201" s="61" t="n">
        <f aca="false">Resumo!$C$9</f>
        <v>0</v>
      </c>
      <c r="O201" s="61" t="n">
        <f aca="false">Resumo!$C$13</f>
        <v>13.55</v>
      </c>
      <c r="P201" s="61" t="n">
        <f aca="false">Resumo!$C$14*CEILING(G201,1)</f>
        <v>23.85</v>
      </c>
      <c r="Q201" s="61" t="n">
        <f aca="false">SUM(I201:P201)*Resumo!$C$11</f>
        <v>0</v>
      </c>
      <c r="R201" s="61" t="n">
        <f aca="false">SUM(I201:Q201)</f>
        <v>112.138286</v>
      </c>
      <c r="S201" s="61" t="n">
        <f aca="false">R201/(1-Resumo!$C$5)</f>
        <v>127.429870454545</v>
      </c>
      <c r="T201" s="61" t="n">
        <v>112.3</v>
      </c>
      <c r="U201" s="61" t="n">
        <f aca="false">H201*Resumo!$B$6</f>
        <v>0.64483</v>
      </c>
      <c r="V201" s="61" t="n">
        <f aca="false">H201*Resumo!$B$7</f>
        <v>1.28966</v>
      </c>
      <c r="W201" s="61" t="n">
        <f aca="false">Resumo!$B$9</f>
        <v>1</v>
      </c>
      <c r="X201" s="61" t="n">
        <f aca="false">Resumo!$B$10*CEILING(G201/100,1)</f>
        <v>4.5</v>
      </c>
      <c r="Y201" s="61" t="n">
        <f aca="false">Resumo!$B$12*CEILING(G201,1)</f>
        <v>3.18</v>
      </c>
      <c r="Z201" s="61" t="n">
        <f aca="false">Resumo!$B$14*CEILING(G201,1)</f>
        <v>23.85</v>
      </c>
      <c r="AA201" s="61" t="n">
        <f aca="false">SUM(T201:Z201)</f>
        <v>146.76449</v>
      </c>
      <c r="AB201" s="61" t="n">
        <f aca="false">AA201/(1-Resumo!$B$5)</f>
        <v>166.777829545455</v>
      </c>
      <c r="AC201" s="61" t="n">
        <f aca="false">AB201-S201</f>
        <v>39.3479590909091</v>
      </c>
      <c r="AD201" s="62" t="n">
        <f aca="false">AB201/S201-1</f>
        <v>0.308781284565024</v>
      </c>
      <c r="AE201" s="60" t="str">
        <f aca="false">IF(AB201&lt;S201,"SIM","NÃO")</f>
        <v>NÃO</v>
      </c>
      <c r="AF201" s="60" t="n">
        <v>2</v>
      </c>
      <c r="AG201" s="60" t="n">
        <v>5</v>
      </c>
      <c r="AH201" s="60" t="s">
        <v>382</v>
      </c>
      <c r="AI201" s="61" t="n">
        <f aca="false">(T201*(1-Painel!$C$40)+U201+V201+Painel!$C$41+Painel!$C$42*CEILING(G201/100,1)+Painel!$C$43*CEILING(G201,1)+Z201)/(1-Resumo!$B$5)</f>
        <v>117.131238636364</v>
      </c>
      <c r="AJ201" s="60" t="str">
        <f aca="false">IF(AI201&lt;S201,"SIM","NÃO")</f>
        <v>SIM</v>
      </c>
    </row>
    <row r="202" customFormat="false" ht="15" hidden="false" customHeight="false" outlineLevel="0" collapsed="false">
      <c r="A202" s="59" t="n">
        <v>46219.4255092593</v>
      </c>
      <c r="B202" s="60" t="s">
        <v>578</v>
      </c>
      <c r="C202" s="60" t="n">
        <v>28470000</v>
      </c>
      <c r="D202" s="60" t="s">
        <v>318</v>
      </c>
      <c r="E202" s="60" t="s">
        <v>24</v>
      </c>
      <c r="F202" s="60" t="s">
        <v>233</v>
      </c>
      <c r="G202" s="60" t="n">
        <v>35</v>
      </c>
      <c r="H202" s="61" t="n">
        <v>459.99</v>
      </c>
      <c r="I202" s="61" t="n">
        <v>65.63</v>
      </c>
      <c r="J202" s="61" t="n">
        <f aca="false">H202*Resumo!$C$6</f>
        <v>0</v>
      </c>
      <c r="K202" s="61" t="n">
        <f aca="false">H202*Resumo!$C$7</f>
        <v>0.965979</v>
      </c>
      <c r="L202" s="61" t="n">
        <f aca="false">H202*Resumo!$C$8</f>
        <v>0.965979</v>
      </c>
      <c r="M202" s="61" t="n">
        <f aca="false">Resumo!$C$10*CEILING(G202/100,1)</f>
        <v>1.05</v>
      </c>
      <c r="N202" s="61" t="n">
        <f aca="false">Resumo!$C$9</f>
        <v>0</v>
      </c>
      <c r="O202" s="61" t="n">
        <f aca="false">Resumo!$C$13</f>
        <v>13.55</v>
      </c>
      <c r="P202" s="61" t="n">
        <f aca="false">Resumo!$C$14*CEILING(G202,1)</f>
        <v>15.75</v>
      </c>
      <c r="Q202" s="61" t="n">
        <f aca="false">SUM(I202:P202)*Resumo!$C$11</f>
        <v>0</v>
      </c>
      <c r="R202" s="61" t="n">
        <f aca="false">SUM(I202:Q202)</f>
        <v>97.911958</v>
      </c>
      <c r="S202" s="61" t="n">
        <f aca="false">R202/(1-Resumo!$C$5)</f>
        <v>111.263588636364</v>
      </c>
      <c r="T202" s="61" t="n">
        <v>138.29</v>
      </c>
      <c r="U202" s="61" t="n">
        <f aca="false">H202*Resumo!$B$6</f>
        <v>0.45999</v>
      </c>
      <c r="V202" s="61" t="n">
        <f aca="false">H202*Resumo!$B$7</f>
        <v>0.91998</v>
      </c>
      <c r="W202" s="61" t="n">
        <f aca="false">Resumo!$B$9</f>
        <v>1</v>
      </c>
      <c r="X202" s="61" t="n">
        <f aca="false">Resumo!$B$10*CEILING(G202/100,1)</f>
        <v>4.5</v>
      </c>
      <c r="Y202" s="61" t="n">
        <f aca="false">Resumo!$B$12*CEILING(G202,1)</f>
        <v>2.1</v>
      </c>
      <c r="Z202" s="61" t="n">
        <f aca="false">Resumo!$B$14*CEILING(G202,1)</f>
        <v>15.75</v>
      </c>
      <c r="AA202" s="61" t="n">
        <f aca="false">SUM(T202:Z202)</f>
        <v>163.01997</v>
      </c>
      <c r="AB202" s="61" t="n">
        <f aca="false">AA202/(1-Resumo!$B$5)</f>
        <v>185.249965909091</v>
      </c>
      <c r="AC202" s="61" t="n">
        <f aca="false">AB202-S202</f>
        <v>73.9863772727273</v>
      </c>
      <c r="AD202" s="62" t="n">
        <f aca="false">AB202/S202-1</f>
        <v>0.664964865680656</v>
      </c>
      <c r="AE202" s="60" t="str">
        <f aca="false">IF(AB202&lt;S202,"SIM","NÃO")</f>
        <v>NÃO</v>
      </c>
      <c r="AF202" s="60" t="n">
        <v>13</v>
      </c>
      <c r="AG202" s="60" t="n">
        <v>11</v>
      </c>
      <c r="AH202" s="60" t="s">
        <v>385</v>
      </c>
      <c r="AI202" s="61" t="n">
        <f aca="false">(T202*(1-Painel!$C$40)+U202+V202+Painel!$C$41+Painel!$C$42*CEILING(G202/100,1)+Painel!$C$43*CEILING(G202,1)+Z202)/(1-Resumo!$B$5)</f>
        <v>127.084397727273</v>
      </c>
      <c r="AJ202" s="60" t="str">
        <f aca="false">IF(AI202&lt;S202,"SIM","NÃO")</f>
        <v>NÃO</v>
      </c>
    </row>
    <row r="203" customFormat="false" ht="15" hidden="false" customHeight="false" outlineLevel="0" collapsed="false">
      <c r="A203" s="59" t="n">
        <v>46219.4931828704</v>
      </c>
      <c r="B203" s="60" t="s">
        <v>579</v>
      </c>
      <c r="C203" s="60" t="n">
        <v>23020722</v>
      </c>
      <c r="D203" s="60" t="s">
        <v>46</v>
      </c>
      <c r="E203" s="60" t="s">
        <v>22</v>
      </c>
      <c r="F203" s="60" t="s">
        <v>234</v>
      </c>
      <c r="G203" s="60" t="n">
        <v>37.6</v>
      </c>
      <c r="H203" s="61" t="n">
        <v>429.99</v>
      </c>
      <c r="I203" s="61" t="n">
        <v>48.35</v>
      </c>
      <c r="J203" s="61" t="n">
        <f aca="false">H203*Resumo!$C$6</f>
        <v>0</v>
      </c>
      <c r="K203" s="61" t="n">
        <f aca="false">H203*Resumo!$C$7</f>
        <v>0.902979</v>
      </c>
      <c r="L203" s="61" t="n">
        <f aca="false">H203*Resumo!$C$8</f>
        <v>0.902979</v>
      </c>
      <c r="M203" s="61" t="n">
        <f aca="false">Resumo!$C$10*CEILING(G203/100,1)</f>
        <v>1.05</v>
      </c>
      <c r="N203" s="61" t="n">
        <f aca="false">Resumo!$C$9</f>
        <v>0</v>
      </c>
      <c r="O203" s="61" t="n">
        <f aca="false">Resumo!$C$13</f>
        <v>13.55</v>
      </c>
      <c r="P203" s="61" t="n">
        <f aca="false">Resumo!$C$14*CEILING(G203,1)</f>
        <v>17.1</v>
      </c>
      <c r="Q203" s="61" t="n">
        <f aca="false">SUM(I203:P203)*Resumo!$C$11</f>
        <v>0</v>
      </c>
      <c r="R203" s="61" t="n">
        <f aca="false">SUM(I203:Q203)</f>
        <v>81.855958</v>
      </c>
      <c r="S203" s="61" t="n">
        <f aca="false">R203/(1-Resumo!$C$5)</f>
        <v>93.0181340909091</v>
      </c>
      <c r="T203" s="61" t="n">
        <v>93.97</v>
      </c>
      <c r="U203" s="61" t="n">
        <f aca="false">H203*Resumo!$B$6</f>
        <v>0.42999</v>
      </c>
      <c r="V203" s="61" t="n">
        <f aca="false">H203*Resumo!$B$7</f>
        <v>0.85998</v>
      </c>
      <c r="W203" s="61" t="n">
        <f aca="false">Resumo!$B$9</f>
        <v>1</v>
      </c>
      <c r="X203" s="61" t="n">
        <f aca="false">Resumo!$B$10*CEILING(G203/100,1)</f>
        <v>4.5</v>
      </c>
      <c r="Y203" s="61" t="n">
        <f aca="false">Resumo!$B$12*CEILING(G203,1)</f>
        <v>2.28</v>
      </c>
      <c r="Z203" s="61" t="n">
        <f aca="false">Resumo!$B$14*CEILING(G203,1)</f>
        <v>17.1</v>
      </c>
      <c r="AA203" s="61" t="n">
        <f aca="false">SUM(T203:Z203)</f>
        <v>120.13997</v>
      </c>
      <c r="AB203" s="61" t="n">
        <f aca="false">AA203/(1-Resumo!$B$5)</f>
        <v>136.522693181818</v>
      </c>
      <c r="AC203" s="61" t="n">
        <f aca="false">AB203-S203</f>
        <v>43.5045590909091</v>
      </c>
      <c r="AD203" s="62" t="n">
        <f aca="false">AB203/S203-1</f>
        <v>0.467699761085198</v>
      </c>
      <c r="AE203" s="60" t="str">
        <f aca="false">IF(AB203&lt;S203,"SIM","NÃO")</f>
        <v>NÃO</v>
      </c>
      <c r="AF203" s="60" t="n">
        <v>2</v>
      </c>
      <c r="AG203" s="60" t="n">
        <v>5</v>
      </c>
      <c r="AH203" s="60" t="s">
        <v>382</v>
      </c>
      <c r="AI203" s="61" t="n">
        <f aca="false">(T203*(1-Painel!$C$40)+U203+V203+Painel!$C$41+Painel!$C$42*CEILING(G203/100,1)+Painel!$C$43*CEILING(G203,1)+Z203)/(1-Resumo!$B$5)</f>
        <v>94.7725795454545</v>
      </c>
      <c r="AJ203" s="60" t="str">
        <f aca="false">IF(AI203&lt;S203,"SIM","NÃO")</f>
        <v>NÃO</v>
      </c>
    </row>
    <row r="204" customFormat="false" ht="15" hidden="false" customHeight="false" outlineLevel="0" collapsed="false">
      <c r="A204" s="59" t="n">
        <v>46219.6675231482</v>
      </c>
      <c r="B204" s="60" t="s">
        <v>426</v>
      </c>
      <c r="C204" s="60" t="n">
        <v>20950072</v>
      </c>
      <c r="D204" s="60" t="s">
        <v>46</v>
      </c>
      <c r="E204" s="60" t="s">
        <v>22</v>
      </c>
      <c r="F204" s="60" t="s">
        <v>233</v>
      </c>
      <c r="G204" s="60" t="n">
        <v>31.9</v>
      </c>
      <c r="H204" s="61" t="n">
        <v>508.42</v>
      </c>
      <c r="I204" s="61" t="n">
        <v>42.11</v>
      </c>
      <c r="J204" s="61" t="n">
        <f aca="false">H204*Resumo!$C$6</f>
        <v>0</v>
      </c>
      <c r="K204" s="61" t="n">
        <f aca="false">H204*Resumo!$C$7</f>
        <v>1.067682</v>
      </c>
      <c r="L204" s="61" t="n">
        <f aca="false">H204*Resumo!$C$8</f>
        <v>1.067682</v>
      </c>
      <c r="M204" s="61" t="n">
        <f aca="false">Resumo!$C$10*CEILING(G204/100,1)</f>
        <v>1.05</v>
      </c>
      <c r="N204" s="61" t="n">
        <f aca="false">Resumo!$C$9</f>
        <v>0</v>
      </c>
      <c r="O204" s="61" t="n">
        <f aca="false">Resumo!$C$13</f>
        <v>13.55</v>
      </c>
      <c r="P204" s="61" t="n">
        <f aca="false">Resumo!$C$14*CEILING(G204,1)</f>
        <v>14.4</v>
      </c>
      <c r="Q204" s="61" t="n">
        <f aca="false">SUM(I204:P204)*Resumo!$C$11</f>
        <v>0</v>
      </c>
      <c r="R204" s="61" t="n">
        <f aca="false">SUM(I204:Q204)</f>
        <v>73.245364</v>
      </c>
      <c r="S204" s="61" t="n">
        <f aca="false">R204/(1-Resumo!$C$5)</f>
        <v>83.2333681818182</v>
      </c>
      <c r="T204" s="61" t="n">
        <v>82.21</v>
      </c>
      <c r="U204" s="61" t="n">
        <f aca="false">H204*Resumo!$B$6</f>
        <v>0.50842</v>
      </c>
      <c r="V204" s="61" t="n">
        <f aca="false">H204*Resumo!$B$7</f>
        <v>1.01684</v>
      </c>
      <c r="W204" s="61" t="n">
        <f aca="false">Resumo!$B$9</f>
        <v>1</v>
      </c>
      <c r="X204" s="61" t="n">
        <f aca="false">Resumo!$B$10*CEILING(G204/100,1)</f>
        <v>4.5</v>
      </c>
      <c r="Y204" s="61" t="n">
        <f aca="false">Resumo!$B$12*CEILING(G204,1)</f>
        <v>1.92</v>
      </c>
      <c r="Z204" s="61" t="n">
        <f aca="false">Resumo!$B$14*CEILING(G204,1)</f>
        <v>14.4</v>
      </c>
      <c r="AA204" s="61" t="n">
        <f aca="false">SUM(T204:Z204)</f>
        <v>105.55526</v>
      </c>
      <c r="AB204" s="61" t="n">
        <f aca="false">AA204/(1-Resumo!$B$5)</f>
        <v>119.949159090909</v>
      </c>
      <c r="AC204" s="61" t="n">
        <f aca="false">AB204-S204</f>
        <v>36.7157909090909</v>
      </c>
      <c r="AD204" s="62" t="n">
        <f aca="false">AB204/S204-1</f>
        <v>0.441118648819876</v>
      </c>
      <c r="AE204" s="60" t="str">
        <f aca="false">IF(AB204&lt;S204,"SIM","NÃO")</f>
        <v>NÃO</v>
      </c>
      <c r="AF204" s="60" t="n">
        <v>2</v>
      </c>
      <c r="AG204" s="60" t="n">
        <v>5</v>
      </c>
      <c r="AH204" s="60" t="s">
        <v>382</v>
      </c>
      <c r="AI204" s="61" t="n">
        <f aca="false">(T204*(1-Painel!$C$40)+U204+V204+Painel!$C$41+Painel!$C$42*CEILING(G204/100,1)+Painel!$C$43*CEILING(G204,1)+Z204)/(1-Resumo!$B$5)</f>
        <v>83.0181363636364</v>
      </c>
      <c r="AJ204" s="60" t="str">
        <f aca="false">IF(AI204&lt;S204,"SIM","NÃO")</f>
        <v>SIM</v>
      </c>
    </row>
    <row r="205" customFormat="false" ht="15" hidden="false" customHeight="false" outlineLevel="0" collapsed="false">
      <c r="A205" s="59" t="n">
        <v>46219.9879976852</v>
      </c>
      <c r="B205" s="60" t="s">
        <v>580</v>
      </c>
      <c r="C205" s="60" t="n">
        <v>28540000</v>
      </c>
      <c r="D205" s="60" t="s">
        <v>321</v>
      </c>
      <c r="E205" s="60" t="s">
        <v>24</v>
      </c>
      <c r="F205" s="60" t="s">
        <v>233</v>
      </c>
      <c r="G205" s="60" t="n">
        <v>31.9</v>
      </c>
      <c r="H205" s="61" t="n">
        <v>508.42</v>
      </c>
      <c r="I205" s="61" t="n">
        <v>65.63</v>
      </c>
      <c r="J205" s="61" t="n">
        <f aca="false">H205*Resumo!$C$6</f>
        <v>0</v>
      </c>
      <c r="K205" s="61" t="n">
        <f aca="false">H205*Resumo!$C$7</f>
        <v>1.067682</v>
      </c>
      <c r="L205" s="61" t="n">
        <f aca="false">H205*Resumo!$C$8</f>
        <v>1.067682</v>
      </c>
      <c r="M205" s="61" t="n">
        <f aca="false">Resumo!$C$10*CEILING(G205/100,1)</f>
        <v>1.05</v>
      </c>
      <c r="N205" s="61" t="n">
        <f aca="false">Resumo!$C$9</f>
        <v>0</v>
      </c>
      <c r="O205" s="61" t="n">
        <f aca="false">Resumo!$C$13</f>
        <v>13.55</v>
      </c>
      <c r="P205" s="61" t="n">
        <f aca="false">Resumo!$C$14*CEILING(G205,1)</f>
        <v>14.4</v>
      </c>
      <c r="Q205" s="61" t="n">
        <f aca="false">SUM(I205:P205)*Resumo!$C$11</f>
        <v>0</v>
      </c>
      <c r="R205" s="61" t="n">
        <f aca="false">SUM(I205:Q205)</f>
        <v>96.765364</v>
      </c>
      <c r="S205" s="61" t="n">
        <f aca="false">R205/(1-Resumo!$C$5)</f>
        <v>109.960640909091</v>
      </c>
      <c r="T205" s="61" t="n">
        <v>120.78</v>
      </c>
      <c r="U205" s="61" t="n">
        <f aca="false">H205*Resumo!$B$6</f>
        <v>0.50842</v>
      </c>
      <c r="V205" s="61" t="n">
        <f aca="false">H205*Resumo!$B$7</f>
        <v>1.01684</v>
      </c>
      <c r="W205" s="61" t="n">
        <f aca="false">Resumo!$B$9</f>
        <v>1</v>
      </c>
      <c r="X205" s="61" t="n">
        <f aca="false">Resumo!$B$10*CEILING(G205/100,1)</f>
        <v>4.5</v>
      </c>
      <c r="Y205" s="61" t="n">
        <f aca="false">Resumo!$B$12*CEILING(G205,1)</f>
        <v>1.92</v>
      </c>
      <c r="Z205" s="61" t="n">
        <f aca="false">Resumo!$B$14*CEILING(G205,1)</f>
        <v>14.4</v>
      </c>
      <c r="AA205" s="61" t="n">
        <f aca="false">SUM(T205:Z205)</f>
        <v>144.12526</v>
      </c>
      <c r="AB205" s="61" t="n">
        <f aca="false">AA205/(1-Resumo!$B$5)</f>
        <v>163.778704545455</v>
      </c>
      <c r="AC205" s="61" t="n">
        <f aca="false">AB205-S205</f>
        <v>53.8180636363636</v>
      </c>
      <c r="AD205" s="62" t="n">
        <f aca="false">AB205/S205-1</f>
        <v>0.489430246963159</v>
      </c>
      <c r="AE205" s="60" t="str">
        <f aca="false">IF(AB205&lt;S205,"SIM","NÃO")</f>
        <v>NÃO</v>
      </c>
      <c r="AF205" s="60" t="n">
        <v>13</v>
      </c>
      <c r="AG205" s="60" t="n">
        <v>10</v>
      </c>
      <c r="AH205" s="60" t="s">
        <v>385</v>
      </c>
      <c r="AI205" s="61" t="n">
        <f aca="false">(T205*(1-Painel!$C$40)+U205+V205+Painel!$C$41+Painel!$C$42*CEILING(G205/100,1)+Painel!$C$43*CEILING(G205,1)+Z205)/(1-Resumo!$B$5)</f>
        <v>112.383931818182</v>
      </c>
      <c r="AJ205" s="60" t="str">
        <f aca="false">IF(AI205&lt;S205,"SIM","NÃO")</f>
        <v>NÃO</v>
      </c>
    </row>
    <row r="206" customFormat="false" ht="15" hidden="false" customHeight="false" outlineLevel="0" collapsed="false">
      <c r="A206" s="59" t="n">
        <v>46220.1729861111</v>
      </c>
      <c r="B206" s="60" t="s">
        <v>581</v>
      </c>
      <c r="C206" s="60" t="n">
        <v>20250500</v>
      </c>
      <c r="D206" s="60" t="s">
        <v>46</v>
      </c>
      <c r="E206" s="60" t="s">
        <v>22</v>
      </c>
      <c r="F206" s="60" t="s">
        <v>237</v>
      </c>
      <c r="G206" s="60" t="n">
        <v>65.1</v>
      </c>
      <c r="H206" s="61" t="n">
        <v>756.79</v>
      </c>
      <c r="I206" s="61" t="n">
        <v>63.21</v>
      </c>
      <c r="J206" s="61" t="n">
        <f aca="false">H206*Resumo!$C$6</f>
        <v>0</v>
      </c>
      <c r="K206" s="61" t="n">
        <f aca="false">H206*Resumo!$C$7</f>
        <v>1.589259</v>
      </c>
      <c r="L206" s="61" t="n">
        <f aca="false">H206*Resumo!$C$8</f>
        <v>1.589259</v>
      </c>
      <c r="M206" s="61" t="n">
        <f aca="false">Resumo!$C$10*CEILING(G206/100,1)</f>
        <v>1.05</v>
      </c>
      <c r="N206" s="61" t="n">
        <f aca="false">Resumo!$C$9</f>
        <v>0</v>
      </c>
      <c r="O206" s="61" t="n">
        <f aca="false">Resumo!$C$13</f>
        <v>13.55</v>
      </c>
      <c r="P206" s="61" t="n">
        <f aca="false">Resumo!$C$14*CEILING(G206,1)</f>
        <v>29.7</v>
      </c>
      <c r="Q206" s="61" t="n">
        <f aca="false">SUM(I206:P206)*Resumo!$C$11</f>
        <v>0</v>
      </c>
      <c r="R206" s="61" t="n">
        <f aca="false">SUM(I206:Q206)</f>
        <v>110.688518</v>
      </c>
      <c r="S206" s="61" t="n">
        <f aca="false">R206/(1-Resumo!$C$5)</f>
        <v>125.782406818182</v>
      </c>
      <c r="T206" s="61" t="n">
        <v>131.02</v>
      </c>
      <c r="U206" s="61" t="n">
        <f aca="false">H206*Resumo!$B$6</f>
        <v>0.75679</v>
      </c>
      <c r="V206" s="61" t="n">
        <f aca="false">H206*Resumo!$B$7</f>
        <v>1.51358</v>
      </c>
      <c r="W206" s="61" t="n">
        <f aca="false">Resumo!$B$9</f>
        <v>1</v>
      </c>
      <c r="X206" s="61" t="n">
        <f aca="false">Resumo!$B$10*CEILING(G206/100,1)</f>
        <v>4.5</v>
      </c>
      <c r="Y206" s="61" t="n">
        <f aca="false">Resumo!$B$12*CEILING(G206,1)</f>
        <v>3.96</v>
      </c>
      <c r="Z206" s="61" t="n">
        <f aca="false">Resumo!$B$14*CEILING(G206,1)</f>
        <v>29.7</v>
      </c>
      <c r="AA206" s="61" t="n">
        <f aca="false">SUM(T206:Z206)</f>
        <v>172.45037</v>
      </c>
      <c r="AB206" s="61" t="n">
        <f aca="false">AA206/(1-Resumo!$B$5)</f>
        <v>195.966329545455</v>
      </c>
      <c r="AC206" s="61" t="n">
        <f aca="false">AB206-S206</f>
        <v>70.1839227272727</v>
      </c>
      <c r="AD206" s="62" t="n">
        <f aca="false">AB206/S206-1</f>
        <v>0.557978850164025</v>
      </c>
      <c r="AE206" s="60" t="str">
        <f aca="false">IF(AB206&lt;S206,"SIM","NÃO")</f>
        <v>NÃO</v>
      </c>
      <c r="AF206" s="60" t="n">
        <v>2</v>
      </c>
      <c r="AG206" s="60" t="n">
        <v>5</v>
      </c>
      <c r="AH206" s="60" t="s">
        <v>382</v>
      </c>
      <c r="AI206" s="61" t="n">
        <f aca="false">(T206*(1-Painel!$C$40)+U206+V206+Painel!$C$41+Painel!$C$42*CEILING(G206/100,1)+Painel!$C$43*CEILING(G206,1)+Z206)/(1-Resumo!$B$5)</f>
        <v>138.413375</v>
      </c>
      <c r="AJ206" s="60" t="str">
        <f aca="false">IF(AI206&lt;S206,"SIM","NÃO")</f>
        <v>NÃO</v>
      </c>
    </row>
    <row r="207" customFormat="false" ht="15" hidden="false" customHeight="false" outlineLevel="0" collapsed="false">
      <c r="A207" s="59" t="n">
        <v>46220.3886689815</v>
      </c>
      <c r="B207" s="60" t="s">
        <v>582</v>
      </c>
      <c r="C207" s="60" t="n">
        <v>24370297</v>
      </c>
      <c r="D207" s="60" t="s">
        <v>50</v>
      </c>
      <c r="E207" s="60" t="s">
        <v>23</v>
      </c>
      <c r="F207" s="60" t="s">
        <v>236</v>
      </c>
      <c r="G207" s="60" t="n">
        <v>52.3</v>
      </c>
      <c r="H207" s="61" t="n">
        <v>619.99</v>
      </c>
      <c r="I207" s="61" t="n">
        <v>70.98</v>
      </c>
      <c r="J207" s="61" t="n">
        <f aca="false">H207*Resumo!$C$6</f>
        <v>0</v>
      </c>
      <c r="K207" s="61" t="n">
        <f aca="false">H207*Resumo!$C$7</f>
        <v>1.301979</v>
      </c>
      <c r="L207" s="61" t="n">
        <f aca="false">H207*Resumo!$C$8</f>
        <v>1.301979</v>
      </c>
      <c r="M207" s="61" t="n">
        <f aca="false">Resumo!$C$10*CEILING(G207/100,1)</f>
        <v>1.05</v>
      </c>
      <c r="N207" s="61" t="n">
        <f aca="false">Resumo!$C$9</f>
        <v>0</v>
      </c>
      <c r="O207" s="61" t="n">
        <f aca="false">Resumo!$C$13</f>
        <v>13.55</v>
      </c>
      <c r="P207" s="61" t="n">
        <f aca="false">Resumo!$C$14*CEILING(G207,1)</f>
        <v>23.85</v>
      </c>
      <c r="Q207" s="61" t="n">
        <f aca="false">SUM(I207:P207)*Resumo!$C$11</f>
        <v>0</v>
      </c>
      <c r="R207" s="61" t="n">
        <f aca="false">SUM(I207:Q207)</f>
        <v>112.033958</v>
      </c>
      <c r="S207" s="61" t="n">
        <f aca="false">R207/(1-Resumo!$C$5)</f>
        <v>127.311315909091</v>
      </c>
      <c r="T207" s="61" t="n">
        <v>128.14</v>
      </c>
      <c r="U207" s="61" t="n">
        <f aca="false">H207*Resumo!$B$6</f>
        <v>0.61999</v>
      </c>
      <c r="V207" s="61" t="n">
        <f aca="false">H207*Resumo!$B$7</f>
        <v>1.23998</v>
      </c>
      <c r="W207" s="61" t="n">
        <f aca="false">Resumo!$B$9</f>
        <v>1</v>
      </c>
      <c r="X207" s="61" t="n">
        <f aca="false">Resumo!$B$10*CEILING(G207/100,1)</f>
        <v>4.5</v>
      </c>
      <c r="Y207" s="61" t="n">
        <f aca="false">Resumo!$B$12*CEILING(G207,1)</f>
        <v>3.18</v>
      </c>
      <c r="Z207" s="61" t="n">
        <f aca="false">Resumo!$B$14*CEILING(G207,1)</f>
        <v>23.85</v>
      </c>
      <c r="AA207" s="61" t="n">
        <f aca="false">SUM(T207:Z207)</f>
        <v>162.52997</v>
      </c>
      <c r="AB207" s="61" t="n">
        <f aca="false">AA207/(1-Resumo!$B$5)</f>
        <v>184.693147727273</v>
      </c>
      <c r="AC207" s="61" t="n">
        <f aca="false">AB207-S207</f>
        <v>57.3818318181818</v>
      </c>
      <c r="AD207" s="62" t="n">
        <f aca="false">AB207/S207-1</f>
        <v>0.45072059312588</v>
      </c>
      <c r="AE207" s="60" t="str">
        <f aca="false">IF(AB207&lt;S207,"SIM","NÃO")</f>
        <v>NÃO</v>
      </c>
      <c r="AF207" s="60" t="n">
        <v>2</v>
      </c>
      <c r="AG207" s="60" t="n">
        <v>7</v>
      </c>
      <c r="AH207" s="60" t="s">
        <v>382</v>
      </c>
      <c r="AI207" s="61" t="n">
        <f aca="false">(T207*(1-Painel!$C$40)+U207+V207+Painel!$C$41+Painel!$C$42*CEILING(G207/100,1)+Painel!$C$43*CEILING(G207,1)+Z207)/(1-Resumo!$B$5)</f>
        <v>129.106556818182</v>
      </c>
      <c r="AJ207" s="60" t="str">
        <f aca="false">IF(AI207&lt;S207,"SIM","NÃO")</f>
        <v>NÃO</v>
      </c>
    </row>
    <row r="208" customFormat="false" ht="15" hidden="false" customHeight="false" outlineLevel="0" collapsed="false">
      <c r="A208" s="59" t="n">
        <v>46220.3975231482</v>
      </c>
      <c r="B208" s="60" t="s">
        <v>583</v>
      </c>
      <c r="C208" s="60" t="n">
        <v>25040240</v>
      </c>
      <c r="D208" s="60" t="s">
        <v>48</v>
      </c>
      <c r="E208" s="60" t="s">
        <v>23</v>
      </c>
      <c r="F208" s="60" t="s">
        <v>236</v>
      </c>
      <c r="G208" s="60" t="n">
        <v>52.3</v>
      </c>
      <c r="H208" s="61" t="n">
        <v>650.86</v>
      </c>
      <c r="I208" s="61" t="n">
        <v>70.98</v>
      </c>
      <c r="J208" s="61" t="n">
        <f aca="false">H208*Resumo!$C$6</f>
        <v>0</v>
      </c>
      <c r="K208" s="61" t="n">
        <f aca="false">H208*Resumo!$C$7</f>
        <v>1.366806</v>
      </c>
      <c r="L208" s="61" t="n">
        <f aca="false">H208*Resumo!$C$8</f>
        <v>1.366806</v>
      </c>
      <c r="M208" s="61" t="n">
        <f aca="false">Resumo!$C$10*CEILING(G208/100,1)</f>
        <v>1.05</v>
      </c>
      <c r="N208" s="61" t="n">
        <f aca="false">Resumo!$C$9</f>
        <v>0</v>
      </c>
      <c r="O208" s="61" t="n">
        <f aca="false">Resumo!$C$13</f>
        <v>13.55</v>
      </c>
      <c r="P208" s="61" t="n">
        <f aca="false">Resumo!$C$14*CEILING(G208,1)</f>
        <v>23.85</v>
      </c>
      <c r="Q208" s="61" t="n">
        <f aca="false">SUM(I208:P208)*Resumo!$C$11</f>
        <v>0</v>
      </c>
      <c r="R208" s="61" t="n">
        <f aca="false">SUM(I208:Q208)</f>
        <v>112.163612</v>
      </c>
      <c r="S208" s="61" t="n">
        <f aca="false">R208/(1-Resumo!$C$5)</f>
        <v>127.45865</v>
      </c>
      <c r="T208" s="61" t="n">
        <v>112.3</v>
      </c>
      <c r="U208" s="61" t="n">
        <f aca="false">H208*Resumo!$B$6</f>
        <v>0.65086</v>
      </c>
      <c r="V208" s="61" t="n">
        <f aca="false">H208*Resumo!$B$7</f>
        <v>1.30172</v>
      </c>
      <c r="W208" s="61" t="n">
        <f aca="false">Resumo!$B$9</f>
        <v>1</v>
      </c>
      <c r="X208" s="61" t="n">
        <f aca="false">Resumo!$B$10*CEILING(G208/100,1)</f>
        <v>4.5</v>
      </c>
      <c r="Y208" s="61" t="n">
        <f aca="false">Resumo!$B$12*CEILING(G208,1)</f>
        <v>3.18</v>
      </c>
      <c r="Z208" s="61" t="n">
        <f aca="false">Resumo!$B$14*CEILING(G208,1)</f>
        <v>23.85</v>
      </c>
      <c r="AA208" s="61" t="n">
        <f aca="false">SUM(T208:Z208)</f>
        <v>146.78258</v>
      </c>
      <c r="AB208" s="61" t="n">
        <f aca="false">AA208/(1-Resumo!$B$5)</f>
        <v>166.798386363636</v>
      </c>
      <c r="AC208" s="61" t="n">
        <f aca="false">AB208-S208</f>
        <v>39.3397363636364</v>
      </c>
      <c r="AD208" s="62" t="n">
        <f aca="false">AB208/S208-1</f>
        <v>0.308647050346417</v>
      </c>
      <c r="AE208" s="60" t="str">
        <f aca="false">IF(AB208&lt;S208,"SIM","NÃO")</f>
        <v>NÃO</v>
      </c>
      <c r="AF208" s="60" t="n">
        <v>2</v>
      </c>
      <c r="AG208" s="60" t="n">
        <v>5</v>
      </c>
      <c r="AH208" s="60" t="s">
        <v>382</v>
      </c>
      <c r="AI208" s="61" t="n">
        <f aca="false">(T208*(1-Painel!$C$40)+U208+V208+Painel!$C$41+Painel!$C$42*CEILING(G208/100,1)+Painel!$C$43*CEILING(G208,1)+Z208)/(1-Resumo!$B$5)</f>
        <v>117.151795454545</v>
      </c>
      <c r="AJ208" s="60" t="str">
        <f aca="false">IF(AI208&lt;S208,"SIM","NÃO")</f>
        <v>SIM</v>
      </c>
    </row>
    <row r="209" customFormat="false" ht="15" hidden="false" customHeight="false" outlineLevel="0" collapsed="false">
      <c r="A209" s="59" t="n">
        <v>46220.5039236111</v>
      </c>
      <c r="B209" s="60" t="s">
        <v>584</v>
      </c>
      <c r="C209" s="60" t="n">
        <v>28623410</v>
      </c>
      <c r="D209" s="60" t="s">
        <v>226</v>
      </c>
      <c r="E209" s="60" t="s">
        <v>24</v>
      </c>
      <c r="F209" s="60" t="s">
        <v>234</v>
      </c>
      <c r="G209" s="60" t="n">
        <v>35.55</v>
      </c>
      <c r="H209" s="61" t="n">
        <v>499.99</v>
      </c>
      <c r="I209" s="61" t="n">
        <v>74.97</v>
      </c>
      <c r="J209" s="61" t="n">
        <f aca="false">H209*Resumo!$C$6</f>
        <v>0</v>
      </c>
      <c r="K209" s="61" t="n">
        <f aca="false">H209*Resumo!$C$7</f>
        <v>1.049979</v>
      </c>
      <c r="L209" s="61" t="n">
        <f aca="false">H209*Resumo!$C$8</f>
        <v>1.049979</v>
      </c>
      <c r="M209" s="61" t="n">
        <f aca="false">Resumo!$C$10*CEILING(G209/100,1)</f>
        <v>1.05</v>
      </c>
      <c r="N209" s="61" t="n">
        <f aca="false">Resumo!$C$9</f>
        <v>0</v>
      </c>
      <c r="O209" s="61" t="n">
        <f aca="false">Resumo!$C$13</f>
        <v>13.55</v>
      </c>
      <c r="P209" s="61" t="n">
        <f aca="false">Resumo!$C$14*CEILING(G209,1)</f>
        <v>16.2</v>
      </c>
      <c r="Q209" s="61" t="n">
        <f aca="false">SUM(I209:P209)*Resumo!$C$11</f>
        <v>0</v>
      </c>
      <c r="R209" s="61" t="n">
        <f aca="false">SUM(I209:Q209)</f>
        <v>107.869958</v>
      </c>
      <c r="S209" s="61" t="n">
        <f aca="false">R209/(1-Resumo!$C$5)</f>
        <v>122.579497727273</v>
      </c>
      <c r="T209" s="61" t="n">
        <v>125.63</v>
      </c>
      <c r="U209" s="61" t="n">
        <f aca="false">H209*Resumo!$B$6</f>
        <v>0.49999</v>
      </c>
      <c r="V209" s="61" t="n">
        <f aca="false">H209*Resumo!$B$7</f>
        <v>0.99998</v>
      </c>
      <c r="W209" s="61" t="n">
        <f aca="false">Resumo!$B$9</f>
        <v>1</v>
      </c>
      <c r="X209" s="61" t="n">
        <f aca="false">Resumo!$B$10*CEILING(G209/100,1)</f>
        <v>4.5</v>
      </c>
      <c r="Y209" s="61" t="n">
        <f aca="false">Resumo!$B$12*CEILING(G209,1)</f>
        <v>2.16</v>
      </c>
      <c r="Z209" s="61" t="n">
        <f aca="false">Resumo!$B$14*CEILING(G209,1)</f>
        <v>16.2</v>
      </c>
      <c r="AA209" s="61" t="n">
        <f aca="false">SUM(T209:Z209)</f>
        <v>150.98997</v>
      </c>
      <c r="AB209" s="61" t="n">
        <f aca="false">AA209/(1-Resumo!$B$5)</f>
        <v>171.579511363636</v>
      </c>
      <c r="AC209" s="61" t="n">
        <f aca="false">AB209-S209</f>
        <v>49.0000136363636</v>
      </c>
      <c r="AD209" s="62" t="n">
        <f aca="false">AB209/S209-1</f>
        <v>0.399740695180395</v>
      </c>
      <c r="AE209" s="60" t="str">
        <f aca="false">IF(AB209&lt;S209,"SIM","NÃO")</f>
        <v>NÃO</v>
      </c>
      <c r="AF209" s="60" t="n">
        <v>13</v>
      </c>
      <c r="AG209" s="60" t="n">
        <v>10</v>
      </c>
      <c r="AH209" s="60" t="s">
        <v>382</v>
      </c>
      <c r="AI209" s="61" t="n">
        <f aca="false">(T209*(1-Painel!$C$40)+U209+V209+Painel!$C$41+Painel!$C$42*CEILING(G209/100,1)+Painel!$C$43*CEILING(G209,1)+Z209)/(1-Resumo!$B$5)</f>
        <v>118.093261363636</v>
      </c>
      <c r="AJ209" s="60" t="str">
        <f aca="false">IF(AI209&lt;S209,"SIM","NÃO")</f>
        <v>SIM</v>
      </c>
    </row>
    <row r="210" customFormat="false" ht="15" hidden="false" customHeight="false" outlineLevel="0" collapsed="false">
      <c r="A210" s="59" t="n">
        <v>46220.5094328704</v>
      </c>
      <c r="B210" s="60" t="s">
        <v>585</v>
      </c>
      <c r="C210" s="60" t="n">
        <v>25560440</v>
      </c>
      <c r="D210" s="60" t="s">
        <v>216</v>
      </c>
      <c r="E210" s="60" t="s">
        <v>23</v>
      </c>
      <c r="F210" s="60" t="s">
        <v>233</v>
      </c>
      <c r="G210" s="60" t="n">
        <v>31.9</v>
      </c>
      <c r="H210" s="61" t="n">
        <v>508.42</v>
      </c>
      <c r="I210" s="61" t="n">
        <v>58.8</v>
      </c>
      <c r="J210" s="61" t="n">
        <f aca="false">H210*Resumo!$C$6</f>
        <v>0</v>
      </c>
      <c r="K210" s="61" t="n">
        <f aca="false">H210*Resumo!$C$7</f>
        <v>1.067682</v>
      </c>
      <c r="L210" s="61" t="n">
        <f aca="false">H210*Resumo!$C$8</f>
        <v>1.067682</v>
      </c>
      <c r="M210" s="61" t="n">
        <f aca="false">Resumo!$C$10*CEILING(G210/100,1)</f>
        <v>1.05</v>
      </c>
      <c r="N210" s="61" t="n">
        <f aca="false">Resumo!$C$9</f>
        <v>0</v>
      </c>
      <c r="O210" s="61" t="n">
        <f aca="false">Resumo!$C$13</f>
        <v>13.55</v>
      </c>
      <c r="P210" s="61" t="n">
        <f aca="false">Resumo!$C$14*CEILING(G210,1)</f>
        <v>14.4</v>
      </c>
      <c r="Q210" s="61" t="n">
        <f aca="false">SUM(I210:P210)*Resumo!$C$11</f>
        <v>0</v>
      </c>
      <c r="R210" s="61" t="n">
        <f aca="false">SUM(I210:Q210)</f>
        <v>89.935364</v>
      </c>
      <c r="S210" s="61" t="n">
        <f aca="false">R210/(1-Resumo!$C$5)</f>
        <v>102.199277272727</v>
      </c>
      <c r="T210" s="61" t="n">
        <v>82.21</v>
      </c>
      <c r="U210" s="61" t="n">
        <f aca="false">H210*Resumo!$B$6</f>
        <v>0.50842</v>
      </c>
      <c r="V210" s="61" t="n">
        <f aca="false">H210*Resumo!$B$7</f>
        <v>1.01684</v>
      </c>
      <c r="W210" s="61" t="n">
        <f aca="false">Resumo!$B$9</f>
        <v>1</v>
      </c>
      <c r="X210" s="61" t="n">
        <f aca="false">Resumo!$B$10*CEILING(G210/100,1)</f>
        <v>4.5</v>
      </c>
      <c r="Y210" s="61" t="n">
        <f aca="false">Resumo!$B$12*CEILING(G210,1)</f>
        <v>1.92</v>
      </c>
      <c r="Z210" s="61" t="n">
        <f aca="false">Resumo!$B$14*CEILING(G210,1)</f>
        <v>14.4</v>
      </c>
      <c r="AA210" s="61" t="n">
        <f aca="false">SUM(T210:Z210)</f>
        <v>105.55526</v>
      </c>
      <c r="AB210" s="61" t="n">
        <f aca="false">AA210/(1-Resumo!$B$5)</f>
        <v>119.949159090909</v>
      </c>
      <c r="AC210" s="61" t="n">
        <f aca="false">AB210-S210</f>
        <v>17.7498818181818</v>
      </c>
      <c r="AD210" s="62" t="n">
        <f aca="false">AB210/S210-1</f>
        <v>0.17367913249342</v>
      </c>
      <c r="AE210" s="60" t="str">
        <f aca="false">IF(AB210&lt;S210,"SIM","NÃO")</f>
        <v>NÃO</v>
      </c>
      <c r="AF210" s="60" t="n">
        <v>2</v>
      </c>
      <c r="AG210" s="60" t="n">
        <v>5</v>
      </c>
      <c r="AH210" s="60" t="s">
        <v>382</v>
      </c>
      <c r="AI210" s="61" t="n">
        <f aca="false">(T210*(1-Painel!$C$40)+U210+V210+Painel!$C$41+Painel!$C$42*CEILING(G210/100,1)+Painel!$C$43*CEILING(G210,1)+Z210)/(1-Resumo!$B$5)</f>
        <v>83.0181363636364</v>
      </c>
      <c r="AJ210" s="60" t="str">
        <f aca="false">IF(AI210&lt;S210,"SIM","NÃO")</f>
        <v>SIM</v>
      </c>
    </row>
    <row r="211" customFormat="false" ht="15" hidden="false" customHeight="false" outlineLevel="0" collapsed="false">
      <c r="A211" s="59" t="n">
        <v>46220.5182986111</v>
      </c>
      <c r="B211" s="60" t="s">
        <v>586</v>
      </c>
      <c r="C211" s="60" t="n">
        <v>22725441</v>
      </c>
      <c r="D211" s="60" t="s">
        <v>46</v>
      </c>
      <c r="E211" s="60" t="s">
        <v>22</v>
      </c>
      <c r="F211" s="60" t="s">
        <v>233</v>
      </c>
      <c r="G211" s="60" t="n">
        <v>27.4</v>
      </c>
      <c r="H211" s="61" t="n">
        <v>359.99</v>
      </c>
      <c r="I211" s="61" t="n">
        <v>42.11</v>
      </c>
      <c r="J211" s="61" t="n">
        <f aca="false">H211*Resumo!$C$6</f>
        <v>0</v>
      </c>
      <c r="K211" s="61" t="n">
        <f aca="false">H211*Resumo!$C$7</f>
        <v>0.755979</v>
      </c>
      <c r="L211" s="61" t="n">
        <f aca="false">H211*Resumo!$C$8</f>
        <v>0.755979</v>
      </c>
      <c r="M211" s="61" t="n">
        <f aca="false">Resumo!$C$10*CEILING(G211/100,1)</f>
        <v>1.05</v>
      </c>
      <c r="N211" s="61" t="n">
        <f aca="false">Resumo!$C$9</f>
        <v>0</v>
      </c>
      <c r="O211" s="61" t="n">
        <f aca="false">Resumo!$C$13</f>
        <v>13.55</v>
      </c>
      <c r="P211" s="61" t="n">
        <f aca="false">Resumo!$C$14*CEILING(G211,1)</f>
        <v>12.6</v>
      </c>
      <c r="Q211" s="61" t="n">
        <f aca="false">SUM(I211:P211)*Resumo!$C$11</f>
        <v>0</v>
      </c>
      <c r="R211" s="61" t="n">
        <f aca="false">SUM(I211:Q211)</f>
        <v>70.821958</v>
      </c>
      <c r="S211" s="61" t="n">
        <f aca="false">R211/(1-Resumo!$C$5)</f>
        <v>80.4794977272727</v>
      </c>
      <c r="T211" s="61" t="n">
        <v>82.21</v>
      </c>
      <c r="U211" s="61" t="n">
        <f aca="false">H211*Resumo!$B$6</f>
        <v>0.35999</v>
      </c>
      <c r="V211" s="61" t="n">
        <f aca="false">H211*Resumo!$B$7</f>
        <v>0.71998</v>
      </c>
      <c r="W211" s="61" t="n">
        <f aca="false">Resumo!$B$9</f>
        <v>1</v>
      </c>
      <c r="X211" s="61" t="n">
        <f aca="false">Resumo!$B$10*CEILING(G211/100,1)</f>
        <v>4.5</v>
      </c>
      <c r="Y211" s="61" t="n">
        <f aca="false">Resumo!$B$12*CEILING(G211,1)</f>
        <v>1.68</v>
      </c>
      <c r="Z211" s="61" t="n">
        <f aca="false">Resumo!$B$14*CEILING(G211,1)</f>
        <v>12.6</v>
      </c>
      <c r="AA211" s="61" t="n">
        <f aca="false">SUM(T211:Z211)</f>
        <v>103.06997</v>
      </c>
      <c r="AB211" s="61" t="n">
        <f aca="false">AA211/(1-Resumo!$B$5)</f>
        <v>117.124965909091</v>
      </c>
      <c r="AC211" s="61" t="n">
        <f aca="false">AB211-S211</f>
        <v>36.6454681818182</v>
      </c>
      <c r="AD211" s="62" t="n">
        <f aca="false">AB211/S211-1</f>
        <v>0.455339176022216</v>
      </c>
      <c r="AE211" s="60" t="str">
        <f aca="false">IF(AB211&lt;S211,"SIM","NÃO")</f>
        <v>NÃO</v>
      </c>
      <c r="AF211" s="60" t="n">
        <v>2</v>
      </c>
      <c r="AG211" s="60" t="n">
        <v>5</v>
      </c>
      <c r="AH211" s="60" t="s">
        <v>382</v>
      </c>
      <c r="AI211" s="61" t="n">
        <f aca="false">(T211*(1-Painel!$C$40)+U211+V211+Painel!$C$41+Painel!$C$42*CEILING(G211/100,1)+Painel!$C$43*CEILING(G211,1)+Z211)/(1-Resumo!$B$5)</f>
        <v>80.4666704545454</v>
      </c>
      <c r="AJ211" s="60" t="str">
        <f aca="false">IF(AI211&lt;S211,"SIM","NÃO")</f>
        <v>SIM</v>
      </c>
    </row>
    <row r="212" customFormat="false" ht="15" hidden="false" customHeight="false" outlineLevel="0" collapsed="false">
      <c r="A212" s="59" t="n">
        <v>46220.5322337963</v>
      </c>
      <c r="B212" s="60" t="s">
        <v>587</v>
      </c>
      <c r="C212" s="60" t="n">
        <v>23587610</v>
      </c>
      <c r="D212" s="60" t="s">
        <v>46</v>
      </c>
      <c r="E212" s="60" t="s">
        <v>22</v>
      </c>
      <c r="F212" s="60" t="s">
        <v>232</v>
      </c>
      <c r="G212" s="60" t="n">
        <v>19.5</v>
      </c>
      <c r="H212" s="61" t="n">
        <v>389.99</v>
      </c>
      <c r="I212" s="61" t="n">
        <v>33.42</v>
      </c>
      <c r="J212" s="61" t="n">
        <f aca="false">H212*Resumo!$C$6</f>
        <v>0</v>
      </c>
      <c r="K212" s="61" t="n">
        <f aca="false">H212*Resumo!$C$7</f>
        <v>0.818979</v>
      </c>
      <c r="L212" s="61" t="n">
        <f aca="false">H212*Resumo!$C$8</f>
        <v>0.818979</v>
      </c>
      <c r="M212" s="61" t="n">
        <f aca="false">Resumo!$C$10*CEILING(G212/100,1)</f>
        <v>1.05</v>
      </c>
      <c r="N212" s="61" t="n">
        <f aca="false">Resumo!$C$9</f>
        <v>0</v>
      </c>
      <c r="O212" s="61" t="n">
        <f aca="false">Resumo!$C$13</f>
        <v>13.55</v>
      </c>
      <c r="P212" s="61" t="n">
        <f aca="false">Resumo!$C$14*CEILING(G212,1)</f>
        <v>9</v>
      </c>
      <c r="Q212" s="61" t="n">
        <f aca="false">SUM(I212:P212)*Resumo!$C$11</f>
        <v>0</v>
      </c>
      <c r="R212" s="61" t="n">
        <f aca="false">SUM(I212:Q212)</f>
        <v>58.657958</v>
      </c>
      <c r="S212" s="61" t="n">
        <f aca="false">R212/(1-Resumo!$C$5)</f>
        <v>66.6567704545455</v>
      </c>
      <c r="T212" s="61" t="n">
        <v>46.98</v>
      </c>
      <c r="U212" s="61" t="n">
        <f aca="false">H212*Resumo!$B$6</f>
        <v>0.38999</v>
      </c>
      <c r="V212" s="61" t="n">
        <f aca="false">H212*Resumo!$B$7</f>
        <v>0.77998</v>
      </c>
      <c r="W212" s="61" t="n">
        <f aca="false">Resumo!$B$9</f>
        <v>1</v>
      </c>
      <c r="X212" s="61" t="n">
        <f aca="false">Resumo!$B$10*CEILING(G212/100,1)</f>
        <v>4.5</v>
      </c>
      <c r="Y212" s="61" t="n">
        <f aca="false">Resumo!$B$12*CEILING(G212,1)</f>
        <v>1.2</v>
      </c>
      <c r="Z212" s="61" t="n">
        <f aca="false">Resumo!$B$14*CEILING(G212,1)</f>
        <v>9</v>
      </c>
      <c r="AA212" s="61" t="n">
        <f aca="false">SUM(T212:Z212)</f>
        <v>63.84997</v>
      </c>
      <c r="AB212" s="61" t="n">
        <f aca="false">AA212/(1-Resumo!$B$5)</f>
        <v>72.5567840909091</v>
      </c>
      <c r="AC212" s="61" t="n">
        <f aca="false">AB212-S212</f>
        <v>5.90001363636364</v>
      </c>
      <c r="AD212" s="62" t="n">
        <f aca="false">AB212/S212-1</f>
        <v>0.0885133437478338</v>
      </c>
      <c r="AE212" s="60" t="str">
        <f aca="false">IF(AB212&lt;S212,"SIM","NÃO")</f>
        <v>NÃO</v>
      </c>
      <c r="AF212" s="60" t="n">
        <v>2</v>
      </c>
      <c r="AG212" s="60" t="n">
        <v>5</v>
      </c>
      <c r="AH212" s="60" t="s">
        <v>382</v>
      </c>
      <c r="AI212" s="61" t="n">
        <f aca="false">(T212*(1-Painel!$C$40)+U212+V212+Painel!$C$41+Painel!$C$42*CEILING(G212/100,1)+Painel!$C$43*CEILING(G212,1)+Z212)/(1-Resumo!$B$5)</f>
        <v>49.6551931818182</v>
      </c>
      <c r="AJ212" s="60" t="str">
        <f aca="false">IF(AI212&lt;S212,"SIM","NÃO")</f>
        <v>SIM</v>
      </c>
    </row>
    <row r="213" customFormat="false" ht="15" hidden="false" customHeight="false" outlineLevel="0" collapsed="false">
      <c r="A213" s="59" t="n">
        <v>46220.5672916667</v>
      </c>
      <c r="B213" s="60" t="s">
        <v>588</v>
      </c>
      <c r="C213" s="60" t="n">
        <v>25985010</v>
      </c>
      <c r="D213" s="60" t="s">
        <v>281</v>
      </c>
      <c r="E213" s="60" t="s">
        <v>24</v>
      </c>
      <c r="F213" s="60" t="s">
        <v>233</v>
      </c>
      <c r="G213" s="60" t="n">
        <v>20.9</v>
      </c>
      <c r="H213" s="61" t="n">
        <v>529.99</v>
      </c>
      <c r="I213" s="61" t="n">
        <v>65.63</v>
      </c>
      <c r="J213" s="61" t="n">
        <f aca="false">H213*Resumo!$C$6</f>
        <v>0</v>
      </c>
      <c r="K213" s="61" t="n">
        <f aca="false">H213*Resumo!$C$7</f>
        <v>1.112979</v>
      </c>
      <c r="L213" s="61" t="n">
        <f aca="false">H213*Resumo!$C$8</f>
        <v>1.112979</v>
      </c>
      <c r="M213" s="61" t="n">
        <f aca="false">Resumo!$C$10*CEILING(G213/100,1)</f>
        <v>1.05</v>
      </c>
      <c r="N213" s="61" t="n">
        <f aca="false">Resumo!$C$9</f>
        <v>0</v>
      </c>
      <c r="O213" s="61" t="n">
        <f aca="false">Resumo!$C$13</f>
        <v>13.55</v>
      </c>
      <c r="P213" s="61" t="n">
        <f aca="false">Resumo!$C$14*CEILING(G213,1)</f>
        <v>9.45</v>
      </c>
      <c r="Q213" s="61" t="n">
        <f aca="false">SUM(I213:P213)*Resumo!$C$11</f>
        <v>0</v>
      </c>
      <c r="R213" s="61" t="n">
        <f aca="false">SUM(I213:Q213)</f>
        <v>91.905958</v>
      </c>
      <c r="S213" s="61" t="n">
        <f aca="false">R213/(1-Resumo!$C$5)</f>
        <v>104.438588636364</v>
      </c>
      <c r="T213" s="61" t="n">
        <v>120.78</v>
      </c>
      <c r="U213" s="61" t="n">
        <f aca="false">H213*Resumo!$B$6</f>
        <v>0.52999</v>
      </c>
      <c r="V213" s="61" t="n">
        <f aca="false">H213*Resumo!$B$7</f>
        <v>1.05998</v>
      </c>
      <c r="W213" s="61" t="n">
        <f aca="false">Resumo!$B$9</f>
        <v>1</v>
      </c>
      <c r="X213" s="61" t="n">
        <f aca="false">Resumo!$B$10*CEILING(G213/100,1)</f>
        <v>4.5</v>
      </c>
      <c r="Y213" s="61" t="n">
        <f aca="false">Resumo!$B$12*CEILING(G213,1)</f>
        <v>1.26</v>
      </c>
      <c r="Z213" s="61" t="n">
        <f aca="false">Resumo!$B$14*CEILING(G213,1)</f>
        <v>9.45</v>
      </c>
      <c r="AA213" s="61" t="n">
        <f aca="false">SUM(T213:Z213)</f>
        <v>138.57997</v>
      </c>
      <c r="AB213" s="61" t="n">
        <f aca="false">AA213/(1-Resumo!$B$5)</f>
        <v>157.477238636364</v>
      </c>
      <c r="AC213" s="61" t="n">
        <f aca="false">AB213-S213</f>
        <v>53.03865</v>
      </c>
      <c r="AD213" s="62" t="n">
        <f aca="false">AB213/S213-1</f>
        <v>0.507845334684396</v>
      </c>
      <c r="AE213" s="60" t="str">
        <f aca="false">IF(AB213&lt;S213,"SIM","NÃO")</f>
        <v>NÃO</v>
      </c>
      <c r="AF213" s="60" t="n">
        <v>13</v>
      </c>
      <c r="AG213" s="60" t="n">
        <v>10</v>
      </c>
      <c r="AH213" s="60" t="s">
        <v>385</v>
      </c>
      <c r="AI213" s="61" t="n">
        <f aca="false">(T213*(1-Painel!$C$40)+U213+V213+Painel!$C$41+Painel!$C$42*CEILING(G213/100,1)+Painel!$C$43*CEILING(G213,1)+Z213)/(1-Resumo!$B$5)</f>
        <v>106.832465909091</v>
      </c>
      <c r="AJ213" s="60" t="str">
        <f aca="false">IF(AI213&lt;S213,"SIM","NÃO")</f>
        <v>NÃO</v>
      </c>
    </row>
    <row r="214" customFormat="false" ht="15" hidden="false" customHeight="false" outlineLevel="0" collapsed="false">
      <c r="A214" s="59" t="n">
        <v>46220.5869791667</v>
      </c>
      <c r="B214" s="60" t="s">
        <v>589</v>
      </c>
      <c r="C214" s="60" t="n">
        <v>23028050</v>
      </c>
      <c r="D214" s="60" t="s">
        <v>46</v>
      </c>
      <c r="E214" s="60" t="s">
        <v>22</v>
      </c>
      <c r="F214" s="60" t="s">
        <v>235</v>
      </c>
      <c r="G214" s="60" t="n">
        <v>48.6</v>
      </c>
      <c r="H214" s="61" t="n">
        <v>699.99</v>
      </c>
      <c r="I214" s="61" t="n">
        <v>53.55</v>
      </c>
      <c r="J214" s="61" t="n">
        <f aca="false">H214*Resumo!$C$6</f>
        <v>0</v>
      </c>
      <c r="K214" s="61" t="n">
        <f aca="false">H214*Resumo!$C$7</f>
        <v>1.469979</v>
      </c>
      <c r="L214" s="61" t="n">
        <f aca="false">H214*Resumo!$C$8</f>
        <v>1.469979</v>
      </c>
      <c r="M214" s="61" t="n">
        <f aca="false">Resumo!$C$10*CEILING(G214/100,1)</f>
        <v>1.05</v>
      </c>
      <c r="N214" s="61" t="n">
        <f aca="false">Resumo!$C$9</f>
        <v>0</v>
      </c>
      <c r="O214" s="61" t="n">
        <f aca="false">Resumo!$C$13</f>
        <v>13.55</v>
      </c>
      <c r="P214" s="61" t="n">
        <f aca="false">Resumo!$C$14*CEILING(G214,1)</f>
        <v>22.05</v>
      </c>
      <c r="Q214" s="61" t="n">
        <f aca="false">SUM(I214:P214)*Resumo!$C$11</f>
        <v>0</v>
      </c>
      <c r="R214" s="61" t="n">
        <f aca="false">SUM(I214:Q214)</f>
        <v>93.139958</v>
      </c>
      <c r="S214" s="61" t="n">
        <f aca="false">R214/(1-Resumo!$C$5)</f>
        <v>105.840861363636</v>
      </c>
      <c r="T214" s="61" t="n">
        <v>93.97</v>
      </c>
      <c r="U214" s="61" t="n">
        <f aca="false">H214*Resumo!$B$6</f>
        <v>0.69999</v>
      </c>
      <c r="V214" s="61" t="n">
        <f aca="false">H214*Resumo!$B$7</f>
        <v>1.39998</v>
      </c>
      <c r="W214" s="61" t="n">
        <f aca="false">Resumo!$B$9</f>
        <v>1</v>
      </c>
      <c r="X214" s="61" t="n">
        <f aca="false">Resumo!$B$10*CEILING(G214/100,1)</f>
        <v>4.5</v>
      </c>
      <c r="Y214" s="61" t="n">
        <f aca="false">Resumo!$B$12*CEILING(G214,1)</f>
        <v>2.94</v>
      </c>
      <c r="Z214" s="61" t="n">
        <f aca="false">Resumo!$B$14*CEILING(G214,1)</f>
        <v>22.05</v>
      </c>
      <c r="AA214" s="61" t="n">
        <f aca="false">SUM(T214:Z214)</f>
        <v>126.55997</v>
      </c>
      <c r="AB214" s="61" t="n">
        <f aca="false">AA214/(1-Resumo!$B$5)</f>
        <v>143.818147727273</v>
      </c>
      <c r="AC214" s="61" t="n">
        <f aca="false">AB214-S214</f>
        <v>37.9772863636364</v>
      </c>
      <c r="AD214" s="62" t="n">
        <f aca="false">AB214/S214-1</f>
        <v>0.358814978207313</v>
      </c>
      <c r="AE214" s="60" t="str">
        <f aca="false">IF(AB214&lt;S214,"SIM","NÃO")</f>
        <v>NÃO</v>
      </c>
      <c r="AF214" s="60" t="n">
        <v>2</v>
      </c>
      <c r="AG214" s="60" t="n">
        <v>5</v>
      </c>
      <c r="AH214" s="60" t="s">
        <v>382</v>
      </c>
      <c r="AI214" s="61" t="n">
        <f aca="false">(T214*(1-Painel!$C$40)+U214+V214+Painel!$C$41+Painel!$C$42*CEILING(G214/100,1)+Painel!$C$43*CEILING(G214,1)+Z214)/(1-Resumo!$B$5)</f>
        <v>101.318034090909</v>
      </c>
      <c r="AJ214" s="60" t="str">
        <f aca="false">IF(AI214&lt;S214,"SIM","NÃO")</f>
        <v>SIM</v>
      </c>
    </row>
    <row r="215" customFormat="false" ht="15" hidden="false" customHeight="false" outlineLevel="0" collapsed="false">
      <c r="A215" s="59" t="n">
        <v>46220.6055439815</v>
      </c>
      <c r="B215" s="60" t="s">
        <v>590</v>
      </c>
      <c r="C215" s="60" t="n">
        <v>27113320</v>
      </c>
      <c r="D215" s="60" t="s">
        <v>290</v>
      </c>
      <c r="E215" s="60" t="s">
        <v>24</v>
      </c>
      <c r="F215" s="60" t="s">
        <v>233</v>
      </c>
      <c r="G215" s="60" t="n">
        <v>34.4</v>
      </c>
      <c r="H215" s="61" t="n">
        <v>427.18</v>
      </c>
      <c r="I215" s="61" t="n">
        <v>65.63</v>
      </c>
      <c r="J215" s="61" t="n">
        <f aca="false">H215*Resumo!$C$6</f>
        <v>0</v>
      </c>
      <c r="K215" s="61" t="n">
        <f aca="false">H215*Resumo!$C$7</f>
        <v>0.897078</v>
      </c>
      <c r="L215" s="61" t="n">
        <f aca="false">H215*Resumo!$C$8</f>
        <v>0.897078</v>
      </c>
      <c r="M215" s="61" t="n">
        <f aca="false">Resumo!$C$10*CEILING(G215/100,1)</f>
        <v>1.05</v>
      </c>
      <c r="N215" s="61" t="n">
        <f aca="false">Resumo!$C$9</f>
        <v>0</v>
      </c>
      <c r="O215" s="61" t="n">
        <f aca="false">Resumo!$C$13</f>
        <v>13.55</v>
      </c>
      <c r="P215" s="61" t="n">
        <f aca="false">Resumo!$C$14*CEILING(G215,1)</f>
        <v>15.75</v>
      </c>
      <c r="Q215" s="61" t="n">
        <f aca="false">SUM(I215:P215)*Resumo!$C$11</f>
        <v>0</v>
      </c>
      <c r="R215" s="61" t="n">
        <f aca="false">SUM(I215:Q215)</f>
        <v>97.774156</v>
      </c>
      <c r="S215" s="61" t="n">
        <f aca="false">R215/(1-Resumo!$C$5)</f>
        <v>111.106995454545</v>
      </c>
      <c r="T215" s="61" t="n">
        <v>108.83</v>
      </c>
      <c r="U215" s="61" t="n">
        <f aca="false">H215*Resumo!$B$6</f>
        <v>0.42718</v>
      </c>
      <c r="V215" s="61" t="n">
        <f aca="false">H215*Resumo!$B$7</f>
        <v>0.85436</v>
      </c>
      <c r="W215" s="61" t="n">
        <f aca="false">Resumo!$B$9</f>
        <v>1</v>
      </c>
      <c r="X215" s="61" t="n">
        <f aca="false">Resumo!$B$10*CEILING(G215/100,1)</f>
        <v>4.5</v>
      </c>
      <c r="Y215" s="61" t="n">
        <f aca="false">Resumo!$B$12*CEILING(G215,1)</f>
        <v>2.1</v>
      </c>
      <c r="Z215" s="61" t="n">
        <f aca="false">Resumo!$B$14*CEILING(G215,1)</f>
        <v>15.75</v>
      </c>
      <c r="AA215" s="61" t="n">
        <f aca="false">SUM(T215:Z215)</f>
        <v>133.46154</v>
      </c>
      <c r="AB215" s="61" t="n">
        <f aca="false">AA215/(1-Resumo!$B$5)</f>
        <v>151.660840909091</v>
      </c>
      <c r="AC215" s="61" t="n">
        <f aca="false">AB215-S215</f>
        <v>40.5538454545455</v>
      </c>
      <c r="AD215" s="62" t="n">
        <f aca="false">AB215/S215-1</f>
        <v>0.364998128953422</v>
      </c>
      <c r="AE215" s="60" t="str">
        <f aca="false">IF(AB215&lt;S215,"SIM","NÃO")</f>
        <v>NÃO</v>
      </c>
      <c r="AF215" s="60" t="n">
        <v>13</v>
      </c>
      <c r="AG215" s="60" t="n">
        <v>10</v>
      </c>
      <c r="AH215" s="60" t="s">
        <v>385</v>
      </c>
      <c r="AI215" s="61" t="n">
        <f aca="false">(T215*(1-Painel!$C$40)+U215+V215+Painel!$C$41+Painel!$C$42*CEILING(G215/100,1)+Painel!$C$43*CEILING(G215,1)+Z215)/(1-Resumo!$B$5)</f>
        <v>104.542772727273</v>
      </c>
      <c r="AJ215" s="60" t="str">
        <f aca="false">IF(AI215&lt;S215,"SIM","NÃO")</f>
        <v>SIM</v>
      </c>
    </row>
    <row r="216" customFormat="false" ht="15" hidden="false" customHeight="false" outlineLevel="0" collapsed="false">
      <c r="A216" s="59" t="n">
        <v>46220.6375115741</v>
      </c>
      <c r="B216" s="60" t="s">
        <v>591</v>
      </c>
      <c r="C216" s="60" t="n">
        <v>21630310</v>
      </c>
      <c r="D216" s="60" t="s">
        <v>46</v>
      </c>
      <c r="E216" s="60" t="s">
        <v>22</v>
      </c>
      <c r="F216" s="60" t="s">
        <v>237</v>
      </c>
      <c r="G216" s="60" t="n">
        <v>66.8</v>
      </c>
      <c r="H216" s="61" t="n">
        <v>639.99</v>
      </c>
      <c r="I216" s="61" t="n">
        <v>63.21</v>
      </c>
      <c r="J216" s="61" t="n">
        <f aca="false">H216*Resumo!$C$6</f>
        <v>0</v>
      </c>
      <c r="K216" s="61" t="n">
        <f aca="false">H216*Resumo!$C$7</f>
        <v>1.343979</v>
      </c>
      <c r="L216" s="61" t="n">
        <f aca="false">H216*Resumo!$C$8</f>
        <v>1.343979</v>
      </c>
      <c r="M216" s="61" t="n">
        <f aca="false">Resumo!$C$10*CEILING(G216/100,1)</f>
        <v>1.05</v>
      </c>
      <c r="N216" s="61" t="n">
        <f aca="false">Resumo!$C$9</f>
        <v>0</v>
      </c>
      <c r="O216" s="61" t="n">
        <f aca="false">Resumo!$C$13</f>
        <v>13.55</v>
      </c>
      <c r="P216" s="61" t="n">
        <f aca="false">Resumo!$C$14*CEILING(G216,1)</f>
        <v>30.15</v>
      </c>
      <c r="Q216" s="61" t="n">
        <f aca="false">SUM(I216:P216)*Resumo!$C$11</f>
        <v>0</v>
      </c>
      <c r="R216" s="61" t="n">
        <f aca="false">SUM(I216:Q216)</f>
        <v>110.647958</v>
      </c>
      <c r="S216" s="61" t="n">
        <f aca="false">R216/(1-Resumo!$C$5)</f>
        <v>125.736315909091</v>
      </c>
      <c r="T216" s="61" t="n">
        <v>131.02</v>
      </c>
      <c r="U216" s="61" t="n">
        <f aca="false">H216*Resumo!$B$6</f>
        <v>0.63999</v>
      </c>
      <c r="V216" s="61" t="n">
        <f aca="false">H216*Resumo!$B$7</f>
        <v>1.27998</v>
      </c>
      <c r="W216" s="61" t="n">
        <f aca="false">Resumo!$B$9</f>
        <v>1</v>
      </c>
      <c r="X216" s="61" t="n">
        <f aca="false">Resumo!$B$10*CEILING(G216/100,1)</f>
        <v>4.5</v>
      </c>
      <c r="Y216" s="61" t="n">
        <f aca="false">Resumo!$B$12*CEILING(G216,1)</f>
        <v>4.02</v>
      </c>
      <c r="Z216" s="61" t="n">
        <f aca="false">Resumo!$B$14*CEILING(G216,1)</f>
        <v>30.15</v>
      </c>
      <c r="AA216" s="61" t="n">
        <f aca="false">SUM(T216:Z216)</f>
        <v>172.60997</v>
      </c>
      <c r="AB216" s="61" t="n">
        <f aca="false">AA216/(1-Resumo!$B$5)</f>
        <v>196.147693181818</v>
      </c>
      <c r="AC216" s="61" t="n">
        <f aca="false">AB216-S216</f>
        <v>70.4113772727273</v>
      </c>
      <c r="AD216" s="62" t="n">
        <f aca="false">AB216/S216-1</f>
        <v>0.559992367866382</v>
      </c>
      <c r="AE216" s="60" t="str">
        <f aca="false">IF(AB216&lt;S216,"SIM","NÃO")</f>
        <v>NÃO</v>
      </c>
      <c r="AF216" s="60" t="n">
        <v>2</v>
      </c>
      <c r="AG216" s="60" t="n">
        <v>5</v>
      </c>
      <c r="AH216" s="60" t="s">
        <v>382</v>
      </c>
      <c r="AI216" s="61" t="n">
        <f aca="false">(T216*(1-Painel!$C$40)+U216+V216+Painel!$C$41+Painel!$C$42*CEILING(G216/100,1)+Painel!$C$43*CEILING(G216,1)+Z216)/(1-Resumo!$B$5)</f>
        <v>138.526556818182</v>
      </c>
      <c r="AJ216" s="60" t="str">
        <f aca="false">IF(AI216&lt;S216,"SIM","NÃO")</f>
        <v>NÃO</v>
      </c>
    </row>
    <row r="217" customFormat="false" ht="15" hidden="false" customHeight="false" outlineLevel="0" collapsed="false">
      <c r="A217" s="59" t="n">
        <v>46220.6539583333</v>
      </c>
      <c r="B217" s="60" t="s">
        <v>592</v>
      </c>
      <c r="C217" s="60" t="n">
        <v>22451265</v>
      </c>
      <c r="D217" s="60" t="s">
        <v>46</v>
      </c>
      <c r="E217" s="60" t="s">
        <v>22</v>
      </c>
      <c r="F217" s="60" t="s">
        <v>233</v>
      </c>
      <c r="G217" s="60" t="n">
        <v>27.5</v>
      </c>
      <c r="H217" s="61" t="n">
        <v>359.98</v>
      </c>
      <c r="I217" s="61" t="n">
        <v>42.11</v>
      </c>
      <c r="J217" s="61" t="n">
        <f aca="false">H217*Resumo!$C$6</f>
        <v>0</v>
      </c>
      <c r="K217" s="61" t="n">
        <f aca="false">H217*Resumo!$C$7</f>
        <v>0.755958</v>
      </c>
      <c r="L217" s="61" t="n">
        <f aca="false">H217*Resumo!$C$8</f>
        <v>0.755958</v>
      </c>
      <c r="M217" s="61" t="n">
        <f aca="false">Resumo!$C$10*CEILING(G217/100,1)</f>
        <v>1.05</v>
      </c>
      <c r="N217" s="61" t="n">
        <f aca="false">Resumo!$C$9</f>
        <v>0</v>
      </c>
      <c r="O217" s="61" t="n">
        <f aca="false">Resumo!$C$13</f>
        <v>13.55</v>
      </c>
      <c r="P217" s="61" t="n">
        <f aca="false">Resumo!$C$14*CEILING(G217,1)</f>
        <v>12.6</v>
      </c>
      <c r="Q217" s="61" t="n">
        <f aca="false">SUM(I217:P217)*Resumo!$C$11</f>
        <v>0</v>
      </c>
      <c r="R217" s="61" t="n">
        <f aca="false">SUM(I217:Q217)</f>
        <v>70.821916</v>
      </c>
      <c r="S217" s="61" t="n">
        <f aca="false">R217/(1-Resumo!$C$5)</f>
        <v>80.47945</v>
      </c>
      <c r="T217" s="61" t="n">
        <v>82.21</v>
      </c>
      <c r="U217" s="61" t="n">
        <f aca="false">H217*Resumo!$B$6</f>
        <v>0.35998</v>
      </c>
      <c r="V217" s="61" t="n">
        <f aca="false">H217*Resumo!$B$7</f>
        <v>0.71996</v>
      </c>
      <c r="W217" s="61" t="n">
        <f aca="false">Resumo!$B$9</f>
        <v>1</v>
      </c>
      <c r="X217" s="61" t="n">
        <f aca="false">Resumo!$B$10*CEILING(G217/100,1)</f>
        <v>4.5</v>
      </c>
      <c r="Y217" s="61" t="n">
        <f aca="false">Resumo!$B$12*CEILING(G217,1)</f>
        <v>1.68</v>
      </c>
      <c r="Z217" s="61" t="n">
        <f aca="false">Resumo!$B$14*CEILING(G217,1)</f>
        <v>12.6</v>
      </c>
      <c r="AA217" s="61" t="n">
        <f aca="false">SUM(T217:Z217)</f>
        <v>103.06994</v>
      </c>
      <c r="AB217" s="61" t="n">
        <f aca="false">AA217/(1-Resumo!$B$5)</f>
        <v>117.124931818182</v>
      </c>
      <c r="AC217" s="61" t="n">
        <f aca="false">AB217-S217</f>
        <v>36.6454818181818</v>
      </c>
      <c r="AD217" s="62" t="n">
        <f aca="false">AB217/S217-1</f>
        <v>0.455339615494164</v>
      </c>
      <c r="AE217" s="60" t="str">
        <f aca="false">IF(AB217&lt;S217,"SIM","NÃO")</f>
        <v>NÃO</v>
      </c>
      <c r="AF217" s="60" t="n">
        <v>2</v>
      </c>
      <c r="AG217" s="60" t="n">
        <v>5</v>
      </c>
      <c r="AH217" s="60" t="s">
        <v>382</v>
      </c>
      <c r="AI217" s="61" t="n">
        <f aca="false">(T217*(1-Painel!$C$40)+U217+V217+Painel!$C$41+Painel!$C$42*CEILING(G217/100,1)+Painel!$C$43*CEILING(G217,1)+Z217)/(1-Resumo!$B$5)</f>
        <v>80.4666363636364</v>
      </c>
      <c r="AJ217" s="60" t="str">
        <f aca="false">IF(AI217&lt;S217,"SIM","NÃO")</f>
        <v>SIM</v>
      </c>
    </row>
    <row r="218" customFormat="false" ht="15" hidden="false" customHeight="false" outlineLevel="0" collapsed="false">
      <c r="A218" s="59" t="n">
        <v>46220.6590972222</v>
      </c>
      <c r="B218" s="60" t="s">
        <v>593</v>
      </c>
      <c r="C218" s="60" t="n">
        <v>21331690</v>
      </c>
      <c r="D218" s="60" t="s">
        <v>46</v>
      </c>
      <c r="E218" s="60" t="s">
        <v>22</v>
      </c>
      <c r="F218" s="60" t="s">
        <v>241</v>
      </c>
      <c r="G218" s="60" t="n">
        <v>127.8</v>
      </c>
      <c r="H218" s="61" t="n">
        <v>1434.39</v>
      </c>
      <c r="I218" s="61" t="n">
        <v>120.59</v>
      </c>
      <c r="J218" s="61" t="n">
        <f aca="false">H218*Resumo!$C$6</f>
        <v>0</v>
      </c>
      <c r="K218" s="61" t="n">
        <f aca="false">H218*Resumo!$C$7</f>
        <v>3.012219</v>
      </c>
      <c r="L218" s="61" t="n">
        <f aca="false">H218*Resumo!$C$8</f>
        <v>3.012219</v>
      </c>
      <c r="M218" s="61" t="n">
        <f aca="false">Resumo!$C$10*CEILING(G218/100,1)</f>
        <v>2.1</v>
      </c>
      <c r="N218" s="61" t="n">
        <f aca="false">Resumo!$C$9</f>
        <v>0</v>
      </c>
      <c r="O218" s="61" t="n">
        <f aca="false">Resumo!$C$13</f>
        <v>13.55</v>
      </c>
      <c r="P218" s="61" t="n">
        <f aca="false">Resumo!$C$14*CEILING(G218,1)</f>
        <v>57.6</v>
      </c>
      <c r="Q218" s="61" t="n">
        <f aca="false">SUM(I218:P218)*Resumo!$C$11</f>
        <v>0</v>
      </c>
      <c r="R218" s="61" t="n">
        <f aca="false">SUM(I218:Q218)</f>
        <v>199.864438</v>
      </c>
      <c r="S218" s="61" t="n">
        <f aca="false">R218/(1-Resumo!$C$5)</f>
        <v>227.118679545455</v>
      </c>
      <c r="T218" s="61" t="n">
        <v>239.25</v>
      </c>
      <c r="U218" s="61" t="n">
        <f aca="false">H218*Resumo!$B$6</f>
        <v>1.43439</v>
      </c>
      <c r="V218" s="61" t="n">
        <f aca="false">H218*Resumo!$B$7</f>
        <v>2.86878</v>
      </c>
      <c r="W218" s="61" t="n">
        <f aca="false">Resumo!$B$9</f>
        <v>1</v>
      </c>
      <c r="X218" s="61" t="n">
        <f aca="false">Resumo!$B$10*CEILING(G218/100,1)</f>
        <v>9</v>
      </c>
      <c r="Y218" s="61" t="n">
        <f aca="false">Resumo!$B$12*CEILING(G218,1)</f>
        <v>7.68</v>
      </c>
      <c r="Z218" s="61" t="n">
        <f aca="false">Resumo!$B$14*CEILING(G218,1)</f>
        <v>57.6</v>
      </c>
      <c r="AA218" s="61" t="n">
        <f aca="false">SUM(T218:Z218)</f>
        <v>318.83317</v>
      </c>
      <c r="AB218" s="61" t="n">
        <f aca="false">AA218/(1-Resumo!$B$5)</f>
        <v>362.310420454545</v>
      </c>
      <c r="AC218" s="61" t="n">
        <f aca="false">AB218-S218</f>
        <v>135.191740909091</v>
      </c>
      <c r="AD218" s="62" t="n">
        <f aca="false">AB218/S218-1</f>
        <v>0.595247124453426</v>
      </c>
      <c r="AE218" s="60" t="str">
        <f aca="false">IF(AB218&lt;S218,"SIM","NÃO")</f>
        <v>NÃO</v>
      </c>
      <c r="AF218" s="60" t="n">
        <v>2</v>
      </c>
      <c r="AG218" s="60" t="n">
        <v>5</v>
      </c>
      <c r="AH218" s="60" t="s">
        <v>382</v>
      </c>
      <c r="AI218" s="61" t="n">
        <f aca="false">(T218*(1-Painel!$C$40)+U218+V218+Painel!$C$41+Painel!$C$42*CEILING(G218/100,1)+Painel!$C$43*CEILING(G218,1)+Z218)/(1-Resumo!$B$5)</f>
        <v>256.023488636364</v>
      </c>
      <c r="AJ218" s="60" t="str">
        <f aca="false">IF(AI218&lt;S218,"SIM","NÃO")</f>
        <v>NÃO</v>
      </c>
    </row>
    <row r="219" customFormat="false" ht="15" hidden="false" customHeight="false" outlineLevel="0" collapsed="false">
      <c r="A219" s="59" t="n">
        <v>46220.6697569444</v>
      </c>
      <c r="B219" s="60" t="s">
        <v>594</v>
      </c>
      <c r="C219" s="60" t="n">
        <v>23585330</v>
      </c>
      <c r="D219" s="60" t="s">
        <v>46</v>
      </c>
      <c r="E219" s="60" t="s">
        <v>22</v>
      </c>
      <c r="F219" s="60" t="s">
        <v>237</v>
      </c>
      <c r="G219" s="60" t="n">
        <v>61.5</v>
      </c>
      <c r="H219" s="61" t="n">
        <v>767.99</v>
      </c>
      <c r="I219" s="61" t="n">
        <v>63.21</v>
      </c>
      <c r="J219" s="61" t="n">
        <f aca="false">H219*Resumo!$C$6</f>
        <v>0</v>
      </c>
      <c r="K219" s="61" t="n">
        <f aca="false">H219*Resumo!$C$7</f>
        <v>1.612779</v>
      </c>
      <c r="L219" s="61" t="n">
        <f aca="false">H219*Resumo!$C$8</f>
        <v>1.612779</v>
      </c>
      <c r="M219" s="61" t="n">
        <f aca="false">Resumo!$C$10*CEILING(G219/100,1)</f>
        <v>1.05</v>
      </c>
      <c r="N219" s="61" t="n">
        <f aca="false">Resumo!$C$9</f>
        <v>0</v>
      </c>
      <c r="O219" s="61" t="n">
        <f aca="false">Resumo!$C$13</f>
        <v>13.55</v>
      </c>
      <c r="P219" s="61" t="n">
        <f aca="false">Resumo!$C$14*CEILING(G219,1)</f>
        <v>27.9</v>
      </c>
      <c r="Q219" s="61" t="n">
        <f aca="false">SUM(I219:P219)*Resumo!$C$11</f>
        <v>0</v>
      </c>
      <c r="R219" s="61" t="n">
        <f aca="false">SUM(I219:Q219)</f>
        <v>108.935558</v>
      </c>
      <c r="S219" s="61" t="n">
        <f aca="false">R219/(1-Resumo!$C$5)</f>
        <v>123.790406818182</v>
      </c>
      <c r="T219" s="61" t="n">
        <v>131.02</v>
      </c>
      <c r="U219" s="61" t="n">
        <f aca="false">H219*Resumo!$B$6</f>
        <v>0.76799</v>
      </c>
      <c r="V219" s="61" t="n">
        <f aca="false">H219*Resumo!$B$7</f>
        <v>1.53598</v>
      </c>
      <c r="W219" s="61" t="n">
        <f aca="false">Resumo!$B$9</f>
        <v>1</v>
      </c>
      <c r="X219" s="61" t="n">
        <f aca="false">Resumo!$B$10*CEILING(G219/100,1)</f>
        <v>4.5</v>
      </c>
      <c r="Y219" s="61" t="n">
        <f aca="false">Resumo!$B$12*CEILING(G219,1)</f>
        <v>3.72</v>
      </c>
      <c r="Z219" s="61" t="n">
        <f aca="false">Resumo!$B$14*CEILING(G219,1)</f>
        <v>27.9</v>
      </c>
      <c r="AA219" s="61" t="n">
        <f aca="false">SUM(T219:Z219)</f>
        <v>170.44397</v>
      </c>
      <c r="AB219" s="61" t="n">
        <f aca="false">AA219/(1-Resumo!$B$5)</f>
        <v>193.686329545455</v>
      </c>
      <c r="AC219" s="61" t="n">
        <f aca="false">AB219-S219</f>
        <v>69.8959227272727</v>
      </c>
      <c r="AD219" s="62" t="n">
        <f aca="false">AB219/S219-1</f>
        <v>0.564631173964336</v>
      </c>
      <c r="AE219" s="60" t="str">
        <f aca="false">IF(AB219&lt;S219,"SIM","NÃO")</f>
        <v>NÃO</v>
      </c>
      <c r="AF219" s="60" t="n">
        <v>2</v>
      </c>
      <c r="AG219" s="60" t="n">
        <v>5</v>
      </c>
      <c r="AH219" s="60" t="s">
        <v>382</v>
      </c>
      <c r="AI219" s="61" t="n">
        <f aca="false">(T219*(1-Painel!$C$40)+U219+V219+Painel!$C$41+Painel!$C$42*CEILING(G219/100,1)+Painel!$C$43*CEILING(G219,1)+Z219)/(1-Resumo!$B$5)</f>
        <v>136.406102272727</v>
      </c>
      <c r="AJ219" s="60" t="str">
        <f aca="false">IF(AI219&lt;S219,"SIM","NÃO")</f>
        <v>NÃO</v>
      </c>
    </row>
    <row r="220" customFormat="false" ht="15" hidden="false" customHeight="false" outlineLevel="0" collapsed="false">
      <c r="A220" s="59" t="n">
        <v>46220.7880324074</v>
      </c>
      <c r="B220" s="60" t="s">
        <v>595</v>
      </c>
      <c r="C220" s="60" t="n">
        <v>23560660</v>
      </c>
      <c r="D220" s="60" t="s">
        <v>46</v>
      </c>
      <c r="E220" s="60" t="s">
        <v>22</v>
      </c>
      <c r="F220" s="60" t="s">
        <v>237</v>
      </c>
      <c r="G220" s="60" t="n">
        <v>66.8</v>
      </c>
      <c r="H220" s="61" t="n">
        <v>639.99</v>
      </c>
      <c r="I220" s="61" t="n">
        <v>63.21</v>
      </c>
      <c r="J220" s="61" t="n">
        <f aca="false">H220*Resumo!$C$6</f>
        <v>0</v>
      </c>
      <c r="K220" s="61" t="n">
        <f aca="false">H220*Resumo!$C$7</f>
        <v>1.343979</v>
      </c>
      <c r="L220" s="61" t="n">
        <f aca="false">H220*Resumo!$C$8</f>
        <v>1.343979</v>
      </c>
      <c r="M220" s="61" t="n">
        <f aca="false">Resumo!$C$10*CEILING(G220/100,1)</f>
        <v>1.05</v>
      </c>
      <c r="N220" s="61" t="n">
        <f aca="false">Resumo!$C$9</f>
        <v>0</v>
      </c>
      <c r="O220" s="61" t="n">
        <f aca="false">Resumo!$C$13</f>
        <v>13.55</v>
      </c>
      <c r="P220" s="61" t="n">
        <f aca="false">Resumo!$C$14*CEILING(G220,1)</f>
        <v>30.15</v>
      </c>
      <c r="Q220" s="61" t="n">
        <f aca="false">SUM(I220:P220)*Resumo!$C$11</f>
        <v>0</v>
      </c>
      <c r="R220" s="61" t="n">
        <f aca="false">SUM(I220:Q220)</f>
        <v>110.647958</v>
      </c>
      <c r="S220" s="61" t="n">
        <f aca="false">R220/(1-Resumo!$C$5)</f>
        <v>125.736315909091</v>
      </c>
      <c r="T220" s="61" t="n">
        <v>131.02</v>
      </c>
      <c r="U220" s="61" t="n">
        <f aca="false">H220*Resumo!$B$6</f>
        <v>0.63999</v>
      </c>
      <c r="V220" s="61" t="n">
        <f aca="false">H220*Resumo!$B$7</f>
        <v>1.27998</v>
      </c>
      <c r="W220" s="61" t="n">
        <f aca="false">Resumo!$B$9</f>
        <v>1</v>
      </c>
      <c r="X220" s="61" t="n">
        <f aca="false">Resumo!$B$10*CEILING(G220/100,1)</f>
        <v>4.5</v>
      </c>
      <c r="Y220" s="61" t="n">
        <f aca="false">Resumo!$B$12*CEILING(G220,1)</f>
        <v>4.02</v>
      </c>
      <c r="Z220" s="61" t="n">
        <f aca="false">Resumo!$B$14*CEILING(G220,1)</f>
        <v>30.15</v>
      </c>
      <c r="AA220" s="61" t="n">
        <f aca="false">SUM(T220:Z220)</f>
        <v>172.60997</v>
      </c>
      <c r="AB220" s="61" t="n">
        <f aca="false">AA220/(1-Resumo!$B$5)</f>
        <v>196.147693181818</v>
      </c>
      <c r="AC220" s="61" t="n">
        <f aca="false">AB220-S220</f>
        <v>70.4113772727273</v>
      </c>
      <c r="AD220" s="62" t="n">
        <f aca="false">AB220/S220-1</f>
        <v>0.559992367866382</v>
      </c>
      <c r="AE220" s="60" t="str">
        <f aca="false">IF(AB220&lt;S220,"SIM","NÃO")</f>
        <v>NÃO</v>
      </c>
      <c r="AF220" s="60" t="n">
        <v>2</v>
      </c>
      <c r="AG220" s="60" t="n">
        <v>5</v>
      </c>
      <c r="AH220" s="60" t="s">
        <v>382</v>
      </c>
      <c r="AI220" s="61" t="n">
        <f aca="false">(T220*(1-Painel!$C$40)+U220+V220+Painel!$C$41+Painel!$C$42*CEILING(G220/100,1)+Painel!$C$43*CEILING(G220,1)+Z220)/(1-Resumo!$B$5)</f>
        <v>138.526556818182</v>
      </c>
      <c r="AJ220" s="60" t="str">
        <f aca="false">IF(AI220&lt;S220,"SIM","NÃO")</f>
        <v>NÃO</v>
      </c>
    </row>
    <row r="221" customFormat="false" ht="15" hidden="false" customHeight="false" outlineLevel="0" collapsed="false">
      <c r="A221" s="59" t="n">
        <v>46220.8463194444</v>
      </c>
      <c r="B221" s="60" t="s">
        <v>596</v>
      </c>
      <c r="C221" s="60" t="n">
        <v>23036060</v>
      </c>
      <c r="D221" s="60" t="s">
        <v>46</v>
      </c>
      <c r="E221" s="60" t="s">
        <v>22</v>
      </c>
      <c r="F221" s="60" t="s">
        <v>234</v>
      </c>
      <c r="G221" s="60" t="n">
        <v>39.8</v>
      </c>
      <c r="H221" s="61" t="n">
        <v>449.99</v>
      </c>
      <c r="I221" s="61" t="n">
        <v>48.35</v>
      </c>
      <c r="J221" s="61" t="n">
        <f aca="false">H221*Resumo!$C$6</f>
        <v>0</v>
      </c>
      <c r="K221" s="61" t="n">
        <f aca="false">H221*Resumo!$C$7</f>
        <v>0.944979</v>
      </c>
      <c r="L221" s="61" t="n">
        <f aca="false">H221*Resumo!$C$8</f>
        <v>0.944979</v>
      </c>
      <c r="M221" s="61" t="n">
        <f aca="false">Resumo!$C$10*CEILING(G221/100,1)</f>
        <v>1.05</v>
      </c>
      <c r="N221" s="61" t="n">
        <f aca="false">Resumo!$C$9</f>
        <v>0</v>
      </c>
      <c r="O221" s="61" t="n">
        <f aca="false">Resumo!$C$13</f>
        <v>13.55</v>
      </c>
      <c r="P221" s="61" t="n">
        <f aca="false">Resumo!$C$14*CEILING(G221,1)</f>
        <v>18</v>
      </c>
      <c r="Q221" s="61" t="n">
        <f aca="false">SUM(I221:P221)*Resumo!$C$11</f>
        <v>0</v>
      </c>
      <c r="R221" s="61" t="n">
        <f aca="false">SUM(I221:Q221)</f>
        <v>82.839958</v>
      </c>
      <c r="S221" s="61" t="n">
        <f aca="false">R221/(1-Resumo!$C$5)</f>
        <v>94.1363159090909</v>
      </c>
      <c r="T221" s="61" t="n">
        <v>93.97</v>
      </c>
      <c r="U221" s="61" t="n">
        <f aca="false">H221*Resumo!$B$6</f>
        <v>0.44999</v>
      </c>
      <c r="V221" s="61" t="n">
        <f aca="false">H221*Resumo!$B$7</f>
        <v>0.89998</v>
      </c>
      <c r="W221" s="61" t="n">
        <f aca="false">Resumo!$B$9</f>
        <v>1</v>
      </c>
      <c r="X221" s="61" t="n">
        <f aca="false">Resumo!$B$10*CEILING(G221/100,1)</f>
        <v>4.5</v>
      </c>
      <c r="Y221" s="61" t="n">
        <f aca="false">Resumo!$B$12*CEILING(G221,1)</f>
        <v>2.4</v>
      </c>
      <c r="Z221" s="61" t="n">
        <f aca="false">Resumo!$B$14*CEILING(G221,1)</f>
        <v>18</v>
      </c>
      <c r="AA221" s="61" t="n">
        <f aca="false">SUM(T221:Z221)</f>
        <v>121.21997</v>
      </c>
      <c r="AB221" s="61" t="n">
        <f aca="false">AA221/(1-Resumo!$B$5)</f>
        <v>137.749965909091</v>
      </c>
      <c r="AC221" s="61" t="n">
        <f aca="false">AB221-S221</f>
        <v>43.61365</v>
      </c>
      <c r="AD221" s="62" t="n">
        <f aca="false">AB221/S221-1</f>
        <v>0.463303132046494</v>
      </c>
      <c r="AE221" s="60" t="str">
        <f aca="false">IF(AB221&lt;S221,"SIM","NÃO")</f>
        <v>NÃO</v>
      </c>
      <c r="AF221" s="60" t="n">
        <v>2</v>
      </c>
      <c r="AG221" s="60" t="n">
        <v>5</v>
      </c>
      <c r="AH221" s="60" t="s">
        <v>382</v>
      </c>
      <c r="AI221" s="61" t="n">
        <f aca="false">(T221*(1-Painel!$C$40)+U221+V221+Painel!$C$41+Painel!$C$42*CEILING(G221/100,1)+Painel!$C$43*CEILING(G221,1)+Z221)/(1-Resumo!$B$5)</f>
        <v>95.8634886363636</v>
      </c>
      <c r="AJ221" s="60" t="str">
        <f aca="false">IF(AI221&lt;S221,"SIM","NÃO")</f>
        <v>NÃO</v>
      </c>
    </row>
    <row r="222" customFormat="false" ht="15" hidden="false" customHeight="false" outlineLevel="0" collapsed="false">
      <c r="A222" s="59" t="n">
        <v>46220.9640972222</v>
      </c>
      <c r="B222" s="60" t="s">
        <v>597</v>
      </c>
      <c r="C222" s="60" t="n">
        <v>27972109</v>
      </c>
      <c r="D222" s="60" t="s">
        <v>53</v>
      </c>
      <c r="E222" s="60" t="s">
        <v>24</v>
      </c>
      <c r="F222" s="60" t="s">
        <v>241</v>
      </c>
      <c r="G222" s="60" t="n">
        <v>124.2</v>
      </c>
      <c r="H222" s="61" t="n">
        <v>1611.28</v>
      </c>
      <c r="I222" s="61" t="n">
        <v>144.24</v>
      </c>
      <c r="J222" s="61" t="n">
        <f aca="false">H222*Resumo!$C$6</f>
        <v>0</v>
      </c>
      <c r="K222" s="61" t="n">
        <f aca="false">H222*Resumo!$C$7</f>
        <v>3.383688</v>
      </c>
      <c r="L222" s="61" t="n">
        <f aca="false">H222*Resumo!$C$8</f>
        <v>3.383688</v>
      </c>
      <c r="M222" s="61" t="n">
        <f aca="false">Resumo!$C$10*CEILING(G222/100,1)</f>
        <v>2.1</v>
      </c>
      <c r="N222" s="61" t="n">
        <f aca="false">Resumo!$C$9</f>
        <v>0</v>
      </c>
      <c r="O222" s="61" t="n">
        <f aca="false">Resumo!$C$13</f>
        <v>13.55</v>
      </c>
      <c r="P222" s="61" t="n">
        <f aca="false">Resumo!$C$14*CEILING(G222,1)</f>
        <v>56.25</v>
      </c>
      <c r="Q222" s="61" t="n">
        <f aca="false">SUM(I222:P222)*Resumo!$C$11</f>
        <v>0</v>
      </c>
      <c r="R222" s="61" t="n">
        <f aca="false">SUM(I222:Q222)</f>
        <v>222.907376</v>
      </c>
      <c r="S222" s="61" t="n">
        <f aca="false">R222/(1-Resumo!$C$5)</f>
        <v>253.303836363636</v>
      </c>
      <c r="T222" s="61" t="n">
        <v>264.84</v>
      </c>
      <c r="U222" s="61" t="n">
        <f aca="false">H222*Resumo!$B$6</f>
        <v>1.61128</v>
      </c>
      <c r="V222" s="61" t="n">
        <f aca="false">H222*Resumo!$B$7</f>
        <v>3.22256</v>
      </c>
      <c r="W222" s="61" t="n">
        <f aca="false">Resumo!$B$9</f>
        <v>1</v>
      </c>
      <c r="X222" s="61" t="n">
        <f aca="false">Resumo!$B$10*CEILING(G222/100,1)</f>
        <v>9</v>
      </c>
      <c r="Y222" s="61" t="n">
        <f aca="false">Resumo!$B$12*CEILING(G222,1)</f>
        <v>7.5</v>
      </c>
      <c r="Z222" s="61" t="n">
        <f aca="false">Resumo!$B$14*CEILING(G222,1)</f>
        <v>56.25</v>
      </c>
      <c r="AA222" s="61" t="n">
        <f aca="false">SUM(T222:Z222)</f>
        <v>343.42384</v>
      </c>
      <c r="AB222" s="61" t="n">
        <f aca="false">AA222/(1-Resumo!$B$5)</f>
        <v>390.254363636364</v>
      </c>
      <c r="AC222" s="61" t="n">
        <f aca="false">AB222-S222</f>
        <v>136.950527272727</v>
      </c>
      <c r="AD222" s="62" t="n">
        <f aca="false">AB222/S222-1</f>
        <v>0.540657138236646</v>
      </c>
      <c r="AE222" s="60" t="str">
        <f aca="false">IF(AB222&lt;S222,"SIM","NÃO")</f>
        <v>NÃO</v>
      </c>
      <c r="AF222" s="60" t="n">
        <v>13</v>
      </c>
      <c r="AG222" s="60" t="n">
        <v>11</v>
      </c>
      <c r="AH222" s="60" t="s">
        <v>382</v>
      </c>
      <c r="AI222" s="61" t="n">
        <f aca="false">(T222*(1-Painel!$C$40)+U222+V222+Painel!$C$41+Painel!$C$42*CEILING(G222/100,1)+Painel!$C$43*CEILING(G222,1)+Z222)/(1-Resumo!$B$5)</f>
        <v>274.575727272727</v>
      </c>
      <c r="AJ222" s="60" t="str">
        <f aca="false">IF(AI222&lt;S222,"SIM","NÃO")</f>
        <v>NÃO</v>
      </c>
    </row>
    <row r="223" customFormat="false" ht="15" hidden="false" customHeight="false" outlineLevel="0" collapsed="false">
      <c r="A223" s="59" t="n">
        <v>46220.9698842593</v>
      </c>
      <c r="B223" s="60" t="s">
        <v>598</v>
      </c>
      <c r="C223" s="60" t="n">
        <v>23010310</v>
      </c>
      <c r="D223" s="60" t="s">
        <v>46</v>
      </c>
      <c r="E223" s="60" t="s">
        <v>22</v>
      </c>
      <c r="F223" s="60" t="s">
        <v>232</v>
      </c>
      <c r="G223" s="60" t="n">
        <v>19.5</v>
      </c>
      <c r="H223" s="61" t="n">
        <v>369.99</v>
      </c>
      <c r="I223" s="61" t="n">
        <v>33.42</v>
      </c>
      <c r="J223" s="61" t="n">
        <f aca="false">H223*Resumo!$C$6</f>
        <v>0</v>
      </c>
      <c r="K223" s="61" t="n">
        <f aca="false">H223*Resumo!$C$7</f>
        <v>0.776979</v>
      </c>
      <c r="L223" s="61" t="n">
        <f aca="false">H223*Resumo!$C$8</f>
        <v>0.776979</v>
      </c>
      <c r="M223" s="61" t="n">
        <f aca="false">Resumo!$C$10*CEILING(G223/100,1)</f>
        <v>1.05</v>
      </c>
      <c r="N223" s="61" t="n">
        <f aca="false">Resumo!$C$9</f>
        <v>0</v>
      </c>
      <c r="O223" s="61" t="n">
        <f aca="false">Resumo!$C$13</f>
        <v>13.55</v>
      </c>
      <c r="P223" s="61" t="n">
        <f aca="false">Resumo!$C$14*CEILING(G223,1)</f>
        <v>9</v>
      </c>
      <c r="Q223" s="61" t="n">
        <f aca="false">SUM(I223:P223)*Resumo!$C$11</f>
        <v>0</v>
      </c>
      <c r="R223" s="61" t="n">
        <f aca="false">SUM(I223:Q223)</f>
        <v>58.573958</v>
      </c>
      <c r="S223" s="61" t="n">
        <f aca="false">R223/(1-Resumo!$C$5)</f>
        <v>66.5613159090909</v>
      </c>
      <c r="T223" s="61" t="n">
        <v>46.98</v>
      </c>
      <c r="U223" s="61" t="n">
        <f aca="false">H223*Resumo!$B$6</f>
        <v>0.36999</v>
      </c>
      <c r="V223" s="61" t="n">
        <f aca="false">H223*Resumo!$B$7</f>
        <v>0.73998</v>
      </c>
      <c r="W223" s="61" t="n">
        <f aca="false">Resumo!$B$9</f>
        <v>1</v>
      </c>
      <c r="X223" s="61" t="n">
        <f aca="false">Resumo!$B$10*CEILING(G223/100,1)</f>
        <v>4.5</v>
      </c>
      <c r="Y223" s="61" t="n">
        <f aca="false">Resumo!$B$12*CEILING(G223,1)</f>
        <v>1.2</v>
      </c>
      <c r="Z223" s="61" t="n">
        <f aca="false">Resumo!$B$14*CEILING(G223,1)</f>
        <v>9</v>
      </c>
      <c r="AA223" s="61" t="n">
        <f aca="false">SUM(T223:Z223)</f>
        <v>63.78997</v>
      </c>
      <c r="AB223" s="61" t="n">
        <f aca="false">AA223/(1-Resumo!$B$5)</f>
        <v>72.4886022727273</v>
      </c>
      <c r="AC223" s="61" t="n">
        <f aca="false">AB223-S223</f>
        <v>5.92728636363636</v>
      </c>
      <c r="AD223" s="62" t="n">
        <f aca="false">AB223/S223-1</f>
        <v>0.0890500177570379</v>
      </c>
      <c r="AE223" s="60" t="str">
        <f aca="false">IF(AB223&lt;S223,"SIM","NÃO")</f>
        <v>NÃO</v>
      </c>
      <c r="AF223" s="60" t="n">
        <v>2</v>
      </c>
      <c r="AG223" s="60" t="n">
        <v>5</v>
      </c>
      <c r="AH223" s="60" t="s">
        <v>382</v>
      </c>
      <c r="AI223" s="61" t="n">
        <f aca="false">(T223*(1-Painel!$C$40)+U223+V223+Painel!$C$41+Painel!$C$42*CEILING(G223/100,1)+Painel!$C$43*CEILING(G223,1)+Z223)/(1-Resumo!$B$5)</f>
        <v>49.5870113636364</v>
      </c>
      <c r="AJ223" s="60" t="str">
        <f aca="false">IF(AI223&lt;S223,"SIM","NÃO")</f>
        <v>SIM</v>
      </c>
    </row>
    <row r="224" customFormat="false" ht="15" hidden="false" customHeight="false" outlineLevel="0" collapsed="false">
      <c r="A224" s="59" t="n">
        <v>46221.0859027778</v>
      </c>
      <c r="B224" s="60" t="s">
        <v>599</v>
      </c>
      <c r="C224" s="60" t="n">
        <v>21863430</v>
      </c>
      <c r="D224" s="60" t="s">
        <v>46</v>
      </c>
      <c r="E224" s="60" t="s">
        <v>22</v>
      </c>
      <c r="F224" s="60" t="s">
        <v>236</v>
      </c>
      <c r="G224" s="60" t="n">
        <v>52.3</v>
      </c>
      <c r="H224" s="61" t="n">
        <v>685.84</v>
      </c>
      <c r="I224" s="61" t="n">
        <v>58.6</v>
      </c>
      <c r="J224" s="61" t="n">
        <f aca="false">H224*Resumo!$C$6</f>
        <v>0</v>
      </c>
      <c r="K224" s="61" t="n">
        <f aca="false">H224*Resumo!$C$7</f>
        <v>1.440264</v>
      </c>
      <c r="L224" s="61" t="n">
        <f aca="false">H224*Resumo!$C$8</f>
        <v>1.440264</v>
      </c>
      <c r="M224" s="61" t="n">
        <f aca="false">Resumo!$C$10*CEILING(G224/100,1)</f>
        <v>1.05</v>
      </c>
      <c r="N224" s="61" t="n">
        <f aca="false">Resumo!$C$9</f>
        <v>0</v>
      </c>
      <c r="O224" s="61" t="n">
        <f aca="false">Resumo!$C$13</f>
        <v>13.55</v>
      </c>
      <c r="P224" s="61" t="n">
        <f aca="false">Resumo!$C$14*CEILING(G224,1)</f>
        <v>23.85</v>
      </c>
      <c r="Q224" s="61" t="n">
        <f aca="false">SUM(I224:P224)*Resumo!$C$11</f>
        <v>0</v>
      </c>
      <c r="R224" s="61" t="n">
        <f aca="false">SUM(I224:Q224)</f>
        <v>99.930528</v>
      </c>
      <c r="S224" s="61" t="n">
        <f aca="false">R224/(1-Resumo!$C$5)</f>
        <v>113.557418181818</v>
      </c>
      <c r="T224" s="61" t="n">
        <v>112.3</v>
      </c>
      <c r="U224" s="61" t="n">
        <f aca="false">H224*Resumo!$B$6</f>
        <v>0.68584</v>
      </c>
      <c r="V224" s="61" t="n">
        <f aca="false">H224*Resumo!$B$7</f>
        <v>1.37168</v>
      </c>
      <c r="W224" s="61" t="n">
        <f aca="false">Resumo!$B$9</f>
        <v>1</v>
      </c>
      <c r="X224" s="61" t="n">
        <f aca="false">Resumo!$B$10*CEILING(G224/100,1)</f>
        <v>4.5</v>
      </c>
      <c r="Y224" s="61" t="n">
        <f aca="false">Resumo!$B$12*CEILING(G224,1)</f>
        <v>3.18</v>
      </c>
      <c r="Z224" s="61" t="n">
        <f aca="false">Resumo!$B$14*CEILING(G224,1)</f>
        <v>23.85</v>
      </c>
      <c r="AA224" s="61" t="n">
        <f aca="false">SUM(T224:Z224)</f>
        <v>146.88752</v>
      </c>
      <c r="AB224" s="61" t="n">
        <f aca="false">AA224/(1-Resumo!$B$5)</f>
        <v>166.917636363636</v>
      </c>
      <c r="AC224" s="61" t="n">
        <f aca="false">AB224-S224</f>
        <v>53.3602181818182</v>
      </c>
      <c r="AD224" s="62" t="n">
        <f aca="false">AB224/S224-1</f>
        <v>0.469896366403668</v>
      </c>
      <c r="AE224" s="60" t="str">
        <f aca="false">IF(AB224&lt;S224,"SIM","NÃO")</f>
        <v>NÃO</v>
      </c>
      <c r="AF224" s="60" t="n">
        <v>2</v>
      </c>
      <c r="AG224" s="60" t="n">
        <v>5</v>
      </c>
      <c r="AH224" s="60" t="s">
        <v>382</v>
      </c>
      <c r="AI224" s="61" t="n">
        <f aca="false">(T224*(1-Painel!$C$40)+U224+V224+Painel!$C$41+Painel!$C$42*CEILING(G224/100,1)+Painel!$C$43*CEILING(G224,1)+Z224)/(1-Resumo!$B$5)</f>
        <v>117.271045454545</v>
      </c>
      <c r="AJ224" s="60" t="str">
        <f aca="false">IF(AI224&lt;S224,"SIM","NÃO")</f>
        <v>NÃO</v>
      </c>
    </row>
    <row r="225" customFormat="false" ht="15" hidden="false" customHeight="false" outlineLevel="0" collapsed="false">
      <c r="A225" s="59" t="n">
        <v>46221.2375694444</v>
      </c>
      <c r="B225" s="60" t="s">
        <v>600</v>
      </c>
      <c r="C225" s="60" t="n">
        <v>21610290</v>
      </c>
      <c r="D225" s="60" t="s">
        <v>46</v>
      </c>
      <c r="E225" s="60" t="s">
        <v>22</v>
      </c>
      <c r="F225" s="60" t="s">
        <v>239</v>
      </c>
      <c r="G225" s="60" t="n">
        <v>97.2</v>
      </c>
      <c r="H225" s="61" t="n">
        <v>1399.99</v>
      </c>
      <c r="I225" s="61" t="n">
        <v>83.79</v>
      </c>
      <c r="J225" s="61" t="n">
        <f aca="false">H225*Resumo!$C$6</f>
        <v>0</v>
      </c>
      <c r="K225" s="61" t="n">
        <f aca="false">H225*Resumo!$C$7</f>
        <v>2.939979</v>
      </c>
      <c r="L225" s="61" t="n">
        <f aca="false">H225*Resumo!$C$8</f>
        <v>2.939979</v>
      </c>
      <c r="M225" s="61" t="n">
        <f aca="false">Resumo!$C$10*CEILING(G225/100,1)</f>
        <v>1.05</v>
      </c>
      <c r="N225" s="61" t="n">
        <f aca="false">Resumo!$C$9</f>
        <v>0</v>
      </c>
      <c r="O225" s="61" t="n">
        <f aca="false">Resumo!$C$13</f>
        <v>13.55</v>
      </c>
      <c r="P225" s="61" t="n">
        <f aca="false">Resumo!$C$14*CEILING(G225,1)</f>
        <v>44.1</v>
      </c>
      <c r="Q225" s="61" t="n">
        <f aca="false">SUM(I225:P225)*Resumo!$C$11</f>
        <v>0</v>
      </c>
      <c r="R225" s="61" t="n">
        <f aca="false">SUM(I225:Q225)</f>
        <v>148.369958</v>
      </c>
      <c r="S225" s="61" t="n">
        <f aca="false">R225/(1-Resumo!$C$5)</f>
        <v>168.602225</v>
      </c>
      <c r="T225" s="61" t="n">
        <v>167.99</v>
      </c>
      <c r="U225" s="61" t="n">
        <f aca="false">H225*Resumo!$B$6</f>
        <v>1.39999</v>
      </c>
      <c r="V225" s="61" t="n">
        <f aca="false">H225*Resumo!$B$7</f>
        <v>2.79998</v>
      </c>
      <c r="W225" s="61" t="n">
        <f aca="false">Resumo!$B$9</f>
        <v>1</v>
      </c>
      <c r="X225" s="61" t="n">
        <f aca="false">Resumo!$B$10*CEILING(G225/100,1)</f>
        <v>4.5</v>
      </c>
      <c r="Y225" s="61" t="n">
        <f aca="false">Resumo!$B$12*CEILING(G225,1)</f>
        <v>5.88</v>
      </c>
      <c r="Z225" s="61" t="n">
        <f aca="false">Resumo!$B$14*CEILING(G225,1)</f>
        <v>44.1</v>
      </c>
      <c r="AA225" s="61" t="n">
        <f aca="false">SUM(T225:Z225)</f>
        <v>227.66997</v>
      </c>
      <c r="AB225" s="61" t="n">
        <f aca="false">AA225/(1-Resumo!$B$5)</f>
        <v>258.715875</v>
      </c>
      <c r="AC225" s="61" t="n">
        <f aca="false">AB225-S225</f>
        <v>90.11365</v>
      </c>
      <c r="AD225" s="62" t="n">
        <f aca="false">AB225/S225-1</f>
        <v>0.534474856426124</v>
      </c>
      <c r="AE225" s="60" t="str">
        <f aca="false">IF(AB225&lt;S225,"SIM","NÃO")</f>
        <v>NÃO</v>
      </c>
      <c r="AF225" s="60" t="n">
        <v>2</v>
      </c>
      <c r="AG225" s="60" t="n">
        <v>5</v>
      </c>
      <c r="AH225" s="60" t="s">
        <v>382</v>
      </c>
      <c r="AI225" s="61" t="n">
        <f aca="false">(T225*(1-Painel!$C$40)+U225+V225+Painel!$C$41+Painel!$C$42*CEILING(G225/100,1)+Painel!$C$43*CEILING(G225,1)+Z225)/(1-Resumo!$B$5)</f>
        <v>185.117352272727</v>
      </c>
      <c r="AJ225" s="60" t="str">
        <f aca="false">IF(AI225&lt;S225,"SIM","NÃO")</f>
        <v>NÃO</v>
      </c>
    </row>
    <row r="226" customFormat="false" ht="15" hidden="false" customHeight="false" outlineLevel="0" collapsed="false">
      <c r="A226" s="59" t="n">
        <v>46221.339849537</v>
      </c>
      <c r="B226" s="60" t="s">
        <v>601</v>
      </c>
      <c r="C226" s="60" t="n">
        <v>27973410</v>
      </c>
      <c r="D226" s="60" t="s">
        <v>53</v>
      </c>
      <c r="E226" s="60" t="s">
        <v>24</v>
      </c>
      <c r="F226" s="60" t="s">
        <v>241</v>
      </c>
      <c r="G226" s="60" t="n">
        <v>127.8</v>
      </c>
      <c r="H226" s="61" t="n">
        <v>1349.99</v>
      </c>
      <c r="I226" s="61" t="n">
        <v>144.24</v>
      </c>
      <c r="J226" s="61" t="n">
        <f aca="false">H226*Resumo!$C$6</f>
        <v>0</v>
      </c>
      <c r="K226" s="61" t="n">
        <f aca="false">H226*Resumo!$C$7</f>
        <v>2.834979</v>
      </c>
      <c r="L226" s="61" t="n">
        <f aca="false">H226*Resumo!$C$8</f>
        <v>2.834979</v>
      </c>
      <c r="M226" s="61" t="n">
        <f aca="false">Resumo!$C$10*CEILING(G226/100,1)</f>
        <v>2.1</v>
      </c>
      <c r="N226" s="61" t="n">
        <f aca="false">Resumo!$C$9</f>
        <v>0</v>
      </c>
      <c r="O226" s="61" t="n">
        <f aca="false">Resumo!$C$13</f>
        <v>13.55</v>
      </c>
      <c r="P226" s="61" t="n">
        <f aca="false">Resumo!$C$14*CEILING(G226,1)</f>
        <v>57.6</v>
      </c>
      <c r="Q226" s="61" t="n">
        <f aca="false">SUM(I226:P226)*Resumo!$C$11</f>
        <v>0</v>
      </c>
      <c r="R226" s="61" t="n">
        <f aca="false">SUM(I226:Q226)</f>
        <v>223.159958</v>
      </c>
      <c r="S226" s="61" t="n">
        <f aca="false">R226/(1-Resumo!$C$5)</f>
        <v>253.590861363636</v>
      </c>
      <c r="T226" s="61" t="n">
        <v>264.84</v>
      </c>
      <c r="U226" s="61" t="n">
        <f aca="false">H226*Resumo!$B$6</f>
        <v>1.34999</v>
      </c>
      <c r="V226" s="61" t="n">
        <f aca="false">H226*Resumo!$B$7</f>
        <v>2.69998</v>
      </c>
      <c r="W226" s="61" t="n">
        <f aca="false">Resumo!$B$9</f>
        <v>1</v>
      </c>
      <c r="X226" s="61" t="n">
        <f aca="false">Resumo!$B$10*CEILING(G226/100,1)</f>
        <v>9</v>
      </c>
      <c r="Y226" s="61" t="n">
        <f aca="false">Resumo!$B$12*CEILING(G226,1)</f>
        <v>7.68</v>
      </c>
      <c r="Z226" s="61" t="n">
        <f aca="false">Resumo!$B$14*CEILING(G226,1)</f>
        <v>57.6</v>
      </c>
      <c r="AA226" s="61" t="n">
        <f aca="false">SUM(T226:Z226)</f>
        <v>344.16997</v>
      </c>
      <c r="AB226" s="61" t="n">
        <f aca="false">AA226/(1-Resumo!$B$5)</f>
        <v>391.102238636364</v>
      </c>
      <c r="AC226" s="61" t="n">
        <f aca="false">AB226-S226</f>
        <v>137.511377272727</v>
      </c>
      <c r="AD226" s="62" t="n">
        <f aca="false">AB226/S226-1</f>
        <v>0.542256832652747</v>
      </c>
      <c r="AE226" s="60" t="str">
        <f aca="false">IF(AB226&lt;S226,"SIM","NÃO")</f>
        <v>NÃO</v>
      </c>
      <c r="AF226" s="60" t="n">
        <v>13</v>
      </c>
      <c r="AG226" s="60" t="n">
        <v>11</v>
      </c>
      <c r="AH226" s="60" t="s">
        <v>382</v>
      </c>
      <c r="AI226" s="61" t="n">
        <f aca="false">(T226*(1-Painel!$C$40)+U226+V226+Painel!$C$41+Painel!$C$42*CEILING(G226/100,1)+Painel!$C$43*CEILING(G226,1)+Z226)/(1-Resumo!$B$5)</f>
        <v>275.219056818182</v>
      </c>
      <c r="AJ226" s="60" t="str">
        <f aca="false">IF(AI226&lt;S226,"SIM","NÃO")</f>
        <v>NÃO</v>
      </c>
    </row>
    <row r="227" customFormat="false" ht="15" hidden="false" customHeight="false" outlineLevel="0" collapsed="false">
      <c r="A227" s="59" t="n">
        <v>46221.376099537</v>
      </c>
      <c r="B227" s="60" t="s">
        <v>602</v>
      </c>
      <c r="C227" s="60" t="n">
        <v>21830080</v>
      </c>
      <c r="D227" s="60" t="s">
        <v>46</v>
      </c>
      <c r="E227" s="60" t="s">
        <v>22</v>
      </c>
      <c r="F227" s="60" t="s">
        <v>234</v>
      </c>
      <c r="G227" s="60" t="n">
        <v>37.6</v>
      </c>
      <c r="H227" s="61" t="n">
        <v>379.99</v>
      </c>
      <c r="I227" s="61" t="n">
        <v>48.35</v>
      </c>
      <c r="J227" s="61" t="n">
        <f aca="false">H227*Resumo!$C$6</f>
        <v>0</v>
      </c>
      <c r="K227" s="61" t="n">
        <f aca="false">H227*Resumo!$C$7</f>
        <v>0.797979</v>
      </c>
      <c r="L227" s="61" t="n">
        <f aca="false">H227*Resumo!$C$8</f>
        <v>0.797979</v>
      </c>
      <c r="M227" s="61" t="n">
        <f aca="false">Resumo!$C$10*CEILING(G227/100,1)</f>
        <v>1.05</v>
      </c>
      <c r="N227" s="61" t="n">
        <f aca="false">Resumo!$C$9</f>
        <v>0</v>
      </c>
      <c r="O227" s="61" t="n">
        <f aca="false">Resumo!$C$13</f>
        <v>13.55</v>
      </c>
      <c r="P227" s="61" t="n">
        <f aca="false">Resumo!$C$14*CEILING(G227,1)</f>
        <v>17.1</v>
      </c>
      <c r="Q227" s="61" t="n">
        <f aca="false">SUM(I227:P227)*Resumo!$C$11</f>
        <v>0</v>
      </c>
      <c r="R227" s="61" t="n">
        <f aca="false">SUM(I227:Q227)</f>
        <v>81.645958</v>
      </c>
      <c r="S227" s="61" t="n">
        <f aca="false">R227/(1-Resumo!$C$5)</f>
        <v>92.7794977272727</v>
      </c>
      <c r="T227" s="61" t="n">
        <v>93.97</v>
      </c>
      <c r="U227" s="61" t="n">
        <f aca="false">H227*Resumo!$B$6</f>
        <v>0.37999</v>
      </c>
      <c r="V227" s="61" t="n">
        <f aca="false">H227*Resumo!$B$7</f>
        <v>0.75998</v>
      </c>
      <c r="W227" s="61" t="n">
        <f aca="false">Resumo!$B$9</f>
        <v>1</v>
      </c>
      <c r="X227" s="61" t="n">
        <f aca="false">Resumo!$B$10*CEILING(G227/100,1)</f>
        <v>4.5</v>
      </c>
      <c r="Y227" s="61" t="n">
        <f aca="false">Resumo!$B$12*CEILING(G227,1)</f>
        <v>2.28</v>
      </c>
      <c r="Z227" s="61" t="n">
        <f aca="false">Resumo!$B$14*CEILING(G227,1)</f>
        <v>17.1</v>
      </c>
      <c r="AA227" s="61" t="n">
        <f aca="false">SUM(T227:Z227)</f>
        <v>119.98997</v>
      </c>
      <c r="AB227" s="61" t="n">
        <f aca="false">AA227/(1-Resumo!$B$5)</f>
        <v>136.352238636364</v>
      </c>
      <c r="AC227" s="61" t="n">
        <f aca="false">AB227-S227</f>
        <v>43.5727409090909</v>
      </c>
      <c r="AD227" s="62" t="n">
        <f aca="false">AB227/S227-1</f>
        <v>0.469637602880476</v>
      </c>
      <c r="AE227" s="60" t="str">
        <f aca="false">IF(AB227&lt;S227,"SIM","NÃO")</f>
        <v>NÃO</v>
      </c>
      <c r="AF227" s="60" t="n">
        <v>2</v>
      </c>
      <c r="AG227" s="60" t="n">
        <v>5</v>
      </c>
      <c r="AH227" s="60" t="s">
        <v>382</v>
      </c>
      <c r="AI227" s="61" t="n">
        <f aca="false">(T227*(1-Painel!$C$40)+U227+V227+Painel!$C$41+Painel!$C$42*CEILING(G227/100,1)+Painel!$C$43*CEILING(G227,1)+Z227)/(1-Resumo!$B$5)</f>
        <v>94.602125</v>
      </c>
      <c r="AJ227" s="60" t="str">
        <f aca="false">IF(AI227&lt;S227,"SIM","NÃO")</f>
        <v>NÃO</v>
      </c>
    </row>
    <row r="228" customFormat="false" ht="15" hidden="false" customHeight="false" outlineLevel="0" collapsed="false">
      <c r="A228" s="59" t="n">
        <v>46221.4359722222</v>
      </c>
      <c r="B228" s="60" t="s">
        <v>603</v>
      </c>
      <c r="C228" s="60" t="n">
        <v>27336410</v>
      </c>
      <c r="D228" s="60" t="s">
        <v>293</v>
      </c>
      <c r="E228" s="60" t="s">
        <v>24</v>
      </c>
      <c r="F228" s="60" t="s">
        <v>237</v>
      </c>
      <c r="G228" s="60" t="n">
        <v>66.8</v>
      </c>
      <c r="H228" s="61" t="n">
        <v>639.99</v>
      </c>
      <c r="I228" s="61" t="n">
        <v>90.2</v>
      </c>
      <c r="J228" s="61" t="n">
        <f aca="false">H228*Resumo!$C$6</f>
        <v>0</v>
      </c>
      <c r="K228" s="61" t="n">
        <f aca="false">H228*Resumo!$C$7</f>
        <v>1.343979</v>
      </c>
      <c r="L228" s="61" t="n">
        <f aca="false">H228*Resumo!$C$8</f>
        <v>1.343979</v>
      </c>
      <c r="M228" s="61" t="n">
        <f aca="false">Resumo!$C$10*CEILING(G228/100,1)</f>
        <v>1.05</v>
      </c>
      <c r="N228" s="61" t="n">
        <f aca="false">Resumo!$C$9</f>
        <v>0</v>
      </c>
      <c r="O228" s="61" t="n">
        <f aca="false">Resumo!$C$13</f>
        <v>13.55</v>
      </c>
      <c r="P228" s="61" t="n">
        <f aca="false">Resumo!$C$14*CEILING(G228,1)</f>
        <v>30.15</v>
      </c>
      <c r="Q228" s="61" t="n">
        <f aca="false">SUM(I228:P228)*Resumo!$C$11</f>
        <v>0</v>
      </c>
      <c r="R228" s="61" t="n">
        <f aca="false">SUM(I228:Q228)</f>
        <v>137.637958</v>
      </c>
      <c r="S228" s="61" t="n">
        <f aca="false">R228/(1-Resumo!$C$5)</f>
        <v>156.406770454545</v>
      </c>
      <c r="T228" s="61" t="n">
        <v>166.05</v>
      </c>
      <c r="U228" s="61" t="n">
        <f aca="false">H228*Resumo!$B$6</f>
        <v>0.63999</v>
      </c>
      <c r="V228" s="61" t="n">
        <f aca="false">H228*Resumo!$B$7</f>
        <v>1.27998</v>
      </c>
      <c r="W228" s="61" t="n">
        <f aca="false">Resumo!$B$9</f>
        <v>1</v>
      </c>
      <c r="X228" s="61" t="n">
        <f aca="false">Resumo!$B$10*CEILING(G228/100,1)</f>
        <v>4.5</v>
      </c>
      <c r="Y228" s="61" t="n">
        <f aca="false">Resumo!$B$12*CEILING(G228,1)</f>
        <v>4.02</v>
      </c>
      <c r="Z228" s="61" t="n">
        <f aca="false">Resumo!$B$14*CEILING(G228,1)</f>
        <v>30.15</v>
      </c>
      <c r="AA228" s="61" t="n">
        <f aca="false">SUM(T228:Z228)</f>
        <v>207.63997</v>
      </c>
      <c r="AB228" s="61" t="n">
        <f aca="false">AA228/(1-Resumo!$B$5)</f>
        <v>235.954511363636</v>
      </c>
      <c r="AC228" s="61" t="n">
        <f aca="false">AB228-S228</f>
        <v>79.5477409090909</v>
      </c>
      <c r="AD228" s="62" t="n">
        <f aca="false">AB228/S228-1</f>
        <v>0.508595252481151</v>
      </c>
      <c r="AE228" s="60" t="str">
        <f aca="false">IF(AB228&lt;S228,"SIM","NÃO")</f>
        <v>NÃO</v>
      </c>
      <c r="AF228" s="60" t="n">
        <v>13</v>
      </c>
      <c r="AG228" s="60" t="n">
        <v>10</v>
      </c>
      <c r="AH228" s="60" t="s">
        <v>385</v>
      </c>
      <c r="AI228" s="61" t="n">
        <f aca="false">(T228*(1-Painel!$C$40)+U228+V228+Painel!$C$41+Painel!$C$42*CEILING(G228/100,1)+Painel!$C$43*CEILING(G228,1)+Z228)/(1-Resumo!$B$5)</f>
        <v>165.197125</v>
      </c>
      <c r="AJ228" s="60" t="str">
        <f aca="false">IF(AI228&lt;S228,"SIM","NÃO")</f>
        <v>NÃO</v>
      </c>
    </row>
    <row r="229" customFormat="false" ht="15" hidden="false" customHeight="false" outlineLevel="0" collapsed="false">
      <c r="A229" s="59" t="n">
        <v>46221.4621412037</v>
      </c>
      <c r="B229" s="60" t="s">
        <v>604</v>
      </c>
      <c r="C229" s="60" t="n">
        <v>27170650</v>
      </c>
      <c r="D229" s="60" t="s">
        <v>290</v>
      </c>
      <c r="E229" s="60" t="s">
        <v>24</v>
      </c>
      <c r="F229" s="60" t="s">
        <v>239</v>
      </c>
      <c r="G229" s="60" t="n">
        <v>81.7</v>
      </c>
      <c r="H229" s="61" t="n">
        <v>599.99</v>
      </c>
      <c r="I229" s="61" t="n">
        <v>109.63</v>
      </c>
      <c r="J229" s="61" t="n">
        <f aca="false">H229*Resumo!$C$6</f>
        <v>0</v>
      </c>
      <c r="K229" s="61" t="n">
        <f aca="false">H229*Resumo!$C$7</f>
        <v>1.259979</v>
      </c>
      <c r="L229" s="61" t="n">
        <f aca="false">H229*Resumo!$C$8</f>
        <v>1.259979</v>
      </c>
      <c r="M229" s="61" t="n">
        <f aca="false">Resumo!$C$10*CEILING(G229/100,1)</f>
        <v>1.05</v>
      </c>
      <c r="N229" s="61" t="n">
        <f aca="false">Resumo!$C$9</f>
        <v>0</v>
      </c>
      <c r="O229" s="61" t="n">
        <f aca="false">Resumo!$C$13</f>
        <v>13.55</v>
      </c>
      <c r="P229" s="61" t="n">
        <f aca="false">Resumo!$C$14*CEILING(G229,1)</f>
        <v>36.9</v>
      </c>
      <c r="Q229" s="61" t="n">
        <f aca="false">SUM(I229:P229)*Resumo!$C$11</f>
        <v>0</v>
      </c>
      <c r="R229" s="61" t="n">
        <f aca="false">SUM(I229:Q229)</f>
        <v>163.649958</v>
      </c>
      <c r="S229" s="61" t="n">
        <f aca="false">R229/(1-Resumo!$C$5)</f>
        <v>185.965861363636</v>
      </c>
      <c r="T229" s="61" t="n">
        <v>197.35</v>
      </c>
      <c r="U229" s="61" t="n">
        <f aca="false">H229*Resumo!$B$6</f>
        <v>0.59999</v>
      </c>
      <c r="V229" s="61" t="n">
        <f aca="false">H229*Resumo!$B$7</f>
        <v>1.19998</v>
      </c>
      <c r="W229" s="61" t="n">
        <f aca="false">Resumo!$B$9</f>
        <v>1</v>
      </c>
      <c r="X229" s="61" t="n">
        <f aca="false">Resumo!$B$10*CEILING(G229/100,1)</f>
        <v>4.5</v>
      </c>
      <c r="Y229" s="61" t="n">
        <f aca="false">Resumo!$B$12*CEILING(G229,1)</f>
        <v>4.92</v>
      </c>
      <c r="Z229" s="61" t="n">
        <f aca="false">Resumo!$B$14*CEILING(G229,1)</f>
        <v>36.9</v>
      </c>
      <c r="AA229" s="61" t="n">
        <f aca="false">SUM(T229:Z229)</f>
        <v>246.46997</v>
      </c>
      <c r="AB229" s="61" t="n">
        <f aca="false">AA229/(1-Resumo!$B$5)</f>
        <v>280.079511363636</v>
      </c>
      <c r="AC229" s="61" t="n">
        <f aca="false">AB229-S229</f>
        <v>94.11365</v>
      </c>
      <c r="AD229" s="62" t="n">
        <f aca="false">AB229/S229-1</f>
        <v>0.506080252095146</v>
      </c>
      <c r="AE229" s="60" t="str">
        <f aca="false">IF(AB229&lt;S229,"SIM","NÃO")</f>
        <v>NÃO</v>
      </c>
      <c r="AF229" s="60" t="n">
        <v>13</v>
      </c>
      <c r="AG229" s="60" t="n">
        <v>10</v>
      </c>
      <c r="AH229" s="60" t="s">
        <v>385</v>
      </c>
      <c r="AI229" s="61" t="n">
        <f aca="false">(T229*(1-Painel!$C$40)+U229+V229+Painel!$C$41+Painel!$C$42*CEILING(G229/100,1)+Painel!$C$43*CEILING(G229,1)+Z229)/(1-Resumo!$B$5)</f>
        <v>196.561897727273</v>
      </c>
      <c r="AJ229" s="60" t="str">
        <f aca="false">IF(AI229&lt;S229,"SIM","NÃO")</f>
        <v>NÃO</v>
      </c>
    </row>
    <row r="230" customFormat="false" ht="15" hidden="false" customHeight="false" outlineLevel="0" collapsed="false">
      <c r="A230" s="59" t="n">
        <v>46221.4631134259</v>
      </c>
      <c r="B230" s="60" t="s">
        <v>605</v>
      </c>
      <c r="C230" s="60" t="n">
        <v>24425640</v>
      </c>
      <c r="D230" s="60" t="s">
        <v>47</v>
      </c>
      <c r="E230" s="60" t="s">
        <v>23</v>
      </c>
      <c r="F230" s="60" t="s">
        <v>233</v>
      </c>
      <c r="G230" s="60" t="n">
        <v>27.4</v>
      </c>
      <c r="H230" s="61" t="n">
        <v>359.99</v>
      </c>
      <c r="I230" s="61" t="n">
        <v>58.8</v>
      </c>
      <c r="J230" s="61" t="n">
        <f aca="false">H230*Resumo!$C$6</f>
        <v>0</v>
      </c>
      <c r="K230" s="61" t="n">
        <f aca="false">H230*Resumo!$C$7</f>
        <v>0.755979</v>
      </c>
      <c r="L230" s="61" t="n">
        <f aca="false">H230*Resumo!$C$8</f>
        <v>0.755979</v>
      </c>
      <c r="M230" s="61" t="n">
        <f aca="false">Resumo!$C$10*CEILING(G230/100,1)</f>
        <v>1.05</v>
      </c>
      <c r="N230" s="61" t="n">
        <f aca="false">Resumo!$C$9</f>
        <v>0</v>
      </c>
      <c r="O230" s="61" t="n">
        <f aca="false">Resumo!$C$13</f>
        <v>13.55</v>
      </c>
      <c r="P230" s="61" t="n">
        <f aca="false">Resumo!$C$14*CEILING(G230,1)</f>
        <v>12.6</v>
      </c>
      <c r="Q230" s="61" t="n">
        <f aca="false">SUM(I230:P230)*Resumo!$C$11</f>
        <v>0</v>
      </c>
      <c r="R230" s="61" t="n">
        <f aca="false">SUM(I230:Q230)</f>
        <v>87.511958</v>
      </c>
      <c r="S230" s="61" t="n">
        <f aca="false">R230/(1-Resumo!$C$5)</f>
        <v>99.4454068181818</v>
      </c>
      <c r="T230" s="61" t="n">
        <v>100.58</v>
      </c>
      <c r="U230" s="61" t="n">
        <f aca="false">H230*Resumo!$B$6</f>
        <v>0.35999</v>
      </c>
      <c r="V230" s="61" t="n">
        <f aca="false">H230*Resumo!$B$7</f>
        <v>0.71998</v>
      </c>
      <c r="W230" s="61" t="n">
        <f aca="false">Resumo!$B$9</f>
        <v>1</v>
      </c>
      <c r="X230" s="61" t="n">
        <f aca="false">Resumo!$B$10*CEILING(G230/100,1)</f>
        <v>4.5</v>
      </c>
      <c r="Y230" s="61" t="n">
        <f aca="false">Resumo!$B$12*CEILING(G230,1)</f>
        <v>1.68</v>
      </c>
      <c r="Z230" s="61" t="n">
        <f aca="false">Resumo!$B$14*CEILING(G230,1)</f>
        <v>12.6</v>
      </c>
      <c r="AA230" s="61" t="n">
        <f aca="false">SUM(T230:Z230)</f>
        <v>121.43997</v>
      </c>
      <c r="AB230" s="61" t="n">
        <f aca="false">AA230/(1-Resumo!$B$5)</f>
        <v>137.999965909091</v>
      </c>
      <c r="AC230" s="61" t="n">
        <f aca="false">AB230-S230</f>
        <v>38.5545590909091</v>
      </c>
      <c r="AD230" s="62" t="n">
        <f aca="false">AB230/S230-1</f>
        <v>0.387695724965953</v>
      </c>
      <c r="AE230" s="60" t="str">
        <f aca="false">IF(AB230&lt;S230,"SIM","NÃO")</f>
        <v>NÃO</v>
      </c>
      <c r="AF230" s="60" t="n">
        <v>2</v>
      </c>
      <c r="AG230" s="60" t="n">
        <v>7</v>
      </c>
      <c r="AH230" s="60" t="s">
        <v>382</v>
      </c>
      <c r="AI230" s="61" t="n">
        <f aca="false">(T230*(1-Painel!$C$40)+U230+V230+Painel!$C$41+Painel!$C$42*CEILING(G230/100,1)+Painel!$C$43*CEILING(G230,1)+Z230)/(1-Resumo!$B$5)</f>
        <v>94.4529204545455</v>
      </c>
      <c r="AJ230" s="60" t="str">
        <f aca="false">IF(AI230&lt;S230,"SIM","NÃO")</f>
        <v>SIM</v>
      </c>
    </row>
    <row r="231" customFormat="false" ht="15" hidden="false" customHeight="false" outlineLevel="0" collapsed="false">
      <c r="A231" s="59" t="n">
        <v>46221.5580439815</v>
      </c>
      <c r="B231" s="60" t="s">
        <v>606</v>
      </c>
      <c r="C231" s="60" t="n">
        <v>27966803</v>
      </c>
      <c r="D231" s="60" t="s">
        <v>53</v>
      </c>
      <c r="E231" s="60" t="s">
        <v>24</v>
      </c>
      <c r="F231" s="60" t="s">
        <v>233</v>
      </c>
      <c r="G231" s="60" t="n">
        <v>31</v>
      </c>
      <c r="H231" s="61" t="n">
        <v>299.99</v>
      </c>
      <c r="I231" s="61" t="n">
        <v>65.63</v>
      </c>
      <c r="J231" s="61" t="n">
        <f aca="false">H231*Resumo!$C$6</f>
        <v>0</v>
      </c>
      <c r="K231" s="61" t="n">
        <f aca="false">H231*Resumo!$C$7</f>
        <v>0.629979</v>
      </c>
      <c r="L231" s="61" t="n">
        <f aca="false">H231*Resumo!$C$8</f>
        <v>0.629979</v>
      </c>
      <c r="M231" s="61" t="n">
        <f aca="false">Resumo!$C$10*CEILING(G231/100,1)</f>
        <v>1.05</v>
      </c>
      <c r="N231" s="61" t="n">
        <f aca="false">Resumo!$C$9</f>
        <v>0</v>
      </c>
      <c r="O231" s="61" t="n">
        <f aca="false">Resumo!$C$13</f>
        <v>13.55</v>
      </c>
      <c r="P231" s="61" t="n">
        <f aca="false">Resumo!$C$14*CEILING(G231,1)</f>
        <v>13.95</v>
      </c>
      <c r="Q231" s="61" t="n">
        <f aca="false">SUM(I231:P231)*Resumo!$C$11</f>
        <v>0</v>
      </c>
      <c r="R231" s="61" t="n">
        <f aca="false">SUM(I231:Q231)</f>
        <v>95.439958</v>
      </c>
      <c r="S231" s="61" t="n">
        <f aca="false">R231/(1-Resumo!$C$5)</f>
        <v>108.454497727273</v>
      </c>
      <c r="T231" s="61" t="n">
        <v>138.29</v>
      </c>
      <c r="U231" s="61" t="n">
        <f aca="false">H231*Resumo!$B$6</f>
        <v>0.29999</v>
      </c>
      <c r="V231" s="61" t="n">
        <f aca="false">H231*Resumo!$B$7</f>
        <v>0.59998</v>
      </c>
      <c r="W231" s="61" t="n">
        <f aca="false">Resumo!$B$9</f>
        <v>1</v>
      </c>
      <c r="X231" s="61" t="n">
        <f aca="false">Resumo!$B$10*CEILING(G231/100,1)</f>
        <v>4.5</v>
      </c>
      <c r="Y231" s="61" t="n">
        <f aca="false">Resumo!$B$12*CEILING(G231,1)</f>
        <v>1.86</v>
      </c>
      <c r="Z231" s="61" t="n">
        <f aca="false">Resumo!$B$14*CEILING(G231,1)</f>
        <v>13.95</v>
      </c>
      <c r="AA231" s="61" t="n">
        <f aca="false">SUM(T231:Z231)</f>
        <v>160.49997</v>
      </c>
      <c r="AB231" s="61" t="n">
        <f aca="false">AA231/(1-Resumo!$B$5)</f>
        <v>182.386329545455</v>
      </c>
      <c r="AC231" s="61" t="n">
        <f aca="false">AB231-S231</f>
        <v>73.9318318181818</v>
      </c>
      <c r="AD231" s="62" t="n">
        <f aca="false">AB231/S231-1</f>
        <v>0.681685253884961</v>
      </c>
      <c r="AE231" s="60" t="str">
        <f aca="false">IF(AB231&lt;S231,"SIM","NÃO")</f>
        <v>NÃO</v>
      </c>
      <c r="AF231" s="60" t="n">
        <v>13</v>
      </c>
      <c r="AG231" s="60" t="n">
        <v>11</v>
      </c>
      <c r="AH231" s="60" t="s">
        <v>382</v>
      </c>
      <c r="AI231" s="61" t="n">
        <f aca="false">(T231*(1-Painel!$C$40)+U231+V231+Painel!$C$41+Painel!$C$42*CEILING(G231/100,1)+Painel!$C$43*CEILING(G231,1)+Z231)/(1-Resumo!$B$5)</f>
        <v>124.493488636364</v>
      </c>
      <c r="AJ231" s="60" t="str">
        <f aca="false">IF(AI231&lt;S231,"SIM","NÃO")</f>
        <v>NÃO</v>
      </c>
    </row>
    <row r="232" customFormat="false" ht="15" hidden="false" customHeight="false" outlineLevel="0" collapsed="false">
      <c r="A232" s="59" t="n">
        <v>46221.6259606482</v>
      </c>
      <c r="B232" s="60" t="s">
        <v>607</v>
      </c>
      <c r="C232" s="60" t="n">
        <v>26515600</v>
      </c>
      <c r="D232" s="60" t="s">
        <v>284</v>
      </c>
      <c r="E232" s="60" t="s">
        <v>23</v>
      </c>
      <c r="F232" s="60" t="s">
        <v>234</v>
      </c>
      <c r="G232" s="60" t="n">
        <v>37.6</v>
      </c>
      <c r="H232" s="61" t="n">
        <v>404.19</v>
      </c>
      <c r="I232" s="61" t="n">
        <v>66.83</v>
      </c>
      <c r="J232" s="61" t="n">
        <f aca="false">H232*Resumo!$C$6</f>
        <v>0</v>
      </c>
      <c r="K232" s="61" t="n">
        <f aca="false">H232*Resumo!$C$7</f>
        <v>0.848799</v>
      </c>
      <c r="L232" s="61" t="n">
        <f aca="false">H232*Resumo!$C$8</f>
        <v>0.848799</v>
      </c>
      <c r="M232" s="61" t="n">
        <f aca="false">Resumo!$C$10*CEILING(G232/100,1)</f>
        <v>1.05</v>
      </c>
      <c r="N232" s="61" t="n">
        <f aca="false">Resumo!$C$9</f>
        <v>0</v>
      </c>
      <c r="O232" s="61" t="n">
        <f aca="false">Resumo!$C$13</f>
        <v>13.55</v>
      </c>
      <c r="P232" s="61" t="n">
        <f aca="false">Resumo!$C$14*CEILING(G232,1)</f>
        <v>17.1</v>
      </c>
      <c r="Q232" s="61" t="n">
        <f aca="false">SUM(I232:P232)*Resumo!$C$11</f>
        <v>0</v>
      </c>
      <c r="R232" s="61" t="n">
        <f aca="false">SUM(I232:Q232)</f>
        <v>100.227598</v>
      </c>
      <c r="S232" s="61" t="n">
        <f aca="false">R232/(1-Resumo!$C$5)</f>
        <v>113.894997727273</v>
      </c>
      <c r="T232" s="61" t="n">
        <v>93.97</v>
      </c>
      <c r="U232" s="61" t="n">
        <f aca="false">H232*Resumo!$B$6</f>
        <v>0.40419</v>
      </c>
      <c r="V232" s="61" t="n">
        <f aca="false">H232*Resumo!$B$7</f>
        <v>0.80838</v>
      </c>
      <c r="W232" s="61" t="n">
        <f aca="false">Resumo!$B$9</f>
        <v>1</v>
      </c>
      <c r="X232" s="61" t="n">
        <f aca="false">Resumo!$B$10*CEILING(G232/100,1)</f>
        <v>4.5</v>
      </c>
      <c r="Y232" s="61" t="n">
        <f aca="false">Resumo!$B$12*CEILING(G232,1)</f>
        <v>2.28</v>
      </c>
      <c r="Z232" s="61" t="n">
        <f aca="false">Resumo!$B$14*CEILING(G232,1)</f>
        <v>17.1</v>
      </c>
      <c r="AA232" s="61" t="n">
        <f aca="false">SUM(T232:Z232)</f>
        <v>120.06257</v>
      </c>
      <c r="AB232" s="61" t="n">
        <f aca="false">AA232/(1-Resumo!$B$5)</f>
        <v>136.434738636364</v>
      </c>
      <c r="AC232" s="61" t="n">
        <f aca="false">AB232-S232</f>
        <v>22.5397409090909</v>
      </c>
      <c r="AD232" s="62" t="n">
        <f aca="false">AB232/S232-1</f>
        <v>0.197899305139489</v>
      </c>
      <c r="AE232" s="60" t="str">
        <f aca="false">IF(AB232&lt;S232,"SIM","NÃO")</f>
        <v>NÃO</v>
      </c>
      <c r="AF232" s="60" t="n">
        <v>2</v>
      </c>
      <c r="AG232" s="60" t="n">
        <v>5</v>
      </c>
      <c r="AH232" s="60" t="s">
        <v>385</v>
      </c>
      <c r="AI232" s="61" t="n">
        <f aca="false">(T232*(1-Painel!$C$40)+U232+V232+Painel!$C$41+Painel!$C$42*CEILING(G232/100,1)+Painel!$C$43*CEILING(G232,1)+Z232)/(1-Resumo!$B$5)</f>
        <v>94.684625</v>
      </c>
      <c r="AJ232" s="60" t="str">
        <f aca="false">IF(AI232&lt;S232,"SIM","NÃO")</f>
        <v>SIM</v>
      </c>
    </row>
    <row r="233" customFormat="false" ht="15" hidden="false" customHeight="false" outlineLevel="0" collapsed="false">
      <c r="A233" s="59" t="n">
        <v>46221.6286689815</v>
      </c>
      <c r="B233" s="60" t="s">
        <v>608</v>
      </c>
      <c r="C233" s="60" t="n">
        <v>23040400</v>
      </c>
      <c r="D233" s="60" t="s">
        <v>46</v>
      </c>
      <c r="E233" s="60" t="s">
        <v>22</v>
      </c>
      <c r="F233" s="60" t="s">
        <v>233</v>
      </c>
      <c r="G233" s="60" t="n">
        <v>31.9</v>
      </c>
      <c r="H233" s="61" t="n">
        <v>568.28</v>
      </c>
      <c r="I233" s="61" t="n">
        <v>42.11</v>
      </c>
      <c r="J233" s="61" t="n">
        <f aca="false">H233*Resumo!$C$6</f>
        <v>0</v>
      </c>
      <c r="K233" s="61" t="n">
        <f aca="false">H233*Resumo!$C$7</f>
        <v>1.193388</v>
      </c>
      <c r="L233" s="61" t="n">
        <f aca="false">H233*Resumo!$C$8</f>
        <v>1.193388</v>
      </c>
      <c r="M233" s="61" t="n">
        <f aca="false">Resumo!$C$10*CEILING(G233/100,1)</f>
        <v>1.05</v>
      </c>
      <c r="N233" s="61" t="n">
        <f aca="false">Resumo!$C$9</f>
        <v>0</v>
      </c>
      <c r="O233" s="61" t="n">
        <f aca="false">Resumo!$C$13</f>
        <v>13.55</v>
      </c>
      <c r="P233" s="61" t="n">
        <f aca="false">Resumo!$C$14*CEILING(G233,1)</f>
        <v>14.4</v>
      </c>
      <c r="Q233" s="61" t="n">
        <f aca="false">SUM(I233:P233)*Resumo!$C$11</f>
        <v>0</v>
      </c>
      <c r="R233" s="61" t="n">
        <f aca="false">SUM(I233:Q233)</f>
        <v>73.496776</v>
      </c>
      <c r="S233" s="61" t="n">
        <f aca="false">R233/(1-Resumo!$C$5)</f>
        <v>83.5190636363636</v>
      </c>
      <c r="T233" s="61" t="n">
        <v>82.21</v>
      </c>
      <c r="U233" s="61" t="n">
        <f aca="false">H233*Resumo!$B$6</f>
        <v>0.56828</v>
      </c>
      <c r="V233" s="61" t="n">
        <f aca="false">H233*Resumo!$B$7</f>
        <v>1.13656</v>
      </c>
      <c r="W233" s="61" t="n">
        <f aca="false">Resumo!$B$9</f>
        <v>1</v>
      </c>
      <c r="X233" s="61" t="n">
        <f aca="false">Resumo!$B$10*CEILING(G233/100,1)</f>
        <v>4.5</v>
      </c>
      <c r="Y233" s="61" t="n">
        <f aca="false">Resumo!$B$12*CEILING(G233,1)</f>
        <v>1.92</v>
      </c>
      <c r="Z233" s="61" t="n">
        <f aca="false">Resumo!$B$14*CEILING(G233,1)</f>
        <v>14.4</v>
      </c>
      <c r="AA233" s="61" t="n">
        <f aca="false">SUM(T233:Z233)</f>
        <v>105.73484</v>
      </c>
      <c r="AB233" s="61" t="n">
        <f aca="false">AA233/(1-Resumo!$B$5)</f>
        <v>120.153227272727</v>
      </c>
      <c r="AC233" s="61" t="n">
        <f aca="false">AB233-S233</f>
        <v>36.6341636363637</v>
      </c>
      <c r="AD233" s="62" t="n">
        <f aca="false">AB233/S233-1</f>
        <v>0.438632355792042</v>
      </c>
      <c r="AE233" s="60" t="str">
        <f aca="false">IF(AB233&lt;S233,"SIM","NÃO")</f>
        <v>NÃO</v>
      </c>
      <c r="AF233" s="60" t="n">
        <v>2</v>
      </c>
      <c r="AG233" s="60" t="n">
        <v>5</v>
      </c>
      <c r="AH233" s="60" t="s">
        <v>382</v>
      </c>
      <c r="AI233" s="61" t="n">
        <f aca="false">(T233*(1-Painel!$C$40)+U233+V233+Painel!$C$41+Painel!$C$42*CEILING(G233/100,1)+Painel!$C$43*CEILING(G233,1)+Z233)/(1-Resumo!$B$5)</f>
        <v>83.2222045454546</v>
      </c>
      <c r="AJ233" s="60" t="str">
        <f aca="false">IF(AI233&lt;S233,"SIM","NÃO")</f>
        <v>SIM</v>
      </c>
    </row>
    <row r="234" customFormat="false" ht="15" hidden="false" customHeight="false" outlineLevel="0" collapsed="false">
      <c r="A234" s="59" t="n">
        <v>46221.6542592593</v>
      </c>
      <c r="B234" s="60" t="s">
        <v>609</v>
      </c>
      <c r="C234" s="60" t="n">
        <v>28611320</v>
      </c>
      <c r="D234" s="60" t="s">
        <v>226</v>
      </c>
      <c r="E234" s="60" t="s">
        <v>24</v>
      </c>
      <c r="F234" s="60" t="s">
        <v>234</v>
      </c>
      <c r="G234" s="60" t="n">
        <v>38.15</v>
      </c>
      <c r="H234" s="61" t="n">
        <v>459.99</v>
      </c>
      <c r="I234" s="61" t="n">
        <v>74.97</v>
      </c>
      <c r="J234" s="61" t="n">
        <f aca="false">H234*Resumo!$C$6</f>
        <v>0</v>
      </c>
      <c r="K234" s="61" t="n">
        <f aca="false">H234*Resumo!$C$7</f>
        <v>0.965979</v>
      </c>
      <c r="L234" s="61" t="n">
        <f aca="false">H234*Resumo!$C$8</f>
        <v>0.965979</v>
      </c>
      <c r="M234" s="61" t="n">
        <f aca="false">Resumo!$C$10*CEILING(G234/100,1)</f>
        <v>1.05</v>
      </c>
      <c r="N234" s="61" t="n">
        <f aca="false">Resumo!$C$9</f>
        <v>0</v>
      </c>
      <c r="O234" s="61" t="n">
        <f aca="false">Resumo!$C$13</f>
        <v>13.55</v>
      </c>
      <c r="P234" s="61" t="n">
        <f aca="false">Resumo!$C$14*CEILING(G234,1)</f>
        <v>17.55</v>
      </c>
      <c r="Q234" s="61" t="n">
        <f aca="false">SUM(I234:P234)*Resumo!$C$11</f>
        <v>0</v>
      </c>
      <c r="R234" s="61" t="n">
        <f aca="false">SUM(I234:Q234)</f>
        <v>109.051958</v>
      </c>
      <c r="S234" s="61" t="n">
        <f aca="false">R234/(1-Resumo!$C$5)</f>
        <v>123.922679545455</v>
      </c>
      <c r="T234" s="61" t="n">
        <v>125.63</v>
      </c>
      <c r="U234" s="61" t="n">
        <f aca="false">H234*Resumo!$B$6</f>
        <v>0.45999</v>
      </c>
      <c r="V234" s="61" t="n">
        <f aca="false">H234*Resumo!$B$7</f>
        <v>0.91998</v>
      </c>
      <c r="W234" s="61" t="n">
        <f aca="false">Resumo!$B$9</f>
        <v>1</v>
      </c>
      <c r="X234" s="61" t="n">
        <f aca="false">Resumo!$B$10*CEILING(G234/100,1)</f>
        <v>4.5</v>
      </c>
      <c r="Y234" s="61" t="n">
        <f aca="false">Resumo!$B$12*CEILING(G234,1)</f>
        <v>2.34</v>
      </c>
      <c r="Z234" s="61" t="n">
        <f aca="false">Resumo!$B$14*CEILING(G234,1)</f>
        <v>17.55</v>
      </c>
      <c r="AA234" s="61" t="n">
        <f aca="false">SUM(T234:Z234)</f>
        <v>152.39997</v>
      </c>
      <c r="AB234" s="61" t="n">
        <f aca="false">AA234/(1-Resumo!$B$5)</f>
        <v>173.181784090909</v>
      </c>
      <c r="AC234" s="61" t="n">
        <f aca="false">AB234-S234</f>
        <v>49.2591045454545</v>
      </c>
      <c r="AD234" s="62" t="n">
        <f aca="false">AB234/S234-1</f>
        <v>0.397498704241514</v>
      </c>
      <c r="AE234" s="60" t="str">
        <f aca="false">IF(AB234&lt;S234,"SIM","NÃO")</f>
        <v>NÃO</v>
      </c>
      <c r="AF234" s="60" t="n">
        <v>13</v>
      </c>
      <c r="AG234" s="60" t="n">
        <v>10</v>
      </c>
      <c r="AH234" s="60" t="s">
        <v>382</v>
      </c>
      <c r="AI234" s="61" t="n">
        <f aca="false">(T234*(1-Painel!$C$40)+U234+V234+Painel!$C$41+Painel!$C$42*CEILING(G234/100,1)+Painel!$C$43*CEILING(G234,1)+Z234)/(1-Resumo!$B$5)</f>
        <v>119.490988636364</v>
      </c>
      <c r="AJ234" s="60" t="str">
        <f aca="false">IF(AI234&lt;S234,"SIM","NÃO")</f>
        <v>SIM</v>
      </c>
    </row>
    <row r="235" customFormat="false" ht="15" hidden="false" customHeight="false" outlineLevel="0" collapsed="false">
      <c r="A235" s="59" t="n">
        <v>46221.6788657407</v>
      </c>
      <c r="B235" s="60" t="s">
        <v>610</v>
      </c>
      <c r="C235" s="60" t="n">
        <v>26950000</v>
      </c>
      <c r="D235" s="60" t="s">
        <v>289</v>
      </c>
      <c r="E235" s="60" t="s">
        <v>24</v>
      </c>
      <c r="F235" s="60" t="s">
        <v>237</v>
      </c>
      <c r="G235" s="60" t="n">
        <v>61.4</v>
      </c>
      <c r="H235" s="61" t="n">
        <v>863.2</v>
      </c>
      <c r="I235" s="61" t="n">
        <v>90.2</v>
      </c>
      <c r="J235" s="61" t="n">
        <f aca="false">H235*Resumo!$C$6</f>
        <v>0</v>
      </c>
      <c r="K235" s="61" t="n">
        <f aca="false">H235*Resumo!$C$7</f>
        <v>1.81272</v>
      </c>
      <c r="L235" s="61" t="n">
        <f aca="false">H235*Resumo!$C$8</f>
        <v>1.81272</v>
      </c>
      <c r="M235" s="61" t="n">
        <f aca="false">Resumo!$C$10*CEILING(G235/100,1)</f>
        <v>1.05</v>
      </c>
      <c r="N235" s="61" t="n">
        <f aca="false">Resumo!$C$9</f>
        <v>0</v>
      </c>
      <c r="O235" s="61" t="n">
        <f aca="false">Resumo!$C$13</f>
        <v>13.55</v>
      </c>
      <c r="P235" s="61" t="n">
        <f aca="false">Resumo!$C$14*CEILING(G235,1)</f>
        <v>27.9</v>
      </c>
      <c r="Q235" s="61" t="n">
        <f aca="false">SUM(I235:P235)*Resumo!$C$11</f>
        <v>0</v>
      </c>
      <c r="R235" s="61" t="n">
        <f aca="false">SUM(I235:Q235)</f>
        <v>136.32544</v>
      </c>
      <c r="S235" s="61" t="n">
        <f aca="false">R235/(1-Resumo!$C$5)</f>
        <v>154.915272727273</v>
      </c>
      <c r="T235" s="61" t="n">
        <v>166.05</v>
      </c>
      <c r="U235" s="61" t="n">
        <f aca="false">H235*Resumo!$B$6</f>
        <v>0.8632</v>
      </c>
      <c r="V235" s="61" t="n">
        <f aca="false">H235*Resumo!$B$7</f>
        <v>1.7264</v>
      </c>
      <c r="W235" s="61" t="n">
        <f aca="false">Resumo!$B$9</f>
        <v>1</v>
      </c>
      <c r="X235" s="61" t="n">
        <f aca="false">Resumo!$B$10*CEILING(G235/100,1)</f>
        <v>4.5</v>
      </c>
      <c r="Y235" s="61" t="n">
        <f aca="false">Resumo!$B$12*CEILING(G235,1)</f>
        <v>3.72</v>
      </c>
      <c r="Z235" s="61" t="n">
        <f aca="false">Resumo!$B$14*CEILING(G235,1)</f>
        <v>27.9</v>
      </c>
      <c r="AA235" s="61" t="n">
        <f aca="false">SUM(T235:Z235)</f>
        <v>205.7596</v>
      </c>
      <c r="AB235" s="61" t="n">
        <f aca="false">AA235/(1-Resumo!$B$5)</f>
        <v>233.817727272727</v>
      </c>
      <c r="AC235" s="61" t="n">
        <f aca="false">AB235-S235</f>
        <v>78.9024545454545</v>
      </c>
      <c r="AD235" s="62" t="n">
        <f aca="false">AB235/S235-1</f>
        <v>0.509326505749771</v>
      </c>
      <c r="AE235" s="60" t="str">
        <f aca="false">IF(AB235&lt;S235,"SIM","NÃO")</f>
        <v>NÃO</v>
      </c>
      <c r="AF235" s="60" t="n">
        <v>13</v>
      </c>
      <c r="AG235" s="60" t="n">
        <v>10</v>
      </c>
      <c r="AH235" s="60" t="s">
        <v>385</v>
      </c>
      <c r="AI235" s="61" t="n">
        <f aca="false">(T235*(1-Painel!$C$40)+U235+V235+Painel!$C$41+Painel!$C$42*CEILING(G235/100,1)+Painel!$C$43*CEILING(G235,1)+Z235)/(1-Resumo!$B$5)</f>
        <v>163.40125</v>
      </c>
      <c r="AJ235" s="60" t="str">
        <f aca="false">IF(AI235&lt;S235,"SIM","NÃO")</f>
        <v>NÃO</v>
      </c>
    </row>
    <row r="236" customFormat="false" ht="15" hidden="false" customHeight="false" outlineLevel="0" collapsed="false">
      <c r="A236" s="59" t="n">
        <v>46221.681400463</v>
      </c>
      <c r="B236" s="60" t="s">
        <v>611</v>
      </c>
      <c r="C236" s="60" t="n">
        <v>25515180</v>
      </c>
      <c r="D236" s="60" t="s">
        <v>216</v>
      </c>
      <c r="E236" s="60" t="s">
        <v>23</v>
      </c>
      <c r="F236" s="60" t="s">
        <v>239</v>
      </c>
      <c r="G236" s="60" t="n">
        <v>83.9</v>
      </c>
      <c r="H236" s="61" t="n">
        <v>1008.59</v>
      </c>
      <c r="I236" s="61" t="n">
        <v>92.32</v>
      </c>
      <c r="J236" s="61" t="n">
        <f aca="false">H236*Resumo!$C$6</f>
        <v>0</v>
      </c>
      <c r="K236" s="61" t="n">
        <f aca="false">H236*Resumo!$C$7</f>
        <v>2.118039</v>
      </c>
      <c r="L236" s="61" t="n">
        <f aca="false">H236*Resumo!$C$8</f>
        <v>2.118039</v>
      </c>
      <c r="M236" s="61" t="n">
        <f aca="false">Resumo!$C$10*CEILING(G236/100,1)</f>
        <v>1.05</v>
      </c>
      <c r="N236" s="61" t="n">
        <f aca="false">Resumo!$C$9</f>
        <v>0</v>
      </c>
      <c r="O236" s="61" t="n">
        <f aca="false">Resumo!$C$13</f>
        <v>13.55</v>
      </c>
      <c r="P236" s="61" t="n">
        <f aca="false">Resumo!$C$14*CEILING(G236,1)</f>
        <v>37.8</v>
      </c>
      <c r="Q236" s="61" t="n">
        <f aca="false">SUM(I236:P236)*Resumo!$C$11</f>
        <v>0</v>
      </c>
      <c r="R236" s="61" t="n">
        <f aca="false">SUM(I236:Q236)</f>
        <v>148.956078</v>
      </c>
      <c r="S236" s="61" t="n">
        <f aca="false">R236/(1-Resumo!$C$5)</f>
        <v>169.268270454545</v>
      </c>
      <c r="T236" s="61" t="n">
        <v>167.99</v>
      </c>
      <c r="U236" s="61" t="n">
        <f aca="false">H236*Resumo!$B$6</f>
        <v>1.00859</v>
      </c>
      <c r="V236" s="61" t="n">
        <f aca="false">H236*Resumo!$B$7</f>
        <v>2.01718</v>
      </c>
      <c r="W236" s="61" t="n">
        <f aca="false">Resumo!$B$9</f>
        <v>1</v>
      </c>
      <c r="X236" s="61" t="n">
        <f aca="false">Resumo!$B$10*CEILING(G236/100,1)</f>
        <v>4.5</v>
      </c>
      <c r="Y236" s="61" t="n">
        <f aca="false">Resumo!$B$12*CEILING(G236,1)</f>
        <v>5.04</v>
      </c>
      <c r="Z236" s="61" t="n">
        <f aca="false">Resumo!$B$14*CEILING(G236,1)</f>
        <v>37.8</v>
      </c>
      <c r="AA236" s="61" t="n">
        <f aca="false">SUM(T236:Z236)</f>
        <v>219.35577</v>
      </c>
      <c r="AB236" s="61" t="n">
        <f aca="false">AA236/(1-Resumo!$B$5)</f>
        <v>249.267920454545</v>
      </c>
      <c r="AC236" s="61" t="n">
        <f aca="false">AB236-S236</f>
        <v>79.99965</v>
      </c>
      <c r="AD236" s="62" t="n">
        <f aca="false">AB236/S236-1</f>
        <v>0.472620472727538</v>
      </c>
      <c r="AE236" s="60" t="str">
        <f aca="false">IF(AB236&lt;S236,"SIM","NÃO")</f>
        <v>NÃO</v>
      </c>
      <c r="AF236" s="60" t="n">
        <v>2</v>
      </c>
      <c r="AG236" s="60" t="n">
        <v>5</v>
      </c>
      <c r="AH236" s="60" t="s">
        <v>382</v>
      </c>
      <c r="AI236" s="61" t="n">
        <f aca="false">(T236*(1-Painel!$C$40)+U236+V236+Painel!$C$41+Painel!$C$42*CEILING(G236/100,1)+Painel!$C$43*CEILING(G236,1)+Z236)/(1-Resumo!$B$5)</f>
        <v>176.623943181818</v>
      </c>
      <c r="AJ236" s="60" t="str">
        <f aca="false">IF(AI236&lt;S236,"SIM","NÃO")</f>
        <v>NÃO</v>
      </c>
    </row>
    <row r="237" customFormat="false" ht="15" hidden="false" customHeight="false" outlineLevel="0" collapsed="false">
      <c r="A237" s="59" t="n">
        <v>46221.6937731481</v>
      </c>
      <c r="B237" s="60" t="s">
        <v>612</v>
      </c>
      <c r="C237" s="60" t="n">
        <v>24913350</v>
      </c>
      <c r="D237" s="60" t="s">
        <v>220</v>
      </c>
      <c r="E237" s="60" t="s">
        <v>24</v>
      </c>
      <c r="F237" s="60" t="s">
        <v>236</v>
      </c>
      <c r="G237" s="60" t="n">
        <v>58.6</v>
      </c>
      <c r="H237" s="61" t="n">
        <v>769.99</v>
      </c>
      <c r="I237" s="61" t="n">
        <v>83.58</v>
      </c>
      <c r="J237" s="61" t="n">
        <f aca="false">H237*Resumo!$C$6</f>
        <v>0</v>
      </c>
      <c r="K237" s="61" t="n">
        <f aca="false">H237*Resumo!$C$7</f>
        <v>1.616979</v>
      </c>
      <c r="L237" s="61" t="n">
        <f aca="false">H237*Resumo!$C$8</f>
        <v>1.616979</v>
      </c>
      <c r="M237" s="61" t="n">
        <f aca="false">Resumo!$C$10*CEILING(G237/100,1)</f>
        <v>1.05</v>
      </c>
      <c r="N237" s="61" t="n">
        <f aca="false">Resumo!$C$9</f>
        <v>0</v>
      </c>
      <c r="O237" s="61" t="n">
        <f aca="false">Resumo!$C$13</f>
        <v>13.55</v>
      </c>
      <c r="P237" s="61" t="n">
        <f aca="false">Resumo!$C$14*CEILING(G237,1)</f>
        <v>26.55</v>
      </c>
      <c r="Q237" s="61" t="n">
        <f aca="false">SUM(I237:P237)*Resumo!$C$11</f>
        <v>0</v>
      </c>
      <c r="R237" s="61" t="n">
        <f aca="false">SUM(I237:Q237)</f>
        <v>127.963958</v>
      </c>
      <c r="S237" s="61" t="n">
        <f aca="false">R237/(1-Resumo!$C$5)</f>
        <v>145.413588636364</v>
      </c>
      <c r="T237" s="61" t="n">
        <v>128.14</v>
      </c>
      <c r="U237" s="61" t="n">
        <f aca="false">H237*Resumo!$B$6</f>
        <v>0.76999</v>
      </c>
      <c r="V237" s="61" t="n">
        <f aca="false">H237*Resumo!$B$7</f>
        <v>1.53998</v>
      </c>
      <c r="W237" s="61" t="n">
        <f aca="false">Resumo!$B$9</f>
        <v>1</v>
      </c>
      <c r="X237" s="61" t="n">
        <f aca="false">Resumo!$B$10*CEILING(G237/100,1)</f>
        <v>4.5</v>
      </c>
      <c r="Y237" s="61" t="n">
        <f aca="false">Resumo!$B$12*CEILING(G237,1)</f>
        <v>3.54</v>
      </c>
      <c r="Z237" s="61" t="n">
        <f aca="false">Resumo!$B$14*CEILING(G237,1)</f>
        <v>26.55</v>
      </c>
      <c r="AA237" s="61" t="n">
        <f aca="false">SUM(T237:Z237)</f>
        <v>166.03997</v>
      </c>
      <c r="AB237" s="61" t="n">
        <f aca="false">AA237/(1-Resumo!$B$5)</f>
        <v>188.681784090909</v>
      </c>
      <c r="AC237" s="61" t="n">
        <f aca="false">AB237-S237</f>
        <v>43.2681954545455</v>
      </c>
      <c r="AD237" s="62" t="n">
        <f aca="false">AB237/S237-1</f>
        <v>0.297552628061099</v>
      </c>
      <c r="AE237" s="60" t="str">
        <f aca="false">IF(AB237&lt;S237,"SIM","NÃO")</f>
        <v>NÃO</v>
      </c>
      <c r="AF237" s="60" t="n">
        <v>13</v>
      </c>
      <c r="AG237" s="60" t="n">
        <v>7</v>
      </c>
      <c r="AH237" s="60" t="s">
        <v>382</v>
      </c>
      <c r="AI237" s="61" t="n">
        <f aca="false">(T237*(1-Painel!$C$40)+U237+V237+Painel!$C$41+Painel!$C$42*CEILING(G237/100,1)+Painel!$C$43*CEILING(G237,1)+Z237)/(1-Resumo!$B$5)</f>
        <v>132.686102272727</v>
      </c>
      <c r="AJ237" s="60" t="str">
        <f aca="false">IF(AI237&lt;S237,"SIM","NÃO")</f>
        <v>SIM</v>
      </c>
    </row>
    <row r="238" customFormat="false" ht="15" hidden="false" customHeight="false" outlineLevel="0" collapsed="false">
      <c r="A238" s="59" t="n">
        <v>46221.7251273148</v>
      </c>
      <c r="B238" s="60" t="s">
        <v>613</v>
      </c>
      <c r="C238" s="60" t="n">
        <v>23565005</v>
      </c>
      <c r="D238" s="60" t="s">
        <v>46</v>
      </c>
      <c r="E238" s="60" t="s">
        <v>22</v>
      </c>
      <c r="F238" s="60" t="s">
        <v>233</v>
      </c>
      <c r="G238" s="60" t="n">
        <v>33</v>
      </c>
      <c r="H238" s="61" t="n">
        <v>399.99</v>
      </c>
      <c r="I238" s="61" t="n">
        <v>42.11</v>
      </c>
      <c r="J238" s="61" t="n">
        <f aca="false">H238*Resumo!$C$6</f>
        <v>0</v>
      </c>
      <c r="K238" s="61" t="n">
        <f aca="false">H238*Resumo!$C$7</f>
        <v>0.839979</v>
      </c>
      <c r="L238" s="61" t="n">
        <f aca="false">H238*Resumo!$C$8</f>
        <v>0.839979</v>
      </c>
      <c r="M238" s="61" t="n">
        <f aca="false">Resumo!$C$10*CEILING(G238/100,1)</f>
        <v>1.05</v>
      </c>
      <c r="N238" s="61" t="n">
        <f aca="false">Resumo!$C$9</f>
        <v>0</v>
      </c>
      <c r="O238" s="61" t="n">
        <f aca="false">Resumo!$C$13</f>
        <v>13.55</v>
      </c>
      <c r="P238" s="61" t="n">
        <f aca="false">Resumo!$C$14*CEILING(G238,1)</f>
        <v>14.85</v>
      </c>
      <c r="Q238" s="61" t="n">
        <f aca="false">SUM(I238:P238)*Resumo!$C$11</f>
        <v>0</v>
      </c>
      <c r="R238" s="61" t="n">
        <f aca="false">SUM(I238:Q238)</f>
        <v>73.239958</v>
      </c>
      <c r="S238" s="61" t="n">
        <f aca="false">R238/(1-Resumo!$C$5)</f>
        <v>83.227225</v>
      </c>
      <c r="T238" s="61" t="n">
        <v>82.21</v>
      </c>
      <c r="U238" s="61" t="n">
        <f aca="false">H238*Resumo!$B$6</f>
        <v>0.39999</v>
      </c>
      <c r="V238" s="61" t="n">
        <f aca="false">H238*Resumo!$B$7</f>
        <v>0.79998</v>
      </c>
      <c r="W238" s="61" t="n">
        <f aca="false">Resumo!$B$9</f>
        <v>1</v>
      </c>
      <c r="X238" s="61" t="n">
        <f aca="false">Resumo!$B$10*CEILING(G238/100,1)</f>
        <v>4.5</v>
      </c>
      <c r="Y238" s="61" t="n">
        <f aca="false">Resumo!$B$12*CEILING(G238,1)</f>
        <v>1.98</v>
      </c>
      <c r="Z238" s="61" t="n">
        <f aca="false">Resumo!$B$14*CEILING(G238,1)</f>
        <v>14.85</v>
      </c>
      <c r="AA238" s="61" t="n">
        <f aca="false">SUM(T238:Z238)</f>
        <v>105.73997</v>
      </c>
      <c r="AB238" s="61" t="n">
        <f aca="false">AA238/(1-Resumo!$B$5)</f>
        <v>120.159056818182</v>
      </c>
      <c r="AC238" s="61" t="n">
        <f aca="false">AB238-S238</f>
        <v>36.9318318181818</v>
      </c>
      <c r="AD238" s="62" t="n">
        <f aca="false">AB238/S238-1</f>
        <v>0.443747004879495</v>
      </c>
      <c r="AE238" s="60" t="str">
        <f aca="false">IF(AB238&lt;S238,"SIM","NÃO")</f>
        <v>NÃO</v>
      </c>
      <c r="AF238" s="60" t="n">
        <v>2</v>
      </c>
      <c r="AG238" s="60" t="n">
        <v>5</v>
      </c>
      <c r="AH238" s="60" t="s">
        <v>382</v>
      </c>
      <c r="AI238" s="61" t="n">
        <f aca="false">(T238*(1-Painel!$C$40)+U238+V238+Painel!$C$41+Painel!$C$42*CEILING(G238/100,1)+Painel!$C$43*CEILING(G238,1)+Z238)/(1-Resumo!$B$5)</f>
        <v>83.1598522727273</v>
      </c>
      <c r="AJ238" s="60" t="str">
        <f aca="false">IF(AI238&lt;S238,"SIM","NÃO")</f>
        <v>SIM</v>
      </c>
    </row>
    <row r="239" customFormat="false" ht="15" hidden="false" customHeight="false" outlineLevel="0" collapsed="false">
      <c r="A239" s="59" t="n">
        <v>46221.794525463</v>
      </c>
      <c r="B239" s="60" t="s">
        <v>614</v>
      </c>
      <c r="C239" s="60" t="n">
        <v>22790430</v>
      </c>
      <c r="D239" s="60" t="s">
        <v>46</v>
      </c>
      <c r="E239" s="60" t="s">
        <v>22</v>
      </c>
      <c r="F239" s="60" t="s">
        <v>236</v>
      </c>
      <c r="G239" s="60" t="n">
        <v>55</v>
      </c>
      <c r="H239" s="61" t="n">
        <v>719.98</v>
      </c>
      <c r="I239" s="61" t="n">
        <v>58.6</v>
      </c>
      <c r="J239" s="61" t="n">
        <f aca="false">H239*Resumo!$C$6</f>
        <v>0</v>
      </c>
      <c r="K239" s="61" t="n">
        <f aca="false">H239*Resumo!$C$7</f>
        <v>1.511958</v>
      </c>
      <c r="L239" s="61" t="n">
        <f aca="false">H239*Resumo!$C$8</f>
        <v>1.511958</v>
      </c>
      <c r="M239" s="61" t="n">
        <f aca="false">Resumo!$C$10*CEILING(G239/100,1)</f>
        <v>1.05</v>
      </c>
      <c r="N239" s="61" t="n">
        <f aca="false">Resumo!$C$9</f>
        <v>0</v>
      </c>
      <c r="O239" s="61" t="n">
        <f aca="false">Resumo!$C$13</f>
        <v>13.55</v>
      </c>
      <c r="P239" s="61" t="n">
        <f aca="false">Resumo!$C$14*CEILING(G239,1)</f>
        <v>24.75</v>
      </c>
      <c r="Q239" s="61" t="n">
        <f aca="false">SUM(I239:P239)*Resumo!$C$11</f>
        <v>0</v>
      </c>
      <c r="R239" s="61" t="n">
        <f aca="false">SUM(I239:Q239)</f>
        <v>100.973916</v>
      </c>
      <c r="S239" s="61" t="n">
        <f aca="false">R239/(1-Resumo!$C$5)</f>
        <v>114.743086363636</v>
      </c>
      <c r="T239" s="61" t="n">
        <v>112.3</v>
      </c>
      <c r="U239" s="61" t="n">
        <f aca="false">H239*Resumo!$B$6</f>
        <v>0.71998</v>
      </c>
      <c r="V239" s="61" t="n">
        <f aca="false">H239*Resumo!$B$7</f>
        <v>1.43996</v>
      </c>
      <c r="W239" s="61" t="n">
        <f aca="false">Resumo!$B$9</f>
        <v>1</v>
      </c>
      <c r="X239" s="61" t="n">
        <f aca="false">Resumo!$B$10*CEILING(G239/100,1)</f>
        <v>4.5</v>
      </c>
      <c r="Y239" s="61" t="n">
        <f aca="false">Resumo!$B$12*CEILING(G239,1)</f>
        <v>3.3</v>
      </c>
      <c r="Z239" s="61" t="n">
        <f aca="false">Resumo!$B$14*CEILING(G239,1)</f>
        <v>24.75</v>
      </c>
      <c r="AA239" s="61" t="n">
        <f aca="false">SUM(T239:Z239)</f>
        <v>148.00994</v>
      </c>
      <c r="AB239" s="61" t="n">
        <f aca="false">AA239/(1-Resumo!$B$5)</f>
        <v>168.193113636364</v>
      </c>
      <c r="AC239" s="61" t="n">
        <f aca="false">AB239-S239</f>
        <v>53.4500272727273</v>
      </c>
      <c r="AD239" s="62" t="n">
        <f aca="false">AB239/S239-1</f>
        <v>0.465823510301413</v>
      </c>
      <c r="AE239" s="60" t="str">
        <f aca="false">IF(AB239&lt;S239,"SIM","NÃO")</f>
        <v>NÃO</v>
      </c>
      <c r="AF239" s="60" t="n">
        <v>2</v>
      </c>
      <c r="AG239" s="60" t="n">
        <v>5</v>
      </c>
      <c r="AH239" s="60" t="s">
        <v>382</v>
      </c>
      <c r="AI239" s="61" t="n">
        <f aca="false">(T239*(1-Painel!$C$40)+U239+V239+Painel!$C$41+Painel!$C$42*CEILING(G239/100,1)+Painel!$C$43*CEILING(G239,1)+Z239)/(1-Resumo!$B$5)</f>
        <v>118.410159090909</v>
      </c>
      <c r="AJ239" s="60" t="str">
        <f aca="false">IF(AI239&lt;S239,"SIM","NÃO")</f>
        <v>NÃO</v>
      </c>
    </row>
    <row r="240" customFormat="false" ht="15" hidden="false" customHeight="false" outlineLevel="0" collapsed="false">
      <c r="A240" s="59" t="n">
        <v>46221.8145949074</v>
      </c>
      <c r="B240" s="60" t="s">
        <v>615</v>
      </c>
      <c r="C240" s="60" t="n">
        <v>26250380</v>
      </c>
      <c r="D240" s="60" t="s">
        <v>49</v>
      </c>
      <c r="E240" s="60" t="s">
        <v>23</v>
      </c>
      <c r="F240" s="60" t="s">
        <v>233</v>
      </c>
      <c r="G240" s="60" t="n">
        <v>31.9</v>
      </c>
      <c r="H240" s="61" t="n">
        <v>568.28</v>
      </c>
      <c r="I240" s="61" t="n">
        <v>58.8</v>
      </c>
      <c r="J240" s="61" t="n">
        <f aca="false">H240*Resumo!$C$6</f>
        <v>0</v>
      </c>
      <c r="K240" s="61" t="n">
        <f aca="false">H240*Resumo!$C$7</f>
        <v>1.193388</v>
      </c>
      <c r="L240" s="61" t="n">
        <f aca="false">H240*Resumo!$C$8</f>
        <v>1.193388</v>
      </c>
      <c r="M240" s="61" t="n">
        <f aca="false">Resumo!$C$10*CEILING(G240/100,1)</f>
        <v>1.05</v>
      </c>
      <c r="N240" s="61" t="n">
        <f aca="false">Resumo!$C$9</f>
        <v>0</v>
      </c>
      <c r="O240" s="61" t="n">
        <f aca="false">Resumo!$C$13</f>
        <v>13.55</v>
      </c>
      <c r="P240" s="61" t="n">
        <f aca="false">Resumo!$C$14*CEILING(G240,1)</f>
        <v>14.4</v>
      </c>
      <c r="Q240" s="61" t="n">
        <f aca="false">SUM(I240:P240)*Resumo!$C$11</f>
        <v>0</v>
      </c>
      <c r="R240" s="61" t="n">
        <f aca="false">SUM(I240:Q240)</f>
        <v>90.186776</v>
      </c>
      <c r="S240" s="61" t="n">
        <f aca="false">R240/(1-Resumo!$C$5)</f>
        <v>102.484972727273</v>
      </c>
      <c r="T240" s="61" t="n">
        <v>82.21</v>
      </c>
      <c r="U240" s="61" t="n">
        <f aca="false">H240*Resumo!$B$6</f>
        <v>0.56828</v>
      </c>
      <c r="V240" s="61" t="n">
        <f aca="false">H240*Resumo!$B$7</f>
        <v>1.13656</v>
      </c>
      <c r="W240" s="61" t="n">
        <f aca="false">Resumo!$B$9</f>
        <v>1</v>
      </c>
      <c r="X240" s="61" t="n">
        <f aca="false">Resumo!$B$10*CEILING(G240/100,1)</f>
        <v>4.5</v>
      </c>
      <c r="Y240" s="61" t="n">
        <f aca="false">Resumo!$B$12*CEILING(G240,1)</f>
        <v>1.92</v>
      </c>
      <c r="Z240" s="61" t="n">
        <f aca="false">Resumo!$B$14*CEILING(G240,1)</f>
        <v>14.4</v>
      </c>
      <c r="AA240" s="61" t="n">
        <f aca="false">SUM(T240:Z240)</f>
        <v>105.73484</v>
      </c>
      <c r="AB240" s="61" t="n">
        <f aca="false">AA240/(1-Resumo!$B$5)</f>
        <v>120.153227272727</v>
      </c>
      <c r="AC240" s="61" t="n">
        <f aca="false">AB240-S240</f>
        <v>17.6682545454545</v>
      </c>
      <c r="AD240" s="62" t="n">
        <f aca="false">AB240/S240-1</f>
        <v>0.172398489995917</v>
      </c>
      <c r="AE240" s="60" t="str">
        <f aca="false">IF(AB240&lt;S240,"SIM","NÃO")</f>
        <v>NÃO</v>
      </c>
      <c r="AF240" s="60" t="n">
        <v>2</v>
      </c>
      <c r="AG240" s="60" t="n">
        <v>5</v>
      </c>
      <c r="AH240" s="60" t="s">
        <v>382</v>
      </c>
      <c r="AI240" s="61" t="n">
        <f aca="false">(T240*(1-Painel!$C$40)+U240+V240+Painel!$C$41+Painel!$C$42*CEILING(G240/100,1)+Painel!$C$43*CEILING(G240,1)+Z240)/(1-Resumo!$B$5)</f>
        <v>83.2222045454546</v>
      </c>
      <c r="AJ240" s="60" t="str">
        <f aca="false">IF(AI240&lt;S240,"SIM","NÃO")</f>
        <v>SIM</v>
      </c>
    </row>
    <row r="241" customFormat="false" ht="15" hidden="false" customHeight="false" outlineLevel="0" collapsed="false">
      <c r="A241" s="59" t="n">
        <v>46221.8712847222</v>
      </c>
      <c r="B241" s="60" t="s">
        <v>616</v>
      </c>
      <c r="C241" s="60" t="n">
        <v>27963834</v>
      </c>
      <c r="D241" s="60" t="s">
        <v>53</v>
      </c>
      <c r="E241" s="60" t="s">
        <v>24</v>
      </c>
      <c r="F241" s="60" t="s">
        <v>236</v>
      </c>
      <c r="G241" s="60" t="n">
        <v>58.6</v>
      </c>
      <c r="H241" s="61" t="n">
        <v>769.99</v>
      </c>
      <c r="I241" s="61" t="n">
        <v>83.58</v>
      </c>
      <c r="J241" s="61" t="n">
        <f aca="false">H241*Resumo!$C$6</f>
        <v>0</v>
      </c>
      <c r="K241" s="61" t="n">
        <f aca="false">H241*Resumo!$C$7</f>
        <v>1.616979</v>
      </c>
      <c r="L241" s="61" t="n">
        <f aca="false">H241*Resumo!$C$8</f>
        <v>1.616979</v>
      </c>
      <c r="M241" s="61" t="n">
        <f aca="false">Resumo!$C$10*CEILING(G241/100,1)</f>
        <v>1.05</v>
      </c>
      <c r="N241" s="61" t="n">
        <f aca="false">Resumo!$C$9</f>
        <v>0</v>
      </c>
      <c r="O241" s="61" t="n">
        <f aca="false">Resumo!$C$13</f>
        <v>13.55</v>
      </c>
      <c r="P241" s="61" t="n">
        <f aca="false">Resumo!$C$14*CEILING(G241,1)</f>
        <v>26.55</v>
      </c>
      <c r="Q241" s="61" t="n">
        <f aca="false">SUM(I241:P241)*Resumo!$C$11</f>
        <v>0</v>
      </c>
      <c r="R241" s="61" t="n">
        <f aca="false">SUM(I241:Q241)</f>
        <v>127.963958</v>
      </c>
      <c r="S241" s="61" t="n">
        <f aca="false">R241/(1-Resumo!$C$5)</f>
        <v>145.413588636364</v>
      </c>
      <c r="T241" s="61" t="n">
        <v>162.04</v>
      </c>
      <c r="U241" s="61" t="n">
        <f aca="false">H241*Resumo!$B$6</f>
        <v>0.76999</v>
      </c>
      <c r="V241" s="61" t="n">
        <f aca="false">H241*Resumo!$B$7</f>
        <v>1.53998</v>
      </c>
      <c r="W241" s="61" t="n">
        <f aca="false">Resumo!$B$9</f>
        <v>1</v>
      </c>
      <c r="X241" s="61" t="n">
        <f aca="false">Resumo!$B$10*CEILING(G241/100,1)</f>
        <v>4.5</v>
      </c>
      <c r="Y241" s="61" t="n">
        <f aca="false">Resumo!$B$12*CEILING(G241,1)</f>
        <v>3.54</v>
      </c>
      <c r="Z241" s="61" t="n">
        <f aca="false">Resumo!$B$14*CEILING(G241,1)</f>
        <v>26.55</v>
      </c>
      <c r="AA241" s="61" t="n">
        <f aca="false">SUM(T241:Z241)</f>
        <v>199.93997</v>
      </c>
      <c r="AB241" s="61" t="n">
        <f aca="false">AA241/(1-Resumo!$B$5)</f>
        <v>227.204511363636</v>
      </c>
      <c r="AC241" s="61" t="n">
        <f aca="false">AB241-S241</f>
        <v>81.7909227272728</v>
      </c>
      <c r="AD241" s="62" t="n">
        <f aca="false">AB241/S241-1</f>
        <v>0.562470973272021</v>
      </c>
      <c r="AE241" s="60" t="str">
        <f aca="false">IF(AB241&lt;S241,"SIM","NÃO")</f>
        <v>NÃO</v>
      </c>
      <c r="AF241" s="60" t="n">
        <v>13</v>
      </c>
      <c r="AG241" s="60" t="n">
        <v>11</v>
      </c>
      <c r="AH241" s="60" t="s">
        <v>382</v>
      </c>
      <c r="AI241" s="61" t="n">
        <f aca="false">(T241*(1-Painel!$C$40)+U241+V241+Painel!$C$41+Painel!$C$42*CEILING(G241/100,1)+Painel!$C$43*CEILING(G241,1)+Z241)/(1-Resumo!$B$5)</f>
        <v>158.496329545455</v>
      </c>
      <c r="AJ241" s="60" t="str">
        <f aca="false">IF(AI241&lt;S241,"SIM","NÃO")</f>
        <v>NÃO</v>
      </c>
    </row>
    <row r="242" customFormat="false" ht="15" hidden="false" customHeight="false" outlineLevel="0" collapsed="false">
      <c r="A242" s="59" t="n">
        <v>46221.8801273148</v>
      </c>
      <c r="B242" s="60" t="s">
        <v>617</v>
      </c>
      <c r="C242" s="60" t="n">
        <v>23030372</v>
      </c>
      <c r="D242" s="60" t="s">
        <v>46</v>
      </c>
      <c r="E242" s="60" t="s">
        <v>22</v>
      </c>
      <c r="F242" s="60" t="s">
        <v>232</v>
      </c>
      <c r="G242" s="60" t="n">
        <v>19.5</v>
      </c>
      <c r="H242" s="61" t="n">
        <v>389.99</v>
      </c>
      <c r="I242" s="61" t="n">
        <v>33.42</v>
      </c>
      <c r="J242" s="61" t="n">
        <f aca="false">H242*Resumo!$C$6</f>
        <v>0</v>
      </c>
      <c r="K242" s="61" t="n">
        <f aca="false">H242*Resumo!$C$7</f>
        <v>0.818979</v>
      </c>
      <c r="L242" s="61" t="n">
        <f aca="false">H242*Resumo!$C$8</f>
        <v>0.818979</v>
      </c>
      <c r="M242" s="61" t="n">
        <f aca="false">Resumo!$C$10*CEILING(G242/100,1)</f>
        <v>1.05</v>
      </c>
      <c r="N242" s="61" t="n">
        <f aca="false">Resumo!$C$9</f>
        <v>0</v>
      </c>
      <c r="O242" s="61" t="n">
        <f aca="false">Resumo!$C$13</f>
        <v>13.55</v>
      </c>
      <c r="P242" s="61" t="n">
        <f aca="false">Resumo!$C$14*CEILING(G242,1)</f>
        <v>9</v>
      </c>
      <c r="Q242" s="61" t="n">
        <f aca="false">SUM(I242:P242)*Resumo!$C$11</f>
        <v>0</v>
      </c>
      <c r="R242" s="61" t="n">
        <f aca="false">SUM(I242:Q242)</f>
        <v>58.657958</v>
      </c>
      <c r="S242" s="61" t="n">
        <f aca="false">R242/(1-Resumo!$C$5)</f>
        <v>66.6567704545455</v>
      </c>
      <c r="T242" s="61" t="n">
        <v>46.98</v>
      </c>
      <c r="U242" s="61" t="n">
        <f aca="false">H242*Resumo!$B$6</f>
        <v>0.38999</v>
      </c>
      <c r="V242" s="61" t="n">
        <f aca="false">H242*Resumo!$B$7</f>
        <v>0.77998</v>
      </c>
      <c r="W242" s="61" t="n">
        <f aca="false">Resumo!$B$9</f>
        <v>1</v>
      </c>
      <c r="X242" s="61" t="n">
        <f aca="false">Resumo!$B$10*CEILING(G242/100,1)</f>
        <v>4.5</v>
      </c>
      <c r="Y242" s="61" t="n">
        <f aca="false">Resumo!$B$12*CEILING(G242,1)</f>
        <v>1.2</v>
      </c>
      <c r="Z242" s="61" t="n">
        <f aca="false">Resumo!$B$14*CEILING(G242,1)</f>
        <v>9</v>
      </c>
      <c r="AA242" s="61" t="n">
        <f aca="false">SUM(T242:Z242)</f>
        <v>63.84997</v>
      </c>
      <c r="AB242" s="61" t="n">
        <f aca="false">AA242/(1-Resumo!$B$5)</f>
        <v>72.5567840909091</v>
      </c>
      <c r="AC242" s="61" t="n">
        <f aca="false">AB242-S242</f>
        <v>5.90001363636364</v>
      </c>
      <c r="AD242" s="62" t="n">
        <f aca="false">AB242/S242-1</f>
        <v>0.0885133437478338</v>
      </c>
      <c r="AE242" s="60" t="str">
        <f aca="false">IF(AB242&lt;S242,"SIM","NÃO")</f>
        <v>NÃO</v>
      </c>
      <c r="AF242" s="60" t="n">
        <v>2</v>
      </c>
      <c r="AG242" s="60" t="n">
        <v>5</v>
      </c>
      <c r="AH242" s="60" t="s">
        <v>382</v>
      </c>
      <c r="AI242" s="61" t="n">
        <f aca="false">(T242*(1-Painel!$C$40)+U242+V242+Painel!$C$41+Painel!$C$42*CEILING(G242/100,1)+Painel!$C$43*CEILING(G242,1)+Z242)/(1-Resumo!$B$5)</f>
        <v>49.6551931818182</v>
      </c>
      <c r="AJ242" s="60" t="str">
        <f aca="false">IF(AI242&lt;S242,"SIM","NÃO")</f>
        <v>SIM</v>
      </c>
    </row>
    <row r="243" customFormat="false" ht="15" hidden="false" customHeight="false" outlineLevel="0" collapsed="false">
      <c r="A243" s="59" t="n">
        <v>46221.9493402778</v>
      </c>
      <c r="B243" s="60" t="s">
        <v>618</v>
      </c>
      <c r="C243" s="60" t="n">
        <v>27963738</v>
      </c>
      <c r="D243" s="60" t="s">
        <v>53</v>
      </c>
      <c r="E243" s="60" t="s">
        <v>24</v>
      </c>
      <c r="F243" s="60" t="s">
        <v>234</v>
      </c>
      <c r="G243" s="60" t="n">
        <v>40</v>
      </c>
      <c r="H243" s="61" t="n">
        <v>495.99</v>
      </c>
      <c r="I243" s="61" t="n">
        <v>74.97</v>
      </c>
      <c r="J243" s="61" t="n">
        <f aca="false">H243*Resumo!$C$6</f>
        <v>0</v>
      </c>
      <c r="K243" s="61" t="n">
        <f aca="false">H243*Resumo!$C$7</f>
        <v>1.041579</v>
      </c>
      <c r="L243" s="61" t="n">
        <f aca="false">H243*Resumo!$C$8</f>
        <v>1.041579</v>
      </c>
      <c r="M243" s="61" t="n">
        <f aca="false">Resumo!$C$10*CEILING(G243/100,1)</f>
        <v>1.05</v>
      </c>
      <c r="N243" s="61" t="n">
        <f aca="false">Resumo!$C$9</f>
        <v>0</v>
      </c>
      <c r="O243" s="61" t="n">
        <f aca="false">Resumo!$C$13</f>
        <v>13.55</v>
      </c>
      <c r="P243" s="61" t="n">
        <f aca="false">Resumo!$C$14*CEILING(G243,1)</f>
        <v>18</v>
      </c>
      <c r="Q243" s="61" t="n">
        <f aca="false">SUM(I243:P243)*Resumo!$C$11</f>
        <v>0</v>
      </c>
      <c r="R243" s="61" t="n">
        <f aca="false">SUM(I243:Q243)</f>
        <v>109.653158</v>
      </c>
      <c r="S243" s="61" t="n">
        <f aca="false">R243/(1-Resumo!$C$5)</f>
        <v>124.605861363636</v>
      </c>
      <c r="T243" s="61" t="n">
        <v>143.04</v>
      </c>
      <c r="U243" s="61" t="n">
        <f aca="false">H243*Resumo!$B$6</f>
        <v>0.49599</v>
      </c>
      <c r="V243" s="61" t="n">
        <f aca="false">H243*Resumo!$B$7</f>
        <v>0.99198</v>
      </c>
      <c r="W243" s="61" t="n">
        <f aca="false">Resumo!$B$9</f>
        <v>1</v>
      </c>
      <c r="X243" s="61" t="n">
        <f aca="false">Resumo!$B$10*CEILING(G243/100,1)</f>
        <v>4.5</v>
      </c>
      <c r="Y243" s="61" t="n">
        <f aca="false">Resumo!$B$12*CEILING(G243,1)</f>
        <v>2.4</v>
      </c>
      <c r="Z243" s="61" t="n">
        <f aca="false">Resumo!$B$14*CEILING(G243,1)</f>
        <v>18</v>
      </c>
      <c r="AA243" s="61" t="n">
        <f aca="false">SUM(T243:Z243)</f>
        <v>170.42797</v>
      </c>
      <c r="AB243" s="61" t="n">
        <f aca="false">AA243/(1-Resumo!$B$5)</f>
        <v>193.668147727273</v>
      </c>
      <c r="AC243" s="61" t="n">
        <f aca="false">AB243-S243</f>
        <v>69.0622863636364</v>
      </c>
      <c r="AD243" s="62" t="n">
        <f aca="false">AB243/S243-1</f>
        <v>0.554245888659221</v>
      </c>
      <c r="AE243" s="60" t="str">
        <f aca="false">IF(AB243&lt;S243,"SIM","NÃO")</f>
        <v>NÃO</v>
      </c>
      <c r="AF243" s="60" t="n">
        <v>13</v>
      </c>
      <c r="AG243" s="60" t="n">
        <v>11</v>
      </c>
      <c r="AH243" s="60" t="s">
        <v>382</v>
      </c>
      <c r="AI243" s="61" t="n">
        <f aca="false">(T243*(1-Painel!$C$40)+U243+V243+Painel!$C$41+Painel!$C$42*CEILING(G243/100,1)+Painel!$C$43*CEILING(G243,1)+Z243)/(1-Resumo!$B$5)</f>
        <v>133.380420454545</v>
      </c>
      <c r="AJ243" s="60" t="str">
        <f aca="false">IF(AI243&lt;S243,"SIM","NÃO")</f>
        <v>NÃO</v>
      </c>
    </row>
    <row r="244" customFormat="false" ht="15" hidden="false" customHeight="false" outlineLevel="0" collapsed="false">
      <c r="A244" s="59" t="n">
        <v>46221.9774305556</v>
      </c>
      <c r="B244" s="60" t="s">
        <v>619</v>
      </c>
      <c r="C244" s="60" t="n">
        <v>23894694</v>
      </c>
      <c r="D244" s="60" t="s">
        <v>267</v>
      </c>
      <c r="E244" s="60" t="s">
        <v>24</v>
      </c>
      <c r="F244" s="60" t="s">
        <v>235</v>
      </c>
      <c r="G244" s="60" t="n">
        <v>46.8</v>
      </c>
      <c r="H244" s="61" t="n">
        <v>559.99</v>
      </c>
      <c r="I244" s="61" t="n">
        <v>77.7</v>
      </c>
      <c r="J244" s="61" t="n">
        <f aca="false">H244*Resumo!$C$6</f>
        <v>0</v>
      </c>
      <c r="K244" s="61" t="n">
        <f aca="false">H244*Resumo!$C$7</f>
        <v>1.175979</v>
      </c>
      <c r="L244" s="61" t="n">
        <f aca="false">H244*Resumo!$C$8</f>
        <v>1.175979</v>
      </c>
      <c r="M244" s="61" t="n">
        <f aca="false">Resumo!$C$10*CEILING(G244/100,1)</f>
        <v>1.05</v>
      </c>
      <c r="N244" s="61" t="n">
        <f aca="false">Resumo!$C$9</f>
        <v>0</v>
      </c>
      <c r="O244" s="61" t="n">
        <f aca="false">Resumo!$C$13</f>
        <v>13.55</v>
      </c>
      <c r="P244" s="61" t="n">
        <f aca="false">Resumo!$C$14*CEILING(G244,1)</f>
        <v>21.15</v>
      </c>
      <c r="Q244" s="61" t="n">
        <f aca="false">SUM(I244:P244)*Resumo!$C$11</f>
        <v>0</v>
      </c>
      <c r="R244" s="61" t="n">
        <f aca="false">SUM(I244:Q244)</f>
        <v>115.801958</v>
      </c>
      <c r="S244" s="61" t="n">
        <f aca="false">R244/(1-Resumo!$C$5)</f>
        <v>131.593134090909</v>
      </c>
      <c r="T244" s="61" t="n">
        <v>103.97</v>
      </c>
      <c r="U244" s="61" t="n">
        <f aca="false">H244*Resumo!$B$6</f>
        <v>0.55999</v>
      </c>
      <c r="V244" s="61" t="n">
        <f aca="false">H244*Resumo!$B$7</f>
        <v>1.11998</v>
      </c>
      <c r="W244" s="61" t="n">
        <f aca="false">Resumo!$B$9</f>
        <v>1</v>
      </c>
      <c r="X244" s="61" t="n">
        <f aca="false">Resumo!$B$10*CEILING(G244/100,1)</f>
        <v>4.5</v>
      </c>
      <c r="Y244" s="61" t="n">
        <f aca="false">Resumo!$B$12*CEILING(G244,1)</f>
        <v>2.82</v>
      </c>
      <c r="Z244" s="61" t="n">
        <f aca="false">Resumo!$B$14*CEILING(G244,1)</f>
        <v>21.15</v>
      </c>
      <c r="AA244" s="61" t="n">
        <f aca="false">SUM(T244:Z244)</f>
        <v>135.11997</v>
      </c>
      <c r="AB244" s="61" t="n">
        <f aca="false">AA244/(1-Resumo!$B$5)</f>
        <v>153.545420454545</v>
      </c>
      <c r="AC244" s="61" t="n">
        <f aca="false">AB244-S244</f>
        <v>21.9522863636363</v>
      </c>
      <c r="AD244" s="62" t="n">
        <f aca="false">AB244/S244-1</f>
        <v>0.166819390048655</v>
      </c>
      <c r="AE244" s="60" t="str">
        <f aca="false">IF(AB244&lt;S244,"SIM","NÃO")</f>
        <v>NÃO</v>
      </c>
      <c r="AF244" s="60" t="n">
        <v>13</v>
      </c>
      <c r="AG244" s="60" t="n">
        <v>5</v>
      </c>
      <c r="AH244" s="60" t="s">
        <v>385</v>
      </c>
      <c r="AI244" s="61" t="n">
        <f aca="false">(T244*(1-Painel!$C$40)+U244+V244+Painel!$C$41+Painel!$C$42*CEILING(G244/100,1)+Painel!$C$43*CEILING(G244,1)+Z244)/(1-Resumo!$B$5)</f>
        <v>107.431670454545</v>
      </c>
      <c r="AJ244" s="60" t="str">
        <f aca="false">IF(AI244&lt;S244,"SIM","NÃO")</f>
        <v>SIM</v>
      </c>
    </row>
    <row r="245" customFormat="false" ht="15" hidden="false" customHeight="false" outlineLevel="0" collapsed="false">
      <c r="A245" s="59" t="n">
        <v>46222.1045138889</v>
      </c>
      <c r="B245" s="60" t="s">
        <v>620</v>
      </c>
      <c r="C245" s="60" t="n">
        <v>22780070</v>
      </c>
      <c r="D245" s="60" t="s">
        <v>46</v>
      </c>
      <c r="E245" s="60" t="s">
        <v>22</v>
      </c>
      <c r="F245" s="60" t="s">
        <v>237</v>
      </c>
      <c r="G245" s="60" t="n">
        <v>63.1</v>
      </c>
      <c r="H245" s="61" t="n">
        <v>754.93</v>
      </c>
      <c r="I245" s="61" t="n">
        <v>63.21</v>
      </c>
      <c r="J245" s="61" t="n">
        <f aca="false">H245*Resumo!$C$6</f>
        <v>0</v>
      </c>
      <c r="K245" s="61" t="n">
        <f aca="false">H245*Resumo!$C$7</f>
        <v>1.585353</v>
      </c>
      <c r="L245" s="61" t="n">
        <f aca="false">H245*Resumo!$C$8</f>
        <v>1.585353</v>
      </c>
      <c r="M245" s="61" t="n">
        <f aca="false">Resumo!$C$10*CEILING(G245/100,1)</f>
        <v>1.05</v>
      </c>
      <c r="N245" s="61" t="n">
        <f aca="false">Resumo!$C$9</f>
        <v>0</v>
      </c>
      <c r="O245" s="61" t="n">
        <f aca="false">Resumo!$C$13</f>
        <v>13.55</v>
      </c>
      <c r="P245" s="61" t="n">
        <f aca="false">Resumo!$C$14*CEILING(G245,1)</f>
        <v>28.8</v>
      </c>
      <c r="Q245" s="61" t="n">
        <f aca="false">SUM(I245:P245)*Resumo!$C$11</f>
        <v>0</v>
      </c>
      <c r="R245" s="61" t="n">
        <f aca="false">SUM(I245:Q245)</f>
        <v>109.780706</v>
      </c>
      <c r="S245" s="61" t="n">
        <f aca="false">R245/(1-Resumo!$C$5)</f>
        <v>124.750802272727</v>
      </c>
      <c r="T245" s="61" t="n">
        <v>131.02</v>
      </c>
      <c r="U245" s="61" t="n">
        <f aca="false">H245*Resumo!$B$6</f>
        <v>0.75493</v>
      </c>
      <c r="V245" s="61" t="n">
        <f aca="false">H245*Resumo!$B$7</f>
        <v>1.50986</v>
      </c>
      <c r="W245" s="61" t="n">
        <f aca="false">Resumo!$B$9</f>
        <v>1</v>
      </c>
      <c r="X245" s="61" t="n">
        <f aca="false">Resumo!$B$10*CEILING(G245/100,1)</f>
        <v>4.5</v>
      </c>
      <c r="Y245" s="61" t="n">
        <f aca="false">Resumo!$B$12*CEILING(G245,1)</f>
        <v>3.84</v>
      </c>
      <c r="Z245" s="61" t="n">
        <f aca="false">Resumo!$B$14*CEILING(G245,1)</f>
        <v>28.8</v>
      </c>
      <c r="AA245" s="61" t="n">
        <f aca="false">SUM(T245:Z245)</f>
        <v>171.42479</v>
      </c>
      <c r="AB245" s="61" t="n">
        <f aca="false">AA245/(1-Resumo!$B$5)</f>
        <v>194.800897727273</v>
      </c>
      <c r="AC245" s="61" t="n">
        <f aca="false">AB245-S245</f>
        <v>70.0500954545455</v>
      </c>
      <c r="AD245" s="62" t="n">
        <f aca="false">AB245/S245-1</f>
        <v>0.561520200097821</v>
      </c>
      <c r="AE245" s="60" t="str">
        <f aca="false">IF(AB245&lt;S245,"SIM","NÃO")</f>
        <v>NÃO</v>
      </c>
      <c r="AF245" s="60" t="n">
        <v>2</v>
      </c>
      <c r="AG245" s="60" t="n">
        <v>5</v>
      </c>
      <c r="AH245" s="60" t="s">
        <v>382</v>
      </c>
      <c r="AI245" s="61" t="n">
        <f aca="false">(T245*(1-Painel!$C$40)+U245+V245+Painel!$C$41+Painel!$C$42*CEILING(G245/100,1)+Painel!$C$43*CEILING(G245,1)+Z245)/(1-Resumo!$B$5)</f>
        <v>137.384306818182</v>
      </c>
      <c r="AJ245" s="60" t="str">
        <f aca="false">IF(AI245&lt;S245,"SIM","NÃO")</f>
        <v>NÃO</v>
      </c>
    </row>
    <row r="246" customFormat="false" ht="15" hidden="false" customHeight="false" outlineLevel="0" collapsed="false">
      <c r="A246" s="59" t="n">
        <v>46222.1972222222</v>
      </c>
      <c r="B246" s="60" t="s">
        <v>621</v>
      </c>
      <c r="C246" s="60" t="n">
        <v>26298396</v>
      </c>
      <c r="D246" s="60" t="s">
        <v>49</v>
      </c>
      <c r="E246" s="60" t="s">
        <v>23</v>
      </c>
      <c r="F246" s="60" t="s">
        <v>234</v>
      </c>
      <c r="G246" s="60" t="n">
        <v>36.8</v>
      </c>
      <c r="H246" s="61" t="n">
        <v>469.99</v>
      </c>
      <c r="I246" s="61" t="n">
        <v>66.83</v>
      </c>
      <c r="J246" s="61" t="n">
        <f aca="false">H246*Resumo!$C$6</f>
        <v>0</v>
      </c>
      <c r="K246" s="61" t="n">
        <f aca="false">H246*Resumo!$C$7</f>
        <v>0.986979</v>
      </c>
      <c r="L246" s="61" t="n">
        <f aca="false">H246*Resumo!$C$8</f>
        <v>0.986979</v>
      </c>
      <c r="M246" s="61" t="n">
        <f aca="false">Resumo!$C$10*CEILING(G246/100,1)</f>
        <v>1.05</v>
      </c>
      <c r="N246" s="61" t="n">
        <f aca="false">Resumo!$C$9</f>
        <v>0</v>
      </c>
      <c r="O246" s="61" t="n">
        <f aca="false">Resumo!$C$13</f>
        <v>13.55</v>
      </c>
      <c r="P246" s="61" t="n">
        <f aca="false">Resumo!$C$14*CEILING(G246,1)</f>
        <v>16.65</v>
      </c>
      <c r="Q246" s="61" t="n">
        <f aca="false">SUM(I246:P246)*Resumo!$C$11</f>
        <v>0</v>
      </c>
      <c r="R246" s="61" t="n">
        <f aca="false">SUM(I246:Q246)</f>
        <v>100.053958</v>
      </c>
      <c r="S246" s="61" t="n">
        <f aca="false">R246/(1-Resumo!$C$5)</f>
        <v>113.697679545455</v>
      </c>
      <c r="T246" s="61" t="n">
        <v>93.97</v>
      </c>
      <c r="U246" s="61" t="n">
        <f aca="false">H246*Resumo!$B$6</f>
        <v>0.46999</v>
      </c>
      <c r="V246" s="61" t="n">
        <f aca="false">H246*Resumo!$B$7</f>
        <v>0.93998</v>
      </c>
      <c r="W246" s="61" t="n">
        <f aca="false">Resumo!$B$9</f>
        <v>1</v>
      </c>
      <c r="X246" s="61" t="n">
        <f aca="false">Resumo!$B$10*CEILING(G246/100,1)</f>
        <v>4.5</v>
      </c>
      <c r="Y246" s="61" t="n">
        <f aca="false">Resumo!$B$12*CEILING(G246,1)</f>
        <v>2.22</v>
      </c>
      <c r="Z246" s="61" t="n">
        <f aca="false">Resumo!$B$14*CEILING(G246,1)</f>
        <v>16.65</v>
      </c>
      <c r="AA246" s="61" t="n">
        <f aca="false">SUM(T246:Z246)</f>
        <v>119.74997</v>
      </c>
      <c r="AB246" s="61" t="n">
        <f aca="false">AA246/(1-Resumo!$B$5)</f>
        <v>136.079511363636</v>
      </c>
      <c r="AC246" s="61" t="n">
        <f aca="false">AB246-S246</f>
        <v>22.3818318181818</v>
      </c>
      <c r="AD246" s="62" t="n">
        <f aca="false">AB246/S246-1</f>
        <v>0.19685390157179</v>
      </c>
      <c r="AE246" s="60" t="str">
        <f aca="false">IF(AB246&lt;S246,"SIM","NÃO")</f>
        <v>NÃO</v>
      </c>
      <c r="AF246" s="60" t="n">
        <v>2</v>
      </c>
      <c r="AG246" s="60" t="n">
        <v>5</v>
      </c>
      <c r="AH246" s="60" t="s">
        <v>382</v>
      </c>
      <c r="AI246" s="61" t="n">
        <f aca="false">(T246*(1-Painel!$C$40)+U246+V246+Painel!$C$41+Painel!$C$42*CEILING(G246/100,1)+Painel!$C$43*CEILING(G246,1)+Z246)/(1-Resumo!$B$5)</f>
        <v>94.3975795454545</v>
      </c>
      <c r="AJ246" s="60" t="str">
        <f aca="false">IF(AI246&lt;S246,"SIM","NÃO")</f>
        <v>SIM</v>
      </c>
    </row>
    <row r="247" customFormat="false" ht="15" hidden="false" customHeight="false" outlineLevel="0" collapsed="false">
      <c r="A247" s="59" t="n">
        <v>46222.2396643519</v>
      </c>
      <c r="B247" s="60" t="s">
        <v>622</v>
      </c>
      <c r="C247" s="60" t="n">
        <v>22795006</v>
      </c>
      <c r="D247" s="60" t="s">
        <v>46</v>
      </c>
      <c r="E247" s="60" t="s">
        <v>22</v>
      </c>
      <c r="F247" s="60" t="s">
        <v>234</v>
      </c>
      <c r="G247" s="60" t="n">
        <v>37.59</v>
      </c>
      <c r="H247" s="61" t="n">
        <v>442.79</v>
      </c>
      <c r="I247" s="61" t="n">
        <v>48.35</v>
      </c>
      <c r="J247" s="61" t="n">
        <f aca="false">H247*Resumo!$C$6</f>
        <v>0</v>
      </c>
      <c r="K247" s="61" t="n">
        <f aca="false">H247*Resumo!$C$7</f>
        <v>0.929859</v>
      </c>
      <c r="L247" s="61" t="n">
        <f aca="false">H247*Resumo!$C$8</f>
        <v>0.929859</v>
      </c>
      <c r="M247" s="61" t="n">
        <f aca="false">Resumo!$C$10*CEILING(G247/100,1)</f>
        <v>1.05</v>
      </c>
      <c r="N247" s="61" t="n">
        <f aca="false">Resumo!$C$9</f>
        <v>0</v>
      </c>
      <c r="O247" s="61" t="n">
        <f aca="false">Resumo!$C$13</f>
        <v>13.55</v>
      </c>
      <c r="P247" s="61" t="n">
        <f aca="false">Resumo!$C$14*CEILING(G247,1)</f>
        <v>17.1</v>
      </c>
      <c r="Q247" s="61" t="n">
        <f aca="false">SUM(I247:P247)*Resumo!$C$11</f>
        <v>0</v>
      </c>
      <c r="R247" s="61" t="n">
        <f aca="false">SUM(I247:Q247)</f>
        <v>81.909718</v>
      </c>
      <c r="S247" s="61" t="n">
        <f aca="false">R247/(1-Resumo!$C$5)</f>
        <v>93.079225</v>
      </c>
      <c r="T247" s="61" t="n">
        <v>93.97</v>
      </c>
      <c r="U247" s="61" t="n">
        <f aca="false">H247*Resumo!$B$6</f>
        <v>0.44279</v>
      </c>
      <c r="V247" s="61" t="n">
        <f aca="false">H247*Resumo!$B$7</f>
        <v>0.88558</v>
      </c>
      <c r="W247" s="61" t="n">
        <f aca="false">Resumo!$B$9</f>
        <v>1</v>
      </c>
      <c r="X247" s="61" t="n">
        <f aca="false">Resumo!$B$10*CEILING(G247/100,1)</f>
        <v>4.5</v>
      </c>
      <c r="Y247" s="61" t="n">
        <f aca="false">Resumo!$B$12*CEILING(G247,1)</f>
        <v>2.28</v>
      </c>
      <c r="Z247" s="61" t="n">
        <f aca="false">Resumo!$B$14*CEILING(G247,1)</f>
        <v>17.1</v>
      </c>
      <c r="AA247" s="61" t="n">
        <f aca="false">SUM(T247:Z247)</f>
        <v>120.17837</v>
      </c>
      <c r="AB247" s="61" t="n">
        <f aca="false">AA247/(1-Resumo!$B$5)</f>
        <v>136.566329545455</v>
      </c>
      <c r="AC247" s="61" t="n">
        <f aca="false">AB247-S247</f>
        <v>43.4871045454546</v>
      </c>
      <c r="AD247" s="62" t="n">
        <f aca="false">AB247/S247-1</f>
        <v>0.467205271052209</v>
      </c>
      <c r="AE247" s="60" t="str">
        <f aca="false">IF(AB247&lt;S247,"SIM","NÃO")</f>
        <v>NÃO</v>
      </c>
      <c r="AF247" s="60" t="n">
        <v>2</v>
      </c>
      <c r="AG247" s="60" t="n">
        <v>5</v>
      </c>
      <c r="AH247" s="60" t="s">
        <v>382</v>
      </c>
      <c r="AI247" s="61" t="n">
        <f aca="false">(T247*(1-Painel!$C$40)+U247+V247+Painel!$C$41+Painel!$C$42*CEILING(G247/100,1)+Painel!$C$43*CEILING(G247,1)+Z247)/(1-Resumo!$B$5)</f>
        <v>94.8162159090909</v>
      </c>
      <c r="AJ247" s="60" t="str">
        <f aca="false">IF(AI247&lt;S247,"SIM","NÃO")</f>
        <v>NÃO</v>
      </c>
    </row>
    <row r="248" customFormat="false" ht="15" hidden="false" customHeight="false" outlineLevel="0" collapsed="false">
      <c r="A248" s="59" t="n">
        <v>46222.3481828704</v>
      </c>
      <c r="B248" s="60" t="s">
        <v>623</v>
      </c>
      <c r="C248" s="60" t="n">
        <v>23895670</v>
      </c>
      <c r="D248" s="60" t="s">
        <v>267</v>
      </c>
      <c r="E248" s="60" t="s">
        <v>24</v>
      </c>
      <c r="F248" s="60" t="s">
        <v>233</v>
      </c>
      <c r="G248" s="60" t="n">
        <v>31</v>
      </c>
      <c r="H248" s="61" t="n">
        <v>299.99</v>
      </c>
      <c r="I248" s="61" t="n">
        <v>65.63</v>
      </c>
      <c r="J248" s="61" t="n">
        <f aca="false">H248*Resumo!$C$6</f>
        <v>0</v>
      </c>
      <c r="K248" s="61" t="n">
        <f aca="false">H248*Resumo!$C$7</f>
        <v>0.629979</v>
      </c>
      <c r="L248" s="61" t="n">
        <f aca="false">H248*Resumo!$C$8</f>
        <v>0.629979</v>
      </c>
      <c r="M248" s="61" t="n">
        <f aca="false">Resumo!$C$10*CEILING(G248/100,1)</f>
        <v>1.05</v>
      </c>
      <c r="N248" s="61" t="n">
        <f aca="false">Resumo!$C$9</f>
        <v>0</v>
      </c>
      <c r="O248" s="61" t="n">
        <f aca="false">Resumo!$C$13</f>
        <v>13.55</v>
      </c>
      <c r="P248" s="61" t="n">
        <f aca="false">Resumo!$C$14*CEILING(G248,1)</f>
        <v>13.95</v>
      </c>
      <c r="Q248" s="61" t="n">
        <f aca="false">SUM(I248:P248)*Resumo!$C$11</f>
        <v>0</v>
      </c>
      <c r="R248" s="61" t="n">
        <f aca="false">SUM(I248:Q248)</f>
        <v>95.439958</v>
      </c>
      <c r="S248" s="61" t="n">
        <f aca="false">R248/(1-Resumo!$C$5)</f>
        <v>108.454497727273</v>
      </c>
      <c r="T248" s="61" t="n">
        <v>92.21</v>
      </c>
      <c r="U248" s="61" t="n">
        <f aca="false">H248*Resumo!$B$6</f>
        <v>0.29999</v>
      </c>
      <c r="V248" s="61" t="n">
        <f aca="false">H248*Resumo!$B$7</f>
        <v>0.59998</v>
      </c>
      <c r="W248" s="61" t="n">
        <f aca="false">Resumo!$B$9</f>
        <v>1</v>
      </c>
      <c r="X248" s="61" t="n">
        <f aca="false">Resumo!$B$10*CEILING(G248/100,1)</f>
        <v>4.5</v>
      </c>
      <c r="Y248" s="61" t="n">
        <f aca="false">Resumo!$B$12*CEILING(G248,1)</f>
        <v>1.86</v>
      </c>
      <c r="Z248" s="61" t="n">
        <f aca="false">Resumo!$B$14*CEILING(G248,1)</f>
        <v>13.95</v>
      </c>
      <c r="AA248" s="61" t="n">
        <f aca="false">SUM(T248:Z248)</f>
        <v>114.41997</v>
      </c>
      <c r="AB248" s="61" t="n">
        <f aca="false">AA248/(1-Resumo!$B$5)</f>
        <v>130.022693181818</v>
      </c>
      <c r="AC248" s="61" t="n">
        <f aca="false">AB248-S248</f>
        <v>21.5681954545454</v>
      </c>
      <c r="AD248" s="62" t="n">
        <f aca="false">AB248/S248-1</f>
        <v>0.198868612243102</v>
      </c>
      <c r="AE248" s="60" t="str">
        <f aca="false">IF(AB248&lt;S248,"SIM","NÃO")</f>
        <v>NÃO</v>
      </c>
      <c r="AF248" s="60" t="n">
        <v>13</v>
      </c>
      <c r="AG248" s="60" t="n">
        <v>5</v>
      </c>
      <c r="AH248" s="60" t="s">
        <v>385</v>
      </c>
      <c r="AI248" s="61" t="n">
        <f aca="false">(T248*(1-Painel!$C$40)+U248+V248+Painel!$C$41+Painel!$C$42*CEILING(G248/100,1)+Painel!$C$43*CEILING(G248,1)+Z248)/(1-Resumo!$B$5)</f>
        <v>89.4098522727273</v>
      </c>
      <c r="AJ248" s="60" t="str">
        <f aca="false">IF(AI248&lt;S248,"SIM","NÃO")</f>
        <v>SIM</v>
      </c>
    </row>
    <row r="249" customFormat="false" ht="15" hidden="false" customHeight="false" outlineLevel="0" collapsed="false">
      <c r="A249" s="59" t="n">
        <v>46222.4030092593</v>
      </c>
      <c r="B249" s="60" t="s">
        <v>624</v>
      </c>
      <c r="C249" s="60" t="n">
        <v>24110556</v>
      </c>
      <c r="D249" s="60" t="s">
        <v>50</v>
      </c>
      <c r="E249" s="60" t="s">
        <v>23</v>
      </c>
      <c r="F249" s="60" t="s">
        <v>236</v>
      </c>
      <c r="G249" s="60" t="n">
        <v>59.9</v>
      </c>
      <c r="H249" s="61" t="n">
        <v>949.99</v>
      </c>
      <c r="I249" s="61" t="n">
        <v>70.98</v>
      </c>
      <c r="J249" s="61" t="n">
        <f aca="false">H249*Resumo!$C$6</f>
        <v>0</v>
      </c>
      <c r="K249" s="61" t="n">
        <f aca="false">H249*Resumo!$C$7</f>
        <v>1.994979</v>
      </c>
      <c r="L249" s="61" t="n">
        <f aca="false">H249*Resumo!$C$8</f>
        <v>1.994979</v>
      </c>
      <c r="M249" s="61" t="n">
        <f aca="false">Resumo!$C$10*CEILING(G249/100,1)</f>
        <v>1.05</v>
      </c>
      <c r="N249" s="61" t="n">
        <f aca="false">Resumo!$C$9</f>
        <v>0</v>
      </c>
      <c r="O249" s="61" t="n">
        <f aca="false">Resumo!$C$13</f>
        <v>13.55</v>
      </c>
      <c r="P249" s="61" t="n">
        <f aca="false">Resumo!$C$14*CEILING(G249,1)</f>
        <v>27</v>
      </c>
      <c r="Q249" s="61" t="n">
        <f aca="false">SUM(I249:P249)*Resumo!$C$11</f>
        <v>0</v>
      </c>
      <c r="R249" s="61" t="n">
        <f aca="false">SUM(I249:Q249)</f>
        <v>116.569958</v>
      </c>
      <c r="S249" s="61" t="n">
        <f aca="false">R249/(1-Resumo!$C$5)</f>
        <v>132.465861363636</v>
      </c>
      <c r="T249" s="61" t="n">
        <v>128.14</v>
      </c>
      <c r="U249" s="61" t="n">
        <f aca="false">H249*Resumo!$B$6</f>
        <v>0.94999</v>
      </c>
      <c r="V249" s="61" t="n">
        <f aca="false">H249*Resumo!$B$7</f>
        <v>1.89998</v>
      </c>
      <c r="W249" s="61" t="n">
        <f aca="false">Resumo!$B$9</f>
        <v>1</v>
      </c>
      <c r="X249" s="61" t="n">
        <f aca="false">Resumo!$B$10*CEILING(G249/100,1)</f>
        <v>4.5</v>
      </c>
      <c r="Y249" s="61" t="n">
        <f aca="false">Resumo!$B$12*CEILING(G249,1)</f>
        <v>3.6</v>
      </c>
      <c r="Z249" s="61" t="n">
        <f aca="false">Resumo!$B$14*CEILING(G249,1)</f>
        <v>27</v>
      </c>
      <c r="AA249" s="61" t="n">
        <f aca="false">SUM(T249:Z249)</f>
        <v>167.08997</v>
      </c>
      <c r="AB249" s="61" t="n">
        <f aca="false">AA249/(1-Resumo!$B$5)</f>
        <v>189.874965909091</v>
      </c>
      <c r="AC249" s="61" t="n">
        <f aca="false">AB249-S249</f>
        <v>57.4091045454545</v>
      </c>
      <c r="AD249" s="62" t="n">
        <f aca="false">AB249/S249-1</f>
        <v>0.433387923155982</v>
      </c>
      <c r="AE249" s="60" t="str">
        <f aca="false">IF(AB249&lt;S249,"SIM","NÃO")</f>
        <v>NÃO</v>
      </c>
      <c r="AF249" s="60" t="n">
        <v>2</v>
      </c>
      <c r="AG249" s="60" t="n">
        <v>7</v>
      </c>
      <c r="AH249" s="60" t="s">
        <v>382</v>
      </c>
      <c r="AI249" s="61" t="n">
        <f aca="false">(T249*(1-Painel!$C$40)+U249+V249+Painel!$C$41+Painel!$C$42*CEILING(G249/100,1)+Painel!$C$43*CEILING(G249,1)+Z249)/(1-Resumo!$B$5)</f>
        <v>133.811102272727</v>
      </c>
      <c r="AJ249" s="60" t="str">
        <f aca="false">IF(AI249&lt;S249,"SIM","NÃO")</f>
        <v>NÃO</v>
      </c>
    </row>
    <row r="250" customFormat="false" ht="15" hidden="false" customHeight="false" outlineLevel="0" collapsed="false">
      <c r="A250" s="59" t="n">
        <v>46222.4424074074</v>
      </c>
      <c r="B250" s="60" t="s">
        <v>625</v>
      </c>
      <c r="C250" s="60" t="n">
        <v>23970000</v>
      </c>
      <c r="D250" s="60" t="s">
        <v>268</v>
      </c>
      <c r="E250" s="60" t="s">
        <v>24</v>
      </c>
      <c r="F250" s="60" t="s">
        <v>239</v>
      </c>
      <c r="G250" s="60" t="n">
        <v>97.2</v>
      </c>
      <c r="H250" s="61" t="n">
        <v>1164.49</v>
      </c>
      <c r="I250" s="61" t="n">
        <v>109.63</v>
      </c>
      <c r="J250" s="61" t="n">
        <f aca="false">H250*Resumo!$C$6</f>
        <v>0</v>
      </c>
      <c r="K250" s="61" t="n">
        <f aca="false">H250*Resumo!$C$7</f>
        <v>2.445429</v>
      </c>
      <c r="L250" s="61" t="n">
        <f aca="false">H250*Resumo!$C$8</f>
        <v>2.445429</v>
      </c>
      <c r="M250" s="61" t="n">
        <f aca="false">Resumo!$C$10*CEILING(G250/100,1)</f>
        <v>1.05</v>
      </c>
      <c r="N250" s="61" t="n">
        <f aca="false">Resumo!$C$9</f>
        <v>0</v>
      </c>
      <c r="O250" s="61" t="n">
        <f aca="false">Resumo!$C$13</f>
        <v>13.55</v>
      </c>
      <c r="P250" s="61" t="n">
        <f aca="false">Resumo!$C$14*CEILING(G250,1)</f>
        <v>44.1</v>
      </c>
      <c r="Q250" s="61" t="n">
        <f aca="false">SUM(I250:P250)*Resumo!$C$11</f>
        <v>0</v>
      </c>
      <c r="R250" s="61" t="n">
        <f aca="false">SUM(I250:Q250)</f>
        <v>173.220858</v>
      </c>
      <c r="S250" s="61" t="n">
        <f aca="false">R250/(1-Resumo!$C$5)</f>
        <v>196.841884090909</v>
      </c>
      <c r="T250" s="61" t="n">
        <v>197.35</v>
      </c>
      <c r="U250" s="61" t="n">
        <f aca="false">H250*Resumo!$B$6</f>
        <v>1.16449</v>
      </c>
      <c r="V250" s="61" t="n">
        <f aca="false">H250*Resumo!$B$7</f>
        <v>2.32898</v>
      </c>
      <c r="W250" s="61" t="n">
        <f aca="false">Resumo!$B$9</f>
        <v>1</v>
      </c>
      <c r="X250" s="61" t="n">
        <f aca="false">Resumo!$B$10*CEILING(G250/100,1)</f>
        <v>4.5</v>
      </c>
      <c r="Y250" s="61" t="n">
        <f aca="false">Resumo!$B$12*CEILING(G250,1)</f>
        <v>5.88</v>
      </c>
      <c r="Z250" s="61" t="n">
        <f aca="false">Resumo!$B$14*CEILING(G250,1)</f>
        <v>44.1</v>
      </c>
      <c r="AA250" s="61" t="n">
        <f aca="false">SUM(T250:Z250)</f>
        <v>256.32347</v>
      </c>
      <c r="AB250" s="61" t="n">
        <f aca="false">AA250/(1-Resumo!$B$5)</f>
        <v>291.276670454545</v>
      </c>
      <c r="AC250" s="61" t="n">
        <f aca="false">AB250-S250</f>
        <v>94.4347863636363</v>
      </c>
      <c r="AD250" s="62" t="n">
        <f aca="false">AB250/S250-1</f>
        <v>0.479749453729181</v>
      </c>
      <c r="AE250" s="60" t="str">
        <f aca="false">IF(AB250&lt;S250,"SIM","NÃO")</f>
        <v>NÃO</v>
      </c>
      <c r="AF250" s="60" t="n">
        <v>13</v>
      </c>
      <c r="AG250" s="60" t="n">
        <v>10</v>
      </c>
      <c r="AH250" s="60" t="s">
        <v>385</v>
      </c>
      <c r="AI250" s="61" t="n">
        <f aca="false">(T250*(1-Painel!$C$40)+U250+V250+Painel!$C$41+Painel!$C$42*CEILING(G250/100,1)+Painel!$C$43*CEILING(G250,1)+Z250)/(1-Resumo!$B$5)</f>
        <v>206.668147727273</v>
      </c>
      <c r="AJ250" s="60" t="str">
        <f aca="false">IF(AI250&lt;S250,"SIM","NÃO")</f>
        <v>NÃO</v>
      </c>
    </row>
    <row r="251" customFormat="false" ht="15" hidden="false" customHeight="false" outlineLevel="0" collapsed="false">
      <c r="A251" s="59" t="n">
        <v>46222.5976967593</v>
      </c>
      <c r="B251" s="60" t="s">
        <v>626</v>
      </c>
      <c r="C251" s="60" t="n">
        <v>26385030</v>
      </c>
      <c r="D251" s="60" t="s">
        <v>282</v>
      </c>
      <c r="E251" s="60" t="s">
        <v>23</v>
      </c>
      <c r="F251" s="60" t="s">
        <v>237</v>
      </c>
      <c r="G251" s="60" t="n">
        <v>63</v>
      </c>
      <c r="H251" s="61" t="n">
        <v>942.64</v>
      </c>
      <c r="I251" s="61" t="n">
        <v>76.55</v>
      </c>
      <c r="J251" s="61" t="n">
        <f aca="false">H251*Resumo!$C$6</f>
        <v>0</v>
      </c>
      <c r="K251" s="61" t="n">
        <f aca="false">H251*Resumo!$C$7</f>
        <v>1.979544</v>
      </c>
      <c r="L251" s="61" t="n">
        <f aca="false">H251*Resumo!$C$8</f>
        <v>1.979544</v>
      </c>
      <c r="M251" s="61" t="n">
        <f aca="false">Resumo!$C$10*CEILING(G251/100,1)</f>
        <v>1.05</v>
      </c>
      <c r="N251" s="61" t="n">
        <f aca="false">Resumo!$C$9</f>
        <v>0</v>
      </c>
      <c r="O251" s="61" t="n">
        <f aca="false">Resumo!$C$13</f>
        <v>13.55</v>
      </c>
      <c r="P251" s="61" t="n">
        <f aca="false">Resumo!$C$14*CEILING(G251,1)</f>
        <v>28.35</v>
      </c>
      <c r="Q251" s="61" t="n">
        <f aca="false">SUM(I251:P251)*Resumo!$C$11</f>
        <v>0</v>
      </c>
      <c r="R251" s="61" t="n">
        <f aca="false">SUM(I251:Q251)</f>
        <v>123.459088</v>
      </c>
      <c r="S251" s="61" t="n">
        <f aca="false">R251/(1-Resumo!$C$5)</f>
        <v>140.294418181818</v>
      </c>
      <c r="T251" s="61" t="n">
        <v>131.02</v>
      </c>
      <c r="U251" s="61" t="n">
        <f aca="false">H251*Resumo!$B$6</f>
        <v>0.94264</v>
      </c>
      <c r="V251" s="61" t="n">
        <f aca="false">H251*Resumo!$B$7</f>
        <v>1.88528</v>
      </c>
      <c r="W251" s="61" t="n">
        <f aca="false">Resumo!$B$9</f>
        <v>1</v>
      </c>
      <c r="X251" s="61" t="n">
        <f aca="false">Resumo!$B$10*CEILING(G251/100,1)</f>
        <v>4.5</v>
      </c>
      <c r="Y251" s="61" t="n">
        <f aca="false">Resumo!$B$12*CEILING(G251,1)</f>
        <v>3.78</v>
      </c>
      <c r="Z251" s="61" t="n">
        <f aca="false">Resumo!$B$14*CEILING(G251,1)</f>
        <v>28.35</v>
      </c>
      <c r="AA251" s="61" t="n">
        <f aca="false">SUM(T251:Z251)</f>
        <v>171.47792</v>
      </c>
      <c r="AB251" s="61" t="n">
        <f aca="false">AA251/(1-Resumo!$B$5)</f>
        <v>194.861272727273</v>
      </c>
      <c r="AC251" s="61" t="n">
        <f aca="false">AB251-S251</f>
        <v>54.5668545454545</v>
      </c>
      <c r="AD251" s="62" t="n">
        <f aca="false">AB251/S251-1</f>
        <v>0.388945299838923</v>
      </c>
      <c r="AE251" s="60" t="str">
        <f aca="false">IF(AB251&lt;S251,"SIM","NÃO")</f>
        <v>NÃO</v>
      </c>
      <c r="AF251" s="60" t="n">
        <v>2</v>
      </c>
      <c r="AG251" s="60" t="n">
        <v>5</v>
      </c>
      <c r="AH251" s="60" t="s">
        <v>385</v>
      </c>
      <c r="AI251" s="61" t="n">
        <f aca="false">(T251*(1-Painel!$C$40)+U251+V251+Painel!$C$41+Painel!$C$42*CEILING(G251/100,1)+Painel!$C$43*CEILING(G251,1)+Z251)/(1-Resumo!$B$5)</f>
        <v>137.512863636364</v>
      </c>
      <c r="AJ251" s="60" t="str">
        <f aca="false">IF(AI251&lt;S251,"SIM","NÃO")</f>
        <v>SIM</v>
      </c>
    </row>
    <row r="252" customFormat="false" ht="15" hidden="false" customHeight="false" outlineLevel="0" collapsed="false">
      <c r="A252" s="59" t="n">
        <v>46222.6770717593</v>
      </c>
      <c r="B252" s="60" t="s">
        <v>627</v>
      </c>
      <c r="C252" s="60" t="n">
        <v>26160225</v>
      </c>
      <c r="D252" s="60" t="s">
        <v>52</v>
      </c>
      <c r="E252" s="60" t="s">
        <v>23</v>
      </c>
      <c r="F252" s="60" t="s">
        <v>235</v>
      </c>
      <c r="G252" s="60" t="n">
        <v>45.3</v>
      </c>
      <c r="H252" s="61" t="n">
        <v>629.99</v>
      </c>
      <c r="I252" s="61" t="n">
        <v>65.36</v>
      </c>
      <c r="J252" s="61" t="n">
        <f aca="false">H252*Resumo!$C$6</f>
        <v>0</v>
      </c>
      <c r="K252" s="61" t="n">
        <f aca="false">H252*Resumo!$C$7</f>
        <v>1.322979</v>
      </c>
      <c r="L252" s="61" t="n">
        <f aca="false">H252*Resumo!$C$8</f>
        <v>1.322979</v>
      </c>
      <c r="M252" s="61" t="n">
        <f aca="false">Resumo!$C$10*CEILING(G252/100,1)</f>
        <v>1.05</v>
      </c>
      <c r="N252" s="61" t="n">
        <f aca="false">Resumo!$C$9</f>
        <v>0</v>
      </c>
      <c r="O252" s="61" t="n">
        <f aca="false">Resumo!$C$13</f>
        <v>13.55</v>
      </c>
      <c r="P252" s="61" t="n">
        <f aca="false">Resumo!$C$14*CEILING(G252,1)</f>
        <v>20.7</v>
      </c>
      <c r="Q252" s="61" t="n">
        <f aca="false">SUM(I252:P252)*Resumo!$C$11</f>
        <v>0</v>
      </c>
      <c r="R252" s="61" t="n">
        <f aca="false">SUM(I252:Q252)</f>
        <v>103.305958</v>
      </c>
      <c r="S252" s="61" t="n">
        <f aca="false">R252/(1-Resumo!$C$5)</f>
        <v>117.393134090909</v>
      </c>
      <c r="T252" s="61" t="n">
        <v>93.97</v>
      </c>
      <c r="U252" s="61" t="n">
        <f aca="false">H252*Resumo!$B$6</f>
        <v>0.62999</v>
      </c>
      <c r="V252" s="61" t="n">
        <f aca="false">H252*Resumo!$B$7</f>
        <v>1.25998</v>
      </c>
      <c r="W252" s="61" t="n">
        <f aca="false">Resumo!$B$9</f>
        <v>1</v>
      </c>
      <c r="X252" s="61" t="n">
        <f aca="false">Resumo!$B$10*CEILING(G252/100,1)</f>
        <v>4.5</v>
      </c>
      <c r="Y252" s="61" t="n">
        <f aca="false">Resumo!$B$12*CEILING(G252,1)</f>
        <v>2.76</v>
      </c>
      <c r="Z252" s="61" t="n">
        <f aca="false">Resumo!$B$14*CEILING(G252,1)</f>
        <v>20.7</v>
      </c>
      <c r="AA252" s="61" t="n">
        <f aca="false">SUM(T252:Z252)</f>
        <v>124.81997</v>
      </c>
      <c r="AB252" s="61" t="n">
        <f aca="false">AA252/(1-Resumo!$B$5)</f>
        <v>141.840875</v>
      </c>
      <c r="AC252" s="61" t="n">
        <f aca="false">AB252-S252</f>
        <v>24.4477409090909</v>
      </c>
      <c r="AD252" s="62" t="n">
        <f aca="false">AB252/S252-1</f>
        <v>0.208255287657271</v>
      </c>
      <c r="AE252" s="60" t="str">
        <f aca="false">IF(AB252&lt;S252,"SIM","NÃO")</f>
        <v>NÃO</v>
      </c>
      <c r="AF252" s="60" t="n">
        <v>2</v>
      </c>
      <c r="AG252" s="60" t="n">
        <v>5</v>
      </c>
      <c r="AH252" s="60" t="s">
        <v>382</v>
      </c>
      <c r="AI252" s="61" t="n">
        <f aca="false">(T252*(1-Painel!$C$40)+U252+V252+Painel!$C$41+Painel!$C$42*CEILING(G252/100,1)+Painel!$C$43*CEILING(G252,1)+Z252)/(1-Resumo!$B$5)</f>
        <v>99.5453068181818</v>
      </c>
      <c r="AJ252" s="60" t="str">
        <f aca="false">IF(AI252&lt;S252,"SIM","NÃO")</f>
        <v>SIM</v>
      </c>
    </row>
    <row r="253" customFormat="false" ht="15" hidden="false" customHeight="false" outlineLevel="0" collapsed="false">
      <c r="A253" s="59" t="n">
        <v>46222.6880324074</v>
      </c>
      <c r="B253" s="60" t="s">
        <v>628</v>
      </c>
      <c r="C253" s="60" t="n">
        <v>22765590</v>
      </c>
      <c r="D253" s="60" t="s">
        <v>46</v>
      </c>
      <c r="E253" s="60" t="s">
        <v>22</v>
      </c>
      <c r="F253" s="60" t="s">
        <v>234</v>
      </c>
      <c r="G253" s="60" t="n">
        <v>36.8</v>
      </c>
      <c r="H253" s="61" t="n">
        <v>449.99</v>
      </c>
      <c r="I253" s="61" t="n">
        <v>48.35</v>
      </c>
      <c r="J253" s="61" t="n">
        <f aca="false">H253*Resumo!$C$6</f>
        <v>0</v>
      </c>
      <c r="K253" s="61" t="n">
        <f aca="false">H253*Resumo!$C$7</f>
        <v>0.944979</v>
      </c>
      <c r="L253" s="61" t="n">
        <f aca="false">H253*Resumo!$C$8</f>
        <v>0.944979</v>
      </c>
      <c r="M253" s="61" t="n">
        <f aca="false">Resumo!$C$10*CEILING(G253/100,1)</f>
        <v>1.05</v>
      </c>
      <c r="N253" s="61" t="n">
        <f aca="false">Resumo!$C$9</f>
        <v>0</v>
      </c>
      <c r="O253" s="61" t="n">
        <f aca="false">Resumo!$C$13</f>
        <v>13.55</v>
      </c>
      <c r="P253" s="61" t="n">
        <f aca="false">Resumo!$C$14*CEILING(G253,1)</f>
        <v>16.65</v>
      </c>
      <c r="Q253" s="61" t="n">
        <f aca="false">SUM(I253:P253)*Resumo!$C$11</f>
        <v>0</v>
      </c>
      <c r="R253" s="61" t="n">
        <f aca="false">SUM(I253:Q253)</f>
        <v>81.489958</v>
      </c>
      <c r="S253" s="61" t="n">
        <f aca="false">R253/(1-Resumo!$C$5)</f>
        <v>92.602225</v>
      </c>
      <c r="T253" s="61" t="n">
        <v>93.97</v>
      </c>
      <c r="U253" s="61" t="n">
        <f aca="false">H253*Resumo!$B$6</f>
        <v>0.44999</v>
      </c>
      <c r="V253" s="61" t="n">
        <f aca="false">H253*Resumo!$B$7</f>
        <v>0.89998</v>
      </c>
      <c r="W253" s="61" t="n">
        <f aca="false">Resumo!$B$9</f>
        <v>1</v>
      </c>
      <c r="X253" s="61" t="n">
        <f aca="false">Resumo!$B$10*CEILING(G253/100,1)</f>
        <v>4.5</v>
      </c>
      <c r="Y253" s="61" t="n">
        <f aca="false">Resumo!$B$12*CEILING(G253,1)</f>
        <v>2.22</v>
      </c>
      <c r="Z253" s="61" t="n">
        <f aca="false">Resumo!$B$14*CEILING(G253,1)</f>
        <v>16.65</v>
      </c>
      <c r="AA253" s="61" t="n">
        <f aca="false">SUM(T253:Z253)</f>
        <v>119.68997</v>
      </c>
      <c r="AB253" s="61" t="n">
        <f aca="false">AA253/(1-Resumo!$B$5)</f>
        <v>136.011329545455</v>
      </c>
      <c r="AC253" s="61" t="n">
        <f aca="false">AB253-S253</f>
        <v>43.4091045454545</v>
      </c>
      <c r="AD253" s="62" t="n">
        <f aca="false">AB253/S253-1</f>
        <v>0.468769562993271</v>
      </c>
      <c r="AE253" s="60" t="str">
        <f aca="false">IF(AB253&lt;S253,"SIM","NÃO")</f>
        <v>NÃO</v>
      </c>
      <c r="AF253" s="60" t="n">
        <v>2</v>
      </c>
      <c r="AG253" s="60" t="n">
        <v>5</v>
      </c>
      <c r="AH253" s="60" t="s">
        <v>382</v>
      </c>
      <c r="AI253" s="61" t="n">
        <f aca="false">(T253*(1-Painel!$C$40)+U253+V253+Painel!$C$41+Painel!$C$42*CEILING(G253/100,1)+Painel!$C$43*CEILING(G253,1)+Z253)/(1-Resumo!$B$5)</f>
        <v>94.3293977272727</v>
      </c>
      <c r="AJ253" s="60" t="str">
        <f aca="false">IF(AI253&lt;S253,"SIM","NÃO")</f>
        <v>NÃO</v>
      </c>
    </row>
    <row r="254" customFormat="false" ht="15" hidden="false" customHeight="false" outlineLevel="0" collapsed="false">
      <c r="A254" s="59" t="n">
        <v>46222.6884606482</v>
      </c>
      <c r="B254" s="60" t="s">
        <v>629</v>
      </c>
      <c r="C254" s="60" t="n">
        <v>25730070</v>
      </c>
      <c r="D254" s="60" t="s">
        <v>219</v>
      </c>
      <c r="E254" s="60" t="s">
        <v>24</v>
      </c>
      <c r="F254" s="60" t="s">
        <v>241</v>
      </c>
      <c r="G254" s="60" t="n">
        <v>124.2</v>
      </c>
      <c r="H254" s="61" t="n">
        <v>1611.28</v>
      </c>
      <c r="I254" s="61" t="n">
        <v>144.24</v>
      </c>
      <c r="J254" s="61" t="n">
        <f aca="false">H254*Resumo!$C$6</f>
        <v>0</v>
      </c>
      <c r="K254" s="61" t="n">
        <f aca="false">H254*Resumo!$C$7</f>
        <v>3.383688</v>
      </c>
      <c r="L254" s="61" t="n">
        <f aca="false">H254*Resumo!$C$8</f>
        <v>3.383688</v>
      </c>
      <c r="M254" s="61" t="n">
        <f aca="false">Resumo!$C$10*CEILING(G254/100,1)</f>
        <v>2.1</v>
      </c>
      <c r="N254" s="61" t="n">
        <f aca="false">Resumo!$C$9</f>
        <v>0</v>
      </c>
      <c r="O254" s="61" t="n">
        <f aca="false">Resumo!$C$13</f>
        <v>13.55</v>
      </c>
      <c r="P254" s="61" t="n">
        <f aca="false">Resumo!$C$14*CEILING(G254,1)</f>
        <v>56.25</v>
      </c>
      <c r="Q254" s="61" t="n">
        <f aca="false">SUM(I254:P254)*Resumo!$C$11</f>
        <v>0</v>
      </c>
      <c r="R254" s="61" t="n">
        <f aca="false">SUM(I254:Q254)</f>
        <v>222.907376</v>
      </c>
      <c r="S254" s="61" t="n">
        <f aca="false">R254/(1-Resumo!$C$5)</f>
        <v>253.303836363636</v>
      </c>
      <c r="T254" s="61" t="n">
        <v>264.84</v>
      </c>
      <c r="U254" s="61" t="n">
        <f aca="false">H254*Resumo!$B$6</f>
        <v>1.61128</v>
      </c>
      <c r="V254" s="61" t="n">
        <f aca="false">H254*Resumo!$B$7</f>
        <v>3.22256</v>
      </c>
      <c r="W254" s="61" t="n">
        <f aca="false">Resumo!$B$9</f>
        <v>1</v>
      </c>
      <c r="X254" s="61" t="n">
        <f aca="false">Resumo!$B$10*CEILING(G254/100,1)</f>
        <v>9</v>
      </c>
      <c r="Y254" s="61" t="n">
        <f aca="false">Resumo!$B$12*CEILING(G254,1)</f>
        <v>7.5</v>
      </c>
      <c r="Z254" s="61" t="n">
        <f aca="false">Resumo!$B$14*CEILING(G254,1)</f>
        <v>56.25</v>
      </c>
      <c r="AA254" s="61" t="n">
        <f aca="false">SUM(T254:Z254)</f>
        <v>343.42384</v>
      </c>
      <c r="AB254" s="61" t="n">
        <f aca="false">AA254/(1-Resumo!$B$5)</f>
        <v>390.254363636364</v>
      </c>
      <c r="AC254" s="61" t="n">
        <f aca="false">AB254-S254</f>
        <v>136.950527272727</v>
      </c>
      <c r="AD254" s="62" t="n">
        <f aca="false">AB254/S254-1</f>
        <v>0.540657138236646</v>
      </c>
      <c r="AE254" s="60" t="str">
        <f aca="false">IF(AB254&lt;S254,"SIM","NÃO")</f>
        <v>NÃO</v>
      </c>
      <c r="AF254" s="60" t="n">
        <v>13</v>
      </c>
      <c r="AG254" s="60" t="n">
        <v>8</v>
      </c>
      <c r="AH254" s="60" t="s">
        <v>382</v>
      </c>
      <c r="AI254" s="61" t="n">
        <f aca="false">(T254*(1-Painel!$C$40)+U254+V254+Painel!$C$41+Painel!$C$42*CEILING(G254/100,1)+Painel!$C$43*CEILING(G254,1)+Z254)/(1-Resumo!$B$5)</f>
        <v>274.575727272727</v>
      </c>
      <c r="AJ254" s="60" t="str">
        <f aca="false">IF(AI254&lt;S254,"SIM","NÃO")</f>
        <v>NÃO</v>
      </c>
    </row>
    <row r="255" customFormat="false" ht="15" hidden="false" customHeight="false" outlineLevel="0" collapsed="false">
      <c r="A255" s="59" t="n">
        <v>46222.7369560185</v>
      </c>
      <c r="B255" s="60" t="s">
        <v>630</v>
      </c>
      <c r="C255" s="60" t="n">
        <v>21011250</v>
      </c>
      <c r="D255" s="60" t="s">
        <v>46</v>
      </c>
      <c r="E255" s="60" t="s">
        <v>22</v>
      </c>
      <c r="F255" s="60" t="s">
        <v>233</v>
      </c>
      <c r="G255" s="60" t="n">
        <v>29.2</v>
      </c>
      <c r="H255" s="61" t="n">
        <v>449.99</v>
      </c>
      <c r="I255" s="61" t="n">
        <v>42.11</v>
      </c>
      <c r="J255" s="61" t="n">
        <f aca="false">H255*Resumo!$C$6</f>
        <v>0</v>
      </c>
      <c r="K255" s="61" t="n">
        <f aca="false">H255*Resumo!$C$7</f>
        <v>0.944979</v>
      </c>
      <c r="L255" s="61" t="n">
        <f aca="false">H255*Resumo!$C$8</f>
        <v>0.944979</v>
      </c>
      <c r="M255" s="61" t="n">
        <f aca="false">Resumo!$C$10*CEILING(G255/100,1)</f>
        <v>1.05</v>
      </c>
      <c r="N255" s="61" t="n">
        <f aca="false">Resumo!$C$9</f>
        <v>0</v>
      </c>
      <c r="O255" s="61" t="n">
        <f aca="false">Resumo!$C$13</f>
        <v>13.55</v>
      </c>
      <c r="P255" s="61" t="n">
        <f aca="false">Resumo!$C$14*CEILING(G255,1)</f>
        <v>13.5</v>
      </c>
      <c r="Q255" s="61" t="n">
        <f aca="false">SUM(I255:P255)*Resumo!$C$11</f>
        <v>0</v>
      </c>
      <c r="R255" s="61" t="n">
        <f aca="false">SUM(I255:Q255)</f>
        <v>72.099958</v>
      </c>
      <c r="S255" s="61" t="n">
        <f aca="false">R255/(1-Resumo!$C$5)</f>
        <v>81.9317704545455</v>
      </c>
      <c r="T255" s="61" t="n">
        <v>82.21</v>
      </c>
      <c r="U255" s="61" t="n">
        <f aca="false">H255*Resumo!$B$6</f>
        <v>0.44999</v>
      </c>
      <c r="V255" s="61" t="n">
        <f aca="false">H255*Resumo!$B$7</f>
        <v>0.89998</v>
      </c>
      <c r="W255" s="61" t="n">
        <f aca="false">Resumo!$B$9</f>
        <v>1</v>
      </c>
      <c r="X255" s="61" t="n">
        <f aca="false">Resumo!$B$10*CEILING(G255/100,1)</f>
        <v>4.5</v>
      </c>
      <c r="Y255" s="61" t="n">
        <f aca="false">Resumo!$B$12*CEILING(G255,1)</f>
        <v>1.8</v>
      </c>
      <c r="Z255" s="61" t="n">
        <f aca="false">Resumo!$B$14*CEILING(G255,1)</f>
        <v>13.5</v>
      </c>
      <c r="AA255" s="61" t="n">
        <f aca="false">SUM(T255:Z255)</f>
        <v>104.35997</v>
      </c>
      <c r="AB255" s="61" t="n">
        <f aca="false">AA255/(1-Resumo!$B$5)</f>
        <v>118.590875</v>
      </c>
      <c r="AC255" s="61" t="n">
        <f aca="false">AB255-S255</f>
        <v>36.6591045454545</v>
      </c>
      <c r="AD255" s="62" t="n">
        <f aca="false">AB255/S255-1</f>
        <v>0.447434546355769</v>
      </c>
      <c r="AE255" s="60" t="str">
        <f aca="false">IF(AB255&lt;S255,"SIM","NÃO")</f>
        <v>NÃO</v>
      </c>
      <c r="AF255" s="60" t="n">
        <v>2</v>
      </c>
      <c r="AG255" s="60" t="n">
        <v>5</v>
      </c>
      <c r="AH255" s="60" t="s">
        <v>382</v>
      </c>
      <c r="AI255" s="61" t="n">
        <f aca="false">(T255*(1-Painel!$C$40)+U255+V255+Painel!$C$41+Painel!$C$42*CEILING(G255/100,1)+Painel!$C$43*CEILING(G255,1)+Z255)/(1-Resumo!$B$5)</f>
        <v>81.7962159090909</v>
      </c>
      <c r="AJ255" s="60" t="str">
        <f aca="false">IF(AI255&lt;S255,"SIM","NÃO")</f>
        <v>SIM</v>
      </c>
    </row>
    <row r="256" customFormat="false" ht="15" hidden="false" customHeight="false" outlineLevel="0" collapsed="false">
      <c r="A256" s="59" t="n">
        <v>46222.772037037</v>
      </c>
      <c r="B256" s="60" t="s">
        <v>631</v>
      </c>
      <c r="C256" s="60" t="n">
        <v>25261300</v>
      </c>
      <c r="D256" s="60" t="s">
        <v>48</v>
      </c>
      <c r="E256" s="60" t="s">
        <v>23</v>
      </c>
      <c r="F256" s="60" t="s">
        <v>241</v>
      </c>
      <c r="G256" s="60" t="n">
        <v>124.2</v>
      </c>
      <c r="H256" s="61" t="n">
        <v>1649.99</v>
      </c>
      <c r="I256" s="61" t="n">
        <v>129.62</v>
      </c>
      <c r="J256" s="61" t="n">
        <f aca="false">H256*Resumo!$C$6</f>
        <v>0</v>
      </c>
      <c r="K256" s="61" t="n">
        <f aca="false">H256*Resumo!$C$7</f>
        <v>3.464979</v>
      </c>
      <c r="L256" s="61" t="n">
        <f aca="false">H256*Resumo!$C$8</f>
        <v>3.464979</v>
      </c>
      <c r="M256" s="61" t="n">
        <f aca="false">Resumo!$C$10*CEILING(G256/100,1)</f>
        <v>2.1</v>
      </c>
      <c r="N256" s="61" t="n">
        <f aca="false">Resumo!$C$9</f>
        <v>0</v>
      </c>
      <c r="O256" s="61" t="n">
        <f aca="false">Resumo!$C$13</f>
        <v>13.55</v>
      </c>
      <c r="P256" s="61" t="n">
        <f aca="false">Resumo!$C$14*CEILING(G256,1)</f>
        <v>56.25</v>
      </c>
      <c r="Q256" s="61" t="n">
        <f aca="false">SUM(I256:P256)*Resumo!$C$11</f>
        <v>0</v>
      </c>
      <c r="R256" s="61" t="n">
        <f aca="false">SUM(I256:Q256)</f>
        <v>208.449958</v>
      </c>
      <c r="S256" s="61" t="n">
        <f aca="false">R256/(1-Resumo!$C$5)</f>
        <v>236.874952272727</v>
      </c>
      <c r="T256" s="61" t="n">
        <v>239.25</v>
      </c>
      <c r="U256" s="61" t="n">
        <f aca="false">H256*Resumo!$B$6</f>
        <v>1.64999</v>
      </c>
      <c r="V256" s="61" t="n">
        <f aca="false">H256*Resumo!$B$7</f>
        <v>3.29998</v>
      </c>
      <c r="W256" s="61" t="n">
        <f aca="false">Resumo!$B$9</f>
        <v>1</v>
      </c>
      <c r="X256" s="61" t="n">
        <f aca="false">Resumo!$B$10*CEILING(G256/100,1)</f>
        <v>9</v>
      </c>
      <c r="Y256" s="61" t="n">
        <f aca="false">Resumo!$B$12*CEILING(G256,1)</f>
        <v>7.5</v>
      </c>
      <c r="Z256" s="61" t="n">
        <f aca="false">Resumo!$B$14*CEILING(G256,1)</f>
        <v>56.25</v>
      </c>
      <c r="AA256" s="61" t="n">
        <f aca="false">SUM(T256:Z256)</f>
        <v>317.94997</v>
      </c>
      <c r="AB256" s="61" t="n">
        <f aca="false">AA256/(1-Resumo!$B$5)</f>
        <v>361.306784090909</v>
      </c>
      <c r="AC256" s="61" t="n">
        <f aca="false">AB256-S256</f>
        <v>124.431831818182</v>
      </c>
      <c r="AD256" s="62" t="n">
        <f aca="false">AB256/S256-1</f>
        <v>0.525305992146086</v>
      </c>
      <c r="AE256" s="60" t="str">
        <f aca="false">IF(AB256&lt;S256,"SIM","NÃO")</f>
        <v>NÃO</v>
      </c>
      <c r="AF256" s="60" t="n">
        <v>2</v>
      </c>
      <c r="AG256" s="60" t="n">
        <v>5</v>
      </c>
      <c r="AH256" s="60" t="s">
        <v>382</v>
      </c>
      <c r="AI256" s="61" t="n">
        <f aca="false">(T256*(1-Painel!$C$40)+U256+V256+Painel!$C$41+Painel!$C$42*CEILING(G256/100,1)+Painel!$C$43*CEILING(G256,1)+Z256)/(1-Resumo!$B$5)</f>
        <v>255.224397727273</v>
      </c>
      <c r="AJ256" s="60" t="str">
        <f aca="false">IF(AI256&lt;S256,"SIM","NÃO")</f>
        <v>NÃO</v>
      </c>
    </row>
    <row r="257" customFormat="false" ht="15" hidden="false" customHeight="false" outlineLevel="0" collapsed="false">
      <c r="A257" s="59" t="n">
        <v>46222.8196527778</v>
      </c>
      <c r="B257" s="60" t="s">
        <v>632</v>
      </c>
      <c r="C257" s="60" t="n">
        <v>24476720</v>
      </c>
      <c r="D257" s="60" t="s">
        <v>47</v>
      </c>
      <c r="E257" s="60" t="s">
        <v>23</v>
      </c>
      <c r="F257" s="60" t="s">
        <v>233</v>
      </c>
      <c r="G257" s="60" t="n">
        <v>31.9</v>
      </c>
      <c r="H257" s="61" t="n">
        <v>508.42</v>
      </c>
      <c r="I257" s="61" t="n">
        <v>58.8</v>
      </c>
      <c r="J257" s="61" t="n">
        <f aca="false">H257*Resumo!$C$6</f>
        <v>0</v>
      </c>
      <c r="K257" s="61" t="n">
        <f aca="false">H257*Resumo!$C$7</f>
        <v>1.067682</v>
      </c>
      <c r="L257" s="61" t="n">
        <f aca="false">H257*Resumo!$C$8</f>
        <v>1.067682</v>
      </c>
      <c r="M257" s="61" t="n">
        <f aca="false">Resumo!$C$10*CEILING(G257/100,1)</f>
        <v>1.05</v>
      </c>
      <c r="N257" s="61" t="n">
        <f aca="false">Resumo!$C$9</f>
        <v>0</v>
      </c>
      <c r="O257" s="61" t="n">
        <f aca="false">Resumo!$C$13</f>
        <v>13.55</v>
      </c>
      <c r="P257" s="61" t="n">
        <f aca="false">Resumo!$C$14*CEILING(G257,1)</f>
        <v>14.4</v>
      </c>
      <c r="Q257" s="61" t="n">
        <f aca="false">SUM(I257:P257)*Resumo!$C$11</f>
        <v>0</v>
      </c>
      <c r="R257" s="61" t="n">
        <f aca="false">SUM(I257:Q257)</f>
        <v>89.935364</v>
      </c>
      <c r="S257" s="61" t="n">
        <f aca="false">R257/(1-Resumo!$C$5)</f>
        <v>102.199277272727</v>
      </c>
      <c r="T257" s="61" t="n">
        <v>100.58</v>
      </c>
      <c r="U257" s="61" t="n">
        <f aca="false">H257*Resumo!$B$6</f>
        <v>0.50842</v>
      </c>
      <c r="V257" s="61" t="n">
        <f aca="false">H257*Resumo!$B$7</f>
        <v>1.01684</v>
      </c>
      <c r="W257" s="61" t="n">
        <f aca="false">Resumo!$B$9</f>
        <v>1</v>
      </c>
      <c r="X257" s="61" t="n">
        <f aca="false">Resumo!$B$10*CEILING(G257/100,1)</f>
        <v>4.5</v>
      </c>
      <c r="Y257" s="61" t="n">
        <f aca="false">Resumo!$B$12*CEILING(G257,1)</f>
        <v>1.92</v>
      </c>
      <c r="Z257" s="61" t="n">
        <f aca="false">Resumo!$B$14*CEILING(G257,1)</f>
        <v>14.4</v>
      </c>
      <c r="AA257" s="61" t="n">
        <f aca="false">SUM(T257:Z257)</f>
        <v>123.92526</v>
      </c>
      <c r="AB257" s="61" t="n">
        <f aca="false">AA257/(1-Resumo!$B$5)</f>
        <v>140.824159090909</v>
      </c>
      <c r="AC257" s="61" t="n">
        <f aca="false">AB257-S257</f>
        <v>38.6248818181818</v>
      </c>
      <c r="AD257" s="62" t="n">
        <f aca="false">AB257/S257-1</f>
        <v>0.377936937020681</v>
      </c>
      <c r="AE257" s="60" t="str">
        <f aca="false">IF(AB257&lt;S257,"SIM","NÃO")</f>
        <v>NÃO</v>
      </c>
      <c r="AF257" s="60" t="n">
        <v>2</v>
      </c>
      <c r="AG257" s="60" t="n">
        <v>7</v>
      </c>
      <c r="AH257" s="60" t="s">
        <v>382</v>
      </c>
      <c r="AI257" s="61" t="n">
        <f aca="false">(T257*(1-Painel!$C$40)+U257+V257+Painel!$C$41+Painel!$C$42*CEILING(G257/100,1)+Painel!$C$43*CEILING(G257,1)+Z257)/(1-Resumo!$B$5)</f>
        <v>97.0043863636364</v>
      </c>
      <c r="AJ257" s="60" t="str">
        <f aca="false">IF(AI257&lt;S257,"SIM","NÃO")</f>
        <v>SIM</v>
      </c>
    </row>
    <row r="258" customFormat="false" ht="15" hidden="false" customHeight="false" outlineLevel="0" collapsed="false">
      <c r="A258" s="59" t="n">
        <v>46222.8546180556</v>
      </c>
      <c r="B258" s="60" t="s">
        <v>633</v>
      </c>
      <c r="C258" s="60" t="n">
        <v>21532197</v>
      </c>
      <c r="D258" s="60" t="s">
        <v>46</v>
      </c>
      <c r="E258" s="60" t="s">
        <v>22</v>
      </c>
      <c r="F258" s="60" t="s">
        <v>233</v>
      </c>
      <c r="G258" s="60" t="n">
        <v>31</v>
      </c>
      <c r="H258" s="61" t="n">
        <v>299.99</v>
      </c>
      <c r="I258" s="61" t="n">
        <v>42.11</v>
      </c>
      <c r="J258" s="61" t="n">
        <f aca="false">H258*Resumo!$C$6</f>
        <v>0</v>
      </c>
      <c r="K258" s="61" t="n">
        <f aca="false">H258*Resumo!$C$7</f>
        <v>0.629979</v>
      </c>
      <c r="L258" s="61" t="n">
        <f aca="false">H258*Resumo!$C$8</f>
        <v>0.629979</v>
      </c>
      <c r="M258" s="61" t="n">
        <f aca="false">Resumo!$C$10*CEILING(G258/100,1)</f>
        <v>1.05</v>
      </c>
      <c r="N258" s="61" t="n">
        <f aca="false">Resumo!$C$9</f>
        <v>0</v>
      </c>
      <c r="O258" s="61" t="n">
        <f aca="false">Resumo!$C$13</f>
        <v>13.55</v>
      </c>
      <c r="P258" s="61" t="n">
        <f aca="false">Resumo!$C$14*CEILING(G258,1)</f>
        <v>13.95</v>
      </c>
      <c r="Q258" s="61" t="n">
        <f aca="false">SUM(I258:P258)*Resumo!$C$11</f>
        <v>0</v>
      </c>
      <c r="R258" s="61" t="n">
        <f aca="false">SUM(I258:Q258)</f>
        <v>71.919958</v>
      </c>
      <c r="S258" s="61" t="n">
        <f aca="false">R258/(1-Resumo!$C$5)</f>
        <v>81.727225</v>
      </c>
      <c r="T258" s="61" t="n">
        <v>82.21</v>
      </c>
      <c r="U258" s="61" t="n">
        <f aca="false">H258*Resumo!$B$6</f>
        <v>0.29999</v>
      </c>
      <c r="V258" s="61" t="n">
        <f aca="false">H258*Resumo!$B$7</f>
        <v>0.59998</v>
      </c>
      <c r="W258" s="61" t="n">
        <f aca="false">Resumo!$B$9</f>
        <v>1</v>
      </c>
      <c r="X258" s="61" t="n">
        <f aca="false">Resumo!$B$10*CEILING(G258/100,1)</f>
        <v>4.5</v>
      </c>
      <c r="Y258" s="61" t="n">
        <f aca="false">Resumo!$B$12*CEILING(G258,1)</f>
        <v>1.86</v>
      </c>
      <c r="Z258" s="61" t="n">
        <f aca="false">Resumo!$B$14*CEILING(G258,1)</f>
        <v>13.95</v>
      </c>
      <c r="AA258" s="61" t="n">
        <f aca="false">SUM(T258:Z258)</f>
        <v>104.41997</v>
      </c>
      <c r="AB258" s="61" t="n">
        <f aca="false">AA258/(1-Resumo!$B$5)</f>
        <v>118.659056818182</v>
      </c>
      <c r="AC258" s="61" t="n">
        <f aca="false">AB258-S258</f>
        <v>36.9318318181818</v>
      </c>
      <c r="AD258" s="62" t="n">
        <f aca="false">AB258/S258-1</f>
        <v>0.451891420737482</v>
      </c>
      <c r="AE258" s="60" t="str">
        <f aca="false">IF(AB258&lt;S258,"SIM","NÃO")</f>
        <v>NÃO</v>
      </c>
      <c r="AF258" s="60" t="n">
        <v>2</v>
      </c>
      <c r="AG258" s="60" t="n">
        <v>5</v>
      </c>
      <c r="AH258" s="60" t="s">
        <v>382</v>
      </c>
      <c r="AI258" s="61" t="n">
        <f aca="false">(T258*(1-Painel!$C$40)+U258+V258+Painel!$C$41+Painel!$C$42*CEILING(G258/100,1)+Painel!$C$43*CEILING(G258,1)+Z258)/(1-Resumo!$B$5)</f>
        <v>81.7962159090909</v>
      </c>
      <c r="AJ258" s="60" t="str">
        <f aca="false">IF(AI258&lt;S258,"SIM","NÃO")</f>
        <v>NÃO</v>
      </c>
    </row>
    <row r="259" customFormat="false" ht="15" hidden="false" customHeight="false" outlineLevel="0" collapsed="false">
      <c r="A259" s="59" t="n">
        <v>46223.4271875</v>
      </c>
      <c r="B259" s="60" t="s">
        <v>634</v>
      </c>
      <c r="C259" s="60" t="n">
        <v>24913090</v>
      </c>
      <c r="D259" s="60" t="s">
        <v>220</v>
      </c>
      <c r="E259" s="60" t="s">
        <v>24</v>
      </c>
      <c r="F259" s="60" t="s">
        <v>238</v>
      </c>
      <c r="G259" s="60" t="n">
        <v>73</v>
      </c>
      <c r="H259" s="61" t="n">
        <v>999.99</v>
      </c>
      <c r="I259" s="61" t="n">
        <v>96.77</v>
      </c>
      <c r="J259" s="61" t="n">
        <f aca="false">H259*Resumo!$C$6</f>
        <v>0</v>
      </c>
      <c r="K259" s="61" t="n">
        <f aca="false">H259*Resumo!$C$7</f>
        <v>2.099979</v>
      </c>
      <c r="L259" s="61" t="n">
        <f aca="false">H259*Resumo!$C$8</f>
        <v>2.099979</v>
      </c>
      <c r="M259" s="61" t="n">
        <f aca="false">Resumo!$C$10*CEILING(G259/100,1)</f>
        <v>1.05</v>
      </c>
      <c r="N259" s="61" t="n">
        <f aca="false">Resumo!$C$9</f>
        <v>0</v>
      </c>
      <c r="O259" s="61" t="n">
        <f aca="false">Resumo!$C$13</f>
        <v>13.55</v>
      </c>
      <c r="P259" s="61" t="n">
        <f aca="false">Resumo!$C$14*CEILING(G259,1)</f>
        <v>32.85</v>
      </c>
      <c r="Q259" s="61" t="n">
        <f aca="false">SUM(I259:P259)*Resumo!$C$11</f>
        <v>0</v>
      </c>
      <c r="R259" s="61" t="n">
        <f aca="false">SUM(I259:Q259)</f>
        <v>148.419958</v>
      </c>
      <c r="S259" s="61" t="n">
        <f aca="false">R259/(1-Resumo!$C$5)</f>
        <v>168.659043181818</v>
      </c>
      <c r="T259" s="61" t="n">
        <v>142.74</v>
      </c>
      <c r="U259" s="61" t="n">
        <f aca="false">H259*Resumo!$B$6</f>
        <v>0.99999</v>
      </c>
      <c r="V259" s="61" t="n">
        <f aca="false">H259*Resumo!$B$7</f>
        <v>1.99998</v>
      </c>
      <c r="W259" s="61" t="n">
        <f aca="false">Resumo!$B$9</f>
        <v>1</v>
      </c>
      <c r="X259" s="61" t="n">
        <f aca="false">Resumo!$B$10*CEILING(G259/100,1)</f>
        <v>4.5</v>
      </c>
      <c r="Y259" s="61" t="n">
        <f aca="false">Resumo!$B$12*CEILING(G259,1)</f>
        <v>4.38</v>
      </c>
      <c r="Z259" s="61" t="n">
        <f aca="false">Resumo!$B$14*CEILING(G259,1)</f>
        <v>32.85</v>
      </c>
      <c r="AA259" s="61" t="n">
        <f aca="false">SUM(T259:Z259)</f>
        <v>188.46997</v>
      </c>
      <c r="AB259" s="61" t="n">
        <f aca="false">AA259/(1-Resumo!$B$5)</f>
        <v>214.170420454545</v>
      </c>
      <c r="AC259" s="61" t="n">
        <f aca="false">AB259-S259</f>
        <v>45.5113772727273</v>
      </c>
      <c r="AD259" s="62" t="n">
        <f aca="false">AB259/S259-1</f>
        <v>0.269842496519235</v>
      </c>
      <c r="AE259" s="60" t="str">
        <f aca="false">IF(AB259&lt;S259,"SIM","NÃO")</f>
        <v>NÃO</v>
      </c>
      <c r="AF259" s="60" t="n">
        <v>13</v>
      </c>
      <c r="AG259" s="60" t="n">
        <v>7</v>
      </c>
      <c r="AH259" s="60" t="s">
        <v>382</v>
      </c>
      <c r="AI259" s="61" t="n">
        <f aca="false">(T259*(1-Painel!$C$40)+U259+V259+Painel!$C$41+Painel!$C$42*CEILING(G259/100,1)+Painel!$C$43*CEILING(G259,1)+Z259)/(1-Resumo!$B$5)</f>
        <v>151.745193181818</v>
      </c>
      <c r="AJ259" s="60" t="str">
        <f aca="false">IF(AI259&lt;S259,"SIM","NÃO")</f>
        <v>SIM</v>
      </c>
    </row>
    <row r="260" customFormat="false" ht="15" hidden="false" customHeight="false" outlineLevel="0" collapsed="false">
      <c r="A260" s="59" t="n">
        <v>46223.4930208333</v>
      </c>
      <c r="B260" s="60" t="s">
        <v>635</v>
      </c>
      <c r="C260" s="60" t="n">
        <v>23092093</v>
      </c>
      <c r="D260" s="60" t="s">
        <v>46</v>
      </c>
      <c r="E260" s="60" t="s">
        <v>22</v>
      </c>
      <c r="F260" s="60" t="s">
        <v>233</v>
      </c>
      <c r="G260" s="60" t="n">
        <v>31</v>
      </c>
      <c r="H260" s="61" t="n">
        <v>299.99</v>
      </c>
      <c r="I260" s="61" t="n">
        <v>42.11</v>
      </c>
      <c r="J260" s="61" t="n">
        <f aca="false">H260*Resumo!$C$6</f>
        <v>0</v>
      </c>
      <c r="K260" s="61" t="n">
        <f aca="false">H260*Resumo!$C$7</f>
        <v>0.629979</v>
      </c>
      <c r="L260" s="61" t="n">
        <f aca="false">H260*Resumo!$C$8</f>
        <v>0.629979</v>
      </c>
      <c r="M260" s="61" t="n">
        <f aca="false">Resumo!$C$10*CEILING(G260/100,1)</f>
        <v>1.05</v>
      </c>
      <c r="N260" s="61" t="n">
        <f aca="false">Resumo!$C$9</f>
        <v>0</v>
      </c>
      <c r="O260" s="61" t="n">
        <f aca="false">Resumo!$C$13</f>
        <v>13.55</v>
      </c>
      <c r="P260" s="61" t="n">
        <f aca="false">Resumo!$C$14*CEILING(G260,1)</f>
        <v>13.95</v>
      </c>
      <c r="Q260" s="61" t="n">
        <f aca="false">SUM(I260:P260)*Resumo!$C$11</f>
        <v>0</v>
      </c>
      <c r="R260" s="61" t="n">
        <f aca="false">SUM(I260:Q260)</f>
        <v>71.919958</v>
      </c>
      <c r="S260" s="61" t="n">
        <f aca="false">R260/(1-Resumo!$C$5)</f>
        <v>81.727225</v>
      </c>
      <c r="T260" s="61" t="n">
        <v>82.21</v>
      </c>
      <c r="U260" s="61" t="n">
        <f aca="false">H260*Resumo!$B$6</f>
        <v>0.29999</v>
      </c>
      <c r="V260" s="61" t="n">
        <f aca="false">H260*Resumo!$B$7</f>
        <v>0.59998</v>
      </c>
      <c r="W260" s="61" t="n">
        <f aca="false">Resumo!$B$9</f>
        <v>1</v>
      </c>
      <c r="X260" s="61" t="n">
        <f aca="false">Resumo!$B$10*CEILING(G260/100,1)</f>
        <v>4.5</v>
      </c>
      <c r="Y260" s="61" t="n">
        <f aca="false">Resumo!$B$12*CEILING(G260,1)</f>
        <v>1.86</v>
      </c>
      <c r="Z260" s="61" t="n">
        <f aca="false">Resumo!$B$14*CEILING(G260,1)</f>
        <v>13.95</v>
      </c>
      <c r="AA260" s="61" t="n">
        <f aca="false">SUM(T260:Z260)</f>
        <v>104.41997</v>
      </c>
      <c r="AB260" s="61" t="n">
        <f aca="false">AA260/(1-Resumo!$B$5)</f>
        <v>118.659056818182</v>
      </c>
      <c r="AC260" s="61" t="n">
        <f aca="false">AB260-S260</f>
        <v>36.9318318181818</v>
      </c>
      <c r="AD260" s="62" t="n">
        <f aca="false">AB260/S260-1</f>
        <v>0.451891420737482</v>
      </c>
      <c r="AE260" s="60" t="str">
        <f aca="false">IF(AB260&lt;S260,"SIM","NÃO")</f>
        <v>NÃO</v>
      </c>
      <c r="AF260" s="60" t="n">
        <v>2</v>
      </c>
      <c r="AG260" s="60" t="n">
        <v>5</v>
      </c>
      <c r="AH260" s="60" t="s">
        <v>382</v>
      </c>
      <c r="AI260" s="61" t="n">
        <f aca="false">(T260*(1-Painel!$C$40)+U260+V260+Painel!$C$41+Painel!$C$42*CEILING(G260/100,1)+Painel!$C$43*CEILING(G260,1)+Z260)/(1-Resumo!$B$5)</f>
        <v>81.7962159090909</v>
      </c>
      <c r="AJ260" s="60" t="str">
        <f aca="false">IF(AI260&lt;S260,"SIM","NÃO")</f>
        <v>NÃO</v>
      </c>
    </row>
    <row r="261" customFormat="false" ht="15" hidden="false" customHeight="false" outlineLevel="0" collapsed="false">
      <c r="A261" s="59" t="n">
        <v>46223.5623726852</v>
      </c>
      <c r="B261" s="60" t="s">
        <v>636</v>
      </c>
      <c r="C261" s="60" t="n">
        <v>27583864</v>
      </c>
      <c r="D261" s="60" t="s">
        <v>298</v>
      </c>
      <c r="E261" s="60" t="s">
        <v>24</v>
      </c>
      <c r="F261" s="60" t="s">
        <v>234</v>
      </c>
      <c r="G261" s="60" t="n">
        <v>36.8</v>
      </c>
      <c r="H261" s="61" t="n">
        <v>479.99</v>
      </c>
      <c r="I261" s="61" t="n">
        <v>74.97</v>
      </c>
      <c r="J261" s="61" t="n">
        <f aca="false">H261*Resumo!$C$6</f>
        <v>0</v>
      </c>
      <c r="K261" s="61" t="n">
        <f aca="false">H261*Resumo!$C$7</f>
        <v>1.007979</v>
      </c>
      <c r="L261" s="61" t="n">
        <f aca="false">H261*Resumo!$C$8</f>
        <v>1.007979</v>
      </c>
      <c r="M261" s="61" t="n">
        <f aca="false">Resumo!$C$10*CEILING(G261/100,1)</f>
        <v>1.05</v>
      </c>
      <c r="N261" s="61" t="n">
        <f aca="false">Resumo!$C$9</f>
        <v>0</v>
      </c>
      <c r="O261" s="61" t="n">
        <f aca="false">Resumo!$C$13</f>
        <v>13.55</v>
      </c>
      <c r="P261" s="61" t="n">
        <f aca="false">Resumo!$C$14*CEILING(G261,1)</f>
        <v>16.65</v>
      </c>
      <c r="Q261" s="61" t="n">
        <f aca="false">SUM(I261:P261)*Resumo!$C$11</f>
        <v>0</v>
      </c>
      <c r="R261" s="61" t="n">
        <f aca="false">SUM(I261:Q261)</f>
        <v>108.235958</v>
      </c>
      <c r="S261" s="61" t="n">
        <f aca="false">R261/(1-Resumo!$C$5)</f>
        <v>122.995406818182</v>
      </c>
      <c r="T261" s="61" t="n">
        <v>124.38</v>
      </c>
      <c r="U261" s="61" t="n">
        <f aca="false">H261*Resumo!$B$6</f>
        <v>0.47999</v>
      </c>
      <c r="V261" s="61" t="n">
        <f aca="false">H261*Resumo!$B$7</f>
        <v>0.95998</v>
      </c>
      <c r="W261" s="61" t="n">
        <f aca="false">Resumo!$B$9</f>
        <v>1</v>
      </c>
      <c r="X261" s="61" t="n">
        <f aca="false">Resumo!$B$10*CEILING(G261/100,1)</f>
        <v>4.5</v>
      </c>
      <c r="Y261" s="61" t="n">
        <f aca="false">Resumo!$B$12*CEILING(G261,1)</f>
        <v>2.22</v>
      </c>
      <c r="Z261" s="61" t="n">
        <f aca="false">Resumo!$B$14*CEILING(G261,1)</f>
        <v>16.65</v>
      </c>
      <c r="AA261" s="61" t="n">
        <f aca="false">SUM(T261:Z261)</f>
        <v>150.18997</v>
      </c>
      <c r="AB261" s="61" t="n">
        <f aca="false">AA261/(1-Resumo!$B$5)</f>
        <v>170.670420454545</v>
      </c>
      <c r="AC261" s="61" t="n">
        <f aca="false">AB261-S261</f>
        <v>47.6750136363636</v>
      </c>
      <c r="AD261" s="62" t="n">
        <f aca="false">AB261/S261-1</f>
        <v>0.387616211610563</v>
      </c>
      <c r="AE261" s="60" t="str">
        <f aca="false">IF(AB261&lt;S261,"SIM","NÃO")</f>
        <v>NÃO</v>
      </c>
      <c r="AF261" s="60" t="n">
        <v>13</v>
      </c>
      <c r="AG261" s="60" t="n">
        <v>10</v>
      </c>
      <c r="AH261" s="60" t="s">
        <v>385</v>
      </c>
      <c r="AI261" s="61" t="n">
        <f aca="false">(T261*(1-Painel!$C$40)+U261+V261+Painel!$C$41+Painel!$C$42*CEILING(G261/100,1)+Painel!$C$43*CEILING(G261,1)+Z261)/(1-Resumo!$B$5)</f>
        <v>117.584738636364</v>
      </c>
      <c r="AJ261" s="60" t="str">
        <f aca="false">IF(AI261&lt;S261,"SIM","NÃO")</f>
        <v>SIM</v>
      </c>
    </row>
    <row r="262" customFormat="false" ht="15" hidden="false" customHeight="false" outlineLevel="0" collapsed="false">
      <c r="A262" s="59" t="n">
        <v>46223.5748958333</v>
      </c>
      <c r="B262" s="60" t="s">
        <v>637</v>
      </c>
      <c r="C262" s="60" t="n">
        <v>28925832</v>
      </c>
      <c r="D262" s="60" t="s">
        <v>221</v>
      </c>
      <c r="E262" s="60" t="s">
        <v>24</v>
      </c>
      <c r="F262" s="60" t="s">
        <v>236</v>
      </c>
      <c r="G262" s="60" t="n">
        <v>56.7</v>
      </c>
      <c r="H262" s="61" t="n">
        <v>630.57</v>
      </c>
      <c r="I262" s="61" t="n">
        <v>83.58</v>
      </c>
      <c r="J262" s="61" t="n">
        <f aca="false">H262*Resumo!$C$6</f>
        <v>0</v>
      </c>
      <c r="K262" s="61" t="n">
        <f aca="false">H262*Resumo!$C$7</f>
        <v>1.324197</v>
      </c>
      <c r="L262" s="61" t="n">
        <f aca="false">H262*Resumo!$C$8</f>
        <v>1.324197</v>
      </c>
      <c r="M262" s="61" t="n">
        <f aca="false">Resumo!$C$10*CEILING(G262/100,1)</f>
        <v>1.05</v>
      </c>
      <c r="N262" s="61" t="n">
        <f aca="false">Resumo!$C$9</f>
        <v>0</v>
      </c>
      <c r="O262" s="61" t="n">
        <f aca="false">Resumo!$C$13</f>
        <v>13.55</v>
      </c>
      <c r="P262" s="61" t="n">
        <f aca="false">Resumo!$C$14*CEILING(G262,1)</f>
        <v>25.65</v>
      </c>
      <c r="Q262" s="61" t="n">
        <f aca="false">SUM(I262:P262)*Resumo!$C$11</f>
        <v>0</v>
      </c>
      <c r="R262" s="61" t="n">
        <f aca="false">SUM(I262:Q262)</f>
        <v>126.478394</v>
      </c>
      <c r="S262" s="61" t="n">
        <f aca="false">R262/(1-Resumo!$C$5)</f>
        <v>143.725447727273</v>
      </c>
      <c r="T262" s="61" t="n">
        <v>142.32</v>
      </c>
      <c r="U262" s="61" t="n">
        <f aca="false">H262*Resumo!$B$6</f>
        <v>0.63057</v>
      </c>
      <c r="V262" s="61" t="n">
        <f aca="false">H262*Resumo!$B$7</f>
        <v>1.26114</v>
      </c>
      <c r="W262" s="61" t="n">
        <f aca="false">Resumo!$B$9</f>
        <v>1</v>
      </c>
      <c r="X262" s="61" t="n">
        <f aca="false">Resumo!$B$10*CEILING(G262/100,1)</f>
        <v>4.5</v>
      </c>
      <c r="Y262" s="61" t="n">
        <f aca="false">Resumo!$B$12*CEILING(G262,1)</f>
        <v>3.42</v>
      </c>
      <c r="Z262" s="61" t="n">
        <f aca="false">Resumo!$B$14*CEILING(G262,1)</f>
        <v>25.65</v>
      </c>
      <c r="AA262" s="61" t="n">
        <f aca="false">SUM(T262:Z262)</f>
        <v>178.78171</v>
      </c>
      <c r="AB262" s="61" t="n">
        <f aca="false">AA262/(1-Resumo!$B$5)</f>
        <v>203.161034090909</v>
      </c>
      <c r="AC262" s="61" t="n">
        <f aca="false">AB262-S262</f>
        <v>59.4355863636364</v>
      </c>
      <c r="AD262" s="62" t="n">
        <f aca="false">AB262/S262-1</f>
        <v>0.413535579839826</v>
      </c>
      <c r="AE262" s="60" t="str">
        <f aca="false">IF(AB262&lt;S262,"SIM","NÃO")</f>
        <v>NÃO</v>
      </c>
      <c r="AF262" s="60" t="n">
        <v>13</v>
      </c>
      <c r="AG262" s="60" t="n">
        <v>10</v>
      </c>
      <c r="AH262" s="60" t="s">
        <v>382</v>
      </c>
      <c r="AI262" s="61" t="n">
        <f aca="false">(T262*(1-Painel!$C$40)+U262+V262+Painel!$C$41+Painel!$C$42*CEILING(G262/100,1)+Painel!$C$43*CEILING(G262,1)+Z262)/(1-Resumo!$B$5)</f>
        <v>141.984215909091</v>
      </c>
      <c r="AJ262" s="60" t="str">
        <f aca="false">IF(AI262&lt;S262,"SIM","NÃO")</f>
        <v>SIM</v>
      </c>
    </row>
    <row r="263" customFormat="false" ht="15" hidden="false" customHeight="false" outlineLevel="0" collapsed="false">
      <c r="A263" s="59" t="n">
        <v>46223.5805324074</v>
      </c>
      <c r="B263" s="60" t="s">
        <v>638</v>
      </c>
      <c r="C263" s="60" t="n">
        <v>21843040</v>
      </c>
      <c r="D263" s="60" t="s">
        <v>46</v>
      </c>
      <c r="E263" s="60" t="s">
        <v>22</v>
      </c>
      <c r="F263" s="60" t="s">
        <v>236</v>
      </c>
      <c r="G263" s="60" t="n">
        <v>56.7</v>
      </c>
      <c r="H263" s="61" t="n">
        <v>705.47</v>
      </c>
      <c r="I263" s="61" t="n">
        <v>58.6</v>
      </c>
      <c r="J263" s="61" t="n">
        <f aca="false">H263*Resumo!$C$6</f>
        <v>0</v>
      </c>
      <c r="K263" s="61" t="n">
        <f aca="false">H263*Resumo!$C$7</f>
        <v>1.481487</v>
      </c>
      <c r="L263" s="61" t="n">
        <f aca="false">H263*Resumo!$C$8</f>
        <v>1.481487</v>
      </c>
      <c r="M263" s="61" t="n">
        <f aca="false">Resumo!$C$10*CEILING(G263/100,1)</f>
        <v>1.05</v>
      </c>
      <c r="N263" s="61" t="n">
        <f aca="false">Resumo!$C$9</f>
        <v>0</v>
      </c>
      <c r="O263" s="61" t="n">
        <f aca="false">Resumo!$C$13</f>
        <v>13.55</v>
      </c>
      <c r="P263" s="61" t="n">
        <f aca="false">Resumo!$C$14*CEILING(G263,1)</f>
        <v>25.65</v>
      </c>
      <c r="Q263" s="61" t="n">
        <f aca="false">SUM(I263:P263)*Resumo!$C$11</f>
        <v>0</v>
      </c>
      <c r="R263" s="61" t="n">
        <f aca="false">SUM(I263:Q263)</f>
        <v>101.812974</v>
      </c>
      <c r="S263" s="61" t="n">
        <f aca="false">R263/(1-Resumo!$C$5)</f>
        <v>115.696561363636</v>
      </c>
      <c r="T263" s="61" t="n">
        <v>112.3</v>
      </c>
      <c r="U263" s="61" t="n">
        <f aca="false">H263*Resumo!$B$6</f>
        <v>0.70547</v>
      </c>
      <c r="V263" s="61" t="n">
        <f aca="false">H263*Resumo!$B$7</f>
        <v>1.41094</v>
      </c>
      <c r="W263" s="61" t="n">
        <f aca="false">Resumo!$B$9</f>
        <v>1</v>
      </c>
      <c r="X263" s="61" t="n">
        <f aca="false">Resumo!$B$10*CEILING(G263/100,1)</f>
        <v>4.5</v>
      </c>
      <c r="Y263" s="61" t="n">
        <f aca="false">Resumo!$B$12*CEILING(G263,1)</f>
        <v>3.42</v>
      </c>
      <c r="Z263" s="61" t="n">
        <f aca="false">Resumo!$B$14*CEILING(G263,1)</f>
        <v>25.65</v>
      </c>
      <c r="AA263" s="61" t="n">
        <f aca="false">SUM(T263:Z263)</f>
        <v>148.98641</v>
      </c>
      <c r="AB263" s="61" t="n">
        <f aca="false">AA263/(1-Resumo!$B$5)</f>
        <v>169.302738636364</v>
      </c>
      <c r="AC263" s="61" t="n">
        <f aca="false">AB263-S263</f>
        <v>53.6061772727273</v>
      </c>
      <c r="AD263" s="62" t="n">
        <f aca="false">AB263/S263-1</f>
        <v>0.463334230861383</v>
      </c>
      <c r="AE263" s="60" t="str">
        <f aca="false">IF(AB263&lt;S263,"SIM","NÃO")</f>
        <v>NÃO</v>
      </c>
      <c r="AF263" s="60" t="n">
        <v>2</v>
      </c>
      <c r="AG263" s="60" t="n">
        <v>5</v>
      </c>
      <c r="AH263" s="60" t="s">
        <v>382</v>
      </c>
      <c r="AI263" s="61" t="n">
        <f aca="false">(T263*(1-Painel!$C$40)+U263+V263+Painel!$C$41+Painel!$C$42*CEILING(G263/100,1)+Painel!$C$43*CEILING(G263,1)+Z263)/(1-Resumo!$B$5)</f>
        <v>119.383420454545</v>
      </c>
      <c r="AJ263" s="60" t="str">
        <f aca="false">IF(AI263&lt;S263,"SIM","NÃO")</f>
        <v>NÃO</v>
      </c>
    </row>
    <row r="264" customFormat="false" ht="15" hidden="false" customHeight="false" outlineLevel="0" collapsed="false">
      <c r="A264" s="59" t="n">
        <v>46223.6480671296</v>
      </c>
      <c r="B264" s="60" t="s">
        <v>639</v>
      </c>
      <c r="C264" s="60" t="n">
        <v>24736220</v>
      </c>
      <c r="D264" s="60" t="s">
        <v>47</v>
      </c>
      <c r="E264" s="60" t="s">
        <v>23</v>
      </c>
      <c r="F264" s="60" t="s">
        <v>235</v>
      </c>
      <c r="G264" s="60" t="n">
        <v>45.3</v>
      </c>
      <c r="H264" s="61" t="n">
        <v>699.99</v>
      </c>
      <c r="I264" s="61" t="n">
        <v>65.36</v>
      </c>
      <c r="J264" s="61" t="n">
        <f aca="false">H264*Resumo!$C$6</f>
        <v>0</v>
      </c>
      <c r="K264" s="61" t="n">
        <f aca="false">H264*Resumo!$C$7</f>
        <v>1.469979</v>
      </c>
      <c r="L264" s="61" t="n">
        <f aca="false">H264*Resumo!$C$8</f>
        <v>1.469979</v>
      </c>
      <c r="M264" s="61" t="n">
        <f aca="false">Resumo!$C$10*CEILING(G264/100,1)</f>
        <v>1.05</v>
      </c>
      <c r="N264" s="61" t="n">
        <f aca="false">Resumo!$C$9</f>
        <v>0</v>
      </c>
      <c r="O264" s="61" t="n">
        <f aca="false">Resumo!$C$13</f>
        <v>13.55</v>
      </c>
      <c r="P264" s="61" t="n">
        <f aca="false">Resumo!$C$14*CEILING(G264,1)</f>
        <v>20.7</v>
      </c>
      <c r="Q264" s="61" t="n">
        <f aca="false">SUM(I264:P264)*Resumo!$C$11</f>
        <v>0</v>
      </c>
      <c r="R264" s="61" t="n">
        <f aca="false">SUM(I264:Q264)</f>
        <v>103.599958</v>
      </c>
      <c r="S264" s="61" t="n">
        <f aca="false">R264/(1-Resumo!$C$5)</f>
        <v>117.727225</v>
      </c>
      <c r="T264" s="61" t="n">
        <v>114.95</v>
      </c>
      <c r="U264" s="61" t="n">
        <f aca="false">H264*Resumo!$B$6</f>
        <v>0.69999</v>
      </c>
      <c r="V264" s="61" t="n">
        <f aca="false">H264*Resumo!$B$7</f>
        <v>1.39998</v>
      </c>
      <c r="W264" s="61" t="n">
        <f aca="false">Resumo!$B$9</f>
        <v>1</v>
      </c>
      <c r="X264" s="61" t="n">
        <f aca="false">Resumo!$B$10*CEILING(G264/100,1)</f>
        <v>4.5</v>
      </c>
      <c r="Y264" s="61" t="n">
        <f aca="false">Resumo!$B$12*CEILING(G264,1)</f>
        <v>2.76</v>
      </c>
      <c r="Z264" s="61" t="n">
        <f aca="false">Resumo!$B$14*CEILING(G264,1)</f>
        <v>20.7</v>
      </c>
      <c r="AA264" s="61" t="n">
        <f aca="false">SUM(T264:Z264)</f>
        <v>146.00997</v>
      </c>
      <c r="AB264" s="61" t="n">
        <f aca="false">AA264/(1-Resumo!$B$5)</f>
        <v>165.920420454545</v>
      </c>
      <c r="AC264" s="61" t="n">
        <f aca="false">AB264-S264</f>
        <v>48.1931954545455</v>
      </c>
      <c r="AD264" s="62" t="n">
        <f aca="false">AB264/S264-1</f>
        <v>0.409363216151111</v>
      </c>
      <c r="AE264" s="60" t="str">
        <f aca="false">IF(AB264&lt;S264,"SIM","NÃO")</f>
        <v>NÃO</v>
      </c>
      <c r="AF264" s="60" t="n">
        <v>2</v>
      </c>
      <c r="AG264" s="60" t="n">
        <v>7</v>
      </c>
      <c r="AH264" s="60" t="s">
        <v>382</v>
      </c>
      <c r="AI264" s="61" t="n">
        <f aca="false">(T264*(1-Painel!$C$40)+U264+V264+Painel!$C$41+Painel!$C$42*CEILING(G264/100,1)+Painel!$C$43*CEILING(G264,1)+Z264)/(1-Resumo!$B$5)</f>
        <v>115.757352272727</v>
      </c>
      <c r="AJ264" s="60" t="str">
        <f aca="false">IF(AI264&lt;S264,"SIM","NÃO")</f>
        <v>SIM</v>
      </c>
    </row>
    <row r="265" customFormat="false" ht="15" hidden="false" customHeight="false" outlineLevel="0" collapsed="false">
      <c r="A265" s="59" t="n">
        <v>46223.7188310185</v>
      </c>
      <c r="B265" s="60" t="s">
        <v>640</v>
      </c>
      <c r="C265" s="60" t="n">
        <v>22790661</v>
      </c>
      <c r="D265" s="60" t="s">
        <v>46</v>
      </c>
      <c r="E265" s="60" t="s">
        <v>22</v>
      </c>
      <c r="F265" s="60" t="s">
        <v>236</v>
      </c>
      <c r="G265" s="60" t="n">
        <v>58.5</v>
      </c>
      <c r="H265" s="61" t="n">
        <v>989.99</v>
      </c>
      <c r="I265" s="61" t="n">
        <v>58.6</v>
      </c>
      <c r="J265" s="61" t="n">
        <f aca="false">H265*Resumo!$C$6</f>
        <v>0</v>
      </c>
      <c r="K265" s="61" t="n">
        <f aca="false">H265*Resumo!$C$7</f>
        <v>2.078979</v>
      </c>
      <c r="L265" s="61" t="n">
        <f aca="false">H265*Resumo!$C$8</f>
        <v>2.078979</v>
      </c>
      <c r="M265" s="61" t="n">
        <f aca="false">Resumo!$C$10*CEILING(G265/100,1)</f>
        <v>1.05</v>
      </c>
      <c r="N265" s="61" t="n">
        <f aca="false">Resumo!$C$9</f>
        <v>0</v>
      </c>
      <c r="O265" s="61" t="n">
        <f aca="false">Resumo!$C$13</f>
        <v>13.55</v>
      </c>
      <c r="P265" s="61" t="n">
        <f aca="false">Resumo!$C$14*CEILING(G265,1)</f>
        <v>26.55</v>
      </c>
      <c r="Q265" s="61" t="n">
        <f aca="false">SUM(I265:P265)*Resumo!$C$11</f>
        <v>0</v>
      </c>
      <c r="R265" s="61" t="n">
        <f aca="false">SUM(I265:Q265)</f>
        <v>103.907958</v>
      </c>
      <c r="S265" s="61" t="n">
        <f aca="false">R265/(1-Resumo!$C$5)</f>
        <v>118.077225</v>
      </c>
      <c r="T265" s="61" t="n">
        <v>112.3</v>
      </c>
      <c r="U265" s="61" t="n">
        <f aca="false">H265*Resumo!$B$6</f>
        <v>0.98999</v>
      </c>
      <c r="V265" s="61" t="n">
        <f aca="false">H265*Resumo!$B$7</f>
        <v>1.97998</v>
      </c>
      <c r="W265" s="61" t="n">
        <f aca="false">Resumo!$B$9</f>
        <v>1</v>
      </c>
      <c r="X265" s="61" t="n">
        <f aca="false">Resumo!$B$10*CEILING(G265/100,1)</f>
        <v>4.5</v>
      </c>
      <c r="Y265" s="61" t="n">
        <f aca="false">Resumo!$B$12*CEILING(G265,1)</f>
        <v>3.54</v>
      </c>
      <c r="Z265" s="61" t="n">
        <f aca="false">Resumo!$B$14*CEILING(G265,1)</f>
        <v>26.55</v>
      </c>
      <c r="AA265" s="61" t="n">
        <f aca="false">SUM(T265:Z265)</f>
        <v>150.85997</v>
      </c>
      <c r="AB265" s="61" t="n">
        <f aca="false">AA265/(1-Resumo!$B$5)</f>
        <v>171.431784090909</v>
      </c>
      <c r="AC265" s="61" t="n">
        <f aca="false">AB265-S265</f>
        <v>53.3545590909091</v>
      </c>
      <c r="AD265" s="62" t="n">
        <f aca="false">AB265/S265-1</f>
        <v>0.451861560016414</v>
      </c>
      <c r="AE265" s="60" t="str">
        <f aca="false">IF(AB265&lt;S265,"SIM","NÃO")</f>
        <v>NÃO</v>
      </c>
      <c r="AF265" s="60" t="n">
        <v>2</v>
      </c>
      <c r="AG265" s="60" t="n">
        <v>5</v>
      </c>
      <c r="AH265" s="60" t="s">
        <v>382</v>
      </c>
      <c r="AI265" s="61" t="n">
        <f aca="false">(T265*(1-Painel!$C$40)+U265+V265+Painel!$C$41+Painel!$C$42*CEILING(G265/100,1)+Painel!$C$43*CEILING(G265,1)+Z265)/(1-Resumo!$B$5)</f>
        <v>121.376102272727</v>
      </c>
      <c r="AJ265" s="60" t="str">
        <f aca="false">IF(AI265&lt;S265,"SIM","NÃO")</f>
        <v>NÃO</v>
      </c>
    </row>
    <row r="266" customFormat="false" ht="15" hidden="false" customHeight="false" outlineLevel="0" collapsed="false">
      <c r="A266" s="59" t="n">
        <v>46223.769537037</v>
      </c>
      <c r="B266" s="60" t="s">
        <v>641</v>
      </c>
      <c r="C266" s="60" t="n">
        <v>26050470</v>
      </c>
      <c r="D266" s="60" t="s">
        <v>49</v>
      </c>
      <c r="E266" s="60" t="s">
        <v>23</v>
      </c>
      <c r="F266" s="60" t="s">
        <v>233</v>
      </c>
      <c r="G266" s="60" t="n">
        <v>31</v>
      </c>
      <c r="H266" s="61" t="n">
        <v>299.99</v>
      </c>
      <c r="I266" s="61" t="n">
        <v>58.8</v>
      </c>
      <c r="J266" s="61" t="n">
        <f aca="false">H266*Resumo!$C$6</f>
        <v>0</v>
      </c>
      <c r="K266" s="61" t="n">
        <f aca="false">H266*Resumo!$C$7</f>
        <v>0.629979</v>
      </c>
      <c r="L266" s="61" t="n">
        <f aca="false">H266*Resumo!$C$8</f>
        <v>0.629979</v>
      </c>
      <c r="M266" s="61" t="n">
        <f aca="false">Resumo!$C$10*CEILING(G266/100,1)</f>
        <v>1.05</v>
      </c>
      <c r="N266" s="61" t="n">
        <f aca="false">Resumo!$C$9</f>
        <v>0</v>
      </c>
      <c r="O266" s="61" t="n">
        <f aca="false">Resumo!$C$13</f>
        <v>13.55</v>
      </c>
      <c r="P266" s="61" t="n">
        <f aca="false">Resumo!$C$14*CEILING(G266,1)</f>
        <v>13.95</v>
      </c>
      <c r="Q266" s="61" t="n">
        <f aca="false">SUM(I266:P266)*Resumo!$C$11</f>
        <v>0</v>
      </c>
      <c r="R266" s="61" t="n">
        <f aca="false">SUM(I266:Q266)</f>
        <v>88.609958</v>
      </c>
      <c r="S266" s="61" t="n">
        <f aca="false">R266/(1-Resumo!$C$5)</f>
        <v>100.693134090909</v>
      </c>
      <c r="T266" s="61" t="n">
        <v>82.21</v>
      </c>
      <c r="U266" s="61" t="n">
        <f aca="false">H266*Resumo!$B$6</f>
        <v>0.29999</v>
      </c>
      <c r="V266" s="61" t="n">
        <f aca="false">H266*Resumo!$B$7</f>
        <v>0.59998</v>
      </c>
      <c r="W266" s="61" t="n">
        <f aca="false">Resumo!$B$9</f>
        <v>1</v>
      </c>
      <c r="X266" s="61" t="n">
        <f aca="false">Resumo!$B$10*CEILING(G266/100,1)</f>
        <v>4.5</v>
      </c>
      <c r="Y266" s="61" t="n">
        <f aca="false">Resumo!$B$12*CEILING(G266,1)</f>
        <v>1.86</v>
      </c>
      <c r="Z266" s="61" t="n">
        <f aca="false">Resumo!$B$14*CEILING(G266,1)</f>
        <v>13.95</v>
      </c>
      <c r="AA266" s="61" t="n">
        <f aca="false">SUM(T266:Z266)</f>
        <v>104.41997</v>
      </c>
      <c r="AB266" s="61" t="n">
        <f aca="false">AA266/(1-Resumo!$B$5)</f>
        <v>118.659056818182</v>
      </c>
      <c r="AC266" s="61" t="n">
        <f aca="false">AB266-S266</f>
        <v>17.9659227272727</v>
      </c>
      <c r="AD266" s="62" t="n">
        <f aca="false">AB266/S266-1</f>
        <v>0.178422519961018</v>
      </c>
      <c r="AE266" s="60" t="str">
        <f aca="false">IF(AB266&lt;S266,"SIM","NÃO")</f>
        <v>NÃO</v>
      </c>
      <c r="AF266" s="60" t="n">
        <v>2</v>
      </c>
      <c r="AG266" s="60" t="n">
        <v>5</v>
      </c>
      <c r="AH266" s="60" t="s">
        <v>382</v>
      </c>
      <c r="AI266" s="61" t="n">
        <f aca="false">(T266*(1-Painel!$C$40)+U266+V266+Painel!$C$41+Painel!$C$42*CEILING(G266/100,1)+Painel!$C$43*CEILING(G266,1)+Z266)/(1-Resumo!$B$5)</f>
        <v>81.7962159090909</v>
      </c>
      <c r="AJ266" s="60" t="str">
        <f aca="false">IF(AI266&lt;S266,"SIM","NÃO")</f>
        <v>SIM</v>
      </c>
    </row>
    <row r="267" customFormat="false" ht="15" hidden="false" customHeight="false" outlineLevel="0" collapsed="false">
      <c r="A267" s="59" t="n">
        <v>46223.779224537</v>
      </c>
      <c r="B267" s="60" t="s">
        <v>642</v>
      </c>
      <c r="C267" s="60" t="n">
        <v>25055625</v>
      </c>
      <c r="D267" s="60" t="s">
        <v>48</v>
      </c>
      <c r="E267" s="60" t="s">
        <v>23</v>
      </c>
      <c r="F267" s="60" t="s">
        <v>236</v>
      </c>
      <c r="G267" s="60" t="n">
        <v>52.3</v>
      </c>
      <c r="H267" s="61" t="n">
        <v>637.43</v>
      </c>
      <c r="I267" s="61" t="n">
        <v>70.98</v>
      </c>
      <c r="J267" s="61" t="n">
        <f aca="false">H267*Resumo!$C$6</f>
        <v>0</v>
      </c>
      <c r="K267" s="61" t="n">
        <f aca="false">H267*Resumo!$C$7</f>
        <v>1.338603</v>
      </c>
      <c r="L267" s="61" t="n">
        <f aca="false">H267*Resumo!$C$8</f>
        <v>1.338603</v>
      </c>
      <c r="M267" s="61" t="n">
        <f aca="false">Resumo!$C$10*CEILING(G267/100,1)</f>
        <v>1.05</v>
      </c>
      <c r="N267" s="61" t="n">
        <f aca="false">Resumo!$C$9</f>
        <v>0</v>
      </c>
      <c r="O267" s="61" t="n">
        <f aca="false">Resumo!$C$13</f>
        <v>13.55</v>
      </c>
      <c r="P267" s="61" t="n">
        <f aca="false">Resumo!$C$14*CEILING(G267,1)</f>
        <v>23.85</v>
      </c>
      <c r="Q267" s="61" t="n">
        <f aca="false">SUM(I267:P267)*Resumo!$C$11</f>
        <v>0</v>
      </c>
      <c r="R267" s="61" t="n">
        <f aca="false">SUM(I267:Q267)</f>
        <v>112.107206</v>
      </c>
      <c r="S267" s="61" t="n">
        <f aca="false">R267/(1-Resumo!$C$5)</f>
        <v>127.394552272727</v>
      </c>
      <c r="T267" s="61" t="n">
        <v>112.3</v>
      </c>
      <c r="U267" s="61" t="n">
        <f aca="false">H267*Resumo!$B$6</f>
        <v>0.63743</v>
      </c>
      <c r="V267" s="61" t="n">
        <f aca="false">H267*Resumo!$B$7</f>
        <v>1.27486</v>
      </c>
      <c r="W267" s="61" t="n">
        <f aca="false">Resumo!$B$9</f>
        <v>1</v>
      </c>
      <c r="X267" s="61" t="n">
        <f aca="false">Resumo!$B$10*CEILING(G267/100,1)</f>
        <v>4.5</v>
      </c>
      <c r="Y267" s="61" t="n">
        <f aca="false">Resumo!$B$12*CEILING(G267,1)</f>
        <v>3.18</v>
      </c>
      <c r="Z267" s="61" t="n">
        <f aca="false">Resumo!$B$14*CEILING(G267,1)</f>
        <v>23.85</v>
      </c>
      <c r="AA267" s="61" t="n">
        <f aca="false">SUM(T267:Z267)</f>
        <v>146.74229</v>
      </c>
      <c r="AB267" s="61" t="n">
        <f aca="false">AA267/(1-Resumo!$B$5)</f>
        <v>166.752602272727</v>
      </c>
      <c r="AC267" s="61" t="n">
        <f aca="false">AB267-S267</f>
        <v>39.35805</v>
      </c>
      <c r="AD267" s="62" t="n">
        <f aca="false">AB267/S267-1</f>
        <v>0.308946099325676</v>
      </c>
      <c r="AE267" s="60" t="str">
        <f aca="false">IF(AB267&lt;S267,"SIM","NÃO")</f>
        <v>NÃO</v>
      </c>
      <c r="AF267" s="60" t="n">
        <v>2</v>
      </c>
      <c r="AG267" s="60" t="n">
        <v>5</v>
      </c>
      <c r="AH267" s="60" t="s">
        <v>382</v>
      </c>
      <c r="AI267" s="61" t="n">
        <f aca="false">(T267*(1-Painel!$C$40)+U267+V267+Painel!$C$41+Painel!$C$42*CEILING(G267/100,1)+Painel!$C$43*CEILING(G267,1)+Z267)/(1-Resumo!$B$5)</f>
        <v>117.106011363636</v>
      </c>
      <c r="AJ267" s="60" t="str">
        <f aca="false">IF(AI267&lt;S267,"SIM","NÃO")</f>
        <v>SIM</v>
      </c>
    </row>
    <row r="268" customFormat="false" ht="15" hidden="false" customHeight="false" outlineLevel="0" collapsed="false">
      <c r="A268" s="59" t="n">
        <v>46223.8207638889</v>
      </c>
      <c r="B268" s="60" t="s">
        <v>643</v>
      </c>
      <c r="C268" s="60" t="n">
        <v>20972290</v>
      </c>
      <c r="D268" s="60" t="s">
        <v>46</v>
      </c>
      <c r="E268" s="60" t="s">
        <v>22</v>
      </c>
      <c r="F268" s="60" t="s">
        <v>232</v>
      </c>
      <c r="G268" s="60" t="n">
        <v>19.5</v>
      </c>
      <c r="H268" s="61" t="n">
        <v>389.99</v>
      </c>
      <c r="I268" s="61" t="n">
        <v>33.42</v>
      </c>
      <c r="J268" s="61" t="n">
        <f aca="false">H268*Resumo!$C$6</f>
        <v>0</v>
      </c>
      <c r="K268" s="61" t="n">
        <f aca="false">H268*Resumo!$C$7</f>
        <v>0.818979</v>
      </c>
      <c r="L268" s="61" t="n">
        <f aca="false">H268*Resumo!$C$8</f>
        <v>0.818979</v>
      </c>
      <c r="M268" s="61" t="n">
        <f aca="false">Resumo!$C$10*CEILING(G268/100,1)</f>
        <v>1.05</v>
      </c>
      <c r="N268" s="61" t="n">
        <f aca="false">Resumo!$C$9</f>
        <v>0</v>
      </c>
      <c r="O268" s="61" t="n">
        <f aca="false">Resumo!$C$13</f>
        <v>13.55</v>
      </c>
      <c r="P268" s="61" t="n">
        <f aca="false">Resumo!$C$14*CEILING(G268,1)</f>
        <v>9</v>
      </c>
      <c r="Q268" s="61" t="n">
        <f aca="false">SUM(I268:P268)*Resumo!$C$11</f>
        <v>0</v>
      </c>
      <c r="R268" s="61" t="n">
        <f aca="false">SUM(I268:Q268)</f>
        <v>58.657958</v>
      </c>
      <c r="S268" s="61" t="n">
        <f aca="false">R268/(1-Resumo!$C$5)</f>
        <v>66.6567704545455</v>
      </c>
      <c r="T268" s="61" t="n">
        <v>46.98</v>
      </c>
      <c r="U268" s="61" t="n">
        <f aca="false">H268*Resumo!$B$6</f>
        <v>0.38999</v>
      </c>
      <c r="V268" s="61" t="n">
        <f aca="false">H268*Resumo!$B$7</f>
        <v>0.77998</v>
      </c>
      <c r="W268" s="61" t="n">
        <f aca="false">Resumo!$B$9</f>
        <v>1</v>
      </c>
      <c r="X268" s="61" t="n">
        <f aca="false">Resumo!$B$10*CEILING(G268/100,1)</f>
        <v>4.5</v>
      </c>
      <c r="Y268" s="61" t="n">
        <f aca="false">Resumo!$B$12*CEILING(G268,1)</f>
        <v>1.2</v>
      </c>
      <c r="Z268" s="61" t="n">
        <f aca="false">Resumo!$B$14*CEILING(G268,1)</f>
        <v>9</v>
      </c>
      <c r="AA268" s="61" t="n">
        <f aca="false">SUM(T268:Z268)</f>
        <v>63.84997</v>
      </c>
      <c r="AB268" s="61" t="n">
        <f aca="false">AA268/(1-Resumo!$B$5)</f>
        <v>72.5567840909091</v>
      </c>
      <c r="AC268" s="61" t="n">
        <f aca="false">AB268-S268</f>
        <v>5.90001363636364</v>
      </c>
      <c r="AD268" s="62" t="n">
        <f aca="false">AB268/S268-1</f>
        <v>0.0885133437478338</v>
      </c>
      <c r="AE268" s="60" t="str">
        <f aca="false">IF(AB268&lt;S268,"SIM","NÃO")</f>
        <v>NÃO</v>
      </c>
      <c r="AF268" s="60" t="n">
        <v>2</v>
      </c>
      <c r="AG268" s="60" t="n">
        <v>5</v>
      </c>
      <c r="AH268" s="60" t="s">
        <v>382</v>
      </c>
      <c r="AI268" s="61" t="n">
        <f aca="false">(T268*(1-Painel!$C$40)+U268+V268+Painel!$C$41+Painel!$C$42*CEILING(G268/100,1)+Painel!$C$43*CEILING(G268,1)+Z268)/(1-Resumo!$B$5)</f>
        <v>49.6551931818182</v>
      </c>
      <c r="AJ268" s="60" t="str">
        <f aca="false">IF(AI268&lt;S268,"SIM","NÃO")</f>
        <v>SIM</v>
      </c>
    </row>
    <row r="269" customFormat="false" ht="15" hidden="false" customHeight="false" outlineLevel="0" collapsed="false">
      <c r="A269" s="59" t="n">
        <v>46223.8447222222</v>
      </c>
      <c r="B269" s="60" t="s">
        <v>644</v>
      </c>
      <c r="C269" s="60" t="n">
        <v>23052320</v>
      </c>
      <c r="D269" s="60" t="s">
        <v>46</v>
      </c>
      <c r="E269" s="60" t="s">
        <v>22</v>
      </c>
      <c r="F269" s="60" t="s">
        <v>232</v>
      </c>
      <c r="G269" s="60" t="n">
        <v>19.9</v>
      </c>
      <c r="H269" s="61" t="n">
        <v>259.99</v>
      </c>
      <c r="I269" s="61" t="n">
        <v>33.42</v>
      </c>
      <c r="J269" s="61" t="n">
        <f aca="false">H269*Resumo!$C$6</f>
        <v>0</v>
      </c>
      <c r="K269" s="61" t="n">
        <f aca="false">H269*Resumo!$C$7</f>
        <v>0.545979</v>
      </c>
      <c r="L269" s="61" t="n">
        <f aca="false">H269*Resumo!$C$8</f>
        <v>0.545979</v>
      </c>
      <c r="M269" s="61" t="n">
        <f aca="false">Resumo!$C$10*CEILING(G269/100,1)</f>
        <v>1.05</v>
      </c>
      <c r="N269" s="61" t="n">
        <f aca="false">Resumo!$C$9</f>
        <v>0</v>
      </c>
      <c r="O269" s="61" t="n">
        <f aca="false">Resumo!$C$13</f>
        <v>13.55</v>
      </c>
      <c r="P269" s="61" t="n">
        <f aca="false">Resumo!$C$14*CEILING(G269,1)</f>
        <v>9</v>
      </c>
      <c r="Q269" s="61" t="n">
        <f aca="false">SUM(I269:P269)*Resumo!$C$11</f>
        <v>0</v>
      </c>
      <c r="R269" s="61" t="n">
        <f aca="false">SUM(I269:Q269)</f>
        <v>58.111958</v>
      </c>
      <c r="S269" s="61" t="n">
        <f aca="false">R269/(1-Resumo!$C$5)</f>
        <v>66.0363159090909</v>
      </c>
      <c r="T269" s="61" t="n">
        <v>46.98</v>
      </c>
      <c r="U269" s="61" t="n">
        <f aca="false">H269*Resumo!$B$6</f>
        <v>0.25999</v>
      </c>
      <c r="V269" s="61" t="n">
        <f aca="false">H269*Resumo!$B$7</f>
        <v>0.51998</v>
      </c>
      <c r="W269" s="61" t="n">
        <f aca="false">Resumo!$B$9</f>
        <v>1</v>
      </c>
      <c r="X269" s="61" t="n">
        <f aca="false">Resumo!$B$10*CEILING(G269/100,1)</f>
        <v>4.5</v>
      </c>
      <c r="Y269" s="61" t="n">
        <f aca="false">Resumo!$B$12*CEILING(G269,1)</f>
        <v>1.2</v>
      </c>
      <c r="Z269" s="61" t="n">
        <f aca="false">Resumo!$B$14*CEILING(G269,1)</f>
        <v>9</v>
      </c>
      <c r="AA269" s="61" t="n">
        <f aca="false">SUM(T269:Z269)</f>
        <v>63.45997</v>
      </c>
      <c r="AB269" s="61" t="n">
        <f aca="false">AA269/(1-Resumo!$B$5)</f>
        <v>72.1136022727273</v>
      </c>
      <c r="AC269" s="61" t="n">
        <f aca="false">AB269-S269</f>
        <v>6.07728636363636</v>
      </c>
      <c r="AD269" s="62" t="n">
        <f aca="false">AB269/S269-1</f>
        <v>0.0920294580334051</v>
      </c>
      <c r="AE269" s="60" t="str">
        <f aca="false">IF(AB269&lt;S269,"SIM","NÃO")</f>
        <v>NÃO</v>
      </c>
      <c r="AF269" s="60" t="n">
        <v>2</v>
      </c>
      <c r="AG269" s="60" t="n">
        <v>5</v>
      </c>
      <c r="AH269" s="60" t="s">
        <v>382</v>
      </c>
      <c r="AI269" s="61" t="n">
        <f aca="false">(T269*(1-Painel!$C$40)+U269+V269+Painel!$C$41+Painel!$C$42*CEILING(G269/100,1)+Painel!$C$43*CEILING(G269,1)+Z269)/(1-Resumo!$B$5)</f>
        <v>49.2120113636364</v>
      </c>
      <c r="AJ269" s="60" t="str">
        <f aca="false">IF(AI269&lt;S269,"SIM","NÃO")</f>
        <v>SIM</v>
      </c>
    </row>
    <row r="270" customFormat="false" ht="15" hidden="false" customHeight="false" outlineLevel="0" collapsed="false">
      <c r="A270" s="59" t="n">
        <v>46223.8718634259</v>
      </c>
      <c r="B270" s="60" t="s">
        <v>645</v>
      </c>
      <c r="C270" s="60" t="n">
        <v>22783111</v>
      </c>
      <c r="D270" s="60" t="s">
        <v>46</v>
      </c>
      <c r="E270" s="60" t="s">
        <v>22</v>
      </c>
      <c r="F270" s="60" t="s">
        <v>233</v>
      </c>
      <c r="G270" s="60" t="n">
        <v>31</v>
      </c>
      <c r="H270" s="61" t="n">
        <v>339.99</v>
      </c>
      <c r="I270" s="61" t="n">
        <v>42.11</v>
      </c>
      <c r="J270" s="61" t="n">
        <f aca="false">H270*Resumo!$C$6</f>
        <v>0</v>
      </c>
      <c r="K270" s="61" t="n">
        <f aca="false">H270*Resumo!$C$7</f>
        <v>0.713979</v>
      </c>
      <c r="L270" s="61" t="n">
        <f aca="false">H270*Resumo!$C$8</f>
        <v>0.713979</v>
      </c>
      <c r="M270" s="61" t="n">
        <f aca="false">Resumo!$C$10*CEILING(G270/100,1)</f>
        <v>1.05</v>
      </c>
      <c r="N270" s="61" t="n">
        <f aca="false">Resumo!$C$9</f>
        <v>0</v>
      </c>
      <c r="O270" s="61" t="n">
        <f aca="false">Resumo!$C$13</f>
        <v>13.55</v>
      </c>
      <c r="P270" s="61" t="n">
        <f aca="false">Resumo!$C$14*CEILING(G270,1)</f>
        <v>13.95</v>
      </c>
      <c r="Q270" s="61" t="n">
        <f aca="false">SUM(I270:P270)*Resumo!$C$11</f>
        <v>0</v>
      </c>
      <c r="R270" s="61" t="n">
        <f aca="false">SUM(I270:Q270)</f>
        <v>72.087958</v>
      </c>
      <c r="S270" s="61" t="n">
        <f aca="false">R270/(1-Resumo!$C$5)</f>
        <v>81.9181340909091</v>
      </c>
      <c r="T270" s="61" t="n">
        <v>82.21</v>
      </c>
      <c r="U270" s="61" t="n">
        <f aca="false">H270*Resumo!$B$6</f>
        <v>0.33999</v>
      </c>
      <c r="V270" s="61" t="n">
        <f aca="false">H270*Resumo!$B$7</f>
        <v>0.67998</v>
      </c>
      <c r="W270" s="61" t="n">
        <f aca="false">Resumo!$B$9</f>
        <v>1</v>
      </c>
      <c r="X270" s="61" t="n">
        <f aca="false">Resumo!$B$10*CEILING(G270/100,1)</f>
        <v>4.5</v>
      </c>
      <c r="Y270" s="61" t="n">
        <f aca="false">Resumo!$B$12*CEILING(G270,1)</f>
        <v>1.86</v>
      </c>
      <c r="Z270" s="61" t="n">
        <f aca="false">Resumo!$B$14*CEILING(G270,1)</f>
        <v>13.95</v>
      </c>
      <c r="AA270" s="61" t="n">
        <f aca="false">SUM(T270:Z270)</f>
        <v>104.53997</v>
      </c>
      <c r="AB270" s="61" t="n">
        <f aca="false">AA270/(1-Resumo!$B$5)</f>
        <v>118.795420454545</v>
      </c>
      <c r="AC270" s="61" t="n">
        <f aca="false">AB270-S270</f>
        <v>36.8772863636364</v>
      </c>
      <c r="AD270" s="62" t="n">
        <f aca="false">AB270/S270-1</f>
        <v>0.450172440728589</v>
      </c>
      <c r="AE270" s="60" t="str">
        <f aca="false">IF(AB270&lt;S270,"SIM","NÃO")</f>
        <v>NÃO</v>
      </c>
      <c r="AF270" s="60" t="n">
        <v>2</v>
      </c>
      <c r="AG270" s="60" t="n">
        <v>5</v>
      </c>
      <c r="AH270" s="60" t="s">
        <v>382</v>
      </c>
      <c r="AI270" s="61" t="n">
        <f aca="false">(T270*(1-Painel!$C$40)+U270+V270+Painel!$C$41+Painel!$C$42*CEILING(G270/100,1)+Painel!$C$43*CEILING(G270,1)+Z270)/(1-Resumo!$B$5)</f>
        <v>81.9325795454545</v>
      </c>
      <c r="AJ270" s="60" t="str">
        <f aca="false">IF(AI270&lt;S270,"SIM","NÃO")</f>
        <v>NÃO</v>
      </c>
    </row>
    <row r="271" customFormat="false" ht="15" hidden="false" customHeight="false" outlineLevel="0" collapsed="false">
      <c r="A271" s="59" t="n">
        <v>46223.8948726852</v>
      </c>
      <c r="B271" s="60" t="s">
        <v>646</v>
      </c>
      <c r="C271" s="60" t="n">
        <v>20725050</v>
      </c>
      <c r="D271" s="60" t="s">
        <v>46</v>
      </c>
      <c r="E271" s="60" t="s">
        <v>22</v>
      </c>
      <c r="F271" s="60" t="s">
        <v>236</v>
      </c>
      <c r="G271" s="60" t="n">
        <v>52.3</v>
      </c>
      <c r="H271" s="61" t="n">
        <v>616.99</v>
      </c>
      <c r="I271" s="61" t="n">
        <v>58.6</v>
      </c>
      <c r="J271" s="61" t="n">
        <f aca="false">H271*Resumo!$C$6</f>
        <v>0</v>
      </c>
      <c r="K271" s="61" t="n">
        <f aca="false">H271*Resumo!$C$7</f>
        <v>1.295679</v>
      </c>
      <c r="L271" s="61" t="n">
        <f aca="false">H271*Resumo!$C$8</f>
        <v>1.295679</v>
      </c>
      <c r="M271" s="61" t="n">
        <f aca="false">Resumo!$C$10*CEILING(G271/100,1)</f>
        <v>1.05</v>
      </c>
      <c r="N271" s="61" t="n">
        <f aca="false">Resumo!$C$9</f>
        <v>0</v>
      </c>
      <c r="O271" s="61" t="n">
        <f aca="false">Resumo!$C$13</f>
        <v>13.55</v>
      </c>
      <c r="P271" s="61" t="n">
        <f aca="false">Resumo!$C$14*CEILING(G271,1)</f>
        <v>23.85</v>
      </c>
      <c r="Q271" s="61" t="n">
        <f aca="false">SUM(I271:P271)*Resumo!$C$11</f>
        <v>0</v>
      </c>
      <c r="R271" s="61" t="n">
        <f aca="false">SUM(I271:Q271)</f>
        <v>99.641358</v>
      </c>
      <c r="S271" s="61" t="n">
        <f aca="false">R271/(1-Resumo!$C$5)</f>
        <v>113.228815909091</v>
      </c>
      <c r="T271" s="61" t="n">
        <v>112.3</v>
      </c>
      <c r="U271" s="61" t="n">
        <f aca="false">H271*Resumo!$B$6</f>
        <v>0.61699</v>
      </c>
      <c r="V271" s="61" t="n">
        <f aca="false">H271*Resumo!$B$7</f>
        <v>1.23398</v>
      </c>
      <c r="W271" s="61" t="n">
        <f aca="false">Resumo!$B$9</f>
        <v>1</v>
      </c>
      <c r="X271" s="61" t="n">
        <f aca="false">Resumo!$B$10*CEILING(G271/100,1)</f>
        <v>4.5</v>
      </c>
      <c r="Y271" s="61" t="n">
        <f aca="false">Resumo!$B$12*CEILING(G271,1)</f>
        <v>3.18</v>
      </c>
      <c r="Z271" s="61" t="n">
        <f aca="false">Resumo!$B$14*CEILING(G271,1)</f>
        <v>23.85</v>
      </c>
      <c r="AA271" s="61" t="n">
        <f aca="false">SUM(T271:Z271)</f>
        <v>146.68097</v>
      </c>
      <c r="AB271" s="61" t="n">
        <f aca="false">AA271/(1-Resumo!$B$5)</f>
        <v>166.682920454545</v>
      </c>
      <c r="AC271" s="61" t="n">
        <f aca="false">AB271-S271</f>
        <v>53.4541045454546</v>
      </c>
      <c r="AD271" s="62" t="n">
        <f aca="false">AB271/S271-1</f>
        <v>0.472089230257179</v>
      </c>
      <c r="AE271" s="60" t="str">
        <f aca="false">IF(AB271&lt;S271,"SIM","NÃO")</f>
        <v>NÃO</v>
      </c>
      <c r="AF271" s="60" t="n">
        <v>2</v>
      </c>
      <c r="AG271" s="60" t="n">
        <v>5</v>
      </c>
      <c r="AH271" s="60" t="s">
        <v>382</v>
      </c>
      <c r="AI271" s="61" t="n">
        <f aca="false">(T271*(1-Painel!$C$40)+U271+V271+Painel!$C$41+Painel!$C$42*CEILING(G271/100,1)+Painel!$C$43*CEILING(G271,1)+Z271)/(1-Resumo!$B$5)</f>
        <v>117.036329545455</v>
      </c>
      <c r="AJ271" s="60" t="str">
        <f aca="false">IF(AI271&lt;S271,"SIM","NÃO")</f>
        <v>NÃO</v>
      </c>
    </row>
    <row r="272" customFormat="false" ht="15" hidden="false" customHeight="false" outlineLevel="0" collapsed="false">
      <c r="A272" s="59" t="n">
        <v>46223.915162037</v>
      </c>
      <c r="B272" s="60" t="s">
        <v>647</v>
      </c>
      <c r="C272" s="60" t="n">
        <v>23045830</v>
      </c>
      <c r="D272" s="60" t="s">
        <v>46</v>
      </c>
      <c r="E272" s="60" t="s">
        <v>22</v>
      </c>
      <c r="F272" s="60" t="s">
        <v>233</v>
      </c>
      <c r="G272" s="60" t="n">
        <v>31</v>
      </c>
      <c r="H272" s="61" t="n">
        <v>299.99</v>
      </c>
      <c r="I272" s="61" t="n">
        <v>42.11</v>
      </c>
      <c r="J272" s="61" t="n">
        <f aca="false">H272*Resumo!$C$6</f>
        <v>0</v>
      </c>
      <c r="K272" s="61" t="n">
        <f aca="false">H272*Resumo!$C$7</f>
        <v>0.629979</v>
      </c>
      <c r="L272" s="61" t="n">
        <f aca="false">H272*Resumo!$C$8</f>
        <v>0.629979</v>
      </c>
      <c r="M272" s="61" t="n">
        <f aca="false">Resumo!$C$10*CEILING(G272/100,1)</f>
        <v>1.05</v>
      </c>
      <c r="N272" s="61" t="n">
        <f aca="false">Resumo!$C$9</f>
        <v>0</v>
      </c>
      <c r="O272" s="61" t="n">
        <f aca="false">Resumo!$C$13</f>
        <v>13.55</v>
      </c>
      <c r="P272" s="61" t="n">
        <f aca="false">Resumo!$C$14*CEILING(G272,1)</f>
        <v>13.95</v>
      </c>
      <c r="Q272" s="61" t="n">
        <f aca="false">SUM(I272:P272)*Resumo!$C$11</f>
        <v>0</v>
      </c>
      <c r="R272" s="61" t="n">
        <f aca="false">SUM(I272:Q272)</f>
        <v>71.919958</v>
      </c>
      <c r="S272" s="61" t="n">
        <f aca="false">R272/(1-Resumo!$C$5)</f>
        <v>81.727225</v>
      </c>
      <c r="T272" s="61" t="n">
        <v>82.21</v>
      </c>
      <c r="U272" s="61" t="n">
        <f aca="false">H272*Resumo!$B$6</f>
        <v>0.29999</v>
      </c>
      <c r="V272" s="61" t="n">
        <f aca="false">H272*Resumo!$B$7</f>
        <v>0.59998</v>
      </c>
      <c r="W272" s="61" t="n">
        <f aca="false">Resumo!$B$9</f>
        <v>1</v>
      </c>
      <c r="X272" s="61" t="n">
        <f aca="false">Resumo!$B$10*CEILING(G272/100,1)</f>
        <v>4.5</v>
      </c>
      <c r="Y272" s="61" t="n">
        <f aca="false">Resumo!$B$12*CEILING(G272,1)</f>
        <v>1.86</v>
      </c>
      <c r="Z272" s="61" t="n">
        <f aca="false">Resumo!$B$14*CEILING(G272,1)</f>
        <v>13.95</v>
      </c>
      <c r="AA272" s="61" t="n">
        <f aca="false">SUM(T272:Z272)</f>
        <v>104.41997</v>
      </c>
      <c r="AB272" s="61" t="n">
        <f aca="false">AA272/(1-Resumo!$B$5)</f>
        <v>118.659056818182</v>
      </c>
      <c r="AC272" s="61" t="n">
        <f aca="false">AB272-S272</f>
        <v>36.9318318181818</v>
      </c>
      <c r="AD272" s="62" t="n">
        <f aca="false">AB272/S272-1</f>
        <v>0.451891420737482</v>
      </c>
      <c r="AE272" s="60" t="str">
        <f aca="false">IF(AB272&lt;S272,"SIM","NÃO")</f>
        <v>NÃO</v>
      </c>
      <c r="AF272" s="60" t="n">
        <v>2</v>
      </c>
      <c r="AG272" s="60" t="n">
        <v>5</v>
      </c>
      <c r="AH272" s="60" t="s">
        <v>382</v>
      </c>
      <c r="AI272" s="61" t="n">
        <f aca="false">(T272*(1-Painel!$C$40)+U272+V272+Painel!$C$41+Painel!$C$42*CEILING(G272/100,1)+Painel!$C$43*CEILING(G272,1)+Z272)/(1-Resumo!$B$5)</f>
        <v>81.7962159090909</v>
      </c>
      <c r="AJ272" s="60" t="str">
        <f aca="false">IF(AI272&lt;S272,"SIM","NÃO")</f>
        <v>NÃO</v>
      </c>
    </row>
    <row r="273" customFormat="false" ht="15" hidden="false" customHeight="false" outlineLevel="0" collapsed="false">
      <c r="A273" s="59" t="n">
        <v>46223.9234375</v>
      </c>
      <c r="B273" s="60" t="s">
        <v>648</v>
      </c>
      <c r="C273" s="60" t="n">
        <v>27250800</v>
      </c>
      <c r="D273" s="60" t="s">
        <v>217</v>
      </c>
      <c r="E273" s="60" t="s">
        <v>24</v>
      </c>
      <c r="F273" s="60" t="s">
        <v>236</v>
      </c>
      <c r="G273" s="60" t="n">
        <v>56.7</v>
      </c>
      <c r="H273" s="61" t="n">
        <v>705.47</v>
      </c>
      <c r="I273" s="61" t="n">
        <v>83.58</v>
      </c>
      <c r="J273" s="61" t="n">
        <f aca="false">H273*Resumo!$C$6</f>
        <v>0</v>
      </c>
      <c r="K273" s="61" t="n">
        <f aca="false">H273*Resumo!$C$7</f>
        <v>1.481487</v>
      </c>
      <c r="L273" s="61" t="n">
        <f aca="false">H273*Resumo!$C$8</f>
        <v>1.481487</v>
      </c>
      <c r="M273" s="61" t="n">
        <f aca="false">Resumo!$C$10*CEILING(G273/100,1)</f>
        <v>1.05</v>
      </c>
      <c r="N273" s="61" t="n">
        <f aca="false">Resumo!$C$9</f>
        <v>0</v>
      </c>
      <c r="O273" s="61" t="n">
        <f aca="false">Resumo!$C$13</f>
        <v>13.55</v>
      </c>
      <c r="P273" s="61" t="n">
        <f aca="false">Resumo!$C$14*CEILING(G273,1)</f>
        <v>25.65</v>
      </c>
      <c r="Q273" s="61" t="n">
        <f aca="false">SUM(I273:P273)*Resumo!$C$11</f>
        <v>0</v>
      </c>
      <c r="R273" s="61" t="n">
        <f aca="false">SUM(I273:Q273)</f>
        <v>126.792974</v>
      </c>
      <c r="S273" s="61" t="n">
        <f aca="false">R273/(1-Resumo!$C$5)</f>
        <v>144.082925</v>
      </c>
      <c r="T273" s="61" t="n">
        <v>142.32</v>
      </c>
      <c r="U273" s="61" t="n">
        <f aca="false">H273*Resumo!$B$6</f>
        <v>0.70547</v>
      </c>
      <c r="V273" s="61" t="n">
        <f aca="false">H273*Resumo!$B$7</f>
        <v>1.41094</v>
      </c>
      <c r="W273" s="61" t="n">
        <f aca="false">Resumo!$B$9</f>
        <v>1</v>
      </c>
      <c r="X273" s="61" t="n">
        <f aca="false">Resumo!$B$10*CEILING(G273/100,1)</f>
        <v>4.5</v>
      </c>
      <c r="Y273" s="61" t="n">
        <f aca="false">Resumo!$B$12*CEILING(G273,1)</f>
        <v>3.42</v>
      </c>
      <c r="Z273" s="61" t="n">
        <f aca="false">Resumo!$B$14*CEILING(G273,1)</f>
        <v>25.65</v>
      </c>
      <c r="AA273" s="61" t="n">
        <f aca="false">SUM(T273:Z273)</f>
        <v>179.00641</v>
      </c>
      <c r="AB273" s="61" t="n">
        <f aca="false">AA273/(1-Resumo!$B$5)</f>
        <v>203.416375</v>
      </c>
      <c r="AC273" s="61" t="n">
        <f aca="false">AB273-S273</f>
        <v>59.33345</v>
      </c>
      <c r="AD273" s="62" t="n">
        <f aca="false">AB273/S273-1</f>
        <v>0.411800704351331</v>
      </c>
      <c r="AE273" s="60" t="str">
        <f aca="false">IF(AB273&lt;S273,"SIM","NÃO")</f>
        <v>NÃO</v>
      </c>
      <c r="AF273" s="60" t="n">
        <v>13</v>
      </c>
      <c r="AG273" s="60" t="n">
        <v>10</v>
      </c>
      <c r="AH273" s="60" t="s">
        <v>382</v>
      </c>
      <c r="AI273" s="61" t="n">
        <f aca="false">(T273*(1-Painel!$C$40)+U273+V273+Painel!$C$41+Painel!$C$42*CEILING(G273/100,1)+Painel!$C$43*CEILING(G273,1)+Z273)/(1-Resumo!$B$5)</f>
        <v>142.239556818182</v>
      </c>
      <c r="AJ273" s="60" t="str">
        <f aca="false">IF(AI273&lt;S273,"SIM","NÃO")</f>
        <v>SIM</v>
      </c>
    </row>
    <row r="274" customFormat="false" ht="15" hidden="false" customHeight="false" outlineLevel="0" collapsed="false">
      <c r="A274" s="59" t="n">
        <v>46223.9236111111</v>
      </c>
      <c r="B274" s="60" t="s">
        <v>649</v>
      </c>
      <c r="C274" s="60" t="n">
        <v>21331660</v>
      </c>
      <c r="D274" s="60" t="s">
        <v>46</v>
      </c>
      <c r="E274" s="60" t="s">
        <v>22</v>
      </c>
      <c r="F274" s="60" t="s">
        <v>234</v>
      </c>
      <c r="G274" s="60" t="n">
        <v>37.58</v>
      </c>
      <c r="H274" s="61" t="n">
        <v>499.99</v>
      </c>
      <c r="I274" s="61" t="n">
        <v>48.35</v>
      </c>
      <c r="J274" s="61" t="n">
        <f aca="false">H274*Resumo!$C$6</f>
        <v>0</v>
      </c>
      <c r="K274" s="61" t="n">
        <f aca="false">H274*Resumo!$C$7</f>
        <v>1.049979</v>
      </c>
      <c r="L274" s="61" t="n">
        <f aca="false">H274*Resumo!$C$8</f>
        <v>1.049979</v>
      </c>
      <c r="M274" s="61" t="n">
        <f aca="false">Resumo!$C$10*CEILING(G274/100,1)</f>
        <v>1.05</v>
      </c>
      <c r="N274" s="61" t="n">
        <f aca="false">Resumo!$C$9</f>
        <v>0</v>
      </c>
      <c r="O274" s="61" t="n">
        <f aca="false">Resumo!$C$13</f>
        <v>13.55</v>
      </c>
      <c r="P274" s="61" t="n">
        <f aca="false">Resumo!$C$14*CEILING(G274,1)</f>
        <v>17.1</v>
      </c>
      <c r="Q274" s="61" t="n">
        <f aca="false">SUM(I274:P274)*Resumo!$C$11</f>
        <v>0</v>
      </c>
      <c r="R274" s="61" t="n">
        <f aca="false">SUM(I274:Q274)</f>
        <v>82.149958</v>
      </c>
      <c r="S274" s="61" t="n">
        <f aca="false">R274/(1-Resumo!$C$5)</f>
        <v>93.352225</v>
      </c>
      <c r="T274" s="61" t="n">
        <v>93.97</v>
      </c>
      <c r="U274" s="61" t="n">
        <f aca="false">H274*Resumo!$B$6</f>
        <v>0.49999</v>
      </c>
      <c r="V274" s="61" t="n">
        <f aca="false">H274*Resumo!$B$7</f>
        <v>0.99998</v>
      </c>
      <c r="W274" s="61" t="n">
        <f aca="false">Resumo!$B$9</f>
        <v>1</v>
      </c>
      <c r="X274" s="61" t="n">
        <f aca="false">Resumo!$B$10*CEILING(G274/100,1)</f>
        <v>4.5</v>
      </c>
      <c r="Y274" s="61" t="n">
        <f aca="false">Resumo!$B$12*CEILING(G274,1)</f>
        <v>2.28</v>
      </c>
      <c r="Z274" s="61" t="n">
        <f aca="false">Resumo!$B$14*CEILING(G274,1)</f>
        <v>17.1</v>
      </c>
      <c r="AA274" s="61" t="n">
        <f aca="false">SUM(T274:Z274)</f>
        <v>120.34997</v>
      </c>
      <c r="AB274" s="61" t="n">
        <f aca="false">AA274/(1-Resumo!$B$5)</f>
        <v>136.761329545455</v>
      </c>
      <c r="AC274" s="61" t="n">
        <f aca="false">AB274-S274</f>
        <v>43.4091045454546</v>
      </c>
      <c r="AD274" s="62" t="n">
        <f aca="false">AB274/S274-1</f>
        <v>0.465003427025489</v>
      </c>
      <c r="AE274" s="60" t="str">
        <f aca="false">IF(AB274&lt;S274,"SIM","NÃO")</f>
        <v>NÃO</v>
      </c>
      <c r="AF274" s="60" t="n">
        <v>2</v>
      </c>
      <c r="AG274" s="60" t="n">
        <v>5</v>
      </c>
      <c r="AH274" s="60" t="s">
        <v>382</v>
      </c>
      <c r="AI274" s="61" t="n">
        <f aca="false">(T274*(1-Painel!$C$40)+U274+V274+Painel!$C$41+Painel!$C$42*CEILING(G274/100,1)+Painel!$C$43*CEILING(G274,1)+Z274)/(1-Resumo!$B$5)</f>
        <v>95.0112159090909</v>
      </c>
      <c r="AJ274" s="60" t="str">
        <f aca="false">IF(AI274&lt;S274,"SIM","NÃO")</f>
        <v>NÃO</v>
      </c>
    </row>
    <row r="275" customFormat="false" ht="15" hidden="false" customHeight="false" outlineLevel="0" collapsed="false">
      <c r="A275" s="59" t="n">
        <v>46223.9249421296</v>
      </c>
      <c r="B275" s="60" t="s">
        <v>650</v>
      </c>
      <c r="C275" s="60" t="n">
        <v>27325310</v>
      </c>
      <c r="D275" s="60" t="s">
        <v>293</v>
      </c>
      <c r="E275" s="60" t="s">
        <v>24</v>
      </c>
      <c r="F275" s="60" t="s">
        <v>233</v>
      </c>
      <c r="G275" s="60" t="n">
        <v>33</v>
      </c>
      <c r="H275" s="61" t="n">
        <v>523.75</v>
      </c>
      <c r="I275" s="61" t="n">
        <v>65.63</v>
      </c>
      <c r="J275" s="61" t="n">
        <f aca="false">H275*Resumo!$C$6</f>
        <v>0</v>
      </c>
      <c r="K275" s="61" t="n">
        <f aca="false">H275*Resumo!$C$7</f>
        <v>1.099875</v>
      </c>
      <c r="L275" s="61" t="n">
        <f aca="false">H275*Resumo!$C$8</f>
        <v>1.099875</v>
      </c>
      <c r="M275" s="61" t="n">
        <f aca="false">Resumo!$C$10*CEILING(G275/100,1)</f>
        <v>1.05</v>
      </c>
      <c r="N275" s="61" t="n">
        <f aca="false">Resumo!$C$9</f>
        <v>0</v>
      </c>
      <c r="O275" s="61" t="n">
        <f aca="false">Resumo!$C$13</f>
        <v>13.55</v>
      </c>
      <c r="P275" s="61" t="n">
        <f aca="false">Resumo!$C$14*CEILING(G275,1)</f>
        <v>14.85</v>
      </c>
      <c r="Q275" s="61" t="n">
        <f aca="false">SUM(I275:P275)*Resumo!$C$11</f>
        <v>0</v>
      </c>
      <c r="R275" s="61" t="n">
        <f aca="false">SUM(I275:Q275)</f>
        <v>97.27975</v>
      </c>
      <c r="S275" s="61" t="n">
        <f aca="false">R275/(1-Resumo!$C$5)</f>
        <v>110.545170454545</v>
      </c>
      <c r="T275" s="61" t="n">
        <v>108.83</v>
      </c>
      <c r="U275" s="61" t="n">
        <f aca="false">H275*Resumo!$B$6</f>
        <v>0.52375</v>
      </c>
      <c r="V275" s="61" t="n">
        <f aca="false">H275*Resumo!$B$7</f>
        <v>1.0475</v>
      </c>
      <c r="W275" s="61" t="n">
        <f aca="false">Resumo!$B$9</f>
        <v>1</v>
      </c>
      <c r="X275" s="61" t="n">
        <f aca="false">Resumo!$B$10*CEILING(G275/100,1)</f>
        <v>4.5</v>
      </c>
      <c r="Y275" s="61" t="n">
        <f aca="false">Resumo!$B$12*CEILING(G275,1)</f>
        <v>1.98</v>
      </c>
      <c r="Z275" s="61" t="n">
        <f aca="false">Resumo!$B$14*CEILING(G275,1)</f>
        <v>14.85</v>
      </c>
      <c r="AA275" s="61" t="n">
        <f aca="false">SUM(T275:Z275)</f>
        <v>132.73125</v>
      </c>
      <c r="AB275" s="61" t="n">
        <f aca="false">AA275/(1-Resumo!$B$5)</f>
        <v>150.830965909091</v>
      </c>
      <c r="AC275" s="61" t="n">
        <f aca="false">AB275-S275</f>
        <v>40.2857954545455</v>
      </c>
      <c r="AD275" s="62" t="n">
        <f aca="false">AB275/S275-1</f>
        <v>0.364428362531771</v>
      </c>
      <c r="AE275" s="60" t="str">
        <f aca="false">IF(AB275&lt;S275,"SIM","NÃO")</f>
        <v>NÃO</v>
      </c>
      <c r="AF275" s="60" t="n">
        <v>13</v>
      </c>
      <c r="AG275" s="60" t="n">
        <v>10</v>
      </c>
      <c r="AH275" s="60" t="s">
        <v>385</v>
      </c>
      <c r="AI275" s="61" t="n">
        <f aca="false">(T275*(1-Painel!$C$40)+U275+V275+Painel!$C$41+Painel!$C$42*CEILING(G275/100,1)+Painel!$C$43*CEILING(G275,1)+Z275)/(1-Resumo!$B$5)</f>
        <v>103.849261363636</v>
      </c>
      <c r="AJ275" s="60" t="str">
        <f aca="false">IF(AI275&lt;S275,"SIM","NÃO")</f>
        <v>SIM</v>
      </c>
    </row>
    <row r="276" customFormat="false" ht="15" hidden="false" customHeight="false" outlineLevel="0" collapsed="false">
      <c r="A276" s="59" t="n">
        <v>46223.9250578704</v>
      </c>
      <c r="B276" s="60" t="s">
        <v>576</v>
      </c>
      <c r="C276" s="60" t="n">
        <v>28380000</v>
      </c>
      <c r="D276" s="60" t="s">
        <v>312</v>
      </c>
      <c r="E276" s="60" t="s">
        <v>24</v>
      </c>
      <c r="F276" s="60" t="s">
        <v>236</v>
      </c>
      <c r="G276" s="60" t="n">
        <v>52.3</v>
      </c>
      <c r="H276" s="61" t="n">
        <v>619.99</v>
      </c>
      <c r="I276" s="61" t="n">
        <v>83.58</v>
      </c>
      <c r="J276" s="61" t="n">
        <f aca="false">H276*Resumo!$C$6</f>
        <v>0</v>
      </c>
      <c r="K276" s="61" t="n">
        <f aca="false">H276*Resumo!$C$7</f>
        <v>1.301979</v>
      </c>
      <c r="L276" s="61" t="n">
        <f aca="false">H276*Resumo!$C$8</f>
        <v>1.301979</v>
      </c>
      <c r="M276" s="61" t="n">
        <f aca="false">Resumo!$C$10*CEILING(G276/100,1)</f>
        <v>1.05</v>
      </c>
      <c r="N276" s="61" t="n">
        <f aca="false">Resumo!$C$9</f>
        <v>0</v>
      </c>
      <c r="O276" s="61" t="n">
        <f aca="false">Resumo!$C$13</f>
        <v>13.55</v>
      </c>
      <c r="P276" s="61" t="n">
        <f aca="false">Resumo!$C$14*CEILING(G276,1)</f>
        <v>23.85</v>
      </c>
      <c r="Q276" s="61" t="n">
        <f aca="false">SUM(I276:P276)*Resumo!$C$11</f>
        <v>0</v>
      </c>
      <c r="R276" s="61" t="n">
        <f aca="false">SUM(I276:Q276)</f>
        <v>124.633958</v>
      </c>
      <c r="S276" s="61" t="n">
        <f aca="false">R276/(1-Resumo!$C$5)</f>
        <v>141.629497727273</v>
      </c>
      <c r="T276" s="61" t="n">
        <v>162.04</v>
      </c>
      <c r="U276" s="61" t="n">
        <f aca="false">H276*Resumo!$B$6</f>
        <v>0.61999</v>
      </c>
      <c r="V276" s="61" t="n">
        <f aca="false">H276*Resumo!$B$7</f>
        <v>1.23998</v>
      </c>
      <c r="W276" s="61" t="n">
        <f aca="false">Resumo!$B$9</f>
        <v>1</v>
      </c>
      <c r="X276" s="61" t="n">
        <f aca="false">Resumo!$B$10*CEILING(G276/100,1)</f>
        <v>4.5</v>
      </c>
      <c r="Y276" s="61" t="n">
        <f aca="false">Resumo!$B$12*CEILING(G276,1)</f>
        <v>3.18</v>
      </c>
      <c r="Z276" s="61" t="n">
        <f aca="false">Resumo!$B$14*CEILING(G276,1)</f>
        <v>23.85</v>
      </c>
      <c r="AA276" s="61" t="n">
        <f aca="false">SUM(T276:Z276)</f>
        <v>196.42997</v>
      </c>
      <c r="AB276" s="61" t="n">
        <f aca="false">AA276/(1-Resumo!$B$5)</f>
        <v>223.215875</v>
      </c>
      <c r="AC276" s="61" t="n">
        <f aca="false">AB276-S276</f>
        <v>81.5863772727273</v>
      </c>
      <c r="AD276" s="62" t="n">
        <f aca="false">AB276/S276-1</f>
        <v>0.576054978531613</v>
      </c>
      <c r="AE276" s="60" t="str">
        <f aca="false">IF(AB276&lt;S276,"SIM","NÃO")</f>
        <v>NÃO</v>
      </c>
      <c r="AF276" s="60" t="n">
        <v>13</v>
      </c>
      <c r="AG276" s="60" t="n">
        <v>11</v>
      </c>
      <c r="AH276" s="60" t="s">
        <v>385</v>
      </c>
      <c r="AI276" s="61" t="n">
        <f aca="false">(T276*(1-Painel!$C$40)+U276+V276+Painel!$C$41+Painel!$C$42*CEILING(G276/100,1)+Painel!$C$43*CEILING(G276,1)+Z276)/(1-Resumo!$B$5)</f>
        <v>154.916784090909</v>
      </c>
      <c r="AJ276" s="60" t="str">
        <f aca="false">IF(AI276&lt;S276,"SIM","NÃO")</f>
        <v>NÃO</v>
      </c>
    </row>
    <row r="277" customFormat="false" ht="15" hidden="false" customHeight="false" outlineLevel="0" collapsed="false">
      <c r="A277" s="59" t="n">
        <v>46223.9302662037</v>
      </c>
      <c r="B277" s="60" t="s">
        <v>651</v>
      </c>
      <c r="C277" s="60" t="n">
        <v>26130336</v>
      </c>
      <c r="D277" s="60" t="s">
        <v>52</v>
      </c>
      <c r="E277" s="60" t="s">
        <v>23</v>
      </c>
      <c r="F277" s="60" t="s">
        <v>239</v>
      </c>
      <c r="G277" s="60" t="n">
        <v>82.4</v>
      </c>
      <c r="H277" s="61" t="n">
        <v>1210.05</v>
      </c>
      <c r="I277" s="61" t="n">
        <v>92.32</v>
      </c>
      <c r="J277" s="61" t="n">
        <f aca="false">H277*Resumo!$C$6</f>
        <v>0</v>
      </c>
      <c r="K277" s="61" t="n">
        <f aca="false">H277*Resumo!$C$7</f>
        <v>2.541105</v>
      </c>
      <c r="L277" s="61" t="n">
        <f aca="false">H277*Resumo!$C$8</f>
        <v>2.541105</v>
      </c>
      <c r="M277" s="61" t="n">
        <f aca="false">Resumo!$C$10*CEILING(G277/100,1)</f>
        <v>1.05</v>
      </c>
      <c r="N277" s="61" t="n">
        <f aca="false">Resumo!$C$9</f>
        <v>0</v>
      </c>
      <c r="O277" s="61" t="n">
        <f aca="false">Resumo!$C$13</f>
        <v>13.55</v>
      </c>
      <c r="P277" s="61" t="n">
        <f aca="false">Resumo!$C$14*CEILING(G277,1)</f>
        <v>37.35</v>
      </c>
      <c r="Q277" s="61" t="n">
        <f aca="false">SUM(I277:P277)*Resumo!$C$11</f>
        <v>0</v>
      </c>
      <c r="R277" s="61" t="n">
        <f aca="false">SUM(I277:Q277)</f>
        <v>149.35221</v>
      </c>
      <c r="S277" s="61" t="n">
        <f aca="false">R277/(1-Resumo!$C$5)</f>
        <v>169.718420454545</v>
      </c>
      <c r="T277" s="61" t="n">
        <v>167.99</v>
      </c>
      <c r="U277" s="61" t="n">
        <f aca="false">H277*Resumo!$B$6</f>
        <v>1.21005</v>
      </c>
      <c r="V277" s="61" t="n">
        <f aca="false">H277*Resumo!$B$7</f>
        <v>2.4201</v>
      </c>
      <c r="W277" s="61" t="n">
        <f aca="false">Resumo!$B$9</f>
        <v>1</v>
      </c>
      <c r="X277" s="61" t="n">
        <f aca="false">Resumo!$B$10*CEILING(G277/100,1)</f>
        <v>4.5</v>
      </c>
      <c r="Y277" s="61" t="n">
        <f aca="false">Resumo!$B$12*CEILING(G277,1)</f>
        <v>4.98</v>
      </c>
      <c r="Z277" s="61" t="n">
        <f aca="false">Resumo!$B$14*CEILING(G277,1)</f>
        <v>37.35</v>
      </c>
      <c r="AA277" s="61" t="n">
        <f aca="false">SUM(T277:Z277)</f>
        <v>219.45015</v>
      </c>
      <c r="AB277" s="61" t="n">
        <f aca="false">AA277/(1-Resumo!$B$5)</f>
        <v>249.375170454545</v>
      </c>
      <c r="AC277" s="61" t="n">
        <f aca="false">AB277-S277</f>
        <v>79.6567500000001</v>
      </c>
      <c r="AD277" s="62" t="n">
        <f aca="false">AB277/S277-1</f>
        <v>0.469346519880757</v>
      </c>
      <c r="AE277" s="60" t="str">
        <f aca="false">IF(AB277&lt;S277,"SIM","NÃO")</f>
        <v>NÃO</v>
      </c>
      <c r="AF277" s="60" t="n">
        <v>2</v>
      </c>
      <c r="AG277" s="60" t="n">
        <v>5</v>
      </c>
      <c r="AH277" s="60" t="s">
        <v>382</v>
      </c>
      <c r="AI277" s="61" t="n">
        <f aca="false">(T277*(1-Painel!$C$40)+U277+V277+Painel!$C$41+Painel!$C$42*CEILING(G277/100,1)+Painel!$C$43*CEILING(G277,1)+Z277)/(1-Resumo!$B$5)</f>
        <v>176.799375</v>
      </c>
      <c r="AJ277" s="60" t="str">
        <f aca="false">IF(AI277&lt;S277,"SIM","NÃO")</f>
        <v>NÃO</v>
      </c>
    </row>
    <row r="278" customFormat="false" ht="15" hidden="false" customHeight="false" outlineLevel="0" collapsed="false">
      <c r="A278" s="59" t="n">
        <v>46223.9947800926</v>
      </c>
      <c r="B278" s="60" t="s">
        <v>652</v>
      </c>
      <c r="C278" s="60" t="n">
        <v>21250620</v>
      </c>
      <c r="D278" s="60" t="s">
        <v>46</v>
      </c>
      <c r="E278" s="60" t="s">
        <v>22</v>
      </c>
      <c r="F278" s="60" t="s">
        <v>237</v>
      </c>
      <c r="G278" s="60" t="n">
        <v>69.15</v>
      </c>
      <c r="H278" s="61" t="n">
        <v>715.06</v>
      </c>
      <c r="I278" s="61" t="n">
        <v>63.21</v>
      </c>
      <c r="J278" s="61" t="n">
        <f aca="false">H278*Resumo!$C$6</f>
        <v>0</v>
      </c>
      <c r="K278" s="61" t="n">
        <f aca="false">H278*Resumo!$C$7</f>
        <v>1.501626</v>
      </c>
      <c r="L278" s="61" t="n">
        <f aca="false">H278*Resumo!$C$8</f>
        <v>1.501626</v>
      </c>
      <c r="M278" s="61" t="n">
        <f aca="false">Resumo!$C$10*CEILING(G278/100,1)</f>
        <v>1.05</v>
      </c>
      <c r="N278" s="61" t="n">
        <f aca="false">Resumo!$C$9</f>
        <v>0</v>
      </c>
      <c r="O278" s="61" t="n">
        <f aca="false">Resumo!$C$13</f>
        <v>13.55</v>
      </c>
      <c r="P278" s="61" t="n">
        <f aca="false">Resumo!$C$14*CEILING(G278,1)</f>
        <v>31.5</v>
      </c>
      <c r="Q278" s="61" t="n">
        <f aca="false">SUM(I278:P278)*Resumo!$C$11</f>
        <v>0</v>
      </c>
      <c r="R278" s="61" t="n">
        <f aca="false">SUM(I278:Q278)</f>
        <v>112.313252</v>
      </c>
      <c r="S278" s="61" t="n">
        <f aca="false">R278/(1-Resumo!$C$5)</f>
        <v>127.628695454545</v>
      </c>
      <c r="T278" s="61" t="n">
        <v>131.02</v>
      </c>
      <c r="U278" s="61" t="n">
        <f aca="false">H278*Resumo!$B$6</f>
        <v>0.71506</v>
      </c>
      <c r="V278" s="61" t="n">
        <f aca="false">H278*Resumo!$B$7</f>
        <v>1.43012</v>
      </c>
      <c r="W278" s="61" t="n">
        <f aca="false">Resumo!$B$9</f>
        <v>1</v>
      </c>
      <c r="X278" s="61" t="n">
        <f aca="false">Resumo!$B$10*CEILING(G278/100,1)</f>
        <v>4.5</v>
      </c>
      <c r="Y278" s="61" t="n">
        <f aca="false">Resumo!$B$12*CEILING(G278,1)</f>
        <v>4.2</v>
      </c>
      <c r="Z278" s="61" t="n">
        <f aca="false">Resumo!$B$14*CEILING(G278,1)</f>
        <v>31.5</v>
      </c>
      <c r="AA278" s="61" t="n">
        <f aca="false">SUM(T278:Z278)</f>
        <v>174.36518</v>
      </c>
      <c r="AB278" s="61" t="n">
        <f aca="false">AA278/(1-Resumo!$B$5)</f>
        <v>198.14225</v>
      </c>
      <c r="AC278" s="61" t="n">
        <f aca="false">AB278-S278</f>
        <v>70.5135545454546</v>
      </c>
      <c r="AD278" s="62" t="n">
        <f aca="false">AB278/S278-1</f>
        <v>0.55248981660686</v>
      </c>
      <c r="AE278" s="60" t="str">
        <f aca="false">IF(AB278&lt;S278,"SIM","NÃO")</f>
        <v>NÃO</v>
      </c>
      <c r="AF278" s="60" t="n">
        <v>2</v>
      </c>
      <c r="AG278" s="60" t="n">
        <v>5</v>
      </c>
      <c r="AH278" s="60" t="s">
        <v>382</v>
      </c>
      <c r="AI278" s="61" t="n">
        <f aca="false">(T278*(1-Painel!$C$40)+U278+V278+Painel!$C$41+Painel!$C$42*CEILING(G278/100,1)+Painel!$C$43*CEILING(G278,1)+Z278)/(1-Resumo!$B$5)</f>
        <v>140.316568181818</v>
      </c>
      <c r="AJ278" s="60" t="str">
        <f aca="false">IF(AI278&lt;S278,"SIM","NÃO")</f>
        <v>NÃO</v>
      </c>
    </row>
    <row r="279" customFormat="false" ht="15" hidden="false" customHeight="false" outlineLevel="0" collapsed="false">
      <c r="A279" s="59" t="n">
        <v>46224.1478703704</v>
      </c>
      <c r="B279" s="60" t="s">
        <v>653</v>
      </c>
      <c r="C279" s="60" t="n">
        <v>21675340</v>
      </c>
      <c r="D279" s="60" t="s">
        <v>46</v>
      </c>
      <c r="E279" s="60" t="s">
        <v>22</v>
      </c>
      <c r="F279" s="60" t="s">
        <v>233</v>
      </c>
      <c r="G279" s="60" t="n">
        <v>34.4</v>
      </c>
      <c r="H279" s="61" t="n">
        <v>399.99</v>
      </c>
      <c r="I279" s="61" t="n">
        <v>42.11</v>
      </c>
      <c r="J279" s="61" t="n">
        <f aca="false">H279*Resumo!$C$6</f>
        <v>0</v>
      </c>
      <c r="K279" s="61" t="n">
        <f aca="false">H279*Resumo!$C$7</f>
        <v>0.839979</v>
      </c>
      <c r="L279" s="61" t="n">
        <f aca="false">H279*Resumo!$C$8</f>
        <v>0.839979</v>
      </c>
      <c r="M279" s="61" t="n">
        <f aca="false">Resumo!$C$10*CEILING(G279/100,1)</f>
        <v>1.05</v>
      </c>
      <c r="N279" s="61" t="n">
        <f aca="false">Resumo!$C$9</f>
        <v>0</v>
      </c>
      <c r="O279" s="61" t="n">
        <f aca="false">Resumo!$C$13</f>
        <v>13.55</v>
      </c>
      <c r="P279" s="61" t="n">
        <f aca="false">Resumo!$C$14*CEILING(G279,1)</f>
        <v>15.75</v>
      </c>
      <c r="Q279" s="61" t="n">
        <f aca="false">SUM(I279:P279)*Resumo!$C$11</f>
        <v>0</v>
      </c>
      <c r="R279" s="61" t="n">
        <f aca="false">SUM(I279:Q279)</f>
        <v>74.139958</v>
      </c>
      <c r="S279" s="61" t="n">
        <f aca="false">R279/(1-Resumo!$C$5)</f>
        <v>84.2499522727273</v>
      </c>
      <c r="T279" s="61" t="n">
        <v>82.21</v>
      </c>
      <c r="U279" s="61" t="n">
        <f aca="false">H279*Resumo!$B$6</f>
        <v>0.39999</v>
      </c>
      <c r="V279" s="61" t="n">
        <f aca="false">H279*Resumo!$B$7</f>
        <v>0.79998</v>
      </c>
      <c r="W279" s="61" t="n">
        <f aca="false">Resumo!$B$9</f>
        <v>1</v>
      </c>
      <c r="X279" s="61" t="n">
        <f aca="false">Resumo!$B$10*CEILING(G279/100,1)</f>
        <v>4.5</v>
      </c>
      <c r="Y279" s="61" t="n">
        <f aca="false">Resumo!$B$12*CEILING(G279,1)</f>
        <v>2.1</v>
      </c>
      <c r="Z279" s="61" t="n">
        <f aca="false">Resumo!$B$14*CEILING(G279,1)</f>
        <v>15.75</v>
      </c>
      <c r="AA279" s="61" t="n">
        <f aca="false">SUM(T279:Z279)</f>
        <v>106.75997</v>
      </c>
      <c r="AB279" s="61" t="n">
        <f aca="false">AA279/(1-Resumo!$B$5)</f>
        <v>121.318147727273</v>
      </c>
      <c r="AC279" s="61" t="n">
        <f aca="false">AB279-S279</f>
        <v>37.0681954545454</v>
      </c>
      <c r="AD279" s="62" t="n">
        <f aca="false">AB279/S279-1</f>
        <v>0.439978830309022</v>
      </c>
      <c r="AE279" s="60" t="str">
        <f aca="false">IF(AB279&lt;S279,"SIM","NÃO")</f>
        <v>NÃO</v>
      </c>
      <c r="AF279" s="60" t="n">
        <v>2</v>
      </c>
      <c r="AG279" s="60" t="n">
        <v>5</v>
      </c>
      <c r="AH279" s="60" t="s">
        <v>382</v>
      </c>
      <c r="AI279" s="61" t="n">
        <f aca="false">(T279*(1-Painel!$C$40)+U279+V279+Painel!$C$41+Painel!$C$42*CEILING(G279/100,1)+Painel!$C$43*CEILING(G279,1)+Z279)/(1-Resumo!$B$5)</f>
        <v>84.1825795454545</v>
      </c>
      <c r="AJ279" s="60" t="str">
        <f aca="false">IF(AI279&lt;S279,"SIM","NÃO")</f>
        <v>SIM</v>
      </c>
    </row>
    <row r="280" customFormat="false" ht="15" hidden="false" customHeight="false" outlineLevel="0" collapsed="false">
      <c r="A280" s="59" t="n">
        <v>46224.6301157407</v>
      </c>
      <c r="B280" s="60" t="s">
        <v>654</v>
      </c>
      <c r="C280" s="60" t="n">
        <v>22775033</v>
      </c>
      <c r="D280" s="60" t="s">
        <v>46</v>
      </c>
      <c r="E280" s="60" t="s">
        <v>22</v>
      </c>
      <c r="F280" s="60" t="s">
        <v>233</v>
      </c>
      <c r="G280" s="60" t="n">
        <v>33.21</v>
      </c>
      <c r="H280" s="61" t="n">
        <v>378.56</v>
      </c>
      <c r="I280" s="61" t="n">
        <v>42.11</v>
      </c>
      <c r="J280" s="61" t="n">
        <f aca="false">H280*Resumo!$C$6</f>
        <v>0</v>
      </c>
      <c r="K280" s="61" t="n">
        <f aca="false">H280*Resumo!$C$7</f>
        <v>0.794976</v>
      </c>
      <c r="L280" s="61" t="n">
        <f aca="false">H280*Resumo!$C$8</f>
        <v>0.794976</v>
      </c>
      <c r="M280" s="61" t="n">
        <f aca="false">Resumo!$C$10*CEILING(G280/100,1)</f>
        <v>1.05</v>
      </c>
      <c r="N280" s="61" t="n">
        <f aca="false">Resumo!$C$9</f>
        <v>0</v>
      </c>
      <c r="O280" s="61" t="n">
        <f aca="false">Resumo!$C$13</f>
        <v>13.55</v>
      </c>
      <c r="P280" s="61" t="n">
        <f aca="false">Resumo!$C$14*CEILING(G280,1)</f>
        <v>15.3</v>
      </c>
      <c r="Q280" s="61" t="n">
        <f aca="false">SUM(I280:P280)*Resumo!$C$11</f>
        <v>0</v>
      </c>
      <c r="R280" s="61" t="n">
        <f aca="false">SUM(I280:Q280)</f>
        <v>73.599952</v>
      </c>
      <c r="S280" s="61" t="n">
        <f aca="false">R280/(1-Resumo!$C$5)</f>
        <v>83.6363090909091</v>
      </c>
      <c r="T280" s="61" t="n">
        <v>82.21</v>
      </c>
      <c r="U280" s="61" t="n">
        <f aca="false">H280*Resumo!$B$6</f>
        <v>0.37856</v>
      </c>
      <c r="V280" s="61" t="n">
        <f aca="false">H280*Resumo!$B$7</f>
        <v>0.75712</v>
      </c>
      <c r="W280" s="61" t="n">
        <f aca="false">Resumo!$B$9</f>
        <v>1</v>
      </c>
      <c r="X280" s="61" t="n">
        <f aca="false">Resumo!$B$10*CEILING(G280/100,1)</f>
        <v>4.5</v>
      </c>
      <c r="Y280" s="61" t="n">
        <f aca="false">Resumo!$B$12*CEILING(G280,1)</f>
        <v>2.04</v>
      </c>
      <c r="Z280" s="61" t="n">
        <f aca="false">Resumo!$B$14*CEILING(G280,1)</f>
        <v>15.3</v>
      </c>
      <c r="AA280" s="61" t="n">
        <f aca="false">SUM(T280:Z280)</f>
        <v>106.18568</v>
      </c>
      <c r="AB280" s="61" t="n">
        <f aca="false">AA280/(1-Resumo!$B$5)</f>
        <v>120.665545454545</v>
      </c>
      <c r="AC280" s="61" t="n">
        <f aca="false">AB280-S280</f>
        <v>37.0292363636363</v>
      </c>
      <c r="AD280" s="62" t="n">
        <f aca="false">AB280/S280-1</f>
        <v>0.442741158309451</v>
      </c>
      <c r="AE280" s="60" t="str">
        <f aca="false">IF(AB280&lt;S280,"SIM","NÃO")</f>
        <v>NÃO</v>
      </c>
      <c r="AF280" s="60" t="n">
        <v>2</v>
      </c>
      <c r="AG280" s="60" t="n">
        <v>5</v>
      </c>
      <c r="AH280" s="60" t="s">
        <v>382</v>
      </c>
      <c r="AI280" s="61" t="n">
        <f aca="false">(T280*(1-Painel!$C$40)+U280+V280+Painel!$C$41+Painel!$C$42*CEILING(G280/100,1)+Painel!$C$43*CEILING(G280,1)+Z280)/(1-Resumo!$B$5)</f>
        <v>83.5981590909091</v>
      </c>
      <c r="AJ280" s="60" t="str">
        <f aca="false">IF(AI280&lt;S280,"SIM","NÃO")</f>
        <v>SIM</v>
      </c>
    </row>
    <row r="281" customFormat="false" ht="15" hidden="false" customHeight="false" outlineLevel="0" collapsed="false">
      <c r="A281" s="59" t="n">
        <v>46224.7577314815</v>
      </c>
      <c r="B281" s="60" t="s">
        <v>655</v>
      </c>
      <c r="C281" s="60" t="n">
        <v>22780085</v>
      </c>
      <c r="D281" s="60" t="s">
        <v>46</v>
      </c>
      <c r="E281" s="60" t="s">
        <v>22</v>
      </c>
      <c r="F281" s="60" t="s">
        <v>235</v>
      </c>
      <c r="G281" s="60" t="n">
        <v>49.6</v>
      </c>
      <c r="H281" s="61" t="n">
        <v>799.99</v>
      </c>
      <c r="I281" s="61" t="n">
        <v>53.55</v>
      </c>
      <c r="J281" s="61" t="n">
        <f aca="false">H281*Resumo!$C$6</f>
        <v>0</v>
      </c>
      <c r="K281" s="61" t="n">
        <f aca="false">H281*Resumo!$C$7</f>
        <v>1.679979</v>
      </c>
      <c r="L281" s="61" t="n">
        <f aca="false">H281*Resumo!$C$8</f>
        <v>1.679979</v>
      </c>
      <c r="M281" s="61" t="n">
        <f aca="false">Resumo!$C$10*CEILING(G281/100,1)</f>
        <v>1.05</v>
      </c>
      <c r="N281" s="61" t="n">
        <f aca="false">Resumo!$C$9</f>
        <v>0</v>
      </c>
      <c r="O281" s="61" t="n">
        <f aca="false">Resumo!$C$13</f>
        <v>13.55</v>
      </c>
      <c r="P281" s="61" t="n">
        <f aca="false">Resumo!$C$14*CEILING(G281,1)</f>
        <v>22.5</v>
      </c>
      <c r="Q281" s="61" t="n">
        <f aca="false">SUM(I281:P281)*Resumo!$C$11</f>
        <v>0</v>
      </c>
      <c r="R281" s="61" t="n">
        <f aca="false">SUM(I281:Q281)</f>
        <v>94.009958</v>
      </c>
      <c r="S281" s="61" t="n">
        <f aca="false">R281/(1-Resumo!$C$5)</f>
        <v>106.829497727273</v>
      </c>
      <c r="T281" s="61" t="n">
        <v>93.97</v>
      </c>
      <c r="U281" s="61" t="n">
        <f aca="false">H281*Resumo!$B$6</f>
        <v>0.79999</v>
      </c>
      <c r="V281" s="61" t="n">
        <f aca="false">H281*Resumo!$B$7</f>
        <v>1.59998</v>
      </c>
      <c r="W281" s="61" t="n">
        <f aca="false">Resumo!$B$9</f>
        <v>1</v>
      </c>
      <c r="X281" s="61" t="n">
        <f aca="false">Resumo!$B$10*CEILING(G281/100,1)</f>
        <v>4.5</v>
      </c>
      <c r="Y281" s="61" t="n">
        <f aca="false">Resumo!$B$12*CEILING(G281,1)</f>
        <v>3</v>
      </c>
      <c r="Z281" s="61" t="n">
        <f aca="false">Resumo!$B$14*CEILING(G281,1)</f>
        <v>22.5</v>
      </c>
      <c r="AA281" s="61" t="n">
        <f aca="false">SUM(T281:Z281)</f>
        <v>127.36997</v>
      </c>
      <c r="AB281" s="61" t="n">
        <f aca="false">AA281/(1-Resumo!$B$5)</f>
        <v>144.738602272727</v>
      </c>
      <c r="AC281" s="61" t="n">
        <f aca="false">AB281-S281</f>
        <v>37.9091045454545</v>
      </c>
      <c r="AD281" s="62" t="n">
        <f aca="false">AB281/S281-1</f>
        <v>0.35485615257907</v>
      </c>
      <c r="AE281" s="60" t="str">
        <f aca="false">IF(AB281&lt;S281,"SIM","NÃO")</f>
        <v>NÃO</v>
      </c>
      <c r="AF281" s="60" t="n">
        <v>2</v>
      </c>
      <c r="AG281" s="60" t="n">
        <v>5</v>
      </c>
      <c r="AH281" s="60" t="s">
        <v>382</v>
      </c>
      <c r="AI281" s="61" t="n">
        <f aca="false">(T281*(1-Painel!$C$40)+U281+V281+Painel!$C$41+Painel!$C$42*CEILING(G281/100,1)+Painel!$C$43*CEILING(G281,1)+Z281)/(1-Resumo!$B$5)</f>
        <v>102.170306818182</v>
      </c>
      <c r="AJ281" s="60" t="str">
        <f aca="false">IF(AI281&lt;S281,"SIM","NÃO")</f>
        <v>SIM</v>
      </c>
    </row>
    <row r="282" customFormat="false" ht="15" hidden="false" customHeight="false" outlineLevel="0" collapsed="false">
      <c r="A282" s="59" t="n">
        <v>46224.8074768519</v>
      </c>
      <c r="B282" s="60" t="s">
        <v>656</v>
      </c>
      <c r="C282" s="60" t="n">
        <v>24725060</v>
      </c>
      <c r="D282" s="60" t="s">
        <v>47</v>
      </c>
      <c r="E282" s="60" t="s">
        <v>23</v>
      </c>
      <c r="F282" s="60" t="s">
        <v>235</v>
      </c>
      <c r="G282" s="60" t="n">
        <v>46.8</v>
      </c>
      <c r="H282" s="61" t="n">
        <v>509.99</v>
      </c>
      <c r="I282" s="61" t="n">
        <v>65.36</v>
      </c>
      <c r="J282" s="61" t="n">
        <f aca="false">H282*Resumo!$C$6</f>
        <v>0</v>
      </c>
      <c r="K282" s="61" t="n">
        <f aca="false">H282*Resumo!$C$7</f>
        <v>1.070979</v>
      </c>
      <c r="L282" s="61" t="n">
        <f aca="false">H282*Resumo!$C$8</f>
        <v>1.070979</v>
      </c>
      <c r="M282" s="61" t="n">
        <f aca="false">Resumo!$C$10*CEILING(G282/100,1)</f>
        <v>1.05</v>
      </c>
      <c r="N282" s="61" t="n">
        <f aca="false">Resumo!$C$9</f>
        <v>0</v>
      </c>
      <c r="O282" s="61" t="n">
        <f aca="false">Resumo!$C$13</f>
        <v>13.55</v>
      </c>
      <c r="P282" s="61" t="n">
        <f aca="false">Resumo!$C$14*CEILING(G282,1)</f>
        <v>21.15</v>
      </c>
      <c r="Q282" s="61" t="n">
        <f aca="false">SUM(I282:P282)*Resumo!$C$11</f>
        <v>0</v>
      </c>
      <c r="R282" s="61" t="n">
        <f aca="false">SUM(I282:Q282)</f>
        <v>103.251958</v>
      </c>
      <c r="S282" s="61" t="n">
        <f aca="false">R282/(1-Resumo!$C$5)</f>
        <v>117.331770454545</v>
      </c>
      <c r="T282" s="61" t="n">
        <v>114.95</v>
      </c>
      <c r="U282" s="61" t="n">
        <f aca="false">H282*Resumo!$B$6</f>
        <v>0.50999</v>
      </c>
      <c r="V282" s="61" t="n">
        <f aca="false">H282*Resumo!$B$7</f>
        <v>1.01998</v>
      </c>
      <c r="W282" s="61" t="n">
        <f aca="false">Resumo!$B$9</f>
        <v>1</v>
      </c>
      <c r="X282" s="61" t="n">
        <f aca="false">Resumo!$B$10*CEILING(G282/100,1)</f>
        <v>4.5</v>
      </c>
      <c r="Y282" s="61" t="n">
        <f aca="false">Resumo!$B$12*CEILING(G282,1)</f>
        <v>2.82</v>
      </c>
      <c r="Z282" s="61" t="n">
        <f aca="false">Resumo!$B$14*CEILING(G282,1)</f>
        <v>21.15</v>
      </c>
      <c r="AA282" s="61" t="n">
        <f aca="false">SUM(T282:Z282)</f>
        <v>145.94997</v>
      </c>
      <c r="AB282" s="61" t="n">
        <f aca="false">AA282/(1-Resumo!$B$5)</f>
        <v>165.852238636364</v>
      </c>
      <c r="AC282" s="61" t="n">
        <f aca="false">AB282-S282</f>
        <v>48.5204681818182</v>
      </c>
      <c r="AD282" s="62" t="n">
        <f aca="false">AB282/S282-1</f>
        <v>0.413532225703652</v>
      </c>
      <c r="AE282" s="60" t="str">
        <f aca="false">IF(AB282&lt;S282,"SIM","NÃO")</f>
        <v>NÃO</v>
      </c>
      <c r="AF282" s="60" t="n">
        <v>2</v>
      </c>
      <c r="AG282" s="60" t="n">
        <v>7</v>
      </c>
      <c r="AH282" s="60" t="s">
        <v>382</v>
      </c>
      <c r="AI282" s="61" t="n">
        <f aca="false">(T282*(1-Painel!$C$40)+U282+V282+Painel!$C$41+Painel!$C$42*CEILING(G282/100,1)+Painel!$C$43*CEILING(G282,1)+Z282)/(1-Resumo!$B$5)</f>
        <v>115.620988636364</v>
      </c>
      <c r="AJ282" s="60" t="str">
        <f aca="false">IF(AI282&lt;S282,"SIM","NÃO")</f>
        <v>SIM</v>
      </c>
    </row>
    <row r="283" customFormat="false" ht="15" hidden="false" customHeight="false" outlineLevel="0" collapsed="false">
      <c r="A283" s="59" t="n">
        <v>46224.8176736111</v>
      </c>
      <c r="B283" s="60" t="s">
        <v>657</v>
      </c>
      <c r="C283" s="60" t="n">
        <v>21770000</v>
      </c>
      <c r="D283" s="60" t="s">
        <v>46</v>
      </c>
      <c r="E283" s="60" t="s">
        <v>22</v>
      </c>
      <c r="F283" s="60" t="s">
        <v>236</v>
      </c>
      <c r="G283" s="60" t="n">
        <v>52.3</v>
      </c>
      <c r="H283" s="61" t="n">
        <v>699.99</v>
      </c>
      <c r="I283" s="61" t="n">
        <v>58.6</v>
      </c>
      <c r="J283" s="61" t="n">
        <f aca="false">H283*Resumo!$C$6</f>
        <v>0</v>
      </c>
      <c r="K283" s="61" t="n">
        <f aca="false">H283*Resumo!$C$7</f>
        <v>1.469979</v>
      </c>
      <c r="L283" s="61" t="n">
        <f aca="false">H283*Resumo!$C$8</f>
        <v>1.469979</v>
      </c>
      <c r="M283" s="61" t="n">
        <f aca="false">Resumo!$C$10*CEILING(G283/100,1)</f>
        <v>1.05</v>
      </c>
      <c r="N283" s="61" t="n">
        <f aca="false">Resumo!$C$9</f>
        <v>0</v>
      </c>
      <c r="O283" s="61" t="n">
        <f aca="false">Resumo!$C$13</f>
        <v>13.55</v>
      </c>
      <c r="P283" s="61" t="n">
        <f aca="false">Resumo!$C$14*CEILING(G283,1)</f>
        <v>23.85</v>
      </c>
      <c r="Q283" s="61" t="n">
        <f aca="false">SUM(I283:P283)*Resumo!$C$11</f>
        <v>0</v>
      </c>
      <c r="R283" s="61" t="n">
        <f aca="false">SUM(I283:Q283)</f>
        <v>99.989958</v>
      </c>
      <c r="S283" s="61" t="n">
        <f aca="false">R283/(1-Resumo!$C$5)</f>
        <v>113.624952272727</v>
      </c>
      <c r="T283" s="61" t="n">
        <v>112.3</v>
      </c>
      <c r="U283" s="61" t="n">
        <f aca="false">H283*Resumo!$B$6</f>
        <v>0.69999</v>
      </c>
      <c r="V283" s="61" t="n">
        <f aca="false">H283*Resumo!$B$7</f>
        <v>1.39998</v>
      </c>
      <c r="W283" s="61" t="n">
        <f aca="false">Resumo!$B$9</f>
        <v>1</v>
      </c>
      <c r="X283" s="61" t="n">
        <f aca="false">Resumo!$B$10*CEILING(G283/100,1)</f>
        <v>4.5</v>
      </c>
      <c r="Y283" s="61" t="n">
        <f aca="false">Resumo!$B$12*CEILING(G283,1)</f>
        <v>3.18</v>
      </c>
      <c r="Z283" s="61" t="n">
        <f aca="false">Resumo!$B$14*CEILING(G283,1)</f>
        <v>23.85</v>
      </c>
      <c r="AA283" s="61" t="n">
        <f aca="false">SUM(T283:Z283)</f>
        <v>146.92997</v>
      </c>
      <c r="AB283" s="61" t="n">
        <f aca="false">AA283/(1-Resumo!$B$5)</f>
        <v>166.965875</v>
      </c>
      <c r="AC283" s="61" t="n">
        <f aca="false">AB283-S283</f>
        <v>53.3409227272727</v>
      </c>
      <c r="AD283" s="62" t="n">
        <f aca="false">AB283/S283-1</f>
        <v>0.469447261894039</v>
      </c>
      <c r="AE283" s="60" t="str">
        <f aca="false">IF(AB283&lt;S283,"SIM","NÃO")</f>
        <v>NÃO</v>
      </c>
      <c r="AF283" s="60" t="n">
        <v>2</v>
      </c>
      <c r="AG283" s="60" t="n">
        <v>5</v>
      </c>
      <c r="AH283" s="60" t="s">
        <v>382</v>
      </c>
      <c r="AI283" s="61" t="n">
        <f aca="false">(T283*(1-Painel!$C$40)+U283+V283+Painel!$C$41+Painel!$C$42*CEILING(G283/100,1)+Painel!$C$43*CEILING(G283,1)+Z283)/(1-Resumo!$B$5)</f>
        <v>117.319284090909</v>
      </c>
      <c r="AJ283" s="60" t="str">
        <f aca="false">IF(AI283&lt;S283,"SIM","NÃO")</f>
        <v>NÃO</v>
      </c>
    </row>
    <row r="284" customFormat="false" ht="15" hidden="false" customHeight="false" outlineLevel="0" collapsed="false">
      <c r="A284" s="59" t="n">
        <v>46224.8861458333</v>
      </c>
      <c r="B284" s="60" t="s">
        <v>658</v>
      </c>
      <c r="C284" s="60" t="n">
        <v>23520560</v>
      </c>
      <c r="D284" s="60" t="s">
        <v>46</v>
      </c>
      <c r="E284" s="60" t="s">
        <v>22</v>
      </c>
      <c r="F284" s="60" t="s">
        <v>234</v>
      </c>
      <c r="G284" s="60" t="n">
        <v>39.8</v>
      </c>
      <c r="H284" s="61" t="n">
        <v>449.99</v>
      </c>
      <c r="I284" s="61" t="n">
        <v>48.35</v>
      </c>
      <c r="J284" s="61" t="n">
        <f aca="false">H284*Resumo!$C$6</f>
        <v>0</v>
      </c>
      <c r="K284" s="61" t="n">
        <f aca="false">H284*Resumo!$C$7</f>
        <v>0.944979</v>
      </c>
      <c r="L284" s="61" t="n">
        <f aca="false">H284*Resumo!$C$8</f>
        <v>0.944979</v>
      </c>
      <c r="M284" s="61" t="n">
        <f aca="false">Resumo!$C$10*CEILING(G284/100,1)</f>
        <v>1.05</v>
      </c>
      <c r="N284" s="61" t="n">
        <f aca="false">Resumo!$C$9</f>
        <v>0</v>
      </c>
      <c r="O284" s="61" t="n">
        <f aca="false">Resumo!$C$13</f>
        <v>13.55</v>
      </c>
      <c r="P284" s="61" t="n">
        <f aca="false">Resumo!$C$14*CEILING(G284,1)</f>
        <v>18</v>
      </c>
      <c r="Q284" s="61" t="n">
        <f aca="false">SUM(I284:P284)*Resumo!$C$11</f>
        <v>0</v>
      </c>
      <c r="R284" s="61" t="n">
        <f aca="false">SUM(I284:Q284)</f>
        <v>82.839958</v>
      </c>
      <c r="S284" s="61" t="n">
        <f aca="false">R284/(1-Resumo!$C$5)</f>
        <v>94.1363159090909</v>
      </c>
      <c r="T284" s="61" t="n">
        <v>93.97</v>
      </c>
      <c r="U284" s="61" t="n">
        <f aca="false">H284*Resumo!$B$6</f>
        <v>0.44999</v>
      </c>
      <c r="V284" s="61" t="n">
        <f aca="false">H284*Resumo!$B$7</f>
        <v>0.89998</v>
      </c>
      <c r="W284" s="61" t="n">
        <f aca="false">Resumo!$B$9</f>
        <v>1</v>
      </c>
      <c r="X284" s="61" t="n">
        <f aca="false">Resumo!$B$10*CEILING(G284/100,1)</f>
        <v>4.5</v>
      </c>
      <c r="Y284" s="61" t="n">
        <f aca="false">Resumo!$B$12*CEILING(G284,1)</f>
        <v>2.4</v>
      </c>
      <c r="Z284" s="61" t="n">
        <f aca="false">Resumo!$B$14*CEILING(G284,1)</f>
        <v>18</v>
      </c>
      <c r="AA284" s="61" t="n">
        <f aca="false">SUM(T284:Z284)</f>
        <v>121.21997</v>
      </c>
      <c r="AB284" s="61" t="n">
        <f aca="false">AA284/(1-Resumo!$B$5)</f>
        <v>137.749965909091</v>
      </c>
      <c r="AC284" s="61" t="n">
        <f aca="false">AB284-S284</f>
        <v>43.61365</v>
      </c>
      <c r="AD284" s="62" t="n">
        <f aca="false">AB284/S284-1</f>
        <v>0.463303132046494</v>
      </c>
      <c r="AE284" s="60" t="str">
        <f aca="false">IF(AB284&lt;S284,"SIM","NÃO")</f>
        <v>NÃO</v>
      </c>
      <c r="AF284" s="60" t="n">
        <v>2</v>
      </c>
      <c r="AG284" s="60" t="n">
        <v>5</v>
      </c>
      <c r="AH284" s="60" t="s">
        <v>382</v>
      </c>
      <c r="AI284" s="61" t="n">
        <f aca="false">(T284*(1-Painel!$C$40)+U284+V284+Painel!$C$41+Painel!$C$42*CEILING(G284/100,1)+Painel!$C$43*CEILING(G284,1)+Z284)/(1-Resumo!$B$5)</f>
        <v>95.8634886363636</v>
      </c>
      <c r="AJ284" s="60" t="str">
        <f aca="false">IF(AI284&lt;S284,"SIM","NÃO")</f>
        <v>NÃO</v>
      </c>
    </row>
    <row r="285" customFormat="false" ht="15" hidden="false" customHeight="false" outlineLevel="0" collapsed="false">
      <c r="A285" s="59" t="n">
        <v>46224.9212152778</v>
      </c>
      <c r="B285" s="60" t="s">
        <v>659</v>
      </c>
      <c r="C285" s="60" t="n">
        <v>23016010</v>
      </c>
      <c r="D285" s="60" t="s">
        <v>46</v>
      </c>
      <c r="E285" s="60" t="s">
        <v>22</v>
      </c>
      <c r="F285" s="60" t="s">
        <v>235</v>
      </c>
      <c r="G285" s="60" t="n">
        <v>46.8</v>
      </c>
      <c r="H285" s="61" t="n">
        <v>599.99</v>
      </c>
      <c r="I285" s="61" t="n">
        <v>53.55</v>
      </c>
      <c r="J285" s="61" t="n">
        <f aca="false">H285*Resumo!$C$6</f>
        <v>0</v>
      </c>
      <c r="K285" s="61" t="n">
        <f aca="false">H285*Resumo!$C$7</f>
        <v>1.259979</v>
      </c>
      <c r="L285" s="61" t="n">
        <f aca="false">H285*Resumo!$C$8</f>
        <v>1.259979</v>
      </c>
      <c r="M285" s="61" t="n">
        <f aca="false">Resumo!$C$10*CEILING(G285/100,1)</f>
        <v>1.05</v>
      </c>
      <c r="N285" s="61" t="n">
        <f aca="false">Resumo!$C$9</f>
        <v>0</v>
      </c>
      <c r="O285" s="61" t="n">
        <f aca="false">Resumo!$C$13</f>
        <v>13.55</v>
      </c>
      <c r="P285" s="61" t="n">
        <f aca="false">Resumo!$C$14*CEILING(G285,1)</f>
        <v>21.15</v>
      </c>
      <c r="Q285" s="61" t="n">
        <f aca="false">SUM(I285:P285)*Resumo!$C$11</f>
        <v>0</v>
      </c>
      <c r="R285" s="61" t="n">
        <f aca="false">SUM(I285:Q285)</f>
        <v>91.819958</v>
      </c>
      <c r="S285" s="61" t="n">
        <f aca="false">R285/(1-Resumo!$C$5)</f>
        <v>104.340861363636</v>
      </c>
      <c r="T285" s="61" t="n">
        <v>93.97</v>
      </c>
      <c r="U285" s="61" t="n">
        <f aca="false">H285*Resumo!$B$6</f>
        <v>0.59999</v>
      </c>
      <c r="V285" s="61" t="n">
        <f aca="false">H285*Resumo!$B$7</f>
        <v>1.19998</v>
      </c>
      <c r="W285" s="61" t="n">
        <f aca="false">Resumo!$B$9</f>
        <v>1</v>
      </c>
      <c r="X285" s="61" t="n">
        <f aca="false">Resumo!$B$10*CEILING(G285/100,1)</f>
        <v>4.5</v>
      </c>
      <c r="Y285" s="61" t="n">
        <f aca="false">Resumo!$B$12*CEILING(G285,1)</f>
        <v>2.82</v>
      </c>
      <c r="Z285" s="61" t="n">
        <f aca="false">Resumo!$B$14*CEILING(G285,1)</f>
        <v>21.15</v>
      </c>
      <c r="AA285" s="61" t="n">
        <f aca="false">SUM(T285:Z285)</f>
        <v>125.23997</v>
      </c>
      <c r="AB285" s="61" t="n">
        <f aca="false">AA285/(1-Resumo!$B$5)</f>
        <v>142.318147727273</v>
      </c>
      <c r="AC285" s="61" t="n">
        <f aca="false">AB285-S285</f>
        <v>37.9772863636364</v>
      </c>
      <c r="AD285" s="62" t="n">
        <f aca="false">AB285/S285-1</f>
        <v>0.363973287811785</v>
      </c>
      <c r="AE285" s="60" t="str">
        <f aca="false">IF(AB285&lt;S285,"SIM","NÃO")</f>
        <v>NÃO</v>
      </c>
      <c r="AF285" s="60" t="n">
        <v>2</v>
      </c>
      <c r="AG285" s="60" t="n">
        <v>5</v>
      </c>
      <c r="AH285" s="60" t="s">
        <v>382</v>
      </c>
      <c r="AI285" s="61" t="n">
        <f aca="false">(T285*(1-Painel!$C$40)+U285+V285+Painel!$C$41+Painel!$C$42*CEILING(G285/100,1)+Painel!$C$43*CEILING(G285,1)+Z285)/(1-Resumo!$B$5)</f>
        <v>99.9543977272727</v>
      </c>
      <c r="AJ285" s="60" t="str">
        <f aca="false">IF(AI285&lt;S285,"SIM","NÃO")</f>
        <v>SIM</v>
      </c>
    </row>
    <row r="286" customFormat="false" ht="15" hidden="false" customHeight="false" outlineLevel="0" collapsed="false">
      <c r="A286" s="59" t="n">
        <v>46225.3809606481</v>
      </c>
      <c r="B286" s="60" t="s">
        <v>660</v>
      </c>
      <c r="C286" s="60" t="n">
        <v>22790735</v>
      </c>
      <c r="D286" s="60" t="s">
        <v>46</v>
      </c>
      <c r="E286" s="60" t="s">
        <v>22</v>
      </c>
      <c r="F286" s="60" t="s">
        <v>236</v>
      </c>
      <c r="G286" s="60" t="n">
        <v>52.3</v>
      </c>
      <c r="H286" s="61" t="n">
        <v>637.57</v>
      </c>
      <c r="I286" s="61" t="n">
        <v>58.6</v>
      </c>
      <c r="J286" s="61" t="n">
        <f aca="false">H286*Resumo!$C$6</f>
        <v>0</v>
      </c>
      <c r="K286" s="61" t="n">
        <f aca="false">H286*Resumo!$C$7</f>
        <v>1.338897</v>
      </c>
      <c r="L286" s="61" t="n">
        <f aca="false">H286*Resumo!$C$8</f>
        <v>1.338897</v>
      </c>
      <c r="M286" s="61" t="n">
        <f aca="false">Resumo!$C$10*CEILING(G286/100,1)</f>
        <v>1.05</v>
      </c>
      <c r="N286" s="61" t="n">
        <f aca="false">Resumo!$C$9</f>
        <v>0</v>
      </c>
      <c r="O286" s="61" t="n">
        <f aca="false">Resumo!$C$13</f>
        <v>13.55</v>
      </c>
      <c r="P286" s="61" t="n">
        <f aca="false">Resumo!$C$14*CEILING(G286,1)</f>
        <v>23.85</v>
      </c>
      <c r="Q286" s="61" t="n">
        <f aca="false">SUM(I286:P286)*Resumo!$C$11</f>
        <v>0</v>
      </c>
      <c r="R286" s="61" t="n">
        <f aca="false">SUM(I286:Q286)</f>
        <v>99.727794</v>
      </c>
      <c r="S286" s="61" t="n">
        <f aca="false">R286/(1-Resumo!$C$5)</f>
        <v>113.327038636364</v>
      </c>
      <c r="T286" s="61" t="n">
        <v>112.3</v>
      </c>
      <c r="U286" s="61" t="n">
        <f aca="false">H286*Resumo!$B$6</f>
        <v>0.63757</v>
      </c>
      <c r="V286" s="61" t="n">
        <f aca="false">H286*Resumo!$B$7</f>
        <v>1.27514</v>
      </c>
      <c r="W286" s="61" t="n">
        <f aca="false">Resumo!$B$9</f>
        <v>1</v>
      </c>
      <c r="X286" s="61" t="n">
        <f aca="false">Resumo!$B$10*CEILING(G286/100,1)</f>
        <v>4.5</v>
      </c>
      <c r="Y286" s="61" t="n">
        <f aca="false">Resumo!$B$12*CEILING(G286,1)</f>
        <v>3.18</v>
      </c>
      <c r="Z286" s="61" t="n">
        <f aca="false">Resumo!$B$14*CEILING(G286,1)</f>
        <v>23.85</v>
      </c>
      <c r="AA286" s="61" t="n">
        <f aca="false">SUM(T286:Z286)</f>
        <v>146.74271</v>
      </c>
      <c r="AB286" s="61" t="n">
        <f aca="false">AA286/(1-Resumo!$B$5)</f>
        <v>166.753079545455</v>
      </c>
      <c r="AC286" s="61" t="n">
        <f aca="false">AB286-S286</f>
        <v>53.4260409090909</v>
      </c>
      <c r="AD286" s="62" t="n">
        <f aca="false">AB286/S286-1</f>
        <v>0.471432427353201</v>
      </c>
      <c r="AE286" s="60" t="str">
        <f aca="false">IF(AB286&lt;S286,"SIM","NÃO")</f>
        <v>NÃO</v>
      </c>
      <c r="AF286" s="60" t="n">
        <v>2</v>
      </c>
      <c r="AG286" s="60" t="n">
        <v>5</v>
      </c>
      <c r="AH286" s="60" t="s">
        <v>382</v>
      </c>
      <c r="AI286" s="61" t="n">
        <f aca="false">(T286*(1-Painel!$C$40)+U286+V286+Painel!$C$41+Painel!$C$42*CEILING(G286/100,1)+Painel!$C$43*CEILING(G286,1)+Z286)/(1-Resumo!$B$5)</f>
        <v>117.106488636364</v>
      </c>
      <c r="AJ286" s="60" t="str">
        <f aca="false">IF(AI286&lt;S286,"SIM","NÃO")</f>
        <v>NÃO</v>
      </c>
    </row>
    <row r="287" customFormat="false" ht="15" hidden="false" customHeight="false" outlineLevel="0" collapsed="false">
      <c r="A287" s="59" t="n">
        <v>46225.3823726852</v>
      </c>
      <c r="B287" s="60" t="s">
        <v>661</v>
      </c>
      <c r="C287" s="60" t="n">
        <v>24230000</v>
      </c>
      <c r="D287" s="60" t="s">
        <v>50</v>
      </c>
      <c r="E287" s="60" t="s">
        <v>23</v>
      </c>
      <c r="F287" s="60" t="s">
        <v>236</v>
      </c>
      <c r="G287" s="60" t="n">
        <v>52.3</v>
      </c>
      <c r="H287" s="61" t="n">
        <v>685.84</v>
      </c>
      <c r="I287" s="61" t="n">
        <v>70.98</v>
      </c>
      <c r="J287" s="61" t="n">
        <f aca="false">H287*Resumo!$C$6</f>
        <v>0</v>
      </c>
      <c r="K287" s="61" t="n">
        <f aca="false">H287*Resumo!$C$7</f>
        <v>1.440264</v>
      </c>
      <c r="L287" s="61" t="n">
        <f aca="false">H287*Resumo!$C$8</f>
        <v>1.440264</v>
      </c>
      <c r="M287" s="61" t="n">
        <f aca="false">Resumo!$C$10*CEILING(G287/100,1)</f>
        <v>1.05</v>
      </c>
      <c r="N287" s="61" t="n">
        <f aca="false">Resumo!$C$9</f>
        <v>0</v>
      </c>
      <c r="O287" s="61" t="n">
        <f aca="false">Resumo!$C$13</f>
        <v>13.55</v>
      </c>
      <c r="P287" s="61" t="n">
        <f aca="false">Resumo!$C$14*CEILING(G287,1)</f>
        <v>23.85</v>
      </c>
      <c r="Q287" s="61" t="n">
        <f aca="false">SUM(I287:P287)*Resumo!$C$11</f>
        <v>0</v>
      </c>
      <c r="R287" s="61" t="n">
        <f aca="false">SUM(I287:Q287)</f>
        <v>112.310528</v>
      </c>
      <c r="S287" s="61" t="n">
        <f aca="false">R287/(1-Resumo!$C$5)</f>
        <v>127.6256</v>
      </c>
      <c r="T287" s="61" t="n">
        <v>128.14</v>
      </c>
      <c r="U287" s="61" t="n">
        <f aca="false">H287*Resumo!$B$6</f>
        <v>0.68584</v>
      </c>
      <c r="V287" s="61" t="n">
        <f aca="false">H287*Resumo!$B$7</f>
        <v>1.37168</v>
      </c>
      <c r="W287" s="61" t="n">
        <f aca="false">Resumo!$B$9</f>
        <v>1</v>
      </c>
      <c r="X287" s="61" t="n">
        <f aca="false">Resumo!$B$10*CEILING(G287/100,1)</f>
        <v>4.5</v>
      </c>
      <c r="Y287" s="61" t="n">
        <f aca="false">Resumo!$B$12*CEILING(G287,1)</f>
        <v>3.18</v>
      </c>
      <c r="Z287" s="61" t="n">
        <f aca="false">Resumo!$B$14*CEILING(G287,1)</f>
        <v>23.85</v>
      </c>
      <c r="AA287" s="61" t="n">
        <f aca="false">SUM(T287:Z287)</f>
        <v>162.72752</v>
      </c>
      <c r="AB287" s="61" t="n">
        <f aca="false">AA287/(1-Resumo!$B$5)</f>
        <v>184.917636363636</v>
      </c>
      <c r="AC287" s="61" t="n">
        <f aca="false">AB287-S287</f>
        <v>57.2920363636363</v>
      </c>
      <c r="AD287" s="62" t="n">
        <f aca="false">AB287/S287-1</f>
        <v>0.448907087321323</v>
      </c>
      <c r="AE287" s="60" t="str">
        <f aca="false">IF(AB287&lt;S287,"SIM","NÃO")</f>
        <v>NÃO</v>
      </c>
      <c r="AF287" s="60" t="n">
        <v>2</v>
      </c>
      <c r="AG287" s="60" t="n">
        <v>7</v>
      </c>
      <c r="AH287" s="60" t="s">
        <v>382</v>
      </c>
      <c r="AI287" s="61" t="n">
        <f aca="false">(T287*(1-Painel!$C$40)+U287+V287+Painel!$C$41+Painel!$C$42*CEILING(G287/100,1)+Painel!$C$43*CEILING(G287,1)+Z287)/(1-Resumo!$B$5)</f>
        <v>129.331045454545</v>
      </c>
      <c r="AJ287" s="60" t="str">
        <f aca="false">IF(AI287&lt;S287,"SIM","NÃO")</f>
        <v>NÃO</v>
      </c>
    </row>
    <row r="288" customFormat="false" ht="15" hidden="false" customHeight="false" outlineLevel="0" collapsed="false">
      <c r="A288" s="59" t="n">
        <v>46225.4376388889</v>
      </c>
      <c r="B288" s="60" t="s">
        <v>662</v>
      </c>
      <c r="C288" s="60" t="n">
        <v>23520660</v>
      </c>
      <c r="D288" s="60" t="s">
        <v>46</v>
      </c>
      <c r="E288" s="60" t="s">
        <v>22</v>
      </c>
      <c r="F288" s="60" t="s">
        <v>233</v>
      </c>
      <c r="G288" s="60" t="n">
        <v>33.21</v>
      </c>
      <c r="H288" s="61" t="n">
        <v>377.9</v>
      </c>
      <c r="I288" s="61" t="n">
        <v>42.11</v>
      </c>
      <c r="J288" s="61" t="n">
        <f aca="false">H288*Resumo!$C$6</f>
        <v>0</v>
      </c>
      <c r="K288" s="61" t="n">
        <f aca="false">H288*Resumo!$C$7</f>
        <v>0.79359</v>
      </c>
      <c r="L288" s="61" t="n">
        <f aca="false">H288*Resumo!$C$8</f>
        <v>0.79359</v>
      </c>
      <c r="M288" s="61" t="n">
        <f aca="false">Resumo!$C$10*CEILING(G288/100,1)</f>
        <v>1.05</v>
      </c>
      <c r="N288" s="61" t="n">
        <f aca="false">Resumo!$C$9</f>
        <v>0</v>
      </c>
      <c r="O288" s="61" t="n">
        <f aca="false">Resumo!$C$13</f>
        <v>13.55</v>
      </c>
      <c r="P288" s="61" t="n">
        <f aca="false">Resumo!$C$14*CEILING(G288,1)</f>
        <v>15.3</v>
      </c>
      <c r="Q288" s="61" t="n">
        <f aca="false">SUM(I288:P288)*Resumo!$C$11</f>
        <v>0</v>
      </c>
      <c r="R288" s="61" t="n">
        <f aca="false">SUM(I288:Q288)</f>
        <v>73.59718</v>
      </c>
      <c r="S288" s="61" t="n">
        <f aca="false">R288/(1-Resumo!$C$5)</f>
        <v>83.6331590909091</v>
      </c>
      <c r="T288" s="61" t="n">
        <v>82.21</v>
      </c>
      <c r="U288" s="61" t="n">
        <f aca="false">H288*Resumo!$B$6</f>
        <v>0.3779</v>
      </c>
      <c r="V288" s="61" t="n">
        <f aca="false">H288*Resumo!$B$7</f>
        <v>0.7558</v>
      </c>
      <c r="W288" s="61" t="n">
        <f aca="false">Resumo!$B$9</f>
        <v>1</v>
      </c>
      <c r="X288" s="61" t="n">
        <f aca="false">Resumo!$B$10*CEILING(G288/100,1)</f>
        <v>4.5</v>
      </c>
      <c r="Y288" s="61" t="n">
        <f aca="false">Resumo!$B$12*CEILING(G288,1)</f>
        <v>2.04</v>
      </c>
      <c r="Z288" s="61" t="n">
        <f aca="false">Resumo!$B$14*CEILING(G288,1)</f>
        <v>15.3</v>
      </c>
      <c r="AA288" s="61" t="n">
        <f aca="false">SUM(T288:Z288)</f>
        <v>106.1837</v>
      </c>
      <c r="AB288" s="61" t="n">
        <f aca="false">AA288/(1-Resumo!$B$5)</f>
        <v>120.663295454545</v>
      </c>
      <c r="AC288" s="61" t="n">
        <f aca="false">AB288-S288</f>
        <v>37.0301363636363</v>
      </c>
      <c r="AD288" s="62" t="n">
        <f aca="false">AB288/S288-1</f>
        <v>0.442768595209762</v>
      </c>
      <c r="AE288" s="60" t="str">
        <f aca="false">IF(AB288&lt;S288,"SIM","NÃO")</f>
        <v>NÃO</v>
      </c>
      <c r="AF288" s="60" t="n">
        <v>2</v>
      </c>
      <c r="AG288" s="60" t="n">
        <v>5</v>
      </c>
      <c r="AH288" s="60" t="s">
        <v>382</v>
      </c>
      <c r="AI288" s="61" t="n">
        <f aca="false">(T288*(1-Painel!$C$40)+U288+V288+Painel!$C$41+Painel!$C$42*CEILING(G288/100,1)+Painel!$C$43*CEILING(G288,1)+Z288)/(1-Resumo!$B$5)</f>
        <v>83.5959090909091</v>
      </c>
      <c r="AJ288" s="60" t="str">
        <f aca="false">IF(AI288&lt;S288,"SIM","NÃO")</f>
        <v>SIM</v>
      </c>
    </row>
    <row r="289" customFormat="false" ht="15" hidden="false" customHeight="false" outlineLevel="0" collapsed="false">
      <c r="A289" s="59" t="n">
        <v>46225.4850578704</v>
      </c>
      <c r="B289" s="60" t="s">
        <v>663</v>
      </c>
      <c r="C289" s="60" t="n">
        <v>20755300</v>
      </c>
      <c r="D289" s="60" t="s">
        <v>46</v>
      </c>
      <c r="E289" s="60" t="s">
        <v>22</v>
      </c>
      <c r="F289" s="60" t="s">
        <v>236</v>
      </c>
      <c r="G289" s="60" t="n">
        <v>52.3</v>
      </c>
      <c r="H289" s="61" t="n">
        <v>685.84</v>
      </c>
      <c r="I289" s="61" t="n">
        <v>58.6</v>
      </c>
      <c r="J289" s="61" t="n">
        <f aca="false">H289*Resumo!$C$6</f>
        <v>0</v>
      </c>
      <c r="K289" s="61" t="n">
        <f aca="false">H289*Resumo!$C$7</f>
        <v>1.440264</v>
      </c>
      <c r="L289" s="61" t="n">
        <f aca="false">H289*Resumo!$C$8</f>
        <v>1.440264</v>
      </c>
      <c r="M289" s="61" t="n">
        <f aca="false">Resumo!$C$10*CEILING(G289/100,1)</f>
        <v>1.05</v>
      </c>
      <c r="N289" s="61" t="n">
        <f aca="false">Resumo!$C$9</f>
        <v>0</v>
      </c>
      <c r="O289" s="61" t="n">
        <f aca="false">Resumo!$C$13</f>
        <v>13.55</v>
      </c>
      <c r="P289" s="61" t="n">
        <f aca="false">Resumo!$C$14*CEILING(G289,1)</f>
        <v>23.85</v>
      </c>
      <c r="Q289" s="61" t="n">
        <f aca="false">SUM(I289:P289)*Resumo!$C$11</f>
        <v>0</v>
      </c>
      <c r="R289" s="61" t="n">
        <f aca="false">SUM(I289:Q289)</f>
        <v>99.930528</v>
      </c>
      <c r="S289" s="61" t="n">
        <f aca="false">R289/(1-Resumo!$C$5)</f>
        <v>113.557418181818</v>
      </c>
      <c r="T289" s="61" t="n">
        <v>112.3</v>
      </c>
      <c r="U289" s="61" t="n">
        <f aca="false">H289*Resumo!$B$6</f>
        <v>0.68584</v>
      </c>
      <c r="V289" s="61" t="n">
        <f aca="false">H289*Resumo!$B$7</f>
        <v>1.37168</v>
      </c>
      <c r="W289" s="61" t="n">
        <f aca="false">Resumo!$B$9</f>
        <v>1</v>
      </c>
      <c r="X289" s="61" t="n">
        <f aca="false">Resumo!$B$10*CEILING(G289/100,1)</f>
        <v>4.5</v>
      </c>
      <c r="Y289" s="61" t="n">
        <f aca="false">Resumo!$B$12*CEILING(G289,1)</f>
        <v>3.18</v>
      </c>
      <c r="Z289" s="61" t="n">
        <f aca="false">Resumo!$B$14*CEILING(G289,1)</f>
        <v>23.85</v>
      </c>
      <c r="AA289" s="61" t="n">
        <f aca="false">SUM(T289:Z289)</f>
        <v>146.88752</v>
      </c>
      <c r="AB289" s="61" t="n">
        <f aca="false">AA289/(1-Resumo!$B$5)</f>
        <v>166.917636363636</v>
      </c>
      <c r="AC289" s="61" t="n">
        <f aca="false">AB289-S289</f>
        <v>53.3602181818182</v>
      </c>
      <c r="AD289" s="62" t="n">
        <f aca="false">AB289/S289-1</f>
        <v>0.469896366403668</v>
      </c>
      <c r="AE289" s="60" t="str">
        <f aca="false">IF(AB289&lt;S289,"SIM","NÃO")</f>
        <v>NÃO</v>
      </c>
      <c r="AF289" s="60" t="n">
        <v>2</v>
      </c>
      <c r="AG289" s="60" t="n">
        <v>5</v>
      </c>
      <c r="AH289" s="60" t="s">
        <v>382</v>
      </c>
      <c r="AI289" s="61" t="n">
        <f aca="false">(T289*(1-Painel!$C$40)+U289+V289+Painel!$C$41+Painel!$C$42*CEILING(G289/100,1)+Painel!$C$43*CEILING(G289,1)+Z289)/(1-Resumo!$B$5)</f>
        <v>117.271045454545</v>
      </c>
      <c r="AJ289" s="60" t="str">
        <f aca="false">IF(AI289&lt;S289,"SIM","NÃO")</f>
        <v>NÃO</v>
      </c>
    </row>
    <row r="290" customFormat="false" ht="15" hidden="false" customHeight="false" outlineLevel="0" collapsed="false">
      <c r="A290" s="59" t="n">
        <v>46225.5594097222</v>
      </c>
      <c r="B290" s="60" t="s">
        <v>664</v>
      </c>
      <c r="C290" s="60" t="n">
        <v>26560540</v>
      </c>
      <c r="D290" s="60" t="s">
        <v>224</v>
      </c>
      <c r="E290" s="60" t="s">
        <v>23</v>
      </c>
      <c r="F290" s="60" t="s">
        <v>233</v>
      </c>
      <c r="G290" s="60" t="n">
        <v>27.4</v>
      </c>
      <c r="H290" s="61" t="n">
        <v>359.99</v>
      </c>
      <c r="I290" s="61" t="n">
        <v>58.8</v>
      </c>
      <c r="J290" s="61" t="n">
        <f aca="false">H290*Resumo!$C$6</f>
        <v>0</v>
      </c>
      <c r="K290" s="61" t="n">
        <f aca="false">H290*Resumo!$C$7</f>
        <v>0.755979</v>
      </c>
      <c r="L290" s="61" t="n">
        <f aca="false">H290*Resumo!$C$8</f>
        <v>0.755979</v>
      </c>
      <c r="M290" s="61" t="n">
        <f aca="false">Resumo!$C$10*CEILING(G290/100,1)</f>
        <v>1.05</v>
      </c>
      <c r="N290" s="61" t="n">
        <f aca="false">Resumo!$C$9</f>
        <v>0</v>
      </c>
      <c r="O290" s="61" t="n">
        <f aca="false">Resumo!$C$13</f>
        <v>13.55</v>
      </c>
      <c r="P290" s="61" t="n">
        <f aca="false">Resumo!$C$14*CEILING(G290,1)</f>
        <v>12.6</v>
      </c>
      <c r="Q290" s="61" t="n">
        <f aca="false">SUM(I290:P290)*Resumo!$C$11</f>
        <v>0</v>
      </c>
      <c r="R290" s="61" t="n">
        <f aca="false">SUM(I290:Q290)</f>
        <v>87.511958</v>
      </c>
      <c r="S290" s="61" t="n">
        <f aca="false">R290/(1-Resumo!$C$5)</f>
        <v>99.4454068181818</v>
      </c>
      <c r="T290" s="61" t="n">
        <v>82.21</v>
      </c>
      <c r="U290" s="61" t="n">
        <f aca="false">H290*Resumo!$B$6</f>
        <v>0.35999</v>
      </c>
      <c r="V290" s="61" t="n">
        <f aca="false">H290*Resumo!$B$7</f>
        <v>0.71998</v>
      </c>
      <c r="W290" s="61" t="n">
        <f aca="false">Resumo!$B$9</f>
        <v>1</v>
      </c>
      <c r="X290" s="61" t="n">
        <f aca="false">Resumo!$B$10*CEILING(G290/100,1)</f>
        <v>4.5</v>
      </c>
      <c r="Y290" s="61" t="n">
        <f aca="false">Resumo!$B$12*CEILING(G290,1)</f>
        <v>1.68</v>
      </c>
      <c r="Z290" s="61" t="n">
        <f aca="false">Resumo!$B$14*CEILING(G290,1)</f>
        <v>12.6</v>
      </c>
      <c r="AA290" s="61" t="n">
        <f aca="false">SUM(T290:Z290)</f>
        <v>103.06997</v>
      </c>
      <c r="AB290" s="61" t="n">
        <f aca="false">AA290/(1-Resumo!$B$5)</f>
        <v>117.124965909091</v>
      </c>
      <c r="AC290" s="61" t="n">
        <f aca="false">AB290-S290</f>
        <v>17.6795590909091</v>
      </c>
      <c r="AD290" s="62" t="n">
        <f aca="false">AB290/S290-1</f>
        <v>0.177781555293278</v>
      </c>
      <c r="AE290" s="60" t="str">
        <f aca="false">IF(AB290&lt;S290,"SIM","NÃO")</f>
        <v>NÃO</v>
      </c>
      <c r="AF290" s="60" t="n">
        <v>2</v>
      </c>
      <c r="AG290" s="60" t="n">
        <v>5</v>
      </c>
      <c r="AH290" s="60" t="s">
        <v>382</v>
      </c>
      <c r="AI290" s="61" t="n">
        <f aca="false">(T290*(1-Painel!$C$40)+U290+V290+Painel!$C$41+Painel!$C$42*CEILING(G290/100,1)+Painel!$C$43*CEILING(G290,1)+Z290)/(1-Resumo!$B$5)</f>
        <v>80.4666704545454</v>
      </c>
      <c r="AJ290" s="60" t="str">
        <f aca="false">IF(AI290&lt;S290,"SIM","NÃO")</f>
        <v>SIM</v>
      </c>
    </row>
    <row r="291" customFormat="false" ht="15" hidden="false" customHeight="false" outlineLevel="0" collapsed="false">
      <c r="A291" s="59" t="n">
        <v>46225.7134259259</v>
      </c>
      <c r="B291" s="60" t="s">
        <v>665</v>
      </c>
      <c r="C291" s="60" t="n">
        <v>21655340</v>
      </c>
      <c r="D291" s="60" t="s">
        <v>46</v>
      </c>
      <c r="E291" s="60" t="s">
        <v>22</v>
      </c>
      <c r="F291" s="60" t="s">
        <v>235</v>
      </c>
      <c r="G291" s="60" t="n">
        <v>48</v>
      </c>
      <c r="H291" s="61" t="n">
        <v>737.99</v>
      </c>
      <c r="I291" s="61" t="n">
        <v>53.55</v>
      </c>
      <c r="J291" s="61" t="n">
        <f aca="false">H291*Resumo!$C$6</f>
        <v>0</v>
      </c>
      <c r="K291" s="61" t="n">
        <f aca="false">H291*Resumo!$C$7</f>
        <v>1.549779</v>
      </c>
      <c r="L291" s="61" t="n">
        <f aca="false">H291*Resumo!$C$8</f>
        <v>1.549779</v>
      </c>
      <c r="M291" s="61" t="n">
        <f aca="false">Resumo!$C$10*CEILING(G291/100,1)</f>
        <v>1.05</v>
      </c>
      <c r="N291" s="61" t="n">
        <f aca="false">Resumo!$C$9</f>
        <v>0</v>
      </c>
      <c r="O291" s="61" t="n">
        <f aca="false">Resumo!$C$13</f>
        <v>13.55</v>
      </c>
      <c r="P291" s="61" t="n">
        <f aca="false">Resumo!$C$14*CEILING(G291,1)</f>
        <v>21.6</v>
      </c>
      <c r="Q291" s="61" t="n">
        <f aca="false">SUM(I291:P291)*Resumo!$C$11</f>
        <v>0</v>
      </c>
      <c r="R291" s="61" t="n">
        <f aca="false">SUM(I291:Q291)</f>
        <v>92.849558</v>
      </c>
      <c r="S291" s="61" t="n">
        <f aca="false">R291/(1-Resumo!$C$5)</f>
        <v>105.510861363636</v>
      </c>
      <c r="T291" s="61" t="n">
        <v>93.97</v>
      </c>
      <c r="U291" s="61" t="n">
        <f aca="false">H291*Resumo!$B$6</f>
        <v>0.73799</v>
      </c>
      <c r="V291" s="61" t="n">
        <f aca="false">H291*Resumo!$B$7</f>
        <v>1.47598</v>
      </c>
      <c r="W291" s="61" t="n">
        <f aca="false">Resumo!$B$9</f>
        <v>1</v>
      </c>
      <c r="X291" s="61" t="n">
        <f aca="false">Resumo!$B$10*CEILING(G291/100,1)</f>
        <v>4.5</v>
      </c>
      <c r="Y291" s="61" t="n">
        <f aca="false">Resumo!$B$12*CEILING(G291,1)</f>
        <v>2.88</v>
      </c>
      <c r="Z291" s="61" t="n">
        <f aca="false">Resumo!$B$14*CEILING(G291,1)</f>
        <v>21.6</v>
      </c>
      <c r="AA291" s="61" t="n">
        <f aca="false">SUM(T291:Z291)</f>
        <v>126.16397</v>
      </c>
      <c r="AB291" s="61" t="n">
        <f aca="false">AA291/(1-Resumo!$B$5)</f>
        <v>143.368147727273</v>
      </c>
      <c r="AC291" s="61" t="n">
        <f aca="false">AB291-S291</f>
        <v>37.8572863636364</v>
      </c>
      <c r="AD291" s="62" t="n">
        <f aca="false">AB291/S291-1</f>
        <v>0.358799898648952</v>
      </c>
      <c r="AE291" s="60" t="str">
        <f aca="false">IF(AB291&lt;S291,"SIM","NÃO")</f>
        <v>NÃO</v>
      </c>
      <c r="AF291" s="60" t="n">
        <v>2</v>
      </c>
      <c r="AG291" s="60" t="n">
        <v>5</v>
      </c>
      <c r="AH291" s="60" t="s">
        <v>382</v>
      </c>
      <c r="AI291" s="61" t="n">
        <f aca="false">(T291*(1-Painel!$C$40)+U291+V291+Painel!$C$41+Painel!$C$42*CEILING(G291/100,1)+Painel!$C$43*CEILING(G291,1)+Z291)/(1-Resumo!$B$5)</f>
        <v>100.936215909091</v>
      </c>
      <c r="AJ291" s="60" t="str">
        <f aca="false">IF(AI291&lt;S291,"SIM","NÃO")</f>
        <v>SIM</v>
      </c>
    </row>
    <row r="292" customFormat="false" ht="15" hidden="false" customHeight="false" outlineLevel="0" collapsed="false">
      <c r="A292" s="59" t="n">
        <v>46225.7394791667</v>
      </c>
      <c r="B292" s="60" t="s">
        <v>666</v>
      </c>
      <c r="C292" s="60" t="n">
        <v>21635100</v>
      </c>
      <c r="D292" s="60" t="s">
        <v>46</v>
      </c>
      <c r="E292" s="60" t="s">
        <v>22</v>
      </c>
      <c r="F292" s="60" t="s">
        <v>233</v>
      </c>
      <c r="G292" s="60" t="n">
        <v>27.4</v>
      </c>
      <c r="H292" s="61" t="n">
        <v>359.99</v>
      </c>
      <c r="I292" s="61" t="n">
        <v>42.11</v>
      </c>
      <c r="J292" s="61" t="n">
        <f aca="false">H292*Resumo!$C$6</f>
        <v>0</v>
      </c>
      <c r="K292" s="61" t="n">
        <f aca="false">H292*Resumo!$C$7</f>
        <v>0.755979</v>
      </c>
      <c r="L292" s="61" t="n">
        <f aca="false">H292*Resumo!$C$8</f>
        <v>0.755979</v>
      </c>
      <c r="M292" s="61" t="n">
        <f aca="false">Resumo!$C$10*CEILING(G292/100,1)</f>
        <v>1.05</v>
      </c>
      <c r="N292" s="61" t="n">
        <f aca="false">Resumo!$C$9</f>
        <v>0</v>
      </c>
      <c r="O292" s="61" t="n">
        <f aca="false">Resumo!$C$13</f>
        <v>13.55</v>
      </c>
      <c r="P292" s="61" t="n">
        <f aca="false">Resumo!$C$14*CEILING(G292,1)</f>
        <v>12.6</v>
      </c>
      <c r="Q292" s="61" t="n">
        <f aca="false">SUM(I292:P292)*Resumo!$C$11</f>
        <v>0</v>
      </c>
      <c r="R292" s="61" t="n">
        <f aca="false">SUM(I292:Q292)</f>
        <v>70.821958</v>
      </c>
      <c r="S292" s="61" t="n">
        <f aca="false">R292/(1-Resumo!$C$5)</f>
        <v>80.4794977272727</v>
      </c>
      <c r="T292" s="61" t="n">
        <v>82.21</v>
      </c>
      <c r="U292" s="61" t="n">
        <f aca="false">H292*Resumo!$B$6</f>
        <v>0.35999</v>
      </c>
      <c r="V292" s="61" t="n">
        <f aca="false">H292*Resumo!$B$7</f>
        <v>0.71998</v>
      </c>
      <c r="W292" s="61" t="n">
        <f aca="false">Resumo!$B$9</f>
        <v>1</v>
      </c>
      <c r="X292" s="61" t="n">
        <f aca="false">Resumo!$B$10*CEILING(G292/100,1)</f>
        <v>4.5</v>
      </c>
      <c r="Y292" s="61" t="n">
        <f aca="false">Resumo!$B$12*CEILING(G292,1)</f>
        <v>1.68</v>
      </c>
      <c r="Z292" s="61" t="n">
        <f aca="false">Resumo!$B$14*CEILING(G292,1)</f>
        <v>12.6</v>
      </c>
      <c r="AA292" s="61" t="n">
        <f aca="false">SUM(T292:Z292)</f>
        <v>103.06997</v>
      </c>
      <c r="AB292" s="61" t="n">
        <f aca="false">AA292/(1-Resumo!$B$5)</f>
        <v>117.124965909091</v>
      </c>
      <c r="AC292" s="61" t="n">
        <f aca="false">AB292-S292</f>
        <v>36.6454681818182</v>
      </c>
      <c r="AD292" s="62" t="n">
        <f aca="false">AB292/S292-1</f>
        <v>0.455339176022216</v>
      </c>
      <c r="AE292" s="60" t="str">
        <f aca="false">IF(AB292&lt;S292,"SIM","NÃO")</f>
        <v>NÃO</v>
      </c>
      <c r="AF292" s="60" t="n">
        <v>2</v>
      </c>
      <c r="AG292" s="60" t="n">
        <v>5</v>
      </c>
      <c r="AH292" s="60" t="s">
        <v>382</v>
      </c>
      <c r="AI292" s="61" t="n">
        <f aca="false">(T292*(1-Painel!$C$40)+U292+V292+Painel!$C$41+Painel!$C$42*CEILING(G292/100,1)+Painel!$C$43*CEILING(G292,1)+Z292)/(1-Resumo!$B$5)</f>
        <v>80.4666704545454</v>
      </c>
      <c r="AJ292" s="60" t="str">
        <f aca="false">IF(AI292&lt;S292,"SIM","NÃO")</f>
        <v>SIM</v>
      </c>
    </row>
    <row r="293" customFormat="false" ht="15" hidden="false" customHeight="false" outlineLevel="0" collapsed="false">
      <c r="A293" s="59" t="n">
        <v>46225.8247800926</v>
      </c>
      <c r="B293" s="60" t="s">
        <v>667</v>
      </c>
      <c r="C293" s="60" t="n">
        <v>24910750</v>
      </c>
      <c r="D293" s="60" t="s">
        <v>220</v>
      </c>
      <c r="E293" s="60" t="s">
        <v>24</v>
      </c>
      <c r="F293" s="60" t="s">
        <v>234</v>
      </c>
      <c r="G293" s="60" t="n">
        <v>40</v>
      </c>
      <c r="H293" s="61" t="n">
        <v>599.99</v>
      </c>
      <c r="I293" s="61" t="n">
        <v>74.97</v>
      </c>
      <c r="J293" s="61" t="n">
        <f aca="false">H293*Resumo!$C$6</f>
        <v>0</v>
      </c>
      <c r="K293" s="61" t="n">
        <f aca="false">H293*Resumo!$C$7</f>
        <v>1.259979</v>
      </c>
      <c r="L293" s="61" t="n">
        <f aca="false">H293*Resumo!$C$8</f>
        <v>1.259979</v>
      </c>
      <c r="M293" s="61" t="n">
        <f aca="false">Resumo!$C$10*CEILING(G293/100,1)</f>
        <v>1.05</v>
      </c>
      <c r="N293" s="61" t="n">
        <f aca="false">Resumo!$C$9</f>
        <v>0</v>
      </c>
      <c r="O293" s="61" t="n">
        <f aca="false">Resumo!$C$13</f>
        <v>13.55</v>
      </c>
      <c r="P293" s="61" t="n">
        <f aca="false">Resumo!$C$14*CEILING(G293,1)</f>
        <v>18</v>
      </c>
      <c r="Q293" s="61" t="n">
        <f aca="false">SUM(I293:P293)*Resumo!$C$11</f>
        <v>0</v>
      </c>
      <c r="R293" s="61" t="n">
        <f aca="false">SUM(I293:Q293)</f>
        <v>110.089958</v>
      </c>
      <c r="S293" s="61" t="n">
        <f aca="false">R293/(1-Resumo!$C$5)</f>
        <v>125.102225</v>
      </c>
      <c r="T293" s="61" t="n">
        <v>114.95</v>
      </c>
      <c r="U293" s="61" t="n">
        <f aca="false">H293*Resumo!$B$6</f>
        <v>0.59999</v>
      </c>
      <c r="V293" s="61" t="n">
        <f aca="false">H293*Resumo!$B$7</f>
        <v>1.19998</v>
      </c>
      <c r="W293" s="61" t="n">
        <f aca="false">Resumo!$B$9</f>
        <v>1</v>
      </c>
      <c r="X293" s="61" t="n">
        <f aca="false">Resumo!$B$10*CEILING(G293/100,1)</f>
        <v>4.5</v>
      </c>
      <c r="Y293" s="61" t="n">
        <f aca="false">Resumo!$B$12*CEILING(G293,1)</f>
        <v>2.4</v>
      </c>
      <c r="Z293" s="61" t="n">
        <f aca="false">Resumo!$B$14*CEILING(G293,1)</f>
        <v>18</v>
      </c>
      <c r="AA293" s="61" t="n">
        <f aca="false">SUM(T293:Z293)</f>
        <v>142.64997</v>
      </c>
      <c r="AB293" s="61" t="n">
        <f aca="false">AA293/(1-Resumo!$B$5)</f>
        <v>162.102238636364</v>
      </c>
      <c r="AC293" s="61" t="n">
        <f aca="false">AB293-S293</f>
        <v>37.0000136363637</v>
      </c>
      <c r="AD293" s="62" t="n">
        <f aca="false">AB293/S293-1</f>
        <v>0.29575823800387</v>
      </c>
      <c r="AE293" s="60" t="str">
        <f aca="false">IF(AB293&lt;S293,"SIM","NÃO")</f>
        <v>NÃO</v>
      </c>
      <c r="AF293" s="60" t="n">
        <v>13</v>
      </c>
      <c r="AG293" s="60" t="n">
        <v>7</v>
      </c>
      <c r="AH293" s="60" t="s">
        <v>382</v>
      </c>
      <c r="AI293" s="61" t="n">
        <f aca="false">(T293*(1-Painel!$C$40)+U293+V293+Painel!$C$41+Painel!$C$42*CEILING(G293/100,1)+Painel!$C$43*CEILING(G293,1)+Z293)/(1-Resumo!$B$5)</f>
        <v>112.348261363636</v>
      </c>
      <c r="AJ293" s="60" t="str">
        <f aca="false">IF(AI293&lt;S293,"SIM","NÃO")</f>
        <v>SIM</v>
      </c>
    </row>
    <row r="294" customFormat="false" ht="15" hidden="false" customHeight="false" outlineLevel="0" collapsed="false">
      <c r="A294" s="59" t="n">
        <v>46225.8529166667</v>
      </c>
      <c r="B294" s="60" t="s">
        <v>668</v>
      </c>
      <c r="C294" s="60" t="n">
        <v>20211350</v>
      </c>
      <c r="D294" s="60" t="s">
        <v>46</v>
      </c>
      <c r="E294" s="60" t="s">
        <v>22</v>
      </c>
      <c r="F294" s="60" t="s">
        <v>236</v>
      </c>
      <c r="G294" s="60" t="n">
        <v>52.3</v>
      </c>
      <c r="H294" s="61" t="n">
        <v>699.99</v>
      </c>
      <c r="I294" s="61" t="n">
        <v>58.6</v>
      </c>
      <c r="J294" s="61" t="n">
        <f aca="false">H294*Resumo!$C$6</f>
        <v>0</v>
      </c>
      <c r="K294" s="61" t="n">
        <f aca="false">H294*Resumo!$C$7</f>
        <v>1.469979</v>
      </c>
      <c r="L294" s="61" t="n">
        <f aca="false">H294*Resumo!$C$8</f>
        <v>1.469979</v>
      </c>
      <c r="M294" s="61" t="n">
        <f aca="false">Resumo!$C$10*CEILING(G294/100,1)</f>
        <v>1.05</v>
      </c>
      <c r="N294" s="61" t="n">
        <f aca="false">Resumo!$C$9</f>
        <v>0</v>
      </c>
      <c r="O294" s="61" t="n">
        <f aca="false">Resumo!$C$13</f>
        <v>13.55</v>
      </c>
      <c r="P294" s="61" t="n">
        <f aca="false">Resumo!$C$14*CEILING(G294,1)</f>
        <v>23.85</v>
      </c>
      <c r="Q294" s="61" t="n">
        <f aca="false">SUM(I294:P294)*Resumo!$C$11</f>
        <v>0</v>
      </c>
      <c r="R294" s="61" t="n">
        <f aca="false">SUM(I294:Q294)</f>
        <v>99.989958</v>
      </c>
      <c r="S294" s="61" t="n">
        <f aca="false">R294/(1-Resumo!$C$5)</f>
        <v>113.624952272727</v>
      </c>
      <c r="T294" s="61" t="n">
        <v>112.3</v>
      </c>
      <c r="U294" s="61" t="n">
        <f aca="false">H294*Resumo!$B$6</f>
        <v>0.69999</v>
      </c>
      <c r="V294" s="61" t="n">
        <f aca="false">H294*Resumo!$B$7</f>
        <v>1.39998</v>
      </c>
      <c r="W294" s="61" t="n">
        <f aca="false">Resumo!$B$9</f>
        <v>1</v>
      </c>
      <c r="X294" s="61" t="n">
        <f aca="false">Resumo!$B$10*CEILING(G294/100,1)</f>
        <v>4.5</v>
      </c>
      <c r="Y294" s="61" t="n">
        <f aca="false">Resumo!$B$12*CEILING(G294,1)</f>
        <v>3.18</v>
      </c>
      <c r="Z294" s="61" t="n">
        <f aca="false">Resumo!$B$14*CEILING(G294,1)</f>
        <v>23.85</v>
      </c>
      <c r="AA294" s="61" t="n">
        <f aca="false">SUM(T294:Z294)</f>
        <v>146.92997</v>
      </c>
      <c r="AB294" s="61" t="n">
        <f aca="false">AA294/(1-Resumo!$B$5)</f>
        <v>166.965875</v>
      </c>
      <c r="AC294" s="61" t="n">
        <f aca="false">AB294-S294</f>
        <v>53.3409227272727</v>
      </c>
      <c r="AD294" s="62" t="n">
        <f aca="false">AB294/S294-1</f>
        <v>0.469447261894039</v>
      </c>
      <c r="AE294" s="60" t="str">
        <f aca="false">IF(AB294&lt;S294,"SIM","NÃO")</f>
        <v>NÃO</v>
      </c>
      <c r="AF294" s="60" t="n">
        <v>2</v>
      </c>
      <c r="AG294" s="60" t="n">
        <v>5</v>
      </c>
      <c r="AH294" s="60" t="s">
        <v>382</v>
      </c>
      <c r="AI294" s="61" t="n">
        <f aca="false">(T294*(1-Painel!$C$40)+U294+V294+Painel!$C$41+Painel!$C$42*CEILING(G294/100,1)+Painel!$C$43*CEILING(G294,1)+Z294)/(1-Resumo!$B$5)</f>
        <v>117.319284090909</v>
      </c>
      <c r="AJ294" s="60" t="str">
        <f aca="false">IF(AI294&lt;S294,"SIM","NÃO")</f>
        <v>NÃO</v>
      </c>
    </row>
    <row r="295" customFormat="false" ht="15" hidden="false" customHeight="false" outlineLevel="0" collapsed="false">
      <c r="A295" s="59" t="n">
        <v>46225.8781481482</v>
      </c>
      <c r="B295" s="60" t="s">
        <v>669</v>
      </c>
      <c r="C295" s="60" t="n">
        <v>23510242</v>
      </c>
      <c r="D295" s="60" t="s">
        <v>46</v>
      </c>
      <c r="E295" s="60" t="s">
        <v>22</v>
      </c>
      <c r="F295" s="60" t="s">
        <v>235</v>
      </c>
      <c r="G295" s="60" t="n">
        <v>43.5</v>
      </c>
      <c r="H295" s="61" t="n">
        <v>769.99</v>
      </c>
      <c r="I295" s="61" t="n">
        <v>53.55</v>
      </c>
      <c r="J295" s="61" t="n">
        <f aca="false">H295*Resumo!$C$6</f>
        <v>0</v>
      </c>
      <c r="K295" s="61" t="n">
        <f aca="false">H295*Resumo!$C$7</f>
        <v>1.616979</v>
      </c>
      <c r="L295" s="61" t="n">
        <f aca="false">H295*Resumo!$C$8</f>
        <v>1.616979</v>
      </c>
      <c r="M295" s="61" t="n">
        <f aca="false">Resumo!$C$10*CEILING(G295/100,1)</f>
        <v>1.05</v>
      </c>
      <c r="N295" s="61" t="n">
        <f aca="false">Resumo!$C$9</f>
        <v>0</v>
      </c>
      <c r="O295" s="61" t="n">
        <f aca="false">Resumo!$C$13</f>
        <v>13.55</v>
      </c>
      <c r="P295" s="61" t="n">
        <f aca="false">Resumo!$C$14*CEILING(G295,1)</f>
        <v>19.8</v>
      </c>
      <c r="Q295" s="61" t="n">
        <f aca="false">SUM(I295:P295)*Resumo!$C$11</f>
        <v>0</v>
      </c>
      <c r="R295" s="61" t="n">
        <f aca="false">SUM(I295:Q295)</f>
        <v>91.183958</v>
      </c>
      <c r="S295" s="61" t="n">
        <f aca="false">R295/(1-Resumo!$C$5)</f>
        <v>103.618134090909</v>
      </c>
      <c r="T295" s="61" t="n">
        <v>93.97</v>
      </c>
      <c r="U295" s="61" t="n">
        <f aca="false">H295*Resumo!$B$6</f>
        <v>0.76999</v>
      </c>
      <c r="V295" s="61" t="n">
        <f aca="false">H295*Resumo!$B$7</f>
        <v>1.53998</v>
      </c>
      <c r="W295" s="61" t="n">
        <f aca="false">Resumo!$B$9</f>
        <v>1</v>
      </c>
      <c r="X295" s="61" t="n">
        <f aca="false">Resumo!$B$10*CEILING(G295/100,1)</f>
        <v>4.5</v>
      </c>
      <c r="Y295" s="61" t="n">
        <f aca="false">Resumo!$B$12*CEILING(G295,1)</f>
        <v>2.64</v>
      </c>
      <c r="Z295" s="61" t="n">
        <f aca="false">Resumo!$B$14*CEILING(G295,1)</f>
        <v>19.8</v>
      </c>
      <c r="AA295" s="61" t="n">
        <f aca="false">SUM(T295:Z295)</f>
        <v>124.21997</v>
      </c>
      <c r="AB295" s="61" t="n">
        <f aca="false">AA295/(1-Resumo!$B$5)</f>
        <v>141.159056818182</v>
      </c>
      <c r="AC295" s="61" t="n">
        <f aca="false">AB295-S295</f>
        <v>37.5409227272727</v>
      </c>
      <c r="AD295" s="62" t="n">
        <f aca="false">AB295/S295-1</f>
        <v>0.362300702059895</v>
      </c>
      <c r="AE295" s="60" t="str">
        <f aca="false">IF(AB295&lt;S295,"SIM","NÃO")</f>
        <v>NÃO</v>
      </c>
      <c r="AF295" s="60" t="n">
        <v>2</v>
      </c>
      <c r="AG295" s="60" t="n">
        <v>5</v>
      </c>
      <c r="AH295" s="60" t="s">
        <v>382</v>
      </c>
      <c r="AI295" s="61" t="n">
        <f aca="false">(T295*(1-Painel!$C$40)+U295+V295+Painel!$C$41+Painel!$C$42*CEILING(G295/100,1)+Painel!$C$43*CEILING(G295,1)+Z295)/(1-Resumo!$B$5)</f>
        <v>98.9998522727273</v>
      </c>
      <c r="AJ295" s="60" t="str">
        <f aca="false">IF(AI295&lt;S295,"SIM","NÃO")</f>
        <v>SIM</v>
      </c>
    </row>
    <row r="296" customFormat="false" ht="15" hidden="false" customHeight="false" outlineLevel="0" collapsed="false">
      <c r="A296" s="59" t="n">
        <v>46225.8906365741</v>
      </c>
      <c r="B296" s="60" t="s">
        <v>670</v>
      </c>
      <c r="C296" s="60" t="n">
        <v>22730305</v>
      </c>
      <c r="D296" s="60" t="s">
        <v>46</v>
      </c>
      <c r="E296" s="60" t="s">
        <v>22</v>
      </c>
      <c r="F296" s="60" t="s">
        <v>235</v>
      </c>
      <c r="G296" s="60" t="n">
        <v>49.6</v>
      </c>
      <c r="H296" s="61" t="n">
        <v>649.79</v>
      </c>
      <c r="I296" s="61" t="n">
        <v>53.55</v>
      </c>
      <c r="J296" s="61" t="n">
        <f aca="false">H296*Resumo!$C$6</f>
        <v>0</v>
      </c>
      <c r="K296" s="61" t="n">
        <f aca="false">H296*Resumo!$C$7</f>
        <v>1.364559</v>
      </c>
      <c r="L296" s="61" t="n">
        <f aca="false">H296*Resumo!$C$8</f>
        <v>1.364559</v>
      </c>
      <c r="M296" s="61" t="n">
        <f aca="false">Resumo!$C$10*CEILING(G296/100,1)</f>
        <v>1.05</v>
      </c>
      <c r="N296" s="61" t="n">
        <f aca="false">Resumo!$C$9</f>
        <v>0</v>
      </c>
      <c r="O296" s="61" t="n">
        <f aca="false">Resumo!$C$13</f>
        <v>13.55</v>
      </c>
      <c r="P296" s="61" t="n">
        <f aca="false">Resumo!$C$14*CEILING(G296,1)</f>
        <v>22.5</v>
      </c>
      <c r="Q296" s="61" t="n">
        <f aca="false">SUM(I296:P296)*Resumo!$C$11</f>
        <v>0</v>
      </c>
      <c r="R296" s="61" t="n">
        <f aca="false">SUM(I296:Q296)</f>
        <v>93.379118</v>
      </c>
      <c r="S296" s="61" t="n">
        <f aca="false">R296/(1-Resumo!$C$5)</f>
        <v>106.112634090909</v>
      </c>
      <c r="T296" s="61" t="n">
        <v>93.97</v>
      </c>
      <c r="U296" s="61" t="n">
        <f aca="false">H296*Resumo!$B$6</f>
        <v>0.64979</v>
      </c>
      <c r="V296" s="61" t="n">
        <f aca="false">H296*Resumo!$B$7</f>
        <v>1.29958</v>
      </c>
      <c r="W296" s="61" t="n">
        <f aca="false">Resumo!$B$9</f>
        <v>1</v>
      </c>
      <c r="X296" s="61" t="n">
        <f aca="false">Resumo!$B$10*CEILING(G296/100,1)</f>
        <v>4.5</v>
      </c>
      <c r="Y296" s="61" t="n">
        <f aca="false">Resumo!$B$12*CEILING(G296,1)</f>
        <v>3</v>
      </c>
      <c r="Z296" s="61" t="n">
        <f aca="false">Resumo!$B$14*CEILING(G296,1)</f>
        <v>22.5</v>
      </c>
      <c r="AA296" s="61" t="n">
        <f aca="false">SUM(T296:Z296)</f>
        <v>126.91937</v>
      </c>
      <c r="AB296" s="61" t="n">
        <f aca="false">AA296/(1-Resumo!$B$5)</f>
        <v>144.226556818182</v>
      </c>
      <c r="AC296" s="61" t="n">
        <f aca="false">AB296-S296</f>
        <v>38.1139227272727</v>
      </c>
      <c r="AD296" s="62" t="n">
        <f aca="false">AB296/S296-1</f>
        <v>0.359183645319931</v>
      </c>
      <c r="AE296" s="60" t="str">
        <f aca="false">IF(AB296&lt;S296,"SIM","NÃO")</f>
        <v>NÃO</v>
      </c>
      <c r="AF296" s="60" t="n">
        <v>2</v>
      </c>
      <c r="AG296" s="60" t="n">
        <v>5</v>
      </c>
      <c r="AH296" s="60" t="s">
        <v>382</v>
      </c>
      <c r="AI296" s="61" t="n">
        <f aca="false">(T296*(1-Painel!$C$40)+U296+V296+Painel!$C$41+Painel!$C$42*CEILING(G296/100,1)+Painel!$C$43*CEILING(G296,1)+Z296)/(1-Resumo!$B$5)</f>
        <v>101.658261363636</v>
      </c>
      <c r="AJ296" s="60" t="str">
        <f aca="false">IF(AI296&lt;S296,"SIM","NÃO")</f>
        <v>SIM</v>
      </c>
    </row>
    <row r="297" customFormat="false" ht="15" hidden="false" customHeight="false" outlineLevel="0" collapsed="false">
      <c r="A297" s="59" t="n">
        <v>46226.0095486111</v>
      </c>
      <c r="B297" s="60" t="s">
        <v>671</v>
      </c>
      <c r="C297" s="60" t="n">
        <v>21670380</v>
      </c>
      <c r="D297" s="60" t="s">
        <v>46</v>
      </c>
      <c r="E297" s="60" t="s">
        <v>22</v>
      </c>
      <c r="F297" s="60" t="s">
        <v>236</v>
      </c>
      <c r="G297" s="60" t="n">
        <v>52.3</v>
      </c>
      <c r="H297" s="61" t="n">
        <v>619.99</v>
      </c>
      <c r="I297" s="61" t="n">
        <v>58.6</v>
      </c>
      <c r="J297" s="61" t="n">
        <f aca="false">H297*Resumo!$C$6</f>
        <v>0</v>
      </c>
      <c r="K297" s="61" t="n">
        <f aca="false">H297*Resumo!$C$7</f>
        <v>1.301979</v>
      </c>
      <c r="L297" s="61" t="n">
        <f aca="false">H297*Resumo!$C$8</f>
        <v>1.301979</v>
      </c>
      <c r="M297" s="61" t="n">
        <f aca="false">Resumo!$C$10*CEILING(G297/100,1)</f>
        <v>1.05</v>
      </c>
      <c r="N297" s="61" t="n">
        <f aca="false">Resumo!$C$9</f>
        <v>0</v>
      </c>
      <c r="O297" s="61" t="n">
        <f aca="false">Resumo!$C$13</f>
        <v>13.55</v>
      </c>
      <c r="P297" s="61" t="n">
        <f aca="false">Resumo!$C$14*CEILING(G297,1)</f>
        <v>23.85</v>
      </c>
      <c r="Q297" s="61" t="n">
        <f aca="false">SUM(I297:P297)*Resumo!$C$11</f>
        <v>0</v>
      </c>
      <c r="R297" s="61" t="n">
        <f aca="false">SUM(I297:Q297)</f>
        <v>99.653958</v>
      </c>
      <c r="S297" s="61" t="n">
        <f aca="false">R297/(1-Resumo!$C$5)</f>
        <v>113.243134090909</v>
      </c>
      <c r="T297" s="61" t="n">
        <v>112.3</v>
      </c>
      <c r="U297" s="61" t="n">
        <f aca="false">H297*Resumo!$B$6</f>
        <v>0.61999</v>
      </c>
      <c r="V297" s="61" t="n">
        <f aca="false">H297*Resumo!$B$7</f>
        <v>1.23998</v>
      </c>
      <c r="W297" s="61" t="n">
        <f aca="false">Resumo!$B$9</f>
        <v>1</v>
      </c>
      <c r="X297" s="61" t="n">
        <f aca="false">Resumo!$B$10*CEILING(G297/100,1)</f>
        <v>4.5</v>
      </c>
      <c r="Y297" s="61" t="n">
        <f aca="false">Resumo!$B$12*CEILING(G297,1)</f>
        <v>3.18</v>
      </c>
      <c r="Z297" s="61" t="n">
        <f aca="false">Resumo!$B$14*CEILING(G297,1)</f>
        <v>23.85</v>
      </c>
      <c r="AA297" s="61" t="n">
        <f aca="false">SUM(T297:Z297)</f>
        <v>146.68997</v>
      </c>
      <c r="AB297" s="61" t="n">
        <f aca="false">AA297/(1-Resumo!$B$5)</f>
        <v>166.693147727273</v>
      </c>
      <c r="AC297" s="61" t="n">
        <f aca="false">AB297-S297</f>
        <v>53.4500136363636</v>
      </c>
      <c r="AD297" s="62" t="n">
        <f aca="false">AB297/S297-1</f>
        <v>0.471993415454707</v>
      </c>
      <c r="AE297" s="60" t="str">
        <f aca="false">IF(AB297&lt;S297,"SIM","NÃO")</f>
        <v>NÃO</v>
      </c>
      <c r="AF297" s="60" t="n">
        <v>2</v>
      </c>
      <c r="AG297" s="60" t="n">
        <v>5</v>
      </c>
      <c r="AH297" s="60" t="s">
        <v>382</v>
      </c>
      <c r="AI297" s="61" t="n">
        <f aca="false">(T297*(1-Painel!$C$40)+U297+V297+Painel!$C$41+Painel!$C$42*CEILING(G297/100,1)+Painel!$C$43*CEILING(G297,1)+Z297)/(1-Resumo!$B$5)</f>
        <v>117.046556818182</v>
      </c>
      <c r="AJ297" s="60" t="str">
        <f aca="false">IF(AI297&lt;S297,"SIM","NÃO")</f>
        <v>NÃO</v>
      </c>
    </row>
    <row r="298" customFormat="false" ht="15" hidden="false" customHeight="false" outlineLevel="0" collapsed="false">
      <c r="A298" s="59" t="n">
        <v>46226.0633449074</v>
      </c>
      <c r="B298" s="60" t="s">
        <v>672</v>
      </c>
      <c r="C298" s="60" t="n">
        <v>20520160</v>
      </c>
      <c r="D298" s="60" t="s">
        <v>46</v>
      </c>
      <c r="E298" s="60" t="s">
        <v>22</v>
      </c>
      <c r="F298" s="60" t="s">
        <v>236</v>
      </c>
      <c r="G298" s="60" t="n">
        <v>52.3</v>
      </c>
      <c r="H298" s="61" t="n">
        <v>643.99</v>
      </c>
      <c r="I298" s="61" t="n">
        <v>58.6</v>
      </c>
      <c r="J298" s="61" t="n">
        <f aca="false">H298*Resumo!$C$6</f>
        <v>0</v>
      </c>
      <c r="K298" s="61" t="n">
        <f aca="false">H298*Resumo!$C$7</f>
        <v>1.352379</v>
      </c>
      <c r="L298" s="61" t="n">
        <f aca="false">H298*Resumo!$C$8</f>
        <v>1.352379</v>
      </c>
      <c r="M298" s="61" t="n">
        <f aca="false">Resumo!$C$10*CEILING(G298/100,1)</f>
        <v>1.05</v>
      </c>
      <c r="N298" s="61" t="n">
        <f aca="false">Resumo!$C$9</f>
        <v>0</v>
      </c>
      <c r="O298" s="61" t="n">
        <f aca="false">Resumo!$C$13</f>
        <v>13.55</v>
      </c>
      <c r="P298" s="61" t="n">
        <f aca="false">Resumo!$C$14*CEILING(G298,1)</f>
        <v>23.85</v>
      </c>
      <c r="Q298" s="61" t="n">
        <f aca="false">SUM(I298:P298)*Resumo!$C$11</f>
        <v>0</v>
      </c>
      <c r="R298" s="61" t="n">
        <f aca="false">SUM(I298:Q298)</f>
        <v>99.754758</v>
      </c>
      <c r="S298" s="61" t="n">
        <f aca="false">R298/(1-Resumo!$C$5)</f>
        <v>113.357679545455</v>
      </c>
      <c r="T298" s="61" t="n">
        <v>112.3</v>
      </c>
      <c r="U298" s="61" t="n">
        <f aca="false">H298*Resumo!$B$6</f>
        <v>0.64399</v>
      </c>
      <c r="V298" s="61" t="n">
        <f aca="false">H298*Resumo!$B$7</f>
        <v>1.28798</v>
      </c>
      <c r="W298" s="61" t="n">
        <f aca="false">Resumo!$B$9</f>
        <v>1</v>
      </c>
      <c r="X298" s="61" t="n">
        <f aca="false">Resumo!$B$10*CEILING(G298/100,1)</f>
        <v>4.5</v>
      </c>
      <c r="Y298" s="61" t="n">
        <f aca="false">Resumo!$B$12*CEILING(G298,1)</f>
        <v>3.18</v>
      </c>
      <c r="Z298" s="61" t="n">
        <f aca="false">Resumo!$B$14*CEILING(G298,1)</f>
        <v>23.85</v>
      </c>
      <c r="AA298" s="61" t="n">
        <f aca="false">SUM(T298:Z298)</f>
        <v>146.76197</v>
      </c>
      <c r="AB298" s="61" t="n">
        <f aca="false">AA298/(1-Resumo!$B$5)</f>
        <v>166.774965909091</v>
      </c>
      <c r="AC298" s="61" t="n">
        <f aca="false">AB298-S298</f>
        <v>53.4172863636363</v>
      </c>
      <c r="AD298" s="62" t="n">
        <f aca="false">AB298/S298-1</f>
        <v>0.471227768403788</v>
      </c>
      <c r="AE298" s="60" t="str">
        <f aca="false">IF(AB298&lt;S298,"SIM","NÃO")</f>
        <v>NÃO</v>
      </c>
      <c r="AF298" s="60" t="n">
        <v>2</v>
      </c>
      <c r="AG298" s="60" t="n">
        <v>5</v>
      </c>
      <c r="AH298" s="60" t="s">
        <v>382</v>
      </c>
      <c r="AI298" s="61" t="n">
        <f aca="false">(T298*(1-Painel!$C$40)+U298+V298+Painel!$C$41+Painel!$C$42*CEILING(G298/100,1)+Painel!$C$43*CEILING(G298,1)+Z298)/(1-Resumo!$B$5)</f>
        <v>117.128375</v>
      </c>
      <c r="AJ298" s="60" t="str">
        <f aca="false">IF(AI298&lt;S298,"SIM","NÃO")</f>
        <v>NÃO</v>
      </c>
    </row>
    <row r="299" customFormat="false" ht="15" hidden="false" customHeight="false" outlineLevel="0" collapsed="false">
      <c r="A299" s="59" t="n">
        <v>46226.1292476852</v>
      </c>
      <c r="B299" s="60" t="s">
        <v>673</v>
      </c>
      <c r="C299" s="60" t="n">
        <v>21235535</v>
      </c>
      <c r="D299" s="60" t="s">
        <v>46</v>
      </c>
      <c r="E299" s="60" t="s">
        <v>22</v>
      </c>
      <c r="F299" s="60" t="s">
        <v>233</v>
      </c>
      <c r="G299" s="60" t="n">
        <v>31</v>
      </c>
      <c r="H299" s="61" t="n">
        <v>297.99</v>
      </c>
      <c r="I299" s="61" t="n">
        <v>42.11</v>
      </c>
      <c r="J299" s="61" t="n">
        <f aca="false">H299*Resumo!$C$6</f>
        <v>0</v>
      </c>
      <c r="K299" s="61" t="n">
        <f aca="false">H299*Resumo!$C$7</f>
        <v>0.625779</v>
      </c>
      <c r="L299" s="61" t="n">
        <f aca="false">H299*Resumo!$C$8</f>
        <v>0.625779</v>
      </c>
      <c r="M299" s="61" t="n">
        <f aca="false">Resumo!$C$10*CEILING(G299/100,1)</f>
        <v>1.05</v>
      </c>
      <c r="N299" s="61" t="n">
        <f aca="false">Resumo!$C$9</f>
        <v>0</v>
      </c>
      <c r="O299" s="61" t="n">
        <f aca="false">Resumo!$C$13</f>
        <v>13.55</v>
      </c>
      <c r="P299" s="61" t="n">
        <f aca="false">Resumo!$C$14*CEILING(G299,1)</f>
        <v>13.95</v>
      </c>
      <c r="Q299" s="61" t="n">
        <f aca="false">SUM(I299:P299)*Resumo!$C$11</f>
        <v>0</v>
      </c>
      <c r="R299" s="61" t="n">
        <f aca="false">SUM(I299:Q299)</f>
        <v>71.911558</v>
      </c>
      <c r="S299" s="61" t="n">
        <f aca="false">R299/(1-Resumo!$C$5)</f>
        <v>81.7176795454545</v>
      </c>
      <c r="T299" s="61" t="n">
        <v>82.21</v>
      </c>
      <c r="U299" s="61" t="n">
        <f aca="false">H299*Resumo!$B$6</f>
        <v>0.29799</v>
      </c>
      <c r="V299" s="61" t="n">
        <f aca="false">H299*Resumo!$B$7</f>
        <v>0.59598</v>
      </c>
      <c r="W299" s="61" t="n">
        <f aca="false">Resumo!$B$9</f>
        <v>1</v>
      </c>
      <c r="X299" s="61" t="n">
        <f aca="false">Resumo!$B$10*CEILING(G299/100,1)</f>
        <v>4.5</v>
      </c>
      <c r="Y299" s="61" t="n">
        <f aca="false">Resumo!$B$12*CEILING(G299,1)</f>
        <v>1.86</v>
      </c>
      <c r="Z299" s="61" t="n">
        <f aca="false">Resumo!$B$14*CEILING(G299,1)</f>
        <v>13.95</v>
      </c>
      <c r="AA299" s="61" t="n">
        <f aca="false">SUM(T299:Z299)</f>
        <v>104.41397</v>
      </c>
      <c r="AB299" s="61" t="n">
        <f aca="false">AA299/(1-Resumo!$B$5)</f>
        <v>118.652238636364</v>
      </c>
      <c r="AC299" s="61" t="n">
        <f aca="false">AB299-S299</f>
        <v>36.9345590909091</v>
      </c>
      <c r="AD299" s="62" t="n">
        <f aca="false">AB299/S299-1</f>
        <v>0.451977580571957</v>
      </c>
      <c r="AE299" s="60" t="str">
        <f aca="false">IF(AB299&lt;S299,"SIM","NÃO")</f>
        <v>NÃO</v>
      </c>
      <c r="AF299" s="60" t="n">
        <v>2</v>
      </c>
      <c r="AG299" s="60" t="n">
        <v>5</v>
      </c>
      <c r="AH299" s="60" t="s">
        <v>382</v>
      </c>
      <c r="AI299" s="61" t="n">
        <f aca="false">(T299*(1-Painel!$C$40)+U299+V299+Painel!$C$41+Painel!$C$42*CEILING(G299/100,1)+Painel!$C$43*CEILING(G299,1)+Z299)/(1-Resumo!$B$5)</f>
        <v>81.7893977272727</v>
      </c>
      <c r="AJ299" s="60" t="str">
        <f aca="false">IF(AI299&lt;S299,"SIM","NÃO")</f>
        <v>NÃO</v>
      </c>
    </row>
    <row r="300" customFormat="false" ht="15" hidden="false" customHeight="false" outlineLevel="0" collapsed="false">
      <c r="A300" s="59" t="n">
        <v>46226.3615740741</v>
      </c>
      <c r="B300" s="60" t="s">
        <v>674</v>
      </c>
      <c r="C300" s="60" t="n">
        <v>26290198</v>
      </c>
      <c r="D300" s="60" t="s">
        <v>49</v>
      </c>
      <c r="E300" s="60" t="s">
        <v>23</v>
      </c>
      <c r="F300" s="60" t="s">
        <v>233</v>
      </c>
      <c r="G300" s="60" t="n">
        <v>31</v>
      </c>
      <c r="H300" s="61" t="n">
        <v>297.99</v>
      </c>
      <c r="I300" s="61" t="n">
        <v>58.8</v>
      </c>
      <c r="J300" s="61" t="n">
        <f aca="false">H300*Resumo!$C$6</f>
        <v>0</v>
      </c>
      <c r="K300" s="61" t="n">
        <f aca="false">H300*Resumo!$C$7</f>
        <v>0.625779</v>
      </c>
      <c r="L300" s="61" t="n">
        <f aca="false">H300*Resumo!$C$8</f>
        <v>0.625779</v>
      </c>
      <c r="M300" s="61" t="n">
        <f aca="false">Resumo!$C$10*CEILING(G300/100,1)</f>
        <v>1.05</v>
      </c>
      <c r="N300" s="61" t="n">
        <f aca="false">Resumo!$C$9</f>
        <v>0</v>
      </c>
      <c r="O300" s="61" t="n">
        <f aca="false">Resumo!$C$13</f>
        <v>13.55</v>
      </c>
      <c r="P300" s="61" t="n">
        <f aca="false">Resumo!$C$14*CEILING(G300,1)</f>
        <v>13.95</v>
      </c>
      <c r="Q300" s="61" t="n">
        <f aca="false">SUM(I300:P300)*Resumo!$C$11</f>
        <v>0</v>
      </c>
      <c r="R300" s="61" t="n">
        <f aca="false">SUM(I300:Q300)</f>
        <v>88.601558</v>
      </c>
      <c r="S300" s="61" t="n">
        <f aca="false">R300/(1-Resumo!$C$5)</f>
        <v>100.683588636364</v>
      </c>
      <c r="T300" s="61" t="n">
        <v>82.21</v>
      </c>
      <c r="U300" s="61" t="n">
        <f aca="false">H300*Resumo!$B$6</f>
        <v>0.29799</v>
      </c>
      <c r="V300" s="61" t="n">
        <f aca="false">H300*Resumo!$B$7</f>
        <v>0.59598</v>
      </c>
      <c r="W300" s="61" t="n">
        <f aca="false">Resumo!$B$9</f>
        <v>1</v>
      </c>
      <c r="X300" s="61" t="n">
        <f aca="false">Resumo!$B$10*CEILING(G300/100,1)</f>
        <v>4.5</v>
      </c>
      <c r="Y300" s="61" t="n">
        <f aca="false">Resumo!$B$12*CEILING(G300,1)</f>
        <v>1.86</v>
      </c>
      <c r="Z300" s="61" t="n">
        <f aca="false">Resumo!$B$14*CEILING(G300,1)</f>
        <v>13.95</v>
      </c>
      <c r="AA300" s="61" t="n">
        <f aca="false">SUM(T300:Z300)</f>
        <v>104.41397</v>
      </c>
      <c r="AB300" s="61" t="n">
        <f aca="false">AA300/(1-Resumo!$B$5)</f>
        <v>118.652238636364</v>
      </c>
      <c r="AC300" s="61" t="n">
        <f aca="false">AB300-S300</f>
        <v>17.96865</v>
      </c>
      <c r="AD300" s="62" t="n">
        <f aca="false">AB300/S300-1</f>
        <v>0.178466523128182</v>
      </c>
      <c r="AE300" s="60" t="str">
        <f aca="false">IF(AB300&lt;S300,"SIM","NÃO")</f>
        <v>NÃO</v>
      </c>
      <c r="AF300" s="60" t="n">
        <v>2</v>
      </c>
      <c r="AG300" s="60" t="n">
        <v>5</v>
      </c>
      <c r="AH300" s="60" t="s">
        <v>382</v>
      </c>
      <c r="AI300" s="61" t="n">
        <f aca="false">(T300*(1-Painel!$C$40)+U300+V300+Painel!$C$41+Painel!$C$42*CEILING(G300/100,1)+Painel!$C$43*CEILING(G300,1)+Z300)/(1-Resumo!$B$5)</f>
        <v>81.7893977272727</v>
      </c>
      <c r="AJ300" s="60" t="str">
        <f aca="false">IF(AI300&lt;S300,"SIM","NÃO")</f>
        <v>SIM</v>
      </c>
    </row>
    <row r="301" customFormat="false" ht="15" hidden="false" customHeight="false" outlineLevel="0" collapsed="false">
      <c r="A301" s="59" t="n">
        <v>46226.3653819444</v>
      </c>
      <c r="B301" s="60" t="s">
        <v>675</v>
      </c>
      <c r="C301" s="60" t="n">
        <v>22230080</v>
      </c>
      <c r="D301" s="60" t="s">
        <v>46</v>
      </c>
      <c r="E301" s="60" t="s">
        <v>22</v>
      </c>
      <c r="F301" s="60" t="s">
        <v>235</v>
      </c>
      <c r="G301" s="60" t="n">
        <v>41</v>
      </c>
      <c r="H301" s="61" t="n">
        <v>498.99</v>
      </c>
      <c r="I301" s="61" t="n">
        <v>53.55</v>
      </c>
      <c r="J301" s="61" t="n">
        <f aca="false">H301*Resumo!$C$6</f>
        <v>0</v>
      </c>
      <c r="K301" s="61" t="n">
        <f aca="false">H301*Resumo!$C$7</f>
        <v>1.047879</v>
      </c>
      <c r="L301" s="61" t="n">
        <f aca="false">H301*Resumo!$C$8</f>
        <v>1.047879</v>
      </c>
      <c r="M301" s="61" t="n">
        <f aca="false">Resumo!$C$10*CEILING(G301/100,1)</f>
        <v>1.05</v>
      </c>
      <c r="N301" s="61" t="n">
        <f aca="false">Resumo!$C$9</f>
        <v>0</v>
      </c>
      <c r="O301" s="61" t="n">
        <f aca="false">Resumo!$C$13</f>
        <v>13.55</v>
      </c>
      <c r="P301" s="61" t="n">
        <f aca="false">Resumo!$C$14*CEILING(G301,1)</f>
        <v>18.45</v>
      </c>
      <c r="Q301" s="61" t="n">
        <f aca="false">SUM(I301:P301)*Resumo!$C$11</f>
        <v>0</v>
      </c>
      <c r="R301" s="61" t="n">
        <f aca="false">SUM(I301:Q301)</f>
        <v>88.695758</v>
      </c>
      <c r="S301" s="61" t="n">
        <f aca="false">R301/(1-Resumo!$C$5)</f>
        <v>100.790634090909</v>
      </c>
      <c r="T301" s="61" t="n">
        <v>93.97</v>
      </c>
      <c r="U301" s="61" t="n">
        <f aca="false">H301*Resumo!$B$6</f>
        <v>0.49899</v>
      </c>
      <c r="V301" s="61" t="n">
        <f aca="false">H301*Resumo!$B$7</f>
        <v>0.99798</v>
      </c>
      <c r="W301" s="61" t="n">
        <f aca="false">Resumo!$B$9</f>
        <v>1</v>
      </c>
      <c r="X301" s="61" t="n">
        <f aca="false">Resumo!$B$10*CEILING(G301/100,1)</f>
        <v>4.5</v>
      </c>
      <c r="Y301" s="61" t="n">
        <f aca="false">Resumo!$B$12*CEILING(G301,1)</f>
        <v>2.46</v>
      </c>
      <c r="Z301" s="61" t="n">
        <f aca="false">Resumo!$B$14*CEILING(G301,1)</f>
        <v>18.45</v>
      </c>
      <c r="AA301" s="61" t="n">
        <f aca="false">SUM(T301:Z301)</f>
        <v>121.87697</v>
      </c>
      <c r="AB301" s="61" t="n">
        <f aca="false">AA301/(1-Resumo!$B$5)</f>
        <v>138.496556818182</v>
      </c>
      <c r="AC301" s="61" t="n">
        <f aca="false">AB301-S301</f>
        <v>37.7059227272727</v>
      </c>
      <c r="AD301" s="62" t="n">
        <f aca="false">AB301/S301-1</f>
        <v>0.374101453645619</v>
      </c>
      <c r="AE301" s="60" t="str">
        <f aca="false">IF(AB301&lt;S301,"SIM","NÃO")</f>
        <v>NÃO</v>
      </c>
      <c r="AF301" s="60" t="n">
        <v>2</v>
      </c>
      <c r="AG301" s="60" t="n">
        <v>5</v>
      </c>
      <c r="AH301" s="60" t="s">
        <v>382</v>
      </c>
      <c r="AI301" s="61" t="n">
        <f aca="false">(T301*(1-Painel!$C$40)+U301+V301+Painel!$C$41+Painel!$C$42*CEILING(G301/100,1)+Painel!$C$43*CEILING(G301,1)+Z301)/(1-Resumo!$B$5)</f>
        <v>96.5418977272727</v>
      </c>
      <c r="AJ301" s="60" t="str">
        <f aca="false">IF(AI301&lt;S301,"SIM","NÃO")</f>
        <v>SIM</v>
      </c>
    </row>
    <row r="302" customFormat="false" ht="15" hidden="false" customHeight="false" outlineLevel="0" collapsed="false">
      <c r="A302" s="59" t="n">
        <v>46226.4262037037</v>
      </c>
      <c r="B302" s="60" t="s">
        <v>676</v>
      </c>
      <c r="C302" s="60" t="n">
        <v>25070330</v>
      </c>
      <c r="D302" s="60" t="s">
        <v>48</v>
      </c>
      <c r="E302" s="60" t="s">
        <v>23</v>
      </c>
      <c r="F302" s="60" t="s">
        <v>236</v>
      </c>
      <c r="G302" s="60" t="n">
        <v>52.3</v>
      </c>
      <c r="H302" s="61" t="n">
        <v>619.99</v>
      </c>
      <c r="I302" s="61" t="n">
        <v>70.98</v>
      </c>
      <c r="J302" s="61" t="n">
        <f aca="false">H302*Resumo!$C$6</f>
        <v>0</v>
      </c>
      <c r="K302" s="61" t="n">
        <f aca="false">H302*Resumo!$C$7</f>
        <v>1.301979</v>
      </c>
      <c r="L302" s="61" t="n">
        <f aca="false">H302*Resumo!$C$8</f>
        <v>1.301979</v>
      </c>
      <c r="M302" s="61" t="n">
        <f aca="false">Resumo!$C$10*CEILING(G302/100,1)</f>
        <v>1.05</v>
      </c>
      <c r="N302" s="61" t="n">
        <f aca="false">Resumo!$C$9</f>
        <v>0</v>
      </c>
      <c r="O302" s="61" t="n">
        <f aca="false">Resumo!$C$13</f>
        <v>13.55</v>
      </c>
      <c r="P302" s="61" t="n">
        <f aca="false">Resumo!$C$14*CEILING(G302,1)</f>
        <v>23.85</v>
      </c>
      <c r="Q302" s="61" t="n">
        <f aca="false">SUM(I302:P302)*Resumo!$C$11</f>
        <v>0</v>
      </c>
      <c r="R302" s="61" t="n">
        <f aca="false">SUM(I302:Q302)</f>
        <v>112.033958</v>
      </c>
      <c r="S302" s="61" t="n">
        <f aca="false">R302/(1-Resumo!$C$5)</f>
        <v>127.311315909091</v>
      </c>
      <c r="T302" s="61" t="n">
        <v>112.3</v>
      </c>
      <c r="U302" s="61" t="n">
        <f aca="false">H302*Resumo!$B$6</f>
        <v>0.61999</v>
      </c>
      <c r="V302" s="61" t="n">
        <f aca="false">H302*Resumo!$B$7</f>
        <v>1.23998</v>
      </c>
      <c r="W302" s="61" t="n">
        <f aca="false">Resumo!$B$9</f>
        <v>1</v>
      </c>
      <c r="X302" s="61" t="n">
        <f aca="false">Resumo!$B$10*CEILING(G302/100,1)</f>
        <v>4.5</v>
      </c>
      <c r="Y302" s="61" t="n">
        <f aca="false">Resumo!$B$12*CEILING(G302,1)</f>
        <v>3.18</v>
      </c>
      <c r="Z302" s="61" t="n">
        <f aca="false">Resumo!$B$14*CEILING(G302,1)</f>
        <v>23.85</v>
      </c>
      <c r="AA302" s="61" t="n">
        <f aca="false">SUM(T302:Z302)</f>
        <v>146.68997</v>
      </c>
      <c r="AB302" s="61" t="n">
        <f aca="false">AA302/(1-Resumo!$B$5)</f>
        <v>166.693147727273</v>
      </c>
      <c r="AC302" s="61" t="n">
        <f aca="false">AB302-S302</f>
        <v>39.3818318181818</v>
      </c>
      <c r="AD302" s="62" t="n">
        <f aca="false">AB302/S302-1</f>
        <v>0.309334889337749</v>
      </c>
      <c r="AE302" s="60" t="str">
        <f aca="false">IF(AB302&lt;S302,"SIM","NÃO")</f>
        <v>NÃO</v>
      </c>
      <c r="AF302" s="60" t="n">
        <v>2</v>
      </c>
      <c r="AG302" s="60" t="n">
        <v>5</v>
      </c>
      <c r="AH302" s="60" t="s">
        <v>382</v>
      </c>
      <c r="AI302" s="61" t="n">
        <f aca="false">(T302*(1-Painel!$C$40)+U302+V302+Painel!$C$41+Painel!$C$42*CEILING(G302/100,1)+Painel!$C$43*CEILING(G302,1)+Z302)/(1-Resumo!$B$5)</f>
        <v>117.046556818182</v>
      </c>
      <c r="AJ302" s="60" t="str">
        <f aca="false">IF(AI302&lt;S302,"SIM","NÃO")</f>
        <v>SIM</v>
      </c>
    </row>
    <row r="303" customFormat="false" ht="15" hidden="false" customHeight="false" outlineLevel="0" collapsed="false">
      <c r="A303" s="59" t="n">
        <v>46226.4576736111</v>
      </c>
      <c r="B303" s="60" t="s">
        <v>677</v>
      </c>
      <c r="C303" s="60" t="n">
        <v>23076360</v>
      </c>
      <c r="D303" s="60" t="s">
        <v>46</v>
      </c>
      <c r="E303" s="60" t="s">
        <v>22</v>
      </c>
      <c r="F303" s="60" t="s">
        <v>234</v>
      </c>
      <c r="G303" s="60" t="n">
        <v>37.5</v>
      </c>
      <c r="H303" s="61" t="n">
        <v>418.48</v>
      </c>
      <c r="I303" s="61" t="n">
        <v>48.35</v>
      </c>
      <c r="J303" s="61" t="n">
        <f aca="false">H303*Resumo!$C$6</f>
        <v>0</v>
      </c>
      <c r="K303" s="61" t="n">
        <f aca="false">H303*Resumo!$C$7</f>
        <v>0.878808</v>
      </c>
      <c r="L303" s="61" t="n">
        <f aca="false">H303*Resumo!$C$8</f>
        <v>0.878808</v>
      </c>
      <c r="M303" s="61" t="n">
        <f aca="false">Resumo!$C$10*CEILING(G303/100,1)</f>
        <v>1.05</v>
      </c>
      <c r="N303" s="61" t="n">
        <f aca="false">Resumo!$C$9</f>
        <v>0</v>
      </c>
      <c r="O303" s="61" t="n">
        <f aca="false">Resumo!$C$13</f>
        <v>13.55</v>
      </c>
      <c r="P303" s="61" t="n">
        <f aca="false">Resumo!$C$14*CEILING(G303,1)</f>
        <v>17.1</v>
      </c>
      <c r="Q303" s="61" t="n">
        <f aca="false">SUM(I303:P303)*Resumo!$C$11</f>
        <v>0</v>
      </c>
      <c r="R303" s="61" t="n">
        <f aca="false">SUM(I303:Q303)</f>
        <v>81.807616</v>
      </c>
      <c r="S303" s="61" t="n">
        <f aca="false">R303/(1-Resumo!$C$5)</f>
        <v>92.9632</v>
      </c>
      <c r="T303" s="61" t="n">
        <v>93.97</v>
      </c>
      <c r="U303" s="61" t="n">
        <f aca="false">H303*Resumo!$B$6</f>
        <v>0.41848</v>
      </c>
      <c r="V303" s="61" t="n">
        <f aca="false">H303*Resumo!$B$7</f>
        <v>0.83696</v>
      </c>
      <c r="W303" s="61" t="n">
        <f aca="false">Resumo!$B$9</f>
        <v>1</v>
      </c>
      <c r="X303" s="61" t="n">
        <f aca="false">Resumo!$B$10*CEILING(G303/100,1)</f>
        <v>4.5</v>
      </c>
      <c r="Y303" s="61" t="n">
        <f aca="false">Resumo!$B$12*CEILING(G303,1)</f>
        <v>2.28</v>
      </c>
      <c r="Z303" s="61" t="n">
        <f aca="false">Resumo!$B$14*CEILING(G303,1)</f>
        <v>17.1</v>
      </c>
      <c r="AA303" s="61" t="n">
        <f aca="false">SUM(T303:Z303)</f>
        <v>120.10544</v>
      </c>
      <c r="AB303" s="61" t="n">
        <f aca="false">AA303/(1-Resumo!$B$5)</f>
        <v>136.483454545455</v>
      </c>
      <c r="AC303" s="61" t="n">
        <f aca="false">AB303-S303</f>
        <v>43.5202545454545</v>
      </c>
      <c r="AD303" s="62" t="n">
        <f aca="false">AB303/S303-1</f>
        <v>0.468144970756757</v>
      </c>
      <c r="AE303" s="60" t="str">
        <f aca="false">IF(AB303&lt;S303,"SIM","NÃO")</f>
        <v>NÃO</v>
      </c>
      <c r="AF303" s="60" t="n">
        <v>2</v>
      </c>
      <c r="AG303" s="60" t="n">
        <v>5</v>
      </c>
      <c r="AH303" s="60" t="s">
        <v>382</v>
      </c>
      <c r="AI303" s="61" t="n">
        <f aca="false">(T303*(1-Painel!$C$40)+U303+V303+Painel!$C$41+Painel!$C$42*CEILING(G303/100,1)+Painel!$C$43*CEILING(G303,1)+Z303)/(1-Resumo!$B$5)</f>
        <v>94.7333409090909</v>
      </c>
      <c r="AJ303" s="60" t="str">
        <f aca="false">IF(AI303&lt;S303,"SIM","NÃO")</f>
        <v>NÃO</v>
      </c>
    </row>
    <row r="304" customFormat="false" ht="15" hidden="false" customHeight="false" outlineLevel="0" collapsed="false">
      <c r="A304" s="59" t="n">
        <v>46226.4911226852</v>
      </c>
      <c r="B304" s="60" t="s">
        <v>678</v>
      </c>
      <c r="C304" s="60" t="n">
        <v>28050003</v>
      </c>
      <c r="D304" s="60" t="s">
        <v>51</v>
      </c>
      <c r="E304" s="60" t="s">
        <v>24</v>
      </c>
      <c r="F304" s="60" t="s">
        <v>233</v>
      </c>
      <c r="G304" s="60" t="n">
        <v>34.6</v>
      </c>
      <c r="H304" s="61" t="n">
        <v>629</v>
      </c>
      <c r="I304" s="61" t="n">
        <v>65.63</v>
      </c>
      <c r="J304" s="61" t="n">
        <f aca="false">H304*Resumo!$C$6</f>
        <v>0</v>
      </c>
      <c r="K304" s="61" t="n">
        <f aca="false">H304*Resumo!$C$7</f>
        <v>1.3209</v>
      </c>
      <c r="L304" s="61" t="n">
        <f aca="false">H304*Resumo!$C$8</f>
        <v>1.3209</v>
      </c>
      <c r="M304" s="61" t="n">
        <f aca="false">Resumo!$C$10*CEILING(G304/100,1)</f>
        <v>1.05</v>
      </c>
      <c r="N304" s="61" t="n">
        <f aca="false">Resumo!$C$9</f>
        <v>0</v>
      </c>
      <c r="O304" s="61" t="n">
        <f aca="false">Resumo!$C$13</f>
        <v>13.55</v>
      </c>
      <c r="P304" s="61" t="n">
        <f aca="false">Resumo!$C$14*CEILING(G304,1)</f>
        <v>15.75</v>
      </c>
      <c r="Q304" s="61" t="n">
        <f aca="false">SUM(I304:P304)*Resumo!$C$11</f>
        <v>0</v>
      </c>
      <c r="R304" s="61" t="n">
        <f aca="false">SUM(I304:Q304)</f>
        <v>98.6218</v>
      </c>
      <c r="S304" s="61" t="n">
        <f aca="false">R304/(1-Resumo!$C$5)</f>
        <v>112.070227272727</v>
      </c>
      <c r="T304" s="61" t="n">
        <v>138.29</v>
      </c>
      <c r="U304" s="61" t="n">
        <f aca="false">H304*Resumo!$B$6</f>
        <v>0.629</v>
      </c>
      <c r="V304" s="61" t="n">
        <f aca="false">H304*Resumo!$B$7</f>
        <v>1.258</v>
      </c>
      <c r="W304" s="61" t="n">
        <f aca="false">Resumo!$B$9</f>
        <v>1</v>
      </c>
      <c r="X304" s="61" t="n">
        <f aca="false">Resumo!$B$10*CEILING(G304/100,1)</f>
        <v>4.5</v>
      </c>
      <c r="Y304" s="61" t="n">
        <f aca="false">Resumo!$B$12*CEILING(G304,1)</f>
        <v>2.1</v>
      </c>
      <c r="Z304" s="61" t="n">
        <f aca="false">Resumo!$B$14*CEILING(G304,1)</f>
        <v>15.75</v>
      </c>
      <c r="AA304" s="61" t="n">
        <f aca="false">SUM(T304:Z304)</f>
        <v>163.527</v>
      </c>
      <c r="AB304" s="61" t="n">
        <f aca="false">AA304/(1-Resumo!$B$5)</f>
        <v>185.826136363636</v>
      </c>
      <c r="AC304" s="61" t="n">
        <f aca="false">AB304-S304</f>
        <v>73.7559090909091</v>
      </c>
      <c r="AD304" s="62" t="n">
        <f aca="false">AB304/S304-1</f>
        <v>0.658122240721625</v>
      </c>
      <c r="AE304" s="60" t="str">
        <f aca="false">IF(AB304&lt;S304,"SIM","NÃO")</f>
        <v>NÃO</v>
      </c>
      <c r="AF304" s="60" t="n">
        <v>13</v>
      </c>
      <c r="AG304" s="60" t="n">
        <v>11</v>
      </c>
      <c r="AH304" s="60" t="s">
        <v>382</v>
      </c>
      <c r="AI304" s="61" t="n">
        <f aca="false">(T304*(1-Painel!$C$40)+U304+V304+Painel!$C$41+Painel!$C$42*CEILING(G304/100,1)+Painel!$C$43*CEILING(G304,1)+Z304)/(1-Resumo!$B$5)</f>
        <v>127.660568181818</v>
      </c>
      <c r="AJ304" s="60" t="str">
        <f aca="false">IF(AI304&lt;S304,"SIM","NÃO")</f>
        <v>NÃO</v>
      </c>
    </row>
    <row r="305" customFormat="false" ht="15" hidden="false" customHeight="false" outlineLevel="0" collapsed="false">
      <c r="A305" s="59" t="n">
        <v>46226.632037037</v>
      </c>
      <c r="B305" s="60" t="s">
        <v>679</v>
      </c>
      <c r="C305" s="60" t="n">
        <v>24230253</v>
      </c>
      <c r="D305" s="60" t="s">
        <v>50</v>
      </c>
      <c r="E305" s="60" t="s">
        <v>23</v>
      </c>
      <c r="F305" s="60" t="s">
        <v>235</v>
      </c>
      <c r="G305" s="60" t="n">
        <v>41</v>
      </c>
      <c r="H305" s="61" t="n">
        <v>498.99</v>
      </c>
      <c r="I305" s="61" t="n">
        <v>65.36</v>
      </c>
      <c r="J305" s="61" t="n">
        <f aca="false">H305*Resumo!$C$6</f>
        <v>0</v>
      </c>
      <c r="K305" s="61" t="n">
        <f aca="false">H305*Resumo!$C$7</f>
        <v>1.047879</v>
      </c>
      <c r="L305" s="61" t="n">
        <f aca="false">H305*Resumo!$C$8</f>
        <v>1.047879</v>
      </c>
      <c r="M305" s="61" t="n">
        <f aca="false">Resumo!$C$10*CEILING(G305/100,1)</f>
        <v>1.05</v>
      </c>
      <c r="N305" s="61" t="n">
        <f aca="false">Resumo!$C$9</f>
        <v>0</v>
      </c>
      <c r="O305" s="61" t="n">
        <f aca="false">Resumo!$C$13</f>
        <v>13.55</v>
      </c>
      <c r="P305" s="61" t="n">
        <f aca="false">Resumo!$C$14*CEILING(G305,1)</f>
        <v>18.45</v>
      </c>
      <c r="Q305" s="61" t="n">
        <f aca="false">SUM(I305:P305)*Resumo!$C$11</f>
        <v>0</v>
      </c>
      <c r="R305" s="61" t="n">
        <f aca="false">SUM(I305:Q305)</f>
        <v>100.505758</v>
      </c>
      <c r="S305" s="61" t="n">
        <f aca="false">R305/(1-Resumo!$C$5)</f>
        <v>114.211088636364</v>
      </c>
      <c r="T305" s="61" t="n">
        <v>114.95</v>
      </c>
      <c r="U305" s="61" t="n">
        <f aca="false">H305*Resumo!$B$6</f>
        <v>0.49899</v>
      </c>
      <c r="V305" s="61" t="n">
        <f aca="false">H305*Resumo!$B$7</f>
        <v>0.99798</v>
      </c>
      <c r="W305" s="61" t="n">
        <f aca="false">Resumo!$B$9</f>
        <v>1</v>
      </c>
      <c r="X305" s="61" t="n">
        <f aca="false">Resumo!$B$10*CEILING(G305/100,1)</f>
        <v>4.5</v>
      </c>
      <c r="Y305" s="61" t="n">
        <f aca="false">Resumo!$B$12*CEILING(G305,1)</f>
        <v>2.46</v>
      </c>
      <c r="Z305" s="61" t="n">
        <f aca="false">Resumo!$B$14*CEILING(G305,1)</f>
        <v>18.45</v>
      </c>
      <c r="AA305" s="61" t="n">
        <f aca="false">SUM(T305:Z305)</f>
        <v>142.85697</v>
      </c>
      <c r="AB305" s="61" t="n">
        <f aca="false">AA305/(1-Resumo!$B$5)</f>
        <v>162.337465909091</v>
      </c>
      <c r="AC305" s="61" t="n">
        <f aca="false">AB305-S305</f>
        <v>48.1263772727273</v>
      </c>
      <c r="AD305" s="62" t="n">
        <f aca="false">AB305/S305-1</f>
        <v>0.421380952124156</v>
      </c>
      <c r="AE305" s="60" t="str">
        <f aca="false">IF(AB305&lt;S305,"SIM","NÃO")</f>
        <v>NÃO</v>
      </c>
      <c r="AF305" s="60" t="n">
        <v>2</v>
      </c>
      <c r="AG305" s="60" t="n">
        <v>7</v>
      </c>
      <c r="AH305" s="60" t="s">
        <v>382</v>
      </c>
      <c r="AI305" s="61" t="n">
        <f aca="false">(T305*(1-Painel!$C$40)+U305+V305+Painel!$C$41+Painel!$C$42*CEILING(G305/100,1)+Painel!$C$43*CEILING(G305,1)+Z305)/(1-Resumo!$B$5)</f>
        <v>112.515306818182</v>
      </c>
      <c r="AJ305" s="60" t="str">
        <f aca="false">IF(AI305&lt;S305,"SIM","NÃO")</f>
        <v>SIM</v>
      </c>
    </row>
    <row r="306" customFormat="false" ht="15" hidden="false" customHeight="false" outlineLevel="0" collapsed="false">
      <c r="A306" s="59" t="n">
        <v>46226.642962963</v>
      </c>
      <c r="B306" s="60" t="s">
        <v>680</v>
      </c>
      <c r="C306" s="60" t="n">
        <v>23860000</v>
      </c>
      <c r="D306" s="60" t="s">
        <v>265</v>
      </c>
      <c r="E306" s="60" t="s">
        <v>24</v>
      </c>
      <c r="F306" s="60" t="s">
        <v>234</v>
      </c>
      <c r="G306" s="60" t="n">
        <v>36.9</v>
      </c>
      <c r="H306" s="61" t="n">
        <v>390.99</v>
      </c>
      <c r="I306" s="61" t="n">
        <v>74.97</v>
      </c>
      <c r="J306" s="61" t="n">
        <f aca="false">H306*Resumo!$C$6</f>
        <v>0</v>
      </c>
      <c r="K306" s="61" t="n">
        <f aca="false">H306*Resumo!$C$7</f>
        <v>0.821079</v>
      </c>
      <c r="L306" s="61" t="n">
        <f aca="false">H306*Resumo!$C$8</f>
        <v>0.821079</v>
      </c>
      <c r="M306" s="61" t="n">
        <f aca="false">Resumo!$C$10*CEILING(G306/100,1)</f>
        <v>1.05</v>
      </c>
      <c r="N306" s="61" t="n">
        <f aca="false">Resumo!$C$9</f>
        <v>0</v>
      </c>
      <c r="O306" s="61" t="n">
        <f aca="false">Resumo!$C$13</f>
        <v>13.55</v>
      </c>
      <c r="P306" s="61" t="n">
        <f aca="false">Resumo!$C$14*CEILING(G306,1)</f>
        <v>16.65</v>
      </c>
      <c r="Q306" s="61" t="n">
        <f aca="false">SUM(I306:P306)*Resumo!$C$11</f>
        <v>0</v>
      </c>
      <c r="R306" s="61" t="n">
        <f aca="false">SUM(I306:Q306)</f>
        <v>107.862158</v>
      </c>
      <c r="S306" s="61" t="n">
        <f aca="false">R306/(1-Resumo!$C$5)</f>
        <v>122.570634090909</v>
      </c>
      <c r="T306" s="61" t="n">
        <v>124.38</v>
      </c>
      <c r="U306" s="61" t="n">
        <f aca="false">H306*Resumo!$B$6</f>
        <v>0.39099</v>
      </c>
      <c r="V306" s="61" t="n">
        <f aca="false">H306*Resumo!$B$7</f>
        <v>0.78198</v>
      </c>
      <c r="W306" s="61" t="n">
        <f aca="false">Resumo!$B$9</f>
        <v>1</v>
      </c>
      <c r="X306" s="61" t="n">
        <f aca="false">Resumo!$B$10*CEILING(G306/100,1)</f>
        <v>4.5</v>
      </c>
      <c r="Y306" s="61" t="n">
        <f aca="false">Resumo!$B$12*CEILING(G306,1)</f>
        <v>2.22</v>
      </c>
      <c r="Z306" s="61" t="n">
        <f aca="false">Resumo!$B$14*CEILING(G306,1)</f>
        <v>16.65</v>
      </c>
      <c r="AA306" s="61" t="n">
        <f aca="false">SUM(T306:Z306)</f>
        <v>149.92297</v>
      </c>
      <c r="AB306" s="61" t="n">
        <f aca="false">AA306/(1-Resumo!$B$5)</f>
        <v>170.367011363636</v>
      </c>
      <c r="AC306" s="61" t="n">
        <f aca="false">AB306-S306</f>
        <v>47.7963772727273</v>
      </c>
      <c r="AD306" s="62" t="n">
        <f aca="false">AB306/S306-1</f>
        <v>0.389949661492958</v>
      </c>
      <c r="AE306" s="60" t="str">
        <f aca="false">IF(AB306&lt;S306,"SIM","NÃO")</f>
        <v>NÃO</v>
      </c>
      <c r="AF306" s="60" t="n">
        <v>13</v>
      </c>
      <c r="AG306" s="60" t="n">
        <v>10</v>
      </c>
      <c r="AH306" s="60" t="s">
        <v>385</v>
      </c>
      <c r="AI306" s="61" t="n">
        <f aca="false">(T306*(1-Painel!$C$40)+U306+V306+Painel!$C$41+Painel!$C$42*CEILING(G306/100,1)+Painel!$C$43*CEILING(G306,1)+Z306)/(1-Resumo!$B$5)</f>
        <v>117.281329545455</v>
      </c>
      <c r="AJ306" s="60" t="str">
        <f aca="false">IF(AI306&lt;S306,"SIM","NÃO")</f>
        <v>SIM</v>
      </c>
    </row>
    <row r="307" customFormat="false" ht="15" hidden="false" customHeight="false" outlineLevel="0" collapsed="false">
      <c r="A307" s="59" t="n">
        <v>46226.7175462963</v>
      </c>
      <c r="B307" s="60" t="s">
        <v>681</v>
      </c>
      <c r="C307" s="60" t="n">
        <v>21921000</v>
      </c>
      <c r="D307" s="60" t="s">
        <v>46</v>
      </c>
      <c r="E307" s="60" t="s">
        <v>22</v>
      </c>
      <c r="F307" s="60" t="s">
        <v>236</v>
      </c>
      <c r="G307" s="60" t="n">
        <v>52.3</v>
      </c>
      <c r="H307" s="61" t="n">
        <v>643.99</v>
      </c>
      <c r="I307" s="61" t="n">
        <v>58.6</v>
      </c>
      <c r="J307" s="61" t="n">
        <f aca="false">H307*Resumo!$C$6</f>
        <v>0</v>
      </c>
      <c r="K307" s="61" t="n">
        <f aca="false">H307*Resumo!$C$7</f>
        <v>1.352379</v>
      </c>
      <c r="L307" s="61" t="n">
        <f aca="false">H307*Resumo!$C$8</f>
        <v>1.352379</v>
      </c>
      <c r="M307" s="61" t="n">
        <f aca="false">Resumo!$C$10*CEILING(G307/100,1)</f>
        <v>1.05</v>
      </c>
      <c r="N307" s="61" t="n">
        <f aca="false">Resumo!$C$9</f>
        <v>0</v>
      </c>
      <c r="O307" s="61" t="n">
        <f aca="false">Resumo!$C$13</f>
        <v>13.55</v>
      </c>
      <c r="P307" s="61" t="n">
        <f aca="false">Resumo!$C$14*CEILING(G307,1)</f>
        <v>23.85</v>
      </c>
      <c r="Q307" s="61" t="n">
        <f aca="false">SUM(I307:P307)*Resumo!$C$11</f>
        <v>0</v>
      </c>
      <c r="R307" s="61" t="n">
        <f aca="false">SUM(I307:Q307)</f>
        <v>99.754758</v>
      </c>
      <c r="S307" s="61" t="n">
        <f aca="false">R307/(1-Resumo!$C$5)</f>
        <v>113.357679545455</v>
      </c>
      <c r="T307" s="61" t="n">
        <v>112.3</v>
      </c>
      <c r="U307" s="61" t="n">
        <f aca="false">H307*Resumo!$B$6</f>
        <v>0.64399</v>
      </c>
      <c r="V307" s="61" t="n">
        <f aca="false">H307*Resumo!$B$7</f>
        <v>1.28798</v>
      </c>
      <c r="W307" s="61" t="n">
        <f aca="false">Resumo!$B$9</f>
        <v>1</v>
      </c>
      <c r="X307" s="61" t="n">
        <f aca="false">Resumo!$B$10*CEILING(G307/100,1)</f>
        <v>4.5</v>
      </c>
      <c r="Y307" s="61" t="n">
        <f aca="false">Resumo!$B$12*CEILING(G307,1)</f>
        <v>3.18</v>
      </c>
      <c r="Z307" s="61" t="n">
        <f aca="false">Resumo!$B$14*CEILING(G307,1)</f>
        <v>23.85</v>
      </c>
      <c r="AA307" s="61" t="n">
        <f aca="false">SUM(T307:Z307)</f>
        <v>146.76197</v>
      </c>
      <c r="AB307" s="61" t="n">
        <f aca="false">AA307/(1-Resumo!$B$5)</f>
        <v>166.774965909091</v>
      </c>
      <c r="AC307" s="61" t="n">
        <f aca="false">AB307-S307</f>
        <v>53.4172863636363</v>
      </c>
      <c r="AD307" s="62" t="n">
        <f aca="false">AB307/S307-1</f>
        <v>0.471227768403788</v>
      </c>
      <c r="AE307" s="60" t="str">
        <f aca="false">IF(AB307&lt;S307,"SIM","NÃO")</f>
        <v>NÃO</v>
      </c>
      <c r="AF307" s="60" t="n">
        <v>2</v>
      </c>
      <c r="AG307" s="60" t="n">
        <v>5</v>
      </c>
      <c r="AH307" s="60" t="s">
        <v>382</v>
      </c>
      <c r="AI307" s="61" t="n">
        <f aca="false">(T307*(1-Painel!$C$40)+U307+V307+Painel!$C$41+Painel!$C$42*CEILING(G307/100,1)+Painel!$C$43*CEILING(G307,1)+Z307)/(1-Resumo!$B$5)</f>
        <v>117.128375</v>
      </c>
      <c r="AJ307" s="60" t="str">
        <f aca="false">IF(AI307&lt;S307,"SIM","NÃO")</f>
        <v>NÃO</v>
      </c>
    </row>
    <row r="308" customFormat="false" ht="15" hidden="false" customHeight="false" outlineLevel="0" collapsed="false">
      <c r="A308" s="59" t="n">
        <v>46226.7306365741</v>
      </c>
      <c r="B308" s="60" t="s">
        <v>682</v>
      </c>
      <c r="C308" s="60" t="n">
        <v>27281270</v>
      </c>
      <c r="D308" s="60" t="s">
        <v>217</v>
      </c>
      <c r="E308" s="60" t="s">
        <v>24</v>
      </c>
      <c r="F308" s="60" t="s">
        <v>235</v>
      </c>
      <c r="G308" s="60" t="n">
        <v>48.3</v>
      </c>
      <c r="H308" s="61" t="n">
        <v>499.99</v>
      </c>
      <c r="I308" s="61" t="n">
        <v>77.7</v>
      </c>
      <c r="J308" s="61" t="n">
        <f aca="false">H308*Resumo!$C$6</f>
        <v>0</v>
      </c>
      <c r="K308" s="61" t="n">
        <f aca="false">H308*Resumo!$C$7</f>
        <v>1.049979</v>
      </c>
      <c r="L308" s="61" t="n">
        <f aca="false">H308*Resumo!$C$8</f>
        <v>1.049979</v>
      </c>
      <c r="M308" s="61" t="n">
        <f aca="false">Resumo!$C$10*CEILING(G308/100,1)</f>
        <v>1.05</v>
      </c>
      <c r="N308" s="61" t="n">
        <f aca="false">Resumo!$C$9</f>
        <v>0</v>
      </c>
      <c r="O308" s="61" t="n">
        <f aca="false">Resumo!$C$13</f>
        <v>13.55</v>
      </c>
      <c r="P308" s="61" t="n">
        <f aca="false">Resumo!$C$14*CEILING(G308,1)</f>
        <v>22.05</v>
      </c>
      <c r="Q308" s="61" t="n">
        <f aca="false">SUM(I308:P308)*Resumo!$C$11</f>
        <v>0</v>
      </c>
      <c r="R308" s="61" t="n">
        <f aca="false">SUM(I308:Q308)</f>
        <v>116.449958</v>
      </c>
      <c r="S308" s="61" t="n">
        <f aca="false">R308/(1-Resumo!$C$5)</f>
        <v>132.329497727273</v>
      </c>
      <c r="T308" s="61" t="n">
        <v>124.38</v>
      </c>
      <c r="U308" s="61" t="n">
        <f aca="false">H308*Resumo!$B$6</f>
        <v>0.49999</v>
      </c>
      <c r="V308" s="61" t="n">
        <f aca="false">H308*Resumo!$B$7</f>
        <v>0.99998</v>
      </c>
      <c r="W308" s="61" t="n">
        <f aca="false">Resumo!$B$9</f>
        <v>1</v>
      </c>
      <c r="X308" s="61" t="n">
        <f aca="false">Resumo!$B$10*CEILING(G308/100,1)</f>
        <v>4.5</v>
      </c>
      <c r="Y308" s="61" t="n">
        <f aca="false">Resumo!$B$12*CEILING(G308,1)</f>
        <v>2.94</v>
      </c>
      <c r="Z308" s="61" t="n">
        <f aca="false">Resumo!$B$14*CEILING(G308,1)</f>
        <v>22.05</v>
      </c>
      <c r="AA308" s="61" t="n">
        <f aca="false">SUM(T308:Z308)</f>
        <v>156.36997</v>
      </c>
      <c r="AB308" s="61" t="n">
        <f aca="false">AA308/(1-Resumo!$B$5)</f>
        <v>177.693147727273</v>
      </c>
      <c r="AC308" s="61" t="n">
        <f aca="false">AB308-S308</f>
        <v>45.36365</v>
      </c>
      <c r="AD308" s="62" t="n">
        <f aca="false">AB308/S308-1</f>
        <v>0.342808298823088</v>
      </c>
      <c r="AE308" s="60" t="str">
        <f aca="false">IF(AB308&lt;S308,"SIM","NÃO")</f>
        <v>NÃO</v>
      </c>
      <c r="AF308" s="60" t="n">
        <v>13</v>
      </c>
      <c r="AG308" s="60" t="n">
        <v>10</v>
      </c>
      <c r="AH308" s="60" t="s">
        <v>382</v>
      </c>
      <c r="AI308" s="61" t="n">
        <f aca="false">(T308*(1-Painel!$C$40)+U308+V308+Painel!$C$41+Painel!$C$42*CEILING(G308/100,1)+Painel!$C$43*CEILING(G308,1)+Z308)/(1-Resumo!$B$5)</f>
        <v>123.789284090909</v>
      </c>
      <c r="AJ308" s="60" t="str">
        <f aca="false">IF(AI308&lt;S308,"SIM","NÃO")</f>
        <v>SIM</v>
      </c>
    </row>
    <row r="309" customFormat="false" ht="15" hidden="false" customHeight="false" outlineLevel="0" collapsed="false">
      <c r="A309" s="59" t="n">
        <v>46226.8985416667</v>
      </c>
      <c r="B309" s="60" t="s">
        <v>683</v>
      </c>
      <c r="C309" s="60" t="n">
        <v>24241002</v>
      </c>
      <c r="D309" s="60" t="s">
        <v>50</v>
      </c>
      <c r="E309" s="60" t="s">
        <v>23</v>
      </c>
      <c r="F309" s="60" t="s">
        <v>234</v>
      </c>
      <c r="G309" s="60" t="n">
        <v>35.4</v>
      </c>
      <c r="H309" s="61" t="n">
        <v>539.99</v>
      </c>
      <c r="I309" s="61" t="n">
        <v>66.83</v>
      </c>
      <c r="J309" s="61" t="n">
        <f aca="false">H309*Resumo!$C$6</f>
        <v>0</v>
      </c>
      <c r="K309" s="61" t="n">
        <f aca="false">H309*Resumo!$C$7</f>
        <v>1.133979</v>
      </c>
      <c r="L309" s="61" t="n">
        <f aca="false">H309*Resumo!$C$8</f>
        <v>1.133979</v>
      </c>
      <c r="M309" s="61" t="n">
        <f aca="false">Resumo!$C$10*CEILING(G309/100,1)</f>
        <v>1.05</v>
      </c>
      <c r="N309" s="61" t="n">
        <f aca="false">Resumo!$C$9</f>
        <v>0</v>
      </c>
      <c r="O309" s="61" t="n">
        <f aca="false">Resumo!$C$13</f>
        <v>13.55</v>
      </c>
      <c r="P309" s="61" t="n">
        <f aca="false">Resumo!$C$14*CEILING(G309,1)</f>
        <v>16.2</v>
      </c>
      <c r="Q309" s="61" t="n">
        <f aca="false">SUM(I309:P309)*Resumo!$C$11</f>
        <v>0</v>
      </c>
      <c r="R309" s="61" t="n">
        <f aca="false">SUM(I309:Q309)</f>
        <v>99.897958</v>
      </c>
      <c r="S309" s="61" t="n">
        <f aca="false">R309/(1-Resumo!$C$5)</f>
        <v>113.520406818182</v>
      </c>
      <c r="T309" s="61" t="n">
        <v>114.95</v>
      </c>
      <c r="U309" s="61" t="n">
        <f aca="false">H309*Resumo!$B$6</f>
        <v>0.53999</v>
      </c>
      <c r="V309" s="61" t="n">
        <f aca="false">H309*Resumo!$B$7</f>
        <v>1.07998</v>
      </c>
      <c r="W309" s="61" t="n">
        <f aca="false">Resumo!$B$9</f>
        <v>1</v>
      </c>
      <c r="X309" s="61" t="n">
        <f aca="false">Resumo!$B$10*CEILING(G309/100,1)</f>
        <v>4.5</v>
      </c>
      <c r="Y309" s="61" t="n">
        <f aca="false">Resumo!$B$12*CEILING(G309,1)</f>
        <v>2.16</v>
      </c>
      <c r="Z309" s="61" t="n">
        <f aca="false">Resumo!$B$14*CEILING(G309,1)</f>
        <v>16.2</v>
      </c>
      <c r="AA309" s="61" t="n">
        <f aca="false">SUM(T309:Z309)</f>
        <v>140.42997</v>
      </c>
      <c r="AB309" s="61" t="n">
        <f aca="false">AA309/(1-Resumo!$B$5)</f>
        <v>159.579511363636</v>
      </c>
      <c r="AC309" s="61" t="n">
        <f aca="false">AB309-S309</f>
        <v>46.0591045454545</v>
      </c>
      <c r="AD309" s="62" t="n">
        <f aca="false">AB309/S309-1</f>
        <v>0.405734139230353</v>
      </c>
      <c r="AE309" s="60" t="str">
        <f aca="false">IF(AB309&lt;S309,"SIM","NÃO")</f>
        <v>NÃO</v>
      </c>
      <c r="AF309" s="60" t="n">
        <v>2</v>
      </c>
      <c r="AG309" s="60" t="n">
        <v>7</v>
      </c>
      <c r="AH309" s="60" t="s">
        <v>382</v>
      </c>
      <c r="AI309" s="61" t="n">
        <f aca="false">(T309*(1-Painel!$C$40)+U309+V309+Painel!$C$41+Painel!$C$42*CEILING(G309/100,1)+Painel!$C$43*CEILING(G309,1)+Z309)/(1-Resumo!$B$5)</f>
        <v>110.098261363636</v>
      </c>
      <c r="AJ309" s="60" t="str">
        <f aca="false">IF(AI309&lt;S309,"SIM","NÃO")</f>
        <v>SIM</v>
      </c>
    </row>
    <row r="310" customFormat="false" ht="15" hidden="false" customHeight="false" outlineLevel="0" collapsed="false">
      <c r="A310" s="59" t="n">
        <v>46226.9081597222</v>
      </c>
      <c r="B310" s="60" t="s">
        <v>684</v>
      </c>
      <c r="C310" s="60" t="n">
        <v>22740361</v>
      </c>
      <c r="D310" s="60" t="s">
        <v>46</v>
      </c>
      <c r="E310" s="60" t="s">
        <v>22</v>
      </c>
      <c r="F310" s="60" t="s">
        <v>237</v>
      </c>
      <c r="G310" s="60" t="n">
        <v>66.8</v>
      </c>
      <c r="H310" s="61" t="n">
        <v>643.99</v>
      </c>
      <c r="I310" s="61" t="n">
        <v>63.21</v>
      </c>
      <c r="J310" s="61" t="n">
        <f aca="false">H310*Resumo!$C$6</f>
        <v>0</v>
      </c>
      <c r="K310" s="61" t="n">
        <f aca="false">H310*Resumo!$C$7</f>
        <v>1.352379</v>
      </c>
      <c r="L310" s="61" t="n">
        <f aca="false">H310*Resumo!$C$8</f>
        <v>1.352379</v>
      </c>
      <c r="M310" s="61" t="n">
        <f aca="false">Resumo!$C$10*CEILING(G310/100,1)</f>
        <v>1.05</v>
      </c>
      <c r="N310" s="61" t="n">
        <f aca="false">Resumo!$C$9</f>
        <v>0</v>
      </c>
      <c r="O310" s="61" t="n">
        <f aca="false">Resumo!$C$13</f>
        <v>13.55</v>
      </c>
      <c r="P310" s="61" t="n">
        <f aca="false">Resumo!$C$14*CEILING(G310,1)</f>
        <v>30.15</v>
      </c>
      <c r="Q310" s="61" t="n">
        <f aca="false">SUM(I310:P310)*Resumo!$C$11</f>
        <v>0</v>
      </c>
      <c r="R310" s="61" t="n">
        <f aca="false">SUM(I310:Q310)</f>
        <v>110.664758</v>
      </c>
      <c r="S310" s="61" t="n">
        <f aca="false">R310/(1-Resumo!$C$5)</f>
        <v>125.755406818182</v>
      </c>
      <c r="T310" s="61" t="n">
        <v>131.02</v>
      </c>
      <c r="U310" s="61" t="n">
        <f aca="false">H310*Resumo!$B$6</f>
        <v>0.64399</v>
      </c>
      <c r="V310" s="61" t="n">
        <f aca="false">H310*Resumo!$B$7</f>
        <v>1.28798</v>
      </c>
      <c r="W310" s="61" t="n">
        <f aca="false">Resumo!$B$9</f>
        <v>1</v>
      </c>
      <c r="X310" s="61" t="n">
        <f aca="false">Resumo!$B$10*CEILING(G310/100,1)</f>
        <v>4.5</v>
      </c>
      <c r="Y310" s="61" t="n">
        <f aca="false">Resumo!$B$12*CEILING(G310,1)</f>
        <v>4.02</v>
      </c>
      <c r="Z310" s="61" t="n">
        <f aca="false">Resumo!$B$14*CEILING(G310,1)</f>
        <v>30.15</v>
      </c>
      <c r="AA310" s="61" t="n">
        <f aca="false">SUM(T310:Z310)</f>
        <v>172.62197</v>
      </c>
      <c r="AB310" s="61" t="n">
        <f aca="false">AA310/(1-Resumo!$B$5)</f>
        <v>196.161329545455</v>
      </c>
      <c r="AC310" s="61" t="n">
        <f aca="false">AB310-S310</f>
        <v>70.4059227272727</v>
      </c>
      <c r="AD310" s="62" t="n">
        <f aca="false">AB310/S310-1</f>
        <v>0.559863981268544</v>
      </c>
      <c r="AE310" s="60" t="str">
        <f aca="false">IF(AB310&lt;S310,"SIM","NÃO")</f>
        <v>NÃO</v>
      </c>
      <c r="AF310" s="60" t="n">
        <v>2</v>
      </c>
      <c r="AG310" s="60" t="n">
        <v>5</v>
      </c>
      <c r="AH310" s="60" t="s">
        <v>382</v>
      </c>
      <c r="AI310" s="61" t="n">
        <f aca="false">(T310*(1-Painel!$C$40)+U310+V310+Painel!$C$41+Painel!$C$42*CEILING(G310/100,1)+Painel!$C$43*CEILING(G310,1)+Z310)/(1-Resumo!$B$5)</f>
        <v>138.540193181818</v>
      </c>
      <c r="AJ310" s="60" t="str">
        <f aca="false">IF(AI310&lt;S310,"SIM","NÃO")</f>
        <v>NÃO</v>
      </c>
    </row>
    <row r="311" customFormat="false" ht="15" hidden="false" customHeight="false" outlineLevel="0" collapsed="false">
      <c r="A311" s="59" t="n">
        <v>46226.9450694445</v>
      </c>
      <c r="B311" s="60" t="s">
        <v>685</v>
      </c>
      <c r="C311" s="60" t="n">
        <v>26553390</v>
      </c>
      <c r="D311" s="60" t="s">
        <v>224</v>
      </c>
      <c r="E311" s="60" t="s">
        <v>23</v>
      </c>
      <c r="F311" s="60" t="s">
        <v>235</v>
      </c>
      <c r="G311" s="60" t="n">
        <v>48.3</v>
      </c>
      <c r="H311" s="61" t="n">
        <v>414.99</v>
      </c>
      <c r="I311" s="61" t="n">
        <v>65.36</v>
      </c>
      <c r="J311" s="61" t="n">
        <f aca="false">H311*Resumo!$C$6</f>
        <v>0</v>
      </c>
      <c r="K311" s="61" t="n">
        <f aca="false">H311*Resumo!$C$7</f>
        <v>0.871479</v>
      </c>
      <c r="L311" s="61" t="n">
        <f aca="false">H311*Resumo!$C$8</f>
        <v>0.871479</v>
      </c>
      <c r="M311" s="61" t="n">
        <f aca="false">Resumo!$C$10*CEILING(G311/100,1)</f>
        <v>1.05</v>
      </c>
      <c r="N311" s="61" t="n">
        <f aca="false">Resumo!$C$9</f>
        <v>0</v>
      </c>
      <c r="O311" s="61" t="n">
        <f aca="false">Resumo!$C$13</f>
        <v>13.55</v>
      </c>
      <c r="P311" s="61" t="n">
        <f aca="false">Resumo!$C$14*CEILING(G311,1)</f>
        <v>22.05</v>
      </c>
      <c r="Q311" s="61" t="n">
        <f aca="false">SUM(I311:P311)*Resumo!$C$11</f>
        <v>0</v>
      </c>
      <c r="R311" s="61" t="n">
        <f aca="false">SUM(I311:Q311)</f>
        <v>103.752958</v>
      </c>
      <c r="S311" s="61" t="n">
        <f aca="false">R311/(1-Resumo!$C$5)</f>
        <v>117.901088636364</v>
      </c>
      <c r="T311" s="61" t="n">
        <v>93.97</v>
      </c>
      <c r="U311" s="61" t="n">
        <f aca="false">H311*Resumo!$B$6</f>
        <v>0.41499</v>
      </c>
      <c r="V311" s="61" t="n">
        <f aca="false">H311*Resumo!$B$7</f>
        <v>0.82998</v>
      </c>
      <c r="W311" s="61" t="n">
        <f aca="false">Resumo!$B$9</f>
        <v>1</v>
      </c>
      <c r="X311" s="61" t="n">
        <f aca="false">Resumo!$B$10*CEILING(G311/100,1)</f>
        <v>4.5</v>
      </c>
      <c r="Y311" s="61" t="n">
        <f aca="false">Resumo!$B$12*CEILING(G311,1)</f>
        <v>2.94</v>
      </c>
      <c r="Z311" s="61" t="n">
        <f aca="false">Resumo!$B$14*CEILING(G311,1)</f>
        <v>22.05</v>
      </c>
      <c r="AA311" s="61" t="n">
        <f aca="false">SUM(T311:Z311)</f>
        <v>125.70497</v>
      </c>
      <c r="AB311" s="61" t="n">
        <f aca="false">AA311/(1-Resumo!$B$5)</f>
        <v>142.846556818182</v>
      </c>
      <c r="AC311" s="61" t="n">
        <f aca="false">AB311-S311</f>
        <v>24.9454681818182</v>
      </c>
      <c r="AD311" s="62" t="n">
        <f aca="false">AB311/S311-1</f>
        <v>0.211579625517761</v>
      </c>
      <c r="AE311" s="60" t="str">
        <f aca="false">IF(AB311&lt;S311,"SIM","NÃO")</f>
        <v>NÃO</v>
      </c>
      <c r="AF311" s="60" t="n">
        <v>2</v>
      </c>
      <c r="AG311" s="60" t="n">
        <v>5</v>
      </c>
      <c r="AH311" s="60" t="s">
        <v>382</v>
      </c>
      <c r="AI311" s="61" t="n">
        <f aca="false">(T311*(1-Painel!$C$40)+U311+V311+Painel!$C$41+Painel!$C$42*CEILING(G311/100,1)+Painel!$C$43*CEILING(G311,1)+Z311)/(1-Resumo!$B$5)</f>
        <v>100.346443181818</v>
      </c>
      <c r="AJ311" s="60" t="str">
        <f aca="false">IF(AI311&lt;S311,"SIM","NÃO")</f>
        <v>SIM</v>
      </c>
    </row>
    <row r="312" customFormat="false" ht="15" hidden="false" customHeight="false" outlineLevel="0" collapsed="false">
      <c r="A312" s="59" t="n">
        <v>46227.5399421296</v>
      </c>
      <c r="B312" s="60" t="s">
        <v>686</v>
      </c>
      <c r="C312" s="60" t="n">
        <v>21852413</v>
      </c>
      <c r="D312" s="60" t="s">
        <v>46</v>
      </c>
      <c r="E312" s="60" t="s">
        <v>22</v>
      </c>
      <c r="F312" s="60" t="s">
        <v>236</v>
      </c>
      <c r="G312" s="60" t="n">
        <v>60</v>
      </c>
      <c r="H312" s="61" t="n">
        <v>999.99</v>
      </c>
      <c r="I312" s="61" t="n">
        <v>58.6</v>
      </c>
      <c r="J312" s="61" t="n">
        <f aca="false">H312*Resumo!$C$6</f>
        <v>0</v>
      </c>
      <c r="K312" s="61" t="n">
        <f aca="false">H312*Resumo!$C$7</f>
        <v>2.099979</v>
      </c>
      <c r="L312" s="61" t="n">
        <f aca="false">H312*Resumo!$C$8</f>
        <v>2.099979</v>
      </c>
      <c r="M312" s="61" t="n">
        <f aca="false">Resumo!$C$10*CEILING(G312/100,1)</f>
        <v>1.05</v>
      </c>
      <c r="N312" s="61" t="n">
        <f aca="false">Resumo!$C$9</f>
        <v>0</v>
      </c>
      <c r="O312" s="61" t="n">
        <f aca="false">Resumo!$C$13</f>
        <v>13.55</v>
      </c>
      <c r="P312" s="61" t="n">
        <f aca="false">Resumo!$C$14*CEILING(G312,1)</f>
        <v>27</v>
      </c>
      <c r="Q312" s="61" t="n">
        <f aca="false">SUM(I312:P312)*Resumo!$C$11</f>
        <v>0</v>
      </c>
      <c r="R312" s="61" t="n">
        <f aca="false">SUM(I312:Q312)</f>
        <v>104.399958</v>
      </c>
      <c r="S312" s="61" t="n">
        <f aca="false">R312/(1-Resumo!$C$5)</f>
        <v>118.636315909091</v>
      </c>
      <c r="T312" s="61" t="n">
        <v>112.3</v>
      </c>
      <c r="U312" s="61" t="n">
        <f aca="false">H312*Resumo!$B$6</f>
        <v>0.99999</v>
      </c>
      <c r="V312" s="61" t="n">
        <f aca="false">H312*Resumo!$B$7</f>
        <v>1.99998</v>
      </c>
      <c r="W312" s="61" t="n">
        <f aca="false">Resumo!$B$9</f>
        <v>1</v>
      </c>
      <c r="X312" s="61" t="n">
        <f aca="false">Resumo!$B$10*CEILING(G312/100,1)</f>
        <v>4.5</v>
      </c>
      <c r="Y312" s="61" t="n">
        <f aca="false">Resumo!$B$12*CEILING(G312,1)</f>
        <v>3.6</v>
      </c>
      <c r="Z312" s="61" t="n">
        <f aca="false">Resumo!$B$14*CEILING(G312,1)</f>
        <v>27</v>
      </c>
      <c r="AA312" s="61" t="n">
        <f aca="false">SUM(T312:Z312)</f>
        <v>151.39997</v>
      </c>
      <c r="AB312" s="61" t="n">
        <f aca="false">AA312/(1-Resumo!$B$5)</f>
        <v>172.045420454545</v>
      </c>
      <c r="AC312" s="61" t="n">
        <f aca="false">AB312-S312</f>
        <v>53.4091045454545</v>
      </c>
      <c r="AD312" s="62" t="n">
        <f aca="false">AB312/S312-1</f>
        <v>0.450191866935425</v>
      </c>
      <c r="AE312" s="60" t="str">
        <f aca="false">IF(AB312&lt;S312,"SIM","NÃO")</f>
        <v>NÃO</v>
      </c>
      <c r="AF312" s="60" t="n">
        <v>2</v>
      </c>
      <c r="AG312" s="60" t="n">
        <v>5</v>
      </c>
      <c r="AH312" s="60" t="s">
        <v>382</v>
      </c>
      <c r="AI312" s="61" t="n">
        <f aca="false">(T312*(1-Painel!$C$40)+U312+V312+Painel!$C$41+Painel!$C$42*CEILING(G312/100,1)+Painel!$C$43*CEILING(G312,1)+Z312)/(1-Resumo!$B$5)</f>
        <v>121.921556818182</v>
      </c>
      <c r="AJ312" s="60" t="str">
        <f aca="false">IF(AI312&lt;S312,"SIM","NÃO")</f>
        <v>NÃO</v>
      </c>
    </row>
    <row r="313" customFormat="false" ht="15" hidden="false" customHeight="false" outlineLevel="0" collapsed="false">
      <c r="A313" s="59" t="n">
        <v>46227.5446875</v>
      </c>
      <c r="B313" s="60" t="s">
        <v>687</v>
      </c>
      <c r="C313" s="60" t="n">
        <v>21555080</v>
      </c>
      <c r="D313" s="60" t="s">
        <v>46</v>
      </c>
      <c r="E313" s="60" t="s">
        <v>22</v>
      </c>
      <c r="F313" s="60" t="s">
        <v>242</v>
      </c>
      <c r="G313" s="60" t="n">
        <v>157.9</v>
      </c>
      <c r="H313" s="61" t="n">
        <v>1920.55</v>
      </c>
      <c r="I313" s="61" t="n">
        <v>130.31</v>
      </c>
      <c r="J313" s="61" t="n">
        <f aca="false">H313*Resumo!$C$6</f>
        <v>0</v>
      </c>
      <c r="K313" s="61" t="n">
        <f aca="false">H313*Resumo!$C$7</f>
        <v>4.033155</v>
      </c>
      <c r="L313" s="61" t="n">
        <f aca="false">H313*Resumo!$C$8</f>
        <v>4.033155</v>
      </c>
      <c r="M313" s="61" t="n">
        <f aca="false">Resumo!$C$10*CEILING(G313/100,1)</f>
        <v>2.1</v>
      </c>
      <c r="N313" s="61" t="n">
        <f aca="false">Resumo!$C$9</f>
        <v>0</v>
      </c>
      <c r="O313" s="61" t="n">
        <f aca="false">Resumo!$C$13</f>
        <v>13.55</v>
      </c>
      <c r="P313" s="61" t="n">
        <f aca="false">Resumo!$C$14*CEILING(G313,1)</f>
        <v>71.1</v>
      </c>
      <c r="Q313" s="61" t="n">
        <f aca="false">SUM(I313:P313)*Resumo!$C$11</f>
        <v>0</v>
      </c>
      <c r="R313" s="61" t="n">
        <f aca="false">SUM(I313:Q313)</f>
        <v>225.12631</v>
      </c>
      <c r="S313" s="61" t="n">
        <f aca="false">R313/(1-Resumo!$C$5)</f>
        <v>255.825352272727</v>
      </c>
      <c r="T313" s="61" t="n">
        <v>271.15</v>
      </c>
      <c r="U313" s="61" t="n">
        <f aca="false">H313*Resumo!$B$6</f>
        <v>1.92055</v>
      </c>
      <c r="V313" s="61" t="n">
        <f aca="false">H313*Resumo!$B$7</f>
        <v>3.8411</v>
      </c>
      <c r="W313" s="61" t="n">
        <f aca="false">Resumo!$B$9</f>
        <v>1</v>
      </c>
      <c r="X313" s="61" t="n">
        <f aca="false">Resumo!$B$10*CEILING(G313/100,1)</f>
        <v>9</v>
      </c>
      <c r="Y313" s="61" t="n">
        <f aca="false">Resumo!$B$12*CEILING(G313,1)</f>
        <v>9.48</v>
      </c>
      <c r="Z313" s="61" t="n">
        <f aca="false">Resumo!$B$14*CEILING(G313,1)</f>
        <v>71.1</v>
      </c>
      <c r="AA313" s="61" t="n">
        <f aca="false">SUM(T313:Z313)</f>
        <v>367.49165</v>
      </c>
      <c r="AB313" s="61" t="n">
        <f aca="false">AA313/(1-Resumo!$B$5)</f>
        <v>417.604147727273</v>
      </c>
      <c r="AC313" s="61" t="n">
        <f aca="false">AB313-S313</f>
        <v>161.778795454545</v>
      </c>
      <c r="AD313" s="62" t="n">
        <f aca="false">AB313/S313-1</f>
        <v>0.632379840454899</v>
      </c>
      <c r="AE313" s="60" t="str">
        <f aca="false">IF(AB313&lt;S313,"SIM","NÃO")</f>
        <v>NÃO</v>
      </c>
      <c r="AF313" s="60" t="n">
        <v>2</v>
      </c>
      <c r="AG313" s="60" t="n">
        <v>5</v>
      </c>
      <c r="AH313" s="60" t="s">
        <v>382</v>
      </c>
      <c r="AI313" s="61" t="n">
        <f aca="false">(T313*(1-Painel!$C$40)+U313+V313+Painel!$C$41+Painel!$C$42*CEILING(G313/100,1)+Painel!$C$43*CEILING(G313,1)+Z313)/(1-Resumo!$B$5)</f>
        <v>297.309261363636</v>
      </c>
      <c r="AJ313" s="60" t="str">
        <f aca="false">IF(AI313&lt;S313,"SIM","NÃO")</f>
        <v>NÃO</v>
      </c>
    </row>
    <row r="314" customFormat="false" ht="15" hidden="false" customHeight="false" outlineLevel="0" collapsed="false">
      <c r="A314" s="59" t="n">
        <v>46227.651087963</v>
      </c>
      <c r="B314" s="60" t="s">
        <v>686</v>
      </c>
      <c r="C314" s="60" t="n">
        <v>21852413</v>
      </c>
      <c r="D314" s="60" t="s">
        <v>46</v>
      </c>
      <c r="E314" s="60" t="s">
        <v>22</v>
      </c>
      <c r="F314" s="60" t="s">
        <v>236</v>
      </c>
      <c r="G314" s="60" t="n">
        <v>60</v>
      </c>
      <c r="H314" s="61" t="n">
        <v>999.99</v>
      </c>
      <c r="I314" s="61" t="n">
        <v>58.6</v>
      </c>
      <c r="J314" s="61" t="n">
        <f aca="false">H314*Resumo!$C$6</f>
        <v>0</v>
      </c>
      <c r="K314" s="61" t="n">
        <f aca="false">H314*Resumo!$C$7</f>
        <v>2.099979</v>
      </c>
      <c r="L314" s="61" t="n">
        <f aca="false">H314*Resumo!$C$8</f>
        <v>2.099979</v>
      </c>
      <c r="M314" s="61" t="n">
        <f aca="false">Resumo!$C$10*CEILING(G314/100,1)</f>
        <v>1.05</v>
      </c>
      <c r="N314" s="61" t="n">
        <f aca="false">Resumo!$C$9</f>
        <v>0</v>
      </c>
      <c r="O314" s="61" t="n">
        <f aca="false">Resumo!$C$13</f>
        <v>13.55</v>
      </c>
      <c r="P314" s="61" t="n">
        <f aca="false">Resumo!$C$14*CEILING(G314,1)</f>
        <v>27</v>
      </c>
      <c r="Q314" s="61" t="n">
        <f aca="false">SUM(I314:P314)*Resumo!$C$11</f>
        <v>0</v>
      </c>
      <c r="R314" s="61" t="n">
        <f aca="false">SUM(I314:Q314)</f>
        <v>104.399958</v>
      </c>
      <c r="S314" s="61" t="n">
        <f aca="false">R314/(1-Resumo!$C$5)</f>
        <v>118.636315909091</v>
      </c>
      <c r="T314" s="61" t="n">
        <v>112.3</v>
      </c>
      <c r="U314" s="61" t="n">
        <f aca="false">H314*Resumo!$B$6</f>
        <v>0.99999</v>
      </c>
      <c r="V314" s="61" t="n">
        <f aca="false">H314*Resumo!$B$7</f>
        <v>1.99998</v>
      </c>
      <c r="W314" s="61" t="n">
        <f aca="false">Resumo!$B$9</f>
        <v>1</v>
      </c>
      <c r="X314" s="61" t="n">
        <f aca="false">Resumo!$B$10*CEILING(G314/100,1)</f>
        <v>4.5</v>
      </c>
      <c r="Y314" s="61" t="n">
        <f aca="false">Resumo!$B$12*CEILING(G314,1)</f>
        <v>3.6</v>
      </c>
      <c r="Z314" s="61" t="n">
        <f aca="false">Resumo!$B$14*CEILING(G314,1)</f>
        <v>27</v>
      </c>
      <c r="AA314" s="61" t="n">
        <f aca="false">SUM(T314:Z314)</f>
        <v>151.39997</v>
      </c>
      <c r="AB314" s="61" t="n">
        <f aca="false">AA314/(1-Resumo!$B$5)</f>
        <v>172.045420454545</v>
      </c>
      <c r="AC314" s="61" t="n">
        <f aca="false">AB314-S314</f>
        <v>53.4091045454545</v>
      </c>
      <c r="AD314" s="62" t="n">
        <f aca="false">AB314/S314-1</f>
        <v>0.450191866935425</v>
      </c>
      <c r="AE314" s="60" t="str">
        <f aca="false">IF(AB314&lt;S314,"SIM","NÃO")</f>
        <v>NÃO</v>
      </c>
      <c r="AF314" s="60" t="n">
        <v>2</v>
      </c>
      <c r="AG314" s="60" t="n">
        <v>5</v>
      </c>
      <c r="AH314" s="60" t="s">
        <v>382</v>
      </c>
      <c r="AI314" s="61" t="n">
        <f aca="false">(T314*(1-Painel!$C$40)+U314+V314+Painel!$C$41+Painel!$C$42*CEILING(G314/100,1)+Painel!$C$43*CEILING(G314,1)+Z314)/(1-Resumo!$B$5)</f>
        <v>121.921556818182</v>
      </c>
      <c r="AJ314" s="60" t="str">
        <f aca="false">IF(AI314&lt;S314,"SIM","NÃO")</f>
        <v>NÃO</v>
      </c>
    </row>
    <row r="315" customFormat="false" ht="15" hidden="false" customHeight="false" outlineLevel="0" collapsed="false">
      <c r="A315" s="59" t="n">
        <v>46227.6859837963</v>
      </c>
      <c r="B315" s="60" t="s">
        <v>688</v>
      </c>
      <c r="C315" s="60" t="n">
        <v>22793075</v>
      </c>
      <c r="D315" s="60" t="s">
        <v>46</v>
      </c>
      <c r="E315" s="60" t="s">
        <v>22</v>
      </c>
      <c r="F315" s="60" t="s">
        <v>235</v>
      </c>
      <c r="G315" s="60" t="n">
        <v>48.3</v>
      </c>
      <c r="H315" s="61" t="n">
        <v>429.99</v>
      </c>
      <c r="I315" s="61" t="n">
        <v>53.55</v>
      </c>
      <c r="J315" s="61" t="n">
        <f aca="false">H315*Resumo!$C$6</f>
        <v>0</v>
      </c>
      <c r="K315" s="61" t="n">
        <f aca="false">H315*Resumo!$C$7</f>
        <v>0.902979</v>
      </c>
      <c r="L315" s="61" t="n">
        <f aca="false">H315*Resumo!$C$8</f>
        <v>0.902979</v>
      </c>
      <c r="M315" s="61" t="n">
        <f aca="false">Resumo!$C$10*CEILING(G315/100,1)</f>
        <v>1.05</v>
      </c>
      <c r="N315" s="61" t="n">
        <f aca="false">Resumo!$C$9</f>
        <v>0</v>
      </c>
      <c r="O315" s="61" t="n">
        <f aca="false">Resumo!$C$13</f>
        <v>13.55</v>
      </c>
      <c r="P315" s="61" t="n">
        <f aca="false">Resumo!$C$14*CEILING(G315,1)</f>
        <v>22.05</v>
      </c>
      <c r="Q315" s="61" t="n">
        <f aca="false">SUM(I315:P315)*Resumo!$C$11</f>
        <v>0</v>
      </c>
      <c r="R315" s="61" t="n">
        <f aca="false">SUM(I315:Q315)</f>
        <v>92.005958</v>
      </c>
      <c r="S315" s="61" t="n">
        <f aca="false">R315/(1-Resumo!$C$5)</f>
        <v>104.552225</v>
      </c>
      <c r="T315" s="61" t="n">
        <v>93.97</v>
      </c>
      <c r="U315" s="61" t="n">
        <f aca="false">H315*Resumo!$B$6</f>
        <v>0.42999</v>
      </c>
      <c r="V315" s="61" t="n">
        <f aca="false">H315*Resumo!$B$7</f>
        <v>0.85998</v>
      </c>
      <c r="W315" s="61" t="n">
        <f aca="false">Resumo!$B$9</f>
        <v>1</v>
      </c>
      <c r="X315" s="61" t="n">
        <f aca="false">Resumo!$B$10*CEILING(G315/100,1)</f>
        <v>4.5</v>
      </c>
      <c r="Y315" s="61" t="n">
        <f aca="false">Resumo!$B$12*CEILING(G315,1)</f>
        <v>2.94</v>
      </c>
      <c r="Z315" s="61" t="n">
        <f aca="false">Resumo!$B$14*CEILING(G315,1)</f>
        <v>22.05</v>
      </c>
      <c r="AA315" s="61" t="n">
        <f aca="false">SUM(T315:Z315)</f>
        <v>125.74997</v>
      </c>
      <c r="AB315" s="61" t="n">
        <f aca="false">AA315/(1-Resumo!$B$5)</f>
        <v>142.897693181818</v>
      </c>
      <c r="AC315" s="61" t="n">
        <f aca="false">AB315-S315</f>
        <v>38.3454681818182</v>
      </c>
      <c r="AD315" s="62" t="n">
        <f aca="false">AB315/S315-1</f>
        <v>0.366758987499483</v>
      </c>
      <c r="AE315" s="60" t="str">
        <f aca="false">IF(AB315&lt;S315,"SIM","NÃO")</f>
        <v>NÃO</v>
      </c>
      <c r="AF315" s="60" t="n">
        <v>2</v>
      </c>
      <c r="AG315" s="60" t="n">
        <v>5</v>
      </c>
      <c r="AH315" s="60" t="s">
        <v>382</v>
      </c>
      <c r="AI315" s="61" t="n">
        <f aca="false">(T315*(1-Painel!$C$40)+U315+V315+Painel!$C$41+Painel!$C$42*CEILING(G315/100,1)+Painel!$C$43*CEILING(G315,1)+Z315)/(1-Resumo!$B$5)</f>
        <v>100.397579545455</v>
      </c>
      <c r="AJ315" s="60" t="str">
        <f aca="false">IF(AI315&lt;S315,"SIM","NÃO")</f>
        <v>SIM</v>
      </c>
    </row>
    <row r="316" customFormat="false" ht="15" hidden="false" customHeight="false" outlineLevel="0" collapsed="false">
      <c r="A316" s="59" t="n">
        <v>46227.8268055556</v>
      </c>
      <c r="B316" s="60" t="s">
        <v>689</v>
      </c>
      <c r="C316" s="60" t="n">
        <v>22783123</v>
      </c>
      <c r="D316" s="60" t="s">
        <v>46</v>
      </c>
      <c r="E316" s="60" t="s">
        <v>22</v>
      </c>
      <c r="F316" s="60" t="s">
        <v>236</v>
      </c>
      <c r="G316" s="60" t="n">
        <v>52.3</v>
      </c>
      <c r="H316" s="61" t="n">
        <v>685.84</v>
      </c>
      <c r="I316" s="61" t="n">
        <v>58.6</v>
      </c>
      <c r="J316" s="61" t="n">
        <f aca="false">H316*Resumo!$C$6</f>
        <v>0</v>
      </c>
      <c r="K316" s="61" t="n">
        <f aca="false">H316*Resumo!$C$7</f>
        <v>1.440264</v>
      </c>
      <c r="L316" s="61" t="n">
        <f aca="false">H316*Resumo!$C$8</f>
        <v>1.440264</v>
      </c>
      <c r="M316" s="61" t="n">
        <f aca="false">Resumo!$C$10*CEILING(G316/100,1)</f>
        <v>1.05</v>
      </c>
      <c r="N316" s="61" t="n">
        <f aca="false">Resumo!$C$9</f>
        <v>0</v>
      </c>
      <c r="O316" s="61" t="n">
        <f aca="false">Resumo!$C$13</f>
        <v>13.55</v>
      </c>
      <c r="P316" s="61" t="n">
        <f aca="false">Resumo!$C$14*CEILING(G316,1)</f>
        <v>23.85</v>
      </c>
      <c r="Q316" s="61" t="n">
        <f aca="false">SUM(I316:P316)*Resumo!$C$11</f>
        <v>0</v>
      </c>
      <c r="R316" s="61" t="n">
        <f aca="false">SUM(I316:Q316)</f>
        <v>99.930528</v>
      </c>
      <c r="S316" s="61" t="n">
        <f aca="false">R316/(1-Resumo!$C$5)</f>
        <v>113.557418181818</v>
      </c>
      <c r="T316" s="61" t="n">
        <v>112.3</v>
      </c>
      <c r="U316" s="61" t="n">
        <f aca="false">H316*Resumo!$B$6</f>
        <v>0.68584</v>
      </c>
      <c r="V316" s="61" t="n">
        <f aca="false">H316*Resumo!$B$7</f>
        <v>1.37168</v>
      </c>
      <c r="W316" s="61" t="n">
        <f aca="false">Resumo!$B$9</f>
        <v>1</v>
      </c>
      <c r="X316" s="61" t="n">
        <f aca="false">Resumo!$B$10*CEILING(G316/100,1)</f>
        <v>4.5</v>
      </c>
      <c r="Y316" s="61" t="n">
        <f aca="false">Resumo!$B$12*CEILING(G316,1)</f>
        <v>3.18</v>
      </c>
      <c r="Z316" s="61" t="n">
        <f aca="false">Resumo!$B$14*CEILING(G316,1)</f>
        <v>23.85</v>
      </c>
      <c r="AA316" s="61" t="n">
        <f aca="false">SUM(T316:Z316)</f>
        <v>146.88752</v>
      </c>
      <c r="AB316" s="61" t="n">
        <f aca="false">AA316/(1-Resumo!$B$5)</f>
        <v>166.917636363636</v>
      </c>
      <c r="AC316" s="61" t="n">
        <f aca="false">AB316-S316</f>
        <v>53.3602181818182</v>
      </c>
      <c r="AD316" s="62" t="n">
        <f aca="false">AB316/S316-1</f>
        <v>0.469896366403668</v>
      </c>
      <c r="AE316" s="60" t="str">
        <f aca="false">IF(AB316&lt;S316,"SIM","NÃO")</f>
        <v>NÃO</v>
      </c>
      <c r="AF316" s="60" t="n">
        <v>2</v>
      </c>
      <c r="AG316" s="60" t="n">
        <v>5</v>
      </c>
      <c r="AH316" s="60" t="s">
        <v>382</v>
      </c>
      <c r="AI316" s="61" t="n">
        <f aca="false">(T316*(1-Painel!$C$40)+U316+V316+Painel!$C$41+Painel!$C$42*CEILING(G316/100,1)+Painel!$C$43*CEILING(G316,1)+Z316)/(1-Resumo!$B$5)</f>
        <v>117.271045454545</v>
      </c>
      <c r="AJ316" s="60" t="str">
        <f aca="false">IF(AI316&lt;S316,"SIM","NÃO")</f>
        <v>NÃO</v>
      </c>
    </row>
    <row r="317" customFormat="false" ht="15" hidden="false" customHeight="false" outlineLevel="0" collapsed="false">
      <c r="A317" s="59" t="n">
        <v>46227.8884143519</v>
      </c>
      <c r="B317" s="60" t="s">
        <v>690</v>
      </c>
      <c r="C317" s="60" t="n">
        <v>26295607</v>
      </c>
      <c r="D317" s="60" t="s">
        <v>49</v>
      </c>
      <c r="E317" s="60" t="s">
        <v>23</v>
      </c>
      <c r="F317" s="60" t="s">
        <v>236</v>
      </c>
      <c r="G317" s="60" t="n">
        <v>52.3</v>
      </c>
      <c r="H317" s="61" t="n">
        <v>685.84</v>
      </c>
      <c r="I317" s="61" t="n">
        <v>70.98</v>
      </c>
      <c r="J317" s="61" t="n">
        <f aca="false">H317*Resumo!$C$6</f>
        <v>0</v>
      </c>
      <c r="K317" s="61" t="n">
        <f aca="false">H317*Resumo!$C$7</f>
        <v>1.440264</v>
      </c>
      <c r="L317" s="61" t="n">
        <f aca="false">H317*Resumo!$C$8</f>
        <v>1.440264</v>
      </c>
      <c r="M317" s="61" t="n">
        <f aca="false">Resumo!$C$10*CEILING(G317/100,1)</f>
        <v>1.05</v>
      </c>
      <c r="N317" s="61" t="n">
        <f aca="false">Resumo!$C$9</f>
        <v>0</v>
      </c>
      <c r="O317" s="61" t="n">
        <f aca="false">Resumo!$C$13</f>
        <v>13.55</v>
      </c>
      <c r="P317" s="61" t="n">
        <f aca="false">Resumo!$C$14*CEILING(G317,1)</f>
        <v>23.85</v>
      </c>
      <c r="Q317" s="61" t="n">
        <f aca="false">SUM(I317:P317)*Resumo!$C$11</f>
        <v>0</v>
      </c>
      <c r="R317" s="61" t="n">
        <f aca="false">SUM(I317:Q317)</f>
        <v>112.310528</v>
      </c>
      <c r="S317" s="61" t="n">
        <f aca="false">R317/(1-Resumo!$C$5)</f>
        <v>127.6256</v>
      </c>
      <c r="T317" s="61" t="n">
        <v>112.3</v>
      </c>
      <c r="U317" s="61" t="n">
        <f aca="false">H317*Resumo!$B$6</f>
        <v>0.68584</v>
      </c>
      <c r="V317" s="61" t="n">
        <f aca="false">H317*Resumo!$B$7</f>
        <v>1.37168</v>
      </c>
      <c r="W317" s="61" t="n">
        <f aca="false">Resumo!$B$9</f>
        <v>1</v>
      </c>
      <c r="X317" s="61" t="n">
        <f aca="false">Resumo!$B$10*CEILING(G317/100,1)</f>
        <v>4.5</v>
      </c>
      <c r="Y317" s="61" t="n">
        <f aca="false">Resumo!$B$12*CEILING(G317,1)</f>
        <v>3.18</v>
      </c>
      <c r="Z317" s="61" t="n">
        <f aca="false">Resumo!$B$14*CEILING(G317,1)</f>
        <v>23.85</v>
      </c>
      <c r="AA317" s="61" t="n">
        <f aca="false">SUM(T317:Z317)</f>
        <v>146.88752</v>
      </c>
      <c r="AB317" s="61" t="n">
        <f aca="false">AA317/(1-Resumo!$B$5)</f>
        <v>166.917636363636</v>
      </c>
      <c r="AC317" s="61" t="n">
        <f aca="false">AB317-S317</f>
        <v>39.2920363636363</v>
      </c>
      <c r="AD317" s="62" t="n">
        <f aca="false">AB317/S317-1</f>
        <v>0.307869552532065</v>
      </c>
      <c r="AE317" s="60" t="str">
        <f aca="false">IF(AB317&lt;S317,"SIM","NÃO")</f>
        <v>NÃO</v>
      </c>
      <c r="AF317" s="60" t="n">
        <v>2</v>
      </c>
      <c r="AG317" s="60" t="n">
        <v>5</v>
      </c>
      <c r="AH317" s="60" t="s">
        <v>382</v>
      </c>
      <c r="AI317" s="61" t="n">
        <f aca="false">(T317*(1-Painel!$C$40)+U317+V317+Painel!$C$41+Painel!$C$42*CEILING(G317/100,1)+Painel!$C$43*CEILING(G317,1)+Z317)/(1-Resumo!$B$5)</f>
        <v>117.271045454545</v>
      </c>
      <c r="AJ317" s="60" t="str">
        <f aca="false">IF(AI317&lt;S317,"SIM","NÃO")</f>
        <v>SIM</v>
      </c>
    </row>
    <row r="318" customFormat="false" ht="15" hidden="false" customHeight="false" outlineLevel="0" collapsed="false">
      <c r="A318" s="59" t="n">
        <v>46227.9042824074</v>
      </c>
      <c r="B318" s="60" t="s">
        <v>691</v>
      </c>
      <c r="C318" s="60" t="n">
        <v>22723391</v>
      </c>
      <c r="D318" s="60" t="s">
        <v>46</v>
      </c>
      <c r="E318" s="60" t="s">
        <v>22</v>
      </c>
      <c r="F318" s="60" t="s">
        <v>236</v>
      </c>
      <c r="G318" s="60" t="n">
        <v>52.3</v>
      </c>
      <c r="H318" s="61" t="n">
        <v>616.99</v>
      </c>
      <c r="I318" s="61" t="n">
        <v>58.6</v>
      </c>
      <c r="J318" s="61" t="n">
        <f aca="false">H318*Resumo!$C$6</f>
        <v>0</v>
      </c>
      <c r="K318" s="61" t="n">
        <f aca="false">H318*Resumo!$C$7</f>
        <v>1.295679</v>
      </c>
      <c r="L318" s="61" t="n">
        <f aca="false">H318*Resumo!$C$8</f>
        <v>1.295679</v>
      </c>
      <c r="M318" s="61" t="n">
        <f aca="false">Resumo!$C$10*CEILING(G318/100,1)</f>
        <v>1.05</v>
      </c>
      <c r="N318" s="61" t="n">
        <f aca="false">Resumo!$C$9</f>
        <v>0</v>
      </c>
      <c r="O318" s="61" t="n">
        <f aca="false">Resumo!$C$13</f>
        <v>13.55</v>
      </c>
      <c r="P318" s="61" t="n">
        <f aca="false">Resumo!$C$14*CEILING(G318,1)</f>
        <v>23.85</v>
      </c>
      <c r="Q318" s="61" t="n">
        <f aca="false">SUM(I318:P318)*Resumo!$C$11</f>
        <v>0</v>
      </c>
      <c r="R318" s="61" t="n">
        <f aca="false">SUM(I318:Q318)</f>
        <v>99.641358</v>
      </c>
      <c r="S318" s="61" t="n">
        <f aca="false">R318/(1-Resumo!$C$5)</f>
        <v>113.228815909091</v>
      </c>
      <c r="T318" s="61" t="n">
        <v>112.3</v>
      </c>
      <c r="U318" s="61" t="n">
        <f aca="false">H318*Resumo!$B$6</f>
        <v>0.61699</v>
      </c>
      <c r="V318" s="61" t="n">
        <f aca="false">H318*Resumo!$B$7</f>
        <v>1.23398</v>
      </c>
      <c r="W318" s="61" t="n">
        <f aca="false">Resumo!$B$9</f>
        <v>1</v>
      </c>
      <c r="X318" s="61" t="n">
        <f aca="false">Resumo!$B$10*CEILING(G318/100,1)</f>
        <v>4.5</v>
      </c>
      <c r="Y318" s="61" t="n">
        <f aca="false">Resumo!$B$12*CEILING(G318,1)</f>
        <v>3.18</v>
      </c>
      <c r="Z318" s="61" t="n">
        <f aca="false">Resumo!$B$14*CEILING(G318,1)</f>
        <v>23.85</v>
      </c>
      <c r="AA318" s="61" t="n">
        <f aca="false">SUM(T318:Z318)</f>
        <v>146.68097</v>
      </c>
      <c r="AB318" s="61" t="n">
        <f aca="false">AA318/(1-Resumo!$B$5)</f>
        <v>166.682920454545</v>
      </c>
      <c r="AC318" s="61" t="n">
        <f aca="false">AB318-S318</f>
        <v>53.4541045454546</v>
      </c>
      <c r="AD318" s="62" t="n">
        <f aca="false">AB318/S318-1</f>
        <v>0.472089230257179</v>
      </c>
      <c r="AE318" s="60" t="str">
        <f aca="false">IF(AB318&lt;S318,"SIM","NÃO")</f>
        <v>NÃO</v>
      </c>
      <c r="AF318" s="60" t="n">
        <v>2</v>
      </c>
      <c r="AG318" s="60" t="n">
        <v>5</v>
      </c>
      <c r="AH318" s="60" t="s">
        <v>382</v>
      </c>
      <c r="AI318" s="61" t="n">
        <f aca="false">(T318*(1-Painel!$C$40)+U318+V318+Painel!$C$41+Painel!$C$42*CEILING(G318/100,1)+Painel!$C$43*CEILING(G318,1)+Z318)/(1-Resumo!$B$5)</f>
        <v>117.036329545455</v>
      </c>
      <c r="AJ318" s="60" t="str">
        <f aca="false">IF(AI318&lt;S318,"SIM","NÃO")</f>
        <v>NÃO</v>
      </c>
    </row>
    <row r="319" customFormat="false" ht="15" hidden="false" customHeight="false" outlineLevel="0" collapsed="false">
      <c r="A319" s="59" t="n">
        <v>46227.9150462963</v>
      </c>
      <c r="B319" s="60" t="s">
        <v>692</v>
      </c>
      <c r="C319" s="60" t="n">
        <v>22783200</v>
      </c>
      <c r="D319" s="60" t="s">
        <v>46</v>
      </c>
      <c r="E319" s="60" t="s">
        <v>22</v>
      </c>
      <c r="F319" s="60" t="s">
        <v>236</v>
      </c>
      <c r="G319" s="60" t="n">
        <v>52.3</v>
      </c>
      <c r="H319" s="61" t="n">
        <v>699.99</v>
      </c>
      <c r="I319" s="61" t="n">
        <v>58.6</v>
      </c>
      <c r="J319" s="61" t="n">
        <f aca="false">H319*Resumo!$C$6</f>
        <v>0</v>
      </c>
      <c r="K319" s="61" t="n">
        <f aca="false">H319*Resumo!$C$7</f>
        <v>1.469979</v>
      </c>
      <c r="L319" s="61" t="n">
        <f aca="false">H319*Resumo!$C$8</f>
        <v>1.469979</v>
      </c>
      <c r="M319" s="61" t="n">
        <f aca="false">Resumo!$C$10*CEILING(G319/100,1)</f>
        <v>1.05</v>
      </c>
      <c r="N319" s="61" t="n">
        <f aca="false">Resumo!$C$9</f>
        <v>0</v>
      </c>
      <c r="O319" s="61" t="n">
        <f aca="false">Resumo!$C$13</f>
        <v>13.55</v>
      </c>
      <c r="P319" s="61" t="n">
        <f aca="false">Resumo!$C$14*CEILING(G319,1)</f>
        <v>23.85</v>
      </c>
      <c r="Q319" s="61" t="n">
        <f aca="false">SUM(I319:P319)*Resumo!$C$11</f>
        <v>0</v>
      </c>
      <c r="R319" s="61" t="n">
        <f aca="false">SUM(I319:Q319)</f>
        <v>99.989958</v>
      </c>
      <c r="S319" s="61" t="n">
        <f aca="false">R319/(1-Resumo!$C$5)</f>
        <v>113.624952272727</v>
      </c>
      <c r="T319" s="61" t="n">
        <v>112.3</v>
      </c>
      <c r="U319" s="61" t="n">
        <f aca="false">H319*Resumo!$B$6</f>
        <v>0.69999</v>
      </c>
      <c r="V319" s="61" t="n">
        <f aca="false">H319*Resumo!$B$7</f>
        <v>1.39998</v>
      </c>
      <c r="W319" s="61" t="n">
        <f aca="false">Resumo!$B$9</f>
        <v>1</v>
      </c>
      <c r="X319" s="61" t="n">
        <f aca="false">Resumo!$B$10*CEILING(G319/100,1)</f>
        <v>4.5</v>
      </c>
      <c r="Y319" s="61" t="n">
        <f aca="false">Resumo!$B$12*CEILING(G319,1)</f>
        <v>3.18</v>
      </c>
      <c r="Z319" s="61" t="n">
        <f aca="false">Resumo!$B$14*CEILING(G319,1)</f>
        <v>23.85</v>
      </c>
      <c r="AA319" s="61" t="n">
        <f aca="false">SUM(T319:Z319)</f>
        <v>146.92997</v>
      </c>
      <c r="AB319" s="61" t="n">
        <f aca="false">AA319/(1-Resumo!$B$5)</f>
        <v>166.965875</v>
      </c>
      <c r="AC319" s="61" t="n">
        <f aca="false">AB319-S319</f>
        <v>53.3409227272727</v>
      </c>
      <c r="AD319" s="62" t="n">
        <f aca="false">AB319/S319-1</f>
        <v>0.469447261894039</v>
      </c>
      <c r="AE319" s="60" t="str">
        <f aca="false">IF(AB319&lt;S319,"SIM","NÃO")</f>
        <v>NÃO</v>
      </c>
      <c r="AF319" s="60" t="n">
        <v>2</v>
      </c>
      <c r="AG319" s="60" t="n">
        <v>5</v>
      </c>
      <c r="AH319" s="60" t="s">
        <v>382</v>
      </c>
      <c r="AI319" s="61" t="n">
        <f aca="false">(T319*(1-Painel!$C$40)+U319+V319+Painel!$C$41+Painel!$C$42*CEILING(G319/100,1)+Painel!$C$43*CEILING(G319,1)+Z319)/(1-Resumo!$B$5)</f>
        <v>117.319284090909</v>
      </c>
      <c r="AJ319" s="60" t="str">
        <f aca="false">IF(AI319&lt;S319,"SIM","NÃO")</f>
        <v>NÃO</v>
      </c>
    </row>
    <row r="320" customFormat="false" ht="15" hidden="false" customHeight="false" outlineLevel="0" collapsed="false">
      <c r="A320" s="59" t="n">
        <v>46227.9572569444</v>
      </c>
      <c r="B320" s="60" t="s">
        <v>693</v>
      </c>
      <c r="C320" s="60" t="n">
        <v>23020230</v>
      </c>
      <c r="D320" s="60" t="s">
        <v>46</v>
      </c>
      <c r="E320" s="60" t="s">
        <v>22</v>
      </c>
      <c r="F320" s="60" t="s">
        <v>241</v>
      </c>
      <c r="G320" s="60" t="n">
        <v>145.8</v>
      </c>
      <c r="H320" s="61" t="n">
        <v>1869.99</v>
      </c>
      <c r="I320" s="61" t="n">
        <v>120.59</v>
      </c>
      <c r="J320" s="61" t="n">
        <f aca="false">H320*Resumo!$C$6</f>
        <v>0</v>
      </c>
      <c r="K320" s="61" t="n">
        <f aca="false">H320*Resumo!$C$7</f>
        <v>3.926979</v>
      </c>
      <c r="L320" s="61" t="n">
        <f aca="false">H320*Resumo!$C$8</f>
        <v>3.926979</v>
      </c>
      <c r="M320" s="61" t="n">
        <f aca="false">Resumo!$C$10*CEILING(G320/100,1)</f>
        <v>2.1</v>
      </c>
      <c r="N320" s="61" t="n">
        <f aca="false">Resumo!$C$9</f>
        <v>0</v>
      </c>
      <c r="O320" s="61" t="n">
        <f aca="false">Resumo!$C$13</f>
        <v>13.55</v>
      </c>
      <c r="P320" s="61" t="n">
        <f aca="false">Resumo!$C$14*CEILING(G320,1)</f>
        <v>65.7</v>
      </c>
      <c r="Q320" s="61" t="n">
        <f aca="false">SUM(I320:P320)*Resumo!$C$11</f>
        <v>0</v>
      </c>
      <c r="R320" s="61" t="n">
        <f aca="false">SUM(I320:Q320)</f>
        <v>209.793958</v>
      </c>
      <c r="S320" s="61" t="n">
        <f aca="false">R320/(1-Resumo!$C$5)</f>
        <v>238.402225</v>
      </c>
      <c r="T320" s="61" t="n">
        <v>239.25</v>
      </c>
      <c r="U320" s="61" t="n">
        <f aca="false">H320*Resumo!$B$6</f>
        <v>1.86999</v>
      </c>
      <c r="V320" s="61" t="n">
        <f aca="false">H320*Resumo!$B$7</f>
        <v>3.73998</v>
      </c>
      <c r="W320" s="61" t="n">
        <f aca="false">Resumo!$B$9</f>
        <v>1</v>
      </c>
      <c r="X320" s="61" t="n">
        <f aca="false">Resumo!$B$10*CEILING(G320/100,1)</f>
        <v>9</v>
      </c>
      <c r="Y320" s="61" t="n">
        <f aca="false">Resumo!$B$12*CEILING(G320,1)</f>
        <v>8.76</v>
      </c>
      <c r="Z320" s="61" t="n">
        <f aca="false">Resumo!$B$14*CEILING(G320,1)</f>
        <v>65.7</v>
      </c>
      <c r="AA320" s="61" t="n">
        <f aca="false">SUM(T320:Z320)</f>
        <v>329.31997</v>
      </c>
      <c r="AB320" s="61" t="n">
        <f aca="false">AA320/(1-Resumo!$B$5)</f>
        <v>374.227238636364</v>
      </c>
      <c r="AC320" s="61" t="n">
        <f aca="false">AB320-S320</f>
        <v>135.825013636364</v>
      </c>
      <c r="AD320" s="62" t="n">
        <f aca="false">AB320/S320-1</f>
        <v>0.569730478129403</v>
      </c>
      <c r="AE320" s="60" t="str">
        <f aca="false">IF(AB320&lt;S320,"SIM","NÃO")</f>
        <v>NÃO</v>
      </c>
      <c r="AF320" s="60" t="n">
        <v>2</v>
      </c>
      <c r="AG320" s="60" t="n">
        <v>5</v>
      </c>
      <c r="AH320" s="60" t="s">
        <v>382</v>
      </c>
      <c r="AI320" s="61" t="n">
        <f aca="false">(T320*(1-Painel!$C$40)+U320+V320+Painel!$C$41+Painel!$C$42*CEILING(G320/100,1)+Painel!$C$43*CEILING(G320,1)+Z320)/(1-Resumo!$B$5)</f>
        <v>266.713034090909</v>
      </c>
      <c r="AJ320" s="60" t="str">
        <f aca="false">IF(AI320&lt;S320,"SIM","NÃO")</f>
        <v>NÃO</v>
      </c>
    </row>
    <row r="321" customFormat="false" ht="15" hidden="false" customHeight="false" outlineLevel="0" collapsed="false">
      <c r="A321" s="59" t="n">
        <v>46227.9659837963</v>
      </c>
      <c r="B321" s="60" t="s">
        <v>694</v>
      </c>
      <c r="C321" s="60" t="n">
        <v>24465531</v>
      </c>
      <c r="D321" s="60" t="s">
        <v>47</v>
      </c>
      <c r="E321" s="60" t="s">
        <v>23</v>
      </c>
      <c r="F321" s="60" t="s">
        <v>237</v>
      </c>
      <c r="G321" s="60" t="n">
        <v>66.8</v>
      </c>
      <c r="H321" s="61" t="n">
        <v>639.99</v>
      </c>
      <c r="I321" s="61" t="n">
        <v>76.55</v>
      </c>
      <c r="J321" s="61" t="n">
        <f aca="false">H321*Resumo!$C$6</f>
        <v>0</v>
      </c>
      <c r="K321" s="61" t="n">
        <f aca="false">H321*Resumo!$C$7</f>
        <v>1.343979</v>
      </c>
      <c r="L321" s="61" t="n">
        <f aca="false">H321*Resumo!$C$8</f>
        <v>1.343979</v>
      </c>
      <c r="M321" s="61" t="n">
        <f aca="false">Resumo!$C$10*CEILING(G321/100,1)</f>
        <v>1.05</v>
      </c>
      <c r="N321" s="61" t="n">
        <f aca="false">Resumo!$C$9</f>
        <v>0</v>
      </c>
      <c r="O321" s="61" t="n">
        <f aca="false">Resumo!$C$13</f>
        <v>13.55</v>
      </c>
      <c r="P321" s="61" t="n">
        <f aca="false">Resumo!$C$14*CEILING(G321,1)</f>
        <v>30.15</v>
      </c>
      <c r="Q321" s="61" t="n">
        <f aca="false">SUM(I321:P321)*Resumo!$C$11</f>
        <v>0</v>
      </c>
      <c r="R321" s="61" t="n">
        <f aca="false">SUM(I321:Q321)</f>
        <v>123.987958</v>
      </c>
      <c r="S321" s="61" t="n">
        <f aca="false">R321/(1-Resumo!$C$5)</f>
        <v>140.895406818182</v>
      </c>
      <c r="T321" s="61" t="n">
        <v>149.5</v>
      </c>
      <c r="U321" s="61" t="n">
        <f aca="false">H321*Resumo!$B$6</f>
        <v>0.63999</v>
      </c>
      <c r="V321" s="61" t="n">
        <f aca="false">H321*Resumo!$B$7</f>
        <v>1.27998</v>
      </c>
      <c r="W321" s="61" t="n">
        <f aca="false">Resumo!$B$9</f>
        <v>1</v>
      </c>
      <c r="X321" s="61" t="n">
        <f aca="false">Resumo!$B$10*CEILING(G321/100,1)</f>
        <v>4.5</v>
      </c>
      <c r="Y321" s="61" t="n">
        <f aca="false">Resumo!$B$12*CEILING(G321,1)</f>
        <v>4.02</v>
      </c>
      <c r="Z321" s="61" t="n">
        <f aca="false">Resumo!$B$14*CEILING(G321,1)</f>
        <v>30.15</v>
      </c>
      <c r="AA321" s="61" t="n">
        <f aca="false">SUM(T321:Z321)</f>
        <v>191.08997</v>
      </c>
      <c r="AB321" s="61" t="n">
        <f aca="false">AA321/(1-Resumo!$B$5)</f>
        <v>217.147693181818</v>
      </c>
      <c r="AC321" s="61" t="n">
        <f aca="false">AB321-S321</f>
        <v>76.2522863636364</v>
      </c>
      <c r="AD321" s="62" t="n">
        <f aca="false">AB321/S321-1</f>
        <v>0.541197815355585</v>
      </c>
      <c r="AE321" s="60" t="str">
        <f aca="false">IF(AB321&lt;S321,"SIM","NÃO")</f>
        <v>NÃO</v>
      </c>
      <c r="AF321" s="60" t="n">
        <v>2</v>
      </c>
      <c r="AG321" s="60" t="n">
        <v>7</v>
      </c>
      <c r="AH321" s="60" t="s">
        <v>382</v>
      </c>
      <c r="AI321" s="61" t="n">
        <f aca="false">(T321*(1-Painel!$C$40)+U321+V321+Painel!$C$41+Painel!$C$42*CEILING(G321/100,1)+Painel!$C$43*CEILING(G321,1)+Z321)/(1-Resumo!$B$5)</f>
        <v>152.596556818182</v>
      </c>
      <c r="AJ321" s="60" t="str">
        <f aca="false">IF(AI321&lt;S321,"SIM","NÃO")</f>
        <v>NÃO</v>
      </c>
    </row>
    <row r="322" customFormat="false" ht="15" hidden="false" customHeight="false" outlineLevel="0" collapsed="false">
      <c r="A322" s="59" t="n">
        <v>46228.4722453704</v>
      </c>
      <c r="B322" s="60" t="s">
        <v>695</v>
      </c>
      <c r="C322" s="60" t="n">
        <v>24445790</v>
      </c>
      <c r="D322" s="60" t="s">
        <v>47</v>
      </c>
      <c r="E322" s="60" t="s">
        <v>23</v>
      </c>
      <c r="F322" s="60" t="s">
        <v>234</v>
      </c>
      <c r="G322" s="60" t="n">
        <v>37.2</v>
      </c>
      <c r="H322" s="61" t="n">
        <v>399.99</v>
      </c>
      <c r="I322" s="61" t="n">
        <v>66.83</v>
      </c>
      <c r="J322" s="61" t="n">
        <f aca="false">H322*Resumo!$C$6</f>
        <v>0</v>
      </c>
      <c r="K322" s="61" t="n">
        <f aca="false">H322*Resumo!$C$7</f>
        <v>0.839979</v>
      </c>
      <c r="L322" s="61" t="n">
        <f aca="false">H322*Resumo!$C$8</f>
        <v>0.839979</v>
      </c>
      <c r="M322" s="61" t="n">
        <f aca="false">Resumo!$C$10*CEILING(G322/100,1)</f>
        <v>1.05</v>
      </c>
      <c r="N322" s="61" t="n">
        <f aca="false">Resumo!$C$9</f>
        <v>0</v>
      </c>
      <c r="O322" s="61" t="n">
        <f aca="false">Resumo!$C$13</f>
        <v>13.55</v>
      </c>
      <c r="P322" s="61" t="n">
        <f aca="false">Resumo!$C$14*CEILING(G322,1)</f>
        <v>17.1</v>
      </c>
      <c r="Q322" s="61" t="n">
        <f aca="false">SUM(I322:P322)*Resumo!$C$11</f>
        <v>0</v>
      </c>
      <c r="R322" s="61" t="n">
        <f aca="false">SUM(I322:Q322)</f>
        <v>100.209958</v>
      </c>
      <c r="S322" s="61" t="n">
        <f aca="false">R322/(1-Resumo!$C$5)</f>
        <v>113.874952272727</v>
      </c>
      <c r="T322" s="61" t="n">
        <v>114.95</v>
      </c>
      <c r="U322" s="61" t="n">
        <f aca="false">H322*Resumo!$B$6</f>
        <v>0.39999</v>
      </c>
      <c r="V322" s="61" t="n">
        <f aca="false">H322*Resumo!$B$7</f>
        <v>0.79998</v>
      </c>
      <c r="W322" s="61" t="n">
        <f aca="false">Resumo!$B$9</f>
        <v>1</v>
      </c>
      <c r="X322" s="61" t="n">
        <f aca="false">Resumo!$B$10*CEILING(G322/100,1)</f>
        <v>4.5</v>
      </c>
      <c r="Y322" s="61" t="n">
        <f aca="false">Resumo!$B$12*CEILING(G322,1)</f>
        <v>2.28</v>
      </c>
      <c r="Z322" s="61" t="n">
        <f aca="false">Resumo!$B$14*CEILING(G322,1)</f>
        <v>17.1</v>
      </c>
      <c r="AA322" s="61" t="n">
        <f aca="false">SUM(T322:Z322)</f>
        <v>141.02997</v>
      </c>
      <c r="AB322" s="61" t="n">
        <f aca="false">AA322/(1-Resumo!$B$5)</f>
        <v>160.261329545455</v>
      </c>
      <c r="AC322" s="61" t="n">
        <f aca="false">AB322-S322</f>
        <v>46.3863772727273</v>
      </c>
      <c r="AD322" s="62" t="n">
        <f aca="false">AB322/S322-1</f>
        <v>0.407344866864429</v>
      </c>
      <c r="AE322" s="60" t="str">
        <f aca="false">IF(AB322&lt;S322,"SIM","NÃO")</f>
        <v>NÃO</v>
      </c>
      <c r="AF322" s="60" t="n">
        <v>2</v>
      </c>
      <c r="AG322" s="60" t="n">
        <v>7</v>
      </c>
      <c r="AH322" s="60" t="s">
        <v>382</v>
      </c>
      <c r="AI322" s="61" t="n">
        <f aca="false">(T322*(1-Painel!$C$40)+U322+V322+Painel!$C$41+Painel!$C$42*CEILING(G322/100,1)+Painel!$C$43*CEILING(G322,1)+Z322)/(1-Resumo!$B$5)</f>
        <v>110.643715909091</v>
      </c>
      <c r="AJ322" s="60" t="str">
        <f aca="false">IF(AI322&lt;S322,"SIM","NÃO")</f>
        <v>SIM</v>
      </c>
    </row>
    <row r="323" customFormat="false" ht="15" hidden="false" customHeight="false" outlineLevel="0" collapsed="false">
      <c r="A323" s="59" t="n">
        <v>46228.4935763889</v>
      </c>
      <c r="B323" s="60" t="s">
        <v>696</v>
      </c>
      <c r="C323" s="60" t="n">
        <v>24750070</v>
      </c>
      <c r="D323" s="60" t="s">
        <v>47</v>
      </c>
      <c r="E323" s="60" t="s">
        <v>23</v>
      </c>
      <c r="F323" s="60" t="s">
        <v>234</v>
      </c>
      <c r="G323" s="60" t="n">
        <v>40</v>
      </c>
      <c r="H323" s="61" t="n">
        <v>599.99</v>
      </c>
      <c r="I323" s="61" t="n">
        <v>66.83</v>
      </c>
      <c r="J323" s="61" t="n">
        <f aca="false">H323*Resumo!$C$6</f>
        <v>0</v>
      </c>
      <c r="K323" s="61" t="n">
        <f aca="false">H323*Resumo!$C$7</f>
        <v>1.259979</v>
      </c>
      <c r="L323" s="61" t="n">
        <f aca="false">H323*Resumo!$C$8</f>
        <v>1.259979</v>
      </c>
      <c r="M323" s="61" t="n">
        <f aca="false">Resumo!$C$10*CEILING(G323/100,1)</f>
        <v>1.05</v>
      </c>
      <c r="N323" s="61" t="n">
        <f aca="false">Resumo!$C$9</f>
        <v>0</v>
      </c>
      <c r="O323" s="61" t="n">
        <f aca="false">Resumo!$C$13</f>
        <v>13.55</v>
      </c>
      <c r="P323" s="61" t="n">
        <f aca="false">Resumo!$C$14*CEILING(G323,1)</f>
        <v>18</v>
      </c>
      <c r="Q323" s="61" t="n">
        <f aca="false">SUM(I323:P323)*Resumo!$C$11</f>
        <v>0</v>
      </c>
      <c r="R323" s="61" t="n">
        <f aca="false">SUM(I323:Q323)</f>
        <v>101.949958</v>
      </c>
      <c r="S323" s="61" t="n">
        <f aca="false">R323/(1-Resumo!$C$5)</f>
        <v>115.852225</v>
      </c>
      <c r="T323" s="61" t="n">
        <v>114.95</v>
      </c>
      <c r="U323" s="61" t="n">
        <f aca="false">H323*Resumo!$B$6</f>
        <v>0.59999</v>
      </c>
      <c r="V323" s="61" t="n">
        <f aca="false">H323*Resumo!$B$7</f>
        <v>1.19998</v>
      </c>
      <c r="W323" s="61" t="n">
        <f aca="false">Resumo!$B$9</f>
        <v>1</v>
      </c>
      <c r="X323" s="61" t="n">
        <f aca="false">Resumo!$B$10*CEILING(G323/100,1)</f>
        <v>4.5</v>
      </c>
      <c r="Y323" s="61" t="n">
        <f aca="false">Resumo!$B$12*CEILING(G323,1)</f>
        <v>2.4</v>
      </c>
      <c r="Z323" s="61" t="n">
        <f aca="false">Resumo!$B$14*CEILING(G323,1)</f>
        <v>18</v>
      </c>
      <c r="AA323" s="61" t="n">
        <f aca="false">SUM(T323:Z323)</f>
        <v>142.64997</v>
      </c>
      <c r="AB323" s="61" t="n">
        <f aca="false">AA323/(1-Resumo!$B$5)</f>
        <v>162.102238636364</v>
      </c>
      <c r="AC323" s="61" t="n">
        <f aca="false">AB323-S323</f>
        <v>46.2500136363637</v>
      </c>
      <c r="AD323" s="62" t="n">
        <f aca="false">AB323/S323-1</f>
        <v>0.399215583786705</v>
      </c>
      <c r="AE323" s="60" t="str">
        <f aca="false">IF(AB323&lt;S323,"SIM","NÃO")</f>
        <v>NÃO</v>
      </c>
      <c r="AF323" s="60" t="n">
        <v>2</v>
      </c>
      <c r="AG323" s="60" t="n">
        <v>7</v>
      </c>
      <c r="AH323" s="60" t="s">
        <v>382</v>
      </c>
      <c r="AI323" s="61" t="n">
        <f aca="false">(T323*(1-Painel!$C$40)+U323+V323+Painel!$C$41+Painel!$C$42*CEILING(G323/100,1)+Painel!$C$43*CEILING(G323,1)+Z323)/(1-Resumo!$B$5)</f>
        <v>112.348261363636</v>
      </c>
      <c r="AJ323" s="60" t="str">
        <f aca="false">IF(AI323&lt;S323,"SIM","NÃO")</f>
        <v>SIM</v>
      </c>
    </row>
    <row r="324" customFormat="false" ht="15" hidden="false" customHeight="false" outlineLevel="0" collapsed="false">
      <c r="A324" s="59" t="n">
        <v>46228.5679166667</v>
      </c>
      <c r="B324" s="60" t="s">
        <v>697</v>
      </c>
      <c r="C324" s="60" t="n">
        <v>24461290</v>
      </c>
      <c r="D324" s="60" t="s">
        <v>47</v>
      </c>
      <c r="E324" s="60" t="s">
        <v>23</v>
      </c>
      <c r="F324" s="60" t="s">
        <v>234</v>
      </c>
      <c r="G324" s="60" t="n">
        <v>37.2</v>
      </c>
      <c r="H324" s="61" t="n">
        <v>390.99</v>
      </c>
      <c r="I324" s="61" t="n">
        <v>66.83</v>
      </c>
      <c r="J324" s="61" t="n">
        <f aca="false">H324*Resumo!$C$6</f>
        <v>0</v>
      </c>
      <c r="K324" s="61" t="n">
        <f aca="false">H324*Resumo!$C$7</f>
        <v>0.821079</v>
      </c>
      <c r="L324" s="61" t="n">
        <f aca="false">H324*Resumo!$C$8</f>
        <v>0.821079</v>
      </c>
      <c r="M324" s="61" t="n">
        <f aca="false">Resumo!$C$10*CEILING(G324/100,1)</f>
        <v>1.05</v>
      </c>
      <c r="N324" s="61" t="n">
        <f aca="false">Resumo!$C$9</f>
        <v>0</v>
      </c>
      <c r="O324" s="61" t="n">
        <f aca="false">Resumo!$C$13</f>
        <v>13.55</v>
      </c>
      <c r="P324" s="61" t="n">
        <f aca="false">Resumo!$C$14*CEILING(G324,1)</f>
        <v>17.1</v>
      </c>
      <c r="Q324" s="61" t="n">
        <f aca="false">SUM(I324:P324)*Resumo!$C$11</f>
        <v>0</v>
      </c>
      <c r="R324" s="61" t="n">
        <f aca="false">SUM(I324:Q324)</f>
        <v>100.172158</v>
      </c>
      <c r="S324" s="61" t="n">
        <f aca="false">R324/(1-Resumo!$C$5)</f>
        <v>113.831997727273</v>
      </c>
      <c r="T324" s="61" t="n">
        <v>114.95</v>
      </c>
      <c r="U324" s="61" t="n">
        <f aca="false">H324*Resumo!$B$6</f>
        <v>0.39099</v>
      </c>
      <c r="V324" s="61" t="n">
        <f aca="false">H324*Resumo!$B$7</f>
        <v>0.78198</v>
      </c>
      <c r="W324" s="61" t="n">
        <f aca="false">Resumo!$B$9</f>
        <v>1</v>
      </c>
      <c r="X324" s="61" t="n">
        <f aca="false">Resumo!$B$10*CEILING(G324/100,1)</f>
        <v>4.5</v>
      </c>
      <c r="Y324" s="61" t="n">
        <f aca="false">Resumo!$B$12*CEILING(G324,1)</f>
        <v>2.28</v>
      </c>
      <c r="Z324" s="61" t="n">
        <f aca="false">Resumo!$B$14*CEILING(G324,1)</f>
        <v>17.1</v>
      </c>
      <c r="AA324" s="61" t="n">
        <f aca="false">SUM(T324:Z324)</f>
        <v>141.00297</v>
      </c>
      <c r="AB324" s="61" t="n">
        <f aca="false">AA324/(1-Resumo!$B$5)</f>
        <v>160.230647727273</v>
      </c>
      <c r="AC324" s="61" t="n">
        <f aca="false">AB324-S324</f>
        <v>46.39865</v>
      </c>
      <c r="AD324" s="62" t="n">
        <f aca="false">AB324/S324-1</f>
        <v>0.407606392985963</v>
      </c>
      <c r="AE324" s="60" t="str">
        <f aca="false">IF(AB324&lt;S324,"SIM","NÃO")</f>
        <v>NÃO</v>
      </c>
      <c r="AF324" s="60" t="n">
        <v>2</v>
      </c>
      <c r="AG324" s="60" t="n">
        <v>7</v>
      </c>
      <c r="AH324" s="60" t="s">
        <v>382</v>
      </c>
      <c r="AI324" s="61" t="n">
        <f aca="false">(T324*(1-Painel!$C$40)+U324+V324+Painel!$C$41+Painel!$C$42*CEILING(G324/100,1)+Painel!$C$43*CEILING(G324,1)+Z324)/(1-Resumo!$B$5)</f>
        <v>110.613034090909</v>
      </c>
      <c r="AJ324" s="60" t="str">
        <f aca="false">IF(AI324&lt;S324,"SIM","NÃO")</f>
        <v>SIM</v>
      </c>
    </row>
    <row r="325" customFormat="false" ht="15" hidden="false" customHeight="false" outlineLevel="0" collapsed="false">
      <c r="A325" s="59" t="n">
        <v>46228.5844791667</v>
      </c>
      <c r="B325" s="60" t="s">
        <v>698</v>
      </c>
      <c r="C325" s="60" t="n">
        <v>25975450</v>
      </c>
      <c r="D325" s="60" t="s">
        <v>281</v>
      </c>
      <c r="E325" s="60" t="s">
        <v>24</v>
      </c>
      <c r="F325" s="60" t="s">
        <v>234</v>
      </c>
      <c r="G325" s="60" t="n">
        <v>40</v>
      </c>
      <c r="H325" s="61" t="n">
        <v>599.99</v>
      </c>
      <c r="I325" s="61" t="n">
        <v>74.97</v>
      </c>
      <c r="J325" s="61" t="n">
        <f aca="false">H325*Resumo!$C$6</f>
        <v>0</v>
      </c>
      <c r="K325" s="61" t="n">
        <f aca="false">H325*Resumo!$C$7</f>
        <v>1.259979</v>
      </c>
      <c r="L325" s="61" t="n">
        <f aca="false">H325*Resumo!$C$8</f>
        <v>1.259979</v>
      </c>
      <c r="M325" s="61" t="n">
        <f aca="false">Resumo!$C$10*CEILING(G325/100,1)</f>
        <v>1.05</v>
      </c>
      <c r="N325" s="61" t="n">
        <f aca="false">Resumo!$C$9</f>
        <v>0</v>
      </c>
      <c r="O325" s="61" t="n">
        <f aca="false">Resumo!$C$13</f>
        <v>13.55</v>
      </c>
      <c r="P325" s="61" t="n">
        <f aca="false">Resumo!$C$14*CEILING(G325,1)</f>
        <v>18</v>
      </c>
      <c r="Q325" s="61" t="n">
        <f aca="false">SUM(I325:P325)*Resumo!$C$11</f>
        <v>0</v>
      </c>
      <c r="R325" s="61" t="n">
        <f aca="false">SUM(I325:Q325)</f>
        <v>110.089958</v>
      </c>
      <c r="S325" s="61" t="n">
        <f aca="false">R325/(1-Resumo!$C$5)</f>
        <v>125.102225</v>
      </c>
      <c r="T325" s="61" t="n">
        <v>125.63</v>
      </c>
      <c r="U325" s="61" t="n">
        <f aca="false">H325*Resumo!$B$6</f>
        <v>0.59999</v>
      </c>
      <c r="V325" s="61" t="n">
        <f aca="false">H325*Resumo!$B$7</f>
        <v>1.19998</v>
      </c>
      <c r="W325" s="61" t="n">
        <f aca="false">Resumo!$B$9</f>
        <v>1</v>
      </c>
      <c r="X325" s="61" t="n">
        <f aca="false">Resumo!$B$10*CEILING(G325/100,1)</f>
        <v>4.5</v>
      </c>
      <c r="Y325" s="61" t="n">
        <f aca="false">Resumo!$B$12*CEILING(G325,1)</f>
        <v>2.4</v>
      </c>
      <c r="Z325" s="61" t="n">
        <f aca="false">Resumo!$B$14*CEILING(G325,1)</f>
        <v>18</v>
      </c>
      <c r="AA325" s="61" t="n">
        <f aca="false">SUM(T325:Z325)</f>
        <v>153.32997</v>
      </c>
      <c r="AB325" s="61" t="n">
        <f aca="false">AA325/(1-Resumo!$B$5)</f>
        <v>174.238602272727</v>
      </c>
      <c r="AC325" s="61" t="n">
        <f aca="false">AB325-S325</f>
        <v>49.1363772727273</v>
      </c>
      <c r="AD325" s="62" t="n">
        <f aca="false">AB325/S325-1</f>
        <v>0.392769811030358</v>
      </c>
      <c r="AE325" s="60" t="str">
        <f aca="false">IF(AB325&lt;S325,"SIM","NÃO")</f>
        <v>NÃO</v>
      </c>
      <c r="AF325" s="60" t="n">
        <v>13</v>
      </c>
      <c r="AG325" s="60" t="n">
        <v>10</v>
      </c>
      <c r="AH325" s="60" t="s">
        <v>385</v>
      </c>
      <c r="AI325" s="61" t="n">
        <f aca="false">(T325*(1-Painel!$C$40)+U325+V325+Painel!$C$41+Painel!$C$42*CEILING(G325/100,1)+Painel!$C$43*CEILING(G325,1)+Z325)/(1-Resumo!$B$5)</f>
        <v>120.479625</v>
      </c>
      <c r="AJ325" s="60" t="str">
        <f aca="false">IF(AI325&lt;S325,"SIM","NÃO")</f>
        <v>SIM</v>
      </c>
    </row>
    <row r="326" customFormat="false" ht="15" hidden="false" customHeight="false" outlineLevel="0" collapsed="false">
      <c r="A326" s="59" t="n">
        <v>46228.6526967593</v>
      </c>
      <c r="B326" s="60" t="s">
        <v>699</v>
      </c>
      <c r="C326" s="60" t="n">
        <v>28927410</v>
      </c>
      <c r="D326" s="60" t="s">
        <v>221</v>
      </c>
      <c r="E326" s="60" t="s">
        <v>24</v>
      </c>
      <c r="F326" s="60" t="s">
        <v>235</v>
      </c>
      <c r="G326" s="60" t="n">
        <v>45.3</v>
      </c>
      <c r="H326" s="61" t="n">
        <v>699.99</v>
      </c>
      <c r="I326" s="61" t="n">
        <v>77.7</v>
      </c>
      <c r="J326" s="61" t="n">
        <f aca="false">H326*Resumo!$C$6</f>
        <v>0</v>
      </c>
      <c r="K326" s="61" t="n">
        <f aca="false">H326*Resumo!$C$7</f>
        <v>1.469979</v>
      </c>
      <c r="L326" s="61" t="n">
        <f aca="false">H326*Resumo!$C$8</f>
        <v>1.469979</v>
      </c>
      <c r="M326" s="61" t="n">
        <f aca="false">Resumo!$C$10*CEILING(G326/100,1)</f>
        <v>1.05</v>
      </c>
      <c r="N326" s="61" t="n">
        <f aca="false">Resumo!$C$9</f>
        <v>0</v>
      </c>
      <c r="O326" s="61" t="n">
        <f aca="false">Resumo!$C$13</f>
        <v>13.55</v>
      </c>
      <c r="P326" s="61" t="n">
        <f aca="false">Resumo!$C$14*CEILING(G326,1)</f>
        <v>20.7</v>
      </c>
      <c r="Q326" s="61" t="n">
        <f aca="false">SUM(I326:P326)*Resumo!$C$11</f>
        <v>0</v>
      </c>
      <c r="R326" s="61" t="n">
        <f aca="false">SUM(I326:Q326)</f>
        <v>115.939958</v>
      </c>
      <c r="S326" s="61" t="n">
        <f aca="false">R326/(1-Resumo!$C$5)</f>
        <v>131.749952272727</v>
      </c>
      <c r="T326" s="61" t="n">
        <v>129.29</v>
      </c>
      <c r="U326" s="61" t="n">
        <f aca="false">H326*Resumo!$B$6</f>
        <v>0.69999</v>
      </c>
      <c r="V326" s="61" t="n">
        <f aca="false">H326*Resumo!$B$7</f>
        <v>1.39998</v>
      </c>
      <c r="W326" s="61" t="n">
        <f aca="false">Resumo!$B$9</f>
        <v>1</v>
      </c>
      <c r="X326" s="61" t="n">
        <f aca="false">Resumo!$B$10*CEILING(G326/100,1)</f>
        <v>4.5</v>
      </c>
      <c r="Y326" s="61" t="n">
        <f aca="false">Resumo!$B$12*CEILING(G326,1)</f>
        <v>2.76</v>
      </c>
      <c r="Z326" s="61" t="n">
        <f aca="false">Resumo!$B$14*CEILING(G326,1)</f>
        <v>20.7</v>
      </c>
      <c r="AA326" s="61" t="n">
        <f aca="false">SUM(T326:Z326)</f>
        <v>160.34997</v>
      </c>
      <c r="AB326" s="61" t="n">
        <f aca="false">AA326/(1-Resumo!$B$5)</f>
        <v>182.215875</v>
      </c>
      <c r="AC326" s="61" t="n">
        <f aca="false">AB326-S326</f>
        <v>50.4659227272727</v>
      </c>
      <c r="AD326" s="62" t="n">
        <f aca="false">AB326/S326-1</f>
        <v>0.383043195513319</v>
      </c>
      <c r="AE326" s="60" t="str">
        <f aca="false">IF(AB326&lt;S326,"SIM","NÃO")</f>
        <v>NÃO</v>
      </c>
      <c r="AF326" s="60" t="n">
        <v>13</v>
      </c>
      <c r="AG326" s="60" t="n">
        <v>10</v>
      </c>
      <c r="AH326" s="60" t="s">
        <v>382</v>
      </c>
      <c r="AI326" s="61" t="n">
        <f aca="false">(T326*(1-Painel!$C$40)+U326+V326+Painel!$C$41+Painel!$C$42*CEILING(G326/100,1)+Painel!$C$43*CEILING(G326,1)+Z326)/(1-Resumo!$B$5)</f>
        <v>126.675306818182</v>
      </c>
      <c r="AJ326" s="60" t="str">
        <f aca="false">IF(AI326&lt;S326,"SIM","NÃO")</f>
        <v>SIM</v>
      </c>
    </row>
    <row r="327" customFormat="false" ht="15" hidden="false" customHeight="false" outlineLevel="0" collapsed="false">
      <c r="A327" s="59" t="n">
        <v>46228.6613888889</v>
      </c>
      <c r="B327" s="60" t="s">
        <v>678</v>
      </c>
      <c r="C327" s="60" t="n">
        <v>28050003</v>
      </c>
      <c r="D327" s="60" t="s">
        <v>51</v>
      </c>
      <c r="E327" s="60" t="s">
        <v>24</v>
      </c>
      <c r="F327" s="60" t="s">
        <v>237</v>
      </c>
      <c r="G327" s="60" t="n">
        <v>64.5</v>
      </c>
      <c r="H327" s="61" t="n">
        <v>959.99</v>
      </c>
      <c r="I327" s="61" t="n">
        <v>90.2</v>
      </c>
      <c r="J327" s="61" t="n">
        <f aca="false">H327*Resumo!$C$6</f>
        <v>0</v>
      </c>
      <c r="K327" s="61" t="n">
        <f aca="false">H327*Resumo!$C$7</f>
        <v>2.015979</v>
      </c>
      <c r="L327" s="61" t="n">
        <f aca="false">H327*Resumo!$C$8</f>
        <v>2.015979</v>
      </c>
      <c r="M327" s="61" t="n">
        <f aca="false">Resumo!$C$10*CEILING(G327/100,1)</f>
        <v>1.05</v>
      </c>
      <c r="N327" s="61" t="n">
        <f aca="false">Resumo!$C$9</f>
        <v>0</v>
      </c>
      <c r="O327" s="61" t="n">
        <f aca="false">Resumo!$C$13</f>
        <v>13.55</v>
      </c>
      <c r="P327" s="61" t="n">
        <f aca="false">Resumo!$C$14*CEILING(G327,1)</f>
        <v>29.25</v>
      </c>
      <c r="Q327" s="61" t="n">
        <f aca="false">SUM(I327:P327)*Resumo!$C$11</f>
        <v>0</v>
      </c>
      <c r="R327" s="61" t="n">
        <f aca="false">SUM(I327:Q327)</f>
        <v>138.081958</v>
      </c>
      <c r="S327" s="61" t="n">
        <f aca="false">R327/(1-Resumo!$C$5)</f>
        <v>156.911315909091</v>
      </c>
      <c r="T327" s="61" t="n">
        <v>171.54</v>
      </c>
      <c r="U327" s="61" t="n">
        <f aca="false">H327*Resumo!$B$6</f>
        <v>0.95999</v>
      </c>
      <c r="V327" s="61" t="n">
        <f aca="false">H327*Resumo!$B$7</f>
        <v>1.91998</v>
      </c>
      <c r="W327" s="61" t="n">
        <f aca="false">Resumo!$B$9</f>
        <v>1</v>
      </c>
      <c r="X327" s="61" t="n">
        <f aca="false">Resumo!$B$10*CEILING(G327/100,1)</f>
        <v>4.5</v>
      </c>
      <c r="Y327" s="61" t="n">
        <f aca="false">Resumo!$B$12*CEILING(G327,1)</f>
        <v>3.9</v>
      </c>
      <c r="Z327" s="61" t="n">
        <f aca="false">Resumo!$B$14*CEILING(G327,1)</f>
        <v>29.25</v>
      </c>
      <c r="AA327" s="61" t="n">
        <f aca="false">SUM(T327:Z327)</f>
        <v>213.06997</v>
      </c>
      <c r="AB327" s="61" t="n">
        <f aca="false">AA327/(1-Resumo!$B$5)</f>
        <v>242.124965909091</v>
      </c>
      <c r="AC327" s="61" t="n">
        <f aca="false">AB327-S327</f>
        <v>85.21365</v>
      </c>
      <c r="AD327" s="62" t="n">
        <f aca="false">AB327/S327-1</f>
        <v>0.543068863493376</v>
      </c>
      <c r="AE327" s="60" t="str">
        <f aca="false">IF(AB327&lt;S327,"SIM","NÃO")</f>
        <v>NÃO</v>
      </c>
      <c r="AF327" s="60" t="n">
        <v>13</v>
      </c>
      <c r="AG327" s="60" t="n">
        <v>11</v>
      </c>
      <c r="AH327" s="60" t="s">
        <v>382</v>
      </c>
      <c r="AI327" s="61" t="n">
        <f aca="false">(T327*(1-Painel!$C$40)+U327+V327+Painel!$C$41+Painel!$C$42*CEILING(G327/100,1)+Painel!$C$43*CEILING(G327,1)+Z327)/(1-Resumo!$B$5)</f>
        <v>169.445193181818</v>
      </c>
      <c r="AJ327" s="60" t="str">
        <f aca="false">IF(AI327&lt;S327,"SIM","NÃO")</f>
        <v>NÃO</v>
      </c>
    </row>
    <row r="328" customFormat="false" ht="15" hidden="false" customHeight="false" outlineLevel="0" collapsed="false">
      <c r="A328" s="59" t="n">
        <v>46228.8231481482</v>
      </c>
      <c r="B328" s="60" t="s">
        <v>700</v>
      </c>
      <c r="C328" s="60" t="n">
        <v>22451263</v>
      </c>
      <c r="D328" s="60" t="s">
        <v>46</v>
      </c>
      <c r="E328" s="60" t="s">
        <v>22</v>
      </c>
      <c r="F328" s="60" t="s">
        <v>232</v>
      </c>
      <c r="G328" s="60" t="n">
        <v>9.95</v>
      </c>
      <c r="H328" s="61" t="n">
        <v>219.99</v>
      </c>
      <c r="I328" s="61" t="n">
        <v>33.42</v>
      </c>
      <c r="J328" s="61" t="n">
        <f aca="false">H328*Resumo!$C$6</f>
        <v>0</v>
      </c>
      <c r="K328" s="61" t="n">
        <f aca="false">H328*Resumo!$C$7</f>
        <v>0.461979</v>
      </c>
      <c r="L328" s="61" t="n">
        <f aca="false">H328*Resumo!$C$8</f>
        <v>0.461979</v>
      </c>
      <c r="M328" s="61" t="n">
        <f aca="false">Resumo!$C$10*CEILING(G328/100,1)</f>
        <v>1.05</v>
      </c>
      <c r="N328" s="61" t="n">
        <f aca="false">Resumo!$C$9</f>
        <v>0</v>
      </c>
      <c r="O328" s="61" t="n">
        <f aca="false">Resumo!$C$13</f>
        <v>13.55</v>
      </c>
      <c r="P328" s="61" t="n">
        <f aca="false">Resumo!$C$14*CEILING(G328,1)</f>
        <v>4.5</v>
      </c>
      <c r="Q328" s="61" t="n">
        <f aca="false">SUM(I328:P328)*Resumo!$C$11</f>
        <v>0</v>
      </c>
      <c r="R328" s="61" t="n">
        <f aca="false">SUM(I328:Q328)</f>
        <v>53.443958</v>
      </c>
      <c r="S328" s="61" t="n">
        <f aca="false">R328/(1-Resumo!$C$5)</f>
        <v>60.7317704545455</v>
      </c>
      <c r="T328" s="61" t="n">
        <v>46.98</v>
      </c>
      <c r="U328" s="61" t="n">
        <f aca="false">H328*Resumo!$B$6</f>
        <v>0.21999</v>
      </c>
      <c r="V328" s="61" t="n">
        <f aca="false">H328*Resumo!$B$7</f>
        <v>0.43998</v>
      </c>
      <c r="W328" s="61" t="n">
        <f aca="false">Resumo!$B$9</f>
        <v>1</v>
      </c>
      <c r="X328" s="61" t="n">
        <f aca="false">Resumo!$B$10*CEILING(G328/100,1)</f>
        <v>4.5</v>
      </c>
      <c r="Y328" s="61" t="n">
        <f aca="false">Resumo!$B$12*CEILING(G328,1)</f>
        <v>0.6</v>
      </c>
      <c r="Z328" s="61" t="n">
        <f aca="false">Resumo!$B$14*CEILING(G328,1)</f>
        <v>4.5</v>
      </c>
      <c r="AA328" s="61" t="n">
        <f aca="false">SUM(T328:Z328)</f>
        <v>58.23997</v>
      </c>
      <c r="AB328" s="61" t="n">
        <f aca="false">AA328/(1-Resumo!$B$5)</f>
        <v>66.1817840909091</v>
      </c>
      <c r="AC328" s="61" t="n">
        <f aca="false">AB328-S328</f>
        <v>5.45001363636364</v>
      </c>
      <c r="AD328" s="62" t="n">
        <f aca="false">AB328/S328-1</f>
        <v>0.0897390870638735</v>
      </c>
      <c r="AE328" s="60" t="str">
        <f aca="false">IF(AB328&lt;S328,"SIM","NÃO")</f>
        <v>NÃO</v>
      </c>
      <c r="AF328" s="60" t="n">
        <v>2</v>
      </c>
      <c r="AG328" s="60" t="n">
        <v>5</v>
      </c>
      <c r="AH328" s="60" t="s">
        <v>382</v>
      </c>
      <c r="AI328" s="61" t="n">
        <f aca="false">(T328*(1-Painel!$C$40)+U328+V328+Painel!$C$41+Painel!$C$42*CEILING(G328/100,1)+Painel!$C$43*CEILING(G328,1)+Z328)/(1-Resumo!$B$5)</f>
        <v>43.9620113636364</v>
      </c>
      <c r="AJ328" s="60" t="str">
        <f aca="false">IF(AI328&lt;S328,"SIM","NÃO")</f>
        <v>SIM</v>
      </c>
    </row>
    <row r="329" customFormat="false" ht="15" hidden="false" customHeight="false" outlineLevel="0" collapsed="false">
      <c r="A329" s="59" t="n">
        <v>46228.833287037</v>
      </c>
      <c r="B329" s="60" t="s">
        <v>701</v>
      </c>
      <c r="C329" s="60" t="n">
        <v>25035520</v>
      </c>
      <c r="D329" s="60" t="s">
        <v>48</v>
      </c>
      <c r="E329" s="60" t="s">
        <v>23</v>
      </c>
      <c r="F329" s="60" t="s">
        <v>236</v>
      </c>
      <c r="G329" s="60" t="n">
        <v>53.5</v>
      </c>
      <c r="H329" s="61" t="n">
        <v>629.99</v>
      </c>
      <c r="I329" s="61" t="n">
        <v>70.98</v>
      </c>
      <c r="J329" s="61" t="n">
        <f aca="false">H329*Resumo!$C$6</f>
        <v>0</v>
      </c>
      <c r="K329" s="61" t="n">
        <f aca="false">H329*Resumo!$C$7</f>
        <v>1.322979</v>
      </c>
      <c r="L329" s="61" t="n">
        <f aca="false">H329*Resumo!$C$8</f>
        <v>1.322979</v>
      </c>
      <c r="M329" s="61" t="n">
        <f aca="false">Resumo!$C$10*CEILING(G329/100,1)</f>
        <v>1.05</v>
      </c>
      <c r="N329" s="61" t="n">
        <f aca="false">Resumo!$C$9</f>
        <v>0</v>
      </c>
      <c r="O329" s="61" t="n">
        <f aca="false">Resumo!$C$13</f>
        <v>13.55</v>
      </c>
      <c r="P329" s="61" t="n">
        <f aca="false">Resumo!$C$14*CEILING(G329,1)</f>
        <v>24.3</v>
      </c>
      <c r="Q329" s="61" t="n">
        <f aca="false">SUM(I329:P329)*Resumo!$C$11</f>
        <v>0</v>
      </c>
      <c r="R329" s="61" t="n">
        <f aca="false">SUM(I329:Q329)</f>
        <v>112.525958</v>
      </c>
      <c r="S329" s="61" t="n">
        <f aca="false">R329/(1-Resumo!$C$5)</f>
        <v>127.870406818182</v>
      </c>
      <c r="T329" s="61" t="n">
        <v>112.3</v>
      </c>
      <c r="U329" s="61" t="n">
        <f aca="false">H329*Resumo!$B$6</f>
        <v>0.62999</v>
      </c>
      <c r="V329" s="61" t="n">
        <f aca="false">H329*Resumo!$B$7</f>
        <v>1.25998</v>
      </c>
      <c r="W329" s="61" t="n">
        <f aca="false">Resumo!$B$9</f>
        <v>1</v>
      </c>
      <c r="X329" s="61" t="n">
        <f aca="false">Resumo!$B$10*CEILING(G329/100,1)</f>
        <v>4.5</v>
      </c>
      <c r="Y329" s="61" t="n">
        <f aca="false">Resumo!$B$12*CEILING(G329,1)</f>
        <v>3.24</v>
      </c>
      <c r="Z329" s="61" t="n">
        <f aca="false">Resumo!$B$14*CEILING(G329,1)</f>
        <v>24.3</v>
      </c>
      <c r="AA329" s="61" t="n">
        <f aca="false">SUM(T329:Z329)</f>
        <v>147.22997</v>
      </c>
      <c r="AB329" s="61" t="n">
        <f aca="false">AA329/(1-Resumo!$B$5)</f>
        <v>167.306784090909</v>
      </c>
      <c r="AC329" s="61" t="n">
        <f aca="false">AB329-S329</f>
        <v>39.4363772727273</v>
      </c>
      <c r="AD329" s="62" t="n">
        <f aca="false">AB329/S329-1</f>
        <v>0.308408945072034</v>
      </c>
      <c r="AE329" s="60" t="str">
        <f aca="false">IF(AB329&lt;S329,"SIM","NÃO")</f>
        <v>NÃO</v>
      </c>
      <c r="AF329" s="60" t="n">
        <v>2</v>
      </c>
      <c r="AG329" s="60" t="n">
        <v>5</v>
      </c>
      <c r="AH329" s="60" t="s">
        <v>382</v>
      </c>
      <c r="AI329" s="61" t="n">
        <f aca="false">(T329*(1-Painel!$C$40)+U329+V329+Painel!$C$41+Painel!$C$42*CEILING(G329/100,1)+Painel!$C$43*CEILING(G329,1)+Z329)/(1-Resumo!$B$5)</f>
        <v>117.592011363636</v>
      </c>
      <c r="AJ329" s="60" t="str">
        <f aca="false">IF(AI329&lt;S329,"SIM","NÃO")</f>
        <v>SIM</v>
      </c>
    </row>
    <row r="330" customFormat="false" ht="15" hidden="false" customHeight="false" outlineLevel="0" collapsed="false">
      <c r="A330" s="59" t="n">
        <v>46228.9591319444</v>
      </c>
      <c r="B330" s="60" t="s">
        <v>702</v>
      </c>
      <c r="C330" s="60" t="n">
        <v>24715532</v>
      </c>
      <c r="D330" s="60" t="s">
        <v>47</v>
      </c>
      <c r="E330" s="60" t="s">
        <v>23</v>
      </c>
      <c r="F330" s="60" t="s">
        <v>233</v>
      </c>
      <c r="G330" s="60" t="n">
        <v>31</v>
      </c>
      <c r="H330" s="61" t="n">
        <v>329.99</v>
      </c>
      <c r="I330" s="61" t="n">
        <v>58.8</v>
      </c>
      <c r="J330" s="61" t="n">
        <f aca="false">H330*Resumo!$C$6</f>
        <v>0</v>
      </c>
      <c r="K330" s="61" t="n">
        <f aca="false">H330*Resumo!$C$7</f>
        <v>0.692979</v>
      </c>
      <c r="L330" s="61" t="n">
        <f aca="false">H330*Resumo!$C$8</f>
        <v>0.692979</v>
      </c>
      <c r="M330" s="61" t="n">
        <f aca="false">Resumo!$C$10*CEILING(G330/100,1)</f>
        <v>1.05</v>
      </c>
      <c r="N330" s="61" t="n">
        <f aca="false">Resumo!$C$9</f>
        <v>0</v>
      </c>
      <c r="O330" s="61" t="n">
        <f aca="false">Resumo!$C$13</f>
        <v>13.55</v>
      </c>
      <c r="P330" s="61" t="n">
        <f aca="false">Resumo!$C$14*CEILING(G330,1)</f>
        <v>13.95</v>
      </c>
      <c r="Q330" s="61" t="n">
        <f aca="false">SUM(I330:P330)*Resumo!$C$11</f>
        <v>0</v>
      </c>
      <c r="R330" s="61" t="n">
        <f aca="false">SUM(I330:Q330)</f>
        <v>88.735958</v>
      </c>
      <c r="S330" s="61" t="n">
        <f aca="false">R330/(1-Resumo!$C$5)</f>
        <v>100.836315909091</v>
      </c>
      <c r="T330" s="61" t="n">
        <v>100.58</v>
      </c>
      <c r="U330" s="61" t="n">
        <f aca="false">H330*Resumo!$B$6</f>
        <v>0.32999</v>
      </c>
      <c r="V330" s="61" t="n">
        <f aca="false">H330*Resumo!$B$7</f>
        <v>0.65998</v>
      </c>
      <c r="W330" s="61" t="n">
        <f aca="false">Resumo!$B$9</f>
        <v>1</v>
      </c>
      <c r="X330" s="61" t="n">
        <f aca="false">Resumo!$B$10*CEILING(G330/100,1)</f>
        <v>4.5</v>
      </c>
      <c r="Y330" s="61" t="n">
        <f aca="false">Resumo!$B$12*CEILING(G330,1)</f>
        <v>1.86</v>
      </c>
      <c r="Z330" s="61" t="n">
        <f aca="false">Resumo!$B$14*CEILING(G330,1)</f>
        <v>13.95</v>
      </c>
      <c r="AA330" s="61" t="n">
        <f aca="false">SUM(T330:Z330)</f>
        <v>122.87997</v>
      </c>
      <c r="AB330" s="61" t="n">
        <f aca="false">AA330/(1-Resumo!$B$5)</f>
        <v>139.636329545455</v>
      </c>
      <c r="AC330" s="61" t="n">
        <f aca="false">AB330-S330</f>
        <v>38.8000136363636</v>
      </c>
      <c r="AD330" s="62" t="n">
        <f aca="false">AB330/S330-1</f>
        <v>0.384782142093964</v>
      </c>
      <c r="AE330" s="60" t="str">
        <f aca="false">IF(AB330&lt;S330,"SIM","NÃO")</f>
        <v>NÃO</v>
      </c>
      <c r="AF330" s="60" t="n">
        <v>2</v>
      </c>
      <c r="AG330" s="60" t="n">
        <v>7</v>
      </c>
      <c r="AH330" s="60" t="s">
        <v>382</v>
      </c>
      <c r="AI330" s="61" t="n">
        <f aca="false">(T330*(1-Painel!$C$40)+U330+V330+Painel!$C$41+Painel!$C$42*CEILING(G330/100,1)+Painel!$C$43*CEILING(G330,1)+Z330)/(1-Resumo!$B$5)</f>
        <v>95.8847386363636</v>
      </c>
      <c r="AJ330" s="60" t="str">
        <f aca="false">IF(AI330&lt;S330,"SIM","NÃO")</f>
        <v>SIM</v>
      </c>
    </row>
    <row r="331" customFormat="false" ht="15" hidden="false" customHeight="false" outlineLevel="0" collapsed="false">
      <c r="A331" s="59" t="n">
        <v>46229.3956944444</v>
      </c>
      <c r="B331" s="60" t="s">
        <v>703</v>
      </c>
      <c r="C331" s="60" t="n">
        <v>24753600</v>
      </c>
      <c r="D331" s="60" t="s">
        <v>47</v>
      </c>
      <c r="E331" s="60" t="s">
        <v>23</v>
      </c>
      <c r="F331" s="60" t="s">
        <v>233</v>
      </c>
      <c r="G331" s="60" t="n">
        <v>31</v>
      </c>
      <c r="H331" s="61" t="n">
        <v>329.99</v>
      </c>
      <c r="I331" s="61" t="n">
        <v>58.8</v>
      </c>
      <c r="J331" s="61" t="n">
        <f aca="false">H331*Resumo!$C$6</f>
        <v>0</v>
      </c>
      <c r="K331" s="61" t="n">
        <f aca="false">H331*Resumo!$C$7</f>
        <v>0.692979</v>
      </c>
      <c r="L331" s="61" t="n">
        <f aca="false">H331*Resumo!$C$8</f>
        <v>0.692979</v>
      </c>
      <c r="M331" s="61" t="n">
        <f aca="false">Resumo!$C$10*CEILING(G331/100,1)</f>
        <v>1.05</v>
      </c>
      <c r="N331" s="61" t="n">
        <f aca="false">Resumo!$C$9</f>
        <v>0</v>
      </c>
      <c r="O331" s="61" t="n">
        <f aca="false">Resumo!$C$13</f>
        <v>13.55</v>
      </c>
      <c r="P331" s="61" t="n">
        <f aca="false">Resumo!$C$14*CEILING(G331,1)</f>
        <v>13.95</v>
      </c>
      <c r="Q331" s="61" t="n">
        <f aca="false">SUM(I331:P331)*Resumo!$C$11</f>
        <v>0</v>
      </c>
      <c r="R331" s="61" t="n">
        <f aca="false">SUM(I331:Q331)</f>
        <v>88.735958</v>
      </c>
      <c r="S331" s="61" t="n">
        <f aca="false">R331/(1-Resumo!$C$5)</f>
        <v>100.836315909091</v>
      </c>
      <c r="T331" s="61" t="n">
        <v>100.58</v>
      </c>
      <c r="U331" s="61" t="n">
        <f aca="false">H331*Resumo!$B$6</f>
        <v>0.32999</v>
      </c>
      <c r="V331" s="61" t="n">
        <f aca="false">H331*Resumo!$B$7</f>
        <v>0.65998</v>
      </c>
      <c r="W331" s="61" t="n">
        <f aca="false">Resumo!$B$9</f>
        <v>1</v>
      </c>
      <c r="X331" s="61" t="n">
        <f aca="false">Resumo!$B$10*CEILING(G331/100,1)</f>
        <v>4.5</v>
      </c>
      <c r="Y331" s="61" t="n">
        <f aca="false">Resumo!$B$12*CEILING(G331,1)</f>
        <v>1.86</v>
      </c>
      <c r="Z331" s="61" t="n">
        <f aca="false">Resumo!$B$14*CEILING(G331,1)</f>
        <v>13.95</v>
      </c>
      <c r="AA331" s="61" t="n">
        <f aca="false">SUM(T331:Z331)</f>
        <v>122.87997</v>
      </c>
      <c r="AB331" s="61" t="n">
        <f aca="false">AA331/(1-Resumo!$B$5)</f>
        <v>139.636329545455</v>
      </c>
      <c r="AC331" s="61" t="n">
        <f aca="false">AB331-S331</f>
        <v>38.8000136363636</v>
      </c>
      <c r="AD331" s="62" t="n">
        <f aca="false">AB331/S331-1</f>
        <v>0.384782142093964</v>
      </c>
      <c r="AE331" s="60" t="str">
        <f aca="false">IF(AB331&lt;S331,"SIM","NÃO")</f>
        <v>NÃO</v>
      </c>
      <c r="AF331" s="60" t="n">
        <v>2</v>
      </c>
      <c r="AG331" s="60" t="n">
        <v>7</v>
      </c>
      <c r="AH331" s="60" t="s">
        <v>382</v>
      </c>
      <c r="AI331" s="61" t="n">
        <f aca="false">(T331*(1-Painel!$C$40)+U331+V331+Painel!$C$41+Painel!$C$42*CEILING(G331/100,1)+Painel!$C$43*CEILING(G331,1)+Z331)/(1-Resumo!$B$5)</f>
        <v>95.8847386363636</v>
      </c>
      <c r="AJ331" s="60" t="str">
        <f aca="false">IF(AI331&lt;S331,"SIM","NÃO")</f>
        <v>SIM</v>
      </c>
    </row>
    <row r="332" customFormat="false" ht="15" hidden="false" customHeight="false" outlineLevel="0" collapsed="false">
      <c r="A332" s="59" t="n">
        <v>46229.4313773148</v>
      </c>
      <c r="B332" s="60" t="s">
        <v>704</v>
      </c>
      <c r="C332" s="60" t="n">
        <v>22790880</v>
      </c>
      <c r="D332" s="60" t="s">
        <v>46</v>
      </c>
      <c r="E332" s="60" t="s">
        <v>22</v>
      </c>
      <c r="F332" s="60" t="s">
        <v>236</v>
      </c>
      <c r="G332" s="60" t="n">
        <v>52.3</v>
      </c>
      <c r="H332" s="61" t="n">
        <v>699.99</v>
      </c>
      <c r="I332" s="61" t="n">
        <v>58.6</v>
      </c>
      <c r="J332" s="61" t="n">
        <f aca="false">H332*Resumo!$C$6</f>
        <v>0</v>
      </c>
      <c r="K332" s="61" t="n">
        <f aca="false">H332*Resumo!$C$7</f>
        <v>1.469979</v>
      </c>
      <c r="L332" s="61" t="n">
        <f aca="false">H332*Resumo!$C$8</f>
        <v>1.469979</v>
      </c>
      <c r="M332" s="61" t="n">
        <f aca="false">Resumo!$C$10*CEILING(G332/100,1)</f>
        <v>1.05</v>
      </c>
      <c r="N332" s="61" t="n">
        <f aca="false">Resumo!$C$9</f>
        <v>0</v>
      </c>
      <c r="O332" s="61" t="n">
        <f aca="false">Resumo!$C$13</f>
        <v>13.55</v>
      </c>
      <c r="P332" s="61" t="n">
        <f aca="false">Resumo!$C$14*CEILING(G332,1)</f>
        <v>23.85</v>
      </c>
      <c r="Q332" s="61" t="n">
        <f aca="false">SUM(I332:P332)*Resumo!$C$11</f>
        <v>0</v>
      </c>
      <c r="R332" s="61" t="n">
        <f aca="false">SUM(I332:Q332)</f>
        <v>99.989958</v>
      </c>
      <c r="S332" s="61" t="n">
        <f aca="false">R332/(1-Resumo!$C$5)</f>
        <v>113.624952272727</v>
      </c>
      <c r="T332" s="61" t="n">
        <v>112.3</v>
      </c>
      <c r="U332" s="61" t="n">
        <f aca="false">H332*Resumo!$B$6</f>
        <v>0.69999</v>
      </c>
      <c r="V332" s="61" t="n">
        <f aca="false">H332*Resumo!$B$7</f>
        <v>1.39998</v>
      </c>
      <c r="W332" s="61" t="n">
        <f aca="false">Resumo!$B$9</f>
        <v>1</v>
      </c>
      <c r="X332" s="61" t="n">
        <f aca="false">Resumo!$B$10*CEILING(G332/100,1)</f>
        <v>4.5</v>
      </c>
      <c r="Y332" s="61" t="n">
        <f aca="false">Resumo!$B$12*CEILING(G332,1)</f>
        <v>3.18</v>
      </c>
      <c r="Z332" s="61" t="n">
        <f aca="false">Resumo!$B$14*CEILING(G332,1)</f>
        <v>23.85</v>
      </c>
      <c r="AA332" s="61" t="n">
        <f aca="false">SUM(T332:Z332)</f>
        <v>146.92997</v>
      </c>
      <c r="AB332" s="61" t="n">
        <f aca="false">AA332/(1-Resumo!$B$5)</f>
        <v>166.965875</v>
      </c>
      <c r="AC332" s="61" t="n">
        <f aca="false">AB332-S332</f>
        <v>53.3409227272727</v>
      </c>
      <c r="AD332" s="62" t="n">
        <f aca="false">AB332/S332-1</f>
        <v>0.469447261894039</v>
      </c>
      <c r="AE332" s="60" t="str">
        <f aca="false">IF(AB332&lt;S332,"SIM","NÃO")</f>
        <v>NÃO</v>
      </c>
      <c r="AF332" s="60" t="n">
        <v>2</v>
      </c>
      <c r="AG332" s="60" t="n">
        <v>5</v>
      </c>
      <c r="AH332" s="60" t="s">
        <v>382</v>
      </c>
      <c r="AI332" s="61" t="n">
        <f aca="false">(T332*(1-Painel!$C$40)+U332+V332+Painel!$C$41+Painel!$C$42*CEILING(G332/100,1)+Painel!$C$43*CEILING(G332,1)+Z332)/(1-Resumo!$B$5)</f>
        <v>117.319284090909</v>
      </c>
      <c r="AJ332" s="60" t="str">
        <f aca="false">IF(AI332&lt;S332,"SIM","NÃO")</f>
        <v>NÃO</v>
      </c>
    </row>
    <row r="333" customFormat="false" ht="15" hidden="false" customHeight="false" outlineLevel="0" collapsed="false">
      <c r="A333" s="59" t="n">
        <v>46229.5356365741</v>
      </c>
      <c r="B333" s="60" t="s">
        <v>705</v>
      </c>
      <c r="C333" s="60" t="n">
        <v>22290140</v>
      </c>
      <c r="D333" s="60" t="s">
        <v>46</v>
      </c>
      <c r="E333" s="60" t="s">
        <v>22</v>
      </c>
      <c r="F333" s="60" t="s">
        <v>232</v>
      </c>
      <c r="G333" s="60" t="n">
        <v>14.85</v>
      </c>
      <c r="H333" s="61" t="n">
        <v>191.99</v>
      </c>
      <c r="I333" s="61" t="n">
        <v>33.42</v>
      </c>
      <c r="J333" s="61" t="n">
        <f aca="false">H333*Resumo!$C$6</f>
        <v>0</v>
      </c>
      <c r="K333" s="61" t="n">
        <f aca="false">H333*Resumo!$C$7</f>
        <v>0.403179</v>
      </c>
      <c r="L333" s="61" t="n">
        <f aca="false">H333*Resumo!$C$8</f>
        <v>0.403179</v>
      </c>
      <c r="M333" s="61" t="n">
        <f aca="false">Resumo!$C$10*CEILING(G333/100,1)</f>
        <v>1.05</v>
      </c>
      <c r="N333" s="61" t="n">
        <f aca="false">Resumo!$C$9</f>
        <v>0</v>
      </c>
      <c r="O333" s="61" t="n">
        <f aca="false">Resumo!$C$13</f>
        <v>13.55</v>
      </c>
      <c r="P333" s="61" t="n">
        <f aca="false">Resumo!$C$14*CEILING(G333,1)</f>
        <v>6.75</v>
      </c>
      <c r="Q333" s="61" t="n">
        <f aca="false">SUM(I333:P333)*Resumo!$C$11</f>
        <v>0</v>
      </c>
      <c r="R333" s="61" t="n">
        <f aca="false">SUM(I333:Q333)</f>
        <v>55.576358</v>
      </c>
      <c r="S333" s="61" t="n">
        <f aca="false">R333/(1-Resumo!$C$5)</f>
        <v>63.1549522727273</v>
      </c>
      <c r="T333" s="61" t="n">
        <v>46.98</v>
      </c>
      <c r="U333" s="61" t="n">
        <f aca="false">H333*Resumo!$B$6</f>
        <v>0.19199</v>
      </c>
      <c r="V333" s="61" t="n">
        <f aca="false">H333*Resumo!$B$7</f>
        <v>0.38398</v>
      </c>
      <c r="W333" s="61" t="n">
        <f aca="false">Resumo!$B$9</f>
        <v>1</v>
      </c>
      <c r="X333" s="61" t="n">
        <f aca="false">Resumo!$B$10*CEILING(G333/100,1)</f>
        <v>4.5</v>
      </c>
      <c r="Y333" s="61" t="n">
        <f aca="false">Resumo!$B$12*CEILING(G333,1)</f>
        <v>0.9</v>
      </c>
      <c r="Z333" s="61" t="n">
        <f aca="false">Resumo!$B$14*CEILING(G333,1)</f>
        <v>6.75</v>
      </c>
      <c r="AA333" s="61" t="n">
        <f aca="false">SUM(T333:Z333)</f>
        <v>60.70597</v>
      </c>
      <c r="AB333" s="61" t="n">
        <f aca="false">AA333/(1-Resumo!$B$5)</f>
        <v>68.9840568181818</v>
      </c>
      <c r="AC333" s="61" t="n">
        <f aca="false">AB333-S333</f>
        <v>5.82910454545454</v>
      </c>
      <c r="AD333" s="62" t="n">
        <f aca="false">AB333/S333-1</f>
        <v>0.0922984553971673</v>
      </c>
      <c r="AE333" s="60" t="str">
        <f aca="false">IF(AB333&lt;S333,"SIM","NÃO")</f>
        <v>NÃO</v>
      </c>
      <c r="AF333" s="60" t="n">
        <v>2</v>
      </c>
      <c r="AG333" s="60" t="n">
        <v>5</v>
      </c>
      <c r="AH333" s="60" t="s">
        <v>382</v>
      </c>
      <c r="AI333" s="61" t="n">
        <f aca="false">(T333*(1-Painel!$C$40)+U333+V333+Painel!$C$41+Painel!$C$42*CEILING(G333/100,1)+Painel!$C$43*CEILING(G333,1)+Z333)/(1-Resumo!$B$5)</f>
        <v>46.423375</v>
      </c>
      <c r="AJ333" s="60" t="str">
        <f aca="false">IF(AI333&lt;S333,"SIM","NÃO")</f>
        <v>SIM</v>
      </c>
    </row>
    <row r="334" customFormat="false" ht="15" hidden="false" customHeight="false" outlineLevel="0" collapsed="false">
      <c r="A334" s="59" t="n">
        <v>46229.5977546296</v>
      </c>
      <c r="B334" s="60" t="s">
        <v>706</v>
      </c>
      <c r="C334" s="60" t="n">
        <v>28983036</v>
      </c>
      <c r="D334" s="60" t="s">
        <v>222</v>
      </c>
      <c r="E334" s="60" t="s">
        <v>24</v>
      </c>
      <c r="F334" s="60" t="s">
        <v>233</v>
      </c>
      <c r="G334" s="60" t="n">
        <v>31.5</v>
      </c>
      <c r="H334" s="61" t="n">
        <v>429.99</v>
      </c>
      <c r="I334" s="61" t="n">
        <v>65.63</v>
      </c>
      <c r="J334" s="61" t="n">
        <f aca="false">H334*Resumo!$C$6</f>
        <v>0</v>
      </c>
      <c r="K334" s="61" t="n">
        <f aca="false">H334*Resumo!$C$7</f>
        <v>0.902979</v>
      </c>
      <c r="L334" s="61" t="n">
        <f aca="false">H334*Resumo!$C$8</f>
        <v>0.902979</v>
      </c>
      <c r="M334" s="61" t="n">
        <f aca="false">Resumo!$C$10*CEILING(G334/100,1)</f>
        <v>1.05</v>
      </c>
      <c r="N334" s="61" t="n">
        <f aca="false">Resumo!$C$9</f>
        <v>0</v>
      </c>
      <c r="O334" s="61" t="n">
        <f aca="false">Resumo!$C$13</f>
        <v>13.55</v>
      </c>
      <c r="P334" s="61" t="n">
        <f aca="false">Resumo!$C$14*CEILING(G334,1)</f>
        <v>14.4</v>
      </c>
      <c r="Q334" s="61" t="n">
        <f aca="false">SUM(I334:P334)*Resumo!$C$11</f>
        <v>0</v>
      </c>
      <c r="R334" s="61" t="n">
        <f aca="false">SUM(I334:Q334)</f>
        <v>96.435958</v>
      </c>
      <c r="S334" s="61" t="n">
        <f aca="false">R334/(1-Resumo!$C$5)</f>
        <v>109.586315909091</v>
      </c>
      <c r="T334" s="61" t="n">
        <v>114.95</v>
      </c>
      <c r="U334" s="61" t="n">
        <f aca="false">H334*Resumo!$B$6</f>
        <v>0.42999</v>
      </c>
      <c r="V334" s="61" t="n">
        <f aca="false">H334*Resumo!$B$7</f>
        <v>0.85998</v>
      </c>
      <c r="W334" s="61" t="n">
        <f aca="false">Resumo!$B$9</f>
        <v>1</v>
      </c>
      <c r="X334" s="61" t="n">
        <f aca="false">Resumo!$B$10*CEILING(G334/100,1)</f>
        <v>4.5</v>
      </c>
      <c r="Y334" s="61" t="n">
        <f aca="false">Resumo!$B$12*CEILING(G334,1)</f>
        <v>1.92</v>
      </c>
      <c r="Z334" s="61" t="n">
        <f aca="false">Resumo!$B$14*CEILING(G334,1)</f>
        <v>14.4</v>
      </c>
      <c r="AA334" s="61" t="n">
        <f aca="false">SUM(T334:Z334)</f>
        <v>138.05997</v>
      </c>
      <c r="AB334" s="61" t="n">
        <f aca="false">AA334/(1-Resumo!$B$5)</f>
        <v>156.886329545455</v>
      </c>
      <c r="AC334" s="61" t="n">
        <f aca="false">AB334-S334</f>
        <v>47.3000136363636</v>
      </c>
      <c r="AD334" s="62" t="n">
        <f aca="false">AB334/S334-1</f>
        <v>0.431623357752095</v>
      </c>
      <c r="AE334" s="60" t="str">
        <f aca="false">IF(AB334&lt;S334,"SIM","NÃO")</f>
        <v>NÃO</v>
      </c>
      <c r="AF334" s="60" t="n">
        <v>13</v>
      </c>
      <c r="AG334" s="60" t="n">
        <v>10</v>
      </c>
      <c r="AH334" s="60" t="s">
        <v>382</v>
      </c>
      <c r="AI334" s="61" t="n">
        <f aca="false">(T334*(1-Painel!$C$40)+U334+V334+Painel!$C$41+Painel!$C$42*CEILING(G334/100,1)+Painel!$C$43*CEILING(G334,1)+Z334)/(1-Resumo!$B$5)</f>
        <v>107.677806818182</v>
      </c>
      <c r="AJ334" s="60" t="str">
        <f aca="false">IF(AI334&lt;S334,"SIM","NÃO")</f>
        <v>SIM</v>
      </c>
    </row>
    <row r="335" customFormat="false" ht="15" hidden="false" customHeight="false" outlineLevel="0" collapsed="false">
      <c r="A335" s="59" t="n">
        <v>46229.6320023148</v>
      </c>
      <c r="B335" s="60" t="s">
        <v>707</v>
      </c>
      <c r="C335" s="60" t="n">
        <v>28890133</v>
      </c>
      <c r="D335" s="60" t="s">
        <v>227</v>
      </c>
      <c r="E335" s="60" t="s">
        <v>24</v>
      </c>
      <c r="F335" s="60" t="s">
        <v>236</v>
      </c>
      <c r="G335" s="60" t="n">
        <v>56.7</v>
      </c>
      <c r="H335" s="61" t="n">
        <v>688.47</v>
      </c>
      <c r="I335" s="61" t="n">
        <v>83.58</v>
      </c>
      <c r="J335" s="61" t="n">
        <f aca="false">H335*Resumo!$C$6</f>
        <v>0</v>
      </c>
      <c r="K335" s="61" t="n">
        <f aca="false">H335*Resumo!$C$7</f>
        <v>1.445787</v>
      </c>
      <c r="L335" s="61" t="n">
        <f aca="false">H335*Resumo!$C$8</f>
        <v>1.445787</v>
      </c>
      <c r="M335" s="61" t="n">
        <f aca="false">Resumo!$C$10*CEILING(G335/100,1)</f>
        <v>1.05</v>
      </c>
      <c r="N335" s="61" t="n">
        <f aca="false">Resumo!$C$9</f>
        <v>0</v>
      </c>
      <c r="O335" s="61" t="n">
        <f aca="false">Resumo!$C$13</f>
        <v>13.55</v>
      </c>
      <c r="P335" s="61" t="n">
        <f aca="false">Resumo!$C$14*CEILING(G335,1)</f>
        <v>25.65</v>
      </c>
      <c r="Q335" s="61" t="n">
        <f aca="false">SUM(I335:P335)*Resumo!$C$11</f>
        <v>0</v>
      </c>
      <c r="R335" s="61" t="n">
        <f aca="false">SUM(I335:Q335)</f>
        <v>126.721574</v>
      </c>
      <c r="S335" s="61" t="n">
        <f aca="false">R335/(1-Resumo!$C$5)</f>
        <v>144.001788636364</v>
      </c>
      <c r="T335" s="61" t="n">
        <v>142.32</v>
      </c>
      <c r="U335" s="61" t="n">
        <f aca="false">H335*Resumo!$B$6</f>
        <v>0.68847</v>
      </c>
      <c r="V335" s="61" t="n">
        <f aca="false">H335*Resumo!$B$7</f>
        <v>1.37694</v>
      </c>
      <c r="W335" s="61" t="n">
        <f aca="false">Resumo!$B$9</f>
        <v>1</v>
      </c>
      <c r="X335" s="61" t="n">
        <f aca="false">Resumo!$B$10*CEILING(G335/100,1)</f>
        <v>4.5</v>
      </c>
      <c r="Y335" s="61" t="n">
        <f aca="false">Resumo!$B$12*CEILING(G335,1)</f>
        <v>3.42</v>
      </c>
      <c r="Z335" s="61" t="n">
        <f aca="false">Resumo!$B$14*CEILING(G335,1)</f>
        <v>25.65</v>
      </c>
      <c r="AA335" s="61" t="n">
        <f aca="false">SUM(T335:Z335)</f>
        <v>178.95541</v>
      </c>
      <c r="AB335" s="61" t="n">
        <f aca="false">AA335/(1-Resumo!$B$5)</f>
        <v>203.358420454545</v>
      </c>
      <c r="AC335" s="61" t="n">
        <f aca="false">AB335-S335</f>
        <v>59.3566318181818</v>
      </c>
      <c r="AD335" s="62" t="n">
        <f aca="false">AB335/S335-1</f>
        <v>0.412193712177218</v>
      </c>
      <c r="AE335" s="60" t="str">
        <f aca="false">IF(AB335&lt;S335,"SIM","NÃO")</f>
        <v>NÃO</v>
      </c>
      <c r="AF335" s="60" t="n">
        <v>13</v>
      </c>
      <c r="AG335" s="60" t="n">
        <v>10</v>
      </c>
      <c r="AH335" s="60" t="s">
        <v>382</v>
      </c>
      <c r="AI335" s="61" t="n">
        <f aca="false">(T335*(1-Painel!$C$40)+U335+V335+Painel!$C$41+Painel!$C$42*CEILING(G335/100,1)+Painel!$C$43*CEILING(G335,1)+Z335)/(1-Resumo!$B$5)</f>
        <v>142.181602272727</v>
      </c>
      <c r="AJ335" s="60" t="str">
        <f aca="false">IF(AI335&lt;S335,"SIM","NÃO")</f>
        <v>SIM</v>
      </c>
    </row>
    <row r="336" customFormat="false" ht="15" hidden="false" customHeight="false" outlineLevel="0" collapsed="false">
      <c r="A336" s="59" t="n">
        <v>46229.6685416667</v>
      </c>
      <c r="B336" s="60" t="s">
        <v>708</v>
      </c>
      <c r="C336" s="60" t="n">
        <v>21530000</v>
      </c>
      <c r="D336" s="60" t="s">
        <v>46</v>
      </c>
      <c r="E336" s="60" t="s">
        <v>22</v>
      </c>
      <c r="F336" s="60" t="s">
        <v>235</v>
      </c>
      <c r="G336" s="60" t="n">
        <v>48.3</v>
      </c>
      <c r="H336" s="61" t="n">
        <v>391.99</v>
      </c>
      <c r="I336" s="61" t="n">
        <v>53.55</v>
      </c>
      <c r="J336" s="61" t="n">
        <f aca="false">H336*Resumo!$C$6</f>
        <v>0</v>
      </c>
      <c r="K336" s="61" t="n">
        <f aca="false">H336*Resumo!$C$7</f>
        <v>0.823179</v>
      </c>
      <c r="L336" s="61" t="n">
        <f aca="false">H336*Resumo!$C$8</f>
        <v>0.823179</v>
      </c>
      <c r="M336" s="61" t="n">
        <f aca="false">Resumo!$C$10*CEILING(G336/100,1)</f>
        <v>1.05</v>
      </c>
      <c r="N336" s="61" t="n">
        <f aca="false">Resumo!$C$9</f>
        <v>0</v>
      </c>
      <c r="O336" s="61" t="n">
        <f aca="false">Resumo!$C$13</f>
        <v>13.55</v>
      </c>
      <c r="P336" s="61" t="n">
        <f aca="false">Resumo!$C$14*CEILING(G336,1)</f>
        <v>22.05</v>
      </c>
      <c r="Q336" s="61" t="n">
        <f aca="false">SUM(I336:P336)*Resumo!$C$11</f>
        <v>0</v>
      </c>
      <c r="R336" s="61" t="n">
        <f aca="false">SUM(I336:Q336)</f>
        <v>91.846358</v>
      </c>
      <c r="S336" s="61" t="n">
        <f aca="false">R336/(1-Resumo!$C$5)</f>
        <v>104.370861363636</v>
      </c>
      <c r="T336" s="61" t="n">
        <v>93.97</v>
      </c>
      <c r="U336" s="61" t="n">
        <f aca="false">H336*Resumo!$B$6</f>
        <v>0.39199</v>
      </c>
      <c r="V336" s="61" t="n">
        <f aca="false">H336*Resumo!$B$7</f>
        <v>0.78398</v>
      </c>
      <c r="W336" s="61" t="n">
        <f aca="false">Resumo!$B$9</f>
        <v>1</v>
      </c>
      <c r="X336" s="61" t="n">
        <f aca="false">Resumo!$B$10*CEILING(G336/100,1)</f>
        <v>4.5</v>
      </c>
      <c r="Y336" s="61" t="n">
        <f aca="false">Resumo!$B$12*CEILING(G336,1)</f>
        <v>2.94</v>
      </c>
      <c r="Z336" s="61" t="n">
        <f aca="false">Resumo!$B$14*CEILING(G336,1)</f>
        <v>22.05</v>
      </c>
      <c r="AA336" s="61" t="n">
        <f aca="false">SUM(T336:Z336)</f>
        <v>125.63597</v>
      </c>
      <c r="AB336" s="61" t="n">
        <f aca="false">AA336/(1-Resumo!$B$5)</f>
        <v>142.768147727273</v>
      </c>
      <c r="AC336" s="61" t="n">
        <f aca="false">AB336-S336</f>
        <v>38.3972863636364</v>
      </c>
      <c r="AD336" s="62" t="n">
        <f aca="false">AB336/S336-1</f>
        <v>0.367892780245026</v>
      </c>
      <c r="AE336" s="60" t="str">
        <f aca="false">IF(AB336&lt;S336,"SIM","NÃO")</f>
        <v>NÃO</v>
      </c>
      <c r="AF336" s="60" t="n">
        <v>2</v>
      </c>
      <c r="AG336" s="60" t="n">
        <v>5</v>
      </c>
      <c r="AH336" s="60" t="s">
        <v>382</v>
      </c>
      <c r="AI336" s="61" t="n">
        <f aca="false">(T336*(1-Painel!$C$40)+U336+V336+Painel!$C$41+Painel!$C$42*CEILING(G336/100,1)+Painel!$C$43*CEILING(G336,1)+Z336)/(1-Resumo!$B$5)</f>
        <v>100.268034090909</v>
      </c>
      <c r="AJ336" s="60" t="str">
        <f aca="false">IF(AI336&lt;S336,"SIM","NÃO")</f>
        <v>SIM</v>
      </c>
    </row>
    <row r="337" customFormat="false" ht="15" hidden="false" customHeight="false" outlineLevel="0" collapsed="false">
      <c r="A337" s="59" t="n">
        <v>46229.6940162037</v>
      </c>
      <c r="B337" s="60" t="s">
        <v>709</v>
      </c>
      <c r="C337" s="60" t="n">
        <v>24924465</v>
      </c>
      <c r="D337" s="60" t="s">
        <v>220</v>
      </c>
      <c r="E337" s="60" t="s">
        <v>24</v>
      </c>
      <c r="F337" s="60" t="s">
        <v>241</v>
      </c>
      <c r="G337" s="60" t="n">
        <v>125.8</v>
      </c>
      <c r="H337" s="61" t="n">
        <v>1869.99</v>
      </c>
      <c r="I337" s="61" t="n">
        <v>144.24</v>
      </c>
      <c r="J337" s="61" t="n">
        <f aca="false">H337*Resumo!$C$6</f>
        <v>0</v>
      </c>
      <c r="K337" s="61" t="n">
        <f aca="false">H337*Resumo!$C$7</f>
        <v>3.926979</v>
      </c>
      <c r="L337" s="61" t="n">
        <f aca="false">H337*Resumo!$C$8</f>
        <v>3.926979</v>
      </c>
      <c r="M337" s="61" t="n">
        <f aca="false">Resumo!$C$10*CEILING(G337/100,1)</f>
        <v>2.1</v>
      </c>
      <c r="N337" s="61" t="n">
        <f aca="false">Resumo!$C$9</f>
        <v>0</v>
      </c>
      <c r="O337" s="61" t="n">
        <f aca="false">Resumo!$C$13</f>
        <v>13.55</v>
      </c>
      <c r="P337" s="61" t="n">
        <f aca="false">Resumo!$C$14*CEILING(G337,1)</f>
        <v>56.7</v>
      </c>
      <c r="Q337" s="61" t="n">
        <f aca="false">SUM(I337:P337)*Resumo!$C$11</f>
        <v>0</v>
      </c>
      <c r="R337" s="61" t="n">
        <f aca="false">SUM(I337:Q337)</f>
        <v>224.443958</v>
      </c>
      <c r="S337" s="61" t="n">
        <f aca="false">R337/(1-Resumo!$C$5)</f>
        <v>255.049952272727</v>
      </c>
      <c r="T337" s="61" t="n">
        <v>249.03</v>
      </c>
      <c r="U337" s="61" t="n">
        <f aca="false">H337*Resumo!$B$6</f>
        <v>1.86999</v>
      </c>
      <c r="V337" s="61" t="n">
        <f aca="false">H337*Resumo!$B$7</f>
        <v>3.73998</v>
      </c>
      <c r="W337" s="61" t="n">
        <f aca="false">Resumo!$B$9</f>
        <v>1</v>
      </c>
      <c r="X337" s="61" t="n">
        <f aca="false">Resumo!$B$10*CEILING(G337/100,1)</f>
        <v>9</v>
      </c>
      <c r="Y337" s="61" t="n">
        <f aca="false">Resumo!$B$12*CEILING(G337,1)</f>
        <v>7.56</v>
      </c>
      <c r="Z337" s="61" t="n">
        <f aca="false">Resumo!$B$14*CEILING(G337,1)</f>
        <v>56.7</v>
      </c>
      <c r="AA337" s="61" t="n">
        <f aca="false">SUM(T337:Z337)</f>
        <v>328.89997</v>
      </c>
      <c r="AB337" s="61" t="n">
        <f aca="false">AA337/(1-Resumo!$B$5)</f>
        <v>373.749965909091</v>
      </c>
      <c r="AC337" s="61" t="n">
        <f aca="false">AB337-S337</f>
        <v>118.700013636364</v>
      </c>
      <c r="AD337" s="62" t="n">
        <f aca="false">AB337/S337-1</f>
        <v>0.465399081939198</v>
      </c>
      <c r="AE337" s="60" t="str">
        <f aca="false">IF(AB337&lt;S337,"SIM","NÃO")</f>
        <v>NÃO</v>
      </c>
      <c r="AF337" s="60" t="n">
        <v>13</v>
      </c>
      <c r="AG337" s="60" t="n">
        <v>7</v>
      </c>
      <c r="AH337" s="60" t="s">
        <v>382</v>
      </c>
      <c r="AI337" s="61" t="n">
        <f aca="false">(T337*(1-Painel!$C$40)+U337+V337+Painel!$C$41+Painel!$C$42*CEILING(G337/100,1)+Painel!$C$43*CEILING(G337,1)+Z337)/(1-Resumo!$B$5)</f>
        <v>263.931897727273</v>
      </c>
      <c r="AJ337" s="60" t="str">
        <f aca="false">IF(AI337&lt;S337,"SIM","NÃO")</f>
        <v>NÃO</v>
      </c>
    </row>
    <row r="338" customFormat="false" ht="15" hidden="false" customHeight="false" outlineLevel="0" collapsed="false">
      <c r="A338" s="59" t="n">
        <v>46229.704837963</v>
      </c>
      <c r="B338" s="60" t="s">
        <v>710</v>
      </c>
      <c r="C338" s="60" t="n">
        <v>21710200</v>
      </c>
      <c r="D338" s="60" t="s">
        <v>46</v>
      </c>
      <c r="E338" s="60" t="s">
        <v>22</v>
      </c>
      <c r="F338" s="60" t="s">
        <v>236</v>
      </c>
      <c r="G338" s="60" t="n">
        <v>52.3</v>
      </c>
      <c r="H338" s="61" t="n">
        <v>699.99</v>
      </c>
      <c r="I338" s="61" t="n">
        <v>58.6</v>
      </c>
      <c r="J338" s="61" t="n">
        <f aca="false">H338*Resumo!$C$6</f>
        <v>0</v>
      </c>
      <c r="K338" s="61" t="n">
        <f aca="false">H338*Resumo!$C$7</f>
        <v>1.469979</v>
      </c>
      <c r="L338" s="61" t="n">
        <f aca="false">H338*Resumo!$C$8</f>
        <v>1.469979</v>
      </c>
      <c r="M338" s="61" t="n">
        <f aca="false">Resumo!$C$10*CEILING(G338/100,1)</f>
        <v>1.05</v>
      </c>
      <c r="N338" s="61" t="n">
        <f aca="false">Resumo!$C$9</f>
        <v>0</v>
      </c>
      <c r="O338" s="61" t="n">
        <f aca="false">Resumo!$C$13</f>
        <v>13.55</v>
      </c>
      <c r="P338" s="61" t="n">
        <f aca="false">Resumo!$C$14*CEILING(G338,1)</f>
        <v>23.85</v>
      </c>
      <c r="Q338" s="61" t="n">
        <f aca="false">SUM(I338:P338)*Resumo!$C$11</f>
        <v>0</v>
      </c>
      <c r="R338" s="61" t="n">
        <f aca="false">SUM(I338:Q338)</f>
        <v>99.989958</v>
      </c>
      <c r="S338" s="61" t="n">
        <f aca="false">R338/(1-Resumo!$C$5)</f>
        <v>113.624952272727</v>
      </c>
      <c r="T338" s="61" t="n">
        <v>112.3</v>
      </c>
      <c r="U338" s="61" t="n">
        <f aca="false">H338*Resumo!$B$6</f>
        <v>0.69999</v>
      </c>
      <c r="V338" s="61" t="n">
        <f aca="false">H338*Resumo!$B$7</f>
        <v>1.39998</v>
      </c>
      <c r="W338" s="61" t="n">
        <f aca="false">Resumo!$B$9</f>
        <v>1</v>
      </c>
      <c r="X338" s="61" t="n">
        <f aca="false">Resumo!$B$10*CEILING(G338/100,1)</f>
        <v>4.5</v>
      </c>
      <c r="Y338" s="61" t="n">
        <f aca="false">Resumo!$B$12*CEILING(G338,1)</f>
        <v>3.18</v>
      </c>
      <c r="Z338" s="61" t="n">
        <f aca="false">Resumo!$B$14*CEILING(G338,1)</f>
        <v>23.85</v>
      </c>
      <c r="AA338" s="61" t="n">
        <f aca="false">SUM(T338:Z338)</f>
        <v>146.92997</v>
      </c>
      <c r="AB338" s="61" t="n">
        <f aca="false">AA338/(1-Resumo!$B$5)</f>
        <v>166.965875</v>
      </c>
      <c r="AC338" s="61" t="n">
        <f aca="false">AB338-S338</f>
        <v>53.3409227272727</v>
      </c>
      <c r="AD338" s="62" t="n">
        <f aca="false">AB338/S338-1</f>
        <v>0.469447261894039</v>
      </c>
      <c r="AE338" s="60" t="str">
        <f aca="false">IF(AB338&lt;S338,"SIM","NÃO")</f>
        <v>NÃO</v>
      </c>
      <c r="AF338" s="60" t="n">
        <v>2</v>
      </c>
      <c r="AG338" s="60" t="n">
        <v>5</v>
      </c>
      <c r="AH338" s="60" t="s">
        <v>382</v>
      </c>
      <c r="AI338" s="61" t="n">
        <f aca="false">(T338*(1-Painel!$C$40)+U338+V338+Painel!$C$41+Painel!$C$42*CEILING(G338/100,1)+Painel!$C$43*CEILING(G338,1)+Z338)/(1-Resumo!$B$5)</f>
        <v>117.319284090909</v>
      </c>
      <c r="AJ338" s="60" t="str">
        <f aca="false">IF(AI338&lt;S338,"SIM","NÃO")</f>
        <v>NÃO</v>
      </c>
    </row>
    <row r="339" customFormat="false" ht="15" hidden="false" customHeight="false" outlineLevel="0" collapsed="false">
      <c r="A339" s="59" t="n">
        <v>46229.7728472222</v>
      </c>
      <c r="B339" s="60" t="s">
        <v>711</v>
      </c>
      <c r="C339" s="60" t="n">
        <v>28300000</v>
      </c>
      <c r="D339" s="60" t="s">
        <v>308</v>
      </c>
      <c r="E339" s="60" t="s">
        <v>24</v>
      </c>
      <c r="F339" s="60" t="s">
        <v>235</v>
      </c>
      <c r="G339" s="60" t="n">
        <v>48.3</v>
      </c>
      <c r="H339" s="61" t="n">
        <v>459.99</v>
      </c>
      <c r="I339" s="61" t="n">
        <v>77.7</v>
      </c>
      <c r="J339" s="61" t="n">
        <f aca="false">H339*Resumo!$C$6</f>
        <v>0</v>
      </c>
      <c r="K339" s="61" t="n">
        <f aca="false">H339*Resumo!$C$7</f>
        <v>0.965979</v>
      </c>
      <c r="L339" s="61" t="n">
        <f aca="false">H339*Resumo!$C$8</f>
        <v>0.965979</v>
      </c>
      <c r="M339" s="61" t="n">
        <f aca="false">Resumo!$C$10*CEILING(G339/100,1)</f>
        <v>1.05</v>
      </c>
      <c r="N339" s="61" t="n">
        <f aca="false">Resumo!$C$9</f>
        <v>0</v>
      </c>
      <c r="O339" s="61" t="n">
        <f aca="false">Resumo!$C$13</f>
        <v>13.55</v>
      </c>
      <c r="P339" s="61" t="n">
        <f aca="false">Resumo!$C$14*CEILING(G339,1)</f>
        <v>22.05</v>
      </c>
      <c r="Q339" s="61" t="n">
        <f aca="false">SUM(I339:P339)*Resumo!$C$11</f>
        <v>0</v>
      </c>
      <c r="R339" s="61" t="n">
        <f aca="false">SUM(I339:Q339)</f>
        <v>116.281958</v>
      </c>
      <c r="S339" s="61" t="n">
        <f aca="false">R339/(1-Resumo!$C$5)</f>
        <v>132.138588636364</v>
      </c>
      <c r="T339" s="61" t="n">
        <v>152.54</v>
      </c>
      <c r="U339" s="61" t="n">
        <f aca="false">H339*Resumo!$B$6</f>
        <v>0.45999</v>
      </c>
      <c r="V339" s="61" t="n">
        <f aca="false">H339*Resumo!$B$7</f>
        <v>0.91998</v>
      </c>
      <c r="W339" s="61" t="n">
        <f aca="false">Resumo!$B$9</f>
        <v>1</v>
      </c>
      <c r="X339" s="61" t="n">
        <f aca="false">Resumo!$B$10*CEILING(G339/100,1)</f>
        <v>4.5</v>
      </c>
      <c r="Y339" s="61" t="n">
        <f aca="false">Resumo!$B$12*CEILING(G339,1)</f>
        <v>2.94</v>
      </c>
      <c r="Z339" s="61" t="n">
        <f aca="false">Resumo!$B$14*CEILING(G339,1)</f>
        <v>22.05</v>
      </c>
      <c r="AA339" s="61" t="n">
        <f aca="false">SUM(T339:Z339)</f>
        <v>184.40997</v>
      </c>
      <c r="AB339" s="61" t="n">
        <f aca="false">AA339/(1-Resumo!$B$5)</f>
        <v>209.556784090909</v>
      </c>
      <c r="AC339" s="61" t="n">
        <f aca="false">AB339-S339</f>
        <v>77.4181954545455</v>
      </c>
      <c r="AD339" s="62" t="n">
        <f aca="false">AB339/S339-1</f>
        <v>0.585886350486118</v>
      </c>
      <c r="AE339" s="60" t="str">
        <f aca="false">IF(AB339&lt;S339,"SIM","NÃO")</f>
        <v>NÃO</v>
      </c>
      <c r="AF339" s="60" t="n">
        <v>13</v>
      </c>
      <c r="AG339" s="60" t="n">
        <v>11</v>
      </c>
      <c r="AH339" s="60" t="s">
        <v>385</v>
      </c>
      <c r="AI339" s="61" t="n">
        <f aca="false">(T339*(1-Painel!$C$40)+U339+V339+Painel!$C$41+Painel!$C$42*CEILING(G339/100,1)+Painel!$C$43*CEILING(G339,1)+Z339)/(1-Resumo!$B$5)</f>
        <v>145.092920454545</v>
      </c>
      <c r="AJ339" s="60" t="str">
        <f aca="false">IF(AI339&lt;S339,"SIM","NÃO")</f>
        <v>NÃO</v>
      </c>
    </row>
    <row r="340" customFormat="false" ht="15" hidden="false" customHeight="false" outlineLevel="0" collapsed="false">
      <c r="A340" s="59" t="n">
        <v>46229.7944097222</v>
      </c>
      <c r="B340" s="60" t="s">
        <v>446</v>
      </c>
      <c r="C340" s="60" t="n">
        <v>24110310</v>
      </c>
      <c r="D340" s="60" t="s">
        <v>50</v>
      </c>
      <c r="E340" s="60" t="s">
        <v>23</v>
      </c>
      <c r="F340" s="60" t="s">
        <v>236</v>
      </c>
      <c r="G340" s="60" t="n">
        <v>52.3</v>
      </c>
      <c r="H340" s="61" t="n">
        <v>685.84</v>
      </c>
      <c r="I340" s="61" t="n">
        <v>70.98</v>
      </c>
      <c r="J340" s="61" t="n">
        <f aca="false">H340*Resumo!$C$6</f>
        <v>0</v>
      </c>
      <c r="K340" s="61" t="n">
        <f aca="false">H340*Resumo!$C$7</f>
        <v>1.440264</v>
      </c>
      <c r="L340" s="61" t="n">
        <f aca="false">H340*Resumo!$C$8</f>
        <v>1.440264</v>
      </c>
      <c r="M340" s="61" t="n">
        <f aca="false">Resumo!$C$10*CEILING(G340/100,1)</f>
        <v>1.05</v>
      </c>
      <c r="N340" s="61" t="n">
        <f aca="false">Resumo!$C$9</f>
        <v>0</v>
      </c>
      <c r="O340" s="61" t="n">
        <f aca="false">Resumo!$C$13</f>
        <v>13.55</v>
      </c>
      <c r="P340" s="61" t="n">
        <f aca="false">Resumo!$C$14*CEILING(G340,1)</f>
        <v>23.85</v>
      </c>
      <c r="Q340" s="61" t="n">
        <f aca="false">SUM(I340:P340)*Resumo!$C$11</f>
        <v>0</v>
      </c>
      <c r="R340" s="61" t="n">
        <f aca="false">SUM(I340:Q340)</f>
        <v>112.310528</v>
      </c>
      <c r="S340" s="61" t="n">
        <f aca="false">R340/(1-Resumo!$C$5)</f>
        <v>127.6256</v>
      </c>
      <c r="T340" s="61" t="n">
        <v>128.14</v>
      </c>
      <c r="U340" s="61" t="n">
        <f aca="false">H340*Resumo!$B$6</f>
        <v>0.68584</v>
      </c>
      <c r="V340" s="61" t="n">
        <f aca="false">H340*Resumo!$B$7</f>
        <v>1.37168</v>
      </c>
      <c r="W340" s="61" t="n">
        <f aca="false">Resumo!$B$9</f>
        <v>1</v>
      </c>
      <c r="X340" s="61" t="n">
        <f aca="false">Resumo!$B$10*CEILING(G340/100,1)</f>
        <v>4.5</v>
      </c>
      <c r="Y340" s="61" t="n">
        <f aca="false">Resumo!$B$12*CEILING(G340,1)</f>
        <v>3.18</v>
      </c>
      <c r="Z340" s="61" t="n">
        <f aca="false">Resumo!$B$14*CEILING(G340,1)</f>
        <v>23.85</v>
      </c>
      <c r="AA340" s="61" t="n">
        <f aca="false">SUM(T340:Z340)</f>
        <v>162.72752</v>
      </c>
      <c r="AB340" s="61" t="n">
        <f aca="false">AA340/(1-Resumo!$B$5)</f>
        <v>184.917636363636</v>
      </c>
      <c r="AC340" s="61" t="n">
        <f aca="false">AB340-S340</f>
        <v>57.2920363636363</v>
      </c>
      <c r="AD340" s="62" t="n">
        <f aca="false">AB340/S340-1</f>
        <v>0.448907087321323</v>
      </c>
      <c r="AE340" s="60" t="str">
        <f aca="false">IF(AB340&lt;S340,"SIM","NÃO")</f>
        <v>NÃO</v>
      </c>
      <c r="AF340" s="60" t="n">
        <v>2</v>
      </c>
      <c r="AG340" s="60" t="n">
        <v>7</v>
      </c>
      <c r="AH340" s="60" t="s">
        <v>382</v>
      </c>
      <c r="AI340" s="61" t="n">
        <f aca="false">(T340*(1-Painel!$C$40)+U340+V340+Painel!$C$41+Painel!$C$42*CEILING(G340/100,1)+Painel!$C$43*CEILING(G340,1)+Z340)/(1-Resumo!$B$5)</f>
        <v>129.331045454545</v>
      </c>
      <c r="AJ340" s="60" t="str">
        <f aca="false">IF(AI340&lt;S340,"SIM","NÃO")</f>
        <v>NÃO</v>
      </c>
    </row>
    <row r="341" customFormat="false" ht="15" hidden="false" customHeight="false" outlineLevel="0" collapsed="false">
      <c r="A341" s="59" t="n">
        <v>46229.8339351852</v>
      </c>
      <c r="B341" s="60" t="s">
        <v>712</v>
      </c>
      <c r="C341" s="60" t="n">
        <v>28920060</v>
      </c>
      <c r="D341" s="60" t="s">
        <v>221</v>
      </c>
      <c r="E341" s="60" t="s">
        <v>24</v>
      </c>
      <c r="F341" s="60" t="s">
        <v>235</v>
      </c>
      <c r="G341" s="60" t="n">
        <v>48.3</v>
      </c>
      <c r="H341" s="61" t="n">
        <v>459.99</v>
      </c>
      <c r="I341" s="61" t="n">
        <v>77.7</v>
      </c>
      <c r="J341" s="61" t="n">
        <f aca="false">H341*Resumo!$C$6</f>
        <v>0</v>
      </c>
      <c r="K341" s="61" t="n">
        <f aca="false">H341*Resumo!$C$7</f>
        <v>0.965979</v>
      </c>
      <c r="L341" s="61" t="n">
        <f aca="false">H341*Resumo!$C$8</f>
        <v>0.965979</v>
      </c>
      <c r="M341" s="61" t="n">
        <f aca="false">Resumo!$C$10*CEILING(G341/100,1)</f>
        <v>1.05</v>
      </c>
      <c r="N341" s="61" t="n">
        <f aca="false">Resumo!$C$9</f>
        <v>0</v>
      </c>
      <c r="O341" s="61" t="n">
        <f aca="false">Resumo!$C$13</f>
        <v>13.55</v>
      </c>
      <c r="P341" s="61" t="n">
        <f aca="false">Resumo!$C$14*CEILING(G341,1)</f>
        <v>22.05</v>
      </c>
      <c r="Q341" s="61" t="n">
        <f aca="false">SUM(I341:P341)*Resumo!$C$11</f>
        <v>0</v>
      </c>
      <c r="R341" s="61" t="n">
        <f aca="false">SUM(I341:Q341)</f>
        <v>116.281958</v>
      </c>
      <c r="S341" s="61" t="n">
        <f aca="false">R341/(1-Resumo!$C$5)</f>
        <v>132.138588636364</v>
      </c>
      <c r="T341" s="61" t="n">
        <v>129.29</v>
      </c>
      <c r="U341" s="61" t="n">
        <f aca="false">H341*Resumo!$B$6</f>
        <v>0.45999</v>
      </c>
      <c r="V341" s="61" t="n">
        <f aca="false">H341*Resumo!$B$7</f>
        <v>0.91998</v>
      </c>
      <c r="W341" s="61" t="n">
        <f aca="false">Resumo!$B$9</f>
        <v>1</v>
      </c>
      <c r="X341" s="61" t="n">
        <f aca="false">Resumo!$B$10*CEILING(G341/100,1)</f>
        <v>4.5</v>
      </c>
      <c r="Y341" s="61" t="n">
        <f aca="false">Resumo!$B$12*CEILING(G341,1)</f>
        <v>2.94</v>
      </c>
      <c r="Z341" s="61" t="n">
        <f aca="false">Resumo!$B$14*CEILING(G341,1)</f>
        <v>22.05</v>
      </c>
      <c r="AA341" s="61" t="n">
        <f aca="false">SUM(T341:Z341)</f>
        <v>161.15997</v>
      </c>
      <c r="AB341" s="61" t="n">
        <f aca="false">AA341/(1-Resumo!$B$5)</f>
        <v>183.136329545455</v>
      </c>
      <c r="AC341" s="61" t="n">
        <f aca="false">AB341-S341</f>
        <v>50.9977409090909</v>
      </c>
      <c r="AD341" s="62" t="n">
        <f aca="false">AB341/S341-1</f>
        <v>0.385941316880819</v>
      </c>
      <c r="AE341" s="60" t="str">
        <f aca="false">IF(AB341&lt;S341,"SIM","NÃO")</f>
        <v>NÃO</v>
      </c>
      <c r="AF341" s="60" t="n">
        <v>13</v>
      </c>
      <c r="AG341" s="60" t="n">
        <v>10</v>
      </c>
      <c r="AH341" s="60" t="s">
        <v>382</v>
      </c>
      <c r="AI341" s="61" t="n">
        <f aca="false">(T341*(1-Painel!$C$40)+U341+V341+Painel!$C$41+Painel!$C$42*CEILING(G341/100,1)+Painel!$C$43*CEILING(G341,1)+Z341)/(1-Resumo!$B$5)</f>
        <v>127.391215909091</v>
      </c>
      <c r="AJ341" s="60" t="str">
        <f aca="false">IF(AI341&lt;S341,"SIM","NÃO")</f>
        <v>SIM</v>
      </c>
    </row>
    <row r="342" customFormat="false" ht="15" hidden="false" customHeight="false" outlineLevel="0" collapsed="false">
      <c r="A342" s="59" t="n">
        <v>46229.977974537</v>
      </c>
      <c r="B342" s="60" t="s">
        <v>713</v>
      </c>
      <c r="C342" s="60" t="n">
        <v>26265190</v>
      </c>
      <c r="D342" s="60" t="s">
        <v>49</v>
      </c>
      <c r="E342" s="60" t="s">
        <v>23</v>
      </c>
      <c r="F342" s="60" t="s">
        <v>236</v>
      </c>
      <c r="G342" s="60" t="n">
        <v>52.3</v>
      </c>
      <c r="H342" s="61" t="n">
        <v>685.84</v>
      </c>
      <c r="I342" s="61" t="n">
        <v>70.98</v>
      </c>
      <c r="J342" s="61" t="n">
        <f aca="false">H342*Resumo!$C$6</f>
        <v>0</v>
      </c>
      <c r="K342" s="61" t="n">
        <f aca="false">H342*Resumo!$C$7</f>
        <v>1.440264</v>
      </c>
      <c r="L342" s="61" t="n">
        <f aca="false">H342*Resumo!$C$8</f>
        <v>1.440264</v>
      </c>
      <c r="M342" s="61" t="n">
        <f aca="false">Resumo!$C$10*CEILING(G342/100,1)</f>
        <v>1.05</v>
      </c>
      <c r="N342" s="61" t="n">
        <f aca="false">Resumo!$C$9</f>
        <v>0</v>
      </c>
      <c r="O342" s="61" t="n">
        <f aca="false">Resumo!$C$13</f>
        <v>13.55</v>
      </c>
      <c r="P342" s="61" t="n">
        <f aca="false">Resumo!$C$14*CEILING(G342,1)</f>
        <v>23.85</v>
      </c>
      <c r="Q342" s="61" t="n">
        <f aca="false">SUM(I342:P342)*Resumo!$C$11</f>
        <v>0</v>
      </c>
      <c r="R342" s="61" t="n">
        <f aca="false">SUM(I342:Q342)</f>
        <v>112.310528</v>
      </c>
      <c r="S342" s="61" t="n">
        <f aca="false">R342/(1-Resumo!$C$5)</f>
        <v>127.6256</v>
      </c>
      <c r="T342" s="61" t="n">
        <v>112.3</v>
      </c>
      <c r="U342" s="61" t="n">
        <f aca="false">H342*Resumo!$B$6</f>
        <v>0.68584</v>
      </c>
      <c r="V342" s="61" t="n">
        <f aca="false">H342*Resumo!$B$7</f>
        <v>1.37168</v>
      </c>
      <c r="W342" s="61" t="n">
        <f aca="false">Resumo!$B$9</f>
        <v>1</v>
      </c>
      <c r="X342" s="61" t="n">
        <f aca="false">Resumo!$B$10*CEILING(G342/100,1)</f>
        <v>4.5</v>
      </c>
      <c r="Y342" s="61" t="n">
        <f aca="false">Resumo!$B$12*CEILING(G342,1)</f>
        <v>3.18</v>
      </c>
      <c r="Z342" s="61" t="n">
        <f aca="false">Resumo!$B$14*CEILING(G342,1)</f>
        <v>23.85</v>
      </c>
      <c r="AA342" s="61" t="n">
        <f aca="false">SUM(T342:Z342)</f>
        <v>146.88752</v>
      </c>
      <c r="AB342" s="61" t="n">
        <f aca="false">AA342/(1-Resumo!$B$5)</f>
        <v>166.917636363636</v>
      </c>
      <c r="AC342" s="61" t="n">
        <f aca="false">AB342-S342</f>
        <v>39.2920363636363</v>
      </c>
      <c r="AD342" s="62" t="n">
        <f aca="false">AB342/S342-1</f>
        <v>0.307869552532065</v>
      </c>
      <c r="AE342" s="60" t="str">
        <f aca="false">IF(AB342&lt;S342,"SIM","NÃO")</f>
        <v>NÃO</v>
      </c>
      <c r="AF342" s="60" t="n">
        <v>2</v>
      </c>
      <c r="AG342" s="60" t="n">
        <v>5</v>
      </c>
      <c r="AH342" s="60" t="s">
        <v>382</v>
      </c>
      <c r="AI342" s="61" t="n">
        <f aca="false">(T342*(1-Painel!$C$40)+U342+V342+Painel!$C$41+Painel!$C$42*CEILING(G342/100,1)+Painel!$C$43*CEILING(G342,1)+Z342)/(1-Resumo!$B$5)</f>
        <v>117.271045454545</v>
      </c>
      <c r="AJ342" s="60" t="str">
        <f aca="false">IF(AI342&lt;S342,"SIM","NÃO")</f>
        <v>SIM</v>
      </c>
    </row>
    <row r="343" customFormat="false" ht="15" hidden="false" customHeight="false" outlineLevel="0" collapsed="false">
      <c r="A343" s="59" t="n">
        <v>46230.3112384259</v>
      </c>
      <c r="B343" s="60" t="s">
        <v>714</v>
      </c>
      <c r="C343" s="60" t="n">
        <v>24050330</v>
      </c>
      <c r="D343" s="60" t="s">
        <v>50</v>
      </c>
      <c r="E343" s="60" t="s">
        <v>23</v>
      </c>
      <c r="F343" s="60" t="s">
        <v>235</v>
      </c>
      <c r="G343" s="60" t="n">
        <v>48.53</v>
      </c>
      <c r="H343" s="61" t="n">
        <v>449.85</v>
      </c>
      <c r="I343" s="61" t="n">
        <v>65.36</v>
      </c>
      <c r="J343" s="61" t="n">
        <f aca="false">H343*Resumo!$C$6</f>
        <v>0</v>
      </c>
      <c r="K343" s="61" t="n">
        <f aca="false">H343*Resumo!$C$7</f>
        <v>0.944685</v>
      </c>
      <c r="L343" s="61" t="n">
        <f aca="false">H343*Resumo!$C$8</f>
        <v>0.944685</v>
      </c>
      <c r="M343" s="61" t="n">
        <f aca="false">Resumo!$C$10*CEILING(G343/100,1)</f>
        <v>1.05</v>
      </c>
      <c r="N343" s="61" t="n">
        <f aca="false">Resumo!$C$9</f>
        <v>0</v>
      </c>
      <c r="O343" s="61" t="n">
        <f aca="false">Resumo!$C$13</f>
        <v>13.55</v>
      </c>
      <c r="P343" s="61" t="n">
        <f aca="false">Resumo!$C$14*CEILING(G343,1)</f>
        <v>22.05</v>
      </c>
      <c r="Q343" s="61" t="n">
        <f aca="false">SUM(I343:P343)*Resumo!$C$11</f>
        <v>0</v>
      </c>
      <c r="R343" s="61" t="n">
        <f aca="false">SUM(I343:Q343)</f>
        <v>103.89937</v>
      </c>
      <c r="S343" s="61" t="n">
        <f aca="false">R343/(1-Resumo!$C$5)</f>
        <v>118.067465909091</v>
      </c>
      <c r="T343" s="61" t="n">
        <v>114.95</v>
      </c>
      <c r="U343" s="61" t="n">
        <f aca="false">H343*Resumo!$B$6</f>
        <v>0.44985</v>
      </c>
      <c r="V343" s="61" t="n">
        <f aca="false">H343*Resumo!$B$7</f>
        <v>0.8997</v>
      </c>
      <c r="W343" s="61" t="n">
        <f aca="false">Resumo!$B$9</f>
        <v>1</v>
      </c>
      <c r="X343" s="61" t="n">
        <f aca="false">Resumo!$B$10*CEILING(G343/100,1)</f>
        <v>4.5</v>
      </c>
      <c r="Y343" s="61" t="n">
        <f aca="false">Resumo!$B$12*CEILING(G343,1)</f>
        <v>2.94</v>
      </c>
      <c r="Z343" s="61" t="n">
        <f aca="false">Resumo!$B$14*CEILING(G343,1)</f>
        <v>22.05</v>
      </c>
      <c r="AA343" s="61" t="n">
        <f aca="false">SUM(T343:Z343)</f>
        <v>146.78955</v>
      </c>
      <c r="AB343" s="61" t="n">
        <f aca="false">AA343/(1-Resumo!$B$5)</f>
        <v>166.806306818182</v>
      </c>
      <c r="AC343" s="61" t="n">
        <f aca="false">AB343-S343</f>
        <v>48.7388409090909</v>
      </c>
      <c r="AD343" s="62" t="n">
        <f aca="false">AB343/S343-1</f>
        <v>0.412805005458647</v>
      </c>
      <c r="AE343" s="60" t="str">
        <f aca="false">IF(AB343&lt;S343,"SIM","NÃO")</f>
        <v>NÃO</v>
      </c>
      <c r="AF343" s="60" t="n">
        <v>2</v>
      </c>
      <c r="AG343" s="60" t="n">
        <v>7</v>
      </c>
      <c r="AH343" s="60" t="s">
        <v>382</v>
      </c>
      <c r="AI343" s="61" t="n">
        <f aca="false">(T343*(1-Painel!$C$40)+U343+V343+Painel!$C$41+Painel!$C$42*CEILING(G343/100,1)+Painel!$C$43*CEILING(G343,1)+Z343)/(1-Resumo!$B$5)</f>
        <v>116.438693181818</v>
      </c>
      <c r="AJ343" s="60" t="str">
        <f aca="false">IF(AI343&lt;S343,"SIM","NÃO")</f>
        <v>SIM</v>
      </c>
    </row>
    <row r="344" customFormat="false" ht="15" hidden="false" customHeight="false" outlineLevel="0" collapsed="false">
      <c r="A344" s="59" t="n">
        <v>46230.3605092593</v>
      </c>
      <c r="B344" s="60" t="s">
        <v>715</v>
      </c>
      <c r="C344" s="60" t="n">
        <v>23525002</v>
      </c>
      <c r="D344" s="60" t="s">
        <v>46</v>
      </c>
      <c r="E344" s="60" t="s">
        <v>22</v>
      </c>
      <c r="F344" s="60" t="s">
        <v>241</v>
      </c>
      <c r="G344" s="60" t="n">
        <v>124.2</v>
      </c>
      <c r="H344" s="61" t="n">
        <v>1589.99</v>
      </c>
      <c r="I344" s="61" t="n">
        <v>120.59</v>
      </c>
      <c r="J344" s="61" t="n">
        <f aca="false">H344*Resumo!$C$6</f>
        <v>0</v>
      </c>
      <c r="K344" s="61" t="n">
        <f aca="false">H344*Resumo!$C$7</f>
        <v>3.338979</v>
      </c>
      <c r="L344" s="61" t="n">
        <f aca="false">H344*Resumo!$C$8</f>
        <v>3.338979</v>
      </c>
      <c r="M344" s="61" t="n">
        <f aca="false">Resumo!$C$10*CEILING(G344/100,1)</f>
        <v>2.1</v>
      </c>
      <c r="N344" s="61" t="n">
        <f aca="false">Resumo!$C$9</f>
        <v>0</v>
      </c>
      <c r="O344" s="61" t="n">
        <f aca="false">Resumo!$C$13</f>
        <v>13.55</v>
      </c>
      <c r="P344" s="61" t="n">
        <f aca="false">Resumo!$C$14*CEILING(G344,1)</f>
        <v>56.25</v>
      </c>
      <c r="Q344" s="61" t="n">
        <f aca="false">SUM(I344:P344)*Resumo!$C$11</f>
        <v>0</v>
      </c>
      <c r="R344" s="61" t="n">
        <f aca="false">SUM(I344:Q344)</f>
        <v>199.167958</v>
      </c>
      <c r="S344" s="61" t="n">
        <f aca="false">R344/(1-Resumo!$C$5)</f>
        <v>226.327225</v>
      </c>
      <c r="T344" s="61" t="n">
        <v>239.25</v>
      </c>
      <c r="U344" s="61" t="n">
        <f aca="false">H344*Resumo!$B$6</f>
        <v>1.58999</v>
      </c>
      <c r="V344" s="61" t="n">
        <f aca="false">H344*Resumo!$B$7</f>
        <v>3.17998</v>
      </c>
      <c r="W344" s="61" t="n">
        <f aca="false">Resumo!$B$9</f>
        <v>1</v>
      </c>
      <c r="X344" s="61" t="n">
        <f aca="false">Resumo!$B$10*CEILING(G344/100,1)</f>
        <v>9</v>
      </c>
      <c r="Y344" s="61" t="n">
        <f aca="false">Resumo!$B$12*CEILING(G344,1)</f>
        <v>7.5</v>
      </c>
      <c r="Z344" s="61" t="n">
        <f aca="false">Resumo!$B$14*CEILING(G344,1)</f>
        <v>56.25</v>
      </c>
      <c r="AA344" s="61" t="n">
        <f aca="false">SUM(T344:Z344)</f>
        <v>317.76997</v>
      </c>
      <c r="AB344" s="61" t="n">
        <f aca="false">AA344/(1-Resumo!$B$5)</f>
        <v>361.102238636364</v>
      </c>
      <c r="AC344" s="61" t="n">
        <f aca="false">AB344-S344</f>
        <v>134.775013636364</v>
      </c>
      <c r="AD344" s="62" t="n">
        <f aca="false">AB344/S344-1</f>
        <v>0.595487412689143</v>
      </c>
      <c r="AE344" s="60" t="str">
        <f aca="false">IF(AB344&lt;S344,"SIM","NÃO")</f>
        <v>NÃO</v>
      </c>
      <c r="AF344" s="60" t="n">
        <v>2</v>
      </c>
      <c r="AG344" s="60" t="n">
        <v>5</v>
      </c>
      <c r="AH344" s="60" t="s">
        <v>382</v>
      </c>
      <c r="AI344" s="61" t="n">
        <f aca="false">(T344*(1-Painel!$C$40)+U344+V344+Painel!$C$41+Painel!$C$42*CEILING(G344/100,1)+Painel!$C$43*CEILING(G344,1)+Z344)/(1-Resumo!$B$5)</f>
        <v>255.019852272727</v>
      </c>
      <c r="AJ344" s="60" t="str">
        <f aca="false">IF(AI344&lt;S344,"SIM","NÃO")</f>
        <v>NÃO</v>
      </c>
    </row>
    <row r="345" customFormat="false" ht="15" hidden="false" customHeight="false" outlineLevel="0" collapsed="false">
      <c r="A345" s="59" t="n">
        <v>46230.4009606482</v>
      </c>
      <c r="B345" s="60" t="s">
        <v>716</v>
      </c>
      <c r="C345" s="60" t="n">
        <v>20931060</v>
      </c>
      <c r="D345" s="60" t="s">
        <v>46</v>
      </c>
      <c r="E345" s="60" t="s">
        <v>22</v>
      </c>
      <c r="F345" s="60" t="s">
        <v>236</v>
      </c>
      <c r="G345" s="60" t="n">
        <v>52.3</v>
      </c>
      <c r="H345" s="61" t="n">
        <v>552.65</v>
      </c>
      <c r="I345" s="61" t="n">
        <v>58.6</v>
      </c>
      <c r="J345" s="61" t="n">
        <f aca="false">H345*Resumo!$C$6</f>
        <v>0</v>
      </c>
      <c r="K345" s="61" t="n">
        <f aca="false">H345*Resumo!$C$7</f>
        <v>1.160565</v>
      </c>
      <c r="L345" s="61" t="n">
        <f aca="false">H345*Resumo!$C$8</f>
        <v>1.160565</v>
      </c>
      <c r="M345" s="61" t="n">
        <f aca="false">Resumo!$C$10*CEILING(G345/100,1)</f>
        <v>1.05</v>
      </c>
      <c r="N345" s="61" t="n">
        <f aca="false">Resumo!$C$9</f>
        <v>0</v>
      </c>
      <c r="O345" s="61" t="n">
        <f aca="false">Resumo!$C$13</f>
        <v>13.55</v>
      </c>
      <c r="P345" s="61" t="n">
        <f aca="false">Resumo!$C$14*CEILING(G345,1)</f>
        <v>23.85</v>
      </c>
      <c r="Q345" s="61" t="n">
        <f aca="false">SUM(I345:P345)*Resumo!$C$11</f>
        <v>0</v>
      </c>
      <c r="R345" s="61" t="n">
        <f aca="false">SUM(I345:Q345)</f>
        <v>99.37113</v>
      </c>
      <c r="S345" s="61" t="n">
        <f aca="false">R345/(1-Resumo!$C$5)</f>
        <v>112.921738636364</v>
      </c>
      <c r="T345" s="61" t="n">
        <v>112.3</v>
      </c>
      <c r="U345" s="61" t="n">
        <f aca="false">H345*Resumo!$B$6</f>
        <v>0.55265</v>
      </c>
      <c r="V345" s="61" t="n">
        <f aca="false">H345*Resumo!$B$7</f>
        <v>1.1053</v>
      </c>
      <c r="W345" s="61" t="n">
        <f aca="false">Resumo!$B$9</f>
        <v>1</v>
      </c>
      <c r="X345" s="61" t="n">
        <f aca="false">Resumo!$B$10*CEILING(G345/100,1)</f>
        <v>4.5</v>
      </c>
      <c r="Y345" s="61" t="n">
        <f aca="false">Resumo!$B$12*CEILING(G345,1)</f>
        <v>3.18</v>
      </c>
      <c r="Z345" s="61" t="n">
        <f aca="false">Resumo!$B$14*CEILING(G345,1)</f>
        <v>23.85</v>
      </c>
      <c r="AA345" s="61" t="n">
        <f aca="false">SUM(T345:Z345)</f>
        <v>146.48795</v>
      </c>
      <c r="AB345" s="61" t="n">
        <f aca="false">AA345/(1-Resumo!$B$5)</f>
        <v>166.463579545455</v>
      </c>
      <c r="AC345" s="61" t="n">
        <f aca="false">AB345-S345</f>
        <v>53.5418409090909</v>
      </c>
      <c r="AD345" s="62" t="n">
        <f aca="false">AB345/S345-1</f>
        <v>0.474149987023394</v>
      </c>
      <c r="AE345" s="60" t="str">
        <f aca="false">IF(AB345&lt;S345,"SIM","NÃO")</f>
        <v>NÃO</v>
      </c>
      <c r="AF345" s="60" t="n">
        <v>2</v>
      </c>
      <c r="AG345" s="60" t="n">
        <v>5</v>
      </c>
      <c r="AH345" s="60" t="s">
        <v>382</v>
      </c>
      <c r="AI345" s="61" t="n">
        <f aca="false">(T345*(1-Painel!$C$40)+U345+V345+Painel!$C$41+Painel!$C$42*CEILING(G345/100,1)+Painel!$C$43*CEILING(G345,1)+Z345)/(1-Resumo!$B$5)</f>
        <v>116.816988636364</v>
      </c>
      <c r="AJ345" s="60" t="str">
        <f aca="false">IF(AI345&lt;S345,"SIM","NÃO")</f>
        <v>NÃO</v>
      </c>
    </row>
    <row r="346" customFormat="false" ht="15" hidden="false" customHeight="false" outlineLevel="0" collapsed="false">
      <c r="A346" s="59" t="n">
        <v>46230.4808101852</v>
      </c>
      <c r="B346" s="60" t="s">
        <v>717</v>
      </c>
      <c r="C346" s="60" t="n">
        <v>20756070</v>
      </c>
      <c r="D346" s="60" t="s">
        <v>46</v>
      </c>
      <c r="E346" s="60" t="s">
        <v>22</v>
      </c>
      <c r="F346" s="60" t="s">
        <v>236</v>
      </c>
      <c r="G346" s="60" t="n">
        <v>52.3</v>
      </c>
      <c r="H346" s="61" t="n">
        <v>699.99</v>
      </c>
      <c r="I346" s="61" t="n">
        <v>58.6</v>
      </c>
      <c r="J346" s="61" t="n">
        <f aca="false">H346*Resumo!$C$6</f>
        <v>0</v>
      </c>
      <c r="K346" s="61" t="n">
        <f aca="false">H346*Resumo!$C$7</f>
        <v>1.469979</v>
      </c>
      <c r="L346" s="61" t="n">
        <f aca="false">H346*Resumo!$C$8</f>
        <v>1.469979</v>
      </c>
      <c r="M346" s="61" t="n">
        <f aca="false">Resumo!$C$10*CEILING(G346/100,1)</f>
        <v>1.05</v>
      </c>
      <c r="N346" s="61" t="n">
        <f aca="false">Resumo!$C$9</f>
        <v>0</v>
      </c>
      <c r="O346" s="61" t="n">
        <f aca="false">Resumo!$C$13</f>
        <v>13.55</v>
      </c>
      <c r="P346" s="61" t="n">
        <f aca="false">Resumo!$C$14*CEILING(G346,1)</f>
        <v>23.85</v>
      </c>
      <c r="Q346" s="61" t="n">
        <f aca="false">SUM(I346:P346)*Resumo!$C$11</f>
        <v>0</v>
      </c>
      <c r="R346" s="61" t="n">
        <f aca="false">SUM(I346:Q346)</f>
        <v>99.989958</v>
      </c>
      <c r="S346" s="61" t="n">
        <f aca="false">R346/(1-Resumo!$C$5)</f>
        <v>113.624952272727</v>
      </c>
      <c r="T346" s="61" t="n">
        <v>112.3</v>
      </c>
      <c r="U346" s="61" t="n">
        <f aca="false">H346*Resumo!$B$6</f>
        <v>0.69999</v>
      </c>
      <c r="V346" s="61" t="n">
        <f aca="false">H346*Resumo!$B$7</f>
        <v>1.39998</v>
      </c>
      <c r="W346" s="61" t="n">
        <f aca="false">Resumo!$B$9</f>
        <v>1</v>
      </c>
      <c r="X346" s="61" t="n">
        <f aca="false">Resumo!$B$10*CEILING(G346/100,1)</f>
        <v>4.5</v>
      </c>
      <c r="Y346" s="61" t="n">
        <f aca="false">Resumo!$B$12*CEILING(G346,1)</f>
        <v>3.18</v>
      </c>
      <c r="Z346" s="61" t="n">
        <f aca="false">Resumo!$B$14*CEILING(G346,1)</f>
        <v>23.85</v>
      </c>
      <c r="AA346" s="61" t="n">
        <f aca="false">SUM(T346:Z346)</f>
        <v>146.92997</v>
      </c>
      <c r="AB346" s="61" t="n">
        <f aca="false">AA346/(1-Resumo!$B$5)</f>
        <v>166.965875</v>
      </c>
      <c r="AC346" s="61" t="n">
        <f aca="false">AB346-S346</f>
        <v>53.3409227272727</v>
      </c>
      <c r="AD346" s="62" t="n">
        <f aca="false">AB346/S346-1</f>
        <v>0.469447261894039</v>
      </c>
      <c r="AE346" s="60" t="str">
        <f aca="false">IF(AB346&lt;S346,"SIM","NÃO")</f>
        <v>NÃO</v>
      </c>
      <c r="AF346" s="60" t="n">
        <v>2</v>
      </c>
      <c r="AG346" s="60" t="n">
        <v>5</v>
      </c>
      <c r="AH346" s="60" t="s">
        <v>382</v>
      </c>
      <c r="AI346" s="61" t="n">
        <f aca="false">(T346*(1-Painel!$C$40)+U346+V346+Painel!$C$41+Painel!$C$42*CEILING(G346/100,1)+Painel!$C$43*CEILING(G346,1)+Z346)/(1-Resumo!$B$5)</f>
        <v>117.319284090909</v>
      </c>
      <c r="AJ346" s="60" t="str">
        <f aca="false">IF(AI346&lt;S346,"SIM","NÃO")</f>
        <v>NÃO</v>
      </c>
    </row>
    <row r="347" customFormat="false" ht="15" hidden="false" customHeight="false" outlineLevel="0" collapsed="false">
      <c r="A347" s="59" t="n">
        <v>46230.4809143519</v>
      </c>
      <c r="B347" s="60" t="s">
        <v>718</v>
      </c>
      <c r="C347" s="60" t="n">
        <v>25710193</v>
      </c>
      <c r="D347" s="60" t="s">
        <v>219</v>
      </c>
      <c r="E347" s="60" t="s">
        <v>24</v>
      </c>
      <c r="F347" s="60" t="s">
        <v>236</v>
      </c>
      <c r="G347" s="60" t="n">
        <v>60</v>
      </c>
      <c r="H347" s="61" t="n">
        <v>862</v>
      </c>
      <c r="I347" s="61" t="n">
        <v>83.58</v>
      </c>
      <c r="J347" s="61" t="n">
        <f aca="false">H347*Resumo!$C$6</f>
        <v>0</v>
      </c>
      <c r="K347" s="61" t="n">
        <f aca="false">H347*Resumo!$C$7</f>
        <v>1.8102</v>
      </c>
      <c r="L347" s="61" t="n">
        <f aca="false">H347*Resumo!$C$8</f>
        <v>1.8102</v>
      </c>
      <c r="M347" s="61" t="n">
        <f aca="false">Resumo!$C$10*CEILING(G347/100,1)</f>
        <v>1.05</v>
      </c>
      <c r="N347" s="61" t="n">
        <f aca="false">Resumo!$C$9</f>
        <v>0</v>
      </c>
      <c r="O347" s="61" t="n">
        <f aca="false">Resumo!$C$13</f>
        <v>13.55</v>
      </c>
      <c r="P347" s="61" t="n">
        <f aca="false">Resumo!$C$14*CEILING(G347,1)</f>
        <v>27</v>
      </c>
      <c r="Q347" s="61" t="n">
        <f aca="false">SUM(I347:P347)*Resumo!$C$11</f>
        <v>0</v>
      </c>
      <c r="R347" s="61" t="n">
        <f aca="false">SUM(I347:Q347)</f>
        <v>128.8004</v>
      </c>
      <c r="S347" s="61" t="n">
        <f aca="false">R347/(1-Resumo!$C$5)</f>
        <v>146.364090909091</v>
      </c>
      <c r="T347" s="61" t="n">
        <v>142.32</v>
      </c>
      <c r="U347" s="61" t="n">
        <f aca="false">H347*Resumo!$B$6</f>
        <v>0.862</v>
      </c>
      <c r="V347" s="61" t="n">
        <f aca="false">H347*Resumo!$B$7</f>
        <v>1.724</v>
      </c>
      <c r="W347" s="61" t="n">
        <f aca="false">Resumo!$B$9</f>
        <v>1</v>
      </c>
      <c r="X347" s="61" t="n">
        <f aca="false">Resumo!$B$10*CEILING(G347/100,1)</f>
        <v>4.5</v>
      </c>
      <c r="Y347" s="61" t="n">
        <f aca="false">Resumo!$B$12*CEILING(G347,1)</f>
        <v>3.6</v>
      </c>
      <c r="Z347" s="61" t="n">
        <f aca="false">Resumo!$B$14*CEILING(G347,1)</f>
        <v>27</v>
      </c>
      <c r="AA347" s="61" t="n">
        <f aca="false">SUM(T347:Z347)</f>
        <v>181.006</v>
      </c>
      <c r="AB347" s="61" t="n">
        <f aca="false">AA347/(1-Resumo!$B$5)</f>
        <v>205.688636363636</v>
      </c>
      <c r="AC347" s="61" t="n">
        <f aca="false">AB347-S347</f>
        <v>59.3245454545455</v>
      </c>
      <c r="AD347" s="62" t="n">
        <f aca="false">AB347/S347-1</f>
        <v>0.405321722603346</v>
      </c>
      <c r="AE347" s="60" t="str">
        <f aca="false">IF(AB347&lt;S347,"SIM","NÃO")</f>
        <v>NÃO</v>
      </c>
      <c r="AF347" s="60" t="n">
        <v>13</v>
      </c>
      <c r="AG347" s="60" t="n">
        <v>8</v>
      </c>
      <c r="AH347" s="60" t="s">
        <v>382</v>
      </c>
      <c r="AI347" s="61" t="n">
        <f aca="false">(T347*(1-Painel!$C$40)+U347+V347+Painel!$C$41+Painel!$C$42*CEILING(G347/100,1)+Painel!$C$43*CEILING(G347,1)+Z347)/(1-Resumo!$B$5)</f>
        <v>144.307272727273</v>
      </c>
      <c r="AJ347" s="60" t="str">
        <f aca="false">IF(AI347&lt;S347,"SIM","NÃO")</f>
        <v>SIM</v>
      </c>
    </row>
    <row r="348" customFormat="false" ht="15" hidden="false" customHeight="false" outlineLevel="0" collapsed="false">
      <c r="A348" s="59" t="n">
        <v>46230.5450115741</v>
      </c>
      <c r="B348" s="60" t="s">
        <v>719</v>
      </c>
      <c r="C348" s="60" t="n">
        <v>23812720</v>
      </c>
      <c r="D348" s="60" t="s">
        <v>263</v>
      </c>
      <c r="E348" s="60" t="s">
        <v>24</v>
      </c>
      <c r="F348" s="60" t="s">
        <v>240</v>
      </c>
      <c r="G348" s="60" t="n">
        <v>117.5</v>
      </c>
      <c r="H348" s="61" t="n">
        <v>1349.99</v>
      </c>
      <c r="I348" s="61" t="n">
        <v>119.5</v>
      </c>
      <c r="J348" s="61" t="n">
        <f aca="false">H348*Resumo!$C$6</f>
        <v>0</v>
      </c>
      <c r="K348" s="61" t="n">
        <f aca="false">H348*Resumo!$C$7</f>
        <v>2.834979</v>
      </c>
      <c r="L348" s="61" t="n">
        <f aca="false">H348*Resumo!$C$8</f>
        <v>2.834979</v>
      </c>
      <c r="M348" s="61" t="n">
        <f aca="false">Resumo!$C$10*CEILING(G348/100,1)</f>
        <v>2.1</v>
      </c>
      <c r="N348" s="61" t="n">
        <f aca="false">Resumo!$C$9</f>
        <v>0</v>
      </c>
      <c r="O348" s="61" t="n">
        <f aca="false">Resumo!$C$13</f>
        <v>13.55</v>
      </c>
      <c r="P348" s="61" t="n">
        <f aca="false">Resumo!$C$14*CEILING(G348,1)</f>
        <v>53.1</v>
      </c>
      <c r="Q348" s="61" t="n">
        <f aca="false">SUM(I348:P348)*Resumo!$C$11</f>
        <v>0</v>
      </c>
      <c r="R348" s="61" t="n">
        <f aca="false">SUM(I348:Q348)</f>
        <v>193.919958</v>
      </c>
      <c r="S348" s="61" t="n">
        <f aca="false">R348/(1-Resumo!$C$5)</f>
        <v>220.363588636364</v>
      </c>
      <c r="T348" s="61" t="n">
        <v>211.59</v>
      </c>
      <c r="U348" s="61" t="n">
        <f aca="false">H348*Resumo!$B$6</f>
        <v>1.34999</v>
      </c>
      <c r="V348" s="61" t="n">
        <f aca="false">H348*Resumo!$B$7</f>
        <v>2.69998</v>
      </c>
      <c r="W348" s="61" t="n">
        <f aca="false">Resumo!$B$9</f>
        <v>1</v>
      </c>
      <c r="X348" s="61" t="n">
        <f aca="false">Resumo!$B$10*CEILING(G348/100,1)</f>
        <v>9</v>
      </c>
      <c r="Y348" s="61" t="n">
        <f aca="false">Resumo!$B$12*CEILING(G348,1)</f>
        <v>7.08</v>
      </c>
      <c r="Z348" s="61" t="n">
        <f aca="false">Resumo!$B$14*CEILING(G348,1)</f>
        <v>53.1</v>
      </c>
      <c r="AA348" s="61" t="n">
        <f aca="false">SUM(T348:Z348)</f>
        <v>285.81997</v>
      </c>
      <c r="AB348" s="61" t="n">
        <f aca="false">AA348/(1-Resumo!$B$5)</f>
        <v>324.795420454546</v>
      </c>
      <c r="AC348" s="61" t="n">
        <f aca="false">AB348-S348</f>
        <v>104.431831818182</v>
      </c>
      <c r="AD348" s="62" t="n">
        <f aca="false">AB348/S348-1</f>
        <v>0.473906930198489</v>
      </c>
      <c r="AE348" s="60" t="str">
        <f aca="false">IF(AB348&lt;S348,"SIM","NÃO")</f>
        <v>NÃO</v>
      </c>
      <c r="AF348" s="60" t="n">
        <v>13</v>
      </c>
      <c r="AG348" s="60" t="n">
        <v>5</v>
      </c>
      <c r="AH348" s="60" t="s">
        <v>385</v>
      </c>
      <c r="AI348" s="61" t="n">
        <f aca="false">(T348*(1-Painel!$C$40)+U348+V348+Painel!$C$41+Painel!$C$42*CEILING(G348/100,1)+Painel!$C$43*CEILING(G348,1)+Z348)/(1-Resumo!$B$5)</f>
        <v>229.562806818182</v>
      </c>
      <c r="AJ348" s="60" t="str">
        <f aca="false">IF(AI348&lt;S348,"SIM","NÃO")</f>
        <v>NÃO</v>
      </c>
    </row>
    <row r="349" customFormat="false" ht="15" hidden="false" customHeight="false" outlineLevel="0" collapsed="false">
      <c r="A349" s="59" t="n">
        <v>46230.5929050926</v>
      </c>
      <c r="B349" s="60" t="s">
        <v>720</v>
      </c>
      <c r="C349" s="60" t="n">
        <v>26084185</v>
      </c>
      <c r="D349" s="60" t="s">
        <v>49</v>
      </c>
      <c r="E349" s="60" t="s">
        <v>23</v>
      </c>
      <c r="F349" s="60" t="s">
        <v>236</v>
      </c>
      <c r="G349" s="60" t="n">
        <v>52.3</v>
      </c>
      <c r="H349" s="61" t="n">
        <v>642.07</v>
      </c>
      <c r="I349" s="61" t="n">
        <v>70.98</v>
      </c>
      <c r="J349" s="61" t="n">
        <f aca="false">H349*Resumo!$C$6</f>
        <v>0</v>
      </c>
      <c r="K349" s="61" t="n">
        <f aca="false">H349*Resumo!$C$7</f>
        <v>1.348347</v>
      </c>
      <c r="L349" s="61" t="n">
        <f aca="false">H349*Resumo!$C$8</f>
        <v>1.348347</v>
      </c>
      <c r="M349" s="61" t="n">
        <f aca="false">Resumo!$C$10*CEILING(G349/100,1)</f>
        <v>1.05</v>
      </c>
      <c r="N349" s="61" t="n">
        <f aca="false">Resumo!$C$9</f>
        <v>0</v>
      </c>
      <c r="O349" s="61" t="n">
        <f aca="false">Resumo!$C$13</f>
        <v>13.55</v>
      </c>
      <c r="P349" s="61" t="n">
        <f aca="false">Resumo!$C$14*CEILING(G349,1)</f>
        <v>23.85</v>
      </c>
      <c r="Q349" s="61" t="n">
        <f aca="false">SUM(I349:P349)*Resumo!$C$11</f>
        <v>0</v>
      </c>
      <c r="R349" s="61" t="n">
        <f aca="false">SUM(I349:Q349)</f>
        <v>112.126694</v>
      </c>
      <c r="S349" s="61" t="n">
        <f aca="false">R349/(1-Resumo!$C$5)</f>
        <v>127.416697727273</v>
      </c>
      <c r="T349" s="61" t="n">
        <v>112.3</v>
      </c>
      <c r="U349" s="61" t="n">
        <f aca="false">H349*Resumo!$B$6</f>
        <v>0.64207</v>
      </c>
      <c r="V349" s="61" t="n">
        <f aca="false">H349*Resumo!$B$7</f>
        <v>1.28414</v>
      </c>
      <c r="W349" s="61" t="n">
        <f aca="false">Resumo!$B$9</f>
        <v>1</v>
      </c>
      <c r="X349" s="61" t="n">
        <f aca="false">Resumo!$B$10*CEILING(G349/100,1)</f>
        <v>4.5</v>
      </c>
      <c r="Y349" s="61" t="n">
        <f aca="false">Resumo!$B$12*CEILING(G349,1)</f>
        <v>3.18</v>
      </c>
      <c r="Z349" s="61" t="n">
        <f aca="false">Resumo!$B$14*CEILING(G349,1)</f>
        <v>23.85</v>
      </c>
      <c r="AA349" s="61" t="n">
        <f aca="false">SUM(T349:Z349)</f>
        <v>146.75621</v>
      </c>
      <c r="AB349" s="61" t="n">
        <f aca="false">AA349/(1-Resumo!$B$5)</f>
        <v>166.768420454545</v>
      </c>
      <c r="AC349" s="61" t="n">
        <f aca="false">AB349-S349</f>
        <v>39.3517227272727</v>
      </c>
      <c r="AD349" s="62" t="n">
        <f aca="false">AB349/S349-1</f>
        <v>0.308842745332347</v>
      </c>
      <c r="AE349" s="60" t="str">
        <f aca="false">IF(AB349&lt;S349,"SIM","NÃO")</f>
        <v>NÃO</v>
      </c>
      <c r="AF349" s="60" t="n">
        <v>2</v>
      </c>
      <c r="AG349" s="60" t="n">
        <v>5</v>
      </c>
      <c r="AH349" s="60" t="s">
        <v>382</v>
      </c>
      <c r="AI349" s="61" t="n">
        <f aca="false">(T349*(1-Painel!$C$40)+U349+V349+Painel!$C$41+Painel!$C$42*CEILING(G349/100,1)+Painel!$C$43*CEILING(G349,1)+Z349)/(1-Resumo!$B$5)</f>
        <v>117.121829545455</v>
      </c>
      <c r="AJ349" s="60" t="str">
        <f aca="false">IF(AI349&lt;S349,"SIM","NÃO")</f>
        <v>SIM</v>
      </c>
    </row>
    <row r="350" customFormat="false" ht="15" hidden="false" customHeight="false" outlineLevel="0" collapsed="false">
      <c r="A350" s="59" t="n">
        <v>46230.6031712963</v>
      </c>
      <c r="B350" s="60" t="s">
        <v>721</v>
      </c>
      <c r="C350" s="60" t="n">
        <v>25056360</v>
      </c>
      <c r="D350" s="60" t="s">
        <v>48</v>
      </c>
      <c r="E350" s="60" t="s">
        <v>23</v>
      </c>
      <c r="F350" s="60" t="s">
        <v>236</v>
      </c>
      <c r="G350" s="60" t="n">
        <v>52.3</v>
      </c>
      <c r="H350" s="61" t="n">
        <v>637.57</v>
      </c>
      <c r="I350" s="61" t="n">
        <v>70.98</v>
      </c>
      <c r="J350" s="61" t="n">
        <f aca="false">H350*Resumo!$C$6</f>
        <v>0</v>
      </c>
      <c r="K350" s="61" t="n">
        <f aca="false">H350*Resumo!$C$7</f>
        <v>1.338897</v>
      </c>
      <c r="L350" s="61" t="n">
        <f aca="false">H350*Resumo!$C$8</f>
        <v>1.338897</v>
      </c>
      <c r="M350" s="61" t="n">
        <f aca="false">Resumo!$C$10*CEILING(G350/100,1)</f>
        <v>1.05</v>
      </c>
      <c r="N350" s="61" t="n">
        <f aca="false">Resumo!$C$9</f>
        <v>0</v>
      </c>
      <c r="O350" s="61" t="n">
        <f aca="false">Resumo!$C$13</f>
        <v>13.55</v>
      </c>
      <c r="P350" s="61" t="n">
        <f aca="false">Resumo!$C$14*CEILING(G350,1)</f>
        <v>23.85</v>
      </c>
      <c r="Q350" s="61" t="n">
        <f aca="false">SUM(I350:P350)*Resumo!$C$11</f>
        <v>0</v>
      </c>
      <c r="R350" s="61" t="n">
        <f aca="false">SUM(I350:Q350)</f>
        <v>112.107794</v>
      </c>
      <c r="S350" s="61" t="n">
        <f aca="false">R350/(1-Resumo!$C$5)</f>
        <v>127.395220454545</v>
      </c>
      <c r="T350" s="61" t="n">
        <v>112.3</v>
      </c>
      <c r="U350" s="61" t="n">
        <f aca="false">H350*Resumo!$B$6</f>
        <v>0.63757</v>
      </c>
      <c r="V350" s="61" t="n">
        <f aca="false">H350*Resumo!$B$7</f>
        <v>1.27514</v>
      </c>
      <c r="W350" s="61" t="n">
        <f aca="false">Resumo!$B$9</f>
        <v>1</v>
      </c>
      <c r="X350" s="61" t="n">
        <f aca="false">Resumo!$B$10*CEILING(G350/100,1)</f>
        <v>4.5</v>
      </c>
      <c r="Y350" s="61" t="n">
        <f aca="false">Resumo!$B$12*CEILING(G350,1)</f>
        <v>3.18</v>
      </c>
      <c r="Z350" s="61" t="n">
        <f aca="false">Resumo!$B$14*CEILING(G350,1)</f>
        <v>23.85</v>
      </c>
      <c r="AA350" s="61" t="n">
        <f aca="false">SUM(T350:Z350)</f>
        <v>146.74271</v>
      </c>
      <c r="AB350" s="61" t="n">
        <f aca="false">AA350/(1-Resumo!$B$5)</f>
        <v>166.753079545455</v>
      </c>
      <c r="AC350" s="61" t="n">
        <f aca="false">AB350-S350</f>
        <v>39.3578590909091</v>
      </c>
      <c r="AD350" s="62" t="n">
        <f aca="false">AB350/S350-1</f>
        <v>0.308942980360491</v>
      </c>
      <c r="AE350" s="60" t="str">
        <f aca="false">IF(AB350&lt;S350,"SIM","NÃO")</f>
        <v>NÃO</v>
      </c>
      <c r="AF350" s="60" t="n">
        <v>2</v>
      </c>
      <c r="AG350" s="60" t="n">
        <v>5</v>
      </c>
      <c r="AH350" s="60" t="s">
        <v>382</v>
      </c>
      <c r="AI350" s="61" t="n">
        <f aca="false">(T350*(1-Painel!$C$40)+U350+V350+Painel!$C$41+Painel!$C$42*CEILING(G350/100,1)+Painel!$C$43*CEILING(G350,1)+Z350)/(1-Resumo!$B$5)</f>
        <v>117.106488636364</v>
      </c>
      <c r="AJ350" s="60" t="str">
        <f aca="false">IF(AI350&lt;S350,"SIM","NÃO")</f>
        <v>SIM</v>
      </c>
    </row>
    <row r="351" customFormat="false" ht="15" hidden="false" customHeight="false" outlineLevel="0" collapsed="false">
      <c r="A351" s="59" t="n">
        <v>46230.6725578704</v>
      </c>
      <c r="B351" s="60" t="s">
        <v>722</v>
      </c>
      <c r="C351" s="60" t="n">
        <v>28400000</v>
      </c>
      <c r="D351" s="60" t="s">
        <v>314</v>
      </c>
      <c r="E351" s="60" t="s">
        <v>24</v>
      </c>
      <c r="F351" s="60" t="s">
        <v>241</v>
      </c>
      <c r="G351" s="60" t="n">
        <v>125.8</v>
      </c>
      <c r="H351" s="61" t="n">
        <v>1999.99</v>
      </c>
      <c r="I351" s="61" t="n">
        <v>144.24</v>
      </c>
      <c r="J351" s="61" t="n">
        <f aca="false">H351*Resumo!$C$6</f>
        <v>0</v>
      </c>
      <c r="K351" s="61" t="n">
        <f aca="false">H351*Resumo!$C$7</f>
        <v>4.199979</v>
      </c>
      <c r="L351" s="61" t="n">
        <f aca="false">H351*Resumo!$C$8</f>
        <v>4.199979</v>
      </c>
      <c r="M351" s="61" t="n">
        <f aca="false">Resumo!$C$10*CEILING(G351/100,1)</f>
        <v>2.1</v>
      </c>
      <c r="N351" s="61" t="n">
        <f aca="false">Resumo!$C$9</f>
        <v>0</v>
      </c>
      <c r="O351" s="61" t="n">
        <f aca="false">Resumo!$C$13</f>
        <v>13.55</v>
      </c>
      <c r="P351" s="61" t="n">
        <f aca="false">Resumo!$C$14*CEILING(G351,1)</f>
        <v>56.7</v>
      </c>
      <c r="Q351" s="61" t="n">
        <f aca="false">SUM(I351:P351)*Resumo!$C$11</f>
        <v>0</v>
      </c>
      <c r="R351" s="61" t="n">
        <f aca="false">SUM(I351:Q351)</f>
        <v>224.989958</v>
      </c>
      <c r="S351" s="61" t="n">
        <f aca="false">R351/(1-Resumo!$C$5)</f>
        <v>255.670406818182</v>
      </c>
      <c r="T351" s="61" t="n">
        <v>264.84</v>
      </c>
      <c r="U351" s="61" t="n">
        <f aca="false">H351*Resumo!$B$6</f>
        <v>1.99999</v>
      </c>
      <c r="V351" s="61" t="n">
        <f aca="false">H351*Resumo!$B$7</f>
        <v>3.99998</v>
      </c>
      <c r="W351" s="61" t="n">
        <f aca="false">Resumo!$B$9</f>
        <v>1</v>
      </c>
      <c r="X351" s="61" t="n">
        <f aca="false">Resumo!$B$10*CEILING(G351/100,1)</f>
        <v>9</v>
      </c>
      <c r="Y351" s="61" t="n">
        <f aca="false">Resumo!$B$12*CEILING(G351,1)</f>
        <v>7.56</v>
      </c>
      <c r="Z351" s="61" t="n">
        <f aca="false">Resumo!$B$14*CEILING(G351,1)</f>
        <v>56.7</v>
      </c>
      <c r="AA351" s="61" t="n">
        <f aca="false">SUM(T351:Z351)</f>
        <v>345.09997</v>
      </c>
      <c r="AB351" s="61" t="n">
        <f aca="false">AA351/(1-Resumo!$B$5)</f>
        <v>392.159056818182</v>
      </c>
      <c r="AC351" s="61" t="n">
        <f aca="false">AB351-S351</f>
        <v>136.48865</v>
      </c>
      <c r="AD351" s="62" t="n">
        <f aca="false">AB351/S351-1</f>
        <v>0.533846101700237</v>
      </c>
      <c r="AE351" s="60" t="str">
        <f aca="false">IF(AB351&lt;S351,"SIM","NÃO")</f>
        <v>NÃO</v>
      </c>
      <c r="AF351" s="60" t="n">
        <v>13</v>
      </c>
      <c r="AG351" s="60" t="n">
        <v>11</v>
      </c>
      <c r="AH351" s="60" t="s">
        <v>385</v>
      </c>
      <c r="AI351" s="61" t="n">
        <f aca="false">(T351*(1-Painel!$C$40)+U351+V351+Painel!$C$41+Painel!$C$42*CEILING(G351/100,1)+Painel!$C$43*CEILING(G351,1)+Z351)/(1-Resumo!$B$5)</f>
        <v>276.412238636364</v>
      </c>
      <c r="AJ351" s="60" t="str">
        <f aca="false">IF(AI351&lt;S351,"SIM","NÃO")</f>
        <v>NÃO</v>
      </c>
    </row>
    <row r="352" customFormat="false" ht="15" hidden="false" customHeight="false" outlineLevel="0" collapsed="false">
      <c r="A352" s="59" t="n">
        <v>46230.7930092593</v>
      </c>
      <c r="B352" s="60" t="s">
        <v>723</v>
      </c>
      <c r="C352" s="60" t="n">
        <v>20911250</v>
      </c>
      <c r="D352" s="60" t="s">
        <v>46</v>
      </c>
      <c r="E352" s="60" t="s">
        <v>22</v>
      </c>
      <c r="F352" s="60" t="s">
        <v>235</v>
      </c>
      <c r="G352" s="60" t="n">
        <v>44.6</v>
      </c>
      <c r="H352" s="61" t="n">
        <v>579.99</v>
      </c>
      <c r="I352" s="61" t="n">
        <v>53.55</v>
      </c>
      <c r="J352" s="61" t="n">
        <f aca="false">H352*Resumo!$C$6</f>
        <v>0</v>
      </c>
      <c r="K352" s="61" t="n">
        <f aca="false">H352*Resumo!$C$7</f>
        <v>1.217979</v>
      </c>
      <c r="L352" s="61" t="n">
        <f aca="false">H352*Resumo!$C$8</f>
        <v>1.217979</v>
      </c>
      <c r="M352" s="61" t="n">
        <f aca="false">Resumo!$C$10*CEILING(G352/100,1)</f>
        <v>1.05</v>
      </c>
      <c r="N352" s="61" t="n">
        <f aca="false">Resumo!$C$9</f>
        <v>0</v>
      </c>
      <c r="O352" s="61" t="n">
        <f aca="false">Resumo!$C$13</f>
        <v>13.55</v>
      </c>
      <c r="P352" s="61" t="n">
        <f aca="false">Resumo!$C$14*CEILING(G352,1)</f>
        <v>20.25</v>
      </c>
      <c r="Q352" s="61" t="n">
        <f aca="false">SUM(I352:P352)*Resumo!$C$11</f>
        <v>0</v>
      </c>
      <c r="R352" s="61" t="n">
        <f aca="false">SUM(I352:Q352)</f>
        <v>90.835958</v>
      </c>
      <c r="S352" s="61" t="n">
        <f aca="false">R352/(1-Resumo!$C$5)</f>
        <v>103.222679545455</v>
      </c>
      <c r="T352" s="61" t="n">
        <v>93.97</v>
      </c>
      <c r="U352" s="61" t="n">
        <f aca="false">H352*Resumo!$B$6</f>
        <v>0.57999</v>
      </c>
      <c r="V352" s="61" t="n">
        <f aca="false">H352*Resumo!$B$7</f>
        <v>1.15998</v>
      </c>
      <c r="W352" s="61" t="n">
        <f aca="false">Resumo!$B$9</f>
        <v>1</v>
      </c>
      <c r="X352" s="61" t="n">
        <f aca="false">Resumo!$B$10*CEILING(G352/100,1)</f>
        <v>4.5</v>
      </c>
      <c r="Y352" s="61" t="n">
        <f aca="false">Resumo!$B$12*CEILING(G352,1)</f>
        <v>2.7</v>
      </c>
      <c r="Z352" s="61" t="n">
        <f aca="false">Resumo!$B$14*CEILING(G352,1)</f>
        <v>20.25</v>
      </c>
      <c r="AA352" s="61" t="n">
        <f aca="false">SUM(T352:Z352)</f>
        <v>124.15997</v>
      </c>
      <c r="AB352" s="61" t="n">
        <f aca="false">AA352/(1-Resumo!$B$5)</f>
        <v>141.090875</v>
      </c>
      <c r="AC352" s="61" t="n">
        <f aca="false">AB352-S352</f>
        <v>37.8681954545455</v>
      </c>
      <c r="AD352" s="62" t="n">
        <f aca="false">AB352/S352-1</f>
        <v>0.366859256331067</v>
      </c>
      <c r="AE352" s="60" t="str">
        <f aca="false">IF(AB352&lt;S352,"SIM","NÃO")</f>
        <v>NÃO</v>
      </c>
      <c r="AF352" s="60" t="n">
        <v>2</v>
      </c>
      <c r="AG352" s="60" t="n">
        <v>5</v>
      </c>
      <c r="AH352" s="60" t="s">
        <v>382</v>
      </c>
      <c r="AI352" s="61" t="n">
        <f aca="false">(T352*(1-Painel!$C$40)+U352+V352+Painel!$C$41+Painel!$C$42*CEILING(G352/100,1)+Painel!$C$43*CEILING(G352,1)+Z352)/(1-Resumo!$B$5)</f>
        <v>98.8634886363636</v>
      </c>
      <c r="AJ352" s="60" t="str">
        <f aca="false">IF(AI352&lt;S352,"SIM","NÃO")</f>
        <v>SIM</v>
      </c>
    </row>
    <row r="353" customFormat="false" ht="15" hidden="false" customHeight="false" outlineLevel="0" collapsed="false">
      <c r="A353" s="59" t="n">
        <v>46230.8002777778</v>
      </c>
      <c r="B353" s="60" t="s">
        <v>724</v>
      </c>
      <c r="C353" s="60" t="n">
        <v>23092080</v>
      </c>
      <c r="D353" s="60" t="s">
        <v>46</v>
      </c>
      <c r="E353" s="60" t="s">
        <v>22</v>
      </c>
      <c r="F353" s="60" t="s">
        <v>232</v>
      </c>
      <c r="G353" s="60" t="n">
        <v>19.5</v>
      </c>
      <c r="H353" s="61" t="n">
        <v>549.99</v>
      </c>
      <c r="I353" s="61" t="n">
        <v>33.42</v>
      </c>
      <c r="J353" s="61" t="n">
        <f aca="false">H353*Resumo!$C$6</f>
        <v>0</v>
      </c>
      <c r="K353" s="61" t="n">
        <f aca="false">H353*Resumo!$C$7</f>
        <v>1.154979</v>
      </c>
      <c r="L353" s="61" t="n">
        <f aca="false">H353*Resumo!$C$8</f>
        <v>1.154979</v>
      </c>
      <c r="M353" s="61" t="n">
        <f aca="false">Resumo!$C$10*CEILING(G353/100,1)</f>
        <v>1.05</v>
      </c>
      <c r="N353" s="61" t="n">
        <f aca="false">Resumo!$C$9</f>
        <v>0</v>
      </c>
      <c r="O353" s="61" t="n">
        <f aca="false">Resumo!$C$13</f>
        <v>13.55</v>
      </c>
      <c r="P353" s="61" t="n">
        <f aca="false">Resumo!$C$14*CEILING(G353,1)</f>
        <v>9</v>
      </c>
      <c r="Q353" s="61" t="n">
        <f aca="false">SUM(I353:P353)*Resumo!$C$11</f>
        <v>0</v>
      </c>
      <c r="R353" s="61" t="n">
        <f aca="false">SUM(I353:Q353)</f>
        <v>59.329958</v>
      </c>
      <c r="S353" s="61" t="n">
        <f aca="false">R353/(1-Resumo!$C$5)</f>
        <v>67.4204068181818</v>
      </c>
      <c r="T353" s="61" t="n">
        <v>46.98</v>
      </c>
      <c r="U353" s="61" t="n">
        <f aca="false">H353*Resumo!$B$6</f>
        <v>0.54999</v>
      </c>
      <c r="V353" s="61" t="n">
        <f aca="false">H353*Resumo!$B$7</f>
        <v>1.09998</v>
      </c>
      <c r="W353" s="61" t="n">
        <f aca="false">Resumo!$B$9</f>
        <v>1</v>
      </c>
      <c r="X353" s="61" t="n">
        <f aca="false">Resumo!$B$10*CEILING(G353/100,1)</f>
        <v>4.5</v>
      </c>
      <c r="Y353" s="61" t="n">
        <f aca="false">Resumo!$B$12*CEILING(G353,1)</f>
        <v>1.2</v>
      </c>
      <c r="Z353" s="61" t="n">
        <f aca="false">Resumo!$B$14*CEILING(G353,1)</f>
        <v>9</v>
      </c>
      <c r="AA353" s="61" t="n">
        <f aca="false">SUM(T353:Z353)</f>
        <v>64.32997</v>
      </c>
      <c r="AB353" s="61" t="n">
        <f aca="false">AA353/(1-Resumo!$B$5)</f>
        <v>73.1022386363636</v>
      </c>
      <c r="AC353" s="61" t="n">
        <f aca="false">AB353-S353</f>
        <v>5.68183181818182</v>
      </c>
      <c r="AD353" s="62" t="n">
        <f aca="false">AB353/S353-1</f>
        <v>0.0842746593550598</v>
      </c>
      <c r="AE353" s="60" t="str">
        <f aca="false">IF(AB353&lt;S353,"SIM","NÃO")</f>
        <v>NÃO</v>
      </c>
      <c r="AF353" s="60" t="n">
        <v>2</v>
      </c>
      <c r="AG353" s="60" t="n">
        <v>5</v>
      </c>
      <c r="AH353" s="60" t="s">
        <v>382</v>
      </c>
      <c r="AI353" s="61" t="n">
        <f aca="false">(T353*(1-Painel!$C$40)+U353+V353+Painel!$C$41+Painel!$C$42*CEILING(G353/100,1)+Painel!$C$43*CEILING(G353,1)+Z353)/(1-Resumo!$B$5)</f>
        <v>50.2006477272727</v>
      </c>
      <c r="AJ353" s="60" t="str">
        <f aca="false">IF(AI353&lt;S353,"SIM","NÃO")</f>
        <v>SIM</v>
      </c>
    </row>
    <row r="354" customFormat="false" ht="15" hidden="false" customHeight="false" outlineLevel="0" collapsed="false">
      <c r="A354" s="59" t="n">
        <v>46230.8013888889</v>
      </c>
      <c r="B354" s="60" t="s">
        <v>725</v>
      </c>
      <c r="C354" s="60" t="n">
        <v>24861008</v>
      </c>
      <c r="D354" s="60" t="s">
        <v>223</v>
      </c>
      <c r="E354" s="60" t="s">
        <v>24</v>
      </c>
      <c r="F354" s="60" t="s">
        <v>241</v>
      </c>
      <c r="G354" s="60" t="n">
        <v>124.2</v>
      </c>
      <c r="H354" s="61" t="n">
        <v>1699.99</v>
      </c>
      <c r="I354" s="61" t="n">
        <v>144.24</v>
      </c>
      <c r="J354" s="61" t="n">
        <f aca="false">H354*Resumo!$C$6</f>
        <v>0</v>
      </c>
      <c r="K354" s="61" t="n">
        <f aca="false">H354*Resumo!$C$7</f>
        <v>3.569979</v>
      </c>
      <c r="L354" s="61" t="n">
        <f aca="false">H354*Resumo!$C$8</f>
        <v>3.569979</v>
      </c>
      <c r="M354" s="61" t="n">
        <f aca="false">Resumo!$C$10*CEILING(G354/100,1)</f>
        <v>2.1</v>
      </c>
      <c r="N354" s="61" t="n">
        <f aca="false">Resumo!$C$9</f>
        <v>0</v>
      </c>
      <c r="O354" s="61" t="n">
        <f aca="false">Resumo!$C$13</f>
        <v>13.55</v>
      </c>
      <c r="P354" s="61" t="n">
        <f aca="false">Resumo!$C$14*CEILING(G354,1)</f>
        <v>56.25</v>
      </c>
      <c r="Q354" s="61" t="n">
        <f aca="false">SUM(I354:P354)*Resumo!$C$11</f>
        <v>0</v>
      </c>
      <c r="R354" s="61" t="n">
        <f aca="false">SUM(I354:Q354)</f>
        <v>223.279958</v>
      </c>
      <c r="S354" s="61" t="n">
        <f aca="false">R354/(1-Resumo!$C$5)</f>
        <v>253.727225</v>
      </c>
      <c r="T354" s="61" t="n">
        <v>249.03</v>
      </c>
      <c r="U354" s="61" t="n">
        <f aca="false">H354*Resumo!$B$6</f>
        <v>1.69999</v>
      </c>
      <c r="V354" s="61" t="n">
        <f aca="false">H354*Resumo!$B$7</f>
        <v>3.39998</v>
      </c>
      <c r="W354" s="61" t="n">
        <f aca="false">Resumo!$B$9</f>
        <v>1</v>
      </c>
      <c r="X354" s="61" t="n">
        <f aca="false">Resumo!$B$10*CEILING(G354/100,1)</f>
        <v>9</v>
      </c>
      <c r="Y354" s="61" t="n">
        <f aca="false">Resumo!$B$12*CEILING(G354,1)</f>
        <v>7.5</v>
      </c>
      <c r="Z354" s="61" t="n">
        <f aca="false">Resumo!$B$14*CEILING(G354,1)</f>
        <v>56.25</v>
      </c>
      <c r="AA354" s="61" t="n">
        <f aca="false">SUM(T354:Z354)</f>
        <v>327.87997</v>
      </c>
      <c r="AB354" s="61" t="n">
        <f aca="false">AA354/(1-Resumo!$B$5)</f>
        <v>372.590875</v>
      </c>
      <c r="AC354" s="61" t="n">
        <f aca="false">AB354-S354</f>
        <v>118.86365</v>
      </c>
      <c r="AD354" s="62" t="n">
        <f aca="false">AB354/S354-1</f>
        <v>0.468470224273331</v>
      </c>
      <c r="AE354" s="60" t="str">
        <f aca="false">IF(AB354&lt;S354,"SIM","NÃO")</f>
        <v>NÃO</v>
      </c>
      <c r="AF354" s="60" t="n">
        <v>13</v>
      </c>
      <c r="AG354" s="60" t="n">
        <v>7</v>
      </c>
      <c r="AH354" s="60" t="s">
        <v>382</v>
      </c>
      <c r="AI354" s="61" t="n">
        <f aca="false">(T354*(1-Painel!$C$40)+U354+V354+Painel!$C$41+Painel!$C$42*CEILING(G354/100,1)+Painel!$C$43*CEILING(G354,1)+Z354)/(1-Resumo!$B$5)</f>
        <v>262.840988636364</v>
      </c>
      <c r="AJ354" s="60" t="str">
        <f aca="false">IF(AI354&lt;S354,"SIM","NÃO")</f>
        <v>NÃO</v>
      </c>
    </row>
    <row r="355" customFormat="false" ht="15" hidden="false" customHeight="false" outlineLevel="0" collapsed="false">
      <c r="A355" s="59" t="n">
        <v>46230.8755555556</v>
      </c>
      <c r="B355" s="60" t="s">
        <v>726</v>
      </c>
      <c r="C355" s="60" t="n">
        <v>28020197</v>
      </c>
      <c r="D355" s="60" t="s">
        <v>51</v>
      </c>
      <c r="E355" s="60" t="s">
        <v>24</v>
      </c>
      <c r="F355" s="60" t="s">
        <v>237</v>
      </c>
      <c r="G355" s="60" t="n">
        <v>61.4</v>
      </c>
      <c r="H355" s="61" t="n">
        <v>1099.99</v>
      </c>
      <c r="I355" s="61" t="n">
        <v>90.2</v>
      </c>
      <c r="J355" s="61" t="n">
        <f aca="false">H355*Resumo!$C$6</f>
        <v>0</v>
      </c>
      <c r="K355" s="61" t="n">
        <f aca="false">H355*Resumo!$C$7</f>
        <v>2.309979</v>
      </c>
      <c r="L355" s="61" t="n">
        <f aca="false">H355*Resumo!$C$8</f>
        <v>2.309979</v>
      </c>
      <c r="M355" s="61" t="n">
        <f aca="false">Resumo!$C$10*CEILING(G355/100,1)</f>
        <v>1.05</v>
      </c>
      <c r="N355" s="61" t="n">
        <f aca="false">Resumo!$C$9</f>
        <v>0</v>
      </c>
      <c r="O355" s="61" t="n">
        <f aca="false">Resumo!$C$13</f>
        <v>13.55</v>
      </c>
      <c r="P355" s="61" t="n">
        <f aca="false">Resumo!$C$14*CEILING(G355,1)</f>
        <v>27.9</v>
      </c>
      <c r="Q355" s="61" t="n">
        <f aca="false">SUM(I355:P355)*Resumo!$C$11</f>
        <v>0</v>
      </c>
      <c r="R355" s="61" t="n">
        <f aca="false">SUM(I355:Q355)</f>
        <v>137.319958</v>
      </c>
      <c r="S355" s="61" t="n">
        <f aca="false">R355/(1-Resumo!$C$5)</f>
        <v>156.045406818182</v>
      </c>
      <c r="T355" s="61" t="n">
        <v>171.54</v>
      </c>
      <c r="U355" s="61" t="n">
        <f aca="false">H355*Resumo!$B$6</f>
        <v>1.09999</v>
      </c>
      <c r="V355" s="61" t="n">
        <f aca="false">H355*Resumo!$B$7</f>
        <v>2.19998</v>
      </c>
      <c r="W355" s="61" t="n">
        <f aca="false">Resumo!$B$9</f>
        <v>1</v>
      </c>
      <c r="X355" s="61" t="n">
        <f aca="false">Resumo!$B$10*CEILING(G355/100,1)</f>
        <v>4.5</v>
      </c>
      <c r="Y355" s="61" t="n">
        <f aca="false">Resumo!$B$12*CEILING(G355,1)</f>
        <v>3.72</v>
      </c>
      <c r="Z355" s="61" t="n">
        <f aca="false">Resumo!$B$14*CEILING(G355,1)</f>
        <v>27.9</v>
      </c>
      <c r="AA355" s="61" t="n">
        <f aca="false">SUM(T355:Z355)</f>
        <v>211.95997</v>
      </c>
      <c r="AB355" s="61" t="n">
        <f aca="false">AA355/(1-Resumo!$B$5)</f>
        <v>240.863602272727</v>
      </c>
      <c r="AC355" s="61" t="n">
        <f aca="false">AB355-S355</f>
        <v>84.8181954545454</v>
      </c>
      <c r="AD355" s="62" t="n">
        <f aca="false">AB355/S355-1</f>
        <v>0.543548170907538</v>
      </c>
      <c r="AE355" s="60" t="str">
        <f aca="false">IF(AB355&lt;S355,"SIM","NÃO")</f>
        <v>NÃO</v>
      </c>
      <c r="AF355" s="60" t="n">
        <v>13</v>
      </c>
      <c r="AG355" s="60" t="n">
        <v>11</v>
      </c>
      <c r="AH355" s="60" t="s">
        <v>382</v>
      </c>
      <c r="AI355" s="61" t="n">
        <f aca="false">(T355*(1-Painel!$C$40)+U355+V355+Painel!$C$41+Painel!$C$42*CEILING(G355/100,1)+Painel!$C$43*CEILING(G355,1)+Z355)/(1-Resumo!$B$5)</f>
        <v>168.388375</v>
      </c>
      <c r="AJ355" s="60" t="str">
        <f aca="false">IF(AI355&lt;S355,"SIM","NÃO")</f>
        <v>NÃO</v>
      </c>
    </row>
    <row r="356" customFormat="false" ht="15" hidden="false" customHeight="false" outlineLevel="0" collapsed="false">
      <c r="A356" s="59" t="n">
        <v>46230.8781481482</v>
      </c>
      <c r="B356" s="60" t="s">
        <v>727</v>
      </c>
      <c r="C356" s="60" t="n">
        <v>28928524</v>
      </c>
      <c r="D356" s="60" t="s">
        <v>221</v>
      </c>
      <c r="E356" s="60" t="s">
        <v>24</v>
      </c>
      <c r="F356" s="60" t="s">
        <v>237</v>
      </c>
      <c r="G356" s="60" t="n">
        <v>63</v>
      </c>
      <c r="H356" s="61" t="n">
        <v>779.99</v>
      </c>
      <c r="I356" s="61" t="n">
        <v>90.2</v>
      </c>
      <c r="J356" s="61" t="n">
        <f aca="false">H356*Resumo!$C$6</f>
        <v>0</v>
      </c>
      <c r="K356" s="61" t="n">
        <f aca="false">H356*Resumo!$C$7</f>
        <v>1.637979</v>
      </c>
      <c r="L356" s="61" t="n">
        <f aca="false">H356*Resumo!$C$8</f>
        <v>1.637979</v>
      </c>
      <c r="M356" s="61" t="n">
        <f aca="false">Resumo!$C$10*CEILING(G356/100,1)</f>
        <v>1.05</v>
      </c>
      <c r="N356" s="61" t="n">
        <f aca="false">Resumo!$C$9</f>
        <v>0</v>
      </c>
      <c r="O356" s="61" t="n">
        <f aca="false">Resumo!$C$13</f>
        <v>13.55</v>
      </c>
      <c r="P356" s="61" t="n">
        <f aca="false">Resumo!$C$14*CEILING(G356,1)</f>
        <v>28.35</v>
      </c>
      <c r="Q356" s="61" t="n">
        <f aca="false">SUM(I356:P356)*Resumo!$C$11</f>
        <v>0</v>
      </c>
      <c r="R356" s="61" t="n">
        <f aca="false">SUM(I356:Q356)</f>
        <v>136.425958</v>
      </c>
      <c r="S356" s="61" t="n">
        <f aca="false">R356/(1-Resumo!$C$5)</f>
        <v>155.029497727273</v>
      </c>
      <c r="T356" s="61" t="n">
        <v>166.05</v>
      </c>
      <c r="U356" s="61" t="n">
        <f aca="false">H356*Resumo!$B$6</f>
        <v>0.77999</v>
      </c>
      <c r="V356" s="61" t="n">
        <f aca="false">H356*Resumo!$B$7</f>
        <v>1.55998</v>
      </c>
      <c r="W356" s="61" t="n">
        <f aca="false">Resumo!$B$9</f>
        <v>1</v>
      </c>
      <c r="X356" s="61" t="n">
        <f aca="false">Resumo!$B$10*CEILING(G356/100,1)</f>
        <v>4.5</v>
      </c>
      <c r="Y356" s="61" t="n">
        <f aca="false">Resumo!$B$12*CEILING(G356,1)</f>
        <v>3.78</v>
      </c>
      <c r="Z356" s="61" t="n">
        <f aca="false">Resumo!$B$14*CEILING(G356,1)</f>
        <v>28.35</v>
      </c>
      <c r="AA356" s="61" t="n">
        <f aca="false">SUM(T356:Z356)</f>
        <v>206.01997</v>
      </c>
      <c r="AB356" s="61" t="n">
        <f aca="false">AA356/(1-Resumo!$B$5)</f>
        <v>234.113602272727</v>
      </c>
      <c r="AC356" s="61" t="n">
        <f aca="false">AB356-S356</f>
        <v>79.0841045454545</v>
      </c>
      <c r="AD356" s="62" t="n">
        <f aca="false">AB356/S356-1</f>
        <v>0.510122948889243</v>
      </c>
      <c r="AE356" s="60" t="str">
        <f aca="false">IF(AB356&lt;S356,"SIM","NÃO")</f>
        <v>NÃO</v>
      </c>
      <c r="AF356" s="60" t="n">
        <v>13</v>
      </c>
      <c r="AG356" s="60" t="n">
        <v>10</v>
      </c>
      <c r="AH356" s="60" t="s">
        <v>382</v>
      </c>
      <c r="AI356" s="61" t="n">
        <f aca="false">(T356*(1-Painel!$C$40)+U356+V356+Painel!$C$41+Painel!$C$42*CEILING(G356/100,1)+Painel!$C$43*CEILING(G356,1)+Z356)/(1-Resumo!$B$5)</f>
        <v>163.628943181818</v>
      </c>
      <c r="AJ356" s="60" t="str">
        <f aca="false">IF(AI356&lt;S356,"SIM","NÃO")</f>
        <v>NÃO</v>
      </c>
    </row>
    <row r="357" customFormat="false" ht="15" hidden="false" customHeight="false" outlineLevel="0" collapsed="false">
      <c r="A357" s="59" t="n">
        <v>46230.9035648148</v>
      </c>
      <c r="B357" s="60" t="s">
        <v>728</v>
      </c>
      <c r="C357" s="60" t="n">
        <v>23028210</v>
      </c>
      <c r="D357" s="60" t="s">
        <v>46</v>
      </c>
      <c r="E357" s="60" t="s">
        <v>22</v>
      </c>
      <c r="F357" s="60" t="s">
        <v>234</v>
      </c>
      <c r="G357" s="60" t="n">
        <v>35.3</v>
      </c>
      <c r="H357" s="61" t="n">
        <v>479.79</v>
      </c>
      <c r="I357" s="61" t="n">
        <v>48.35</v>
      </c>
      <c r="J357" s="61" t="n">
        <f aca="false">H357*Resumo!$C$6</f>
        <v>0</v>
      </c>
      <c r="K357" s="61" t="n">
        <f aca="false">H357*Resumo!$C$7</f>
        <v>1.007559</v>
      </c>
      <c r="L357" s="61" t="n">
        <f aca="false">H357*Resumo!$C$8</f>
        <v>1.007559</v>
      </c>
      <c r="M357" s="61" t="n">
        <f aca="false">Resumo!$C$10*CEILING(G357/100,1)</f>
        <v>1.05</v>
      </c>
      <c r="N357" s="61" t="n">
        <f aca="false">Resumo!$C$9</f>
        <v>0</v>
      </c>
      <c r="O357" s="61" t="n">
        <f aca="false">Resumo!$C$13</f>
        <v>13.55</v>
      </c>
      <c r="P357" s="61" t="n">
        <f aca="false">Resumo!$C$14*CEILING(G357,1)</f>
        <v>16.2</v>
      </c>
      <c r="Q357" s="61" t="n">
        <f aca="false">SUM(I357:P357)*Resumo!$C$11</f>
        <v>0</v>
      </c>
      <c r="R357" s="61" t="n">
        <f aca="false">SUM(I357:Q357)</f>
        <v>81.165118</v>
      </c>
      <c r="S357" s="61" t="n">
        <f aca="false">R357/(1-Resumo!$C$5)</f>
        <v>92.2330886363637</v>
      </c>
      <c r="T357" s="61" t="n">
        <v>93.97</v>
      </c>
      <c r="U357" s="61" t="n">
        <f aca="false">H357*Resumo!$B$6</f>
        <v>0.47979</v>
      </c>
      <c r="V357" s="61" t="n">
        <f aca="false">H357*Resumo!$B$7</f>
        <v>0.95958</v>
      </c>
      <c r="W357" s="61" t="n">
        <f aca="false">Resumo!$B$9</f>
        <v>1</v>
      </c>
      <c r="X357" s="61" t="n">
        <f aca="false">Resumo!$B$10*CEILING(G357/100,1)</f>
        <v>4.5</v>
      </c>
      <c r="Y357" s="61" t="n">
        <f aca="false">Resumo!$B$12*CEILING(G357,1)</f>
        <v>2.16</v>
      </c>
      <c r="Z357" s="61" t="n">
        <f aca="false">Resumo!$B$14*CEILING(G357,1)</f>
        <v>16.2</v>
      </c>
      <c r="AA357" s="61" t="n">
        <f aca="false">SUM(T357:Z357)</f>
        <v>119.26937</v>
      </c>
      <c r="AB357" s="61" t="n">
        <f aca="false">AA357/(1-Resumo!$B$5)</f>
        <v>135.533375</v>
      </c>
      <c r="AC357" s="61" t="n">
        <f aca="false">AB357-S357</f>
        <v>43.3002863636364</v>
      </c>
      <c r="AD357" s="62" t="n">
        <f aca="false">AB357/S357-1</f>
        <v>0.469465860937946</v>
      </c>
      <c r="AE357" s="60" t="str">
        <f aca="false">IF(AB357&lt;S357,"SIM","NÃO")</f>
        <v>NÃO</v>
      </c>
      <c r="AF357" s="60" t="n">
        <v>2</v>
      </c>
      <c r="AG357" s="60" t="n">
        <v>5</v>
      </c>
      <c r="AH357" s="60" t="s">
        <v>382</v>
      </c>
      <c r="AI357" s="61" t="n">
        <f aca="false">(T357*(1-Painel!$C$40)+U357+V357+Painel!$C$41+Painel!$C$42*CEILING(G357/100,1)+Painel!$C$43*CEILING(G357,1)+Z357)/(1-Resumo!$B$5)</f>
        <v>93.919625</v>
      </c>
      <c r="AJ357" s="60" t="str">
        <f aca="false">IF(AI357&lt;S357,"SIM","NÃO")</f>
        <v>NÃO</v>
      </c>
    </row>
    <row r="358" customFormat="false" ht="15" hidden="false" customHeight="false" outlineLevel="0" collapsed="false">
      <c r="A358" s="59" t="n">
        <v>46230.9363541667</v>
      </c>
      <c r="B358" s="60" t="s">
        <v>729</v>
      </c>
      <c r="C358" s="60" t="n">
        <v>26155040</v>
      </c>
      <c r="D358" s="60" t="s">
        <v>52</v>
      </c>
      <c r="E358" s="60" t="s">
        <v>23</v>
      </c>
      <c r="F358" s="60" t="s">
        <v>241</v>
      </c>
      <c r="G358" s="60" t="n">
        <v>148.7</v>
      </c>
      <c r="H358" s="61" t="n">
        <v>1699.99</v>
      </c>
      <c r="I358" s="61" t="n">
        <v>129.62</v>
      </c>
      <c r="J358" s="61" t="n">
        <f aca="false">H358*Resumo!$C$6</f>
        <v>0</v>
      </c>
      <c r="K358" s="61" t="n">
        <f aca="false">H358*Resumo!$C$7</f>
        <v>3.569979</v>
      </c>
      <c r="L358" s="61" t="n">
        <f aca="false">H358*Resumo!$C$8</f>
        <v>3.569979</v>
      </c>
      <c r="M358" s="61" t="n">
        <f aca="false">Resumo!$C$10*CEILING(G358/100,1)</f>
        <v>2.1</v>
      </c>
      <c r="N358" s="61" t="n">
        <f aca="false">Resumo!$C$9</f>
        <v>0</v>
      </c>
      <c r="O358" s="61" t="n">
        <f aca="false">Resumo!$C$13</f>
        <v>13.55</v>
      </c>
      <c r="P358" s="61" t="n">
        <f aca="false">Resumo!$C$14*CEILING(G358,1)</f>
        <v>67.05</v>
      </c>
      <c r="Q358" s="61" t="n">
        <f aca="false">SUM(I358:P358)*Resumo!$C$11</f>
        <v>0</v>
      </c>
      <c r="R358" s="61" t="n">
        <f aca="false">SUM(I358:Q358)</f>
        <v>219.459958</v>
      </c>
      <c r="S358" s="61" t="n">
        <f aca="false">R358/(1-Resumo!$C$5)</f>
        <v>249.386315909091</v>
      </c>
      <c r="T358" s="61" t="n">
        <v>239.25</v>
      </c>
      <c r="U358" s="61" t="n">
        <f aca="false">H358*Resumo!$B$6</f>
        <v>1.69999</v>
      </c>
      <c r="V358" s="61" t="n">
        <f aca="false">H358*Resumo!$B$7</f>
        <v>3.39998</v>
      </c>
      <c r="W358" s="61" t="n">
        <f aca="false">Resumo!$B$9</f>
        <v>1</v>
      </c>
      <c r="X358" s="61" t="n">
        <f aca="false">Resumo!$B$10*CEILING(G358/100,1)</f>
        <v>9</v>
      </c>
      <c r="Y358" s="61" t="n">
        <f aca="false">Resumo!$B$12*CEILING(G358,1)</f>
        <v>8.94</v>
      </c>
      <c r="Z358" s="61" t="n">
        <f aca="false">Resumo!$B$14*CEILING(G358,1)</f>
        <v>67.05</v>
      </c>
      <c r="AA358" s="61" t="n">
        <f aca="false">SUM(T358:Z358)</f>
        <v>330.33997</v>
      </c>
      <c r="AB358" s="61" t="n">
        <f aca="false">AA358/(1-Resumo!$B$5)</f>
        <v>375.386329545455</v>
      </c>
      <c r="AC358" s="61" t="n">
        <f aca="false">AB358-S358</f>
        <v>126.000013636364</v>
      </c>
      <c r="AD358" s="62" t="n">
        <f aca="false">AB358/S358-1</f>
        <v>0.505240286248483</v>
      </c>
      <c r="AE358" s="60" t="str">
        <f aca="false">IF(AB358&lt;S358,"SIM","NÃO")</f>
        <v>NÃO</v>
      </c>
      <c r="AF358" s="60" t="n">
        <v>2</v>
      </c>
      <c r="AG358" s="60" t="n">
        <v>5</v>
      </c>
      <c r="AH358" s="60" t="s">
        <v>382</v>
      </c>
      <c r="AI358" s="61" t="n">
        <f aca="false">(T358*(1-Painel!$C$40)+U358+V358+Painel!$C$41+Painel!$C$42*CEILING(G358/100,1)+Painel!$C$43*CEILING(G358,1)+Z358)/(1-Resumo!$B$5)</f>
        <v>267.667579545455</v>
      </c>
      <c r="AJ358" s="60" t="str">
        <f aca="false">IF(AI358&lt;S358,"SIM","NÃO")</f>
        <v>NÃO</v>
      </c>
    </row>
    <row r="359" customFormat="false" ht="15" hidden="false" customHeight="false" outlineLevel="0" collapsed="false">
      <c r="A359" s="59" t="n">
        <v>46230.989525463</v>
      </c>
      <c r="B359" s="60" t="s">
        <v>730</v>
      </c>
      <c r="C359" s="60" t="n">
        <v>21830360</v>
      </c>
      <c r="D359" s="60" t="s">
        <v>46</v>
      </c>
      <c r="E359" s="60" t="s">
        <v>22</v>
      </c>
      <c r="F359" s="60" t="s">
        <v>234</v>
      </c>
      <c r="G359" s="60" t="n">
        <v>37.2</v>
      </c>
      <c r="H359" s="61" t="n">
        <v>399.99</v>
      </c>
      <c r="I359" s="61" t="n">
        <v>48.35</v>
      </c>
      <c r="J359" s="61" t="n">
        <f aca="false">H359*Resumo!$C$6</f>
        <v>0</v>
      </c>
      <c r="K359" s="61" t="n">
        <f aca="false">H359*Resumo!$C$7</f>
        <v>0.839979</v>
      </c>
      <c r="L359" s="61" t="n">
        <f aca="false">H359*Resumo!$C$8</f>
        <v>0.839979</v>
      </c>
      <c r="M359" s="61" t="n">
        <f aca="false">Resumo!$C$10*CEILING(G359/100,1)</f>
        <v>1.05</v>
      </c>
      <c r="N359" s="61" t="n">
        <f aca="false">Resumo!$C$9</f>
        <v>0</v>
      </c>
      <c r="O359" s="61" t="n">
        <f aca="false">Resumo!$C$13</f>
        <v>13.55</v>
      </c>
      <c r="P359" s="61" t="n">
        <f aca="false">Resumo!$C$14*CEILING(G359,1)</f>
        <v>17.1</v>
      </c>
      <c r="Q359" s="61" t="n">
        <f aca="false">SUM(I359:P359)*Resumo!$C$11</f>
        <v>0</v>
      </c>
      <c r="R359" s="61" t="n">
        <f aca="false">SUM(I359:Q359)</f>
        <v>81.729958</v>
      </c>
      <c r="S359" s="61" t="n">
        <f aca="false">R359/(1-Resumo!$C$5)</f>
        <v>92.8749522727273</v>
      </c>
      <c r="T359" s="61" t="n">
        <v>93.97</v>
      </c>
      <c r="U359" s="61" t="n">
        <f aca="false">H359*Resumo!$B$6</f>
        <v>0.39999</v>
      </c>
      <c r="V359" s="61" t="n">
        <f aca="false">H359*Resumo!$B$7</f>
        <v>0.79998</v>
      </c>
      <c r="W359" s="61" t="n">
        <f aca="false">Resumo!$B$9</f>
        <v>1</v>
      </c>
      <c r="X359" s="61" t="n">
        <f aca="false">Resumo!$B$10*CEILING(G359/100,1)</f>
        <v>4.5</v>
      </c>
      <c r="Y359" s="61" t="n">
        <f aca="false">Resumo!$B$12*CEILING(G359,1)</f>
        <v>2.28</v>
      </c>
      <c r="Z359" s="61" t="n">
        <f aca="false">Resumo!$B$14*CEILING(G359,1)</f>
        <v>17.1</v>
      </c>
      <c r="AA359" s="61" t="n">
        <f aca="false">SUM(T359:Z359)</f>
        <v>120.04997</v>
      </c>
      <c r="AB359" s="61" t="n">
        <f aca="false">AA359/(1-Resumo!$B$5)</f>
        <v>136.420420454545</v>
      </c>
      <c r="AC359" s="61" t="n">
        <f aca="false">AB359-S359</f>
        <v>43.5454681818182</v>
      </c>
      <c r="AD359" s="62" t="n">
        <f aca="false">AB359/S359-1</f>
        <v>0.468861271163262</v>
      </c>
      <c r="AE359" s="60" t="str">
        <f aca="false">IF(AB359&lt;S359,"SIM","NÃO")</f>
        <v>NÃO</v>
      </c>
      <c r="AF359" s="60" t="n">
        <v>2</v>
      </c>
      <c r="AG359" s="60" t="n">
        <v>5</v>
      </c>
      <c r="AH359" s="60" t="s">
        <v>382</v>
      </c>
      <c r="AI359" s="61" t="n">
        <f aca="false">(T359*(1-Painel!$C$40)+U359+V359+Painel!$C$41+Painel!$C$42*CEILING(G359/100,1)+Painel!$C$43*CEILING(G359,1)+Z359)/(1-Resumo!$B$5)</f>
        <v>94.6703068181818</v>
      </c>
      <c r="AJ359" s="60" t="str">
        <f aca="false">IF(AI359&lt;S359,"SIM","NÃO")</f>
        <v>NÃO</v>
      </c>
    </row>
    <row r="360" customFormat="false" ht="15" hidden="false" customHeight="false" outlineLevel="0" collapsed="false">
      <c r="A360" s="59" t="n">
        <v>46231.3741087963</v>
      </c>
      <c r="B360" s="60" t="s">
        <v>731</v>
      </c>
      <c r="C360" s="60" t="n">
        <v>21775370</v>
      </c>
      <c r="D360" s="60" t="s">
        <v>46</v>
      </c>
      <c r="E360" s="60" t="s">
        <v>22</v>
      </c>
      <c r="F360" s="60" t="s">
        <v>236</v>
      </c>
      <c r="G360" s="60" t="n">
        <v>52.3</v>
      </c>
      <c r="H360" s="61" t="n">
        <v>699.99</v>
      </c>
      <c r="I360" s="61" t="n">
        <v>58.6</v>
      </c>
      <c r="J360" s="61" t="n">
        <f aca="false">H360*Resumo!$C$6</f>
        <v>0</v>
      </c>
      <c r="K360" s="61" t="n">
        <f aca="false">H360*Resumo!$C$7</f>
        <v>1.469979</v>
      </c>
      <c r="L360" s="61" t="n">
        <f aca="false">H360*Resumo!$C$8</f>
        <v>1.469979</v>
      </c>
      <c r="M360" s="61" t="n">
        <f aca="false">Resumo!$C$10*CEILING(G360/100,1)</f>
        <v>1.05</v>
      </c>
      <c r="N360" s="61" t="n">
        <f aca="false">Resumo!$C$9</f>
        <v>0</v>
      </c>
      <c r="O360" s="61" t="n">
        <f aca="false">Resumo!$C$13</f>
        <v>13.55</v>
      </c>
      <c r="P360" s="61" t="n">
        <f aca="false">Resumo!$C$14*CEILING(G360,1)</f>
        <v>23.85</v>
      </c>
      <c r="Q360" s="61" t="n">
        <f aca="false">SUM(I360:P360)*Resumo!$C$11</f>
        <v>0</v>
      </c>
      <c r="R360" s="61" t="n">
        <f aca="false">SUM(I360:Q360)</f>
        <v>99.989958</v>
      </c>
      <c r="S360" s="61" t="n">
        <f aca="false">R360/(1-Resumo!$C$5)</f>
        <v>113.624952272727</v>
      </c>
      <c r="T360" s="61" t="n">
        <v>112.3</v>
      </c>
      <c r="U360" s="61" t="n">
        <f aca="false">H360*Resumo!$B$6</f>
        <v>0.69999</v>
      </c>
      <c r="V360" s="61" t="n">
        <f aca="false">H360*Resumo!$B$7</f>
        <v>1.39998</v>
      </c>
      <c r="W360" s="61" t="n">
        <f aca="false">Resumo!$B$9</f>
        <v>1</v>
      </c>
      <c r="X360" s="61" t="n">
        <f aca="false">Resumo!$B$10*CEILING(G360/100,1)</f>
        <v>4.5</v>
      </c>
      <c r="Y360" s="61" t="n">
        <f aca="false">Resumo!$B$12*CEILING(G360,1)</f>
        <v>3.18</v>
      </c>
      <c r="Z360" s="61" t="n">
        <f aca="false">Resumo!$B$14*CEILING(G360,1)</f>
        <v>23.85</v>
      </c>
      <c r="AA360" s="61" t="n">
        <f aca="false">SUM(T360:Z360)</f>
        <v>146.92997</v>
      </c>
      <c r="AB360" s="61" t="n">
        <f aca="false">AA360/(1-Resumo!$B$5)</f>
        <v>166.965875</v>
      </c>
      <c r="AC360" s="61" t="n">
        <f aca="false">AB360-S360</f>
        <v>53.3409227272727</v>
      </c>
      <c r="AD360" s="62" t="n">
        <f aca="false">AB360/S360-1</f>
        <v>0.469447261894039</v>
      </c>
      <c r="AE360" s="60" t="str">
        <f aca="false">IF(AB360&lt;S360,"SIM","NÃO")</f>
        <v>NÃO</v>
      </c>
      <c r="AF360" s="60" t="n">
        <v>2</v>
      </c>
      <c r="AG360" s="60" t="n">
        <v>5</v>
      </c>
      <c r="AH360" s="60" t="s">
        <v>382</v>
      </c>
      <c r="AI360" s="61" t="n">
        <f aca="false">(T360*(1-Painel!$C$40)+U360+V360+Painel!$C$41+Painel!$C$42*CEILING(G360/100,1)+Painel!$C$43*CEILING(G360,1)+Z360)/(1-Resumo!$B$5)</f>
        <v>117.319284090909</v>
      </c>
      <c r="AJ360" s="60" t="str">
        <f aca="false">IF(AI360&lt;S360,"SIM","NÃO")</f>
        <v>NÃO</v>
      </c>
    </row>
    <row r="361" customFormat="false" ht="15" hidden="false" customHeight="false" outlineLevel="0" collapsed="false">
      <c r="A361" s="59" t="n">
        <v>46231.4362615741</v>
      </c>
      <c r="B361" s="60" t="s">
        <v>732</v>
      </c>
      <c r="C361" s="60" t="n">
        <v>25065210</v>
      </c>
      <c r="D361" s="60" t="s">
        <v>48</v>
      </c>
      <c r="E361" s="60" t="s">
        <v>23</v>
      </c>
      <c r="F361" s="60" t="s">
        <v>235</v>
      </c>
      <c r="G361" s="60" t="n">
        <v>48.6</v>
      </c>
      <c r="H361" s="61" t="n">
        <v>575.6</v>
      </c>
      <c r="I361" s="61" t="n">
        <v>65.36</v>
      </c>
      <c r="J361" s="61" t="n">
        <f aca="false">H361*Resumo!$C$6</f>
        <v>0</v>
      </c>
      <c r="K361" s="61" t="n">
        <f aca="false">H361*Resumo!$C$7</f>
        <v>1.20876</v>
      </c>
      <c r="L361" s="61" t="n">
        <f aca="false">H361*Resumo!$C$8</f>
        <v>1.20876</v>
      </c>
      <c r="M361" s="61" t="n">
        <f aca="false">Resumo!$C$10*CEILING(G361/100,1)</f>
        <v>1.05</v>
      </c>
      <c r="N361" s="61" t="n">
        <f aca="false">Resumo!$C$9</f>
        <v>0</v>
      </c>
      <c r="O361" s="61" t="n">
        <f aca="false">Resumo!$C$13</f>
        <v>13.55</v>
      </c>
      <c r="P361" s="61" t="n">
        <f aca="false">Resumo!$C$14*CEILING(G361,1)</f>
        <v>22.05</v>
      </c>
      <c r="Q361" s="61" t="n">
        <f aca="false">SUM(I361:P361)*Resumo!$C$11</f>
        <v>0</v>
      </c>
      <c r="R361" s="61" t="n">
        <f aca="false">SUM(I361:Q361)</f>
        <v>104.42752</v>
      </c>
      <c r="S361" s="61" t="n">
        <f aca="false">R361/(1-Resumo!$C$5)</f>
        <v>118.667636363636</v>
      </c>
      <c r="T361" s="61" t="n">
        <v>93.97</v>
      </c>
      <c r="U361" s="61" t="n">
        <f aca="false">H361*Resumo!$B$6</f>
        <v>0.5756</v>
      </c>
      <c r="V361" s="61" t="n">
        <f aca="false">H361*Resumo!$B$7</f>
        <v>1.1512</v>
      </c>
      <c r="W361" s="61" t="n">
        <f aca="false">Resumo!$B$9</f>
        <v>1</v>
      </c>
      <c r="X361" s="61" t="n">
        <f aca="false">Resumo!$B$10*CEILING(G361/100,1)</f>
        <v>4.5</v>
      </c>
      <c r="Y361" s="61" t="n">
        <f aca="false">Resumo!$B$12*CEILING(G361,1)</f>
        <v>2.94</v>
      </c>
      <c r="Z361" s="61" t="n">
        <f aca="false">Resumo!$B$14*CEILING(G361,1)</f>
        <v>22.05</v>
      </c>
      <c r="AA361" s="61" t="n">
        <f aca="false">SUM(T361:Z361)</f>
        <v>126.1868</v>
      </c>
      <c r="AB361" s="61" t="n">
        <f aca="false">AA361/(1-Resumo!$B$5)</f>
        <v>143.394090909091</v>
      </c>
      <c r="AC361" s="61" t="n">
        <f aca="false">AB361-S361</f>
        <v>24.7264545454545</v>
      </c>
      <c r="AD361" s="62" t="n">
        <f aca="false">AB361/S361-1</f>
        <v>0.208367296283585</v>
      </c>
      <c r="AE361" s="60" t="str">
        <f aca="false">IF(AB361&lt;S361,"SIM","NÃO")</f>
        <v>NÃO</v>
      </c>
      <c r="AF361" s="60" t="n">
        <v>2</v>
      </c>
      <c r="AG361" s="60" t="n">
        <v>5</v>
      </c>
      <c r="AH361" s="60" t="s">
        <v>382</v>
      </c>
      <c r="AI361" s="61" t="n">
        <f aca="false">(T361*(1-Painel!$C$40)+U361+V361+Painel!$C$41+Painel!$C$42*CEILING(G361/100,1)+Painel!$C$43*CEILING(G361,1)+Z361)/(1-Resumo!$B$5)</f>
        <v>100.893977272727</v>
      </c>
      <c r="AJ361" s="60" t="str">
        <f aca="false">IF(AI361&lt;S361,"SIM","NÃO")</f>
        <v>SIM</v>
      </c>
    </row>
    <row r="362" customFormat="false" ht="15" hidden="false" customHeight="false" outlineLevel="0" collapsed="false">
      <c r="A362" s="59" t="n">
        <v>46231.4486805556</v>
      </c>
      <c r="B362" s="60" t="s">
        <v>733</v>
      </c>
      <c r="C362" s="60" t="n">
        <v>22775045</v>
      </c>
      <c r="D362" s="60" t="s">
        <v>46</v>
      </c>
      <c r="E362" s="60" t="s">
        <v>22</v>
      </c>
      <c r="F362" s="60" t="s">
        <v>232</v>
      </c>
      <c r="G362" s="60" t="n">
        <v>17.2</v>
      </c>
      <c r="H362" s="61" t="n">
        <v>243.58</v>
      </c>
      <c r="I362" s="61" t="n">
        <v>33.42</v>
      </c>
      <c r="J362" s="61" t="n">
        <f aca="false">H362*Resumo!$C$6</f>
        <v>0</v>
      </c>
      <c r="K362" s="61" t="n">
        <f aca="false">H362*Resumo!$C$7</f>
        <v>0.511518</v>
      </c>
      <c r="L362" s="61" t="n">
        <f aca="false">H362*Resumo!$C$8</f>
        <v>0.511518</v>
      </c>
      <c r="M362" s="61" t="n">
        <f aca="false">Resumo!$C$10*CEILING(G362/100,1)</f>
        <v>1.05</v>
      </c>
      <c r="N362" s="61" t="n">
        <f aca="false">Resumo!$C$9</f>
        <v>0</v>
      </c>
      <c r="O362" s="61" t="n">
        <f aca="false">Resumo!$C$13</f>
        <v>13.55</v>
      </c>
      <c r="P362" s="61" t="n">
        <f aca="false">Resumo!$C$14*CEILING(G362,1)</f>
        <v>8.1</v>
      </c>
      <c r="Q362" s="61" t="n">
        <f aca="false">SUM(I362:P362)*Resumo!$C$11</f>
        <v>0</v>
      </c>
      <c r="R362" s="61" t="n">
        <f aca="false">SUM(I362:Q362)</f>
        <v>57.143036</v>
      </c>
      <c r="S362" s="61" t="n">
        <f aca="false">R362/(1-Resumo!$C$5)</f>
        <v>64.9352681818182</v>
      </c>
      <c r="T362" s="61" t="n">
        <v>46.98</v>
      </c>
      <c r="U362" s="61" t="n">
        <f aca="false">H362*Resumo!$B$6</f>
        <v>0.24358</v>
      </c>
      <c r="V362" s="61" t="n">
        <f aca="false">H362*Resumo!$B$7</f>
        <v>0.48716</v>
      </c>
      <c r="W362" s="61" t="n">
        <f aca="false">Resumo!$B$9</f>
        <v>1</v>
      </c>
      <c r="X362" s="61" t="n">
        <f aca="false">Resumo!$B$10*CEILING(G362/100,1)</f>
        <v>4.5</v>
      </c>
      <c r="Y362" s="61" t="n">
        <f aca="false">Resumo!$B$12*CEILING(G362,1)</f>
        <v>1.08</v>
      </c>
      <c r="Z362" s="61" t="n">
        <f aca="false">Resumo!$B$14*CEILING(G362,1)</f>
        <v>8.1</v>
      </c>
      <c r="AA362" s="61" t="n">
        <f aca="false">SUM(T362:Z362)</f>
        <v>62.39074</v>
      </c>
      <c r="AB362" s="61" t="n">
        <f aca="false">AA362/(1-Resumo!$B$5)</f>
        <v>70.8985681818182</v>
      </c>
      <c r="AC362" s="61" t="n">
        <f aca="false">AB362-S362</f>
        <v>5.96329999999999</v>
      </c>
      <c r="AD362" s="62" t="n">
        <f aca="false">AB362/S362-1</f>
        <v>0.0918345325579129</v>
      </c>
      <c r="AE362" s="60" t="str">
        <f aca="false">IF(AB362&lt;S362,"SIM","NÃO")</f>
        <v>NÃO</v>
      </c>
      <c r="AF362" s="60" t="n">
        <v>2</v>
      </c>
      <c r="AG362" s="60" t="n">
        <v>5</v>
      </c>
      <c r="AH362" s="60" t="s">
        <v>382</v>
      </c>
      <c r="AI362" s="61" t="n">
        <f aca="false">(T362*(1-Painel!$C$40)+U362+V362+Painel!$C$41+Painel!$C$42*CEILING(G362/100,1)+Painel!$C$43*CEILING(G362,1)+Z362)/(1-Resumo!$B$5)</f>
        <v>48.1333409090909</v>
      </c>
      <c r="AJ362" s="60" t="str">
        <f aca="false">IF(AI362&lt;S362,"SIM","NÃO")</f>
        <v>SIM</v>
      </c>
    </row>
    <row r="363" customFormat="false" ht="15" hidden="false" customHeight="false" outlineLevel="0" collapsed="false">
      <c r="A363" s="59" t="n">
        <v>46231.4730555556</v>
      </c>
      <c r="B363" s="60" t="s">
        <v>734</v>
      </c>
      <c r="C363" s="60" t="n">
        <v>26291368</v>
      </c>
      <c r="D363" s="60" t="s">
        <v>49</v>
      </c>
      <c r="E363" s="60" t="s">
        <v>23</v>
      </c>
      <c r="F363" s="60" t="s">
        <v>241</v>
      </c>
      <c r="G363" s="60" t="n">
        <v>124.2</v>
      </c>
      <c r="H363" s="61" t="n">
        <v>1799.99</v>
      </c>
      <c r="I363" s="61" t="n">
        <v>129.62</v>
      </c>
      <c r="J363" s="61" t="n">
        <f aca="false">H363*Resumo!$C$6</f>
        <v>0</v>
      </c>
      <c r="K363" s="61" t="n">
        <f aca="false">H363*Resumo!$C$7</f>
        <v>3.779979</v>
      </c>
      <c r="L363" s="61" t="n">
        <f aca="false">H363*Resumo!$C$8</f>
        <v>3.779979</v>
      </c>
      <c r="M363" s="61" t="n">
        <f aca="false">Resumo!$C$10*CEILING(G363/100,1)</f>
        <v>2.1</v>
      </c>
      <c r="N363" s="61" t="n">
        <f aca="false">Resumo!$C$9</f>
        <v>0</v>
      </c>
      <c r="O363" s="61" t="n">
        <f aca="false">Resumo!$C$13</f>
        <v>13.55</v>
      </c>
      <c r="P363" s="61" t="n">
        <f aca="false">Resumo!$C$14*CEILING(G363,1)</f>
        <v>56.25</v>
      </c>
      <c r="Q363" s="61" t="n">
        <f aca="false">SUM(I363:P363)*Resumo!$C$11</f>
        <v>0</v>
      </c>
      <c r="R363" s="61" t="n">
        <f aca="false">SUM(I363:Q363)</f>
        <v>209.079958</v>
      </c>
      <c r="S363" s="61" t="n">
        <f aca="false">R363/(1-Resumo!$C$5)</f>
        <v>237.590861363636</v>
      </c>
      <c r="T363" s="61" t="n">
        <v>239.25</v>
      </c>
      <c r="U363" s="61" t="n">
        <f aca="false">H363*Resumo!$B$6</f>
        <v>1.79999</v>
      </c>
      <c r="V363" s="61" t="n">
        <f aca="false">H363*Resumo!$B$7</f>
        <v>3.59998</v>
      </c>
      <c r="W363" s="61" t="n">
        <f aca="false">Resumo!$B$9</f>
        <v>1</v>
      </c>
      <c r="X363" s="61" t="n">
        <f aca="false">Resumo!$B$10*CEILING(G363/100,1)</f>
        <v>9</v>
      </c>
      <c r="Y363" s="61" t="n">
        <f aca="false">Resumo!$B$12*CEILING(G363,1)</f>
        <v>7.5</v>
      </c>
      <c r="Z363" s="61" t="n">
        <f aca="false">Resumo!$B$14*CEILING(G363,1)</f>
        <v>56.25</v>
      </c>
      <c r="AA363" s="61" t="n">
        <f aca="false">SUM(T363:Z363)</f>
        <v>318.39997</v>
      </c>
      <c r="AB363" s="61" t="n">
        <f aca="false">AA363/(1-Resumo!$B$5)</f>
        <v>361.818147727273</v>
      </c>
      <c r="AC363" s="61" t="n">
        <f aca="false">AB363-S363</f>
        <v>124.227286363636</v>
      </c>
      <c r="AD363" s="62" t="n">
        <f aca="false">AB363/S363-1</f>
        <v>0.522862224795358</v>
      </c>
      <c r="AE363" s="60" t="str">
        <f aca="false">IF(AB363&lt;S363,"SIM","NÃO")</f>
        <v>NÃO</v>
      </c>
      <c r="AF363" s="60" t="n">
        <v>2</v>
      </c>
      <c r="AG363" s="60" t="n">
        <v>5</v>
      </c>
      <c r="AH363" s="60" t="s">
        <v>382</v>
      </c>
      <c r="AI363" s="61" t="n">
        <f aca="false">(T363*(1-Painel!$C$40)+U363+V363+Painel!$C$41+Painel!$C$42*CEILING(G363/100,1)+Painel!$C$43*CEILING(G363,1)+Z363)/(1-Resumo!$B$5)</f>
        <v>255.735761363636</v>
      </c>
      <c r="AJ363" s="60" t="str">
        <f aca="false">IF(AI363&lt;S363,"SIM","NÃO")</f>
        <v>NÃO</v>
      </c>
    </row>
    <row r="364" customFormat="false" ht="15" hidden="false" customHeight="false" outlineLevel="0" collapsed="false">
      <c r="A364" s="59" t="n">
        <v>46231.4821990741</v>
      </c>
      <c r="B364" s="60" t="s">
        <v>735</v>
      </c>
      <c r="C364" s="60" t="n">
        <v>20920410</v>
      </c>
      <c r="D364" s="60" t="s">
        <v>46</v>
      </c>
      <c r="E364" s="60" t="s">
        <v>22</v>
      </c>
      <c r="F364" s="60" t="s">
        <v>234</v>
      </c>
      <c r="G364" s="60" t="n">
        <v>40</v>
      </c>
      <c r="H364" s="61" t="n">
        <v>509.6</v>
      </c>
      <c r="I364" s="61" t="n">
        <v>48.35</v>
      </c>
      <c r="J364" s="61" t="n">
        <f aca="false">H364*Resumo!$C$6</f>
        <v>0</v>
      </c>
      <c r="K364" s="61" t="n">
        <f aca="false">H364*Resumo!$C$7</f>
        <v>1.07016</v>
      </c>
      <c r="L364" s="61" t="n">
        <f aca="false">H364*Resumo!$C$8</f>
        <v>1.07016</v>
      </c>
      <c r="M364" s="61" t="n">
        <f aca="false">Resumo!$C$10*CEILING(G364/100,1)</f>
        <v>1.05</v>
      </c>
      <c r="N364" s="61" t="n">
        <f aca="false">Resumo!$C$9</f>
        <v>0</v>
      </c>
      <c r="O364" s="61" t="n">
        <f aca="false">Resumo!$C$13</f>
        <v>13.55</v>
      </c>
      <c r="P364" s="61" t="n">
        <f aca="false">Resumo!$C$14*CEILING(G364,1)</f>
        <v>18</v>
      </c>
      <c r="Q364" s="61" t="n">
        <f aca="false">SUM(I364:P364)*Resumo!$C$11</f>
        <v>0</v>
      </c>
      <c r="R364" s="61" t="n">
        <f aca="false">SUM(I364:Q364)</f>
        <v>83.09032</v>
      </c>
      <c r="S364" s="61" t="n">
        <f aca="false">R364/(1-Resumo!$C$5)</f>
        <v>94.4208181818182</v>
      </c>
      <c r="T364" s="61" t="n">
        <v>93.97</v>
      </c>
      <c r="U364" s="61" t="n">
        <f aca="false">H364*Resumo!$B$6</f>
        <v>0.5096</v>
      </c>
      <c r="V364" s="61" t="n">
        <f aca="false">H364*Resumo!$B$7</f>
        <v>1.0192</v>
      </c>
      <c r="W364" s="61" t="n">
        <f aca="false">Resumo!$B$9</f>
        <v>1</v>
      </c>
      <c r="X364" s="61" t="n">
        <f aca="false">Resumo!$B$10*CEILING(G364/100,1)</f>
        <v>4.5</v>
      </c>
      <c r="Y364" s="61" t="n">
        <f aca="false">Resumo!$B$12*CEILING(G364,1)</f>
        <v>2.4</v>
      </c>
      <c r="Z364" s="61" t="n">
        <f aca="false">Resumo!$B$14*CEILING(G364,1)</f>
        <v>18</v>
      </c>
      <c r="AA364" s="61" t="n">
        <f aca="false">SUM(T364:Z364)</f>
        <v>121.3988</v>
      </c>
      <c r="AB364" s="61" t="n">
        <f aca="false">AA364/(1-Resumo!$B$5)</f>
        <v>137.953181818182</v>
      </c>
      <c r="AC364" s="61" t="n">
        <f aca="false">AB364-S364</f>
        <v>43.5323636363636</v>
      </c>
      <c r="AD364" s="62" t="n">
        <f aca="false">AB364/S364-1</f>
        <v>0.461046244616701</v>
      </c>
      <c r="AE364" s="60" t="str">
        <f aca="false">IF(AB364&lt;S364,"SIM","NÃO")</f>
        <v>NÃO</v>
      </c>
      <c r="AF364" s="60" t="n">
        <v>2</v>
      </c>
      <c r="AG364" s="60" t="n">
        <v>5</v>
      </c>
      <c r="AH364" s="60" t="s">
        <v>382</v>
      </c>
      <c r="AI364" s="61" t="n">
        <f aca="false">(T364*(1-Painel!$C$40)+U364+V364+Painel!$C$41+Painel!$C$42*CEILING(G364/100,1)+Painel!$C$43*CEILING(G364,1)+Z364)/(1-Resumo!$B$5)</f>
        <v>96.0667045454545</v>
      </c>
      <c r="AJ364" s="60" t="str">
        <f aca="false">IF(AI364&lt;S364,"SIM","NÃO")</f>
        <v>NÃO</v>
      </c>
    </row>
    <row r="365" customFormat="false" ht="15" hidden="false" customHeight="false" outlineLevel="0" collapsed="false">
      <c r="A365" s="59" t="n">
        <v>46231.5685648148</v>
      </c>
      <c r="B365" s="60" t="s">
        <v>736</v>
      </c>
      <c r="C365" s="60" t="n">
        <v>26554220</v>
      </c>
      <c r="D365" s="60" t="s">
        <v>224</v>
      </c>
      <c r="E365" s="60" t="s">
        <v>23</v>
      </c>
      <c r="F365" s="60" t="s">
        <v>234</v>
      </c>
      <c r="G365" s="60" t="n">
        <v>39.6</v>
      </c>
      <c r="H365" s="61" t="n">
        <v>739.98</v>
      </c>
      <c r="I365" s="61" t="n">
        <v>66.83</v>
      </c>
      <c r="J365" s="61" t="n">
        <f aca="false">H365*Resumo!$C$6</f>
        <v>0</v>
      </c>
      <c r="K365" s="61" t="n">
        <f aca="false">H365*Resumo!$C$7</f>
        <v>1.553958</v>
      </c>
      <c r="L365" s="61" t="n">
        <f aca="false">H365*Resumo!$C$8</f>
        <v>1.553958</v>
      </c>
      <c r="M365" s="61" t="n">
        <f aca="false">Resumo!$C$10*CEILING(G365/100,1)</f>
        <v>1.05</v>
      </c>
      <c r="N365" s="61" t="n">
        <f aca="false">Resumo!$C$9</f>
        <v>0</v>
      </c>
      <c r="O365" s="61" t="n">
        <f aca="false">Resumo!$C$13</f>
        <v>13.55</v>
      </c>
      <c r="P365" s="61" t="n">
        <f aca="false">Resumo!$C$14*CEILING(G365,1)</f>
        <v>18</v>
      </c>
      <c r="Q365" s="61" t="n">
        <f aca="false">SUM(I365:P365)*Resumo!$C$11</f>
        <v>0</v>
      </c>
      <c r="R365" s="61" t="n">
        <f aca="false">SUM(I365:Q365)</f>
        <v>102.537916</v>
      </c>
      <c r="S365" s="61" t="n">
        <f aca="false">R365/(1-Resumo!$C$5)</f>
        <v>116.520359090909</v>
      </c>
      <c r="T365" s="61" t="n">
        <v>93.97</v>
      </c>
      <c r="U365" s="61" t="n">
        <f aca="false">H365*Resumo!$B$6</f>
        <v>0.73998</v>
      </c>
      <c r="V365" s="61" t="n">
        <f aca="false">H365*Resumo!$B$7</f>
        <v>1.47996</v>
      </c>
      <c r="W365" s="61" t="n">
        <f aca="false">Resumo!$B$9</f>
        <v>1</v>
      </c>
      <c r="X365" s="61" t="n">
        <f aca="false">Resumo!$B$10*CEILING(G365/100,1)</f>
        <v>4.5</v>
      </c>
      <c r="Y365" s="61" t="n">
        <f aca="false">Resumo!$B$12*CEILING(G365,1)</f>
        <v>2.4</v>
      </c>
      <c r="Z365" s="61" t="n">
        <f aca="false">Resumo!$B$14*CEILING(G365,1)</f>
        <v>18</v>
      </c>
      <c r="AA365" s="61" t="n">
        <f aca="false">SUM(T365:Z365)</f>
        <v>122.08994</v>
      </c>
      <c r="AB365" s="61" t="n">
        <f aca="false">AA365/(1-Resumo!$B$5)</f>
        <v>138.738568181818</v>
      </c>
      <c r="AC365" s="61" t="n">
        <f aca="false">AB365-S365</f>
        <v>22.2182090909091</v>
      </c>
      <c r="AD365" s="62" t="n">
        <f aca="false">AB365/S365-1</f>
        <v>0.190680918461421</v>
      </c>
      <c r="AE365" s="60" t="str">
        <f aca="false">IF(AB365&lt;S365,"SIM","NÃO")</f>
        <v>NÃO</v>
      </c>
      <c r="AF365" s="60" t="n">
        <v>2</v>
      </c>
      <c r="AG365" s="60" t="n">
        <v>5</v>
      </c>
      <c r="AH365" s="60" t="s">
        <v>382</v>
      </c>
      <c r="AI365" s="61" t="n">
        <f aca="false">(T365*(1-Painel!$C$40)+U365+V365+Painel!$C$41+Painel!$C$42*CEILING(G365/100,1)+Painel!$C$43*CEILING(G365,1)+Z365)/(1-Resumo!$B$5)</f>
        <v>96.8520909090909</v>
      </c>
      <c r="AJ365" s="60" t="str">
        <f aca="false">IF(AI365&lt;S365,"SIM","NÃO")</f>
        <v>SIM</v>
      </c>
    </row>
    <row r="366" customFormat="false" ht="15" hidden="false" customHeight="false" outlineLevel="0" collapsed="false">
      <c r="A366" s="59" t="n">
        <v>46231.576724537</v>
      </c>
      <c r="B366" s="60" t="s">
        <v>737</v>
      </c>
      <c r="C366" s="60" t="n">
        <v>20785000</v>
      </c>
      <c r="D366" s="60" t="s">
        <v>46</v>
      </c>
      <c r="E366" s="60" t="s">
        <v>22</v>
      </c>
      <c r="F366" s="60" t="s">
        <v>236</v>
      </c>
      <c r="G366" s="60" t="n">
        <v>51.3</v>
      </c>
      <c r="H366" s="61" t="n">
        <v>578.42</v>
      </c>
      <c r="I366" s="61" t="n">
        <v>58.6</v>
      </c>
      <c r="J366" s="61" t="n">
        <f aca="false">H366*Resumo!$C$6</f>
        <v>0</v>
      </c>
      <c r="K366" s="61" t="n">
        <f aca="false">H366*Resumo!$C$7</f>
        <v>1.214682</v>
      </c>
      <c r="L366" s="61" t="n">
        <f aca="false">H366*Resumo!$C$8</f>
        <v>1.214682</v>
      </c>
      <c r="M366" s="61" t="n">
        <f aca="false">Resumo!$C$10*CEILING(G366/100,1)</f>
        <v>1.05</v>
      </c>
      <c r="N366" s="61" t="n">
        <f aca="false">Resumo!$C$9</f>
        <v>0</v>
      </c>
      <c r="O366" s="61" t="n">
        <f aca="false">Resumo!$C$13</f>
        <v>13.55</v>
      </c>
      <c r="P366" s="61" t="n">
        <f aca="false">Resumo!$C$14*CEILING(G366,1)</f>
        <v>23.4</v>
      </c>
      <c r="Q366" s="61" t="n">
        <f aca="false">SUM(I366:P366)*Resumo!$C$11</f>
        <v>0</v>
      </c>
      <c r="R366" s="61" t="n">
        <f aca="false">SUM(I366:Q366)</f>
        <v>99.029364</v>
      </c>
      <c r="S366" s="61" t="n">
        <f aca="false">R366/(1-Resumo!$C$5)</f>
        <v>112.533368181818</v>
      </c>
      <c r="T366" s="61" t="n">
        <v>112.3</v>
      </c>
      <c r="U366" s="61" t="n">
        <f aca="false">H366*Resumo!$B$6</f>
        <v>0.57842</v>
      </c>
      <c r="V366" s="61" t="n">
        <f aca="false">H366*Resumo!$B$7</f>
        <v>1.15684</v>
      </c>
      <c r="W366" s="61" t="n">
        <f aca="false">Resumo!$B$9</f>
        <v>1</v>
      </c>
      <c r="X366" s="61" t="n">
        <f aca="false">Resumo!$B$10*CEILING(G366/100,1)</f>
        <v>4.5</v>
      </c>
      <c r="Y366" s="61" t="n">
        <f aca="false">Resumo!$B$12*CEILING(G366,1)</f>
        <v>3.12</v>
      </c>
      <c r="Z366" s="61" t="n">
        <f aca="false">Resumo!$B$14*CEILING(G366,1)</f>
        <v>23.4</v>
      </c>
      <c r="AA366" s="61" t="n">
        <f aca="false">SUM(T366:Z366)</f>
        <v>146.05526</v>
      </c>
      <c r="AB366" s="61" t="n">
        <f aca="false">AA366/(1-Resumo!$B$5)</f>
        <v>165.971886363636</v>
      </c>
      <c r="AC366" s="61" t="n">
        <f aca="false">AB366-S366</f>
        <v>53.4385181818182</v>
      </c>
      <c r="AD366" s="62" t="n">
        <f aca="false">AB366/S366-1</f>
        <v>0.474868201718432</v>
      </c>
      <c r="AE366" s="60" t="str">
        <f aca="false">IF(AB366&lt;S366,"SIM","NÃO")</f>
        <v>NÃO</v>
      </c>
      <c r="AF366" s="60" t="n">
        <v>2</v>
      </c>
      <c r="AG366" s="60" t="n">
        <v>5</v>
      </c>
      <c r="AH366" s="60" t="s">
        <v>382</v>
      </c>
      <c r="AI366" s="61" t="n">
        <f aca="false">(T366*(1-Painel!$C$40)+U366+V366+Painel!$C$41+Painel!$C$42*CEILING(G366/100,1)+Painel!$C$43*CEILING(G366,1)+Z366)/(1-Resumo!$B$5)</f>
        <v>116.393477272727</v>
      </c>
      <c r="AJ366" s="60" t="str">
        <f aca="false">IF(AI366&lt;S366,"SIM","NÃO")</f>
        <v>NÃO</v>
      </c>
    </row>
    <row r="367" customFormat="false" ht="15" hidden="false" customHeight="false" outlineLevel="0" collapsed="false">
      <c r="A367" s="59" t="n">
        <v>46231.5817592593</v>
      </c>
      <c r="B367" s="60" t="s">
        <v>738</v>
      </c>
      <c r="C367" s="60" t="n">
        <v>23587617</v>
      </c>
      <c r="D367" s="60" t="s">
        <v>46</v>
      </c>
      <c r="E367" s="60" t="s">
        <v>22</v>
      </c>
      <c r="F367" s="60" t="s">
        <v>234</v>
      </c>
      <c r="G367" s="60" t="n">
        <v>36.8</v>
      </c>
      <c r="H367" s="61" t="n">
        <v>469.99</v>
      </c>
      <c r="I367" s="61" t="n">
        <v>48.35</v>
      </c>
      <c r="J367" s="61" t="n">
        <f aca="false">H367*Resumo!$C$6</f>
        <v>0</v>
      </c>
      <c r="K367" s="61" t="n">
        <f aca="false">H367*Resumo!$C$7</f>
        <v>0.986979</v>
      </c>
      <c r="L367" s="61" t="n">
        <f aca="false">H367*Resumo!$C$8</f>
        <v>0.986979</v>
      </c>
      <c r="M367" s="61" t="n">
        <f aca="false">Resumo!$C$10*CEILING(G367/100,1)</f>
        <v>1.05</v>
      </c>
      <c r="N367" s="61" t="n">
        <f aca="false">Resumo!$C$9</f>
        <v>0</v>
      </c>
      <c r="O367" s="61" t="n">
        <f aca="false">Resumo!$C$13</f>
        <v>13.55</v>
      </c>
      <c r="P367" s="61" t="n">
        <f aca="false">Resumo!$C$14*CEILING(G367,1)</f>
        <v>16.65</v>
      </c>
      <c r="Q367" s="61" t="n">
        <f aca="false">SUM(I367:P367)*Resumo!$C$11</f>
        <v>0</v>
      </c>
      <c r="R367" s="61" t="n">
        <f aca="false">SUM(I367:Q367)</f>
        <v>81.573958</v>
      </c>
      <c r="S367" s="61" t="n">
        <f aca="false">R367/(1-Resumo!$C$5)</f>
        <v>92.6976795454546</v>
      </c>
      <c r="T367" s="61" t="n">
        <v>93.97</v>
      </c>
      <c r="U367" s="61" t="n">
        <f aca="false">H367*Resumo!$B$6</f>
        <v>0.46999</v>
      </c>
      <c r="V367" s="61" t="n">
        <f aca="false">H367*Resumo!$B$7</f>
        <v>0.93998</v>
      </c>
      <c r="W367" s="61" t="n">
        <f aca="false">Resumo!$B$9</f>
        <v>1</v>
      </c>
      <c r="X367" s="61" t="n">
        <f aca="false">Resumo!$B$10*CEILING(G367/100,1)</f>
        <v>4.5</v>
      </c>
      <c r="Y367" s="61" t="n">
        <f aca="false">Resumo!$B$12*CEILING(G367,1)</f>
        <v>2.22</v>
      </c>
      <c r="Z367" s="61" t="n">
        <f aca="false">Resumo!$B$14*CEILING(G367,1)</f>
        <v>16.65</v>
      </c>
      <c r="AA367" s="61" t="n">
        <f aca="false">SUM(T367:Z367)</f>
        <v>119.74997</v>
      </c>
      <c r="AB367" s="61" t="n">
        <f aca="false">AA367/(1-Resumo!$B$5)</f>
        <v>136.079511363636</v>
      </c>
      <c r="AC367" s="61" t="n">
        <f aca="false">AB367-S367</f>
        <v>43.3818318181818</v>
      </c>
      <c r="AD367" s="62" t="n">
        <f aca="false">AB367/S367-1</f>
        <v>0.467992640494409</v>
      </c>
      <c r="AE367" s="60" t="str">
        <f aca="false">IF(AB367&lt;S367,"SIM","NÃO")</f>
        <v>NÃO</v>
      </c>
      <c r="AF367" s="60" t="n">
        <v>2</v>
      </c>
      <c r="AG367" s="60" t="n">
        <v>5</v>
      </c>
      <c r="AH367" s="60" t="s">
        <v>382</v>
      </c>
      <c r="AI367" s="61" t="n">
        <f aca="false">(T367*(1-Painel!$C$40)+U367+V367+Painel!$C$41+Painel!$C$42*CEILING(G367/100,1)+Painel!$C$43*CEILING(G367,1)+Z367)/(1-Resumo!$B$5)</f>
        <v>94.3975795454545</v>
      </c>
      <c r="AJ367" s="60" t="str">
        <f aca="false">IF(AI367&lt;S367,"SIM","NÃO")</f>
        <v>NÃO</v>
      </c>
    </row>
    <row r="368" customFormat="false" ht="15" hidden="false" customHeight="false" outlineLevel="0" collapsed="false">
      <c r="A368" s="59" t="n">
        <v>46231.6055439815</v>
      </c>
      <c r="B368" s="60" t="s">
        <v>625</v>
      </c>
      <c r="C368" s="60" t="n">
        <v>23970000</v>
      </c>
      <c r="D368" s="60" t="s">
        <v>268</v>
      </c>
      <c r="E368" s="60" t="s">
        <v>24</v>
      </c>
      <c r="F368" s="60" t="s">
        <v>233</v>
      </c>
      <c r="G368" s="60" t="n">
        <v>22</v>
      </c>
      <c r="H368" s="61" t="n">
        <v>727.37</v>
      </c>
      <c r="I368" s="61" t="n">
        <v>65.63</v>
      </c>
      <c r="J368" s="61" t="n">
        <f aca="false">H368*Resumo!$C$6</f>
        <v>0</v>
      </c>
      <c r="K368" s="61" t="n">
        <f aca="false">H368*Resumo!$C$7</f>
        <v>1.527477</v>
      </c>
      <c r="L368" s="61" t="n">
        <f aca="false">H368*Resumo!$C$8</f>
        <v>1.527477</v>
      </c>
      <c r="M368" s="61" t="n">
        <f aca="false">Resumo!$C$10*CEILING(G368/100,1)</f>
        <v>1.05</v>
      </c>
      <c r="N368" s="61" t="n">
        <f aca="false">Resumo!$C$9</f>
        <v>0</v>
      </c>
      <c r="O368" s="61" t="n">
        <f aca="false">Resumo!$C$13</f>
        <v>13.55</v>
      </c>
      <c r="P368" s="61" t="n">
        <f aca="false">Resumo!$C$14*CEILING(G368,1)</f>
        <v>9.9</v>
      </c>
      <c r="Q368" s="61" t="n">
        <f aca="false">SUM(I368:P368)*Resumo!$C$11</f>
        <v>0</v>
      </c>
      <c r="R368" s="61" t="n">
        <f aca="false">SUM(I368:Q368)</f>
        <v>93.184954</v>
      </c>
      <c r="S368" s="61" t="n">
        <f aca="false">R368/(1-Resumo!$C$5)</f>
        <v>105.891993181818</v>
      </c>
      <c r="T368" s="61" t="n">
        <v>108.83</v>
      </c>
      <c r="U368" s="61" t="n">
        <f aca="false">H368*Resumo!$B$6</f>
        <v>0.72737</v>
      </c>
      <c r="V368" s="61" t="n">
        <f aca="false">H368*Resumo!$B$7</f>
        <v>1.45474</v>
      </c>
      <c r="W368" s="61" t="n">
        <f aca="false">Resumo!$B$9</f>
        <v>1</v>
      </c>
      <c r="X368" s="61" t="n">
        <f aca="false">Resumo!$B$10*CEILING(G368/100,1)</f>
        <v>4.5</v>
      </c>
      <c r="Y368" s="61" t="n">
        <f aca="false">Resumo!$B$12*CEILING(G368,1)</f>
        <v>1.32</v>
      </c>
      <c r="Z368" s="61" t="n">
        <f aca="false">Resumo!$B$14*CEILING(G368,1)</f>
        <v>9.9</v>
      </c>
      <c r="AA368" s="61" t="n">
        <f aca="false">SUM(T368:Z368)</f>
        <v>127.73211</v>
      </c>
      <c r="AB368" s="61" t="n">
        <f aca="false">AA368/(1-Resumo!$B$5)</f>
        <v>145.150125</v>
      </c>
      <c r="AC368" s="61" t="n">
        <f aca="false">AB368-S368</f>
        <v>39.2581318181818</v>
      </c>
      <c r="AD368" s="62" t="n">
        <f aca="false">AB368/S368-1</f>
        <v>0.370737490518051</v>
      </c>
      <c r="AE368" s="60" t="str">
        <f aca="false">IF(AB368&lt;S368,"SIM","NÃO")</f>
        <v>NÃO</v>
      </c>
      <c r="AF368" s="60" t="n">
        <v>13</v>
      </c>
      <c r="AG368" s="60" t="n">
        <v>10</v>
      </c>
      <c r="AH368" s="60" t="s">
        <v>385</v>
      </c>
      <c r="AI368" s="61" t="n">
        <f aca="false">(T368*(1-Painel!$C$40)+U368+V368+Painel!$C$41+Painel!$C$42*CEILING(G368/100,1)+Painel!$C$43*CEILING(G368,1)+Z368)/(1-Resumo!$B$5)</f>
        <v>98.9184204545454</v>
      </c>
      <c r="AJ368" s="60" t="str">
        <f aca="false">IF(AI368&lt;S368,"SIM","NÃO")</f>
        <v>SIM</v>
      </c>
    </row>
    <row r="369" customFormat="false" ht="15" hidden="false" customHeight="false" outlineLevel="0" collapsed="false">
      <c r="A369" s="59" t="n">
        <v>46231.6268055556</v>
      </c>
      <c r="B369" s="60" t="s">
        <v>739</v>
      </c>
      <c r="C369" s="60" t="n">
        <v>20775000</v>
      </c>
      <c r="D369" s="60" t="s">
        <v>46</v>
      </c>
      <c r="E369" s="60" t="s">
        <v>22</v>
      </c>
      <c r="F369" s="60" t="s">
        <v>236</v>
      </c>
      <c r="G369" s="60" t="n">
        <v>52.3</v>
      </c>
      <c r="H369" s="61" t="n">
        <v>685.84</v>
      </c>
      <c r="I369" s="61" t="n">
        <v>58.6</v>
      </c>
      <c r="J369" s="61" t="n">
        <f aca="false">H369*Resumo!$C$6</f>
        <v>0</v>
      </c>
      <c r="K369" s="61" t="n">
        <f aca="false">H369*Resumo!$C$7</f>
        <v>1.440264</v>
      </c>
      <c r="L369" s="61" t="n">
        <f aca="false">H369*Resumo!$C$8</f>
        <v>1.440264</v>
      </c>
      <c r="M369" s="61" t="n">
        <f aca="false">Resumo!$C$10*CEILING(G369/100,1)</f>
        <v>1.05</v>
      </c>
      <c r="N369" s="61" t="n">
        <f aca="false">Resumo!$C$9</f>
        <v>0</v>
      </c>
      <c r="O369" s="61" t="n">
        <f aca="false">Resumo!$C$13</f>
        <v>13.55</v>
      </c>
      <c r="P369" s="61" t="n">
        <f aca="false">Resumo!$C$14*CEILING(G369,1)</f>
        <v>23.85</v>
      </c>
      <c r="Q369" s="61" t="n">
        <f aca="false">SUM(I369:P369)*Resumo!$C$11</f>
        <v>0</v>
      </c>
      <c r="R369" s="61" t="n">
        <f aca="false">SUM(I369:Q369)</f>
        <v>99.930528</v>
      </c>
      <c r="S369" s="61" t="n">
        <f aca="false">R369/(1-Resumo!$C$5)</f>
        <v>113.557418181818</v>
      </c>
      <c r="T369" s="61" t="n">
        <v>112.3</v>
      </c>
      <c r="U369" s="61" t="n">
        <f aca="false">H369*Resumo!$B$6</f>
        <v>0.68584</v>
      </c>
      <c r="V369" s="61" t="n">
        <f aca="false">H369*Resumo!$B$7</f>
        <v>1.37168</v>
      </c>
      <c r="W369" s="61" t="n">
        <f aca="false">Resumo!$B$9</f>
        <v>1</v>
      </c>
      <c r="X369" s="61" t="n">
        <f aca="false">Resumo!$B$10*CEILING(G369/100,1)</f>
        <v>4.5</v>
      </c>
      <c r="Y369" s="61" t="n">
        <f aca="false">Resumo!$B$12*CEILING(G369,1)</f>
        <v>3.18</v>
      </c>
      <c r="Z369" s="61" t="n">
        <f aca="false">Resumo!$B$14*CEILING(G369,1)</f>
        <v>23.85</v>
      </c>
      <c r="AA369" s="61" t="n">
        <f aca="false">SUM(T369:Z369)</f>
        <v>146.88752</v>
      </c>
      <c r="AB369" s="61" t="n">
        <f aca="false">AA369/(1-Resumo!$B$5)</f>
        <v>166.917636363636</v>
      </c>
      <c r="AC369" s="61" t="n">
        <f aca="false">AB369-S369</f>
        <v>53.3602181818182</v>
      </c>
      <c r="AD369" s="62" t="n">
        <f aca="false">AB369/S369-1</f>
        <v>0.469896366403668</v>
      </c>
      <c r="AE369" s="60" t="str">
        <f aca="false">IF(AB369&lt;S369,"SIM","NÃO")</f>
        <v>NÃO</v>
      </c>
      <c r="AF369" s="60" t="n">
        <v>2</v>
      </c>
      <c r="AG369" s="60" t="n">
        <v>5</v>
      </c>
      <c r="AH369" s="60" t="s">
        <v>382</v>
      </c>
      <c r="AI369" s="61" t="n">
        <f aca="false">(T369*(1-Painel!$C$40)+U369+V369+Painel!$C$41+Painel!$C$42*CEILING(G369/100,1)+Painel!$C$43*CEILING(G369,1)+Z369)/(1-Resumo!$B$5)</f>
        <v>117.271045454545</v>
      </c>
      <c r="AJ369" s="60" t="str">
        <f aca="false">IF(AI369&lt;S369,"SIM","NÃO")</f>
        <v>NÃO</v>
      </c>
    </row>
    <row r="370" customFormat="false" ht="15" hidden="false" customHeight="false" outlineLevel="0" collapsed="false">
      <c r="A370" s="59" t="n">
        <v>46231.6302314815</v>
      </c>
      <c r="B370" s="60" t="s">
        <v>740</v>
      </c>
      <c r="C370" s="60" t="n">
        <v>22641190</v>
      </c>
      <c r="D370" s="60" t="s">
        <v>46</v>
      </c>
      <c r="E370" s="60" t="s">
        <v>22</v>
      </c>
      <c r="F370" s="60" t="s">
        <v>234</v>
      </c>
      <c r="G370" s="60" t="n">
        <v>36.9</v>
      </c>
      <c r="H370" s="61" t="n">
        <v>459.99</v>
      </c>
      <c r="I370" s="61" t="n">
        <v>48.35</v>
      </c>
      <c r="J370" s="61" t="n">
        <f aca="false">H370*Resumo!$C$6</f>
        <v>0</v>
      </c>
      <c r="K370" s="61" t="n">
        <f aca="false">H370*Resumo!$C$7</f>
        <v>0.965979</v>
      </c>
      <c r="L370" s="61" t="n">
        <f aca="false">H370*Resumo!$C$8</f>
        <v>0.965979</v>
      </c>
      <c r="M370" s="61" t="n">
        <f aca="false">Resumo!$C$10*CEILING(G370/100,1)</f>
        <v>1.05</v>
      </c>
      <c r="N370" s="61" t="n">
        <f aca="false">Resumo!$C$9</f>
        <v>0</v>
      </c>
      <c r="O370" s="61" t="n">
        <f aca="false">Resumo!$C$13</f>
        <v>13.55</v>
      </c>
      <c r="P370" s="61" t="n">
        <f aca="false">Resumo!$C$14*CEILING(G370,1)</f>
        <v>16.65</v>
      </c>
      <c r="Q370" s="61" t="n">
        <f aca="false">SUM(I370:P370)*Resumo!$C$11</f>
        <v>0</v>
      </c>
      <c r="R370" s="61" t="n">
        <f aca="false">SUM(I370:Q370)</f>
        <v>81.531958</v>
      </c>
      <c r="S370" s="61" t="n">
        <f aca="false">R370/(1-Resumo!$C$5)</f>
        <v>92.6499522727273</v>
      </c>
      <c r="T370" s="61" t="n">
        <v>93.97</v>
      </c>
      <c r="U370" s="61" t="n">
        <f aca="false">H370*Resumo!$B$6</f>
        <v>0.45999</v>
      </c>
      <c r="V370" s="61" t="n">
        <f aca="false">H370*Resumo!$B$7</f>
        <v>0.91998</v>
      </c>
      <c r="W370" s="61" t="n">
        <f aca="false">Resumo!$B$9</f>
        <v>1</v>
      </c>
      <c r="X370" s="61" t="n">
        <f aca="false">Resumo!$B$10*CEILING(G370/100,1)</f>
        <v>4.5</v>
      </c>
      <c r="Y370" s="61" t="n">
        <f aca="false">Resumo!$B$12*CEILING(G370,1)</f>
        <v>2.22</v>
      </c>
      <c r="Z370" s="61" t="n">
        <f aca="false">Resumo!$B$14*CEILING(G370,1)</f>
        <v>16.65</v>
      </c>
      <c r="AA370" s="61" t="n">
        <f aca="false">SUM(T370:Z370)</f>
        <v>119.71997</v>
      </c>
      <c r="AB370" s="61" t="n">
        <f aca="false">AA370/(1-Resumo!$B$5)</f>
        <v>136.045420454545</v>
      </c>
      <c r="AC370" s="61" t="n">
        <f aca="false">AB370-S370</f>
        <v>43.3954681818182</v>
      </c>
      <c r="AD370" s="62" t="n">
        <f aca="false">AB370/S370-1</f>
        <v>0.468380901633688</v>
      </c>
      <c r="AE370" s="60" t="str">
        <f aca="false">IF(AB370&lt;S370,"SIM","NÃO")</f>
        <v>NÃO</v>
      </c>
      <c r="AF370" s="60" t="n">
        <v>2</v>
      </c>
      <c r="AG370" s="60" t="n">
        <v>5</v>
      </c>
      <c r="AH370" s="60" t="s">
        <v>382</v>
      </c>
      <c r="AI370" s="61" t="n">
        <f aca="false">(T370*(1-Painel!$C$40)+U370+V370+Painel!$C$41+Painel!$C$42*CEILING(G370/100,1)+Painel!$C$43*CEILING(G370,1)+Z370)/(1-Resumo!$B$5)</f>
        <v>94.3634886363636</v>
      </c>
      <c r="AJ370" s="60" t="str">
        <f aca="false">IF(AI370&lt;S370,"SIM","NÃO")</f>
        <v>NÃO</v>
      </c>
    </row>
    <row r="371" customFormat="false" ht="15" hidden="false" customHeight="false" outlineLevel="0" collapsed="false">
      <c r="A371" s="59" t="n">
        <v>46231.6924189815</v>
      </c>
      <c r="B371" s="60" t="s">
        <v>741</v>
      </c>
      <c r="C371" s="60" t="n">
        <v>22452100</v>
      </c>
      <c r="D371" s="60" t="s">
        <v>46</v>
      </c>
      <c r="E371" s="60" t="s">
        <v>22</v>
      </c>
      <c r="F371" s="60" t="s">
        <v>234</v>
      </c>
      <c r="G371" s="60" t="n">
        <v>37.2</v>
      </c>
      <c r="H371" s="61" t="n">
        <v>399.99</v>
      </c>
      <c r="I371" s="61" t="n">
        <v>48.35</v>
      </c>
      <c r="J371" s="61" t="n">
        <f aca="false">H371*Resumo!$C$6</f>
        <v>0</v>
      </c>
      <c r="K371" s="61" t="n">
        <f aca="false">H371*Resumo!$C$7</f>
        <v>0.839979</v>
      </c>
      <c r="L371" s="61" t="n">
        <f aca="false">H371*Resumo!$C$8</f>
        <v>0.839979</v>
      </c>
      <c r="M371" s="61" t="n">
        <f aca="false">Resumo!$C$10*CEILING(G371/100,1)</f>
        <v>1.05</v>
      </c>
      <c r="N371" s="61" t="n">
        <f aca="false">Resumo!$C$9</f>
        <v>0</v>
      </c>
      <c r="O371" s="61" t="n">
        <f aca="false">Resumo!$C$13</f>
        <v>13.55</v>
      </c>
      <c r="P371" s="61" t="n">
        <f aca="false">Resumo!$C$14*CEILING(G371,1)</f>
        <v>17.1</v>
      </c>
      <c r="Q371" s="61" t="n">
        <f aca="false">SUM(I371:P371)*Resumo!$C$11</f>
        <v>0</v>
      </c>
      <c r="R371" s="61" t="n">
        <f aca="false">SUM(I371:Q371)</f>
        <v>81.729958</v>
      </c>
      <c r="S371" s="61" t="n">
        <f aca="false">R371/(1-Resumo!$C$5)</f>
        <v>92.8749522727273</v>
      </c>
      <c r="T371" s="61" t="n">
        <v>93.97</v>
      </c>
      <c r="U371" s="61" t="n">
        <f aca="false">H371*Resumo!$B$6</f>
        <v>0.39999</v>
      </c>
      <c r="V371" s="61" t="n">
        <f aca="false">H371*Resumo!$B$7</f>
        <v>0.79998</v>
      </c>
      <c r="W371" s="61" t="n">
        <f aca="false">Resumo!$B$9</f>
        <v>1</v>
      </c>
      <c r="X371" s="61" t="n">
        <f aca="false">Resumo!$B$10*CEILING(G371/100,1)</f>
        <v>4.5</v>
      </c>
      <c r="Y371" s="61" t="n">
        <f aca="false">Resumo!$B$12*CEILING(G371,1)</f>
        <v>2.28</v>
      </c>
      <c r="Z371" s="61" t="n">
        <f aca="false">Resumo!$B$14*CEILING(G371,1)</f>
        <v>17.1</v>
      </c>
      <c r="AA371" s="61" t="n">
        <f aca="false">SUM(T371:Z371)</f>
        <v>120.04997</v>
      </c>
      <c r="AB371" s="61" t="n">
        <f aca="false">AA371/(1-Resumo!$B$5)</f>
        <v>136.420420454545</v>
      </c>
      <c r="AC371" s="61" t="n">
        <f aca="false">AB371-S371</f>
        <v>43.5454681818182</v>
      </c>
      <c r="AD371" s="62" t="n">
        <f aca="false">AB371/S371-1</f>
        <v>0.468861271163262</v>
      </c>
      <c r="AE371" s="60" t="str">
        <f aca="false">IF(AB371&lt;S371,"SIM","NÃO")</f>
        <v>NÃO</v>
      </c>
      <c r="AF371" s="60" t="n">
        <v>2</v>
      </c>
      <c r="AG371" s="60" t="n">
        <v>5</v>
      </c>
      <c r="AH371" s="60" t="s">
        <v>382</v>
      </c>
      <c r="AI371" s="61" t="n">
        <f aca="false">(T371*(1-Painel!$C$40)+U371+V371+Painel!$C$41+Painel!$C$42*CEILING(G371/100,1)+Painel!$C$43*CEILING(G371,1)+Z371)/(1-Resumo!$B$5)</f>
        <v>94.6703068181818</v>
      </c>
      <c r="AJ371" s="60" t="str">
        <f aca="false">IF(AI371&lt;S371,"SIM","NÃO")</f>
        <v>NÃO</v>
      </c>
    </row>
    <row r="372" customFormat="false" ht="15" hidden="false" customHeight="false" outlineLevel="0" collapsed="false">
      <c r="A372" s="59" t="n">
        <v>46231.7067708333</v>
      </c>
      <c r="B372" s="60" t="s">
        <v>742</v>
      </c>
      <c r="C372" s="60" t="n">
        <v>20261004</v>
      </c>
      <c r="D372" s="60" t="s">
        <v>46</v>
      </c>
      <c r="E372" s="60" t="s">
        <v>22</v>
      </c>
      <c r="F372" s="60" t="s">
        <v>241</v>
      </c>
      <c r="G372" s="60" t="n">
        <v>132.8</v>
      </c>
      <c r="H372" s="61" t="n">
        <v>1665.88</v>
      </c>
      <c r="I372" s="61" t="n">
        <v>120.59</v>
      </c>
      <c r="J372" s="61" t="n">
        <f aca="false">H372*Resumo!$C$6</f>
        <v>0</v>
      </c>
      <c r="K372" s="61" t="n">
        <f aca="false">H372*Resumo!$C$7</f>
        <v>3.498348</v>
      </c>
      <c r="L372" s="61" t="n">
        <f aca="false">H372*Resumo!$C$8</f>
        <v>3.498348</v>
      </c>
      <c r="M372" s="61" t="n">
        <f aca="false">Resumo!$C$10*CEILING(G372/100,1)</f>
        <v>2.1</v>
      </c>
      <c r="N372" s="61" t="n">
        <f aca="false">Resumo!$C$9</f>
        <v>0</v>
      </c>
      <c r="O372" s="61" t="n">
        <f aca="false">Resumo!$C$13</f>
        <v>13.55</v>
      </c>
      <c r="P372" s="61" t="n">
        <f aca="false">Resumo!$C$14*CEILING(G372,1)</f>
        <v>59.85</v>
      </c>
      <c r="Q372" s="61" t="n">
        <f aca="false">SUM(I372:P372)*Resumo!$C$11</f>
        <v>0</v>
      </c>
      <c r="R372" s="61" t="n">
        <f aca="false">SUM(I372:Q372)</f>
        <v>203.086696</v>
      </c>
      <c r="S372" s="61" t="n">
        <f aca="false">R372/(1-Resumo!$C$5)</f>
        <v>230.780336363636</v>
      </c>
      <c r="T372" s="61" t="n">
        <v>239.25</v>
      </c>
      <c r="U372" s="61" t="n">
        <f aca="false">H372*Resumo!$B$6</f>
        <v>1.66588</v>
      </c>
      <c r="V372" s="61" t="n">
        <f aca="false">H372*Resumo!$B$7</f>
        <v>3.33176</v>
      </c>
      <c r="W372" s="61" t="n">
        <f aca="false">Resumo!$B$9</f>
        <v>1</v>
      </c>
      <c r="X372" s="61" t="n">
        <f aca="false">Resumo!$B$10*CEILING(G372/100,1)</f>
        <v>9</v>
      </c>
      <c r="Y372" s="61" t="n">
        <f aca="false">Resumo!$B$12*CEILING(G372,1)</f>
        <v>7.98</v>
      </c>
      <c r="Z372" s="61" t="n">
        <f aca="false">Resumo!$B$14*CEILING(G372,1)</f>
        <v>59.85</v>
      </c>
      <c r="AA372" s="61" t="n">
        <f aca="false">SUM(T372:Z372)</f>
        <v>322.07764</v>
      </c>
      <c r="AB372" s="61" t="n">
        <f aca="false">AA372/(1-Resumo!$B$5)</f>
        <v>365.997318181818</v>
      </c>
      <c r="AC372" s="61" t="n">
        <f aca="false">AB372-S372</f>
        <v>135.216981818182</v>
      </c>
      <c r="AD372" s="62" t="n">
        <f aca="false">AB372/S372-1</f>
        <v>0.585912057971538</v>
      </c>
      <c r="AE372" s="60" t="str">
        <f aca="false">IF(AB372&lt;S372,"SIM","NÃO")</f>
        <v>NÃO</v>
      </c>
      <c r="AF372" s="60" t="n">
        <v>2</v>
      </c>
      <c r="AG372" s="60" t="n">
        <v>5</v>
      </c>
      <c r="AH372" s="60" t="s">
        <v>382</v>
      </c>
      <c r="AI372" s="61" t="n">
        <f aca="false">(T372*(1-Painel!$C$40)+U372+V372+Painel!$C$41+Painel!$C$42*CEILING(G372/100,1)+Painel!$C$43*CEILING(G372,1)+Z372)/(1-Resumo!$B$5)</f>
        <v>259.369477272727</v>
      </c>
      <c r="AJ372" s="60" t="str">
        <f aca="false">IF(AI372&lt;S372,"SIM","NÃO")</f>
        <v>NÃO</v>
      </c>
    </row>
    <row r="373" customFormat="false" ht="15" hidden="false" customHeight="false" outlineLevel="0" collapsed="false">
      <c r="A373" s="59" t="n">
        <v>46231.7133912037</v>
      </c>
      <c r="B373" s="60" t="s">
        <v>743</v>
      </c>
      <c r="C373" s="60" t="n">
        <v>23025070</v>
      </c>
      <c r="D373" s="60" t="s">
        <v>46</v>
      </c>
      <c r="E373" s="60" t="s">
        <v>22</v>
      </c>
      <c r="F373" s="60" t="s">
        <v>241</v>
      </c>
      <c r="G373" s="60" t="n">
        <v>141.5</v>
      </c>
      <c r="H373" s="61" t="n">
        <v>1699.99</v>
      </c>
      <c r="I373" s="61" t="n">
        <v>120.59</v>
      </c>
      <c r="J373" s="61" t="n">
        <f aca="false">H373*Resumo!$C$6</f>
        <v>0</v>
      </c>
      <c r="K373" s="61" t="n">
        <f aca="false">H373*Resumo!$C$7</f>
        <v>3.569979</v>
      </c>
      <c r="L373" s="61" t="n">
        <f aca="false">H373*Resumo!$C$8</f>
        <v>3.569979</v>
      </c>
      <c r="M373" s="61" t="n">
        <f aca="false">Resumo!$C$10*CEILING(G373/100,1)</f>
        <v>2.1</v>
      </c>
      <c r="N373" s="61" t="n">
        <f aca="false">Resumo!$C$9</f>
        <v>0</v>
      </c>
      <c r="O373" s="61" t="n">
        <f aca="false">Resumo!$C$13</f>
        <v>13.55</v>
      </c>
      <c r="P373" s="61" t="n">
        <f aca="false">Resumo!$C$14*CEILING(G373,1)</f>
        <v>63.9</v>
      </c>
      <c r="Q373" s="61" t="n">
        <f aca="false">SUM(I373:P373)*Resumo!$C$11</f>
        <v>0</v>
      </c>
      <c r="R373" s="61" t="n">
        <f aca="false">SUM(I373:Q373)</f>
        <v>207.279958</v>
      </c>
      <c r="S373" s="61" t="n">
        <f aca="false">R373/(1-Resumo!$C$5)</f>
        <v>235.545406818182</v>
      </c>
      <c r="T373" s="61" t="n">
        <v>239.25</v>
      </c>
      <c r="U373" s="61" t="n">
        <f aca="false">H373*Resumo!$B$6</f>
        <v>1.69999</v>
      </c>
      <c r="V373" s="61" t="n">
        <f aca="false">H373*Resumo!$B$7</f>
        <v>3.39998</v>
      </c>
      <c r="W373" s="61" t="n">
        <f aca="false">Resumo!$B$9</f>
        <v>1</v>
      </c>
      <c r="X373" s="61" t="n">
        <f aca="false">Resumo!$B$10*CEILING(G373/100,1)</f>
        <v>9</v>
      </c>
      <c r="Y373" s="61" t="n">
        <f aca="false">Resumo!$B$12*CEILING(G373,1)</f>
        <v>8.52</v>
      </c>
      <c r="Z373" s="61" t="n">
        <f aca="false">Resumo!$B$14*CEILING(G373,1)</f>
        <v>63.9</v>
      </c>
      <c r="AA373" s="61" t="n">
        <f aca="false">SUM(T373:Z373)</f>
        <v>326.76997</v>
      </c>
      <c r="AB373" s="61" t="n">
        <f aca="false">AA373/(1-Resumo!$B$5)</f>
        <v>371.329511363636</v>
      </c>
      <c r="AC373" s="61" t="n">
        <f aca="false">AB373-S373</f>
        <v>135.784104545455</v>
      </c>
      <c r="AD373" s="62" t="n">
        <f aca="false">AB373/S373-1</f>
        <v>0.576466789905467</v>
      </c>
      <c r="AE373" s="60" t="str">
        <f aca="false">IF(AB373&lt;S373,"SIM","NÃO")</f>
        <v>NÃO</v>
      </c>
      <c r="AF373" s="60" t="n">
        <v>2</v>
      </c>
      <c r="AG373" s="60" t="n">
        <v>5</v>
      </c>
      <c r="AH373" s="60" t="s">
        <v>382</v>
      </c>
      <c r="AI373" s="61" t="n">
        <f aca="false">(T373*(1-Painel!$C$40)+U373+V373+Painel!$C$41+Painel!$C$42*CEILING(G373/100,1)+Painel!$C$43*CEILING(G373,1)+Z373)/(1-Resumo!$B$5)</f>
        <v>264.088034090909</v>
      </c>
      <c r="AJ373" s="60" t="str">
        <f aca="false">IF(AI373&lt;S373,"SIM","NÃO")</f>
        <v>NÃO</v>
      </c>
    </row>
    <row r="374" customFormat="false" ht="15" hidden="false" customHeight="false" outlineLevel="0" collapsed="false">
      <c r="A374" s="59" t="n">
        <v>46231.9431365741</v>
      </c>
      <c r="B374" s="60" t="s">
        <v>744</v>
      </c>
      <c r="C374" s="60" t="n">
        <v>22730521</v>
      </c>
      <c r="D374" s="60" t="s">
        <v>46</v>
      </c>
      <c r="E374" s="60" t="s">
        <v>22</v>
      </c>
      <c r="F374" s="60" t="s">
        <v>236</v>
      </c>
      <c r="G374" s="60" t="n">
        <v>52.3</v>
      </c>
      <c r="H374" s="61" t="n">
        <v>685.84</v>
      </c>
      <c r="I374" s="61" t="n">
        <v>58.6</v>
      </c>
      <c r="J374" s="61" t="n">
        <f aca="false">H374*Resumo!$C$6</f>
        <v>0</v>
      </c>
      <c r="K374" s="61" t="n">
        <f aca="false">H374*Resumo!$C$7</f>
        <v>1.440264</v>
      </c>
      <c r="L374" s="61" t="n">
        <f aca="false">H374*Resumo!$C$8</f>
        <v>1.440264</v>
      </c>
      <c r="M374" s="61" t="n">
        <f aca="false">Resumo!$C$10*CEILING(G374/100,1)</f>
        <v>1.05</v>
      </c>
      <c r="N374" s="61" t="n">
        <f aca="false">Resumo!$C$9</f>
        <v>0</v>
      </c>
      <c r="O374" s="61" t="n">
        <f aca="false">Resumo!$C$13</f>
        <v>13.55</v>
      </c>
      <c r="P374" s="61" t="n">
        <f aca="false">Resumo!$C$14*CEILING(G374,1)</f>
        <v>23.85</v>
      </c>
      <c r="Q374" s="61" t="n">
        <f aca="false">SUM(I374:P374)*Resumo!$C$11</f>
        <v>0</v>
      </c>
      <c r="R374" s="61" t="n">
        <f aca="false">SUM(I374:Q374)</f>
        <v>99.930528</v>
      </c>
      <c r="S374" s="61" t="n">
        <f aca="false">R374/(1-Resumo!$C$5)</f>
        <v>113.557418181818</v>
      </c>
      <c r="T374" s="61" t="n">
        <v>112.3</v>
      </c>
      <c r="U374" s="61" t="n">
        <f aca="false">H374*Resumo!$B$6</f>
        <v>0.68584</v>
      </c>
      <c r="V374" s="61" t="n">
        <f aca="false">H374*Resumo!$B$7</f>
        <v>1.37168</v>
      </c>
      <c r="W374" s="61" t="n">
        <f aca="false">Resumo!$B$9</f>
        <v>1</v>
      </c>
      <c r="X374" s="61" t="n">
        <f aca="false">Resumo!$B$10*CEILING(G374/100,1)</f>
        <v>4.5</v>
      </c>
      <c r="Y374" s="61" t="n">
        <f aca="false">Resumo!$B$12*CEILING(G374,1)</f>
        <v>3.18</v>
      </c>
      <c r="Z374" s="61" t="n">
        <f aca="false">Resumo!$B$14*CEILING(G374,1)</f>
        <v>23.85</v>
      </c>
      <c r="AA374" s="61" t="n">
        <f aca="false">SUM(T374:Z374)</f>
        <v>146.88752</v>
      </c>
      <c r="AB374" s="61" t="n">
        <f aca="false">AA374/(1-Resumo!$B$5)</f>
        <v>166.917636363636</v>
      </c>
      <c r="AC374" s="61" t="n">
        <f aca="false">AB374-S374</f>
        <v>53.3602181818182</v>
      </c>
      <c r="AD374" s="62" t="n">
        <f aca="false">AB374/S374-1</f>
        <v>0.469896366403668</v>
      </c>
      <c r="AE374" s="60" t="str">
        <f aca="false">IF(AB374&lt;S374,"SIM","NÃO")</f>
        <v>NÃO</v>
      </c>
      <c r="AF374" s="60" t="n">
        <v>2</v>
      </c>
      <c r="AG374" s="60" t="n">
        <v>5</v>
      </c>
      <c r="AH374" s="60" t="s">
        <v>382</v>
      </c>
      <c r="AI374" s="61" t="n">
        <f aca="false">(T374*(1-Painel!$C$40)+U374+V374+Painel!$C$41+Painel!$C$42*CEILING(G374/100,1)+Painel!$C$43*CEILING(G374,1)+Z374)/(1-Resumo!$B$5)</f>
        <v>117.271045454545</v>
      </c>
      <c r="AJ374" s="60" t="str">
        <f aca="false">IF(AI374&lt;S374,"SIM","NÃO")</f>
        <v>NÃO</v>
      </c>
    </row>
    <row r="375" customFormat="false" ht="15" hidden="false" customHeight="false" outlineLevel="0" collapsed="false">
      <c r="A375" s="59" t="n">
        <v>46231.9587268519</v>
      </c>
      <c r="B375" s="60" t="s">
        <v>745</v>
      </c>
      <c r="C375" s="60" t="n">
        <v>21331050</v>
      </c>
      <c r="D375" s="60" t="s">
        <v>46</v>
      </c>
      <c r="E375" s="60" t="s">
        <v>22</v>
      </c>
      <c r="F375" s="60" t="s">
        <v>240</v>
      </c>
      <c r="G375" s="60" t="n">
        <v>106.5</v>
      </c>
      <c r="H375" s="61" t="n">
        <v>1249.99</v>
      </c>
      <c r="I375" s="61" t="n">
        <v>92.34</v>
      </c>
      <c r="J375" s="61" t="n">
        <f aca="false">H375*Resumo!$C$6</f>
        <v>0</v>
      </c>
      <c r="K375" s="61" t="n">
        <f aca="false">H375*Resumo!$C$7</f>
        <v>2.624979</v>
      </c>
      <c r="L375" s="61" t="n">
        <f aca="false">H375*Resumo!$C$8</f>
        <v>2.624979</v>
      </c>
      <c r="M375" s="61" t="n">
        <f aca="false">Resumo!$C$10*CEILING(G375/100,1)</f>
        <v>2.1</v>
      </c>
      <c r="N375" s="61" t="n">
        <f aca="false">Resumo!$C$9</f>
        <v>0</v>
      </c>
      <c r="O375" s="61" t="n">
        <f aca="false">Resumo!$C$13</f>
        <v>13.55</v>
      </c>
      <c r="P375" s="61" t="n">
        <f aca="false">Resumo!$C$14*CEILING(G375,1)</f>
        <v>48.15</v>
      </c>
      <c r="Q375" s="61" t="n">
        <f aca="false">SUM(I375:P375)*Resumo!$C$11</f>
        <v>0</v>
      </c>
      <c r="R375" s="61" t="n">
        <f aca="false">SUM(I375:Q375)</f>
        <v>161.389958</v>
      </c>
      <c r="S375" s="61" t="n">
        <f aca="false">R375/(1-Resumo!$C$5)</f>
        <v>183.397679545455</v>
      </c>
      <c r="T375" s="61" t="n">
        <v>201.59</v>
      </c>
      <c r="U375" s="61" t="n">
        <f aca="false">H375*Resumo!$B$6</f>
        <v>1.24999</v>
      </c>
      <c r="V375" s="61" t="n">
        <f aca="false">H375*Resumo!$B$7</f>
        <v>2.49998</v>
      </c>
      <c r="W375" s="61" t="n">
        <f aca="false">Resumo!$B$9</f>
        <v>1</v>
      </c>
      <c r="X375" s="61" t="n">
        <f aca="false">Resumo!$B$10*CEILING(G375/100,1)</f>
        <v>9</v>
      </c>
      <c r="Y375" s="61" t="n">
        <f aca="false">Resumo!$B$12*CEILING(G375,1)</f>
        <v>6.42</v>
      </c>
      <c r="Z375" s="61" t="n">
        <f aca="false">Resumo!$B$14*CEILING(G375,1)</f>
        <v>48.15</v>
      </c>
      <c r="AA375" s="61" t="n">
        <f aca="false">SUM(T375:Z375)</f>
        <v>269.90997</v>
      </c>
      <c r="AB375" s="61" t="n">
        <f aca="false">AA375/(1-Resumo!$B$5)</f>
        <v>306.715875</v>
      </c>
      <c r="AC375" s="61" t="n">
        <f aca="false">AB375-S375</f>
        <v>123.318195454545</v>
      </c>
      <c r="AD375" s="62" t="n">
        <f aca="false">AB375/S375-1</f>
        <v>0.672408700918058</v>
      </c>
      <c r="AE375" s="60" t="str">
        <f aca="false">IF(AB375&lt;S375,"SIM","NÃO")</f>
        <v>NÃO</v>
      </c>
      <c r="AF375" s="60" t="n">
        <v>2</v>
      </c>
      <c r="AG375" s="60" t="n">
        <v>5</v>
      </c>
      <c r="AH375" s="60" t="s">
        <v>382</v>
      </c>
      <c r="AI375" s="61" t="n">
        <f aca="false">(T375*(1-Painel!$C$40)+U375+V375+Painel!$C$41+Painel!$C$42*CEILING(G375/100,1)+Painel!$C$43*CEILING(G375,1)+Z375)/(1-Resumo!$B$5)</f>
        <v>215.983261363636</v>
      </c>
      <c r="AJ375" s="60" t="str">
        <f aca="false">IF(AI375&lt;S375,"SIM","NÃO")</f>
        <v>NÃO</v>
      </c>
    </row>
    <row r="376" customFormat="false" ht="15" hidden="false" customHeight="false" outlineLevel="0" collapsed="false">
      <c r="A376" s="59" t="n">
        <v>46232.4217939815</v>
      </c>
      <c r="B376" s="60" t="s">
        <v>746</v>
      </c>
      <c r="C376" s="60" t="n">
        <v>27130050</v>
      </c>
      <c r="D376" s="60" t="s">
        <v>290</v>
      </c>
      <c r="E376" s="60" t="s">
        <v>24</v>
      </c>
      <c r="F376" s="60" t="s">
        <v>234</v>
      </c>
      <c r="G376" s="60" t="n">
        <v>40</v>
      </c>
      <c r="H376" s="61" t="n">
        <v>599.99</v>
      </c>
      <c r="I376" s="61" t="n">
        <v>74.97</v>
      </c>
      <c r="J376" s="61" t="n">
        <f aca="false">H376*Resumo!$C$6</f>
        <v>0</v>
      </c>
      <c r="K376" s="61" t="n">
        <f aca="false">H376*Resumo!$C$7</f>
        <v>1.259979</v>
      </c>
      <c r="L376" s="61" t="n">
        <f aca="false">H376*Resumo!$C$8</f>
        <v>1.259979</v>
      </c>
      <c r="M376" s="61" t="n">
        <f aca="false">Resumo!$C$10*CEILING(G376/100,1)</f>
        <v>1.05</v>
      </c>
      <c r="N376" s="61" t="n">
        <f aca="false">Resumo!$C$9</f>
        <v>0</v>
      </c>
      <c r="O376" s="61" t="n">
        <f aca="false">Resumo!$C$13</f>
        <v>13.55</v>
      </c>
      <c r="P376" s="61" t="n">
        <f aca="false">Resumo!$C$14*CEILING(G376,1)</f>
        <v>18</v>
      </c>
      <c r="Q376" s="61" t="n">
        <f aca="false">SUM(I376:P376)*Resumo!$C$11</f>
        <v>0</v>
      </c>
      <c r="R376" s="61" t="n">
        <f aca="false">SUM(I376:Q376)</f>
        <v>110.089958</v>
      </c>
      <c r="S376" s="61" t="n">
        <f aca="false">R376/(1-Resumo!$C$5)</f>
        <v>125.102225</v>
      </c>
      <c r="T376" s="61" t="n">
        <v>124.38</v>
      </c>
      <c r="U376" s="61" t="n">
        <f aca="false">H376*Resumo!$B$6</f>
        <v>0.59999</v>
      </c>
      <c r="V376" s="61" t="n">
        <f aca="false">H376*Resumo!$B$7</f>
        <v>1.19998</v>
      </c>
      <c r="W376" s="61" t="n">
        <f aca="false">Resumo!$B$9</f>
        <v>1</v>
      </c>
      <c r="X376" s="61" t="n">
        <f aca="false">Resumo!$B$10*CEILING(G376/100,1)</f>
        <v>4.5</v>
      </c>
      <c r="Y376" s="61" t="n">
        <f aca="false">Resumo!$B$12*CEILING(G376,1)</f>
        <v>2.4</v>
      </c>
      <c r="Z376" s="61" t="n">
        <f aca="false">Resumo!$B$14*CEILING(G376,1)</f>
        <v>18</v>
      </c>
      <c r="AA376" s="61" t="n">
        <f aca="false">SUM(T376:Z376)</f>
        <v>152.07997</v>
      </c>
      <c r="AB376" s="61" t="n">
        <f aca="false">AA376/(1-Resumo!$B$5)</f>
        <v>172.818147727273</v>
      </c>
      <c r="AC376" s="61" t="n">
        <f aca="false">AB376-S376</f>
        <v>47.7159227272727</v>
      </c>
      <c r="AD376" s="62" t="n">
        <f aca="false">AB376/S376-1</f>
        <v>0.381415460254786</v>
      </c>
      <c r="AE376" s="60" t="str">
        <f aca="false">IF(AB376&lt;S376,"SIM","NÃO")</f>
        <v>NÃO</v>
      </c>
      <c r="AF376" s="60" t="n">
        <v>13</v>
      </c>
      <c r="AG376" s="60" t="n">
        <v>10</v>
      </c>
      <c r="AH376" s="60" t="s">
        <v>385</v>
      </c>
      <c r="AI376" s="61" t="n">
        <f aca="false">(T376*(1-Painel!$C$40)+U376+V376+Painel!$C$41+Painel!$C$42*CEILING(G376/100,1)+Painel!$C$43*CEILING(G376,1)+Z376)/(1-Resumo!$B$5)</f>
        <v>119.527920454545</v>
      </c>
      <c r="AJ376" s="60" t="str">
        <f aca="false">IF(AI376&lt;S376,"SIM","NÃO")</f>
        <v>SIM</v>
      </c>
    </row>
    <row r="377" customFormat="false" ht="15" hidden="false" customHeight="false" outlineLevel="0" collapsed="false">
      <c r="A377" s="59" t="n">
        <v>46232.4442939815</v>
      </c>
      <c r="B377" s="60" t="s">
        <v>747</v>
      </c>
      <c r="C377" s="60" t="n">
        <v>25025237</v>
      </c>
      <c r="D377" s="60" t="s">
        <v>48</v>
      </c>
      <c r="E377" s="60" t="s">
        <v>23</v>
      </c>
      <c r="F377" s="60" t="s">
        <v>233</v>
      </c>
      <c r="G377" s="60" t="n">
        <v>23</v>
      </c>
      <c r="H377" s="61" t="n">
        <v>349.99</v>
      </c>
      <c r="I377" s="61" t="n">
        <v>58.8</v>
      </c>
      <c r="J377" s="61" t="n">
        <f aca="false">H377*Resumo!$C$6</f>
        <v>0</v>
      </c>
      <c r="K377" s="61" t="n">
        <f aca="false">H377*Resumo!$C$7</f>
        <v>0.734979</v>
      </c>
      <c r="L377" s="61" t="n">
        <f aca="false">H377*Resumo!$C$8</f>
        <v>0.734979</v>
      </c>
      <c r="M377" s="61" t="n">
        <f aca="false">Resumo!$C$10*CEILING(G377/100,1)</f>
        <v>1.05</v>
      </c>
      <c r="N377" s="61" t="n">
        <f aca="false">Resumo!$C$9</f>
        <v>0</v>
      </c>
      <c r="O377" s="61" t="n">
        <f aca="false">Resumo!$C$13</f>
        <v>13.55</v>
      </c>
      <c r="P377" s="61" t="n">
        <f aca="false">Resumo!$C$14*CEILING(G377,1)</f>
        <v>10.35</v>
      </c>
      <c r="Q377" s="61" t="n">
        <f aca="false">SUM(I377:P377)*Resumo!$C$11</f>
        <v>0</v>
      </c>
      <c r="R377" s="61" t="n">
        <f aca="false">SUM(I377:Q377)</f>
        <v>85.219958</v>
      </c>
      <c r="S377" s="61" t="n">
        <f aca="false">R377/(1-Resumo!$C$5)</f>
        <v>96.8408613636364</v>
      </c>
      <c r="T377" s="61" t="n">
        <v>82.21</v>
      </c>
      <c r="U377" s="61" t="n">
        <f aca="false">H377*Resumo!$B$6</f>
        <v>0.34999</v>
      </c>
      <c r="V377" s="61" t="n">
        <f aca="false">H377*Resumo!$B$7</f>
        <v>0.69998</v>
      </c>
      <c r="W377" s="61" t="n">
        <f aca="false">Resumo!$B$9</f>
        <v>1</v>
      </c>
      <c r="X377" s="61" t="n">
        <f aca="false">Resumo!$B$10*CEILING(G377/100,1)</f>
        <v>4.5</v>
      </c>
      <c r="Y377" s="61" t="n">
        <f aca="false">Resumo!$B$12*CEILING(G377,1)</f>
        <v>1.38</v>
      </c>
      <c r="Z377" s="61" t="n">
        <f aca="false">Resumo!$B$14*CEILING(G377,1)</f>
        <v>10.35</v>
      </c>
      <c r="AA377" s="61" t="n">
        <f aca="false">SUM(T377:Z377)</f>
        <v>100.48997</v>
      </c>
      <c r="AB377" s="61" t="n">
        <f aca="false">AA377/(1-Resumo!$B$5)</f>
        <v>114.193147727273</v>
      </c>
      <c r="AC377" s="61" t="n">
        <f aca="false">AB377-S377</f>
        <v>17.3522863636364</v>
      </c>
      <c r="AD377" s="62" t="n">
        <f aca="false">AB377/S377-1</f>
        <v>0.17918351942863</v>
      </c>
      <c r="AE377" s="60" t="str">
        <f aca="false">IF(AB377&lt;S377,"SIM","NÃO")</f>
        <v>NÃO</v>
      </c>
      <c r="AF377" s="60" t="n">
        <v>2</v>
      </c>
      <c r="AG377" s="60" t="n">
        <v>5</v>
      </c>
      <c r="AH377" s="60" t="s">
        <v>382</v>
      </c>
      <c r="AI377" s="61" t="n">
        <f aca="false">(T377*(1-Painel!$C$40)+U377+V377+Painel!$C$41+Painel!$C$42*CEILING(G377/100,1)+Painel!$C$43*CEILING(G377,1)+Z377)/(1-Resumo!$B$5)</f>
        <v>77.8757613636363</v>
      </c>
      <c r="AJ377" s="60" t="str">
        <f aca="false">IF(AI377&lt;S377,"SIM","NÃO")</f>
        <v>SIM</v>
      </c>
    </row>
    <row r="378" customFormat="false" ht="15" hidden="false" customHeight="false" outlineLevel="0" collapsed="false">
      <c r="A378" s="59" t="n">
        <v>46232.4758333333</v>
      </c>
      <c r="B378" s="60" t="s">
        <v>748</v>
      </c>
      <c r="C378" s="60" t="n">
        <v>21715421</v>
      </c>
      <c r="D378" s="60" t="s">
        <v>46</v>
      </c>
      <c r="E378" s="60" t="s">
        <v>22</v>
      </c>
      <c r="F378" s="60" t="s">
        <v>233</v>
      </c>
      <c r="G378" s="60" t="n">
        <v>33.7</v>
      </c>
      <c r="H378" s="61" t="n">
        <v>387.19</v>
      </c>
      <c r="I378" s="61" t="n">
        <v>42.11</v>
      </c>
      <c r="J378" s="61" t="n">
        <f aca="false">H378*Resumo!$C$6</f>
        <v>0</v>
      </c>
      <c r="K378" s="61" t="n">
        <f aca="false">H378*Resumo!$C$7</f>
        <v>0.813099</v>
      </c>
      <c r="L378" s="61" t="n">
        <f aca="false">H378*Resumo!$C$8</f>
        <v>0.813099</v>
      </c>
      <c r="M378" s="61" t="n">
        <f aca="false">Resumo!$C$10*CEILING(G378/100,1)</f>
        <v>1.05</v>
      </c>
      <c r="N378" s="61" t="n">
        <f aca="false">Resumo!$C$9</f>
        <v>0</v>
      </c>
      <c r="O378" s="61" t="n">
        <f aca="false">Resumo!$C$13</f>
        <v>13.55</v>
      </c>
      <c r="P378" s="61" t="n">
        <f aca="false">Resumo!$C$14*CEILING(G378,1)</f>
        <v>15.3</v>
      </c>
      <c r="Q378" s="61" t="n">
        <f aca="false">SUM(I378:P378)*Resumo!$C$11</f>
        <v>0</v>
      </c>
      <c r="R378" s="61" t="n">
        <f aca="false">SUM(I378:Q378)</f>
        <v>73.636198</v>
      </c>
      <c r="S378" s="61" t="n">
        <f aca="false">R378/(1-Resumo!$C$5)</f>
        <v>83.6774977272727</v>
      </c>
      <c r="T378" s="61" t="n">
        <v>82.21</v>
      </c>
      <c r="U378" s="61" t="n">
        <f aca="false">H378*Resumo!$B$6</f>
        <v>0.38719</v>
      </c>
      <c r="V378" s="61" t="n">
        <f aca="false">H378*Resumo!$B$7</f>
        <v>0.77438</v>
      </c>
      <c r="W378" s="61" t="n">
        <f aca="false">Resumo!$B$9</f>
        <v>1</v>
      </c>
      <c r="X378" s="61" t="n">
        <f aca="false">Resumo!$B$10*CEILING(G378/100,1)</f>
        <v>4.5</v>
      </c>
      <c r="Y378" s="61" t="n">
        <f aca="false">Resumo!$B$12*CEILING(G378,1)</f>
        <v>2.04</v>
      </c>
      <c r="Z378" s="61" t="n">
        <f aca="false">Resumo!$B$14*CEILING(G378,1)</f>
        <v>15.3</v>
      </c>
      <c r="AA378" s="61" t="n">
        <f aca="false">SUM(T378:Z378)</f>
        <v>106.21157</v>
      </c>
      <c r="AB378" s="61" t="n">
        <f aca="false">AA378/(1-Resumo!$B$5)</f>
        <v>120.694965909091</v>
      </c>
      <c r="AC378" s="61" t="n">
        <f aca="false">AB378-S378</f>
        <v>37.0174681818182</v>
      </c>
      <c r="AD378" s="62" t="n">
        <f aca="false">AB378/S378-1</f>
        <v>0.44238259014948</v>
      </c>
      <c r="AE378" s="60" t="str">
        <f aca="false">IF(AB378&lt;S378,"SIM","NÃO")</f>
        <v>NÃO</v>
      </c>
      <c r="AF378" s="60" t="n">
        <v>2</v>
      </c>
      <c r="AG378" s="60" t="n">
        <v>5</v>
      </c>
      <c r="AH378" s="60" t="s">
        <v>382</v>
      </c>
      <c r="AI378" s="61" t="n">
        <f aca="false">(T378*(1-Painel!$C$40)+U378+V378+Painel!$C$41+Painel!$C$42*CEILING(G378/100,1)+Painel!$C$43*CEILING(G378,1)+Z378)/(1-Resumo!$B$5)</f>
        <v>83.6275795454545</v>
      </c>
      <c r="AJ378" s="60" t="str">
        <f aca="false">IF(AI378&lt;S378,"SIM","NÃO")</f>
        <v>SIM</v>
      </c>
    </row>
    <row r="379" customFormat="false" ht="15" hidden="false" customHeight="false" outlineLevel="0" collapsed="false">
      <c r="A379" s="59" t="n">
        <v>46232.4829282407</v>
      </c>
      <c r="B379" s="60" t="s">
        <v>749</v>
      </c>
      <c r="C379" s="60" t="n">
        <v>23912440</v>
      </c>
      <c r="D379" s="60" t="s">
        <v>218</v>
      </c>
      <c r="E379" s="60" t="s">
        <v>24</v>
      </c>
      <c r="F379" s="60" t="s">
        <v>235</v>
      </c>
      <c r="G379" s="60" t="n">
        <v>44.5</v>
      </c>
      <c r="H379" s="61" t="n">
        <v>685.62</v>
      </c>
      <c r="I379" s="61" t="n">
        <v>77.7</v>
      </c>
      <c r="J379" s="61" t="n">
        <f aca="false">H379*Resumo!$C$6</f>
        <v>0</v>
      </c>
      <c r="K379" s="61" t="n">
        <f aca="false">H379*Resumo!$C$7</f>
        <v>1.439802</v>
      </c>
      <c r="L379" s="61" t="n">
        <f aca="false">H379*Resumo!$C$8</f>
        <v>1.439802</v>
      </c>
      <c r="M379" s="61" t="n">
        <f aca="false">Resumo!$C$10*CEILING(G379/100,1)</f>
        <v>1.05</v>
      </c>
      <c r="N379" s="61" t="n">
        <f aca="false">Resumo!$C$9</f>
        <v>0</v>
      </c>
      <c r="O379" s="61" t="n">
        <f aca="false">Resumo!$C$13</f>
        <v>13.55</v>
      </c>
      <c r="P379" s="61" t="n">
        <f aca="false">Resumo!$C$14*CEILING(G379,1)</f>
        <v>20.25</v>
      </c>
      <c r="Q379" s="61" t="n">
        <f aca="false">SUM(I379:P379)*Resumo!$C$11</f>
        <v>0</v>
      </c>
      <c r="R379" s="61" t="n">
        <f aca="false">SUM(I379:Q379)</f>
        <v>115.429604</v>
      </c>
      <c r="S379" s="61" t="n">
        <f aca="false">R379/(1-Resumo!$C$5)</f>
        <v>131.170004545455</v>
      </c>
      <c r="T379" s="61" t="n">
        <v>124.38</v>
      </c>
      <c r="U379" s="61" t="n">
        <f aca="false">H379*Resumo!$B$6</f>
        <v>0.68562</v>
      </c>
      <c r="V379" s="61" t="n">
        <f aca="false">H379*Resumo!$B$7</f>
        <v>1.37124</v>
      </c>
      <c r="W379" s="61" t="n">
        <f aca="false">Resumo!$B$9</f>
        <v>1</v>
      </c>
      <c r="X379" s="61" t="n">
        <f aca="false">Resumo!$B$10*CEILING(G379/100,1)</f>
        <v>4.5</v>
      </c>
      <c r="Y379" s="61" t="n">
        <f aca="false">Resumo!$B$12*CEILING(G379,1)</f>
        <v>2.7</v>
      </c>
      <c r="Z379" s="61" t="n">
        <f aca="false">Resumo!$B$14*CEILING(G379,1)</f>
        <v>20.25</v>
      </c>
      <c r="AA379" s="61" t="n">
        <f aca="false">SUM(T379:Z379)</f>
        <v>154.88686</v>
      </c>
      <c r="AB379" s="61" t="n">
        <f aca="false">AA379/(1-Resumo!$B$5)</f>
        <v>176.007795454545</v>
      </c>
      <c r="AC379" s="61" t="n">
        <f aca="false">AB379-S379</f>
        <v>44.8377909090909</v>
      </c>
      <c r="AD379" s="62" t="n">
        <f aca="false">AB379/S379-1</f>
        <v>0.34182960551437</v>
      </c>
      <c r="AE379" s="60" t="str">
        <f aca="false">IF(AB379&lt;S379,"SIM","NÃO")</f>
        <v>NÃO</v>
      </c>
      <c r="AF379" s="60" t="n">
        <v>13</v>
      </c>
      <c r="AG379" s="60" t="n">
        <v>10</v>
      </c>
      <c r="AH379" s="60" t="s">
        <v>382</v>
      </c>
      <c r="AI379" s="61" t="n">
        <f aca="false">(T379*(1-Painel!$C$40)+U379+V379+Painel!$C$41+Painel!$C$42*CEILING(G379/100,1)+Painel!$C$43*CEILING(G379,1)+Z379)/(1-Resumo!$B$5)</f>
        <v>122.376659090909</v>
      </c>
      <c r="AJ379" s="60" t="str">
        <f aca="false">IF(AI379&lt;S379,"SIM","NÃO")</f>
        <v>SIM</v>
      </c>
    </row>
    <row r="380" customFormat="false" ht="15" hidden="false" customHeight="false" outlineLevel="0" collapsed="false">
      <c r="A380" s="59" t="n">
        <v>46232.5584027778</v>
      </c>
      <c r="B380" s="60" t="s">
        <v>750</v>
      </c>
      <c r="C380" s="60" t="n">
        <v>23555090</v>
      </c>
      <c r="D380" s="60" t="s">
        <v>46</v>
      </c>
      <c r="E380" s="60" t="s">
        <v>22</v>
      </c>
      <c r="F380" s="60" t="s">
        <v>232</v>
      </c>
      <c r="G380" s="60" t="n">
        <v>19.9</v>
      </c>
      <c r="H380" s="61" t="n">
        <v>309.99</v>
      </c>
      <c r="I380" s="61" t="n">
        <v>33.42</v>
      </c>
      <c r="J380" s="61" t="n">
        <f aca="false">H380*Resumo!$C$6</f>
        <v>0</v>
      </c>
      <c r="K380" s="61" t="n">
        <f aca="false">H380*Resumo!$C$7</f>
        <v>0.650979</v>
      </c>
      <c r="L380" s="61" t="n">
        <f aca="false">H380*Resumo!$C$8</f>
        <v>0.650979</v>
      </c>
      <c r="M380" s="61" t="n">
        <f aca="false">Resumo!$C$10*CEILING(G380/100,1)</f>
        <v>1.05</v>
      </c>
      <c r="N380" s="61" t="n">
        <f aca="false">Resumo!$C$9</f>
        <v>0</v>
      </c>
      <c r="O380" s="61" t="n">
        <f aca="false">Resumo!$C$13</f>
        <v>13.55</v>
      </c>
      <c r="P380" s="61" t="n">
        <f aca="false">Resumo!$C$14*CEILING(G380,1)</f>
        <v>9</v>
      </c>
      <c r="Q380" s="61" t="n">
        <f aca="false">SUM(I380:P380)*Resumo!$C$11</f>
        <v>0</v>
      </c>
      <c r="R380" s="61" t="n">
        <f aca="false">SUM(I380:Q380)</f>
        <v>58.321958</v>
      </c>
      <c r="S380" s="61" t="n">
        <f aca="false">R380/(1-Resumo!$C$5)</f>
        <v>66.2749522727273</v>
      </c>
      <c r="T380" s="61" t="n">
        <v>46.98</v>
      </c>
      <c r="U380" s="61" t="n">
        <f aca="false">H380*Resumo!$B$6</f>
        <v>0.30999</v>
      </c>
      <c r="V380" s="61" t="n">
        <f aca="false">H380*Resumo!$B$7</f>
        <v>0.61998</v>
      </c>
      <c r="W380" s="61" t="n">
        <f aca="false">Resumo!$B$9</f>
        <v>1</v>
      </c>
      <c r="X380" s="61" t="n">
        <f aca="false">Resumo!$B$10*CEILING(G380/100,1)</f>
        <v>4.5</v>
      </c>
      <c r="Y380" s="61" t="n">
        <f aca="false">Resumo!$B$12*CEILING(G380,1)</f>
        <v>1.2</v>
      </c>
      <c r="Z380" s="61" t="n">
        <f aca="false">Resumo!$B$14*CEILING(G380,1)</f>
        <v>9</v>
      </c>
      <c r="AA380" s="61" t="n">
        <f aca="false">SUM(T380:Z380)</f>
        <v>63.60997</v>
      </c>
      <c r="AB380" s="61" t="n">
        <f aca="false">AA380/(1-Resumo!$B$5)</f>
        <v>72.2840568181818</v>
      </c>
      <c r="AC380" s="61" t="n">
        <f aca="false">AB380-S380</f>
        <v>6.00910454545453</v>
      </c>
      <c r="AD380" s="62" t="n">
        <f aca="false">AB380/S380-1</f>
        <v>0.090669315320312</v>
      </c>
      <c r="AE380" s="60" t="str">
        <f aca="false">IF(AB380&lt;S380,"SIM","NÃO")</f>
        <v>NÃO</v>
      </c>
      <c r="AF380" s="60" t="n">
        <v>2</v>
      </c>
      <c r="AG380" s="60" t="n">
        <v>5</v>
      </c>
      <c r="AH380" s="60" t="s">
        <v>382</v>
      </c>
      <c r="AI380" s="61" t="n">
        <f aca="false">(T380*(1-Painel!$C$40)+U380+V380+Painel!$C$41+Painel!$C$42*CEILING(G380/100,1)+Painel!$C$43*CEILING(G380,1)+Z380)/(1-Resumo!$B$5)</f>
        <v>49.3824659090909</v>
      </c>
      <c r="AJ380" s="60" t="str">
        <f aca="false">IF(AI380&lt;S380,"SIM","NÃO")</f>
        <v>SIM</v>
      </c>
    </row>
    <row r="381" customFormat="false" ht="15" hidden="false" customHeight="false" outlineLevel="0" collapsed="false">
      <c r="A381" s="59" t="n">
        <v>46232.6030439815</v>
      </c>
      <c r="B381" s="60" t="s">
        <v>751</v>
      </c>
      <c r="C381" s="60" t="n">
        <v>25268410</v>
      </c>
      <c r="D381" s="60" t="s">
        <v>48</v>
      </c>
      <c r="E381" s="60" t="s">
        <v>23</v>
      </c>
      <c r="F381" s="60" t="s">
        <v>233</v>
      </c>
      <c r="G381" s="60" t="n">
        <v>33.21</v>
      </c>
      <c r="H381" s="61" t="n">
        <v>378.64</v>
      </c>
      <c r="I381" s="61" t="n">
        <v>58.8</v>
      </c>
      <c r="J381" s="61" t="n">
        <f aca="false">H381*Resumo!$C$6</f>
        <v>0</v>
      </c>
      <c r="K381" s="61" t="n">
        <f aca="false">H381*Resumo!$C$7</f>
        <v>0.795144</v>
      </c>
      <c r="L381" s="61" t="n">
        <f aca="false">H381*Resumo!$C$8</f>
        <v>0.795144</v>
      </c>
      <c r="M381" s="61" t="n">
        <f aca="false">Resumo!$C$10*CEILING(G381/100,1)</f>
        <v>1.05</v>
      </c>
      <c r="N381" s="61" t="n">
        <f aca="false">Resumo!$C$9</f>
        <v>0</v>
      </c>
      <c r="O381" s="61" t="n">
        <f aca="false">Resumo!$C$13</f>
        <v>13.55</v>
      </c>
      <c r="P381" s="61" t="n">
        <f aca="false">Resumo!$C$14*CEILING(G381,1)</f>
        <v>15.3</v>
      </c>
      <c r="Q381" s="61" t="n">
        <f aca="false">SUM(I381:P381)*Resumo!$C$11</f>
        <v>0</v>
      </c>
      <c r="R381" s="61" t="n">
        <f aca="false">SUM(I381:Q381)</f>
        <v>90.290288</v>
      </c>
      <c r="S381" s="61" t="n">
        <f aca="false">R381/(1-Resumo!$C$5)</f>
        <v>102.6026</v>
      </c>
      <c r="T381" s="61" t="n">
        <v>82.21</v>
      </c>
      <c r="U381" s="61" t="n">
        <f aca="false">H381*Resumo!$B$6</f>
        <v>0.37864</v>
      </c>
      <c r="V381" s="61" t="n">
        <f aca="false">H381*Resumo!$B$7</f>
        <v>0.75728</v>
      </c>
      <c r="W381" s="61" t="n">
        <f aca="false">Resumo!$B$9</f>
        <v>1</v>
      </c>
      <c r="X381" s="61" t="n">
        <f aca="false">Resumo!$B$10*CEILING(G381/100,1)</f>
        <v>4.5</v>
      </c>
      <c r="Y381" s="61" t="n">
        <f aca="false">Resumo!$B$12*CEILING(G381,1)</f>
        <v>2.04</v>
      </c>
      <c r="Z381" s="61" t="n">
        <f aca="false">Resumo!$B$14*CEILING(G381,1)</f>
        <v>15.3</v>
      </c>
      <c r="AA381" s="61" t="n">
        <f aca="false">SUM(T381:Z381)</f>
        <v>106.18592</v>
      </c>
      <c r="AB381" s="61" t="n">
        <f aca="false">AA381/(1-Resumo!$B$5)</f>
        <v>120.665818181818</v>
      </c>
      <c r="AC381" s="61" t="n">
        <f aca="false">AB381-S381</f>
        <v>18.0632181818182</v>
      </c>
      <c r="AD381" s="62" t="n">
        <f aca="false">AB381/S381-1</f>
        <v>0.176050296793826</v>
      </c>
      <c r="AE381" s="60" t="str">
        <f aca="false">IF(AB381&lt;S381,"SIM","NÃO")</f>
        <v>NÃO</v>
      </c>
      <c r="AF381" s="60" t="n">
        <v>2</v>
      </c>
      <c r="AG381" s="60" t="n">
        <v>5</v>
      </c>
      <c r="AH381" s="60" t="s">
        <v>382</v>
      </c>
      <c r="AI381" s="61" t="n">
        <f aca="false">(T381*(1-Painel!$C$40)+U381+V381+Painel!$C$41+Painel!$C$42*CEILING(G381/100,1)+Painel!$C$43*CEILING(G381,1)+Z381)/(1-Resumo!$B$5)</f>
        <v>83.5984318181818</v>
      </c>
      <c r="AJ381" s="60" t="str">
        <f aca="false">IF(AI381&lt;S381,"SIM","NÃO")</f>
        <v>SIM</v>
      </c>
    </row>
    <row r="382" customFormat="false" ht="15" hidden="false" customHeight="false" outlineLevel="0" collapsed="false">
      <c r="A382" s="59" t="n">
        <v>46232.6139699074</v>
      </c>
      <c r="B382" s="60" t="s">
        <v>752</v>
      </c>
      <c r="C382" s="60" t="n">
        <v>21745310</v>
      </c>
      <c r="D382" s="60" t="s">
        <v>46</v>
      </c>
      <c r="E382" s="60" t="s">
        <v>22</v>
      </c>
      <c r="F382" s="60" t="s">
        <v>240</v>
      </c>
      <c r="G382" s="60" t="n">
        <v>106.5</v>
      </c>
      <c r="H382" s="61" t="n">
        <v>1199.99</v>
      </c>
      <c r="I382" s="61" t="n">
        <v>92.34</v>
      </c>
      <c r="J382" s="61" t="n">
        <f aca="false">H382*Resumo!$C$6</f>
        <v>0</v>
      </c>
      <c r="K382" s="61" t="n">
        <f aca="false">H382*Resumo!$C$7</f>
        <v>2.519979</v>
      </c>
      <c r="L382" s="61" t="n">
        <f aca="false">H382*Resumo!$C$8</f>
        <v>2.519979</v>
      </c>
      <c r="M382" s="61" t="n">
        <f aca="false">Resumo!$C$10*CEILING(G382/100,1)</f>
        <v>2.1</v>
      </c>
      <c r="N382" s="61" t="n">
        <f aca="false">Resumo!$C$9</f>
        <v>0</v>
      </c>
      <c r="O382" s="61" t="n">
        <f aca="false">Resumo!$C$13</f>
        <v>13.55</v>
      </c>
      <c r="P382" s="61" t="n">
        <f aca="false">Resumo!$C$14*CEILING(G382,1)</f>
        <v>48.15</v>
      </c>
      <c r="Q382" s="61" t="n">
        <f aca="false">SUM(I382:P382)*Resumo!$C$11</f>
        <v>0</v>
      </c>
      <c r="R382" s="61" t="n">
        <f aca="false">SUM(I382:Q382)</f>
        <v>161.179958</v>
      </c>
      <c r="S382" s="61" t="n">
        <f aca="false">R382/(1-Resumo!$C$5)</f>
        <v>183.159043181818</v>
      </c>
      <c r="T382" s="61" t="n">
        <v>201.59</v>
      </c>
      <c r="U382" s="61" t="n">
        <f aca="false">H382*Resumo!$B$6</f>
        <v>1.19999</v>
      </c>
      <c r="V382" s="61" t="n">
        <f aca="false">H382*Resumo!$B$7</f>
        <v>2.39998</v>
      </c>
      <c r="W382" s="61" t="n">
        <f aca="false">Resumo!$B$9</f>
        <v>1</v>
      </c>
      <c r="X382" s="61" t="n">
        <f aca="false">Resumo!$B$10*CEILING(G382/100,1)</f>
        <v>9</v>
      </c>
      <c r="Y382" s="61" t="n">
        <f aca="false">Resumo!$B$12*CEILING(G382,1)</f>
        <v>6.42</v>
      </c>
      <c r="Z382" s="61" t="n">
        <f aca="false">Resumo!$B$14*CEILING(G382,1)</f>
        <v>48.15</v>
      </c>
      <c r="AA382" s="61" t="n">
        <f aca="false">SUM(T382:Z382)</f>
        <v>269.75997</v>
      </c>
      <c r="AB382" s="61" t="n">
        <f aca="false">AA382/(1-Resumo!$B$5)</f>
        <v>306.545420454546</v>
      </c>
      <c r="AC382" s="61" t="n">
        <f aca="false">AB382-S382</f>
        <v>123.386377272727</v>
      </c>
      <c r="AD382" s="62" t="n">
        <f aca="false">AB382/S382-1</f>
        <v>0.673657031229652</v>
      </c>
      <c r="AE382" s="60" t="str">
        <f aca="false">IF(AB382&lt;S382,"SIM","NÃO")</f>
        <v>NÃO</v>
      </c>
      <c r="AF382" s="60" t="n">
        <v>2</v>
      </c>
      <c r="AG382" s="60" t="n">
        <v>5</v>
      </c>
      <c r="AH382" s="60" t="s">
        <v>382</v>
      </c>
      <c r="AI382" s="61" t="n">
        <f aca="false">(T382*(1-Painel!$C$40)+U382+V382+Painel!$C$41+Painel!$C$42*CEILING(G382/100,1)+Painel!$C$43*CEILING(G382,1)+Z382)/(1-Resumo!$B$5)</f>
        <v>215.812806818182</v>
      </c>
      <c r="AJ382" s="60" t="str">
        <f aca="false">IF(AI382&lt;S382,"SIM","NÃO")</f>
        <v>NÃO</v>
      </c>
    </row>
    <row r="383" customFormat="false" ht="15" hidden="false" customHeight="false" outlineLevel="0" collapsed="false">
      <c r="A383" s="59" t="n">
        <v>46232.6148611111</v>
      </c>
      <c r="B383" s="60" t="s">
        <v>753</v>
      </c>
      <c r="C383" s="60" t="n">
        <v>26425320</v>
      </c>
      <c r="D383" s="60" t="s">
        <v>283</v>
      </c>
      <c r="E383" s="60" t="s">
        <v>24</v>
      </c>
      <c r="F383" s="60" t="s">
        <v>237</v>
      </c>
      <c r="G383" s="60" t="n">
        <v>62.8</v>
      </c>
      <c r="H383" s="61" t="n">
        <v>819.99</v>
      </c>
      <c r="I383" s="61" t="n">
        <v>90.2</v>
      </c>
      <c r="J383" s="61" t="n">
        <f aca="false">H383*Resumo!$C$6</f>
        <v>0</v>
      </c>
      <c r="K383" s="61" t="n">
        <f aca="false">H383*Resumo!$C$7</f>
        <v>1.721979</v>
      </c>
      <c r="L383" s="61" t="n">
        <f aca="false">H383*Resumo!$C$8</f>
        <v>1.721979</v>
      </c>
      <c r="M383" s="61" t="n">
        <f aca="false">Resumo!$C$10*CEILING(G383/100,1)</f>
        <v>1.05</v>
      </c>
      <c r="N383" s="61" t="n">
        <f aca="false">Resumo!$C$9</f>
        <v>0</v>
      </c>
      <c r="O383" s="61" t="n">
        <f aca="false">Resumo!$C$13</f>
        <v>13.55</v>
      </c>
      <c r="P383" s="61" t="n">
        <f aca="false">Resumo!$C$14*CEILING(G383,1)</f>
        <v>28.35</v>
      </c>
      <c r="Q383" s="61" t="n">
        <f aca="false">SUM(I383:P383)*Resumo!$C$11</f>
        <v>0</v>
      </c>
      <c r="R383" s="61" t="n">
        <f aca="false">SUM(I383:Q383)</f>
        <v>136.593958</v>
      </c>
      <c r="S383" s="61" t="n">
        <f aca="false">R383/(1-Resumo!$C$5)</f>
        <v>155.220406818182</v>
      </c>
      <c r="T383" s="61" t="n">
        <v>131.02</v>
      </c>
      <c r="U383" s="61" t="n">
        <f aca="false">H383*Resumo!$B$6</f>
        <v>0.81999</v>
      </c>
      <c r="V383" s="61" t="n">
        <f aca="false">H383*Resumo!$B$7</f>
        <v>1.63998</v>
      </c>
      <c r="W383" s="61" t="n">
        <f aca="false">Resumo!$B$9</f>
        <v>1</v>
      </c>
      <c r="X383" s="61" t="n">
        <f aca="false">Resumo!$B$10*CEILING(G383/100,1)</f>
        <v>4.5</v>
      </c>
      <c r="Y383" s="61" t="n">
        <f aca="false">Resumo!$B$12*CEILING(G383,1)</f>
        <v>3.78</v>
      </c>
      <c r="Z383" s="61" t="n">
        <f aca="false">Resumo!$B$14*CEILING(G383,1)</f>
        <v>28.35</v>
      </c>
      <c r="AA383" s="61" t="n">
        <f aca="false">SUM(T383:Z383)</f>
        <v>171.10997</v>
      </c>
      <c r="AB383" s="61" t="n">
        <f aca="false">AA383/(1-Resumo!$B$5)</f>
        <v>194.443147727273</v>
      </c>
      <c r="AC383" s="61" t="n">
        <f aca="false">AB383-S383</f>
        <v>39.2227409090909</v>
      </c>
      <c r="AD383" s="62" t="n">
        <f aca="false">AB383/S383-1</f>
        <v>0.252690620473857</v>
      </c>
      <c r="AE383" s="60" t="str">
        <f aca="false">IF(AB383&lt;S383,"SIM","NÃO")</f>
        <v>NÃO</v>
      </c>
      <c r="AF383" s="60" t="n">
        <v>13</v>
      </c>
      <c r="AG383" s="60" t="n">
        <v>5</v>
      </c>
      <c r="AH383" s="60" t="s">
        <v>385</v>
      </c>
      <c r="AI383" s="61" t="n">
        <f aca="false">(T383*(1-Painel!$C$40)+U383+V383+Painel!$C$41+Painel!$C$42*CEILING(G383/100,1)+Painel!$C$43*CEILING(G383,1)+Z383)/(1-Resumo!$B$5)</f>
        <v>137.094738636364</v>
      </c>
      <c r="AJ383" s="60" t="str">
        <f aca="false">IF(AI383&lt;S383,"SIM","NÃO")</f>
        <v>SIM</v>
      </c>
    </row>
    <row r="384" customFormat="false" ht="15" hidden="false" customHeight="false" outlineLevel="0" collapsed="false">
      <c r="A384" s="59" t="n">
        <v>46232.6208333333</v>
      </c>
      <c r="B384" s="60" t="s">
        <v>754</v>
      </c>
      <c r="C384" s="60" t="n">
        <v>22753005</v>
      </c>
      <c r="D384" s="60" t="s">
        <v>46</v>
      </c>
      <c r="E384" s="60" t="s">
        <v>22</v>
      </c>
      <c r="F384" s="60" t="s">
        <v>235</v>
      </c>
      <c r="G384" s="60" t="n">
        <v>48.8</v>
      </c>
      <c r="H384" s="61" t="n">
        <v>549.99</v>
      </c>
      <c r="I384" s="61" t="n">
        <v>53.55</v>
      </c>
      <c r="J384" s="61" t="n">
        <f aca="false">H384*Resumo!$C$6</f>
        <v>0</v>
      </c>
      <c r="K384" s="61" t="n">
        <f aca="false">H384*Resumo!$C$7</f>
        <v>1.154979</v>
      </c>
      <c r="L384" s="61" t="n">
        <f aca="false">H384*Resumo!$C$8</f>
        <v>1.154979</v>
      </c>
      <c r="M384" s="61" t="n">
        <f aca="false">Resumo!$C$10*CEILING(G384/100,1)</f>
        <v>1.05</v>
      </c>
      <c r="N384" s="61" t="n">
        <f aca="false">Resumo!$C$9</f>
        <v>0</v>
      </c>
      <c r="O384" s="61" t="n">
        <f aca="false">Resumo!$C$13</f>
        <v>13.55</v>
      </c>
      <c r="P384" s="61" t="n">
        <f aca="false">Resumo!$C$14*CEILING(G384,1)</f>
        <v>22.05</v>
      </c>
      <c r="Q384" s="61" t="n">
        <f aca="false">SUM(I384:P384)*Resumo!$C$11</f>
        <v>0</v>
      </c>
      <c r="R384" s="61" t="n">
        <f aca="false">SUM(I384:Q384)</f>
        <v>92.509958</v>
      </c>
      <c r="S384" s="61" t="n">
        <f aca="false">R384/(1-Resumo!$C$5)</f>
        <v>105.124952272727</v>
      </c>
      <c r="T384" s="61" t="n">
        <v>93.97</v>
      </c>
      <c r="U384" s="61" t="n">
        <f aca="false">H384*Resumo!$B$6</f>
        <v>0.54999</v>
      </c>
      <c r="V384" s="61" t="n">
        <f aca="false">H384*Resumo!$B$7</f>
        <v>1.09998</v>
      </c>
      <c r="W384" s="61" t="n">
        <f aca="false">Resumo!$B$9</f>
        <v>1</v>
      </c>
      <c r="X384" s="61" t="n">
        <f aca="false">Resumo!$B$10*CEILING(G384/100,1)</f>
        <v>4.5</v>
      </c>
      <c r="Y384" s="61" t="n">
        <f aca="false">Resumo!$B$12*CEILING(G384,1)</f>
        <v>2.94</v>
      </c>
      <c r="Z384" s="61" t="n">
        <f aca="false">Resumo!$B$14*CEILING(G384,1)</f>
        <v>22.05</v>
      </c>
      <c r="AA384" s="61" t="n">
        <f aca="false">SUM(T384:Z384)</f>
        <v>126.10997</v>
      </c>
      <c r="AB384" s="61" t="n">
        <f aca="false">AA384/(1-Resumo!$B$5)</f>
        <v>143.306784090909</v>
      </c>
      <c r="AC384" s="61" t="n">
        <f aca="false">AB384-S384</f>
        <v>38.1818318181818</v>
      </c>
      <c r="AD384" s="62" t="n">
        <f aca="false">AB384/S384-1</f>
        <v>0.363204272560582</v>
      </c>
      <c r="AE384" s="60" t="str">
        <f aca="false">IF(AB384&lt;S384,"SIM","NÃO")</f>
        <v>NÃO</v>
      </c>
      <c r="AF384" s="60" t="n">
        <v>2</v>
      </c>
      <c r="AG384" s="60" t="n">
        <v>5</v>
      </c>
      <c r="AH384" s="60" t="s">
        <v>382</v>
      </c>
      <c r="AI384" s="61" t="n">
        <f aca="false">(T384*(1-Painel!$C$40)+U384+V384+Painel!$C$41+Painel!$C$42*CEILING(G384/100,1)+Painel!$C$43*CEILING(G384,1)+Z384)/(1-Resumo!$B$5)</f>
        <v>100.806670454545</v>
      </c>
      <c r="AJ384" s="60" t="str">
        <f aca="false">IF(AI384&lt;S384,"SIM","NÃO")</f>
        <v>SIM</v>
      </c>
    </row>
    <row r="385" customFormat="false" ht="15" hidden="false" customHeight="false" outlineLevel="0" collapsed="false">
      <c r="A385" s="59" t="n">
        <v>46232.6435185185</v>
      </c>
      <c r="B385" s="60" t="s">
        <v>755</v>
      </c>
      <c r="C385" s="60" t="n">
        <v>24310340</v>
      </c>
      <c r="D385" s="60" t="s">
        <v>50</v>
      </c>
      <c r="E385" s="60" t="s">
        <v>23</v>
      </c>
      <c r="F385" s="60" t="s">
        <v>232</v>
      </c>
      <c r="G385" s="60" t="n">
        <v>19.5</v>
      </c>
      <c r="H385" s="61" t="n">
        <v>332.99</v>
      </c>
      <c r="I385" s="61" t="n">
        <v>42.72</v>
      </c>
      <c r="J385" s="61" t="n">
        <f aca="false">H385*Resumo!$C$6</f>
        <v>0</v>
      </c>
      <c r="K385" s="61" t="n">
        <f aca="false">H385*Resumo!$C$7</f>
        <v>0.699279</v>
      </c>
      <c r="L385" s="61" t="n">
        <f aca="false">H385*Resumo!$C$8</f>
        <v>0.699279</v>
      </c>
      <c r="M385" s="61" t="n">
        <f aca="false">Resumo!$C$10*CEILING(G385/100,1)</f>
        <v>1.05</v>
      </c>
      <c r="N385" s="61" t="n">
        <f aca="false">Resumo!$C$9</f>
        <v>0</v>
      </c>
      <c r="O385" s="61" t="n">
        <f aca="false">Resumo!$C$13</f>
        <v>13.55</v>
      </c>
      <c r="P385" s="61" t="n">
        <f aca="false">Resumo!$C$14*CEILING(G385,1)</f>
        <v>9</v>
      </c>
      <c r="Q385" s="61" t="n">
        <f aca="false">SUM(I385:P385)*Resumo!$C$11</f>
        <v>0</v>
      </c>
      <c r="R385" s="61" t="n">
        <f aca="false">SUM(I385:Q385)</f>
        <v>67.718558</v>
      </c>
      <c r="S385" s="61" t="n">
        <f aca="false">R385/(1-Resumo!$C$5)</f>
        <v>76.9529068181818</v>
      </c>
      <c r="T385" s="61" t="n">
        <v>57.47</v>
      </c>
      <c r="U385" s="61" t="n">
        <f aca="false">H385*Resumo!$B$6</f>
        <v>0.33299</v>
      </c>
      <c r="V385" s="61" t="n">
        <f aca="false">H385*Resumo!$B$7</f>
        <v>0.66598</v>
      </c>
      <c r="W385" s="61" t="n">
        <f aca="false">Resumo!$B$9</f>
        <v>1</v>
      </c>
      <c r="X385" s="61" t="n">
        <f aca="false">Resumo!$B$10*CEILING(G385/100,1)</f>
        <v>4.5</v>
      </c>
      <c r="Y385" s="61" t="n">
        <f aca="false">Resumo!$B$12*CEILING(G385,1)</f>
        <v>1.2</v>
      </c>
      <c r="Z385" s="61" t="n">
        <f aca="false">Resumo!$B$14*CEILING(G385,1)</f>
        <v>9</v>
      </c>
      <c r="AA385" s="61" t="n">
        <f aca="false">SUM(T385:Z385)</f>
        <v>74.16897</v>
      </c>
      <c r="AB385" s="61" t="n">
        <f aca="false">AA385/(1-Resumo!$B$5)</f>
        <v>84.2829204545455</v>
      </c>
      <c r="AC385" s="61" t="n">
        <f aca="false">AB385-S385</f>
        <v>7.33001363636365</v>
      </c>
      <c r="AD385" s="62" t="n">
        <f aca="false">AB385/S385-1</f>
        <v>0.0952532391490086</v>
      </c>
      <c r="AE385" s="60" t="str">
        <f aca="false">IF(AB385&lt;S385,"SIM","NÃO")</f>
        <v>NÃO</v>
      </c>
      <c r="AF385" s="60" t="n">
        <v>2</v>
      </c>
      <c r="AG385" s="60" t="n">
        <v>7</v>
      </c>
      <c r="AH385" s="60" t="s">
        <v>382</v>
      </c>
      <c r="AI385" s="61" t="n">
        <f aca="false">(T385*(1-Painel!$C$40)+U385+V385+Painel!$C$41+Painel!$C$42*CEILING(G385/100,1)+Painel!$C$43*CEILING(G385,1)+Z385)/(1-Resumo!$B$5)</f>
        <v>57.4475795454545</v>
      </c>
      <c r="AJ385" s="60" t="str">
        <f aca="false">IF(AI385&lt;S385,"SIM","NÃO")</f>
        <v>SIM</v>
      </c>
    </row>
    <row r="386" customFormat="false" ht="15" hidden="false" customHeight="false" outlineLevel="0" collapsed="false">
      <c r="A386" s="59" t="n">
        <v>46232.7472569444</v>
      </c>
      <c r="B386" s="60" t="s">
        <v>756</v>
      </c>
      <c r="C386" s="60" t="n">
        <v>27211560</v>
      </c>
      <c r="D386" s="60" t="s">
        <v>217</v>
      </c>
      <c r="E386" s="60" t="s">
        <v>24</v>
      </c>
      <c r="F386" s="60" t="s">
        <v>235</v>
      </c>
      <c r="G386" s="60" t="n">
        <v>44.5</v>
      </c>
      <c r="H386" s="61" t="n">
        <v>685.62</v>
      </c>
      <c r="I386" s="61" t="n">
        <v>77.7</v>
      </c>
      <c r="J386" s="61" t="n">
        <f aca="false">H386*Resumo!$C$6</f>
        <v>0</v>
      </c>
      <c r="K386" s="61" t="n">
        <f aca="false">H386*Resumo!$C$7</f>
        <v>1.439802</v>
      </c>
      <c r="L386" s="61" t="n">
        <f aca="false">H386*Resumo!$C$8</f>
        <v>1.439802</v>
      </c>
      <c r="M386" s="61" t="n">
        <f aca="false">Resumo!$C$10*CEILING(G386/100,1)</f>
        <v>1.05</v>
      </c>
      <c r="N386" s="61" t="n">
        <f aca="false">Resumo!$C$9</f>
        <v>0</v>
      </c>
      <c r="O386" s="61" t="n">
        <f aca="false">Resumo!$C$13</f>
        <v>13.55</v>
      </c>
      <c r="P386" s="61" t="n">
        <f aca="false">Resumo!$C$14*CEILING(G386,1)</f>
        <v>20.25</v>
      </c>
      <c r="Q386" s="61" t="n">
        <f aca="false">SUM(I386:P386)*Resumo!$C$11</f>
        <v>0</v>
      </c>
      <c r="R386" s="61" t="n">
        <f aca="false">SUM(I386:Q386)</f>
        <v>115.429604</v>
      </c>
      <c r="S386" s="61" t="n">
        <f aca="false">R386/(1-Resumo!$C$5)</f>
        <v>131.170004545455</v>
      </c>
      <c r="T386" s="61" t="n">
        <v>124.38</v>
      </c>
      <c r="U386" s="61" t="n">
        <f aca="false">H386*Resumo!$B$6</f>
        <v>0.68562</v>
      </c>
      <c r="V386" s="61" t="n">
        <f aca="false">H386*Resumo!$B$7</f>
        <v>1.37124</v>
      </c>
      <c r="W386" s="61" t="n">
        <f aca="false">Resumo!$B$9</f>
        <v>1</v>
      </c>
      <c r="X386" s="61" t="n">
        <f aca="false">Resumo!$B$10*CEILING(G386/100,1)</f>
        <v>4.5</v>
      </c>
      <c r="Y386" s="61" t="n">
        <f aca="false">Resumo!$B$12*CEILING(G386,1)</f>
        <v>2.7</v>
      </c>
      <c r="Z386" s="61" t="n">
        <f aca="false">Resumo!$B$14*CEILING(G386,1)</f>
        <v>20.25</v>
      </c>
      <c r="AA386" s="61" t="n">
        <f aca="false">SUM(T386:Z386)</f>
        <v>154.88686</v>
      </c>
      <c r="AB386" s="61" t="n">
        <f aca="false">AA386/(1-Resumo!$B$5)</f>
        <v>176.007795454545</v>
      </c>
      <c r="AC386" s="61" t="n">
        <f aca="false">AB386-S386</f>
        <v>44.8377909090909</v>
      </c>
      <c r="AD386" s="62" t="n">
        <f aca="false">AB386/S386-1</f>
        <v>0.34182960551437</v>
      </c>
      <c r="AE386" s="60" t="str">
        <f aca="false">IF(AB386&lt;S386,"SIM","NÃO")</f>
        <v>NÃO</v>
      </c>
      <c r="AF386" s="60" t="n">
        <v>13</v>
      </c>
      <c r="AG386" s="60" t="n">
        <v>10</v>
      </c>
      <c r="AH386" s="60" t="s">
        <v>382</v>
      </c>
      <c r="AI386" s="61" t="n">
        <f aca="false">(T386*(1-Painel!$C$40)+U386+V386+Painel!$C$41+Painel!$C$42*CEILING(G386/100,1)+Painel!$C$43*CEILING(G386,1)+Z386)/(1-Resumo!$B$5)</f>
        <v>122.376659090909</v>
      </c>
      <c r="AJ386" s="60" t="str">
        <f aca="false">IF(AI386&lt;S386,"SIM","NÃO")</f>
        <v>SIM</v>
      </c>
    </row>
    <row r="387" customFormat="false" ht="15" hidden="false" customHeight="false" outlineLevel="0" collapsed="false">
      <c r="A387" s="59" t="n">
        <v>46232.7633101852</v>
      </c>
      <c r="B387" s="60" t="s">
        <v>580</v>
      </c>
      <c r="C387" s="60" t="n">
        <v>28540000</v>
      </c>
      <c r="D387" s="60" t="s">
        <v>321</v>
      </c>
      <c r="E387" s="60" t="s">
        <v>24</v>
      </c>
      <c r="F387" s="60" t="s">
        <v>232</v>
      </c>
      <c r="G387" s="60" t="n">
        <v>19.5</v>
      </c>
      <c r="H387" s="61" t="n">
        <v>332.99</v>
      </c>
      <c r="I387" s="61" t="n">
        <v>46.95</v>
      </c>
      <c r="J387" s="61" t="n">
        <f aca="false">H387*Resumo!$C$6</f>
        <v>0</v>
      </c>
      <c r="K387" s="61" t="n">
        <f aca="false">H387*Resumo!$C$7</f>
        <v>0.699279</v>
      </c>
      <c r="L387" s="61" t="n">
        <f aca="false">H387*Resumo!$C$8</f>
        <v>0.699279</v>
      </c>
      <c r="M387" s="61" t="n">
        <f aca="false">Resumo!$C$10*CEILING(G387/100,1)</f>
        <v>1.05</v>
      </c>
      <c r="N387" s="61" t="n">
        <f aca="false">Resumo!$C$9</f>
        <v>0</v>
      </c>
      <c r="O387" s="61" t="n">
        <f aca="false">Resumo!$C$13</f>
        <v>13.55</v>
      </c>
      <c r="P387" s="61" t="n">
        <f aca="false">Resumo!$C$14*CEILING(G387,1)</f>
        <v>9</v>
      </c>
      <c r="Q387" s="61" t="n">
        <f aca="false">SUM(I387:P387)*Resumo!$C$11</f>
        <v>0</v>
      </c>
      <c r="R387" s="61" t="n">
        <f aca="false">SUM(I387:Q387)</f>
        <v>71.948558</v>
      </c>
      <c r="S387" s="61" t="n">
        <f aca="false">R387/(1-Resumo!$C$5)</f>
        <v>81.759725</v>
      </c>
      <c r="T387" s="61" t="n">
        <v>106.53</v>
      </c>
      <c r="U387" s="61" t="n">
        <f aca="false">H387*Resumo!$B$6</f>
        <v>0.33299</v>
      </c>
      <c r="V387" s="61" t="n">
        <f aca="false">H387*Resumo!$B$7</f>
        <v>0.66598</v>
      </c>
      <c r="W387" s="61" t="n">
        <f aca="false">Resumo!$B$9</f>
        <v>1</v>
      </c>
      <c r="X387" s="61" t="n">
        <f aca="false">Resumo!$B$10*CEILING(G387/100,1)</f>
        <v>4.5</v>
      </c>
      <c r="Y387" s="61" t="n">
        <f aca="false">Resumo!$B$12*CEILING(G387,1)</f>
        <v>1.2</v>
      </c>
      <c r="Z387" s="61" t="n">
        <f aca="false">Resumo!$B$14*CEILING(G387,1)</f>
        <v>9</v>
      </c>
      <c r="AA387" s="61" t="n">
        <f aca="false">SUM(T387:Z387)</f>
        <v>123.22897</v>
      </c>
      <c r="AB387" s="61" t="n">
        <f aca="false">AA387/(1-Resumo!$B$5)</f>
        <v>140.032920454545</v>
      </c>
      <c r="AC387" s="61" t="n">
        <f aca="false">AB387-S387</f>
        <v>58.2731954545455</v>
      </c>
      <c r="AD387" s="62" t="n">
        <f aca="false">AB387/S387-1</f>
        <v>0.712737175357983</v>
      </c>
      <c r="AE387" s="60" t="str">
        <f aca="false">IF(AB387&lt;S387,"SIM","NÃO")</f>
        <v>NÃO</v>
      </c>
      <c r="AF387" s="60" t="n">
        <v>13</v>
      </c>
      <c r="AG387" s="60" t="n">
        <v>10</v>
      </c>
      <c r="AH387" s="60" t="s">
        <v>385</v>
      </c>
      <c r="AI387" s="61" t="n">
        <f aca="false">(T387*(1-Painel!$C$40)+U387+V387+Painel!$C$41+Painel!$C$42*CEILING(G387/100,1)+Painel!$C$43*CEILING(G387,1)+Z387)/(1-Resumo!$B$5)</f>
        <v>94.8000795454545</v>
      </c>
      <c r="AJ387" s="60" t="str">
        <f aca="false">IF(AI387&lt;S387,"SIM","NÃO")</f>
        <v>NÃO</v>
      </c>
    </row>
    <row r="388" customFormat="false" ht="15" hidden="false" customHeight="false" outlineLevel="0" collapsed="false">
      <c r="A388" s="59" t="n">
        <v>46232.7701041667</v>
      </c>
      <c r="B388" s="60" t="s">
        <v>757</v>
      </c>
      <c r="C388" s="60" t="n">
        <v>28928788</v>
      </c>
      <c r="D388" s="60" t="s">
        <v>221</v>
      </c>
      <c r="E388" s="60" t="s">
        <v>24</v>
      </c>
      <c r="F388" s="60" t="s">
        <v>234</v>
      </c>
      <c r="G388" s="60" t="n">
        <v>36.8</v>
      </c>
      <c r="H388" s="61" t="n">
        <v>428.97</v>
      </c>
      <c r="I388" s="61" t="n">
        <v>74.97</v>
      </c>
      <c r="J388" s="61" t="n">
        <f aca="false">H388*Resumo!$C$6</f>
        <v>0</v>
      </c>
      <c r="K388" s="61" t="n">
        <f aca="false">H388*Resumo!$C$7</f>
        <v>0.900837</v>
      </c>
      <c r="L388" s="61" t="n">
        <f aca="false">H388*Resumo!$C$8</f>
        <v>0.900837</v>
      </c>
      <c r="M388" s="61" t="n">
        <f aca="false">Resumo!$C$10*CEILING(G388/100,1)</f>
        <v>1.05</v>
      </c>
      <c r="N388" s="61" t="n">
        <f aca="false">Resumo!$C$9</f>
        <v>0</v>
      </c>
      <c r="O388" s="61" t="n">
        <f aca="false">Resumo!$C$13</f>
        <v>13.55</v>
      </c>
      <c r="P388" s="61" t="n">
        <f aca="false">Resumo!$C$14*CEILING(G388,1)</f>
        <v>16.65</v>
      </c>
      <c r="Q388" s="61" t="n">
        <f aca="false">SUM(I388:P388)*Resumo!$C$11</f>
        <v>0</v>
      </c>
      <c r="R388" s="61" t="n">
        <f aca="false">SUM(I388:Q388)</f>
        <v>108.021674</v>
      </c>
      <c r="S388" s="61" t="n">
        <f aca="false">R388/(1-Resumo!$C$5)</f>
        <v>122.751902272727</v>
      </c>
      <c r="T388" s="61" t="n">
        <v>124.38</v>
      </c>
      <c r="U388" s="61" t="n">
        <f aca="false">H388*Resumo!$B$6</f>
        <v>0.42897</v>
      </c>
      <c r="V388" s="61" t="n">
        <f aca="false">H388*Resumo!$B$7</f>
        <v>0.85794</v>
      </c>
      <c r="W388" s="61" t="n">
        <f aca="false">Resumo!$B$9</f>
        <v>1</v>
      </c>
      <c r="X388" s="61" t="n">
        <f aca="false">Resumo!$B$10*CEILING(G388/100,1)</f>
        <v>4.5</v>
      </c>
      <c r="Y388" s="61" t="n">
        <f aca="false">Resumo!$B$12*CEILING(G388,1)</f>
        <v>2.22</v>
      </c>
      <c r="Z388" s="61" t="n">
        <f aca="false">Resumo!$B$14*CEILING(G388,1)</f>
        <v>16.65</v>
      </c>
      <c r="AA388" s="61" t="n">
        <f aca="false">SUM(T388:Z388)</f>
        <v>150.03691</v>
      </c>
      <c r="AB388" s="61" t="n">
        <f aca="false">AA388/(1-Resumo!$B$5)</f>
        <v>170.496488636364</v>
      </c>
      <c r="AC388" s="61" t="n">
        <f aca="false">AB388-S388</f>
        <v>47.7445863636364</v>
      </c>
      <c r="AD388" s="62" t="n">
        <f aca="false">AB388/S388-1</f>
        <v>0.388951906077664</v>
      </c>
      <c r="AE388" s="60" t="str">
        <f aca="false">IF(AB388&lt;S388,"SIM","NÃO")</f>
        <v>NÃO</v>
      </c>
      <c r="AF388" s="60" t="n">
        <v>13</v>
      </c>
      <c r="AG388" s="60" t="n">
        <v>10</v>
      </c>
      <c r="AH388" s="60" t="s">
        <v>382</v>
      </c>
      <c r="AI388" s="61" t="n">
        <f aca="false">(T388*(1-Painel!$C$40)+U388+V388+Painel!$C$41+Painel!$C$42*CEILING(G388/100,1)+Painel!$C$43*CEILING(G388,1)+Z388)/(1-Resumo!$B$5)</f>
        <v>117.410806818182</v>
      </c>
      <c r="AJ388" s="60" t="str">
        <f aca="false">IF(AI388&lt;S388,"SIM","NÃO")</f>
        <v>SIM</v>
      </c>
    </row>
    <row r="389" customFormat="false" ht="15" hidden="false" customHeight="false" outlineLevel="0" collapsed="false">
      <c r="A389" s="59" t="n">
        <v>46232.8123148148</v>
      </c>
      <c r="B389" s="60" t="s">
        <v>758</v>
      </c>
      <c r="C389" s="60" t="n">
        <v>24350405</v>
      </c>
      <c r="D389" s="60" t="s">
        <v>50</v>
      </c>
      <c r="E389" s="60" t="s">
        <v>23</v>
      </c>
      <c r="F389" s="60" t="s">
        <v>239</v>
      </c>
      <c r="G389" s="60" t="n">
        <v>97.2</v>
      </c>
      <c r="H389" s="61" t="n">
        <v>1136</v>
      </c>
      <c r="I389" s="61" t="n">
        <v>92.32</v>
      </c>
      <c r="J389" s="61" t="n">
        <f aca="false">H389*Resumo!$C$6</f>
        <v>0</v>
      </c>
      <c r="K389" s="61" t="n">
        <f aca="false">H389*Resumo!$C$7</f>
        <v>2.3856</v>
      </c>
      <c r="L389" s="61" t="n">
        <f aca="false">H389*Resumo!$C$8</f>
        <v>2.3856</v>
      </c>
      <c r="M389" s="61" t="n">
        <f aca="false">Resumo!$C$10*CEILING(G389/100,1)</f>
        <v>1.05</v>
      </c>
      <c r="N389" s="61" t="n">
        <f aca="false">Resumo!$C$9</f>
        <v>0</v>
      </c>
      <c r="O389" s="61" t="n">
        <f aca="false">Resumo!$C$13</f>
        <v>13.55</v>
      </c>
      <c r="P389" s="61" t="n">
        <f aca="false">Resumo!$C$14*CEILING(G389,1)</f>
        <v>44.1</v>
      </c>
      <c r="Q389" s="61" t="n">
        <f aca="false">SUM(I389:P389)*Resumo!$C$11</f>
        <v>0</v>
      </c>
      <c r="R389" s="61" t="n">
        <f aca="false">SUM(I389:Q389)</f>
        <v>155.7912</v>
      </c>
      <c r="S389" s="61" t="n">
        <f aca="false">R389/(1-Resumo!$C$5)</f>
        <v>177.035454545455</v>
      </c>
      <c r="T389" s="61" t="n">
        <v>178.42</v>
      </c>
      <c r="U389" s="61" t="n">
        <f aca="false">H389*Resumo!$B$6</f>
        <v>1.136</v>
      </c>
      <c r="V389" s="61" t="n">
        <f aca="false">H389*Resumo!$B$7</f>
        <v>2.272</v>
      </c>
      <c r="W389" s="61" t="n">
        <f aca="false">Resumo!$B$9</f>
        <v>1</v>
      </c>
      <c r="X389" s="61" t="n">
        <f aca="false">Resumo!$B$10*CEILING(G389/100,1)</f>
        <v>4.5</v>
      </c>
      <c r="Y389" s="61" t="n">
        <f aca="false">Resumo!$B$12*CEILING(G389,1)</f>
        <v>5.88</v>
      </c>
      <c r="Z389" s="61" t="n">
        <f aca="false">Resumo!$B$14*CEILING(G389,1)</f>
        <v>44.1</v>
      </c>
      <c r="AA389" s="61" t="n">
        <f aca="false">SUM(T389:Z389)</f>
        <v>237.308</v>
      </c>
      <c r="AB389" s="61" t="n">
        <f aca="false">AA389/(1-Resumo!$B$5)</f>
        <v>269.668181818182</v>
      </c>
      <c r="AC389" s="61" t="n">
        <f aca="false">AB389-S389</f>
        <v>92.6327272727273</v>
      </c>
      <c r="AD389" s="62" t="n">
        <f aca="false">AB389/S389-1</f>
        <v>0.523243931621299</v>
      </c>
      <c r="AE389" s="60" t="str">
        <f aca="false">IF(AB389&lt;S389,"SIM","NÃO")</f>
        <v>NÃO</v>
      </c>
      <c r="AF389" s="60" t="n">
        <v>2</v>
      </c>
      <c r="AG389" s="60" t="n">
        <v>7</v>
      </c>
      <c r="AH389" s="60" t="s">
        <v>382</v>
      </c>
      <c r="AI389" s="61" t="n">
        <f aca="false">(T389*(1-Painel!$C$40)+U389+V389+Painel!$C$41+Painel!$C$42*CEILING(G389/100,1)+Painel!$C$43*CEILING(G389,1)+Z389)/(1-Resumo!$B$5)</f>
        <v>192.158409090909</v>
      </c>
      <c r="AJ389" s="60" t="str">
        <f aca="false">IF(AI389&lt;S389,"SIM","NÃO")</f>
        <v>NÃO</v>
      </c>
    </row>
    <row r="390" customFormat="false" ht="15" hidden="false" customHeight="false" outlineLevel="0" collapsed="false">
      <c r="A390" s="59" t="n">
        <v>46232.8212962963</v>
      </c>
      <c r="B390" s="60" t="s">
        <v>759</v>
      </c>
      <c r="C390" s="60" t="n">
        <v>24452005</v>
      </c>
      <c r="D390" s="60" t="s">
        <v>47</v>
      </c>
      <c r="E390" s="60" t="s">
        <v>23</v>
      </c>
      <c r="F390" s="60" t="s">
        <v>234</v>
      </c>
      <c r="G390" s="60" t="n">
        <v>37.6</v>
      </c>
      <c r="H390" s="61" t="n">
        <v>391.04</v>
      </c>
      <c r="I390" s="61" t="n">
        <v>66.83</v>
      </c>
      <c r="J390" s="61" t="n">
        <f aca="false">H390*Resumo!$C$6</f>
        <v>0</v>
      </c>
      <c r="K390" s="61" t="n">
        <f aca="false">H390*Resumo!$C$7</f>
        <v>0.821184</v>
      </c>
      <c r="L390" s="61" t="n">
        <f aca="false">H390*Resumo!$C$8</f>
        <v>0.821184</v>
      </c>
      <c r="M390" s="61" t="n">
        <f aca="false">Resumo!$C$10*CEILING(G390/100,1)</f>
        <v>1.05</v>
      </c>
      <c r="N390" s="61" t="n">
        <f aca="false">Resumo!$C$9</f>
        <v>0</v>
      </c>
      <c r="O390" s="61" t="n">
        <f aca="false">Resumo!$C$13</f>
        <v>13.55</v>
      </c>
      <c r="P390" s="61" t="n">
        <f aca="false">Resumo!$C$14*CEILING(G390,1)</f>
        <v>17.1</v>
      </c>
      <c r="Q390" s="61" t="n">
        <f aca="false">SUM(I390:P390)*Resumo!$C$11</f>
        <v>0</v>
      </c>
      <c r="R390" s="61" t="n">
        <f aca="false">SUM(I390:Q390)</f>
        <v>100.172368</v>
      </c>
      <c r="S390" s="61" t="n">
        <f aca="false">R390/(1-Resumo!$C$5)</f>
        <v>113.832236363636</v>
      </c>
      <c r="T390" s="61" t="n">
        <v>114.95</v>
      </c>
      <c r="U390" s="61" t="n">
        <f aca="false">H390*Resumo!$B$6</f>
        <v>0.39104</v>
      </c>
      <c r="V390" s="61" t="n">
        <f aca="false">H390*Resumo!$B$7</f>
        <v>0.78208</v>
      </c>
      <c r="W390" s="61" t="n">
        <f aca="false">Resumo!$B$9</f>
        <v>1</v>
      </c>
      <c r="X390" s="61" t="n">
        <f aca="false">Resumo!$B$10*CEILING(G390/100,1)</f>
        <v>4.5</v>
      </c>
      <c r="Y390" s="61" t="n">
        <f aca="false">Resumo!$B$12*CEILING(G390,1)</f>
        <v>2.28</v>
      </c>
      <c r="Z390" s="61" t="n">
        <f aca="false">Resumo!$B$14*CEILING(G390,1)</f>
        <v>17.1</v>
      </c>
      <c r="AA390" s="61" t="n">
        <f aca="false">SUM(T390:Z390)</f>
        <v>141.00312</v>
      </c>
      <c r="AB390" s="61" t="n">
        <f aca="false">AA390/(1-Resumo!$B$5)</f>
        <v>160.230818181818</v>
      </c>
      <c r="AC390" s="61" t="n">
        <f aca="false">AB390-S390</f>
        <v>46.3985818181818</v>
      </c>
      <c r="AD390" s="62" t="n">
        <f aca="false">AB390/S390-1</f>
        <v>0.407604939517852</v>
      </c>
      <c r="AE390" s="60" t="str">
        <f aca="false">IF(AB390&lt;S390,"SIM","NÃO")</f>
        <v>NÃO</v>
      </c>
      <c r="AF390" s="60" t="n">
        <v>2</v>
      </c>
      <c r="AG390" s="60" t="n">
        <v>7</v>
      </c>
      <c r="AH390" s="60" t="s">
        <v>382</v>
      </c>
      <c r="AI390" s="61" t="n">
        <f aca="false">(T390*(1-Painel!$C$40)+U390+V390+Painel!$C$41+Painel!$C$42*CEILING(G390/100,1)+Painel!$C$43*CEILING(G390,1)+Z390)/(1-Resumo!$B$5)</f>
        <v>110.613204545455</v>
      </c>
      <c r="AJ390" s="60" t="str">
        <f aca="false">IF(AI390&lt;S390,"SIM","NÃO")</f>
        <v>SIM</v>
      </c>
    </row>
    <row r="391" customFormat="false" ht="15" hidden="false" customHeight="false" outlineLevel="0" collapsed="false">
      <c r="A391" s="59" t="n">
        <v>46232.8216666667</v>
      </c>
      <c r="B391" s="60" t="s">
        <v>760</v>
      </c>
      <c r="C391" s="60" t="n">
        <v>22240004</v>
      </c>
      <c r="D391" s="60" t="s">
        <v>46</v>
      </c>
      <c r="E391" s="60" t="s">
        <v>22</v>
      </c>
      <c r="F391" s="60" t="s">
        <v>236</v>
      </c>
      <c r="G391" s="60" t="n">
        <v>52.3</v>
      </c>
      <c r="H391" s="61" t="n">
        <v>685.84</v>
      </c>
      <c r="I391" s="61" t="n">
        <v>58.6</v>
      </c>
      <c r="J391" s="61" t="n">
        <f aca="false">H391*Resumo!$C$6</f>
        <v>0</v>
      </c>
      <c r="K391" s="61" t="n">
        <f aca="false">H391*Resumo!$C$7</f>
        <v>1.440264</v>
      </c>
      <c r="L391" s="61" t="n">
        <f aca="false">H391*Resumo!$C$8</f>
        <v>1.440264</v>
      </c>
      <c r="M391" s="61" t="n">
        <f aca="false">Resumo!$C$10*CEILING(G391/100,1)</f>
        <v>1.05</v>
      </c>
      <c r="N391" s="61" t="n">
        <f aca="false">Resumo!$C$9</f>
        <v>0</v>
      </c>
      <c r="O391" s="61" t="n">
        <f aca="false">Resumo!$C$13</f>
        <v>13.55</v>
      </c>
      <c r="P391" s="61" t="n">
        <f aca="false">Resumo!$C$14*CEILING(G391,1)</f>
        <v>23.85</v>
      </c>
      <c r="Q391" s="61" t="n">
        <f aca="false">SUM(I391:P391)*Resumo!$C$11</f>
        <v>0</v>
      </c>
      <c r="R391" s="61" t="n">
        <f aca="false">SUM(I391:Q391)</f>
        <v>99.930528</v>
      </c>
      <c r="S391" s="61" t="n">
        <f aca="false">R391/(1-Resumo!$C$5)</f>
        <v>113.557418181818</v>
      </c>
      <c r="T391" s="61" t="n">
        <v>112.3</v>
      </c>
      <c r="U391" s="61" t="n">
        <f aca="false">H391*Resumo!$B$6</f>
        <v>0.68584</v>
      </c>
      <c r="V391" s="61" t="n">
        <f aca="false">H391*Resumo!$B$7</f>
        <v>1.37168</v>
      </c>
      <c r="W391" s="61" t="n">
        <f aca="false">Resumo!$B$9</f>
        <v>1</v>
      </c>
      <c r="X391" s="61" t="n">
        <f aca="false">Resumo!$B$10*CEILING(G391/100,1)</f>
        <v>4.5</v>
      </c>
      <c r="Y391" s="61" t="n">
        <f aca="false">Resumo!$B$12*CEILING(G391,1)</f>
        <v>3.18</v>
      </c>
      <c r="Z391" s="61" t="n">
        <f aca="false">Resumo!$B$14*CEILING(G391,1)</f>
        <v>23.85</v>
      </c>
      <c r="AA391" s="61" t="n">
        <f aca="false">SUM(T391:Z391)</f>
        <v>146.88752</v>
      </c>
      <c r="AB391" s="61" t="n">
        <f aca="false">AA391/(1-Resumo!$B$5)</f>
        <v>166.917636363636</v>
      </c>
      <c r="AC391" s="61" t="n">
        <f aca="false">AB391-S391</f>
        <v>53.3602181818182</v>
      </c>
      <c r="AD391" s="62" t="n">
        <f aca="false">AB391/S391-1</f>
        <v>0.469896366403668</v>
      </c>
      <c r="AE391" s="60" t="str">
        <f aca="false">IF(AB391&lt;S391,"SIM","NÃO")</f>
        <v>NÃO</v>
      </c>
      <c r="AF391" s="60" t="n">
        <v>2</v>
      </c>
      <c r="AG391" s="60" t="n">
        <v>5</v>
      </c>
      <c r="AH391" s="60" t="s">
        <v>382</v>
      </c>
      <c r="AI391" s="61" t="n">
        <f aca="false">(T391*(1-Painel!$C$40)+U391+V391+Painel!$C$41+Painel!$C$42*CEILING(G391/100,1)+Painel!$C$43*CEILING(G391,1)+Z391)/(1-Resumo!$B$5)</f>
        <v>117.271045454545</v>
      </c>
      <c r="AJ391" s="60" t="str">
        <f aca="false">IF(AI391&lt;S391,"SIM","NÃO")</f>
        <v>NÃO</v>
      </c>
    </row>
    <row r="392" customFormat="false" ht="15" hidden="false" customHeight="false" outlineLevel="0" collapsed="false">
      <c r="A392" s="59" t="n">
        <v>46232.8812268519</v>
      </c>
      <c r="B392" s="60" t="s">
        <v>761</v>
      </c>
      <c r="C392" s="60" t="n">
        <v>21250150</v>
      </c>
      <c r="D392" s="60" t="s">
        <v>46</v>
      </c>
      <c r="E392" s="60" t="s">
        <v>22</v>
      </c>
      <c r="F392" s="60" t="s">
        <v>235</v>
      </c>
      <c r="G392" s="60" t="n">
        <v>43.5</v>
      </c>
      <c r="H392" s="61" t="n">
        <v>769.99</v>
      </c>
      <c r="I392" s="61" t="n">
        <v>53.55</v>
      </c>
      <c r="J392" s="61" t="n">
        <f aca="false">H392*Resumo!$C$6</f>
        <v>0</v>
      </c>
      <c r="K392" s="61" t="n">
        <f aca="false">H392*Resumo!$C$7</f>
        <v>1.616979</v>
      </c>
      <c r="L392" s="61" t="n">
        <f aca="false">H392*Resumo!$C$8</f>
        <v>1.616979</v>
      </c>
      <c r="M392" s="61" t="n">
        <f aca="false">Resumo!$C$10*CEILING(G392/100,1)</f>
        <v>1.05</v>
      </c>
      <c r="N392" s="61" t="n">
        <f aca="false">Resumo!$C$9</f>
        <v>0</v>
      </c>
      <c r="O392" s="61" t="n">
        <f aca="false">Resumo!$C$13</f>
        <v>13.55</v>
      </c>
      <c r="P392" s="61" t="n">
        <f aca="false">Resumo!$C$14*CEILING(G392,1)</f>
        <v>19.8</v>
      </c>
      <c r="Q392" s="61" t="n">
        <f aca="false">SUM(I392:P392)*Resumo!$C$11</f>
        <v>0</v>
      </c>
      <c r="R392" s="61" t="n">
        <f aca="false">SUM(I392:Q392)</f>
        <v>91.183958</v>
      </c>
      <c r="S392" s="61" t="n">
        <f aca="false">R392/(1-Resumo!$C$5)</f>
        <v>103.618134090909</v>
      </c>
      <c r="T392" s="61" t="n">
        <v>93.97</v>
      </c>
      <c r="U392" s="61" t="n">
        <f aca="false">H392*Resumo!$B$6</f>
        <v>0.76999</v>
      </c>
      <c r="V392" s="61" t="n">
        <f aca="false">H392*Resumo!$B$7</f>
        <v>1.53998</v>
      </c>
      <c r="W392" s="61" t="n">
        <f aca="false">Resumo!$B$9</f>
        <v>1</v>
      </c>
      <c r="X392" s="61" t="n">
        <f aca="false">Resumo!$B$10*CEILING(G392/100,1)</f>
        <v>4.5</v>
      </c>
      <c r="Y392" s="61" t="n">
        <f aca="false">Resumo!$B$12*CEILING(G392,1)</f>
        <v>2.64</v>
      </c>
      <c r="Z392" s="61" t="n">
        <f aca="false">Resumo!$B$14*CEILING(G392,1)</f>
        <v>19.8</v>
      </c>
      <c r="AA392" s="61" t="n">
        <f aca="false">SUM(T392:Z392)</f>
        <v>124.21997</v>
      </c>
      <c r="AB392" s="61" t="n">
        <f aca="false">AA392/(1-Resumo!$B$5)</f>
        <v>141.159056818182</v>
      </c>
      <c r="AC392" s="61" t="n">
        <f aca="false">AB392-S392</f>
        <v>37.5409227272727</v>
      </c>
      <c r="AD392" s="62" t="n">
        <f aca="false">AB392/S392-1</f>
        <v>0.362300702059895</v>
      </c>
      <c r="AE392" s="60" t="str">
        <f aca="false">IF(AB392&lt;S392,"SIM","NÃO")</f>
        <v>NÃO</v>
      </c>
      <c r="AF392" s="60" t="n">
        <v>2</v>
      </c>
      <c r="AG392" s="60" t="n">
        <v>5</v>
      </c>
      <c r="AH392" s="60" t="s">
        <v>382</v>
      </c>
      <c r="AI392" s="61" t="n">
        <f aca="false">(T392*(1-Painel!$C$40)+U392+V392+Painel!$C$41+Painel!$C$42*CEILING(G392/100,1)+Painel!$C$43*CEILING(G392,1)+Z392)/(1-Resumo!$B$5)</f>
        <v>98.9998522727273</v>
      </c>
      <c r="AJ392" s="60" t="str">
        <f aca="false">IF(AI392&lt;S392,"SIM","NÃO")</f>
        <v>SIM</v>
      </c>
    </row>
    <row r="393" customFormat="false" ht="15" hidden="false" customHeight="false" outlineLevel="0" collapsed="false">
      <c r="A393" s="59" t="n">
        <v>46232.9090509259</v>
      </c>
      <c r="B393" s="60" t="s">
        <v>762</v>
      </c>
      <c r="C393" s="60" t="n">
        <v>28630590</v>
      </c>
      <c r="D393" s="60" t="s">
        <v>226</v>
      </c>
      <c r="E393" s="60" t="s">
        <v>24</v>
      </c>
      <c r="F393" s="60" t="s">
        <v>241</v>
      </c>
      <c r="G393" s="60" t="n">
        <v>124.2</v>
      </c>
      <c r="H393" s="61" t="n">
        <v>1630.39</v>
      </c>
      <c r="I393" s="61" t="n">
        <v>144.24</v>
      </c>
      <c r="J393" s="61" t="n">
        <f aca="false">H393*Resumo!$C$6</f>
        <v>0</v>
      </c>
      <c r="K393" s="61" t="n">
        <f aca="false">H393*Resumo!$C$7</f>
        <v>3.423819</v>
      </c>
      <c r="L393" s="61" t="n">
        <f aca="false">H393*Resumo!$C$8</f>
        <v>3.423819</v>
      </c>
      <c r="M393" s="61" t="n">
        <f aca="false">Resumo!$C$10*CEILING(G393/100,1)</f>
        <v>2.1</v>
      </c>
      <c r="N393" s="61" t="n">
        <f aca="false">Resumo!$C$9</f>
        <v>0</v>
      </c>
      <c r="O393" s="61" t="n">
        <f aca="false">Resumo!$C$13</f>
        <v>13.55</v>
      </c>
      <c r="P393" s="61" t="n">
        <f aca="false">Resumo!$C$14*CEILING(G393,1)</f>
        <v>56.25</v>
      </c>
      <c r="Q393" s="61" t="n">
        <f aca="false">SUM(I393:P393)*Resumo!$C$11</f>
        <v>0</v>
      </c>
      <c r="R393" s="61" t="n">
        <f aca="false">SUM(I393:Q393)</f>
        <v>222.987638</v>
      </c>
      <c r="S393" s="61" t="n">
        <f aca="false">R393/(1-Resumo!$C$5)</f>
        <v>253.395043181818</v>
      </c>
      <c r="T393" s="61" t="n">
        <v>264.84</v>
      </c>
      <c r="U393" s="61" t="n">
        <f aca="false">H393*Resumo!$B$6</f>
        <v>1.63039</v>
      </c>
      <c r="V393" s="61" t="n">
        <f aca="false">H393*Resumo!$B$7</f>
        <v>3.26078</v>
      </c>
      <c r="W393" s="61" t="n">
        <f aca="false">Resumo!$B$9</f>
        <v>1</v>
      </c>
      <c r="X393" s="61" t="n">
        <f aca="false">Resumo!$B$10*CEILING(G393/100,1)</f>
        <v>9</v>
      </c>
      <c r="Y393" s="61" t="n">
        <f aca="false">Resumo!$B$12*CEILING(G393,1)</f>
        <v>7.5</v>
      </c>
      <c r="Z393" s="61" t="n">
        <f aca="false">Resumo!$B$14*CEILING(G393,1)</f>
        <v>56.25</v>
      </c>
      <c r="AA393" s="61" t="n">
        <f aca="false">SUM(T393:Z393)</f>
        <v>343.48117</v>
      </c>
      <c r="AB393" s="61" t="n">
        <f aca="false">AA393/(1-Resumo!$B$5)</f>
        <v>390.319511363636</v>
      </c>
      <c r="AC393" s="61" t="n">
        <f aca="false">AB393-S393</f>
        <v>136.924468181818</v>
      </c>
      <c r="AD393" s="62" t="n">
        <f aca="false">AB393/S393-1</f>
        <v>0.540359694737876</v>
      </c>
      <c r="AE393" s="60" t="str">
        <f aca="false">IF(AB393&lt;S393,"SIM","NÃO")</f>
        <v>NÃO</v>
      </c>
      <c r="AF393" s="60" t="n">
        <v>13</v>
      </c>
      <c r="AG393" s="60" t="n">
        <v>10</v>
      </c>
      <c r="AH393" s="60" t="s">
        <v>382</v>
      </c>
      <c r="AI393" s="61" t="n">
        <f aca="false">(T393*(1-Painel!$C$40)+U393+V393+Painel!$C$41+Painel!$C$42*CEILING(G393/100,1)+Painel!$C$43*CEILING(G393,1)+Z393)/(1-Resumo!$B$5)</f>
        <v>274.640875</v>
      </c>
      <c r="AJ393" s="60" t="str">
        <f aca="false">IF(AI393&lt;S393,"SIM","NÃO")</f>
        <v>NÃO</v>
      </c>
    </row>
    <row r="394" customFormat="false" ht="15" hidden="false" customHeight="false" outlineLevel="0" collapsed="false">
      <c r="A394" s="59" t="n">
        <v>46232.9664699074</v>
      </c>
      <c r="B394" s="60" t="s">
        <v>763</v>
      </c>
      <c r="C394" s="60" t="n">
        <v>22031112</v>
      </c>
      <c r="D394" s="60" t="s">
        <v>46</v>
      </c>
      <c r="E394" s="60" t="s">
        <v>22</v>
      </c>
      <c r="F394" s="60" t="s">
        <v>233</v>
      </c>
      <c r="G394" s="60" t="n">
        <v>22.9</v>
      </c>
      <c r="H394" s="61" t="n">
        <v>314.76</v>
      </c>
      <c r="I394" s="61" t="n">
        <v>42.11</v>
      </c>
      <c r="J394" s="61" t="n">
        <f aca="false">H394*Resumo!$C$6</f>
        <v>0</v>
      </c>
      <c r="K394" s="61" t="n">
        <f aca="false">H394*Resumo!$C$7</f>
        <v>0.660996</v>
      </c>
      <c r="L394" s="61" t="n">
        <f aca="false">H394*Resumo!$C$8</f>
        <v>0.660996</v>
      </c>
      <c r="M394" s="61" t="n">
        <f aca="false">Resumo!$C$10*CEILING(G394/100,1)</f>
        <v>1.05</v>
      </c>
      <c r="N394" s="61" t="n">
        <f aca="false">Resumo!$C$9</f>
        <v>0</v>
      </c>
      <c r="O394" s="61" t="n">
        <f aca="false">Resumo!$C$13</f>
        <v>13.55</v>
      </c>
      <c r="P394" s="61" t="n">
        <f aca="false">Resumo!$C$14*CEILING(G394,1)</f>
        <v>10.35</v>
      </c>
      <c r="Q394" s="61" t="n">
        <f aca="false">SUM(I394:P394)*Resumo!$C$11</f>
        <v>0</v>
      </c>
      <c r="R394" s="61" t="n">
        <f aca="false">SUM(I394:Q394)</f>
        <v>68.381992</v>
      </c>
      <c r="S394" s="61" t="n">
        <f aca="false">R394/(1-Resumo!$C$5)</f>
        <v>77.7068090909091</v>
      </c>
      <c r="T394" s="61" t="n">
        <v>82.21</v>
      </c>
      <c r="U394" s="61" t="n">
        <f aca="false">H394*Resumo!$B$6</f>
        <v>0.31476</v>
      </c>
      <c r="V394" s="61" t="n">
        <f aca="false">H394*Resumo!$B$7</f>
        <v>0.62952</v>
      </c>
      <c r="W394" s="61" t="n">
        <f aca="false">Resumo!$B$9</f>
        <v>1</v>
      </c>
      <c r="X394" s="61" t="n">
        <f aca="false">Resumo!$B$10*CEILING(G394/100,1)</f>
        <v>4.5</v>
      </c>
      <c r="Y394" s="61" t="n">
        <f aca="false">Resumo!$B$12*CEILING(G394,1)</f>
        <v>1.38</v>
      </c>
      <c r="Z394" s="61" t="n">
        <f aca="false">Resumo!$B$14*CEILING(G394,1)</f>
        <v>10.35</v>
      </c>
      <c r="AA394" s="61" t="n">
        <f aca="false">SUM(T394:Z394)</f>
        <v>100.38428</v>
      </c>
      <c r="AB394" s="61" t="n">
        <f aca="false">AA394/(1-Resumo!$B$5)</f>
        <v>114.073045454545</v>
      </c>
      <c r="AC394" s="61" t="n">
        <f aca="false">AB394-S394</f>
        <v>36.3662363636364</v>
      </c>
      <c r="AD394" s="62" t="n">
        <f aca="false">AB394/S394-1</f>
        <v>0.467992918369503</v>
      </c>
      <c r="AE394" s="60" t="str">
        <f aca="false">IF(AB394&lt;S394,"SIM","NÃO")</f>
        <v>NÃO</v>
      </c>
      <c r="AF394" s="60" t="n">
        <v>2</v>
      </c>
      <c r="AG394" s="60" t="n">
        <v>5</v>
      </c>
      <c r="AH394" s="60" t="s">
        <v>382</v>
      </c>
      <c r="AI394" s="61" t="n">
        <f aca="false">(T394*(1-Painel!$C$40)+U394+V394+Painel!$C$41+Painel!$C$42*CEILING(G394/100,1)+Painel!$C$43*CEILING(G394,1)+Z394)/(1-Resumo!$B$5)</f>
        <v>77.7556590909091</v>
      </c>
      <c r="AJ394" s="60" t="str">
        <f aca="false">IF(AI394&lt;S394,"SIM","NÃO")</f>
        <v>NÃO</v>
      </c>
    </row>
    <row r="395" customFormat="false" ht="15" hidden="false" customHeight="false" outlineLevel="0" collapsed="false">
      <c r="A395" s="59" t="n">
        <v>46232.9820601852</v>
      </c>
      <c r="B395" s="60" t="s">
        <v>764</v>
      </c>
      <c r="C395" s="60" t="n">
        <v>27320710</v>
      </c>
      <c r="D395" s="60" t="s">
        <v>293</v>
      </c>
      <c r="E395" s="60" t="s">
        <v>24</v>
      </c>
      <c r="F395" s="60" t="s">
        <v>241</v>
      </c>
      <c r="G395" s="60" t="n">
        <v>124.2</v>
      </c>
      <c r="H395" s="61" t="n">
        <v>1558.08</v>
      </c>
      <c r="I395" s="61" t="n">
        <v>144.24</v>
      </c>
      <c r="J395" s="61" t="n">
        <f aca="false">H395*Resumo!$C$6</f>
        <v>0</v>
      </c>
      <c r="K395" s="61" t="n">
        <f aca="false">H395*Resumo!$C$7</f>
        <v>3.271968</v>
      </c>
      <c r="L395" s="61" t="n">
        <f aca="false">H395*Resumo!$C$8</f>
        <v>3.271968</v>
      </c>
      <c r="M395" s="61" t="n">
        <f aca="false">Resumo!$C$10*CEILING(G395/100,1)</f>
        <v>2.1</v>
      </c>
      <c r="N395" s="61" t="n">
        <f aca="false">Resumo!$C$9</f>
        <v>0</v>
      </c>
      <c r="O395" s="61" t="n">
        <f aca="false">Resumo!$C$13</f>
        <v>13.55</v>
      </c>
      <c r="P395" s="61" t="n">
        <f aca="false">Resumo!$C$14*CEILING(G395,1)</f>
        <v>56.25</v>
      </c>
      <c r="Q395" s="61" t="n">
        <f aca="false">SUM(I395:P395)*Resumo!$C$11</f>
        <v>0</v>
      </c>
      <c r="R395" s="61" t="n">
        <f aca="false">SUM(I395:Q395)</f>
        <v>222.683936</v>
      </c>
      <c r="S395" s="61" t="n">
        <f aca="false">R395/(1-Resumo!$C$5)</f>
        <v>253.049927272727</v>
      </c>
      <c r="T395" s="61" t="n">
        <v>264.84</v>
      </c>
      <c r="U395" s="61" t="n">
        <f aca="false">H395*Resumo!$B$6</f>
        <v>1.55808</v>
      </c>
      <c r="V395" s="61" t="n">
        <f aca="false">H395*Resumo!$B$7</f>
        <v>3.11616</v>
      </c>
      <c r="W395" s="61" t="n">
        <f aca="false">Resumo!$B$9</f>
        <v>1</v>
      </c>
      <c r="X395" s="61" t="n">
        <f aca="false">Resumo!$B$10*CEILING(G395/100,1)</f>
        <v>9</v>
      </c>
      <c r="Y395" s="61" t="n">
        <f aca="false">Resumo!$B$12*CEILING(G395,1)</f>
        <v>7.5</v>
      </c>
      <c r="Z395" s="61" t="n">
        <f aca="false">Resumo!$B$14*CEILING(G395,1)</f>
        <v>56.25</v>
      </c>
      <c r="AA395" s="61" t="n">
        <f aca="false">SUM(T395:Z395)</f>
        <v>343.26424</v>
      </c>
      <c r="AB395" s="61" t="n">
        <f aca="false">AA395/(1-Resumo!$B$5)</f>
        <v>390.073</v>
      </c>
      <c r="AC395" s="61" t="n">
        <f aca="false">AB395-S395</f>
        <v>137.023072727273</v>
      </c>
      <c r="AD395" s="62" t="n">
        <f aca="false">AB395/S395-1</f>
        <v>0.541486315384689</v>
      </c>
      <c r="AE395" s="60" t="str">
        <f aca="false">IF(AB395&lt;S395,"SIM","NÃO")</f>
        <v>NÃO</v>
      </c>
      <c r="AF395" s="60" t="n">
        <v>13</v>
      </c>
      <c r="AG395" s="60" t="n">
        <v>10</v>
      </c>
      <c r="AH395" s="60" t="s">
        <v>385</v>
      </c>
      <c r="AI395" s="61" t="n">
        <f aca="false">(T395*(1-Painel!$C$40)+U395+V395+Painel!$C$41+Painel!$C$42*CEILING(G395/100,1)+Painel!$C$43*CEILING(G395,1)+Z395)/(1-Resumo!$B$5)</f>
        <v>274.394363636364</v>
      </c>
      <c r="AJ395" s="60" t="str">
        <f aca="false">IF(AI395&lt;S395,"SIM","NÃO")</f>
        <v>NÃO</v>
      </c>
    </row>
    <row r="396" customFormat="false" ht="15" hidden="false" customHeight="false" outlineLevel="0" collapsed="false">
      <c r="A396" s="59" t="n">
        <v>46233.0966782407</v>
      </c>
      <c r="B396" s="60" t="s">
        <v>765</v>
      </c>
      <c r="C396" s="60" t="n">
        <v>21321740</v>
      </c>
      <c r="D396" s="60" t="s">
        <v>46</v>
      </c>
      <c r="E396" s="60" t="s">
        <v>22</v>
      </c>
      <c r="F396" s="60" t="s">
        <v>235</v>
      </c>
      <c r="G396" s="60" t="n">
        <v>41</v>
      </c>
      <c r="H396" s="61" t="n">
        <v>559.99</v>
      </c>
      <c r="I396" s="61" t="n">
        <v>53.55</v>
      </c>
      <c r="J396" s="61" t="n">
        <f aca="false">H396*Resumo!$C$6</f>
        <v>0</v>
      </c>
      <c r="K396" s="61" t="n">
        <f aca="false">H396*Resumo!$C$7</f>
        <v>1.175979</v>
      </c>
      <c r="L396" s="61" t="n">
        <f aca="false">H396*Resumo!$C$8</f>
        <v>1.175979</v>
      </c>
      <c r="M396" s="61" t="n">
        <f aca="false">Resumo!$C$10*CEILING(G396/100,1)</f>
        <v>1.05</v>
      </c>
      <c r="N396" s="61" t="n">
        <f aca="false">Resumo!$C$9</f>
        <v>0</v>
      </c>
      <c r="O396" s="61" t="n">
        <f aca="false">Resumo!$C$13</f>
        <v>13.55</v>
      </c>
      <c r="P396" s="61" t="n">
        <f aca="false">Resumo!$C$14*CEILING(G396,1)</f>
        <v>18.45</v>
      </c>
      <c r="Q396" s="61" t="n">
        <f aca="false">SUM(I396:P396)*Resumo!$C$11</f>
        <v>0</v>
      </c>
      <c r="R396" s="61" t="n">
        <f aca="false">SUM(I396:Q396)</f>
        <v>88.951958</v>
      </c>
      <c r="S396" s="61" t="n">
        <f aca="false">R396/(1-Resumo!$C$5)</f>
        <v>101.081770454545</v>
      </c>
      <c r="T396" s="61" t="n">
        <v>93.97</v>
      </c>
      <c r="U396" s="61" t="n">
        <f aca="false">H396*Resumo!$B$6</f>
        <v>0.55999</v>
      </c>
      <c r="V396" s="61" t="n">
        <f aca="false">H396*Resumo!$B$7</f>
        <v>1.11998</v>
      </c>
      <c r="W396" s="61" t="n">
        <f aca="false">Resumo!$B$9</f>
        <v>1</v>
      </c>
      <c r="X396" s="61" t="n">
        <f aca="false">Resumo!$B$10*CEILING(G396/100,1)</f>
        <v>4.5</v>
      </c>
      <c r="Y396" s="61" t="n">
        <f aca="false">Resumo!$B$12*CEILING(G396,1)</f>
        <v>2.46</v>
      </c>
      <c r="Z396" s="61" t="n">
        <f aca="false">Resumo!$B$14*CEILING(G396,1)</f>
        <v>18.45</v>
      </c>
      <c r="AA396" s="61" t="n">
        <f aca="false">SUM(T396:Z396)</f>
        <v>122.05997</v>
      </c>
      <c r="AB396" s="61" t="n">
        <f aca="false">AA396/(1-Resumo!$B$5)</f>
        <v>138.704511363636</v>
      </c>
      <c r="AC396" s="61" t="n">
        <f aca="false">AB396-S396</f>
        <v>37.6227409090909</v>
      </c>
      <c r="AD396" s="62" t="n">
        <f aca="false">AB396/S396-1</f>
        <v>0.372201048120829</v>
      </c>
      <c r="AE396" s="60" t="str">
        <f aca="false">IF(AB396&lt;S396,"SIM","NÃO")</f>
        <v>NÃO</v>
      </c>
      <c r="AF396" s="60" t="n">
        <v>2</v>
      </c>
      <c r="AG396" s="60" t="n">
        <v>5</v>
      </c>
      <c r="AH396" s="60" t="s">
        <v>382</v>
      </c>
      <c r="AI396" s="61" t="n">
        <f aca="false">(T396*(1-Painel!$C$40)+U396+V396+Painel!$C$41+Painel!$C$42*CEILING(G396/100,1)+Painel!$C$43*CEILING(G396,1)+Z396)/(1-Resumo!$B$5)</f>
        <v>96.7498522727273</v>
      </c>
      <c r="AJ396" s="60" t="str">
        <f aca="false">IF(AI396&lt;S396,"SIM","NÃO")</f>
        <v>SIM</v>
      </c>
    </row>
    <row r="397" customFormat="false" ht="15" hidden="false" customHeight="false" outlineLevel="0" collapsed="false">
      <c r="A397" s="59" t="n">
        <v>46233.3183101852</v>
      </c>
      <c r="B397" s="60" t="s">
        <v>766</v>
      </c>
      <c r="C397" s="60" t="n">
        <v>21920070</v>
      </c>
      <c r="D397" s="60" t="s">
        <v>46</v>
      </c>
      <c r="E397" s="60" t="s">
        <v>22</v>
      </c>
      <c r="F397" s="60" t="s">
        <v>241</v>
      </c>
      <c r="G397" s="60" t="n">
        <v>124.2</v>
      </c>
      <c r="H397" s="61" t="n">
        <v>1630.39</v>
      </c>
      <c r="I397" s="61" t="n">
        <v>120.59</v>
      </c>
      <c r="J397" s="61" t="n">
        <f aca="false">H397*Resumo!$C$6</f>
        <v>0</v>
      </c>
      <c r="K397" s="61" t="n">
        <f aca="false">H397*Resumo!$C$7</f>
        <v>3.423819</v>
      </c>
      <c r="L397" s="61" t="n">
        <f aca="false">H397*Resumo!$C$8</f>
        <v>3.423819</v>
      </c>
      <c r="M397" s="61" t="n">
        <f aca="false">Resumo!$C$10*CEILING(G397/100,1)</f>
        <v>2.1</v>
      </c>
      <c r="N397" s="61" t="n">
        <f aca="false">Resumo!$C$9</f>
        <v>0</v>
      </c>
      <c r="O397" s="61" t="n">
        <f aca="false">Resumo!$C$13</f>
        <v>13.55</v>
      </c>
      <c r="P397" s="61" t="n">
        <f aca="false">Resumo!$C$14*CEILING(G397,1)</f>
        <v>56.25</v>
      </c>
      <c r="Q397" s="61" t="n">
        <f aca="false">SUM(I397:P397)*Resumo!$C$11</f>
        <v>0</v>
      </c>
      <c r="R397" s="61" t="n">
        <f aca="false">SUM(I397:Q397)</f>
        <v>199.337638</v>
      </c>
      <c r="S397" s="61" t="n">
        <f aca="false">R397/(1-Resumo!$C$5)</f>
        <v>226.520043181818</v>
      </c>
      <c r="T397" s="61" t="n">
        <v>239.25</v>
      </c>
      <c r="U397" s="61" t="n">
        <f aca="false">H397*Resumo!$B$6</f>
        <v>1.63039</v>
      </c>
      <c r="V397" s="61" t="n">
        <f aca="false">H397*Resumo!$B$7</f>
        <v>3.26078</v>
      </c>
      <c r="W397" s="61" t="n">
        <f aca="false">Resumo!$B$9</f>
        <v>1</v>
      </c>
      <c r="X397" s="61" t="n">
        <f aca="false">Resumo!$B$10*CEILING(G397/100,1)</f>
        <v>9</v>
      </c>
      <c r="Y397" s="61" t="n">
        <f aca="false">Resumo!$B$12*CEILING(G397,1)</f>
        <v>7.5</v>
      </c>
      <c r="Z397" s="61" t="n">
        <f aca="false">Resumo!$B$14*CEILING(G397,1)</f>
        <v>56.25</v>
      </c>
      <c r="AA397" s="61" t="n">
        <f aca="false">SUM(T397:Z397)</f>
        <v>317.89117</v>
      </c>
      <c r="AB397" s="61" t="n">
        <f aca="false">AA397/(1-Resumo!$B$5)</f>
        <v>361.239965909091</v>
      </c>
      <c r="AC397" s="61" t="n">
        <f aca="false">AB397-S397</f>
        <v>134.719922727273</v>
      </c>
      <c r="AD397" s="62" t="n">
        <f aca="false">AB397/S397-1</f>
        <v>0.594737316993793</v>
      </c>
      <c r="AE397" s="60" t="str">
        <f aca="false">IF(AB397&lt;S397,"SIM","NÃO")</f>
        <v>NÃO</v>
      </c>
      <c r="AF397" s="60" t="n">
        <v>2</v>
      </c>
      <c r="AG397" s="60" t="n">
        <v>5</v>
      </c>
      <c r="AH397" s="60" t="s">
        <v>382</v>
      </c>
      <c r="AI397" s="61" t="n">
        <f aca="false">(T397*(1-Painel!$C$40)+U397+V397+Painel!$C$41+Painel!$C$42*CEILING(G397/100,1)+Painel!$C$43*CEILING(G397,1)+Z397)/(1-Resumo!$B$5)</f>
        <v>255.157579545455</v>
      </c>
      <c r="AJ397" s="60" t="str">
        <f aca="false">IF(AI397&lt;S397,"SIM","NÃO")</f>
        <v>NÃO</v>
      </c>
    </row>
    <row r="398" customFormat="false" ht="15" hidden="false" customHeight="false" outlineLevel="0" collapsed="false">
      <c r="A398" s="59" t="n">
        <v>46233.3419212963</v>
      </c>
      <c r="B398" s="60" t="s">
        <v>446</v>
      </c>
      <c r="C398" s="60" t="n">
        <v>24110310</v>
      </c>
      <c r="D398" s="60" t="s">
        <v>50</v>
      </c>
      <c r="E398" s="60" t="s">
        <v>23</v>
      </c>
      <c r="F398" s="60" t="s">
        <v>236</v>
      </c>
      <c r="G398" s="60" t="n">
        <v>52.3</v>
      </c>
      <c r="H398" s="61" t="n">
        <v>597.99</v>
      </c>
      <c r="I398" s="61" t="n">
        <v>70.98</v>
      </c>
      <c r="J398" s="61" t="n">
        <f aca="false">H398*Resumo!$C$6</f>
        <v>0</v>
      </c>
      <c r="K398" s="61" t="n">
        <f aca="false">H398*Resumo!$C$7</f>
        <v>1.255779</v>
      </c>
      <c r="L398" s="61" t="n">
        <f aca="false">H398*Resumo!$C$8</f>
        <v>1.255779</v>
      </c>
      <c r="M398" s="61" t="n">
        <f aca="false">Resumo!$C$10*CEILING(G398/100,1)</f>
        <v>1.05</v>
      </c>
      <c r="N398" s="61" t="n">
        <f aca="false">Resumo!$C$9</f>
        <v>0</v>
      </c>
      <c r="O398" s="61" t="n">
        <f aca="false">Resumo!$C$13</f>
        <v>13.55</v>
      </c>
      <c r="P398" s="61" t="n">
        <f aca="false">Resumo!$C$14*CEILING(G398,1)</f>
        <v>23.85</v>
      </c>
      <c r="Q398" s="61" t="n">
        <f aca="false">SUM(I398:P398)*Resumo!$C$11</f>
        <v>0</v>
      </c>
      <c r="R398" s="61" t="n">
        <f aca="false">SUM(I398:Q398)</f>
        <v>111.941558</v>
      </c>
      <c r="S398" s="61" t="n">
        <f aca="false">R398/(1-Resumo!$C$5)</f>
        <v>127.206315909091</v>
      </c>
      <c r="T398" s="61" t="n">
        <v>128.14</v>
      </c>
      <c r="U398" s="61" t="n">
        <f aca="false">H398*Resumo!$B$6</f>
        <v>0.59799</v>
      </c>
      <c r="V398" s="61" t="n">
        <f aca="false">H398*Resumo!$B$7</f>
        <v>1.19598</v>
      </c>
      <c r="W398" s="61" t="n">
        <f aca="false">Resumo!$B$9</f>
        <v>1</v>
      </c>
      <c r="X398" s="61" t="n">
        <f aca="false">Resumo!$B$10*CEILING(G398/100,1)</f>
        <v>4.5</v>
      </c>
      <c r="Y398" s="61" t="n">
        <f aca="false">Resumo!$B$12*CEILING(G398,1)</f>
        <v>3.18</v>
      </c>
      <c r="Z398" s="61" t="n">
        <f aca="false">Resumo!$B$14*CEILING(G398,1)</f>
        <v>23.85</v>
      </c>
      <c r="AA398" s="61" t="n">
        <f aca="false">SUM(T398:Z398)</f>
        <v>162.46397</v>
      </c>
      <c r="AB398" s="61" t="n">
        <f aca="false">AA398/(1-Resumo!$B$5)</f>
        <v>184.618147727273</v>
      </c>
      <c r="AC398" s="61" t="n">
        <f aca="false">AB398-S398</f>
        <v>57.4118318181818</v>
      </c>
      <c r="AD398" s="62" t="n">
        <f aca="false">AB398/S398-1</f>
        <v>0.451328469092774</v>
      </c>
      <c r="AE398" s="60" t="str">
        <f aca="false">IF(AB398&lt;S398,"SIM","NÃO")</f>
        <v>NÃO</v>
      </c>
      <c r="AF398" s="60" t="n">
        <v>2</v>
      </c>
      <c r="AG398" s="60" t="n">
        <v>7</v>
      </c>
      <c r="AH398" s="60" t="s">
        <v>382</v>
      </c>
      <c r="AI398" s="61" t="n">
        <f aca="false">(T398*(1-Painel!$C$40)+U398+V398+Painel!$C$41+Painel!$C$42*CEILING(G398/100,1)+Painel!$C$43*CEILING(G398,1)+Z398)/(1-Resumo!$B$5)</f>
        <v>129.031556818182</v>
      </c>
      <c r="AJ398" s="60" t="str">
        <f aca="false">IF(AI398&lt;S398,"SIM","NÃO")</f>
        <v>NÃO</v>
      </c>
    </row>
    <row r="399" customFormat="false" ht="15" hidden="false" customHeight="false" outlineLevel="0" collapsed="false">
      <c r="A399" s="59" t="n">
        <v>46233.350775463</v>
      </c>
      <c r="B399" s="60" t="s">
        <v>767</v>
      </c>
      <c r="C399" s="60" t="n">
        <v>24322535</v>
      </c>
      <c r="D399" s="60" t="s">
        <v>50</v>
      </c>
      <c r="E399" s="60" t="s">
        <v>23</v>
      </c>
      <c r="F399" s="60" t="s">
        <v>235</v>
      </c>
      <c r="G399" s="60" t="n">
        <v>44.5</v>
      </c>
      <c r="H399" s="61" t="n">
        <v>685.62</v>
      </c>
      <c r="I399" s="61" t="n">
        <v>65.36</v>
      </c>
      <c r="J399" s="61" t="n">
        <f aca="false">H399*Resumo!$C$6</f>
        <v>0</v>
      </c>
      <c r="K399" s="61" t="n">
        <f aca="false">H399*Resumo!$C$7</f>
        <v>1.439802</v>
      </c>
      <c r="L399" s="61" t="n">
        <f aca="false">H399*Resumo!$C$8</f>
        <v>1.439802</v>
      </c>
      <c r="M399" s="61" t="n">
        <f aca="false">Resumo!$C$10*CEILING(G399/100,1)</f>
        <v>1.05</v>
      </c>
      <c r="N399" s="61" t="n">
        <f aca="false">Resumo!$C$9</f>
        <v>0</v>
      </c>
      <c r="O399" s="61" t="n">
        <f aca="false">Resumo!$C$13</f>
        <v>13.55</v>
      </c>
      <c r="P399" s="61" t="n">
        <f aca="false">Resumo!$C$14*CEILING(G399,1)</f>
        <v>20.25</v>
      </c>
      <c r="Q399" s="61" t="n">
        <f aca="false">SUM(I399:P399)*Resumo!$C$11</f>
        <v>0</v>
      </c>
      <c r="R399" s="61" t="n">
        <f aca="false">SUM(I399:Q399)</f>
        <v>103.089604</v>
      </c>
      <c r="S399" s="61" t="n">
        <f aca="false">R399/(1-Resumo!$C$5)</f>
        <v>117.147277272727</v>
      </c>
      <c r="T399" s="61" t="n">
        <v>114.95</v>
      </c>
      <c r="U399" s="61" t="n">
        <f aca="false">H399*Resumo!$B$6</f>
        <v>0.68562</v>
      </c>
      <c r="V399" s="61" t="n">
        <f aca="false">H399*Resumo!$B$7</f>
        <v>1.37124</v>
      </c>
      <c r="W399" s="61" t="n">
        <f aca="false">Resumo!$B$9</f>
        <v>1</v>
      </c>
      <c r="X399" s="61" t="n">
        <f aca="false">Resumo!$B$10*CEILING(G399/100,1)</f>
        <v>4.5</v>
      </c>
      <c r="Y399" s="61" t="n">
        <f aca="false">Resumo!$B$12*CEILING(G399,1)</f>
        <v>2.7</v>
      </c>
      <c r="Z399" s="61" t="n">
        <f aca="false">Resumo!$B$14*CEILING(G399,1)</f>
        <v>20.25</v>
      </c>
      <c r="AA399" s="61" t="n">
        <f aca="false">SUM(T399:Z399)</f>
        <v>145.45686</v>
      </c>
      <c r="AB399" s="61" t="n">
        <f aca="false">AA399/(1-Resumo!$B$5)</f>
        <v>165.291886363636</v>
      </c>
      <c r="AC399" s="61" t="n">
        <f aca="false">AB399-S399</f>
        <v>48.1446090909091</v>
      </c>
      <c r="AD399" s="62" t="n">
        <f aca="false">AB399/S399-1</f>
        <v>0.410975058163964</v>
      </c>
      <c r="AE399" s="60" t="str">
        <f aca="false">IF(AB399&lt;S399,"SIM","NÃO")</f>
        <v>NÃO</v>
      </c>
      <c r="AF399" s="60" t="n">
        <v>2</v>
      </c>
      <c r="AG399" s="60" t="n">
        <v>7</v>
      </c>
      <c r="AH399" s="60" t="s">
        <v>382</v>
      </c>
      <c r="AI399" s="61" t="n">
        <f aca="false">(T399*(1-Painel!$C$40)+U399+V399+Painel!$C$41+Painel!$C$42*CEILING(G399/100,1)+Painel!$C$43*CEILING(G399,1)+Z399)/(1-Resumo!$B$5)</f>
        <v>115.197</v>
      </c>
      <c r="AJ399" s="60" t="str">
        <f aca="false">IF(AI399&lt;S399,"SIM","NÃO")</f>
        <v>SIM</v>
      </c>
    </row>
    <row r="400" customFormat="false" ht="15" hidden="false" customHeight="false" outlineLevel="0" collapsed="false">
      <c r="A400" s="59" t="n">
        <v>46233.3898611111</v>
      </c>
      <c r="B400" s="60" t="s">
        <v>768</v>
      </c>
      <c r="C400" s="60" t="n">
        <v>22051002</v>
      </c>
      <c r="D400" s="60" t="s">
        <v>46</v>
      </c>
      <c r="E400" s="60" t="s">
        <v>22</v>
      </c>
      <c r="F400" s="60" t="s">
        <v>235</v>
      </c>
      <c r="G400" s="60" t="n">
        <v>48.3</v>
      </c>
      <c r="H400" s="61" t="n">
        <v>474.99</v>
      </c>
      <c r="I400" s="61" t="n">
        <v>53.55</v>
      </c>
      <c r="J400" s="61" t="n">
        <f aca="false">H400*Resumo!$C$6</f>
        <v>0</v>
      </c>
      <c r="K400" s="61" t="n">
        <f aca="false">H400*Resumo!$C$7</f>
        <v>0.997479</v>
      </c>
      <c r="L400" s="61" t="n">
        <f aca="false">H400*Resumo!$C$8</f>
        <v>0.997479</v>
      </c>
      <c r="M400" s="61" t="n">
        <f aca="false">Resumo!$C$10*CEILING(G400/100,1)</f>
        <v>1.05</v>
      </c>
      <c r="N400" s="61" t="n">
        <f aca="false">Resumo!$C$9</f>
        <v>0</v>
      </c>
      <c r="O400" s="61" t="n">
        <f aca="false">Resumo!$C$13</f>
        <v>13.55</v>
      </c>
      <c r="P400" s="61" t="n">
        <f aca="false">Resumo!$C$14*CEILING(G400,1)</f>
        <v>22.05</v>
      </c>
      <c r="Q400" s="61" t="n">
        <f aca="false">SUM(I400:P400)*Resumo!$C$11</f>
        <v>0</v>
      </c>
      <c r="R400" s="61" t="n">
        <f aca="false">SUM(I400:Q400)</f>
        <v>92.194958</v>
      </c>
      <c r="S400" s="61" t="n">
        <f aca="false">R400/(1-Resumo!$C$5)</f>
        <v>104.766997727273</v>
      </c>
      <c r="T400" s="61" t="n">
        <v>93.97</v>
      </c>
      <c r="U400" s="61" t="n">
        <f aca="false">H400*Resumo!$B$6</f>
        <v>0.47499</v>
      </c>
      <c r="V400" s="61" t="n">
        <f aca="false">H400*Resumo!$B$7</f>
        <v>0.94998</v>
      </c>
      <c r="W400" s="61" t="n">
        <f aca="false">Resumo!$B$9</f>
        <v>1</v>
      </c>
      <c r="X400" s="61" t="n">
        <f aca="false">Resumo!$B$10*CEILING(G400/100,1)</f>
        <v>4.5</v>
      </c>
      <c r="Y400" s="61" t="n">
        <f aca="false">Resumo!$B$12*CEILING(G400,1)</f>
        <v>2.94</v>
      </c>
      <c r="Z400" s="61" t="n">
        <f aca="false">Resumo!$B$14*CEILING(G400,1)</f>
        <v>22.05</v>
      </c>
      <c r="AA400" s="61" t="n">
        <f aca="false">SUM(T400:Z400)</f>
        <v>125.88497</v>
      </c>
      <c r="AB400" s="61" t="n">
        <f aca="false">AA400/(1-Resumo!$B$5)</f>
        <v>143.051102272727</v>
      </c>
      <c r="AC400" s="61" t="n">
        <f aca="false">AB400-S400</f>
        <v>38.2841045454545</v>
      </c>
      <c r="AD400" s="62" t="n">
        <f aca="false">AB400/S400-1</f>
        <v>0.365421414910781</v>
      </c>
      <c r="AE400" s="60" t="str">
        <f aca="false">IF(AB400&lt;S400,"SIM","NÃO")</f>
        <v>NÃO</v>
      </c>
      <c r="AF400" s="60" t="n">
        <v>2</v>
      </c>
      <c r="AG400" s="60" t="n">
        <v>5</v>
      </c>
      <c r="AH400" s="60" t="s">
        <v>382</v>
      </c>
      <c r="AI400" s="61" t="n">
        <f aca="false">(T400*(1-Painel!$C$40)+U400+V400+Painel!$C$41+Painel!$C$42*CEILING(G400/100,1)+Painel!$C$43*CEILING(G400,1)+Z400)/(1-Resumo!$B$5)</f>
        <v>100.550988636364</v>
      </c>
      <c r="AJ400" s="60" t="str">
        <f aca="false">IF(AI400&lt;S400,"SIM","NÃO")</f>
        <v>SIM</v>
      </c>
    </row>
    <row r="401" customFormat="false" ht="15" hidden="false" customHeight="false" outlineLevel="0" collapsed="false">
      <c r="A401" s="59" t="n">
        <v>46233.4425347222</v>
      </c>
      <c r="B401" s="60" t="s">
        <v>769</v>
      </c>
      <c r="C401" s="60" t="n">
        <v>23075067</v>
      </c>
      <c r="D401" s="60" t="s">
        <v>46</v>
      </c>
      <c r="E401" s="60" t="s">
        <v>22</v>
      </c>
      <c r="F401" s="60" t="s">
        <v>232</v>
      </c>
      <c r="G401" s="60" t="n">
        <v>19.9</v>
      </c>
      <c r="H401" s="61" t="n">
        <v>227.12</v>
      </c>
      <c r="I401" s="61" t="n">
        <v>33.42</v>
      </c>
      <c r="J401" s="61" t="n">
        <f aca="false">H401*Resumo!$C$6</f>
        <v>0</v>
      </c>
      <c r="K401" s="61" t="n">
        <f aca="false">H401*Resumo!$C$7</f>
        <v>0.476952</v>
      </c>
      <c r="L401" s="61" t="n">
        <f aca="false">H401*Resumo!$C$8</f>
        <v>0.476952</v>
      </c>
      <c r="M401" s="61" t="n">
        <f aca="false">Resumo!$C$10*CEILING(G401/100,1)</f>
        <v>1.05</v>
      </c>
      <c r="N401" s="61" t="n">
        <f aca="false">Resumo!$C$9</f>
        <v>0</v>
      </c>
      <c r="O401" s="61" t="n">
        <f aca="false">Resumo!$C$13</f>
        <v>13.55</v>
      </c>
      <c r="P401" s="61" t="n">
        <f aca="false">Resumo!$C$14*CEILING(G401,1)</f>
        <v>9</v>
      </c>
      <c r="Q401" s="61" t="n">
        <f aca="false">SUM(I401:P401)*Resumo!$C$11</f>
        <v>0</v>
      </c>
      <c r="R401" s="61" t="n">
        <f aca="false">SUM(I401:Q401)</f>
        <v>57.973904</v>
      </c>
      <c r="S401" s="61" t="n">
        <f aca="false">R401/(1-Resumo!$C$5)</f>
        <v>65.8794363636364</v>
      </c>
      <c r="T401" s="61" t="n">
        <v>46.98</v>
      </c>
      <c r="U401" s="61" t="n">
        <f aca="false">H401*Resumo!$B$6</f>
        <v>0.22712</v>
      </c>
      <c r="V401" s="61" t="n">
        <f aca="false">H401*Resumo!$B$7</f>
        <v>0.45424</v>
      </c>
      <c r="W401" s="61" t="n">
        <f aca="false">Resumo!$B$9</f>
        <v>1</v>
      </c>
      <c r="X401" s="61" t="n">
        <f aca="false">Resumo!$B$10*CEILING(G401/100,1)</f>
        <v>4.5</v>
      </c>
      <c r="Y401" s="61" t="n">
        <f aca="false">Resumo!$B$12*CEILING(G401,1)</f>
        <v>1.2</v>
      </c>
      <c r="Z401" s="61" t="n">
        <f aca="false">Resumo!$B$14*CEILING(G401,1)</f>
        <v>9</v>
      </c>
      <c r="AA401" s="61" t="n">
        <f aca="false">SUM(T401:Z401)</f>
        <v>63.36136</v>
      </c>
      <c r="AB401" s="61" t="n">
        <f aca="false">AA401/(1-Resumo!$B$5)</f>
        <v>72.0015454545455</v>
      </c>
      <c r="AC401" s="61" t="n">
        <f aca="false">AB401-S401</f>
        <v>6.12210909090908</v>
      </c>
      <c r="AD401" s="62" t="n">
        <f aca="false">AB401/S401-1</f>
        <v>0.092928984047719</v>
      </c>
      <c r="AE401" s="60" t="str">
        <f aca="false">IF(AB401&lt;S401,"SIM","NÃO")</f>
        <v>NÃO</v>
      </c>
      <c r="AF401" s="60" t="n">
        <v>2</v>
      </c>
      <c r="AG401" s="60" t="n">
        <v>5</v>
      </c>
      <c r="AH401" s="60" t="s">
        <v>382</v>
      </c>
      <c r="AI401" s="61" t="n">
        <f aca="false">(T401*(1-Painel!$C$40)+U401+V401+Painel!$C$41+Painel!$C$42*CEILING(G401/100,1)+Painel!$C$43*CEILING(G401,1)+Z401)/(1-Resumo!$B$5)</f>
        <v>49.0999545454545</v>
      </c>
      <c r="AJ401" s="60" t="str">
        <f aca="false">IF(AI401&lt;S401,"SIM","NÃO")</f>
        <v>SIM</v>
      </c>
    </row>
    <row r="402" customFormat="false" ht="15" hidden="false" customHeight="false" outlineLevel="0" collapsed="false">
      <c r="A402" s="59" t="n">
        <v>46233.4518055556</v>
      </c>
      <c r="B402" s="60" t="s">
        <v>770</v>
      </c>
      <c r="C402" s="60" t="n">
        <v>23903602</v>
      </c>
      <c r="D402" s="60" t="s">
        <v>218</v>
      </c>
      <c r="E402" s="60" t="s">
        <v>24</v>
      </c>
      <c r="F402" s="60" t="s">
        <v>236</v>
      </c>
      <c r="G402" s="60" t="n">
        <v>52.3</v>
      </c>
      <c r="H402" s="61" t="n">
        <v>685.84</v>
      </c>
      <c r="I402" s="61" t="n">
        <v>83.58</v>
      </c>
      <c r="J402" s="61" t="n">
        <f aca="false">H402*Resumo!$C$6</f>
        <v>0</v>
      </c>
      <c r="K402" s="61" t="n">
        <f aca="false">H402*Resumo!$C$7</f>
        <v>1.440264</v>
      </c>
      <c r="L402" s="61" t="n">
        <f aca="false">H402*Resumo!$C$8</f>
        <v>1.440264</v>
      </c>
      <c r="M402" s="61" t="n">
        <f aca="false">Resumo!$C$10*CEILING(G402/100,1)</f>
        <v>1.05</v>
      </c>
      <c r="N402" s="61" t="n">
        <f aca="false">Resumo!$C$9</f>
        <v>0</v>
      </c>
      <c r="O402" s="61" t="n">
        <f aca="false">Resumo!$C$13</f>
        <v>13.55</v>
      </c>
      <c r="P402" s="61" t="n">
        <f aca="false">Resumo!$C$14*CEILING(G402,1)</f>
        <v>23.85</v>
      </c>
      <c r="Q402" s="61" t="n">
        <f aca="false">SUM(I402:P402)*Resumo!$C$11</f>
        <v>0</v>
      </c>
      <c r="R402" s="61" t="n">
        <f aca="false">SUM(I402:Q402)</f>
        <v>124.910528</v>
      </c>
      <c r="S402" s="61" t="n">
        <f aca="false">R402/(1-Resumo!$C$5)</f>
        <v>141.943781818182</v>
      </c>
      <c r="T402" s="61" t="n">
        <v>142.32</v>
      </c>
      <c r="U402" s="61" t="n">
        <f aca="false">H402*Resumo!$B$6</f>
        <v>0.68584</v>
      </c>
      <c r="V402" s="61" t="n">
        <f aca="false">H402*Resumo!$B$7</f>
        <v>1.37168</v>
      </c>
      <c r="W402" s="61" t="n">
        <f aca="false">Resumo!$B$9</f>
        <v>1</v>
      </c>
      <c r="X402" s="61" t="n">
        <f aca="false">Resumo!$B$10*CEILING(G402/100,1)</f>
        <v>4.5</v>
      </c>
      <c r="Y402" s="61" t="n">
        <f aca="false">Resumo!$B$12*CEILING(G402,1)</f>
        <v>3.18</v>
      </c>
      <c r="Z402" s="61" t="n">
        <f aca="false">Resumo!$B$14*CEILING(G402,1)</f>
        <v>23.85</v>
      </c>
      <c r="AA402" s="61" t="n">
        <f aca="false">SUM(T402:Z402)</f>
        <v>176.90752</v>
      </c>
      <c r="AB402" s="61" t="n">
        <f aca="false">AA402/(1-Resumo!$B$5)</f>
        <v>201.031272727273</v>
      </c>
      <c r="AC402" s="61" t="n">
        <f aca="false">AB402-S402</f>
        <v>59.0874909090909</v>
      </c>
      <c r="AD402" s="62" t="n">
        <f aca="false">AB402/S402-1</f>
        <v>0.41627389486337</v>
      </c>
      <c r="AE402" s="60" t="str">
        <f aca="false">IF(AB402&lt;S402,"SIM","NÃO")</f>
        <v>NÃO</v>
      </c>
      <c r="AF402" s="60" t="n">
        <v>13</v>
      </c>
      <c r="AG402" s="60" t="n">
        <v>10</v>
      </c>
      <c r="AH402" s="60" t="s">
        <v>382</v>
      </c>
      <c r="AI402" s="61" t="n">
        <f aca="false">(T402*(1-Painel!$C$40)+U402+V402+Painel!$C$41+Painel!$C$42*CEILING(G402/100,1)+Painel!$C$43*CEILING(G402,1)+Z402)/(1-Resumo!$B$5)</f>
        <v>140.127181818182</v>
      </c>
      <c r="AJ402" s="60" t="str">
        <f aca="false">IF(AI402&lt;S402,"SIM","NÃO")</f>
        <v>SIM</v>
      </c>
    </row>
    <row r="403" customFormat="false" ht="15" hidden="false" customHeight="false" outlineLevel="0" collapsed="false">
      <c r="A403" s="59" t="n">
        <v>46233.4588310185</v>
      </c>
      <c r="B403" s="60" t="s">
        <v>771</v>
      </c>
      <c r="C403" s="60" t="n">
        <v>21073190</v>
      </c>
      <c r="D403" s="60" t="s">
        <v>46</v>
      </c>
      <c r="E403" s="60" t="s">
        <v>22</v>
      </c>
      <c r="F403" s="60" t="s">
        <v>233</v>
      </c>
      <c r="G403" s="60" t="n">
        <v>22</v>
      </c>
      <c r="H403" s="61" t="n">
        <v>829.99</v>
      </c>
      <c r="I403" s="61" t="n">
        <v>42.11</v>
      </c>
      <c r="J403" s="61" t="n">
        <f aca="false">H403*Resumo!$C$6</f>
        <v>0</v>
      </c>
      <c r="K403" s="61" t="n">
        <f aca="false">H403*Resumo!$C$7</f>
        <v>1.742979</v>
      </c>
      <c r="L403" s="61" t="n">
        <f aca="false">H403*Resumo!$C$8</f>
        <v>1.742979</v>
      </c>
      <c r="M403" s="61" t="n">
        <f aca="false">Resumo!$C$10*CEILING(G403/100,1)</f>
        <v>1.05</v>
      </c>
      <c r="N403" s="61" t="n">
        <f aca="false">Resumo!$C$9</f>
        <v>0</v>
      </c>
      <c r="O403" s="61" t="n">
        <f aca="false">Resumo!$C$13</f>
        <v>13.55</v>
      </c>
      <c r="P403" s="61" t="n">
        <f aca="false">Resumo!$C$14*CEILING(G403,1)</f>
        <v>9.9</v>
      </c>
      <c r="Q403" s="61" t="n">
        <f aca="false">SUM(I403:P403)*Resumo!$C$11</f>
        <v>0</v>
      </c>
      <c r="R403" s="61" t="n">
        <f aca="false">SUM(I403:Q403)</f>
        <v>70.095958</v>
      </c>
      <c r="S403" s="61" t="n">
        <f aca="false">R403/(1-Resumo!$C$5)</f>
        <v>79.6544977272727</v>
      </c>
      <c r="T403" s="61" t="n">
        <v>82.21</v>
      </c>
      <c r="U403" s="61" t="n">
        <f aca="false">H403*Resumo!$B$6</f>
        <v>0.82999</v>
      </c>
      <c r="V403" s="61" t="n">
        <f aca="false">H403*Resumo!$B$7</f>
        <v>1.65998</v>
      </c>
      <c r="W403" s="61" t="n">
        <f aca="false">Resumo!$B$9</f>
        <v>1</v>
      </c>
      <c r="X403" s="61" t="n">
        <f aca="false">Resumo!$B$10*CEILING(G403/100,1)</f>
        <v>4.5</v>
      </c>
      <c r="Y403" s="61" t="n">
        <f aca="false">Resumo!$B$12*CEILING(G403,1)</f>
        <v>1.32</v>
      </c>
      <c r="Z403" s="61" t="n">
        <f aca="false">Resumo!$B$14*CEILING(G403,1)</f>
        <v>9.9</v>
      </c>
      <c r="AA403" s="61" t="n">
        <f aca="false">SUM(T403:Z403)</f>
        <v>101.41997</v>
      </c>
      <c r="AB403" s="61" t="n">
        <f aca="false">AA403/(1-Resumo!$B$5)</f>
        <v>115.249965909091</v>
      </c>
      <c r="AC403" s="61" t="n">
        <f aca="false">AB403-S403</f>
        <v>35.5954681818182</v>
      </c>
      <c r="AD403" s="62" t="n">
        <f aca="false">AB403/S403-1</f>
        <v>0.446873299028169</v>
      </c>
      <c r="AE403" s="60" t="str">
        <f aca="false">IF(AB403&lt;S403,"SIM","NÃO")</f>
        <v>NÃO</v>
      </c>
      <c r="AF403" s="60" t="n">
        <v>2</v>
      </c>
      <c r="AG403" s="60" t="n">
        <v>5</v>
      </c>
      <c r="AH403" s="60" t="s">
        <v>382</v>
      </c>
      <c r="AI403" s="61" t="n">
        <f aca="false">(T403*(1-Painel!$C$40)+U403+V403+Painel!$C$41+Painel!$C$42*CEILING(G403/100,1)+Painel!$C$43*CEILING(G403,1)+Z403)/(1-Resumo!$B$5)</f>
        <v>79.0007613636364</v>
      </c>
      <c r="AJ403" s="60" t="str">
        <f aca="false">IF(AI403&lt;S403,"SIM","NÃO")</f>
        <v>SIM</v>
      </c>
    </row>
    <row r="404" customFormat="false" ht="15" hidden="false" customHeight="false" outlineLevel="0" collapsed="false">
      <c r="A404" s="59" t="n">
        <v>46233.463287037</v>
      </c>
      <c r="B404" s="60" t="s">
        <v>772</v>
      </c>
      <c r="C404" s="60" t="n">
        <v>22471210</v>
      </c>
      <c r="D404" s="60" t="s">
        <v>46</v>
      </c>
      <c r="E404" s="60" t="s">
        <v>22</v>
      </c>
      <c r="F404" s="60" t="s">
        <v>234</v>
      </c>
      <c r="G404" s="60" t="n">
        <v>37.2</v>
      </c>
      <c r="H404" s="61" t="n">
        <v>399.99</v>
      </c>
      <c r="I404" s="61" t="n">
        <v>48.35</v>
      </c>
      <c r="J404" s="61" t="n">
        <f aca="false">H404*Resumo!$C$6</f>
        <v>0</v>
      </c>
      <c r="K404" s="61" t="n">
        <f aca="false">H404*Resumo!$C$7</f>
        <v>0.839979</v>
      </c>
      <c r="L404" s="61" t="n">
        <f aca="false">H404*Resumo!$C$8</f>
        <v>0.839979</v>
      </c>
      <c r="M404" s="61" t="n">
        <f aca="false">Resumo!$C$10*CEILING(G404/100,1)</f>
        <v>1.05</v>
      </c>
      <c r="N404" s="61" t="n">
        <f aca="false">Resumo!$C$9</f>
        <v>0</v>
      </c>
      <c r="O404" s="61" t="n">
        <f aca="false">Resumo!$C$13</f>
        <v>13.55</v>
      </c>
      <c r="P404" s="61" t="n">
        <f aca="false">Resumo!$C$14*CEILING(G404,1)</f>
        <v>17.1</v>
      </c>
      <c r="Q404" s="61" t="n">
        <f aca="false">SUM(I404:P404)*Resumo!$C$11</f>
        <v>0</v>
      </c>
      <c r="R404" s="61" t="n">
        <f aca="false">SUM(I404:Q404)</f>
        <v>81.729958</v>
      </c>
      <c r="S404" s="61" t="n">
        <f aca="false">R404/(1-Resumo!$C$5)</f>
        <v>92.8749522727273</v>
      </c>
      <c r="T404" s="61" t="n">
        <v>93.97</v>
      </c>
      <c r="U404" s="61" t="n">
        <f aca="false">H404*Resumo!$B$6</f>
        <v>0.39999</v>
      </c>
      <c r="V404" s="61" t="n">
        <f aca="false">H404*Resumo!$B$7</f>
        <v>0.79998</v>
      </c>
      <c r="W404" s="61" t="n">
        <f aca="false">Resumo!$B$9</f>
        <v>1</v>
      </c>
      <c r="X404" s="61" t="n">
        <f aca="false">Resumo!$B$10*CEILING(G404/100,1)</f>
        <v>4.5</v>
      </c>
      <c r="Y404" s="61" t="n">
        <f aca="false">Resumo!$B$12*CEILING(G404,1)</f>
        <v>2.28</v>
      </c>
      <c r="Z404" s="61" t="n">
        <f aca="false">Resumo!$B$14*CEILING(G404,1)</f>
        <v>17.1</v>
      </c>
      <c r="AA404" s="61" t="n">
        <f aca="false">SUM(T404:Z404)</f>
        <v>120.04997</v>
      </c>
      <c r="AB404" s="61" t="n">
        <f aca="false">AA404/(1-Resumo!$B$5)</f>
        <v>136.420420454545</v>
      </c>
      <c r="AC404" s="61" t="n">
        <f aca="false">AB404-S404</f>
        <v>43.5454681818182</v>
      </c>
      <c r="AD404" s="62" t="n">
        <f aca="false">AB404/S404-1</f>
        <v>0.468861271163262</v>
      </c>
      <c r="AE404" s="60" t="str">
        <f aca="false">IF(AB404&lt;S404,"SIM","NÃO")</f>
        <v>NÃO</v>
      </c>
      <c r="AF404" s="60" t="n">
        <v>2</v>
      </c>
      <c r="AG404" s="60" t="n">
        <v>5</v>
      </c>
      <c r="AH404" s="60" t="s">
        <v>382</v>
      </c>
      <c r="AI404" s="61" t="n">
        <f aca="false">(T404*(1-Painel!$C$40)+U404+V404+Painel!$C$41+Painel!$C$42*CEILING(G404/100,1)+Painel!$C$43*CEILING(G404,1)+Z404)/(1-Resumo!$B$5)</f>
        <v>94.6703068181818</v>
      </c>
      <c r="AJ404" s="60" t="str">
        <f aca="false">IF(AI404&lt;S404,"SIM","NÃO")</f>
        <v>NÃO</v>
      </c>
    </row>
    <row r="405" customFormat="false" ht="15" hidden="false" customHeight="false" outlineLevel="0" collapsed="false">
      <c r="A405" s="59" t="n">
        <v>46233.4870949074</v>
      </c>
      <c r="B405" s="60" t="s">
        <v>773</v>
      </c>
      <c r="C405" s="60" t="n">
        <v>27521071</v>
      </c>
      <c r="D405" s="60" t="s">
        <v>296</v>
      </c>
      <c r="E405" s="60" t="s">
        <v>24</v>
      </c>
      <c r="F405" s="60" t="s">
        <v>236</v>
      </c>
      <c r="G405" s="60" t="n">
        <v>54</v>
      </c>
      <c r="H405" s="61" t="n">
        <v>956.51</v>
      </c>
      <c r="I405" s="61" t="n">
        <v>83.58</v>
      </c>
      <c r="J405" s="61" t="n">
        <f aca="false">H405*Resumo!$C$6</f>
        <v>0</v>
      </c>
      <c r="K405" s="61" t="n">
        <f aca="false">H405*Resumo!$C$7</f>
        <v>2.008671</v>
      </c>
      <c r="L405" s="61" t="n">
        <f aca="false">H405*Resumo!$C$8</f>
        <v>2.008671</v>
      </c>
      <c r="M405" s="61" t="n">
        <f aca="false">Resumo!$C$10*CEILING(G405/100,1)</f>
        <v>1.05</v>
      </c>
      <c r="N405" s="61" t="n">
        <f aca="false">Resumo!$C$9</f>
        <v>0</v>
      </c>
      <c r="O405" s="61" t="n">
        <f aca="false">Resumo!$C$13</f>
        <v>13.55</v>
      </c>
      <c r="P405" s="61" t="n">
        <f aca="false">Resumo!$C$14*CEILING(G405,1)</f>
        <v>24.3</v>
      </c>
      <c r="Q405" s="61" t="n">
        <f aca="false">SUM(I405:P405)*Resumo!$C$11</f>
        <v>0</v>
      </c>
      <c r="R405" s="61" t="n">
        <f aca="false">SUM(I405:Q405)</f>
        <v>126.497342</v>
      </c>
      <c r="S405" s="61" t="n">
        <f aca="false">R405/(1-Resumo!$C$5)</f>
        <v>143.746979545455</v>
      </c>
      <c r="T405" s="61" t="n">
        <v>142.32</v>
      </c>
      <c r="U405" s="61" t="n">
        <f aca="false">H405*Resumo!$B$6</f>
        <v>0.95651</v>
      </c>
      <c r="V405" s="61" t="n">
        <f aca="false">H405*Resumo!$B$7</f>
        <v>1.91302</v>
      </c>
      <c r="W405" s="61" t="n">
        <f aca="false">Resumo!$B$9</f>
        <v>1</v>
      </c>
      <c r="X405" s="61" t="n">
        <f aca="false">Resumo!$B$10*CEILING(G405/100,1)</f>
        <v>4.5</v>
      </c>
      <c r="Y405" s="61" t="n">
        <f aca="false">Resumo!$B$12*CEILING(G405,1)</f>
        <v>3.24</v>
      </c>
      <c r="Z405" s="61" t="n">
        <f aca="false">Resumo!$B$14*CEILING(G405,1)</f>
        <v>24.3</v>
      </c>
      <c r="AA405" s="61" t="n">
        <f aca="false">SUM(T405:Z405)</f>
        <v>178.22953</v>
      </c>
      <c r="AB405" s="61" t="n">
        <f aca="false">AA405/(1-Resumo!$B$5)</f>
        <v>202.533556818182</v>
      </c>
      <c r="AC405" s="61" t="n">
        <f aca="false">AB405-S405</f>
        <v>58.7865772727273</v>
      </c>
      <c r="AD405" s="62" t="n">
        <f aca="false">AB405/S405-1</f>
        <v>0.408958695748722</v>
      </c>
      <c r="AE405" s="60" t="str">
        <f aca="false">IF(AB405&lt;S405,"SIM","NÃO")</f>
        <v>NÃO</v>
      </c>
      <c r="AF405" s="60" t="n">
        <v>13</v>
      </c>
      <c r="AG405" s="60" t="n">
        <v>10</v>
      </c>
      <c r="AH405" s="60" t="s">
        <v>385</v>
      </c>
      <c r="AI405" s="61" t="n">
        <f aca="false">(T405*(1-Painel!$C$40)+U405+V405+Painel!$C$41+Painel!$C$42*CEILING(G405/100,1)+Painel!$C$43*CEILING(G405,1)+Z405)/(1-Resumo!$B$5)</f>
        <v>141.561284090909</v>
      </c>
      <c r="AJ405" s="60" t="str">
        <f aca="false">IF(AI405&lt;S405,"SIM","NÃO")</f>
        <v>SIM</v>
      </c>
    </row>
    <row r="406" customFormat="false" ht="15" hidden="false" customHeight="false" outlineLevel="0" collapsed="false">
      <c r="A406" s="59" t="n">
        <v>46233.5485532407</v>
      </c>
      <c r="B406" s="60" t="s">
        <v>774</v>
      </c>
      <c r="C406" s="60" t="n">
        <v>26190420</v>
      </c>
      <c r="D406" s="60" t="s">
        <v>52</v>
      </c>
      <c r="E406" s="60" t="s">
        <v>23</v>
      </c>
      <c r="F406" s="60" t="s">
        <v>235</v>
      </c>
      <c r="G406" s="60" t="n">
        <v>46.8</v>
      </c>
      <c r="H406" s="61" t="n">
        <v>599.99</v>
      </c>
      <c r="I406" s="61" t="n">
        <v>65.36</v>
      </c>
      <c r="J406" s="61" t="n">
        <f aca="false">H406*Resumo!$C$6</f>
        <v>0</v>
      </c>
      <c r="K406" s="61" t="n">
        <f aca="false">H406*Resumo!$C$7</f>
        <v>1.259979</v>
      </c>
      <c r="L406" s="61" t="n">
        <f aca="false">H406*Resumo!$C$8</f>
        <v>1.259979</v>
      </c>
      <c r="M406" s="61" t="n">
        <f aca="false">Resumo!$C$10*CEILING(G406/100,1)</f>
        <v>1.05</v>
      </c>
      <c r="N406" s="61" t="n">
        <f aca="false">Resumo!$C$9</f>
        <v>0</v>
      </c>
      <c r="O406" s="61" t="n">
        <f aca="false">Resumo!$C$13</f>
        <v>13.55</v>
      </c>
      <c r="P406" s="61" t="n">
        <f aca="false">Resumo!$C$14*CEILING(G406,1)</f>
        <v>21.15</v>
      </c>
      <c r="Q406" s="61" t="n">
        <f aca="false">SUM(I406:P406)*Resumo!$C$11</f>
        <v>0</v>
      </c>
      <c r="R406" s="61" t="n">
        <f aca="false">SUM(I406:Q406)</f>
        <v>103.629958</v>
      </c>
      <c r="S406" s="61" t="n">
        <f aca="false">R406/(1-Resumo!$C$5)</f>
        <v>117.761315909091</v>
      </c>
      <c r="T406" s="61" t="n">
        <v>93.97</v>
      </c>
      <c r="U406" s="61" t="n">
        <f aca="false">H406*Resumo!$B$6</f>
        <v>0.59999</v>
      </c>
      <c r="V406" s="61" t="n">
        <f aca="false">H406*Resumo!$B$7</f>
        <v>1.19998</v>
      </c>
      <c r="W406" s="61" t="n">
        <f aca="false">Resumo!$B$9</f>
        <v>1</v>
      </c>
      <c r="X406" s="61" t="n">
        <f aca="false">Resumo!$B$10*CEILING(G406/100,1)</f>
        <v>4.5</v>
      </c>
      <c r="Y406" s="61" t="n">
        <f aca="false">Resumo!$B$12*CEILING(G406,1)</f>
        <v>2.82</v>
      </c>
      <c r="Z406" s="61" t="n">
        <f aca="false">Resumo!$B$14*CEILING(G406,1)</f>
        <v>21.15</v>
      </c>
      <c r="AA406" s="61" t="n">
        <f aca="false">SUM(T406:Z406)</f>
        <v>125.23997</v>
      </c>
      <c r="AB406" s="61" t="n">
        <f aca="false">AA406/(1-Resumo!$B$5)</f>
        <v>142.318147727273</v>
      </c>
      <c r="AC406" s="61" t="n">
        <f aca="false">AB406-S406</f>
        <v>24.5568318181818</v>
      </c>
      <c r="AD406" s="62" t="n">
        <f aca="false">AB406/S406-1</f>
        <v>0.208530548666246</v>
      </c>
      <c r="AE406" s="60" t="str">
        <f aca="false">IF(AB406&lt;S406,"SIM","NÃO")</f>
        <v>NÃO</v>
      </c>
      <c r="AF406" s="60" t="n">
        <v>2</v>
      </c>
      <c r="AG406" s="60" t="n">
        <v>5</v>
      </c>
      <c r="AH406" s="60" t="s">
        <v>382</v>
      </c>
      <c r="AI406" s="61" t="n">
        <f aca="false">(T406*(1-Painel!$C$40)+U406+V406+Painel!$C$41+Painel!$C$42*CEILING(G406/100,1)+Painel!$C$43*CEILING(G406,1)+Z406)/(1-Resumo!$B$5)</f>
        <v>99.9543977272727</v>
      </c>
      <c r="AJ406" s="60" t="str">
        <f aca="false">IF(AI406&lt;S406,"SIM","NÃO")</f>
        <v>SIM</v>
      </c>
    </row>
    <row r="407" customFormat="false" ht="15" hidden="false" customHeight="false" outlineLevel="0" collapsed="false">
      <c r="A407" s="59" t="n">
        <v>46233.5647337963</v>
      </c>
      <c r="B407" s="60" t="s">
        <v>775</v>
      </c>
      <c r="C407" s="60" t="n">
        <v>25035060</v>
      </c>
      <c r="D407" s="60" t="s">
        <v>48</v>
      </c>
      <c r="E407" s="60" t="s">
        <v>23</v>
      </c>
      <c r="F407" s="60" t="s">
        <v>232</v>
      </c>
      <c r="G407" s="60" t="n">
        <v>19.9</v>
      </c>
      <c r="H407" s="61" t="n">
        <v>279.99</v>
      </c>
      <c r="I407" s="61" t="n">
        <v>42.72</v>
      </c>
      <c r="J407" s="61" t="n">
        <f aca="false">H407*Resumo!$C$6</f>
        <v>0</v>
      </c>
      <c r="K407" s="61" t="n">
        <f aca="false">H407*Resumo!$C$7</f>
        <v>0.587979</v>
      </c>
      <c r="L407" s="61" t="n">
        <f aca="false">H407*Resumo!$C$8</f>
        <v>0.587979</v>
      </c>
      <c r="M407" s="61" t="n">
        <f aca="false">Resumo!$C$10*CEILING(G407/100,1)</f>
        <v>1.05</v>
      </c>
      <c r="N407" s="61" t="n">
        <f aca="false">Resumo!$C$9</f>
        <v>0</v>
      </c>
      <c r="O407" s="61" t="n">
        <f aca="false">Resumo!$C$13</f>
        <v>13.55</v>
      </c>
      <c r="P407" s="61" t="n">
        <f aca="false">Resumo!$C$14*CEILING(G407,1)</f>
        <v>9</v>
      </c>
      <c r="Q407" s="61" t="n">
        <f aca="false">SUM(I407:P407)*Resumo!$C$11</f>
        <v>0</v>
      </c>
      <c r="R407" s="61" t="n">
        <f aca="false">SUM(I407:Q407)</f>
        <v>67.495958</v>
      </c>
      <c r="S407" s="61" t="n">
        <f aca="false">R407/(1-Resumo!$C$5)</f>
        <v>76.6999522727273</v>
      </c>
      <c r="T407" s="61" t="n">
        <v>46.98</v>
      </c>
      <c r="U407" s="61" t="n">
        <f aca="false">H407*Resumo!$B$6</f>
        <v>0.27999</v>
      </c>
      <c r="V407" s="61" t="n">
        <f aca="false">H407*Resumo!$B$7</f>
        <v>0.55998</v>
      </c>
      <c r="W407" s="61" t="n">
        <f aca="false">Resumo!$B$9</f>
        <v>1</v>
      </c>
      <c r="X407" s="61" t="n">
        <f aca="false">Resumo!$B$10*CEILING(G407/100,1)</f>
        <v>4.5</v>
      </c>
      <c r="Y407" s="61" t="n">
        <f aca="false">Resumo!$B$12*CEILING(G407,1)</f>
        <v>1.2</v>
      </c>
      <c r="Z407" s="61" t="n">
        <f aca="false">Resumo!$B$14*CEILING(G407,1)</f>
        <v>9</v>
      </c>
      <c r="AA407" s="61" t="n">
        <f aca="false">SUM(T407:Z407)</f>
        <v>63.51997</v>
      </c>
      <c r="AB407" s="61" t="n">
        <f aca="false">AA407/(1-Resumo!$B$5)</f>
        <v>72.1817840909091</v>
      </c>
      <c r="AC407" s="61" t="n">
        <f aca="false">AB407-S407</f>
        <v>-4.5181681818182</v>
      </c>
      <c r="AD407" s="62" t="n">
        <f aca="false">AB407/S407-1</f>
        <v>-0.0589070533675515</v>
      </c>
      <c r="AE407" s="60" t="str">
        <f aca="false">IF(AB407&lt;S407,"SIM","NÃO")</f>
        <v>SIM</v>
      </c>
      <c r="AF407" s="60" t="n">
        <v>2</v>
      </c>
      <c r="AG407" s="60" t="n">
        <v>5</v>
      </c>
      <c r="AH407" s="60" t="s">
        <v>382</v>
      </c>
      <c r="AI407" s="61" t="n">
        <f aca="false">(T407*(1-Painel!$C$40)+U407+V407+Painel!$C$41+Painel!$C$42*CEILING(G407/100,1)+Painel!$C$43*CEILING(G407,1)+Z407)/(1-Resumo!$B$5)</f>
        <v>49.2801931818182</v>
      </c>
      <c r="AJ407" s="60" t="str">
        <f aca="false">IF(AI407&lt;S407,"SIM","NÃO")</f>
        <v>SIM</v>
      </c>
    </row>
    <row r="408" customFormat="false" ht="15" hidden="false" customHeight="false" outlineLevel="0" collapsed="false">
      <c r="A408" s="59" t="n">
        <v>46233.6147569444</v>
      </c>
      <c r="B408" s="60" t="s">
        <v>776</v>
      </c>
      <c r="C408" s="60" t="n">
        <v>21740170</v>
      </c>
      <c r="D408" s="60" t="s">
        <v>46</v>
      </c>
      <c r="E408" s="60" t="s">
        <v>22</v>
      </c>
      <c r="F408" s="60" t="s">
        <v>234</v>
      </c>
      <c r="G408" s="60" t="n">
        <v>39</v>
      </c>
      <c r="H408" s="61" t="n">
        <v>515.19</v>
      </c>
      <c r="I408" s="61" t="n">
        <v>48.35</v>
      </c>
      <c r="J408" s="61" t="n">
        <f aca="false">H408*Resumo!$C$6</f>
        <v>0</v>
      </c>
      <c r="K408" s="61" t="n">
        <f aca="false">H408*Resumo!$C$7</f>
        <v>1.081899</v>
      </c>
      <c r="L408" s="61" t="n">
        <f aca="false">H408*Resumo!$C$8</f>
        <v>1.081899</v>
      </c>
      <c r="M408" s="61" t="n">
        <f aca="false">Resumo!$C$10*CEILING(G408/100,1)</f>
        <v>1.05</v>
      </c>
      <c r="N408" s="61" t="n">
        <f aca="false">Resumo!$C$9</f>
        <v>0</v>
      </c>
      <c r="O408" s="61" t="n">
        <f aca="false">Resumo!$C$13</f>
        <v>13.55</v>
      </c>
      <c r="P408" s="61" t="n">
        <f aca="false">Resumo!$C$14*CEILING(G408,1)</f>
        <v>17.55</v>
      </c>
      <c r="Q408" s="61" t="n">
        <f aca="false">SUM(I408:P408)*Resumo!$C$11</f>
        <v>0</v>
      </c>
      <c r="R408" s="61" t="n">
        <f aca="false">SUM(I408:Q408)</f>
        <v>82.663798</v>
      </c>
      <c r="S408" s="61" t="n">
        <f aca="false">R408/(1-Resumo!$C$5)</f>
        <v>93.9361340909091</v>
      </c>
      <c r="T408" s="61" t="n">
        <v>93.97</v>
      </c>
      <c r="U408" s="61" t="n">
        <f aca="false">H408*Resumo!$B$6</f>
        <v>0.51519</v>
      </c>
      <c r="V408" s="61" t="n">
        <f aca="false">H408*Resumo!$B$7</f>
        <v>1.03038</v>
      </c>
      <c r="W408" s="61" t="n">
        <f aca="false">Resumo!$B$9</f>
        <v>1</v>
      </c>
      <c r="X408" s="61" t="n">
        <f aca="false">Resumo!$B$10*CEILING(G408/100,1)</f>
        <v>4.5</v>
      </c>
      <c r="Y408" s="61" t="n">
        <f aca="false">Resumo!$B$12*CEILING(G408,1)</f>
        <v>2.34</v>
      </c>
      <c r="Z408" s="61" t="n">
        <f aca="false">Resumo!$B$14*CEILING(G408,1)</f>
        <v>17.55</v>
      </c>
      <c r="AA408" s="61" t="n">
        <f aca="false">SUM(T408:Z408)</f>
        <v>120.90557</v>
      </c>
      <c r="AB408" s="61" t="n">
        <f aca="false">AA408/(1-Resumo!$B$5)</f>
        <v>137.392693181818</v>
      </c>
      <c r="AC408" s="61" t="n">
        <f aca="false">AB408-S408</f>
        <v>43.4565590909091</v>
      </c>
      <c r="AD408" s="62" t="n">
        <f aca="false">AB408/S408-1</f>
        <v>0.462618134240578</v>
      </c>
      <c r="AE408" s="60" t="str">
        <f aca="false">IF(AB408&lt;S408,"SIM","NÃO")</f>
        <v>NÃO</v>
      </c>
      <c r="AF408" s="60" t="n">
        <v>2</v>
      </c>
      <c r="AG408" s="60" t="n">
        <v>5</v>
      </c>
      <c r="AH408" s="60" t="s">
        <v>382</v>
      </c>
      <c r="AI408" s="61" t="n">
        <f aca="false">(T408*(1-Painel!$C$40)+U408+V408+Painel!$C$41+Painel!$C$42*CEILING(G408/100,1)+Painel!$C$43*CEILING(G408,1)+Z408)/(1-Resumo!$B$5)</f>
        <v>95.5743977272727</v>
      </c>
      <c r="AJ408" s="60" t="str">
        <f aca="false">IF(AI408&lt;S408,"SIM","NÃO")</f>
        <v>NÃO</v>
      </c>
    </row>
    <row r="409" customFormat="false" ht="15" hidden="false" customHeight="false" outlineLevel="0" collapsed="false">
      <c r="A409" s="59" t="n">
        <v>46233.6209953704</v>
      </c>
      <c r="B409" s="60" t="s">
        <v>777</v>
      </c>
      <c r="C409" s="60" t="n">
        <v>20911300</v>
      </c>
      <c r="D409" s="60" t="s">
        <v>46</v>
      </c>
      <c r="E409" s="60" t="s">
        <v>22</v>
      </c>
      <c r="F409" s="60" t="s">
        <v>240</v>
      </c>
      <c r="G409" s="60" t="n">
        <v>117.5</v>
      </c>
      <c r="H409" s="61" t="n">
        <v>1349.99</v>
      </c>
      <c r="I409" s="61" t="n">
        <v>92.34</v>
      </c>
      <c r="J409" s="61" t="n">
        <f aca="false">H409*Resumo!$C$6</f>
        <v>0</v>
      </c>
      <c r="K409" s="61" t="n">
        <f aca="false">H409*Resumo!$C$7</f>
        <v>2.834979</v>
      </c>
      <c r="L409" s="61" t="n">
        <f aca="false">H409*Resumo!$C$8</f>
        <v>2.834979</v>
      </c>
      <c r="M409" s="61" t="n">
        <f aca="false">Resumo!$C$10*CEILING(G409/100,1)</f>
        <v>2.1</v>
      </c>
      <c r="N409" s="61" t="n">
        <f aca="false">Resumo!$C$9</f>
        <v>0</v>
      </c>
      <c r="O409" s="61" t="n">
        <f aca="false">Resumo!$C$13</f>
        <v>13.55</v>
      </c>
      <c r="P409" s="61" t="n">
        <f aca="false">Resumo!$C$14*CEILING(G409,1)</f>
        <v>53.1</v>
      </c>
      <c r="Q409" s="61" t="n">
        <f aca="false">SUM(I409:P409)*Resumo!$C$11</f>
        <v>0</v>
      </c>
      <c r="R409" s="61" t="n">
        <f aca="false">SUM(I409:Q409)</f>
        <v>166.759958</v>
      </c>
      <c r="S409" s="61" t="n">
        <f aca="false">R409/(1-Resumo!$C$5)</f>
        <v>189.499952272727</v>
      </c>
      <c r="T409" s="61" t="n">
        <v>201.59</v>
      </c>
      <c r="U409" s="61" t="n">
        <f aca="false">H409*Resumo!$B$6</f>
        <v>1.34999</v>
      </c>
      <c r="V409" s="61" t="n">
        <f aca="false">H409*Resumo!$B$7</f>
        <v>2.69998</v>
      </c>
      <c r="W409" s="61" t="n">
        <f aca="false">Resumo!$B$9</f>
        <v>1</v>
      </c>
      <c r="X409" s="61" t="n">
        <f aca="false">Resumo!$B$10*CEILING(G409/100,1)</f>
        <v>9</v>
      </c>
      <c r="Y409" s="61" t="n">
        <f aca="false">Resumo!$B$12*CEILING(G409,1)</f>
        <v>7.08</v>
      </c>
      <c r="Z409" s="61" t="n">
        <f aca="false">Resumo!$B$14*CEILING(G409,1)</f>
        <v>53.1</v>
      </c>
      <c r="AA409" s="61" t="n">
        <f aca="false">SUM(T409:Z409)</f>
        <v>275.81997</v>
      </c>
      <c r="AB409" s="61" t="n">
        <f aca="false">AA409/(1-Resumo!$B$5)</f>
        <v>313.431784090909</v>
      </c>
      <c r="AC409" s="61" t="n">
        <f aca="false">AB409-S409</f>
        <v>123.931831818182</v>
      </c>
      <c r="AD409" s="62" t="n">
        <f aca="false">AB409/S409-1</f>
        <v>0.653994000166395</v>
      </c>
      <c r="AE409" s="60" t="str">
        <f aca="false">IF(AB409&lt;S409,"SIM","NÃO")</f>
        <v>NÃO</v>
      </c>
      <c r="AF409" s="60" t="n">
        <v>2</v>
      </c>
      <c r="AG409" s="60" t="n">
        <v>5</v>
      </c>
      <c r="AH409" s="60" t="s">
        <v>382</v>
      </c>
      <c r="AI409" s="61" t="n">
        <f aca="false">(T409*(1-Painel!$C$40)+U409+V409+Painel!$C$41+Painel!$C$42*CEILING(G409/100,1)+Painel!$C$43*CEILING(G409,1)+Z409)/(1-Resumo!$B$5)</f>
        <v>221.949170454545</v>
      </c>
      <c r="AJ409" s="60" t="str">
        <f aca="false">IF(AI409&lt;S409,"SIM","NÃO")</f>
        <v>NÃO</v>
      </c>
    </row>
    <row r="410" customFormat="false" ht="15" hidden="false" customHeight="false" outlineLevel="0" collapsed="false">
      <c r="A410" s="59" t="n">
        <v>46233.6272800926</v>
      </c>
      <c r="B410" s="60" t="s">
        <v>778</v>
      </c>
      <c r="C410" s="60" t="n">
        <v>28455130</v>
      </c>
      <c r="D410" s="60" t="s">
        <v>316</v>
      </c>
      <c r="E410" s="60" t="s">
        <v>24</v>
      </c>
      <c r="F410" s="60" t="s">
        <v>234</v>
      </c>
      <c r="G410" s="60" t="n">
        <v>36.9</v>
      </c>
      <c r="H410" s="61" t="n">
        <v>389.99</v>
      </c>
      <c r="I410" s="61" t="n">
        <v>74.97</v>
      </c>
      <c r="J410" s="61" t="n">
        <f aca="false">H410*Resumo!$C$6</f>
        <v>0</v>
      </c>
      <c r="K410" s="61" t="n">
        <f aca="false">H410*Resumo!$C$7</f>
        <v>0.818979</v>
      </c>
      <c r="L410" s="61" t="n">
        <f aca="false">H410*Resumo!$C$8</f>
        <v>0.818979</v>
      </c>
      <c r="M410" s="61" t="n">
        <f aca="false">Resumo!$C$10*CEILING(G410/100,1)</f>
        <v>1.05</v>
      </c>
      <c r="N410" s="61" t="n">
        <f aca="false">Resumo!$C$9</f>
        <v>0</v>
      </c>
      <c r="O410" s="61" t="n">
        <f aca="false">Resumo!$C$13</f>
        <v>13.55</v>
      </c>
      <c r="P410" s="61" t="n">
        <f aca="false">Resumo!$C$14*CEILING(G410,1)</f>
        <v>16.65</v>
      </c>
      <c r="Q410" s="61" t="n">
        <f aca="false">SUM(I410:P410)*Resumo!$C$11</f>
        <v>0</v>
      </c>
      <c r="R410" s="61" t="n">
        <f aca="false">SUM(I410:Q410)</f>
        <v>107.857958</v>
      </c>
      <c r="S410" s="61" t="n">
        <f aca="false">R410/(1-Resumo!$C$5)</f>
        <v>122.565861363636</v>
      </c>
      <c r="T410" s="61" t="n">
        <v>143.04</v>
      </c>
      <c r="U410" s="61" t="n">
        <f aca="false">H410*Resumo!$B$6</f>
        <v>0.38999</v>
      </c>
      <c r="V410" s="61" t="n">
        <f aca="false">H410*Resumo!$B$7</f>
        <v>0.77998</v>
      </c>
      <c r="W410" s="61" t="n">
        <f aca="false">Resumo!$B$9</f>
        <v>1</v>
      </c>
      <c r="X410" s="61" t="n">
        <f aca="false">Resumo!$B$10*CEILING(G410/100,1)</f>
        <v>4.5</v>
      </c>
      <c r="Y410" s="61" t="n">
        <f aca="false">Resumo!$B$12*CEILING(G410,1)</f>
        <v>2.22</v>
      </c>
      <c r="Z410" s="61" t="n">
        <f aca="false">Resumo!$B$14*CEILING(G410,1)</f>
        <v>16.65</v>
      </c>
      <c r="AA410" s="61" t="n">
        <f aca="false">SUM(T410:Z410)</f>
        <v>168.57997</v>
      </c>
      <c r="AB410" s="61" t="n">
        <f aca="false">AA410/(1-Resumo!$B$5)</f>
        <v>191.568147727273</v>
      </c>
      <c r="AC410" s="61" t="n">
        <f aca="false">AB410-S410</f>
        <v>69.0022863636364</v>
      </c>
      <c r="AD410" s="62" t="n">
        <f aca="false">AB410/S410-1</f>
        <v>0.562981286925532</v>
      </c>
      <c r="AE410" s="60" t="str">
        <f aca="false">IF(AB410&lt;S410,"SIM","NÃO")</f>
        <v>NÃO</v>
      </c>
      <c r="AF410" s="60" t="n">
        <v>13</v>
      </c>
      <c r="AG410" s="60" t="n">
        <v>11</v>
      </c>
      <c r="AH410" s="60" t="s">
        <v>385</v>
      </c>
      <c r="AI410" s="61" t="n">
        <f aca="false">(T410*(1-Painel!$C$40)+U410+V410+Painel!$C$41+Painel!$C$42*CEILING(G410/100,1)+Painel!$C$43*CEILING(G410,1)+Z410)/(1-Resumo!$B$5)</f>
        <v>131.484965909091</v>
      </c>
      <c r="AJ410" s="60" t="str">
        <f aca="false">IF(AI410&lt;S410,"SIM","NÃO")</f>
        <v>NÃO</v>
      </c>
    </row>
    <row r="411" customFormat="false" ht="15" hidden="false" customHeight="false" outlineLevel="0" collapsed="false">
      <c r="A411" s="59" t="n">
        <v>46233.6435069444</v>
      </c>
      <c r="B411" s="60" t="s">
        <v>779</v>
      </c>
      <c r="C411" s="60" t="n">
        <v>23028340</v>
      </c>
      <c r="D411" s="60" t="s">
        <v>46</v>
      </c>
      <c r="E411" s="60" t="s">
        <v>22</v>
      </c>
      <c r="F411" s="60" t="s">
        <v>240</v>
      </c>
      <c r="G411" s="60" t="n">
        <v>106.5</v>
      </c>
      <c r="H411" s="61" t="n">
        <v>1199.99</v>
      </c>
      <c r="I411" s="61" t="n">
        <v>92.34</v>
      </c>
      <c r="J411" s="61" t="n">
        <f aca="false">H411*Resumo!$C$6</f>
        <v>0</v>
      </c>
      <c r="K411" s="61" t="n">
        <f aca="false">H411*Resumo!$C$7</f>
        <v>2.519979</v>
      </c>
      <c r="L411" s="61" t="n">
        <f aca="false">H411*Resumo!$C$8</f>
        <v>2.519979</v>
      </c>
      <c r="M411" s="61" t="n">
        <f aca="false">Resumo!$C$10*CEILING(G411/100,1)</f>
        <v>2.1</v>
      </c>
      <c r="N411" s="61" t="n">
        <f aca="false">Resumo!$C$9</f>
        <v>0</v>
      </c>
      <c r="O411" s="61" t="n">
        <f aca="false">Resumo!$C$13</f>
        <v>13.55</v>
      </c>
      <c r="P411" s="61" t="n">
        <f aca="false">Resumo!$C$14*CEILING(G411,1)</f>
        <v>48.15</v>
      </c>
      <c r="Q411" s="61" t="n">
        <f aca="false">SUM(I411:P411)*Resumo!$C$11</f>
        <v>0</v>
      </c>
      <c r="R411" s="61" t="n">
        <f aca="false">SUM(I411:Q411)</f>
        <v>161.179958</v>
      </c>
      <c r="S411" s="61" t="n">
        <f aca="false">R411/(1-Resumo!$C$5)</f>
        <v>183.159043181818</v>
      </c>
      <c r="T411" s="61" t="n">
        <v>201.59</v>
      </c>
      <c r="U411" s="61" t="n">
        <f aca="false">H411*Resumo!$B$6</f>
        <v>1.19999</v>
      </c>
      <c r="V411" s="61" t="n">
        <f aca="false">H411*Resumo!$B$7</f>
        <v>2.39998</v>
      </c>
      <c r="W411" s="61" t="n">
        <f aca="false">Resumo!$B$9</f>
        <v>1</v>
      </c>
      <c r="X411" s="61" t="n">
        <f aca="false">Resumo!$B$10*CEILING(G411/100,1)</f>
        <v>9</v>
      </c>
      <c r="Y411" s="61" t="n">
        <f aca="false">Resumo!$B$12*CEILING(G411,1)</f>
        <v>6.42</v>
      </c>
      <c r="Z411" s="61" t="n">
        <f aca="false">Resumo!$B$14*CEILING(G411,1)</f>
        <v>48.15</v>
      </c>
      <c r="AA411" s="61" t="n">
        <f aca="false">SUM(T411:Z411)</f>
        <v>269.75997</v>
      </c>
      <c r="AB411" s="61" t="n">
        <f aca="false">AA411/(1-Resumo!$B$5)</f>
        <v>306.545420454546</v>
      </c>
      <c r="AC411" s="61" t="n">
        <f aca="false">AB411-S411</f>
        <v>123.386377272727</v>
      </c>
      <c r="AD411" s="62" t="n">
        <f aca="false">AB411/S411-1</f>
        <v>0.673657031229652</v>
      </c>
      <c r="AE411" s="60" t="str">
        <f aca="false">IF(AB411&lt;S411,"SIM","NÃO")</f>
        <v>NÃO</v>
      </c>
      <c r="AF411" s="60" t="n">
        <v>2</v>
      </c>
      <c r="AG411" s="60" t="n">
        <v>5</v>
      </c>
      <c r="AH411" s="60" t="s">
        <v>382</v>
      </c>
      <c r="AI411" s="61" t="n">
        <f aca="false">(T411*(1-Painel!$C$40)+U411+V411+Painel!$C$41+Painel!$C$42*CEILING(G411/100,1)+Painel!$C$43*CEILING(G411,1)+Z411)/(1-Resumo!$B$5)</f>
        <v>215.812806818182</v>
      </c>
      <c r="AJ411" s="60" t="str">
        <f aca="false">IF(AI411&lt;S411,"SIM","NÃO")</f>
        <v>NÃO</v>
      </c>
    </row>
    <row r="412" customFormat="false" ht="15" hidden="false" customHeight="false" outlineLevel="0" collapsed="false">
      <c r="A412" s="59" t="n">
        <v>46233.6851041667</v>
      </c>
      <c r="B412" s="60" t="s">
        <v>780</v>
      </c>
      <c r="C412" s="60" t="n">
        <v>22775002</v>
      </c>
      <c r="D412" s="60" t="s">
        <v>46</v>
      </c>
      <c r="E412" s="60" t="s">
        <v>22</v>
      </c>
      <c r="F412" s="60" t="s">
        <v>234</v>
      </c>
      <c r="G412" s="60" t="n">
        <v>38.15</v>
      </c>
      <c r="H412" s="61" t="n">
        <v>418</v>
      </c>
      <c r="I412" s="61" t="n">
        <v>48.35</v>
      </c>
      <c r="J412" s="61" t="n">
        <f aca="false">H412*Resumo!$C$6</f>
        <v>0</v>
      </c>
      <c r="K412" s="61" t="n">
        <f aca="false">H412*Resumo!$C$7</f>
        <v>0.8778</v>
      </c>
      <c r="L412" s="61" t="n">
        <f aca="false">H412*Resumo!$C$8</f>
        <v>0.8778</v>
      </c>
      <c r="M412" s="61" t="n">
        <f aca="false">Resumo!$C$10*CEILING(G412/100,1)</f>
        <v>1.05</v>
      </c>
      <c r="N412" s="61" t="n">
        <f aca="false">Resumo!$C$9</f>
        <v>0</v>
      </c>
      <c r="O412" s="61" t="n">
        <f aca="false">Resumo!$C$13</f>
        <v>13.55</v>
      </c>
      <c r="P412" s="61" t="n">
        <f aca="false">Resumo!$C$14*CEILING(G412,1)</f>
        <v>17.55</v>
      </c>
      <c r="Q412" s="61" t="n">
        <f aca="false">SUM(I412:P412)*Resumo!$C$11</f>
        <v>0</v>
      </c>
      <c r="R412" s="61" t="n">
        <f aca="false">SUM(I412:Q412)</f>
        <v>82.2556</v>
      </c>
      <c r="S412" s="61" t="n">
        <f aca="false">R412/(1-Resumo!$C$5)</f>
        <v>93.4722727272727</v>
      </c>
      <c r="T412" s="61" t="n">
        <v>93.97</v>
      </c>
      <c r="U412" s="61" t="n">
        <f aca="false">H412*Resumo!$B$6</f>
        <v>0.418</v>
      </c>
      <c r="V412" s="61" t="n">
        <f aca="false">H412*Resumo!$B$7</f>
        <v>0.836</v>
      </c>
      <c r="W412" s="61" t="n">
        <f aca="false">Resumo!$B$9</f>
        <v>1</v>
      </c>
      <c r="X412" s="61" t="n">
        <f aca="false">Resumo!$B$10*CEILING(G412/100,1)</f>
        <v>4.5</v>
      </c>
      <c r="Y412" s="61" t="n">
        <f aca="false">Resumo!$B$12*CEILING(G412,1)</f>
        <v>2.34</v>
      </c>
      <c r="Z412" s="61" t="n">
        <f aca="false">Resumo!$B$14*CEILING(G412,1)</f>
        <v>17.55</v>
      </c>
      <c r="AA412" s="61" t="n">
        <f aca="false">SUM(T412:Z412)</f>
        <v>120.614</v>
      </c>
      <c r="AB412" s="61" t="n">
        <f aca="false">AA412/(1-Resumo!$B$5)</f>
        <v>137.061363636364</v>
      </c>
      <c r="AC412" s="61" t="n">
        <f aca="false">AB412-S412</f>
        <v>43.5890909090909</v>
      </c>
      <c r="AD412" s="62" t="n">
        <f aca="false">AB412/S412-1</f>
        <v>0.466331775587316</v>
      </c>
      <c r="AE412" s="60" t="str">
        <f aca="false">IF(AB412&lt;S412,"SIM","NÃO")</f>
        <v>NÃO</v>
      </c>
      <c r="AF412" s="60" t="n">
        <v>2</v>
      </c>
      <c r="AG412" s="60" t="n">
        <v>5</v>
      </c>
      <c r="AH412" s="60" t="s">
        <v>382</v>
      </c>
      <c r="AI412" s="61" t="n">
        <f aca="false">(T412*(1-Painel!$C$40)+U412+V412+Painel!$C$41+Painel!$C$42*CEILING(G412/100,1)+Painel!$C$43*CEILING(G412,1)+Z412)/(1-Resumo!$B$5)</f>
        <v>95.2430681818182</v>
      </c>
      <c r="AJ412" s="60" t="str">
        <f aca="false">IF(AI412&lt;S412,"SIM","NÃO")</f>
        <v>NÃO</v>
      </c>
    </row>
    <row r="413" customFormat="false" ht="15" hidden="false" customHeight="false" outlineLevel="0" collapsed="false">
      <c r="A413" s="59" t="n">
        <v>46233.7329050926</v>
      </c>
      <c r="B413" s="60" t="s">
        <v>781</v>
      </c>
      <c r="C413" s="60" t="n">
        <v>21340120</v>
      </c>
      <c r="D413" s="60" t="s">
        <v>46</v>
      </c>
      <c r="E413" s="60" t="s">
        <v>22</v>
      </c>
      <c r="F413" s="60" t="s">
        <v>233</v>
      </c>
      <c r="G413" s="60" t="n">
        <v>27.4</v>
      </c>
      <c r="H413" s="61" t="n">
        <v>359.99</v>
      </c>
      <c r="I413" s="61" t="n">
        <v>42.11</v>
      </c>
      <c r="J413" s="61" t="n">
        <f aca="false">H413*Resumo!$C$6</f>
        <v>0</v>
      </c>
      <c r="K413" s="61" t="n">
        <f aca="false">H413*Resumo!$C$7</f>
        <v>0.755979</v>
      </c>
      <c r="L413" s="61" t="n">
        <f aca="false">H413*Resumo!$C$8</f>
        <v>0.755979</v>
      </c>
      <c r="M413" s="61" t="n">
        <f aca="false">Resumo!$C$10*CEILING(G413/100,1)</f>
        <v>1.05</v>
      </c>
      <c r="N413" s="61" t="n">
        <f aca="false">Resumo!$C$9</f>
        <v>0</v>
      </c>
      <c r="O413" s="61" t="n">
        <f aca="false">Resumo!$C$13</f>
        <v>13.55</v>
      </c>
      <c r="P413" s="61" t="n">
        <f aca="false">Resumo!$C$14*CEILING(G413,1)</f>
        <v>12.6</v>
      </c>
      <c r="Q413" s="61" t="n">
        <f aca="false">SUM(I413:P413)*Resumo!$C$11</f>
        <v>0</v>
      </c>
      <c r="R413" s="61" t="n">
        <f aca="false">SUM(I413:Q413)</f>
        <v>70.821958</v>
      </c>
      <c r="S413" s="61" t="n">
        <f aca="false">R413/(1-Resumo!$C$5)</f>
        <v>80.4794977272727</v>
      </c>
      <c r="T413" s="61" t="n">
        <v>82.21</v>
      </c>
      <c r="U413" s="61" t="n">
        <f aca="false">H413*Resumo!$B$6</f>
        <v>0.35999</v>
      </c>
      <c r="V413" s="61" t="n">
        <f aca="false">H413*Resumo!$B$7</f>
        <v>0.71998</v>
      </c>
      <c r="W413" s="61" t="n">
        <f aca="false">Resumo!$B$9</f>
        <v>1</v>
      </c>
      <c r="X413" s="61" t="n">
        <f aca="false">Resumo!$B$10*CEILING(G413/100,1)</f>
        <v>4.5</v>
      </c>
      <c r="Y413" s="61" t="n">
        <f aca="false">Resumo!$B$12*CEILING(G413,1)</f>
        <v>1.68</v>
      </c>
      <c r="Z413" s="61" t="n">
        <f aca="false">Resumo!$B$14*CEILING(G413,1)</f>
        <v>12.6</v>
      </c>
      <c r="AA413" s="61" t="n">
        <f aca="false">SUM(T413:Z413)</f>
        <v>103.06997</v>
      </c>
      <c r="AB413" s="61" t="n">
        <f aca="false">AA413/(1-Resumo!$B$5)</f>
        <v>117.124965909091</v>
      </c>
      <c r="AC413" s="61" t="n">
        <f aca="false">AB413-S413</f>
        <v>36.6454681818182</v>
      </c>
      <c r="AD413" s="62" t="n">
        <f aca="false">AB413/S413-1</f>
        <v>0.455339176022216</v>
      </c>
      <c r="AE413" s="60" t="str">
        <f aca="false">IF(AB413&lt;S413,"SIM","NÃO")</f>
        <v>NÃO</v>
      </c>
      <c r="AF413" s="60" t="n">
        <v>2</v>
      </c>
      <c r="AG413" s="60" t="n">
        <v>5</v>
      </c>
      <c r="AH413" s="60" t="s">
        <v>382</v>
      </c>
      <c r="AI413" s="61" t="n">
        <f aca="false">(T413*(1-Painel!$C$40)+U413+V413+Painel!$C$41+Painel!$C$42*CEILING(G413/100,1)+Painel!$C$43*CEILING(G413,1)+Z413)/(1-Resumo!$B$5)</f>
        <v>80.4666704545454</v>
      </c>
      <c r="AJ413" s="60" t="str">
        <f aca="false">IF(AI413&lt;S413,"SIM","NÃO")</f>
        <v>SIM</v>
      </c>
    </row>
    <row r="414" customFormat="false" ht="15" hidden="false" customHeight="false" outlineLevel="0" collapsed="false">
      <c r="A414" s="59" t="n">
        <v>46233.7376388889</v>
      </c>
      <c r="B414" s="60" t="s">
        <v>782</v>
      </c>
      <c r="C414" s="60" t="n">
        <v>23075470</v>
      </c>
      <c r="D414" s="60" t="s">
        <v>46</v>
      </c>
      <c r="E414" s="60" t="s">
        <v>22</v>
      </c>
      <c r="F414" s="60" t="s">
        <v>235</v>
      </c>
      <c r="G414" s="60" t="n">
        <v>48.3</v>
      </c>
      <c r="H414" s="61" t="n">
        <v>559.99</v>
      </c>
      <c r="I414" s="61" t="n">
        <v>53.55</v>
      </c>
      <c r="J414" s="61" t="n">
        <f aca="false">H414*Resumo!$C$6</f>
        <v>0</v>
      </c>
      <c r="K414" s="61" t="n">
        <f aca="false">H414*Resumo!$C$7</f>
        <v>1.175979</v>
      </c>
      <c r="L414" s="61" t="n">
        <f aca="false">H414*Resumo!$C$8</f>
        <v>1.175979</v>
      </c>
      <c r="M414" s="61" t="n">
        <f aca="false">Resumo!$C$10*CEILING(G414/100,1)</f>
        <v>1.05</v>
      </c>
      <c r="N414" s="61" t="n">
        <f aca="false">Resumo!$C$9</f>
        <v>0</v>
      </c>
      <c r="O414" s="61" t="n">
        <f aca="false">Resumo!$C$13</f>
        <v>13.55</v>
      </c>
      <c r="P414" s="61" t="n">
        <f aca="false">Resumo!$C$14*CEILING(G414,1)</f>
        <v>22.05</v>
      </c>
      <c r="Q414" s="61" t="n">
        <f aca="false">SUM(I414:P414)*Resumo!$C$11</f>
        <v>0</v>
      </c>
      <c r="R414" s="61" t="n">
        <f aca="false">SUM(I414:Q414)</f>
        <v>92.551958</v>
      </c>
      <c r="S414" s="61" t="n">
        <f aca="false">R414/(1-Resumo!$C$5)</f>
        <v>105.172679545455</v>
      </c>
      <c r="T414" s="61" t="n">
        <v>93.97</v>
      </c>
      <c r="U414" s="61" t="n">
        <f aca="false">H414*Resumo!$B$6</f>
        <v>0.55999</v>
      </c>
      <c r="V414" s="61" t="n">
        <f aca="false">H414*Resumo!$B$7</f>
        <v>1.11998</v>
      </c>
      <c r="W414" s="61" t="n">
        <f aca="false">Resumo!$B$9</f>
        <v>1</v>
      </c>
      <c r="X414" s="61" t="n">
        <f aca="false">Resumo!$B$10*CEILING(G414/100,1)</f>
        <v>4.5</v>
      </c>
      <c r="Y414" s="61" t="n">
        <f aca="false">Resumo!$B$12*CEILING(G414,1)</f>
        <v>2.94</v>
      </c>
      <c r="Z414" s="61" t="n">
        <f aca="false">Resumo!$B$14*CEILING(G414,1)</f>
        <v>22.05</v>
      </c>
      <c r="AA414" s="61" t="n">
        <f aca="false">SUM(T414:Z414)</f>
        <v>126.13997</v>
      </c>
      <c r="AB414" s="61" t="n">
        <f aca="false">AA414/(1-Resumo!$B$5)</f>
        <v>143.340875</v>
      </c>
      <c r="AC414" s="61" t="n">
        <f aca="false">AB414-S414</f>
        <v>38.1681954545454</v>
      </c>
      <c r="AD414" s="62" t="n">
        <f aca="false">AB414/S414-1</f>
        <v>0.362909793869515</v>
      </c>
      <c r="AE414" s="60" t="str">
        <f aca="false">IF(AB414&lt;S414,"SIM","NÃO")</f>
        <v>NÃO</v>
      </c>
      <c r="AF414" s="60" t="n">
        <v>2</v>
      </c>
      <c r="AG414" s="60" t="n">
        <v>5</v>
      </c>
      <c r="AH414" s="60" t="s">
        <v>382</v>
      </c>
      <c r="AI414" s="61" t="n">
        <f aca="false">(T414*(1-Painel!$C$40)+U414+V414+Painel!$C$41+Painel!$C$42*CEILING(G414/100,1)+Painel!$C$43*CEILING(G414,1)+Z414)/(1-Resumo!$B$5)</f>
        <v>100.840761363636</v>
      </c>
      <c r="AJ414" s="60" t="str">
        <f aca="false">IF(AI414&lt;S414,"SIM","NÃO")</f>
        <v>SIM</v>
      </c>
    </row>
    <row r="415" customFormat="false" ht="15" hidden="false" customHeight="false" outlineLevel="0" collapsed="false">
      <c r="A415" s="59" t="n">
        <v>46233.7516319445</v>
      </c>
      <c r="B415" s="60" t="s">
        <v>783</v>
      </c>
      <c r="C415" s="60" t="n">
        <v>22610050</v>
      </c>
      <c r="D415" s="60" t="s">
        <v>46</v>
      </c>
      <c r="E415" s="60" t="s">
        <v>22</v>
      </c>
      <c r="F415" s="60" t="s">
        <v>236</v>
      </c>
      <c r="G415" s="60" t="n">
        <v>52.3</v>
      </c>
      <c r="H415" s="61" t="n">
        <v>685.84</v>
      </c>
      <c r="I415" s="61" t="n">
        <v>58.6</v>
      </c>
      <c r="J415" s="61" t="n">
        <f aca="false">H415*Resumo!$C$6</f>
        <v>0</v>
      </c>
      <c r="K415" s="61" t="n">
        <f aca="false">H415*Resumo!$C$7</f>
        <v>1.440264</v>
      </c>
      <c r="L415" s="61" t="n">
        <f aca="false">H415*Resumo!$C$8</f>
        <v>1.440264</v>
      </c>
      <c r="M415" s="61" t="n">
        <f aca="false">Resumo!$C$10*CEILING(G415/100,1)</f>
        <v>1.05</v>
      </c>
      <c r="N415" s="61" t="n">
        <f aca="false">Resumo!$C$9</f>
        <v>0</v>
      </c>
      <c r="O415" s="61" t="n">
        <f aca="false">Resumo!$C$13</f>
        <v>13.55</v>
      </c>
      <c r="P415" s="61" t="n">
        <f aca="false">Resumo!$C$14*CEILING(G415,1)</f>
        <v>23.85</v>
      </c>
      <c r="Q415" s="61" t="n">
        <f aca="false">SUM(I415:P415)*Resumo!$C$11</f>
        <v>0</v>
      </c>
      <c r="R415" s="61" t="n">
        <f aca="false">SUM(I415:Q415)</f>
        <v>99.930528</v>
      </c>
      <c r="S415" s="61" t="n">
        <f aca="false">R415/(1-Resumo!$C$5)</f>
        <v>113.557418181818</v>
      </c>
      <c r="T415" s="61" t="n">
        <v>112.3</v>
      </c>
      <c r="U415" s="61" t="n">
        <f aca="false">H415*Resumo!$B$6</f>
        <v>0.68584</v>
      </c>
      <c r="V415" s="61" t="n">
        <f aca="false">H415*Resumo!$B$7</f>
        <v>1.37168</v>
      </c>
      <c r="W415" s="61" t="n">
        <f aca="false">Resumo!$B$9</f>
        <v>1</v>
      </c>
      <c r="X415" s="61" t="n">
        <f aca="false">Resumo!$B$10*CEILING(G415/100,1)</f>
        <v>4.5</v>
      </c>
      <c r="Y415" s="61" t="n">
        <f aca="false">Resumo!$B$12*CEILING(G415,1)</f>
        <v>3.18</v>
      </c>
      <c r="Z415" s="61" t="n">
        <f aca="false">Resumo!$B$14*CEILING(G415,1)</f>
        <v>23.85</v>
      </c>
      <c r="AA415" s="61" t="n">
        <f aca="false">SUM(T415:Z415)</f>
        <v>146.88752</v>
      </c>
      <c r="AB415" s="61" t="n">
        <f aca="false">AA415/(1-Resumo!$B$5)</f>
        <v>166.917636363636</v>
      </c>
      <c r="AC415" s="61" t="n">
        <f aca="false">AB415-S415</f>
        <v>53.3602181818182</v>
      </c>
      <c r="AD415" s="62" t="n">
        <f aca="false">AB415/S415-1</f>
        <v>0.469896366403668</v>
      </c>
      <c r="AE415" s="60" t="str">
        <f aca="false">IF(AB415&lt;S415,"SIM","NÃO")</f>
        <v>NÃO</v>
      </c>
      <c r="AF415" s="60" t="n">
        <v>2</v>
      </c>
      <c r="AG415" s="60" t="n">
        <v>5</v>
      </c>
      <c r="AH415" s="60" t="s">
        <v>382</v>
      </c>
      <c r="AI415" s="61" t="n">
        <f aca="false">(T415*(1-Painel!$C$40)+U415+V415+Painel!$C$41+Painel!$C$42*CEILING(G415/100,1)+Painel!$C$43*CEILING(G415,1)+Z415)/(1-Resumo!$B$5)</f>
        <v>117.271045454545</v>
      </c>
      <c r="AJ415" s="60" t="str">
        <f aca="false">IF(AI415&lt;S415,"SIM","NÃO")</f>
        <v>NÃO</v>
      </c>
    </row>
    <row r="416" customFormat="false" ht="15" hidden="false" customHeight="false" outlineLevel="0" collapsed="false">
      <c r="A416" s="59" t="n">
        <v>46233.7567824074</v>
      </c>
      <c r="B416" s="60" t="s">
        <v>784</v>
      </c>
      <c r="C416" s="60" t="n">
        <v>28650000</v>
      </c>
      <c r="D416" s="60" t="s">
        <v>327</v>
      </c>
      <c r="E416" s="60" t="s">
        <v>24</v>
      </c>
      <c r="F416" s="60" t="s">
        <v>233</v>
      </c>
      <c r="G416" s="60" t="n">
        <v>22.4</v>
      </c>
      <c r="H416" s="61" t="n">
        <v>424.99</v>
      </c>
      <c r="I416" s="61" t="n">
        <v>65.63</v>
      </c>
      <c r="J416" s="61" t="n">
        <f aca="false">H416*Resumo!$C$6</f>
        <v>0</v>
      </c>
      <c r="K416" s="61" t="n">
        <f aca="false">H416*Resumo!$C$7</f>
        <v>0.892479</v>
      </c>
      <c r="L416" s="61" t="n">
        <f aca="false">H416*Resumo!$C$8</f>
        <v>0.892479</v>
      </c>
      <c r="M416" s="61" t="n">
        <f aca="false">Resumo!$C$10*CEILING(G416/100,1)</f>
        <v>1.05</v>
      </c>
      <c r="N416" s="61" t="n">
        <f aca="false">Resumo!$C$9</f>
        <v>0</v>
      </c>
      <c r="O416" s="61" t="n">
        <f aca="false">Resumo!$C$13</f>
        <v>13.55</v>
      </c>
      <c r="P416" s="61" t="n">
        <f aca="false">Resumo!$C$14*CEILING(G416,1)</f>
        <v>10.35</v>
      </c>
      <c r="Q416" s="61" t="n">
        <f aca="false">SUM(I416:P416)*Resumo!$C$11</f>
        <v>0</v>
      </c>
      <c r="R416" s="61" t="n">
        <f aca="false">SUM(I416:Q416)</f>
        <v>92.364958</v>
      </c>
      <c r="S416" s="61" t="n">
        <f aca="false">R416/(1-Resumo!$C$5)</f>
        <v>104.960179545455</v>
      </c>
      <c r="T416" s="61" t="n">
        <v>120.78</v>
      </c>
      <c r="U416" s="61" t="n">
        <f aca="false">H416*Resumo!$B$6</f>
        <v>0.42499</v>
      </c>
      <c r="V416" s="61" t="n">
        <f aca="false">H416*Resumo!$B$7</f>
        <v>0.84998</v>
      </c>
      <c r="W416" s="61" t="n">
        <f aca="false">Resumo!$B$9</f>
        <v>1</v>
      </c>
      <c r="X416" s="61" t="n">
        <f aca="false">Resumo!$B$10*CEILING(G416/100,1)</f>
        <v>4.5</v>
      </c>
      <c r="Y416" s="61" t="n">
        <f aca="false">Resumo!$B$12*CEILING(G416,1)</f>
        <v>1.38</v>
      </c>
      <c r="Z416" s="61" t="n">
        <f aca="false">Resumo!$B$14*CEILING(G416,1)</f>
        <v>10.35</v>
      </c>
      <c r="AA416" s="61" t="n">
        <f aca="false">SUM(T416:Z416)</f>
        <v>139.28497</v>
      </c>
      <c r="AB416" s="61" t="n">
        <f aca="false">AA416/(1-Resumo!$B$5)</f>
        <v>158.278375</v>
      </c>
      <c r="AC416" s="61" t="n">
        <f aca="false">AB416-S416</f>
        <v>53.3181954545454</v>
      </c>
      <c r="AD416" s="62" t="n">
        <f aca="false">AB416/S416-1</f>
        <v>0.507984987120332</v>
      </c>
      <c r="AE416" s="60" t="str">
        <f aca="false">IF(AB416&lt;S416,"SIM","NÃO")</f>
        <v>NÃO</v>
      </c>
      <c r="AF416" s="60" t="n">
        <v>13</v>
      </c>
      <c r="AG416" s="60" t="n">
        <v>10</v>
      </c>
      <c r="AH416" s="60" t="s">
        <v>385</v>
      </c>
      <c r="AI416" s="61" t="n">
        <f aca="false">(T416*(1-Painel!$C$40)+U416+V416+Painel!$C$41+Painel!$C$42*CEILING(G416/100,1)+Painel!$C$43*CEILING(G416,1)+Z416)/(1-Resumo!$B$5)</f>
        <v>107.497238636364</v>
      </c>
      <c r="AJ416" s="60" t="str">
        <f aca="false">IF(AI416&lt;S416,"SIM","NÃO")</f>
        <v>NÃO</v>
      </c>
    </row>
    <row r="417" customFormat="false" ht="15" hidden="false" customHeight="false" outlineLevel="0" collapsed="false">
      <c r="A417" s="59" t="n">
        <v>46233.7978935185</v>
      </c>
      <c r="B417" s="60" t="s">
        <v>785</v>
      </c>
      <c r="C417" s="60" t="n">
        <v>25253650</v>
      </c>
      <c r="D417" s="60" t="s">
        <v>48</v>
      </c>
      <c r="E417" s="60" t="s">
        <v>23</v>
      </c>
      <c r="F417" s="60" t="s">
        <v>240</v>
      </c>
      <c r="G417" s="60" t="n">
        <v>106.5</v>
      </c>
      <c r="H417" s="61" t="n">
        <v>1249.99</v>
      </c>
      <c r="I417" s="61" t="n">
        <v>101.26</v>
      </c>
      <c r="J417" s="61" t="n">
        <f aca="false">H417*Resumo!$C$6</f>
        <v>0</v>
      </c>
      <c r="K417" s="61" t="n">
        <f aca="false">H417*Resumo!$C$7</f>
        <v>2.624979</v>
      </c>
      <c r="L417" s="61" t="n">
        <f aca="false">H417*Resumo!$C$8</f>
        <v>2.624979</v>
      </c>
      <c r="M417" s="61" t="n">
        <f aca="false">Resumo!$C$10*CEILING(G417/100,1)</f>
        <v>2.1</v>
      </c>
      <c r="N417" s="61" t="n">
        <f aca="false">Resumo!$C$9</f>
        <v>0</v>
      </c>
      <c r="O417" s="61" t="n">
        <f aca="false">Resumo!$C$13</f>
        <v>13.55</v>
      </c>
      <c r="P417" s="61" t="n">
        <f aca="false">Resumo!$C$14*CEILING(G417,1)</f>
        <v>48.15</v>
      </c>
      <c r="Q417" s="61" t="n">
        <f aca="false">SUM(I417:P417)*Resumo!$C$11</f>
        <v>0</v>
      </c>
      <c r="R417" s="61" t="n">
        <f aca="false">SUM(I417:Q417)</f>
        <v>170.309958</v>
      </c>
      <c r="S417" s="61" t="n">
        <f aca="false">R417/(1-Resumo!$C$5)</f>
        <v>193.534043181818</v>
      </c>
      <c r="T417" s="61" t="n">
        <v>201.59</v>
      </c>
      <c r="U417" s="61" t="n">
        <f aca="false">H417*Resumo!$B$6</f>
        <v>1.24999</v>
      </c>
      <c r="V417" s="61" t="n">
        <f aca="false">H417*Resumo!$B$7</f>
        <v>2.49998</v>
      </c>
      <c r="W417" s="61" t="n">
        <f aca="false">Resumo!$B$9</f>
        <v>1</v>
      </c>
      <c r="X417" s="61" t="n">
        <f aca="false">Resumo!$B$10*CEILING(G417/100,1)</f>
        <v>9</v>
      </c>
      <c r="Y417" s="61" t="n">
        <f aca="false">Resumo!$B$12*CEILING(G417,1)</f>
        <v>6.42</v>
      </c>
      <c r="Z417" s="61" t="n">
        <f aca="false">Resumo!$B$14*CEILING(G417,1)</f>
        <v>48.15</v>
      </c>
      <c r="AA417" s="61" t="n">
        <f aca="false">SUM(T417:Z417)</f>
        <v>269.90997</v>
      </c>
      <c r="AB417" s="61" t="n">
        <f aca="false">AA417/(1-Resumo!$B$5)</f>
        <v>306.715875</v>
      </c>
      <c r="AC417" s="61" t="n">
        <f aca="false">AB417-S417</f>
        <v>113.181831818182</v>
      </c>
      <c r="AD417" s="62" t="n">
        <f aca="false">AB417/S417-1</f>
        <v>0.584816138584216</v>
      </c>
      <c r="AE417" s="60" t="str">
        <f aca="false">IF(AB417&lt;S417,"SIM","NÃO")</f>
        <v>NÃO</v>
      </c>
      <c r="AF417" s="60" t="n">
        <v>2</v>
      </c>
      <c r="AG417" s="60" t="n">
        <v>5</v>
      </c>
      <c r="AH417" s="60" t="s">
        <v>382</v>
      </c>
      <c r="AI417" s="61" t="n">
        <f aca="false">(T417*(1-Painel!$C$40)+U417+V417+Painel!$C$41+Painel!$C$42*CEILING(G417/100,1)+Painel!$C$43*CEILING(G417,1)+Z417)/(1-Resumo!$B$5)</f>
        <v>215.983261363636</v>
      </c>
      <c r="AJ417" s="60" t="str">
        <f aca="false">IF(AI417&lt;S417,"SIM","NÃO")</f>
        <v>NÃO</v>
      </c>
    </row>
    <row r="418" customFormat="false" ht="15" hidden="false" customHeight="false" outlineLevel="0" collapsed="false">
      <c r="A418" s="59" t="n">
        <v>46233.8104166667</v>
      </c>
      <c r="B418" s="60" t="s">
        <v>786</v>
      </c>
      <c r="C418" s="60" t="n">
        <v>20220007</v>
      </c>
      <c r="D418" s="60" t="s">
        <v>46</v>
      </c>
      <c r="E418" s="60" t="s">
        <v>22</v>
      </c>
      <c r="F418" s="60" t="s">
        <v>236</v>
      </c>
      <c r="G418" s="60" t="n">
        <v>52.3</v>
      </c>
      <c r="H418" s="61" t="n">
        <v>685.84</v>
      </c>
      <c r="I418" s="61" t="n">
        <v>58.6</v>
      </c>
      <c r="J418" s="61" t="n">
        <f aca="false">H418*Resumo!$C$6</f>
        <v>0</v>
      </c>
      <c r="K418" s="61" t="n">
        <f aca="false">H418*Resumo!$C$7</f>
        <v>1.440264</v>
      </c>
      <c r="L418" s="61" t="n">
        <f aca="false">H418*Resumo!$C$8</f>
        <v>1.440264</v>
      </c>
      <c r="M418" s="61" t="n">
        <f aca="false">Resumo!$C$10*CEILING(G418/100,1)</f>
        <v>1.05</v>
      </c>
      <c r="N418" s="61" t="n">
        <f aca="false">Resumo!$C$9</f>
        <v>0</v>
      </c>
      <c r="O418" s="61" t="n">
        <f aca="false">Resumo!$C$13</f>
        <v>13.55</v>
      </c>
      <c r="P418" s="61" t="n">
        <f aca="false">Resumo!$C$14*CEILING(G418,1)</f>
        <v>23.85</v>
      </c>
      <c r="Q418" s="61" t="n">
        <f aca="false">SUM(I418:P418)*Resumo!$C$11</f>
        <v>0</v>
      </c>
      <c r="R418" s="61" t="n">
        <f aca="false">SUM(I418:Q418)</f>
        <v>99.930528</v>
      </c>
      <c r="S418" s="61" t="n">
        <f aca="false">R418/(1-Resumo!$C$5)</f>
        <v>113.557418181818</v>
      </c>
      <c r="T418" s="61" t="n">
        <v>112.3</v>
      </c>
      <c r="U418" s="61" t="n">
        <f aca="false">H418*Resumo!$B$6</f>
        <v>0.68584</v>
      </c>
      <c r="V418" s="61" t="n">
        <f aca="false">H418*Resumo!$B$7</f>
        <v>1.37168</v>
      </c>
      <c r="W418" s="61" t="n">
        <f aca="false">Resumo!$B$9</f>
        <v>1</v>
      </c>
      <c r="X418" s="61" t="n">
        <f aca="false">Resumo!$B$10*CEILING(G418/100,1)</f>
        <v>4.5</v>
      </c>
      <c r="Y418" s="61" t="n">
        <f aca="false">Resumo!$B$12*CEILING(G418,1)</f>
        <v>3.18</v>
      </c>
      <c r="Z418" s="61" t="n">
        <f aca="false">Resumo!$B$14*CEILING(G418,1)</f>
        <v>23.85</v>
      </c>
      <c r="AA418" s="61" t="n">
        <f aca="false">SUM(T418:Z418)</f>
        <v>146.88752</v>
      </c>
      <c r="AB418" s="61" t="n">
        <f aca="false">AA418/(1-Resumo!$B$5)</f>
        <v>166.917636363636</v>
      </c>
      <c r="AC418" s="61" t="n">
        <f aca="false">AB418-S418</f>
        <v>53.3602181818182</v>
      </c>
      <c r="AD418" s="62" t="n">
        <f aca="false">AB418/S418-1</f>
        <v>0.469896366403668</v>
      </c>
      <c r="AE418" s="60" t="str">
        <f aca="false">IF(AB418&lt;S418,"SIM","NÃO")</f>
        <v>NÃO</v>
      </c>
      <c r="AF418" s="60" t="n">
        <v>2</v>
      </c>
      <c r="AG418" s="60" t="n">
        <v>5</v>
      </c>
      <c r="AH418" s="60" t="s">
        <v>382</v>
      </c>
      <c r="AI418" s="61" t="n">
        <f aca="false">(T418*(1-Painel!$C$40)+U418+V418+Painel!$C$41+Painel!$C$42*CEILING(G418/100,1)+Painel!$C$43*CEILING(G418,1)+Z418)/(1-Resumo!$B$5)</f>
        <v>117.271045454545</v>
      </c>
      <c r="AJ418" s="60" t="str">
        <f aca="false">IF(AI418&lt;S418,"SIM","NÃO")</f>
        <v>NÃO</v>
      </c>
    </row>
    <row r="419" customFormat="false" ht="15" hidden="false" customHeight="false" outlineLevel="0" collapsed="false">
      <c r="A419" s="59" t="n">
        <v>46233.8405902778</v>
      </c>
      <c r="B419" s="60" t="s">
        <v>787</v>
      </c>
      <c r="C419" s="60" t="n">
        <v>21853410</v>
      </c>
      <c r="D419" s="60" t="s">
        <v>46</v>
      </c>
      <c r="E419" s="60" t="s">
        <v>22</v>
      </c>
      <c r="F419" s="60" t="s">
        <v>236</v>
      </c>
      <c r="G419" s="60" t="n">
        <v>52.3</v>
      </c>
      <c r="H419" s="61" t="n">
        <v>685.84</v>
      </c>
      <c r="I419" s="61" t="n">
        <v>58.6</v>
      </c>
      <c r="J419" s="61" t="n">
        <f aca="false">H419*Resumo!$C$6</f>
        <v>0</v>
      </c>
      <c r="K419" s="61" t="n">
        <f aca="false">H419*Resumo!$C$7</f>
        <v>1.440264</v>
      </c>
      <c r="L419" s="61" t="n">
        <f aca="false">H419*Resumo!$C$8</f>
        <v>1.440264</v>
      </c>
      <c r="M419" s="61" t="n">
        <f aca="false">Resumo!$C$10*CEILING(G419/100,1)</f>
        <v>1.05</v>
      </c>
      <c r="N419" s="61" t="n">
        <f aca="false">Resumo!$C$9</f>
        <v>0</v>
      </c>
      <c r="O419" s="61" t="n">
        <f aca="false">Resumo!$C$13</f>
        <v>13.55</v>
      </c>
      <c r="P419" s="61" t="n">
        <f aca="false">Resumo!$C$14*CEILING(G419,1)</f>
        <v>23.85</v>
      </c>
      <c r="Q419" s="61" t="n">
        <f aca="false">SUM(I419:P419)*Resumo!$C$11</f>
        <v>0</v>
      </c>
      <c r="R419" s="61" t="n">
        <f aca="false">SUM(I419:Q419)</f>
        <v>99.930528</v>
      </c>
      <c r="S419" s="61" t="n">
        <f aca="false">R419/(1-Resumo!$C$5)</f>
        <v>113.557418181818</v>
      </c>
      <c r="T419" s="61" t="n">
        <v>112.3</v>
      </c>
      <c r="U419" s="61" t="n">
        <f aca="false">H419*Resumo!$B$6</f>
        <v>0.68584</v>
      </c>
      <c r="V419" s="61" t="n">
        <f aca="false">H419*Resumo!$B$7</f>
        <v>1.37168</v>
      </c>
      <c r="W419" s="61" t="n">
        <f aca="false">Resumo!$B$9</f>
        <v>1</v>
      </c>
      <c r="X419" s="61" t="n">
        <f aca="false">Resumo!$B$10*CEILING(G419/100,1)</f>
        <v>4.5</v>
      </c>
      <c r="Y419" s="61" t="n">
        <f aca="false">Resumo!$B$12*CEILING(G419,1)</f>
        <v>3.18</v>
      </c>
      <c r="Z419" s="61" t="n">
        <f aca="false">Resumo!$B$14*CEILING(G419,1)</f>
        <v>23.85</v>
      </c>
      <c r="AA419" s="61" t="n">
        <f aca="false">SUM(T419:Z419)</f>
        <v>146.88752</v>
      </c>
      <c r="AB419" s="61" t="n">
        <f aca="false">AA419/(1-Resumo!$B$5)</f>
        <v>166.917636363636</v>
      </c>
      <c r="AC419" s="61" t="n">
        <f aca="false">AB419-S419</f>
        <v>53.3602181818182</v>
      </c>
      <c r="AD419" s="62" t="n">
        <f aca="false">AB419/S419-1</f>
        <v>0.469896366403668</v>
      </c>
      <c r="AE419" s="60" t="str">
        <f aca="false">IF(AB419&lt;S419,"SIM","NÃO")</f>
        <v>NÃO</v>
      </c>
      <c r="AF419" s="60" t="n">
        <v>2</v>
      </c>
      <c r="AG419" s="60" t="n">
        <v>5</v>
      </c>
      <c r="AH419" s="60" t="s">
        <v>382</v>
      </c>
      <c r="AI419" s="61" t="n">
        <f aca="false">(T419*(1-Painel!$C$40)+U419+V419+Painel!$C$41+Painel!$C$42*CEILING(G419/100,1)+Painel!$C$43*CEILING(G419,1)+Z419)/(1-Resumo!$B$5)</f>
        <v>117.271045454545</v>
      </c>
      <c r="AJ419" s="60" t="str">
        <f aca="false">IF(AI419&lt;S419,"SIM","NÃO")</f>
        <v>NÃO</v>
      </c>
    </row>
    <row r="420" customFormat="false" ht="15" hidden="false" customHeight="false" outlineLevel="0" collapsed="false">
      <c r="A420" s="59" t="n">
        <v>46233.8573148148</v>
      </c>
      <c r="B420" s="60" t="s">
        <v>788</v>
      </c>
      <c r="C420" s="60" t="n">
        <v>28983712</v>
      </c>
      <c r="D420" s="60" t="s">
        <v>222</v>
      </c>
      <c r="E420" s="60" t="s">
        <v>24</v>
      </c>
      <c r="F420" s="60" t="s">
        <v>236</v>
      </c>
      <c r="G420" s="60" t="n">
        <v>53.5</v>
      </c>
      <c r="H420" s="61" t="n">
        <v>649.99</v>
      </c>
      <c r="I420" s="61" t="n">
        <v>83.58</v>
      </c>
      <c r="J420" s="61" t="n">
        <f aca="false">H420*Resumo!$C$6</f>
        <v>0</v>
      </c>
      <c r="K420" s="61" t="n">
        <f aca="false">H420*Resumo!$C$7</f>
        <v>1.364979</v>
      </c>
      <c r="L420" s="61" t="n">
        <f aca="false">H420*Resumo!$C$8</f>
        <v>1.364979</v>
      </c>
      <c r="M420" s="61" t="n">
        <f aca="false">Resumo!$C$10*CEILING(G420/100,1)</f>
        <v>1.05</v>
      </c>
      <c r="N420" s="61" t="n">
        <f aca="false">Resumo!$C$9</f>
        <v>0</v>
      </c>
      <c r="O420" s="61" t="n">
        <f aca="false">Resumo!$C$13</f>
        <v>13.55</v>
      </c>
      <c r="P420" s="61" t="n">
        <f aca="false">Resumo!$C$14*CEILING(G420,1)</f>
        <v>24.3</v>
      </c>
      <c r="Q420" s="61" t="n">
        <f aca="false">SUM(I420:P420)*Resumo!$C$11</f>
        <v>0</v>
      </c>
      <c r="R420" s="61" t="n">
        <f aca="false">SUM(I420:Q420)</f>
        <v>125.209958</v>
      </c>
      <c r="S420" s="61" t="n">
        <f aca="false">R420/(1-Resumo!$C$5)</f>
        <v>142.284043181818</v>
      </c>
      <c r="T420" s="61" t="n">
        <v>142.32</v>
      </c>
      <c r="U420" s="61" t="n">
        <f aca="false">H420*Resumo!$B$6</f>
        <v>0.64999</v>
      </c>
      <c r="V420" s="61" t="n">
        <f aca="false">H420*Resumo!$B$7</f>
        <v>1.29998</v>
      </c>
      <c r="W420" s="61" t="n">
        <f aca="false">Resumo!$B$9</f>
        <v>1</v>
      </c>
      <c r="X420" s="61" t="n">
        <f aca="false">Resumo!$B$10*CEILING(G420/100,1)</f>
        <v>4.5</v>
      </c>
      <c r="Y420" s="61" t="n">
        <f aca="false">Resumo!$B$12*CEILING(G420,1)</f>
        <v>3.24</v>
      </c>
      <c r="Z420" s="61" t="n">
        <f aca="false">Resumo!$B$14*CEILING(G420,1)</f>
        <v>24.3</v>
      </c>
      <c r="AA420" s="61" t="n">
        <f aca="false">SUM(T420:Z420)</f>
        <v>177.30997</v>
      </c>
      <c r="AB420" s="61" t="n">
        <f aca="false">AA420/(1-Resumo!$B$5)</f>
        <v>201.488602272727</v>
      </c>
      <c r="AC420" s="61" t="n">
        <f aca="false">AB420-S420</f>
        <v>59.2045590909091</v>
      </c>
      <c r="AD420" s="62" t="n">
        <f aca="false">AB420/S420-1</f>
        <v>0.416101185817824</v>
      </c>
      <c r="AE420" s="60" t="str">
        <f aca="false">IF(AB420&lt;S420,"SIM","NÃO")</f>
        <v>NÃO</v>
      </c>
      <c r="AF420" s="60" t="n">
        <v>13</v>
      </c>
      <c r="AG420" s="60" t="n">
        <v>10</v>
      </c>
      <c r="AH420" s="60" t="s">
        <v>382</v>
      </c>
      <c r="AI420" s="61" t="n">
        <f aca="false">(T420*(1-Painel!$C$40)+U420+V420+Painel!$C$41+Painel!$C$42*CEILING(G420/100,1)+Painel!$C$43*CEILING(G420,1)+Z420)/(1-Resumo!$B$5)</f>
        <v>140.516329545455</v>
      </c>
      <c r="AJ420" s="60" t="str">
        <f aca="false">IF(AI420&lt;S420,"SIM","NÃO")</f>
        <v>SIM</v>
      </c>
    </row>
    <row r="421" customFormat="false" ht="15" hidden="false" customHeight="false" outlineLevel="0" collapsed="false">
      <c r="A421" s="59" t="n">
        <v>46233.9275347222</v>
      </c>
      <c r="B421" s="60" t="s">
        <v>789</v>
      </c>
      <c r="C421" s="60" t="n">
        <v>21370260</v>
      </c>
      <c r="D421" s="60" t="s">
        <v>46</v>
      </c>
      <c r="E421" s="60" t="s">
        <v>22</v>
      </c>
      <c r="F421" s="60" t="s">
        <v>236</v>
      </c>
      <c r="G421" s="60" t="n">
        <v>52.73</v>
      </c>
      <c r="H421" s="61" t="n">
        <v>568.64</v>
      </c>
      <c r="I421" s="61" t="n">
        <v>58.6</v>
      </c>
      <c r="J421" s="61" t="n">
        <f aca="false">H421*Resumo!$C$6</f>
        <v>0</v>
      </c>
      <c r="K421" s="61" t="n">
        <f aca="false">H421*Resumo!$C$7</f>
        <v>1.194144</v>
      </c>
      <c r="L421" s="61" t="n">
        <f aca="false">H421*Resumo!$C$8</f>
        <v>1.194144</v>
      </c>
      <c r="M421" s="61" t="n">
        <f aca="false">Resumo!$C$10*CEILING(G421/100,1)</f>
        <v>1.05</v>
      </c>
      <c r="N421" s="61" t="n">
        <f aca="false">Resumo!$C$9</f>
        <v>0</v>
      </c>
      <c r="O421" s="61" t="n">
        <f aca="false">Resumo!$C$13</f>
        <v>13.55</v>
      </c>
      <c r="P421" s="61" t="n">
        <f aca="false">Resumo!$C$14*CEILING(G421,1)</f>
        <v>23.85</v>
      </c>
      <c r="Q421" s="61" t="n">
        <f aca="false">SUM(I421:P421)*Resumo!$C$11</f>
        <v>0</v>
      </c>
      <c r="R421" s="61" t="n">
        <f aca="false">SUM(I421:Q421)</f>
        <v>99.438288</v>
      </c>
      <c r="S421" s="61" t="n">
        <f aca="false">R421/(1-Resumo!$C$5)</f>
        <v>112.998054545455</v>
      </c>
      <c r="T421" s="61" t="n">
        <v>112.3</v>
      </c>
      <c r="U421" s="61" t="n">
        <f aca="false">H421*Resumo!$B$6</f>
        <v>0.56864</v>
      </c>
      <c r="V421" s="61" t="n">
        <f aca="false">H421*Resumo!$B$7</f>
        <v>1.13728</v>
      </c>
      <c r="W421" s="61" t="n">
        <f aca="false">Resumo!$B$9</f>
        <v>1</v>
      </c>
      <c r="X421" s="61" t="n">
        <f aca="false">Resumo!$B$10*CEILING(G421/100,1)</f>
        <v>4.5</v>
      </c>
      <c r="Y421" s="61" t="n">
        <f aca="false">Resumo!$B$12*CEILING(G421,1)</f>
        <v>3.18</v>
      </c>
      <c r="Z421" s="61" t="n">
        <f aca="false">Resumo!$B$14*CEILING(G421,1)</f>
        <v>23.85</v>
      </c>
      <c r="AA421" s="61" t="n">
        <f aca="false">SUM(T421:Z421)</f>
        <v>146.53592</v>
      </c>
      <c r="AB421" s="61" t="n">
        <f aca="false">AA421/(1-Resumo!$B$5)</f>
        <v>166.518090909091</v>
      </c>
      <c r="AC421" s="61" t="n">
        <f aca="false">AB421-S421</f>
        <v>53.5200363636364</v>
      </c>
      <c r="AD421" s="62" t="n">
        <f aca="false">AB421/S421-1</f>
        <v>0.473636794712314</v>
      </c>
      <c r="AE421" s="60" t="str">
        <f aca="false">IF(AB421&lt;S421,"SIM","NÃO")</f>
        <v>NÃO</v>
      </c>
      <c r="AF421" s="60" t="n">
        <v>2</v>
      </c>
      <c r="AG421" s="60" t="n">
        <v>5</v>
      </c>
      <c r="AH421" s="60" t="s">
        <v>382</v>
      </c>
      <c r="AI421" s="61" t="n">
        <f aca="false">(T421*(1-Painel!$C$40)+U421+V421+Painel!$C$41+Painel!$C$42*CEILING(G421/100,1)+Painel!$C$43*CEILING(G421,1)+Z421)/(1-Resumo!$B$5)</f>
        <v>116.8715</v>
      </c>
      <c r="AJ421" s="60" t="str">
        <f aca="false">IF(AI421&lt;S421,"SIM","NÃO")</f>
        <v>NÃO</v>
      </c>
    </row>
    <row r="422" customFormat="false" ht="15" hidden="false" customHeight="false" outlineLevel="0" collapsed="false">
      <c r="A422" s="59" t="n">
        <v>46233.9296759259</v>
      </c>
      <c r="B422" s="60" t="s">
        <v>790</v>
      </c>
      <c r="C422" s="60" t="n">
        <v>27963452</v>
      </c>
      <c r="D422" s="60" t="s">
        <v>53</v>
      </c>
      <c r="E422" s="60" t="s">
        <v>24</v>
      </c>
      <c r="F422" s="60" t="s">
        <v>235</v>
      </c>
      <c r="G422" s="60" t="n">
        <v>48.3</v>
      </c>
      <c r="H422" s="61" t="n">
        <v>459.99</v>
      </c>
      <c r="I422" s="61" t="n">
        <v>77.7</v>
      </c>
      <c r="J422" s="61" t="n">
        <f aca="false">H422*Resumo!$C$6</f>
        <v>0</v>
      </c>
      <c r="K422" s="61" t="n">
        <f aca="false">H422*Resumo!$C$7</f>
        <v>0.965979</v>
      </c>
      <c r="L422" s="61" t="n">
        <f aca="false">H422*Resumo!$C$8</f>
        <v>0.965979</v>
      </c>
      <c r="M422" s="61" t="n">
        <f aca="false">Resumo!$C$10*CEILING(G422/100,1)</f>
        <v>1.05</v>
      </c>
      <c r="N422" s="61" t="n">
        <f aca="false">Resumo!$C$9</f>
        <v>0</v>
      </c>
      <c r="O422" s="61" t="n">
        <f aca="false">Resumo!$C$13</f>
        <v>13.55</v>
      </c>
      <c r="P422" s="61" t="n">
        <f aca="false">Resumo!$C$14*CEILING(G422,1)</f>
        <v>22.05</v>
      </c>
      <c r="Q422" s="61" t="n">
        <f aca="false">SUM(I422:P422)*Resumo!$C$11</f>
        <v>0</v>
      </c>
      <c r="R422" s="61" t="n">
        <f aca="false">SUM(I422:Q422)</f>
        <v>116.281958</v>
      </c>
      <c r="S422" s="61" t="n">
        <f aca="false">R422/(1-Resumo!$C$5)</f>
        <v>132.138588636364</v>
      </c>
      <c r="T422" s="61" t="n">
        <v>152.54</v>
      </c>
      <c r="U422" s="61" t="n">
        <f aca="false">H422*Resumo!$B$6</f>
        <v>0.45999</v>
      </c>
      <c r="V422" s="61" t="n">
        <f aca="false">H422*Resumo!$B$7</f>
        <v>0.91998</v>
      </c>
      <c r="W422" s="61" t="n">
        <f aca="false">Resumo!$B$9</f>
        <v>1</v>
      </c>
      <c r="X422" s="61" t="n">
        <f aca="false">Resumo!$B$10*CEILING(G422/100,1)</f>
        <v>4.5</v>
      </c>
      <c r="Y422" s="61" t="n">
        <f aca="false">Resumo!$B$12*CEILING(G422,1)</f>
        <v>2.94</v>
      </c>
      <c r="Z422" s="61" t="n">
        <f aca="false">Resumo!$B$14*CEILING(G422,1)</f>
        <v>22.05</v>
      </c>
      <c r="AA422" s="61" t="n">
        <f aca="false">SUM(T422:Z422)</f>
        <v>184.40997</v>
      </c>
      <c r="AB422" s="61" t="n">
        <f aca="false">AA422/(1-Resumo!$B$5)</f>
        <v>209.556784090909</v>
      </c>
      <c r="AC422" s="61" t="n">
        <f aca="false">AB422-S422</f>
        <v>77.4181954545455</v>
      </c>
      <c r="AD422" s="62" t="n">
        <f aca="false">AB422/S422-1</f>
        <v>0.585886350486118</v>
      </c>
      <c r="AE422" s="60" t="str">
        <f aca="false">IF(AB422&lt;S422,"SIM","NÃO")</f>
        <v>NÃO</v>
      </c>
      <c r="AF422" s="60" t="n">
        <v>13</v>
      </c>
      <c r="AG422" s="60" t="n">
        <v>11</v>
      </c>
      <c r="AH422" s="60" t="s">
        <v>382</v>
      </c>
      <c r="AI422" s="61" t="n">
        <f aca="false">(T422*(1-Painel!$C$40)+U422+V422+Painel!$C$41+Painel!$C$42*CEILING(G422/100,1)+Painel!$C$43*CEILING(G422,1)+Z422)/(1-Resumo!$B$5)</f>
        <v>145.092920454545</v>
      </c>
      <c r="AJ422" s="60" t="str">
        <f aca="false">IF(AI422&lt;S422,"SIM","NÃO")</f>
        <v>NÃO</v>
      </c>
    </row>
    <row r="423" customFormat="false" ht="15" hidden="false" customHeight="false" outlineLevel="0" collapsed="false">
      <c r="A423" s="59" t="n">
        <v>46233.9340740741</v>
      </c>
      <c r="B423" s="60" t="s">
        <v>791</v>
      </c>
      <c r="C423" s="60" t="n">
        <v>25270550</v>
      </c>
      <c r="D423" s="60" t="s">
        <v>48</v>
      </c>
      <c r="E423" s="60" t="s">
        <v>23</v>
      </c>
      <c r="F423" s="60" t="s">
        <v>234</v>
      </c>
      <c r="G423" s="60" t="n">
        <v>39.8</v>
      </c>
      <c r="H423" s="61" t="n">
        <v>499.99</v>
      </c>
      <c r="I423" s="61" t="n">
        <v>66.83</v>
      </c>
      <c r="J423" s="61" t="n">
        <f aca="false">H423*Resumo!$C$6</f>
        <v>0</v>
      </c>
      <c r="K423" s="61" t="n">
        <f aca="false">H423*Resumo!$C$7</f>
        <v>1.049979</v>
      </c>
      <c r="L423" s="61" t="n">
        <f aca="false">H423*Resumo!$C$8</f>
        <v>1.049979</v>
      </c>
      <c r="M423" s="61" t="n">
        <f aca="false">Resumo!$C$10*CEILING(G423/100,1)</f>
        <v>1.05</v>
      </c>
      <c r="N423" s="61" t="n">
        <f aca="false">Resumo!$C$9</f>
        <v>0</v>
      </c>
      <c r="O423" s="61" t="n">
        <f aca="false">Resumo!$C$13</f>
        <v>13.55</v>
      </c>
      <c r="P423" s="61" t="n">
        <f aca="false">Resumo!$C$14*CEILING(G423,1)</f>
        <v>18</v>
      </c>
      <c r="Q423" s="61" t="n">
        <f aca="false">SUM(I423:P423)*Resumo!$C$11</f>
        <v>0</v>
      </c>
      <c r="R423" s="61" t="n">
        <f aca="false">SUM(I423:Q423)</f>
        <v>101.529958</v>
      </c>
      <c r="S423" s="61" t="n">
        <f aca="false">R423/(1-Resumo!$C$5)</f>
        <v>115.374952272727</v>
      </c>
      <c r="T423" s="61" t="n">
        <v>93.97</v>
      </c>
      <c r="U423" s="61" t="n">
        <f aca="false">H423*Resumo!$B$6</f>
        <v>0.49999</v>
      </c>
      <c r="V423" s="61" t="n">
        <f aca="false">H423*Resumo!$B$7</f>
        <v>0.99998</v>
      </c>
      <c r="W423" s="61" t="n">
        <f aca="false">Resumo!$B$9</f>
        <v>1</v>
      </c>
      <c r="X423" s="61" t="n">
        <f aca="false">Resumo!$B$10*CEILING(G423/100,1)</f>
        <v>4.5</v>
      </c>
      <c r="Y423" s="61" t="n">
        <f aca="false">Resumo!$B$12*CEILING(G423,1)</f>
        <v>2.4</v>
      </c>
      <c r="Z423" s="61" t="n">
        <f aca="false">Resumo!$B$14*CEILING(G423,1)</f>
        <v>18</v>
      </c>
      <c r="AA423" s="61" t="n">
        <f aca="false">SUM(T423:Z423)</f>
        <v>121.36997</v>
      </c>
      <c r="AB423" s="61" t="n">
        <f aca="false">AA423/(1-Resumo!$B$5)</f>
        <v>137.920420454545</v>
      </c>
      <c r="AC423" s="61" t="n">
        <f aca="false">AB423-S423</f>
        <v>22.5454681818182</v>
      </c>
      <c r="AD423" s="62" t="n">
        <f aca="false">AB423/S423-1</f>
        <v>0.195410422606498</v>
      </c>
      <c r="AE423" s="60" t="str">
        <f aca="false">IF(AB423&lt;S423,"SIM","NÃO")</f>
        <v>NÃO</v>
      </c>
      <c r="AF423" s="60" t="n">
        <v>2</v>
      </c>
      <c r="AG423" s="60" t="n">
        <v>5</v>
      </c>
      <c r="AH423" s="60" t="s">
        <v>382</v>
      </c>
      <c r="AI423" s="61" t="n">
        <f aca="false">(T423*(1-Painel!$C$40)+U423+V423+Painel!$C$41+Painel!$C$42*CEILING(G423/100,1)+Painel!$C$43*CEILING(G423,1)+Z423)/(1-Resumo!$B$5)</f>
        <v>96.0339431818182</v>
      </c>
      <c r="AJ423" s="60" t="str">
        <f aca="false">IF(AI423&lt;S423,"SIM","NÃO")</f>
        <v>SIM</v>
      </c>
    </row>
    <row r="424" customFormat="false" ht="15" hidden="false" customHeight="false" outlineLevel="0" collapsed="false">
      <c r="A424" s="59" t="n">
        <v>46233.9577893519</v>
      </c>
      <c r="B424" s="60" t="s">
        <v>792</v>
      </c>
      <c r="C424" s="60" t="n">
        <v>23891755</v>
      </c>
      <c r="D424" s="60" t="s">
        <v>267</v>
      </c>
      <c r="E424" s="60" t="s">
        <v>24</v>
      </c>
      <c r="F424" s="60" t="s">
        <v>236</v>
      </c>
      <c r="G424" s="60" t="n">
        <v>56.7</v>
      </c>
      <c r="H424" s="61" t="n">
        <v>663.52</v>
      </c>
      <c r="I424" s="61" t="n">
        <v>83.58</v>
      </c>
      <c r="J424" s="61" t="n">
        <f aca="false">H424*Resumo!$C$6</f>
        <v>0</v>
      </c>
      <c r="K424" s="61" t="n">
        <f aca="false">H424*Resumo!$C$7</f>
        <v>1.393392</v>
      </c>
      <c r="L424" s="61" t="n">
        <f aca="false">H424*Resumo!$C$8</f>
        <v>1.393392</v>
      </c>
      <c r="M424" s="61" t="n">
        <f aca="false">Resumo!$C$10*CEILING(G424/100,1)</f>
        <v>1.05</v>
      </c>
      <c r="N424" s="61" t="n">
        <f aca="false">Resumo!$C$9</f>
        <v>0</v>
      </c>
      <c r="O424" s="61" t="n">
        <f aca="false">Resumo!$C$13</f>
        <v>13.55</v>
      </c>
      <c r="P424" s="61" t="n">
        <f aca="false">Resumo!$C$14*CEILING(G424,1)</f>
        <v>25.65</v>
      </c>
      <c r="Q424" s="61" t="n">
        <f aca="false">SUM(I424:P424)*Resumo!$C$11</f>
        <v>0</v>
      </c>
      <c r="R424" s="61" t="n">
        <f aca="false">SUM(I424:Q424)</f>
        <v>126.616784</v>
      </c>
      <c r="S424" s="61" t="n">
        <f aca="false">R424/(1-Resumo!$C$5)</f>
        <v>143.882709090909</v>
      </c>
      <c r="T424" s="61" t="n">
        <v>122.3</v>
      </c>
      <c r="U424" s="61" t="n">
        <f aca="false">H424*Resumo!$B$6</f>
        <v>0.66352</v>
      </c>
      <c r="V424" s="61" t="n">
        <f aca="false">H424*Resumo!$B$7</f>
        <v>1.32704</v>
      </c>
      <c r="W424" s="61" t="n">
        <f aca="false">Resumo!$B$9</f>
        <v>1</v>
      </c>
      <c r="X424" s="61" t="n">
        <f aca="false">Resumo!$B$10*CEILING(G424/100,1)</f>
        <v>4.5</v>
      </c>
      <c r="Y424" s="61" t="n">
        <f aca="false">Resumo!$B$12*CEILING(G424,1)</f>
        <v>3.42</v>
      </c>
      <c r="Z424" s="61" t="n">
        <f aca="false">Resumo!$B$14*CEILING(G424,1)</f>
        <v>25.65</v>
      </c>
      <c r="AA424" s="61" t="n">
        <f aca="false">SUM(T424:Z424)</f>
        <v>158.86056</v>
      </c>
      <c r="AB424" s="61" t="n">
        <f aca="false">AA424/(1-Resumo!$B$5)</f>
        <v>180.523363636364</v>
      </c>
      <c r="AC424" s="61" t="n">
        <f aca="false">AB424-S424</f>
        <v>36.6406545454545</v>
      </c>
      <c r="AD424" s="62" t="n">
        <f aca="false">AB424/S424-1</f>
        <v>0.254656412691701</v>
      </c>
      <c r="AE424" s="60" t="str">
        <f aca="false">IF(AB424&lt;S424,"SIM","NÃO")</f>
        <v>NÃO</v>
      </c>
      <c r="AF424" s="60" t="n">
        <v>13</v>
      </c>
      <c r="AG424" s="60" t="n">
        <v>5</v>
      </c>
      <c r="AH424" s="60" t="s">
        <v>385</v>
      </c>
      <c r="AI424" s="61" t="n">
        <f aca="false">(T424*(1-Painel!$C$40)+U424+V424+Painel!$C$41+Painel!$C$42*CEILING(G424/100,1)+Painel!$C$43*CEILING(G424,1)+Z424)/(1-Resumo!$B$5)</f>
        <v>126.854045454545</v>
      </c>
      <c r="AJ424" s="60" t="str">
        <f aca="false">IF(AI424&lt;S424,"SIM","NÃO")</f>
        <v>SIM</v>
      </c>
    </row>
    <row r="425" customFormat="false" ht="15" hidden="false" customHeight="false" outlineLevel="0" collapsed="false">
      <c r="A425" s="59" t="n">
        <v>46234.0036689815</v>
      </c>
      <c r="B425" s="60" t="s">
        <v>793</v>
      </c>
      <c r="C425" s="60" t="n">
        <v>23092190</v>
      </c>
      <c r="D425" s="60" t="s">
        <v>46</v>
      </c>
      <c r="E425" s="60" t="s">
        <v>22</v>
      </c>
      <c r="F425" s="60" t="s">
        <v>235</v>
      </c>
      <c r="G425" s="60" t="n">
        <v>48</v>
      </c>
      <c r="H425" s="61" t="n">
        <v>785.83</v>
      </c>
      <c r="I425" s="61" t="n">
        <v>53.55</v>
      </c>
      <c r="J425" s="61" t="n">
        <f aca="false">H425*Resumo!$C$6</f>
        <v>0</v>
      </c>
      <c r="K425" s="61" t="n">
        <f aca="false">H425*Resumo!$C$7</f>
        <v>1.650243</v>
      </c>
      <c r="L425" s="61" t="n">
        <f aca="false">H425*Resumo!$C$8</f>
        <v>1.650243</v>
      </c>
      <c r="M425" s="61" t="n">
        <f aca="false">Resumo!$C$10*CEILING(G425/100,1)</f>
        <v>1.05</v>
      </c>
      <c r="N425" s="61" t="n">
        <f aca="false">Resumo!$C$9</f>
        <v>0</v>
      </c>
      <c r="O425" s="61" t="n">
        <f aca="false">Resumo!$C$13</f>
        <v>13.55</v>
      </c>
      <c r="P425" s="61" t="n">
        <f aca="false">Resumo!$C$14*CEILING(G425,1)</f>
        <v>21.6</v>
      </c>
      <c r="Q425" s="61" t="n">
        <f aca="false">SUM(I425:P425)*Resumo!$C$11</f>
        <v>0</v>
      </c>
      <c r="R425" s="61" t="n">
        <f aca="false">SUM(I425:Q425)</f>
        <v>93.050486</v>
      </c>
      <c r="S425" s="61" t="n">
        <f aca="false">R425/(1-Resumo!$C$5)</f>
        <v>105.739188636364</v>
      </c>
      <c r="T425" s="61" t="n">
        <v>93.97</v>
      </c>
      <c r="U425" s="61" t="n">
        <f aca="false">H425*Resumo!$B$6</f>
        <v>0.78583</v>
      </c>
      <c r="V425" s="61" t="n">
        <f aca="false">H425*Resumo!$B$7</f>
        <v>1.57166</v>
      </c>
      <c r="W425" s="61" t="n">
        <f aca="false">Resumo!$B$9</f>
        <v>1</v>
      </c>
      <c r="X425" s="61" t="n">
        <f aca="false">Resumo!$B$10*CEILING(G425/100,1)</f>
        <v>4.5</v>
      </c>
      <c r="Y425" s="61" t="n">
        <f aca="false">Resumo!$B$12*CEILING(G425,1)</f>
        <v>2.88</v>
      </c>
      <c r="Z425" s="61" t="n">
        <f aca="false">Resumo!$B$14*CEILING(G425,1)</f>
        <v>21.6</v>
      </c>
      <c r="AA425" s="61" t="n">
        <f aca="false">SUM(T425:Z425)</f>
        <v>126.30749</v>
      </c>
      <c r="AB425" s="61" t="n">
        <f aca="false">AA425/(1-Resumo!$B$5)</f>
        <v>143.531238636364</v>
      </c>
      <c r="AC425" s="61" t="n">
        <f aca="false">AB425-S425</f>
        <v>37.79205</v>
      </c>
      <c r="AD425" s="62" t="n">
        <f aca="false">AB425/S425-1</f>
        <v>0.357408170871886</v>
      </c>
      <c r="AE425" s="60" t="str">
        <f aca="false">IF(AB425&lt;S425,"SIM","NÃO")</f>
        <v>NÃO</v>
      </c>
      <c r="AF425" s="60" t="n">
        <v>2</v>
      </c>
      <c r="AG425" s="60" t="n">
        <v>5</v>
      </c>
      <c r="AH425" s="60" t="s">
        <v>382</v>
      </c>
      <c r="AI425" s="61" t="n">
        <f aca="false">(T425*(1-Painel!$C$40)+U425+V425+Painel!$C$41+Painel!$C$42*CEILING(G425/100,1)+Painel!$C$43*CEILING(G425,1)+Z425)/(1-Resumo!$B$5)</f>
        <v>101.099306818182</v>
      </c>
      <c r="AJ425" s="60" t="str">
        <f aca="false">IF(AI425&lt;S425,"SIM","NÃO")</f>
        <v>SIM</v>
      </c>
    </row>
    <row r="426" customFormat="false" ht="15" hidden="false" customHeight="false" outlineLevel="0" collapsed="false">
      <c r="A426" s="59" t="n">
        <v>46234.0259143519</v>
      </c>
      <c r="B426" s="60" t="s">
        <v>794</v>
      </c>
      <c r="C426" s="60" t="n">
        <v>20920460</v>
      </c>
      <c r="D426" s="60" t="s">
        <v>46</v>
      </c>
      <c r="E426" s="60" t="s">
        <v>22</v>
      </c>
      <c r="F426" s="60" t="s">
        <v>236</v>
      </c>
      <c r="G426" s="60" t="n">
        <v>52.3</v>
      </c>
      <c r="H426" s="61" t="n">
        <v>685.84</v>
      </c>
      <c r="I426" s="61" t="n">
        <v>58.6</v>
      </c>
      <c r="J426" s="61" t="n">
        <f aca="false">H426*Resumo!$C$6</f>
        <v>0</v>
      </c>
      <c r="K426" s="61" t="n">
        <f aca="false">H426*Resumo!$C$7</f>
        <v>1.440264</v>
      </c>
      <c r="L426" s="61" t="n">
        <f aca="false">H426*Resumo!$C$8</f>
        <v>1.440264</v>
      </c>
      <c r="M426" s="61" t="n">
        <f aca="false">Resumo!$C$10*CEILING(G426/100,1)</f>
        <v>1.05</v>
      </c>
      <c r="N426" s="61" t="n">
        <f aca="false">Resumo!$C$9</f>
        <v>0</v>
      </c>
      <c r="O426" s="61" t="n">
        <f aca="false">Resumo!$C$13</f>
        <v>13.55</v>
      </c>
      <c r="P426" s="61" t="n">
        <f aca="false">Resumo!$C$14*CEILING(G426,1)</f>
        <v>23.85</v>
      </c>
      <c r="Q426" s="61" t="n">
        <f aca="false">SUM(I426:P426)*Resumo!$C$11</f>
        <v>0</v>
      </c>
      <c r="R426" s="61" t="n">
        <f aca="false">SUM(I426:Q426)</f>
        <v>99.930528</v>
      </c>
      <c r="S426" s="61" t="n">
        <f aca="false">R426/(1-Resumo!$C$5)</f>
        <v>113.557418181818</v>
      </c>
      <c r="T426" s="61" t="n">
        <v>112.3</v>
      </c>
      <c r="U426" s="61" t="n">
        <f aca="false">H426*Resumo!$B$6</f>
        <v>0.68584</v>
      </c>
      <c r="V426" s="61" t="n">
        <f aca="false">H426*Resumo!$B$7</f>
        <v>1.37168</v>
      </c>
      <c r="W426" s="61" t="n">
        <f aca="false">Resumo!$B$9</f>
        <v>1</v>
      </c>
      <c r="X426" s="61" t="n">
        <f aca="false">Resumo!$B$10*CEILING(G426/100,1)</f>
        <v>4.5</v>
      </c>
      <c r="Y426" s="61" t="n">
        <f aca="false">Resumo!$B$12*CEILING(G426,1)</f>
        <v>3.18</v>
      </c>
      <c r="Z426" s="61" t="n">
        <f aca="false">Resumo!$B$14*CEILING(G426,1)</f>
        <v>23.85</v>
      </c>
      <c r="AA426" s="61" t="n">
        <f aca="false">SUM(T426:Z426)</f>
        <v>146.88752</v>
      </c>
      <c r="AB426" s="61" t="n">
        <f aca="false">AA426/(1-Resumo!$B$5)</f>
        <v>166.917636363636</v>
      </c>
      <c r="AC426" s="61" t="n">
        <f aca="false">AB426-S426</f>
        <v>53.3602181818182</v>
      </c>
      <c r="AD426" s="62" t="n">
        <f aca="false">AB426/S426-1</f>
        <v>0.469896366403668</v>
      </c>
      <c r="AE426" s="60" t="str">
        <f aca="false">IF(AB426&lt;S426,"SIM","NÃO")</f>
        <v>NÃO</v>
      </c>
      <c r="AF426" s="60" t="n">
        <v>2</v>
      </c>
      <c r="AG426" s="60" t="n">
        <v>5</v>
      </c>
      <c r="AH426" s="60" t="s">
        <v>382</v>
      </c>
      <c r="AI426" s="61" t="n">
        <f aca="false">(T426*(1-Painel!$C$40)+U426+V426+Painel!$C$41+Painel!$C$42*CEILING(G426/100,1)+Painel!$C$43*CEILING(G426,1)+Z426)/(1-Resumo!$B$5)</f>
        <v>117.271045454545</v>
      </c>
      <c r="AJ426" s="60" t="str">
        <f aca="false">IF(AI426&lt;S426,"SIM","NÃO")</f>
        <v>NÃO</v>
      </c>
    </row>
    <row r="427" customFormat="false" ht="15" hidden="false" customHeight="false" outlineLevel="0" collapsed="false">
      <c r="A427" s="59" t="n">
        <v>46234.0555324074</v>
      </c>
      <c r="B427" s="60" t="s">
        <v>795</v>
      </c>
      <c r="C427" s="60" t="n">
        <v>24210470</v>
      </c>
      <c r="D427" s="60" t="s">
        <v>50</v>
      </c>
      <c r="E427" s="60" t="s">
        <v>23</v>
      </c>
      <c r="F427" s="60" t="s">
        <v>236</v>
      </c>
      <c r="G427" s="60" t="n">
        <v>52.3</v>
      </c>
      <c r="H427" s="61" t="n">
        <v>685.84</v>
      </c>
      <c r="I427" s="61" t="n">
        <v>70.98</v>
      </c>
      <c r="J427" s="61" t="n">
        <f aca="false">H427*Resumo!$C$6</f>
        <v>0</v>
      </c>
      <c r="K427" s="61" t="n">
        <f aca="false">H427*Resumo!$C$7</f>
        <v>1.440264</v>
      </c>
      <c r="L427" s="61" t="n">
        <f aca="false">H427*Resumo!$C$8</f>
        <v>1.440264</v>
      </c>
      <c r="M427" s="61" t="n">
        <f aca="false">Resumo!$C$10*CEILING(G427/100,1)</f>
        <v>1.05</v>
      </c>
      <c r="N427" s="61" t="n">
        <f aca="false">Resumo!$C$9</f>
        <v>0</v>
      </c>
      <c r="O427" s="61" t="n">
        <f aca="false">Resumo!$C$13</f>
        <v>13.55</v>
      </c>
      <c r="P427" s="61" t="n">
        <f aca="false">Resumo!$C$14*CEILING(G427,1)</f>
        <v>23.85</v>
      </c>
      <c r="Q427" s="61" t="n">
        <f aca="false">SUM(I427:P427)*Resumo!$C$11</f>
        <v>0</v>
      </c>
      <c r="R427" s="61" t="n">
        <f aca="false">SUM(I427:Q427)</f>
        <v>112.310528</v>
      </c>
      <c r="S427" s="61" t="n">
        <f aca="false">R427/(1-Resumo!$C$5)</f>
        <v>127.6256</v>
      </c>
      <c r="T427" s="61" t="n">
        <v>128.14</v>
      </c>
      <c r="U427" s="61" t="n">
        <f aca="false">H427*Resumo!$B$6</f>
        <v>0.68584</v>
      </c>
      <c r="V427" s="61" t="n">
        <f aca="false">H427*Resumo!$B$7</f>
        <v>1.37168</v>
      </c>
      <c r="W427" s="61" t="n">
        <f aca="false">Resumo!$B$9</f>
        <v>1</v>
      </c>
      <c r="X427" s="61" t="n">
        <f aca="false">Resumo!$B$10*CEILING(G427/100,1)</f>
        <v>4.5</v>
      </c>
      <c r="Y427" s="61" t="n">
        <f aca="false">Resumo!$B$12*CEILING(G427,1)</f>
        <v>3.18</v>
      </c>
      <c r="Z427" s="61" t="n">
        <f aca="false">Resumo!$B$14*CEILING(G427,1)</f>
        <v>23.85</v>
      </c>
      <c r="AA427" s="61" t="n">
        <f aca="false">SUM(T427:Z427)</f>
        <v>162.72752</v>
      </c>
      <c r="AB427" s="61" t="n">
        <f aca="false">AA427/(1-Resumo!$B$5)</f>
        <v>184.917636363636</v>
      </c>
      <c r="AC427" s="61" t="n">
        <f aca="false">AB427-S427</f>
        <v>57.2920363636363</v>
      </c>
      <c r="AD427" s="62" t="n">
        <f aca="false">AB427/S427-1</f>
        <v>0.448907087321323</v>
      </c>
      <c r="AE427" s="60" t="str">
        <f aca="false">IF(AB427&lt;S427,"SIM","NÃO")</f>
        <v>NÃO</v>
      </c>
      <c r="AF427" s="60" t="n">
        <v>2</v>
      </c>
      <c r="AG427" s="60" t="n">
        <v>7</v>
      </c>
      <c r="AH427" s="60" t="s">
        <v>382</v>
      </c>
      <c r="AI427" s="61" t="n">
        <f aca="false">(T427*(1-Painel!$C$40)+U427+V427+Painel!$C$41+Painel!$C$42*CEILING(G427/100,1)+Painel!$C$43*CEILING(G427,1)+Z427)/(1-Resumo!$B$5)</f>
        <v>129.331045454545</v>
      </c>
      <c r="AJ427" s="60" t="str">
        <f aca="false">IF(AI427&lt;S427,"SIM","NÃO")</f>
        <v>NÃO</v>
      </c>
    </row>
    <row r="428" customFormat="false" ht="15" hidden="false" customHeight="false" outlineLevel="0" collapsed="false">
      <c r="A428" s="59" t="n">
        <v>46234.2966550926</v>
      </c>
      <c r="B428" s="60" t="s">
        <v>796</v>
      </c>
      <c r="C428" s="60" t="n">
        <v>21853340</v>
      </c>
      <c r="D428" s="60" t="s">
        <v>46</v>
      </c>
      <c r="E428" s="60" t="s">
        <v>22</v>
      </c>
      <c r="F428" s="60" t="s">
        <v>234</v>
      </c>
      <c r="G428" s="60" t="n">
        <v>36.9</v>
      </c>
      <c r="H428" s="61" t="n">
        <v>391.87</v>
      </c>
      <c r="I428" s="61" t="n">
        <v>48.35</v>
      </c>
      <c r="J428" s="61" t="n">
        <f aca="false">H428*Resumo!$C$6</f>
        <v>0</v>
      </c>
      <c r="K428" s="61" t="n">
        <f aca="false">H428*Resumo!$C$7</f>
        <v>0.822927</v>
      </c>
      <c r="L428" s="61" t="n">
        <f aca="false">H428*Resumo!$C$8</f>
        <v>0.822927</v>
      </c>
      <c r="M428" s="61" t="n">
        <f aca="false">Resumo!$C$10*CEILING(G428/100,1)</f>
        <v>1.05</v>
      </c>
      <c r="N428" s="61" t="n">
        <f aca="false">Resumo!$C$9</f>
        <v>0</v>
      </c>
      <c r="O428" s="61" t="n">
        <f aca="false">Resumo!$C$13</f>
        <v>13.55</v>
      </c>
      <c r="P428" s="61" t="n">
        <f aca="false">Resumo!$C$14*CEILING(G428,1)</f>
        <v>16.65</v>
      </c>
      <c r="Q428" s="61" t="n">
        <f aca="false">SUM(I428:P428)*Resumo!$C$11</f>
        <v>0</v>
      </c>
      <c r="R428" s="61" t="n">
        <f aca="false">SUM(I428:Q428)</f>
        <v>81.245854</v>
      </c>
      <c r="S428" s="61" t="n">
        <f aca="false">R428/(1-Resumo!$C$5)</f>
        <v>92.3248340909091</v>
      </c>
      <c r="T428" s="61" t="n">
        <v>93.97</v>
      </c>
      <c r="U428" s="61" t="n">
        <f aca="false">H428*Resumo!$B$6</f>
        <v>0.39187</v>
      </c>
      <c r="V428" s="61" t="n">
        <f aca="false">H428*Resumo!$B$7</f>
        <v>0.78374</v>
      </c>
      <c r="W428" s="61" t="n">
        <f aca="false">Resumo!$B$9</f>
        <v>1</v>
      </c>
      <c r="X428" s="61" t="n">
        <f aca="false">Resumo!$B$10*CEILING(G428/100,1)</f>
        <v>4.5</v>
      </c>
      <c r="Y428" s="61" t="n">
        <f aca="false">Resumo!$B$12*CEILING(G428,1)</f>
        <v>2.22</v>
      </c>
      <c r="Z428" s="61" t="n">
        <f aca="false">Resumo!$B$14*CEILING(G428,1)</f>
        <v>16.65</v>
      </c>
      <c r="AA428" s="61" t="n">
        <f aca="false">SUM(T428:Z428)</f>
        <v>119.51561</v>
      </c>
      <c r="AB428" s="61" t="n">
        <f aca="false">AA428/(1-Resumo!$B$5)</f>
        <v>135.813193181818</v>
      </c>
      <c r="AC428" s="61" t="n">
        <f aca="false">AB428-S428</f>
        <v>43.4883590909091</v>
      </c>
      <c r="AD428" s="62" t="n">
        <f aca="false">AB428/S428-1</f>
        <v>0.471036417439836</v>
      </c>
      <c r="AE428" s="60" t="str">
        <f aca="false">IF(AB428&lt;S428,"SIM","NÃO")</f>
        <v>NÃO</v>
      </c>
      <c r="AF428" s="60" t="n">
        <v>2</v>
      </c>
      <c r="AG428" s="60" t="n">
        <v>5</v>
      </c>
      <c r="AH428" s="60" t="s">
        <v>382</v>
      </c>
      <c r="AI428" s="61" t="n">
        <f aca="false">(T428*(1-Painel!$C$40)+U428+V428+Painel!$C$41+Painel!$C$42*CEILING(G428/100,1)+Painel!$C$43*CEILING(G428,1)+Z428)/(1-Resumo!$B$5)</f>
        <v>94.1312613636363</v>
      </c>
      <c r="AJ428" s="60" t="str">
        <f aca="false">IF(AI428&lt;S428,"SIM","NÃO")</f>
        <v>NÃO</v>
      </c>
    </row>
    <row r="429" customFormat="false" ht="15" hidden="false" customHeight="false" outlineLevel="0" collapsed="false">
      <c r="A429" s="59" t="n">
        <v>46234.3576388889</v>
      </c>
      <c r="B429" s="60" t="s">
        <v>797</v>
      </c>
      <c r="C429" s="60" t="n">
        <v>22765390</v>
      </c>
      <c r="D429" s="60" t="s">
        <v>46</v>
      </c>
      <c r="E429" s="60" t="s">
        <v>22</v>
      </c>
      <c r="F429" s="60" t="s">
        <v>235</v>
      </c>
      <c r="G429" s="60" t="n">
        <v>48.6</v>
      </c>
      <c r="H429" s="61" t="n">
        <v>543.29</v>
      </c>
      <c r="I429" s="61" t="n">
        <v>53.55</v>
      </c>
      <c r="J429" s="61" t="n">
        <f aca="false">H429*Resumo!$C$6</f>
        <v>0</v>
      </c>
      <c r="K429" s="61" t="n">
        <f aca="false">H429*Resumo!$C$7</f>
        <v>1.140909</v>
      </c>
      <c r="L429" s="61" t="n">
        <f aca="false">H429*Resumo!$C$8</f>
        <v>1.140909</v>
      </c>
      <c r="M429" s="61" t="n">
        <f aca="false">Resumo!$C$10*CEILING(G429/100,1)</f>
        <v>1.05</v>
      </c>
      <c r="N429" s="61" t="n">
        <f aca="false">Resumo!$C$9</f>
        <v>0</v>
      </c>
      <c r="O429" s="61" t="n">
        <f aca="false">Resumo!$C$13</f>
        <v>13.55</v>
      </c>
      <c r="P429" s="61" t="n">
        <f aca="false">Resumo!$C$14*CEILING(G429,1)</f>
        <v>22.05</v>
      </c>
      <c r="Q429" s="61" t="n">
        <f aca="false">SUM(I429:P429)*Resumo!$C$11</f>
        <v>0</v>
      </c>
      <c r="R429" s="61" t="n">
        <f aca="false">SUM(I429:Q429)</f>
        <v>92.481818</v>
      </c>
      <c r="S429" s="61" t="n">
        <f aca="false">R429/(1-Resumo!$C$5)</f>
        <v>105.092975</v>
      </c>
      <c r="T429" s="61" t="n">
        <v>93.97</v>
      </c>
      <c r="U429" s="61" t="n">
        <f aca="false">H429*Resumo!$B$6</f>
        <v>0.54329</v>
      </c>
      <c r="V429" s="61" t="n">
        <f aca="false">H429*Resumo!$B$7</f>
        <v>1.08658</v>
      </c>
      <c r="W429" s="61" t="n">
        <f aca="false">Resumo!$B$9</f>
        <v>1</v>
      </c>
      <c r="X429" s="61" t="n">
        <f aca="false">Resumo!$B$10*CEILING(G429/100,1)</f>
        <v>4.5</v>
      </c>
      <c r="Y429" s="61" t="n">
        <f aca="false">Resumo!$B$12*CEILING(G429,1)</f>
        <v>2.94</v>
      </c>
      <c r="Z429" s="61" t="n">
        <f aca="false">Resumo!$B$14*CEILING(G429,1)</f>
        <v>22.05</v>
      </c>
      <c r="AA429" s="61" t="n">
        <f aca="false">SUM(T429:Z429)</f>
        <v>126.08987</v>
      </c>
      <c r="AB429" s="61" t="n">
        <f aca="false">AA429/(1-Resumo!$B$5)</f>
        <v>143.283943181818</v>
      </c>
      <c r="AC429" s="61" t="n">
        <f aca="false">AB429-S429</f>
        <v>38.1909681818182</v>
      </c>
      <c r="AD429" s="62" t="n">
        <f aca="false">AB429/S429-1</f>
        <v>0.363401722920283</v>
      </c>
      <c r="AE429" s="60" t="str">
        <f aca="false">IF(AB429&lt;S429,"SIM","NÃO")</f>
        <v>NÃO</v>
      </c>
      <c r="AF429" s="60" t="n">
        <v>2</v>
      </c>
      <c r="AG429" s="60" t="n">
        <v>5</v>
      </c>
      <c r="AH429" s="60" t="s">
        <v>382</v>
      </c>
      <c r="AI429" s="61" t="n">
        <f aca="false">(T429*(1-Painel!$C$40)+U429+V429+Painel!$C$41+Painel!$C$42*CEILING(G429/100,1)+Painel!$C$43*CEILING(G429,1)+Z429)/(1-Resumo!$B$5)</f>
        <v>100.783829545455</v>
      </c>
      <c r="AJ429" s="60" t="str">
        <f aca="false">IF(AI429&lt;S429,"SIM","NÃO")</f>
        <v>SIM</v>
      </c>
    </row>
    <row r="430" customFormat="false" ht="15" hidden="false" customHeight="false" outlineLevel="0" collapsed="false">
      <c r="A430" s="59" t="n">
        <v>46234.374224537</v>
      </c>
      <c r="B430" s="60" t="s">
        <v>798</v>
      </c>
      <c r="C430" s="60" t="n">
        <v>26183490</v>
      </c>
      <c r="D430" s="60" t="s">
        <v>52</v>
      </c>
      <c r="E430" s="60" t="s">
        <v>23</v>
      </c>
      <c r="F430" s="60" t="s">
        <v>235</v>
      </c>
      <c r="G430" s="60" t="n">
        <v>48.3</v>
      </c>
      <c r="H430" s="61" t="n">
        <v>459.99</v>
      </c>
      <c r="I430" s="61" t="n">
        <v>65.36</v>
      </c>
      <c r="J430" s="61" t="n">
        <f aca="false">H430*Resumo!$C$6</f>
        <v>0</v>
      </c>
      <c r="K430" s="61" t="n">
        <f aca="false">H430*Resumo!$C$7</f>
        <v>0.965979</v>
      </c>
      <c r="L430" s="61" t="n">
        <f aca="false">H430*Resumo!$C$8</f>
        <v>0.965979</v>
      </c>
      <c r="M430" s="61" t="n">
        <f aca="false">Resumo!$C$10*CEILING(G430/100,1)</f>
        <v>1.05</v>
      </c>
      <c r="N430" s="61" t="n">
        <f aca="false">Resumo!$C$9</f>
        <v>0</v>
      </c>
      <c r="O430" s="61" t="n">
        <f aca="false">Resumo!$C$13</f>
        <v>13.55</v>
      </c>
      <c r="P430" s="61" t="n">
        <f aca="false">Resumo!$C$14*CEILING(G430,1)</f>
        <v>22.05</v>
      </c>
      <c r="Q430" s="61" t="n">
        <f aca="false">SUM(I430:P430)*Resumo!$C$11</f>
        <v>0</v>
      </c>
      <c r="R430" s="61" t="n">
        <f aca="false">SUM(I430:Q430)</f>
        <v>103.941958</v>
      </c>
      <c r="S430" s="61" t="n">
        <f aca="false">R430/(1-Resumo!$C$5)</f>
        <v>118.115861363636</v>
      </c>
      <c r="T430" s="61" t="n">
        <v>93.97</v>
      </c>
      <c r="U430" s="61" t="n">
        <f aca="false">H430*Resumo!$B$6</f>
        <v>0.45999</v>
      </c>
      <c r="V430" s="61" t="n">
        <f aca="false">H430*Resumo!$B$7</f>
        <v>0.91998</v>
      </c>
      <c r="W430" s="61" t="n">
        <f aca="false">Resumo!$B$9</f>
        <v>1</v>
      </c>
      <c r="X430" s="61" t="n">
        <f aca="false">Resumo!$B$10*CEILING(G430/100,1)</f>
        <v>4.5</v>
      </c>
      <c r="Y430" s="61" t="n">
        <f aca="false">Resumo!$B$12*CEILING(G430,1)</f>
        <v>2.94</v>
      </c>
      <c r="Z430" s="61" t="n">
        <f aca="false">Resumo!$B$14*CEILING(G430,1)</f>
        <v>22.05</v>
      </c>
      <c r="AA430" s="61" t="n">
        <f aca="false">SUM(T430:Z430)</f>
        <v>125.83997</v>
      </c>
      <c r="AB430" s="61" t="n">
        <f aca="false">AA430/(1-Resumo!$B$5)</f>
        <v>142.999965909091</v>
      </c>
      <c r="AC430" s="61" t="n">
        <f aca="false">AB430-S430</f>
        <v>24.8841045454545</v>
      </c>
      <c r="AD430" s="62" t="n">
        <f aca="false">AB430/S430-1</f>
        <v>0.210675384814282</v>
      </c>
      <c r="AE430" s="60" t="str">
        <f aca="false">IF(AB430&lt;S430,"SIM","NÃO")</f>
        <v>NÃO</v>
      </c>
      <c r="AF430" s="60" t="n">
        <v>2</v>
      </c>
      <c r="AG430" s="60" t="n">
        <v>5</v>
      </c>
      <c r="AH430" s="60" t="s">
        <v>382</v>
      </c>
      <c r="AI430" s="61" t="n">
        <f aca="false">(T430*(1-Painel!$C$40)+U430+V430+Painel!$C$41+Painel!$C$42*CEILING(G430/100,1)+Painel!$C$43*CEILING(G430,1)+Z430)/(1-Resumo!$B$5)</f>
        <v>100.499852272727</v>
      </c>
      <c r="AJ430" s="60" t="str">
        <f aca="false">IF(AI430&lt;S430,"SIM","NÃO")</f>
        <v>SIM</v>
      </c>
    </row>
    <row r="431" customFormat="false" ht="15" hidden="false" customHeight="false" outlineLevel="0" collapsed="false">
      <c r="A431" s="59" t="n">
        <v>46234.3867939815</v>
      </c>
      <c r="B431" s="60" t="s">
        <v>799</v>
      </c>
      <c r="C431" s="60" t="n">
        <v>23550375</v>
      </c>
      <c r="D431" s="60" t="s">
        <v>46</v>
      </c>
      <c r="E431" s="60" t="s">
        <v>22</v>
      </c>
      <c r="F431" s="60" t="s">
        <v>234</v>
      </c>
      <c r="G431" s="60" t="n">
        <v>36.8</v>
      </c>
      <c r="H431" s="61" t="n">
        <v>418.55</v>
      </c>
      <c r="I431" s="61" t="n">
        <v>48.35</v>
      </c>
      <c r="J431" s="61" t="n">
        <f aca="false">H431*Resumo!$C$6</f>
        <v>0</v>
      </c>
      <c r="K431" s="61" t="n">
        <f aca="false">H431*Resumo!$C$7</f>
        <v>0.878955</v>
      </c>
      <c r="L431" s="61" t="n">
        <f aca="false">H431*Resumo!$C$8</f>
        <v>0.878955</v>
      </c>
      <c r="M431" s="61" t="n">
        <f aca="false">Resumo!$C$10*CEILING(G431/100,1)</f>
        <v>1.05</v>
      </c>
      <c r="N431" s="61" t="n">
        <f aca="false">Resumo!$C$9</f>
        <v>0</v>
      </c>
      <c r="O431" s="61" t="n">
        <f aca="false">Resumo!$C$13</f>
        <v>13.55</v>
      </c>
      <c r="P431" s="61" t="n">
        <f aca="false">Resumo!$C$14*CEILING(G431,1)</f>
        <v>16.65</v>
      </c>
      <c r="Q431" s="61" t="n">
        <f aca="false">SUM(I431:P431)*Resumo!$C$11</f>
        <v>0</v>
      </c>
      <c r="R431" s="61" t="n">
        <f aca="false">SUM(I431:Q431)</f>
        <v>81.35791</v>
      </c>
      <c r="S431" s="61" t="n">
        <f aca="false">R431/(1-Resumo!$C$5)</f>
        <v>92.4521704545455</v>
      </c>
      <c r="T431" s="61" t="n">
        <v>93.97</v>
      </c>
      <c r="U431" s="61" t="n">
        <f aca="false">H431*Resumo!$B$6</f>
        <v>0.41855</v>
      </c>
      <c r="V431" s="61" t="n">
        <f aca="false">H431*Resumo!$B$7</f>
        <v>0.8371</v>
      </c>
      <c r="W431" s="61" t="n">
        <f aca="false">Resumo!$B$9</f>
        <v>1</v>
      </c>
      <c r="X431" s="61" t="n">
        <f aca="false">Resumo!$B$10*CEILING(G431/100,1)</f>
        <v>4.5</v>
      </c>
      <c r="Y431" s="61" t="n">
        <f aca="false">Resumo!$B$12*CEILING(G431,1)</f>
        <v>2.22</v>
      </c>
      <c r="Z431" s="61" t="n">
        <f aca="false">Resumo!$B$14*CEILING(G431,1)</f>
        <v>16.65</v>
      </c>
      <c r="AA431" s="61" t="n">
        <f aca="false">SUM(T431:Z431)</f>
        <v>119.59565</v>
      </c>
      <c r="AB431" s="61" t="n">
        <f aca="false">AA431/(1-Resumo!$B$5)</f>
        <v>135.904147727273</v>
      </c>
      <c r="AC431" s="61" t="n">
        <f aca="false">AB431-S431</f>
        <v>43.4519772727273</v>
      </c>
      <c r="AD431" s="62" t="n">
        <f aca="false">AB431/S431-1</f>
        <v>0.469994128413574</v>
      </c>
      <c r="AE431" s="60" t="str">
        <f aca="false">IF(AB431&lt;S431,"SIM","NÃO")</f>
        <v>NÃO</v>
      </c>
      <c r="AF431" s="60" t="n">
        <v>2</v>
      </c>
      <c r="AG431" s="60" t="n">
        <v>5</v>
      </c>
      <c r="AH431" s="60" t="s">
        <v>382</v>
      </c>
      <c r="AI431" s="61" t="n">
        <f aca="false">(T431*(1-Painel!$C$40)+U431+V431+Painel!$C$41+Painel!$C$42*CEILING(G431/100,1)+Painel!$C$43*CEILING(G431,1)+Z431)/(1-Resumo!$B$5)</f>
        <v>94.2222159090909</v>
      </c>
      <c r="AJ431" s="60" t="str">
        <f aca="false">IF(AI431&lt;S431,"SIM","NÃO")</f>
        <v>NÃO</v>
      </c>
    </row>
    <row r="432" customFormat="false" ht="15" hidden="false" customHeight="false" outlineLevel="0" collapsed="false">
      <c r="A432" s="59" t="n">
        <v>46234.3925115741</v>
      </c>
      <c r="B432" s="60" t="s">
        <v>800</v>
      </c>
      <c r="C432" s="60" t="n">
        <v>24755420</v>
      </c>
      <c r="D432" s="60" t="s">
        <v>47</v>
      </c>
      <c r="E432" s="60" t="s">
        <v>23</v>
      </c>
      <c r="F432" s="60" t="s">
        <v>232</v>
      </c>
      <c r="G432" s="60" t="n">
        <v>19.5</v>
      </c>
      <c r="H432" s="61" t="n">
        <v>350.99</v>
      </c>
      <c r="I432" s="61" t="n">
        <v>42.72</v>
      </c>
      <c r="J432" s="61" t="n">
        <f aca="false">H432*Resumo!$C$6</f>
        <v>0</v>
      </c>
      <c r="K432" s="61" t="n">
        <f aca="false">H432*Resumo!$C$7</f>
        <v>0.737079</v>
      </c>
      <c r="L432" s="61" t="n">
        <f aca="false">H432*Resumo!$C$8</f>
        <v>0.737079</v>
      </c>
      <c r="M432" s="61" t="n">
        <f aca="false">Resumo!$C$10*CEILING(G432/100,1)</f>
        <v>1.05</v>
      </c>
      <c r="N432" s="61" t="n">
        <f aca="false">Resumo!$C$9</f>
        <v>0</v>
      </c>
      <c r="O432" s="61" t="n">
        <f aca="false">Resumo!$C$13</f>
        <v>13.55</v>
      </c>
      <c r="P432" s="61" t="n">
        <f aca="false">Resumo!$C$14*CEILING(G432,1)</f>
        <v>9</v>
      </c>
      <c r="Q432" s="61" t="n">
        <f aca="false">SUM(I432:P432)*Resumo!$C$11</f>
        <v>0</v>
      </c>
      <c r="R432" s="61" t="n">
        <f aca="false">SUM(I432:Q432)</f>
        <v>67.794158</v>
      </c>
      <c r="S432" s="61" t="n">
        <f aca="false">R432/(1-Resumo!$C$5)</f>
        <v>77.0388159090909</v>
      </c>
      <c r="T432" s="61" t="n">
        <v>57.47</v>
      </c>
      <c r="U432" s="61" t="n">
        <f aca="false">H432*Resumo!$B$6</f>
        <v>0.35099</v>
      </c>
      <c r="V432" s="61" t="n">
        <f aca="false">H432*Resumo!$B$7</f>
        <v>0.70198</v>
      </c>
      <c r="W432" s="61" t="n">
        <f aca="false">Resumo!$B$9</f>
        <v>1</v>
      </c>
      <c r="X432" s="61" t="n">
        <f aca="false">Resumo!$B$10*CEILING(G432/100,1)</f>
        <v>4.5</v>
      </c>
      <c r="Y432" s="61" t="n">
        <f aca="false">Resumo!$B$12*CEILING(G432,1)</f>
        <v>1.2</v>
      </c>
      <c r="Z432" s="61" t="n">
        <f aca="false">Resumo!$B$14*CEILING(G432,1)</f>
        <v>9</v>
      </c>
      <c r="AA432" s="61" t="n">
        <f aca="false">SUM(T432:Z432)</f>
        <v>74.22297</v>
      </c>
      <c r="AB432" s="61" t="n">
        <f aca="false">AA432/(1-Resumo!$B$5)</f>
        <v>84.3442840909091</v>
      </c>
      <c r="AC432" s="61" t="n">
        <f aca="false">AB432-S432</f>
        <v>7.3054681818182</v>
      </c>
      <c r="AD432" s="62" t="n">
        <f aca="false">AB432/S432-1</f>
        <v>0.0948284068960634</v>
      </c>
      <c r="AE432" s="60" t="str">
        <f aca="false">IF(AB432&lt;S432,"SIM","NÃO")</f>
        <v>NÃO</v>
      </c>
      <c r="AF432" s="60" t="n">
        <v>2</v>
      </c>
      <c r="AG432" s="60" t="n">
        <v>7</v>
      </c>
      <c r="AH432" s="60" t="s">
        <v>382</v>
      </c>
      <c r="AI432" s="61" t="n">
        <f aca="false">(T432*(1-Painel!$C$40)+U432+V432+Painel!$C$41+Painel!$C$42*CEILING(G432/100,1)+Painel!$C$43*CEILING(G432,1)+Z432)/(1-Resumo!$B$5)</f>
        <v>57.5089431818182</v>
      </c>
      <c r="AJ432" s="60" t="str">
        <f aca="false">IF(AI432&lt;S432,"SIM","NÃO")</f>
        <v>SIM</v>
      </c>
    </row>
    <row r="433" customFormat="false" ht="15" hidden="false" customHeight="false" outlineLevel="0" collapsed="false">
      <c r="A433" s="59" t="n">
        <v>46234.4359375</v>
      </c>
      <c r="B433" s="60" t="s">
        <v>801</v>
      </c>
      <c r="C433" s="60" t="n">
        <v>27961804</v>
      </c>
      <c r="D433" s="60" t="s">
        <v>53</v>
      </c>
      <c r="E433" s="60" t="s">
        <v>24</v>
      </c>
      <c r="F433" s="60" t="s">
        <v>237</v>
      </c>
      <c r="G433" s="60" t="n">
        <v>61.4</v>
      </c>
      <c r="H433" s="61" t="n">
        <v>901.59</v>
      </c>
      <c r="I433" s="61" t="n">
        <v>90.2</v>
      </c>
      <c r="J433" s="61" t="n">
        <f aca="false">H433*Resumo!$C$6</f>
        <v>0</v>
      </c>
      <c r="K433" s="61" t="n">
        <f aca="false">H433*Resumo!$C$7</f>
        <v>1.893339</v>
      </c>
      <c r="L433" s="61" t="n">
        <f aca="false">H433*Resumo!$C$8</f>
        <v>1.893339</v>
      </c>
      <c r="M433" s="61" t="n">
        <f aca="false">Resumo!$C$10*CEILING(G433/100,1)</f>
        <v>1.05</v>
      </c>
      <c r="N433" s="61" t="n">
        <f aca="false">Resumo!$C$9</f>
        <v>0</v>
      </c>
      <c r="O433" s="61" t="n">
        <f aca="false">Resumo!$C$13</f>
        <v>13.55</v>
      </c>
      <c r="P433" s="61" t="n">
        <f aca="false">Resumo!$C$14*CEILING(G433,1)</f>
        <v>27.9</v>
      </c>
      <c r="Q433" s="61" t="n">
        <f aca="false">SUM(I433:P433)*Resumo!$C$11</f>
        <v>0</v>
      </c>
      <c r="R433" s="61" t="n">
        <f aca="false">SUM(I433:Q433)</f>
        <v>136.486678</v>
      </c>
      <c r="S433" s="61" t="n">
        <f aca="false">R433/(1-Resumo!$C$5)</f>
        <v>155.098497727273</v>
      </c>
      <c r="T433" s="61" t="n">
        <v>171.54</v>
      </c>
      <c r="U433" s="61" t="n">
        <f aca="false">H433*Resumo!$B$6</f>
        <v>0.90159</v>
      </c>
      <c r="V433" s="61" t="n">
        <f aca="false">H433*Resumo!$B$7</f>
        <v>1.80318</v>
      </c>
      <c r="W433" s="61" t="n">
        <f aca="false">Resumo!$B$9</f>
        <v>1</v>
      </c>
      <c r="X433" s="61" t="n">
        <f aca="false">Resumo!$B$10*CEILING(G433/100,1)</f>
        <v>4.5</v>
      </c>
      <c r="Y433" s="61" t="n">
        <f aca="false">Resumo!$B$12*CEILING(G433,1)</f>
        <v>3.72</v>
      </c>
      <c r="Z433" s="61" t="n">
        <f aca="false">Resumo!$B$14*CEILING(G433,1)</f>
        <v>27.9</v>
      </c>
      <c r="AA433" s="61" t="n">
        <f aca="false">SUM(T433:Z433)</f>
        <v>211.36477</v>
      </c>
      <c r="AB433" s="61" t="n">
        <f aca="false">AA433/(1-Resumo!$B$5)</f>
        <v>240.187238636364</v>
      </c>
      <c r="AC433" s="61" t="n">
        <f aca="false">AB433-S433</f>
        <v>85.0887409090909</v>
      </c>
      <c r="AD433" s="62" t="n">
        <f aca="false">AB433/S433-1</f>
        <v>0.548610993374753</v>
      </c>
      <c r="AE433" s="60" t="str">
        <f aca="false">IF(AB433&lt;S433,"SIM","NÃO")</f>
        <v>NÃO</v>
      </c>
      <c r="AF433" s="60" t="n">
        <v>13</v>
      </c>
      <c r="AG433" s="60" t="n">
        <v>11</v>
      </c>
      <c r="AH433" s="60" t="s">
        <v>382</v>
      </c>
      <c r="AI433" s="61" t="n">
        <f aca="false">(T433*(1-Painel!$C$40)+U433+V433+Painel!$C$41+Painel!$C$42*CEILING(G433/100,1)+Painel!$C$43*CEILING(G433,1)+Z433)/(1-Resumo!$B$5)</f>
        <v>167.712011363636</v>
      </c>
      <c r="AJ433" s="60" t="str">
        <f aca="false">IF(AI433&lt;S433,"SIM","NÃO")</f>
        <v>NÃO</v>
      </c>
    </row>
    <row r="434" customFormat="false" ht="15" hidden="false" customHeight="false" outlineLevel="0" collapsed="false">
      <c r="A434" s="59" t="n">
        <v>46234.4459490741</v>
      </c>
      <c r="B434" s="60" t="s">
        <v>802</v>
      </c>
      <c r="C434" s="60" t="n">
        <v>24916125</v>
      </c>
      <c r="D434" s="60" t="s">
        <v>220</v>
      </c>
      <c r="E434" s="60" t="s">
        <v>24</v>
      </c>
      <c r="F434" s="60" t="s">
        <v>241</v>
      </c>
      <c r="G434" s="60" t="n">
        <v>124.2</v>
      </c>
      <c r="H434" s="61" t="n">
        <v>1558.08</v>
      </c>
      <c r="I434" s="61" t="n">
        <v>144.24</v>
      </c>
      <c r="J434" s="61" t="n">
        <f aca="false">H434*Resumo!$C$6</f>
        <v>0</v>
      </c>
      <c r="K434" s="61" t="n">
        <f aca="false">H434*Resumo!$C$7</f>
        <v>3.271968</v>
      </c>
      <c r="L434" s="61" t="n">
        <f aca="false">H434*Resumo!$C$8</f>
        <v>3.271968</v>
      </c>
      <c r="M434" s="61" t="n">
        <f aca="false">Resumo!$C$10*CEILING(G434/100,1)</f>
        <v>2.1</v>
      </c>
      <c r="N434" s="61" t="n">
        <f aca="false">Resumo!$C$9</f>
        <v>0</v>
      </c>
      <c r="O434" s="61" t="n">
        <f aca="false">Resumo!$C$13</f>
        <v>13.55</v>
      </c>
      <c r="P434" s="61" t="n">
        <f aca="false">Resumo!$C$14*CEILING(G434,1)</f>
        <v>56.25</v>
      </c>
      <c r="Q434" s="61" t="n">
        <f aca="false">SUM(I434:P434)*Resumo!$C$11</f>
        <v>0</v>
      </c>
      <c r="R434" s="61" t="n">
        <f aca="false">SUM(I434:Q434)</f>
        <v>222.683936</v>
      </c>
      <c r="S434" s="61" t="n">
        <f aca="false">R434/(1-Resumo!$C$5)</f>
        <v>253.049927272727</v>
      </c>
      <c r="T434" s="61" t="n">
        <v>249.03</v>
      </c>
      <c r="U434" s="61" t="n">
        <f aca="false">H434*Resumo!$B$6</f>
        <v>1.55808</v>
      </c>
      <c r="V434" s="61" t="n">
        <f aca="false">H434*Resumo!$B$7</f>
        <v>3.11616</v>
      </c>
      <c r="W434" s="61" t="n">
        <f aca="false">Resumo!$B$9</f>
        <v>1</v>
      </c>
      <c r="X434" s="61" t="n">
        <f aca="false">Resumo!$B$10*CEILING(G434/100,1)</f>
        <v>9</v>
      </c>
      <c r="Y434" s="61" t="n">
        <f aca="false">Resumo!$B$12*CEILING(G434,1)</f>
        <v>7.5</v>
      </c>
      <c r="Z434" s="61" t="n">
        <f aca="false">Resumo!$B$14*CEILING(G434,1)</f>
        <v>56.25</v>
      </c>
      <c r="AA434" s="61" t="n">
        <f aca="false">SUM(T434:Z434)</f>
        <v>327.45424</v>
      </c>
      <c r="AB434" s="61" t="n">
        <f aca="false">AA434/(1-Resumo!$B$5)</f>
        <v>372.107090909091</v>
      </c>
      <c r="AC434" s="61" t="n">
        <f aca="false">AB434-S434</f>
        <v>119.057163636364</v>
      </c>
      <c r="AD434" s="62" t="n">
        <f aca="false">AB434/S434-1</f>
        <v>0.470488827716787</v>
      </c>
      <c r="AE434" s="60" t="str">
        <f aca="false">IF(AB434&lt;S434,"SIM","NÃO")</f>
        <v>NÃO</v>
      </c>
      <c r="AF434" s="60" t="n">
        <v>13</v>
      </c>
      <c r="AG434" s="60" t="n">
        <v>7</v>
      </c>
      <c r="AH434" s="60" t="s">
        <v>382</v>
      </c>
      <c r="AI434" s="61" t="n">
        <f aca="false">(T434*(1-Painel!$C$40)+U434+V434+Painel!$C$41+Painel!$C$42*CEILING(G434/100,1)+Painel!$C$43*CEILING(G434,1)+Z434)/(1-Resumo!$B$5)</f>
        <v>262.357204545455</v>
      </c>
      <c r="AJ434" s="60" t="str">
        <f aca="false">IF(AI434&lt;S434,"SIM","NÃO")</f>
        <v>NÃO</v>
      </c>
    </row>
    <row r="435" customFormat="false" ht="15" hidden="false" customHeight="false" outlineLevel="0" collapsed="false">
      <c r="A435" s="59" t="n">
        <v>46234.4525231482</v>
      </c>
      <c r="B435" s="60" t="s">
        <v>803</v>
      </c>
      <c r="C435" s="60" t="n">
        <v>24470030</v>
      </c>
      <c r="D435" s="60" t="s">
        <v>47</v>
      </c>
      <c r="E435" s="60" t="s">
        <v>23</v>
      </c>
      <c r="F435" s="60" t="s">
        <v>236</v>
      </c>
      <c r="G435" s="60" t="n">
        <v>60</v>
      </c>
      <c r="H435" s="61" t="n">
        <v>849.99</v>
      </c>
      <c r="I435" s="61" t="n">
        <v>70.98</v>
      </c>
      <c r="J435" s="61" t="n">
        <f aca="false">H435*Resumo!$C$6</f>
        <v>0</v>
      </c>
      <c r="K435" s="61" t="n">
        <f aca="false">H435*Resumo!$C$7</f>
        <v>1.784979</v>
      </c>
      <c r="L435" s="61" t="n">
        <f aca="false">H435*Resumo!$C$8</f>
        <v>1.784979</v>
      </c>
      <c r="M435" s="61" t="n">
        <f aca="false">Resumo!$C$10*CEILING(G435/100,1)</f>
        <v>1.05</v>
      </c>
      <c r="N435" s="61" t="n">
        <f aca="false">Resumo!$C$9</f>
        <v>0</v>
      </c>
      <c r="O435" s="61" t="n">
        <f aca="false">Resumo!$C$13</f>
        <v>13.55</v>
      </c>
      <c r="P435" s="61" t="n">
        <f aca="false">Resumo!$C$14*CEILING(G435,1)</f>
        <v>27</v>
      </c>
      <c r="Q435" s="61" t="n">
        <f aca="false">SUM(I435:P435)*Resumo!$C$11</f>
        <v>0</v>
      </c>
      <c r="R435" s="61" t="n">
        <f aca="false">SUM(I435:Q435)</f>
        <v>116.149958</v>
      </c>
      <c r="S435" s="61" t="n">
        <f aca="false">R435/(1-Resumo!$C$5)</f>
        <v>131.988588636364</v>
      </c>
      <c r="T435" s="61" t="n">
        <v>128.14</v>
      </c>
      <c r="U435" s="61" t="n">
        <f aca="false">H435*Resumo!$B$6</f>
        <v>0.84999</v>
      </c>
      <c r="V435" s="61" t="n">
        <f aca="false">H435*Resumo!$B$7</f>
        <v>1.69998</v>
      </c>
      <c r="W435" s="61" t="n">
        <f aca="false">Resumo!$B$9</f>
        <v>1</v>
      </c>
      <c r="X435" s="61" t="n">
        <f aca="false">Resumo!$B$10*CEILING(G435/100,1)</f>
        <v>4.5</v>
      </c>
      <c r="Y435" s="61" t="n">
        <f aca="false">Resumo!$B$12*CEILING(G435,1)</f>
        <v>3.6</v>
      </c>
      <c r="Z435" s="61" t="n">
        <f aca="false">Resumo!$B$14*CEILING(G435,1)</f>
        <v>27</v>
      </c>
      <c r="AA435" s="61" t="n">
        <f aca="false">SUM(T435:Z435)</f>
        <v>166.78997</v>
      </c>
      <c r="AB435" s="61" t="n">
        <f aca="false">AA435/(1-Resumo!$B$5)</f>
        <v>189.534056818182</v>
      </c>
      <c r="AC435" s="61" t="n">
        <f aca="false">AB435-S435</f>
        <v>57.5454681818182</v>
      </c>
      <c r="AD435" s="62" t="n">
        <f aca="false">AB435/S435-1</f>
        <v>0.435988207589365</v>
      </c>
      <c r="AE435" s="60" t="str">
        <f aca="false">IF(AB435&lt;S435,"SIM","NÃO")</f>
        <v>NÃO</v>
      </c>
      <c r="AF435" s="60" t="n">
        <v>2</v>
      </c>
      <c r="AG435" s="60" t="n">
        <v>7</v>
      </c>
      <c r="AH435" s="60" t="s">
        <v>382</v>
      </c>
      <c r="AI435" s="61" t="n">
        <f aca="false">(T435*(1-Painel!$C$40)+U435+V435+Painel!$C$41+Painel!$C$42*CEILING(G435/100,1)+Painel!$C$43*CEILING(G435,1)+Z435)/(1-Resumo!$B$5)</f>
        <v>133.470193181818</v>
      </c>
      <c r="AJ435" s="60" t="str">
        <f aca="false">IF(AI435&lt;S435,"SIM","NÃO")</f>
        <v>NÃO</v>
      </c>
    </row>
    <row r="436" customFormat="false" ht="15" hidden="false" customHeight="false" outlineLevel="0" collapsed="false">
      <c r="A436" s="59" t="n">
        <v>46234.4672453704</v>
      </c>
      <c r="B436" s="60" t="s">
        <v>804</v>
      </c>
      <c r="C436" s="60" t="n">
        <v>23944040</v>
      </c>
      <c r="D436" s="60" t="s">
        <v>218</v>
      </c>
      <c r="E436" s="60" t="s">
        <v>24</v>
      </c>
      <c r="F436" s="60" t="s">
        <v>233</v>
      </c>
      <c r="G436" s="60" t="n">
        <v>28.1</v>
      </c>
      <c r="H436" s="61" t="n">
        <v>439.99</v>
      </c>
      <c r="I436" s="61" t="n">
        <v>65.63</v>
      </c>
      <c r="J436" s="61" t="n">
        <f aca="false">H436*Resumo!$C$6</f>
        <v>0</v>
      </c>
      <c r="K436" s="61" t="n">
        <f aca="false">H436*Resumo!$C$7</f>
        <v>0.923979</v>
      </c>
      <c r="L436" s="61" t="n">
        <f aca="false">H436*Resumo!$C$8</f>
        <v>0.923979</v>
      </c>
      <c r="M436" s="61" t="n">
        <f aca="false">Resumo!$C$10*CEILING(G436/100,1)</f>
        <v>1.05</v>
      </c>
      <c r="N436" s="61" t="n">
        <f aca="false">Resumo!$C$9</f>
        <v>0</v>
      </c>
      <c r="O436" s="61" t="n">
        <f aca="false">Resumo!$C$13</f>
        <v>13.55</v>
      </c>
      <c r="P436" s="61" t="n">
        <f aca="false">Resumo!$C$14*CEILING(G436,1)</f>
        <v>13.05</v>
      </c>
      <c r="Q436" s="61" t="n">
        <f aca="false">SUM(I436:P436)*Resumo!$C$11</f>
        <v>0</v>
      </c>
      <c r="R436" s="61" t="n">
        <f aca="false">SUM(I436:Q436)</f>
        <v>95.127958</v>
      </c>
      <c r="S436" s="61" t="n">
        <f aca="false">R436/(1-Resumo!$C$5)</f>
        <v>108.099952272727</v>
      </c>
      <c r="T436" s="61" t="n">
        <v>108.83</v>
      </c>
      <c r="U436" s="61" t="n">
        <f aca="false">H436*Resumo!$B$6</f>
        <v>0.43999</v>
      </c>
      <c r="V436" s="61" t="n">
        <f aca="false">H436*Resumo!$B$7</f>
        <v>0.87998</v>
      </c>
      <c r="W436" s="61" t="n">
        <f aca="false">Resumo!$B$9</f>
        <v>1</v>
      </c>
      <c r="X436" s="61" t="n">
        <f aca="false">Resumo!$B$10*CEILING(G436/100,1)</f>
        <v>4.5</v>
      </c>
      <c r="Y436" s="61" t="n">
        <f aca="false">Resumo!$B$12*CEILING(G436,1)</f>
        <v>1.74</v>
      </c>
      <c r="Z436" s="61" t="n">
        <f aca="false">Resumo!$B$14*CEILING(G436,1)</f>
        <v>13.05</v>
      </c>
      <c r="AA436" s="61" t="n">
        <f aca="false">SUM(T436:Z436)</f>
        <v>130.43997</v>
      </c>
      <c r="AB436" s="61" t="n">
        <f aca="false">AA436/(1-Resumo!$B$5)</f>
        <v>148.227238636364</v>
      </c>
      <c r="AC436" s="61" t="n">
        <f aca="false">AB436-S436</f>
        <v>40.1272863636364</v>
      </c>
      <c r="AD436" s="62" t="n">
        <f aca="false">AB436/S436-1</f>
        <v>0.371205403147622</v>
      </c>
      <c r="AE436" s="60" t="str">
        <f aca="false">IF(AB436&lt;S436,"SIM","NÃO")</f>
        <v>NÃO</v>
      </c>
      <c r="AF436" s="60" t="n">
        <v>13</v>
      </c>
      <c r="AG436" s="60" t="n">
        <v>10</v>
      </c>
      <c r="AH436" s="60" t="s">
        <v>382</v>
      </c>
      <c r="AI436" s="61" t="n">
        <f aca="false">(T436*(1-Painel!$C$40)+U436+V436+Painel!$C$41+Painel!$C$42*CEILING(G436/100,1)+Painel!$C$43*CEILING(G436,1)+Z436)/(1-Resumo!$B$5)</f>
        <v>101.518261363636</v>
      </c>
      <c r="AJ436" s="60" t="str">
        <f aca="false">IF(AI436&lt;S436,"SIM","NÃO")</f>
        <v>SIM</v>
      </c>
    </row>
    <row r="437" customFormat="false" ht="15" hidden="false" customHeight="false" outlineLevel="0" collapsed="false">
      <c r="A437" s="59" t="n">
        <v>46234.4692824074</v>
      </c>
      <c r="B437" s="60" t="s">
        <v>805</v>
      </c>
      <c r="C437" s="60" t="n">
        <v>22420004</v>
      </c>
      <c r="D437" s="60" t="s">
        <v>46</v>
      </c>
      <c r="E437" s="60" t="s">
        <v>22</v>
      </c>
      <c r="F437" s="60" t="s">
        <v>234</v>
      </c>
      <c r="G437" s="60" t="n">
        <v>36.9</v>
      </c>
      <c r="H437" s="61" t="n">
        <v>390.99</v>
      </c>
      <c r="I437" s="61" t="n">
        <v>48.35</v>
      </c>
      <c r="J437" s="61" t="n">
        <f aca="false">H437*Resumo!$C$6</f>
        <v>0</v>
      </c>
      <c r="K437" s="61" t="n">
        <f aca="false">H437*Resumo!$C$7</f>
        <v>0.821079</v>
      </c>
      <c r="L437" s="61" t="n">
        <f aca="false">H437*Resumo!$C$8</f>
        <v>0.821079</v>
      </c>
      <c r="M437" s="61" t="n">
        <f aca="false">Resumo!$C$10*CEILING(G437/100,1)</f>
        <v>1.05</v>
      </c>
      <c r="N437" s="61" t="n">
        <f aca="false">Resumo!$C$9</f>
        <v>0</v>
      </c>
      <c r="O437" s="61" t="n">
        <f aca="false">Resumo!$C$13</f>
        <v>13.55</v>
      </c>
      <c r="P437" s="61" t="n">
        <f aca="false">Resumo!$C$14*CEILING(G437,1)</f>
        <v>16.65</v>
      </c>
      <c r="Q437" s="61" t="n">
        <f aca="false">SUM(I437:P437)*Resumo!$C$11</f>
        <v>0</v>
      </c>
      <c r="R437" s="61" t="n">
        <f aca="false">SUM(I437:Q437)</f>
        <v>81.242158</v>
      </c>
      <c r="S437" s="61" t="n">
        <f aca="false">R437/(1-Resumo!$C$5)</f>
        <v>92.3206340909091</v>
      </c>
      <c r="T437" s="61" t="n">
        <v>93.97</v>
      </c>
      <c r="U437" s="61" t="n">
        <f aca="false">H437*Resumo!$B$6</f>
        <v>0.39099</v>
      </c>
      <c r="V437" s="61" t="n">
        <f aca="false">H437*Resumo!$B$7</f>
        <v>0.78198</v>
      </c>
      <c r="W437" s="61" t="n">
        <f aca="false">Resumo!$B$9</f>
        <v>1</v>
      </c>
      <c r="X437" s="61" t="n">
        <f aca="false">Resumo!$B$10*CEILING(G437/100,1)</f>
        <v>4.5</v>
      </c>
      <c r="Y437" s="61" t="n">
        <f aca="false">Resumo!$B$12*CEILING(G437,1)</f>
        <v>2.22</v>
      </c>
      <c r="Z437" s="61" t="n">
        <f aca="false">Resumo!$B$14*CEILING(G437,1)</f>
        <v>16.65</v>
      </c>
      <c r="AA437" s="61" t="n">
        <f aca="false">SUM(T437:Z437)</f>
        <v>119.51297</v>
      </c>
      <c r="AB437" s="61" t="n">
        <f aca="false">AA437/(1-Resumo!$B$5)</f>
        <v>135.810193181818</v>
      </c>
      <c r="AC437" s="61" t="n">
        <f aca="false">AB437-S437</f>
        <v>43.4895590909091</v>
      </c>
      <c r="AD437" s="62" t="n">
        <f aca="false">AB437/S437-1</f>
        <v>0.471070844770027</v>
      </c>
      <c r="AE437" s="60" t="str">
        <f aca="false">IF(AB437&lt;S437,"SIM","NÃO")</f>
        <v>NÃO</v>
      </c>
      <c r="AF437" s="60" t="n">
        <v>2</v>
      </c>
      <c r="AG437" s="60" t="n">
        <v>5</v>
      </c>
      <c r="AH437" s="60" t="s">
        <v>382</v>
      </c>
      <c r="AI437" s="61" t="n">
        <f aca="false">(T437*(1-Painel!$C$40)+U437+V437+Painel!$C$41+Painel!$C$42*CEILING(G437/100,1)+Painel!$C$43*CEILING(G437,1)+Z437)/(1-Resumo!$B$5)</f>
        <v>94.1282613636364</v>
      </c>
      <c r="AJ437" s="60" t="str">
        <f aca="false">IF(AI437&lt;S437,"SIM","NÃO")</f>
        <v>NÃO</v>
      </c>
    </row>
    <row r="438" customFormat="false" ht="15" hidden="false" customHeight="false" outlineLevel="0" collapsed="false">
      <c r="A438" s="59" t="n">
        <v>46234.5052083333</v>
      </c>
      <c r="B438" s="60" t="s">
        <v>806</v>
      </c>
      <c r="C438" s="60" t="n">
        <v>24466142</v>
      </c>
      <c r="D438" s="60" t="s">
        <v>47</v>
      </c>
      <c r="E438" s="60" t="s">
        <v>23</v>
      </c>
      <c r="F438" s="60" t="s">
        <v>232</v>
      </c>
      <c r="G438" s="60" t="n">
        <v>19.5</v>
      </c>
      <c r="H438" s="61" t="n">
        <v>332.99</v>
      </c>
      <c r="I438" s="61" t="n">
        <v>42.72</v>
      </c>
      <c r="J438" s="61" t="n">
        <f aca="false">H438*Resumo!$C$6</f>
        <v>0</v>
      </c>
      <c r="K438" s="61" t="n">
        <f aca="false">H438*Resumo!$C$7</f>
        <v>0.699279</v>
      </c>
      <c r="L438" s="61" t="n">
        <f aca="false">H438*Resumo!$C$8</f>
        <v>0.699279</v>
      </c>
      <c r="M438" s="61" t="n">
        <f aca="false">Resumo!$C$10*CEILING(G438/100,1)</f>
        <v>1.05</v>
      </c>
      <c r="N438" s="61" t="n">
        <f aca="false">Resumo!$C$9</f>
        <v>0</v>
      </c>
      <c r="O438" s="61" t="n">
        <f aca="false">Resumo!$C$13</f>
        <v>13.55</v>
      </c>
      <c r="P438" s="61" t="n">
        <f aca="false">Resumo!$C$14*CEILING(G438,1)</f>
        <v>9</v>
      </c>
      <c r="Q438" s="61" t="n">
        <f aca="false">SUM(I438:P438)*Resumo!$C$11</f>
        <v>0</v>
      </c>
      <c r="R438" s="61" t="n">
        <f aca="false">SUM(I438:Q438)</f>
        <v>67.718558</v>
      </c>
      <c r="S438" s="61" t="n">
        <f aca="false">R438/(1-Resumo!$C$5)</f>
        <v>76.9529068181818</v>
      </c>
      <c r="T438" s="61" t="n">
        <v>57.47</v>
      </c>
      <c r="U438" s="61" t="n">
        <f aca="false">H438*Resumo!$B$6</f>
        <v>0.33299</v>
      </c>
      <c r="V438" s="61" t="n">
        <f aca="false">H438*Resumo!$B$7</f>
        <v>0.66598</v>
      </c>
      <c r="W438" s="61" t="n">
        <f aca="false">Resumo!$B$9</f>
        <v>1</v>
      </c>
      <c r="X438" s="61" t="n">
        <f aca="false">Resumo!$B$10*CEILING(G438/100,1)</f>
        <v>4.5</v>
      </c>
      <c r="Y438" s="61" t="n">
        <f aca="false">Resumo!$B$12*CEILING(G438,1)</f>
        <v>1.2</v>
      </c>
      <c r="Z438" s="61" t="n">
        <f aca="false">Resumo!$B$14*CEILING(G438,1)</f>
        <v>9</v>
      </c>
      <c r="AA438" s="61" t="n">
        <f aca="false">SUM(T438:Z438)</f>
        <v>74.16897</v>
      </c>
      <c r="AB438" s="61" t="n">
        <f aca="false">AA438/(1-Resumo!$B$5)</f>
        <v>84.2829204545455</v>
      </c>
      <c r="AC438" s="61" t="n">
        <f aca="false">AB438-S438</f>
        <v>7.33001363636365</v>
      </c>
      <c r="AD438" s="62" t="n">
        <f aca="false">AB438/S438-1</f>
        <v>0.0952532391490086</v>
      </c>
      <c r="AE438" s="60" t="str">
        <f aca="false">IF(AB438&lt;S438,"SIM","NÃO")</f>
        <v>NÃO</v>
      </c>
      <c r="AF438" s="60" t="n">
        <v>2</v>
      </c>
      <c r="AG438" s="60" t="n">
        <v>7</v>
      </c>
      <c r="AH438" s="60" t="s">
        <v>382</v>
      </c>
      <c r="AI438" s="61" t="n">
        <f aca="false">(T438*(1-Painel!$C$40)+U438+V438+Painel!$C$41+Painel!$C$42*CEILING(G438/100,1)+Painel!$C$43*CEILING(G438,1)+Z438)/(1-Resumo!$B$5)</f>
        <v>57.4475795454545</v>
      </c>
      <c r="AJ438" s="60" t="str">
        <f aca="false">IF(AI438&lt;S438,"SIM","NÃO")</f>
        <v>SIM</v>
      </c>
    </row>
    <row r="439" customFormat="false" ht="15" hidden="false" customHeight="false" outlineLevel="0" collapsed="false">
      <c r="A439" s="59" t="n">
        <v>46234.5195138889</v>
      </c>
      <c r="B439" s="60" t="s">
        <v>486</v>
      </c>
      <c r="C439" s="60" t="n">
        <v>28200000</v>
      </c>
      <c r="D439" s="60" t="s">
        <v>305</v>
      </c>
      <c r="E439" s="60" t="s">
        <v>24</v>
      </c>
      <c r="F439" s="60" t="s">
        <v>235</v>
      </c>
      <c r="G439" s="60" t="n">
        <v>48.3</v>
      </c>
      <c r="H439" s="61" t="n">
        <v>429.99</v>
      </c>
      <c r="I439" s="61" t="n">
        <v>77.7</v>
      </c>
      <c r="J439" s="61" t="n">
        <f aca="false">H439*Resumo!$C$6</f>
        <v>0</v>
      </c>
      <c r="K439" s="61" t="n">
        <f aca="false">H439*Resumo!$C$7</f>
        <v>0.902979</v>
      </c>
      <c r="L439" s="61" t="n">
        <f aca="false">H439*Resumo!$C$8</f>
        <v>0.902979</v>
      </c>
      <c r="M439" s="61" t="n">
        <f aca="false">Resumo!$C$10*CEILING(G439/100,1)</f>
        <v>1.05</v>
      </c>
      <c r="N439" s="61" t="n">
        <f aca="false">Resumo!$C$9</f>
        <v>0</v>
      </c>
      <c r="O439" s="61" t="n">
        <f aca="false">Resumo!$C$13</f>
        <v>13.55</v>
      </c>
      <c r="P439" s="61" t="n">
        <f aca="false">Resumo!$C$14*CEILING(G439,1)</f>
        <v>22.05</v>
      </c>
      <c r="Q439" s="61" t="n">
        <f aca="false">SUM(I439:P439)*Resumo!$C$11</f>
        <v>0</v>
      </c>
      <c r="R439" s="61" t="n">
        <f aca="false">SUM(I439:Q439)</f>
        <v>116.155958</v>
      </c>
      <c r="S439" s="61" t="n">
        <f aca="false">R439/(1-Resumo!$C$5)</f>
        <v>131.995406818182</v>
      </c>
      <c r="T439" s="61" t="n">
        <v>152.54</v>
      </c>
      <c r="U439" s="61" t="n">
        <f aca="false">H439*Resumo!$B$6</f>
        <v>0.42999</v>
      </c>
      <c r="V439" s="61" t="n">
        <f aca="false">H439*Resumo!$B$7</f>
        <v>0.85998</v>
      </c>
      <c r="W439" s="61" t="n">
        <f aca="false">Resumo!$B$9</f>
        <v>1</v>
      </c>
      <c r="X439" s="61" t="n">
        <f aca="false">Resumo!$B$10*CEILING(G439/100,1)</f>
        <v>4.5</v>
      </c>
      <c r="Y439" s="61" t="n">
        <f aca="false">Resumo!$B$12*CEILING(G439,1)</f>
        <v>2.94</v>
      </c>
      <c r="Z439" s="61" t="n">
        <f aca="false">Resumo!$B$14*CEILING(G439,1)</f>
        <v>22.05</v>
      </c>
      <c r="AA439" s="61" t="n">
        <f aca="false">SUM(T439:Z439)</f>
        <v>184.31997</v>
      </c>
      <c r="AB439" s="61" t="n">
        <f aca="false">AA439/(1-Resumo!$B$5)</f>
        <v>209.454511363636</v>
      </c>
      <c r="AC439" s="61" t="n">
        <f aca="false">AB439-S439</f>
        <v>77.4591045454546</v>
      </c>
      <c r="AD439" s="62" t="n">
        <f aca="false">AB439/S439-1</f>
        <v>0.586831817959782</v>
      </c>
      <c r="AE439" s="60" t="str">
        <f aca="false">IF(AB439&lt;S439,"SIM","NÃO")</f>
        <v>NÃO</v>
      </c>
      <c r="AF439" s="60" t="n">
        <v>13</v>
      </c>
      <c r="AG439" s="60" t="n">
        <v>11</v>
      </c>
      <c r="AH439" s="60" t="s">
        <v>385</v>
      </c>
      <c r="AI439" s="61" t="n">
        <f aca="false">(T439*(1-Painel!$C$40)+U439+V439+Painel!$C$41+Painel!$C$42*CEILING(G439/100,1)+Painel!$C$43*CEILING(G439,1)+Z439)/(1-Resumo!$B$5)</f>
        <v>144.990647727273</v>
      </c>
      <c r="AJ439" s="60" t="str">
        <f aca="false">IF(AI439&lt;S439,"SIM","NÃO")</f>
        <v>NÃO</v>
      </c>
    </row>
    <row r="440" customFormat="false" ht="15" hidden="false" customHeight="false" outlineLevel="0" collapsed="false">
      <c r="A440" s="59" t="n">
        <v>46234.5398611111</v>
      </c>
      <c r="B440" s="60" t="s">
        <v>807</v>
      </c>
      <c r="C440" s="60" t="n">
        <v>21046210</v>
      </c>
      <c r="D440" s="60" t="s">
        <v>46</v>
      </c>
      <c r="E440" s="60" t="s">
        <v>22</v>
      </c>
      <c r="F440" s="60" t="s">
        <v>233</v>
      </c>
      <c r="G440" s="60" t="n">
        <v>31</v>
      </c>
      <c r="H440" s="61" t="n">
        <v>329.99</v>
      </c>
      <c r="I440" s="61" t="n">
        <v>42.11</v>
      </c>
      <c r="J440" s="61" t="n">
        <f aca="false">H440*Resumo!$C$6</f>
        <v>0</v>
      </c>
      <c r="K440" s="61" t="n">
        <f aca="false">H440*Resumo!$C$7</f>
        <v>0.692979</v>
      </c>
      <c r="L440" s="61" t="n">
        <f aca="false">H440*Resumo!$C$8</f>
        <v>0.692979</v>
      </c>
      <c r="M440" s="61" t="n">
        <f aca="false">Resumo!$C$10*CEILING(G440/100,1)</f>
        <v>1.05</v>
      </c>
      <c r="N440" s="61" t="n">
        <f aca="false">Resumo!$C$9</f>
        <v>0</v>
      </c>
      <c r="O440" s="61" t="n">
        <f aca="false">Resumo!$C$13</f>
        <v>13.55</v>
      </c>
      <c r="P440" s="61" t="n">
        <f aca="false">Resumo!$C$14*CEILING(G440,1)</f>
        <v>13.95</v>
      </c>
      <c r="Q440" s="61" t="n">
        <f aca="false">SUM(I440:P440)*Resumo!$C$11</f>
        <v>0</v>
      </c>
      <c r="R440" s="61" t="n">
        <f aca="false">SUM(I440:Q440)</f>
        <v>72.045958</v>
      </c>
      <c r="S440" s="61" t="n">
        <f aca="false">R440/(1-Resumo!$C$5)</f>
        <v>81.8704068181818</v>
      </c>
      <c r="T440" s="61" t="n">
        <v>82.21</v>
      </c>
      <c r="U440" s="61" t="n">
        <f aca="false">H440*Resumo!$B$6</f>
        <v>0.32999</v>
      </c>
      <c r="V440" s="61" t="n">
        <f aca="false">H440*Resumo!$B$7</f>
        <v>0.65998</v>
      </c>
      <c r="W440" s="61" t="n">
        <f aca="false">Resumo!$B$9</f>
        <v>1</v>
      </c>
      <c r="X440" s="61" t="n">
        <f aca="false">Resumo!$B$10*CEILING(G440/100,1)</f>
        <v>4.5</v>
      </c>
      <c r="Y440" s="61" t="n">
        <f aca="false">Resumo!$B$12*CEILING(G440,1)</f>
        <v>1.86</v>
      </c>
      <c r="Z440" s="61" t="n">
        <f aca="false">Resumo!$B$14*CEILING(G440,1)</f>
        <v>13.95</v>
      </c>
      <c r="AA440" s="61" t="n">
        <f aca="false">SUM(T440:Z440)</f>
        <v>104.50997</v>
      </c>
      <c r="AB440" s="61" t="n">
        <f aca="false">AA440/(1-Resumo!$B$5)</f>
        <v>118.761329545455</v>
      </c>
      <c r="AC440" s="61" t="n">
        <f aca="false">AB440-S440</f>
        <v>36.8909227272727</v>
      </c>
      <c r="AD440" s="62" t="n">
        <f aca="false">AB440/S440-1</f>
        <v>0.450601434156792</v>
      </c>
      <c r="AE440" s="60" t="str">
        <f aca="false">IF(AB440&lt;S440,"SIM","NÃO")</f>
        <v>NÃO</v>
      </c>
      <c r="AF440" s="60" t="n">
        <v>2</v>
      </c>
      <c r="AG440" s="60" t="n">
        <v>5</v>
      </c>
      <c r="AH440" s="60" t="s">
        <v>382</v>
      </c>
      <c r="AI440" s="61" t="n">
        <f aca="false">(T440*(1-Painel!$C$40)+U440+V440+Painel!$C$41+Painel!$C$42*CEILING(G440/100,1)+Painel!$C$43*CEILING(G440,1)+Z440)/(1-Resumo!$B$5)</f>
        <v>81.8984886363636</v>
      </c>
      <c r="AJ440" s="60" t="str">
        <f aca="false">IF(AI440&lt;S440,"SIM","NÃO")</f>
        <v>NÃO</v>
      </c>
    </row>
    <row r="441" customFormat="false" ht="15" hidden="false" customHeight="false" outlineLevel="0" collapsed="false">
      <c r="A441" s="59" t="n">
        <v>46234.547025463</v>
      </c>
      <c r="B441" s="60" t="s">
        <v>808</v>
      </c>
      <c r="C441" s="60" t="n">
        <v>20051070</v>
      </c>
      <c r="D441" s="60" t="s">
        <v>46</v>
      </c>
      <c r="E441" s="60" t="s">
        <v>22</v>
      </c>
      <c r="F441" s="60" t="s">
        <v>235</v>
      </c>
      <c r="G441" s="60" t="n">
        <v>44.8</v>
      </c>
      <c r="H441" s="61" t="n">
        <v>579.99</v>
      </c>
      <c r="I441" s="61" t="n">
        <v>53.55</v>
      </c>
      <c r="J441" s="61" t="n">
        <f aca="false">H441*Resumo!$C$6</f>
        <v>0</v>
      </c>
      <c r="K441" s="61" t="n">
        <f aca="false">H441*Resumo!$C$7</f>
        <v>1.217979</v>
      </c>
      <c r="L441" s="61" t="n">
        <f aca="false">H441*Resumo!$C$8</f>
        <v>1.217979</v>
      </c>
      <c r="M441" s="61" t="n">
        <f aca="false">Resumo!$C$10*CEILING(G441/100,1)</f>
        <v>1.05</v>
      </c>
      <c r="N441" s="61" t="n">
        <f aca="false">Resumo!$C$9</f>
        <v>0</v>
      </c>
      <c r="O441" s="61" t="n">
        <f aca="false">Resumo!$C$13</f>
        <v>13.55</v>
      </c>
      <c r="P441" s="61" t="n">
        <f aca="false">Resumo!$C$14*CEILING(G441,1)</f>
        <v>20.25</v>
      </c>
      <c r="Q441" s="61" t="n">
        <f aca="false">SUM(I441:P441)*Resumo!$C$11</f>
        <v>0</v>
      </c>
      <c r="R441" s="61" t="n">
        <f aca="false">SUM(I441:Q441)</f>
        <v>90.835958</v>
      </c>
      <c r="S441" s="61" t="n">
        <f aca="false">R441/(1-Resumo!$C$5)</f>
        <v>103.222679545455</v>
      </c>
      <c r="T441" s="61" t="n">
        <v>93.97</v>
      </c>
      <c r="U441" s="61" t="n">
        <f aca="false">H441*Resumo!$B$6</f>
        <v>0.57999</v>
      </c>
      <c r="V441" s="61" t="n">
        <f aca="false">H441*Resumo!$B$7</f>
        <v>1.15998</v>
      </c>
      <c r="W441" s="61" t="n">
        <f aca="false">Resumo!$B$9</f>
        <v>1</v>
      </c>
      <c r="X441" s="61" t="n">
        <f aca="false">Resumo!$B$10*CEILING(G441/100,1)</f>
        <v>4.5</v>
      </c>
      <c r="Y441" s="61" t="n">
        <f aca="false">Resumo!$B$12*CEILING(G441,1)</f>
        <v>2.7</v>
      </c>
      <c r="Z441" s="61" t="n">
        <f aca="false">Resumo!$B$14*CEILING(G441,1)</f>
        <v>20.25</v>
      </c>
      <c r="AA441" s="61" t="n">
        <f aca="false">SUM(T441:Z441)</f>
        <v>124.15997</v>
      </c>
      <c r="AB441" s="61" t="n">
        <f aca="false">AA441/(1-Resumo!$B$5)</f>
        <v>141.090875</v>
      </c>
      <c r="AC441" s="61" t="n">
        <f aca="false">AB441-S441</f>
        <v>37.8681954545455</v>
      </c>
      <c r="AD441" s="62" t="n">
        <f aca="false">AB441/S441-1</f>
        <v>0.366859256331067</v>
      </c>
      <c r="AE441" s="60" t="str">
        <f aca="false">IF(AB441&lt;S441,"SIM","NÃO")</f>
        <v>NÃO</v>
      </c>
      <c r="AF441" s="60" t="n">
        <v>2</v>
      </c>
      <c r="AG441" s="60" t="n">
        <v>5</v>
      </c>
      <c r="AH441" s="60" t="s">
        <v>382</v>
      </c>
      <c r="AI441" s="61" t="n">
        <f aca="false">(T441*(1-Painel!$C$40)+U441+V441+Painel!$C$41+Painel!$C$42*CEILING(G441/100,1)+Painel!$C$43*CEILING(G441,1)+Z441)/(1-Resumo!$B$5)</f>
        <v>98.8634886363636</v>
      </c>
      <c r="AJ441" s="60" t="str">
        <f aca="false">IF(AI441&lt;S441,"SIM","NÃO")</f>
        <v>SIM</v>
      </c>
    </row>
    <row r="442" customFormat="false" ht="15" hidden="false" customHeight="false" outlineLevel="0" collapsed="false">
      <c r="A442" s="59" t="n">
        <v>46234.5499421296</v>
      </c>
      <c r="B442" s="60" t="s">
        <v>809</v>
      </c>
      <c r="C442" s="60" t="n">
        <v>26291003</v>
      </c>
      <c r="D442" s="60" t="s">
        <v>49</v>
      </c>
      <c r="E442" s="60" t="s">
        <v>23</v>
      </c>
      <c r="F442" s="60" t="s">
        <v>234</v>
      </c>
      <c r="G442" s="60" t="n">
        <v>37.2</v>
      </c>
      <c r="H442" s="61" t="n">
        <v>399.99</v>
      </c>
      <c r="I442" s="61" t="n">
        <v>66.83</v>
      </c>
      <c r="J442" s="61" t="n">
        <f aca="false">H442*Resumo!$C$6</f>
        <v>0</v>
      </c>
      <c r="K442" s="61" t="n">
        <f aca="false">H442*Resumo!$C$7</f>
        <v>0.839979</v>
      </c>
      <c r="L442" s="61" t="n">
        <f aca="false">H442*Resumo!$C$8</f>
        <v>0.839979</v>
      </c>
      <c r="M442" s="61" t="n">
        <f aca="false">Resumo!$C$10*CEILING(G442/100,1)</f>
        <v>1.05</v>
      </c>
      <c r="N442" s="61" t="n">
        <f aca="false">Resumo!$C$9</f>
        <v>0</v>
      </c>
      <c r="O442" s="61" t="n">
        <f aca="false">Resumo!$C$13</f>
        <v>13.55</v>
      </c>
      <c r="P442" s="61" t="n">
        <f aca="false">Resumo!$C$14*CEILING(G442,1)</f>
        <v>17.1</v>
      </c>
      <c r="Q442" s="61" t="n">
        <f aca="false">SUM(I442:P442)*Resumo!$C$11</f>
        <v>0</v>
      </c>
      <c r="R442" s="61" t="n">
        <f aca="false">SUM(I442:Q442)</f>
        <v>100.209958</v>
      </c>
      <c r="S442" s="61" t="n">
        <f aca="false">R442/(1-Resumo!$C$5)</f>
        <v>113.874952272727</v>
      </c>
      <c r="T442" s="61" t="n">
        <v>93.97</v>
      </c>
      <c r="U442" s="61" t="n">
        <f aca="false">H442*Resumo!$B$6</f>
        <v>0.39999</v>
      </c>
      <c r="V442" s="61" t="n">
        <f aca="false">H442*Resumo!$B$7</f>
        <v>0.79998</v>
      </c>
      <c r="W442" s="61" t="n">
        <f aca="false">Resumo!$B$9</f>
        <v>1</v>
      </c>
      <c r="X442" s="61" t="n">
        <f aca="false">Resumo!$B$10*CEILING(G442/100,1)</f>
        <v>4.5</v>
      </c>
      <c r="Y442" s="61" t="n">
        <f aca="false">Resumo!$B$12*CEILING(G442,1)</f>
        <v>2.28</v>
      </c>
      <c r="Z442" s="61" t="n">
        <f aca="false">Resumo!$B$14*CEILING(G442,1)</f>
        <v>17.1</v>
      </c>
      <c r="AA442" s="61" t="n">
        <f aca="false">SUM(T442:Z442)</f>
        <v>120.04997</v>
      </c>
      <c r="AB442" s="61" t="n">
        <f aca="false">AA442/(1-Resumo!$B$5)</f>
        <v>136.420420454545</v>
      </c>
      <c r="AC442" s="61" t="n">
        <f aca="false">AB442-S442</f>
        <v>22.5454681818182</v>
      </c>
      <c r="AD442" s="62" t="n">
        <f aca="false">AB442/S442-1</f>
        <v>0.197984435838203</v>
      </c>
      <c r="AE442" s="60" t="str">
        <f aca="false">IF(AB442&lt;S442,"SIM","NÃO")</f>
        <v>NÃO</v>
      </c>
      <c r="AF442" s="60" t="n">
        <v>2</v>
      </c>
      <c r="AG442" s="60" t="n">
        <v>5</v>
      </c>
      <c r="AH442" s="60" t="s">
        <v>382</v>
      </c>
      <c r="AI442" s="61" t="n">
        <f aca="false">(T442*(1-Painel!$C$40)+U442+V442+Painel!$C$41+Painel!$C$42*CEILING(G442/100,1)+Painel!$C$43*CEILING(G442,1)+Z442)/(1-Resumo!$B$5)</f>
        <v>94.6703068181818</v>
      </c>
      <c r="AJ442" s="60" t="str">
        <f aca="false">IF(AI442&lt;S442,"SIM","NÃO")</f>
        <v>SIM</v>
      </c>
    </row>
    <row r="443" customFormat="false" ht="15" hidden="false" customHeight="false" outlineLevel="0" collapsed="false">
      <c r="A443" s="59" t="n">
        <v>46234.5579861111</v>
      </c>
      <c r="B443" s="60" t="s">
        <v>486</v>
      </c>
      <c r="C443" s="60" t="n">
        <v>28200000</v>
      </c>
      <c r="D443" s="60" t="s">
        <v>305</v>
      </c>
      <c r="E443" s="60" t="s">
        <v>24</v>
      </c>
      <c r="F443" s="60" t="s">
        <v>236</v>
      </c>
      <c r="G443" s="60" t="n">
        <v>54</v>
      </c>
      <c r="H443" s="61" t="n">
        <v>919.99</v>
      </c>
      <c r="I443" s="61" t="n">
        <v>83.58</v>
      </c>
      <c r="J443" s="61" t="n">
        <f aca="false">H443*Resumo!$C$6</f>
        <v>0</v>
      </c>
      <c r="K443" s="61" t="n">
        <f aca="false">H443*Resumo!$C$7</f>
        <v>1.931979</v>
      </c>
      <c r="L443" s="61" t="n">
        <f aca="false">H443*Resumo!$C$8</f>
        <v>1.931979</v>
      </c>
      <c r="M443" s="61" t="n">
        <f aca="false">Resumo!$C$10*CEILING(G443/100,1)</f>
        <v>1.05</v>
      </c>
      <c r="N443" s="61" t="n">
        <f aca="false">Resumo!$C$9</f>
        <v>0</v>
      </c>
      <c r="O443" s="61" t="n">
        <f aca="false">Resumo!$C$13</f>
        <v>13.55</v>
      </c>
      <c r="P443" s="61" t="n">
        <f aca="false">Resumo!$C$14*CEILING(G443,1)</f>
        <v>24.3</v>
      </c>
      <c r="Q443" s="61" t="n">
        <f aca="false">SUM(I443:P443)*Resumo!$C$11</f>
        <v>0</v>
      </c>
      <c r="R443" s="61" t="n">
        <f aca="false">SUM(I443:Q443)</f>
        <v>126.343958</v>
      </c>
      <c r="S443" s="61" t="n">
        <f aca="false">R443/(1-Resumo!$C$5)</f>
        <v>143.572679545455</v>
      </c>
      <c r="T443" s="61" t="n">
        <v>162.04</v>
      </c>
      <c r="U443" s="61" t="n">
        <f aca="false">H443*Resumo!$B$6</f>
        <v>0.91999</v>
      </c>
      <c r="V443" s="61" t="n">
        <f aca="false">H443*Resumo!$B$7</f>
        <v>1.83998</v>
      </c>
      <c r="W443" s="61" t="n">
        <f aca="false">Resumo!$B$9</f>
        <v>1</v>
      </c>
      <c r="X443" s="61" t="n">
        <f aca="false">Resumo!$B$10*CEILING(G443/100,1)</f>
        <v>4.5</v>
      </c>
      <c r="Y443" s="61" t="n">
        <f aca="false">Resumo!$B$12*CEILING(G443,1)</f>
        <v>3.24</v>
      </c>
      <c r="Z443" s="61" t="n">
        <f aca="false">Resumo!$B$14*CEILING(G443,1)</f>
        <v>24.3</v>
      </c>
      <c r="AA443" s="61" t="n">
        <f aca="false">SUM(T443:Z443)</f>
        <v>197.83997</v>
      </c>
      <c r="AB443" s="61" t="n">
        <f aca="false">AA443/(1-Resumo!$B$5)</f>
        <v>224.818147727273</v>
      </c>
      <c r="AC443" s="61" t="n">
        <f aca="false">AB443-S443</f>
        <v>81.2454681818182</v>
      </c>
      <c r="AD443" s="62" t="n">
        <f aca="false">AB443/S443-1</f>
        <v>0.565883902418191</v>
      </c>
      <c r="AE443" s="60" t="str">
        <f aca="false">IF(AB443&lt;S443,"SIM","NÃO")</f>
        <v>NÃO</v>
      </c>
      <c r="AF443" s="60" t="n">
        <v>13</v>
      </c>
      <c r="AG443" s="60" t="n">
        <v>11</v>
      </c>
      <c r="AH443" s="60" t="s">
        <v>385</v>
      </c>
      <c r="AI443" s="61" t="n">
        <f aca="false">(T443*(1-Painel!$C$40)+U443+V443+Painel!$C$41+Painel!$C$42*CEILING(G443/100,1)+Painel!$C$43*CEILING(G443,1)+Z443)/(1-Resumo!$B$5)</f>
        <v>156.450875</v>
      </c>
      <c r="AJ443" s="60" t="str">
        <f aca="false">IF(AI443&lt;S443,"SIM","NÃO")</f>
        <v>NÃO</v>
      </c>
    </row>
    <row r="444" customFormat="false" ht="15" hidden="false" customHeight="false" outlineLevel="0" collapsed="false">
      <c r="A444" s="59" t="n">
        <v>46234.6327199074</v>
      </c>
      <c r="B444" s="60" t="s">
        <v>810</v>
      </c>
      <c r="C444" s="60" t="n">
        <v>26381368</v>
      </c>
      <c r="D444" s="60" t="s">
        <v>282</v>
      </c>
      <c r="E444" s="60" t="s">
        <v>23</v>
      </c>
      <c r="F444" s="60" t="s">
        <v>239</v>
      </c>
      <c r="G444" s="60" t="n">
        <v>93.8</v>
      </c>
      <c r="H444" s="61" t="n">
        <v>999.99</v>
      </c>
      <c r="I444" s="61" t="n">
        <v>92.32</v>
      </c>
      <c r="J444" s="61" t="n">
        <f aca="false">H444*Resumo!$C$6</f>
        <v>0</v>
      </c>
      <c r="K444" s="61" t="n">
        <f aca="false">H444*Resumo!$C$7</f>
        <v>2.099979</v>
      </c>
      <c r="L444" s="61" t="n">
        <f aca="false">H444*Resumo!$C$8</f>
        <v>2.099979</v>
      </c>
      <c r="M444" s="61" t="n">
        <f aca="false">Resumo!$C$10*CEILING(G444/100,1)</f>
        <v>1.05</v>
      </c>
      <c r="N444" s="61" t="n">
        <f aca="false">Resumo!$C$9</f>
        <v>0</v>
      </c>
      <c r="O444" s="61" t="n">
        <f aca="false">Resumo!$C$13</f>
        <v>13.55</v>
      </c>
      <c r="P444" s="61" t="n">
        <f aca="false">Resumo!$C$14*CEILING(G444,1)</f>
        <v>42.3</v>
      </c>
      <c r="Q444" s="61" t="n">
        <f aca="false">SUM(I444:P444)*Resumo!$C$11</f>
        <v>0</v>
      </c>
      <c r="R444" s="61" t="n">
        <f aca="false">SUM(I444:Q444)</f>
        <v>153.419958</v>
      </c>
      <c r="S444" s="61" t="n">
        <f aca="false">R444/(1-Resumo!$C$5)</f>
        <v>174.340861363636</v>
      </c>
      <c r="T444" s="61" t="n">
        <v>167.99</v>
      </c>
      <c r="U444" s="61" t="n">
        <f aca="false">H444*Resumo!$B$6</f>
        <v>0.99999</v>
      </c>
      <c r="V444" s="61" t="n">
        <f aca="false">H444*Resumo!$B$7</f>
        <v>1.99998</v>
      </c>
      <c r="W444" s="61" t="n">
        <f aca="false">Resumo!$B$9</f>
        <v>1</v>
      </c>
      <c r="X444" s="61" t="n">
        <f aca="false">Resumo!$B$10*CEILING(G444/100,1)</f>
        <v>4.5</v>
      </c>
      <c r="Y444" s="61" t="n">
        <f aca="false">Resumo!$B$12*CEILING(G444,1)</f>
        <v>5.64</v>
      </c>
      <c r="Z444" s="61" t="n">
        <f aca="false">Resumo!$B$14*CEILING(G444,1)</f>
        <v>42.3</v>
      </c>
      <c r="AA444" s="61" t="n">
        <f aca="false">SUM(T444:Z444)</f>
        <v>224.42997</v>
      </c>
      <c r="AB444" s="61" t="n">
        <f aca="false">AA444/(1-Resumo!$B$5)</f>
        <v>255.034056818182</v>
      </c>
      <c r="AC444" s="61" t="n">
        <f aca="false">AB444-S444</f>
        <v>80.6931954545455</v>
      </c>
      <c r="AD444" s="62" t="n">
        <f aca="false">AB444/S444-1</f>
        <v>0.462847291354362</v>
      </c>
      <c r="AE444" s="60" t="str">
        <f aca="false">IF(AB444&lt;S444,"SIM","NÃO")</f>
        <v>NÃO</v>
      </c>
      <c r="AF444" s="60" t="n">
        <v>2</v>
      </c>
      <c r="AG444" s="60" t="n">
        <v>5</v>
      </c>
      <c r="AH444" s="60" t="s">
        <v>385</v>
      </c>
      <c r="AI444" s="61" t="n">
        <f aca="false">(T444*(1-Painel!$C$40)+U444+V444+Painel!$C$41+Painel!$C$42*CEILING(G444/100,1)+Painel!$C$43*CEILING(G444,1)+Z444)/(1-Resumo!$B$5)</f>
        <v>181.708261363636</v>
      </c>
      <c r="AJ444" s="60" t="str">
        <f aca="false">IF(AI444&lt;S444,"SIM","NÃO")</f>
        <v>NÃO</v>
      </c>
    </row>
    <row r="445" customFormat="false" ht="15" hidden="false" customHeight="false" outlineLevel="0" collapsed="false">
      <c r="A445" s="59" t="n">
        <v>46234.6536458333</v>
      </c>
      <c r="B445" s="60" t="s">
        <v>811</v>
      </c>
      <c r="C445" s="60" t="n">
        <v>28941412</v>
      </c>
      <c r="D445" s="60" t="s">
        <v>338</v>
      </c>
      <c r="E445" s="60" t="s">
        <v>24</v>
      </c>
      <c r="F445" s="60" t="s">
        <v>235</v>
      </c>
      <c r="G445" s="60" t="n">
        <v>43.5</v>
      </c>
      <c r="H445" s="61" t="n">
        <v>608.99</v>
      </c>
      <c r="I445" s="61" t="n">
        <v>77.7</v>
      </c>
      <c r="J445" s="61" t="n">
        <f aca="false">H445*Resumo!$C$6</f>
        <v>0</v>
      </c>
      <c r="K445" s="61" t="n">
        <f aca="false">H445*Resumo!$C$7</f>
        <v>1.278879</v>
      </c>
      <c r="L445" s="61" t="n">
        <f aca="false">H445*Resumo!$C$8</f>
        <v>1.278879</v>
      </c>
      <c r="M445" s="61" t="n">
        <f aca="false">Resumo!$C$10*CEILING(G445/100,1)</f>
        <v>1.05</v>
      </c>
      <c r="N445" s="61" t="n">
        <f aca="false">Resumo!$C$9</f>
        <v>0</v>
      </c>
      <c r="O445" s="61" t="n">
        <f aca="false">Resumo!$C$13</f>
        <v>13.55</v>
      </c>
      <c r="P445" s="61" t="n">
        <f aca="false">Resumo!$C$14*CEILING(G445,1)</f>
        <v>19.8</v>
      </c>
      <c r="Q445" s="61" t="n">
        <f aca="false">SUM(I445:P445)*Resumo!$C$11</f>
        <v>0</v>
      </c>
      <c r="R445" s="61" t="n">
        <f aca="false">SUM(I445:Q445)</f>
        <v>114.657758</v>
      </c>
      <c r="S445" s="61" t="n">
        <f aca="false">R445/(1-Resumo!$C$5)</f>
        <v>130.292906818182</v>
      </c>
      <c r="T445" s="61" t="n">
        <v>129.29</v>
      </c>
      <c r="U445" s="61" t="n">
        <f aca="false">H445*Resumo!$B$6</f>
        <v>0.60899</v>
      </c>
      <c r="V445" s="61" t="n">
        <f aca="false">H445*Resumo!$B$7</f>
        <v>1.21798</v>
      </c>
      <c r="W445" s="61" t="n">
        <f aca="false">Resumo!$B$9</f>
        <v>1</v>
      </c>
      <c r="X445" s="61" t="n">
        <f aca="false">Resumo!$B$10*CEILING(G445/100,1)</f>
        <v>4.5</v>
      </c>
      <c r="Y445" s="61" t="n">
        <f aca="false">Resumo!$B$12*CEILING(G445,1)</f>
        <v>2.64</v>
      </c>
      <c r="Z445" s="61" t="n">
        <f aca="false">Resumo!$B$14*CEILING(G445,1)</f>
        <v>19.8</v>
      </c>
      <c r="AA445" s="61" t="n">
        <f aca="false">SUM(T445:Z445)</f>
        <v>159.05697</v>
      </c>
      <c r="AB445" s="61" t="n">
        <f aca="false">AA445/(1-Resumo!$B$5)</f>
        <v>180.746556818182</v>
      </c>
      <c r="AC445" s="61" t="n">
        <f aca="false">AB445-S445</f>
        <v>50.45365</v>
      </c>
      <c r="AD445" s="62" t="n">
        <f aca="false">AB445/S445-1</f>
        <v>0.387232515047085</v>
      </c>
      <c r="AE445" s="60" t="str">
        <f aca="false">IF(AB445&lt;S445,"SIM","NÃO")</f>
        <v>NÃO</v>
      </c>
      <c r="AF445" s="60" t="n">
        <v>13</v>
      </c>
      <c r="AG445" s="60" t="n">
        <v>10</v>
      </c>
      <c r="AH445" s="60" t="s">
        <v>385</v>
      </c>
      <c r="AI445" s="61" t="n">
        <f aca="false">(T445*(1-Painel!$C$40)+U445+V445+Painel!$C$41+Painel!$C$42*CEILING(G445/100,1)+Painel!$C$43*CEILING(G445,1)+Z445)/(1-Resumo!$B$5)</f>
        <v>125.342352272727</v>
      </c>
      <c r="AJ445" s="60" t="str">
        <f aca="false">IF(AI445&lt;S445,"SIM","NÃO")</f>
        <v>SIM</v>
      </c>
    </row>
    <row r="446" customFormat="false" ht="15" hidden="false" customHeight="false" outlineLevel="0" collapsed="false">
      <c r="A446" s="59" t="n">
        <v>46234.6675</v>
      </c>
      <c r="B446" s="60" t="s">
        <v>812</v>
      </c>
      <c r="C446" s="60" t="n">
        <v>20931350</v>
      </c>
      <c r="D446" s="60" t="s">
        <v>46</v>
      </c>
      <c r="E446" s="60" t="s">
        <v>22</v>
      </c>
      <c r="F446" s="60" t="s">
        <v>233</v>
      </c>
      <c r="G446" s="60" t="n">
        <v>22</v>
      </c>
      <c r="H446" s="61" t="n">
        <v>727.37</v>
      </c>
      <c r="I446" s="61" t="n">
        <v>42.11</v>
      </c>
      <c r="J446" s="61" t="n">
        <f aca="false">H446*Resumo!$C$6</f>
        <v>0</v>
      </c>
      <c r="K446" s="61" t="n">
        <f aca="false">H446*Resumo!$C$7</f>
        <v>1.527477</v>
      </c>
      <c r="L446" s="61" t="n">
        <f aca="false">H446*Resumo!$C$8</f>
        <v>1.527477</v>
      </c>
      <c r="M446" s="61" t="n">
        <f aca="false">Resumo!$C$10*CEILING(G446/100,1)</f>
        <v>1.05</v>
      </c>
      <c r="N446" s="61" t="n">
        <f aca="false">Resumo!$C$9</f>
        <v>0</v>
      </c>
      <c r="O446" s="61" t="n">
        <f aca="false">Resumo!$C$13</f>
        <v>13.55</v>
      </c>
      <c r="P446" s="61" t="n">
        <f aca="false">Resumo!$C$14*CEILING(G446,1)</f>
        <v>9.9</v>
      </c>
      <c r="Q446" s="61" t="n">
        <f aca="false">SUM(I446:P446)*Resumo!$C$11</f>
        <v>0</v>
      </c>
      <c r="R446" s="61" t="n">
        <f aca="false">SUM(I446:Q446)</f>
        <v>69.664954</v>
      </c>
      <c r="S446" s="61" t="n">
        <f aca="false">R446/(1-Resumo!$C$5)</f>
        <v>79.1647204545455</v>
      </c>
      <c r="T446" s="61" t="n">
        <v>82.21</v>
      </c>
      <c r="U446" s="61" t="n">
        <f aca="false">H446*Resumo!$B$6</f>
        <v>0.72737</v>
      </c>
      <c r="V446" s="61" t="n">
        <f aca="false">H446*Resumo!$B$7</f>
        <v>1.45474</v>
      </c>
      <c r="W446" s="61" t="n">
        <f aca="false">Resumo!$B$9</f>
        <v>1</v>
      </c>
      <c r="X446" s="61" t="n">
        <f aca="false">Resumo!$B$10*CEILING(G446/100,1)</f>
        <v>4.5</v>
      </c>
      <c r="Y446" s="61" t="n">
        <f aca="false">Resumo!$B$12*CEILING(G446,1)</f>
        <v>1.32</v>
      </c>
      <c r="Z446" s="61" t="n">
        <f aca="false">Resumo!$B$14*CEILING(G446,1)</f>
        <v>9.9</v>
      </c>
      <c r="AA446" s="61" t="n">
        <f aca="false">SUM(T446:Z446)</f>
        <v>101.11211</v>
      </c>
      <c r="AB446" s="61" t="n">
        <f aca="false">AA446/(1-Resumo!$B$5)</f>
        <v>114.900125</v>
      </c>
      <c r="AC446" s="61" t="n">
        <f aca="false">AB446-S446</f>
        <v>35.7354045454545</v>
      </c>
      <c r="AD446" s="62" t="n">
        <f aca="false">AB446/S446-1</f>
        <v>0.451405680968368</v>
      </c>
      <c r="AE446" s="60" t="str">
        <f aca="false">IF(AB446&lt;S446,"SIM","NÃO")</f>
        <v>NÃO</v>
      </c>
      <c r="AF446" s="60" t="n">
        <v>2</v>
      </c>
      <c r="AG446" s="60" t="n">
        <v>5</v>
      </c>
      <c r="AH446" s="60" t="s">
        <v>382</v>
      </c>
      <c r="AI446" s="61" t="n">
        <f aca="false">(T446*(1-Painel!$C$40)+U446+V446+Painel!$C$41+Painel!$C$42*CEILING(G446/100,1)+Painel!$C$43*CEILING(G446,1)+Z446)/(1-Resumo!$B$5)</f>
        <v>78.6509204545454</v>
      </c>
      <c r="AJ446" s="60" t="str">
        <f aca="false">IF(AI446&lt;S446,"SIM","NÃO")</f>
        <v>SIM</v>
      </c>
    </row>
    <row r="447" customFormat="false" ht="15" hidden="false" customHeight="false" outlineLevel="0" collapsed="false">
      <c r="A447" s="59" t="n">
        <v>46234.7240856482</v>
      </c>
      <c r="B447" s="60" t="s">
        <v>813</v>
      </c>
      <c r="C447" s="60" t="n">
        <v>23520286</v>
      </c>
      <c r="D447" s="60" t="s">
        <v>46</v>
      </c>
      <c r="E447" s="60" t="s">
        <v>22</v>
      </c>
      <c r="F447" s="60" t="s">
        <v>241</v>
      </c>
      <c r="G447" s="60" t="n">
        <v>124.2</v>
      </c>
      <c r="H447" s="61" t="n">
        <v>1699.99</v>
      </c>
      <c r="I447" s="61" t="n">
        <v>120.59</v>
      </c>
      <c r="J447" s="61" t="n">
        <f aca="false">H447*Resumo!$C$6</f>
        <v>0</v>
      </c>
      <c r="K447" s="61" t="n">
        <f aca="false">H447*Resumo!$C$7</f>
        <v>3.569979</v>
      </c>
      <c r="L447" s="61" t="n">
        <f aca="false">H447*Resumo!$C$8</f>
        <v>3.569979</v>
      </c>
      <c r="M447" s="61" t="n">
        <f aca="false">Resumo!$C$10*CEILING(G447/100,1)</f>
        <v>2.1</v>
      </c>
      <c r="N447" s="61" t="n">
        <f aca="false">Resumo!$C$9</f>
        <v>0</v>
      </c>
      <c r="O447" s="61" t="n">
        <f aca="false">Resumo!$C$13</f>
        <v>13.55</v>
      </c>
      <c r="P447" s="61" t="n">
        <f aca="false">Resumo!$C$14*CEILING(G447,1)</f>
        <v>56.25</v>
      </c>
      <c r="Q447" s="61" t="n">
        <f aca="false">SUM(I447:P447)*Resumo!$C$11</f>
        <v>0</v>
      </c>
      <c r="R447" s="61" t="n">
        <f aca="false">SUM(I447:Q447)</f>
        <v>199.629958</v>
      </c>
      <c r="S447" s="61" t="n">
        <f aca="false">R447/(1-Resumo!$C$5)</f>
        <v>226.852225</v>
      </c>
      <c r="T447" s="61" t="n">
        <v>239.25</v>
      </c>
      <c r="U447" s="61" t="n">
        <f aca="false">H447*Resumo!$B$6</f>
        <v>1.69999</v>
      </c>
      <c r="V447" s="61" t="n">
        <f aca="false">H447*Resumo!$B$7</f>
        <v>3.39998</v>
      </c>
      <c r="W447" s="61" t="n">
        <f aca="false">Resumo!$B$9</f>
        <v>1</v>
      </c>
      <c r="X447" s="61" t="n">
        <f aca="false">Resumo!$B$10*CEILING(G447/100,1)</f>
        <v>9</v>
      </c>
      <c r="Y447" s="61" t="n">
        <f aca="false">Resumo!$B$12*CEILING(G447,1)</f>
        <v>7.5</v>
      </c>
      <c r="Z447" s="61" t="n">
        <f aca="false">Resumo!$B$14*CEILING(G447,1)</f>
        <v>56.25</v>
      </c>
      <c r="AA447" s="61" t="n">
        <f aca="false">SUM(T447:Z447)</f>
        <v>318.09997</v>
      </c>
      <c r="AB447" s="61" t="n">
        <f aca="false">AA447/(1-Resumo!$B$5)</f>
        <v>361.477238636364</v>
      </c>
      <c r="AC447" s="61" t="n">
        <f aca="false">AB447-S447</f>
        <v>134.625013636364</v>
      </c>
      <c r="AD447" s="62" t="n">
        <f aca="false">AB447/S447-1</f>
        <v>0.593448063541645</v>
      </c>
      <c r="AE447" s="60" t="str">
        <f aca="false">IF(AB447&lt;S447,"SIM","NÃO")</f>
        <v>NÃO</v>
      </c>
      <c r="AF447" s="60" t="n">
        <v>2</v>
      </c>
      <c r="AG447" s="60" t="n">
        <v>5</v>
      </c>
      <c r="AH447" s="60" t="s">
        <v>382</v>
      </c>
      <c r="AI447" s="61" t="n">
        <f aca="false">(T447*(1-Painel!$C$40)+U447+V447+Painel!$C$41+Painel!$C$42*CEILING(G447/100,1)+Painel!$C$43*CEILING(G447,1)+Z447)/(1-Resumo!$B$5)</f>
        <v>255.394852272727</v>
      </c>
      <c r="AJ447" s="60" t="str">
        <f aca="false">IF(AI447&lt;S447,"SIM","NÃO")</f>
        <v>NÃO</v>
      </c>
    </row>
    <row r="448" customFormat="false" ht="15" hidden="false" customHeight="false" outlineLevel="0" collapsed="false">
      <c r="A448" s="59" t="n">
        <v>46234.746400463</v>
      </c>
      <c r="B448" s="60" t="s">
        <v>814</v>
      </c>
      <c r="C448" s="60" t="n">
        <v>24412560</v>
      </c>
      <c r="D448" s="60" t="s">
        <v>47</v>
      </c>
      <c r="E448" s="60" t="s">
        <v>23</v>
      </c>
      <c r="F448" s="60" t="s">
        <v>234</v>
      </c>
      <c r="G448" s="60" t="n">
        <v>39.9</v>
      </c>
      <c r="H448" s="61" t="n">
        <v>495.99</v>
      </c>
      <c r="I448" s="61" t="n">
        <v>66.83</v>
      </c>
      <c r="J448" s="61" t="n">
        <f aca="false">H448*Resumo!$C$6</f>
        <v>0</v>
      </c>
      <c r="K448" s="61" t="n">
        <f aca="false">H448*Resumo!$C$7</f>
        <v>1.041579</v>
      </c>
      <c r="L448" s="61" t="n">
        <f aca="false">H448*Resumo!$C$8</f>
        <v>1.041579</v>
      </c>
      <c r="M448" s="61" t="n">
        <f aca="false">Resumo!$C$10*CEILING(G448/100,1)</f>
        <v>1.05</v>
      </c>
      <c r="N448" s="61" t="n">
        <f aca="false">Resumo!$C$9</f>
        <v>0</v>
      </c>
      <c r="O448" s="61" t="n">
        <f aca="false">Resumo!$C$13</f>
        <v>13.55</v>
      </c>
      <c r="P448" s="61" t="n">
        <f aca="false">Resumo!$C$14*CEILING(G448,1)</f>
        <v>18</v>
      </c>
      <c r="Q448" s="61" t="n">
        <f aca="false">SUM(I448:P448)*Resumo!$C$11</f>
        <v>0</v>
      </c>
      <c r="R448" s="61" t="n">
        <f aca="false">SUM(I448:Q448)</f>
        <v>101.513158</v>
      </c>
      <c r="S448" s="61" t="n">
        <f aca="false">R448/(1-Resumo!$C$5)</f>
        <v>115.355861363636</v>
      </c>
      <c r="T448" s="61" t="n">
        <v>114.95</v>
      </c>
      <c r="U448" s="61" t="n">
        <f aca="false">H448*Resumo!$B$6</f>
        <v>0.49599</v>
      </c>
      <c r="V448" s="61" t="n">
        <f aca="false">H448*Resumo!$B$7</f>
        <v>0.99198</v>
      </c>
      <c r="W448" s="61" t="n">
        <f aca="false">Resumo!$B$9</f>
        <v>1</v>
      </c>
      <c r="X448" s="61" t="n">
        <f aca="false">Resumo!$B$10*CEILING(G448/100,1)</f>
        <v>4.5</v>
      </c>
      <c r="Y448" s="61" t="n">
        <f aca="false">Resumo!$B$12*CEILING(G448,1)</f>
        <v>2.4</v>
      </c>
      <c r="Z448" s="61" t="n">
        <f aca="false">Resumo!$B$14*CEILING(G448,1)</f>
        <v>18</v>
      </c>
      <c r="AA448" s="61" t="n">
        <f aca="false">SUM(T448:Z448)</f>
        <v>142.33797</v>
      </c>
      <c r="AB448" s="61" t="n">
        <f aca="false">AA448/(1-Resumo!$B$5)</f>
        <v>161.747693181818</v>
      </c>
      <c r="AC448" s="61" t="n">
        <f aca="false">AB448-S448</f>
        <v>46.3918318181818</v>
      </c>
      <c r="AD448" s="62" t="n">
        <f aca="false">AB448/S448-1</f>
        <v>0.402162761993869</v>
      </c>
      <c r="AE448" s="60" t="str">
        <f aca="false">IF(AB448&lt;S448,"SIM","NÃO")</f>
        <v>NÃO</v>
      </c>
      <c r="AF448" s="60" t="n">
        <v>2</v>
      </c>
      <c r="AG448" s="60" t="n">
        <v>7</v>
      </c>
      <c r="AH448" s="60" t="s">
        <v>382</v>
      </c>
      <c r="AI448" s="61" t="n">
        <f aca="false">(T448*(1-Painel!$C$40)+U448+V448+Painel!$C$41+Painel!$C$42*CEILING(G448/100,1)+Painel!$C$43*CEILING(G448,1)+Z448)/(1-Resumo!$B$5)</f>
        <v>111.993715909091</v>
      </c>
      <c r="AJ448" s="60" t="str">
        <f aca="false">IF(AI448&lt;S448,"SIM","NÃO")</f>
        <v>SIM</v>
      </c>
    </row>
    <row r="449" customFormat="false" ht="15" hidden="false" customHeight="false" outlineLevel="0" collapsed="false">
      <c r="A449" s="59" t="n">
        <v>46234.7722569444</v>
      </c>
      <c r="B449" s="60" t="s">
        <v>815</v>
      </c>
      <c r="C449" s="60" t="n">
        <v>28350190</v>
      </c>
      <c r="D449" s="60" t="s">
        <v>309</v>
      </c>
      <c r="E449" s="60" t="s">
        <v>24</v>
      </c>
      <c r="F449" s="60" t="s">
        <v>234</v>
      </c>
      <c r="G449" s="60" t="n">
        <v>37.2</v>
      </c>
      <c r="H449" s="61" t="n">
        <v>399.99</v>
      </c>
      <c r="I449" s="61" t="n">
        <v>74.97</v>
      </c>
      <c r="J449" s="61" t="n">
        <f aca="false">H449*Resumo!$C$6</f>
        <v>0</v>
      </c>
      <c r="K449" s="61" t="n">
        <f aca="false">H449*Resumo!$C$7</f>
        <v>0.839979</v>
      </c>
      <c r="L449" s="61" t="n">
        <f aca="false">H449*Resumo!$C$8</f>
        <v>0.839979</v>
      </c>
      <c r="M449" s="61" t="n">
        <f aca="false">Resumo!$C$10*CEILING(G449/100,1)</f>
        <v>1.05</v>
      </c>
      <c r="N449" s="61" t="n">
        <f aca="false">Resumo!$C$9</f>
        <v>0</v>
      </c>
      <c r="O449" s="61" t="n">
        <f aca="false">Resumo!$C$13</f>
        <v>13.55</v>
      </c>
      <c r="P449" s="61" t="n">
        <f aca="false">Resumo!$C$14*CEILING(G449,1)</f>
        <v>17.1</v>
      </c>
      <c r="Q449" s="61" t="n">
        <f aca="false">SUM(I449:P449)*Resumo!$C$11</f>
        <v>0</v>
      </c>
      <c r="R449" s="61" t="n">
        <f aca="false">SUM(I449:Q449)</f>
        <v>108.349958</v>
      </c>
      <c r="S449" s="61" t="n">
        <f aca="false">R449/(1-Resumo!$C$5)</f>
        <v>123.124952272727</v>
      </c>
      <c r="T449" s="61" t="n">
        <v>143.04</v>
      </c>
      <c r="U449" s="61" t="n">
        <f aca="false">H449*Resumo!$B$6</f>
        <v>0.39999</v>
      </c>
      <c r="V449" s="61" t="n">
        <f aca="false">H449*Resumo!$B$7</f>
        <v>0.79998</v>
      </c>
      <c r="W449" s="61" t="n">
        <f aca="false">Resumo!$B$9</f>
        <v>1</v>
      </c>
      <c r="X449" s="61" t="n">
        <f aca="false">Resumo!$B$10*CEILING(G449/100,1)</f>
        <v>4.5</v>
      </c>
      <c r="Y449" s="61" t="n">
        <f aca="false">Resumo!$B$12*CEILING(G449,1)</f>
        <v>2.28</v>
      </c>
      <c r="Z449" s="61" t="n">
        <f aca="false">Resumo!$B$14*CEILING(G449,1)</f>
        <v>17.1</v>
      </c>
      <c r="AA449" s="61" t="n">
        <f aca="false">SUM(T449:Z449)</f>
        <v>169.11997</v>
      </c>
      <c r="AB449" s="61" t="n">
        <f aca="false">AA449/(1-Resumo!$B$5)</f>
        <v>192.181784090909</v>
      </c>
      <c r="AC449" s="61" t="n">
        <f aca="false">AB449-S449</f>
        <v>69.0568318181818</v>
      </c>
      <c r="AD449" s="62" t="n">
        <f aca="false">AB449/S449-1</f>
        <v>0.560867887000012</v>
      </c>
      <c r="AE449" s="60" t="str">
        <f aca="false">IF(AB449&lt;S449,"SIM","NÃO")</f>
        <v>NÃO</v>
      </c>
      <c r="AF449" s="60" t="n">
        <v>13</v>
      </c>
      <c r="AG449" s="60" t="n">
        <v>11</v>
      </c>
      <c r="AH449" s="60" t="s">
        <v>385</v>
      </c>
      <c r="AI449" s="61" t="n">
        <f aca="false">(T449*(1-Painel!$C$40)+U449+V449+Painel!$C$41+Painel!$C$42*CEILING(G449/100,1)+Painel!$C$43*CEILING(G449,1)+Z449)/(1-Resumo!$B$5)</f>
        <v>132.030420454545</v>
      </c>
      <c r="AJ449" s="60" t="str">
        <f aca="false">IF(AI449&lt;S449,"SIM","NÃO")</f>
        <v>NÃO</v>
      </c>
    </row>
    <row r="450" customFormat="false" ht="15" hidden="false" customHeight="false" outlineLevel="0" collapsed="false">
      <c r="A450" s="59" t="n">
        <v>46234.9237268519</v>
      </c>
      <c r="B450" s="60" t="s">
        <v>816</v>
      </c>
      <c r="C450" s="60" t="n">
        <v>23932405</v>
      </c>
      <c r="D450" s="60" t="s">
        <v>218</v>
      </c>
      <c r="E450" s="60" t="s">
        <v>24</v>
      </c>
      <c r="F450" s="60" t="s">
        <v>234</v>
      </c>
      <c r="G450" s="60" t="n">
        <v>40</v>
      </c>
      <c r="H450" s="61" t="n">
        <v>619.99</v>
      </c>
      <c r="I450" s="61" t="n">
        <v>74.97</v>
      </c>
      <c r="J450" s="61" t="n">
        <f aca="false">H450*Resumo!$C$6</f>
        <v>0</v>
      </c>
      <c r="K450" s="61" t="n">
        <f aca="false">H450*Resumo!$C$7</f>
        <v>1.301979</v>
      </c>
      <c r="L450" s="61" t="n">
        <f aca="false">H450*Resumo!$C$8</f>
        <v>1.301979</v>
      </c>
      <c r="M450" s="61" t="n">
        <f aca="false">Resumo!$C$10*CEILING(G450/100,1)</f>
        <v>1.05</v>
      </c>
      <c r="N450" s="61" t="n">
        <f aca="false">Resumo!$C$9</f>
        <v>0</v>
      </c>
      <c r="O450" s="61" t="n">
        <f aca="false">Resumo!$C$13</f>
        <v>13.55</v>
      </c>
      <c r="P450" s="61" t="n">
        <f aca="false">Resumo!$C$14*CEILING(G450,1)</f>
        <v>18</v>
      </c>
      <c r="Q450" s="61" t="n">
        <f aca="false">SUM(I450:P450)*Resumo!$C$11</f>
        <v>0</v>
      </c>
      <c r="R450" s="61" t="n">
        <f aca="false">SUM(I450:Q450)</f>
        <v>110.173958</v>
      </c>
      <c r="S450" s="61" t="n">
        <f aca="false">R450/(1-Resumo!$C$5)</f>
        <v>125.197679545455</v>
      </c>
      <c r="T450" s="61" t="n">
        <v>124.38</v>
      </c>
      <c r="U450" s="61" t="n">
        <f aca="false">H450*Resumo!$B$6</f>
        <v>0.61999</v>
      </c>
      <c r="V450" s="61" t="n">
        <f aca="false">H450*Resumo!$B$7</f>
        <v>1.23998</v>
      </c>
      <c r="W450" s="61" t="n">
        <f aca="false">Resumo!$B$9</f>
        <v>1</v>
      </c>
      <c r="X450" s="61" t="n">
        <f aca="false">Resumo!$B$10*CEILING(G450/100,1)</f>
        <v>4.5</v>
      </c>
      <c r="Y450" s="61" t="n">
        <f aca="false">Resumo!$B$12*CEILING(G450,1)</f>
        <v>2.4</v>
      </c>
      <c r="Z450" s="61" t="n">
        <f aca="false">Resumo!$B$14*CEILING(G450,1)</f>
        <v>18</v>
      </c>
      <c r="AA450" s="61" t="n">
        <f aca="false">SUM(T450:Z450)</f>
        <v>152.13997</v>
      </c>
      <c r="AB450" s="61" t="n">
        <f aca="false">AA450/(1-Resumo!$B$5)</f>
        <v>172.886329545455</v>
      </c>
      <c r="AC450" s="61" t="n">
        <f aca="false">AB450-S450</f>
        <v>47.68865</v>
      </c>
      <c r="AD450" s="62" t="n">
        <f aca="false">AB450/S450-1</f>
        <v>0.380906820103531</v>
      </c>
      <c r="AE450" s="60" t="str">
        <f aca="false">IF(AB450&lt;S450,"SIM","NÃO")</f>
        <v>NÃO</v>
      </c>
      <c r="AF450" s="60" t="n">
        <v>13</v>
      </c>
      <c r="AG450" s="60" t="n">
        <v>10</v>
      </c>
      <c r="AH450" s="60" t="s">
        <v>382</v>
      </c>
      <c r="AI450" s="61" t="n">
        <f aca="false">(T450*(1-Painel!$C$40)+U450+V450+Painel!$C$41+Painel!$C$42*CEILING(G450/100,1)+Painel!$C$43*CEILING(G450,1)+Z450)/(1-Resumo!$B$5)</f>
        <v>119.596102272727</v>
      </c>
      <c r="AJ450" s="60" t="str">
        <f aca="false">IF(AI450&lt;S450,"SIM","NÃO")</f>
        <v>SIM</v>
      </c>
    </row>
    <row r="451" customFormat="false" ht="15" hidden="false" customHeight="false" outlineLevel="0" collapsed="false">
      <c r="A451" s="59" t="n">
        <v>46234.9331712963</v>
      </c>
      <c r="B451" s="60" t="s">
        <v>817</v>
      </c>
      <c r="C451" s="60" t="n">
        <v>24809230</v>
      </c>
      <c r="D451" s="60" t="s">
        <v>223</v>
      </c>
      <c r="E451" s="60" t="s">
        <v>24</v>
      </c>
      <c r="F451" s="60" t="s">
        <v>234</v>
      </c>
      <c r="G451" s="60" t="n">
        <v>37.2</v>
      </c>
      <c r="H451" s="61" t="n">
        <v>399.99</v>
      </c>
      <c r="I451" s="61" t="n">
        <v>74.97</v>
      </c>
      <c r="J451" s="61" t="n">
        <f aca="false">H451*Resumo!$C$6</f>
        <v>0</v>
      </c>
      <c r="K451" s="61" t="n">
        <f aca="false">H451*Resumo!$C$7</f>
        <v>0.839979</v>
      </c>
      <c r="L451" s="61" t="n">
        <f aca="false">H451*Resumo!$C$8</f>
        <v>0.839979</v>
      </c>
      <c r="M451" s="61" t="n">
        <f aca="false">Resumo!$C$10*CEILING(G451/100,1)</f>
        <v>1.05</v>
      </c>
      <c r="N451" s="61" t="n">
        <f aca="false">Resumo!$C$9</f>
        <v>0</v>
      </c>
      <c r="O451" s="61" t="n">
        <f aca="false">Resumo!$C$13</f>
        <v>13.55</v>
      </c>
      <c r="P451" s="61" t="n">
        <f aca="false">Resumo!$C$14*CEILING(G451,1)</f>
        <v>17.1</v>
      </c>
      <c r="Q451" s="61" t="n">
        <f aca="false">SUM(I451:P451)*Resumo!$C$11</f>
        <v>0</v>
      </c>
      <c r="R451" s="61" t="n">
        <f aca="false">SUM(I451:Q451)</f>
        <v>108.349958</v>
      </c>
      <c r="S451" s="61" t="n">
        <f aca="false">R451/(1-Resumo!$C$5)</f>
        <v>123.124952272727</v>
      </c>
      <c r="T451" s="61" t="n">
        <v>114.95</v>
      </c>
      <c r="U451" s="61" t="n">
        <f aca="false">H451*Resumo!$B$6</f>
        <v>0.39999</v>
      </c>
      <c r="V451" s="61" t="n">
        <f aca="false">H451*Resumo!$B$7</f>
        <v>0.79998</v>
      </c>
      <c r="W451" s="61" t="n">
        <f aca="false">Resumo!$B$9</f>
        <v>1</v>
      </c>
      <c r="X451" s="61" t="n">
        <f aca="false">Resumo!$B$10*CEILING(G451/100,1)</f>
        <v>4.5</v>
      </c>
      <c r="Y451" s="61" t="n">
        <f aca="false">Resumo!$B$12*CEILING(G451,1)</f>
        <v>2.28</v>
      </c>
      <c r="Z451" s="61" t="n">
        <f aca="false">Resumo!$B$14*CEILING(G451,1)</f>
        <v>17.1</v>
      </c>
      <c r="AA451" s="61" t="n">
        <f aca="false">SUM(T451:Z451)</f>
        <v>141.02997</v>
      </c>
      <c r="AB451" s="61" t="n">
        <f aca="false">AA451/(1-Resumo!$B$5)</f>
        <v>160.261329545455</v>
      </c>
      <c r="AC451" s="61" t="n">
        <f aca="false">AB451-S451</f>
        <v>37.1363772727273</v>
      </c>
      <c r="AD451" s="62" t="n">
        <f aca="false">AB451/S451-1</f>
        <v>0.301615363801064</v>
      </c>
      <c r="AE451" s="60" t="str">
        <f aca="false">IF(AB451&lt;S451,"SIM","NÃO")</f>
        <v>NÃO</v>
      </c>
      <c r="AF451" s="60" t="n">
        <v>13</v>
      </c>
      <c r="AG451" s="60" t="n">
        <v>7</v>
      </c>
      <c r="AH451" s="60" t="s">
        <v>382</v>
      </c>
      <c r="AI451" s="61" t="n">
        <f aca="false">(T451*(1-Painel!$C$40)+U451+V451+Painel!$C$41+Painel!$C$42*CEILING(G451/100,1)+Painel!$C$43*CEILING(G451,1)+Z451)/(1-Resumo!$B$5)</f>
        <v>110.643715909091</v>
      </c>
      <c r="AJ451" s="60" t="str">
        <f aca="false">IF(AI451&lt;S451,"SIM","NÃO")</f>
        <v>SIM</v>
      </c>
    </row>
    <row r="452" customFormat="false" ht="15" hidden="false" customHeight="false" outlineLevel="0" collapsed="false">
      <c r="A452" s="59" t="n">
        <v>46234.9561458333</v>
      </c>
      <c r="B452" s="60" t="s">
        <v>818</v>
      </c>
      <c r="C452" s="60" t="n">
        <v>27931173</v>
      </c>
      <c r="D452" s="60" t="s">
        <v>53</v>
      </c>
      <c r="E452" s="60" t="s">
        <v>24</v>
      </c>
      <c r="F452" s="60" t="s">
        <v>241</v>
      </c>
      <c r="G452" s="60" t="n">
        <v>124.2</v>
      </c>
      <c r="H452" s="61" t="n">
        <v>1558.08</v>
      </c>
      <c r="I452" s="61" t="n">
        <v>144.24</v>
      </c>
      <c r="J452" s="61" t="n">
        <f aca="false">H452*Resumo!$C$6</f>
        <v>0</v>
      </c>
      <c r="K452" s="61" t="n">
        <f aca="false">H452*Resumo!$C$7</f>
        <v>3.271968</v>
      </c>
      <c r="L452" s="61" t="n">
        <f aca="false">H452*Resumo!$C$8</f>
        <v>3.271968</v>
      </c>
      <c r="M452" s="61" t="n">
        <f aca="false">Resumo!$C$10*CEILING(G452/100,1)</f>
        <v>2.1</v>
      </c>
      <c r="N452" s="61" t="n">
        <f aca="false">Resumo!$C$9</f>
        <v>0</v>
      </c>
      <c r="O452" s="61" t="n">
        <f aca="false">Resumo!$C$13</f>
        <v>13.55</v>
      </c>
      <c r="P452" s="61" t="n">
        <f aca="false">Resumo!$C$14*CEILING(G452,1)</f>
        <v>56.25</v>
      </c>
      <c r="Q452" s="61" t="n">
        <f aca="false">SUM(I452:P452)*Resumo!$C$11</f>
        <v>0</v>
      </c>
      <c r="R452" s="61" t="n">
        <f aca="false">SUM(I452:Q452)</f>
        <v>222.683936</v>
      </c>
      <c r="S452" s="61" t="n">
        <f aca="false">R452/(1-Resumo!$C$5)</f>
        <v>253.049927272727</v>
      </c>
      <c r="T452" s="61" t="n">
        <v>264.84</v>
      </c>
      <c r="U452" s="61" t="n">
        <f aca="false">H452*Resumo!$B$6</f>
        <v>1.55808</v>
      </c>
      <c r="V452" s="61" t="n">
        <f aca="false">H452*Resumo!$B$7</f>
        <v>3.11616</v>
      </c>
      <c r="W452" s="61" t="n">
        <f aca="false">Resumo!$B$9</f>
        <v>1</v>
      </c>
      <c r="X452" s="61" t="n">
        <f aca="false">Resumo!$B$10*CEILING(G452/100,1)</f>
        <v>9</v>
      </c>
      <c r="Y452" s="61" t="n">
        <f aca="false">Resumo!$B$12*CEILING(G452,1)</f>
        <v>7.5</v>
      </c>
      <c r="Z452" s="61" t="n">
        <f aca="false">Resumo!$B$14*CEILING(G452,1)</f>
        <v>56.25</v>
      </c>
      <c r="AA452" s="61" t="n">
        <f aca="false">SUM(T452:Z452)</f>
        <v>343.26424</v>
      </c>
      <c r="AB452" s="61" t="n">
        <f aca="false">AA452/(1-Resumo!$B$5)</f>
        <v>390.073</v>
      </c>
      <c r="AC452" s="61" t="n">
        <f aca="false">AB452-S452</f>
        <v>137.023072727273</v>
      </c>
      <c r="AD452" s="62" t="n">
        <f aca="false">AB452/S452-1</f>
        <v>0.541486315384689</v>
      </c>
      <c r="AE452" s="60" t="str">
        <f aca="false">IF(AB452&lt;S452,"SIM","NÃO")</f>
        <v>NÃO</v>
      </c>
      <c r="AF452" s="60" t="n">
        <v>13</v>
      </c>
      <c r="AG452" s="60" t="n">
        <v>11</v>
      </c>
      <c r="AH452" s="60" t="s">
        <v>382</v>
      </c>
      <c r="AI452" s="61" t="n">
        <f aca="false">(T452*(1-Painel!$C$40)+U452+V452+Painel!$C$41+Painel!$C$42*CEILING(G452/100,1)+Painel!$C$43*CEILING(G452,1)+Z452)/(1-Resumo!$B$5)</f>
        <v>274.394363636364</v>
      </c>
      <c r="AJ452" s="60" t="str">
        <f aca="false">IF(AI452&lt;S452,"SIM","NÃO")</f>
        <v>NÃO</v>
      </c>
    </row>
    <row r="453" customFormat="false" ht="15" hidden="false" customHeight="false" outlineLevel="0" collapsed="false">
      <c r="A453" s="59" t="n">
        <v>46235.0544097222</v>
      </c>
      <c r="B453" s="60" t="s">
        <v>819</v>
      </c>
      <c r="C453" s="60" t="n">
        <v>23914465</v>
      </c>
      <c r="D453" s="60" t="s">
        <v>218</v>
      </c>
      <c r="E453" s="60" t="s">
        <v>24</v>
      </c>
      <c r="F453" s="60" t="s">
        <v>236</v>
      </c>
      <c r="G453" s="60" t="n">
        <v>52.3</v>
      </c>
      <c r="H453" s="61" t="n">
        <v>685.85</v>
      </c>
      <c r="I453" s="61" t="n">
        <v>83.58</v>
      </c>
      <c r="J453" s="61" t="n">
        <f aca="false">H453*Resumo!$C$6</f>
        <v>0</v>
      </c>
      <c r="K453" s="61" t="n">
        <f aca="false">H453*Resumo!$C$7</f>
        <v>1.440285</v>
      </c>
      <c r="L453" s="61" t="n">
        <f aca="false">H453*Resumo!$C$8</f>
        <v>1.440285</v>
      </c>
      <c r="M453" s="61" t="n">
        <f aca="false">Resumo!$C$10*CEILING(G453/100,1)</f>
        <v>1.05</v>
      </c>
      <c r="N453" s="61" t="n">
        <f aca="false">Resumo!$C$9</f>
        <v>0</v>
      </c>
      <c r="O453" s="61" t="n">
        <f aca="false">Resumo!$C$13</f>
        <v>13.55</v>
      </c>
      <c r="P453" s="61" t="n">
        <f aca="false">Resumo!$C$14*CEILING(G453,1)</f>
        <v>23.85</v>
      </c>
      <c r="Q453" s="61" t="n">
        <f aca="false">SUM(I453:P453)*Resumo!$C$11</f>
        <v>0</v>
      </c>
      <c r="R453" s="61" t="n">
        <f aca="false">SUM(I453:Q453)</f>
        <v>124.91057</v>
      </c>
      <c r="S453" s="61" t="n">
        <f aca="false">R453/(1-Resumo!$C$5)</f>
        <v>141.943829545455</v>
      </c>
      <c r="T453" s="61" t="n">
        <v>142.32</v>
      </c>
      <c r="U453" s="61" t="n">
        <f aca="false">H453*Resumo!$B$6</f>
        <v>0.68585</v>
      </c>
      <c r="V453" s="61" t="n">
        <f aca="false">H453*Resumo!$B$7</f>
        <v>1.3717</v>
      </c>
      <c r="W453" s="61" t="n">
        <f aca="false">Resumo!$B$9</f>
        <v>1</v>
      </c>
      <c r="X453" s="61" t="n">
        <f aca="false">Resumo!$B$10*CEILING(G453/100,1)</f>
        <v>4.5</v>
      </c>
      <c r="Y453" s="61" t="n">
        <f aca="false">Resumo!$B$12*CEILING(G453,1)</f>
        <v>3.18</v>
      </c>
      <c r="Z453" s="61" t="n">
        <f aca="false">Resumo!$B$14*CEILING(G453,1)</f>
        <v>23.85</v>
      </c>
      <c r="AA453" s="61" t="n">
        <f aca="false">SUM(T453:Z453)</f>
        <v>176.90755</v>
      </c>
      <c r="AB453" s="61" t="n">
        <f aca="false">AA453/(1-Resumo!$B$5)</f>
        <v>201.031306818182</v>
      </c>
      <c r="AC453" s="61" t="n">
        <f aca="false">AB453-S453</f>
        <v>59.0874772727273</v>
      </c>
      <c r="AD453" s="62" t="n">
        <f aca="false">AB453/S453-1</f>
        <v>0.416273658826471</v>
      </c>
      <c r="AE453" s="60" t="str">
        <f aca="false">IF(AB453&lt;S453,"SIM","NÃO")</f>
        <v>NÃO</v>
      </c>
      <c r="AF453" s="60" t="n">
        <v>13</v>
      </c>
      <c r="AG453" s="60" t="n">
        <v>10</v>
      </c>
      <c r="AH453" s="60" t="s">
        <v>382</v>
      </c>
      <c r="AI453" s="61" t="n">
        <f aca="false">(T453*(1-Painel!$C$40)+U453+V453+Painel!$C$41+Painel!$C$42*CEILING(G453/100,1)+Painel!$C$43*CEILING(G453,1)+Z453)/(1-Resumo!$B$5)</f>
        <v>140.127215909091</v>
      </c>
      <c r="AJ453" s="60" t="str">
        <f aca="false">IF(AI453&lt;S453,"SIM","NÃO")</f>
        <v>SIM</v>
      </c>
    </row>
    <row r="454" customFormat="false" ht="15" hidden="false" customHeight="false" outlineLevel="0" collapsed="false">
      <c r="A454" s="59" t="n">
        <v>46235.0810532407</v>
      </c>
      <c r="B454" s="60" t="s">
        <v>820</v>
      </c>
      <c r="C454" s="60" t="n">
        <v>23094140</v>
      </c>
      <c r="D454" s="60" t="s">
        <v>46</v>
      </c>
      <c r="E454" s="60" t="s">
        <v>22</v>
      </c>
      <c r="F454" s="60" t="s">
        <v>240</v>
      </c>
      <c r="G454" s="60" t="n">
        <v>117.7</v>
      </c>
      <c r="H454" s="61" t="n">
        <v>1318.14</v>
      </c>
      <c r="I454" s="61" t="n">
        <v>92.34</v>
      </c>
      <c r="J454" s="61" t="n">
        <f aca="false">H454*Resumo!$C$6</f>
        <v>0</v>
      </c>
      <c r="K454" s="61" t="n">
        <f aca="false">H454*Resumo!$C$7</f>
        <v>2.768094</v>
      </c>
      <c r="L454" s="61" t="n">
        <f aca="false">H454*Resumo!$C$8</f>
        <v>2.768094</v>
      </c>
      <c r="M454" s="61" t="n">
        <f aca="false">Resumo!$C$10*CEILING(G454/100,1)</f>
        <v>2.1</v>
      </c>
      <c r="N454" s="61" t="n">
        <f aca="false">Resumo!$C$9</f>
        <v>0</v>
      </c>
      <c r="O454" s="61" t="n">
        <f aca="false">Resumo!$C$13</f>
        <v>13.55</v>
      </c>
      <c r="P454" s="61" t="n">
        <f aca="false">Resumo!$C$14*CEILING(G454,1)</f>
        <v>53.1</v>
      </c>
      <c r="Q454" s="61" t="n">
        <f aca="false">SUM(I454:P454)*Resumo!$C$11</f>
        <v>0</v>
      </c>
      <c r="R454" s="61" t="n">
        <f aca="false">SUM(I454:Q454)</f>
        <v>166.626188</v>
      </c>
      <c r="S454" s="61" t="n">
        <f aca="false">R454/(1-Resumo!$C$5)</f>
        <v>189.347940909091</v>
      </c>
      <c r="T454" s="61" t="n">
        <v>201.59</v>
      </c>
      <c r="U454" s="61" t="n">
        <f aca="false">H454*Resumo!$B$6</f>
        <v>1.31814</v>
      </c>
      <c r="V454" s="61" t="n">
        <f aca="false">H454*Resumo!$B$7</f>
        <v>2.63628</v>
      </c>
      <c r="W454" s="61" t="n">
        <f aca="false">Resumo!$B$9</f>
        <v>1</v>
      </c>
      <c r="X454" s="61" t="n">
        <f aca="false">Resumo!$B$10*CEILING(G454/100,1)</f>
        <v>9</v>
      </c>
      <c r="Y454" s="61" t="n">
        <f aca="false">Resumo!$B$12*CEILING(G454,1)</f>
        <v>7.08</v>
      </c>
      <c r="Z454" s="61" t="n">
        <f aca="false">Resumo!$B$14*CEILING(G454,1)</f>
        <v>53.1</v>
      </c>
      <c r="AA454" s="61" t="n">
        <f aca="false">SUM(T454:Z454)</f>
        <v>275.72442</v>
      </c>
      <c r="AB454" s="61" t="n">
        <f aca="false">AA454/(1-Resumo!$B$5)</f>
        <v>313.323204545455</v>
      </c>
      <c r="AC454" s="61" t="n">
        <f aca="false">AB454-S454</f>
        <v>123.975263636364</v>
      </c>
      <c r="AD454" s="62" t="n">
        <f aca="false">AB454/S454-1</f>
        <v>0.654748412056333</v>
      </c>
      <c r="AE454" s="60" t="str">
        <f aca="false">IF(AB454&lt;S454,"SIM","NÃO")</f>
        <v>NÃO</v>
      </c>
      <c r="AF454" s="60" t="n">
        <v>2</v>
      </c>
      <c r="AG454" s="60" t="n">
        <v>5</v>
      </c>
      <c r="AH454" s="60" t="s">
        <v>382</v>
      </c>
      <c r="AI454" s="61" t="n">
        <f aca="false">(T454*(1-Painel!$C$40)+U454+V454+Painel!$C$41+Painel!$C$42*CEILING(G454/100,1)+Painel!$C$43*CEILING(G454,1)+Z454)/(1-Resumo!$B$5)</f>
        <v>221.840590909091</v>
      </c>
      <c r="AJ454" s="60" t="str">
        <f aca="false">IF(AI454&lt;S454,"SIM","NÃO")</f>
        <v>NÃO</v>
      </c>
    </row>
    <row r="455" customFormat="false" ht="15" hidden="false" customHeight="false" outlineLevel="0" collapsed="false">
      <c r="A455" s="59" t="n">
        <v>46235.3638194444</v>
      </c>
      <c r="B455" s="60" t="s">
        <v>693</v>
      </c>
      <c r="C455" s="60" t="n">
        <v>23020230</v>
      </c>
      <c r="D455" s="60" t="s">
        <v>46</v>
      </c>
      <c r="E455" s="60" t="s">
        <v>22</v>
      </c>
      <c r="F455" s="60" t="s">
        <v>236</v>
      </c>
      <c r="G455" s="60" t="n">
        <v>55</v>
      </c>
      <c r="H455" s="61" t="n">
        <v>676</v>
      </c>
      <c r="I455" s="61" t="n">
        <v>58.6</v>
      </c>
      <c r="J455" s="61" t="n">
        <f aca="false">H455*Resumo!$C$6</f>
        <v>0</v>
      </c>
      <c r="K455" s="61" t="n">
        <f aca="false">H455*Resumo!$C$7</f>
        <v>1.4196</v>
      </c>
      <c r="L455" s="61" t="n">
        <f aca="false">H455*Resumo!$C$8</f>
        <v>1.4196</v>
      </c>
      <c r="M455" s="61" t="n">
        <f aca="false">Resumo!$C$10*CEILING(G455/100,1)</f>
        <v>1.05</v>
      </c>
      <c r="N455" s="61" t="n">
        <f aca="false">Resumo!$C$9</f>
        <v>0</v>
      </c>
      <c r="O455" s="61" t="n">
        <f aca="false">Resumo!$C$13</f>
        <v>13.55</v>
      </c>
      <c r="P455" s="61" t="n">
        <f aca="false">Resumo!$C$14*CEILING(G455,1)</f>
        <v>24.75</v>
      </c>
      <c r="Q455" s="61" t="n">
        <f aca="false">SUM(I455:P455)*Resumo!$C$11</f>
        <v>0</v>
      </c>
      <c r="R455" s="61" t="n">
        <f aca="false">SUM(I455:Q455)</f>
        <v>100.7892</v>
      </c>
      <c r="S455" s="61" t="n">
        <f aca="false">R455/(1-Resumo!$C$5)</f>
        <v>114.533181818182</v>
      </c>
      <c r="T455" s="61" t="n">
        <v>112.3</v>
      </c>
      <c r="U455" s="61" t="n">
        <f aca="false">H455*Resumo!$B$6</f>
        <v>0.676</v>
      </c>
      <c r="V455" s="61" t="n">
        <f aca="false">H455*Resumo!$B$7</f>
        <v>1.352</v>
      </c>
      <c r="W455" s="61" t="n">
        <f aca="false">Resumo!$B$9</f>
        <v>1</v>
      </c>
      <c r="X455" s="61" t="n">
        <f aca="false">Resumo!$B$10*CEILING(G455/100,1)</f>
        <v>4.5</v>
      </c>
      <c r="Y455" s="61" t="n">
        <f aca="false">Resumo!$B$12*CEILING(G455,1)</f>
        <v>3.3</v>
      </c>
      <c r="Z455" s="61" t="n">
        <f aca="false">Resumo!$B$14*CEILING(G455,1)</f>
        <v>24.75</v>
      </c>
      <c r="AA455" s="61" t="n">
        <f aca="false">SUM(T455:Z455)</f>
        <v>147.878</v>
      </c>
      <c r="AB455" s="61" t="n">
        <f aca="false">AA455/(1-Resumo!$B$5)</f>
        <v>168.043181818182</v>
      </c>
      <c r="AC455" s="61" t="n">
        <f aca="false">AB455-S455</f>
        <v>53.51</v>
      </c>
      <c r="AD455" s="62" t="n">
        <f aca="false">AB455/S455-1</f>
        <v>0.467200850884817</v>
      </c>
      <c r="AE455" s="60" t="str">
        <f aca="false">IF(AB455&lt;S455,"SIM","NÃO")</f>
        <v>NÃO</v>
      </c>
      <c r="AF455" s="60" t="n">
        <v>2</v>
      </c>
      <c r="AG455" s="60" t="n">
        <v>5</v>
      </c>
      <c r="AH455" s="60" t="s">
        <v>382</v>
      </c>
      <c r="AI455" s="61" t="n">
        <f aca="false">(T455*(1-Painel!$C$40)+U455+V455+Painel!$C$41+Painel!$C$42*CEILING(G455/100,1)+Painel!$C$43*CEILING(G455,1)+Z455)/(1-Resumo!$B$5)</f>
        <v>118.260227272727</v>
      </c>
      <c r="AJ455" s="60" t="str">
        <f aca="false">IF(AI455&lt;S455,"SIM","NÃO")</f>
        <v>NÃO</v>
      </c>
    </row>
    <row r="456" customFormat="false" ht="15" hidden="false" customHeight="false" outlineLevel="0" collapsed="false">
      <c r="A456" s="59" t="n">
        <v>46235.4272337963</v>
      </c>
      <c r="B456" s="60" t="s">
        <v>821</v>
      </c>
      <c r="C456" s="60" t="n">
        <v>20561098</v>
      </c>
      <c r="D456" s="60" t="s">
        <v>46</v>
      </c>
      <c r="E456" s="60" t="s">
        <v>22</v>
      </c>
      <c r="F456" s="60" t="s">
        <v>234</v>
      </c>
      <c r="G456" s="60" t="n">
        <v>36.8</v>
      </c>
      <c r="H456" s="61" t="n">
        <v>449.95</v>
      </c>
      <c r="I456" s="61" t="n">
        <v>48.35</v>
      </c>
      <c r="J456" s="61" t="n">
        <f aca="false">H456*Resumo!$C$6</f>
        <v>0</v>
      </c>
      <c r="K456" s="61" t="n">
        <f aca="false">H456*Resumo!$C$7</f>
        <v>0.944895</v>
      </c>
      <c r="L456" s="61" t="n">
        <f aca="false">H456*Resumo!$C$8</f>
        <v>0.944895</v>
      </c>
      <c r="M456" s="61" t="n">
        <f aca="false">Resumo!$C$10*CEILING(G456/100,1)</f>
        <v>1.05</v>
      </c>
      <c r="N456" s="61" t="n">
        <f aca="false">Resumo!$C$9</f>
        <v>0</v>
      </c>
      <c r="O456" s="61" t="n">
        <f aca="false">Resumo!$C$13</f>
        <v>13.55</v>
      </c>
      <c r="P456" s="61" t="n">
        <f aca="false">Resumo!$C$14*CEILING(G456,1)</f>
        <v>16.65</v>
      </c>
      <c r="Q456" s="61" t="n">
        <f aca="false">SUM(I456:P456)*Resumo!$C$11</f>
        <v>0</v>
      </c>
      <c r="R456" s="61" t="n">
        <f aca="false">SUM(I456:Q456)</f>
        <v>81.48979</v>
      </c>
      <c r="S456" s="61" t="n">
        <f aca="false">R456/(1-Resumo!$C$5)</f>
        <v>92.6020340909091</v>
      </c>
      <c r="T456" s="61" t="n">
        <v>93.97</v>
      </c>
      <c r="U456" s="61" t="n">
        <f aca="false">H456*Resumo!$B$6</f>
        <v>0.44995</v>
      </c>
      <c r="V456" s="61" t="n">
        <f aca="false">H456*Resumo!$B$7</f>
        <v>0.8999</v>
      </c>
      <c r="W456" s="61" t="n">
        <f aca="false">Resumo!$B$9</f>
        <v>1</v>
      </c>
      <c r="X456" s="61" t="n">
        <f aca="false">Resumo!$B$10*CEILING(G456/100,1)</f>
        <v>4.5</v>
      </c>
      <c r="Y456" s="61" t="n">
        <f aca="false">Resumo!$B$12*CEILING(G456,1)</f>
        <v>2.22</v>
      </c>
      <c r="Z456" s="61" t="n">
        <f aca="false">Resumo!$B$14*CEILING(G456,1)</f>
        <v>16.65</v>
      </c>
      <c r="AA456" s="61" t="n">
        <f aca="false">SUM(T456:Z456)</f>
        <v>119.68985</v>
      </c>
      <c r="AB456" s="61" t="n">
        <f aca="false">AA456/(1-Resumo!$B$5)</f>
        <v>136.011193181818</v>
      </c>
      <c r="AC456" s="61" t="n">
        <f aca="false">AB456-S456</f>
        <v>43.4091590909091</v>
      </c>
      <c r="AD456" s="62" t="n">
        <f aca="false">AB456/S456-1</f>
        <v>0.468771118443182</v>
      </c>
      <c r="AE456" s="60" t="str">
        <f aca="false">IF(AB456&lt;S456,"SIM","NÃO")</f>
        <v>NÃO</v>
      </c>
      <c r="AF456" s="60" t="n">
        <v>2</v>
      </c>
      <c r="AG456" s="60" t="n">
        <v>5</v>
      </c>
      <c r="AH456" s="60" t="s">
        <v>382</v>
      </c>
      <c r="AI456" s="61" t="n">
        <f aca="false">(T456*(1-Painel!$C$40)+U456+V456+Painel!$C$41+Painel!$C$42*CEILING(G456/100,1)+Painel!$C$43*CEILING(G456,1)+Z456)/(1-Resumo!$B$5)</f>
        <v>94.3292613636364</v>
      </c>
      <c r="AJ456" s="60" t="str">
        <f aca="false">IF(AI456&lt;S456,"SIM","NÃO")</f>
        <v>NÃO</v>
      </c>
    </row>
    <row r="457" customFormat="false" ht="15" hidden="false" customHeight="false" outlineLevel="0" collapsed="false">
      <c r="A457" s="59" t="n">
        <v>46235.4326388889</v>
      </c>
      <c r="B457" s="60" t="s">
        <v>822</v>
      </c>
      <c r="C457" s="60" t="n">
        <v>24425480</v>
      </c>
      <c r="D457" s="60" t="s">
        <v>47</v>
      </c>
      <c r="E457" s="60" t="s">
        <v>23</v>
      </c>
      <c r="F457" s="60" t="s">
        <v>236</v>
      </c>
      <c r="G457" s="60" t="n">
        <v>52.3</v>
      </c>
      <c r="H457" s="61" t="n">
        <v>685.85</v>
      </c>
      <c r="I457" s="61" t="n">
        <v>70.98</v>
      </c>
      <c r="J457" s="61" t="n">
        <f aca="false">H457*Resumo!$C$6</f>
        <v>0</v>
      </c>
      <c r="K457" s="61" t="n">
        <f aca="false">H457*Resumo!$C$7</f>
        <v>1.440285</v>
      </c>
      <c r="L457" s="61" t="n">
        <f aca="false">H457*Resumo!$C$8</f>
        <v>1.440285</v>
      </c>
      <c r="M457" s="61" t="n">
        <f aca="false">Resumo!$C$10*CEILING(G457/100,1)</f>
        <v>1.05</v>
      </c>
      <c r="N457" s="61" t="n">
        <f aca="false">Resumo!$C$9</f>
        <v>0</v>
      </c>
      <c r="O457" s="61" t="n">
        <f aca="false">Resumo!$C$13</f>
        <v>13.55</v>
      </c>
      <c r="P457" s="61" t="n">
        <f aca="false">Resumo!$C$14*CEILING(G457,1)</f>
        <v>23.85</v>
      </c>
      <c r="Q457" s="61" t="n">
        <f aca="false">SUM(I457:P457)*Resumo!$C$11</f>
        <v>0</v>
      </c>
      <c r="R457" s="61" t="n">
        <f aca="false">SUM(I457:Q457)</f>
        <v>112.31057</v>
      </c>
      <c r="S457" s="61" t="n">
        <f aca="false">R457/(1-Resumo!$C$5)</f>
        <v>127.625647727273</v>
      </c>
      <c r="T457" s="61" t="n">
        <v>128.14</v>
      </c>
      <c r="U457" s="61" t="n">
        <f aca="false">H457*Resumo!$B$6</f>
        <v>0.68585</v>
      </c>
      <c r="V457" s="61" t="n">
        <f aca="false">H457*Resumo!$B$7</f>
        <v>1.3717</v>
      </c>
      <c r="W457" s="61" t="n">
        <f aca="false">Resumo!$B$9</f>
        <v>1</v>
      </c>
      <c r="X457" s="61" t="n">
        <f aca="false">Resumo!$B$10*CEILING(G457/100,1)</f>
        <v>4.5</v>
      </c>
      <c r="Y457" s="61" t="n">
        <f aca="false">Resumo!$B$12*CEILING(G457,1)</f>
        <v>3.18</v>
      </c>
      <c r="Z457" s="61" t="n">
        <f aca="false">Resumo!$B$14*CEILING(G457,1)</f>
        <v>23.85</v>
      </c>
      <c r="AA457" s="61" t="n">
        <f aca="false">SUM(T457:Z457)</f>
        <v>162.72755</v>
      </c>
      <c r="AB457" s="61" t="n">
        <f aca="false">AA457/(1-Resumo!$B$5)</f>
        <v>184.917670454545</v>
      </c>
      <c r="AC457" s="61" t="n">
        <f aca="false">AB457-S457</f>
        <v>57.2920227272727</v>
      </c>
      <c r="AD457" s="62" t="n">
        <f aca="false">AB457/S457-1</f>
        <v>0.448906812600096</v>
      </c>
      <c r="AE457" s="60" t="str">
        <f aca="false">IF(AB457&lt;S457,"SIM","NÃO")</f>
        <v>NÃO</v>
      </c>
      <c r="AF457" s="60" t="n">
        <v>2</v>
      </c>
      <c r="AG457" s="60" t="n">
        <v>7</v>
      </c>
      <c r="AH457" s="60" t="s">
        <v>382</v>
      </c>
      <c r="AI457" s="61" t="n">
        <f aca="false">(T457*(1-Painel!$C$40)+U457+V457+Painel!$C$41+Painel!$C$42*CEILING(G457/100,1)+Painel!$C$43*CEILING(G457,1)+Z457)/(1-Resumo!$B$5)</f>
        <v>129.331079545455</v>
      </c>
      <c r="AJ457" s="60" t="str">
        <f aca="false">IF(AI457&lt;S457,"SIM","NÃO")</f>
        <v>NÃO</v>
      </c>
    </row>
    <row r="458" customFormat="false" ht="15" hidden="false" customHeight="false" outlineLevel="0" collapsed="false">
      <c r="A458" s="59" t="n">
        <v>46235.4381944445</v>
      </c>
      <c r="B458" s="60" t="s">
        <v>823</v>
      </c>
      <c r="C458" s="60" t="n">
        <v>26160630</v>
      </c>
      <c r="D458" s="60" t="s">
        <v>52</v>
      </c>
      <c r="E458" s="60" t="s">
        <v>23</v>
      </c>
      <c r="F458" s="60" t="s">
        <v>234</v>
      </c>
      <c r="G458" s="60" t="n">
        <v>37.6</v>
      </c>
      <c r="H458" s="61" t="n">
        <v>391.05</v>
      </c>
      <c r="I458" s="61" t="n">
        <v>66.83</v>
      </c>
      <c r="J458" s="61" t="n">
        <f aca="false">H458*Resumo!$C$6</f>
        <v>0</v>
      </c>
      <c r="K458" s="61" t="n">
        <f aca="false">H458*Resumo!$C$7</f>
        <v>0.821205</v>
      </c>
      <c r="L458" s="61" t="n">
        <f aca="false">H458*Resumo!$C$8</f>
        <v>0.821205</v>
      </c>
      <c r="M458" s="61" t="n">
        <f aca="false">Resumo!$C$10*CEILING(G458/100,1)</f>
        <v>1.05</v>
      </c>
      <c r="N458" s="61" t="n">
        <f aca="false">Resumo!$C$9</f>
        <v>0</v>
      </c>
      <c r="O458" s="61" t="n">
        <f aca="false">Resumo!$C$13</f>
        <v>13.55</v>
      </c>
      <c r="P458" s="61" t="n">
        <f aca="false">Resumo!$C$14*CEILING(G458,1)</f>
        <v>17.1</v>
      </c>
      <c r="Q458" s="61" t="n">
        <f aca="false">SUM(I458:P458)*Resumo!$C$11</f>
        <v>0</v>
      </c>
      <c r="R458" s="61" t="n">
        <f aca="false">SUM(I458:Q458)</f>
        <v>100.17241</v>
      </c>
      <c r="S458" s="61" t="n">
        <f aca="false">R458/(1-Resumo!$C$5)</f>
        <v>113.832284090909</v>
      </c>
      <c r="T458" s="61" t="n">
        <v>93.97</v>
      </c>
      <c r="U458" s="61" t="n">
        <f aca="false">H458*Resumo!$B$6</f>
        <v>0.39105</v>
      </c>
      <c r="V458" s="61" t="n">
        <f aca="false">H458*Resumo!$B$7</f>
        <v>0.7821</v>
      </c>
      <c r="W458" s="61" t="n">
        <f aca="false">Resumo!$B$9</f>
        <v>1</v>
      </c>
      <c r="X458" s="61" t="n">
        <f aca="false">Resumo!$B$10*CEILING(G458/100,1)</f>
        <v>4.5</v>
      </c>
      <c r="Y458" s="61" t="n">
        <f aca="false">Resumo!$B$12*CEILING(G458,1)</f>
        <v>2.28</v>
      </c>
      <c r="Z458" s="61" t="n">
        <f aca="false">Resumo!$B$14*CEILING(G458,1)</f>
        <v>17.1</v>
      </c>
      <c r="AA458" s="61" t="n">
        <f aca="false">SUM(T458:Z458)</f>
        <v>120.02315</v>
      </c>
      <c r="AB458" s="61" t="n">
        <f aca="false">AA458/(1-Resumo!$B$5)</f>
        <v>136.389943181818</v>
      </c>
      <c r="AC458" s="61" t="n">
        <f aca="false">AB458-S458</f>
        <v>22.557659090909</v>
      </c>
      <c r="AD458" s="62" t="n">
        <f aca="false">AB458/S458-1</f>
        <v>0.198165742443453</v>
      </c>
      <c r="AE458" s="60" t="str">
        <f aca="false">IF(AB458&lt;S458,"SIM","NÃO")</f>
        <v>NÃO</v>
      </c>
      <c r="AF458" s="60" t="n">
        <v>2</v>
      </c>
      <c r="AG458" s="60" t="n">
        <v>5</v>
      </c>
      <c r="AH458" s="60" t="s">
        <v>382</v>
      </c>
      <c r="AI458" s="61" t="n">
        <f aca="false">(T458*(1-Painel!$C$40)+U458+V458+Painel!$C$41+Painel!$C$42*CEILING(G458/100,1)+Painel!$C$43*CEILING(G458,1)+Z458)/(1-Resumo!$B$5)</f>
        <v>94.6398295454546</v>
      </c>
      <c r="AJ458" s="60" t="str">
        <f aca="false">IF(AI458&lt;S458,"SIM","NÃO")</f>
        <v>SIM</v>
      </c>
    </row>
    <row r="459" customFormat="false" ht="15" hidden="false" customHeight="false" outlineLevel="0" collapsed="false">
      <c r="A459" s="59" t="n">
        <v>46235.4384606482</v>
      </c>
      <c r="B459" s="60" t="s">
        <v>824</v>
      </c>
      <c r="C459" s="60" t="n">
        <v>26180150</v>
      </c>
      <c r="D459" s="60" t="s">
        <v>52</v>
      </c>
      <c r="E459" s="60" t="s">
        <v>23</v>
      </c>
      <c r="F459" s="60" t="s">
        <v>232</v>
      </c>
      <c r="G459" s="60" t="n">
        <v>19.5</v>
      </c>
      <c r="H459" s="61" t="n">
        <v>359.99</v>
      </c>
      <c r="I459" s="61" t="n">
        <v>42.72</v>
      </c>
      <c r="J459" s="61" t="n">
        <f aca="false">H459*Resumo!$C$6</f>
        <v>0</v>
      </c>
      <c r="K459" s="61" t="n">
        <f aca="false">H459*Resumo!$C$7</f>
        <v>0.755979</v>
      </c>
      <c r="L459" s="61" t="n">
        <f aca="false">H459*Resumo!$C$8</f>
        <v>0.755979</v>
      </c>
      <c r="M459" s="61" t="n">
        <f aca="false">Resumo!$C$10*CEILING(G459/100,1)</f>
        <v>1.05</v>
      </c>
      <c r="N459" s="61" t="n">
        <f aca="false">Resumo!$C$9</f>
        <v>0</v>
      </c>
      <c r="O459" s="61" t="n">
        <f aca="false">Resumo!$C$13</f>
        <v>13.55</v>
      </c>
      <c r="P459" s="61" t="n">
        <f aca="false">Resumo!$C$14*CEILING(G459,1)</f>
        <v>9</v>
      </c>
      <c r="Q459" s="61" t="n">
        <f aca="false">SUM(I459:P459)*Resumo!$C$11</f>
        <v>0</v>
      </c>
      <c r="R459" s="61" t="n">
        <f aca="false">SUM(I459:Q459)</f>
        <v>67.831958</v>
      </c>
      <c r="S459" s="61" t="n">
        <f aca="false">R459/(1-Resumo!$C$5)</f>
        <v>77.0817704545455</v>
      </c>
      <c r="T459" s="61" t="n">
        <v>46.98</v>
      </c>
      <c r="U459" s="61" t="n">
        <f aca="false">H459*Resumo!$B$6</f>
        <v>0.35999</v>
      </c>
      <c r="V459" s="61" t="n">
        <f aca="false">H459*Resumo!$B$7</f>
        <v>0.71998</v>
      </c>
      <c r="W459" s="61" t="n">
        <f aca="false">Resumo!$B$9</f>
        <v>1</v>
      </c>
      <c r="X459" s="61" t="n">
        <f aca="false">Resumo!$B$10*CEILING(G459/100,1)</f>
        <v>4.5</v>
      </c>
      <c r="Y459" s="61" t="n">
        <f aca="false">Resumo!$B$12*CEILING(G459,1)</f>
        <v>1.2</v>
      </c>
      <c r="Z459" s="61" t="n">
        <f aca="false">Resumo!$B$14*CEILING(G459,1)</f>
        <v>9</v>
      </c>
      <c r="AA459" s="61" t="n">
        <f aca="false">SUM(T459:Z459)</f>
        <v>63.75997</v>
      </c>
      <c r="AB459" s="61" t="n">
        <f aca="false">AA459/(1-Resumo!$B$5)</f>
        <v>72.4545113636364</v>
      </c>
      <c r="AC459" s="61" t="n">
        <f aca="false">AB459-S459</f>
        <v>-4.62725909090909</v>
      </c>
      <c r="AD459" s="62" t="n">
        <f aca="false">AB459/S459-1</f>
        <v>-0.0600305242552486</v>
      </c>
      <c r="AE459" s="60" t="str">
        <f aca="false">IF(AB459&lt;S459,"SIM","NÃO")</f>
        <v>SIM</v>
      </c>
      <c r="AF459" s="60" t="n">
        <v>2</v>
      </c>
      <c r="AG459" s="60" t="n">
        <v>5</v>
      </c>
      <c r="AH459" s="60" t="s">
        <v>382</v>
      </c>
      <c r="AI459" s="61" t="n">
        <f aca="false">(T459*(1-Painel!$C$40)+U459+V459+Painel!$C$41+Painel!$C$42*CEILING(G459/100,1)+Painel!$C$43*CEILING(G459,1)+Z459)/(1-Resumo!$B$5)</f>
        <v>49.5529204545454</v>
      </c>
      <c r="AJ459" s="60" t="str">
        <f aca="false">IF(AI459&lt;S459,"SIM","NÃO")</f>
        <v>SIM</v>
      </c>
    </row>
    <row r="460" customFormat="false" ht="15" hidden="false" customHeight="false" outlineLevel="0" collapsed="false">
      <c r="A460" s="59" t="n">
        <v>46235.4477314815</v>
      </c>
      <c r="B460" s="60" t="s">
        <v>825</v>
      </c>
      <c r="C460" s="60" t="n">
        <v>25680502</v>
      </c>
      <c r="D460" s="60" t="s">
        <v>219</v>
      </c>
      <c r="E460" s="60" t="s">
        <v>24</v>
      </c>
      <c r="F460" s="60" t="s">
        <v>235</v>
      </c>
      <c r="G460" s="60" t="n">
        <v>49.6</v>
      </c>
      <c r="H460" s="61" t="n">
        <v>769.99</v>
      </c>
      <c r="I460" s="61" t="n">
        <v>77.7</v>
      </c>
      <c r="J460" s="61" t="n">
        <f aca="false">H460*Resumo!$C$6</f>
        <v>0</v>
      </c>
      <c r="K460" s="61" t="n">
        <f aca="false">H460*Resumo!$C$7</f>
        <v>1.616979</v>
      </c>
      <c r="L460" s="61" t="n">
        <f aca="false">H460*Resumo!$C$8</f>
        <v>1.616979</v>
      </c>
      <c r="M460" s="61" t="n">
        <f aca="false">Resumo!$C$10*CEILING(G460/100,1)</f>
        <v>1.05</v>
      </c>
      <c r="N460" s="61" t="n">
        <f aca="false">Resumo!$C$9</f>
        <v>0</v>
      </c>
      <c r="O460" s="61" t="n">
        <f aca="false">Resumo!$C$13</f>
        <v>13.55</v>
      </c>
      <c r="P460" s="61" t="n">
        <f aca="false">Resumo!$C$14*CEILING(G460,1)</f>
        <v>22.5</v>
      </c>
      <c r="Q460" s="61" t="n">
        <f aca="false">SUM(I460:P460)*Resumo!$C$11</f>
        <v>0</v>
      </c>
      <c r="R460" s="61" t="n">
        <f aca="false">SUM(I460:Q460)</f>
        <v>118.033958</v>
      </c>
      <c r="S460" s="61" t="n">
        <f aca="false">R460/(1-Resumo!$C$5)</f>
        <v>134.129497727273</v>
      </c>
      <c r="T460" s="61" t="n">
        <v>124.38</v>
      </c>
      <c r="U460" s="61" t="n">
        <f aca="false">H460*Resumo!$B$6</f>
        <v>0.76999</v>
      </c>
      <c r="V460" s="61" t="n">
        <f aca="false">H460*Resumo!$B$7</f>
        <v>1.53998</v>
      </c>
      <c r="W460" s="61" t="n">
        <f aca="false">Resumo!$B$9</f>
        <v>1</v>
      </c>
      <c r="X460" s="61" t="n">
        <f aca="false">Resumo!$B$10*CEILING(G460/100,1)</f>
        <v>4.5</v>
      </c>
      <c r="Y460" s="61" t="n">
        <f aca="false">Resumo!$B$12*CEILING(G460,1)</f>
        <v>3</v>
      </c>
      <c r="Z460" s="61" t="n">
        <f aca="false">Resumo!$B$14*CEILING(G460,1)</f>
        <v>22.5</v>
      </c>
      <c r="AA460" s="61" t="n">
        <f aca="false">SUM(T460:Z460)</f>
        <v>157.68997</v>
      </c>
      <c r="AB460" s="61" t="n">
        <f aca="false">AA460/(1-Resumo!$B$5)</f>
        <v>179.193147727273</v>
      </c>
      <c r="AC460" s="61" t="n">
        <f aca="false">AB460-S460</f>
        <v>45.06365</v>
      </c>
      <c r="AD460" s="62" t="n">
        <f aca="false">AB460/S460-1</f>
        <v>0.335971212623404</v>
      </c>
      <c r="AE460" s="60" t="str">
        <f aca="false">IF(AB460&lt;S460,"SIM","NÃO")</f>
        <v>NÃO</v>
      </c>
      <c r="AF460" s="60" t="n">
        <v>13</v>
      </c>
      <c r="AG460" s="60" t="n">
        <v>8</v>
      </c>
      <c r="AH460" s="60" t="s">
        <v>382</v>
      </c>
      <c r="AI460" s="61" t="n">
        <f aca="false">(T460*(1-Painel!$C$40)+U460+V460+Painel!$C$41+Painel!$C$42*CEILING(G460/100,1)+Painel!$C$43*CEILING(G460,1)+Z460)/(1-Resumo!$B$5)</f>
        <v>125.221102272727</v>
      </c>
      <c r="AJ460" s="60" t="str">
        <f aca="false">IF(AI460&lt;S460,"SIM","NÃO")</f>
        <v>SIM</v>
      </c>
    </row>
    <row r="461" customFormat="false" ht="15" hidden="false" customHeight="false" outlineLevel="0" collapsed="false">
      <c r="A461" s="59" t="n">
        <v>46235.5013657407</v>
      </c>
      <c r="B461" s="60" t="s">
        <v>826</v>
      </c>
      <c r="C461" s="60" t="n">
        <v>22713320</v>
      </c>
      <c r="D461" s="60" t="s">
        <v>46</v>
      </c>
      <c r="E461" s="60" t="s">
        <v>22</v>
      </c>
      <c r="F461" s="60" t="s">
        <v>233</v>
      </c>
      <c r="G461" s="60" t="n">
        <v>22</v>
      </c>
      <c r="H461" s="61" t="n">
        <v>829.99</v>
      </c>
      <c r="I461" s="61" t="n">
        <v>42.11</v>
      </c>
      <c r="J461" s="61" t="n">
        <f aca="false">H461*Resumo!$C$6</f>
        <v>0</v>
      </c>
      <c r="K461" s="61" t="n">
        <f aca="false">H461*Resumo!$C$7</f>
        <v>1.742979</v>
      </c>
      <c r="L461" s="61" t="n">
        <f aca="false">H461*Resumo!$C$8</f>
        <v>1.742979</v>
      </c>
      <c r="M461" s="61" t="n">
        <f aca="false">Resumo!$C$10*CEILING(G461/100,1)</f>
        <v>1.05</v>
      </c>
      <c r="N461" s="61" t="n">
        <f aca="false">Resumo!$C$9</f>
        <v>0</v>
      </c>
      <c r="O461" s="61" t="n">
        <f aca="false">Resumo!$C$13</f>
        <v>13.55</v>
      </c>
      <c r="P461" s="61" t="n">
        <f aca="false">Resumo!$C$14*CEILING(G461,1)</f>
        <v>9.9</v>
      </c>
      <c r="Q461" s="61" t="n">
        <f aca="false">SUM(I461:P461)*Resumo!$C$11</f>
        <v>0</v>
      </c>
      <c r="R461" s="61" t="n">
        <f aca="false">SUM(I461:Q461)</f>
        <v>70.095958</v>
      </c>
      <c r="S461" s="61" t="n">
        <f aca="false">R461/(1-Resumo!$C$5)</f>
        <v>79.6544977272727</v>
      </c>
      <c r="T461" s="61" t="n">
        <v>82.21</v>
      </c>
      <c r="U461" s="61" t="n">
        <f aca="false">H461*Resumo!$B$6</f>
        <v>0.82999</v>
      </c>
      <c r="V461" s="61" t="n">
        <f aca="false">H461*Resumo!$B$7</f>
        <v>1.65998</v>
      </c>
      <c r="W461" s="61" t="n">
        <f aca="false">Resumo!$B$9</f>
        <v>1</v>
      </c>
      <c r="X461" s="61" t="n">
        <f aca="false">Resumo!$B$10*CEILING(G461/100,1)</f>
        <v>4.5</v>
      </c>
      <c r="Y461" s="61" t="n">
        <f aca="false">Resumo!$B$12*CEILING(G461,1)</f>
        <v>1.32</v>
      </c>
      <c r="Z461" s="61" t="n">
        <f aca="false">Resumo!$B$14*CEILING(G461,1)</f>
        <v>9.9</v>
      </c>
      <c r="AA461" s="61" t="n">
        <f aca="false">SUM(T461:Z461)</f>
        <v>101.41997</v>
      </c>
      <c r="AB461" s="61" t="n">
        <f aca="false">AA461/(1-Resumo!$B$5)</f>
        <v>115.249965909091</v>
      </c>
      <c r="AC461" s="61" t="n">
        <f aca="false">AB461-S461</f>
        <v>35.5954681818182</v>
      </c>
      <c r="AD461" s="62" t="n">
        <f aca="false">AB461/S461-1</f>
        <v>0.446873299028169</v>
      </c>
      <c r="AE461" s="60" t="str">
        <f aca="false">IF(AB461&lt;S461,"SIM","NÃO")</f>
        <v>NÃO</v>
      </c>
      <c r="AF461" s="60" t="n">
        <v>2</v>
      </c>
      <c r="AG461" s="60" t="n">
        <v>5</v>
      </c>
      <c r="AH461" s="60" t="s">
        <v>382</v>
      </c>
      <c r="AI461" s="61" t="n">
        <f aca="false">(T461*(1-Painel!$C$40)+U461+V461+Painel!$C$41+Painel!$C$42*CEILING(G461/100,1)+Painel!$C$43*CEILING(G461,1)+Z461)/(1-Resumo!$B$5)</f>
        <v>79.0007613636364</v>
      </c>
      <c r="AJ461" s="60" t="str">
        <f aca="false">IF(AI461&lt;S461,"SIM","NÃO")</f>
        <v>SIM</v>
      </c>
    </row>
    <row r="462" customFormat="false" ht="15" hidden="false" customHeight="false" outlineLevel="0" collapsed="false">
      <c r="A462" s="59" t="n">
        <v>46235.5428472222</v>
      </c>
      <c r="B462" s="60" t="s">
        <v>827</v>
      </c>
      <c r="C462" s="60" t="n">
        <v>26297120</v>
      </c>
      <c r="D462" s="60" t="s">
        <v>49</v>
      </c>
      <c r="E462" s="60" t="s">
        <v>23</v>
      </c>
      <c r="F462" s="60" t="s">
        <v>234</v>
      </c>
      <c r="G462" s="60" t="n">
        <v>35.4</v>
      </c>
      <c r="H462" s="61" t="n">
        <v>475.99</v>
      </c>
      <c r="I462" s="61" t="n">
        <v>66.83</v>
      </c>
      <c r="J462" s="61" t="n">
        <f aca="false">H462*Resumo!$C$6</f>
        <v>0</v>
      </c>
      <c r="K462" s="61" t="n">
        <f aca="false">H462*Resumo!$C$7</f>
        <v>0.999579</v>
      </c>
      <c r="L462" s="61" t="n">
        <f aca="false">H462*Resumo!$C$8</f>
        <v>0.999579</v>
      </c>
      <c r="M462" s="61" t="n">
        <f aca="false">Resumo!$C$10*CEILING(G462/100,1)</f>
        <v>1.05</v>
      </c>
      <c r="N462" s="61" t="n">
        <f aca="false">Resumo!$C$9</f>
        <v>0</v>
      </c>
      <c r="O462" s="61" t="n">
        <f aca="false">Resumo!$C$13</f>
        <v>13.55</v>
      </c>
      <c r="P462" s="61" t="n">
        <f aca="false">Resumo!$C$14*CEILING(G462,1)</f>
        <v>16.2</v>
      </c>
      <c r="Q462" s="61" t="n">
        <f aca="false">SUM(I462:P462)*Resumo!$C$11</f>
        <v>0</v>
      </c>
      <c r="R462" s="61" t="n">
        <f aca="false">SUM(I462:Q462)</f>
        <v>99.629158</v>
      </c>
      <c r="S462" s="61" t="n">
        <f aca="false">R462/(1-Resumo!$C$5)</f>
        <v>113.214952272727</v>
      </c>
      <c r="T462" s="61" t="n">
        <v>93.97</v>
      </c>
      <c r="U462" s="61" t="n">
        <f aca="false">H462*Resumo!$B$6</f>
        <v>0.47599</v>
      </c>
      <c r="V462" s="61" t="n">
        <f aca="false">H462*Resumo!$B$7</f>
        <v>0.95198</v>
      </c>
      <c r="W462" s="61" t="n">
        <f aca="false">Resumo!$B$9</f>
        <v>1</v>
      </c>
      <c r="X462" s="61" t="n">
        <f aca="false">Resumo!$B$10*CEILING(G462/100,1)</f>
        <v>4.5</v>
      </c>
      <c r="Y462" s="61" t="n">
        <f aca="false">Resumo!$B$12*CEILING(G462,1)</f>
        <v>2.16</v>
      </c>
      <c r="Z462" s="61" t="n">
        <f aca="false">Resumo!$B$14*CEILING(G462,1)</f>
        <v>16.2</v>
      </c>
      <c r="AA462" s="61" t="n">
        <f aca="false">SUM(T462:Z462)</f>
        <v>119.25797</v>
      </c>
      <c r="AB462" s="61" t="n">
        <f aca="false">AA462/(1-Resumo!$B$5)</f>
        <v>135.520420454545</v>
      </c>
      <c r="AC462" s="61" t="n">
        <f aca="false">AB462-S462</f>
        <v>22.3054681818182</v>
      </c>
      <c r="AD462" s="62" t="n">
        <f aca="false">AB462/S462-1</f>
        <v>0.197018748266446</v>
      </c>
      <c r="AE462" s="60" t="str">
        <f aca="false">IF(AB462&lt;S462,"SIM","NÃO")</f>
        <v>NÃO</v>
      </c>
      <c r="AF462" s="60" t="n">
        <v>2</v>
      </c>
      <c r="AG462" s="60" t="n">
        <v>5</v>
      </c>
      <c r="AH462" s="60" t="s">
        <v>382</v>
      </c>
      <c r="AI462" s="61" t="n">
        <f aca="false">(T462*(1-Painel!$C$40)+U462+V462+Painel!$C$41+Painel!$C$42*CEILING(G462/100,1)+Painel!$C$43*CEILING(G462,1)+Z462)/(1-Resumo!$B$5)</f>
        <v>93.9066704545455</v>
      </c>
      <c r="AJ462" s="60" t="str">
        <f aca="false">IF(AI462&lt;S462,"SIM","NÃO")</f>
        <v>SIM</v>
      </c>
    </row>
    <row r="463" customFormat="false" ht="15" hidden="false" customHeight="false" outlineLevel="0" collapsed="false">
      <c r="A463" s="59" t="n">
        <v>46235.5871759259</v>
      </c>
      <c r="B463" s="60" t="s">
        <v>828</v>
      </c>
      <c r="C463" s="60" t="n">
        <v>20230194</v>
      </c>
      <c r="D463" s="60" t="s">
        <v>46</v>
      </c>
      <c r="E463" s="60" t="s">
        <v>22</v>
      </c>
      <c r="F463" s="60" t="s">
        <v>236</v>
      </c>
      <c r="G463" s="60" t="n">
        <v>52.3</v>
      </c>
      <c r="H463" s="61" t="n">
        <v>642.07</v>
      </c>
      <c r="I463" s="61" t="n">
        <v>58.6</v>
      </c>
      <c r="J463" s="61" t="n">
        <f aca="false">H463*Resumo!$C$6</f>
        <v>0</v>
      </c>
      <c r="K463" s="61" t="n">
        <f aca="false">H463*Resumo!$C$7</f>
        <v>1.348347</v>
      </c>
      <c r="L463" s="61" t="n">
        <f aca="false">H463*Resumo!$C$8</f>
        <v>1.348347</v>
      </c>
      <c r="M463" s="61" t="n">
        <f aca="false">Resumo!$C$10*CEILING(G463/100,1)</f>
        <v>1.05</v>
      </c>
      <c r="N463" s="61" t="n">
        <f aca="false">Resumo!$C$9</f>
        <v>0</v>
      </c>
      <c r="O463" s="61" t="n">
        <f aca="false">Resumo!$C$13</f>
        <v>13.55</v>
      </c>
      <c r="P463" s="61" t="n">
        <f aca="false">Resumo!$C$14*CEILING(G463,1)</f>
        <v>23.85</v>
      </c>
      <c r="Q463" s="61" t="n">
        <f aca="false">SUM(I463:P463)*Resumo!$C$11</f>
        <v>0</v>
      </c>
      <c r="R463" s="61" t="n">
        <f aca="false">SUM(I463:Q463)</f>
        <v>99.746694</v>
      </c>
      <c r="S463" s="61" t="n">
        <f aca="false">R463/(1-Resumo!$C$5)</f>
        <v>113.348515909091</v>
      </c>
      <c r="T463" s="61" t="n">
        <v>112.3</v>
      </c>
      <c r="U463" s="61" t="n">
        <f aca="false">H463*Resumo!$B$6</f>
        <v>0.64207</v>
      </c>
      <c r="V463" s="61" t="n">
        <f aca="false">H463*Resumo!$B$7</f>
        <v>1.28414</v>
      </c>
      <c r="W463" s="61" t="n">
        <f aca="false">Resumo!$B$9</f>
        <v>1</v>
      </c>
      <c r="X463" s="61" t="n">
        <f aca="false">Resumo!$B$10*CEILING(G463/100,1)</f>
        <v>4.5</v>
      </c>
      <c r="Y463" s="61" t="n">
        <f aca="false">Resumo!$B$12*CEILING(G463,1)</f>
        <v>3.18</v>
      </c>
      <c r="Z463" s="61" t="n">
        <f aca="false">Resumo!$B$14*CEILING(G463,1)</f>
        <v>23.85</v>
      </c>
      <c r="AA463" s="61" t="n">
        <f aca="false">SUM(T463:Z463)</f>
        <v>146.75621</v>
      </c>
      <c r="AB463" s="61" t="n">
        <f aca="false">AA463/(1-Resumo!$B$5)</f>
        <v>166.768420454545</v>
      </c>
      <c r="AC463" s="61" t="n">
        <f aca="false">AB463-S463</f>
        <v>53.4199045454546</v>
      </c>
      <c r="AD463" s="62" t="n">
        <f aca="false">AB463/S463-1</f>
        <v>0.471288963221177</v>
      </c>
      <c r="AE463" s="60" t="str">
        <f aca="false">IF(AB463&lt;S463,"SIM","NÃO")</f>
        <v>NÃO</v>
      </c>
      <c r="AF463" s="60" t="n">
        <v>2</v>
      </c>
      <c r="AG463" s="60" t="n">
        <v>5</v>
      </c>
      <c r="AH463" s="60" t="s">
        <v>382</v>
      </c>
      <c r="AI463" s="61" t="n">
        <f aca="false">(T463*(1-Painel!$C$40)+U463+V463+Painel!$C$41+Painel!$C$42*CEILING(G463/100,1)+Painel!$C$43*CEILING(G463,1)+Z463)/(1-Resumo!$B$5)</f>
        <v>117.121829545455</v>
      </c>
      <c r="AJ463" s="60" t="str">
        <f aca="false">IF(AI463&lt;S463,"SIM","NÃO")</f>
        <v>NÃO</v>
      </c>
    </row>
    <row r="464" customFormat="false" ht="15" hidden="false" customHeight="false" outlineLevel="0" collapsed="false">
      <c r="A464" s="59" t="n">
        <v>46235.5910185185</v>
      </c>
      <c r="B464" s="60" t="s">
        <v>829</v>
      </c>
      <c r="C464" s="60" t="n">
        <v>26155480</v>
      </c>
      <c r="D464" s="60" t="s">
        <v>52</v>
      </c>
      <c r="E464" s="60" t="s">
        <v>23</v>
      </c>
      <c r="F464" s="60" t="s">
        <v>235</v>
      </c>
      <c r="G464" s="60" t="n">
        <v>47.1</v>
      </c>
      <c r="H464" s="61" t="n">
        <v>619.99</v>
      </c>
      <c r="I464" s="61" t="n">
        <v>65.36</v>
      </c>
      <c r="J464" s="61" t="n">
        <f aca="false">H464*Resumo!$C$6</f>
        <v>0</v>
      </c>
      <c r="K464" s="61" t="n">
        <f aca="false">H464*Resumo!$C$7</f>
        <v>1.301979</v>
      </c>
      <c r="L464" s="61" t="n">
        <f aca="false">H464*Resumo!$C$8</f>
        <v>1.301979</v>
      </c>
      <c r="M464" s="61" t="n">
        <f aca="false">Resumo!$C$10*CEILING(G464/100,1)</f>
        <v>1.05</v>
      </c>
      <c r="N464" s="61" t="n">
        <f aca="false">Resumo!$C$9</f>
        <v>0</v>
      </c>
      <c r="O464" s="61" t="n">
        <f aca="false">Resumo!$C$13</f>
        <v>13.55</v>
      </c>
      <c r="P464" s="61" t="n">
        <f aca="false">Resumo!$C$14*CEILING(G464,1)</f>
        <v>21.6</v>
      </c>
      <c r="Q464" s="61" t="n">
        <f aca="false">SUM(I464:P464)*Resumo!$C$11</f>
        <v>0</v>
      </c>
      <c r="R464" s="61" t="n">
        <f aca="false">SUM(I464:Q464)</f>
        <v>104.163958</v>
      </c>
      <c r="S464" s="61" t="n">
        <f aca="false">R464/(1-Resumo!$C$5)</f>
        <v>118.368134090909</v>
      </c>
      <c r="T464" s="61" t="n">
        <v>93.97</v>
      </c>
      <c r="U464" s="61" t="n">
        <f aca="false">H464*Resumo!$B$6</f>
        <v>0.61999</v>
      </c>
      <c r="V464" s="61" t="n">
        <f aca="false">H464*Resumo!$B$7</f>
        <v>1.23998</v>
      </c>
      <c r="W464" s="61" t="n">
        <f aca="false">Resumo!$B$9</f>
        <v>1</v>
      </c>
      <c r="X464" s="61" t="n">
        <f aca="false">Resumo!$B$10*CEILING(G464/100,1)</f>
        <v>4.5</v>
      </c>
      <c r="Y464" s="61" t="n">
        <f aca="false">Resumo!$B$12*CEILING(G464,1)</f>
        <v>2.88</v>
      </c>
      <c r="Z464" s="61" t="n">
        <f aca="false">Resumo!$B$14*CEILING(G464,1)</f>
        <v>21.6</v>
      </c>
      <c r="AA464" s="61" t="n">
        <f aca="false">SUM(T464:Z464)</f>
        <v>125.80997</v>
      </c>
      <c r="AB464" s="61" t="n">
        <f aca="false">AA464/(1-Resumo!$B$5)</f>
        <v>142.965875</v>
      </c>
      <c r="AC464" s="61" t="n">
        <f aca="false">AB464-S464</f>
        <v>24.5977409090909</v>
      </c>
      <c r="AD464" s="62" t="n">
        <f aca="false">AB464/S464-1</f>
        <v>0.207807118850073</v>
      </c>
      <c r="AE464" s="60" t="str">
        <f aca="false">IF(AB464&lt;S464,"SIM","NÃO")</f>
        <v>NÃO</v>
      </c>
      <c r="AF464" s="60" t="n">
        <v>2</v>
      </c>
      <c r="AG464" s="60" t="n">
        <v>5</v>
      </c>
      <c r="AH464" s="60" t="s">
        <v>382</v>
      </c>
      <c r="AI464" s="61" t="n">
        <f aca="false">(T464*(1-Painel!$C$40)+U464+V464+Painel!$C$41+Painel!$C$42*CEILING(G464/100,1)+Painel!$C$43*CEILING(G464,1)+Z464)/(1-Resumo!$B$5)</f>
        <v>100.533943181818</v>
      </c>
      <c r="AJ464" s="60" t="str">
        <f aca="false">IF(AI464&lt;S464,"SIM","NÃO")</f>
        <v>SIM</v>
      </c>
    </row>
    <row r="465" customFormat="false" ht="15" hidden="false" customHeight="false" outlineLevel="0" collapsed="false">
      <c r="A465" s="59" t="n">
        <v>46235.5965393519</v>
      </c>
      <c r="B465" s="60" t="s">
        <v>830</v>
      </c>
      <c r="C465" s="60" t="n">
        <v>28681375</v>
      </c>
      <c r="D465" s="60" t="s">
        <v>329</v>
      </c>
      <c r="E465" s="60" t="s">
        <v>24</v>
      </c>
      <c r="F465" s="60" t="s">
        <v>236</v>
      </c>
      <c r="G465" s="60" t="n">
        <v>52.3</v>
      </c>
      <c r="H465" s="61" t="n">
        <v>637.57</v>
      </c>
      <c r="I465" s="61" t="n">
        <v>83.58</v>
      </c>
      <c r="J465" s="61" t="n">
        <f aca="false">H465*Resumo!$C$6</f>
        <v>0</v>
      </c>
      <c r="K465" s="61" t="n">
        <f aca="false">H465*Resumo!$C$7</f>
        <v>1.338897</v>
      </c>
      <c r="L465" s="61" t="n">
        <f aca="false">H465*Resumo!$C$8</f>
        <v>1.338897</v>
      </c>
      <c r="M465" s="61" t="n">
        <f aca="false">Resumo!$C$10*CEILING(G465/100,1)</f>
        <v>1.05</v>
      </c>
      <c r="N465" s="61" t="n">
        <f aca="false">Resumo!$C$9</f>
        <v>0</v>
      </c>
      <c r="O465" s="61" t="n">
        <f aca="false">Resumo!$C$13</f>
        <v>13.55</v>
      </c>
      <c r="P465" s="61" t="n">
        <f aca="false">Resumo!$C$14*CEILING(G465,1)</f>
        <v>23.85</v>
      </c>
      <c r="Q465" s="61" t="n">
        <f aca="false">SUM(I465:P465)*Resumo!$C$11</f>
        <v>0</v>
      </c>
      <c r="R465" s="61" t="n">
        <f aca="false">SUM(I465:Q465)</f>
        <v>124.707794</v>
      </c>
      <c r="S465" s="61" t="n">
        <f aca="false">R465/(1-Resumo!$C$5)</f>
        <v>141.713402272727</v>
      </c>
      <c r="T465" s="61" t="n">
        <v>144.53</v>
      </c>
      <c r="U465" s="61" t="n">
        <f aca="false">H465*Resumo!$B$6</f>
        <v>0.63757</v>
      </c>
      <c r="V465" s="61" t="n">
        <f aca="false">H465*Resumo!$B$7</f>
        <v>1.27514</v>
      </c>
      <c r="W465" s="61" t="n">
        <f aca="false">Resumo!$B$9</f>
        <v>1</v>
      </c>
      <c r="X465" s="61" t="n">
        <f aca="false">Resumo!$B$10*CEILING(G465/100,1)</f>
        <v>4.5</v>
      </c>
      <c r="Y465" s="61" t="n">
        <f aca="false">Resumo!$B$12*CEILING(G465,1)</f>
        <v>3.18</v>
      </c>
      <c r="Z465" s="61" t="n">
        <f aca="false">Resumo!$B$14*CEILING(G465,1)</f>
        <v>23.85</v>
      </c>
      <c r="AA465" s="61" t="n">
        <f aca="false">SUM(T465:Z465)</f>
        <v>178.97271</v>
      </c>
      <c r="AB465" s="61" t="n">
        <f aca="false">AA465/(1-Resumo!$B$5)</f>
        <v>203.378079545455</v>
      </c>
      <c r="AC465" s="61" t="n">
        <f aca="false">AB465-S465</f>
        <v>61.6646772727273</v>
      </c>
      <c r="AD465" s="62" t="n">
        <f aca="false">AB465/S465-1</f>
        <v>0.435136524025114</v>
      </c>
      <c r="AE465" s="60" t="str">
        <f aca="false">IF(AB465&lt;S465,"SIM","NÃO")</f>
        <v>NÃO</v>
      </c>
      <c r="AF465" s="60" t="n">
        <v>13</v>
      </c>
      <c r="AG465" s="60" t="n">
        <v>10</v>
      </c>
      <c r="AH465" s="60" t="s">
        <v>385</v>
      </c>
      <c r="AI465" s="61" t="n">
        <f aca="false">(T465*(1-Painel!$C$40)+U465+V465+Painel!$C$41+Painel!$C$42*CEILING(G465/100,1)+Painel!$C$43*CEILING(G465,1)+Z465)/(1-Resumo!$B$5)</f>
        <v>141.645238636364</v>
      </c>
      <c r="AJ465" s="60" t="str">
        <f aca="false">IF(AI465&lt;S465,"SIM","NÃO")</f>
        <v>SIM</v>
      </c>
    </row>
    <row r="466" customFormat="false" ht="15" hidden="false" customHeight="false" outlineLevel="0" collapsed="false">
      <c r="A466" s="59" t="n">
        <v>46235.6070949074</v>
      </c>
      <c r="B466" s="60" t="s">
        <v>831</v>
      </c>
      <c r="C466" s="60" t="n">
        <v>28956710</v>
      </c>
      <c r="D466" s="60" t="s">
        <v>339</v>
      </c>
      <c r="E466" s="60" t="s">
        <v>24</v>
      </c>
      <c r="F466" s="60" t="s">
        <v>236</v>
      </c>
      <c r="G466" s="60" t="n">
        <v>51.3</v>
      </c>
      <c r="H466" s="61" t="n">
        <v>579</v>
      </c>
      <c r="I466" s="61" t="n">
        <v>83.58</v>
      </c>
      <c r="J466" s="61" t="n">
        <f aca="false">H466*Resumo!$C$6</f>
        <v>0</v>
      </c>
      <c r="K466" s="61" t="n">
        <f aca="false">H466*Resumo!$C$7</f>
        <v>1.2159</v>
      </c>
      <c r="L466" s="61" t="n">
        <f aca="false">H466*Resumo!$C$8</f>
        <v>1.2159</v>
      </c>
      <c r="M466" s="61" t="n">
        <f aca="false">Resumo!$C$10*CEILING(G466/100,1)</f>
        <v>1.05</v>
      </c>
      <c r="N466" s="61" t="n">
        <f aca="false">Resumo!$C$9</f>
        <v>0</v>
      </c>
      <c r="O466" s="61" t="n">
        <f aca="false">Resumo!$C$13</f>
        <v>13.55</v>
      </c>
      <c r="P466" s="61" t="n">
        <f aca="false">Resumo!$C$14*CEILING(G466,1)</f>
        <v>23.4</v>
      </c>
      <c r="Q466" s="61" t="n">
        <f aca="false">SUM(I466:P466)*Resumo!$C$11</f>
        <v>0</v>
      </c>
      <c r="R466" s="61" t="n">
        <f aca="false">SUM(I466:Q466)</f>
        <v>124.0118</v>
      </c>
      <c r="S466" s="61" t="n">
        <f aca="false">R466/(1-Resumo!$C$5)</f>
        <v>140.9225</v>
      </c>
      <c r="T466" s="61" t="n">
        <v>142.32</v>
      </c>
      <c r="U466" s="61" t="n">
        <f aca="false">H466*Resumo!$B$6</f>
        <v>0.579</v>
      </c>
      <c r="V466" s="61" t="n">
        <f aca="false">H466*Resumo!$B$7</f>
        <v>1.158</v>
      </c>
      <c r="W466" s="61" t="n">
        <f aca="false">Resumo!$B$9</f>
        <v>1</v>
      </c>
      <c r="X466" s="61" t="n">
        <f aca="false">Resumo!$B$10*CEILING(G466/100,1)</f>
        <v>4.5</v>
      </c>
      <c r="Y466" s="61" t="n">
        <f aca="false">Resumo!$B$12*CEILING(G466,1)</f>
        <v>3.12</v>
      </c>
      <c r="Z466" s="61" t="n">
        <f aca="false">Resumo!$B$14*CEILING(G466,1)</f>
        <v>23.4</v>
      </c>
      <c r="AA466" s="61" t="n">
        <f aca="false">SUM(T466:Z466)</f>
        <v>176.077</v>
      </c>
      <c r="AB466" s="61" t="n">
        <f aca="false">AA466/(1-Resumo!$B$5)</f>
        <v>200.0875</v>
      </c>
      <c r="AC466" s="61" t="n">
        <f aca="false">AB466-S466</f>
        <v>59.165</v>
      </c>
      <c r="AD466" s="62" t="n">
        <f aca="false">AB466/S466-1</f>
        <v>0.419840692579254</v>
      </c>
      <c r="AE466" s="60" t="str">
        <f aca="false">IF(AB466&lt;S466,"SIM","NÃO")</f>
        <v>NÃO</v>
      </c>
      <c r="AF466" s="60" t="n">
        <v>13</v>
      </c>
      <c r="AG466" s="60" t="n">
        <v>10</v>
      </c>
      <c r="AH466" s="60" t="s">
        <v>385</v>
      </c>
      <c r="AI466" s="61" t="n">
        <f aca="false">(T466*(1-Painel!$C$40)+U466+V466+Painel!$C$41+Painel!$C$42*CEILING(G466/100,1)+Painel!$C$43*CEILING(G466,1)+Z466)/(1-Resumo!$B$5)</f>
        <v>139.251590909091</v>
      </c>
      <c r="AJ466" s="60" t="str">
        <f aca="false">IF(AI466&lt;S466,"SIM","NÃO")</f>
        <v>SIM</v>
      </c>
    </row>
    <row r="467" customFormat="false" ht="15" hidden="false" customHeight="false" outlineLevel="0" collapsed="false">
      <c r="A467" s="59" t="n">
        <v>46235.6367361111</v>
      </c>
      <c r="B467" s="60" t="s">
        <v>832</v>
      </c>
      <c r="C467" s="60" t="n">
        <v>21911325</v>
      </c>
      <c r="D467" s="60" t="s">
        <v>46</v>
      </c>
      <c r="E467" s="60" t="s">
        <v>22</v>
      </c>
      <c r="F467" s="60" t="s">
        <v>233</v>
      </c>
      <c r="G467" s="60" t="n">
        <v>33.11</v>
      </c>
      <c r="H467" s="61" t="n">
        <v>459.99</v>
      </c>
      <c r="I467" s="61" t="n">
        <v>42.11</v>
      </c>
      <c r="J467" s="61" t="n">
        <f aca="false">H467*Resumo!$C$6</f>
        <v>0</v>
      </c>
      <c r="K467" s="61" t="n">
        <f aca="false">H467*Resumo!$C$7</f>
        <v>0.965979</v>
      </c>
      <c r="L467" s="61" t="n">
        <f aca="false">H467*Resumo!$C$8</f>
        <v>0.965979</v>
      </c>
      <c r="M467" s="61" t="n">
        <f aca="false">Resumo!$C$10*CEILING(G467/100,1)</f>
        <v>1.05</v>
      </c>
      <c r="N467" s="61" t="n">
        <f aca="false">Resumo!$C$9</f>
        <v>0</v>
      </c>
      <c r="O467" s="61" t="n">
        <f aca="false">Resumo!$C$13</f>
        <v>13.55</v>
      </c>
      <c r="P467" s="61" t="n">
        <f aca="false">Resumo!$C$14*CEILING(G467,1)</f>
        <v>15.3</v>
      </c>
      <c r="Q467" s="61" t="n">
        <f aca="false">SUM(I467:P467)*Resumo!$C$11</f>
        <v>0</v>
      </c>
      <c r="R467" s="61" t="n">
        <f aca="false">SUM(I467:Q467)</f>
        <v>73.941958</v>
      </c>
      <c r="S467" s="61" t="n">
        <f aca="false">R467/(1-Resumo!$C$5)</f>
        <v>84.0249522727273</v>
      </c>
      <c r="T467" s="61" t="n">
        <v>82.21</v>
      </c>
      <c r="U467" s="61" t="n">
        <f aca="false">H467*Resumo!$B$6</f>
        <v>0.45999</v>
      </c>
      <c r="V467" s="61" t="n">
        <f aca="false">H467*Resumo!$B$7</f>
        <v>0.91998</v>
      </c>
      <c r="W467" s="61" t="n">
        <f aca="false">Resumo!$B$9</f>
        <v>1</v>
      </c>
      <c r="X467" s="61" t="n">
        <f aca="false">Resumo!$B$10*CEILING(G467/100,1)</f>
        <v>4.5</v>
      </c>
      <c r="Y467" s="61" t="n">
        <f aca="false">Resumo!$B$12*CEILING(G467,1)</f>
        <v>2.04</v>
      </c>
      <c r="Z467" s="61" t="n">
        <f aca="false">Resumo!$B$14*CEILING(G467,1)</f>
        <v>15.3</v>
      </c>
      <c r="AA467" s="61" t="n">
        <f aca="false">SUM(T467:Z467)</f>
        <v>106.42997</v>
      </c>
      <c r="AB467" s="61" t="n">
        <f aca="false">AA467/(1-Resumo!$B$5)</f>
        <v>120.943147727273</v>
      </c>
      <c r="AC467" s="61" t="n">
        <f aca="false">AB467-S467</f>
        <v>36.9181954545455</v>
      </c>
      <c r="AD467" s="62" t="n">
        <f aca="false">AB467/S467-1</f>
        <v>0.439371811062942</v>
      </c>
      <c r="AE467" s="60" t="str">
        <f aca="false">IF(AB467&lt;S467,"SIM","NÃO")</f>
        <v>NÃO</v>
      </c>
      <c r="AF467" s="60" t="n">
        <v>2</v>
      </c>
      <c r="AG467" s="60" t="n">
        <v>5</v>
      </c>
      <c r="AH467" s="60" t="s">
        <v>382</v>
      </c>
      <c r="AI467" s="61" t="n">
        <f aca="false">(T467*(1-Painel!$C$40)+U467+V467+Painel!$C$41+Painel!$C$42*CEILING(G467/100,1)+Painel!$C$43*CEILING(G467,1)+Z467)/(1-Resumo!$B$5)</f>
        <v>83.8757613636363</v>
      </c>
      <c r="AJ467" s="60" t="str">
        <f aca="false">IF(AI467&lt;S467,"SIM","NÃO")</f>
        <v>SIM</v>
      </c>
    </row>
    <row r="468" customFormat="false" ht="15" hidden="false" customHeight="false" outlineLevel="0" collapsed="false">
      <c r="A468" s="59" t="n">
        <v>46235.6687615741</v>
      </c>
      <c r="B468" s="60" t="s">
        <v>833</v>
      </c>
      <c r="C468" s="60" t="n">
        <v>21610460</v>
      </c>
      <c r="D468" s="60" t="s">
        <v>46</v>
      </c>
      <c r="E468" s="60" t="s">
        <v>22</v>
      </c>
      <c r="F468" s="60" t="s">
        <v>232</v>
      </c>
      <c r="G468" s="60" t="n">
        <v>19.8</v>
      </c>
      <c r="H468" s="61" t="n">
        <v>369.99</v>
      </c>
      <c r="I468" s="61" t="n">
        <v>33.42</v>
      </c>
      <c r="J468" s="61" t="n">
        <f aca="false">H468*Resumo!$C$6</f>
        <v>0</v>
      </c>
      <c r="K468" s="61" t="n">
        <f aca="false">H468*Resumo!$C$7</f>
        <v>0.776979</v>
      </c>
      <c r="L468" s="61" t="n">
        <f aca="false">H468*Resumo!$C$8</f>
        <v>0.776979</v>
      </c>
      <c r="M468" s="61" t="n">
        <f aca="false">Resumo!$C$10*CEILING(G468/100,1)</f>
        <v>1.05</v>
      </c>
      <c r="N468" s="61" t="n">
        <f aca="false">Resumo!$C$9</f>
        <v>0</v>
      </c>
      <c r="O468" s="61" t="n">
        <f aca="false">Resumo!$C$13</f>
        <v>13.55</v>
      </c>
      <c r="P468" s="61" t="n">
        <f aca="false">Resumo!$C$14*CEILING(G468,1)</f>
        <v>9</v>
      </c>
      <c r="Q468" s="61" t="n">
        <f aca="false">SUM(I468:P468)*Resumo!$C$11</f>
        <v>0</v>
      </c>
      <c r="R468" s="61" t="n">
        <f aca="false">SUM(I468:Q468)</f>
        <v>58.573958</v>
      </c>
      <c r="S468" s="61" t="n">
        <f aca="false">R468/(1-Resumo!$C$5)</f>
        <v>66.5613159090909</v>
      </c>
      <c r="T468" s="61" t="n">
        <v>46.98</v>
      </c>
      <c r="U468" s="61" t="n">
        <f aca="false">H468*Resumo!$B$6</f>
        <v>0.36999</v>
      </c>
      <c r="V468" s="61" t="n">
        <f aca="false">H468*Resumo!$B$7</f>
        <v>0.73998</v>
      </c>
      <c r="W468" s="61" t="n">
        <f aca="false">Resumo!$B$9</f>
        <v>1</v>
      </c>
      <c r="X468" s="61" t="n">
        <f aca="false">Resumo!$B$10*CEILING(G468/100,1)</f>
        <v>4.5</v>
      </c>
      <c r="Y468" s="61" t="n">
        <f aca="false">Resumo!$B$12*CEILING(G468,1)</f>
        <v>1.2</v>
      </c>
      <c r="Z468" s="61" t="n">
        <f aca="false">Resumo!$B$14*CEILING(G468,1)</f>
        <v>9</v>
      </c>
      <c r="AA468" s="61" t="n">
        <f aca="false">SUM(T468:Z468)</f>
        <v>63.78997</v>
      </c>
      <c r="AB468" s="61" t="n">
        <f aca="false">AA468/(1-Resumo!$B$5)</f>
        <v>72.4886022727273</v>
      </c>
      <c r="AC468" s="61" t="n">
        <f aca="false">AB468-S468</f>
        <v>5.92728636363636</v>
      </c>
      <c r="AD468" s="62" t="n">
        <f aca="false">AB468/S468-1</f>
        <v>0.0890500177570379</v>
      </c>
      <c r="AE468" s="60" t="str">
        <f aca="false">IF(AB468&lt;S468,"SIM","NÃO")</f>
        <v>NÃO</v>
      </c>
      <c r="AF468" s="60" t="n">
        <v>2</v>
      </c>
      <c r="AG468" s="60" t="n">
        <v>5</v>
      </c>
      <c r="AH468" s="60" t="s">
        <v>382</v>
      </c>
      <c r="AI468" s="61" t="n">
        <f aca="false">(T468*(1-Painel!$C$40)+U468+V468+Painel!$C$41+Painel!$C$42*CEILING(G468/100,1)+Painel!$C$43*CEILING(G468,1)+Z468)/(1-Resumo!$B$5)</f>
        <v>49.5870113636364</v>
      </c>
      <c r="AJ468" s="60" t="str">
        <f aca="false">IF(AI468&lt;S468,"SIM","NÃO")</f>
        <v>SIM</v>
      </c>
    </row>
    <row r="469" customFormat="false" ht="15" hidden="false" customHeight="false" outlineLevel="0" collapsed="false">
      <c r="A469" s="59" t="n">
        <v>46235.6800694445</v>
      </c>
      <c r="B469" s="60" t="s">
        <v>834</v>
      </c>
      <c r="C469" s="60" t="n">
        <v>26070760</v>
      </c>
      <c r="D469" s="60" t="s">
        <v>49</v>
      </c>
      <c r="E469" s="60" t="s">
        <v>23</v>
      </c>
      <c r="F469" s="60" t="s">
        <v>240</v>
      </c>
      <c r="G469" s="60" t="n">
        <v>117.5</v>
      </c>
      <c r="H469" s="61" t="n">
        <v>1252.9</v>
      </c>
      <c r="I469" s="61" t="n">
        <v>101.26</v>
      </c>
      <c r="J469" s="61" t="n">
        <f aca="false">H469*Resumo!$C$6</f>
        <v>0</v>
      </c>
      <c r="K469" s="61" t="n">
        <f aca="false">H469*Resumo!$C$7</f>
        <v>2.63109</v>
      </c>
      <c r="L469" s="61" t="n">
        <f aca="false">H469*Resumo!$C$8</f>
        <v>2.63109</v>
      </c>
      <c r="M469" s="61" t="n">
        <f aca="false">Resumo!$C$10*CEILING(G469/100,1)</f>
        <v>2.1</v>
      </c>
      <c r="N469" s="61" t="n">
        <f aca="false">Resumo!$C$9</f>
        <v>0</v>
      </c>
      <c r="O469" s="61" t="n">
        <f aca="false">Resumo!$C$13</f>
        <v>13.55</v>
      </c>
      <c r="P469" s="61" t="n">
        <f aca="false">Resumo!$C$14*CEILING(G469,1)</f>
        <v>53.1</v>
      </c>
      <c r="Q469" s="61" t="n">
        <f aca="false">SUM(I469:P469)*Resumo!$C$11</f>
        <v>0</v>
      </c>
      <c r="R469" s="61" t="n">
        <f aca="false">SUM(I469:Q469)</f>
        <v>175.27218</v>
      </c>
      <c r="S469" s="61" t="n">
        <f aca="false">R469/(1-Resumo!$C$5)</f>
        <v>199.172931818182</v>
      </c>
      <c r="T469" s="61" t="n">
        <v>201.59</v>
      </c>
      <c r="U469" s="61" t="n">
        <f aca="false">H469*Resumo!$B$6</f>
        <v>1.2529</v>
      </c>
      <c r="V469" s="61" t="n">
        <f aca="false">H469*Resumo!$B$7</f>
        <v>2.5058</v>
      </c>
      <c r="W469" s="61" t="n">
        <f aca="false">Resumo!$B$9</f>
        <v>1</v>
      </c>
      <c r="X469" s="61" t="n">
        <f aca="false">Resumo!$B$10*CEILING(G469/100,1)</f>
        <v>9</v>
      </c>
      <c r="Y469" s="61" t="n">
        <f aca="false">Resumo!$B$12*CEILING(G469,1)</f>
        <v>7.08</v>
      </c>
      <c r="Z469" s="61" t="n">
        <f aca="false">Resumo!$B$14*CEILING(G469,1)</f>
        <v>53.1</v>
      </c>
      <c r="AA469" s="61" t="n">
        <f aca="false">SUM(T469:Z469)</f>
        <v>275.5287</v>
      </c>
      <c r="AB469" s="61" t="n">
        <f aca="false">AA469/(1-Resumo!$B$5)</f>
        <v>313.100795454545</v>
      </c>
      <c r="AC469" s="61" t="n">
        <f aca="false">AB469-S469</f>
        <v>113.927863636364</v>
      </c>
      <c r="AD469" s="62" t="n">
        <f aca="false">AB469/S469-1</f>
        <v>0.572004752836417</v>
      </c>
      <c r="AE469" s="60" t="str">
        <f aca="false">IF(AB469&lt;S469,"SIM","NÃO")</f>
        <v>NÃO</v>
      </c>
      <c r="AF469" s="60" t="n">
        <v>2</v>
      </c>
      <c r="AG469" s="60" t="n">
        <v>5</v>
      </c>
      <c r="AH469" s="60" t="s">
        <v>382</v>
      </c>
      <c r="AI469" s="61" t="n">
        <f aca="false">(T469*(1-Painel!$C$40)+U469+V469+Painel!$C$41+Painel!$C$42*CEILING(G469/100,1)+Painel!$C$43*CEILING(G469,1)+Z469)/(1-Resumo!$B$5)</f>
        <v>221.618181818182</v>
      </c>
      <c r="AJ469" s="60" t="str">
        <f aca="false">IF(AI469&lt;S469,"SIM","NÃO")</f>
        <v>NÃO</v>
      </c>
    </row>
    <row r="470" customFormat="false" ht="15" hidden="false" customHeight="false" outlineLevel="0" collapsed="false">
      <c r="A470" s="59" t="n">
        <v>46235.6941898148</v>
      </c>
      <c r="B470" s="60" t="s">
        <v>835</v>
      </c>
      <c r="C470" s="60" t="n">
        <v>28921799</v>
      </c>
      <c r="D470" s="60" t="s">
        <v>221</v>
      </c>
      <c r="E470" s="60" t="s">
        <v>24</v>
      </c>
      <c r="F470" s="60" t="s">
        <v>234</v>
      </c>
      <c r="G470" s="60" t="n">
        <v>37.6</v>
      </c>
      <c r="H470" s="61" t="n">
        <v>391.05</v>
      </c>
      <c r="I470" s="61" t="n">
        <v>74.97</v>
      </c>
      <c r="J470" s="61" t="n">
        <f aca="false">H470*Resumo!$C$6</f>
        <v>0</v>
      </c>
      <c r="K470" s="61" t="n">
        <f aca="false">H470*Resumo!$C$7</f>
        <v>0.821205</v>
      </c>
      <c r="L470" s="61" t="n">
        <f aca="false">H470*Resumo!$C$8</f>
        <v>0.821205</v>
      </c>
      <c r="M470" s="61" t="n">
        <f aca="false">Resumo!$C$10*CEILING(G470/100,1)</f>
        <v>1.05</v>
      </c>
      <c r="N470" s="61" t="n">
        <f aca="false">Resumo!$C$9</f>
        <v>0</v>
      </c>
      <c r="O470" s="61" t="n">
        <f aca="false">Resumo!$C$13</f>
        <v>13.55</v>
      </c>
      <c r="P470" s="61" t="n">
        <f aca="false">Resumo!$C$14*CEILING(G470,1)</f>
        <v>17.1</v>
      </c>
      <c r="Q470" s="61" t="n">
        <f aca="false">SUM(I470:P470)*Resumo!$C$11</f>
        <v>0</v>
      </c>
      <c r="R470" s="61" t="n">
        <f aca="false">SUM(I470:Q470)</f>
        <v>108.31241</v>
      </c>
      <c r="S470" s="61" t="n">
        <f aca="false">R470/(1-Resumo!$C$5)</f>
        <v>123.082284090909</v>
      </c>
      <c r="T470" s="61" t="n">
        <v>124.38</v>
      </c>
      <c r="U470" s="61" t="n">
        <f aca="false">H470*Resumo!$B$6</f>
        <v>0.39105</v>
      </c>
      <c r="V470" s="61" t="n">
        <f aca="false">H470*Resumo!$B$7</f>
        <v>0.7821</v>
      </c>
      <c r="W470" s="61" t="n">
        <f aca="false">Resumo!$B$9</f>
        <v>1</v>
      </c>
      <c r="X470" s="61" t="n">
        <f aca="false">Resumo!$B$10*CEILING(G470/100,1)</f>
        <v>4.5</v>
      </c>
      <c r="Y470" s="61" t="n">
        <f aca="false">Resumo!$B$12*CEILING(G470,1)</f>
        <v>2.28</v>
      </c>
      <c r="Z470" s="61" t="n">
        <f aca="false">Resumo!$B$14*CEILING(G470,1)</f>
        <v>17.1</v>
      </c>
      <c r="AA470" s="61" t="n">
        <f aca="false">SUM(T470:Z470)</f>
        <v>150.43315</v>
      </c>
      <c r="AB470" s="61" t="n">
        <f aca="false">AA470/(1-Resumo!$B$5)</f>
        <v>170.946761363636</v>
      </c>
      <c r="AC470" s="61" t="n">
        <f aca="false">AB470-S470</f>
        <v>47.8644772727273</v>
      </c>
      <c r="AD470" s="62" t="n">
        <f aca="false">AB470/S470-1</f>
        <v>0.388881938828616</v>
      </c>
      <c r="AE470" s="60" t="str">
        <f aca="false">IF(AB470&lt;S470,"SIM","NÃO")</f>
        <v>NÃO</v>
      </c>
      <c r="AF470" s="60" t="n">
        <v>13</v>
      </c>
      <c r="AG470" s="60" t="n">
        <v>10</v>
      </c>
      <c r="AH470" s="60" t="s">
        <v>382</v>
      </c>
      <c r="AI470" s="61" t="n">
        <f aca="false">(T470*(1-Painel!$C$40)+U470+V470+Painel!$C$41+Painel!$C$42*CEILING(G470/100,1)+Painel!$C$43*CEILING(G470,1)+Z470)/(1-Resumo!$B$5)</f>
        <v>117.792897727273</v>
      </c>
      <c r="AJ470" s="60" t="str">
        <f aca="false">IF(AI470&lt;S470,"SIM","NÃO")</f>
        <v>SIM</v>
      </c>
    </row>
    <row r="471" customFormat="false" ht="15" hidden="false" customHeight="false" outlineLevel="0" collapsed="false">
      <c r="A471" s="59" t="n">
        <v>46235.6954861111</v>
      </c>
      <c r="B471" s="60" t="s">
        <v>836</v>
      </c>
      <c r="C471" s="60" t="n">
        <v>22783410</v>
      </c>
      <c r="D471" s="60" t="s">
        <v>46</v>
      </c>
      <c r="E471" s="60" t="s">
        <v>22</v>
      </c>
      <c r="F471" s="60" t="s">
        <v>235</v>
      </c>
      <c r="G471" s="60" t="n">
        <v>46.8</v>
      </c>
      <c r="H471" s="61" t="n">
        <v>563.99</v>
      </c>
      <c r="I471" s="61" t="n">
        <v>53.55</v>
      </c>
      <c r="J471" s="61" t="n">
        <f aca="false">H471*Resumo!$C$6</f>
        <v>0</v>
      </c>
      <c r="K471" s="61" t="n">
        <f aca="false">H471*Resumo!$C$7</f>
        <v>1.184379</v>
      </c>
      <c r="L471" s="61" t="n">
        <f aca="false">H471*Resumo!$C$8</f>
        <v>1.184379</v>
      </c>
      <c r="M471" s="61" t="n">
        <f aca="false">Resumo!$C$10*CEILING(G471/100,1)</f>
        <v>1.05</v>
      </c>
      <c r="N471" s="61" t="n">
        <f aca="false">Resumo!$C$9</f>
        <v>0</v>
      </c>
      <c r="O471" s="61" t="n">
        <f aca="false">Resumo!$C$13</f>
        <v>13.55</v>
      </c>
      <c r="P471" s="61" t="n">
        <f aca="false">Resumo!$C$14*CEILING(G471,1)</f>
        <v>21.15</v>
      </c>
      <c r="Q471" s="61" t="n">
        <f aca="false">SUM(I471:P471)*Resumo!$C$11</f>
        <v>0</v>
      </c>
      <c r="R471" s="61" t="n">
        <f aca="false">SUM(I471:Q471)</f>
        <v>91.668758</v>
      </c>
      <c r="S471" s="61" t="n">
        <f aca="false">R471/(1-Resumo!$C$5)</f>
        <v>104.169043181818</v>
      </c>
      <c r="T471" s="61" t="n">
        <v>93.97</v>
      </c>
      <c r="U471" s="61" t="n">
        <f aca="false">H471*Resumo!$B$6</f>
        <v>0.56399</v>
      </c>
      <c r="V471" s="61" t="n">
        <f aca="false">H471*Resumo!$B$7</f>
        <v>1.12798</v>
      </c>
      <c r="W471" s="61" t="n">
        <f aca="false">Resumo!$B$9</f>
        <v>1</v>
      </c>
      <c r="X471" s="61" t="n">
        <f aca="false">Resumo!$B$10*CEILING(G471/100,1)</f>
        <v>4.5</v>
      </c>
      <c r="Y471" s="61" t="n">
        <f aca="false">Resumo!$B$12*CEILING(G471,1)</f>
        <v>2.82</v>
      </c>
      <c r="Z471" s="61" t="n">
        <f aca="false">Resumo!$B$14*CEILING(G471,1)</f>
        <v>21.15</v>
      </c>
      <c r="AA471" s="61" t="n">
        <f aca="false">SUM(T471:Z471)</f>
        <v>125.13197</v>
      </c>
      <c r="AB471" s="61" t="n">
        <f aca="false">AA471/(1-Resumo!$B$5)</f>
        <v>142.195420454545</v>
      </c>
      <c r="AC471" s="61" t="n">
        <f aca="false">AB471-S471</f>
        <v>38.0263772727273</v>
      </c>
      <c r="AD471" s="62" t="n">
        <f aca="false">AB471/S471-1</f>
        <v>0.365044893484866</v>
      </c>
      <c r="AE471" s="60" t="str">
        <f aca="false">IF(AB471&lt;S471,"SIM","NÃO")</f>
        <v>NÃO</v>
      </c>
      <c r="AF471" s="60" t="n">
        <v>2</v>
      </c>
      <c r="AG471" s="60" t="n">
        <v>5</v>
      </c>
      <c r="AH471" s="60" t="s">
        <v>382</v>
      </c>
      <c r="AI471" s="61" t="n">
        <f aca="false">(T471*(1-Painel!$C$40)+U471+V471+Painel!$C$41+Painel!$C$42*CEILING(G471/100,1)+Painel!$C$43*CEILING(G471,1)+Z471)/(1-Resumo!$B$5)</f>
        <v>99.8316704545455</v>
      </c>
      <c r="AJ471" s="60" t="str">
        <f aca="false">IF(AI471&lt;S471,"SIM","NÃO")</f>
        <v>SIM</v>
      </c>
    </row>
    <row r="472" customFormat="false" ht="15" hidden="false" customHeight="false" outlineLevel="0" collapsed="false">
      <c r="A472" s="59" t="n">
        <v>46235.6959837963</v>
      </c>
      <c r="B472" s="60" t="s">
        <v>837</v>
      </c>
      <c r="C472" s="60" t="n">
        <v>26172144</v>
      </c>
      <c r="D472" s="60" t="s">
        <v>52</v>
      </c>
      <c r="E472" s="60" t="s">
        <v>23</v>
      </c>
      <c r="F472" s="60" t="s">
        <v>236</v>
      </c>
      <c r="G472" s="60" t="n">
        <v>58.6</v>
      </c>
      <c r="H472" s="61" t="n">
        <v>648.53</v>
      </c>
      <c r="I472" s="61" t="n">
        <v>70.98</v>
      </c>
      <c r="J472" s="61" t="n">
        <f aca="false">H472*Resumo!$C$6</f>
        <v>0</v>
      </c>
      <c r="K472" s="61" t="n">
        <f aca="false">H472*Resumo!$C$7</f>
        <v>1.361913</v>
      </c>
      <c r="L472" s="61" t="n">
        <f aca="false">H472*Resumo!$C$8</f>
        <v>1.361913</v>
      </c>
      <c r="M472" s="61" t="n">
        <f aca="false">Resumo!$C$10*CEILING(G472/100,1)</f>
        <v>1.05</v>
      </c>
      <c r="N472" s="61" t="n">
        <f aca="false">Resumo!$C$9</f>
        <v>0</v>
      </c>
      <c r="O472" s="61" t="n">
        <f aca="false">Resumo!$C$13</f>
        <v>13.55</v>
      </c>
      <c r="P472" s="61" t="n">
        <f aca="false">Resumo!$C$14*CEILING(G472,1)</f>
        <v>26.55</v>
      </c>
      <c r="Q472" s="61" t="n">
        <f aca="false">SUM(I472:P472)*Resumo!$C$11</f>
        <v>0</v>
      </c>
      <c r="R472" s="61" t="n">
        <f aca="false">SUM(I472:Q472)</f>
        <v>114.853826</v>
      </c>
      <c r="S472" s="61" t="n">
        <f aca="false">R472/(1-Resumo!$C$5)</f>
        <v>130.515711363636</v>
      </c>
      <c r="T472" s="61" t="n">
        <v>112.3</v>
      </c>
      <c r="U472" s="61" t="n">
        <f aca="false">H472*Resumo!$B$6</f>
        <v>0.64853</v>
      </c>
      <c r="V472" s="61" t="n">
        <f aca="false">H472*Resumo!$B$7</f>
        <v>1.29706</v>
      </c>
      <c r="W472" s="61" t="n">
        <f aca="false">Resumo!$B$9</f>
        <v>1</v>
      </c>
      <c r="X472" s="61" t="n">
        <f aca="false">Resumo!$B$10*CEILING(G472/100,1)</f>
        <v>4.5</v>
      </c>
      <c r="Y472" s="61" t="n">
        <f aca="false">Resumo!$B$12*CEILING(G472,1)</f>
        <v>3.54</v>
      </c>
      <c r="Z472" s="61" t="n">
        <f aca="false">Resumo!$B$14*CEILING(G472,1)</f>
        <v>26.55</v>
      </c>
      <c r="AA472" s="61" t="n">
        <f aca="false">SUM(T472:Z472)</f>
        <v>149.83559</v>
      </c>
      <c r="AB472" s="61" t="n">
        <f aca="false">AA472/(1-Resumo!$B$5)</f>
        <v>170.267715909091</v>
      </c>
      <c r="AC472" s="61" t="n">
        <f aca="false">AB472-S472</f>
        <v>39.7520045454545</v>
      </c>
      <c r="AD472" s="62" t="n">
        <f aca="false">AB472/S472-1</f>
        <v>0.304576392605328</v>
      </c>
      <c r="AE472" s="60" t="str">
        <f aca="false">IF(AB472&lt;S472,"SIM","NÃO")</f>
        <v>NÃO</v>
      </c>
      <c r="AF472" s="60" t="n">
        <v>2</v>
      </c>
      <c r="AG472" s="60" t="n">
        <v>5</v>
      </c>
      <c r="AH472" s="60" t="s">
        <v>382</v>
      </c>
      <c r="AI472" s="61" t="n">
        <f aca="false">(T472*(1-Painel!$C$40)+U472+V472+Painel!$C$41+Painel!$C$42*CEILING(G472/100,1)+Painel!$C$43*CEILING(G472,1)+Z472)/(1-Resumo!$B$5)</f>
        <v>120.212034090909</v>
      </c>
      <c r="AJ472" s="60" t="str">
        <f aca="false">IF(AI472&lt;S472,"SIM","NÃO")</f>
        <v>SIM</v>
      </c>
    </row>
    <row r="473" customFormat="false" ht="15" hidden="false" customHeight="false" outlineLevel="0" collapsed="false">
      <c r="A473" s="59" t="n">
        <v>46235.7187384259</v>
      </c>
      <c r="B473" s="60" t="s">
        <v>838</v>
      </c>
      <c r="C473" s="60" t="n">
        <v>28035301</v>
      </c>
      <c r="D473" s="60" t="s">
        <v>51</v>
      </c>
      <c r="E473" s="60" t="s">
        <v>24</v>
      </c>
      <c r="F473" s="60" t="s">
        <v>236</v>
      </c>
      <c r="G473" s="60" t="n">
        <v>52.3</v>
      </c>
      <c r="H473" s="61" t="n">
        <v>637.57</v>
      </c>
      <c r="I473" s="61" t="n">
        <v>83.58</v>
      </c>
      <c r="J473" s="61" t="n">
        <f aca="false">H473*Resumo!$C$6</f>
        <v>0</v>
      </c>
      <c r="K473" s="61" t="n">
        <f aca="false">H473*Resumo!$C$7</f>
        <v>1.338897</v>
      </c>
      <c r="L473" s="61" t="n">
        <f aca="false">H473*Resumo!$C$8</f>
        <v>1.338897</v>
      </c>
      <c r="M473" s="61" t="n">
        <f aca="false">Resumo!$C$10*CEILING(G473/100,1)</f>
        <v>1.05</v>
      </c>
      <c r="N473" s="61" t="n">
        <f aca="false">Resumo!$C$9</f>
        <v>0</v>
      </c>
      <c r="O473" s="61" t="n">
        <f aca="false">Resumo!$C$13</f>
        <v>13.55</v>
      </c>
      <c r="P473" s="61" t="n">
        <f aca="false">Resumo!$C$14*CEILING(G473,1)</f>
        <v>23.85</v>
      </c>
      <c r="Q473" s="61" t="n">
        <f aca="false">SUM(I473:P473)*Resumo!$C$11</f>
        <v>0</v>
      </c>
      <c r="R473" s="61" t="n">
        <f aca="false">SUM(I473:Q473)</f>
        <v>124.707794</v>
      </c>
      <c r="S473" s="61" t="n">
        <f aca="false">R473/(1-Resumo!$C$5)</f>
        <v>141.713402272727</v>
      </c>
      <c r="T473" s="61" t="n">
        <v>162.04</v>
      </c>
      <c r="U473" s="61" t="n">
        <f aca="false">H473*Resumo!$B$6</f>
        <v>0.63757</v>
      </c>
      <c r="V473" s="61" t="n">
        <f aca="false">H473*Resumo!$B$7</f>
        <v>1.27514</v>
      </c>
      <c r="W473" s="61" t="n">
        <f aca="false">Resumo!$B$9</f>
        <v>1</v>
      </c>
      <c r="X473" s="61" t="n">
        <f aca="false">Resumo!$B$10*CEILING(G473/100,1)</f>
        <v>4.5</v>
      </c>
      <c r="Y473" s="61" t="n">
        <f aca="false">Resumo!$B$12*CEILING(G473,1)</f>
        <v>3.18</v>
      </c>
      <c r="Z473" s="61" t="n">
        <f aca="false">Resumo!$B$14*CEILING(G473,1)</f>
        <v>23.85</v>
      </c>
      <c r="AA473" s="61" t="n">
        <f aca="false">SUM(T473:Z473)</f>
        <v>196.48271</v>
      </c>
      <c r="AB473" s="61" t="n">
        <f aca="false">AA473/(1-Resumo!$B$5)</f>
        <v>223.275806818182</v>
      </c>
      <c r="AC473" s="61" t="n">
        <f aca="false">AB473-S473</f>
        <v>81.5624045454545</v>
      </c>
      <c r="AD473" s="62" t="n">
        <f aca="false">AB473/S473-1</f>
        <v>0.575544749031484</v>
      </c>
      <c r="AE473" s="60" t="str">
        <f aca="false">IF(AB473&lt;S473,"SIM","NÃO")</f>
        <v>NÃO</v>
      </c>
      <c r="AF473" s="60" t="n">
        <v>13</v>
      </c>
      <c r="AG473" s="60" t="n">
        <v>11</v>
      </c>
      <c r="AH473" s="60" t="s">
        <v>382</v>
      </c>
      <c r="AI473" s="61" t="n">
        <f aca="false">(T473*(1-Painel!$C$40)+U473+V473+Painel!$C$41+Painel!$C$42*CEILING(G473/100,1)+Painel!$C$43*CEILING(G473,1)+Z473)/(1-Resumo!$B$5)</f>
        <v>154.976715909091</v>
      </c>
      <c r="AJ473" s="60" t="str">
        <f aca="false">IF(AI473&lt;S473,"SIM","NÃO")</f>
        <v>NÃO</v>
      </c>
    </row>
    <row r="474" customFormat="false" ht="15" hidden="false" customHeight="false" outlineLevel="0" collapsed="false">
      <c r="A474" s="59" t="n">
        <v>46235.7235185185</v>
      </c>
      <c r="B474" s="60" t="s">
        <v>839</v>
      </c>
      <c r="C474" s="60" t="n">
        <v>24813564</v>
      </c>
      <c r="D474" s="60" t="s">
        <v>223</v>
      </c>
      <c r="E474" s="60" t="s">
        <v>24</v>
      </c>
      <c r="F474" s="60" t="s">
        <v>241</v>
      </c>
      <c r="G474" s="60" t="n">
        <v>134.4</v>
      </c>
      <c r="H474" s="61" t="n">
        <v>1779.99</v>
      </c>
      <c r="I474" s="61" t="n">
        <v>144.24</v>
      </c>
      <c r="J474" s="61" t="n">
        <f aca="false">H474*Resumo!$C$6</f>
        <v>0</v>
      </c>
      <c r="K474" s="61" t="n">
        <f aca="false">H474*Resumo!$C$7</f>
        <v>3.737979</v>
      </c>
      <c r="L474" s="61" t="n">
        <f aca="false">H474*Resumo!$C$8</f>
        <v>3.737979</v>
      </c>
      <c r="M474" s="61" t="n">
        <f aca="false">Resumo!$C$10*CEILING(G474/100,1)</f>
        <v>2.1</v>
      </c>
      <c r="N474" s="61" t="n">
        <f aca="false">Resumo!$C$9</f>
        <v>0</v>
      </c>
      <c r="O474" s="61" t="n">
        <f aca="false">Resumo!$C$13</f>
        <v>13.55</v>
      </c>
      <c r="P474" s="61" t="n">
        <f aca="false">Resumo!$C$14*CEILING(G474,1)</f>
        <v>60.75</v>
      </c>
      <c r="Q474" s="61" t="n">
        <f aca="false">SUM(I474:P474)*Resumo!$C$11</f>
        <v>0</v>
      </c>
      <c r="R474" s="61" t="n">
        <f aca="false">SUM(I474:Q474)</f>
        <v>228.115958</v>
      </c>
      <c r="S474" s="61" t="n">
        <f aca="false">R474/(1-Resumo!$C$5)</f>
        <v>259.222679545455</v>
      </c>
      <c r="T474" s="61" t="n">
        <v>249.03</v>
      </c>
      <c r="U474" s="61" t="n">
        <f aca="false">H474*Resumo!$B$6</f>
        <v>1.77999</v>
      </c>
      <c r="V474" s="61" t="n">
        <f aca="false">H474*Resumo!$B$7</f>
        <v>3.55998</v>
      </c>
      <c r="W474" s="61" t="n">
        <f aca="false">Resumo!$B$9</f>
        <v>1</v>
      </c>
      <c r="X474" s="61" t="n">
        <f aca="false">Resumo!$B$10*CEILING(G474/100,1)</f>
        <v>9</v>
      </c>
      <c r="Y474" s="61" t="n">
        <f aca="false">Resumo!$B$12*CEILING(G474,1)</f>
        <v>8.1</v>
      </c>
      <c r="Z474" s="61" t="n">
        <f aca="false">Resumo!$B$14*CEILING(G474,1)</f>
        <v>60.75</v>
      </c>
      <c r="AA474" s="61" t="n">
        <f aca="false">SUM(T474:Z474)</f>
        <v>333.21997</v>
      </c>
      <c r="AB474" s="61" t="n">
        <f aca="false">AA474/(1-Resumo!$B$5)</f>
        <v>378.659056818182</v>
      </c>
      <c r="AC474" s="61" t="n">
        <f aca="false">AB474-S474</f>
        <v>119.436377272727</v>
      </c>
      <c r="AD474" s="62" t="n">
        <f aca="false">AB474/S474-1</f>
        <v>0.460748177906957</v>
      </c>
      <c r="AE474" s="60" t="str">
        <f aca="false">IF(AB474&lt;S474,"SIM","NÃO")</f>
        <v>NÃO</v>
      </c>
      <c r="AF474" s="60" t="n">
        <v>13</v>
      </c>
      <c r="AG474" s="60" t="n">
        <v>7</v>
      </c>
      <c r="AH474" s="60" t="s">
        <v>382</v>
      </c>
      <c r="AI474" s="61" t="n">
        <f aca="false">(T474*(1-Painel!$C$40)+U474+V474+Painel!$C$41+Painel!$C$42*CEILING(G474/100,1)+Painel!$C$43*CEILING(G474,1)+Z474)/(1-Resumo!$B$5)</f>
        <v>268.227352272727</v>
      </c>
      <c r="AJ474" s="60" t="str">
        <f aca="false">IF(AI474&lt;S474,"SIM","NÃO")</f>
        <v>NÃO</v>
      </c>
    </row>
    <row r="475" customFormat="false" ht="15" hidden="false" customHeight="false" outlineLevel="0" collapsed="false">
      <c r="A475" s="59" t="n">
        <v>46235.7241319444</v>
      </c>
      <c r="B475" s="60" t="s">
        <v>840</v>
      </c>
      <c r="C475" s="60" t="n">
        <v>28637000</v>
      </c>
      <c r="D475" s="60" t="s">
        <v>325</v>
      </c>
      <c r="E475" s="60" t="s">
        <v>24</v>
      </c>
      <c r="F475" s="60" t="s">
        <v>233</v>
      </c>
      <c r="G475" s="60" t="n">
        <v>20.9</v>
      </c>
      <c r="H475" s="61" t="n">
        <v>487.59</v>
      </c>
      <c r="I475" s="61" t="n">
        <v>65.63</v>
      </c>
      <c r="J475" s="61" t="n">
        <f aca="false">H475*Resumo!$C$6</f>
        <v>0</v>
      </c>
      <c r="K475" s="61" t="n">
        <f aca="false">H475*Resumo!$C$7</f>
        <v>1.023939</v>
      </c>
      <c r="L475" s="61" t="n">
        <f aca="false">H475*Resumo!$C$8</f>
        <v>1.023939</v>
      </c>
      <c r="M475" s="61" t="n">
        <f aca="false">Resumo!$C$10*CEILING(G475/100,1)</f>
        <v>1.05</v>
      </c>
      <c r="N475" s="61" t="n">
        <f aca="false">Resumo!$C$9</f>
        <v>0</v>
      </c>
      <c r="O475" s="61" t="n">
        <f aca="false">Resumo!$C$13</f>
        <v>13.55</v>
      </c>
      <c r="P475" s="61" t="n">
        <f aca="false">Resumo!$C$14*CEILING(G475,1)</f>
        <v>9.45</v>
      </c>
      <c r="Q475" s="61" t="n">
        <f aca="false">SUM(I475:P475)*Resumo!$C$11</f>
        <v>0</v>
      </c>
      <c r="R475" s="61" t="n">
        <f aca="false">SUM(I475:Q475)</f>
        <v>91.727878</v>
      </c>
      <c r="S475" s="61" t="n">
        <f aca="false">R475/(1-Resumo!$C$5)</f>
        <v>104.236225</v>
      </c>
      <c r="T475" s="61" t="n">
        <v>120.78</v>
      </c>
      <c r="U475" s="61" t="n">
        <f aca="false">H475*Resumo!$B$6</f>
        <v>0.48759</v>
      </c>
      <c r="V475" s="61" t="n">
        <f aca="false">H475*Resumo!$B$7</f>
        <v>0.97518</v>
      </c>
      <c r="W475" s="61" t="n">
        <f aca="false">Resumo!$B$9</f>
        <v>1</v>
      </c>
      <c r="X475" s="61" t="n">
        <f aca="false">Resumo!$B$10*CEILING(G475/100,1)</f>
        <v>4.5</v>
      </c>
      <c r="Y475" s="61" t="n">
        <f aca="false">Resumo!$B$12*CEILING(G475,1)</f>
        <v>1.26</v>
      </c>
      <c r="Z475" s="61" t="n">
        <f aca="false">Resumo!$B$14*CEILING(G475,1)</f>
        <v>9.45</v>
      </c>
      <c r="AA475" s="61" t="n">
        <f aca="false">SUM(T475:Z475)</f>
        <v>138.45277</v>
      </c>
      <c r="AB475" s="61" t="n">
        <f aca="false">AA475/(1-Resumo!$B$5)</f>
        <v>157.332693181818</v>
      </c>
      <c r="AC475" s="61" t="n">
        <f aca="false">AB475-S475</f>
        <v>53.0964681818182</v>
      </c>
      <c r="AD475" s="62" t="n">
        <f aca="false">AB475/S475-1</f>
        <v>0.509385946985495</v>
      </c>
      <c r="AE475" s="60" t="str">
        <f aca="false">IF(AB475&lt;S475,"SIM","NÃO")</f>
        <v>NÃO</v>
      </c>
      <c r="AF475" s="60" t="n">
        <v>13</v>
      </c>
      <c r="AG475" s="60" t="n">
        <v>10</v>
      </c>
      <c r="AH475" s="60" t="s">
        <v>385</v>
      </c>
      <c r="AI475" s="61" t="n">
        <f aca="false">(T475*(1-Painel!$C$40)+U475+V475+Painel!$C$41+Painel!$C$42*CEILING(G475/100,1)+Painel!$C$43*CEILING(G475,1)+Z475)/(1-Resumo!$B$5)</f>
        <v>106.687920454545</v>
      </c>
      <c r="AJ475" s="60" t="str">
        <f aca="false">IF(AI475&lt;S475,"SIM","NÃO")</f>
        <v>NÃO</v>
      </c>
    </row>
    <row r="476" customFormat="false" ht="15" hidden="false" customHeight="false" outlineLevel="0" collapsed="false">
      <c r="A476" s="59" t="n">
        <v>46235.7513888889</v>
      </c>
      <c r="B476" s="60" t="s">
        <v>841</v>
      </c>
      <c r="C476" s="60" t="n">
        <v>26453230</v>
      </c>
      <c r="D476" s="60" t="s">
        <v>283</v>
      </c>
      <c r="E476" s="60" t="s">
        <v>24</v>
      </c>
      <c r="F476" s="60" t="s">
        <v>233</v>
      </c>
      <c r="G476" s="60" t="n">
        <v>26.4</v>
      </c>
      <c r="H476" s="61" t="n">
        <v>399.99</v>
      </c>
      <c r="I476" s="61" t="n">
        <v>65.63</v>
      </c>
      <c r="J476" s="61" t="n">
        <f aca="false">H476*Resumo!$C$6</f>
        <v>0</v>
      </c>
      <c r="K476" s="61" t="n">
        <f aca="false">H476*Resumo!$C$7</f>
        <v>0.839979</v>
      </c>
      <c r="L476" s="61" t="n">
        <f aca="false">H476*Resumo!$C$8</f>
        <v>0.839979</v>
      </c>
      <c r="M476" s="61" t="n">
        <f aca="false">Resumo!$C$10*CEILING(G476/100,1)</f>
        <v>1.05</v>
      </c>
      <c r="N476" s="61" t="n">
        <f aca="false">Resumo!$C$9</f>
        <v>0</v>
      </c>
      <c r="O476" s="61" t="n">
        <f aca="false">Resumo!$C$13</f>
        <v>13.55</v>
      </c>
      <c r="P476" s="61" t="n">
        <f aca="false">Resumo!$C$14*CEILING(G476,1)</f>
        <v>12.15</v>
      </c>
      <c r="Q476" s="61" t="n">
        <f aca="false">SUM(I476:P476)*Resumo!$C$11</f>
        <v>0</v>
      </c>
      <c r="R476" s="61" t="n">
        <f aca="false">SUM(I476:Q476)</f>
        <v>94.059958</v>
      </c>
      <c r="S476" s="61" t="n">
        <f aca="false">R476/(1-Resumo!$C$5)</f>
        <v>106.886315909091</v>
      </c>
      <c r="T476" s="61" t="n">
        <v>82.21</v>
      </c>
      <c r="U476" s="61" t="n">
        <f aca="false">H476*Resumo!$B$6</f>
        <v>0.39999</v>
      </c>
      <c r="V476" s="61" t="n">
        <f aca="false">H476*Resumo!$B$7</f>
        <v>0.79998</v>
      </c>
      <c r="W476" s="61" t="n">
        <f aca="false">Resumo!$B$9</f>
        <v>1</v>
      </c>
      <c r="X476" s="61" t="n">
        <f aca="false">Resumo!$B$10*CEILING(G476/100,1)</f>
        <v>4.5</v>
      </c>
      <c r="Y476" s="61" t="n">
        <f aca="false">Resumo!$B$12*CEILING(G476,1)</f>
        <v>1.62</v>
      </c>
      <c r="Z476" s="61" t="n">
        <f aca="false">Resumo!$B$14*CEILING(G476,1)</f>
        <v>12.15</v>
      </c>
      <c r="AA476" s="61" t="n">
        <f aca="false">SUM(T476:Z476)</f>
        <v>102.67997</v>
      </c>
      <c r="AB476" s="61" t="n">
        <f aca="false">AA476/(1-Resumo!$B$5)</f>
        <v>116.681784090909</v>
      </c>
      <c r="AC476" s="61" t="n">
        <f aca="false">AB476-S476</f>
        <v>9.79546818181819</v>
      </c>
      <c r="AD476" s="62" t="n">
        <f aca="false">AB476/S476-1</f>
        <v>0.091643800223683</v>
      </c>
      <c r="AE476" s="60" t="str">
        <f aca="false">IF(AB476&lt;S476,"SIM","NÃO")</f>
        <v>NÃO</v>
      </c>
      <c r="AF476" s="60" t="n">
        <v>13</v>
      </c>
      <c r="AG476" s="60" t="n">
        <v>5</v>
      </c>
      <c r="AH476" s="60" t="s">
        <v>385</v>
      </c>
      <c r="AI476" s="61" t="n">
        <f aca="false">(T476*(1-Painel!$C$40)+U476+V476+Painel!$C$41+Painel!$C$42*CEILING(G476/100,1)+Painel!$C$43*CEILING(G476,1)+Z476)/(1-Resumo!$B$5)</f>
        <v>80.0916704545454</v>
      </c>
      <c r="AJ476" s="60" t="str">
        <f aca="false">IF(AI476&lt;S476,"SIM","NÃO")</f>
        <v>SIM</v>
      </c>
    </row>
    <row r="477" customFormat="false" ht="15" hidden="false" customHeight="false" outlineLevel="0" collapsed="false">
      <c r="A477" s="59" t="n">
        <v>46235.7604282407</v>
      </c>
      <c r="B477" s="60" t="s">
        <v>842</v>
      </c>
      <c r="C477" s="60" t="n">
        <v>20511170</v>
      </c>
      <c r="D477" s="60" t="s">
        <v>46</v>
      </c>
      <c r="E477" s="60" t="s">
        <v>22</v>
      </c>
      <c r="F477" s="60" t="s">
        <v>233</v>
      </c>
      <c r="G477" s="60" t="n">
        <v>27.5</v>
      </c>
      <c r="H477" s="61" t="n">
        <v>338</v>
      </c>
      <c r="I477" s="61" t="n">
        <v>42.11</v>
      </c>
      <c r="J477" s="61" t="n">
        <f aca="false">H477*Resumo!$C$6</f>
        <v>0</v>
      </c>
      <c r="K477" s="61" t="n">
        <f aca="false">H477*Resumo!$C$7</f>
        <v>0.7098</v>
      </c>
      <c r="L477" s="61" t="n">
        <f aca="false">H477*Resumo!$C$8</f>
        <v>0.7098</v>
      </c>
      <c r="M477" s="61" t="n">
        <f aca="false">Resumo!$C$10*CEILING(G477/100,1)</f>
        <v>1.05</v>
      </c>
      <c r="N477" s="61" t="n">
        <f aca="false">Resumo!$C$9</f>
        <v>0</v>
      </c>
      <c r="O477" s="61" t="n">
        <f aca="false">Resumo!$C$13</f>
        <v>13.55</v>
      </c>
      <c r="P477" s="61" t="n">
        <f aca="false">Resumo!$C$14*CEILING(G477,1)</f>
        <v>12.6</v>
      </c>
      <c r="Q477" s="61" t="n">
        <f aca="false">SUM(I477:P477)*Resumo!$C$11</f>
        <v>0</v>
      </c>
      <c r="R477" s="61" t="n">
        <f aca="false">SUM(I477:Q477)</f>
        <v>70.7296</v>
      </c>
      <c r="S477" s="61" t="n">
        <f aca="false">R477/(1-Resumo!$C$5)</f>
        <v>80.3745454545455</v>
      </c>
      <c r="T477" s="61" t="n">
        <v>82.21</v>
      </c>
      <c r="U477" s="61" t="n">
        <f aca="false">H477*Resumo!$B$6</f>
        <v>0.338</v>
      </c>
      <c r="V477" s="61" t="n">
        <f aca="false">H477*Resumo!$B$7</f>
        <v>0.676</v>
      </c>
      <c r="W477" s="61" t="n">
        <f aca="false">Resumo!$B$9</f>
        <v>1</v>
      </c>
      <c r="X477" s="61" t="n">
        <f aca="false">Resumo!$B$10*CEILING(G477/100,1)</f>
        <v>4.5</v>
      </c>
      <c r="Y477" s="61" t="n">
        <f aca="false">Resumo!$B$12*CEILING(G477,1)</f>
        <v>1.68</v>
      </c>
      <c r="Z477" s="61" t="n">
        <f aca="false">Resumo!$B$14*CEILING(G477,1)</f>
        <v>12.6</v>
      </c>
      <c r="AA477" s="61" t="n">
        <f aca="false">SUM(T477:Z477)</f>
        <v>103.004</v>
      </c>
      <c r="AB477" s="61" t="n">
        <f aca="false">AA477/(1-Resumo!$B$5)</f>
        <v>117.05</v>
      </c>
      <c r="AC477" s="61" t="n">
        <f aca="false">AB477-S477</f>
        <v>36.6754545454545</v>
      </c>
      <c r="AD477" s="62" t="n">
        <f aca="false">AB477/S477-1</f>
        <v>0.456306836176085</v>
      </c>
      <c r="AE477" s="60" t="str">
        <f aca="false">IF(AB477&lt;S477,"SIM","NÃO")</f>
        <v>NÃO</v>
      </c>
      <c r="AF477" s="60" t="n">
        <v>2</v>
      </c>
      <c r="AG477" s="60" t="n">
        <v>5</v>
      </c>
      <c r="AH477" s="60" t="s">
        <v>382</v>
      </c>
      <c r="AI477" s="61" t="n">
        <f aca="false">(T477*(1-Painel!$C$40)+U477+V477+Painel!$C$41+Painel!$C$42*CEILING(G477/100,1)+Painel!$C$43*CEILING(G477,1)+Z477)/(1-Resumo!$B$5)</f>
        <v>80.3917045454545</v>
      </c>
      <c r="AJ477" s="60" t="str">
        <f aca="false">IF(AI477&lt;S477,"SIM","NÃO")</f>
        <v>NÃO</v>
      </c>
    </row>
    <row r="478" customFormat="false" ht="15" hidden="false" customHeight="false" outlineLevel="0" collapsed="false">
      <c r="A478" s="59" t="n">
        <v>46235.7759837963</v>
      </c>
      <c r="B478" s="60" t="s">
        <v>843</v>
      </c>
      <c r="C478" s="60" t="n">
        <v>28968770</v>
      </c>
      <c r="D478" s="60" t="s">
        <v>340</v>
      </c>
      <c r="E478" s="60" t="s">
        <v>24</v>
      </c>
      <c r="F478" s="60" t="s">
        <v>234</v>
      </c>
      <c r="G478" s="60" t="n">
        <v>36.8</v>
      </c>
      <c r="H478" s="61" t="n">
        <v>418.55</v>
      </c>
      <c r="I478" s="61" t="n">
        <v>74.97</v>
      </c>
      <c r="J478" s="61" t="n">
        <f aca="false">H478*Resumo!$C$6</f>
        <v>0</v>
      </c>
      <c r="K478" s="61" t="n">
        <f aca="false">H478*Resumo!$C$7</f>
        <v>0.878955</v>
      </c>
      <c r="L478" s="61" t="n">
        <f aca="false">H478*Resumo!$C$8</f>
        <v>0.878955</v>
      </c>
      <c r="M478" s="61" t="n">
        <f aca="false">Resumo!$C$10*CEILING(G478/100,1)</f>
        <v>1.05</v>
      </c>
      <c r="N478" s="61" t="n">
        <f aca="false">Resumo!$C$9</f>
        <v>0</v>
      </c>
      <c r="O478" s="61" t="n">
        <f aca="false">Resumo!$C$13</f>
        <v>13.55</v>
      </c>
      <c r="P478" s="61" t="n">
        <f aca="false">Resumo!$C$14*CEILING(G478,1)</f>
        <v>16.65</v>
      </c>
      <c r="Q478" s="61" t="n">
        <f aca="false">SUM(I478:P478)*Resumo!$C$11</f>
        <v>0</v>
      </c>
      <c r="R478" s="61" t="n">
        <f aca="false">SUM(I478:Q478)</f>
        <v>107.97791</v>
      </c>
      <c r="S478" s="61" t="n">
        <f aca="false">R478/(1-Resumo!$C$5)</f>
        <v>122.702170454545</v>
      </c>
      <c r="T478" s="61" t="n">
        <v>124.38</v>
      </c>
      <c r="U478" s="61" t="n">
        <f aca="false">H478*Resumo!$B$6</f>
        <v>0.41855</v>
      </c>
      <c r="V478" s="61" t="n">
        <f aca="false">H478*Resumo!$B$7</f>
        <v>0.8371</v>
      </c>
      <c r="W478" s="61" t="n">
        <f aca="false">Resumo!$B$9</f>
        <v>1</v>
      </c>
      <c r="X478" s="61" t="n">
        <f aca="false">Resumo!$B$10*CEILING(G478/100,1)</f>
        <v>4.5</v>
      </c>
      <c r="Y478" s="61" t="n">
        <f aca="false">Resumo!$B$12*CEILING(G478,1)</f>
        <v>2.22</v>
      </c>
      <c r="Z478" s="61" t="n">
        <f aca="false">Resumo!$B$14*CEILING(G478,1)</f>
        <v>16.65</v>
      </c>
      <c r="AA478" s="61" t="n">
        <f aca="false">SUM(T478:Z478)</f>
        <v>150.00565</v>
      </c>
      <c r="AB478" s="61" t="n">
        <f aca="false">AA478/(1-Resumo!$B$5)</f>
        <v>170.460965909091</v>
      </c>
      <c r="AC478" s="61" t="n">
        <f aca="false">AB478-S478</f>
        <v>47.7587954545454</v>
      </c>
      <c r="AD478" s="62" t="n">
        <f aca="false">AB478/S478-1</f>
        <v>0.389225351740925</v>
      </c>
      <c r="AE478" s="60" t="str">
        <f aca="false">IF(AB478&lt;S478,"SIM","NÃO")</f>
        <v>NÃO</v>
      </c>
      <c r="AF478" s="60" t="n">
        <v>13</v>
      </c>
      <c r="AG478" s="60" t="n">
        <v>10</v>
      </c>
      <c r="AH478" s="60" t="s">
        <v>385</v>
      </c>
      <c r="AI478" s="61" t="n">
        <f aca="false">(T478*(1-Painel!$C$40)+U478+V478+Painel!$C$41+Painel!$C$42*CEILING(G478/100,1)+Painel!$C$43*CEILING(G478,1)+Z478)/(1-Resumo!$B$5)</f>
        <v>117.375284090909</v>
      </c>
      <c r="AJ478" s="60" t="str">
        <f aca="false">IF(AI478&lt;S478,"SIM","NÃO")</f>
        <v>SIM</v>
      </c>
    </row>
    <row r="479" customFormat="false" ht="15" hidden="false" customHeight="false" outlineLevel="0" collapsed="false">
      <c r="A479" s="59" t="n">
        <v>46235.800775463</v>
      </c>
      <c r="B479" s="60" t="s">
        <v>782</v>
      </c>
      <c r="C479" s="60" t="n">
        <v>23075470</v>
      </c>
      <c r="D479" s="60" t="s">
        <v>46</v>
      </c>
      <c r="E479" s="60" t="s">
        <v>22</v>
      </c>
      <c r="F479" s="60" t="s">
        <v>237</v>
      </c>
      <c r="G479" s="60" t="n">
        <v>63.9</v>
      </c>
      <c r="H479" s="61" t="n">
        <v>735.99</v>
      </c>
      <c r="I479" s="61" t="n">
        <v>63.21</v>
      </c>
      <c r="J479" s="61" t="n">
        <f aca="false">H479*Resumo!$C$6</f>
        <v>0</v>
      </c>
      <c r="K479" s="61" t="n">
        <f aca="false">H479*Resumo!$C$7</f>
        <v>1.545579</v>
      </c>
      <c r="L479" s="61" t="n">
        <f aca="false">H479*Resumo!$C$8</f>
        <v>1.545579</v>
      </c>
      <c r="M479" s="61" t="n">
        <f aca="false">Resumo!$C$10*CEILING(G479/100,1)</f>
        <v>1.05</v>
      </c>
      <c r="N479" s="61" t="n">
        <f aca="false">Resumo!$C$9</f>
        <v>0</v>
      </c>
      <c r="O479" s="61" t="n">
        <f aca="false">Resumo!$C$13</f>
        <v>13.55</v>
      </c>
      <c r="P479" s="61" t="n">
        <f aca="false">Resumo!$C$14*CEILING(G479,1)</f>
        <v>28.8</v>
      </c>
      <c r="Q479" s="61" t="n">
        <f aca="false">SUM(I479:P479)*Resumo!$C$11</f>
        <v>0</v>
      </c>
      <c r="R479" s="61" t="n">
        <f aca="false">SUM(I479:Q479)</f>
        <v>109.701158</v>
      </c>
      <c r="S479" s="61" t="n">
        <f aca="false">R479/(1-Resumo!$C$5)</f>
        <v>124.660406818182</v>
      </c>
      <c r="T479" s="61" t="n">
        <v>131.02</v>
      </c>
      <c r="U479" s="61" t="n">
        <f aca="false">H479*Resumo!$B$6</f>
        <v>0.73599</v>
      </c>
      <c r="V479" s="61" t="n">
        <f aca="false">H479*Resumo!$B$7</f>
        <v>1.47198</v>
      </c>
      <c r="W479" s="61" t="n">
        <f aca="false">Resumo!$B$9</f>
        <v>1</v>
      </c>
      <c r="X479" s="61" t="n">
        <f aca="false">Resumo!$B$10*CEILING(G479/100,1)</f>
        <v>4.5</v>
      </c>
      <c r="Y479" s="61" t="n">
        <f aca="false">Resumo!$B$12*CEILING(G479,1)</f>
        <v>3.84</v>
      </c>
      <c r="Z479" s="61" t="n">
        <f aca="false">Resumo!$B$14*CEILING(G479,1)</f>
        <v>28.8</v>
      </c>
      <c r="AA479" s="61" t="n">
        <f aca="false">SUM(T479:Z479)</f>
        <v>171.36797</v>
      </c>
      <c r="AB479" s="61" t="n">
        <f aca="false">AA479/(1-Resumo!$B$5)</f>
        <v>194.736329545455</v>
      </c>
      <c r="AC479" s="61" t="n">
        <f aca="false">AB479-S479</f>
        <v>70.0759227272728</v>
      </c>
      <c r="AD479" s="62" t="n">
        <f aca="false">AB479/S479-1</f>
        <v>0.562134558324353</v>
      </c>
      <c r="AE479" s="60" t="str">
        <f aca="false">IF(AB479&lt;S479,"SIM","NÃO")</f>
        <v>NÃO</v>
      </c>
      <c r="AF479" s="60" t="n">
        <v>2</v>
      </c>
      <c r="AG479" s="60" t="n">
        <v>5</v>
      </c>
      <c r="AH479" s="60" t="s">
        <v>382</v>
      </c>
      <c r="AI479" s="61" t="n">
        <f aca="false">(T479*(1-Painel!$C$40)+U479+V479+Painel!$C$41+Painel!$C$42*CEILING(G479/100,1)+Painel!$C$43*CEILING(G479,1)+Z479)/(1-Resumo!$B$5)</f>
        <v>137.319738636364</v>
      </c>
      <c r="AJ479" s="60" t="str">
        <f aca="false">IF(AI479&lt;S479,"SIM","NÃO")</f>
        <v>NÃO</v>
      </c>
    </row>
    <row r="480" customFormat="false" ht="15" hidden="false" customHeight="false" outlineLevel="0" collapsed="false">
      <c r="A480" s="59" t="n">
        <v>46235.8559259259</v>
      </c>
      <c r="B480" s="60" t="s">
        <v>844</v>
      </c>
      <c r="C480" s="60" t="n">
        <v>21073185</v>
      </c>
      <c r="D480" s="60" t="s">
        <v>46</v>
      </c>
      <c r="E480" s="60" t="s">
        <v>22</v>
      </c>
      <c r="F480" s="60" t="s">
        <v>234</v>
      </c>
      <c r="G480" s="60" t="n">
        <v>40</v>
      </c>
      <c r="H480" s="61" t="n">
        <v>619.99</v>
      </c>
      <c r="I480" s="61" t="n">
        <v>48.35</v>
      </c>
      <c r="J480" s="61" t="n">
        <f aca="false">H480*Resumo!$C$6</f>
        <v>0</v>
      </c>
      <c r="K480" s="61" t="n">
        <f aca="false">H480*Resumo!$C$7</f>
        <v>1.301979</v>
      </c>
      <c r="L480" s="61" t="n">
        <f aca="false">H480*Resumo!$C$8</f>
        <v>1.301979</v>
      </c>
      <c r="M480" s="61" t="n">
        <f aca="false">Resumo!$C$10*CEILING(G480/100,1)</f>
        <v>1.05</v>
      </c>
      <c r="N480" s="61" t="n">
        <f aca="false">Resumo!$C$9</f>
        <v>0</v>
      </c>
      <c r="O480" s="61" t="n">
        <f aca="false">Resumo!$C$13</f>
        <v>13.55</v>
      </c>
      <c r="P480" s="61" t="n">
        <f aca="false">Resumo!$C$14*CEILING(G480,1)</f>
        <v>18</v>
      </c>
      <c r="Q480" s="61" t="n">
        <f aca="false">SUM(I480:P480)*Resumo!$C$11</f>
        <v>0</v>
      </c>
      <c r="R480" s="61" t="n">
        <f aca="false">SUM(I480:Q480)</f>
        <v>83.553958</v>
      </c>
      <c r="S480" s="61" t="n">
        <f aca="false">R480/(1-Resumo!$C$5)</f>
        <v>94.9476795454546</v>
      </c>
      <c r="T480" s="61" t="n">
        <v>93.97</v>
      </c>
      <c r="U480" s="61" t="n">
        <f aca="false">H480*Resumo!$B$6</f>
        <v>0.61999</v>
      </c>
      <c r="V480" s="61" t="n">
        <f aca="false">H480*Resumo!$B$7</f>
        <v>1.23998</v>
      </c>
      <c r="W480" s="61" t="n">
        <f aca="false">Resumo!$B$9</f>
        <v>1</v>
      </c>
      <c r="X480" s="61" t="n">
        <f aca="false">Resumo!$B$10*CEILING(G480/100,1)</f>
        <v>4.5</v>
      </c>
      <c r="Y480" s="61" t="n">
        <f aca="false">Resumo!$B$12*CEILING(G480,1)</f>
        <v>2.4</v>
      </c>
      <c r="Z480" s="61" t="n">
        <f aca="false">Resumo!$B$14*CEILING(G480,1)</f>
        <v>18</v>
      </c>
      <c r="AA480" s="61" t="n">
        <f aca="false">SUM(T480:Z480)</f>
        <v>121.72997</v>
      </c>
      <c r="AB480" s="61" t="n">
        <f aca="false">AA480/(1-Resumo!$B$5)</f>
        <v>138.329511363636</v>
      </c>
      <c r="AC480" s="61" t="n">
        <f aca="false">AB480-S480</f>
        <v>43.3818318181818</v>
      </c>
      <c r="AD480" s="62" t="n">
        <f aca="false">AB480/S480-1</f>
        <v>0.45690249646821</v>
      </c>
      <c r="AE480" s="60" t="str">
        <f aca="false">IF(AB480&lt;S480,"SIM","NÃO")</f>
        <v>NÃO</v>
      </c>
      <c r="AF480" s="60" t="n">
        <v>2</v>
      </c>
      <c r="AG480" s="60" t="n">
        <v>5</v>
      </c>
      <c r="AH480" s="60" t="s">
        <v>382</v>
      </c>
      <c r="AI480" s="61" t="n">
        <f aca="false">(T480*(1-Painel!$C$40)+U480+V480+Painel!$C$41+Painel!$C$42*CEILING(G480/100,1)+Painel!$C$43*CEILING(G480,1)+Z480)/(1-Resumo!$B$5)</f>
        <v>96.4430340909091</v>
      </c>
      <c r="AJ480" s="60" t="str">
        <f aca="false">IF(AI480&lt;S480,"SIM","NÃO")</f>
        <v>NÃO</v>
      </c>
    </row>
    <row r="481" customFormat="false" ht="15" hidden="false" customHeight="false" outlineLevel="0" collapsed="false">
      <c r="A481" s="59" t="n">
        <v>46235.8625694444</v>
      </c>
      <c r="B481" s="60" t="s">
        <v>845</v>
      </c>
      <c r="C481" s="60" t="n">
        <v>20540218</v>
      </c>
      <c r="D481" s="60" t="s">
        <v>46</v>
      </c>
      <c r="E481" s="60" t="s">
        <v>22</v>
      </c>
      <c r="F481" s="60" t="s">
        <v>236</v>
      </c>
      <c r="G481" s="60" t="n">
        <v>52.3</v>
      </c>
      <c r="H481" s="61" t="n">
        <v>637.57</v>
      </c>
      <c r="I481" s="61" t="n">
        <v>58.6</v>
      </c>
      <c r="J481" s="61" t="n">
        <f aca="false">H481*Resumo!$C$6</f>
        <v>0</v>
      </c>
      <c r="K481" s="61" t="n">
        <f aca="false">H481*Resumo!$C$7</f>
        <v>1.338897</v>
      </c>
      <c r="L481" s="61" t="n">
        <f aca="false">H481*Resumo!$C$8</f>
        <v>1.338897</v>
      </c>
      <c r="M481" s="61" t="n">
        <f aca="false">Resumo!$C$10*CEILING(G481/100,1)</f>
        <v>1.05</v>
      </c>
      <c r="N481" s="61" t="n">
        <f aca="false">Resumo!$C$9</f>
        <v>0</v>
      </c>
      <c r="O481" s="61" t="n">
        <f aca="false">Resumo!$C$13</f>
        <v>13.55</v>
      </c>
      <c r="P481" s="61" t="n">
        <f aca="false">Resumo!$C$14*CEILING(G481,1)</f>
        <v>23.85</v>
      </c>
      <c r="Q481" s="61" t="n">
        <f aca="false">SUM(I481:P481)*Resumo!$C$11</f>
        <v>0</v>
      </c>
      <c r="R481" s="61" t="n">
        <f aca="false">SUM(I481:Q481)</f>
        <v>99.727794</v>
      </c>
      <c r="S481" s="61" t="n">
        <f aca="false">R481/(1-Resumo!$C$5)</f>
        <v>113.327038636364</v>
      </c>
      <c r="T481" s="61" t="n">
        <v>112.3</v>
      </c>
      <c r="U481" s="61" t="n">
        <f aca="false">H481*Resumo!$B$6</f>
        <v>0.63757</v>
      </c>
      <c r="V481" s="61" t="n">
        <f aca="false">H481*Resumo!$B$7</f>
        <v>1.27514</v>
      </c>
      <c r="W481" s="61" t="n">
        <f aca="false">Resumo!$B$9</f>
        <v>1</v>
      </c>
      <c r="X481" s="61" t="n">
        <f aca="false">Resumo!$B$10*CEILING(G481/100,1)</f>
        <v>4.5</v>
      </c>
      <c r="Y481" s="61" t="n">
        <f aca="false">Resumo!$B$12*CEILING(G481,1)</f>
        <v>3.18</v>
      </c>
      <c r="Z481" s="61" t="n">
        <f aca="false">Resumo!$B$14*CEILING(G481,1)</f>
        <v>23.85</v>
      </c>
      <c r="AA481" s="61" t="n">
        <f aca="false">SUM(T481:Z481)</f>
        <v>146.74271</v>
      </c>
      <c r="AB481" s="61" t="n">
        <f aca="false">AA481/(1-Resumo!$B$5)</f>
        <v>166.753079545455</v>
      </c>
      <c r="AC481" s="61" t="n">
        <f aca="false">AB481-S481</f>
        <v>53.4260409090909</v>
      </c>
      <c r="AD481" s="62" t="n">
        <f aca="false">AB481/S481-1</f>
        <v>0.471432427353201</v>
      </c>
      <c r="AE481" s="60" t="str">
        <f aca="false">IF(AB481&lt;S481,"SIM","NÃO")</f>
        <v>NÃO</v>
      </c>
      <c r="AF481" s="60" t="n">
        <v>2</v>
      </c>
      <c r="AG481" s="60" t="n">
        <v>5</v>
      </c>
      <c r="AH481" s="60" t="s">
        <v>382</v>
      </c>
      <c r="AI481" s="61" t="n">
        <f aca="false">(T481*(1-Painel!$C$40)+U481+V481+Painel!$C$41+Painel!$C$42*CEILING(G481/100,1)+Painel!$C$43*CEILING(G481,1)+Z481)/(1-Resumo!$B$5)</f>
        <v>117.106488636364</v>
      </c>
      <c r="AJ481" s="60" t="str">
        <f aca="false">IF(AI481&lt;S481,"SIM","NÃO")</f>
        <v>NÃO</v>
      </c>
    </row>
    <row r="482" customFormat="false" ht="15" hidden="false" customHeight="false" outlineLevel="0" collapsed="false">
      <c r="A482" s="59" t="n">
        <v>46235.9599189815</v>
      </c>
      <c r="B482" s="60" t="s">
        <v>846</v>
      </c>
      <c r="C482" s="60" t="n">
        <v>20550011</v>
      </c>
      <c r="D482" s="60" t="s">
        <v>46</v>
      </c>
      <c r="E482" s="60" t="s">
        <v>22</v>
      </c>
      <c r="F482" s="60" t="s">
        <v>233</v>
      </c>
      <c r="G482" s="60" t="n">
        <v>32.13</v>
      </c>
      <c r="H482" s="61" t="n">
        <v>399.99</v>
      </c>
      <c r="I482" s="61" t="n">
        <v>42.11</v>
      </c>
      <c r="J482" s="61" t="n">
        <f aca="false">H482*Resumo!$C$6</f>
        <v>0</v>
      </c>
      <c r="K482" s="61" t="n">
        <f aca="false">H482*Resumo!$C$7</f>
        <v>0.839979</v>
      </c>
      <c r="L482" s="61" t="n">
        <f aca="false">H482*Resumo!$C$8</f>
        <v>0.839979</v>
      </c>
      <c r="M482" s="61" t="n">
        <f aca="false">Resumo!$C$10*CEILING(G482/100,1)</f>
        <v>1.05</v>
      </c>
      <c r="N482" s="61" t="n">
        <f aca="false">Resumo!$C$9</f>
        <v>0</v>
      </c>
      <c r="O482" s="61" t="n">
        <f aca="false">Resumo!$C$13</f>
        <v>13.55</v>
      </c>
      <c r="P482" s="61" t="n">
        <f aca="false">Resumo!$C$14*CEILING(G482,1)</f>
        <v>14.85</v>
      </c>
      <c r="Q482" s="61" t="n">
        <f aca="false">SUM(I482:P482)*Resumo!$C$11</f>
        <v>0</v>
      </c>
      <c r="R482" s="61" t="n">
        <f aca="false">SUM(I482:Q482)</f>
        <v>73.239958</v>
      </c>
      <c r="S482" s="61" t="n">
        <f aca="false">R482/(1-Resumo!$C$5)</f>
        <v>83.227225</v>
      </c>
      <c r="T482" s="61" t="n">
        <v>82.21</v>
      </c>
      <c r="U482" s="61" t="n">
        <f aca="false">H482*Resumo!$B$6</f>
        <v>0.39999</v>
      </c>
      <c r="V482" s="61" t="n">
        <f aca="false">H482*Resumo!$B$7</f>
        <v>0.79998</v>
      </c>
      <c r="W482" s="61" t="n">
        <f aca="false">Resumo!$B$9</f>
        <v>1</v>
      </c>
      <c r="X482" s="61" t="n">
        <f aca="false">Resumo!$B$10*CEILING(G482/100,1)</f>
        <v>4.5</v>
      </c>
      <c r="Y482" s="61" t="n">
        <f aca="false">Resumo!$B$12*CEILING(G482,1)</f>
        <v>1.98</v>
      </c>
      <c r="Z482" s="61" t="n">
        <f aca="false">Resumo!$B$14*CEILING(G482,1)</f>
        <v>14.85</v>
      </c>
      <c r="AA482" s="61" t="n">
        <f aca="false">SUM(T482:Z482)</f>
        <v>105.73997</v>
      </c>
      <c r="AB482" s="61" t="n">
        <f aca="false">AA482/(1-Resumo!$B$5)</f>
        <v>120.159056818182</v>
      </c>
      <c r="AC482" s="61" t="n">
        <f aca="false">AB482-S482</f>
        <v>36.9318318181818</v>
      </c>
      <c r="AD482" s="62" t="n">
        <f aca="false">AB482/S482-1</f>
        <v>0.443747004879495</v>
      </c>
      <c r="AE482" s="60" t="str">
        <f aca="false">IF(AB482&lt;S482,"SIM","NÃO")</f>
        <v>NÃO</v>
      </c>
      <c r="AF482" s="60" t="n">
        <v>2</v>
      </c>
      <c r="AG482" s="60" t="n">
        <v>5</v>
      </c>
      <c r="AH482" s="60" t="s">
        <v>382</v>
      </c>
      <c r="AI482" s="61" t="n">
        <f aca="false">(T482*(1-Painel!$C$40)+U482+V482+Painel!$C$41+Painel!$C$42*CEILING(G482/100,1)+Painel!$C$43*CEILING(G482,1)+Z482)/(1-Resumo!$B$5)</f>
        <v>83.1598522727273</v>
      </c>
      <c r="AJ482" s="60" t="str">
        <f aca="false">IF(AI482&lt;S482,"SIM","NÃO")</f>
        <v>SIM</v>
      </c>
    </row>
    <row r="483" customFormat="false" ht="15" hidden="false" customHeight="false" outlineLevel="0" collapsed="false">
      <c r="A483" s="59" t="n">
        <v>46236.3136342593</v>
      </c>
      <c r="B483" s="60" t="s">
        <v>847</v>
      </c>
      <c r="C483" s="60" t="n">
        <v>28980000</v>
      </c>
      <c r="D483" s="60" t="s">
        <v>222</v>
      </c>
      <c r="E483" s="60" t="s">
        <v>24</v>
      </c>
      <c r="F483" s="60" t="s">
        <v>235</v>
      </c>
      <c r="G483" s="60" t="n">
        <v>48.3</v>
      </c>
      <c r="H483" s="61" t="n">
        <v>424.99</v>
      </c>
      <c r="I483" s="61" t="n">
        <v>77.7</v>
      </c>
      <c r="J483" s="61" t="n">
        <f aca="false">H483*Resumo!$C$6</f>
        <v>0</v>
      </c>
      <c r="K483" s="61" t="n">
        <f aca="false">H483*Resumo!$C$7</f>
        <v>0.892479</v>
      </c>
      <c r="L483" s="61" t="n">
        <f aca="false">H483*Resumo!$C$8</f>
        <v>0.892479</v>
      </c>
      <c r="M483" s="61" t="n">
        <f aca="false">Resumo!$C$10*CEILING(G483/100,1)</f>
        <v>1.05</v>
      </c>
      <c r="N483" s="61" t="n">
        <f aca="false">Resumo!$C$9</f>
        <v>0</v>
      </c>
      <c r="O483" s="61" t="n">
        <f aca="false">Resumo!$C$13</f>
        <v>13.55</v>
      </c>
      <c r="P483" s="61" t="n">
        <f aca="false">Resumo!$C$14*CEILING(G483,1)</f>
        <v>22.05</v>
      </c>
      <c r="Q483" s="61" t="n">
        <f aca="false">SUM(I483:P483)*Resumo!$C$11</f>
        <v>0</v>
      </c>
      <c r="R483" s="61" t="n">
        <f aca="false">SUM(I483:Q483)</f>
        <v>116.134958</v>
      </c>
      <c r="S483" s="61" t="n">
        <f aca="false">R483/(1-Resumo!$C$5)</f>
        <v>131.971543181818</v>
      </c>
      <c r="T483" s="61" t="n">
        <v>129.29</v>
      </c>
      <c r="U483" s="61" t="n">
        <f aca="false">H483*Resumo!$B$6</f>
        <v>0.42499</v>
      </c>
      <c r="V483" s="61" t="n">
        <f aca="false">H483*Resumo!$B$7</f>
        <v>0.84998</v>
      </c>
      <c r="W483" s="61" t="n">
        <f aca="false">Resumo!$B$9</f>
        <v>1</v>
      </c>
      <c r="X483" s="61" t="n">
        <f aca="false">Resumo!$B$10*CEILING(G483/100,1)</f>
        <v>4.5</v>
      </c>
      <c r="Y483" s="61" t="n">
        <f aca="false">Resumo!$B$12*CEILING(G483,1)</f>
        <v>2.94</v>
      </c>
      <c r="Z483" s="61" t="n">
        <f aca="false">Resumo!$B$14*CEILING(G483,1)</f>
        <v>22.05</v>
      </c>
      <c r="AA483" s="61" t="n">
        <f aca="false">SUM(T483:Z483)</f>
        <v>161.05497</v>
      </c>
      <c r="AB483" s="61" t="n">
        <f aca="false">AA483/(1-Resumo!$B$5)</f>
        <v>183.017011363636</v>
      </c>
      <c r="AC483" s="61" t="n">
        <f aca="false">AB483-S483</f>
        <v>51.0454681818182</v>
      </c>
      <c r="AD483" s="62" t="n">
        <f aca="false">AB483/S483-1</f>
        <v>0.386791477549766</v>
      </c>
      <c r="AE483" s="60" t="str">
        <f aca="false">IF(AB483&lt;S483,"SIM","NÃO")</f>
        <v>NÃO</v>
      </c>
      <c r="AF483" s="60" t="n">
        <v>13</v>
      </c>
      <c r="AG483" s="60" t="n">
        <v>10</v>
      </c>
      <c r="AH483" s="60" t="s">
        <v>382</v>
      </c>
      <c r="AI483" s="61" t="n">
        <f aca="false">(T483*(1-Painel!$C$40)+U483+V483+Painel!$C$41+Painel!$C$42*CEILING(G483/100,1)+Painel!$C$43*CEILING(G483,1)+Z483)/(1-Resumo!$B$5)</f>
        <v>127.271897727273</v>
      </c>
      <c r="AJ483" s="60" t="str">
        <f aca="false">IF(AI483&lt;S483,"SIM","NÃO")</f>
        <v>SIM</v>
      </c>
    </row>
    <row r="484" customFormat="false" ht="15" hidden="false" customHeight="false" outlineLevel="0" collapsed="false">
      <c r="A484" s="59" t="n">
        <v>46236.4037384259</v>
      </c>
      <c r="B484" s="60" t="s">
        <v>848</v>
      </c>
      <c r="C484" s="60" t="n">
        <v>26587000</v>
      </c>
      <c r="D484" s="60" t="s">
        <v>224</v>
      </c>
      <c r="E484" s="60" t="s">
        <v>23</v>
      </c>
      <c r="F484" s="60" t="s">
        <v>232</v>
      </c>
      <c r="G484" s="60" t="n">
        <v>19.5</v>
      </c>
      <c r="H484" s="61" t="n">
        <v>379.99</v>
      </c>
      <c r="I484" s="61" t="n">
        <v>42.72</v>
      </c>
      <c r="J484" s="61" t="n">
        <f aca="false">H484*Resumo!$C$6</f>
        <v>0</v>
      </c>
      <c r="K484" s="61" t="n">
        <f aca="false">H484*Resumo!$C$7</f>
        <v>0.797979</v>
      </c>
      <c r="L484" s="61" t="n">
        <f aca="false">H484*Resumo!$C$8</f>
        <v>0.797979</v>
      </c>
      <c r="M484" s="61" t="n">
        <f aca="false">Resumo!$C$10*CEILING(G484/100,1)</f>
        <v>1.05</v>
      </c>
      <c r="N484" s="61" t="n">
        <f aca="false">Resumo!$C$9</f>
        <v>0</v>
      </c>
      <c r="O484" s="61" t="n">
        <f aca="false">Resumo!$C$13</f>
        <v>13.55</v>
      </c>
      <c r="P484" s="61" t="n">
        <f aca="false">Resumo!$C$14*CEILING(G484,1)</f>
        <v>9</v>
      </c>
      <c r="Q484" s="61" t="n">
        <f aca="false">SUM(I484:P484)*Resumo!$C$11</f>
        <v>0</v>
      </c>
      <c r="R484" s="61" t="n">
        <f aca="false">SUM(I484:Q484)</f>
        <v>67.915958</v>
      </c>
      <c r="S484" s="61" t="n">
        <f aca="false">R484/(1-Resumo!$C$5)</f>
        <v>77.177225</v>
      </c>
      <c r="T484" s="61" t="n">
        <v>46.98</v>
      </c>
      <c r="U484" s="61" t="n">
        <f aca="false">H484*Resumo!$B$6</f>
        <v>0.37999</v>
      </c>
      <c r="V484" s="61" t="n">
        <f aca="false">H484*Resumo!$B$7</f>
        <v>0.75998</v>
      </c>
      <c r="W484" s="61" t="n">
        <f aca="false">Resumo!$B$9</f>
        <v>1</v>
      </c>
      <c r="X484" s="61" t="n">
        <f aca="false">Resumo!$B$10*CEILING(G484/100,1)</f>
        <v>4.5</v>
      </c>
      <c r="Y484" s="61" t="n">
        <f aca="false">Resumo!$B$12*CEILING(G484,1)</f>
        <v>1.2</v>
      </c>
      <c r="Z484" s="61" t="n">
        <f aca="false">Resumo!$B$14*CEILING(G484,1)</f>
        <v>9</v>
      </c>
      <c r="AA484" s="61" t="n">
        <f aca="false">SUM(T484:Z484)</f>
        <v>63.81997</v>
      </c>
      <c r="AB484" s="61" t="n">
        <f aca="false">AA484/(1-Resumo!$B$5)</f>
        <v>72.5226931818182</v>
      </c>
      <c r="AC484" s="61" t="n">
        <f aca="false">AB484-S484</f>
        <v>-4.65453181818181</v>
      </c>
      <c r="AD484" s="62" t="n">
        <f aca="false">AB484/S484-1</f>
        <v>-0.0603096550592718</v>
      </c>
      <c r="AE484" s="60" t="str">
        <f aca="false">IF(AB484&lt;S484,"SIM","NÃO")</f>
        <v>SIM</v>
      </c>
      <c r="AF484" s="60" t="n">
        <v>2</v>
      </c>
      <c r="AG484" s="60" t="n">
        <v>5</v>
      </c>
      <c r="AH484" s="60" t="s">
        <v>382</v>
      </c>
      <c r="AI484" s="61" t="n">
        <f aca="false">(T484*(1-Painel!$C$40)+U484+V484+Painel!$C$41+Painel!$C$42*CEILING(G484/100,1)+Painel!$C$43*CEILING(G484,1)+Z484)/(1-Resumo!$B$5)</f>
        <v>49.6211022727273</v>
      </c>
      <c r="AJ484" s="60" t="str">
        <f aca="false">IF(AI484&lt;S484,"SIM","NÃO")</f>
        <v>SIM</v>
      </c>
    </row>
    <row r="485" customFormat="false" ht="15" hidden="false" customHeight="false" outlineLevel="0" collapsed="false">
      <c r="A485" s="59" t="n">
        <v>46236.4432291667</v>
      </c>
      <c r="B485" s="60" t="s">
        <v>849</v>
      </c>
      <c r="C485" s="60" t="n">
        <v>21061020</v>
      </c>
      <c r="D485" s="60" t="s">
        <v>46</v>
      </c>
      <c r="E485" s="60" t="s">
        <v>22</v>
      </c>
      <c r="F485" s="60" t="s">
        <v>235</v>
      </c>
      <c r="G485" s="60" t="n">
        <v>45.3</v>
      </c>
      <c r="H485" s="61" t="n">
        <v>699.99</v>
      </c>
      <c r="I485" s="61" t="n">
        <v>53.55</v>
      </c>
      <c r="J485" s="61" t="n">
        <f aca="false">H485*Resumo!$C$6</f>
        <v>0</v>
      </c>
      <c r="K485" s="61" t="n">
        <f aca="false">H485*Resumo!$C$7</f>
        <v>1.469979</v>
      </c>
      <c r="L485" s="61" t="n">
        <f aca="false">H485*Resumo!$C$8</f>
        <v>1.469979</v>
      </c>
      <c r="M485" s="61" t="n">
        <f aca="false">Resumo!$C$10*CEILING(G485/100,1)</f>
        <v>1.05</v>
      </c>
      <c r="N485" s="61" t="n">
        <f aca="false">Resumo!$C$9</f>
        <v>0</v>
      </c>
      <c r="O485" s="61" t="n">
        <f aca="false">Resumo!$C$13</f>
        <v>13.55</v>
      </c>
      <c r="P485" s="61" t="n">
        <f aca="false">Resumo!$C$14*CEILING(G485,1)</f>
        <v>20.7</v>
      </c>
      <c r="Q485" s="61" t="n">
        <f aca="false">SUM(I485:P485)*Resumo!$C$11</f>
        <v>0</v>
      </c>
      <c r="R485" s="61" t="n">
        <f aca="false">SUM(I485:Q485)</f>
        <v>91.789958</v>
      </c>
      <c r="S485" s="61" t="n">
        <f aca="false">R485/(1-Resumo!$C$5)</f>
        <v>104.306770454545</v>
      </c>
      <c r="T485" s="61" t="n">
        <v>93.97</v>
      </c>
      <c r="U485" s="61" t="n">
        <f aca="false">H485*Resumo!$B$6</f>
        <v>0.69999</v>
      </c>
      <c r="V485" s="61" t="n">
        <f aca="false">H485*Resumo!$B$7</f>
        <v>1.39998</v>
      </c>
      <c r="W485" s="61" t="n">
        <f aca="false">Resumo!$B$9</f>
        <v>1</v>
      </c>
      <c r="X485" s="61" t="n">
        <f aca="false">Resumo!$B$10*CEILING(G485/100,1)</f>
        <v>4.5</v>
      </c>
      <c r="Y485" s="61" t="n">
        <f aca="false">Resumo!$B$12*CEILING(G485,1)</f>
        <v>2.76</v>
      </c>
      <c r="Z485" s="61" t="n">
        <f aca="false">Resumo!$B$14*CEILING(G485,1)</f>
        <v>20.7</v>
      </c>
      <c r="AA485" s="61" t="n">
        <f aca="false">SUM(T485:Z485)</f>
        <v>125.02997</v>
      </c>
      <c r="AB485" s="61" t="n">
        <f aca="false">AA485/(1-Resumo!$B$5)</f>
        <v>142.079511363636</v>
      </c>
      <c r="AC485" s="61" t="n">
        <f aca="false">AB485-S485</f>
        <v>37.7727409090909</v>
      </c>
      <c r="AD485" s="62" t="n">
        <f aca="false">AB485/S485-1</f>
        <v>0.362131247516204</v>
      </c>
      <c r="AE485" s="60" t="str">
        <f aca="false">IF(AB485&lt;S485,"SIM","NÃO")</f>
        <v>NÃO</v>
      </c>
      <c r="AF485" s="60" t="n">
        <v>2</v>
      </c>
      <c r="AG485" s="60" t="n">
        <v>5</v>
      </c>
      <c r="AH485" s="60" t="s">
        <v>382</v>
      </c>
      <c r="AI485" s="61" t="n">
        <f aca="false">(T485*(1-Painel!$C$40)+U485+V485+Painel!$C$41+Painel!$C$42*CEILING(G485/100,1)+Painel!$C$43*CEILING(G485,1)+Z485)/(1-Resumo!$B$5)</f>
        <v>99.7839431818182</v>
      </c>
      <c r="AJ485" s="60" t="str">
        <f aca="false">IF(AI485&lt;S485,"SIM","NÃO")</f>
        <v>SIM</v>
      </c>
    </row>
    <row r="486" customFormat="false" ht="15" hidden="false" customHeight="false" outlineLevel="0" collapsed="false">
      <c r="A486" s="59" t="n">
        <v>46236.454849537</v>
      </c>
      <c r="B486" s="60" t="s">
        <v>850</v>
      </c>
      <c r="C486" s="60" t="n">
        <v>25545300</v>
      </c>
      <c r="D486" s="60" t="s">
        <v>216</v>
      </c>
      <c r="E486" s="60" t="s">
        <v>23</v>
      </c>
      <c r="F486" s="60" t="s">
        <v>235</v>
      </c>
      <c r="G486" s="60" t="n">
        <v>46.8</v>
      </c>
      <c r="H486" s="61" t="n">
        <v>599.99</v>
      </c>
      <c r="I486" s="61" t="n">
        <v>65.36</v>
      </c>
      <c r="J486" s="61" t="n">
        <f aca="false">H486*Resumo!$C$6</f>
        <v>0</v>
      </c>
      <c r="K486" s="61" t="n">
        <f aca="false">H486*Resumo!$C$7</f>
        <v>1.259979</v>
      </c>
      <c r="L486" s="61" t="n">
        <f aca="false">H486*Resumo!$C$8</f>
        <v>1.259979</v>
      </c>
      <c r="M486" s="61" t="n">
        <f aca="false">Resumo!$C$10*CEILING(G486/100,1)</f>
        <v>1.05</v>
      </c>
      <c r="N486" s="61" t="n">
        <f aca="false">Resumo!$C$9</f>
        <v>0</v>
      </c>
      <c r="O486" s="61" t="n">
        <f aca="false">Resumo!$C$13</f>
        <v>13.55</v>
      </c>
      <c r="P486" s="61" t="n">
        <f aca="false">Resumo!$C$14*CEILING(G486,1)</f>
        <v>21.15</v>
      </c>
      <c r="Q486" s="61" t="n">
        <f aca="false">SUM(I486:P486)*Resumo!$C$11</f>
        <v>0</v>
      </c>
      <c r="R486" s="61" t="n">
        <f aca="false">SUM(I486:Q486)</f>
        <v>103.629958</v>
      </c>
      <c r="S486" s="61" t="n">
        <f aca="false">R486/(1-Resumo!$C$5)</f>
        <v>117.761315909091</v>
      </c>
      <c r="T486" s="61" t="n">
        <v>93.97</v>
      </c>
      <c r="U486" s="61" t="n">
        <f aca="false">H486*Resumo!$B$6</f>
        <v>0.59999</v>
      </c>
      <c r="V486" s="61" t="n">
        <f aca="false">H486*Resumo!$B$7</f>
        <v>1.19998</v>
      </c>
      <c r="W486" s="61" t="n">
        <f aca="false">Resumo!$B$9</f>
        <v>1</v>
      </c>
      <c r="X486" s="61" t="n">
        <f aca="false">Resumo!$B$10*CEILING(G486/100,1)</f>
        <v>4.5</v>
      </c>
      <c r="Y486" s="61" t="n">
        <f aca="false">Resumo!$B$12*CEILING(G486,1)</f>
        <v>2.82</v>
      </c>
      <c r="Z486" s="61" t="n">
        <f aca="false">Resumo!$B$14*CEILING(G486,1)</f>
        <v>21.15</v>
      </c>
      <c r="AA486" s="61" t="n">
        <f aca="false">SUM(T486:Z486)</f>
        <v>125.23997</v>
      </c>
      <c r="AB486" s="61" t="n">
        <f aca="false">AA486/(1-Resumo!$B$5)</f>
        <v>142.318147727273</v>
      </c>
      <c r="AC486" s="61" t="n">
        <f aca="false">AB486-S486</f>
        <v>24.5568318181818</v>
      </c>
      <c r="AD486" s="62" t="n">
        <f aca="false">AB486/S486-1</f>
        <v>0.208530548666246</v>
      </c>
      <c r="AE486" s="60" t="str">
        <f aca="false">IF(AB486&lt;S486,"SIM","NÃO")</f>
        <v>NÃO</v>
      </c>
      <c r="AF486" s="60" t="n">
        <v>2</v>
      </c>
      <c r="AG486" s="60" t="n">
        <v>5</v>
      </c>
      <c r="AH486" s="60" t="s">
        <v>382</v>
      </c>
      <c r="AI486" s="61" t="n">
        <f aca="false">(T486*(1-Painel!$C$40)+U486+V486+Painel!$C$41+Painel!$C$42*CEILING(G486/100,1)+Painel!$C$43*CEILING(G486,1)+Z486)/(1-Resumo!$B$5)</f>
        <v>99.9543977272727</v>
      </c>
      <c r="AJ486" s="60" t="str">
        <f aca="false">IF(AI486&lt;S486,"SIM","NÃO")</f>
        <v>SIM</v>
      </c>
    </row>
    <row r="487" customFormat="false" ht="15" hidden="false" customHeight="false" outlineLevel="0" collapsed="false">
      <c r="A487" s="59" t="n">
        <v>46236.4597569444</v>
      </c>
      <c r="B487" s="60" t="s">
        <v>851</v>
      </c>
      <c r="C487" s="60" t="n">
        <v>25086296</v>
      </c>
      <c r="D487" s="60" t="s">
        <v>48</v>
      </c>
      <c r="E487" s="60" t="s">
        <v>23</v>
      </c>
      <c r="F487" s="60" t="s">
        <v>234</v>
      </c>
      <c r="G487" s="60" t="n">
        <v>37.59</v>
      </c>
      <c r="H487" s="61" t="n">
        <v>424.99</v>
      </c>
      <c r="I487" s="61" t="n">
        <v>66.83</v>
      </c>
      <c r="J487" s="61" t="n">
        <f aca="false">H487*Resumo!$C$6</f>
        <v>0</v>
      </c>
      <c r="K487" s="61" t="n">
        <f aca="false">H487*Resumo!$C$7</f>
        <v>0.892479</v>
      </c>
      <c r="L487" s="61" t="n">
        <f aca="false">H487*Resumo!$C$8</f>
        <v>0.892479</v>
      </c>
      <c r="M487" s="61" t="n">
        <f aca="false">Resumo!$C$10*CEILING(G487/100,1)</f>
        <v>1.05</v>
      </c>
      <c r="N487" s="61" t="n">
        <f aca="false">Resumo!$C$9</f>
        <v>0</v>
      </c>
      <c r="O487" s="61" t="n">
        <f aca="false">Resumo!$C$13</f>
        <v>13.55</v>
      </c>
      <c r="P487" s="61" t="n">
        <f aca="false">Resumo!$C$14*CEILING(G487,1)</f>
        <v>17.1</v>
      </c>
      <c r="Q487" s="61" t="n">
        <f aca="false">SUM(I487:P487)*Resumo!$C$11</f>
        <v>0</v>
      </c>
      <c r="R487" s="61" t="n">
        <f aca="false">SUM(I487:Q487)</f>
        <v>100.314958</v>
      </c>
      <c r="S487" s="61" t="n">
        <f aca="false">R487/(1-Resumo!$C$5)</f>
        <v>113.994270454545</v>
      </c>
      <c r="T487" s="61" t="n">
        <v>93.97</v>
      </c>
      <c r="U487" s="61" t="n">
        <f aca="false">H487*Resumo!$B$6</f>
        <v>0.42499</v>
      </c>
      <c r="V487" s="61" t="n">
        <f aca="false">H487*Resumo!$B$7</f>
        <v>0.84998</v>
      </c>
      <c r="W487" s="61" t="n">
        <f aca="false">Resumo!$B$9</f>
        <v>1</v>
      </c>
      <c r="X487" s="61" t="n">
        <f aca="false">Resumo!$B$10*CEILING(G487/100,1)</f>
        <v>4.5</v>
      </c>
      <c r="Y487" s="61" t="n">
        <f aca="false">Resumo!$B$12*CEILING(G487,1)</f>
        <v>2.28</v>
      </c>
      <c r="Z487" s="61" t="n">
        <f aca="false">Resumo!$B$14*CEILING(G487,1)</f>
        <v>17.1</v>
      </c>
      <c r="AA487" s="61" t="n">
        <f aca="false">SUM(T487:Z487)</f>
        <v>120.12497</v>
      </c>
      <c r="AB487" s="61" t="n">
        <f aca="false">AA487/(1-Resumo!$B$5)</f>
        <v>136.505647727273</v>
      </c>
      <c r="AC487" s="61" t="n">
        <f aca="false">AB487-S487</f>
        <v>22.5113772727273</v>
      </c>
      <c r="AD487" s="62" t="n">
        <f aca="false">AB487/S487-1</f>
        <v>0.197478146778469</v>
      </c>
      <c r="AE487" s="60" t="str">
        <f aca="false">IF(AB487&lt;S487,"SIM","NÃO")</f>
        <v>NÃO</v>
      </c>
      <c r="AF487" s="60" t="n">
        <v>2</v>
      </c>
      <c r="AG487" s="60" t="n">
        <v>5</v>
      </c>
      <c r="AH487" s="60" t="s">
        <v>382</v>
      </c>
      <c r="AI487" s="61" t="n">
        <f aca="false">(T487*(1-Painel!$C$40)+U487+V487+Painel!$C$41+Painel!$C$42*CEILING(G487/100,1)+Painel!$C$43*CEILING(G487,1)+Z487)/(1-Resumo!$B$5)</f>
        <v>94.7555340909091</v>
      </c>
      <c r="AJ487" s="60" t="str">
        <f aca="false">IF(AI487&lt;S487,"SIM","NÃO")</f>
        <v>SIM</v>
      </c>
    </row>
    <row r="488" customFormat="false" ht="15" hidden="false" customHeight="false" outlineLevel="0" collapsed="false">
      <c r="A488" s="59" t="n">
        <v>46236.5358449074</v>
      </c>
      <c r="B488" s="60" t="s">
        <v>852</v>
      </c>
      <c r="C488" s="60" t="n">
        <v>22773260</v>
      </c>
      <c r="D488" s="60" t="s">
        <v>46</v>
      </c>
      <c r="E488" s="60" t="s">
        <v>22</v>
      </c>
      <c r="F488" s="60" t="s">
        <v>234</v>
      </c>
      <c r="G488" s="60" t="n">
        <v>36.8</v>
      </c>
      <c r="H488" s="61" t="n">
        <v>499.99</v>
      </c>
      <c r="I488" s="61" t="n">
        <v>48.35</v>
      </c>
      <c r="J488" s="61" t="n">
        <f aca="false">H488*Resumo!$C$6</f>
        <v>0</v>
      </c>
      <c r="K488" s="61" t="n">
        <f aca="false">H488*Resumo!$C$7</f>
        <v>1.049979</v>
      </c>
      <c r="L488" s="61" t="n">
        <f aca="false">H488*Resumo!$C$8</f>
        <v>1.049979</v>
      </c>
      <c r="M488" s="61" t="n">
        <f aca="false">Resumo!$C$10*CEILING(G488/100,1)</f>
        <v>1.05</v>
      </c>
      <c r="N488" s="61" t="n">
        <f aca="false">Resumo!$C$9</f>
        <v>0</v>
      </c>
      <c r="O488" s="61" t="n">
        <f aca="false">Resumo!$C$13</f>
        <v>13.55</v>
      </c>
      <c r="P488" s="61" t="n">
        <f aca="false">Resumo!$C$14*CEILING(G488,1)</f>
        <v>16.65</v>
      </c>
      <c r="Q488" s="61" t="n">
        <f aca="false">SUM(I488:P488)*Resumo!$C$11</f>
        <v>0</v>
      </c>
      <c r="R488" s="61" t="n">
        <f aca="false">SUM(I488:Q488)</f>
        <v>81.699958</v>
      </c>
      <c r="S488" s="61" t="n">
        <f aca="false">R488/(1-Resumo!$C$5)</f>
        <v>92.8408613636364</v>
      </c>
      <c r="T488" s="61" t="n">
        <v>93.97</v>
      </c>
      <c r="U488" s="61" t="n">
        <f aca="false">H488*Resumo!$B$6</f>
        <v>0.49999</v>
      </c>
      <c r="V488" s="61" t="n">
        <f aca="false">H488*Resumo!$B$7</f>
        <v>0.99998</v>
      </c>
      <c r="W488" s="61" t="n">
        <f aca="false">Resumo!$B$9</f>
        <v>1</v>
      </c>
      <c r="X488" s="61" t="n">
        <f aca="false">Resumo!$B$10*CEILING(G488/100,1)</f>
        <v>4.5</v>
      </c>
      <c r="Y488" s="61" t="n">
        <f aca="false">Resumo!$B$12*CEILING(G488,1)</f>
        <v>2.22</v>
      </c>
      <c r="Z488" s="61" t="n">
        <f aca="false">Resumo!$B$14*CEILING(G488,1)</f>
        <v>16.65</v>
      </c>
      <c r="AA488" s="61" t="n">
        <f aca="false">SUM(T488:Z488)</f>
        <v>119.83997</v>
      </c>
      <c r="AB488" s="61" t="n">
        <f aca="false">AA488/(1-Resumo!$B$5)</f>
        <v>136.181784090909</v>
      </c>
      <c r="AC488" s="61" t="n">
        <f aca="false">AB488-S488</f>
        <v>43.3409227272727</v>
      </c>
      <c r="AD488" s="62" t="n">
        <f aca="false">AB488/S488-1</f>
        <v>0.466830252226078</v>
      </c>
      <c r="AE488" s="60" t="str">
        <f aca="false">IF(AB488&lt;S488,"SIM","NÃO")</f>
        <v>NÃO</v>
      </c>
      <c r="AF488" s="60" t="n">
        <v>2</v>
      </c>
      <c r="AG488" s="60" t="n">
        <v>5</v>
      </c>
      <c r="AH488" s="60" t="s">
        <v>382</v>
      </c>
      <c r="AI488" s="61" t="n">
        <f aca="false">(T488*(1-Painel!$C$40)+U488+V488+Painel!$C$41+Painel!$C$42*CEILING(G488/100,1)+Painel!$C$43*CEILING(G488,1)+Z488)/(1-Resumo!$B$5)</f>
        <v>94.4998522727273</v>
      </c>
      <c r="AJ488" s="60" t="str">
        <f aca="false">IF(AI488&lt;S488,"SIM","NÃO")</f>
        <v>NÃO</v>
      </c>
    </row>
    <row r="489" customFormat="false" ht="15" hidden="false" customHeight="false" outlineLevel="0" collapsed="false">
      <c r="A489" s="59" t="n">
        <v>46236.5669675926</v>
      </c>
      <c r="B489" s="60" t="s">
        <v>853</v>
      </c>
      <c r="C489" s="60" t="n">
        <v>21250540</v>
      </c>
      <c r="D489" s="60" t="s">
        <v>46</v>
      </c>
      <c r="E489" s="60" t="s">
        <v>22</v>
      </c>
      <c r="F489" s="60" t="s">
        <v>237</v>
      </c>
      <c r="G489" s="60" t="n">
        <v>60.1</v>
      </c>
      <c r="H489" s="61" t="n">
        <v>999.09</v>
      </c>
      <c r="I489" s="61" t="n">
        <v>63.21</v>
      </c>
      <c r="J489" s="61" t="n">
        <f aca="false">H489*Resumo!$C$6</f>
        <v>0</v>
      </c>
      <c r="K489" s="61" t="n">
        <f aca="false">H489*Resumo!$C$7</f>
        <v>2.098089</v>
      </c>
      <c r="L489" s="61" t="n">
        <f aca="false">H489*Resumo!$C$8</f>
        <v>2.098089</v>
      </c>
      <c r="M489" s="61" t="n">
        <f aca="false">Resumo!$C$10*CEILING(G489/100,1)</f>
        <v>1.05</v>
      </c>
      <c r="N489" s="61" t="n">
        <f aca="false">Resumo!$C$9</f>
        <v>0</v>
      </c>
      <c r="O489" s="61" t="n">
        <f aca="false">Resumo!$C$13</f>
        <v>13.55</v>
      </c>
      <c r="P489" s="61" t="n">
        <f aca="false">Resumo!$C$14*CEILING(G489,1)</f>
        <v>27.45</v>
      </c>
      <c r="Q489" s="61" t="n">
        <f aca="false">SUM(I489:P489)*Resumo!$C$11</f>
        <v>0</v>
      </c>
      <c r="R489" s="61" t="n">
        <f aca="false">SUM(I489:Q489)</f>
        <v>109.456178</v>
      </c>
      <c r="S489" s="61" t="n">
        <f aca="false">R489/(1-Resumo!$C$5)</f>
        <v>124.382020454545</v>
      </c>
      <c r="T489" s="61" t="n">
        <v>131.02</v>
      </c>
      <c r="U489" s="61" t="n">
        <f aca="false">H489*Resumo!$B$6</f>
        <v>0.99909</v>
      </c>
      <c r="V489" s="61" t="n">
        <f aca="false">H489*Resumo!$B$7</f>
        <v>1.99818</v>
      </c>
      <c r="W489" s="61" t="n">
        <f aca="false">Resumo!$B$9</f>
        <v>1</v>
      </c>
      <c r="X489" s="61" t="n">
        <f aca="false">Resumo!$B$10*CEILING(G489/100,1)</f>
        <v>4.5</v>
      </c>
      <c r="Y489" s="61" t="n">
        <f aca="false">Resumo!$B$12*CEILING(G489,1)</f>
        <v>3.66</v>
      </c>
      <c r="Z489" s="61" t="n">
        <f aca="false">Resumo!$B$14*CEILING(G489,1)</f>
        <v>27.45</v>
      </c>
      <c r="AA489" s="61" t="n">
        <f aca="false">SUM(T489:Z489)</f>
        <v>170.62727</v>
      </c>
      <c r="AB489" s="61" t="n">
        <f aca="false">AA489/(1-Resumo!$B$5)</f>
        <v>193.894625</v>
      </c>
      <c r="AC489" s="61" t="n">
        <f aca="false">AB489-S489</f>
        <v>69.5126045454546</v>
      </c>
      <c r="AD489" s="62" t="n">
        <f aca="false">AB489/S489-1</f>
        <v>0.558863767379124</v>
      </c>
      <c r="AE489" s="60" t="str">
        <f aca="false">IF(AB489&lt;S489,"SIM","NÃO")</f>
        <v>NÃO</v>
      </c>
      <c r="AF489" s="60" t="n">
        <v>2</v>
      </c>
      <c r="AG489" s="60" t="n">
        <v>5</v>
      </c>
      <c r="AH489" s="60" t="s">
        <v>382</v>
      </c>
      <c r="AI489" s="61" t="n">
        <f aca="false">(T489*(1-Painel!$C$40)+U489+V489+Painel!$C$41+Painel!$C$42*CEILING(G489/100,1)+Painel!$C$43*CEILING(G489,1)+Z489)/(1-Resumo!$B$5)</f>
        <v>136.682579545455</v>
      </c>
      <c r="AJ489" s="60" t="str">
        <f aca="false">IF(AI489&lt;S489,"SIM","NÃO")</f>
        <v>NÃO</v>
      </c>
    </row>
    <row r="490" customFormat="false" ht="15" hidden="false" customHeight="false" outlineLevel="0" collapsed="false">
      <c r="A490" s="59" t="n">
        <v>46236.6143518519</v>
      </c>
      <c r="B490" s="60" t="s">
        <v>854</v>
      </c>
      <c r="C490" s="60" t="n">
        <v>23076410</v>
      </c>
      <c r="D490" s="60" t="s">
        <v>46</v>
      </c>
      <c r="E490" s="60" t="s">
        <v>22</v>
      </c>
      <c r="F490" s="60" t="s">
        <v>236</v>
      </c>
      <c r="G490" s="60" t="n">
        <v>58.6</v>
      </c>
      <c r="H490" s="61" t="n">
        <v>669.99</v>
      </c>
      <c r="I490" s="61" t="n">
        <v>58.6</v>
      </c>
      <c r="J490" s="61" t="n">
        <f aca="false">H490*Resumo!$C$6</f>
        <v>0</v>
      </c>
      <c r="K490" s="61" t="n">
        <f aca="false">H490*Resumo!$C$7</f>
        <v>1.406979</v>
      </c>
      <c r="L490" s="61" t="n">
        <f aca="false">H490*Resumo!$C$8</f>
        <v>1.406979</v>
      </c>
      <c r="M490" s="61" t="n">
        <f aca="false">Resumo!$C$10*CEILING(G490/100,1)</f>
        <v>1.05</v>
      </c>
      <c r="N490" s="61" t="n">
        <f aca="false">Resumo!$C$9</f>
        <v>0</v>
      </c>
      <c r="O490" s="61" t="n">
        <f aca="false">Resumo!$C$13</f>
        <v>13.55</v>
      </c>
      <c r="P490" s="61" t="n">
        <f aca="false">Resumo!$C$14*CEILING(G490,1)</f>
        <v>26.55</v>
      </c>
      <c r="Q490" s="61" t="n">
        <f aca="false">SUM(I490:P490)*Resumo!$C$11</f>
        <v>0</v>
      </c>
      <c r="R490" s="61" t="n">
        <f aca="false">SUM(I490:Q490)</f>
        <v>102.563958</v>
      </c>
      <c r="S490" s="61" t="n">
        <f aca="false">R490/(1-Resumo!$C$5)</f>
        <v>116.549952272727</v>
      </c>
      <c r="T490" s="61" t="n">
        <v>112.3</v>
      </c>
      <c r="U490" s="61" t="n">
        <f aca="false">H490*Resumo!$B$6</f>
        <v>0.66999</v>
      </c>
      <c r="V490" s="61" t="n">
        <f aca="false">H490*Resumo!$B$7</f>
        <v>1.33998</v>
      </c>
      <c r="W490" s="61" t="n">
        <f aca="false">Resumo!$B$9</f>
        <v>1</v>
      </c>
      <c r="X490" s="61" t="n">
        <f aca="false">Resumo!$B$10*CEILING(G490/100,1)</f>
        <v>4.5</v>
      </c>
      <c r="Y490" s="61" t="n">
        <f aca="false">Resumo!$B$12*CEILING(G490,1)</f>
        <v>3.54</v>
      </c>
      <c r="Z490" s="61" t="n">
        <f aca="false">Resumo!$B$14*CEILING(G490,1)</f>
        <v>26.55</v>
      </c>
      <c r="AA490" s="61" t="n">
        <f aca="false">SUM(T490:Z490)</f>
        <v>149.89997</v>
      </c>
      <c r="AB490" s="61" t="n">
        <f aca="false">AA490/(1-Resumo!$B$5)</f>
        <v>170.340875</v>
      </c>
      <c r="AC490" s="61" t="n">
        <f aca="false">AB490-S490</f>
        <v>53.7909227272727</v>
      </c>
      <c r="AD490" s="62" t="n">
        <f aca="false">AB490/S490-1</f>
        <v>0.461526767521979</v>
      </c>
      <c r="AE490" s="60" t="str">
        <f aca="false">IF(AB490&lt;S490,"SIM","NÃO")</f>
        <v>NÃO</v>
      </c>
      <c r="AF490" s="60" t="n">
        <v>2</v>
      </c>
      <c r="AG490" s="60" t="n">
        <v>5</v>
      </c>
      <c r="AH490" s="60" t="s">
        <v>382</v>
      </c>
      <c r="AI490" s="61" t="n">
        <f aca="false">(T490*(1-Painel!$C$40)+U490+V490+Painel!$C$41+Painel!$C$42*CEILING(G490/100,1)+Painel!$C$43*CEILING(G490,1)+Z490)/(1-Resumo!$B$5)</f>
        <v>120.285193181818</v>
      </c>
      <c r="AJ490" s="60" t="str">
        <f aca="false">IF(AI490&lt;S490,"SIM","NÃO")</f>
        <v>NÃO</v>
      </c>
    </row>
    <row r="491" customFormat="false" ht="15" hidden="false" customHeight="false" outlineLevel="0" collapsed="false">
      <c r="A491" s="59" t="n">
        <v>46236.6175115741</v>
      </c>
      <c r="B491" s="60" t="s">
        <v>855</v>
      </c>
      <c r="C491" s="60" t="n">
        <v>26062320</v>
      </c>
      <c r="D491" s="60" t="s">
        <v>49</v>
      </c>
      <c r="E491" s="60" t="s">
        <v>23</v>
      </c>
      <c r="F491" s="60" t="s">
        <v>240</v>
      </c>
      <c r="G491" s="60" t="n">
        <v>106.5</v>
      </c>
      <c r="H491" s="61" t="n">
        <v>1199.99</v>
      </c>
      <c r="I491" s="61" t="n">
        <v>101.26</v>
      </c>
      <c r="J491" s="61" t="n">
        <f aca="false">H491*Resumo!$C$6</f>
        <v>0</v>
      </c>
      <c r="K491" s="61" t="n">
        <f aca="false">H491*Resumo!$C$7</f>
        <v>2.519979</v>
      </c>
      <c r="L491" s="61" t="n">
        <f aca="false">H491*Resumo!$C$8</f>
        <v>2.519979</v>
      </c>
      <c r="M491" s="61" t="n">
        <f aca="false">Resumo!$C$10*CEILING(G491/100,1)</f>
        <v>2.1</v>
      </c>
      <c r="N491" s="61" t="n">
        <f aca="false">Resumo!$C$9</f>
        <v>0</v>
      </c>
      <c r="O491" s="61" t="n">
        <f aca="false">Resumo!$C$13</f>
        <v>13.55</v>
      </c>
      <c r="P491" s="61" t="n">
        <f aca="false">Resumo!$C$14*CEILING(G491,1)</f>
        <v>48.15</v>
      </c>
      <c r="Q491" s="61" t="n">
        <f aca="false">SUM(I491:P491)*Resumo!$C$11</f>
        <v>0</v>
      </c>
      <c r="R491" s="61" t="n">
        <f aca="false">SUM(I491:Q491)</f>
        <v>170.099958</v>
      </c>
      <c r="S491" s="61" t="n">
        <f aca="false">R491/(1-Resumo!$C$5)</f>
        <v>193.295406818182</v>
      </c>
      <c r="T491" s="61" t="n">
        <v>201.59</v>
      </c>
      <c r="U491" s="61" t="n">
        <f aca="false">H491*Resumo!$B$6</f>
        <v>1.19999</v>
      </c>
      <c r="V491" s="61" t="n">
        <f aca="false">H491*Resumo!$B$7</f>
        <v>2.39998</v>
      </c>
      <c r="W491" s="61" t="n">
        <f aca="false">Resumo!$B$9</f>
        <v>1</v>
      </c>
      <c r="X491" s="61" t="n">
        <f aca="false">Resumo!$B$10*CEILING(G491/100,1)</f>
        <v>9</v>
      </c>
      <c r="Y491" s="61" t="n">
        <f aca="false">Resumo!$B$12*CEILING(G491,1)</f>
        <v>6.42</v>
      </c>
      <c r="Z491" s="61" t="n">
        <f aca="false">Resumo!$B$14*CEILING(G491,1)</f>
        <v>48.15</v>
      </c>
      <c r="AA491" s="61" t="n">
        <f aca="false">SUM(T491:Z491)</f>
        <v>269.75997</v>
      </c>
      <c r="AB491" s="61" t="n">
        <f aca="false">AA491/(1-Resumo!$B$5)</f>
        <v>306.545420454546</v>
      </c>
      <c r="AC491" s="61" t="n">
        <f aca="false">AB491-S491</f>
        <v>113.250013636364</v>
      </c>
      <c r="AD491" s="62" t="n">
        <f aca="false">AB491/S491-1</f>
        <v>0.585890867768468</v>
      </c>
      <c r="AE491" s="60" t="str">
        <f aca="false">IF(AB491&lt;S491,"SIM","NÃO")</f>
        <v>NÃO</v>
      </c>
      <c r="AF491" s="60" t="n">
        <v>2</v>
      </c>
      <c r="AG491" s="60" t="n">
        <v>5</v>
      </c>
      <c r="AH491" s="60" t="s">
        <v>382</v>
      </c>
      <c r="AI491" s="61" t="n">
        <f aca="false">(T491*(1-Painel!$C$40)+U491+V491+Painel!$C$41+Painel!$C$42*CEILING(G491/100,1)+Painel!$C$43*CEILING(G491,1)+Z491)/(1-Resumo!$B$5)</f>
        <v>215.812806818182</v>
      </c>
      <c r="AJ491" s="60" t="str">
        <f aca="false">IF(AI491&lt;S491,"SIM","NÃO")</f>
        <v>NÃO</v>
      </c>
    </row>
    <row r="492" customFormat="false" ht="15" hidden="false" customHeight="false" outlineLevel="0" collapsed="false">
      <c r="A492" s="59" t="n">
        <v>46236.6192476852</v>
      </c>
      <c r="B492" s="60" t="s">
        <v>856</v>
      </c>
      <c r="C492" s="60" t="n">
        <v>21040005</v>
      </c>
      <c r="D492" s="60" t="s">
        <v>46</v>
      </c>
      <c r="E492" s="60" t="s">
        <v>22</v>
      </c>
      <c r="F492" s="60" t="s">
        <v>233</v>
      </c>
      <c r="G492" s="60" t="n">
        <v>20.9</v>
      </c>
      <c r="H492" s="61" t="n">
        <v>449.99</v>
      </c>
      <c r="I492" s="61" t="n">
        <v>42.11</v>
      </c>
      <c r="J492" s="61" t="n">
        <f aca="false">H492*Resumo!$C$6</f>
        <v>0</v>
      </c>
      <c r="K492" s="61" t="n">
        <f aca="false">H492*Resumo!$C$7</f>
        <v>0.944979</v>
      </c>
      <c r="L492" s="61" t="n">
        <f aca="false">H492*Resumo!$C$8</f>
        <v>0.944979</v>
      </c>
      <c r="M492" s="61" t="n">
        <f aca="false">Resumo!$C$10*CEILING(G492/100,1)</f>
        <v>1.05</v>
      </c>
      <c r="N492" s="61" t="n">
        <f aca="false">Resumo!$C$9</f>
        <v>0</v>
      </c>
      <c r="O492" s="61" t="n">
        <f aca="false">Resumo!$C$13</f>
        <v>13.55</v>
      </c>
      <c r="P492" s="61" t="n">
        <f aca="false">Resumo!$C$14*CEILING(G492,1)</f>
        <v>9.45</v>
      </c>
      <c r="Q492" s="61" t="n">
        <f aca="false">SUM(I492:P492)*Resumo!$C$11</f>
        <v>0</v>
      </c>
      <c r="R492" s="61" t="n">
        <f aca="false">SUM(I492:Q492)</f>
        <v>68.049958</v>
      </c>
      <c r="S492" s="61" t="n">
        <f aca="false">R492/(1-Resumo!$C$5)</f>
        <v>77.3294977272727</v>
      </c>
      <c r="T492" s="61" t="n">
        <v>82.21</v>
      </c>
      <c r="U492" s="61" t="n">
        <f aca="false">H492*Resumo!$B$6</f>
        <v>0.44999</v>
      </c>
      <c r="V492" s="61" t="n">
        <f aca="false">H492*Resumo!$B$7</f>
        <v>0.89998</v>
      </c>
      <c r="W492" s="61" t="n">
        <f aca="false">Resumo!$B$9</f>
        <v>1</v>
      </c>
      <c r="X492" s="61" t="n">
        <f aca="false">Resumo!$B$10*CEILING(G492/100,1)</f>
        <v>4.5</v>
      </c>
      <c r="Y492" s="61" t="n">
        <f aca="false">Resumo!$B$12*CEILING(G492,1)</f>
        <v>1.26</v>
      </c>
      <c r="Z492" s="61" t="n">
        <f aca="false">Resumo!$B$14*CEILING(G492,1)</f>
        <v>9.45</v>
      </c>
      <c r="AA492" s="61" t="n">
        <f aca="false">SUM(T492:Z492)</f>
        <v>99.76997</v>
      </c>
      <c r="AB492" s="61" t="n">
        <f aca="false">AA492/(1-Resumo!$B$5)</f>
        <v>113.374965909091</v>
      </c>
      <c r="AC492" s="61" t="n">
        <f aca="false">AB492-S492</f>
        <v>36.0454681818182</v>
      </c>
      <c r="AD492" s="62" t="n">
        <f aca="false">AB492/S492-1</f>
        <v>0.466128311203366</v>
      </c>
      <c r="AE492" s="60" t="str">
        <f aca="false">IF(AB492&lt;S492,"SIM","NÃO")</f>
        <v>NÃO</v>
      </c>
      <c r="AF492" s="60" t="n">
        <v>2</v>
      </c>
      <c r="AG492" s="60" t="n">
        <v>5</v>
      </c>
      <c r="AH492" s="60" t="s">
        <v>382</v>
      </c>
      <c r="AI492" s="61" t="n">
        <f aca="false">(T492*(1-Painel!$C$40)+U492+V492+Painel!$C$41+Painel!$C$42*CEILING(G492/100,1)+Painel!$C$43*CEILING(G492,1)+Z492)/(1-Resumo!$B$5)</f>
        <v>77.1939431818182</v>
      </c>
      <c r="AJ492" s="60" t="str">
        <f aca="false">IF(AI492&lt;S492,"SIM","NÃO")</f>
        <v>SIM</v>
      </c>
    </row>
    <row r="493" customFormat="false" ht="15" hidden="false" customHeight="false" outlineLevel="0" collapsed="false">
      <c r="A493" s="59" t="n">
        <v>46236.6412731482</v>
      </c>
      <c r="B493" s="60" t="s">
        <v>857</v>
      </c>
      <c r="C493" s="60" t="n">
        <v>24340100</v>
      </c>
      <c r="D493" s="60" t="s">
        <v>50</v>
      </c>
      <c r="E493" s="60" t="s">
        <v>23</v>
      </c>
      <c r="F493" s="60" t="s">
        <v>236</v>
      </c>
      <c r="G493" s="60" t="n">
        <v>52.3</v>
      </c>
      <c r="H493" s="61" t="n">
        <v>685.85</v>
      </c>
      <c r="I493" s="61" t="n">
        <v>70.98</v>
      </c>
      <c r="J493" s="61" t="n">
        <f aca="false">H493*Resumo!$C$6</f>
        <v>0</v>
      </c>
      <c r="K493" s="61" t="n">
        <f aca="false">H493*Resumo!$C$7</f>
        <v>1.440285</v>
      </c>
      <c r="L493" s="61" t="n">
        <f aca="false">H493*Resumo!$C$8</f>
        <v>1.440285</v>
      </c>
      <c r="M493" s="61" t="n">
        <f aca="false">Resumo!$C$10*CEILING(G493/100,1)</f>
        <v>1.05</v>
      </c>
      <c r="N493" s="61" t="n">
        <f aca="false">Resumo!$C$9</f>
        <v>0</v>
      </c>
      <c r="O493" s="61" t="n">
        <f aca="false">Resumo!$C$13</f>
        <v>13.55</v>
      </c>
      <c r="P493" s="61" t="n">
        <f aca="false">Resumo!$C$14*CEILING(G493,1)</f>
        <v>23.85</v>
      </c>
      <c r="Q493" s="61" t="n">
        <f aca="false">SUM(I493:P493)*Resumo!$C$11</f>
        <v>0</v>
      </c>
      <c r="R493" s="61" t="n">
        <f aca="false">SUM(I493:Q493)</f>
        <v>112.31057</v>
      </c>
      <c r="S493" s="61" t="n">
        <f aca="false">R493/(1-Resumo!$C$5)</f>
        <v>127.625647727273</v>
      </c>
      <c r="T493" s="61" t="n">
        <v>128.14</v>
      </c>
      <c r="U493" s="61" t="n">
        <f aca="false">H493*Resumo!$B$6</f>
        <v>0.68585</v>
      </c>
      <c r="V493" s="61" t="n">
        <f aca="false">H493*Resumo!$B$7</f>
        <v>1.3717</v>
      </c>
      <c r="W493" s="61" t="n">
        <f aca="false">Resumo!$B$9</f>
        <v>1</v>
      </c>
      <c r="X493" s="61" t="n">
        <f aca="false">Resumo!$B$10*CEILING(G493/100,1)</f>
        <v>4.5</v>
      </c>
      <c r="Y493" s="61" t="n">
        <f aca="false">Resumo!$B$12*CEILING(G493,1)</f>
        <v>3.18</v>
      </c>
      <c r="Z493" s="61" t="n">
        <f aca="false">Resumo!$B$14*CEILING(G493,1)</f>
        <v>23.85</v>
      </c>
      <c r="AA493" s="61" t="n">
        <f aca="false">SUM(T493:Z493)</f>
        <v>162.72755</v>
      </c>
      <c r="AB493" s="61" t="n">
        <f aca="false">AA493/(1-Resumo!$B$5)</f>
        <v>184.917670454545</v>
      </c>
      <c r="AC493" s="61" t="n">
        <f aca="false">AB493-S493</f>
        <v>57.2920227272727</v>
      </c>
      <c r="AD493" s="62" t="n">
        <f aca="false">AB493/S493-1</f>
        <v>0.448906812600096</v>
      </c>
      <c r="AE493" s="60" t="str">
        <f aca="false">IF(AB493&lt;S493,"SIM","NÃO")</f>
        <v>NÃO</v>
      </c>
      <c r="AF493" s="60" t="n">
        <v>2</v>
      </c>
      <c r="AG493" s="60" t="n">
        <v>7</v>
      </c>
      <c r="AH493" s="60" t="s">
        <v>382</v>
      </c>
      <c r="AI493" s="61" t="n">
        <f aca="false">(T493*(1-Painel!$C$40)+U493+V493+Painel!$C$41+Painel!$C$42*CEILING(G493/100,1)+Painel!$C$43*CEILING(G493,1)+Z493)/(1-Resumo!$B$5)</f>
        <v>129.331079545455</v>
      </c>
      <c r="AJ493" s="60" t="str">
        <f aca="false">IF(AI493&lt;S493,"SIM","NÃO")</f>
        <v>NÃO</v>
      </c>
    </row>
    <row r="494" customFormat="false" ht="15" hidden="false" customHeight="false" outlineLevel="0" collapsed="false">
      <c r="A494" s="59" t="n">
        <v>46236.7131712963</v>
      </c>
      <c r="B494" s="60" t="s">
        <v>858</v>
      </c>
      <c r="C494" s="60" t="n">
        <v>20750040</v>
      </c>
      <c r="D494" s="60" t="s">
        <v>46</v>
      </c>
      <c r="E494" s="60" t="s">
        <v>22</v>
      </c>
      <c r="F494" s="60" t="s">
        <v>235</v>
      </c>
      <c r="G494" s="60" t="n">
        <v>49.6</v>
      </c>
      <c r="H494" s="61" t="n">
        <v>769.99</v>
      </c>
      <c r="I494" s="61" t="n">
        <v>53.55</v>
      </c>
      <c r="J494" s="61" t="n">
        <f aca="false">H494*Resumo!$C$6</f>
        <v>0</v>
      </c>
      <c r="K494" s="61" t="n">
        <f aca="false">H494*Resumo!$C$7</f>
        <v>1.616979</v>
      </c>
      <c r="L494" s="61" t="n">
        <f aca="false">H494*Resumo!$C$8</f>
        <v>1.616979</v>
      </c>
      <c r="M494" s="61" t="n">
        <f aca="false">Resumo!$C$10*CEILING(G494/100,1)</f>
        <v>1.05</v>
      </c>
      <c r="N494" s="61" t="n">
        <f aca="false">Resumo!$C$9</f>
        <v>0</v>
      </c>
      <c r="O494" s="61" t="n">
        <f aca="false">Resumo!$C$13</f>
        <v>13.55</v>
      </c>
      <c r="P494" s="61" t="n">
        <f aca="false">Resumo!$C$14*CEILING(G494,1)</f>
        <v>22.5</v>
      </c>
      <c r="Q494" s="61" t="n">
        <f aca="false">SUM(I494:P494)*Resumo!$C$11</f>
        <v>0</v>
      </c>
      <c r="R494" s="61" t="n">
        <f aca="false">SUM(I494:Q494)</f>
        <v>93.883958</v>
      </c>
      <c r="S494" s="61" t="n">
        <f aca="false">R494/(1-Resumo!$C$5)</f>
        <v>106.686315909091</v>
      </c>
      <c r="T494" s="61" t="n">
        <v>93.97</v>
      </c>
      <c r="U494" s="61" t="n">
        <f aca="false">H494*Resumo!$B$6</f>
        <v>0.76999</v>
      </c>
      <c r="V494" s="61" t="n">
        <f aca="false">H494*Resumo!$B$7</f>
        <v>1.53998</v>
      </c>
      <c r="W494" s="61" t="n">
        <f aca="false">Resumo!$B$9</f>
        <v>1</v>
      </c>
      <c r="X494" s="61" t="n">
        <f aca="false">Resumo!$B$10*CEILING(G494/100,1)</f>
        <v>4.5</v>
      </c>
      <c r="Y494" s="61" t="n">
        <f aca="false">Resumo!$B$12*CEILING(G494,1)</f>
        <v>3</v>
      </c>
      <c r="Z494" s="61" t="n">
        <f aca="false">Resumo!$B$14*CEILING(G494,1)</f>
        <v>22.5</v>
      </c>
      <c r="AA494" s="61" t="n">
        <f aca="false">SUM(T494:Z494)</f>
        <v>127.27997</v>
      </c>
      <c r="AB494" s="61" t="n">
        <f aca="false">AA494/(1-Resumo!$B$5)</f>
        <v>144.636329545455</v>
      </c>
      <c r="AC494" s="61" t="n">
        <f aca="false">AB494-S494</f>
        <v>37.9500136363637</v>
      </c>
      <c r="AD494" s="62" t="n">
        <f aca="false">AB494/S494-1</f>
        <v>0.355715850837904</v>
      </c>
      <c r="AE494" s="60" t="str">
        <f aca="false">IF(AB494&lt;S494,"SIM","NÃO")</f>
        <v>NÃO</v>
      </c>
      <c r="AF494" s="60" t="n">
        <v>2</v>
      </c>
      <c r="AG494" s="60" t="n">
        <v>5</v>
      </c>
      <c r="AH494" s="60" t="s">
        <v>382</v>
      </c>
      <c r="AI494" s="61" t="n">
        <f aca="false">(T494*(1-Painel!$C$40)+U494+V494+Painel!$C$41+Painel!$C$42*CEILING(G494/100,1)+Painel!$C$43*CEILING(G494,1)+Z494)/(1-Resumo!$B$5)</f>
        <v>102.068034090909</v>
      </c>
      <c r="AJ494" s="60" t="str">
        <f aca="false">IF(AI494&lt;S494,"SIM","NÃO")</f>
        <v>SIM</v>
      </c>
    </row>
    <row r="495" customFormat="false" ht="15" hidden="false" customHeight="false" outlineLevel="0" collapsed="false">
      <c r="A495" s="59" t="n">
        <v>46236.7215277778</v>
      </c>
      <c r="B495" s="60" t="s">
        <v>859</v>
      </c>
      <c r="C495" s="60" t="n">
        <v>25957025</v>
      </c>
      <c r="D495" s="60" t="s">
        <v>281</v>
      </c>
      <c r="E495" s="60" t="s">
        <v>24</v>
      </c>
      <c r="F495" s="60" t="s">
        <v>241</v>
      </c>
      <c r="G495" s="60" t="n">
        <v>124</v>
      </c>
      <c r="H495" s="61" t="n">
        <v>1668.38</v>
      </c>
      <c r="I495" s="61" t="n">
        <v>144.24</v>
      </c>
      <c r="J495" s="61" t="n">
        <f aca="false">H495*Resumo!$C$6</f>
        <v>0</v>
      </c>
      <c r="K495" s="61" t="n">
        <f aca="false">H495*Resumo!$C$7</f>
        <v>3.503598</v>
      </c>
      <c r="L495" s="61" t="n">
        <f aca="false">H495*Resumo!$C$8</f>
        <v>3.503598</v>
      </c>
      <c r="M495" s="61" t="n">
        <f aca="false">Resumo!$C$10*CEILING(G495/100,1)</f>
        <v>2.1</v>
      </c>
      <c r="N495" s="61" t="n">
        <f aca="false">Resumo!$C$9</f>
        <v>0</v>
      </c>
      <c r="O495" s="61" t="n">
        <f aca="false">Resumo!$C$13</f>
        <v>13.55</v>
      </c>
      <c r="P495" s="61" t="n">
        <f aca="false">Resumo!$C$14*CEILING(G495,1)</f>
        <v>55.8</v>
      </c>
      <c r="Q495" s="61" t="n">
        <f aca="false">SUM(I495:P495)*Resumo!$C$11</f>
        <v>0</v>
      </c>
      <c r="R495" s="61" t="n">
        <f aca="false">SUM(I495:Q495)</f>
        <v>222.697196</v>
      </c>
      <c r="S495" s="61" t="n">
        <f aca="false">R495/(1-Resumo!$C$5)</f>
        <v>253.064995454545</v>
      </c>
      <c r="T495" s="61" t="n">
        <v>264.84</v>
      </c>
      <c r="U495" s="61" t="n">
        <f aca="false">H495*Resumo!$B$6</f>
        <v>1.66838</v>
      </c>
      <c r="V495" s="61" t="n">
        <f aca="false">H495*Resumo!$B$7</f>
        <v>3.33676</v>
      </c>
      <c r="W495" s="61" t="n">
        <f aca="false">Resumo!$B$9</f>
        <v>1</v>
      </c>
      <c r="X495" s="61" t="n">
        <f aca="false">Resumo!$B$10*CEILING(G495/100,1)</f>
        <v>9</v>
      </c>
      <c r="Y495" s="61" t="n">
        <f aca="false">Resumo!$B$12*CEILING(G495,1)</f>
        <v>7.44</v>
      </c>
      <c r="Z495" s="61" t="n">
        <f aca="false">Resumo!$B$14*CEILING(G495,1)</f>
        <v>55.8</v>
      </c>
      <c r="AA495" s="61" t="n">
        <f aca="false">SUM(T495:Z495)</f>
        <v>343.08514</v>
      </c>
      <c r="AB495" s="61" t="n">
        <f aca="false">AA495/(1-Resumo!$B$5)</f>
        <v>389.869477272727</v>
      </c>
      <c r="AC495" s="61" t="n">
        <f aca="false">AB495-S495</f>
        <v>136.804481818182</v>
      </c>
      <c r="AD495" s="62" t="n">
        <f aca="false">AB495/S495-1</f>
        <v>0.540590300023355</v>
      </c>
      <c r="AE495" s="60" t="str">
        <f aca="false">IF(AB495&lt;S495,"SIM","NÃO")</f>
        <v>NÃO</v>
      </c>
      <c r="AF495" s="60" t="n">
        <v>13</v>
      </c>
      <c r="AG495" s="60" t="n">
        <v>10</v>
      </c>
      <c r="AH495" s="60" t="s">
        <v>385</v>
      </c>
      <c r="AI495" s="61" t="n">
        <f aca="false">(T495*(1-Painel!$C$40)+U495+V495+Painel!$C$41+Painel!$C$42*CEILING(G495/100,1)+Painel!$C$43*CEILING(G495,1)+Z495)/(1-Resumo!$B$5)</f>
        <v>274.259022727273</v>
      </c>
      <c r="AJ495" s="60" t="str">
        <f aca="false">IF(AI495&lt;S495,"SIM","NÃO")</f>
        <v>NÃO</v>
      </c>
    </row>
    <row r="496" customFormat="false" ht="15" hidden="false" customHeight="false" outlineLevel="0" collapsed="false">
      <c r="A496" s="59" t="n">
        <v>46236.7274768519</v>
      </c>
      <c r="B496" s="60" t="s">
        <v>860</v>
      </c>
      <c r="C496" s="60" t="n">
        <v>26900000</v>
      </c>
      <c r="D496" s="60" t="s">
        <v>288</v>
      </c>
      <c r="E496" s="60" t="s">
        <v>24</v>
      </c>
      <c r="F496" s="60" t="s">
        <v>244</v>
      </c>
      <c r="G496" s="60" t="n">
        <v>200.3</v>
      </c>
      <c r="H496" s="61" t="n">
        <v>2124.99</v>
      </c>
      <c r="I496" s="61" t="n">
        <v>214.88</v>
      </c>
      <c r="J496" s="61" t="n">
        <f aca="false">H496*Resumo!$C$6</f>
        <v>0</v>
      </c>
      <c r="K496" s="61" t="n">
        <f aca="false">H496*Resumo!$C$7</f>
        <v>4.462479</v>
      </c>
      <c r="L496" s="61" t="n">
        <f aca="false">H496*Resumo!$C$8</f>
        <v>4.462479</v>
      </c>
      <c r="M496" s="61" t="n">
        <f aca="false">Resumo!$C$10*CEILING(G496/100,1)</f>
        <v>3.15</v>
      </c>
      <c r="N496" s="61" t="n">
        <f aca="false">Resumo!$C$9</f>
        <v>0</v>
      </c>
      <c r="O496" s="61" t="n">
        <f aca="false">Resumo!$C$13</f>
        <v>13.55</v>
      </c>
      <c r="P496" s="61" t="n">
        <f aca="false">Resumo!$C$14*CEILING(G496,1)</f>
        <v>90.45</v>
      </c>
      <c r="Q496" s="61" t="n">
        <f aca="false">SUM(I496:P496)*Resumo!$C$11</f>
        <v>0</v>
      </c>
      <c r="R496" s="61" t="n">
        <f aca="false">SUM(I496:Q496)</f>
        <v>330.954958</v>
      </c>
      <c r="S496" s="61" t="n">
        <f aca="false">R496/(1-Resumo!$C$5)</f>
        <v>376.085179545455</v>
      </c>
      <c r="T496" s="61" t="n">
        <v>441.4</v>
      </c>
      <c r="U496" s="61" t="n">
        <f aca="false">H496*Resumo!$B$6</f>
        <v>2.12499</v>
      </c>
      <c r="V496" s="61" t="n">
        <f aca="false">H496*Resumo!$B$7</f>
        <v>4.24998</v>
      </c>
      <c r="W496" s="61" t="n">
        <f aca="false">Resumo!$B$9</f>
        <v>1</v>
      </c>
      <c r="X496" s="61" t="n">
        <f aca="false">Resumo!$B$10*CEILING(G496/100,1)</f>
        <v>13.5</v>
      </c>
      <c r="Y496" s="61" t="n">
        <f aca="false">Resumo!$B$12*CEILING(G496,1)</f>
        <v>12.06</v>
      </c>
      <c r="Z496" s="61" t="n">
        <f aca="false">Resumo!$B$14*CEILING(G496,1)</f>
        <v>90.45</v>
      </c>
      <c r="AA496" s="61" t="n">
        <f aca="false">SUM(T496:Z496)</f>
        <v>564.78497</v>
      </c>
      <c r="AB496" s="61" t="n">
        <f aca="false">AA496/(1-Resumo!$B$5)</f>
        <v>641.801102272727</v>
      </c>
      <c r="AC496" s="61" t="n">
        <f aca="false">AB496-S496</f>
        <v>265.715922727273</v>
      </c>
      <c r="AD496" s="62" t="n">
        <f aca="false">AB496/S496-1</f>
        <v>0.706531225315561</v>
      </c>
      <c r="AE496" s="60" t="str">
        <f aca="false">IF(AB496&lt;S496,"SIM","NÃO")</f>
        <v>NÃO</v>
      </c>
      <c r="AF496" s="60" t="n">
        <v>13</v>
      </c>
      <c r="AG496" s="60" t="n">
        <v>10</v>
      </c>
      <c r="AH496" s="60" t="s">
        <v>385</v>
      </c>
      <c r="AI496" s="61" t="n">
        <f aca="false">(T496*(1-Painel!$C$40)+U496+V496+Painel!$C$41+Painel!$C$42*CEILING(G496/100,1)+Painel!$C$43*CEILING(G496,1)+Z496)/(1-Resumo!$B$5)</f>
        <v>450.810193181818</v>
      </c>
      <c r="AJ496" s="60" t="str">
        <f aca="false">IF(AI496&lt;S496,"SIM","NÃO")</f>
        <v>NÃO</v>
      </c>
    </row>
    <row r="497" customFormat="false" ht="15" hidden="false" customHeight="false" outlineLevel="0" collapsed="false">
      <c r="A497" s="59" t="n">
        <v>46236.7290972222</v>
      </c>
      <c r="B497" s="60" t="s">
        <v>861</v>
      </c>
      <c r="C497" s="60" t="n">
        <v>25015280</v>
      </c>
      <c r="D497" s="60" t="s">
        <v>48</v>
      </c>
      <c r="E497" s="60" t="s">
        <v>23</v>
      </c>
      <c r="F497" s="60" t="s">
        <v>236</v>
      </c>
      <c r="G497" s="60" t="n">
        <v>52.3</v>
      </c>
      <c r="H497" s="61" t="n">
        <v>685.85</v>
      </c>
      <c r="I497" s="61" t="n">
        <v>70.98</v>
      </c>
      <c r="J497" s="61" t="n">
        <f aca="false">H497*Resumo!$C$6</f>
        <v>0</v>
      </c>
      <c r="K497" s="61" t="n">
        <f aca="false">H497*Resumo!$C$7</f>
        <v>1.440285</v>
      </c>
      <c r="L497" s="61" t="n">
        <f aca="false">H497*Resumo!$C$8</f>
        <v>1.440285</v>
      </c>
      <c r="M497" s="61" t="n">
        <f aca="false">Resumo!$C$10*CEILING(G497/100,1)</f>
        <v>1.05</v>
      </c>
      <c r="N497" s="61" t="n">
        <f aca="false">Resumo!$C$9</f>
        <v>0</v>
      </c>
      <c r="O497" s="61" t="n">
        <f aca="false">Resumo!$C$13</f>
        <v>13.55</v>
      </c>
      <c r="P497" s="61" t="n">
        <f aca="false">Resumo!$C$14*CEILING(G497,1)</f>
        <v>23.85</v>
      </c>
      <c r="Q497" s="61" t="n">
        <f aca="false">SUM(I497:P497)*Resumo!$C$11</f>
        <v>0</v>
      </c>
      <c r="R497" s="61" t="n">
        <f aca="false">SUM(I497:Q497)</f>
        <v>112.31057</v>
      </c>
      <c r="S497" s="61" t="n">
        <f aca="false">R497/(1-Resumo!$C$5)</f>
        <v>127.625647727273</v>
      </c>
      <c r="T497" s="61" t="n">
        <v>112.3</v>
      </c>
      <c r="U497" s="61" t="n">
        <f aca="false">H497*Resumo!$B$6</f>
        <v>0.68585</v>
      </c>
      <c r="V497" s="61" t="n">
        <f aca="false">H497*Resumo!$B$7</f>
        <v>1.3717</v>
      </c>
      <c r="W497" s="61" t="n">
        <f aca="false">Resumo!$B$9</f>
        <v>1</v>
      </c>
      <c r="X497" s="61" t="n">
        <f aca="false">Resumo!$B$10*CEILING(G497/100,1)</f>
        <v>4.5</v>
      </c>
      <c r="Y497" s="61" t="n">
        <f aca="false">Resumo!$B$12*CEILING(G497,1)</f>
        <v>3.18</v>
      </c>
      <c r="Z497" s="61" t="n">
        <f aca="false">Resumo!$B$14*CEILING(G497,1)</f>
        <v>23.85</v>
      </c>
      <c r="AA497" s="61" t="n">
        <f aca="false">SUM(T497:Z497)</f>
        <v>146.88755</v>
      </c>
      <c r="AB497" s="61" t="n">
        <f aca="false">AA497/(1-Resumo!$B$5)</f>
        <v>166.917670454545</v>
      </c>
      <c r="AC497" s="61" t="n">
        <f aca="false">AB497-S497</f>
        <v>39.2920227272727</v>
      </c>
      <c r="AD497" s="62" t="n">
        <f aca="false">AB497/S497-1</f>
        <v>0.30786933055366</v>
      </c>
      <c r="AE497" s="60" t="str">
        <f aca="false">IF(AB497&lt;S497,"SIM","NÃO")</f>
        <v>NÃO</v>
      </c>
      <c r="AF497" s="60" t="n">
        <v>2</v>
      </c>
      <c r="AG497" s="60" t="n">
        <v>5</v>
      </c>
      <c r="AH497" s="60" t="s">
        <v>382</v>
      </c>
      <c r="AI497" s="61" t="n">
        <f aca="false">(T497*(1-Painel!$C$40)+U497+V497+Painel!$C$41+Painel!$C$42*CEILING(G497/100,1)+Painel!$C$43*CEILING(G497,1)+Z497)/(1-Resumo!$B$5)</f>
        <v>117.271079545455</v>
      </c>
      <c r="AJ497" s="60" t="str">
        <f aca="false">IF(AI497&lt;S497,"SIM","NÃO")</f>
        <v>SIM</v>
      </c>
    </row>
    <row r="498" customFormat="false" ht="15" hidden="false" customHeight="false" outlineLevel="0" collapsed="false">
      <c r="A498" s="59" t="n">
        <v>46236.7524074074</v>
      </c>
      <c r="B498" s="60" t="s">
        <v>862</v>
      </c>
      <c r="C498" s="60" t="n">
        <v>20720010</v>
      </c>
      <c r="D498" s="60" t="s">
        <v>46</v>
      </c>
      <c r="E498" s="60" t="s">
        <v>22</v>
      </c>
      <c r="F498" s="60" t="s">
        <v>236</v>
      </c>
      <c r="G498" s="60" t="n">
        <v>52.3</v>
      </c>
      <c r="H498" s="61" t="n">
        <v>642.07</v>
      </c>
      <c r="I498" s="61" t="n">
        <v>58.6</v>
      </c>
      <c r="J498" s="61" t="n">
        <f aca="false">H498*Resumo!$C$6</f>
        <v>0</v>
      </c>
      <c r="K498" s="61" t="n">
        <f aca="false">H498*Resumo!$C$7</f>
        <v>1.348347</v>
      </c>
      <c r="L498" s="61" t="n">
        <f aca="false">H498*Resumo!$C$8</f>
        <v>1.348347</v>
      </c>
      <c r="M498" s="61" t="n">
        <f aca="false">Resumo!$C$10*CEILING(G498/100,1)</f>
        <v>1.05</v>
      </c>
      <c r="N498" s="61" t="n">
        <f aca="false">Resumo!$C$9</f>
        <v>0</v>
      </c>
      <c r="O498" s="61" t="n">
        <f aca="false">Resumo!$C$13</f>
        <v>13.55</v>
      </c>
      <c r="P498" s="61" t="n">
        <f aca="false">Resumo!$C$14*CEILING(G498,1)</f>
        <v>23.85</v>
      </c>
      <c r="Q498" s="61" t="n">
        <f aca="false">SUM(I498:P498)*Resumo!$C$11</f>
        <v>0</v>
      </c>
      <c r="R498" s="61" t="n">
        <f aca="false">SUM(I498:Q498)</f>
        <v>99.746694</v>
      </c>
      <c r="S498" s="61" t="n">
        <f aca="false">R498/(1-Resumo!$C$5)</f>
        <v>113.348515909091</v>
      </c>
      <c r="T498" s="61" t="n">
        <v>112.3</v>
      </c>
      <c r="U498" s="61" t="n">
        <f aca="false">H498*Resumo!$B$6</f>
        <v>0.64207</v>
      </c>
      <c r="V498" s="61" t="n">
        <f aca="false">H498*Resumo!$B$7</f>
        <v>1.28414</v>
      </c>
      <c r="W498" s="61" t="n">
        <f aca="false">Resumo!$B$9</f>
        <v>1</v>
      </c>
      <c r="X498" s="61" t="n">
        <f aca="false">Resumo!$B$10*CEILING(G498/100,1)</f>
        <v>4.5</v>
      </c>
      <c r="Y498" s="61" t="n">
        <f aca="false">Resumo!$B$12*CEILING(G498,1)</f>
        <v>3.18</v>
      </c>
      <c r="Z498" s="61" t="n">
        <f aca="false">Resumo!$B$14*CEILING(G498,1)</f>
        <v>23.85</v>
      </c>
      <c r="AA498" s="61" t="n">
        <f aca="false">SUM(T498:Z498)</f>
        <v>146.75621</v>
      </c>
      <c r="AB498" s="61" t="n">
        <f aca="false">AA498/(1-Resumo!$B$5)</f>
        <v>166.768420454545</v>
      </c>
      <c r="AC498" s="61" t="n">
        <f aca="false">AB498-S498</f>
        <v>53.4199045454546</v>
      </c>
      <c r="AD498" s="62" t="n">
        <f aca="false">AB498/S498-1</f>
        <v>0.471288963221177</v>
      </c>
      <c r="AE498" s="60" t="str">
        <f aca="false">IF(AB498&lt;S498,"SIM","NÃO")</f>
        <v>NÃO</v>
      </c>
      <c r="AF498" s="60" t="n">
        <v>2</v>
      </c>
      <c r="AG498" s="60" t="n">
        <v>5</v>
      </c>
      <c r="AH498" s="60" t="s">
        <v>382</v>
      </c>
      <c r="AI498" s="61" t="n">
        <f aca="false">(T498*(1-Painel!$C$40)+U498+V498+Painel!$C$41+Painel!$C$42*CEILING(G498/100,1)+Painel!$C$43*CEILING(G498,1)+Z498)/(1-Resumo!$B$5)</f>
        <v>117.121829545455</v>
      </c>
      <c r="AJ498" s="60" t="str">
        <f aca="false">IF(AI498&lt;S498,"SIM","NÃO")</f>
        <v>NÃO</v>
      </c>
    </row>
    <row r="499" customFormat="false" ht="15" hidden="false" customHeight="false" outlineLevel="0" collapsed="false">
      <c r="A499" s="59" t="n">
        <v>46236.7899652778</v>
      </c>
      <c r="B499" s="60" t="s">
        <v>863</v>
      </c>
      <c r="C499" s="60" t="n">
        <v>25240170</v>
      </c>
      <c r="D499" s="60" t="s">
        <v>48</v>
      </c>
      <c r="E499" s="60" t="s">
        <v>23</v>
      </c>
      <c r="F499" s="60" t="s">
        <v>233</v>
      </c>
      <c r="G499" s="60" t="n">
        <v>27.5</v>
      </c>
      <c r="H499" s="61" t="n">
        <v>379.99</v>
      </c>
      <c r="I499" s="61" t="n">
        <v>58.8</v>
      </c>
      <c r="J499" s="61" t="n">
        <f aca="false">H499*Resumo!$C$6</f>
        <v>0</v>
      </c>
      <c r="K499" s="61" t="n">
        <f aca="false">H499*Resumo!$C$7</f>
        <v>0.797979</v>
      </c>
      <c r="L499" s="61" t="n">
        <f aca="false">H499*Resumo!$C$8</f>
        <v>0.797979</v>
      </c>
      <c r="M499" s="61" t="n">
        <f aca="false">Resumo!$C$10*CEILING(G499/100,1)</f>
        <v>1.05</v>
      </c>
      <c r="N499" s="61" t="n">
        <f aca="false">Resumo!$C$9</f>
        <v>0</v>
      </c>
      <c r="O499" s="61" t="n">
        <f aca="false">Resumo!$C$13</f>
        <v>13.55</v>
      </c>
      <c r="P499" s="61" t="n">
        <f aca="false">Resumo!$C$14*CEILING(G499,1)</f>
        <v>12.6</v>
      </c>
      <c r="Q499" s="61" t="n">
        <f aca="false">SUM(I499:P499)*Resumo!$C$11</f>
        <v>0</v>
      </c>
      <c r="R499" s="61" t="n">
        <f aca="false">SUM(I499:Q499)</f>
        <v>87.595958</v>
      </c>
      <c r="S499" s="61" t="n">
        <f aca="false">R499/(1-Resumo!$C$5)</f>
        <v>99.5408613636364</v>
      </c>
      <c r="T499" s="61" t="n">
        <v>82.21</v>
      </c>
      <c r="U499" s="61" t="n">
        <f aca="false">H499*Resumo!$B$6</f>
        <v>0.37999</v>
      </c>
      <c r="V499" s="61" t="n">
        <f aca="false">H499*Resumo!$B$7</f>
        <v>0.75998</v>
      </c>
      <c r="W499" s="61" t="n">
        <f aca="false">Resumo!$B$9</f>
        <v>1</v>
      </c>
      <c r="X499" s="61" t="n">
        <f aca="false">Resumo!$B$10*CEILING(G499/100,1)</f>
        <v>4.5</v>
      </c>
      <c r="Y499" s="61" t="n">
        <f aca="false">Resumo!$B$12*CEILING(G499,1)</f>
        <v>1.68</v>
      </c>
      <c r="Z499" s="61" t="n">
        <f aca="false">Resumo!$B$14*CEILING(G499,1)</f>
        <v>12.6</v>
      </c>
      <c r="AA499" s="61" t="n">
        <f aca="false">SUM(T499:Z499)</f>
        <v>103.12997</v>
      </c>
      <c r="AB499" s="61" t="n">
        <f aca="false">AA499/(1-Resumo!$B$5)</f>
        <v>117.193147727273</v>
      </c>
      <c r="AC499" s="61" t="n">
        <f aca="false">AB499-S499</f>
        <v>17.6522863636364</v>
      </c>
      <c r="AD499" s="62" t="n">
        <f aca="false">AB499/S499-1</f>
        <v>0.177337086718088</v>
      </c>
      <c r="AE499" s="60" t="str">
        <f aca="false">IF(AB499&lt;S499,"SIM","NÃO")</f>
        <v>NÃO</v>
      </c>
      <c r="AF499" s="60" t="n">
        <v>2</v>
      </c>
      <c r="AG499" s="60" t="n">
        <v>5</v>
      </c>
      <c r="AH499" s="60" t="s">
        <v>382</v>
      </c>
      <c r="AI499" s="61" t="n">
        <f aca="false">(T499*(1-Painel!$C$40)+U499+V499+Painel!$C$41+Painel!$C$42*CEILING(G499/100,1)+Painel!$C$43*CEILING(G499,1)+Z499)/(1-Resumo!$B$5)</f>
        <v>80.5348522727273</v>
      </c>
      <c r="AJ499" s="60" t="str">
        <f aca="false">IF(AI499&lt;S499,"SIM","NÃO")</f>
        <v>SIM</v>
      </c>
    </row>
    <row r="500" customFormat="false" ht="15" hidden="false" customHeight="false" outlineLevel="0" collapsed="false">
      <c r="A500" s="59" t="n">
        <v>46236.8362384259</v>
      </c>
      <c r="B500" s="60" t="s">
        <v>864</v>
      </c>
      <c r="C500" s="60" t="n">
        <v>24241085</v>
      </c>
      <c r="D500" s="60" t="s">
        <v>50</v>
      </c>
      <c r="E500" s="60" t="s">
        <v>23</v>
      </c>
      <c r="F500" s="60" t="s">
        <v>236</v>
      </c>
      <c r="G500" s="60" t="n">
        <v>52.3</v>
      </c>
      <c r="H500" s="61" t="n">
        <v>566.71</v>
      </c>
      <c r="I500" s="61" t="n">
        <v>70.98</v>
      </c>
      <c r="J500" s="61" t="n">
        <f aca="false">H500*Resumo!$C$6</f>
        <v>0</v>
      </c>
      <c r="K500" s="61" t="n">
        <f aca="false">H500*Resumo!$C$7</f>
        <v>1.190091</v>
      </c>
      <c r="L500" s="61" t="n">
        <f aca="false">H500*Resumo!$C$8</f>
        <v>1.190091</v>
      </c>
      <c r="M500" s="61" t="n">
        <f aca="false">Resumo!$C$10*CEILING(G500/100,1)</f>
        <v>1.05</v>
      </c>
      <c r="N500" s="61" t="n">
        <f aca="false">Resumo!$C$9</f>
        <v>0</v>
      </c>
      <c r="O500" s="61" t="n">
        <f aca="false">Resumo!$C$13</f>
        <v>13.55</v>
      </c>
      <c r="P500" s="61" t="n">
        <f aca="false">Resumo!$C$14*CEILING(G500,1)</f>
        <v>23.85</v>
      </c>
      <c r="Q500" s="61" t="n">
        <f aca="false">SUM(I500:P500)*Resumo!$C$11</f>
        <v>0</v>
      </c>
      <c r="R500" s="61" t="n">
        <f aca="false">SUM(I500:Q500)</f>
        <v>111.810182</v>
      </c>
      <c r="S500" s="61" t="n">
        <f aca="false">R500/(1-Resumo!$C$5)</f>
        <v>127.057025</v>
      </c>
      <c r="T500" s="61" t="n">
        <v>128.14</v>
      </c>
      <c r="U500" s="61" t="n">
        <f aca="false">H500*Resumo!$B$6</f>
        <v>0.56671</v>
      </c>
      <c r="V500" s="61" t="n">
        <f aca="false">H500*Resumo!$B$7</f>
        <v>1.13342</v>
      </c>
      <c r="W500" s="61" t="n">
        <f aca="false">Resumo!$B$9</f>
        <v>1</v>
      </c>
      <c r="X500" s="61" t="n">
        <f aca="false">Resumo!$B$10*CEILING(G500/100,1)</f>
        <v>4.5</v>
      </c>
      <c r="Y500" s="61" t="n">
        <f aca="false">Resumo!$B$12*CEILING(G500,1)</f>
        <v>3.18</v>
      </c>
      <c r="Z500" s="61" t="n">
        <f aca="false">Resumo!$B$14*CEILING(G500,1)</f>
        <v>23.85</v>
      </c>
      <c r="AA500" s="61" t="n">
        <f aca="false">SUM(T500:Z500)</f>
        <v>162.37013</v>
      </c>
      <c r="AB500" s="61" t="n">
        <f aca="false">AA500/(1-Resumo!$B$5)</f>
        <v>184.511511363636</v>
      </c>
      <c r="AC500" s="61" t="n">
        <f aca="false">AB500-S500</f>
        <v>57.4544863636364</v>
      </c>
      <c r="AD500" s="62" t="n">
        <f aca="false">AB500/S500-1</f>
        <v>0.452194487976059</v>
      </c>
      <c r="AE500" s="60" t="str">
        <f aca="false">IF(AB500&lt;S500,"SIM","NÃO")</f>
        <v>NÃO</v>
      </c>
      <c r="AF500" s="60" t="n">
        <v>2</v>
      </c>
      <c r="AG500" s="60" t="n">
        <v>7</v>
      </c>
      <c r="AH500" s="60" t="s">
        <v>382</v>
      </c>
      <c r="AI500" s="61" t="n">
        <f aca="false">(T500*(1-Painel!$C$40)+U500+V500+Painel!$C$41+Painel!$C$42*CEILING(G500/100,1)+Painel!$C$43*CEILING(G500,1)+Z500)/(1-Resumo!$B$5)</f>
        <v>128.924920454545</v>
      </c>
      <c r="AJ500" s="60" t="str">
        <f aca="false">IF(AI500&lt;S500,"SIM","NÃO")</f>
        <v>NÃO</v>
      </c>
    </row>
    <row r="501" customFormat="false" ht="15" hidden="false" customHeight="false" outlineLevel="0" collapsed="false">
      <c r="A501" s="59" t="n">
        <v>46236.903587963</v>
      </c>
      <c r="B501" s="60" t="s">
        <v>865</v>
      </c>
      <c r="C501" s="60" t="n">
        <v>21370500</v>
      </c>
      <c r="D501" s="60" t="s">
        <v>46</v>
      </c>
      <c r="E501" s="60" t="s">
        <v>22</v>
      </c>
      <c r="F501" s="60" t="s">
        <v>233</v>
      </c>
      <c r="G501" s="60" t="n">
        <v>34.4</v>
      </c>
      <c r="H501" s="61" t="n">
        <v>440.88</v>
      </c>
      <c r="I501" s="61" t="n">
        <v>42.11</v>
      </c>
      <c r="J501" s="61" t="n">
        <f aca="false">H501*Resumo!$C$6</f>
        <v>0</v>
      </c>
      <c r="K501" s="61" t="n">
        <f aca="false">H501*Resumo!$C$7</f>
        <v>0.925848</v>
      </c>
      <c r="L501" s="61" t="n">
        <f aca="false">H501*Resumo!$C$8</f>
        <v>0.925848</v>
      </c>
      <c r="M501" s="61" t="n">
        <f aca="false">Resumo!$C$10*CEILING(G501/100,1)</f>
        <v>1.05</v>
      </c>
      <c r="N501" s="61" t="n">
        <f aca="false">Resumo!$C$9</f>
        <v>0</v>
      </c>
      <c r="O501" s="61" t="n">
        <f aca="false">Resumo!$C$13</f>
        <v>13.55</v>
      </c>
      <c r="P501" s="61" t="n">
        <f aca="false">Resumo!$C$14*CEILING(G501,1)</f>
        <v>15.75</v>
      </c>
      <c r="Q501" s="61" t="n">
        <f aca="false">SUM(I501:P501)*Resumo!$C$11</f>
        <v>0</v>
      </c>
      <c r="R501" s="61" t="n">
        <f aca="false">SUM(I501:Q501)</f>
        <v>74.311696</v>
      </c>
      <c r="S501" s="61" t="n">
        <f aca="false">R501/(1-Resumo!$C$5)</f>
        <v>84.4451090909091</v>
      </c>
      <c r="T501" s="61" t="n">
        <v>82.21</v>
      </c>
      <c r="U501" s="61" t="n">
        <f aca="false">H501*Resumo!$B$6</f>
        <v>0.44088</v>
      </c>
      <c r="V501" s="61" t="n">
        <f aca="false">H501*Resumo!$B$7</f>
        <v>0.88176</v>
      </c>
      <c r="W501" s="61" t="n">
        <f aca="false">Resumo!$B$9</f>
        <v>1</v>
      </c>
      <c r="X501" s="61" t="n">
        <f aca="false">Resumo!$B$10*CEILING(G501/100,1)</f>
        <v>4.5</v>
      </c>
      <c r="Y501" s="61" t="n">
        <f aca="false">Resumo!$B$12*CEILING(G501,1)</f>
        <v>2.1</v>
      </c>
      <c r="Z501" s="61" t="n">
        <f aca="false">Resumo!$B$14*CEILING(G501,1)</f>
        <v>15.75</v>
      </c>
      <c r="AA501" s="61" t="n">
        <f aca="false">SUM(T501:Z501)</f>
        <v>106.88264</v>
      </c>
      <c r="AB501" s="61" t="n">
        <f aca="false">AA501/(1-Resumo!$B$5)</f>
        <v>121.457545454545</v>
      </c>
      <c r="AC501" s="61" t="n">
        <f aca="false">AB501-S501</f>
        <v>37.0124363636364</v>
      </c>
      <c r="AD501" s="62" t="n">
        <f aca="false">AB501/S501-1</f>
        <v>0.438301717673083</v>
      </c>
      <c r="AE501" s="60" t="str">
        <f aca="false">IF(AB501&lt;S501,"SIM","NÃO")</f>
        <v>NÃO</v>
      </c>
      <c r="AF501" s="60" t="n">
        <v>2</v>
      </c>
      <c r="AG501" s="60" t="n">
        <v>5</v>
      </c>
      <c r="AH501" s="60" t="s">
        <v>382</v>
      </c>
      <c r="AI501" s="61" t="n">
        <f aca="false">(T501*(1-Painel!$C$40)+U501+V501+Painel!$C$41+Painel!$C$42*CEILING(G501/100,1)+Painel!$C$43*CEILING(G501,1)+Z501)/(1-Resumo!$B$5)</f>
        <v>84.3219772727273</v>
      </c>
      <c r="AJ501" s="60" t="str">
        <f aca="false">IF(AI501&lt;S501,"SIM","NÃO")</f>
        <v>SIM</v>
      </c>
    </row>
    <row r="502" customFormat="false" ht="15" hidden="false" customHeight="false" outlineLevel="0" collapsed="false">
      <c r="A502" s="59" t="n">
        <v>46236.9272453704</v>
      </c>
      <c r="B502" s="60" t="s">
        <v>866</v>
      </c>
      <c r="C502" s="60" t="n">
        <v>22785085</v>
      </c>
      <c r="D502" s="60" t="s">
        <v>46</v>
      </c>
      <c r="E502" s="60" t="s">
        <v>22</v>
      </c>
      <c r="F502" s="60" t="s">
        <v>234</v>
      </c>
      <c r="G502" s="60" t="n">
        <v>37.6</v>
      </c>
      <c r="H502" s="61" t="n">
        <v>391.05</v>
      </c>
      <c r="I502" s="61" t="n">
        <v>48.35</v>
      </c>
      <c r="J502" s="61" t="n">
        <f aca="false">H502*Resumo!$C$6</f>
        <v>0</v>
      </c>
      <c r="K502" s="61" t="n">
        <f aca="false">H502*Resumo!$C$7</f>
        <v>0.821205</v>
      </c>
      <c r="L502" s="61" t="n">
        <f aca="false">H502*Resumo!$C$8</f>
        <v>0.821205</v>
      </c>
      <c r="M502" s="61" t="n">
        <f aca="false">Resumo!$C$10*CEILING(G502/100,1)</f>
        <v>1.05</v>
      </c>
      <c r="N502" s="61" t="n">
        <f aca="false">Resumo!$C$9</f>
        <v>0</v>
      </c>
      <c r="O502" s="61" t="n">
        <f aca="false">Resumo!$C$13</f>
        <v>13.55</v>
      </c>
      <c r="P502" s="61" t="n">
        <f aca="false">Resumo!$C$14*CEILING(G502,1)</f>
        <v>17.1</v>
      </c>
      <c r="Q502" s="61" t="n">
        <f aca="false">SUM(I502:P502)*Resumo!$C$11</f>
        <v>0</v>
      </c>
      <c r="R502" s="61" t="n">
        <f aca="false">SUM(I502:Q502)</f>
        <v>81.69241</v>
      </c>
      <c r="S502" s="61" t="n">
        <f aca="false">R502/(1-Resumo!$C$5)</f>
        <v>92.8322840909091</v>
      </c>
      <c r="T502" s="61" t="n">
        <v>93.97</v>
      </c>
      <c r="U502" s="61" t="n">
        <f aca="false">H502*Resumo!$B$6</f>
        <v>0.39105</v>
      </c>
      <c r="V502" s="61" t="n">
        <f aca="false">H502*Resumo!$B$7</f>
        <v>0.7821</v>
      </c>
      <c r="W502" s="61" t="n">
        <f aca="false">Resumo!$B$9</f>
        <v>1</v>
      </c>
      <c r="X502" s="61" t="n">
        <f aca="false">Resumo!$B$10*CEILING(G502/100,1)</f>
        <v>4.5</v>
      </c>
      <c r="Y502" s="61" t="n">
        <f aca="false">Resumo!$B$12*CEILING(G502,1)</f>
        <v>2.28</v>
      </c>
      <c r="Z502" s="61" t="n">
        <f aca="false">Resumo!$B$14*CEILING(G502,1)</f>
        <v>17.1</v>
      </c>
      <c r="AA502" s="61" t="n">
        <f aca="false">SUM(T502:Z502)</f>
        <v>120.02315</v>
      </c>
      <c r="AB502" s="61" t="n">
        <f aca="false">AA502/(1-Resumo!$B$5)</f>
        <v>136.389943181818</v>
      </c>
      <c r="AC502" s="61" t="n">
        <f aca="false">AB502-S502</f>
        <v>43.5576590909091</v>
      </c>
      <c r="AD502" s="62" t="n">
        <f aca="false">AB502/S502-1</f>
        <v>0.469208094117923</v>
      </c>
      <c r="AE502" s="60" t="str">
        <f aca="false">IF(AB502&lt;S502,"SIM","NÃO")</f>
        <v>NÃO</v>
      </c>
      <c r="AF502" s="60" t="n">
        <v>2</v>
      </c>
      <c r="AG502" s="60" t="n">
        <v>5</v>
      </c>
      <c r="AH502" s="60" t="s">
        <v>382</v>
      </c>
      <c r="AI502" s="61" t="n">
        <f aca="false">(T502*(1-Painel!$C$40)+U502+V502+Painel!$C$41+Painel!$C$42*CEILING(G502/100,1)+Painel!$C$43*CEILING(G502,1)+Z502)/(1-Resumo!$B$5)</f>
        <v>94.6398295454546</v>
      </c>
      <c r="AJ502" s="60" t="str">
        <f aca="false">IF(AI502&lt;S502,"SIM","NÃO")</f>
        <v>NÃO</v>
      </c>
    </row>
    <row r="503" customFormat="false" ht="15" hidden="false" customHeight="false" outlineLevel="0" collapsed="false">
      <c r="A503" s="59" t="n">
        <v>46236.972962963</v>
      </c>
      <c r="B503" s="60" t="s">
        <v>867</v>
      </c>
      <c r="C503" s="60" t="n">
        <v>23098006</v>
      </c>
      <c r="D503" s="60" t="s">
        <v>46</v>
      </c>
      <c r="E503" s="60" t="s">
        <v>22</v>
      </c>
      <c r="F503" s="60" t="s">
        <v>232</v>
      </c>
      <c r="G503" s="60" t="n">
        <v>19.5</v>
      </c>
      <c r="H503" s="61" t="n">
        <v>359.99</v>
      </c>
      <c r="I503" s="61" t="n">
        <v>33.42</v>
      </c>
      <c r="J503" s="61" t="n">
        <f aca="false">H503*Resumo!$C$6</f>
        <v>0</v>
      </c>
      <c r="K503" s="61" t="n">
        <f aca="false">H503*Resumo!$C$7</f>
        <v>0.755979</v>
      </c>
      <c r="L503" s="61" t="n">
        <f aca="false">H503*Resumo!$C$8</f>
        <v>0.755979</v>
      </c>
      <c r="M503" s="61" t="n">
        <f aca="false">Resumo!$C$10*CEILING(G503/100,1)</f>
        <v>1.05</v>
      </c>
      <c r="N503" s="61" t="n">
        <f aca="false">Resumo!$C$9</f>
        <v>0</v>
      </c>
      <c r="O503" s="61" t="n">
        <f aca="false">Resumo!$C$13</f>
        <v>13.55</v>
      </c>
      <c r="P503" s="61" t="n">
        <f aca="false">Resumo!$C$14*CEILING(G503,1)</f>
        <v>9</v>
      </c>
      <c r="Q503" s="61" t="n">
        <f aca="false">SUM(I503:P503)*Resumo!$C$11</f>
        <v>0</v>
      </c>
      <c r="R503" s="61" t="n">
        <f aca="false">SUM(I503:Q503)</f>
        <v>58.531958</v>
      </c>
      <c r="S503" s="61" t="n">
        <f aca="false">R503/(1-Resumo!$C$5)</f>
        <v>66.5135886363636</v>
      </c>
      <c r="T503" s="61" t="n">
        <v>46.98</v>
      </c>
      <c r="U503" s="61" t="n">
        <f aca="false">H503*Resumo!$B$6</f>
        <v>0.35999</v>
      </c>
      <c r="V503" s="61" t="n">
        <f aca="false">H503*Resumo!$B$7</f>
        <v>0.71998</v>
      </c>
      <c r="W503" s="61" t="n">
        <f aca="false">Resumo!$B$9</f>
        <v>1</v>
      </c>
      <c r="X503" s="61" t="n">
        <f aca="false">Resumo!$B$10*CEILING(G503/100,1)</f>
        <v>4.5</v>
      </c>
      <c r="Y503" s="61" t="n">
        <f aca="false">Resumo!$B$12*CEILING(G503,1)</f>
        <v>1.2</v>
      </c>
      <c r="Z503" s="61" t="n">
        <f aca="false">Resumo!$B$14*CEILING(G503,1)</f>
        <v>9</v>
      </c>
      <c r="AA503" s="61" t="n">
        <f aca="false">SUM(T503:Z503)</f>
        <v>63.75997</v>
      </c>
      <c r="AB503" s="61" t="n">
        <f aca="false">AA503/(1-Resumo!$B$5)</f>
        <v>72.4545113636364</v>
      </c>
      <c r="AC503" s="61" t="n">
        <f aca="false">AB503-S503</f>
        <v>5.94092272727272</v>
      </c>
      <c r="AD503" s="62" t="n">
        <f aca="false">AB503/S503-1</f>
        <v>0.0893189324027055</v>
      </c>
      <c r="AE503" s="60" t="str">
        <f aca="false">IF(AB503&lt;S503,"SIM","NÃO")</f>
        <v>NÃO</v>
      </c>
      <c r="AF503" s="60" t="n">
        <v>2</v>
      </c>
      <c r="AG503" s="60" t="n">
        <v>5</v>
      </c>
      <c r="AH503" s="60" t="s">
        <v>382</v>
      </c>
      <c r="AI503" s="61" t="n">
        <f aca="false">(T503*(1-Painel!$C$40)+U503+V503+Painel!$C$41+Painel!$C$42*CEILING(G503/100,1)+Painel!$C$43*CEILING(G503,1)+Z503)/(1-Resumo!$B$5)</f>
        <v>49.5529204545454</v>
      </c>
      <c r="AJ503" s="60" t="str">
        <f aca="false">IF(AI503&lt;S503,"SIM","NÃO")</f>
        <v>SIM</v>
      </c>
    </row>
    <row r="504" customFormat="false" ht="15" hidden="false" customHeight="false" outlineLevel="0" collapsed="false">
      <c r="A504" s="59" t="n">
        <v>46237.008125</v>
      </c>
      <c r="B504" s="60" t="s">
        <v>868</v>
      </c>
      <c r="C504" s="60" t="n">
        <v>28050270</v>
      </c>
      <c r="D504" s="60" t="s">
        <v>51</v>
      </c>
      <c r="E504" s="60" t="s">
        <v>24</v>
      </c>
      <c r="F504" s="60" t="s">
        <v>234</v>
      </c>
      <c r="G504" s="60" t="n">
        <v>40</v>
      </c>
      <c r="H504" s="61" t="n">
        <v>569.99</v>
      </c>
      <c r="I504" s="61" t="n">
        <v>74.97</v>
      </c>
      <c r="J504" s="61" t="n">
        <f aca="false">H504*Resumo!$C$6</f>
        <v>0</v>
      </c>
      <c r="K504" s="61" t="n">
        <f aca="false">H504*Resumo!$C$7</f>
        <v>1.196979</v>
      </c>
      <c r="L504" s="61" t="n">
        <f aca="false">H504*Resumo!$C$8</f>
        <v>1.196979</v>
      </c>
      <c r="M504" s="61" t="n">
        <f aca="false">Resumo!$C$10*CEILING(G504/100,1)</f>
        <v>1.05</v>
      </c>
      <c r="N504" s="61" t="n">
        <f aca="false">Resumo!$C$9</f>
        <v>0</v>
      </c>
      <c r="O504" s="61" t="n">
        <f aca="false">Resumo!$C$13</f>
        <v>13.55</v>
      </c>
      <c r="P504" s="61" t="n">
        <f aca="false">Resumo!$C$14*CEILING(G504,1)</f>
        <v>18</v>
      </c>
      <c r="Q504" s="61" t="n">
        <f aca="false">SUM(I504:P504)*Resumo!$C$11</f>
        <v>0</v>
      </c>
      <c r="R504" s="61" t="n">
        <f aca="false">SUM(I504:Q504)</f>
        <v>109.963958</v>
      </c>
      <c r="S504" s="61" t="n">
        <f aca="false">R504/(1-Resumo!$C$5)</f>
        <v>124.959043181818</v>
      </c>
      <c r="T504" s="61" t="n">
        <v>143.04</v>
      </c>
      <c r="U504" s="61" t="n">
        <f aca="false">H504*Resumo!$B$6</f>
        <v>0.56999</v>
      </c>
      <c r="V504" s="61" t="n">
        <f aca="false">H504*Resumo!$B$7</f>
        <v>1.13998</v>
      </c>
      <c r="W504" s="61" t="n">
        <f aca="false">Resumo!$B$9</f>
        <v>1</v>
      </c>
      <c r="X504" s="61" t="n">
        <f aca="false">Resumo!$B$10*CEILING(G504/100,1)</f>
        <v>4.5</v>
      </c>
      <c r="Y504" s="61" t="n">
        <f aca="false">Resumo!$B$12*CEILING(G504,1)</f>
        <v>2.4</v>
      </c>
      <c r="Z504" s="61" t="n">
        <f aca="false">Resumo!$B$14*CEILING(G504,1)</f>
        <v>18</v>
      </c>
      <c r="AA504" s="61" t="n">
        <f aca="false">SUM(T504:Z504)</f>
        <v>170.64997</v>
      </c>
      <c r="AB504" s="61" t="n">
        <f aca="false">AA504/(1-Resumo!$B$5)</f>
        <v>193.920420454545</v>
      </c>
      <c r="AC504" s="61" t="n">
        <f aca="false">AB504-S504</f>
        <v>68.9613772727273</v>
      </c>
      <c r="AD504" s="62" t="n">
        <f aca="false">AB504/S504-1</f>
        <v>0.551871841499194</v>
      </c>
      <c r="AE504" s="60" t="str">
        <f aca="false">IF(AB504&lt;S504,"SIM","NÃO")</f>
        <v>NÃO</v>
      </c>
      <c r="AF504" s="60" t="n">
        <v>13</v>
      </c>
      <c r="AG504" s="60" t="n">
        <v>11</v>
      </c>
      <c r="AH504" s="60" t="s">
        <v>382</v>
      </c>
      <c r="AI504" s="61" t="n">
        <f aca="false">(T504*(1-Painel!$C$40)+U504+V504+Painel!$C$41+Painel!$C$42*CEILING(G504/100,1)+Painel!$C$43*CEILING(G504,1)+Z504)/(1-Resumo!$B$5)</f>
        <v>133.632693181818</v>
      </c>
      <c r="AJ504" s="60" t="str">
        <f aca="false">IF(AI504&lt;S504,"SIM","NÃO")</f>
        <v>NÃO</v>
      </c>
    </row>
    <row r="505" customFormat="false" ht="15" hidden="false" customHeight="false" outlineLevel="0" collapsed="false">
      <c r="A505" s="59" t="n">
        <v>46237.2941550926</v>
      </c>
      <c r="B505" s="60" t="s">
        <v>869</v>
      </c>
      <c r="C505" s="60" t="n">
        <v>26297222</v>
      </c>
      <c r="D505" s="60" t="s">
        <v>49</v>
      </c>
      <c r="E505" s="60" t="s">
        <v>23</v>
      </c>
      <c r="F505" s="60" t="s">
        <v>234</v>
      </c>
      <c r="G505" s="60" t="n">
        <v>36.8</v>
      </c>
      <c r="H505" s="61" t="n">
        <v>469.99</v>
      </c>
      <c r="I505" s="61" t="n">
        <v>66.83</v>
      </c>
      <c r="J505" s="61" t="n">
        <f aca="false">H505*Resumo!$C$6</f>
        <v>0</v>
      </c>
      <c r="K505" s="61" t="n">
        <f aca="false">H505*Resumo!$C$7</f>
        <v>0.986979</v>
      </c>
      <c r="L505" s="61" t="n">
        <f aca="false">H505*Resumo!$C$8</f>
        <v>0.986979</v>
      </c>
      <c r="M505" s="61" t="n">
        <f aca="false">Resumo!$C$10*CEILING(G505/100,1)</f>
        <v>1.05</v>
      </c>
      <c r="N505" s="61" t="n">
        <f aca="false">Resumo!$C$9</f>
        <v>0</v>
      </c>
      <c r="O505" s="61" t="n">
        <f aca="false">Resumo!$C$13</f>
        <v>13.55</v>
      </c>
      <c r="P505" s="61" t="n">
        <f aca="false">Resumo!$C$14*CEILING(G505,1)</f>
        <v>16.65</v>
      </c>
      <c r="Q505" s="61" t="n">
        <f aca="false">SUM(I505:P505)*Resumo!$C$11</f>
        <v>0</v>
      </c>
      <c r="R505" s="61" t="n">
        <f aca="false">SUM(I505:Q505)</f>
        <v>100.053958</v>
      </c>
      <c r="S505" s="61" t="n">
        <f aca="false">R505/(1-Resumo!$C$5)</f>
        <v>113.697679545455</v>
      </c>
      <c r="T505" s="61" t="n">
        <v>93.97</v>
      </c>
      <c r="U505" s="61" t="n">
        <f aca="false">H505*Resumo!$B$6</f>
        <v>0.46999</v>
      </c>
      <c r="V505" s="61" t="n">
        <f aca="false">H505*Resumo!$B$7</f>
        <v>0.93998</v>
      </c>
      <c r="W505" s="61" t="n">
        <f aca="false">Resumo!$B$9</f>
        <v>1</v>
      </c>
      <c r="X505" s="61" t="n">
        <f aca="false">Resumo!$B$10*CEILING(G505/100,1)</f>
        <v>4.5</v>
      </c>
      <c r="Y505" s="61" t="n">
        <f aca="false">Resumo!$B$12*CEILING(G505,1)</f>
        <v>2.22</v>
      </c>
      <c r="Z505" s="61" t="n">
        <f aca="false">Resumo!$B$14*CEILING(G505,1)</f>
        <v>16.65</v>
      </c>
      <c r="AA505" s="61" t="n">
        <f aca="false">SUM(T505:Z505)</f>
        <v>119.74997</v>
      </c>
      <c r="AB505" s="61" t="n">
        <f aca="false">AA505/(1-Resumo!$B$5)</f>
        <v>136.079511363636</v>
      </c>
      <c r="AC505" s="61" t="n">
        <f aca="false">AB505-S505</f>
        <v>22.3818318181818</v>
      </c>
      <c r="AD505" s="62" t="n">
        <f aca="false">AB505/S505-1</f>
        <v>0.19685390157179</v>
      </c>
      <c r="AE505" s="60" t="str">
        <f aca="false">IF(AB505&lt;S505,"SIM","NÃO")</f>
        <v>NÃO</v>
      </c>
      <c r="AF505" s="60" t="n">
        <v>2</v>
      </c>
      <c r="AG505" s="60" t="n">
        <v>5</v>
      </c>
      <c r="AH505" s="60" t="s">
        <v>382</v>
      </c>
      <c r="AI505" s="61" t="n">
        <f aca="false">(T505*(1-Painel!$C$40)+U505+V505+Painel!$C$41+Painel!$C$42*CEILING(G505/100,1)+Painel!$C$43*CEILING(G505,1)+Z505)/(1-Resumo!$B$5)</f>
        <v>94.3975795454545</v>
      </c>
      <c r="AJ505" s="60" t="str">
        <f aca="false">IF(AI505&lt;S505,"SIM","NÃO")</f>
        <v>SIM</v>
      </c>
    </row>
    <row r="506" customFormat="false" ht="15" hidden="false" customHeight="false" outlineLevel="0" collapsed="false">
      <c r="A506" s="59" t="n">
        <v>46237.341412037</v>
      </c>
      <c r="B506" s="60" t="s">
        <v>870</v>
      </c>
      <c r="C506" s="60" t="n">
        <v>22620171</v>
      </c>
      <c r="D506" s="60" t="s">
        <v>46</v>
      </c>
      <c r="E506" s="60" t="s">
        <v>22</v>
      </c>
      <c r="F506" s="60" t="s">
        <v>234</v>
      </c>
      <c r="G506" s="60" t="n">
        <v>35.3</v>
      </c>
      <c r="H506" s="61" t="n">
        <v>458.15</v>
      </c>
      <c r="I506" s="61" t="n">
        <v>48.35</v>
      </c>
      <c r="J506" s="61" t="n">
        <f aca="false">H506*Resumo!$C$6</f>
        <v>0</v>
      </c>
      <c r="K506" s="61" t="n">
        <f aca="false">H506*Resumo!$C$7</f>
        <v>0.962115</v>
      </c>
      <c r="L506" s="61" t="n">
        <f aca="false">H506*Resumo!$C$8</f>
        <v>0.962115</v>
      </c>
      <c r="M506" s="61" t="n">
        <f aca="false">Resumo!$C$10*CEILING(G506/100,1)</f>
        <v>1.05</v>
      </c>
      <c r="N506" s="61" t="n">
        <f aca="false">Resumo!$C$9</f>
        <v>0</v>
      </c>
      <c r="O506" s="61" t="n">
        <f aca="false">Resumo!$C$13</f>
        <v>13.55</v>
      </c>
      <c r="P506" s="61" t="n">
        <f aca="false">Resumo!$C$14*CEILING(G506,1)</f>
        <v>16.2</v>
      </c>
      <c r="Q506" s="61" t="n">
        <f aca="false">SUM(I506:P506)*Resumo!$C$11</f>
        <v>0</v>
      </c>
      <c r="R506" s="61" t="n">
        <f aca="false">SUM(I506:Q506)</f>
        <v>81.07423</v>
      </c>
      <c r="S506" s="61" t="n">
        <f aca="false">R506/(1-Resumo!$C$5)</f>
        <v>92.1298068181818</v>
      </c>
      <c r="T506" s="61" t="n">
        <v>93.97</v>
      </c>
      <c r="U506" s="61" t="n">
        <f aca="false">H506*Resumo!$B$6</f>
        <v>0.45815</v>
      </c>
      <c r="V506" s="61" t="n">
        <f aca="false">H506*Resumo!$B$7</f>
        <v>0.9163</v>
      </c>
      <c r="W506" s="61" t="n">
        <f aca="false">Resumo!$B$9</f>
        <v>1</v>
      </c>
      <c r="X506" s="61" t="n">
        <f aca="false">Resumo!$B$10*CEILING(G506/100,1)</f>
        <v>4.5</v>
      </c>
      <c r="Y506" s="61" t="n">
        <f aca="false">Resumo!$B$12*CEILING(G506,1)</f>
        <v>2.16</v>
      </c>
      <c r="Z506" s="61" t="n">
        <f aca="false">Resumo!$B$14*CEILING(G506,1)</f>
        <v>16.2</v>
      </c>
      <c r="AA506" s="61" t="n">
        <f aca="false">SUM(T506:Z506)</f>
        <v>119.20445</v>
      </c>
      <c r="AB506" s="61" t="n">
        <f aca="false">AA506/(1-Resumo!$B$5)</f>
        <v>135.459602272727</v>
      </c>
      <c r="AC506" s="61" t="n">
        <f aca="false">AB506-S506</f>
        <v>43.3297954545455</v>
      </c>
      <c r="AD506" s="62" t="n">
        <f aca="false">AB506/S506-1</f>
        <v>0.470312453167918</v>
      </c>
      <c r="AE506" s="60" t="str">
        <f aca="false">IF(AB506&lt;S506,"SIM","NÃO")</f>
        <v>NÃO</v>
      </c>
      <c r="AF506" s="60" t="n">
        <v>2</v>
      </c>
      <c r="AG506" s="60" t="n">
        <v>5</v>
      </c>
      <c r="AH506" s="60" t="s">
        <v>382</v>
      </c>
      <c r="AI506" s="61" t="n">
        <f aca="false">(T506*(1-Painel!$C$40)+U506+V506+Painel!$C$41+Painel!$C$42*CEILING(G506/100,1)+Painel!$C$43*CEILING(G506,1)+Z506)/(1-Resumo!$B$5)</f>
        <v>93.8458522727273</v>
      </c>
      <c r="AJ506" s="60" t="str">
        <f aca="false">IF(AI506&lt;S506,"SIM","NÃO")</f>
        <v>NÃO</v>
      </c>
    </row>
    <row r="507" customFormat="false" ht="15" hidden="false" customHeight="false" outlineLevel="0" collapsed="false">
      <c r="A507" s="59" t="n">
        <v>46237.3859027778</v>
      </c>
      <c r="B507" s="60" t="s">
        <v>871</v>
      </c>
      <c r="C507" s="60" t="n">
        <v>27961068</v>
      </c>
      <c r="D507" s="60" t="s">
        <v>53</v>
      </c>
      <c r="E507" s="60" t="s">
        <v>24</v>
      </c>
      <c r="F507" s="60" t="s">
        <v>234</v>
      </c>
      <c r="G507" s="60" t="n">
        <v>36.9</v>
      </c>
      <c r="H507" s="61" t="n">
        <v>429.99</v>
      </c>
      <c r="I507" s="61" t="n">
        <v>74.97</v>
      </c>
      <c r="J507" s="61" t="n">
        <f aca="false">H507*Resumo!$C$6</f>
        <v>0</v>
      </c>
      <c r="K507" s="61" t="n">
        <f aca="false">H507*Resumo!$C$7</f>
        <v>0.902979</v>
      </c>
      <c r="L507" s="61" t="n">
        <f aca="false">H507*Resumo!$C$8</f>
        <v>0.902979</v>
      </c>
      <c r="M507" s="61" t="n">
        <f aca="false">Resumo!$C$10*CEILING(G507/100,1)</f>
        <v>1.05</v>
      </c>
      <c r="N507" s="61" t="n">
        <f aca="false">Resumo!$C$9</f>
        <v>0</v>
      </c>
      <c r="O507" s="61" t="n">
        <f aca="false">Resumo!$C$13</f>
        <v>13.55</v>
      </c>
      <c r="P507" s="61" t="n">
        <f aca="false">Resumo!$C$14*CEILING(G507,1)</f>
        <v>16.65</v>
      </c>
      <c r="Q507" s="61" t="n">
        <f aca="false">SUM(I507:P507)*Resumo!$C$11</f>
        <v>0</v>
      </c>
      <c r="R507" s="61" t="n">
        <f aca="false">SUM(I507:Q507)</f>
        <v>108.025958</v>
      </c>
      <c r="S507" s="61" t="n">
        <f aca="false">R507/(1-Resumo!$C$5)</f>
        <v>122.756770454545</v>
      </c>
      <c r="T507" s="61" t="n">
        <v>143.04</v>
      </c>
      <c r="U507" s="61" t="n">
        <f aca="false">H507*Resumo!$B$6</f>
        <v>0.42999</v>
      </c>
      <c r="V507" s="61" t="n">
        <f aca="false">H507*Resumo!$B$7</f>
        <v>0.85998</v>
      </c>
      <c r="W507" s="61" t="n">
        <f aca="false">Resumo!$B$9</f>
        <v>1</v>
      </c>
      <c r="X507" s="61" t="n">
        <f aca="false">Resumo!$B$10*CEILING(G507/100,1)</f>
        <v>4.5</v>
      </c>
      <c r="Y507" s="61" t="n">
        <f aca="false">Resumo!$B$12*CEILING(G507,1)</f>
        <v>2.22</v>
      </c>
      <c r="Z507" s="61" t="n">
        <f aca="false">Resumo!$B$14*CEILING(G507,1)</f>
        <v>16.65</v>
      </c>
      <c r="AA507" s="61" t="n">
        <f aca="false">SUM(T507:Z507)</f>
        <v>168.69997</v>
      </c>
      <c r="AB507" s="61" t="n">
        <f aca="false">AA507/(1-Resumo!$B$5)</f>
        <v>191.704511363636</v>
      </c>
      <c r="AC507" s="61" t="n">
        <f aca="false">AB507-S507</f>
        <v>68.9477409090909</v>
      </c>
      <c r="AD507" s="62" t="n">
        <f aca="false">AB507/S507-1</f>
        <v>0.561661411047149</v>
      </c>
      <c r="AE507" s="60" t="str">
        <f aca="false">IF(AB507&lt;S507,"SIM","NÃO")</f>
        <v>NÃO</v>
      </c>
      <c r="AF507" s="60" t="n">
        <v>13</v>
      </c>
      <c r="AG507" s="60" t="n">
        <v>11</v>
      </c>
      <c r="AH507" s="60" t="s">
        <v>382</v>
      </c>
      <c r="AI507" s="61" t="n">
        <f aca="false">(T507*(1-Painel!$C$40)+U507+V507+Painel!$C$41+Painel!$C$42*CEILING(G507/100,1)+Painel!$C$43*CEILING(G507,1)+Z507)/(1-Resumo!$B$5)</f>
        <v>131.621329545455</v>
      </c>
      <c r="AJ507" s="60" t="str">
        <f aca="false">IF(AI507&lt;S507,"SIM","NÃO")</f>
        <v>NÃO</v>
      </c>
    </row>
    <row r="508" customFormat="false" ht="15" hidden="false" customHeight="false" outlineLevel="0" collapsed="false">
      <c r="A508" s="59" t="n">
        <v>46237.3982638889</v>
      </c>
      <c r="B508" s="60" t="s">
        <v>872</v>
      </c>
      <c r="C508" s="60" t="n">
        <v>25035230</v>
      </c>
      <c r="D508" s="60" t="s">
        <v>48</v>
      </c>
      <c r="E508" s="60" t="s">
        <v>23</v>
      </c>
      <c r="F508" s="60" t="s">
        <v>240</v>
      </c>
      <c r="G508" s="60" t="n">
        <v>109.7</v>
      </c>
      <c r="H508" s="61" t="n">
        <v>1389.99</v>
      </c>
      <c r="I508" s="61" t="n">
        <v>101.26</v>
      </c>
      <c r="J508" s="61" t="n">
        <f aca="false">H508*Resumo!$C$6</f>
        <v>0</v>
      </c>
      <c r="K508" s="61" t="n">
        <f aca="false">H508*Resumo!$C$7</f>
        <v>2.918979</v>
      </c>
      <c r="L508" s="61" t="n">
        <f aca="false">H508*Resumo!$C$8</f>
        <v>2.918979</v>
      </c>
      <c r="M508" s="61" t="n">
        <f aca="false">Resumo!$C$10*CEILING(G508/100,1)</f>
        <v>2.1</v>
      </c>
      <c r="N508" s="61" t="n">
        <f aca="false">Resumo!$C$9</f>
        <v>0</v>
      </c>
      <c r="O508" s="61" t="n">
        <f aca="false">Resumo!$C$13</f>
        <v>13.55</v>
      </c>
      <c r="P508" s="61" t="n">
        <f aca="false">Resumo!$C$14*CEILING(G508,1)</f>
        <v>49.5</v>
      </c>
      <c r="Q508" s="61" t="n">
        <f aca="false">SUM(I508:P508)*Resumo!$C$11</f>
        <v>0</v>
      </c>
      <c r="R508" s="61" t="n">
        <f aca="false">SUM(I508:Q508)</f>
        <v>172.247958</v>
      </c>
      <c r="S508" s="61" t="n">
        <f aca="false">R508/(1-Resumo!$C$5)</f>
        <v>195.736315909091</v>
      </c>
      <c r="T508" s="61" t="n">
        <v>201.59</v>
      </c>
      <c r="U508" s="61" t="n">
        <f aca="false">H508*Resumo!$B$6</f>
        <v>1.38999</v>
      </c>
      <c r="V508" s="61" t="n">
        <f aca="false">H508*Resumo!$B$7</f>
        <v>2.77998</v>
      </c>
      <c r="W508" s="61" t="n">
        <f aca="false">Resumo!$B$9</f>
        <v>1</v>
      </c>
      <c r="X508" s="61" t="n">
        <f aca="false">Resumo!$B$10*CEILING(G508/100,1)</f>
        <v>9</v>
      </c>
      <c r="Y508" s="61" t="n">
        <f aca="false">Resumo!$B$12*CEILING(G508,1)</f>
        <v>6.6</v>
      </c>
      <c r="Z508" s="61" t="n">
        <f aca="false">Resumo!$B$14*CEILING(G508,1)</f>
        <v>49.5</v>
      </c>
      <c r="AA508" s="61" t="n">
        <f aca="false">SUM(T508:Z508)</f>
        <v>271.85997</v>
      </c>
      <c r="AB508" s="61" t="n">
        <f aca="false">AA508/(1-Resumo!$B$5)</f>
        <v>308.931784090909</v>
      </c>
      <c r="AC508" s="61" t="n">
        <f aca="false">AB508-S508</f>
        <v>113.195468181818</v>
      </c>
      <c r="AD508" s="62" t="n">
        <f aca="false">AB508/S508-1</f>
        <v>0.578305909437834</v>
      </c>
      <c r="AE508" s="60" t="str">
        <f aca="false">IF(AB508&lt;S508,"SIM","NÃO")</f>
        <v>NÃO</v>
      </c>
      <c r="AF508" s="60" t="n">
        <v>2</v>
      </c>
      <c r="AG508" s="60" t="n">
        <v>5</v>
      </c>
      <c r="AH508" s="60" t="s">
        <v>382</v>
      </c>
      <c r="AI508" s="61" t="n">
        <f aca="false">(T508*(1-Painel!$C$40)+U508+V508+Painel!$C$41+Painel!$C$42*CEILING(G508/100,1)+Painel!$C$43*CEILING(G508,1)+Z508)/(1-Resumo!$B$5)</f>
        <v>217.994625</v>
      </c>
      <c r="AJ508" s="60" t="str">
        <f aca="false">IF(AI508&lt;S508,"SIM","NÃO")</f>
        <v>NÃO</v>
      </c>
    </row>
    <row r="509" customFormat="false" ht="15" hidden="false" customHeight="false" outlineLevel="0" collapsed="false">
      <c r="A509" s="59" t="n">
        <v>46237.4429282407</v>
      </c>
      <c r="B509" s="60" t="s">
        <v>873</v>
      </c>
      <c r="C509" s="60" t="n">
        <v>23520131</v>
      </c>
      <c r="D509" s="60" t="s">
        <v>46</v>
      </c>
      <c r="E509" s="60" t="s">
        <v>22</v>
      </c>
      <c r="F509" s="60" t="s">
        <v>236</v>
      </c>
      <c r="G509" s="60" t="n">
        <v>52.3</v>
      </c>
      <c r="H509" s="61" t="n">
        <v>643.99</v>
      </c>
      <c r="I509" s="61" t="n">
        <v>58.6</v>
      </c>
      <c r="J509" s="61" t="n">
        <f aca="false">H509*Resumo!$C$6</f>
        <v>0</v>
      </c>
      <c r="K509" s="61" t="n">
        <f aca="false">H509*Resumo!$C$7</f>
        <v>1.352379</v>
      </c>
      <c r="L509" s="61" t="n">
        <f aca="false">H509*Resumo!$C$8</f>
        <v>1.352379</v>
      </c>
      <c r="M509" s="61" t="n">
        <f aca="false">Resumo!$C$10*CEILING(G509/100,1)</f>
        <v>1.05</v>
      </c>
      <c r="N509" s="61" t="n">
        <f aca="false">Resumo!$C$9</f>
        <v>0</v>
      </c>
      <c r="O509" s="61" t="n">
        <f aca="false">Resumo!$C$13</f>
        <v>13.55</v>
      </c>
      <c r="P509" s="61" t="n">
        <f aca="false">Resumo!$C$14*CEILING(G509,1)</f>
        <v>23.85</v>
      </c>
      <c r="Q509" s="61" t="n">
        <f aca="false">SUM(I509:P509)*Resumo!$C$11</f>
        <v>0</v>
      </c>
      <c r="R509" s="61" t="n">
        <f aca="false">SUM(I509:Q509)</f>
        <v>99.754758</v>
      </c>
      <c r="S509" s="61" t="n">
        <f aca="false">R509/(1-Resumo!$C$5)</f>
        <v>113.357679545455</v>
      </c>
      <c r="T509" s="61" t="n">
        <v>112.3</v>
      </c>
      <c r="U509" s="61" t="n">
        <f aca="false">H509*Resumo!$B$6</f>
        <v>0.64399</v>
      </c>
      <c r="V509" s="61" t="n">
        <f aca="false">H509*Resumo!$B$7</f>
        <v>1.28798</v>
      </c>
      <c r="W509" s="61" t="n">
        <f aca="false">Resumo!$B$9</f>
        <v>1</v>
      </c>
      <c r="X509" s="61" t="n">
        <f aca="false">Resumo!$B$10*CEILING(G509/100,1)</f>
        <v>4.5</v>
      </c>
      <c r="Y509" s="61" t="n">
        <f aca="false">Resumo!$B$12*CEILING(G509,1)</f>
        <v>3.18</v>
      </c>
      <c r="Z509" s="61" t="n">
        <f aca="false">Resumo!$B$14*CEILING(G509,1)</f>
        <v>23.85</v>
      </c>
      <c r="AA509" s="61" t="n">
        <f aca="false">SUM(T509:Z509)</f>
        <v>146.76197</v>
      </c>
      <c r="AB509" s="61" t="n">
        <f aca="false">AA509/(1-Resumo!$B$5)</f>
        <v>166.774965909091</v>
      </c>
      <c r="AC509" s="61" t="n">
        <f aca="false">AB509-S509</f>
        <v>53.4172863636363</v>
      </c>
      <c r="AD509" s="62" t="n">
        <f aca="false">AB509/S509-1</f>
        <v>0.471227768403788</v>
      </c>
      <c r="AE509" s="60" t="str">
        <f aca="false">IF(AB509&lt;S509,"SIM","NÃO")</f>
        <v>NÃO</v>
      </c>
      <c r="AF509" s="60" t="n">
        <v>2</v>
      </c>
      <c r="AG509" s="60" t="n">
        <v>5</v>
      </c>
      <c r="AH509" s="60" t="s">
        <v>382</v>
      </c>
      <c r="AI509" s="61" t="n">
        <f aca="false">(T509*(1-Painel!$C$40)+U509+V509+Painel!$C$41+Painel!$C$42*CEILING(G509/100,1)+Painel!$C$43*CEILING(G509,1)+Z509)/(1-Resumo!$B$5)</f>
        <v>117.128375</v>
      </c>
      <c r="AJ509" s="60" t="str">
        <f aca="false">IF(AI509&lt;S509,"SIM","NÃO")</f>
        <v>NÃO</v>
      </c>
    </row>
    <row r="510" customFormat="false" ht="15" hidden="false" customHeight="false" outlineLevel="0" collapsed="false">
      <c r="A510" s="59" t="n">
        <v>46237.4879050926</v>
      </c>
      <c r="B510" s="60" t="s">
        <v>874</v>
      </c>
      <c r="C510" s="60" t="n">
        <v>26265580</v>
      </c>
      <c r="D510" s="60" t="s">
        <v>49</v>
      </c>
      <c r="E510" s="60" t="s">
        <v>23</v>
      </c>
      <c r="F510" s="60" t="s">
        <v>237</v>
      </c>
      <c r="G510" s="60" t="n">
        <v>69.75</v>
      </c>
      <c r="H510" s="61" t="n">
        <v>859.99</v>
      </c>
      <c r="I510" s="61" t="n">
        <v>76.55</v>
      </c>
      <c r="J510" s="61" t="n">
        <f aca="false">H510*Resumo!$C$6</f>
        <v>0</v>
      </c>
      <c r="K510" s="61" t="n">
        <f aca="false">H510*Resumo!$C$7</f>
        <v>1.805979</v>
      </c>
      <c r="L510" s="61" t="n">
        <f aca="false">H510*Resumo!$C$8</f>
        <v>1.805979</v>
      </c>
      <c r="M510" s="61" t="n">
        <f aca="false">Resumo!$C$10*CEILING(G510/100,1)</f>
        <v>1.05</v>
      </c>
      <c r="N510" s="61" t="n">
        <f aca="false">Resumo!$C$9</f>
        <v>0</v>
      </c>
      <c r="O510" s="61" t="n">
        <f aca="false">Resumo!$C$13</f>
        <v>13.55</v>
      </c>
      <c r="P510" s="61" t="n">
        <f aca="false">Resumo!$C$14*CEILING(G510,1)</f>
        <v>31.5</v>
      </c>
      <c r="Q510" s="61" t="n">
        <f aca="false">SUM(I510:P510)*Resumo!$C$11</f>
        <v>0</v>
      </c>
      <c r="R510" s="61" t="n">
        <f aca="false">SUM(I510:Q510)</f>
        <v>126.261958</v>
      </c>
      <c r="S510" s="61" t="n">
        <f aca="false">R510/(1-Resumo!$C$5)</f>
        <v>143.479497727273</v>
      </c>
      <c r="T510" s="61" t="n">
        <v>131.02</v>
      </c>
      <c r="U510" s="61" t="n">
        <f aca="false">H510*Resumo!$B$6</f>
        <v>0.85999</v>
      </c>
      <c r="V510" s="61" t="n">
        <f aca="false">H510*Resumo!$B$7</f>
        <v>1.71998</v>
      </c>
      <c r="W510" s="61" t="n">
        <f aca="false">Resumo!$B$9</f>
        <v>1</v>
      </c>
      <c r="X510" s="61" t="n">
        <f aca="false">Resumo!$B$10*CEILING(G510/100,1)</f>
        <v>4.5</v>
      </c>
      <c r="Y510" s="61" t="n">
        <f aca="false">Resumo!$B$12*CEILING(G510,1)</f>
        <v>4.2</v>
      </c>
      <c r="Z510" s="61" t="n">
        <f aca="false">Resumo!$B$14*CEILING(G510,1)</f>
        <v>31.5</v>
      </c>
      <c r="AA510" s="61" t="n">
        <f aca="false">SUM(T510:Z510)</f>
        <v>174.79997</v>
      </c>
      <c r="AB510" s="61" t="n">
        <f aca="false">AA510/(1-Resumo!$B$5)</f>
        <v>198.636329545455</v>
      </c>
      <c r="AC510" s="61" t="n">
        <f aca="false">AB510-S510</f>
        <v>55.1568318181818</v>
      </c>
      <c r="AD510" s="62" t="n">
        <f aca="false">AB510/S510-1</f>
        <v>0.384423089653021</v>
      </c>
      <c r="AE510" s="60" t="str">
        <f aca="false">IF(AB510&lt;S510,"SIM","NÃO")</f>
        <v>NÃO</v>
      </c>
      <c r="AF510" s="60" t="n">
        <v>2</v>
      </c>
      <c r="AG510" s="60" t="n">
        <v>5</v>
      </c>
      <c r="AH510" s="60" t="s">
        <v>382</v>
      </c>
      <c r="AI510" s="61" t="n">
        <f aca="false">(T510*(1-Painel!$C$40)+U510+V510+Painel!$C$41+Painel!$C$42*CEILING(G510/100,1)+Painel!$C$43*CEILING(G510,1)+Z510)/(1-Resumo!$B$5)</f>
        <v>140.810647727273</v>
      </c>
      <c r="AJ510" s="60" t="str">
        <f aca="false">IF(AI510&lt;S510,"SIM","NÃO")</f>
        <v>SIM</v>
      </c>
    </row>
    <row r="511" customFormat="false" ht="15" hidden="false" customHeight="false" outlineLevel="0" collapsed="false">
      <c r="A511" s="59" t="n">
        <v>46237.4953125</v>
      </c>
      <c r="B511" s="60" t="s">
        <v>875</v>
      </c>
      <c r="C511" s="60" t="n">
        <v>21070590</v>
      </c>
      <c r="D511" s="60" t="s">
        <v>46</v>
      </c>
      <c r="E511" s="60" t="s">
        <v>22</v>
      </c>
      <c r="F511" s="60" t="s">
        <v>235</v>
      </c>
      <c r="G511" s="60" t="n">
        <v>46.8</v>
      </c>
      <c r="H511" s="61" t="n">
        <v>599.99</v>
      </c>
      <c r="I511" s="61" t="n">
        <v>53.55</v>
      </c>
      <c r="J511" s="61" t="n">
        <f aca="false">H511*Resumo!$C$6</f>
        <v>0</v>
      </c>
      <c r="K511" s="61" t="n">
        <f aca="false">H511*Resumo!$C$7</f>
        <v>1.259979</v>
      </c>
      <c r="L511" s="61" t="n">
        <f aca="false">H511*Resumo!$C$8</f>
        <v>1.259979</v>
      </c>
      <c r="M511" s="61" t="n">
        <f aca="false">Resumo!$C$10*CEILING(G511/100,1)</f>
        <v>1.05</v>
      </c>
      <c r="N511" s="61" t="n">
        <f aca="false">Resumo!$C$9</f>
        <v>0</v>
      </c>
      <c r="O511" s="61" t="n">
        <f aca="false">Resumo!$C$13</f>
        <v>13.55</v>
      </c>
      <c r="P511" s="61" t="n">
        <f aca="false">Resumo!$C$14*CEILING(G511,1)</f>
        <v>21.15</v>
      </c>
      <c r="Q511" s="61" t="n">
        <f aca="false">SUM(I511:P511)*Resumo!$C$11</f>
        <v>0</v>
      </c>
      <c r="R511" s="61" t="n">
        <f aca="false">SUM(I511:Q511)</f>
        <v>91.819958</v>
      </c>
      <c r="S511" s="61" t="n">
        <f aca="false">R511/(1-Resumo!$C$5)</f>
        <v>104.340861363636</v>
      </c>
      <c r="T511" s="61" t="n">
        <v>93.97</v>
      </c>
      <c r="U511" s="61" t="n">
        <f aca="false">H511*Resumo!$B$6</f>
        <v>0.59999</v>
      </c>
      <c r="V511" s="61" t="n">
        <f aca="false">H511*Resumo!$B$7</f>
        <v>1.19998</v>
      </c>
      <c r="W511" s="61" t="n">
        <f aca="false">Resumo!$B$9</f>
        <v>1</v>
      </c>
      <c r="X511" s="61" t="n">
        <f aca="false">Resumo!$B$10*CEILING(G511/100,1)</f>
        <v>4.5</v>
      </c>
      <c r="Y511" s="61" t="n">
        <f aca="false">Resumo!$B$12*CEILING(G511,1)</f>
        <v>2.82</v>
      </c>
      <c r="Z511" s="61" t="n">
        <f aca="false">Resumo!$B$14*CEILING(G511,1)</f>
        <v>21.15</v>
      </c>
      <c r="AA511" s="61" t="n">
        <f aca="false">SUM(T511:Z511)</f>
        <v>125.23997</v>
      </c>
      <c r="AB511" s="61" t="n">
        <f aca="false">AA511/(1-Resumo!$B$5)</f>
        <v>142.318147727273</v>
      </c>
      <c r="AC511" s="61" t="n">
        <f aca="false">AB511-S511</f>
        <v>37.9772863636364</v>
      </c>
      <c r="AD511" s="62" t="n">
        <f aca="false">AB511/S511-1</f>
        <v>0.363973287811785</v>
      </c>
      <c r="AE511" s="60" t="str">
        <f aca="false">IF(AB511&lt;S511,"SIM","NÃO")</f>
        <v>NÃO</v>
      </c>
      <c r="AF511" s="60" t="n">
        <v>2</v>
      </c>
      <c r="AG511" s="60" t="n">
        <v>5</v>
      </c>
      <c r="AH511" s="60" t="s">
        <v>382</v>
      </c>
      <c r="AI511" s="61" t="n">
        <f aca="false">(T511*(1-Painel!$C$40)+U511+V511+Painel!$C$41+Painel!$C$42*CEILING(G511/100,1)+Painel!$C$43*CEILING(G511,1)+Z511)/(1-Resumo!$B$5)</f>
        <v>99.9543977272727</v>
      </c>
      <c r="AJ511" s="60" t="str">
        <f aca="false">IF(AI511&lt;S511,"SIM","NÃO")</f>
        <v>SIM</v>
      </c>
    </row>
    <row r="512" customFormat="false" ht="15" hidden="false" customHeight="false" outlineLevel="0" collapsed="false">
      <c r="A512" s="59" t="n">
        <v>46237.4985069444</v>
      </c>
      <c r="B512" s="60" t="s">
        <v>876</v>
      </c>
      <c r="C512" s="60" t="n">
        <v>24735075</v>
      </c>
      <c r="D512" s="60" t="s">
        <v>47</v>
      </c>
      <c r="E512" s="60" t="s">
        <v>23</v>
      </c>
      <c r="F512" s="60" t="s">
        <v>236</v>
      </c>
      <c r="G512" s="60" t="n">
        <v>52.3</v>
      </c>
      <c r="H512" s="61" t="n">
        <v>643.99</v>
      </c>
      <c r="I512" s="61" t="n">
        <v>70.98</v>
      </c>
      <c r="J512" s="61" t="n">
        <f aca="false">H512*Resumo!$C$6</f>
        <v>0</v>
      </c>
      <c r="K512" s="61" t="n">
        <f aca="false">H512*Resumo!$C$7</f>
        <v>1.352379</v>
      </c>
      <c r="L512" s="61" t="n">
        <f aca="false">H512*Resumo!$C$8</f>
        <v>1.352379</v>
      </c>
      <c r="M512" s="61" t="n">
        <f aca="false">Resumo!$C$10*CEILING(G512/100,1)</f>
        <v>1.05</v>
      </c>
      <c r="N512" s="61" t="n">
        <f aca="false">Resumo!$C$9</f>
        <v>0</v>
      </c>
      <c r="O512" s="61" t="n">
        <f aca="false">Resumo!$C$13</f>
        <v>13.55</v>
      </c>
      <c r="P512" s="61" t="n">
        <f aca="false">Resumo!$C$14*CEILING(G512,1)</f>
        <v>23.85</v>
      </c>
      <c r="Q512" s="61" t="n">
        <f aca="false">SUM(I512:P512)*Resumo!$C$11</f>
        <v>0</v>
      </c>
      <c r="R512" s="61" t="n">
        <f aca="false">SUM(I512:Q512)</f>
        <v>112.134758</v>
      </c>
      <c r="S512" s="61" t="n">
        <f aca="false">R512/(1-Resumo!$C$5)</f>
        <v>127.425861363636</v>
      </c>
      <c r="T512" s="61" t="n">
        <v>128.14</v>
      </c>
      <c r="U512" s="61" t="n">
        <f aca="false">H512*Resumo!$B$6</f>
        <v>0.64399</v>
      </c>
      <c r="V512" s="61" t="n">
        <f aca="false">H512*Resumo!$B$7</f>
        <v>1.28798</v>
      </c>
      <c r="W512" s="61" t="n">
        <f aca="false">Resumo!$B$9</f>
        <v>1</v>
      </c>
      <c r="X512" s="61" t="n">
        <f aca="false">Resumo!$B$10*CEILING(G512/100,1)</f>
        <v>4.5</v>
      </c>
      <c r="Y512" s="61" t="n">
        <f aca="false">Resumo!$B$12*CEILING(G512,1)</f>
        <v>3.18</v>
      </c>
      <c r="Z512" s="61" t="n">
        <f aca="false">Resumo!$B$14*CEILING(G512,1)</f>
        <v>23.85</v>
      </c>
      <c r="AA512" s="61" t="n">
        <f aca="false">SUM(T512:Z512)</f>
        <v>162.60197</v>
      </c>
      <c r="AB512" s="61" t="n">
        <f aca="false">AA512/(1-Resumo!$B$5)</f>
        <v>184.774965909091</v>
      </c>
      <c r="AC512" s="61" t="n">
        <f aca="false">AB512-S512</f>
        <v>57.3491045454545</v>
      </c>
      <c r="AD512" s="62" t="n">
        <f aca="false">AB512/S512-1</f>
        <v>0.450058598244801</v>
      </c>
      <c r="AE512" s="60" t="str">
        <f aca="false">IF(AB512&lt;S512,"SIM","NÃO")</f>
        <v>NÃO</v>
      </c>
      <c r="AF512" s="60" t="n">
        <v>2</v>
      </c>
      <c r="AG512" s="60" t="n">
        <v>7</v>
      </c>
      <c r="AH512" s="60" t="s">
        <v>382</v>
      </c>
      <c r="AI512" s="61" t="n">
        <f aca="false">(T512*(1-Painel!$C$40)+U512+V512+Painel!$C$41+Painel!$C$42*CEILING(G512/100,1)+Painel!$C$43*CEILING(G512,1)+Z512)/(1-Resumo!$B$5)</f>
        <v>129.188375</v>
      </c>
      <c r="AJ512" s="60" t="str">
        <f aca="false">IF(AI512&lt;S512,"SIM","NÃO")</f>
        <v>NÃO</v>
      </c>
    </row>
    <row r="513" customFormat="false" ht="15" hidden="false" customHeight="false" outlineLevel="0" collapsed="false">
      <c r="A513" s="59" t="n">
        <v>46237.4996759259</v>
      </c>
      <c r="B513" s="60" t="s">
        <v>877</v>
      </c>
      <c r="C513" s="60" t="n">
        <v>26125450</v>
      </c>
      <c r="D513" s="60" t="s">
        <v>52</v>
      </c>
      <c r="E513" s="60" t="s">
        <v>23</v>
      </c>
      <c r="F513" s="60" t="s">
        <v>237</v>
      </c>
      <c r="G513" s="60" t="n">
        <v>63</v>
      </c>
      <c r="H513" s="61" t="n">
        <v>789.99</v>
      </c>
      <c r="I513" s="61" t="n">
        <v>76.55</v>
      </c>
      <c r="J513" s="61" t="n">
        <f aca="false">H513*Resumo!$C$6</f>
        <v>0</v>
      </c>
      <c r="K513" s="61" t="n">
        <f aca="false">H513*Resumo!$C$7</f>
        <v>1.658979</v>
      </c>
      <c r="L513" s="61" t="n">
        <f aca="false">H513*Resumo!$C$8</f>
        <v>1.658979</v>
      </c>
      <c r="M513" s="61" t="n">
        <f aca="false">Resumo!$C$10*CEILING(G513/100,1)</f>
        <v>1.05</v>
      </c>
      <c r="N513" s="61" t="n">
        <f aca="false">Resumo!$C$9</f>
        <v>0</v>
      </c>
      <c r="O513" s="61" t="n">
        <f aca="false">Resumo!$C$13</f>
        <v>13.55</v>
      </c>
      <c r="P513" s="61" t="n">
        <f aca="false">Resumo!$C$14*CEILING(G513,1)</f>
        <v>28.35</v>
      </c>
      <c r="Q513" s="61" t="n">
        <f aca="false">SUM(I513:P513)*Resumo!$C$11</f>
        <v>0</v>
      </c>
      <c r="R513" s="61" t="n">
        <f aca="false">SUM(I513:Q513)</f>
        <v>122.817958</v>
      </c>
      <c r="S513" s="61" t="n">
        <f aca="false">R513/(1-Resumo!$C$5)</f>
        <v>139.565861363636</v>
      </c>
      <c r="T513" s="61" t="n">
        <v>131.02</v>
      </c>
      <c r="U513" s="61" t="n">
        <f aca="false">H513*Resumo!$B$6</f>
        <v>0.78999</v>
      </c>
      <c r="V513" s="61" t="n">
        <f aca="false">H513*Resumo!$B$7</f>
        <v>1.57998</v>
      </c>
      <c r="W513" s="61" t="n">
        <f aca="false">Resumo!$B$9</f>
        <v>1</v>
      </c>
      <c r="X513" s="61" t="n">
        <f aca="false">Resumo!$B$10*CEILING(G513/100,1)</f>
        <v>4.5</v>
      </c>
      <c r="Y513" s="61" t="n">
        <f aca="false">Resumo!$B$12*CEILING(G513,1)</f>
        <v>3.78</v>
      </c>
      <c r="Z513" s="61" t="n">
        <f aca="false">Resumo!$B$14*CEILING(G513,1)</f>
        <v>28.35</v>
      </c>
      <c r="AA513" s="61" t="n">
        <f aca="false">SUM(T513:Z513)</f>
        <v>171.01997</v>
      </c>
      <c r="AB513" s="61" t="n">
        <f aca="false">AA513/(1-Resumo!$B$5)</f>
        <v>194.340875</v>
      </c>
      <c r="AC513" s="61" t="n">
        <f aca="false">AB513-S513</f>
        <v>54.7750136363636</v>
      </c>
      <c r="AD513" s="62" t="n">
        <f aca="false">AB513/S513-1</f>
        <v>0.392467134162905</v>
      </c>
      <c r="AE513" s="60" t="str">
        <f aca="false">IF(AB513&lt;S513,"SIM","NÃO")</f>
        <v>NÃO</v>
      </c>
      <c r="AF513" s="60" t="n">
        <v>2</v>
      </c>
      <c r="AG513" s="60" t="n">
        <v>5</v>
      </c>
      <c r="AH513" s="60" t="s">
        <v>382</v>
      </c>
      <c r="AI513" s="61" t="n">
        <f aca="false">(T513*(1-Painel!$C$40)+U513+V513+Painel!$C$41+Painel!$C$42*CEILING(G513/100,1)+Painel!$C$43*CEILING(G513,1)+Z513)/(1-Resumo!$B$5)</f>
        <v>136.992465909091</v>
      </c>
      <c r="AJ513" s="60" t="str">
        <f aca="false">IF(AI513&lt;S513,"SIM","NÃO")</f>
        <v>SIM</v>
      </c>
    </row>
    <row r="514" customFormat="false" ht="15" hidden="false" customHeight="false" outlineLevel="0" collapsed="false">
      <c r="A514" s="59" t="n">
        <v>46237.5190393519</v>
      </c>
      <c r="B514" s="60" t="s">
        <v>878</v>
      </c>
      <c r="C514" s="60" t="n">
        <v>26515035</v>
      </c>
      <c r="D514" s="60" t="s">
        <v>284</v>
      </c>
      <c r="E514" s="60" t="s">
        <v>23</v>
      </c>
      <c r="F514" s="60" t="s">
        <v>236</v>
      </c>
      <c r="G514" s="60" t="n">
        <v>58.6</v>
      </c>
      <c r="H514" s="61" t="n">
        <v>769.99</v>
      </c>
      <c r="I514" s="61" t="n">
        <v>70.98</v>
      </c>
      <c r="J514" s="61" t="n">
        <f aca="false">H514*Resumo!$C$6</f>
        <v>0</v>
      </c>
      <c r="K514" s="61" t="n">
        <f aca="false">H514*Resumo!$C$7</f>
        <v>1.616979</v>
      </c>
      <c r="L514" s="61" t="n">
        <f aca="false">H514*Resumo!$C$8</f>
        <v>1.616979</v>
      </c>
      <c r="M514" s="61" t="n">
        <f aca="false">Resumo!$C$10*CEILING(G514/100,1)</f>
        <v>1.05</v>
      </c>
      <c r="N514" s="61" t="n">
        <f aca="false">Resumo!$C$9</f>
        <v>0</v>
      </c>
      <c r="O514" s="61" t="n">
        <f aca="false">Resumo!$C$13</f>
        <v>13.55</v>
      </c>
      <c r="P514" s="61" t="n">
        <f aca="false">Resumo!$C$14*CEILING(G514,1)</f>
        <v>26.55</v>
      </c>
      <c r="Q514" s="61" t="n">
        <f aca="false">SUM(I514:P514)*Resumo!$C$11</f>
        <v>0</v>
      </c>
      <c r="R514" s="61" t="n">
        <f aca="false">SUM(I514:Q514)</f>
        <v>115.363958</v>
      </c>
      <c r="S514" s="61" t="n">
        <f aca="false">R514/(1-Resumo!$C$5)</f>
        <v>131.095406818182</v>
      </c>
      <c r="T514" s="61" t="n">
        <v>112.3</v>
      </c>
      <c r="U514" s="61" t="n">
        <f aca="false">H514*Resumo!$B$6</f>
        <v>0.76999</v>
      </c>
      <c r="V514" s="61" t="n">
        <f aca="false">H514*Resumo!$B$7</f>
        <v>1.53998</v>
      </c>
      <c r="W514" s="61" t="n">
        <f aca="false">Resumo!$B$9</f>
        <v>1</v>
      </c>
      <c r="X514" s="61" t="n">
        <f aca="false">Resumo!$B$10*CEILING(G514/100,1)</f>
        <v>4.5</v>
      </c>
      <c r="Y514" s="61" t="n">
        <f aca="false">Resumo!$B$12*CEILING(G514,1)</f>
        <v>3.54</v>
      </c>
      <c r="Z514" s="61" t="n">
        <f aca="false">Resumo!$B$14*CEILING(G514,1)</f>
        <v>26.55</v>
      </c>
      <c r="AA514" s="61" t="n">
        <f aca="false">SUM(T514:Z514)</f>
        <v>150.19997</v>
      </c>
      <c r="AB514" s="61" t="n">
        <f aca="false">AA514/(1-Resumo!$B$5)</f>
        <v>170.681784090909</v>
      </c>
      <c r="AC514" s="61" t="n">
        <f aca="false">AB514-S514</f>
        <v>39.5863772727273</v>
      </c>
      <c r="AD514" s="62" t="n">
        <f aca="false">AB514/S514-1</f>
        <v>0.301966165203867</v>
      </c>
      <c r="AE514" s="60" t="str">
        <f aca="false">IF(AB514&lt;S514,"SIM","NÃO")</f>
        <v>NÃO</v>
      </c>
      <c r="AF514" s="60" t="n">
        <v>2</v>
      </c>
      <c r="AG514" s="60" t="n">
        <v>5</v>
      </c>
      <c r="AH514" s="60" t="s">
        <v>385</v>
      </c>
      <c r="AI514" s="61" t="n">
        <f aca="false">(T514*(1-Painel!$C$40)+U514+V514+Painel!$C$41+Painel!$C$42*CEILING(G514/100,1)+Painel!$C$43*CEILING(G514,1)+Z514)/(1-Resumo!$B$5)</f>
        <v>120.626102272727</v>
      </c>
      <c r="AJ514" s="60" t="str">
        <f aca="false">IF(AI514&lt;S514,"SIM","NÃO")</f>
        <v>SIM</v>
      </c>
    </row>
    <row r="515" customFormat="false" ht="15" hidden="false" customHeight="false" outlineLevel="0" collapsed="false">
      <c r="A515" s="59" t="n">
        <v>46237.5364236111</v>
      </c>
      <c r="B515" s="60" t="s">
        <v>879</v>
      </c>
      <c r="C515" s="60" t="n">
        <v>23550265</v>
      </c>
      <c r="D515" s="60" t="s">
        <v>46</v>
      </c>
      <c r="E515" s="60" t="s">
        <v>22</v>
      </c>
      <c r="F515" s="60" t="s">
        <v>241</v>
      </c>
      <c r="G515" s="60" t="n">
        <v>124.2</v>
      </c>
      <c r="H515" s="61" t="n">
        <v>1630.39</v>
      </c>
      <c r="I515" s="61" t="n">
        <v>120.59</v>
      </c>
      <c r="J515" s="61" t="n">
        <f aca="false">H515*Resumo!$C$6</f>
        <v>0</v>
      </c>
      <c r="K515" s="61" t="n">
        <f aca="false">H515*Resumo!$C$7</f>
        <v>3.423819</v>
      </c>
      <c r="L515" s="61" t="n">
        <f aca="false">H515*Resumo!$C$8</f>
        <v>3.423819</v>
      </c>
      <c r="M515" s="61" t="n">
        <f aca="false">Resumo!$C$10*CEILING(G515/100,1)</f>
        <v>2.1</v>
      </c>
      <c r="N515" s="61" t="n">
        <f aca="false">Resumo!$C$9</f>
        <v>0</v>
      </c>
      <c r="O515" s="61" t="n">
        <f aca="false">Resumo!$C$13</f>
        <v>13.55</v>
      </c>
      <c r="P515" s="61" t="n">
        <f aca="false">Resumo!$C$14*CEILING(G515,1)</f>
        <v>56.25</v>
      </c>
      <c r="Q515" s="61" t="n">
        <f aca="false">SUM(I515:P515)*Resumo!$C$11</f>
        <v>0</v>
      </c>
      <c r="R515" s="61" t="n">
        <f aca="false">SUM(I515:Q515)</f>
        <v>199.337638</v>
      </c>
      <c r="S515" s="61" t="n">
        <f aca="false">R515/(1-Resumo!$C$5)</f>
        <v>226.520043181818</v>
      </c>
      <c r="T515" s="61" t="n">
        <v>239.25</v>
      </c>
      <c r="U515" s="61" t="n">
        <f aca="false">H515*Resumo!$B$6</f>
        <v>1.63039</v>
      </c>
      <c r="V515" s="61" t="n">
        <f aca="false">H515*Resumo!$B$7</f>
        <v>3.26078</v>
      </c>
      <c r="W515" s="61" t="n">
        <f aca="false">Resumo!$B$9</f>
        <v>1</v>
      </c>
      <c r="X515" s="61" t="n">
        <f aca="false">Resumo!$B$10*CEILING(G515/100,1)</f>
        <v>9</v>
      </c>
      <c r="Y515" s="61" t="n">
        <f aca="false">Resumo!$B$12*CEILING(G515,1)</f>
        <v>7.5</v>
      </c>
      <c r="Z515" s="61" t="n">
        <f aca="false">Resumo!$B$14*CEILING(G515,1)</f>
        <v>56.25</v>
      </c>
      <c r="AA515" s="61" t="n">
        <f aca="false">SUM(T515:Z515)</f>
        <v>317.89117</v>
      </c>
      <c r="AB515" s="61" t="n">
        <f aca="false">AA515/(1-Resumo!$B$5)</f>
        <v>361.239965909091</v>
      </c>
      <c r="AC515" s="61" t="n">
        <f aca="false">AB515-S515</f>
        <v>134.719922727273</v>
      </c>
      <c r="AD515" s="62" t="n">
        <f aca="false">AB515/S515-1</f>
        <v>0.594737316993793</v>
      </c>
      <c r="AE515" s="60" t="str">
        <f aca="false">IF(AB515&lt;S515,"SIM","NÃO")</f>
        <v>NÃO</v>
      </c>
      <c r="AF515" s="60" t="n">
        <v>2</v>
      </c>
      <c r="AG515" s="60" t="n">
        <v>5</v>
      </c>
      <c r="AH515" s="60" t="s">
        <v>382</v>
      </c>
      <c r="AI515" s="61" t="n">
        <f aca="false">(T515*(1-Painel!$C$40)+U515+V515+Painel!$C$41+Painel!$C$42*CEILING(G515/100,1)+Painel!$C$43*CEILING(G515,1)+Z515)/(1-Resumo!$B$5)</f>
        <v>255.157579545455</v>
      </c>
      <c r="AJ515" s="60" t="str">
        <f aca="false">IF(AI515&lt;S515,"SIM","NÃO")</f>
        <v>NÃO</v>
      </c>
    </row>
    <row r="516" customFormat="false" ht="15" hidden="false" customHeight="false" outlineLevel="0" collapsed="false">
      <c r="A516" s="59" t="n">
        <v>46237.5377777778</v>
      </c>
      <c r="B516" s="60" t="s">
        <v>880</v>
      </c>
      <c r="C516" s="60" t="n">
        <v>24940505</v>
      </c>
      <c r="D516" s="60" t="s">
        <v>220</v>
      </c>
      <c r="E516" s="60" t="s">
        <v>24</v>
      </c>
      <c r="F516" s="60" t="s">
        <v>235</v>
      </c>
      <c r="G516" s="60" t="n">
        <v>48</v>
      </c>
      <c r="H516" s="61" t="n">
        <v>899.99</v>
      </c>
      <c r="I516" s="61" t="n">
        <v>77.7</v>
      </c>
      <c r="J516" s="61" t="n">
        <f aca="false">H516*Resumo!$C$6</f>
        <v>0</v>
      </c>
      <c r="K516" s="61" t="n">
        <f aca="false">H516*Resumo!$C$7</f>
        <v>1.889979</v>
      </c>
      <c r="L516" s="61" t="n">
        <f aca="false">H516*Resumo!$C$8</f>
        <v>1.889979</v>
      </c>
      <c r="M516" s="61" t="n">
        <f aca="false">Resumo!$C$10*CEILING(G516/100,1)</f>
        <v>1.05</v>
      </c>
      <c r="N516" s="61" t="n">
        <f aca="false">Resumo!$C$9</f>
        <v>0</v>
      </c>
      <c r="O516" s="61" t="n">
        <f aca="false">Resumo!$C$13</f>
        <v>13.55</v>
      </c>
      <c r="P516" s="61" t="n">
        <f aca="false">Resumo!$C$14*CEILING(G516,1)</f>
        <v>21.6</v>
      </c>
      <c r="Q516" s="61" t="n">
        <f aca="false">SUM(I516:P516)*Resumo!$C$11</f>
        <v>0</v>
      </c>
      <c r="R516" s="61" t="n">
        <f aca="false">SUM(I516:Q516)</f>
        <v>117.679958</v>
      </c>
      <c r="S516" s="61" t="n">
        <f aca="false">R516/(1-Resumo!$C$5)</f>
        <v>133.727225</v>
      </c>
      <c r="T516" s="61" t="n">
        <v>114.95</v>
      </c>
      <c r="U516" s="61" t="n">
        <f aca="false">H516*Resumo!$B$6</f>
        <v>0.89999</v>
      </c>
      <c r="V516" s="61" t="n">
        <f aca="false">H516*Resumo!$B$7</f>
        <v>1.79998</v>
      </c>
      <c r="W516" s="61" t="n">
        <f aca="false">Resumo!$B$9</f>
        <v>1</v>
      </c>
      <c r="X516" s="61" t="n">
        <f aca="false">Resumo!$B$10*CEILING(G516/100,1)</f>
        <v>4.5</v>
      </c>
      <c r="Y516" s="61" t="n">
        <f aca="false">Resumo!$B$12*CEILING(G516,1)</f>
        <v>2.88</v>
      </c>
      <c r="Z516" s="61" t="n">
        <f aca="false">Resumo!$B$14*CEILING(G516,1)</f>
        <v>21.6</v>
      </c>
      <c r="AA516" s="61" t="n">
        <f aca="false">SUM(T516:Z516)</f>
        <v>147.62997</v>
      </c>
      <c r="AB516" s="61" t="n">
        <f aca="false">AA516/(1-Resumo!$B$5)</f>
        <v>167.761329545455</v>
      </c>
      <c r="AC516" s="61" t="n">
        <f aca="false">AB516-S516</f>
        <v>34.0341045454546</v>
      </c>
      <c r="AD516" s="62" t="n">
        <f aca="false">AB516/S516-1</f>
        <v>0.254503931757012</v>
      </c>
      <c r="AE516" s="60" t="str">
        <f aca="false">IF(AB516&lt;S516,"SIM","NÃO")</f>
        <v>NÃO</v>
      </c>
      <c r="AF516" s="60" t="n">
        <v>13</v>
      </c>
      <c r="AG516" s="60" t="n">
        <v>7</v>
      </c>
      <c r="AH516" s="60" t="s">
        <v>382</v>
      </c>
      <c r="AI516" s="61" t="n">
        <f aca="false">(T516*(1-Painel!$C$40)+U516+V516+Painel!$C$41+Painel!$C$42*CEILING(G516/100,1)+Painel!$C$43*CEILING(G516,1)+Z516)/(1-Resumo!$B$5)</f>
        <v>117.461897727273</v>
      </c>
      <c r="AJ516" s="60" t="str">
        <f aca="false">IF(AI516&lt;S516,"SIM","NÃO")</f>
        <v>SIM</v>
      </c>
    </row>
    <row r="517" customFormat="false" ht="15" hidden="false" customHeight="false" outlineLevel="0" collapsed="false">
      <c r="A517" s="59" t="n">
        <v>46237.5475</v>
      </c>
      <c r="B517" s="60" t="s">
        <v>526</v>
      </c>
      <c r="C517" s="60" t="n">
        <v>23520132</v>
      </c>
      <c r="D517" s="60" t="s">
        <v>46</v>
      </c>
      <c r="E517" s="60" t="s">
        <v>22</v>
      </c>
      <c r="F517" s="60" t="s">
        <v>233</v>
      </c>
      <c r="G517" s="60" t="n">
        <v>27.5</v>
      </c>
      <c r="H517" s="61" t="n">
        <v>379.99</v>
      </c>
      <c r="I517" s="61" t="n">
        <v>42.11</v>
      </c>
      <c r="J517" s="61" t="n">
        <f aca="false">H517*Resumo!$C$6</f>
        <v>0</v>
      </c>
      <c r="K517" s="61" t="n">
        <f aca="false">H517*Resumo!$C$7</f>
        <v>0.797979</v>
      </c>
      <c r="L517" s="61" t="n">
        <f aca="false">H517*Resumo!$C$8</f>
        <v>0.797979</v>
      </c>
      <c r="M517" s="61" t="n">
        <f aca="false">Resumo!$C$10*CEILING(G517/100,1)</f>
        <v>1.05</v>
      </c>
      <c r="N517" s="61" t="n">
        <f aca="false">Resumo!$C$9</f>
        <v>0</v>
      </c>
      <c r="O517" s="61" t="n">
        <f aca="false">Resumo!$C$13</f>
        <v>13.55</v>
      </c>
      <c r="P517" s="61" t="n">
        <f aca="false">Resumo!$C$14*CEILING(G517,1)</f>
        <v>12.6</v>
      </c>
      <c r="Q517" s="61" t="n">
        <f aca="false">SUM(I517:P517)*Resumo!$C$11</f>
        <v>0</v>
      </c>
      <c r="R517" s="61" t="n">
        <f aca="false">SUM(I517:Q517)</f>
        <v>70.905958</v>
      </c>
      <c r="S517" s="61" t="n">
        <f aca="false">R517/(1-Resumo!$C$5)</f>
        <v>80.5749522727273</v>
      </c>
      <c r="T517" s="61" t="n">
        <v>82.21</v>
      </c>
      <c r="U517" s="61" t="n">
        <f aca="false">H517*Resumo!$B$6</f>
        <v>0.37999</v>
      </c>
      <c r="V517" s="61" t="n">
        <f aca="false">H517*Resumo!$B$7</f>
        <v>0.75998</v>
      </c>
      <c r="W517" s="61" t="n">
        <f aca="false">Resumo!$B$9</f>
        <v>1</v>
      </c>
      <c r="X517" s="61" t="n">
        <f aca="false">Resumo!$B$10*CEILING(G517/100,1)</f>
        <v>4.5</v>
      </c>
      <c r="Y517" s="61" t="n">
        <f aca="false">Resumo!$B$12*CEILING(G517,1)</f>
        <v>1.68</v>
      </c>
      <c r="Z517" s="61" t="n">
        <f aca="false">Resumo!$B$14*CEILING(G517,1)</f>
        <v>12.6</v>
      </c>
      <c r="AA517" s="61" t="n">
        <f aca="false">SUM(T517:Z517)</f>
        <v>103.12997</v>
      </c>
      <c r="AB517" s="61" t="n">
        <f aca="false">AA517/(1-Resumo!$B$5)</f>
        <v>117.193147727273</v>
      </c>
      <c r="AC517" s="61" t="n">
        <f aca="false">AB517-S517</f>
        <v>36.6181954545454</v>
      </c>
      <c r="AD517" s="62" t="n">
        <f aca="false">AB517/S517-1</f>
        <v>0.454461273903104</v>
      </c>
      <c r="AE517" s="60" t="str">
        <f aca="false">IF(AB517&lt;S517,"SIM","NÃO")</f>
        <v>NÃO</v>
      </c>
      <c r="AF517" s="60" t="n">
        <v>2</v>
      </c>
      <c r="AG517" s="60" t="n">
        <v>5</v>
      </c>
      <c r="AH517" s="60" t="s">
        <v>382</v>
      </c>
      <c r="AI517" s="61" t="n">
        <f aca="false">(T517*(1-Painel!$C$40)+U517+V517+Painel!$C$41+Painel!$C$42*CEILING(G517/100,1)+Painel!$C$43*CEILING(G517,1)+Z517)/(1-Resumo!$B$5)</f>
        <v>80.5348522727273</v>
      </c>
      <c r="AJ517" s="60" t="str">
        <f aca="false">IF(AI517&lt;S517,"SIM","NÃO")</f>
        <v>SIM</v>
      </c>
    </row>
    <row r="518" customFormat="false" ht="15" hidden="false" customHeight="false" outlineLevel="0" collapsed="false">
      <c r="A518" s="59" t="n">
        <v>46237.5855555556</v>
      </c>
      <c r="B518" s="60" t="s">
        <v>881</v>
      </c>
      <c r="C518" s="60" t="n">
        <v>23050180</v>
      </c>
      <c r="D518" s="60" t="s">
        <v>46</v>
      </c>
      <c r="E518" s="60" t="s">
        <v>22</v>
      </c>
      <c r="F518" s="60" t="s">
        <v>233</v>
      </c>
      <c r="G518" s="60" t="n">
        <v>22.4</v>
      </c>
      <c r="H518" s="61" t="n">
        <v>479.99</v>
      </c>
      <c r="I518" s="61" t="n">
        <v>42.11</v>
      </c>
      <c r="J518" s="61" t="n">
        <f aca="false">H518*Resumo!$C$6</f>
        <v>0</v>
      </c>
      <c r="K518" s="61" t="n">
        <f aca="false">H518*Resumo!$C$7</f>
        <v>1.007979</v>
      </c>
      <c r="L518" s="61" t="n">
        <f aca="false">H518*Resumo!$C$8</f>
        <v>1.007979</v>
      </c>
      <c r="M518" s="61" t="n">
        <f aca="false">Resumo!$C$10*CEILING(G518/100,1)</f>
        <v>1.05</v>
      </c>
      <c r="N518" s="61" t="n">
        <f aca="false">Resumo!$C$9</f>
        <v>0</v>
      </c>
      <c r="O518" s="61" t="n">
        <f aca="false">Resumo!$C$13</f>
        <v>13.55</v>
      </c>
      <c r="P518" s="61" t="n">
        <f aca="false">Resumo!$C$14*CEILING(G518,1)</f>
        <v>10.35</v>
      </c>
      <c r="Q518" s="61" t="n">
        <f aca="false">SUM(I518:P518)*Resumo!$C$11</f>
        <v>0</v>
      </c>
      <c r="R518" s="61" t="n">
        <f aca="false">SUM(I518:Q518)</f>
        <v>69.075958</v>
      </c>
      <c r="S518" s="61" t="n">
        <f aca="false">R518/(1-Resumo!$C$5)</f>
        <v>78.4954068181818</v>
      </c>
      <c r="T518" s="61" t="n">
        <v>82.21</v>
      </c>
      <c r="U518" s="61" t="n">
        <f aca="false">H518*Resumo!$B$6</f>
        <v>0.47999</v>
      </c>
      <c r="V518" s="61" t="n">
        <f aca="false">H518*Resumo!$B$7</f>
        <v>0.95998</v>
      </c>
      <c r="W518" s="61" t="n">
        <f aca="false">Resumo!$B$9</f>
        <v>1</v>
      </c>
      <c r="X518" s="61" t="n">
        <f aca="false">Resumo!$B$10*CEILING(G518/100,1)</f>
        <v>4.5</v>
      </c>
      <c r="Y518" s="61" t="n">
        <f aca="false">Resumo!$B$12*CEILING(G518,1)</f>
        <v>1.38</v>
      </c>
      <c r="Z518" s="61" t="n">
        <f aca="false">Resumo!$B$14*CEILING(G518,1)</f>
        <v>10.35</v>
      </c>
      <c r="AA518" s="61" t="n">
        <f aca="false">SUM(T518:Z518)</f>
        <v>100.87997</v>
      </c>
      <c r="AB518" s="61" t="n">
        <f aca="false">AA518/(1-Resumo!$B$5)</f>
        <v>114.636329545455</v>
      </c>
      <c r="AC518" s="61" t="n">
        <f aca="false">AB518-S518</f>
        <v>36.1409227272727</v>
      </c>
      <c r="AD518" s="62" t="n">
        <f aca="false">AB518/S518-1</f>
        <v>0.460420860178298</v>
      </c>
      <c r="AE518" s="60" t="str">
        <f aca="false">IF(AB518&lt;S518,"SIM","NÃO")</f>
        <v>NÃO</v>
      </c>
      <c r="AF518" s="60" t="n">
        <v>2</v>
      </c>
      <c r="AG518" s="60" t="n">
        <v>5</v>
      </c>
      <c r="AH518" s="60" t="s">
        <v>382</v>
      </c>
      <c r="AI518" s="61" t="n">
        <f aca="false">(T518*(1-Painel!$C$40)+U518+V518+Painel!$C$41+Painel!$C$42*CEILING(G518/100,1)+Painel!$C$43*CEILING(G518,1)+Z518)/(1-Resumo!$B$5)</f>
        <v>78.3189431818182</v>
      </c>
      <c r="AJ518" s="60" t="str">
        <f aca="false">IF(AI518&lt;S518,"SIM","NÃO")</f>
        <v>SIM</v>
      </c>
    </row>
    <row r="519" customFormat="false" ht="15" hidden="false" customHeight="false" outlineLevel="0" collapsed="false">
      <c r="A519" s="59" t="n">
        <v>46237.6138657407</v>
      </c>
      <c r="B519" s="60" t="s">
        <v>882</v>
      </c>
      <c r="C519" s="60" t="n">
        <v>21050690</v>
      </c>
      <c r="D519" s="60" t="s">
        <v>46</v>
      </c>
      <c r="E519" s="60" t="s">
        <v>22</v>
      </c>
      <c r="F519" s="60" t="s">
        <v>233</v>
      </c>
      <c r="G519" s="60" t="n">
        <v>27</v>
      </c>
      <c r="H519" s="61" t="n">
        <v>349.99</v>
      </c>
      <c r="I519" s="61" t="n">
        <v>42.11</v>
      </c>
      <c r="J519" s="61" t="n">
        <f aca="false">H519*Resumo!$C$6</f>
        <v>0</v>
      </c>
      <c r="K519" s="61" t="n">
        <f aca="false">H519*Resumo!$C$7</f>
        <v>0.734979</v>
      </c>
      <c r="L519" s="61" t="n">
        <f aca="false">H519*Resumo!$C$8</f>
        <v>0.734979</v>
      </c>
      <c r="M519" s="61" t="n">
        <f aca="false">Resumo!$C$10*CEILING(G519/100,1)</f>
        <v>1.05</v>
      </c>
      <c r="N519" s="61" t="n">
        <f aca="false">Resumo!$C$9</f>
        <v>0</v>
      </c>
      <c r="O519" s="61" t="n">
        <f aca="false">Resumo!$C$13</f>
        <v>13.55</v>
      </c>
      <c r="P519" s="61" t="n">
        <f aca="false">Resumo!$C$14*CEILING(G519,1)</f>
        <v>12.15</v>
      </c>
      <c r="Q519" s="61" t="n">
        <f aca="false">SUM(I519:P519)*Resumo!$C$11</f>
        <v>0</v>
      </c>
      <c r="R519" s="61" t="n">
        <f aca="false">SUM(I519:Q519)</f>
        <v>70.329958</v>
      </c>
      <c r="S519" s="61" t="n">
        <f aca="false">R519/(1-Resumo!$C$5)</f>
        <v>79.9204068181818</v>
      </c>
      <c r="T519" s="61" t="n">
        <v>82.21</v>
      </c>
      <c r="U519" s="61" t="n">
        <f aca="false">H519*Resumo!$B$6</f>
        <v>0.34999</v>
      </c>
      <c r="V519" s="61" t="n">
        <f aca="false">H519*Resumo!$B$7</f>
        <v>0.69998</v>
      </c>
      <c r="W519" s="61" t="n">
        <f aca="false">Resumo!$B$9</f>
        <v>1</v>
      </c>
      <c r="X519" s="61" t="n">
        <f aca="false">Resumo!$B$10*CEILING(G519/100,1)</f>
        <v>4.5</v>
      </c>
      <c r="Y519" s="61" t="n">
        <f aca="false">Resumo!$B$12*CEILING(G519,1)</f>
        <v>1.62</v>
      </c>
      <c r="Z519" s="61" t="n">
        <f aca="false">Resumo!$B$14*CEILING(G519,1)</f>
        <v>12.15</v>
      </c>
      <c r="AA519" s="61" t="n">
        <f aca="false">SUM(T519:Z519)</f>
        <v>102.52997</v>
      </c>
      <c r="AB519" s="61" t="n">
        <f aca="false">AA519/(1-Resumo!$B$5)</f>
        <v>116.511329545455</v>
      </c>
      <c r="AC519" s="61" t="n">
        <f aca="false">AB519-S519</f>
        <v>36.5909227272727</v>
      </c>
      <c r="AD519" s="62" t="n">
        <f aca="false">AB519/S519-1</f>
        <v>0.457842047907949</v>
      </c>
      <c r="AE519" s="60" t="str">
        <f aca="false">IF(AB519&lt;S519,"SIM","NÃO")</f>
        <v>NÃO</v>
      </c>
      <c r="AF519" s="60" t="n">
        <v>2</v>
      </c>
      <c r="AG519" s="60" t="n">
        <v>5</v>
      </c>
      <c r="AH519" s="60" t="s">
        <v>382</v>
      </c>
      <c r="AI519" s="61" t="n">
        <f aca="false">(T519*(1-Painel!$C$40)+U519+V519+Painel!$C$41+Painel!$C$42*CEILING(G519/100,1)+Painel!$C$43*CEILING(G519,1)+Z519)/(1-Resumo!$B$5)</f>
        <v>79.9212159090909</v>
      </c>
      <c r="AJ519" s="60" t="str">
        <f aca="false">IF(AI519&lt;S519,"SIM","NÃO")</f>
        <v>NÃO</v>
      </c>
    </row>
    <row r="520" customFormat="false" ht="15" hidden="false" customHeight="false" outlineLevel="0" collapsed="false">
      <c r="A520" s="59" t="n">
        <v>46237.6431365741</v>
      </c>
      <c r="B520" s="60" t="s">
        <v>883</v>
      </c>
      <c r="C520" s="60" t="n">
        <v>21340510</v>
      </c>
      <c r="D520" s="60" t="s">
        <v>46</v>
      </c>
      <c r="E520" s="60" t="s">
        <v>22</v>
      </c>
      <c r="F520" s="60" t="s">
        <v>237</v>
      </c>
      <c r="G520" s="60" t="n">
        <v>69.15</v>
      </c>
      <c r="H520" s="61" t="n">
        <v>717.6</v>
      </c>
      <c r="I520" s="61" t="n">
        <v>63.21</v>
      </c>
      <c r="J520" s="61" t="n">
        <f aca="false">H520*Resumo!$C$6</f>
        <v>0</v>
      </c>
      <c r="K520" s="61" t="n">
        <f aca="false">H520*Resumo!$C$7</f>
        <v>1.50696</v>
      </c>
      <c r="L520" s="61" t="n">
        <f aca="false">H520*Resumo!$C$8</f>
        <v>1.50696</v>
      </c>
      <c r="M520" s="61" t="n">
        <f aca="false">Resumo!$C$10*CEILING(G520/100,1)</f>
        <v>1.05</v>
      </c>
      <c r="N520" s="61" t="n">
        <f aca="false">Resumo!$C$9</f>
        <v>0</v>
      </c>
      <c r="O520" s="61" t="n">
        <f aca="false">Resumo!$C$13</f>
        <v>13.55</v>
      </c>
      <c r="P520" s="61" t="n">
        <f aca="false">Resumo!$C$14*CEILING(G520,1)</f>
        <v>31.5</v>
      </c>
      <c r="Q520" s="61" t="n">
        <f aca="false">SUM(I520:P520)*Resumo!$C$11</f>
        <v>0</v>
      </c>
      <c r="R520" s="61" t="n">
        <f aca="false">SUM(I520:Q520)</f>
        <v>112.32392</v>
      </c>
      <c r="S520" s="61" t="n">
        <f aca="false">R520/(1-Resumo!$C$5)</f>
        <v>127.640818181818</v>
      </c>
      <c r="T520" s="61" t="n">
        <v>131.02</v>
      </c>
      <c r="U520" s="61" t="n">
        <f aca="false">H520*Resumo!$B$6</f>
        <v>0.7176</v>
      </c>
      <c r="V520" s="61" t="n">
        <f aca="false">H520*Resumo!$B$7</f>
        <v>1.4352</v>
      </c>
      <c r="W520" s="61" t="n">
        <f aca="false">Resumo!$B$9</f>
        <v>1</v>
      </c>
      <c r="X520" s="61" t="n">
        <f aca="false">Resumo!$B$10*CEILING(G520/100,1)</f>
        <v>4.5</v>
      </c>
      <c r="Y520" s="61" t="n">
        <f aca="false">Resumo!$B$12*CEILING(G520,1)</f>
        <v>4.2</v>
      </c>
      <c r="Z520" s="61" t="n">
        <f aca="false">Resumo!$B$14*CEILING(G520,1)</f>
        <v>31.5</v>
      </c>
      <c r="AA520" s="61" t="n">
        <f aca="false">SUM(T520:Z520)</f>
        <v>174.3728</v>
      </c>
      <c r="AB520" s="61" t="n">
        <f aca="false">AA520/(1-Resumo!$B$5)</f>
        <v>198.150909090909</v>
      </c>
      <c r="AC520" s="61" t="n">
        <f aca="false">AB520-S520</f>
        <v>70.5100909090909</v>
      </c>
      <c r="AD520" s="62" t="n">
        <f aca="false">AB520/S520-1</f>
        <v>0.55241020790585</v>
      </c>
      <c r="AE520" s="60" t="str">
        <f aca="false">IF(AB520&lt;S520,"SIM","NÃO")</f>
        <v>NÃO</v>
      </c>
      <c r="AF520" s="60" t="n">
        <v>2</v>
      </c>
      <c r="AG520" s="60" t="n">
        <v>5</v>
      </c>
      <c r="AH520" s="60" t="s">
        <v>382</v>
      </c>
      <c r="AI520" s="61" t="n">
        <f aca="false">(T520*(1-Painel!$C$40)+U520+V520+Painel!$C$41+Painel!$C$42*CEILING(G520/100,1)+Painel!$C$43*CEILING(G520,1)+Z520)/(1-Resumo!$B$5)</f>
        <v>140.325227272727</v>
      </c>
      <c r="AJ520" s="60" t="str">
        <f aca="false">IF(AI520&lt;S520,"SIM","NÃO")</f>
        <v>NÃO</v>
      </c>
    </row>
    <row r="521" customFormat="false" ht="15" hidden="false" customHeight="false" outlineLevel="0" collapsed="false">
      <c r="A521" s="59" t="n">
        <v>46237.6435069444</v>
      </c>
      <c r="B521" s="60" t="s">
        <v>884</v>
      </c>
      <c r="C521" s="60" t="n">
        <v>21650002</v>
      </c>
      <c r="D521" s="60" t="s">
        <v>46</v>
      </c>
      <c r="E521" s="60" t="s">
        <v>22</v>
      </c>
      <c r="F521" s="60" t="s">
        <v>232</v>
      </c>
      <c r="G521" s="60" t="n">
        <v>19.5</v>
      </c>
      <c r="H521" s="61" t="n">
        <v>399.99</v>
      </c>
      <c r="I521" s="61" t="n">
        <v>33.42</v>
      </c>
      <c r="J521" s="61" t="n">
        <f aca="false">H521*Resumo!$C$6</f>
        <v>0</v>
      </c>
      <c r="K521" s="61" t="n">
        <f aca="false">H521*Resumo!$C$7</f>
        <v>0.839979</v>
      </c>
      <c r="L521" s="61" t="n">
        <f aca="false">H521*Resumo!$C$8</f>
        <v>0.839979</v>
      </c>
      <c r="M521" s="61" t="n">
        <f aca="false">Resumo!$C$10*CEILING(G521/100,1)</f>
        <v>1.05</v>
      </c>
      <c r="N521" s="61" t="n">
        <f aca="false">Resumo!$C$9</f>
        <v>0</v>
      </c>
      <c r="O521" s="61" t="n">
        <f aca="false">Resumo!$C$13</f>
        <v>13.55</v>
      </c>
      <c r="P521" s="61" t="n">
        <f aca="false">Resumo!$C$14*CEILING(G521,1)</f>
        <v>9</v>
      </c>
      <c r="Q521" s="61" t="n">
        <f aca="false">SUM(I521:P521)*Resumo!$C$11</f>
        <v>0</v>
      </c>
      <c r="R521" s="61" t="n">
        <f aca="false">SUM(I521:Q521)</f>
        <v>58.699958</v>
      </c>
      <c r="S521" s="61" t="n">
        <f aca="false">R521/(1-Resumo!$C$5)</f>
        <v>66.7044977272727</v>
      </c>
      <c r="T521" s="61" t="n">
        <v>46.98</v>
      </c>
      <c r="U521" s="61" t="n">
        <f aca="false">H521*Resumo!$B$6</f>
        <v>0.39999</v>
      </c>
      <c r="V521" s="61" t="n">
        <f aca="false">H521*Resumo!$B$7</f>
        <v>0.79998</v>
      </c>
      <c r="W521" s="61" t="n">
        <f aca="false">Resumo!$B$9</f>
        <v>1</v>
      </c>
      <c r="X521" s="61" t="n">
        <f aca="false">Resumo!$B$10*CEILING(G521/100,1)</f>
        <v>4.5</v>
      </c>
      <c r="Y521" s="61" t="n">
        <f aca="false">Resumo!$B$12*CEILING(G521,1)</f>
        <v>1.2</v>
      </c>
      <c r="Z521" s="61" t="n">
        <f aca="false">Resumo!$B$14*CEILING(G521,1)</f>
        <v>9</v>
      </c>
      <c r="AA521" s="61" t="n">
        <f aca="false">SUM(T521:Z521)</f>
        <v>63.87997</v>
      </c>
      <c r="AB521" s="61" t="n">
        <f aca="false">AA521/(1-Resumo!$B$5)</f>
        <v>72.590875</v>
      </c>
      <c r="AC521" s="61" t="n">
        <f aca="false">AB521-S521</f>
        <v>5.88637727272727</v>
      </c>
      <c r="AD521" s="62" t="n">
        <f aca="false">AB521/S521-1</f>
        <v>0.0882455827310813</v>
      </c>
      <c r="AE521" s="60" t="str">
        <f aca="false">IF(AB521&lt;S521,"SIM","NÃO")</f>
        <v>NÃO</v>
      </c>
      <c r="AF521" s="60" t="n">
        <v>2</v>
      </c>
      <c r="AG521" s="60" t="n">
        <v>5</v>
      </c>
      <c r="AH521" s="60" t="s">
        <v>382</v>
      </c>
      <c r="AI521" s="61" t="n">
        <f aca="false">(T521*(1-Painel!$C$40)+U521+V521+Painel!$C$41+Painel!$C$42*CEILING(G521/100,1)+Painel!$C$43*CEILING(G521,1)+Z521)/(1-Resumo!$B$5)</f>
        <v>49.6892840909091</v>
      </c>
      <c r="AJ521" s="60" t="str">
        <f aca="false">IF(AI521&lt;S521,"SIM","NÃO")</f>
        <v>SIM</v>
      </c>
    </row>
    <row r="522" customFormat="false" ht="15" hidden="false" customHeight="false" outlineLevel="0" collapsed="false">
      <c r="A522" s="59" t="n">
        <v>46237.6713425926</v>
      </c>
      <c r="B522" s="60" t="s">
        <v>885</v>
      </c>
      <c r="C522" s="60" t="n">
        <v>21635350</v>
      </c>
      <c r="D522" s="60" t="s">
        <v>46</v>
      </c>
      <c r="E522" s="60" t="s">
        <v>22</v>
      </c>
      <c r="F522" s="60" t="s">
        <v>235</v>
      </c>
      <c r="G522" s="60" t="n">
        <v>48.3</v>
      </c>
      <c r="H522" s="61" t="n">
        <v>459.99</v>
      </c>
      <c r="I522" s="61" t="n">
        <v>53.55</v>
      </c>
      <c r="J522" s="61" t="n">
        <f aca="false">H522*Resumo!$C$6</f>
        <v>0</v>
      </c>
      <c r="K522" s="61" t="n">
        <f aca="false">H522*Resumo!$C$7</f>
        <v>0.965979</v>
      </c>
      <c r="L522" s="61" t="n">
        <f aca="false">H522*Resumo!$C$8</f>
        <v>0.965979</v>
      </c>
      <c r="M522" s="61" t="n">
        <f aca="false">Resumo!$C$10*CEILING(G522/100,1)</f>
        <v>1.05</v>
      </c>
      <c r="N522" s="61" t="n">
        <f aca="false">Resumo!$C$9</f>
        <v>0</v>
      </c>
      <c r="O522" s="61" t="n">
        <f aca="false">Resumo!$C$13</f>
        <v>13.55</v>
      </c>
      <c r="P522" s="61" t="n">
        <f aca="false">Resumo!$C$14*CEILING(G522,1)</f>
        <v>22.05</v>
      </c>
      <c r="Q522" s="61" t="n">
        <f aca="false">SUM(I522:P522)*Resumo!$C$11</f>
        <v>0</v>
      </c>
      <c r="R522" s="61" t="n">
        <f aca="false">SUM(I522:Q522)</f>
        <v>92.131958</v>
      </c>
      <c r="S522" s="61" t="n">
        <f aca="false">R522/(1-Resumo!$C$5)</f>
        <v>104.695406818182</v>
      </c>
      <c r="T522" s="61" t="n">
        <v>93.97</v>
      </c>
      <c r="U522" s="61" t="n">
        <f aca="false">H522*Resumo!$B$6</f>
        <v>0.45999</v>
      </c>
      <c r="V522" s="61" t="n">
        <f aca="false">H522*Resumo!$B$7</f>
        <v>0.91998</v>
      </c>
      <c r="W522" s="61" t="n">
        <f aca="false">Resumo!$B$9</f>
        <v>1</v>
      </c>
      <c r="X522" s="61" t="n">
        <f aca="false">Resumo!$B$10*CEILING(G522/100,1)</f>
        <v>4.5</v>
      </c>
      <c r="Y522" s="61" t="n">
        <f aca="false">Resumo!$B$12*CEILING(G522,1)</f>
        <v>2.94</v>
      </c>
      <c r="Z522" s="61" t="n">
        <f aca="false">Resumo!$B$14*CEILING(G522,1)</f>
        <v>22.05</v>
      </c>
      <c r="AA522" s="61" t="n">
        <f aca="false">SUM(T522:Z522)</f>
        <v>125.83997</v>
      </c>
      <c r="AB522" s="61" t="n">
        <f aca="false">AA522/(1-Resumo!$B$5)</f>
        <v>142.999965909091</v>
      </c>
      <c r="AC522" s="61" t="n">
        <f aca="false">AB522-S522</f>
        <v>38.3045590909091</v>
      </c>
      <c r="AD522" s="62" t="n">
        <f aca="false">AB522/S522-1</f>
        <v>0.365866662683973</v>
      </c>
      <c r="AE522" s="60" t="str">
        <f aca="false">IF(AB522&lt;S522,"SIM","NÃO")</f>
        <v>NÃO</v>
      </c>
      <c r="AF522" s="60" t="n">
        <v>2</v>
      </c>
      <c r="AG522" s="60" t="n">
        <v>5</v>
      </c>
      <c r="AH522" s="60" t="s">
        <v>382</v>
      </c>
      <c r="AI522" s="61" t="n">
        <f aca="false">(T522*(1-Painel!$C$40)+U522+V522+Painel!$C$41+Painel!$C$42*CEILING(G522/100,1)+Painel!$C$43*CEILING(G522,1)+Z522)/(1-Resumo!$B$5)</f>
        <v>100.499852272727</v>
      </c>
      <c r="AJ522" s="60" t="str">
        <f aca="false">IF(AI522&lt;S522,"SIM","NÃO")</f>
        <v>SIM</v>
      </c>
    </row>
    <row r="523" customFormat="false" ht="15" hidden="false" customHeight="false" outlineLevel="0" collapsed="false">
      <c r="A523" s="59" t="n">
        <v>46237.6923958333</v>
      </c>
      <c r="B523" s="60" t="s">
        <v>413</v>
      </c>
      <c r="C523" s="60" t="n">
        <v>21741060</v>
      </c>
      <c r="D523" s="60" t="s">
        <v>46</v>
      </c>
      <c r="E523" s="60" t="s">
        <v>22</v>
      </c>
      <c r="F523" s="60" t="s">
        <v>236</v>
      </c>
      <c r="G523" s="60" t="n">
        <v>52.3</v>
      </c>
      <c r="H523" s="61" t="n">
        <v>643.99</v>
      </c>
      <c r="I523" s="61" t="n">
        <v>58.6</v>
      </c>
      <c r="J523" s="61" t="n">
        <f aca="false">H523*Resumo!$C$6</f>
        <v>0</v>
      </c>
      <c r="K523" s="61" t="n">
        <f aca="false">H523*Resumo!$C$7</f>
        <v>1.352379</v>
      </c>
      <c r="L523" s="61" t="n">
        <f aca="false">H523*Resumo!$C$8</f>
        <v>1.352379</v>
      </c>
      <c r="M523" s="61" t="n">
        <f aca="false">Resumo!$C$10*CEILING(G523/100,1)</f>
        <v>1.05</v>
      </c>
      <c r="N523" s="61" t="n">
        <f aca="false">Resumo!$C$9</f>
        <v>0</v>
      </c>
      <c r="O523" s="61" t="n">
        <f aca="false">Resumo!$C$13</f>
        <v>13.55</v>
      </c>
      <c r="P523" s="61" t="n">
        <f aca="false">Resumo!$C$14*CEILING(G523,1)</f>
        <v>23.85</v>
      </c>
      <c r="Q523" s="61" t="n">
        <f aca="false">SUM(I523:P523)*Resumo!$C$11</f>
        <v>0</v>
      </c>
      <c r="R523" s="61" t="n">
        <f aca="false">SUM(I523:Q523)</f>
        <v>99.754758</v>
      </c>
      <c r="S523" s="61" t="n">
        <f aca="false">R523/(1-Resumo!$C$5)</f>
        <v>113.357679545455</v>
      </c>
      <c r="T523" s="61" t="n">
        <v>112.3</v>
      </c>
      <c r="U523" s="61" t="n">
        <f aca="false">H523*Resumo!$B$6</f>
        <v>0.64399</v>
      </c>
      <c r="V523" s="61" t="n">
        <f aca="false">H523*Resumo!$B$7</f>
        <v>1.28798</v>
      </c>
      <c r="W523" s="61" t="n">
        <f aca="false">Resumo!$B$9</f>
        <v>1</v>
      </c>
      <c r="X523" s="61" t="n">
        <f aca="false">Resumo!$B$10*CEILING(G523/100,1)</f>
        <v>4.5</v>
      </c>
      <c r="Y523" s="61" t="n">
        <f aca="false">Resumo!$B$12*CEILING(G523,1)</f>
        <v>3.18</v>
      </c>
      <c r="Z523" s="61" t="n">
        <f aca="false">Resumo!$B$14*CEILING(G523,1)</f>
        <v>23.85</v>
      </c>
      <c r="AA523" s="61" t="n">
        <f aca="false">SUM(T523:Z523)</f>
        <v>146.76197</v>
      </c>
      <c r="AB523" s="61" t="n">
        <f aca="false">AA523/(1-Resumo!$B$5)</f>
        <v>166.774965909091</v>
      </c>
      <c r="AC523" s="61" t="n">
        <f aca="false">AB523-S523</f>
        <v>53.4172863636363</v>
      </c>
      <c r="AD523" s="62" t="n">
        <f aca="false">AB523/S523-1</f>
        <v>0.471227768403788</v>
      </c>
      <c r="AE523" s="60" t="str">
        <f aca="false">IF(AB523&lt;S523,"SIM","NÃO")</f>
        <v>NÃO</v>
      </c>
      <c r="AF523" s="60" t="n">
        <v>2</v>
      </c>
      <c r="AG523" s="60" t="n">
        <v>5</v>
      </c>
      <c r="AH523" s="60" t="s">
        <v>382</v>
      </c>
      <c r="AI523" s="61" t="n">
        <f aca="false">(T523*(1-Painel!$C$40)+U523+V523+Painel!$C$41+Painel!$C$42*CEILING(G523/100,1)+Painel!$C$43*CEILING(G523,1)+Z523)/(1-Resumo!$B$5)</f>
        <v>117.128375</v>
      </c>
      <c r="AJ523" s="60" t="str">
        <f aca="false">IF(AI523&lt;S523,"SIM","NÃO")</f>
        <v>NÃO</v>
      </c>
    </row>
    <row r="524" customFormat="false" ht="15" hidden="false" customHeight="false" outlineLevel="0" collapsed="false">
      <c r="A524" s="59" t="n">
        <v>46237.7338541667</v>
      </c>
      <c r="B524" s="60" t="s">
        <v>886</v>
      </c>
      <c r="C524" s="60" t="n">
        <v>21512040</v>
      </c>
      <c r="D524" s="60" t="s">
        <v>46</v>
      </c>
      <c r="E524" s="60" t="s">
        <v>22</v>
      </c>
      <c r="F524" s="60" t="s">
        <v>233</v>
      </c>
      <c r="G524" s="60" t="n">
        <v>22.4</v>
      </c>
      <c r="H524" s="61" t="n">
        <v>424.99</v>
      </c>
      <c r="I524" s="61" t="n">
        <v>42.11</v>
      </c>
      <c r="J524" s="61" t="n">
        <f aca="false">H524*Resumo!$C$6</f>
        <v>0</v>
      </c>
      <c r="K524" s="61" t="n">
        <f aca="false">H524*Resumo!$C$7</f>
        <v>0.892479</v>
      </c>
      <c r="L524" s="61" t="n">
        <f aca="false">H524*Resumo!$C$8</f>
        <v>0.892479</v>
      </c>
      <c r="M524" s="61" t="n">
        <f aca="false">Resumo!$C$10*CEILING(G524/100,1)</f>
        <v>1.05</v>
      </c>
      <c r="N524" s="61" t="n">
        <f aca="false">Resumo!$C$9</f>
        <v>0</v>
      </c>
      <c r="O524" s="61" t="n">
        <f aca="false">Resumo!$C$13</f>
        <v>13.55</v>
      </c>
      <c r="P524" s="61" t="n">
        <f aca="false">Resumo!$C$14*CEILING(G524,1)</f>
        <v>10.35</v>
      </c>
      <c r="Q524" s="61" t="n">
        <f aca="false">SUM(I524:P524)*Resumo!$C$11</f>
        <v>0</v>
      </c>
      <c r="R524" s="61" t="n">
        <f aca="false">SUM(I524:Q524)</f>
        <v>68.844958</v>
      </c>
      <c r="S524" s="61" t="n">
        <f aca="false">R524/(1-Resumo!$C$5)</f>
        <v>78.2329068181818</v>
      </c>
      <c r="T524" s="61" t="n">
        <v>82.21</v>
      </c>
      <c r="U524" s="61" t="n">
        <f aca="false">H524*Resumo!$B$6</f>
        <v>0.42499</v>
      </c>
      <c r="V524" s="61" t="n">
        <f aca="false">H524*Resumo!$B$7</f>
        <v>0.84998</v>
      </c>
      <c r="W524" s="61" t="n">
        <f aca="false">Resumo!$B$9</f>
        <v>1</v>
      </c>
      <c r="X524" s="61" t="n">
        <f aca="false">Resumo!$B$10*CEILING(G524/100,1)</f>
        <v>4.5</v>
      </c>
      <c r="Y524" s="61" t="n">
        <f aca="false">Resumo!$B$12*CEILING(G524,1)</f>
        <v>1.38</v>
      </c>
      <c r="Z524" s="61" t="n">
        <f aca="false">Resumo!$B$14*CEILING(G524,1)</f>
        <v>10.35</v>
      </c>
      <c r="AA524" s="61" t="n">
        <f aca="false">SUM(T524:Z524)</f>
        <v>100.71497</v>
      </c>
      <c r="AB524" s="61" t="n">
        <f aca="false">AA524/(1-Resumo!$B$5)</f>
        <v>114.448829545455</v>
      </c>
      <c r="AC524" s="61" t="n">
        <f aca="false">AB524-S524</f>
        <v>36.2159227272727</v>
      </c>
      <c r="AD524" s="62" t="n">
        <f aca="false">AB524/S524-1</f>
        <v>0.462924416338521</v>
      </c>
      <c r="AE524" s="60" t="str">
        <f aca="false">IF(AB524&lt;S524,"SIM","NÃO")</f>
        <v>NÃO</v>
      </c>
      <c r="AF524" s="60" t="n">
        <v>2</v>
      </c>
      <c r="AG524" s="60" t="n">
        <v>5</v>
      </c>
      <c r="AH524" s="60" t="s">
        <v>382</v>
      </c>
      <c r="AI524" s="61" t="n">
        <f aca="false">(T524*(1-Painel!$C$40)+U524+V524+Painel!$C$41+Painel!$C$42*CEILING(G524/100,1)+Painel!$C$43*CEILING(G524,1)+Z524)/(1-Resumo!$B$5)</f>
        <v>78.1314431818182</v>
      </c>
      <c r="AJ524" s="60" t="str">
        <f aca="false">IF(AI524&lt;S524,"SIM","NÃO")</f>
        <v>SIM</v>
      </c>
    </row>
    <row r="525" customFormat="false" ht="15" hidden="false" customHeight="false" outlineLevel="0" collapsed="false">
      <c r="A525" s="59" t="n">
        <v>46237.7817476852</v>
      </c>
      <c r="B525" s="60" t="s">
        <v>887</v>
      </c>
      <c r="C525" s="60" t="n">
        <v>22010050</v>
      </c>
      <c r="D525" s="60" t="s">
        <v>46</v>
      </c>
      <c r="E525" s="60" t="s">
        <v>22</v>
      </c>
      <c r="F525" s="60" t="s">
        <v>233</v>
      </c>
      <c r="G525" s="60" t="n">
        <v>27</v>
      </c>
      <c r="H525" s="61" t="n">
        <v>319.99</v>
      </c>
      <c r="I525" s="61" t="n">
        <v>42.11</v>
      </c>
      <c r="J525" s="61" t="n">
        <f aca="false">H525*Resumo!$C$6</f>
        <v>0</v>
      </c>
      <c r="K525" s="61" t="n">
        <f aca="false">H525*Resumo!$C$7</f>
        <v>0.671979</v>
      </c>
      <c r="L525" s="61" t="n">
        <f aca="false">H525*Resumo!$C$8</f>
        <v>0.671979</v>
      </c>
      <c r="M525" s="61" t="n">
        <f aca="false">Resumo!$C$10*CEILING(G525/100,1)</f>
        <v>1.05</v>
      </c>
      <c r="N525" s="61" t="n">
        <f aca="false">Resumo!$C$9</f>
        <v>0</v>
      </c>
      <c r="O525" s="61" t="n">
        <f aca="false">Resumo!$C$13</f>
        <v>13.55</v>
      </c>
      <c r="P525" s="61" t="n">
        <f aca="false">Resumo!$C$14*CEILING(G525,1)</f>
        <v>12.15</v>
      </c>
      <c r="Q525" s="61" t="n">
        <f aca="false">SUM(I525:P525)*Resumo!$C$11</f>
        <v>0</v>
      </c>
      <c r="R525" s="61" t="n">
        <f aca="false">SUM(I525:Q525)</f>
        <v>70.203958</v>
      </c>
      <c r="S525" s="61" t="n">
        <f aca="false">R525/(1-Resumo!$C$5)</f>
        <v>79.777225</v>
      </c>
      <c r="T525" s="61" t="n">
        <v>82.21</v>
      </c>
      <c r="U525" s="61" t="n">
        <f aca="false">H525*Resumo!$B$6</f>
        <v>0.31999</v>
      </c>
      <c r="V525" s="61" t="n">
        <f aca="false">H525*Resumo!$B$7</f>
        <v>0.63998</v>
      </c>
      <c r="W525" s="61" t="n">
        <f aca="false">Resumo!$B$9</f>
        <v>1</v>
      </c>
      <c r="X525" s="61" t="n">
        <f aca="false">Resumo!$B$10*CEILING(G525/100,1)</f>
        <v>4.5</v>
      </c>
      <c r="Y525" s="61" t="n">
        <f aca="false">Resumo!$B$12*CEILING(G525,1)</f>
        <v>1.62</v>
      </c>
      <c r="Z525" s="61" t="n">
        <f aca="false">Resumo!$B$14*CEILING(G525,1)</f>
        <v>12.15</v>
      </c>
      <c r="AA525" s="61" t="n">
        <f aca="false">SUM(T525:Z525)</f>
        <v>102.43997</v>
      </c>
      <c r="AB525" s="61" t="n">
        <f aca="false">AA525/(1-Resumo!$B$5)</f>
        <v>116.409056818182</v>
      </c>
      <c r="AC525" s="61" t="n">
        <f aca="false">AB525-S525</f>
        <v>36.6318318181818</v>
      </c>
      <c r="AD525" s="62" t="n">
        <f aca="false">AB525/S525-1</f>
        <v>0.459176560956862</v>
      </c>
      <c r="AE525" s="60" t="str">
        <f aca="false">IF(AB525&lt;S525,"SIM","NÃO")</f>
        <v>NÃO</v>
      </c>
      <c r="AF525" s="60" t="n">
        <v>2</v>
      </c>
      <c r="AG525" s="60" t="n">
        <v>5</v>
      </c>
      <c r="AH525" s="60" t="s">
        <v>382</v>
      </c>
      <c r="AI525" s="61" t="n">
        <f aca="false">(T525*(1-Painel!$C$40)+U525+V525+Painel!$C$41+Painel!$C$42*CEILING(G525/100,1)+Painel!$C$43*CEILING(G525,1)+Z525)/(1-Resumo!$B$5)</f>
        <v>79.8189431818182</v>
      </c>
      <c r="AJ525" s="60" t="str">
        <f aca="false">IF(AI525&lt;S525,"SIM","NÃO")</f>
        <v>NÃO</v>
      </c>
    </row>
    <row r="526" customFormat="false" ht="15" hidden="false" customHeight="false" outlineLevel="0" collapsed="false">
      <c r="A526" s="59" t="n">
        <v>46237.782650463</v>
      </c>
      <c r="B526" s="60" t="s">
        <v>888</v>
      </c>
      <c r="C526" s="60" t="n">
        <v>20972010</v>
      </c>
      <c r="D526" s="60" t="s">
        <v>46</v>
      </c>
      <c r="E526" s="60" t="s">
        <v>22</v>
      </c>
      <c r="F526" s="60" t="s">
        <v>233</v>
      </c>
      <c r="G526" s="60" t="n">
        <v>22.4</v>
      </c>
      <c r="H526" s="61" t="n">
        <v>499.99</v>
      </c>
      <c r="I526" s="61" t="n">
        <v>42.11</v>
      </c>
      <c r="J526" s="61" t="n">
        <f aca="false">H526*Resumo!$C$6</f>
        <v>0</v>
      </c>
      <c r="K526" s="61" t="n">
        <f aca="false">H526*Resumo!$C$7</f>
        <v>1.049979</v>
      </c>
      <c r="L526" s="61" t="n">
        <f aca="false">H526*Resumo!$C$8</f>
        <v>1.049979</v>
      </c>
      <c r="M526" s="61" t="n">
        <f aca="false">Resumo!$C$10*CEILING(G526/100,1)</f>
        <v>1.05</v>
      </c>
      <c r="N526" s="61" t="n">
        <f aca="false">Resumo!$C$9</f>
        <v>0</v>
      </c>
      <c r="O526" s="61" t="n">
        <f aca="false">Resumo!$C$13</f>
        <v>13.55</v>
      </c>
      <c r="P526" s="61" t="n">
        <f aca="false">Resumo!$C$14*CEILING(G526,1)</f>
        <v>10.35</v>
      </c>
      <c r="Q526" s="61" t="n">
        <f aca="false">SUM(I526:P526)*Resumo!$C$11</f>
        <v>0</v>
      </c>
      <c r="R526" s="61" t="n">
        <f aca="false">SUM(I526:Q526)</f>
        <v>69.159958</v>
      </c>
      <c r="S526" s="61" t="n">
        <f aca="false">R526/(1-Resumo!$C$5)</f>
        <v>78.5908613636364</v>
      </c>
      <c r="T526" s="61" t="n">
        <v>82.21</v>
      </c>
      <c r="U526" s="61" t="n">
        <f aca="false">H526*Resumo!$B$6</f>
        <v>0.49999</v>
      </c>
      <c r="V526" s="61" t="n">
        <f aca="false">H526*Resumo!$B$7</f>
        <v>0.99998</v>
      </c>
      <c r="W526" s="61" t="n">
        <f aca="false">Resumo!$B$9</f>
        <v>1</v>
      </c>
      <c r="X526" s="61" t="n">
        <f aca="false">Resumo!$B$10*CEILING(G526/100,1)</f>
        <v>4.5</v>
      </c>
      <c r="Y526" s="61" t="n">
        <f aca="false">Resumo!$B$12*CEILING(G526,1)</f>
        <v>1.38</v>
      </c>
      <c r="Z526" s="61" t="n">
        <f aca="false">Resumo!$B$14*CEILING(G526,1)</f>
        <v>10.35</v>
      </c>
      <c r="AA526" s="61" t="n">
        <f aca="false">SUM(T526:Z526)</f>
        <v>100.93997</v>
      </c>
      <c r="AB526" s="61" t="n">
        <f aca="false">AA526/(1-Resumo!$B$5)</f>
        <v>114.704511363636</v>
      </c>
      <c r="AC526" s="61" t="n">
        <f aca="false">AB526-S526</f>
        <v>36.11365</v>
      </c>
      <c r="AD526" s="62" t="n">
        <f aca="false">AB526/S526-1</f>
        <v>0.459514622608649</v>
      </c>
      <c r="AE526" s="60" t="str">
        <f aca="false">IF(AB526&lt;S526,"SIM","NÃO")</f>
        <v>NÃO</v>
      </c>
      <c r="AF526" s="60" t="n">
        <v>2</v>
      </c>
      <c r="AG526" s="60" t="n">
        <v>5</v>
      </c>
      <c r="AH526" s="60" t="s">
        <v>382</v>
      </c>
      <c r="AI526" s="61" t="n">
        <f aca="false">(T526*(1-Painel!$C$40)+U526+V526+Painel!$C$41+Painel!$C$42*CEILING(G526/100,1)+Painel!$C$43*CEILING(G526,1)+Z526)/(1-Resumo!$B$5)</f>
        <v>78.387125</v>
      </c>
      <c r="AJ526" s="60" t="str">
        <f aca="false">IF(AI526&lt;S526,"SIM","NÃO")</f>
        <v>SIM</v>
      </c>
    </row>
    <row r="527" customFormat="false" ht="15" hidden="false" customHeight="false" outlineLevel="0" collapsed="false">
      <c r="A527" s="59" t="n">
        <v>46237.7850694444</v>
      </c>
      <c r="B527" s="60" t="s">
        <v>889</v>
      </c>
      <c r="C527" s="60" t="n">
        <v>20930430</v>
      </c>
      <c r="D527" s="60" t="s">
        <v>46</v>
      </c>
      <c r="E527" s="60" t="s">
        <v>22</v>
      </c>
      <c r="F527" s="60" t="s">
        <v>236</v>
      </c>
      <c r="G527" s="60" t="n">
        <v>52.3</v>
      </c>
      <c r="H527" s="61" t="n">
        <v>699.99</v>
      </c>
      <c r="I527" s="61" t="n">
        <v>58.6</v>
      </c>
      <c r="J527" s="61" t="n">
        <f aca="false">H527*Resumo!$C$6</f>
        <v>0</v>
      </c>
      <c r="K527" s="61" t="n">
        <f aca="false">H527*Resumo!$C$7</f>
        <v>1.469979</v>
      </c>
      <c r="L527" s="61" t="n">
        <f aca="false">H527*Resumo!$C$8</f>
        <v>1.469979</v>
      </c>
      <c r="M527" s="61" t="n">
        <f aca="false">Resumo!$C$10*CEILING(G527/100,1)</f>
        <v>1.05</v>
      </c>
      <c r="N527" s="61" t="n">
        <f aca="false">Resumo!$C$9</f>
        <v>0</v>
      </c>
      <c r="O527" s="61" t="n">
        <f aca="false">Resumo!$C$13</f>
        <v>13.55</v>
      </c>
      <c r="P527" s="61" t="n">
        <f aca="false">Resumo!$C$14*CEILING(G527,1)</f>
        <v>23.85</v>
      </c>
      <c r="Q527" s="61" t="n">
        <f aca="false">SUM(I527:P527)*Resumo!$C$11</f>
        <v>0</v>
      </c>
      <c r="R527" s="61" t="n">
        <f aca="false">SUM(I527:Q527)</f>
        <v>99.989958</v>
      </c>
      <c r="S527" s="61" t="n">
        <f aca="false">R527/(1-Resumo!$C$5)</f>
        <v>113.624952272727</v>
      </c>
      <c r="T527" s="61" t="n">
        <v>112.3</v>
      </c>
      <c r="U527" s="61" t="n">
        <f aca="false">H527*Resumo!$B$6</f>
        <v>0.69999</v>
      </c>
      <c r="V527" s="61" t="n">
        <f aca="false">H527*Resumo!$B$7</f>
        <v>1.39998</v>
      </c>
      <c r="W527" s="61" t="n">
        <f aca="false">Resumo!$B$9</f>
        <v>1</v>
      </c>
      <c r="X527" s="61" t="n">
        <f aca="false">Resumo!$B$10*CEILING(G527/100,1)</f>
        <v>4.5</v>
      </c>
      <c r="Y527" s="61" t="n">
        <f aca="false">Resumo!$B$12*CEILING(G527,1)</f>
        <v>3.18</v>
      </c>
      <c r="Z527" s="61" t="n">
        <f aca="false">Resumo!$B$14*CEILING(G527,1)</f>
        <v>23.85</v>
      </c>
      <c r="AA527" s="61" t="n">
        <f aca="false">SUM(T527:Z527)</f>
        <v>146.92997</v>
      </c>
      <c r="AB527" s="61" t="n">
        <f aca="false">AA527/(1-Resumo!$B$5)</f>
        <v>166.965875</v>
      </c>
      <c r="AC527" s="61" t="n">
        <f aca="false">AB527-S527</f>
        <v>53.3409227272727</v>
      </c>
      <c r="AD527" s="62" t="n">
        <f aca="false">AB527/S527-1</f>
        <v>0.469447261894039</v>
      </c>
      <c r="AE527" s="60" t="str">
        <f aca="false">IF(AB527&lt;S527,"SIM","NÃO")</f>
        <v>NÃO</v>
      </c>
      <c r="AF527" s="60" t="n">
        <v>2</v>
      </c>
      <c r="AG527" s="60" t="n">
        <v>5</v>
      </c>
      <c r="AH527" s="60" t="s">
        <v>382</v>
      </c>
      <c r="AI527" s="61" t="n">
        <f aca="false">(T527*(1-Painel!$C$40)+U527+V527+Painel!$C$41+Painel!$C$42*CEILING(G527/100,1)+Painel!$C$43*CEILING(G527,1)+Z527)/(1-Resumo!$B$5)</f>
        <v>117.319284090909</v>
      </c>
      <c r="AJ527" s="60" t="str">
        <f aca="false">IF(AI527&lt;S527,"SIM","NÃO")</f>
        <v>NÃO</v>
      </c>
    </row>
    <row r="528" customFormat="false" ht="15" hidden="false" customHeight="false" outlineLevel="0" collapsed="false">
      <c r="A528" s="59" t="n">
        <v>46237.7951967593</v>
      </c>
      <c r="B528" s="60" t="s">
        <v>890</v>
      </c>
      <c r="C528" s="60" t="n">
        <v>21862170</v>
      </c>
      <c r="D528" s="60" t="s">
        <v>46</v>
      </c>
      <c r="E528" s="60" t="s">
        <v>22</v>
      </c>
      <c r="F528" s="60" t="s">
        <v>234</v>
      </c>
      <c r="G528" s="60" t="n">
        <v>36.8</v>
      </c>
      <c r="H528" s="61" t="n">
        <v>431.09</v>
      </c>
      <c r="I528" s="61" t="n">
        <v>48.35</v>
      </c>
      <c r="J528" s="61" t="n">
        <f aca="false">H528*Resumo!$C$6</f>
        <v>0</v>
      </c>
      <c r="K528" s="61" t="n">
        <f aca="false">H528*Resumo!$C$7</f>
        <v>0.905289</v>
      </c>
      <c r="L528" s="61" t="n">
        <f aca="false">H528*Resumo!$C$8</f>
        <v>0.905289</v>
      </c>
      <c r="M528" s="61" t="n">
        <f aca="false">Resumo!$C$10*CEILING(G528/100,1)</f>
        <v>1.05</v>
      </c>
      <c r="N528" s="61" t="n">
        <f aca="false">Resumo!$C$9</f>
        <v>0</v>
      </c>
      <c r="O528" s="61" t="n">
        <f aca="false">Resumo!$C$13</f>
        <v>13.55</v>
      </c>
      <c r="P528" s="61" t="n">
        <f aca="false">Resumo!$C$14*CEILING(G528,1)</f>
        <v>16.65</v>
      </c>
      <c r="Q528" s="61" t="n">
        <f aca="false">SUM(I528:P528)*Resumo!$C$11</f>
        <v>0</v>
      </c>
      <c r="R528" s="61" t="n">
        <f aca="false">SUM(I528:Q528)</f>
        <v>81.410578</v>
      </c>
      <c r="S528" s="61" t="n">
        <f aca="false">R528/(1-Resumo!$C$5)</f>
        <v>92.5120204545455</v>
      </c>
      <c r="T528" s="61" t="n">
        <v>93.97</v>
      </c>
      <c r="U528" s="61" t="n">
        <f aca="false">H528*Resumo!$B$6</f>
        <v>0.43109</v>
      </c>
      <c r="V528" s="61" t="n">
        <f aca="false">H528*Resumo!$B$7</f>
        <v>0.86218</v>
      </c>
      <c r="W528" s="61" t="n">
        <f aca="false">Resumo!$B$9</f>
        <v>1</v>
      </c>
      <c r="X528" s="61" t="n">
        <f aca="false">Resumo!$B$10*CEILING(G528/100,1)</f>
        <v>4.5</v>
      </c>
      <c r="Y528" s="61" t="n">
        <f aca="false">Resumo!$B$12*CEILING(G528,1)</f>
        <v>2.22</v>
      </c>
      <c r="Z528" s="61" t="n">
        <f aca="false">Resumo!$B$14*CEILING(G528,1)</f>
        <v>16.65</v>
      </c>
      <c r="AA528" s="61" t="n">
        <f aca="false">SUM(T528:Z528)</f>
        <v>119.63327</v>
      </c>
      <c r="AB528" s="61" t="n">
        <f aca="false">AA528/(1-Resumo!$B$5)</f>
        <v>135.946897727273</v>
      </c>
      <c r="AC528" s="61" t="n">
        <f aca="false">AB528-S528</f>
        <v>43.4348772727273</v>
      </c>
      <c r="AD528" s="62" t="n">
        <f aca="false">AB528/S528-1</f>
        <v>0.469505228178088</v>
      </c>
      <c r="AE528" s="60" t="str">
        <f aca="false">IF(AB528&lt;S528,"SIM","NÃO")</f>
        <v>NÃO</v>
      </c>
      <c r="AF528" s="60" t="n">
        <v>2</v>
      </c>
      <c r="AG528" s="60" t="n">
        <v>5</v>
      </c>
      <c r="AH528" s="60" t="s">
        <v>382</v>
      </c>
      <c r="AI528" s="61" t="n">
        <f aca="false">(T528*(1-Painel!$C$40)+U528+V528+Painel!$C$41+Painel!$C$42*CEILING(G528/100,1)+Painel!$C$43*CEILING(G528,1)+Z528)/(1-Resumo!$B$5)</f>
        <v>94.2649659090909</v>
      </c>
      <c r="AJ528" s="60" t="str">
        <f aca="false">IF(AI528&lt;S528,"SIM","NÃO")</f>
        <v>NÃO</v>
      </c>
    </row>
    <row r="529" customFormat="false" ht="15" hidden="false" customHeight="false" outlineLevel="0" collapsed="false">
      <c r="A529" s="59" t="n">
        <v>46237.81375</v>
      </c>
      <c r="B529" s="60" t="s">
        <v>891</v>
      </c>
      <c r="C529" s="60" t="n">
        <v>21361470</v>
      </c>
      <c r="D529" s="60" t="s">
        <v>46</v>
      </c>
      <c r="E529" s="60" t="s">
        <v>22</v>
      </c>
      <c r="F529" s="60" t="s">
        <v>232</v>
      </c>
      <c r="G529" s="60" t="n">
        <v>11</v>
      </c>
      <c r="H529" s="61" t="n">
        <v>449.99</v>
      </c>
      <c r="I529" s="61" t="n">
        <v>33.42</v>
      </c>
      <c r="J529" s="61" t="n">
        <f aca="false">H529*Resumo!$C$6</f>
        <v>0</v>
      </c>
      <c r="K529" s="61" t="n">
        <f aca="false">H529*Resumo!$C$7</f>
        <v>0.944979</v>
      </c>
      <c r="L529" s="61" t="n">
        <f aca="false">H529*Resumo!$C$8</f>
        <v>0.944979</v>
      </c>
      <c r="M529" s="61" t="n">
        <f aca="false">Resumo!$C$10*CEILING(G529/100,1)</f>
        <v>1.05</v>
      </c>
      <c r="N529" s="61" t="n">
        <f aca="false">Resumo!$C$9</f>
        <v>0</v>
      </c>
      <c r="O529" s="61" t="n">
        <f aca="false">Resumo!$C$13</f>
        <v>13.55</v>
      </c>
      <c r="P529" s="61" t="n">
        <f aca="false">Resumo!$C$14*CEILING(G529,1)</f>
        <v>4.95</v>
      </c>
      <c r="Q529" s="61" t="n">
        <f aca="false">SUM(I529:P529)*Resumo!$C$11</f>
        <v>0</v>
      </c>
      <c r="R529" s="61" t="n">
        <f aca="false">SUM(I529:Q529)</f>
        <v>54.859958</v>
      </c>
      <c r="S529" s="61" t="n">
        <f aca="false">R529/(1-Resumo!$C$5)</f>
        <v>62.3408613636364</v>
      </c>
      <c r="T529" s="61" t="n">
        <v>46.98</v>
      </c>
      <c r="U529" s="61" t="n">
        <f aca="false">H529*Resumo!$B$6</f>
        <v>0.44999</v>
      </c>
      <c r="V529" s="61" t="n">
        <f aca="false">H529*Resumo!$B$7</f>
        <v>0.89998</v>
      </c>
      <c r="W529" s="61" t="n">
        <f aca="false">Resumo!$B$9</f>
        <v>1</v>
      </c>
      <c r="X529" s="61" t="n">
        <f aca="false">Resumo!$B$10*CEILING(G529/100,1)</f>
        <v>4.5</v>
      </c>
      <c r="Y529" s="61" t="n">
        <f aca="false">Resumo!$B$12*CEILING(G529,1)</f>
        <v>0.66</v>
      </c>
      <c r="Z529" s="61" t="n">
        <f aca="false">Resumo!$B$14*CEILING(G529,1)</f>
        <v>4.95</v>
      </c>
      <c r="AA529" s="61" t="n">
        <f aca="false">SUM(T529:Z529)</f>
        <v>59.43997</v>
      </c>
      <c r="AB529" s="61" t="n">
        <f aca="false">AA529/(1-Resumo!$B$5)</f>
        <v>67.5454204545455</v>
      </c>
      <c r="AC529" s="61" t="n">
        <f aca="false">AB529-S529</f>
        <v>5.20455909090908</v>
      </c>
      <c r="AD529" s="62" t="n">
        <f aca="false">AB529/S529-1</f>
        <v>0.0834855177978808</v>
      </c>
      <c r="AE529" s="60" t="str">
        <f aca="false">IF(AB529&lt;S529,"SIM","NÃO")</f>
        <v>NÃO</v>
      </c>
      <c r="AF529" s="60" t="n">
        <v>2</v>
      </c>
      <c r="AG529" s="60" t="n">
        <v>5</v>
      </c>
      <c r="AH529" s="60" t="s">
        <v>382</v>
      </c>
      <c r="AI529" s="61" t="n">
        <f aca="false">(T529*(1-Painel!$C$40)+U529+V529+Painel!$C$41+Painel!$C$42*CEILING(G529/100,1)+Painel!$C$43*CEILING(G529,1)+Z529)/(1-Resumo!$B$5)</f>
        <v>45.2574659090909</v>
      </c>
      <c r="AJ529" s="60" t="str">
        <f aca="false">IF(AI529&lt;S529,"SIM","NÃO")</f>
        <v>SIM</v>
      </c>
    </row>
    <row r="530" customFormat="false" ht="15" hidden="false" customHeight="false" outlineLevel="0" collapsed="false">
      <c r="A530" s="59" t="n">
        <v>46237.8548148148</v>
      </c>
      <c r="B530" s="60" t="s">
        <v>892</v>
      </c>
      <c r="C530" s="60" t="n">
        <v>24342805</v>
      </c>
      <c r="D530" s="60" t="s">
        <v>50</v>
      </c>
      <c r="E530" s="60" t="s">
        <v>23</v>
      </c>
      <c r="F530" s="60" t="s">
        <v>237</v>
      </c>
      <c r="G530" s="60" t="n">
        <v>62.8</v>
      </c>
      <c r="H530" s="61" t="n">
        <v>719.08</v>
      </c>
      <c r="I530" s="61" t="n">
        <v>76.55</v>
      </c>
      <c r="J530" s="61" t="n">
        <f aca="false">H530*Resumo!$C$6</f>
        <v>0</v>
      </c>
      <c r="K530" s="61" t="n">
        <f aca="false">H530*Resumo!$C$7</f>
        <v>1.510068</v>
      </c>
      <c r="L530" s="61" t="n">
        <f aca="false">H530*Resumo!$C$8</f>
        <v>1.510068</v>
      </c>
      <c r="M530" s="61" t="n">
        <f aca="false">Resumo!$C$10*CEILING(G530/100,1)</f>
        <v>1.05</v>
      </c>
      <c r="N530" s="61" t="n">
        <f aca="false">Resumo!$C$9</f>
        <v>0</v>
      </c>
      <c r="O530" s="61" t="n">
        <f aca="false">Resumo!$C$13</f>
        <v>13.55</v>
      </c>
      <c r="P530" s="61" t="n">
        <f aca="false">Resumo!$C$14*CEILING(G530,1)</f>
        <v>28.35</v>
      </c>
      <c r="Q530" s="61" t="n">
        <f aca="false">SUM(I530:P530)*Resumo!$C$11</f>
        <v>0</v>
      </c>
      <c r="R530" s="61" t="n">
        <f aca="false">SUM(I530:Q530)</f>
        <v>122.520136</v>
      </c>
      <c r="S530" s="61" t="n">
        <f aca="false">R530/(1-Resumo!$C$5)</f>
        <v>139.227427272727</v>
      </c>
      <c r="T530" s="61" t="n">
        <v>149.5</v>
      </c>
      <c r="U530" s="61" t="n">
        <f aca="false">H530*Resumo!$B$6</f>
        <v>0.71908</v>
      </c>
      <c r="V530" s="61" t="n">
        <f aca="false">H530*Resumo!$B$7</f>
        <v>1.43816</v>
      </c>
      <c r="W530" s="61" t="n">
        <f aca="false">Resumo!$B$9</f>
        <v>1</v>
      </c>
      <c r="X530" s="61" t="n">
        <f aca="false">Resumo!$B$10*CEILING(G530/100,1)</f>
        <v>4.5</v>
      </c>
      <c r="Y530" s="61" t="n">
        <f aca="false">Resumo!$B$12*CEILING(G530,1)</f>
        <v>3.78</v>
      </c>
      <c r="Z530" s="61" t="n">
        <f aca="false">Resumo!$B$14*CEILING(G530,1)</f>
        <v>28.35</v>
      </c>
      <c r="AA530" s="61" t="n">
        <f aca="false">SUM(T530:Z530)</f>
        <v>189.28724</v>
      </c>
      <c r="AB530" s="61" t="n">
        <f aca="false">AA530/(1-Resumo!$B$5)</f>
        <v>215.099136363636</v>
      </c>
      <c r="AC530" s="61" t="n">
        <f aca="false">AB530-S530</f>
        <v>75.8717090909091</v>
      </c>
      <c r="AD530" s="62" t="n">
        <f aca="false">AB530/S530-1</f>
        <v>0.544948007566691</v>
      </c>
      <c r="AE530" s="60" t="str">
        <f aca="false">IF(AB530&lt;S530,"SIM","NÃO")</f>
        <v>NÃO</v>
      </c>
      <c r="AF530" s="60" t="n">
        <v>2</v>
      </c>
      <c r="AG530" s="60" t="n">
        <v>7</v>
      </c>
      <c r="AH530" s="60" t="s">
        <v>382</v>
      </c>
      <c r="AI530" s="61" t="n">
        <f aca="false">(T530*(1-Painel!$C$40)+U530+V530+Painel!$C$41+Painel!$C$42*CEILING(G530/100,1)+Painel!$C$43*CEILING(G530,1)+Z530)/(1-Resumo!$B$5)</f>
        <v>150.820727272727</v>
      </c>
      <c r="AJ530" s="60" t="str">
        <f aca="false">IF(AI530&lt;S530,"SIM","NÃO")</f>
        <v>NÃO</v>
      </c>
    </row>
    <row r="531" customFormat="false" ht="15" hidden="false" customHeight="false" outlineLevel="0" collapsed="false">
      <c r="A531" s="59" t="n">
        <v>46237.8583564815</v>
      </c>
      <c r="B531" s="60" t="s">
        <v>893</v>
      </c>
      <c r="C531" s="60" t="n">
        <v>24802695</v>
      </c>
      <c r="D531" s="60" t="s">
        <v>223</v>
      </c>
      <c r="E531" s="60" t="s">
        <v>24</v>
      </c>
      <c r="F531" s="60" t="s">
        <v>236</v>
      </c>
      <c r="G531" s="60" t="n">
        <v>51.06</v>
      </c>
      <c r="H531" s="61" t="n">
        <v>749.99</v>
      </c>
      <c r="I531" s="61" t="n">
        <v>83.58</v>
      </c>
      <c r="J531" s="61" t="n">
        <f aca="false">H531*Resumo!$C$6</f>
        <v>0</v>
      </c>
      <c r="K531" s="61" t="n">
        <f aca="false">H531*Resumo!$C$7</f>
        <v>1.574979</v>
      </c>
      <c r="L531" s="61" t="n">
        <f aca="false">H531*Resumo!$C$8</f>
        <v>1.574979</v>
      </c>
      <c r="M531" s="61" t="n">
        <f aca="false">Resumo!$C$10*CEILING(G531/100,1)</f>
        <v>1.05</v>
      </c>
      <c r="N531" s="61" t="n">
        <f aca="false">Resumo!$C$9</f>
        <v>0</v>
      </c>
      <c r="O531" s="61" t="n">
        <f aca="false">Resumo!$C$13</f>
        <v>13.55</v>
      </c>
      <c r="P531" s="61" t="n">
        <f aca="false">Resumo!$C$14*CEILING(G531,1)</f>
        <v>23.4</v>
      </c>
      <c r="Q531" s="61" t="n">
        <f aca="false">SUM(I531:P531)*Resumo!$C$11</f>
        <v>0</v>
      </c>
      <c r="R531" s="61" t="n">
        <f aca="false">SUM(I531:Q531)</f>
        <v>124.729958</v>
      </c>
      <c r="S531" s="61" t="n">
        <f aca="false">R531/(1-Resumo!$C$5)</f>
        <v>141.738588636364</v>
      </c>
      <c r="T531" s="61" t="n">
        <v>128.14</v>
      </c>
      <c r="U531" s="61" t="n">
        <f aca="false">H531*Resumo!$B$6</f>
        <v>0.74999</v>
      </c>
      <c r="V531" s="61" t="n">
        <f aca="false">H531*Resumo!$B$7</f>
        <v>1.49998</v>
      </c>
      <c r="W531" s="61" t="n">
        <f aca="false">Resumo!$B$9</f>
        <v>1</v>
      </c>
      <c r="X531" s="61" t="n">
        <f aca="false">Resumo!$B$10*CEILING(G531/100,1)</f>
        <v>4.5</v>
      </c>
      <c r="Y531" s="61" t="n">
        <f aca="false">Resumo!$B$12*CEILING(G531,1)</f>
        <v>3.12</v>
      </c>
      <c r="Z531" s="61" t="n">
        <f aca="false">Resumo!$B$14*CEILING(G531,1)</f>
        <v>23.4</v>
      </c>
      <c r="AA531" s="61" t="n">
        <f aca="false">SUM(T531:Z531)</f>
        <v>162.40997</v>
      </c>
      <c r="AB531" s="61" t="n">
        <f aca="false">AA531/(1-Resumo!$B$5)</f>
        <v>184.556784090909</v>
      </c>
      <c r="AC531" s="61" t="n">
        <f aca="false">AB531-S531</f>
        <v>42.8181954545454</v>
      </c>
      <c r="AD531" s="62" t="n">
        <f aca="false">AB531/S531-1</f>
        <v>0.302092717773544</v>
      </c>
      <c r="AE531" s="60" t="str">
        <f aca="false">IF(AB531&lt;S531,"SIM","NÃO")</f>
        <v>NÃO</v>
      </c>
      <c r="AF531" s="60" t="n">
        <v>13</v>
      </c>
      <c r="AG531" s="60" t="n">
        <v>7</v>
      </c>
      <c r="AH531" s="60" t="s">
        <v>382</v>
      </c>
      <c r="AI531" s="61" t="n">
        <f aca="false">(T531*(1-Painel!$C$40)+U531+V531+Painel!$C$41+Painel!$C$42*CEILING(G531/100,1)+Painel!$C$43*CEILING(G531,1)+Z531)/(1-Resumo!$B$5)</f>
        <v>129.038375</v>
      </c>
      <c r="AJ531" s="60" t="str">
        <f aca="false">IF(AI531&lt;S531,"SIM","NÃO")</f>
        <v>SIM</v>
      </c>
    </row>
    <row r="532" customFormat="false" ht="15" hidden="false" customHeight="false" outlineLevel="0" collapsed="false">
      <c r="A532" s="59" t="n">
        <v>46237.8604976852</v>
      </c>
      <c r="B532" s="60" t="s">
        <v>518</v>
      </c>
      <c r="C532" s="60" t="n">
        <v>22765240</v>
      </c>
      <c r="D532" s="60" t="s">
        <v>46</v>
      </c>
      <c r="E532" s="60" t="s">
        <v>22</v>
      </c>
      <c r="F532" s="60" t="s">
        <v>237</v>
      </c>
      <c r="G532" s="60" t="n">
        <v>67.2</v>
      </c>
      <c r="H532" s="61" t="n">
        <v>1469.97</v>
      </c>
      <c r="I532" s="61" t="n">
        <v>63.21</v>
      </c>
      <c r="J532" s="61" t="n">
        <f aca="false">H532*Resumo!$C$6</f>
        <v>0</v>
      </c>
      <c r="K532" s="61" t="n">
        <f aca="false">H532*Resumo!$C$7</f>
        <v>3.086937</v>
      </c>
      <c r="L532" s="61" t="n">
        <f aca="false">H532*Resumo!$C$8</f>
        <v>3.086937</v>
      </c>
      <c r="M532" s="61" t="n">
        <f aca="false">Resumo!$C$10*CEILING(G532/100,1)</f>
        <v>1.05</v>
      </c>
      <c r="N532" s="61" t="n">
        <f aca="false">Resumo!$C$9</f>
        <v>0</v>
      </c>
      <c r="O532" s="61" t="n">
        <f aca="false">Resumo!$C$13</f>
        <v>13.55</v>
      </c>
      <c r="P532" s="61" t="n">
        <f aca="false">Resumo!$C$14*CEILING(G532,1)</f>
        <v>30.6</v>
      </c>
      <c r="Q532" s="61" t="n">
        <f aca="false">SUM(I532:P532)*Resumo!$C$11</f>
        <v>0</v>
      </c>
      <c r="R532" s="61" t="n">
        <f aca="false">SUM(I532:Q532)</f>
        <v>114.583874</v>
      </c>
      <c r="S532" s="61" t="n">
        <f aca="false">R532/(1-Resumo!$C$5)</f>
        <v>130.208947727273</v>
      </c>
      <c r="T532" s="61" t="n">
        <v>131.02</v>
      </c>
      <c r="U532" s="61" t="n">
        <f aca="false">H532*Resumo!$B$6</f>
        <v>1.46997</v>
      </c>
      <c r="V532" s="61" t="n">
        <f aca="false">H532*Resumo!$B$7</f>
        <v>2.93994</v>
      </c>
      <c r="W532" s="61" t="n">
        <f aca="false">Resumo!$B$9</f>
        <v>1</v>
      </c>
      <c r="X532" s="61" t="n">
        <f aca="false">Resumo!$B$10*CEILING(G532/100,1)</f>
        <v>4.5</v>
      </c>
      <c r="Y532" s="61" t="n">
        <f aca="false">Resumo!$B$12*CEILING(G532,1)</f>
        <v>4.08</v>
      </c>
      <c r="Z532" s="61" t="n">
        <f aca="false">Resumo!$B$14*CEILING(G532,1)</f>
        <v>30.6</v>
      </c>
      <c r="AA532" s="61" t="n">
        <f aca="false">SUM(T532:Z532)</f>
        <v>175.60991</v>
      </c>
      <c r="AB532" s="61" t="n">
        <f aca="false">AA532/(1-Resumo!$B$5)</f>
        <v>199.556715909091</v>
      </c>
      <c r="AC532" s="61" t="n">
        <f aca="false">AB532-S532</f>
        <v>69.3477681818182</v>
      </c>
      <c r="AD532" s="62" t="n">
        <f aca="false">AB532/S532-1</f>
        <v>0.532588346594042</v>
      </c>
      <c r="AE532" s="60" t="str">
        <f aca="false">IF(AB532&lt;S532,"SIM","NÃO")</f>
        <v>NÃO</v>
      </c>
      <c r="AF532" s="60" t="n">
        <v>2</v>
      </c>
      <c r="AG532" s="60" t="n">
        <v>5</v>
      </c>
      <c r="AH532" s="60" t="s">
        <v>382</v>
      </c>
      <c r="AI532" s="61" t="n">
        <f aca="false">(T532*(1-Painel!$C$40)+U532+V532+Painel!$C$41+Painel!$C$42*CEILING(G532/100,1)+Painel!$C$43*CEILING(G532,1)+Z532)/(1-Resumo!$B$5)</f>
        <v>141.867397727273</v>
      </c>
      <c r="AJ532" s="60" t="str">
        <f aca="false">IF(AI532&lt;S532,"SIM","NÃO")</f>
        <v>NÃO</v>
      </c>
    </row>
    <row r="533" customFormat="false" ht="15" hidden="false" customHeight="false" outlineLevel="0" collapsed="false">
      <c r="A533" s="59" t="n">
        <v>46237.8618287037</v>
      </c>
      <c r="B533" s="60" t="s">
        <v>894</v>
      </c>
      <c r="C533" s="60" t="n">
        <v>23835005</v>
      </c>
      <c r="D533" s="60" t="s">
        <v>263</v>
      </c>
      <c r="E533" s="60" t="s">
        <v>24</v>
      </c>
      <c r="F533" s="60" t="s">
        <v>236</v>
      </c>
      <c r="G533" s="60" t="n">
        <v>52.3</v>
      </c>
      <c r="H533" s="61" t="n">
        <v>642.07</v>
      </c>
      <c r="I533" s="61" t="n">
        <v>83.58</v>
      </c>
      <c r="J533" s="61" t="n">
        <f aca="false">H533*Resumo!$C$6</f>
        <v>0</v>
      </c>
      <c r="K533" s="61" t="n">
        <f aca="false">H533*Resumo!$C$7</f>
        <v>1.348347</v>
      </c>
      <c r="L533" s="61" t="n">
        <f aca="false">H533*Resumo!$C$8</f>
        <v>1.348347</v>
      </c>
      <c r="M533" s="61" t="n">
        <f aca="false">Resumo!$C$10*CEILING(G533/100,1)</f>
        <v>1.05</v>
      </c>
      <c r="N533" s="61" t="n">
        <f aca="false">Resumo!$C$9</f>
        <v>0</v>
      </c>
      <c r="O533" s="61" t="n">
        <f aca="false">Resumo!$C$13</f>
        <v>13.55</v>
      </c>
      <c r="P533" s="61" t="n">
        <f aca="false">Resumo!$C$14*CEILING(G533,1)</f>
        <v>23.85</v>
      </c>
      <c r="Q533" s="61" t="n">
        <f aca="false">SUM(I533:P533)*Resumo!$C$11</f>
        <v>0</v>
      </c>
      <c r="R533" s="61" t="n">
        <f aca="false">SUM(I533:Q533)</f>
        <v>124.726694</v>
      </c>
      <c r="S533" s="61" t="n">
        <f aca="false">R533/(1-Resumo!$C$5)</f>
        <v>141.734879545455</v>
      </c>
      <c r="T533" s="61" t="n">
        <v>122.3</v>
      </c>
      <c r="U533" s="61" t="n">
        <f aca="false">H533*Resumo!$B$6</f>
        <v>0.64207</v>
      </c>
      <c r="V533" s="61" t="n">
        <f aca="false">H533*Resumo!$B$7</f>
        <v>1.28414</v>
      </c>
      <c r="W533" s="61" t="n">
        <f aca="false">Resumo!$B$9</f>
        <v>1</v>
      </c>
      <c r="X533" s="61" t="n">
        <f aca="false">Resumo!$B$10*CEILING(G533/100,1)</f>
        <v>4.5</v>
      </c>
      <c r="Y533" s="61" t="n">
        <f aca="false">Resumo!$B$12*CEILING(G533,1)</f>
        <v>3.18</v>
      </c>
      <c r="Z533" s="61" t="n">
        <f aca="false">Resumo!$B$14*CEILING(G533,1)</f>
        <v>23.85</v>
      </c>
      <c r="AA533" s="61" t="n">
        <f aca="false">SUM(T533:Z533)</f>
        <v>156.75621</v>
      </c>
      <c r="AB533" s="61" t="n">
        <f aca="false">AA533/(1-Resumo!$B$5)</f>
        <v>178.132056818182</v>
      </c>
      <c r="AC533" s="61" t="n">
        <f aca="false">AB533-S533</f>
        <v>36.3971772727273</v>
      </c>
      <c r="AD533" s="62" t="n">
        <f aca="false">AB533/S533-1</f>
        <v>0.25679760260462</v>
      </c>
      <c r="AE533" s="60" t="str">
        <f aca="false">IF(AB533&lt;S533,"SIM","NÃO")</f>
        <v>NÃO</v>
      </c>
      <c r="AF533" s="60" t="n">
        <v>13</v>
      </c>
      <c r="AG533" s="60" t="n">
        <v>5</v>
      </c>
      <c r="AH533" s="60" t="s">
        <v>385</v>
      </c>
      <c r="AI533" s="61" t="n">
        <f aca="false">(T533*(1-Painel!$C$40)+U533+V533+Painel!$C$41+Painel!$C$42*CEILING(G533/100,1)+Painel!$C$43*CEILING(G533,1)+Z533)/(1-Resumo!$B$5)</f>
        <v>124.735465909091</v>
      </c>
      <c r="AJ533" s="60" t="str">
        <f aca="false">IF(AI533&lt;S533,"SIM","NÃO")</f>
        <v>SIM</v>
      </c>
    </row>
    <row r="534" customFormat="false" ht="15" hidden="false" customHeight="false" outlineLevel="0" collapsed="false">
      <c r="A534" s="59" t="n">
        <v>46237.9004282407</v>
      </c>
      <c r="B534" s="60" t="s">
        <v>895</v>
      </c>
      <c r="C534" s="60" t="n">
        <v>21832150</v>
      </c>
      <c r="D534" s="60" t="s">
        <v>46</v>
      </c>
      <c r="E534" s="60" t="s">
        <v>22</v>
      </c>
      <c r="F534" s="60" t="s">
        <v>233</v>
      </c>
      <c r="G534" s="60" t="n">
        <v>33</v>
      </c>
      <c r="H534" s="61" t="n">
        <v>468.7</v>
      </c>
      <c r="I534" s="61" t="n">
        <v>42.11</v>
      </c>
      <c r="J534" s="61" t="n">
        <f aca="false">H534*Resumo!$C$6</f>
        <v>0</v>
      </c>
      <c r="K534" s="61" t="n">
        <f aca="false">H534*Resumo!$C$7</f>
        <v>0.98427</v>
      </c>
      <c r="L534" s="61" t="n">
        <f aca="false">H534*Resumo!$C$8</f>
        <v>0.98427</v>
      </c>
      <c r="M534" s="61" t="n">
        <f aca="false">Resumo!$C$10*CEILING(G534/100,1)</f>
        <v>1.05</v>
      </c>
      <c r="N534" s="61" t="n">
        <f aca="false">Resumo!$C$9</f>
        <v>0</v>
      </c>
      <c r="O534" s="61" t="n">
        <f aca="false">Resumo!$C$13</f>
        <v>13.55</v>
      </c>
      <c r="P534" s="61" t="n">
        <f aca="false">Resumo!$C$14*CEILING(G534,1)</f>
        <v>14.85</v>
      </c>
      <c r="Q534" s="61" t="n">
        <f aca="false">SUM(I534:P534)*Resumo!$C$11</f>
        <v>0</v>
      </c>
      <c r="R534" s="61" t="n">
        <f aca="false">SUM(I534:Q534)</f>
        <v>73.52854</v>
      </c>
      <c r="S534" s="61" t="n">
        <f aca="false">R534/(1-Resumo!$C$5)</f>
        <v>83.5551590909091</v>
      </c>
      <c r="T534" s="61" t="n">
        <v>82.21</v>
      </c>
      <c r="U534" s="61" t="n">
        <f aca="false">H534*Resumo!$B$6</f>
        <v>0.4687</v>
      </c>
      <c r="V534" s="61" t="n">
        <f aca="false">H534*Resumo!$B$7</f>
        <v>0.9374</v>
      </c>
      <c r="W534" s="61" t="n">
        <f aca="false">Resumo!$B$9</f>
        <v>1</v>
      </c>
      <c r="X534" s="61" t="n">
        <f aca="false">Resumo!$B$10*CEILING(G534/100,1)</f>
        <v>4.5</v>
      </c>
      <c r="Y534" s="61" t="n">
        <f aca="false">Resumo!$B$12*CEILING(G534,1)</f>
        <v>1.98</v>
      </c>
      <c r="Z534" s="61" t="n">
        <f aca="false">Resumo!$B$14*CEILING(G534,1)</f>
        <v>14.85</v>
      </c>
      <c r="AA534" s="61" t="n">
        <f aca="false">SUM(T534:Z534)</f>
        <v>105.9461</v>
      </c>
      <c r="AB534" s="61" t="n">
        <f aca="false">AA534/(1-Resumo!$B$5)</f>
        <v>120.393295454545</v>
      </c>
      <c r="AC534" s="61" t="n">
        <f aca="false">AB534-S534</f>
        <v>36.8381363636364</v>
      </c>
      <c r="AD534" s="62" t="n">
        <f aca="false">AB534/S534-1</f>
        <v>0.440884043121215</v>
      </c>
      <c r="AE534" s="60" t="str">
        <f aca="false">IF(AB534&lt;S534,"SIM","NÃO")</f>
        <v>NÃO</v>
      </c>
      <c r="AF534" s="60" t="n">
        <v>2</v>
      </c>
      <c r="AG534" s="60" t="n">
        <v>5</v>
      </c>
      <c r="AH534" s="60" t="s">
        <v>382</v>
      </c>
      <c r="AI534" s="61" t="n">
        <f aca="false">(T534*(1-Painel!$C$40)+U534+V534+Painel!$C$41+Painel!$C$42*CEILING(G534/100,1)+Painel!$C$43*CEILING(G534,1)+Z534)/(1-Resumo!$B$5)</f>
        <v>83.3940909090909</v>
      </c>
      <c r="AJ534" s="60" t="str">
        <f aca="false">IF(AI534&lt;S534,"SIM","NÃO")</f>
        <v>SIM</v>
      </c>
    </row>
    <row r="535" customFormat="false" ht="15" hidden="false" customHeight="false" outlineLevel="0" collapsed="false">
      <c r="A535" s="59" t="n">
        <v>46237.9092708333</v>
      </c>
      <c r="B535" s="60" t="s">
        <v>896</v>
      </c>
      <c r="C535" s="60" t="n">
        <v>20770160</v>
      </c>
      <c r="D535" s="60" t="s">
        <v>46</v>
      </c>
      <c r="E535" s="60" t="s">
        <v>22</v>
      </c>
      <c r="F535" s="60" t="s">
        <v>236</v>
      </c>
      <c r="G535" s="60" t="n">
        <v>52.3</v>
      </c>
      <c r="H535" s="61" t="n">
        <v>699.99</v>
      </c>
      <c r="I535" s="61" t="n">
        <v>58.6</v>
      </c>
      <c r="J535" s="61" t="n">
        <f aca="false">H535*Resumo!$C$6</f>
        <v>0</v>
      </c>
      <c r="K535" s="61" t="n">
        <f aca="false">H535*Resumo!$C$7</f>
        <v>1.469979</v>
      </c>
      <c r="L535" s="61" t="n">
        <f aca="false">H535*Resumo!$C$8</f>
        <v>1.469979</v>
      </c>
      <c r="M535" s="61" t="n">
        <f aca="false">Resumo!$C$10*CEILING(G535/100,1)</f>
        <v>1.05</v>
      </c>
      <c r="N535" s="61" t="n">
        <f aca="false">Resumo!$C$9</f>
        <v>0</v>
      </c>
      <c r="O535" s="61" t="n">
        <f aca="false">Resumo!$C$13</f>
        <v>13.55</v>
      </c>
      <c r="P535" s="61" t="n">
        <f aca="false">Resumo!$C$14*CEILING(G535,1)</f>
        <v>23.85</v>
      </c>
      <c r="Q535" s="61" t="n">
        <f aca="false">SUM(I535:P535)*Resumo!$C$11</f>
        <v>0</v>
      </c>
      <c r="R535" s="61" t="n">
        <f aca="false">SUM(I535:Q535)</f>
        <v>99.989958</v>
      </c>
      <c r="S535" s="61" t="n">
        <f aca="false">R535/(1-Resumo!$C$5)</f>
        <v>113.624952272727</v>
      </c>
      <c r="T535" s="61" t="n">
        <v>112.3</v>
      </c>
      <c r="U535" s="61" t="n">
        <f aca="false">H535*Resumo!$B$6</f>
        <v>0.69999</v>
      </c>
      <c r="V535" s="61" t="n">
        <f aca="false">H535*Resumo!$B$7</f>
        <v>1.39998</v>
      </c>
      <c r="W535" s="61" t="n">
        <f aca="false">Resumo!$B$9</f>
        <v>1</v>
      </c>
      <c r="X535" s="61" t="n">
        <f aca="false">Resumo!$B$10*CEILING(G535/100,1)</f>
        <v>4.5</v>
      </c>
      <c r="Y535" s="61" t="n">
        <f aca="false">Resumo!$B$12*CEILING(G535,1)</f>
        <v>3.18</v>
      </c>
      <c r="Z535" s="61" t="n">
        <f aca="false">Resumo!$B$14*CEILING(G535,1)</f>
        <v>23.85</v>
      </c>
      <c r="AA535" s="61" t="n">
        <f aca="false">SUM(T535:Z535)</f>
        <v>146.92997</v>
      </c>
      <c r="AB535" s="61" t="n">
        <f aca="false">AA535/(1-Resumo!$B$5)</f>
        <v>166.965875</v>
      </c>
      <c r="AC535" s="61" t="n">
        <f aca="false">AB535-S535</f>
        <v>53.3409227272727</v>
      </c>
      <c r="AD535" s="62" t="n">
        <f aca="false">AB535/S535-1</f>
        <v>0.469447261894039</v>
      </c>
      <c r="AE535" s="60" t="str">
        <f aca="false">IF(AB535&lt;S535,"SIM","NÃO")</f>
        <v>NÃO</v>
      </c>
      <c r="AF535" s="60" t="n">
        <v>2</v>
      </c>
      <c r="AG535" s="60" t="n">
        <v>5</v>
      </c>
      <c r="AH535" s="60" t="s">
        <v>382</v>
      </c>
      <c r="AI535" s="61" t="n">
        <f aca="false">(T535*(1-Painel!$C$40)+U535+V535+Painel!$C$41+Painel!$C$42*CEILING(G535/100,1)+Painel!$C$43*CEILING(G535,1)+Z535)/(1-Resumo!$B$5)</f>
        <v>117.319284090909</v>
      </c>
      <c r="AJ535" s="60" t="str">
        <f aca="false">IF(AI535&lt;S535,"SIM","NÃO")</f>
        <v>NÃO</v>
      </c>
    </row>
    <row r="536" customFormat="false" ht="15" hidden="false" customHeight="false" outlineLevel="0" collapsed="false">
      <c r="A536" s="59" t="n">
        <v>46237.9751388889</v>
      </c>
      <c r="B536" s="60" t="s">
        <v>897</v>
      </c>
      <c r="C536" s="60" t="n">
        <v>24756151</v>
      </c>
      <c r="D536" s="60" t="s">
        <v>47</v>
      </c>
      <c r="E536" s="60" t="s">
        <v>23</v>
      </c>
      <c r="F536" s="60" t="s">
        <v>236</v>
      </c>
      <c r="G536" s="60" t="n">
        <v>52.3</v>
      </c>
      <c r="H536" s="61" t="n">
        <v>643.99</v>
      </c>
      <c r="I536" s="61" t="n">
        <v>70.98</v>
      </c>
      <c r="J536" s="61" t="n">
        <f aca="false">H536*Resumo!$C$6</f>
        <v>0</v>
      </c>
      <c r="K536" s="61" t="n">
        <f aca="false">H536*Resumo!$C$7</f>
        <v>1.352379</v>
      </c>
      <c r="L536" s="61" t="n">
        <f aca="false">H536*Resumo!$C$8</f>
        <v>1.352379</v>
      </c>
      <c r="M536" s="61" t="n">
        <f aca="false">Resumo!$C$10*CEILING(G536/100,1)</f>
        <v>1.05</v>
      </c>
      <c r="N536" s="61" t="n">
        <f aca="false">Resumo!$C$9</f>
        <v>0</v>
      </c>
      <c r="O536" s="61" t="n">
        <f aca="false">Resumo!$C$13</f>
        <v>13.55</v>
      </c>
      <c r="P536" s="61" t="n">
        <f aca="false">Resumo!$C$14*CEILING(G536,1)</f>
        <v>23.85</v>
      </c>
      <c r="Q536" s="61" t="n">
        <f aca="false">SUM(I536:P536)*Resumo!$C$11</f>
        <v>0</v>
      </c>
      <c r="R536" s="61" t="n">
        <f aca="false">SUM(I536:Q536)</f>
        <v>112.134758</v>
      </c>
      <c r="S536" s="61" t="n">
        <f aca="false">R536/(1-Resumo!$C$5)</f>
        <v>127.425861363636</v>
      </c>
      <c r="T536" s="61" t="n">
        <v>128.14</v>
      </c>
      <c r="U536" s="61" t="n">
        <f aca="false">H536*Resumo!$B$6</f>
        <v>0.64399</v>
      </c>
      <c r="V536" s="61" t="n">
        <f aca="false">H536*Resumo!$B$7</f>
        <v>1.28798</v>
      </c>
      <c r="W536" s="61" t="n">
        <f aca="false">Resumo!$B$9</f>
        <v>1</v>
      </c>
      <c r="X536" s="61" t="n">
        <f aca="false">Resumo!$B$10*CEILING(G536/100,1)</f>
        <v>4.5</v>
      </c>
      <c r="Y536" s="61" t="n">
        <f aca="false">Resumo!$B$12*CEILING(G536,1)</f>
        <v>3.18</v>
      </c>
      <c r="Z536" s="61" t="n">
        <f aca="false">Resumo!$B$14*CEILING(G536,1)</f>
        <v>23.85</v>
      </c>
      <c r="AA536" s="61" t="n">
        <f aca="false">SUM(T536:Z536)</f>
        <v>162.60197</v>
      </c>
      <c r="AB536" s="61" t="n">
        <f aca="false">AA536/(1-Resumo!$B$5)</f>
        <v>184.774965909091</v>
      </c>
      <c r="AC536" s="61" t="n">
        <f aca="false">AB536-S536</f>
        <v>57.3491045454545</v>
      </c>
      <c r="AD536" s="62" t="n">
        <f aca="false">AB536/S536-1</f>
        <v>0.450058598244801</v>
      </c>
      <c r="AE536" s="60" t="str">
        <f aca="false">IF(AB536&lt;S536,"SIM","NÃO")</f>
        <v>NÃO</v>
      </c>
      <c r="AF536" s="60" t="n">
        <v>2</v>
      </c>
      <c r="AG536" s="60" t="n">
        <v>7</v>
      </c>
      <c r="AH536" s="60" t="s">
        <v>382</v>
      </c>
      <c r="AI536" s="61" t="n">
        <f aca="false">(T536*(1-Painel!$C$40)+U536+V536+Painel!$C$41+Painel!$C$42*CEILING(G536/100,1)+Painel!$C$43*CEILING(G536,1)+Z536)/(1-Resumo!$B$5)</f>
        <v>129.188375</v>
      </c>
      <c r="AJ536" s="60" t="str">
        <f aca="false">IF(AI536&lt;S536,"SIM","NÃO")</f>
        <v>NÃO</v>
      </c>
    </row>
    <row r="537" customFormat="false" ht="15" hidden="false" customHeight="false" outlineLevel="0" collapsed="false">
      <c r="A537" s="59" t="n">
        <v>46238.2448032407</v>
      </c>
      <c r="B537" s="60" t="s">
        <v>898</v>
      </c>
      <c r="C537" s="60" t="n">
        <v>25271390</v>
      </c>
      <c r="D537" s="60" t="s">
        <v>48</v>
      </c>
      <c r="E537" s="60" t="s">
        <v>23</v>
      </c>
      <c r="F537" s="60" t="s">
        <v>236</v>
      </c>
      <c r="G537" s="60" t="n">
        <v>60</v>
      </c>
      <c r="H537" s="61" t="n">
        <v>735.99</v>
      </c>
      <c r="I537" s="61" t="n">
        <v>70.98</v>
      </c>
      <c r="J537" s="61" t="n">
        <f aca="false">H537*Resumo!$C$6</f>
        <v>0</v>
      </c>
      <c r="K537" s="61" t="n">
        <f aca="false">H537*Resumo!$C$7</f>
        <v>1.545579</v>
      </c>
      <c r="L537" s="61" t="n">
        <f aca="false">H537*Resumo!$C$8</f>
        <v>1.545579</v>
      </c>
      <c r="M537" s="61" t="n">
        <f aca="false">Resumo!$C$10*CEILING(G537/100,1)</f>
        <v>1.05</v>
      </c>
      <c r="N537" s="61" t="n">
        <f aca="false">Resumo!$C$9</f>
        <v>0</v>
      </c>
      <c r="O537" s="61" t="n">
        <f aca="false">Resumo!$C$13</f>
        <v>13.55</v>
      </c>
      <c r="P537" s="61" t="n">
        <f aca="false">Resumo!$C$14*CEILING(G537,1)</f>
        <v>27</v>
      </c>
      <c r="Q537" s="61" t="n">
        <f aca="false">SUM(I537:P537)*Resumo!$C$11</f>
        <v>0</v>
      </c>
      <c r="R537" s="61" t="n">
        <f aca="false">SUM(I537:Q537)</f>
        <v>115.671158</v>
      </c>
      <c r="S537" s="61" t="n">
        <f aca="false">R537/(1-Resumo!$C$5)</f>
        <v>131.444497727273</v>
      </c>
      <c r="T537" s="61" t="n">
        <v>112.3</v>
      </c>
      <c r="U537" s="61" t="n">
        <f aca="false">H537*Resumo!$B$6</f>
        <v>0.73599</v>
      </c>
      <c r="V537" s="61" t="n">
        <f aca="false">H537*Resumo!$B$7</f>
        <v>1.47198</v>
      </c>
      <c r="W537" s="61" t="n">
        <f aca="false">Resumo!$B$9</f>
        <v>1</v>
      </c>
      <c r="X537" s="61" t="n">
        <f aca="false">Resumo!$B$10*CEILING(G537/100,1)</f>
        <v>4.5</v>
      </c>
      <c r="Y537" s="61" t="n">
        <f aca="false">Resumo!$B$12*CEILING(G537,1)</f>
        <v>3.6</v>
      </c>
      <c r="Z537" s="61" t="n">
        <f aca="false">Resumo!$B$14*CEILING(G537,1)</f>
        <v>27</v>
      </c>
      <c r="AA537" s="61" t="n">
        <f aca="false">SUM(T537:Z537)</f>
        <v>150.60797</v>
      </c>
      <c r="AB537" s="61" t="n">
        <f aca="false">AA537/(1-Resumo!$B$5)</f>
        <v>171.145420454545</v>
      </c>
      <c r="AC537" s="61" t="n">
        <f aca="false">AB537-S537</f>
        <v>39.7009227272727</v>
      </c>
      <c r="AD537" s="62" t="n">
        <f aca="false">AB537/S537-1</f>
        <v>0.302035637959119</v>
      </c>
      <c r="AE537" s="60" t="str">
        <f aca="false">IF(AB537&lt;S537,"SIM","NÃO")</f>
        <v>NÃO</v>
      </c>
      <c r="AF537" s="60" t="n">
        <v>2</v>
      </c>
      <c r="AG537" s="60" t="n">
        <v>5</v>
      </c>
      <c r="AH537" s="60" t="s">
        <v>382</v>
      </c>
      <c r="AI537" s="61" t="n">
        <f aca="false">(T537*(1-Painel!$C$40)+U537+V537+Painel!$C$41+Painel!$C$42*CEILING(G537/100,1)+Painel!$C$43*CEILING(G537,1)+Z537)/(1-Resumo!$B$5)</f>
        <v>121.021556818182</v>
      </c>
      <c r="AJ537" s="60" t="str">
        <f aca="false">IF(AI537&lt;S537,"SIM","NÃO")</f>
        <v>SIM</v>
      </c>
    </row>
    <row r="538" customFormat="false" ht="15" hidden="false" customHeight="false" outlineLevel="0" collapsed="false">
      <c r="A538" s="59" t="n">
        <v>46238.2739814815</v>
      </c>
      <c r="B538" s="60" t="s">
        <v>899</v>
      </c>
      <c r="C538" s="60" t="n">
        <v>21012190</v>
      </c>
      <c r="D538" s="60" t="s">
        <v>46</v>
      </c>
      <c r="E538" s="60" t="s">
        <v>22</v>
      </c>
      <c r="F538" s="60" t="s">
        <v>236</v>
      </c>
      <c r="G538" s="60" t="n">
        <v>52.3</v>
      </c>
      <c r="H538" s="61" t="n">
        <v>642.07</v>
      </c>
      <c r="I538" s="61" t="n">
        <v>58.6</v>
      </c>
      <c r="J538" s="61" t="n">
        <f aca="false">H538*Resumo!$C$6</f>
        <v>0</v>
      </c>
      <c r="K538" s="61" t="n">
        <f aca="false">H538*Resumo!$C$7</f>
        <v>1.348347</v>
      </c>
      <c r="L538" s="61" t="n">
        <f aca="false">H538*Resumo!$C$8</f>
        <v>1.348347</v>
      </c>
      <c r="M538" s="61" t="n">
        <f aca="false">Resumo!$C$10*CEILING(G538/100,1)</f>
        <v>1.05</v>
      </c>
      <c r="N538" s="61" t="n">
        <f aca="false">Resumo!$C$9</f>
        <v>0</v>
      </c>
      <c r="O538" s="61" t="n">
        <f aca="false">Resumo!$C$13</f>
        <v>13.55</v>
      </c>
      <c r="P538" s="61" t="n">
        <f aca="false">Resumo!$C$14*CEILING(G538,1)</f>
        <v>23.85</v>
      </c>
      <c r="Q538" s="61" t="n">
        <f aca="false">SUM(I538:P538)*Resumo!$C$11</f>
        <v>0</v>
      </c>
      <c r="R538" s="61" t="n">
        <f aca="false">SUM(I538:Q538)</f>
        <v>99.746694</v>
      </c>
      <c r="S538" s="61" t="n">
        <f aca="false">R538/(1-Resumo!$C$5)</f>
        <v>113.348515909091</v>
      </c>
      <c r="T538" s="61" t="n">
        <v>112.3</v>
      </c>
      <c r="U538" s="61" t="n">
        <f aca="false">H538*Resumo!$B$6</f>
        <v>0.64207</v>
      </c>
      <c r="V538" s="61" t="n">
        <f aca="false">H538*Resumo!$B$7</f>
        <v>1.28414</v>
      </c>
      <c r="W538" s="61" t="n">
        <f aca="false">Resumo!$B$9</f>
        <v>1</v>
      </c>
      <c r="X538" s="61" t="n">
        <f aca="false">Resumo!$B$10*CEILING(G538/100,1)</f>
        <v>4.5</v>
      </c>
      <c r="Y538" s="61" t="n">
        <f aca="false">Resumo!$B$12*CEILING(G538,1)</f>
        <v>3.18</v>
      </c>
      <c r="Z538" s="61" t="n">
        <f aca="false">Resumo!$B$14*CEILING(G538,1)</f>
        <v>23.85</v>
      </c>
      <c r="AA538" s="61" t="n">
        <f aca="false">SUM(T538:Z538)</f>
        <v>146.75621</v>
      </c>
      <c r="AB538" s="61" t="n">
        <f aca="false">AA538/(1-Resumo!$B$5)</f>
        <v>166.768420454545</v>
      </c>
      <c r="AC538" s="61" t="n">
        <f aca="false">AB538-S538</f>
        <v>53.4199045454546</v>
      </c>
      <c r="AD538" s="62" t="n">
        <f aca="false">AB538/S538-1</f>
        <v>0.471288963221177</v>
      </c>
      <c r="AE538" s="60" t="str">
        <f aca="false">IF(AB538&lt;S538,"SIM","NÃO")</f>
        <v>NÃO</v>
      </c>
      <c r="AF538" s="60" t="n">
        <v>2</v>
      </c>
      <c r="AG538" s="60" t="n">
        <v>5</v>
      </c>
      <c r="AH538" s="60" t="s">
        <v>382</v>
      </c>
      <c r="AI538" s="61" t="n">
        <f aca="false">(T538*(1-Painel!$C$40)+U538+V538+Painel!$C$41+Painel!$C$42*CEILING(G538/100,1)+Painel!$C$43*CEILING(G538,1)+Z538)/(1-Resumo!$B$5)</f>
        <v>117.121829545455</v>
      </c>
      <c r="AJ538" s="60" t="str">
        <f aca="false">IF(AI538&lt;S538,"SIM","NÃO")</f>
        <v>NÃO</v>
      </c>
    </row>
    <row r="539" customFormat="false" ht="15" hidden="false" customHeight="false" outlineLevel="0" collapsed="false">
      <c r="A539" s="59" t="n">
        <v>46238.3229398148</v>
      </c>
      <c r="B539" s="60" t="s">
        <v>900</v>
      </c>
      <c r="C539" s="60" t="n">
        <v>25585021</v>
      </c>
      <c r="D539" s="60" t="s">
        <v>216</v>
      </c>
      <c r="E539" s="60" t="s">
        <v>23</v>
      </c>
      <c r="F539" s="60" t="s">
        <v>233</v>
      </c>
      <c r="G539" s="60" t="n">
        <v>20.9</v>
      </c>
      <c r="H539" s="61" t="n">
        <v>449.99</v>
      </c>
      <c r="I539" s="61" t="n">
        <v>58.8</v>
      </c>
      <c r="J539" s="61" t="n">
        <f aca="false">H539*Resumo!$C$6</f>
        <v>0</v>
      </c>
      <c r="K539" s="61" t="n">
        <f aca="false">H539*Resumo!$C$7</f>
        <v>0.944979</v>
      </c>
      <c r="L539" s="61" t="n">
        <f aca="false">H539*Resumo!$C$8</f>
        <v>0.944979</v>
      </c>
      <c r="M539" s="61" t="n">
        <f aca="false">Resumo!$C$10*CEILING(G539/100,1)</f>
        <v>1.05</v>
      </c>
      <c r="N539" s="61" t="n">
        <f aca="false">Resumo!$C$9</f>
        <v>0</v>
      </c>
      <c r="O539" s="61" t="n">
        <f aca="false">Resumo!$C$13</f>
        <v>13.55</v>
      </c>
      <c r="P539" s="61" t="n">
        <f aca="false">Resumo!$C$14*CEILING(G539,1)</f>
        <v>9.45</v>
      </c>
      <c r="Q539" s="61" t="n">
        <f aca="false">SUM(I539:P539)*Resumo!$C$11</f>
        <v>0</v>
      </c>
      <c r="R539" s="61" t="n">
        <f aca="false">SUM(I539:Q539)</f>
        <v>84.739958</v>
      </c>
      <c r="S539" s="61" t="n">
        <f aca="false">R539/(1-Resumo!$C$5)</f>
        <v>96.2954068181818</v>
      </c>
      <c r="T539" s="61" t="n">
        <v>82.21</v>
      </c>
      <c r="U539" s="61" t="n">
        <f aca="false">H539*Resumo!$B$6</f>
        <v>0.44999</v>
      </c>
      <c r="V539" s="61" t="n">
        <f aca="false">H539*Resumo!$B$7</f>
        <v>0.89998</v>
      </c>
      <c r="W539" s="61" t="n">
        <f aca="false">Resumo!$B$9</f>
        <v>1</v>
      </c>
      <c r="X539" s="61" t="n">
        <f aca="false">Resumo!$B$10*CEILING(G539/100,1)</f>
        <v>4.5</v>
      </c>
      <c r="Y539" s="61" t="n">
        <f aca="false">Resumo!$B$12*CEILING(G539,1)</f>
        <v>1.26</v>
      </c>
      <c r="Z539" s="61" t="n">
        <f aca="false">Resumo!$B$14*CEILING(G539,1)</f>
        <v>9.45</v>
      </c>
      <c r="AA539" s="61" t="n">
        <f aca="false">SUM(T539:Z539)</f>
        <v>99.76997</v>
      </c>
      <c r="AB539" s="61" t="n">
        <f aca="false">AA539/(1-Resumo!$B$5)</f>
        <v>113.374965909091</v>
      </c>
      <c r="AC539" s="61" t="n">
        <f aca="false">AB539-S539</f>
        <v>17.0795590909091</v>
      </c>
      <c r="AD539" s="62" t="n">
        <f aca="false">AB539/S539-1</f>
        <v>0.177366290410481</v>
      </c>
      <c r="AE539" s="60" t="str">
        <f aca="false">IF(AB539&lt;S539,"SIM","NÃO")</f>
        <v>NÃO</v>
      </c>
      <c r="AF539" s="60" t="n">
        <v>2</v>
      </c>
      <c r="AG539" s="60" t="n">
        <v>5</v>
      </c>
      <c r="AH539" s="60" t="s">
        <v>382</v>
      </c>
      <c r="AI539" s="61" t="n">
        <f aca="false">(T539*(1-Painel!$C$40)+U539+V539+Painel!$C$41+Painel!$C$42*CEILING(G539/100,1)+Painel!$C$43*CEILING(G539,1)+Z539)/(1-Resumo!$B$5)</f>
        <v>77.1939431818182</v>
      </c>
      <c r="AJ539" s="60" t="str">
        <f aca="false">IF(AI539&lt;S539,"SIM","NÃO")</f>
        <v>SIM</v>
      </c>
    </row>
    <row r="540" customFormat="false" ht="15" hidden="false" customHeight="false" outlineLevel="0" collapsed="false">
      <c r="A540" s="59" t="n">
        <v>46238.3471064815</v>
      </c>
      <c r="B540" s="60" t="s">
        <v>901</v>
      </c>
      <c r="C540" s="60" t="n">
        <v>25561202</v>
      </c>
      <c r="D540" s="60" t="s">
        <v>216</v>
      </c>
      <c r="E540" s="60" t="s">
        <v>23</v>
      </c>
      <c r="F540" s="60" t="s">
        <v>233</v>
      </c>
      <c r="G540" s="60" t="n">
        <v>20.9</v>
      </c>
      <c r="H540" s="61" t="n">
        <v>487.59</v>
      </c>
      <c r="I540" s="61" t="n">
        <v>58.8</v>
      </c>
      <c r="J540" s="61" t="n">
        <f aca="false">H540*Resumo!$C$6</f>
        <v>0</v>
      </c>
      <c r="K540" s="61" t="n">
        <f aca="false">H540*Resumo!$C$7</f>
        <v>1.023939</v>
      </c>
      <c r="L540" s="61" t="n">
        <f aca="false">H540*Resumo!$C$8</f>
        <v>1.023939</v>
      </c>
      <c r="M540" s="61" t="n">
        <f aca="false">Resumo!$C$10*CEILING(G540/100,1)</f>
        <v>1.05</v>
      </c>
      <c r="N540" s="61" t="n">
        <f aca="false">Resumo!$C$9</f>
        <v>0</v>
      </c>
      <c r="O540" s="61" t="n">
        <f aca="false">Resumo!$C$13</f>
        <v>13.55</v>
      </c>
      <c r="P540" s="61" t="n">
        <f aca="false">Resumo!$C$14*CEILING(G540,1)</f>
        <v>9.45</v>
      </c>
      <c r="Q540" s="61" t="n">
        <f aca="false">SUM(I540:P540)*Resumo!$C$11</f>
        <v>0</v>
      </c>
      <c r="R540" s="61" t="n">
        <f aca="false">SUM(I540:Q540)</f>
        <v>84.897878</v>
      </c>
      <c r="S540" s="61" t="n">
        <f aca="false">R540/(1-Resumo!$C$5)</f>
        <v>96.4748613636364</v>
      </c>
      <c r="T540" s="61" t="n">
        <v>82.21</v>
      </c>
      <c r="U540" s="61" t="n">
        <f aca="false">H540*Resumo!$B$6</f>
        <v>0.48759</v>
      </c>
      <c r="V540" s="61" t="n">
        <f aca="false">H540*Resumo!$B$7</f>
        <v>0.97518</v>
      </c>
      <c r="W540" s="61" t="n">
        <f aca="false">Resumo!$B$9</f>
        <v>1</v>
      </c>
      <c r="X540" s="61" t="n">
        <f aca="false">Resumo!$B$10*CEILING(G540/100,1)</f>
        <v>4.5</v>
      </c>
      <c r="Y540" s="61" t="n">
        <f aca="false">Resumo!$B$12*CEILING(G540,1)</f>
        <v>1.26</v>
      </c>
      <c r="Z540" s="61" t="n">
        <f aca="false">Resumo!$B$14*CEILING(G540,1)</f>
        <v>9.45</v>
      </c>
      <c r="AA540" s="61" t="n">
        <f aca="false">SUM(T540:Z540)</f>
        <v>99.88277</v>
      </c>
      <c r="AB540" s="61" t="n">
        <f aca="false">AA540/(1-Resumo!$B$5)</f>
        <v>113.503147727273</v>
      </c>
      <c r="AC540" s="61" t="n">
        <f aca="false">AB540-S540</f>
        <v>17.0282863636364</v>
      </c>
      <c r="AD540" s="62" t="n">
        <f aca="false">AB540/S540-1</f>
        <v>0.176504906282817</v>
      </c>
      <c r="AE540" s="60" t="str">
        <f aca="false">IF(AB540&lt;S540,"SIM","NÃO")</f>
        <v>NÃO</v>
      </c>
      <c r="AF540" s="60" t="n">
        <v>2</v>
      </c>
      <c r="AG540" s="60" t="n">
        <v>5</v>
      </c>
      <c r="AH540" s="60" t="s">
        <v>382</v>
      </c>
      <c r="AI540" s="61" t="n">
        <f aca="false">(T540*(1-Painel!$C$40)+U540+V540+Painel!$C$41+Painel!$C$42*CEILING(G540/100,1)+Painel!$C$43*CEILING(G540,1)+Z540)/(1-Resumo!$B$5)</f>
        <v>77.322125</v>
      </c>
      <c r="AJ540" s="60" t="str">
        <f aca="false">IF(AI540&lt;S540,"SIM","NÃO")</f>
        <v>SIM</v>
      </c>
    </row>
    <row r="541" customFormat="false" ht="15" hidden="false" customHeight="false" outlineLevel="0" collapsed="false">
      <c r="A541" s="59" t="n">
        <v>46238.4060300926</v>
      </c>
      <c r="B541" s="60" t="s">
        <v>902</v>
      </c>
      <c r="C541" s="60" t="n">
        <v>27353420</v>
      </c>
      <c r="D541" s="60" t="s">
        <v>293</v>
      </c>
      <c r="E541" s="60" t="s">
        <v>24</v>
      </c>
      <c r="F541" s="60" t="s">
        <v>234</v>
      </c>
      <c r="G541" s="60" t="n">
        <v>36.9</v>
      </c>
      <c r="H541" s="61" t="n">
        <v>419.99</v>
      </c>
      <c r="I541" s="61" t="n">
        <v>74.97</v>
      </c>
      <c r="J541" s="61" t="n">
        <f aca="false">H541*Resumo!$C$6</f>
        <v>0</v>
      </c>
      <c r="K541" s="61" t="n">
        <f aca="false">H541*Resumo!$C$7</f>
        <v>0.881979</v>
      </c>
      <c r="L541" s="61" t="n">
        <f aca="false">H541*Resumo!$C$8</f>
        <v>0.881979</v>
      </c>
      <c r="M541" s="61" t="n">
        <f aca="false">Resumo!$C$10*CEILING(G541/100,1)</f>
        <v>1.05</v>
      </c>
      <c r="N541" s="61" t="n">
        <f aca="false">Resumo!$C$9</f>
        <v>0</v>
      </c>
      <c r="O541" s="61" t="n">
        <f aca="false">Resumo!$C$13</f>
        <v>13.55</v>
      </c>
      <c r="P541" s="61" t="n">
        <f aca="false">Resumo!$C$14*CEILING(G541,1)</f>
        <v>16.65</v>
      </c>
      <c r="Q541" s="61" t="n">
        <f aca="false">SUM(I541:P541)*Resumo!$C$11</f>
        <v>0</v>
      </c>
      <c r="R541" s="61" t="n">
        <f aca="false">SUM(I541:Q541)</f>
        <v>107.983958</v>
      </c>
      <c r="S541" s="61" t="n">
        <f aca="false">R541/(1-Resumo!$C$5)</f>
        <v>122.709043181818</v>
      </c>
      <c r="T541" s="61" t="n">
        <v>124.38</v>
      </c>
      <c r="U541" s="61" t="n">
        <f aca="false">H541*Resumo!$B$6</f>
        <v>0.41999</v>
      </c>
      <c r="V541" s="61" t="n">
        <f aca="false">H541*Resumo!$B$7</f>
        <v>0.83998</v>
      </c>
      <c r="W541" s="61" t="n">
        <f aca="false">Resumo!$B$9</f>
        <v>1</v>
      </c>
      <c r="X541" s="61" t="n">
        <f aca="false">Resumo!$B$10*CEILING(G541/100,1)</f>
        <v>4.5</v>
      </c>
      <c r="Y541" s="61" t="n">
        <f aca="false">Resumo!$B$12*CEILING(G541,1)</f>
        <v>2.22</v>
      </c>
      <c r="Z541" s="61" t="n">
        <f aca="false">Resumo!$B$14*CEILING(G541,1)</f>
        <v>16.65</v>
      </c>
      <c r="AA541" s="61" t="n">
        <f aca="false">SUM(T541:Z541)</f>
        <v>150.00997</v>
      </c>
      <c r="AB541" s="61" t="n">
        <f aca="false">AA541/(1-Resumo!$B$5)</f>
        <v>170.465875</v>
      </c>
      <c r="AC541" s="61" t="n">
        <f aca="false">AB541-S541</f>
        <v>47.7568318181818</v>
      </c>
      <c r="AD541" s="62" t="n">
        <f aca="false">AB541/S541-1</f>
        <v>0.389187549506196</v>
      </c>
      <c r="AE541" s="60" t="str">
        <f aca="false">IF(AB541&lt;S541,"SIM","NÃO")</f>
        <v>NÃO</v>
      </c>
      <c r="AF541" s="60" t="n">
        <v>13</v>
      </c>
      <c r="AG541" s="60" t="n">
        <v>10</v>
      </c>
      <c r="AH541" s="60" t="s">
        <v>385</v>
      </c>
      <c r="AI541" s="61" t="n">
        <f aca="false">(T541*(1-Painel!$C$40)+U541+V541+Painel!$C$41+Painel!$C$42*CEILING(G541/100,1)+Painel!$C$43*CEILING(G541,1)+Z541)/(1-Resumo!$B$5)</f>
        <v>117.380193181818</v>
      </c>
      <c r="AJ541" s="60" t="str">
        <f aca="false">IF(AI541&lt;S541,"SIM","NÃO")</f>
        <v>SIM</v>
      </c>
    </row>
    <row r="542" customFormat="false" ht="15" hidden="false" customHeight="false" outlineLevel="0" collapsed="false">
      <c r="A542" s="59" t="n">
        <v>46238.4079398148</v>
      </c>
      <c r="B542" s="60" t="s">
        <v>903</v>
      </c>
      <c r="C542" s="60" t="n">
        <v>25510170</v>
      </c>
      <c r="D542" s="60" t="s">
        <v>216</v>
      </c>
      <c r="E542" s="60" t="s">
        <v>23</v>
      </c>
      <c r="F542" s="60" t="s">
        <v>240</v>
      </c>
      <c r="G542" s="60" t="n">
        <v>117</v>
      </c>
      <c r="H542" s="61" t="n">
        <v>1147.49</v>
      </c>
      <c r="I542" s="61" t="n">
        <v>101.26</v>
      </c>
      <c r="J542" s="61" t="n">
        <f aca="false">H542*Resumo!$C$6</f>
        <v>0</v>
      </c>
      <c r="K542" s="61" t="n">
        <f aca="false">H542*Resumo!$C$7</f>
        <v>2.409729</v>
      </c>
      <c r="L542" s="61" t="n">
        <f aca="false">H542*Resumo!$C$8</f>
        <v>2.409729</v>
      </c>
      <c r="M542" s="61" t="n">
        <f aca="false">Resumo!$C$10*CEILING(G542/100,1)</f>
        <v>2.1</v>
      </c>
      <c r="N542" s="61" t="n">
        <f aca="false">Resumo!$C$9</f>
        <v>0</v>
      </c>
      <c r="O542" s="61" t="n">
        <f aca="false">Resumo!$C$13</f>
        <v>13.55</v>
      </c>
      <c r="P542" s="61" t="n">
        <f aca="false">Resumo!$C$14*CEILING(G542,1)</f>
        <v>52.65</v>
      </c>
      <c r="Q542" s="61" t="n">
        <f aca="false">SUM(I542:P542)*Resumo!$C$11</f>
        <v>0</v>
      </c>
      <c r="R542" s="61" t="n">
        <f aca="false">SUM(I542:Q542)</f>
        <v>174.379458</v>
      </c>
      <c r="S542" s="61" t="n">
        <f aca="false">R542/(1-Resumo!$C$5)</f>
        <v>198.158475</v>
      </c>
      <c r="T542" s="61" t="n">
        <v>201.59</v>
      </c>
      <c r="U542" s="61" t="n">
        <f aca="false">H542*Resumo!$B$6</f>
        <v>1.14749</v>
      </c>
      <c r="V542" s="61" t="n">
        <f aca="false">H542*Resumo!$B$7</f>
        <v>2.29498</v>
      </c>
      <c r="W542" s="61" t="n">
        <f aca="false">Resumo!$B$9</f>
        <v>1</v>
      </c>
      <c r="X542" s="61" t="n">
        <f aca="false">Resumo!$B$10*CEILING(G542/100,1)</f>
        <v>9</v>
      </c>
      <c r="Y542" s="61" t="n">
        <f aca="false">Resumo!$B$12*CEILING(G542,1)</f>
        <v>7.02</v>
      </c>
      <c r="Z542" s="61" t="n">
        <f aca="false">Resumo!$B$14*CEILING(G542,1)</f>
        <v>52.65</v>
      </c>
      <c r="AA542" s="61" t="n">
        <f aca="false">SUM(T542:Z542)</f>
        <v>274.70247</v>
      </c>
      <c r="AB542" s="61" t="n">
        <f aca="false">AA542/(1-Resumo!$B$5)</f>
        <v>312.161897727273</v>
      </c>
      <c r="AC542" s="61" t="n">
        <f aca="false">AB542-S542</f>
        <v>114.003422727273</v>
      </c>
      <c r="AD542" s="62" t="n">
        <f aca="false">AB542/S542-1</f>
        <v>0.575314392822577</v>
      </c>
      <c r="AE542" s="60" t="str">
        <f aca="false">IF(AB542&lt;S542,"SIM","NÃO")</f>
        <v>NÃO</v>
      </c>
      <c r="AF542" s="60" t="n">
        <v>2</v>
      </c>
      <c r="AG542" s="60" t="n">
        <v>5</v>
      </c>
      <c r="AH542" s="60" t="s">
        <v>382</v>
      </c>
      <c r="AI542" s="61" t="n">
        <f aca="false">(T542*(1-Painel!$C$40)+U542+V542+Painel!$C$41+Painel!$C$42*CEILING(G542/100,1)+Painel!$C$43*CEILING(G542,1)+Z542)/(1-Resumo!$B$5)</f>
        <v>220.747465909091</v>
      </c>
      <c r="AJ542" s="60" t="str">
        <f aca="false">IF(AI542&lt;S542,"SIM","NÃO")</f>
        <v>NÃO</v>
      </c>
    </row>
    <row r="543" customFormat="false" ht="15" hidden="false" customHeight="false" outlineLevel="0" collapsed="false">
      <c r="A543" s="59" t="n">
        <v>46238.4137384259</v>
      </c>
      <c r="B543" s="60" t="s">
        <v>904</v>
      </c>
      <c r="C543" s="60" t="n">
        <v>28915120</v>
      </c>
      <c r="D543" s="60" t="s">
        <v>221</v>
      </c>
      <c r="E543" s="60" t="s">
        <v>24</v>
      </c>
      <c r="F543" s="60" t="s">
        <v>236</v>
      </c>
      <c r="G543" s="60" t="n">
        <v>57</v>
      </c>
      <c r="H543" s="61" t="n">
        <v>1551.59</v>
      </c>
      <c r="I543" s="61" t="n">
        <v>83.58</v>
      </c>
      <c r="J543" s="61" t="n">
        <f aca="false">H543*Resumo!$C$6</f>
        <v>0</v>
      </c>
      <c r="K543" s="61" t="n">
        <f aca="false">H543*Resumo!$C$7</f>
        <v>3.258339</v>
      </c>
      <c r="L543" s="61" t="n">
        <f aca="false">H543*Resumo!$C$8</f>
        <v>3.258339</v>
      </c>
      <c r="M543" s="61" t="n">
        <f aca="false">Resumo!$C$10*CEILING(G543/100,1)</f>
        <v>1.05</v>
      </c>
      <c r="N543" s="61" t="n">
        <f aca="false">Resumo!$C$9</f>
        <v>0</v>
      </c>
      <c r="O543" s="61" t="n">
        <f aca="false">Resumo!$C$13</f>
        <v>13.55</v>
      </c>
      <c r="P543" s="61" t="n">
        <f aca="false">Resumo!$C$14*CEILING(G543,1)</f>
        <v>25.65</v>
      </c>
      <c r="Q543" s="61" t="n">
        <f aca="false">SUM(I543:P543)*Resumo!$C$11</f>
        <v>0</v>
      </c>
      <c r="R543" s="61" t="n">
        <f aca="false">SUM(I543:Q543)</f>
        <v>130.346678</v>
      </c>
      <c r="S543" s="61" t="n">
        <f aca="false">R543/(1-Resumo!$C$5)</f>
        <v>148.121225</v>
      </c>
      <c r="T543" s="61" t="n">
        <v>142.32</v>
      </c>
      <c r="U543" s="61" t="n">
        <f aca="false">H543*Resumo!$B$6</f>
        <v>1.55159</v>
      </c>
      <c r="V543" s="61" t="n">
        <f aca="false">H543*Resumo!$B$7</f>
        <v>3.10318</v>
      </c>
      <c r="W543" s="61" t="n">
        <f aca="false">Resumo!$B$9</f>
        <v>1</v>
      </c>
      <c r="X543" s="61" t="n">
        <f aca="false">Resumo!$B$10*CEILING(G543/100,1)</f>
        <v>4.5</v>
      </c>
      <c r="Y543" s="61" t="n">
        <f aca="false">Resumo!$B$12*CEILING(G543,1)</f>
        <v>3.42</v>
      </c>
      <c r="Z543" s="61" t="n">
        <f aca="false">Resumo!$B$14*CEILING(G543,1)</f>
        <v>25.65</v>
      </c>
      <c r="AA543" s="61" t="n">
        <f aca="false">SUM(T543:Z543)</f>
        <v>181.54477</v>
      </c>
      <c r="AB543" s="61" t="n">
        <f aca="false">AA543/(1-Resumo!$B$5)</f>
        <v>206.300875</v>
      </c>
      <c r="AC543" s="61" t="n">
        <f aca="false">AB543-S543</f>
        <v>58.17965</v>
      </c>
      <c r="AD543" s="62" t="n">
        <f aca="false">AB543/S543-1</f>
        <v>0.392784018630686</v>
      </c>
      <c r="AE543" s="60" t="str">
        <f aca="false">IF(AB543&lt;S543,"SIM","NÃO")</f>
        <v>NÃO</v>
      </c>
      <c r="AF543" s="60" t="n">
        <v>13</v>
      </c>
      <c r="AG543" s="60" t="n">
        <v>10</v>
      </c>
      <c r="AH543" s="60" t="s">
        <v>382</v>
      </c>
      <c r="AI543" s="61" t="n">
        <f aca="false">(T543*(1-Painel!$C$40)+U543+V543+Painel!$C$41+Painel!$C$42*CEILING(G543/100,1)+Painel!$C$43*CEILING(G543,1)+Z543)/(1-Resumo!$B$5)</f>
        <v>145.124056818182</v>
      </c>
      <c r="AJ543" s="60" t="str">
        <f aca="false">IF(AI543&lt;S543,"SIM","NÃO")</f>
        <v>SIM</v>
      </c>
    </row>
    <row r="544" customFormat="false" ht="15" hidden="false" customHeight="false" outlineLevel="0" collapsed="false">
      <c r="A544" s="59" t="n">
        <v>46238.4571527778</v>
      </c>
      <c r="B544" s="60" t="s">
        <v>905</v>
      </c>
      <c r="C544" s="60" t="n">
        <v>26183250</v>
      </c>
      <c r="D544" s="60" t="s">
        <v>52</v>
      </c>
      <c r="E544" s="60" t="s">
        <v>23</v>
      </c>
      <c r="F544" s="60" t="s">
        <v>236</v>
      </c>
      <c r="G544" s="60" t="n">
        <v>51.3</v>
      </c>
      <c r="H544" s="61" t="n">
        <v>629.99</v>
      </c>
      <c r="I544" s="61" t="n">
        <v>70.98</v>
      </c>
      <c r="J544" s="61" t="n">
        <f aca="false">H544*Resumo!$C$6</f>
        <v>0</v>
      </c>
      <c r="K544" s="61" t="n">
        <f aca="false">H544*Resumo!$C$7</f>
        <v>1.322979</v>
      </c>
      <c r="L544" s="61" t="n">
        <f aca="false">H544*Resumo!$C$8</f>
        <v>1.322979</v>
      </c>
      <c r="M544" s="61" t="n">
        <f aca="false">Resumo!$C$10*CEILING(G544/100,1)</f>
        <v>1.05</v>
      </c>
      <c r="N544" s="61" t="n">
        <f aca="false">Resumo!$C$9</f>
        <v>0</v>
      </c>
      <c r="O544" s="61" t="n">
        <f aca="false">Resumo!$C$13</f>
        <v>13.55</v>
      </c>
      <c r="P544" s="61" t="n">
        <f aca="false">Resumo!$C$14*CEILING(G544,1)</f>
        <v>23.4</v>
      </c>
      <c r="Q544" s="61" t="n">
        <f aca="false">SUM(I544:P544)*Resumo!$C$11</f>
        <v>0</v>
      </c>
      <c r="R544" s="61" t="n">
        <f aca="false">SUM(I544:Q544)</f>
        <v>111.625958</v>
      </c>
      <c r="S544" s="61" t="n">
        <f aca="false">R544/(1-Resumo!$C$5)</f>
        <v>126.847679545455</v>
      </c>
      <c r="T544" s="61" t="n">
        <v>112.3</v>
      </c>
      <c r="U544" s="61" t="n">
        <f aca="false">H544*Resumo!$B$6</f>
        <v>0.62999</v>
      </c>
      <c r="V544" s="61" t="n">
        <f aca="false">H544*Resumo!$B$7</f>
        <v>1.25998</v>
      </c>
      <c r="W544" s="61" t="n">
        <f aca="false">Resumo!$B$9</f>
        <v>1</v>
      </c>
      <c r="X544" s="61" t="n">
        <f aca="false">Resumo!$B$10*CEILING(G544/100,1)</f>
        <v>4.5</v>
      </c>
      <c r="Y544" s="61" t="n">
        <f aca="false">Resumo!$B$12*CEILING(G544,1)</f>
        <v>3.12</v>
      </c>
      <c r="Z544" s="61" t="n">
        <f aca="false">Resumo!$B$14*CEILING(G544,1)</f>
        <v>23.4</v>
      </c>
      <c r="AA544" s="61" t="n">
        <f aca="false">SUM(T544:Z544)</f>
        <v>146.20997</v>
      </c>
      <c r="AB544" s="61" t="n">
        <f aca="false">AA544/(1-Resumo!$B$5)</f>
        <v>166.147693181818</v>
      </c>
      <c r="AC544" s="61" t="n">
        <f aca="false">AB544-S544</f>
        <v>39.3000136363636</v>
      </c>
      <c r="AD544" s="62" t="n">
        <f aca="false">AB544/S544-1</f>
        <v>0.309820516837132</v>
      </c>
      <c r="AE544" s="60" t="str">
        <f aca="false">IF(AB544&lt;S544,"SIM","NÃO")</f>
        <v>NÃO</v>
      </c>
      <c r="AF544" s="60" t="n">
        <v>2</v>
      </c>
      <c r="AG544" s="60" t="n">
        <v>5</v>
      </c>
      <c r="AH544" s="60" t="s">
        <v>382</v>
      </c>
      <c r="AI544" s="61" t="n">
        <f aca="false">(T544*(1-Painel!$C$40)+U544+V544+Painel!$C$41+Painel!$C$42*CEILING(G544/100,1)+Painel!$C$43*CEILING(G544,1)+Z544)/(1-Resumo!$B$5)</f>
        <v>116.569284090909</v>
      </c>
      <c r="AJ544" s="60" t="str">
        <f aca="false">IF(AI544&lt;S544,"SIM","NÃO")</f>
        <v>SIM</v>
      </c>
    </row>
    <row r="545" customFormat="false" ht="15" hidden="false" customHeight="false" outlineLevel="0" collapsed="false">
      <c r="A545" s="59" t="n">
        <v>46238.4801736111</v>
      </c>
      <c r="B545" s="60" t="s">
        <v>906</v>
      </c>
      <c r="C545" s="60" t="n">
        <v>20960070</v>
      </c>
      <c r="D545" s="60" t="s">
        <v>46</v>
      </c>
      <c r="E545" s="60" t="s">
        <v>22</v>
      </c>
      <c r="F545" s="60" t="s">
        <v>232</v>
      </c>
      <c r="G545" s="60" t="n">
        <v>17</v>
      </c>
      <c r="H545" s="61" t="n">
        <v>225.99</v>
      </c>
      <c r="I545" s="61" t="n">
        <v>33.42</v>
      </c>
      <c r="J545" s="61" t="n">
        <f aca="false">H545*Resumo!$C$6</f>
        <v>0</v>
      </c>
      <c r="K545" s="61" t="n">
        <f aca="false">H545*Resumo!$C$7</f>
        <v>0.474579</v>
      </c>
      <c r="L545" s="61" t="n">
        <f aca="false">H545*Resumo!$C$8</f>
        <v>0.474579</v>
      </c>
      <c r="M545" s="61" t="n">
        <f aca="false">Resumo!$C$10*CEILING(G545/100,1)</f>
        <v>1.05</v>
      </c>
      <c r="N545" s="61" t="n">
        <f aca="false">Resumo!$C$9</f>
        <v>0</v>
      </c>
      <c r="O545" s="61" t="n">
        <f aca="false">Resumo!$C$13</f>
        <v>13.55</v>
      </c>
      <c r="P545" s="61" t="n">
        <f aca="false">Resumo!$C$14*CEILING(G545,1)</f>
        <v>7.65</v>
      </c>
      <c r="Q545" s="61" t="n">
        <f aca="false">SUM(I545:P545)*Resumo!$C$11</f>
        <v>0</v>
      </c>
      <c r="R545" s="61" t="n">
        <f aca="false">SUM(I545:Q545)</f>
        <v>56.619158</v>
      </c>
      <c r="S545" s="61" t="n">
        <f aca="false">R545/(1-Resumo!$C$5)</f>
        <v>64.3399522727273</v>
      </c>
      <c r="T545" s="61" t="n">
        <v>46.98</v>
      </c>
      <c r="U545" s="61" t="n">
        <f aca="false">H545*Resumo!$B$6</f>
        <v>0.22599</v>
      </c>
      <c r="V545" s="61" t="n">
        <f aca="false">H545*Resumo!$B$7</f>
        <v>0.45198</v>
      </c>
      <c r="W545" s="61" t="n">
        <f aca="false">Resumo!$B$9</f>
        <v>1</v>
      </c>
      <c r="X545" s="61" t="n">
        <f aca="false">Resumo!$B$10*CEILING(G545/100,1)</f>
        <v>4.5</v>
      </c>
      <c r="Y545" s="61" t="n">
        <f aca="false">Resumo!$B$12*CEILING(G545,1)</f>
        <v>1.02</v>
      </c>
      <c r="Z545" s="61" t="n">
        <f aca="false">Resumo!$B$14*CEILING(G545,1)</f>
        <v>7.65</v>
      </c>
      <c r="AA545" s="61" t="n">
        <f aca="false">SUM(T545:Z545)</f>
        <v>61.82797</v>
      </c>
      <c r="AB545" s="61" t="n">
        <f aca="false">AA545/(1-Resumo!$B$5)</f>
        <v>70.2590568181818</v>
      </c>
      <c r="AC545" s="61" t="n">
        <f aca="false">AB545-S545</f>
        <v>5.91910454545453</v>
      </c>
      <c r="AD545" s="62" t="n">
        <f aca="false">AB545/S545-1</f>
        <v>0.0919973412532908</v>
      </c>
      <c r="AE545" s="60" t="str">
        <f aca="false">IF(AB545&lt;S545,"SIM","NÃO")</f>
        <v>NÃO</v>
      </c>
      <c r="AF545" s="60" t="n">
        <v>2</v>
      </c>
      <c r="AG545" s="60" t="n">
        <v>5</v>
      </c>
      <c r="AH545" s="60" t="s">
        <v>382</v>
      </c>
      <c r="AI545" s="61" t="n">
        <f aca="false">(T545*(1-Painel!$C$40)+U545+V545+Painel!$C$41+Painel!$C$42*CEILING(G545/100,1)+Painel!$C$43*CEILING(G545,1)+Z545)/(1-Resumo!$B$5)</f>
        <v>47.5620113636364</v>
      </c>
      <c r="AJ545" s="60" t="str">
        <f aca="false">IF(AI545&lt;S545,"SIM","NÃO")</f>
        <v>SIM</v>
      </c>
    </row>
    <row r="546" customFormat="false" ht="15" hidden="false" customHeight="false" outlineLevel="0" collapsed="false">
      <c r="A546" s="59" t="n">
        <v>46238.4969675926</v>
      </c>
      <c r="B546" s="60" t="s">
        <v>907</v>
      </c>
      <c r="C546" s="60" t="n">
        <v>25635530</v>
      </c>
      <c r="D546" s="60" t="s">
        <v>219</v>
      </c>
      <c r="E546" s="60" t="s">
        <v>24</v>
      </c>
      <c r="F546" s="60" t="s">
        <v>236</v>
      </c>
      <c r="G546" s="60" t="n">
        <v>52.3</v>
      </c>
      <c r="H546" s="61" t="n">
        <v>669.99</v>
      </c>
      <c r="I546" s="61" t="n">
        <v>83.58</v>
      </c>
      <c r="J546" s="61" t="n">
        <f aca="false">H546*Resumo!$C$6</f>
        <v>0</v>
      </c>
      <c r="K546" s="61" t="n">
        <f aca="false">H546*Resumo!$C$7</f>
        <v>1.406979</v>
      </c>
      <c r="L546" s="61" t="n">
        <f aca="false">H546*Resumo!$C$8</f>
        <v>1.406979</v>
      </c>
      <c r="M546" s="61" t="n">
        <f aca="false">Resumo!$C$10*CEILING(G546/100,1)</f>
        <v>1.05</v>
      </c>
      <c r="N546" s="61" t="n">
        <f aca="false">Resumo!$C$9</f>
        <v>0</v>
      </c>
      <c r="O546" s="61" t="n">
        <f aca="false">Resumo!$C$13</f>
        <v>13.55</v>
      </c>
      <c r="P546" s="61" t="n">
        <f aca="false">Resumo!$C$14*CEILING(G546,1)</f>
        <v>23.85</v>
      </c>
      <c r="Q546" s="61" t="n">
        <f aca="false">SUM(I546:P546)*Resumo!$C$11</f>
        <v>0</v>
      </c>
      <c r="R546" s="61" t="n">
        <f aca="false">SUM(I546:Q546)</f>
        <v>124.843958</v>
      </c>
      <c r="S546" s="61" t="n">
        <f aca="false">R546/(1-Resumo!$C$5)</f>
        <v>141.868134090909</v>
      </c>
      <c r="T546" s="61" t="n">
        <v>142.32</v>
      </c>
      <c r="U546" s="61" t="n">
        <f aca="false">H546*Resumo!$B$6</f>
        <v>0.66999</v>
      </c>
      <c r="V546" s="61" t="n">
        <f aca="false">H546*Resumo!$B$7</f>
        <v>1.33998</v>
      </c>
      <c r="W546" s="61" t="n">
        <f aca="false">Resumo!$B$9</f>
        <v>1</v>
      </c>
      <c r="X546" s="61" t="n">
        <f aca="false">Resumo!$B$10*CEILING(G546/100,1)</f>
        <v>4.5</v>
      </c>
      <c r="Y546" s="61" t="n">
        <f aca="false">Resumo!$B$12*CEILING(G546,1)</f>
        <v>3.18</v>
      </c>
      <c r="Z546" s="61" t="n">
        <f aca="false">Resumo!$B$14*CEILING(G546,1)</f>
        <v>23.85</v>
      </c>
      <c r="AA546" s="61" t="n">
        <f aca="false">SUM(T546:Z546)</f>
        <v>176.85997</v>
      </c>
      <c r="AB546" s="61" t="n">
        <f aca="false">AA546/(1-Resumo!$B$5)</f>
        <v>200.977238636364</v>
      </c>
      <c r="AC546" s="61" t="n">
        <f aca="false">AB546-S546</f>
        <v>59.1091045454545</v>
      </c>
      <c r="AD546" s="62" t="n">
        <f aca="false">AB546/S546-1</f>
        <v>0.416648212963578</v>
      </c>
      <c r="AE546" s="60" t="str">
        <f aca="false">IF(AB546&lt;S546,"SIM","NÃO")</f>
        <v>NÃO</v>
      </c>
      <c r="AF546" s="60" t="n">
        <v>13</v>
      </c>
      <c r="AG546" s="60" t="n">
        <v>8</v>
      </c>
      <c r="AH546" s="60" t="s">
        <v>382</v>
      </c>
      <c r="AI546" s="61" t="n">
        <f aca="false">(T546*(1-Painel!$C$40)+U546+V546+Painel!$C$41+Painel!$C$42*CEILING(G546/100,1)+Painel!$C$43*CEILING(G546,1)+Z546)/(1-Resumo!$B$5)</f>
        <v>140.073147727273</v>
      </c>
      <c r="AJ546" s="60" t="str">
        <f aca="false">IF(AI546&lt;S546,"SIM","NÃO")</f>
        <v>SIM</v>
      </c>
    </row>
    <row r="547" customFormat="false" ht="15" hidden="false" customHeight="false" outlineLevel="0" collapsed="false">
      <c r="A547" s="59" t="n">
        <v>46238.5165625</v>
      </c>
      <c r="B547" s="60" t="s">
        <v>908</v>
      </c>
      <c r="C547" s="60" t="n">
        <v>22291050</v>
      </c>
      <c r="D547" s="60" t="s">
        <v>46</v>
      </c>
      <c r="E547" s="60" t="s">
        <v>22</v>
      </c>
      <c r="F547" s="60" t="s">
        <v>235</v>
      </c>
      <c r="G547" s="60" t="n">
        <v>48.6</v>
      </c>
      <c r="H547" s="61" t="n">
        <v>629.99</v>
      </c>
      <c r="I547" s="61" t="n">
        <v>53.55</v>
      </c>
      <c r="J547" s="61" t="n">
        <f aca="false">H547*Resumo!$C$6</f>
        <v>0</v>
      </c>
      <c r="K547" s="61" t="n">
        <f aca="false">H547*Resumo!$C$7</f>
        <v>1.322979</v>
      </c>
      <c r="L547" s="61" t="n">
        <f aca="false">H547*Resumo!$C$8</f>
        <v>1.322979</v>
      </c>
      <c r="M547" s="61" t="n">
        <f aca="false">Resumo!$C$10*CEILING(G547/100,1)</f>
        <v>1.05</v>
      </c>
      <c r="N547" s="61" t="n">
        <f aca="false">Resumo!$C$9</f>
        <v>0</v>
      </c>
      <c r="O547" s="61" t="n">
        <f aca="false">Resumo!$C$13</f>
        <v>13.55</v>
      </c>
      <c r="P547" s="61" t="n">
        <f aca="false">Resumo!$C$14*CEILING(G547,1)</f>
        <v>22.05</v>
      </c>
      <c r="Q547" s="61" t="n">
        <f aca="false">SUM(I547:P547)*Resumo!$C$11</f>
        <v>0</v>
      </c>
      <c r="R547" s="61" t="n">
        <f aca="false">SUM(I547:Q547)</f>
        <v>92.845958</v>
      </c>
      <c r="S547" s="61" t="n">
        <f aca="false">R547/(1-Resumo!$C$5)</f>
        <v>105.506770454545</v>
      </c>
      <c r="T547" s="61" t="n">
        <v>93.97</v>
      </c>
      <c r="U547" s="61" t="n">
        <f aca="false">H547*Resumo!$B$6</f>
        <v>0.62999</v>
      </c>
      <c r="V547" s="61" t="n">
        <f aca="false">H547*Resumo!$B$7</f>
        <v>1.25998</v>
      </c>
      <c r="W547" s="61" t="n">
        <f aca="false">Resumo!$B$9</f>
        <v>1</v>
      </c>
      <c r="X547" s="61" t="n">
        <f aca="false">Resumo!$B$10*CEILING(G547/100,1)</f>
        <v>4.5</v>
      </c>
      <c r="Y547" s="61" t="n">
        <f aca="false">Resumo!$B$12*CEILING(G547,1)</f>
        <v>2.94</v>
      </c>
      <c r="Z547" s="61" t="n">
        <f aca="false">Resumo!$B$14*CEILING(G547,1)</f>
        <v>22.05</v>
      </c>
      <c r="AA547" s="61" t="n">
        <f aca="false">SUM(T547:Z547)</f>
        <v>126.34997</v>
      </c>
      <c r="AB547" s="61" t="n">
        <f aca="false">AA547/(1-Resumo!$B$5)</f>
        <v>143.579511363636</v>
      </c>
      <c r="AC547" s="61" t="n">
        <f aca="false">AB547-S547</f>
        <v>38.0727409090909</v>
      </c>
      <c r="AD547" s="62" t="n">
        <f aca="false">AB547/S547-1</f>
        <v>0.360855902849319</v>
      </c>
      <c r="AE547" s="60" t="str">
        <f aca="false">IF(AB547&lt;S547,"SIM","NÃO")</f>
        <v>NÃO</v>
      </c>
      <c r="AF547" s="60" t="n">
        <v>2</v>
      </c>
      <c r="AG547" s="60" t="n">
        <v>5</v>
      </c>
      <c r="AH547" s="60" t="s">
        <v>382</v>
      </c>
      <c r="AI547" s="61" t="n">
        <f aca="false">(T547*(1-Painel!$C$40)+U547+V547+Painel!$C$41+Painel!$C$42*CEILING(G547/100,1)+Painel!$C$43*CEILING(G547,1)+Z547)/(1-Resumo!$B$5)</f>
        <v>101.079397727273</v>
      </c>
      <c r="AJ547" s="60" t="str">
        <f aca="false">IF(AI547&lt;S547,"SIM","NÃO")</f>
        <v>SIM</v>
      </c>
    </row>
    <row r="548" customFormat="false" ht="15" hidden="false" customHeight="false" outlineLevel="0" collapsed="false">
      <c r="A548" s="59" t="n">
        <v>46238.5190393519</v>
      </c>
      <c r="B548" s="60" t="s">
        <v>909</v>
      </c>
      <c r="C548" s="60" t="n">
        <v>25270438</v>
      </c>
      <c r="D548" s="60" t="s">
        <v>48</v>
      </c>
      <c r="E548" s="60" t="s">
        <v>23</v>
      </c>
      <c r="F548" s="60" t="s">
        <v>237</v>
      </c>
      <c r="G548" s="60" t="n">
        <v>63.9</v>
      </c>
      <c r="H548" s="61" t="n">
        <v>735.99</v>
      </c>
      <c r="I548" s="61" t="n">
        <v>76.55</v>
      </c>
      <c r="J548" s="61" t="n">
        <f aca="false">H548*Resumo!$C$6</f>
        <v>0</v>
      </c>
      <c r="K548" s="61" t="n">
        <f aca="false">H548*Resumo!$C$7</f>
        <v>1.545579</v>
      </c>
      <c r="L548" s="61" t="n">
        <f aca="false">H548*Resumo!$C$8</f>
        <v>1.545579</v>
      </c>
      <c r="M548" s="61" t="n">
        <f aca="false">Resumo!$C$10*CEILING(G548/100,1)</f>
        <v>1.05</v>
      </c>
      <c r="N548" s="61" t="n">
        <f aca="false">Resumo!$C$9</f>
        <v>0</v>
      </c>
      <c r="O548" s="61" t="n">
        <f aca="false">Resumo!$C$13</f>
        <v>13.55</v>
      </c>
      <c r="P548" s="61" t="n">
        <f aca="false">Resumo!$C$14*CEILING(G548,1)</f>
        <v>28.8</v>
      </c>
      <c r="Q548" s="61" t="n">
        <f aca="false">SUM(I548:P548)*Resumo!$C$11</f>
        <v>0</v>
      </c>
      <c r="R548" s="61" t="n">
        <f aca="false">SUM(I548:Q548)</f>
        <v>123.041158</v>
      </c>
      <c r="S548" s="61" t="n">
        <f aca="false">R548/(1-Resumo!$C$5)</f>
        <v>139.819497727273</v>
      </c>
      <c r="T548" s="61" t="n">
        <v>131.02</v>
      </c>
      <c r="U548" s="61" t="n">
        <f aca="false">H548*Resumo!$B$6</f>
        <v>0.73599</v>
      </c>
      <c r="V548" s="61" t="n">
        <f aca="false">H548*Resumo!$B$7</f>
        <v>1.47198</v>
      </c>
      <c r="W548" s="61" t="n">
        <f aca="false">Resumo!$B$9</f>
        <v>1</v>
      </c>
      <c r="X548" s="61" t="n">
        <f aca="false">Resumo!$B$10*CEILING(G548/100,1)</f>
        <v>4.5</v>
      </c>
      <c r="Y548" s="61" t="n">
        <f aca="false">Resumo!$B$12*CEILING(G548,1)</f>
        <v>3.84</v>
      </c>
      <c r="Z548" s="61" t="n">
        <f aca="false">Resumo!$B$14*CEILING(G548,1)</f>
        <v>28.8</v>
      </c>
      <c r="AA548" s="61" t="n">
        <f aca="false">SUM(T548:Z548)</f>
        <v>171.36797</v>
      </c>
      <c r="AB548" s="61" t="n">
        <f aca="false">AA548/(1-Resumo!$B$5)</f>
        <v>194.736329545455</v>
      </c>
      <c r="AC548" s="61" t="n">
        <f aca="false">AB548-S548</f>
        <v>54.9168318181818</v>
      </c>
      <c r="AD548" s="62" t="n">
        <f aca="false">AB548/S548-1</f>
        <v>0.392769482874991</v>
      </c>
      <c r="AE548" s="60" t="str">
        <f aca="false">IF(AB548&lt;S548,"SIM","NÃO")</f>
        <v>NÃO</v>
      </c>
      <c r="AF548" s="60" t="n">
        <v>2</v>
      </c>
      <c r="AG548" s="60" t="n">
        <v>5</v>
      </c>
      <c r="AH548" s="60" t="s">
        <v>382</v>
      </c>
      <c r="AI548" s="61" t="n">
        <f aca="false">(T548*(1-Painel!$C$40)+U548+V548+Painel!$C$41+Painel!$C$42*CEILING(G548/100,1)+Painel!$C$43*CEILING(G548,1)+Z548)/(1-Resumo!$B$5)</f>
        <v>137.319738636364</v>
      </c>
      <c r="AJ548" s="60" t="str">
        <f aca="false">IF(AI548&lt;S548,"SIM","NÃO")</f>
        <v>SIM</v>
      </c>
    </row>
    <row r="549" customFormat="false" ht="15" hidden="false" customHeight="false" outlineLevel="0" collapsed="false">
      <c r="A549" s="59" t="n">
        <v>46238.5222453704</v>
      </c>
      <c r="B549" s="60" t="s">
        <v>910</v>
      </c>
      <c r="C549" s="60" t="n">
        <v>23812040</v>
      </c>
      <c r="D549" s="60" t="s">
        <v>263</v>
      </c>
      <c r="E549" s="60" t="s">
        <v>24</v>
      </c>
      <c r="F549" s="60" t="s">
        <v>236</v>
      </c>
      <c r="G549" s="60" t="n">
        <v>58.05</v>
      </c>
      <c r="H549" s="61" t="n">
        <v>799.99</v>
      </c>
      <c r="I549" s="61" t="n">
        <v>83.58</v>
      </c>
      <c r="J549" s="61" t="n">
        <f aca="false">H549*Resumo!$C$6</f>
        <v>0</v>
      </c>
      <c r="K549" s="61" t="n">
        <f aca="false">H549*Resumo!$C$7</f>
        <v>1.679979</v>
      </c>
      <c r="L549" s="61" t="n">
        <f aca="false">H549*Resumo!$C$8</f>
        <v>1.679979</v>
      </c>
      <c r="M549" s="61" t="n">
        <f aca="false">Resumo!$C$10*CEILING(G549/100,1)</f>
        <v>1.05</v>
      </c>
      <c r="N549" s="61" t="n">
        <f aca="false">Resumo!$C$9</f>
        <v>0</v>
      </c>
      <c r="O549" s="61" t="n">
        <f aca="false">Resumo!$C$13</f>
        <v>13.55</v>
      </c>
      <c r="P549" s="61" t="n">
        <f aca="false">Resumo!$C$14*CEILING(G549,1)</f>
        <v>26.55</v>
      </c>
      <c r="Q549" s="61" t="n">
        <f aca="false">SUM(I549:P549)*Resumo!$C$11</f>
        <v>0</v>
      </c>
      <c r="R549" s="61" t="n">
        <f aca="false">SUM(I549:Q549)</f>
        <v>128.089958</v>
      </c>
      <c r="S549" s="61" t="n">
        <f aca="false">R549/(1-Resumo!$C$5)</f>
        <v>145.556770454545</v>
      </c>
      <c r="T549" s="61" t="n">
        <v>122.3</v>
      </c>
      <c r="U549" s="61" t="n">
        <f aca="false">H549*Resumo!$B$6</f>
        <v>0.79999</v>
      </c>
      <c r="V549" s="61" t="n">
        <f aca="false">H549*Resumo!$B$7</f>
        <v>1.59998</v>
      </c>
      <c r="W549" s="61" t="n">
        <f aca="false">Resumo!$B$9</f>
        <v>1</v>
      </c>
      <c r="X549" s="61" t="n">
        <f aca="false">Resumo!$B$10*CEILING(G549/100,1)</f>
        <v>4.5</v>
      </c>
      <c r="Y549" s="61" t="n">
        <f aca="false">Resumo!$B$12*CEILING(G549,1)</f>
        <v>3.54</v>
      </c>
      <c r="Z549" s="61" t="n">
        <f aca="false">Resumo!$B$14*CEILING(G549,1)</f>
        <v>26.55</v>
      </c>
      <c r="AA549" s="61" t="n">
        <f aca="false">SUM(T549:Z549)</f>
        <v>160.28997</v>
      </c>
      <c r="AB549" s="61" t="n">
        <f aca="false">AA549/(1-Resumo!$B$5)</f>
        <v>182.147693181818</v>
      </c>
      <c r="AC549" s="61" t="n">
        <f aca="false">AB549-S549</f>
        <v>36.5909227272728</v>
      </c>
      <c r="AD549" s="62" t="n">
        <f aca="false">AB549/S549-1</f>
        <v>0.251385920510646</v>
      </c>
      <c r="AE549" s="60" t="str">
        <f aca="false">IF(AB549&lt;S549,"SIM","NÃO")</f>
        <v>NÃO</v>
      </c>
      <c r="AF549" s="60" t="n">
        <v>13</v>
      </c>
      <c r="AG549" s="60" t="n">
        <v>5</v>
      </c>
      <c r="AH549" s="60" t="s">
        <v>385</v>
      </c>
      <c r="AI549" s="61" t="n">
        <f aca="false">(T549*(1-Painel!$C$40)+U549+V549+Painel!$C$41+Painel!$C$42*CEILING(G549/100,1)+Painel!$C$43*CEILING(G549,1)+Z549)/(1-Resumo!$B$5)</f>
        <v>128.342011363636</v>
      </c>
      <c r="AJ549" s="60" t="str">
        <f aca="false">IF(AI549&lt;S549,"SIM","NÃO")</f>
        <v>SIM</v>
      </c>
    </row>
    <row r="550" customFormat="false" ht="15" hidden="false" customHeight="false" outlineLevel="0" collapsed="false">
      <c r="A550" s="59" t="n">
        <v>46238.5233796296</v>
      </c>
      <c r="B550" s="60" t="s">
        <v>588</v>
      </c>
      <c r="C550" s="60" t="n">
        <v>25985010</v>
      </c>
      <c r="D550" s="60" t="s">
        <v>281</v>
      </c>
      <c r="E550" s="60" t="s">
        <v>24</v>
      </c>
      <c r="F550" s="60" t="s">
        <v>233</v>
      </c>
      <c r="G550" s="60" t="n">
        <v>20.9</v>
      </c>
      <c r="H550" s="61" t="n">
        <v>487.59</v>
      </c>
      <c r="I550" s="61" t="n">
        <v>65.63</v>
      </c>
      <c r="J550" s="61" t="n">
        <f aca="false">H550*Resumo!$C$6</f>
        <v>0</v>
      </c>
      <c r="K550" s="61" t="n">
        <f aca="false">H550*Resumo!$C$7</f>
        <v>1.023939</v>
      </c>
      <c r="L550" s="61" t="n">
        <f aca="false">H550*Resumo!$C$8</f>
        <v>1.023939</v>
      </c>
      <c r="M550" s="61" t="n">
        <f aca="false">Resumo!$C$10*CEILING(G550/100,1)</f>
        <v>1.05</v>
      </c>
      <c r="N550" s="61" t="n">
        <f aca="false">Resumo!$C$9</f>
        <v>0</v>
      </c>
      <c r="O550" s="61" t="n">
        <f aca="false">Resumo!$C$13</f>
        <v>13.55</v>
      </c>
      <c r="P550" s="61" t="n">
        <f aca="false">Resumo!$C$14*CEILING(G550,1)</f>
        <v>9.45</v>
      </c>
      <c r="Q550" s="61" t="n">
        <f aca="false">SUM(I550:P550)*Resumo!$C$11</f>
        <v>0</v>
      </c>
      <c r="R550" s="61" t="n">
        <f aca="false">SUM(I550:Q550)</f>
        <v>91.727878</v>
      </c>
      <c r="S550" s="61" t="n">
        <f aca="false">R550/(1-Resumo!$C$5)</f>
        <v>104.236225</v>
      </c>
      <c r="T550" s="61" t="n">
        <v>120.78</v>
      </c>
      <c r="U550" s="61" t="n">
        <f aca="false">H550*Resumo!$B$6</f>
        <v>0.48759</v>
      </c>
      <c r="V550" s="61" t="n">
        <f aca="false">H550*Resumo!$B$7</f>
        <v>0.97518</v>
      </c>
      <c r="W550" s="61" t="n">
        <f aca="false">Resumo!$B$9</f>
        <v>1</v>
      </c>
      <c r="X550" s="61" t="n">
        <f aca="false">Resumo!$B$10*CEILING(G550/100,1)</f>
        <v>4.5</v>
      </c>
      <c r="Y550" s="61" t="n">
        <f aca="false">Resumo!$B$12*CEILING(G550,1)</f>
        <v>1.26</v>
      </c>
      <c r="Z550" s="61" t="n">
        <f aca="false">Resumo!$B$14*CEILING(G550,1)</f>
        <v>9.45</v>
      </c>
      <c r="AA550" s="61" t="n">
        <f aca="false">SUM(T550:Z550)</f>
        <v>138.45277</v>
      </c>
      <c r="AB550" s="61" t="n">
        <f aca="false">AA550/(1-Resumo!$B$5)</f>
        <v>157.332693181818</v>
      </c>
      <c r="AC550" s="61" t="n">
        <f aca="false">AB550-S550</f>
        <v>53.0964681818182</v>
      </c>
      <c r="AD550" s="62" t="n">
        <f aca="false">AB550/S550-1</f>
        <v>0.509385946985495</v>
      </c>
      <c r="AE550" s="60" t="str">
        <f aca="false">IF(AB550&lt;S550,"SIM","NÃO")</f>
        <v>NÃO</v>
      </c>
      <c r="AF550" s="60" t="n">
        <v>13</v>
      </c>
      <c r="AG550" s="60" t="n">
        <v>10</v>
      </c>
      <c r="AH550" s="60" t="s">
        <v>385</v>
      </c>
      <c r="AI550" s="61" t="n">
        <f aca="false">(T550*(1-Painel!$C$40)+U550+V550+Painel!$C$41+Painel!$C$42*CEILING(G550/100,1)+Painel!$C$43*CEILING(G550,1)+Z550)/(1-Resumo!$B$5)</f>
        <v>106.687920454545</v>
      </c>
      <c r="AJ550" s="60" t="str">
        <f aca="false">IF(AI550&lt;S550,"SIM","NÃO")</f>
        <v>NÃO</v>
      </c>
    </row>
    <row r="551" customFormat="false" ht="15" hidden="false" customHeight="false" outlineLevel="0" collapsed="false">
      <c r="A551" s="59" t="n">
        <v>46238.5464351852</v>
      </c>
      <c r="B551" s="60" t="s">
        <v>911</v>
      </c>
      <c r="C551" s="60" t="n">
        <v>24466540</v>
      </c>
      <c r="D551" s="60" t="s">
        <v>47</v>
      </c>
      <c r="E551" s="60" t="s">
        <v>23</v>
      </c>
      <c r="F551" s="60" t="s">
        <v>238</v>
      </c>
      <c r="G551" s="60" t="n">
        <v>79.55</v>
      </c>
      <c r="H551" s="61" t="n">
        <v>1069.99</v>
      </c>
      <c r="I551" s="61" t="n">
        <v>82.48</v>
      </c>
      <c r="J551" s="61" t="n">
        <f aca="false">H551*Resumo!$C$6</f>
        <v>0</v>
      </c>
      <c r="K551" s="61" t="n">
        <f aca="false">H551*Resumo!$C$7</f>
        <v>2.246979</v>
      </c>
      <c r="L551" s="61" t="n">
        <f aca="false">H551*Resumo!$C$8</f>
        <v>2.246979</v>
      </c>
      <c r="M551" s="61" t="n">
        <f aca="false">Resumo!$C$10*CEILING(G551/100,1)</f>
        <v>1.05</v>
      </c>
      <c r="N551" s="61" t="n">
        <f aca="false">Resumo!$C$9</f>
        <v>0</v>
      </c>
      <c r="O551" s="61" t="n">
        <f aca="false">Resumo!$C$13</f>
        <v>13.55</v>
      </c>
      <c r="P551" s="61" t="n">
        <f aca="false">Resumo!$C$14*CEILING(G551,1)</f>
        <v>36</v>
      </c>
      <c r="Q551" s="61" t="n">
        <f aca="false">SUM(I551:P551)*Resumo!$C$11</f>
        <v>0</v>
      </c>
      <c r="R551" s="61" t="n">
        <f aca="false">SUM(I551:Q551)</f>
        <v>137.573958</v>
      </c>
      <c r="S551" s="61" t="n">
        <f aca="false">R551/(1-Resumo!$C$5)</f>
        <v>156.334043181818</v>
      </c>
      <c r="T551" s="61" t="n">
        <v>142.74</v>
      </c>
      <c r="U551" s="61" t="n">
        <f aca="false">H551*Resumo!$B$6</f>
        <v>1.06999</v>
      </c>
      <c r="V551" s="61" t="n">
        <f aca="false">H551*Resumo!$B$7</f>
        <v>2.13998</v>
      </c>
      <c r="W551" s="61" t="n">
        <f aca="false">Resumo!$B$9</f>
        <v>1</v>
      </c>
      <c r="X551" s="61" t="n">
        <f aca="false">Resumo!$B$10*CEILING(G551/100,1)</f>
        <v>4.5</v>
      </c>
      <c r="Y551" s="61" t="n">
        <f aca="false">Resumo!$B$12*CEILING(G551,1)</f>
        <v>4.8</v>
      </c>
      <c r="Z551" s="61" t="n">
        <f aca="false">Resumo!$B$14*CEILING(G551,1)</f>
        <v>36</v>
      </c>
      <c r="AA551" s="61" t="n">
        <f aca="false">SUM(T551:Z551)</f>
        <v>192.24997</v>
      </c>
      <c r="AB551" s="61" t="n">
        <f aca="false">AA551/(1-Resumo!$B$5)</f>
        <v>218.465875</v>
      </c>
      <c r="AC551" s="61" t="n">
        <f aca="false">AB551-S551</f>
        <v>62.1318318181818</v>
      </c>
      <c r="AD551" s="62" t="n">
        <f aca="false">AB551/S551-1</f>
        <v>0.397429955457122</v>
      </c>
      <c r="AE551" s="60" t="str">
        <f aca="false">IF(AB551&lt;S551,"SIM","NÃO")</f>
        <v>NÃO</v>
      </c>
      <c r="AF551" s="60" t="n">
        <v>2</v>
      </c>
      <c r="AG551" s="60" t="n">
        <v>7</v>
      </c>
      <c r="AH551" s="60" t="s">
        <v>382</v>
      </c>
      <c r="AI551" s="61" t="n">
        <f aca="false">(T551*(1-Painel!$C$40)+U551+V551+Painel!$C$41+Painel!$C$42*CEILING(G551/100,1)+Painel!$C$43*CEILING(G551,1)+Z551)/(1-Resumo!$B$5)</f>
        <v>155.563375</v>
      </c>
      <c r="AJ551" s="60" t="str">
        <f aca="false">IF(AI551&lt;S551,"SIM","NÃO")</f>
        <v>SIM</v>
      </c>
    </row>
    <row r="552" customFormat="false" ht="15" hidden="false" customHeight="false" outlineLevel="0" collapsed="false">
      <c r="A552" s="59" t="n">
        <v>46238.5513773148</v>
      </c>
      <c r="B552" s="60" t="s">
        <v>912</v>
      </c>
      <c r="C552" s="60" t="n">
        <v>25251039</v>
      </c>
      <c r="D552" s="60" t="s">
        <v>48</v>
      </c>
      <c r="E552" s="60" t="s">
        <v>23</v>
      </c>
      <c r="F552" s="60" t="s">
        <v>234</v>
      </c>
      <c r="G552" s="60" t="n">
        <v>39</v>
      </c>
      <c r="H552" s="61" t="n">
        <v>496.79</v>
      </c>
      <c r="I552" s="61" t="n">
        <v>66.83</v>
      </c>
      <c r="J552" s="61" t="n">
        <f aca="false">H552*Resumo!$C$6</f>
        <v>0</v>
      </c>
      <c r="K552" s="61" t="n">
        <f aca="false">H552*Resumo!$C$7</f>
        <v>1.043259</v>
      </c>
      <c r="L552" s="61" t="n">
        <f aca="false">H552*Resumo!$C$8</f>
        <v>1.043259</v>
      </c>
      <c r="M552" s="61" t="n">
        <f aca="false">Resumo!$C$10*CEILING(G552/100,1)</f>
        <v>1.05</v>
      </c>
      <c r="N552" s="61" t="n">
        <f aca="false">Resumo!$C$9</f>
        <v>0</v>
      </c>
      <c r="O552" s="61" t="n">
        <f aca="false">Resumo!$C$13</f>
        <v>13.55</v>
      </c>
      <c r="P552" s="61" t="n">
        <f aca="false">Resumo!$C$14*CEILING(G552,1)</f>
        <v>17.55</v>
      </c>
      <c r="Q552" s="61" t="n">
        <f aca="false">SUM(I552:P552)*Resumo!$C$11</f>
        <v>0</v>
      </c>
      <c r="R552" s="61" t="n">
        <f aca="false">SUM(I552:Q552)</f>
        <v>101.066518</v>
      </c>
      <c r="S552" s="61" t="n">
        <f aca="false">R552/(1-Resumo!$C$5)</f>
        <v>114.848315909091</v>
      </c>
      <c r="T552" s="61" t="n">
        <v>93.97</v>
      </c>
      <c r="U552" s="61" t="n">
        <f aca="false">H552*Resumo!$B$6</f>
        <v>0.49679</v>
      </c>
      <c r="V552" s="61" t="n">
        <f aca="false">H552*Resumo!$B$7</f>
        <v>0.99358</v>
      </c>
      <c r="W552" s="61" t="n">
        <f aca="false">Resumo!$B$9</f>
        <v>1</v>
      </c>
      <c r="X552" s="61" t="n">
        <f aca="false">Resumo!$B$10*CEILING(G552/100,1)</f>
        <v>4.5</v>
      </c>
      <c r="Y552" s="61" t="n">
        <f aca="false">Resumo!$B$12*CEILING(G552,1)</f>
        <v>2.34</v>
      </c>
      <c r="Z552" s="61" t="n">
        <f aca="false">Resumo!$B$14*CEILING(G552,1)</f>
        <v>17.55</v>
      </c>
      <c r="AA552" s="61" t="n">
        <f aca="false">SUM(T552:Z552)</f>
        <v>120.85037</v>
      </c>
      <c r="AB552" s="61" t="n">
        <f aca="false">AA552/(1-Resumo!$B$5)</f>
        <v>137.329965909091</v>
      </c>
      <c r="AC552" s="61" t="n">
        <f aca="false">AB552-S552</f>
        <v>22.48165</v>
      </c>
      <c r="AD552" s="62" t="n">
        <f aca="false">AB552/S552-1</f>
        <v>0.195750802456655</v>
      </c>
      <c r="AE552" s="60" t="str">
        <f aca="false">IF(AB552&lt;S552,"SIM","NÃO")</f>
        <v>NÃO</v>
      </c>
      <c r="AF552" s="60" t="n">
        <v>2</v>
      </c>
      <c r="AG552" s="60" t="n">
        <v>5</v>
      </c>
      <c r="AH552" s="60" t="s">
        <v>382</v>
      </c>
      <c r="AI552" s="61" t="n">
        <f aca="false">(T552*(1-Painel!$C$40)+U552+V552+Painel!$C$41+Painel!$C$42*CEILING(G552/100,1)+Painel!$C$43*CEILING(G552,1)+Z552)/(1-Resumo!$B$5)</f>
        <v>95.5116704545454</v>
      </c>
      <c r="AJ552" s="60" t="str">
        <f aca="false">IF(AI552&lt;S552,"SIM","NÃO")</f>
        <v>SIM</v>
      </c>
    </row>
    <row r="553" customFormat="false" ht="15" hidden="false" customHeight="false" outlineLevel="0" collapsed="false">
      <c r="A553" s="59" t="n">
        <v>46238.5598032407</v>
      </c>
      <c r="B553" s="60" t="s">
        <v>913</v>
      </c>
      <c r="C553" s="60" t="n">
        <v>21341180</v>
      </c>
      <c r="D553" s="60" t="s">
        <v>46</v>
      </c>
      <c r="E553" s="60" t="s">
        <v>22</v>
      </c>
      <c r="F553" s="60" t="s">
        <v>233</v>
      </c>
      <c r="G553" s="60" t="n">
        <v>20.9</v>
      </c>
      <c r="H553" s="61" t="n">
        <v>449.99</v>
      </c>
      <c r="I553" s="61" t="n">
        <v>42.11</v>
      </c>
      <c r="J553" s="61" t="n">
        <f aca="false">H553*Resumo!$C$6</f>
        <v>0</v>
      </c>
      <c r="K553" s="61" t="n">
        <f aca="false">H553*Resumo!$C$7</f>
        <v>0.944979</v>
      </c>
      <c r="L553" s="61" t="n">
        <f aca="false">H553*Resumo!$C$8</f>
        <v>0.944979</v>
      </c>
      <c r="M553" s="61" t="n">
        <f aca="false">Resumo!$C$10*CEILING(G553/100,1)</f>
        <v>1.05</v>
      </c>
      <c r="N553" s="61" t="n">
        <f aca="false">Resumo!$C$9</f>
        <v>0</v>
      </c>
      <c r="O553" s="61" t="n">
        <f aca="false">Resumo!$C$13</f>
        <v>13.55</v>
      </c>
      <c r="P553" s="61" t="n">
        <f aca="false">Resumo!$C$14*CEILING(G553,1)</f>
        <v>9.45</v>
      </c>
      <c r="Q553" s="61" t="n">
        <f aca="false">SUM(I553:P553)*Resumo!$C$11</f>
        <v>0</v>
      </c>
      <c r="R553" s="61" t="n">
        <f aca="false">SUM(I553:Q553)</f>
        <v>68.049958</v>
      </c>
      <c r="S553" s="61" t="n">
        <f aca="false">R553/(1-Resumo!$C$5)</f>
        <v>77.3294977272727</v>
      </c>
      <c r="T553" s="61" t="n">
        <v>82.21</v>
      </c>
      <c r="U553" s="61" t="n">
        <f aca="false">H553*Resumo!$B$6</f>
        <v>0.44999</v>
      </c>
      <c r="V553" s="61" t="n">
        <f aca="false">H553*Resumo!$B$7</f>
        <v>0.89998</v>
      </c>
      <c r="W553" s="61" t="n">
        <f aca="false">Resumo!$B$9</f>
        <v>1</v>
      </c>
      <c r="X553" s="61" t="n">
        <f aca="false">Resumo!$B$10*CEILING(G553/100,1)</f>
        <v>4.5</v>
      </c>
      <c r="Y553" s="61" t="n">
        <f aca="false">Resumo!$B$12*CEILING(G553,1)</f>
        <v>1.26</v>
      </c>
      <c r="Z553" s="61" t="n">
        <f aca="false">Resumo!$B$14*CEILING(G553,1)</f>
        <v>9.45</v>
      </c>
      <c r="AA553" s="61" t="n">
        <f aca="false">SUM(T553:Z553)</f>
        <v>99.76997</v>
      </c>
      <c r="AB553" s="61" t="n">
        <f aca="false">AA553/(1-Resumo!$B$5)</f>
        <v>113.374965909091</v>
      </c>
      <c r="AC553" s="61" t="n">
        <f aca="false">AB553-S553</f>
        <v>36.0454681818182</v>
      </c>
      <c r="AD553" s="62" t="n">
        <f aca="false">AB553/S553-1</f>
        <v>0.466128311203366</v>
      </c>
      <c r="AE553" s="60" t="str">
        <f aca="false">IF(AB553&lt;S553,"SIM","NÃO")</f>
        <v>NÃO</v>
      </c>
      <c r="AF553" s="60" t="n">
        <v>2</v>
      </c>
      <c r="AG553" s="60" t="n">
        <v>5</v>
      </c>
      <c r="AH553" s="60" t="s">
        <v>382</v>
      </c>
      <c r="AI553" s="61" t="n">
        <f aca="false">(T553*(1-Painel!$C$40)+U553+V553+Painel!$C$41+Painel!$C$42*CEILING(G553/100,1)+Painel!$C$43*CEILING(G553,1)+Z553)/(1-Resumo!$B$5)</f>
        <v>77.1939431818182</v>
      </c>
      <c r="AJ553" s="60" t="str">
        <f aca="false">IF(AI553&lt;S553,"SIM","NÃO")</f>
        <v>SIM</v>
      </c>
    </row>
    <row r="554" customFormat="false" ht="15" hidden="false" customHeight="false" outlineLevel="0" collapsed="false">
      <c r="A554" s="59" t="n">
        <v>46238.5635532407</v>
      </c>
      <c r="B554" s="60" t="s">
        <v>914</v>
      </c>
      <c r="C554" s="60" t="n">
        <v>21240270</v>
      </c>
      <c r="D554" s="60" t="s">
        <v>46</v>
      </c>
      <c r="E554" s="60" t="s">
        <v>22</v>
      </c>
      <c r="F554" s="60" t="s">
        <v>236</v>
      </c>
      <c r="G554" s="60" t="n">
        <v>52.3</v>
      </c>
      <c r="H554" s="61" t="n">
        <v>669.99</v>
      </c>
      <c r="I554" s="61" t="n">
        <v>58.6</v>
      </c>
      <c r="J554" s="61" t="n">
        <f aca="false">H554*Resumo!$C$6</f>
        <v>0</v>
      </c>
      <c r="K554" s="61" t="n">
        <f aca="false">H554*Resumo!$C$7</f>
        <v>1.406979</v>
      </c>
      <c r="L554" s="61" t="n">
        <f aca="false">H554*Resumo!$C$8</f>
        <v>1.406979</v>
      </c>
      <c r="M554" s="61" t="n">
        <f aca="false">Resumo!$C$10*CEILING(G554/100,1)</f>
        <v>1.05</v>
      </c>
      <c r="N554" s="61" t="n">
        <f aca="false">Resumo!$C$9</f>
        <v>0</v>
      </c>
      <c r="O554" s="61" t="n">
        <f aca="false">Resumo!$C$13</f>
        <v>13.55</v>
      </c>
      <c r="P554" s="61" t="n">
        <f aca="false">Resumo!$C$14*CEILING(G554,1)</f>
        <v>23.85</v>
      </c>
      <c r="Q554" s="61" t="n">
        <f aca="false">SUM(I554:P554)*Resumo!$C$11</f>
        <v>0</v>
      </c>
      <c r="R554" s="61" t="n">
        <f aca="false">SUM(I554:Q554)</f>
        <v>99.863958</v>
      </c>
      <c r="S554" s="61" t="n">
        <f aca="false">R554/(1-Resumo!$C$5)</f>
        <v>113.481770454545</v>
      </c>
      <c r="T554" s="61" t="n">
        <v>112.3</v>
      </c>
      <c r="U554" s="61" t="n">
        <f aca="false">H554*Resumo!$B$6</f>
        <v>0.66999</v>
      </c>
      <c r="V554" s="61" t="n">
        <f aca="false">H554*Resumo!$B$7</f>
        <v>1.33998</v>
      </c>
      <c r="W554" s="61" t="n">
        <f aca="false">Resumo!$B$9</f>
        <v>1</v>
      </c>
      <c r="X554" s="61" t="n">
        <f aca="false">Resumo!$B$10*CEILING(G554/100,1)</f>
        <v>4.5</v>
      </c>
      <c r="Y554" s="61" t="n">
        <f aca="false">Resumo!$B$12*CEILING(G554,1)</f>
        <v>3.18</v>
      </c>
      <c r="Z554" s="61" t="n">
        <f aca="false">Resumo!$B$14*CEILING(G554,1)</f>
        <v>23.85</v>
      </c>
      <c r="AA554" s="61" t="n">
        <f aca="false">SUM(T554:Z554)</f>
        <v>146.83997</v>
      </c>
      <c r="AB554" s="61" t="n">
        <f aca="false">AA554/(1-Resumo!$B$5)</f>
        <v>166.863602272727</v>
      </c>
      <c r="AC554" s="61" t="n">
        <f aca="false">AB554-S554</f>
        <v>53.3818318181818</v>
      </c>
      <c r="AD554" s="62" t="n">
        <f aca="false">AB554/S554-1</f>
        <v>0.470400061651872</v>
      </c>
      <c r="AE554" s="60" t="str">
        <f aca="false">IF(AB554&lt;S554,"SIM","NÃO")</f>
        <v>NÃO</v>
      </c>
      <c r="AF554" s="60" t="n">
        <v>2</v>
      </c>
      <c r="AG554" s="60" t="n">
        <v>5</v>
      </c>
      <c r="AH554" s="60" t="s">
        <v>382</v>
      </c>
      <c r="AI554" s="61" t="n">
        <f aca="false">(T554*(1-Painel!$C$40)+U554+V554+Painel!$C$41+Painel!$C$42*CEILING(G554/100,1)+Painel!$C$43*CEILING(G554,1)+Z554)/(1-Resumo!$B$5)</f>
        <v>117.217011363636</v>
      </c>
      <c r="AJ554" s="60" t="str">
        <f aca="false">IF(AI554&lt;S554,"SIM","NÃO")</f>
        <v>NÃO</v>
      </c>
    </row>
    <row r="555" customFormat="false" ht="15" hidden="false" customHeight="false" outlineLevel="0" collapsed="false">
      <c r="A555" s="59" t="n">
        <v>46238.5708101852</v>
      </c>
      <c r="B555" s="60" t="s">
        <v>915</v>
      </c>
      <c r="C555" s="60" t="n">
        <v>25916060</v>
      </c>
      <c r="D555" s="60" t="s">
        <v>225</v>
      </c>
      <c r="E555" s="60" t="s">
        <v>24</v>
      </c>
      <c r="F555" s="60" t="s">
        <v>236</v>
      </c>
      <c r="G555" s="60" t="n">
        <v>52.3</v>
      </c>
      <c r="H555" s="61" t="n">
        <v>669.99</v>
      </c>
      <c r="I555" s="61" t="n">
        <v>83.58</v>
      </c>
      <c r="J555" s="61" t="n">
        <f aca="false">H555*Resumo!$C$6</f>
        <v>0</v>
      </c>
      <c r="K555" s="61" t="n">
        <f aca="false">H555*Resumo!$C$7</f>
        <v>1.406979</v>
      </c>
      <c r="L555" s="61" t="n">
        <f aca="false">H555*Resumo!$C$8</f>
        <v>1.406979</v>
      </c>
      <c r="M555" s="61" t="n">
        <f aca="false">Resumo!$C$10*CEILING(G555/100,1)</f>
        <v>1.05</v>
      </c>
      <c r="N555" s="61" t="n">
        <f aca="false">Resumo!$C$9</f>
        <v>0</v>
      </c>
      <c r="O555" s="61" t="n">
        <f aca="false">Resumo!$C$13</f>
        <v>13.55</v>
      </c>
      <c r="P555" s="61" t="n">
        <f aca="false">Resumo!$C$14*CEILING(G555,1)</f>
        <v>23.85</v>
      </c>
      <c r="Q555" s="61" t="n">
        <f aca="false">SUM(I555:P555)*Resumo!$C$11</f>
        <v>0</v>
      </c>
      <c r="R555" s="61" t="n">
        <f aca="false">SUM(I555:Q555)</f>
        <v>124.843958</v>
      </c>
      <c r="S555" s="61" t="n">
        <f aca="false">R555/(1-Resumo!$C$5)</f>
        <v>141.868134090909</v>
      </c>
      <c r="T555" s="61" t="n">
        <v>127.03</v>
      </c>
      <c r="U555" s="61" t="n">
        <f aca="false">H555*Resumo!$B$6</f>
        <v>0.66999</v>
      </c>
      <c r="V555" s="61" t="n">
        <f aca="false">H555*Resumo!$B$7</f>
        <v>1.33998</v>
      </c>
      <c r="W555" s="61" t="n">
        <f aca="false">Resumo!$B$9</f>
        <v>1</v>
      </c>
      <c r="X555" s="61" t="n">
        <f aca="false">Resumo!$B$10*CEILING(G555/100,1)</f>
        <v>4.5</v>
      </c>
      <c r="Y555" s="61" t="n">
        <f aca="false">Resumo!$B$12*CEILING(G555,1)</f>
        <v>3.18</v>
      </c>
      <c r="Z555" s="61" t="n">
        <f aca="false">Resumo!$B$14*CEILING(G555,1)</f>
        <v>23.85</v>
      </c>
      <c r="AA555" s="61" t="n">
        <f aca="false">SUM(T555:Z555)</f>
        <v>161.56997</v>
      </c>
      <c r="AB555" s="61" t="n">
        <f aca="false">AA555/(1-Resumo!$B$5)</f>
        <v>183.602238636364</v>
      </c>
      <c r="AC555" s="61" t="n">
        <f aca="false">AB555-S555</f>
        <v>41.7341045454545</v>
      </c>
      <c r="AD555" s="62" t="n">
        <f aca="false">AB555/S555-1</f>
        <v>0.29417532564932</v>
      </c>
      <c r="AE555" s="60" t="str">
        <f aca="false">IF(AB555&lt;S555,"SIM","NÃO")</f>
        <v>NÃO</v>
      </c>
      <c r="AF555" s="60" t="n">
        <v>13</v>
      </c>
      <c r="AG555" s="60" t="n">
        <v>6</v>
      </c>
      <c r="AH555" s="60" t="s">
        <v>382</v>
      </c>
      <c r="AI555" s="61" t="n">
        <f aca="false">(T555*(1-Painel!$C$40)+U555+V555+Painel!$C$41+Painel!$C$42*CEILING(G555/100,1)+Painel!$C$43*CEILING(G555,1)+Z555)/(1-Resumo!$B$5)</f>
        <v>128.431897727273</v>
      </c>
      <c r="AJ555" s="60" t="str">
        <f aca="false">IF(AI555&lt;S555,"SIM","NÃO")</f>
        <v>SIM</v>
      </c>
    </row>
    <row r="556" customFormat="false" ht="15" hidden="false" customHeight="false" outlineLevel="0" collapsed="false">
      <c r="A556" s="59" t="n">
        <v>46238.5716550926</v>
      </c>
      <c r="B556" s="60" t="s">
        <v>916</v>
      </c>
      <c r="C556" s="60" t="n">
        <v>28360000</v>
      </c>
      <c r="D556" s="60" t="s">
        <v>310</v>
      </c>
      <c r="E556" s="60" t="s">
        <v>24</v>
      </c>
      <c r="F556" s="60" t="s">
        <v>237</v>
      </c>
      <c r="G556" s="60" t="n">
        <v>63.9</v>
      </c>
      <c r="H556" s="61" t="n">
        <v>735.99</v>
      </c>
      <c r="I556" s="61" t="n">
        <v>90.2</v>
      </c>
      <c r="J556" s="61" t="n">
        <f aca="false">H556*Resumo!$C$6</f>
        <v>0</v>
      </c>
      <c r="K556" s="61" t="n">
        <f aca="false">H556*Resumo!$C$7</f>
        <v>1.545579</v>
      </c>
      <c r="L556" s="61" t="n">
        <f aca="false">H556*Resumo!$C$8</f>
        <v>1.545579</v>
      </c>
      <c r="M556" s="61" t="n">
        <f aca="false">Resumo!$C$10*CEILING(G556/100,1)</f>
        <v>1.05</v>
      </c>
      <c r="N556" s="61" t="n">
        <f aca="false">Resumo!$C$9</f>
        <v>0</v>
      </c>
      <c r="O556" s="61" t="n">
        <f aca="false">Resumo!$C$13</f>
        <v>13.55</v>
      </c>
      <c r="P556" s="61" t="n">
        <f aca="false">Resumo!$C$14*CEILING(G556,1)</f>
        <v>28.8</v>
      </c>
      <c r="Q556" s="61" t="n">
        <f aca="false">SUM(I556:P556)*Resumo!$C$11</f>
        <v>0</v>
      </c>
      <c r="R556" s="61" t="n">
        <f aca="false">SUM(I556:Q556)</f>
        <v>136.691158</v>
      </c>
      <c r="S556" s="61" t="n">
        <f aca="false">R556/(1-Resumo!$C$5)</f>
        <v>155.330861363636</v>
      </c>
      <c r="T556" s="61" t="n">
        <v>171.54</v>
      </c>
      <c r="U556" s="61" t="n">
        <f aca="false">H556*Resumo!$B$6</f>
        <v>0.73599</v>
      </c>
      <c r="V556" s="61" t="n">
        <f aca="false">H556*Resumo!$B$7</f>
        <v>1.47198</v>
      </c>
      <c r="W556" s="61" t="n">
        <f aca="false">Resumo!$B$9</f>
        <v>1</v>
      </c>
      <c r="X556" s="61" t="n">
        <f aca="false">Resumo!$B$10*CEILING(G556/100,1)</f>
        <v>4.5</v>
      </c>
      <c r="Y556" s="61" t="n">
        <f aca="false">Resumo!$B$12*CEILING(G556,1)</f>
        <v>3.84</v>
      </c>
      <c r="Z556" s="61" t="n">
        <f aca="false">Resumo!$B$14*CEILING(G556,1)</f>
        <v>28.8</v>
      </c>
      <c r="AA556" s="61" t="n">
        <f aca="false">SUM(T556:Z556)</f>
        <v>211.88797</v>
      </c>
      <c r="AB556" s="61" t="n">
        <f aca="false">AA556/(1-Resumo!$B$5)</f>
        <v>240.781784090909</v>
      </c>
      <c r="AC556" s="61" t="n">
        <f aca="false">AB556-S556</f>
        <v>85.4509227272727</v>
      </c>
      <c r="AD556" s="62" t="n">
        <f aca="false">AB556/S556-1</f>
        <v>0.550121991065435</v>
      </c>
      <c r="AE556" s="60" t="str">
        <f aca="false">IF(AB556&lt;S556,"SIM","NÃO")</f>
        <v>NÃO</v>
      </c>
      <c r="AF556" s="60" t="n">
        <v>13</v>
      </c>
      <c r="AG556" s="60" t="n">
        <v>11</v>
      </c>
      <c r="AH556" s="60" t="s">
        <v>385</v>
      </c>
      <c r="AI556" s="61" t="n">
        <f aca="false">(T556*(1-Painel!$C$40)+U556+V556+Painel!$C$41+Painel!$C$42*CEILING(G556/100,1)+Painel!$C$43*CEILING(G556,1)+Z556)/(1-Resumo!$B$5)</f>
        <v>168.170193181818</v>
      </c>
      <c r="AJ556" s="60" t="str">
        <f aca="false">IF(AI556&lt;S556,"SIM","NÃO")</f>
        <v>NÃO</v>
      </c>
    </row>
    <row r="557" customFormat="false" ht="15" hidden="false" customHeight="false" outlineLevel="0" collapsed="false">
      <c r="A557" s="59" t="n">
        <v>46238.5886805556</v>
      </c>
      <c r="B557" s="60" t="s">
        <v>917</v>
      </c>
      <c r="C557" s="60" t="n">
        <v>23946105</v>
      </c>
      <c r="D557" s="60" t="s">
        <v>218</v>
      </c>
      <c r="E557" s="60" t="s">
        <v>24</v>
      </c>
      <c r="F557" s="60" t="s">
        <v>236</v>
      </c>
      <c r="G557" s="60" t="n">
        <v>52.3</v>
      </c>
      <c r="H557" s="61" t="n">
        <v>669.99</v>
      </c>
      <c r="I557" s="61" t="n">
        <v>83.58</v>
      </c>
      <c r="J557" s="61" t="n">
        <f aca="false">H557*Resumo!$C$6</f>
        <v>0</v>
      </c>
      <c r="K557" s="61" t="n">
        <f aca="false">H557*Resumo!$C$7</f>
        <v>1.406979</v>
      </c>
      <c r="L557" s="61" t="n">
        <f aca="false">H557*Resumo!$C$8</f>
        <v>1.406979</v>
      </c>
      <c r="M557" s="61" t="n">
        <f aca="false">Resumo!$C$10*CEILING(G557/100,1)</f>
        <v>1.05</v>
      </c>
      <c r="N557" s="61" t="n">
        <f aca="false">Resumo!$C$9</f>
        <v>0</v>
      </c>
      <c r="O557" s="61" t="n">
        <f aca="false">Resumo!$C$13</f>
        <v>13.55</v>
      </c>
      <c r="P557" s="61" t="n">
        <f aca="false">Resumo!$C$14*CEILING(G557,1)</f>
        <v>23.85</v>
      </c>
      <c r="Q557" s="61" t="n">
        <f aca="false">SUM(I557:P557)*Resumo!$C$11</f>
        <v>0</v>
      </c>
      <c r="R557" s="61" t="n">
        <f aca="false">SUM(I557:Q557)</f>
        <v>124.843958</v>
      </c>
      <c r="S557" s="61" t="n">
        <f aca="false">R557/(1-Resumo!$C$5)</f>
        <v>141.868134090909</v>
      </c>
      <c r="T557" s="61" t="n">
        <v>142.32</v>
      </c>
      <c r="U557" s="61" t="n">
        <f aca="false">H557*Resumo!$B$6</f>
        <v>0.66999</v>
      </c>
      <c r="V557" s="61" t="n">
        <f aca="false">H557*Resumo!$B$7</f>
        <v>1.33998</v>
      </c>
      <c r="W557" s="61" t="n">
        <f aca="false">Resumo!$B$9</f>
        <v>1</v>
      </c>
      <c r="X557" s="61" t="n">
        <f aca="false">Resumo!$B$10*CEILING(G557/100,1)</f>
        <v>4.5</v>
      </c>
      <c r="Y557" s="61" t="n">
        <f aca="false">Resumo!$B$12*CEILING(G557,1)</f>
        <v>3.18</v>
      </c>
      <c r="Z557" s="61" t="n">
        <f aca="false">Resumo!$B$14*CEILING(G557,1)</f>
        <v>23.85</v>
      </c>
      <c r="AA557" s="61" t="n">
        <f aca="false">SUM(T557:Z557)</f>
        <v>176.85997</v>
      </c>
      <c r="AB557" s="61" t="n">
        <f aca="false">AA557/(1-Resumo!$B$5)</f>
        <v>200.977238636364</v>
      </c>
      <c r="AC557" s="61" t="n">
        <f aca="false">AB557-S557</f>
        <v>59.1091045454545</v>
      </c>
      <c r="AD557" s="62" t="n">
        <f aca="false">AB557/S557-1</f>
        <v>0.416648212963578</v>
      </c>
      <c r="AE557" s="60" t="str">
        <f aca="false">IF(AB557&lt;S557,"SIM","NÃO")</f>
        <v>NÃO</v>
      </c>
      <c r="AF557" s="60" t="n">
        <v>13</v>
      </c>
      <c r="AG557" s="60" t="n">
        <v>10</v>
      </c>
      <c r="AH557" s="60" t="s">
        <v>382</v>
      </c>
      <c r="AI557" s="61" t="n">
        <f aca="false">(T557*(1-Painel!$C$40)+U557+V557+Painel!$C$41+Painel!$C$42*CEILING(G557/100,1)+Painel!$C$43*CEILING(G557,1)+Z557)/(1-Resumo!$B$5)</f>
        <v>140.073147727273</v>
      </c>
      <c r="AJ557" s="60" t="str">
        <f aca="false">IF(AI557&lt;S557,"SIM","NÃO")</f>
        <v>SIM</v>
      </c>
    </row>
    <row r="558" customFormat="false" ht="15" hidden="false" customHeight="false" outlineLevel="0" collapsed="false">
      <c r="A558" s="59" t="n">
        <v>46238.6212847222</v>
      </c>
      <c r="B558" s="60" t="s">
        <v>918</v>
      </c>
      <c r="C558" s="60" t="n">
        <v>24330325</v>
      </c>
      <c r="D558" s="60" t="s">
        <v>50</v>
      </c>
      <c r="E558" s="60" t="s">
        <v>23</v>
      </c>
      <c r="F558" s="60" t="s">
        <v>234</v>
      </c>
      <c r="G558" s="60" t="n">
        <v>39</v>
      </c>
      <c r="H558" s="61" t="n">
        <v>496.79</v>
      </c>
      <c r="I558" s="61" t="n">
        <v>66.83</v>
      </c>
      <c r="J558" s="61" t="n">
        <f aca="false">H558*Resumo!$C$6</f>
        <v>0</v>
      </c>
      <c r="K558" s="61" t="n">
        <f aca="false">H558*Resumo!$C$7</f>
        <v>1.043259</v>
      </c>
      <c r="L558" s="61" t="n">
        <f aca="false">H558*Resumo!$C$8</f>
        <v>1.043259</v>
      </c>
      <c r="M558" s="61" t="n">
        <f aca="false">Resumo!$C$10*CEILING(G558/100,1)</f>
        <v>1.05</v>
      </c>
      <c r="N558" s="61" t="n">
        <f aca="false">Resumo!$C$9</f>
        <v>0</v>
      </c>
      <c r="O558" s="61" t="n">
        <f aca="false">Resumo!$C$13</f>
        <v>13.55</v>
      </c>
      <c r="P558" s="61" t="n">
        <f aca="false">Resumo!$C$14*CEILING(G558,1)</f>
        <v>17.55</v>
      </c>
      <c r="Q558" s="61" t="n">
        <f aca="false">SUM(I558:P558)*Resumo!$C$11</f>
        <v>0</v>
      </c>
      <c r="R558" s="61" t="n">
        <f aca="false">SUM(I558:Q558)</f>
        <v>101.066518</v>
      </c>
      <c r="S558" s="61" t="n">
        <f aca="false">R558/(1-Resumo!$C$5)</f>
        <v>114.848315909091</v>
      </c>
      <c r="T558" s="61" t="n">
        <v>114.95</v>
      </c>
      <c r="U558" s="61" t="n">
        <f aca="false">H558*Resumo!$B$6</f>
        <v>0.49679</v>
      </c>
      <c r="V558" s="61" t="n">
        <f aca="false">H558*Resumo!$B$7</f>
        <v>0.99358</v>
      </c>
      <c r="W558" s="61" t="n">
        <f aca="false">Resumo!$B$9</f>
        <v>1</v>
      </c>
      <c r="X558" s="61" t="n">
        <f aca="false">Resumo!$B$10*CEILING(G558/100,1)</f>
        <v>4.5</v>
      </c>
      <c r="Y558" s="61" t="n">
        <f aca="false">Resumo!$B$12*CEILING(G558,1)</f>
        <v>2.34</v>
      </c>
      <c r="Z558" s="61" t="n">
        <f aca="false">Resumo!$B$14*CEILING(G558,1)</f>
        <v>17.55</v>
      </c>
      <c r="AA558" s="61" t="n">
        <f aca="false">SUM(T558:Z558)</f>
        <v>141.83037</v>
      </c>
      <c r="AB558" s="61" t="n">
        <f aca="false">AA558/(1-Resumo!$B$5)</f>
        <v>161.170875</v>
      </c>
      <c r="AC558" s="61" t="n">
        <f aca="false">AB558-S558</f>
        <v>46.3225590909091</v>
      </c>
      <c r="AD558" s="62" t="n">
        <f aca="false">AB558/S558-1</f>
        <v>0.403336859789708</v>
      </c>
      <c r="AE558" s="60" t="str">
        <f aca="false">IF(AB558&lt;S558,"SIM","NÃO")</f>
        <v>NÃO</v>
      </c>
      <c r="AF558" s="60" t="n">
        <v>2</v>
      </c>
      <c r="AG558" s="60" t="n">
        <v>7</v>
      </c>
      <c r="AH558" s="60" t="s">
        <v>382</v>
      </c>
      <c r="AI558" s="61" t="n">
        <f aca="false">(T558*(1-Painel!$C$40)+U558+V558+Painel!$C$41+Painel!$C$42*CEILING(G558/100,1)+Painel!$C$43*CEILING(G558,1)+Z558)/(1-Resumo!$B$5)</f>
        <v>111.485079545455</v>
      </c>
      <c r="AJ558" s="60" t="str">
        <f aca="false">IF(AI558&lt;S558,"SIM","NÃO")</f>
        <v>SIM</v>
      </c>
    </row>
    <row r="559" customFormat="false" ht="15" hidden="false" customHeight="false" outlineLevel="0" collapsed="false">
      <c r="A559" s="59" t="n">
        <v>46238.6306365741</v>
      </c>
      <c r="B559" s="60" t="s">
        <v>919</v>
      </c>
      <c r="C559" s="60" t="n">
        <v>26112250</v>
      </c>
      <c r="D559" s="60" t="s">
        <v>52</v>
      </c>
      <c r="E559" s="60" t="s">
        <v>23</v>
      </c>
      <c r="F559" s="60" t="s">
        <v>233</v>
      </c>
      <c r="G559" s="60" t="n">
        <v>22.4</v>
      </c>
      <c r="H559" s="61" t="n">
        <v>440.99</v>
      </c>
      <c r="I559" s="61" t="n">
        <v>58.8</v>
      </c>
      <c r="J559" s="61" t="n">
        <f aca="false">H559*Resumo!$C$6</f>
        <v>0</v>
      </c>
      <c r="K559" s="61" t="n">
        <f aca="false">H559*Resumo!$C$7</f>
        <v>0.926079</v>
      </c>
      <c r="L559" s="61" t="n">
        <f aca="false">H559*Resumo!$C$8</f>
        <v>0.926079</v>
      </c>
      <c r="M559" s="61" t="n">
        <f aca="false">Resumo!$C$10*CEILING(G559/100,1)</f>
        <v>1.05</v>
      </c>
      <c r="N559" s="61" t="n">
        <f aca="false">Resumo!$C$9</f>
        <v>0</v>
      </c>
      <c r="O559" s="61" t="n">
        <f aca="false">Resumo!$C$13</f>
        <v>13.55</v>
      </c>
      <c r="P559" s="61" t="n">
        <f aca="false">Resumo!$C$14*CEILING(G559,1)</f>
        <v>10.35</v>
      </c>
      <c r="Q559" s="61" t="n">
        <f aca="false">SUM(I559:P559)*Resumo!$C$11</f>
        <v>0</v>
      </c>
      <c r="R559" s="61" t="n">
        <f aca="false">SUM(I559:Q559)</f>
        <v>85.602158</v>
      </c>
      <c r="S559" s="61" t="n">
        <f aca="false">R559/(1-Resumo!$C$5)</f>
        <v>97.2751795454545</v>
      </c>
      <c r="T559" s="61" t="n">
        <v>82.21</v>
      </c>
      <c r="U559" s="61" t="n">
        <f aca="false">H559*Resumo!$B$6</f>
        <v>0.44099</v>
      </c>
      <c r="V559" s="61" t="n">
        <f aca="false">H559*Resumo!$B$7</f>
        <v>0.88198</v>
      </c>
      <c r="W559" s="61" t="n">
        <f aca="false">Resumo!$B$9</f>
        <v>1</v>
      </c>
      <c r="X559" s="61" t="n">
        <f aca="false">Resumo!$B$10*CEILING(G559/100,1)</f>
        <v>4.5</v>
      </c>
      <c r="Y559" s="61" t="n">
        <f aca="false">Resumo!$B$12*CEILING(G559,1)</f>
        <v>1.38</v>
      </c>
      <c r="Z559" s="61" t="n">
        <f aca="false">Resumo!$B$14*CEILING(G559,1)</f>
        <v>10.35</v>
      </c>
      <c r="AA559" s="61" t="n">
        <f aca="false">SUM(T559:Z559)</f>
        <v>100.76297</v>
      </c>
      <c r="AB559" s="61" t="n">
        <f aca="false">AA559/(1-Resumo!$B$5)</f>
        <v>114.503375</v>
      </c>
      <c r="AC559" s="61" t="n">
        <f aca="false">AB559-S559</f>
        <v>17.2281954545454</v>
      </c>
      <c r="AD559" s="62" t="n">
        <f aca="false">AB559/S559-1</f>
        <v>0.177107824781707</v>
      </c>
      <c r="AE559" s="60" t="str">
        <f aca="false">IF(AB559&lt;S559,"SIM","NÃO")</f>
        <v>NÃO</v>
      </c>
      <c r="AF559" s="60" t="n">
        <v>2</v>
      </c>
      <c r="AG559" s="60" t="n">
        <v>5</v>
      </c>
      <c r="AH559" s="60" t="s">
        <v>382</v>
      </c>
      <c r="AI559" s="61" t="n">
        <f aca="false">(T559*(1-Painel!$C$40)+U559+V559+Painel!$C$41+Painel!$C$42*CEILING(G559/100,1)+Painel!$C$43*CEILING(G559,1)+Z559)/(1-Resumo!$B$5)</f>
        <v>78.1859886363636</v>
      </c>
      <c r="AJ559" s="60" t="str">
        <f aca="false">IF(AI559&lt;S559,"SIM","NÃO")</f>
        <v>SIM</v>
      </c>
    </row>
    <row r="560" customFormat="false" ht="15" hidden="false" customHeight="false" outlineLevel="0" collapsed="false">
      <c r="A560" s="59" t="n">
        <v>46238.6421412037</v>
      </c>
      <c r="B560" s="60" t="s">
        <v>920</v>
      </c>
      <c r="C560" s="60" t="n">
        <v>23525180</v>
      </c>
      <c r="D560" s="60" t="s">
        <v>46</v>
      </c>
      <c r="E560" s="60" t="s">
        <v>22</v>
      </c>
      <c r="F560" s="60" t="s">
        <v>238</v>
      </c>
      <c r="G560" s="60" t="n">
        <v>79.55</v>
      </c>
      <c r="H560" s="61" t="n">
        <v>936.56</v>
      </c>
      <c r="I560" s="61" t="n">
        <v>68.88</v>
      </c>
      <c r="J560" s="61" t="n">
        <f aca="false">H560*Resumo!$C$6</f>
        <v>0</v>
      </c>
      <c r="K560" s="61" t="n">
        <f aca="false">H560*Resumo!$C$7</f>
        <v>1.966776</v>
      </c>
      <c r="L560" s="61" t="n">
        <f aca="false">H560*Resumo!$C$8</f>
        <v>1.966776</v>
      </c>
      <c r="M560" s="61" t="n">
        <f aca="false">Resumo!$C$10*CEILING(G560/100,1)</f>
        <v>1.05</v>
      </c>
      <c r="N560" s="61" t="n">
        <f aca="false">Resumo!$C$9</f>
        <v>0</v>
      </c>
      <c r="O560" s="61" t="n">
        <f aca="false">Resumo!$C$13</f>
        <v>13.55</v>
      </c>
      <c r="P560" s="61" t="n">
        <f aca="false">Resumo!$C$14*CEILING(G560,1)</f>
        <v>36</v>
      </c>
      <c r="Q560" s="61" t="n">
        <f aca="false">SUM(I560:P560)*Resumo!$C$11</f>
        <v>0</v>
      </c>
      <c r="R560" s="61" t="n">
        <f aca="false">SUM(I560:Q560)</f>
        <v>123.413552</v>
      </c>
      <c r="S560" s="61" t="n">
        <f aca="false">R560/(1-Resumo!$C$5)</f>
        <v>140.242672727273</v>
      </c>
      <c r="T560" s="61" t="n">
        <v>134.39</v>
      </c>
      <c r="U560" s="61" t="n">
        <f aca="false">H560*Resumo!$B$6</f>
        <v>0.93656</v>
      </c>
      <c r="V560" s="61" t="n">
        <f aca="false">H560*Resumo!$B$7</f>
        <v>1.87312</v>
      </c>
      <c r="W560" s="61" t="n">
        <f aca="false">Resumo!$B$9</f>
        <v>1</v>
      </c>
      <c r="X560" s="61" t="n">
        <f aca="false">Resumo!$B$10*CEILING(G560/100,1)</f>
        <v>4.5</v>
      </c>
      <c r="Y560" s="61" t="n">
        <f aca="false">Resumo!$B$12*CEILING(G560,1)</f>
        <v>4.8</v>
      </c>
      <c r="Z560" s="61" t="n">
        <f aca="false">Resumo!$B$14*CEILING(G560,1)</f>
        <v>36</v>
      </c>
      <c r="AA560" s="61" t="n">
        <f aca="false">SUM(T560:Z560)</f>
        <v>183.49968</v>
      </c>
      <c r="AB560" s="61" t="n">
        <f aca="false">AA560/(1-Resumo!$B$5)</f>
        <v>208.522363636364</v>
      </c>
      <c r="AC560" s="61" t="n">
        <f aca="false">AB560-S560</f>
        <v>68.2796909090909</v>
      </c>
      <c r="AD560" s="62" t="n">
        <f aca="false">AB560/S560-1</f>
        <v>0.48686815204865</v>
      </c>
      <c r="AE560" s="60" t="str">
        <f aca="false">IF(AB560&lt;S560,"SIM","NÃO")</f>
        <v>NÃO</v>
      </c>
      <c r="AF560" s="60" t="n">
        <v>2</v>
      </c>
      <c r="AG560" s="60" t="n">
        <v>5</v>
      </c>
      <c r="AH560" s="60" t="s">
        <v>382</v>
      </c>
      <c r="AI560" s="61" t="n">
        <f aca="false">(T560*(1-Painel!$C$40)+U560+V560+Painel!$C$41+Painel!$C$42*CEILING(G560/100,1)+Painel!$C$43*CEILING(G560,1)+Z560)/(1-Resumo!$B$5)</f>
        <v>148.751113636364</v>
      </c>
      <c r="AJ560" s="60" t="str">
        <f aca="false">IF(AI560&lt;S560,"SIM","NÃO")</f>
        <v>NÃO</v>
      </c>
    </row>
    <row r="561" customFormat="false" ht="15" hidden="false" customHeight="false" outlineLevel="0" collapsed="false">
      <c r="A561" s="59" t="n">
        <v>46238.6444212963</v>
      </c>
      <c r="B561" s="60" t="s">
        <v>921</v>
      </c>
      <c r="C561" s="60" t="n">
        <v>26600000</v>
      </c>
      <c r="D561" s="60" t="s">
        <v>285</v>
      </c>
      <c r="E561" s="60" t="s">
        <v>24</v>
      </c>
      <c r="F561" s="60" t="s">
        <v>233</v>
      </c>
      <c r="G561" s="60" t="n">
        <v>33</v>
      </c>
      <c r="H561" s="61" t="n">
        <v>378.99</v>
      </c>
      <c r="I561" s="61" t="n">
        <v>65.63</v>
      </c>
      <c r="J561" s="61" t="n">
        <f aca="false">H561*Resumo!$C$6</f>
        <v>0</v>
      </c>
      <c r="K561" s="61" t="n">
        <f aca="false">H561*Resumo!$C$7</f>
        <v>0.795879</v>
      </c>
      <c r="L561" s="61" t="n">
        <f aca="false">H561*Resumo!$C$8</f>
        <v>0.795879</v>
      </c>
      <c r="M561" s="61" t="n">
        <f aca="false">Resumo!$C$10*CEILING(G561/100,1)</f>
        <v>1.05</v>
      </c>
      <c r="N561" s="61" t="n">
        <f aca="false">Resumo!$C$9</f>
        <v>0</v>
      </c>
      <c r="O561" s="61" t="n">
        <f aca="false">Resumo!$C$13</f>
        <v>13.55</v>
      </c>
      <c r="P561" s="61" t="n">
        <f aca="false">Resumo!$C$14*CEILING(G561,1)</f>
        <v>14.85</v>
      </c>
      <c r="Q561" s="61" t="n">
        <f aca="false">SUM(I561:P561)*Resumo!$C$11</f>
        <v>0</v>
      </c>
      <c r="R561" s="61" t="n">
        <f aca="false">SUM(I561:Q561)</f>
        <v>96.671758</v>
      </c>
      <c r="S561" s="61" t="n">
        <f aca="false">R561/(1-Resumo!$C$5)</f>
        <v>109.854270454545</v>
      </c>
      <c r="T561" s="61" t="n">
        <v>108.83</v>
      </c>
      <c r="U561" s="61" t="n">
        <f aca="false">H561*Resumo!$B$6</f>
        <v>0.37899</v>
      </c>
      <c r="V561" s="61" t="n">
        <f aca="false">H561*Resumo!$B$7</f>
        <v>0.75798</v>
      </c>
      <c r="W561" s="61" t="n">
        <f aca="false">Resumo!$B$9</f>
        <v>1</v>
      </c>
      <c r="X561" s="61" t="n">
        <f aca="false">Resumo!$B$10*CEILING(G561/100,1)</f>
        <v>4.5</v>
      </c>
      <c r="Y561" s="61" t="n">
        <f aca="false">Resumo!$B$12*CEILING(G561,1)</f>
        <v>1.98</v>
      </c>
      <c r="Z561" s="61" t="n">
        <f aca="false">Resumo!$B$14*CEILING(G561,1)</f>
        <v>14.85</v>
      </c>
      <c r="AA561" s="61" t="n">
        <f aca="false">SUM(T561:Z561)</f>
        <v>132.29697</v>
      </c>
      <c r="AB561" s="61" t="n">
        <f aca="false">AA561/(1-Resumo!$B$5)</f>
        <v>150.337465909091</v>
      </c>
      <c r="AC561" s="61" t="n">
        <f aca="false">AB561-S561</f>
        <v>40.4831954545454</v>
      </c>
      <c r="AD561" s="62" t="n">
        <f aca="false">AB561/S561-1</f>
        <v>0.36851726643887</v>
      </c>
      <c r="AE561" s="60" t="str">
        <f aca="false">IF(AB561&lt;S561,"SIM","NÃO")</f>
        <v>NÃO</v>
      </c>
      <c r="AF561" s="60" t="n">
        <v>13</v>
      </c>
      <c r="AG561" s="60" t="n">
        <v>10</v>
      </c>
      <c r="AH561" s="60" t="s">
        <v>385</v>
      </c>
      <c r="AI561" s="61" t="n">
        <f aca="false">(T561*(1-Painel!$C$40)+U561+V561+Painel!$C$41+Painel!$C$42*CEILING(G561/100,1)+Painel!$C$43*CEILING(G561,1)+Z561)/(1-Resumo!$B$5)</f>
        <v>103.355761363636</v>
      </c>
      <c r="AJ561" s="60" t="str">
        <f aca="false">IF(AI561&lt;S561,"SIM","NÃO")</f>
        <v>SIM</v>
      </c>
    </row>
    <row r="562" customFormat="false" ht="15" hidden="false" customHeight="false" outlineLevel="0" collapsed="false">
      <c r="A562" s="59" t="n">
        <v>46238.6514467593</v>
      </c>
      <c r="B562" s="60" t="s">
        <v>922</v>
      </c>
      <c r="C562" s="60" t="n">
        <v>26291320</v>
      </c>
      <c r="D562" s="60" t="s">
        <v>49</v>
      </c>
      <c r="E562" s="60" t="s">
        <v>23</v>
      </c>
      <c r="F562" s="60" t="s">
        <v>236</v>
      </c>
      <c r="G562" s="60" t="n">
        <v>52.3</v>
      </c>
      <c r="H562" s="61" t="n">
        <v>669.99</v>
      </c>
      <c r="I562" s="61" t="n">
        <v>70.98</v>
      </c>
      <c r="J562" s="61" t="n">
        <f aca="false">H562*Resumo!$C$6</f>
        <v>0</v>
      </c>
      <c r="K562" s="61" t="n">
        <f aca="false">H562*Resumo!$C$7</f>
        <v>1.406979</v>
      </c>
      <c r="L562" s="61" t="n">
        <f aca="false">H562*Resumo!$C$8</f>
        <v>1.406979</v>
      </c>
      <c r="M562" s="61" t="n">
        <f aca="false">Resumo!$C$10*CEILING(G562/100,1)</f>
        <v>1.05</v>
      </c>
      <c r="N562" s="61" t="n">
        <f aca="false">Resumo!$C$9</f>
        <v>0</v>
      </c>
      <c r="O562" s="61" t="n">
        <f aca="false">Resumo!$C$13</f>
        <v>13.55</v>
      </c>
      <c r="P562" s="61" t="n">
        <f aca="false">Resumo!$C$14*CEILING(G562,1)</f>
        <v>23.85</v>
      </c>
      <c r="Q562" s="61" t="n">
        <f aca="false">SUM(I562:P562)*Resumo!$C$11</f>
        <v>0</v>
      </c>
      <c r="R562" s="61" t="n">
        <f aca="false">SUM(I562:Q562)</f>
        <v>112.243958</v>
      </c>
      <c r="S562" s="61" t="n">
        <f aca="false">R562/(1-Resumo!$C$5)</f>
        <v>127.549952272727</v>
      </c>
      <c r="T562" s="61" t="n">
        <v>112.3</v>
      </c>
      <c r="U562" s="61" t="n">
        <f aca="false">H562*Resumo!$B$6</f>
        <v>0.66999</v>
      </c>
      <c r="V562" s="61" t="n">
        <f aca="false">H562*Resumo!$B$7</f>
        <v>1.33998</v>
      </c>
      <c r="W562" s="61" t="n">
        <f aca="false">Resumo!$B$9</f>
        <v>1</v>
      </c>
      <c r="X562" s="61" t="n">
        <f aca="false">Resumo!$B$10*CEILING(G562/100,1)</f>
        <v>4.5</v>
      </c>
      <c r="Y562" s="61" t="n">
        <f aca="false">Resumo!$B$12*CEILING(G562,1)</f>
        <v>3.18</v>
      </c>
      <c r="Z562" s="61" t="n">
        <f aca="false">Resumo!$B$14*CEILING(G562,1)</f>
        <v>23.85</v>
      </c>
      <c r="AA562" s="61" t="n">
        <f aca="false">SUM(T562:Z562)</f>
        <v>146.83997</v>
      </c>
      <c r="AB562" s="61" t="n">
        <f aca="false">AA562/(1-Resumo!$B$5)</f>
        <v>166.863602272727</v>
      </c>
      <c r="AC562" s="61" t="n">
        <f aca="false">AB562-S562</f>
        <v>39.31365</v>
      </c>
      <c r="AD562" s="62" t="n">
        <f aca="false">AB562/S562-1</f>
        <v>0.308221597103694</v>
      </c>
      <c r="AE562" s="60" t="str">
        <f aca="false">IF(AB562&lt;S562,"SIM","NÃO")</f>
        <v>NÃO</v>
      </c>
      <c r="AF562" s="60" t="n">
        <v>2</v>
      </c>
      <c r="AG562" s="60" t="n">
        <v>5</v>
      </c>
      <c r="AH562" s="60" t="s">
        <v>382</v>
      </c>
      <c r="AI562" s="61" t="n">
        <f aca="false">(T562*(1-Painel!$C$40)+U562+V562+Painel!$C$41+Painel!$C$42*CEILING(G562/100,1)+Painel!$C$43*CEILING(G562,1)+Z562)/(1-Resumo!$B$5)</f>
        <v>117.217011363636</v>
      </c>
      <c r="AJ562" s="60" t="str">
        <f aca="false">IF(AI562&lt;S562,"SIM","NÃO")</f>
        <v>SIM</v>
      </c>
    </row>
    <row r="563" customFormat="false" ht="15" hidden="false" customHeight="false" outlineLevel="0" collapsed="false">
      <c r="A563" s="59" t="n">
        <v>46238.6570601852</v>
      </c>
      <c r="B563" s="60" t="s">
        <v>923</v>
      </c>
      <c r="C563" s="60" t="n">
        <v>26265090</v>
      </c>
      <c r="D563" s="60" t="s">
        <v>49</v>
      </c>
      <c r="E563" s="60" t="s">
        <v>23</v>
      </c>
      <c r="F563" s="60" t="s">
        <v>236</v>
      </c>
      <c r="G563" s="60" t="n">
        <v>52.3</v>
      </c>
      <c r="H563" s="61" t="n">
        <v>669.99</v>
      </c>
      <c r="I563" s="61" t="n">
        <v>70.98</v>
      </c>
      <c r="J563" s="61" t="n">
        <f aca="false">H563*Resumo!$C$6</f>
        <v>0</v>
      </c>
      <c r="K563" s="61" t="n">
        <f aca="false">H563*Resumo!$C$7</f>
        <v>1.406979</v>
      </c>
      <c r="L563" s="61" t="n">
        <f aca="false">H563*Resumo!$C$8</f>
        <v>1.406979</v>
      </c>
      <c r="M563" s="61" t="n">
        <f aca="false">Resumo!$C$10*CEILING(G563/100,1)</f>
        <v>1.05</v>
      </c>
      <c r="N563" s="61" t="n">
        <f aca="false">Resumo!$C$9</f>
        <v>0</v>
      </c>
      <c r="O563" s="61" t="n">
        <f aca="false">Resumo!$C$13</f>
        <v>13.55</v>
      </c>
      <c r="P563" s="61" t="n">
        <f aca="false">Resumo!$C$14*CEILING(G563,1)</f>
        <v>23.85</v>
      </c>
      <c r="Q563" s="61" t="n">
        <f aca="false">SUM(I563:P563)*Resumo!$C$11</f>
        <v>0</v>
      </c>
      <c r="R563" s="61" t="n">
        <f aca="false">SUM(I563:Q563)</f>
        <v>112.243958</v>
      </c>
      <c r="S563" s="61" t="n">
        <f aca="false">R563/(1-Resumo!$C$5)</f>
        <v>127.549952272727</v>
      </c>
      <c r="T563" s="61" t="n">
        <v>112.3</v>
      </c>
      <c r="U563" s="61" t="n">
        <f aca="false">H563*Resumo!$B$6</f>
        <v>0.66999</v>
      </c>
      <c r="V563" s="61" t="n">
        <f aca="false">H563*Resumo!$B$7</f>
        <v>1.33998</v>
      </c>
      <c r="W563" s="61" t="n">
        <f aca="false">Resumo!$B$9</f>
        <v>1</v>
      </c>
      <c r="X563" s="61" t="n">
        <f aca="false">Resumo!$B$10*CEILING(G563/100,1)</f>
        <v>4.5</v>
      </c>
      <c r="Y563" s="61" t="n">
        <f aca="false">Resumo!$B$12*CEILING(G563,1)</f>
        <v>3.18</v>
      </c>
      <c r="Z563" s="61" t="n">
        <f aca="false">Resumo!$B$14*CEILING(G563,1)</f>
        <v>23.85</v>
      </c>
      <c r="AA563" s="61" t="n">
        <f aca="false">SUM(T563:Z563)</f>
        <v>146.83997</v>
      </c>
      <c r="AB563" s="61" t="n">
        <f aca="false">AA563/(1-Resumo!$B$5)</f>
        <v>166.863602272727</v>
      </c>
      <c r="AC563" s="61" t="n">
        <f aca="false">AB563-S563</f>
        <v>39.31365</v>
      </c>
      <c r="AD563" s="62" t="n">
        <f aca="false">AB563/S563-1</f>
        <v>0.308221597103694</v>
      </c>
      <c r="AE563" s="60" t="str">
        <f aca="false">IF(AB563&lt;S563,"SIM","NÃO")</f>
        <v>NÃO</v>
      </c>
      <c r="AF563" s="60" t="n">
        <v>2</v>
      </c>
      <c r="AG563" s="60" t="n">
        <v>5</v>
      </c>
      <c r="AH563" s="60" t="s">
        <v>382</v>
      </c>
      <c r="AI563" s="61" t="n">
        <f aca="false">(T563*(1-Painel!$C$40)+U563+V563+Painel!$C$41+Painel!$C$42*CEILING(G563/100,1)+Painel!$C$43*CEILING(G563,1)+Z563)/(1-Resumo!$B$5)</f>
        <v>117.217011363636</v>
      </c>
      <c r="AJ563" s="60" t="str">
        <f aca="false">IF(AI563&lt;S563,"SIM","NÃO")</f>
        <v>SIM</v>
      </c>
    </row>
    <row r="564" customFormat="false" ht="15" hidden="false" customHeight="false" outlineLevel="0" collapsed="false">
      <c r="A564" s="59" t="n">
        <v>46238.6578819445</v>
      </c>
      <c r="B564" s="60" t="s">
        <v>921</v>
      </c>
      <c r="C564" s="60" t="n">
        <v>26600000</v>
      </c>
      <c r="D564" s="60" t="s">
        <v>285</v>
      </c>
      <c r="E564" s="60" t="s">
        <v>24</v>
      </c>
      <c r="F564" s="60" t="s">
        <v>232</v>
      </c>
      <c r="G564" s="60" t="n">
        <v>19.5</v>
      </c>
      <c r="H564" s="61" t="n">
        <v>359.99</v>
      </c>
      <c r="I564" s="61" t="n">
        <v>46.95</v>
      </c>
      <c r="J564" s="61" t="n">
        <f aca="false">H564*Resumo!$C$6</f>
        <v>0</v>
      </c>
      <c r="K564" s="61" t="n">
        <f aca="false">H564*Resumo!$C$7</f>
        <v>0.755979</v>
      </c>
      <c r="L564" s="61" t="n">
        <f aca="false">H564*Resumo!$C$8</f>
        <v>0.755979</v>
      </c>
      <c r="M564" s="61" t="n">
        <f aca="false">Resumo!$C$10*CEILING(G564/100,1)</f>
        <v>1.05</v>
      </c>
      <c r="N564" s="61" t="n">
        <f aca="false">Resumo!$C$9</f>
        <v>0</v>
      </c>
      <c r="O564" s="61" t="n">
        <f aca="false">Resumo!$C$13</f>
        <v>13.55</v>
      </c>
      <c r="P564" s="61" t="n">
        <f aca="false">Resumo!$C$14*CEILING(G564,1)</f>
        <v>9</v>
      </c>
      <c r="Q564" s="61" t="n">
        <f aca="false">SUM(I564:P564)*Resumo!$C$11</f>
        <v>0</v>
      </c>
      <c r="R564" s="61" t="n">
        <f aca="false">SUM(I564:Q564)</f>
        <v>72.061958</v>
      </c>
      <c r="S564" s="61" t="n">
        <f aca="false">R564/(1-Resumo!$C$5)</f>
        <v>81.8885886363636</v>
      </c>
      <c r="T564" s="61" t="n">
        <v>77.35</v>
      </c>
      <c r="U564" s="61" t="n">
        <f aca="false">H564*Resumo!$B$6</f>
        <v>0.35999</v>
      </c>
      <c r="V564" s="61" t="n">
        <f aca="false">H564*Resumo!$B$7</f>
        <v>0.71998</v>
      </c>
      <c r="W564" s="61" t="n">
        <f aca="false">Resumo!$B$9</f>
        <v>1</v>
      </c>
      <c r="X564" s="61" t="n">
        <f aca="false">Resumo!$B$10*CEILING(G564/100,1)</f>
        <v>4.5</v>
      </c>
      <c r="Y564" s="61" t="n">
        <f aca="false">Resumo!$B$12*CEILING(G564,1)</f>
        <v>1.2</v>
      </c>
      <c r="Z564" s="61" t="n">
        <f aca="false">Resumo!$B$14*CEILING(G564,1)</f>
        <v>9</v>
      </c>
      <c r="AA564" s="61" t="n">
        <f aca="false">SUM(T564:Z564)</f>
        <v>94.12997</v>
      </c>
      <c r="AB564" s="61" t="n">
        <f aca="false">AA564/(1-Resumo!$B$5)</f>
        <v>106.965875</v>
      </c>
      <c r="AC564" s="61" t="n">
        <f aca="false">AB564-S564</f>
        <v>25.0772863636364</v>
      </c>
      <c r="AD564" s="62" t="n">
        <f aca="false">AB564/S564-1</f>
        <v>0.306236641530057</v>
      </c>
      <c r="AE564" s="60" t="str">
        <f aca="false">IF(AB564&lt;S564,"SIM","NÃO")</f>
        <v>NÃO</v>
      </c>
      <c r="AF564" s="60" t="n">
        <v>13</v>
      </c>
      <c r="AG564" s="60" t="n">
        <v>10</v>
      </c>
      <c r="AH564" s="60" t="s">
        <v>385</v>
      </c>
      <c r="AI564" s="61" t="n">
        <f aca="false">(T564*(1-Painel!$C$40)+U564+V564+Painel!$C$41+Painel!$C$42*CEILING(G564/100,1)+Painel!$C$43*CEILING(G564,1)+Z564)/(1-Resumo!$B$5)</f>
        <v>72.6755340909091</v>
      </c>
      <c r="AJ564" s="60" t="str">
        <f aca="false">IF(AI564&lt;S564,"SIM","NÃO")</f>
        <v>SIM</v>
      </c>
    </row>
    <row r="565" customFormat="false" ht="15" hidden="false" customHeight="false" outlineLevel="0" collapsed="false">
      <c r="A565" s="59" t="n">
        <v>46238.6725462963</v>
      </c>
      <c r="B565" s="60" t="s">
        <v>924</v>
      </c>
      <c r="C565" s="60" t="n">
        <v>20710350</v>
      </c>
      <c r="D565" s="60" t="s">
        <v>46</v>
      </c>
      <c r="E565" s="60" t="s">
        <v>22</v>
      </c>
      <c r="F565" s="60" t="s">
        <v>235</v>
      </c>
      <c r="G565" s="60" t="n">
        <v>41</v>
      </c>
      <c r="H565" s="61" t="n">
        <v>498.19</v>
      </c>
      <c r="I565" s="61" t="n">
        <v>53.55</v>
      </c>
      <c r="J565" s="61" t="n">
        <f aca="false">H565*Resumo!$C$6</f>
        <v>0</v>
      </c>
      <c r="K565" s="61" t="n">
        <f aca="false">H565*Resumo!$C$7</f>
        <v>1.046199</v>
      </c>
      <c r="L565" s="61" t="n">
        <f aca="false">H565*Resumo!$C$8</f>
        <v>1.046199</v>
      </c>
      <c r="M565" s="61" t="n">
        <f aca="false">Resumo!$C$10*CEILING(G565/100,1)</f>
        <v>1.05</v>
      </c>
      <c r="N565" s="61" t="n">
        <f aca="false">Resumo!$C$9</f>
        <v>0</v>
      </c>
      <c r="O565" s="61" t="n">
        <f aca="false">Resumo!$C$13</f>
        <v>13.55</v>
      </c>
      <c r="P565" s="61" t="n">
        <f aca="false">Resumo!$C$14*CEILING(G565,1)</f>
        <v>18.45</v>
      </c>
      <c r="Q565" s="61" t="n">
        <f aca="false">SUM(I565:P565)*Resumo!$C$11</f>
        <v>0</v>
      </c>
      <c r="R565" s="61" t="n">
        <f aca="false">SUM(I565:Q565)</f>
        <v>88.692398</v>
      </c>
      <c r="S565" s="61" t="n">
        <f aca="false">R565/(1-Resumo!$C$5)</f>
        <v>100.786815909091</v>
      </c>
      <c r="T565" s="61" t="n">
        <v>93.97</v>
      </c>
      <c r="U565" s="61" t="n">
        <f aca="false">H565*Resumo!$B$6</f>
        <v>0.49819</v>
      </c>
      <c r="V565" s="61" t="n">
        <f aca="false">H565*Resumo!$B$7</f>
        <v>0.99638</v>
      </c>
      <c r="W565" s="61" t="n">
        <f aca="false">Resumo!$B$9</f>
        <v>1</v>
      </c>
      <c r="X565" s="61" t="n">
        <f aca="false">Resumo!$B$10*CEILING(G565/100,1)</f>
        <v>4.5</v>
      </c>
      <c r="Y565" s="61" t="n">
        <f aca="false">Resumo!$B$12*CEILING(G565,1)</f>
        <v>2.46</v>
      </c>
      <c r="Z565" s="61" t="n">
        <f aca="false">Resumo!$B$14*CEILING(G565,1)</f>
        <v>18.45</v>
      </c>
      <c r="AA565" s="61" t="n">
        <f aca="false">SUM(T565:Z565)</f>
        <v>121.87457</v>
      </c>
      <c r="AB565" s="61" t="n">
        <f aca="false">AA565/(1-Resumo!$B$5)</f>
        <v>138.493829545455</v>
      </c>
      <c r="AC565" s="61" t="n">
        <f aca="false">AB565-S565</f>
        <v>37.7070136363637</v>
      </c>
      <c r="AD565" s="62" t="n">
        <f aca="false">AB565/S565-1</f>
        <v>0.374126449935428</v>
      </c>
      <c r="AE565" s="60" t="str">
        <f aca="false">IF(AB565&lt;S565,"SIM","NÃO")</f>
        <v>NÃO</v>
      </c>
      <c r="AF565" s="60" t="n">
        <v>2</v>
      </c>
      <c r="AG565" s="60" t="n">
        <v>5</v>
      </c>
      <c r="AH565" s="60" t="s">
        <v>382</v>
      </c>
      <c r="AI565" s="61" t="n">
        <f aca="false">(T565*(1-Painel!$C$40)+U565+V565+Painel!$C$41+Painel!$C$42*CEILING(G565/100,1)+Painel!$C$43*CEILING(G565,1)+Z565)/(1-Resumo!$B$5)</f>
        <v>96.5391704545454</v>
      </c>
      <c r="AJ565" s="60" t="str">
        <f aca="false">IF(AI565&lt;S565,"SIM","NÃO")</f>
        <v>SIM</v>
      </c>
    </row>
    <row r="566" customFormat="false" ht="15" hidden="false" customHeight="false" outlineLevel="0" collapsed="false">
      <c r="A566" s="59" t="n">
        <v>46238.6750925926</v>
      </c>
      <c r="B566" s="60" t="s">
        <v>925</v>
      </c>
      <c r="C566" s="60" t="n">
        <v>21862390</v>
      </c>
      <c r="D566" s="60" t="s">
        <v>46</v>
      </c>
      <c r="E566" s="60" t="s">
        <v>22</v>
      </c>
      <c r="F566" s="60" t="s">
        <v>237</v>
      </c>
      <c r="G566" s="60" t="n">
        <v>61.4</v>
      </c>
      <c r="H566" s="61" t="n">
        <v>919.99</v>
      </c>
      <c r="I566" s="61" t="n">
        <v>63.21</v>
      </c>
      <c r="J566" s="61" t="n">
        <f aca="false">H566*Resumo!$C$6</f>
        <v>0</v>
      </c>
      <c r="K566" s="61" t="n">
        <f aca="false">H566*Resumo!$C$7</f>
        <v>1.931979</v>
      </c>
      <c r="L566" s="61" t="n">
        <f aca="false">H566*Resumo!$C$8</f>
        <v>1.931979</v>
      </c>
      <c r="M566" s="61" t="n">
        <f aca="false">Resumo!$C$10*CEILING(G566/100,1)</f>
        <v>1.05</v>
      </c>
      <c r="N566" s="61" t="n">
        <f aca="false">Resumo!$C$9</f>
        <v>0</v>
      </c>
      <c r="O566" s="61" t="n">
        <f aca="false">Resumo!$C$13</f>
        <v>13.55</v>
      </c>
      <c r="P566" s="61" t="n">
        <f aca="false">Resumo!$C$14*CEILING(G566,1)</f>
        <v>27.9</v>
      </c>
      <c r="Q566" s="61" t="n">
        <f aca="false">SUM(I566:P566)*Resumo!$C$11</f>
        <v>0</v>
      </c>
      <c r="R566" s="61" t="n">
        <f aca="false">SUM(I566:Q566)</f>
        <v>109.573958</v>
      </c>
      <c r="S566" s="61" t="n">
        <f aca="false">R566/(1-Resumo!$C$5)</f>
        <v>124.515861363636</v>
      </c>
      <c r="T566" s="61" t="n">
        <v>131.02</v>
      </c>
      <c r="U566" s="61" t="n">
        <f aca="false">H566*Resumo!$B$6</f>
        <v>0.91999</v>
      </c>
      <c r="V566" s="61" t="n">
        <f aca="false">H566*Resumo!$B$7</f>
        <v>1.83998</v>
      </c>
      <c r="W566" s="61" t="n">
        <f aca="false">Resumo!$B$9</f>
        <v>1</v>
      </c>
      <c r="X566" s="61" t="n">
        <f aca="false">Resumo!$B$10*CEILING(G566/100,1)</f>
        <v>4.5</v>
      </c>
      <c r="Y566" s="61" t="n">
        <f aca="false">Resumo!$B$12*CEILING(G566,1)</f>
        <v>3.72</v>
      </c>
      <c r="Z566" s="61" t="n">
        <f aca="false">Resumo!$B$14*CEILING(G566,1)</f>
        <v>27.9</v>
      </c>
      <c r="AA566" s="61" t="n">
        <f aca="false">SUM(T566:Z566)</f>
        <v>170.89997</v>
      </c>
      <c r="AB566" s="61" t="n">
        <f aca="false">AA566/(1-Resumo!$B$5)</f>
        <v>194.204511363636</v>
      </c>
      <c r="AC566" s="61" t="n">
        <f aca="false">AB566-S566</f>
        <v>69.68865</v>
      </c>
      <c r="AD566" s="62" t="n">
        <f aca="false">AB566/S566-1</f>
        <v>0.559676889649272</v>
      </c>
      <c r="AE566" s="60" t="str">
        <f aca="false">IF(AB566&lt;S566,"SIM","NÃO")</f>
        <v>NÃO</v>
      </c>
      <c r="AF566" s="60" t="n">
        <v>2</v>
      </c>
      <c r="AG566" s="60" t="n">
        <v>5</v>
      </c>
      <c r="AH566" s="60" t="s">
        <v>382</v>
      </c>
      <c r="AI566" s="61" t="n">
        <f aca="false">(T566*(1-Painel!$C$40)+U566+V566+Painel!$C$41+Painel!$C$42*CEILING(G566/100,1)+Painel!$C$43*CEILING(G566,1)+Z566)/(1-Resumo!$B$5)</f>
        <v>136.924284090909</v>
      </c>
      <c r="AJ566" s="60" t="str">
        <f aca="false">IF(AI566&lt;S566,"SIM","NÃO")</f>
        <v>NÃO</v>
      </c>
    </row>
    <row r="567" customFormat="false" ht="15" hidden="false" customHeight="false" outlineLevel="0" collapsed="false">
      <c r="A567" s="59" t="n">
        <v>46238.6809375</v>
      </c>
      <c r="B567" s="60" t="s">
        <v>926</v>
      </c>
      <c r="C567" s="60" t="n">
        <v>28941013</v>
      </c>
      <c r="D567" s="60" t="s">
        <v>338</v>
      </c>
      <c r="E567" s="60" t="s">
        <v>24</v>
      </c>
      <c r="F567" s="60" t="s">
        <v>234</v>
      </c>
      <c r="G567" s="60" t="n">
        <v>40</v>
      </c>
      <c r="H567" s="61" t="n">
        <v>569.99</v>
      </c>
      <c r="I567" s="61" t="n">
        <v>74.97</v>
      </c>
      <c r="J567" s="61" t="n">
        <f aca="false">H567*Resumo!$C$6</f>
        <v>0</v>
      </c>
      <c r="K567" s="61" t="n">
        <f aca="false">H567*Resumo!$C$7</f>
        <v>1.196979</v>
      </c>
      <c r="L567" s="61" t="n">
        <f aca="false">H567*Resumo!$C$8</f>
        <v>1.196979</v>
      </c>
      <c r="M567" s="61" t="n">
        <f aca="false">Resumo!$C$10*CEILING(G567/100,1)</f>
        <v>1.05</v>
      </c>
      <c r="N567" s="61" t="n">
        <f aca="false">Resumo!$C$9</f>
        <v>0</v>
      </c>
      <c r="O567" s="61" t="n">
        <f aca="false">Resumo!$C$13</f>
        <v>13.55</v>
      </c>
      <c r="P567" s="61" t="n">
        <f aca="false">Resumo!$C$14*CEILING(G567,1)</f>
        <v>18</v>
      </c>
      <c r="Q567" s="61" t="n">
        <f aca="false">SUM(I567:P567)*Resumo!$C$11</f>
        <v>0</v>
      </c>
      <c r="R567" s="61" t="n">
        <f aca="false">SUM(I567:Q567)</f>
        <v>109.963958</v>
      </c>
      <c r="S567" s="61" t="n">
        <f aca="false">R567/(1-Resumo!$C$5)</f>
        <v>124.959043181818</v>
      </c>
      <c r="T567" s="61" t="n">
        <v>124.38</v>
      </c>
      <c r="U567" s="61" t="n">
        <f aca="false">H567*Resumo!$B$6</f>
        <v>0.56999</v>
      </c>
      <c r="V567" s="61" t="n">
        <f aca="false">H567*Resumo!$B$7</f>
        <v>1.13998</v>
      </c>
      <c r="W567" s="61" t="n">
        <f aca="false">Resumo!$B$9</f>
        <v>1</v>
      </c>
      <c r="X567" s="61" t="n">
        <f aca="false">Resumo!$B$10*CEILING(G567/100,1)</f>
        <v>4.5</v>
      </c>
      <c r="Y567" s="61" t="n">
        <f aca="false">Resumo!$B$12*CEILING(G567,1)</f>
        <v>2.4</v>
      </c>
      <c r="Z567" s="61" t="n">
        <f aca="false">Resumo!$B$14*CEILING(G567,1)</f>
        <v>18</v>
      </c>
      <c r="AA567" s="61" t="n">
        <f aca="false">SUM(T567:Z567)</f>
        <v>151.98997</v>
      </c>
      <c r="AB567" s="61" t="n">
        <f aca="false">AA567/(1-Resumo!$B$5)</f>
        <v>172.715875</v>
      </c>
      <c r="AC567" s="61" t="n">
        <f aca="false">AB567-S567</f>
        <v>47.7568318181818</v>
      </c>
      <c r="AD567" s="62" t="n">
        <f aca="false">AB567/S567-1</f>
        <v>0.382179877519505</v>
      </c>
      <c r="AE567" s="60" t="str">
        <f aca="false">IF(AB567&lt;S567,"SIM","NÃO")</f>
        <v>NÃO</v>
      </c>
      <c r="AF567" s="60" t="n">
        <v>13</v>
      </c>
      <c r="AG567" s="60" t="n">
        <v>10</v>
      </c>
      <c r="AH567" s="60" t="s">
        <v>385</v>
      </c>
      <c r="AI567" s="61" t="n">
        <f aca="false">(T567*(1-Painel!$C$40)+U567+V567+Painel!$C$41+Painel!$C$42*CEILING(G567/100,1)+Painel!$C$43*CEILING(G567,1)+Z567)/(1-Resumo!$B$5)</f>
        <v>119.425647727273</v>
      </c>
      <c r="AJ567" s="60" t="str">
        <f aca="false">IF(AI567&lt;S567,"SIM","NÃO")</f>
        <v>SIM</v>
      </c>
    </row>
    <row r="568" customFormat="false" ht="15" hidden="false" customHeight="false" outlineLevel="0" collapsed="false">
      <c r="A568" s="59" t="n">
        <v>46238.7012962963</v>
      </c>
      <c r="B568" s="60" t="s">
        <v>927</v>
      </c>
      <c r="C568" s="60" t="n">
        <v>27325110</v>
      </c>
      <c r="D568" s="60" t="s">
        <v>293</v>
      </c>
      <c r="E568" s="60" t="s">
        <v>24</v>
      </c>
      <c r="F568" s="60" t="s">
        <v>239</v>
      </c>
      <c r="G568" s="60" t="n">
        <v>93.8</v>
      </c>
      <c r="H568" s="61" t="n">
        <v>899.99</v>
      </c>
      <c r="I568" s="61" t="n">
        <v>109.63</v>
      </c>
      <c r="J568" s="61" t="n">
        <f aca="false">H568*Resumo!$C$6</f>
        <v>0</v>
      </c>
      <c r="K568" s="61" t="n">
        <f aca="false">H568*Resumo!$C$7</f>
        <v>1.889979</v>
      </c>
      <c r="L568" s="61" t="n">
        <f aca="false">H568*Resumo!$C$8</f>
        <v>1.889979</v>
      </c>
      <c r="M568" s="61" t="n">
        <f aca="false">Resumo!$C$10*CEILING(G568/100,1)</f>
        <v>1.05</v>
      </c>
      <c r="N568" s="61" t="n">
        <f aca="false">Resumo!$C$9</f>
        <v>0</v>
      </c>
      <c r="O568" s="61" t="n">
        <f aca="false">Resumo!$C$13</f>
        <v>13.55</v>
      </c>
      <c r="P568" s="61" t="n">
        <f aca="false">Resumo!$C$14*CEILING(G568,1)</f>
        <v>42.3</v>
      </c>
      <c r="Q568" s="61" t="n">
        <f aca="false">SUM(I568:P568)*Resumo!$C$11</f>
        <v>0</v>
      </c>
      <c r="R568" s="61" t="n">
        <f aca="false">SUM(I568:Q568)</f>
        <v>170.309958</v>
      </c>
      <c r="S568" s="61" t="n">
        <f aca="false">R568/(1-Resumo!$C$5)</f>
        <v>193.534043181818</v>
      </c>
      <c r="T568" s="61" t="n">
        <v>197.35</v>
      </c>
      <c r="U568" s="61" t="n">
        <f aca="false">H568*Resumo!$B$6</f>
        <v>0.89999</v>
      </c>
      <c r="V568" s="61" t="n">
        <f aca="false">H568*Resumo!$B$7</f>
        <v>1.79998</v>
      </c>
      <c r="W568" s="61" t="n">
        <f aca="false">Resumo!$B$9</f>
        <v>1</v>
      </c>
      <c r="X568" s="61" t="n">
        <f aca="false">Resumo!$B$10*CEILING(G568/100,1)</f>
        <v>4.5</v>
      </c>
      <c r="Y568" s="61" t="n">
        <f aca="false">Resumo!$B$12*CEILING(G568,1)</f>
        <v>5.64</v>
      </c>
      <c r="Z568" s="61" t="n">
        <f aca="false">Resumo!$B$14*CEILING(G568,1)</f>
        <v>42.3</v>
      </c>
      <c r="AA568" s="61" t="n">
        <f aca="false">SUM(T568:Z568)</f>
        <v>253.48997</v>
      </c>
      <c r="AB568" s="61" t="n">
        <f aca="false">AA568/(1-Resumo!$B$5)</f>
        <v>288.056784090909</v>
      </c>
      <c r="AC568" s="61" t="n">
        <f aca="false">AB568-S568</f>
        <v>94.5227409090909</v>
      </c>
      <c r="AD568" s="62" t="n">
        <f aca="false">AB568/S568-1</f>
        <v>0.488403690405467</v>
      </c>
      <c r="AE568" s="60" t="str">
        <f aca="false">IF(AB568&lt;S568,"SIM","NÃO")</f>
        <v>NÃO</v>
      </c>
      <c r="AF568" s="60" t="n">
        <v>13</v>
      </c>
      <c r="AG568" s="60" t="n">
        <v>10</v>
      </c>
      <c r="AH568" s="60" t="s">
        <v>385</v>
      </c>
      <c r="AI568" s="61" t="n">
        <f aca="false">(T568*(1-Painel!$C$40)+U568+V568+Painel!$C$41+Painel!$C$42*CEILING(G568/100,1)+Painel!$C$43*CEILING(G568,1)+Z568)/(1-Resumo!$B$5)</f>
        <v>203.720988636364</v>
      </c>
      <c r="AJ568" s="60" t="str">
        <f aca="false">IF(AI568&lt;S568,"SIM","NÃO")</f>
        <v>NÃO</v>
      </c>
    </row>
    <row r="569" customFormat="false" ht="15" hidden="false" customHeight="false" outlineLevel="0" collapsed="false">
      <c r="A569" s="59" t="n">
        <v>46238.7328819444</v>
      </c>
      <c r="B569" s="60" t="s">
        <v>928</v>
      </c>
      <c r="C569" s="60" t="n">
        <v>25964005</v>
      </c>
      <c r="D569" s="60" t="s">
        <v>281</v>
      </c>
      <c r="E569" s="60" t="s">
        <v>24</v>
      </c>
      <c r="F569" s="60" t="s">
        <v>235</v>
      </c>
      <c r="G569" s="60" t="n">
        <v>48</v>
      </c>
      <c r="H569" s="61" t="n">
        <v>815.51</v>
      </c>
      <c r="I569" s="61" t="n">
        <v>77.7</v>
      </c>
      <c r="J569" s="61" t="n">
        <f aca="false">H569*Resumo!$C$6</f>
        <v>0</v>
      </c>
      <c r="K569" s="61" t="n">
        <f aca="false">H569*Resumo!$C$7</f>
        <v>1.712571</v>
      </c>
      <c r="L569" s="61" t="n">
        <f aca="false">H569*Resumo!$C$8</f>
        <v>1.712571</v>
      </c>
      <c r="M569" s="61" t="n">
        <f aca="false">Resumo!$C$10*CEILING(G569/100,1)</f>
        <v>1.05</v>
      </c>
      <c r="N569" s="61" t="n">
        <f aca="false">Resumo!$C$9</f>
        <v>0</v>
      </c>
      <c r="O569" s="61" t="n">
        <f aca="false">Resumo!$C$13</f>
        <v>13.55</v>
      </c>
      <c r="P569" s="61" t="n">
        <f aca="false">Resumo!$C$14*CEILING(G569,1)</f>
        <v>21.6</v>
      </c>
      <c r="Q569" s="61" t="n">
        <f aca="false">SUM(I569:P569)*Resumo!$C$11</f>
        <v>0</v>
      </c>
      <c r="R569" s="61" t="n">
        <f aca="false">SUM(I569:Q569)</f>
        <v>117.325142</v>
      </c>
      <c r="S569" s="61" t="n">
        <f aca="false">R569/(1-Resumo!$C$5)</f>
        <v>133.324025</v>
      </c>
      <c r="T569" s="61" t="n">
        <v>135.03</v>
      </c>
      <c r="U569" s="61" t="n">
        <f aca="false">H569*Resumo!$B$6</f>
        <v>0.81551</v>
      </c>
      <c r="V569" s="61" t="n">
        <f aca="false">H569*Resumo!$B$7</f>
        <v>1.63102</v>
      </c>
      <c r="W569" s="61" t="n">
        <f aca="false">Resumo!$B$9</f>
        <v>1</v>
      </c>
      <c r="X569" s="61" t="n">
        <f aca="false">Resumo!$B$10*CEILING(G569/100,1)</f>
        <v>4.5</v>
      </c>
      <c r="Y569" s="61" t="n">
        <f aca="false">Resumo!$B$12*CEILING(G569,1)</f>
        <v>2.88</v>
      </c>
      <c r="Z569" s="61" t="n">
        <f aca="false">Resumo!$B$14*CEILING(G569,1)</f>
        <v>21.6</v>
      </c>
      <c r="AA569" s="61" t="n">
        <f aca="false">SUM(T569:Z569)</f>
        <v>167.45653</v>
      </c>
      <c r="AB569" s="61" t="n">
        <f aca="false">AA569/(1-Resumo!$B$5)</f>
        <v>190.291511363636</v>
      </c>
      <c r="AC569" s="61" t="n">
        <f aca="false">AB569-S569</f>
        <v>56.9674863636363</v>
      </c>
      <c r="AD569" s="62" t="n">
        <f aca="false">AB569/S569-1</f>
        <v>0.427285977629586</v>
      </c>
      <c r="AE569" s="60" t="str">
        <f aca="false">IF(AB569&lt;S569,"SIM","NÃO")</f>
        <v>NÃO</v>
      </c>
      <c r="AF569" s="60" t="n">
        <v>13</v>
      </c>
      <c r="AG569" s="60" t="n">
        <v>10</v>
      </c>
      <c r="AH569" s="60" t="s">
        <v>385</v>
      </c>
      <c r="AI569" s="61" t="n">
        <f aca="false">(T569*(1-Painel!$C$40)+U569+V569+Painel!$C$41+Painel!$C$42*CEILING(G569/100,1)+Painel!$C$43*CEILING(G569,1)+Z569)/(1-Resumo!$B$5)</f>
        <v>132.462079545455</v>
      </c>
      <c r="AJ569" s="60" t="str">
        <f aca="false">IF(AI569&lt;S569,"SIM","NÃO")</f>
        <v>SIM</v>
      </c>
    </row>
    <row r="570" customFormat="false" ht="15" hidden="false" customHeight="false" outlineLevel="0" collapsed="false">
      <c r="A570" s="59" t="n">
        <v>46238.7338888889</v>
      </c>
      <c r="B570" s="60" t="s">
        <v>929</v>
      </c>
      <c r="C570" s="60" t="n">
        <v>28920030</v>
      </c>
      <c r="D570" s="60" t="s">
        <v>221</v>
      </c>
      <c r="E570" s="60" t="s">
        <v>24</v>
      </c>
      <c r="F570" s="60" t="s">
        <v>234</v>
      </c>
      <c r="G570" s="60" t="n">
        <v>37.2</v>
      </c>
      <c r="H570" s="61" t="n">
        <v>399.99</v>
      </c>
      <c r="I570" s="61" t="n">
        <v>74.97</v>
      </c>
      <c r="J570" s="61" t="n">
        <f aca="false">H570*Resumo!$C$6</f>
        <v>0</v>
      </c>
      <c r="K570" s="61" t="n">
        <f aca="false">H570*Resumo!$C$7</f>
        <v>0.839979</v>
      </c>
      <c r="L570" s="61" t="n">
        <f aca="false">H570*Resumo!$C$8</f>
        <v>0.839979</v>
      </c>
      <c r="M570" s="61" t="n">
        <f aca="false">Resumo!$C$10*CEILING(G570/100,1)</f>
        <v>1.05</v>
      </c>
      <c r="N570" s="61" t="n">
        <f aca="false">Resumo!$C$9</f>
        <v>0</v>
      </c>
      <c r="O570" s="61" t="n">
        <f aca="false">Resumo!$C$13</f>
        <v>13.55</v>
      </c>
      <c r="P570" s="61" t="n">
        <f aca="false">Resumo!$C$14*CEILING(G570,1)</f>
        <v>17.1</v>
      </c>
      <c r="Q570" s="61" t="n">
        <f aca="false">SUM(I570:P570)*Resumo!$C$11</f>
        <v>0</v>
      </c>
      <c r="R570" s="61" t="n">
        <f aca="false">SUM(I570:Q570)</f>
        <v>108.349958</v>
      </c>
      <c r="S570" s="61" t="n">
        <f aca="false">R570/(1-Resumo!$C$5)</f>
        <v>123.124952272727</v>
      </c>
      <c r="T570" s="61" t="n">
        <v>124.38</v>
      </c>
      <c r="U570" s="61" t="n">
        <f aca="false">H570*Resumo!$B$6</f>
        <v>0.39999</v>
      </c>
      <c r="V570" s="61" t="n">
        <f aca="false">H570*Resumo!$B$7</f>
        <v>0.79998</v>
      </c>
      <c r="W570" s="61" t="n">
        <f aca="false">Resumo!$B$9</f>
        <v>1</v>
      </c>
      <c r="X570" s="61" t="n">
        <f aca="false">Resumo!$B$10*CEILING(G570/100,1)</f>
        <v>4.5</v>
      </c>
      <c r="Y570" s="61" t="n">
        <f aca="false">Resumo!$B$12*CEILING(G570,1)</f>
        <v>2.28</v>
      </c>
      <c r="Z570" s="61" t="n">
        <f aca="false">Resumo!$B$14*CEILING(G570,1)</f>
        <v>17.1</v>
      </c>
      <c r="AA570" s="61" t="n">
        <f aca="false">SUM(T570:Z570)</f>
        <v>150.45997</v>
      </c>
      <c r="AB570" s="61" t="n">
        <f aca="false">AA570/(1-Resumo!$B$5)</f>
        <v>170.977238636364</v>
      </c>
      <c r="AC570" s="61" t="n">
        <f aca="false">AB570-S570</f>
        <v>47.8522863636364</v>
      </c>
      <c r="AD570" s="62" t="n">
        <f aca="false">AB570/S570-1</f>
        <v>0.388648161727945</v>
      </c>
      <c r="AE570" s="60" t="str">
        <f aca="false">IF(AB570&lt;S570,"SIM","NÃO")</f>
        <v>NÃO</v>
      </c>
      <c r="AF570" s="60" t="n">
        <v>13</v>
      </c>
      <c r="AG570" s="60" t="n">
        <v>10</v>
      </c>
      <c r="AH570" s="60" t="s">
        <v>382</v>
      </c>
      <c r="AI570" s="61" t="n">
        <f aca="false">(T570*(1-Painel!$C$40)+U570+V570+Painel!$C$41+Painel!$C$42*CEILING(G570/100,1)+Painel!$C$43*CEILING(G570,1)+Z570)/(1-Resumo!$B$5)</f>
        <v>117.823375</v>
      </c>
      <c r="AJ570" s="60" t="str">
        <f aca="false">IF(AI570&lt;S570,"SIM","NÃO")</f>
        <v>SIM</v>
      </c>
    </row>
    <row r="571" customFormat="false" ht="15" hidden="false" customHeight="false" outlineLevel="0" collapsed="false">
      <c r="A571" s="59" t="n">
        <v>46238.7575</v>
      </c>
      <c r="B571" s="60" t="s">
        <v>930</v>
      </c>
      <c r="C571" s="60" t="n">
        <v>28930000</v>
      </c>
      <c r="D571" s="60" t="s">
        <v>337</v>
      </c>
      <c r="E571" s="60" t="s">
        <v>24</v>
      </c>
      <c r="F571" s="60" t="s">
        <v>234</v>
      </c>
      <c r="G571" s="60" t="n">
        <v>40</v>
      </c>
      <c r="H571" s="61" t="n">
        <v>479.99</v>
      </c>
      <c r="I571" s="61" t="n">
        <v>74.97</v>
      </c>
      <c r="J571" s="61" t="n">
        <f aca="false">H571*Resumo!$C$6</f>
        <v>0</v>
      </c>
      <c r="K571" s="61" t="n">
        <f aca="false">H571*Resumo!$C$7</f>
        <v>1.007979</v>
      </c>
      <c r="L571" s="61" t="n">
        <f aca="false">H571*Resumo!$C$8</f>
        <v>1.007979</v>
      </c>
      <c r="M571" s="61" t="n">
        <f aca="false">Resumo!$C$10*CEILING(G571/100,1)</f>
        <v>1.05</v>
      </c>
      <c r="N571" s="61" t="n">
        <f aca="false">Resumo!$C$9</f>
        <v>0</v>
      </c>
      <c r="O571" s="61" t="n">
        <f aca="false">Resumo!$C$13</f>
        <v>13.55</v>
      </c>
      <c r="P571" s="61" t="n">
        <f aca="false">Resumo!$C$14*CEILING(G571,1)</f>
        <v>18</v>
      </c>
      <c r="Q571" s="61" t="n">
        <f aca="false">SUM(I571:P571)*Resumo!$C$11</f>
        <v>0</v>
      </c>
      <c r="R571" s="61" t="n">
        <f aca="false">SUM(I571:Q571)</f>
        <v>109.585958</v>
      </c>
      <c r="S571" s="61" t="n">
        <f aca="false">R571/(1-Resumo!$C$5)</f>
        <v>124.529497727273</v>
      </c>
      <c r="T571" s="61" t="n">
        <v>124.38</v>
      </c>
      <c r="U571" s="61" t="n">
        <f aca="false">H571*Resumo!$B$6</f>
        <v>0.47999</v>
      </c>
      <c r="V571" s="61" t="n">
        <f aca="false">H571*Resumo!$B$7</f>
        <v>0.95998</v>
      </c>
      <c r="W571" s="61" t="n">
        <f aca="false">Resumo!$B$9</f>
        <v>1</v>
      </c>
      <c r="X571" s="61" t="n">
        <f aca="false">Resumo!$B$10*CEILING(G571/100,1)</f>
        <v>4.5</v>
      </c>
      <c r="Y571" s="61" t="n">
        <f aca="false">Resumo!$B$12*CEILING(G571,1)</f>
        <v>2.4</v>
      </c>
      <c r="Z571" s="61" t="n">
        <f aca="false">Resumo!$B$14*CEILING(G571,1)</f>
        <v>18</v>
      </c>
      <c r="AA571" s="61" t="n">
        <f aca="false">SUM(T571:Z571)</f>
        <v>151.71997</v>
      </c>
      <c r="AB571" s="61" t="n">
        <f aca="false">AA571/(1-Resumo!$B$5)</f>
        <v>172.409056818182</v>
      </c>
      <c r="AC571" s="61" t="n">
        <f aca="false">AB571-S571</f>
        <v>47.8795590909091</v>
      </c>
      <c r="AD571" s="62" t="n">
        <f aca="false">AB571/S571-1</f>
        <v>0.384483676275385</v>
      </c>
      <c r="AE571" s="60" t="str">
        <f aca="false">IF(AB571&lt;S571,"SIM","NÃO")</f>
        <v>NÃO</v>
      </c>
      <c r="AF571" s="60" t="n">
        <v>13</v>
      </c>
      <c r="AG571" s="60" t="n">
        <v>10</v>
      </c>
      <c r="AH571" s="60" t="s">
        <v>385</v>
      </c>
      <c r="AI571" s="61" t="n">
        <f aca="false">(T571*(1-Painel!$C$40)+U571+V571+Painel!$C$41+Painel!$C$42*CEILING(G571/100,1)+Painel!$C$43*CEILING(G571,1)+Z571)/(1-Resumo!$B$5)</f>
        <v>119.118829545455</v>
      </c>
      <c r="AJ571" s="60" t="str">
        <f aca="false">IF(AI571&lt;S571,"SIM","NÃO")</f>
        <v>SIM</v>
      </c>
    </row>
    <row r="572" customFormat="false" ht="15" hidden="false" customHeight="false" outlineLevel="0" collapsed="false">
      <c r="A572" s="59" t="n">
        <v>46238.7674421296</v>
      </c>
      <c r="B572" s="60" t="s">
        <v>931</v>
      </c>
      <c r="C572" s="60" t="n">
        <v>26032060</v>
      </c>
      <c r="D572" s="60" t="s">
        <v>49</v>
      </c>
      <c r="E572" s="60" t="s">
        <v>23</v>
      </c>
      <c r="F572" s="60" t="s">
        <v>235</v>
      </c>
      <c r="G572" s="60" t="n">
        <v>46.8</v>
      </c>
      <c r="H572" s="61" t="n">
        <v>549.99</v>
      </c>
      <c r="I572" s="61" t="n">
        <v>65.36</v>
      </c>
      <c r="J572" s="61" t="n">
        <f aca="false">H572*Resumo!$C$6</f>
        <v>0</v>
      </c>
      <c r="K572" s="61" t="n">
        <f aca="false">H572*Resumo!$C$7</f>
        <v>1.154979</v>
      </c>
      <c r="L572" s="61" t="n">
        <f aca="false">H572*Resumo!$C$8</f>
        <v>1.154979</v>
      </c>
      <c r="M572" s="61" t="n">
        <f aca="false">Resumo!$C$10*CEILING(G572/100,1)</f>
        <v>1.05</v>
      </c>
      <c r="N572" s="61" t="n">
        <f aca="false">Resumo!$C$9</f>
        <v>0</v>
      </c>
      <c r="O572" s="61" t="n">
        <f aca="false">Resumo!$C$13</f>
        <v>13.55</v>
      </c>
      <c r="P572" s="61" t="n">
        <f aca="false">Resumo!$C$14*CEILING(G572,1)</f>
        <v>21.15</v>
      </c>
      <c r="Q572" s="61" t="n">
        <f aca="false">SUM(I572:P572)*Resumo!$C$11</f>
        <v>0</v>
      </c>
      <c r="R572" s="61" t="n">
        <f aca="false">SUM(I572:Q572)</f>
        <v>103.419958</v>
      </c>
      <c r="S572" s="61" t="n">
        <f aca="false">R572/(1-Resumo!$C$5)</f>
        <v>117.522679545455</v>
      </c>
      <c r="T572" s="61" t="n">
        <v>93.97</v>
      </c>
      <c r="U572" s="61" t="n">
        <f aca="false">H572*Resumo!$B$6</f>
        <v>0.54999</v>
      </c>
      <c r="V572" s="61" t="n">
        <f aca="false">H572*Resumo!$B$7</f>
        <v>1.09998</v>
      </c>
      <c r="W572" s="61" t="n">
        <f aca="false">Resumo!$B$9</f>
        <v>1</v>
      </c>
      <c r="X572" s="61" t="n">
        <f aca="false">Resumo!$B$10*CEILING(G572/100,1)</f>
        <v>4.5</v>
      </c>
      <c r="Y572" s="61" t="n">
        <f aca="false">Resumo!$B$12*CEILING(G572,1)</f>
        <v>2.82</v>
      </c>
      <c r="Z572" s="61" t="n">
        <f aca="false">Resumo!$B$14*CEILING(G572,1)</f>
        <v>21.15</v>
      </c>
      <c r="AA572" s="61" t="n">
        <f aca="false">SUM(T572:Z572)</f>
        <v>125.08997</v>
      </c>
      <c r="AB572" s="61" t="n">
        <f aca="false">AA572/(1-Resumo!$B$5)</f>
        <v>142.147693181818</v>
      </c>
      <c r="AC572" s="61" t="n">
        <f aca="false">AB572-S572</f>
        <v>24.6250136363636</v>
      </c>
      <c r="AD572" s="62" t="n">
        <f aca="false">AB572/S572-1</f>
        <v>0.209534140402571</v>
      </c>
      <c r="AE572" s="60" t="str">
        <f aca="false">IF(AB572&lt;S572,"SIM","NÃO")</f>
        <v>NÃO</v>
      </c>
      <c r="AF572" s="60" t="n">
        <v>2</v>
      </c>
      <c r="AG572" s="60" t="n">
        <v>5</v>
      </c>
      <c r="AH572" s="60" t="s">
        <v>382</v>
      </c>
      <c r="AI572" s="61" t="n">
        <f aca="false">(T572*(1-Painel!$C$40)+U572+V572+Painel!$C$41+Painel!$C$42*CEILING(G572/100,1)+Painel!$C$43*CEILING(G572,1)+Z572)/(1-Resumo!$B$5)</f>
        <v>99.7839431818182</v>
      </c>
      <c r="AJ572" s="60" t="str">
        <f aca="false">IF(AI572&lt;S572,"SIM","NÃO")</f>
        <v>SIM</v>
      </c>
    </row>
    <row r="573" customFormat="false" ht="15" hidden="false" customHeight="false" outlineLevel="0" collapsed="false">
      <c r="A573" s="59" t="n">
        <v>46238.7794791667</v>
      </c>
      <c r="B573" s="60" t="s">
        <v>932</v>
      </c>
      <c r="C573" s="60" t="n">
        <v>23010095</v>
      </c>
      <c r="D573" s="60" t="s">
        <v>46</v>
      </c>
      <c r="E573" s="60" t="s">
        <v>22</v>
      </c>
      <c r="F573" s="60" t="s">
        <v>237</v>
      </c>
      <c r="G573" s="60" t="n">
        <v>63.9</v>
      </c>
      <c r="H573" s="61" t="n">
        <v>735.99</v>
      </c>
      <c r="I573" s="61" t="n">
        <v>63.21</v>
      </c>
      <c r="J573" s="61" t="n">
        <f aca="false">H573*Resumo!$C$6</f>
        <v>0</v>
      </c>
      <c r="K573" s="61" t="n">
        <f aca="false">H573*Resumo!$C$7</f>
        <v>1.545579</v>
      </c>
      <c r="L573" s="61" t="n">
        <f aca="false">H573*Resumo!$C$8</f>
        <v>1.545579</v>
      </c>
      <c r="M573" s="61" t="n">
        <f aca="false">Resumo!$C$10*CEILING(G573/100,1)</f>
        <v>1.05</v>
      </c>
      <c r="N573" s="61" t="n">
        <f aca="false">Resumo!$C$9</f>
        <v>0</v>
      </c>
      <c r="O573" s="61" t="n">
        <f aca="false">Resumo!$C$13</f>
        <v>13.55</v>
      </c>
      <c r="P573" s="61" t="n">
        <f aca="false">Resumo!$C$14*CEILING(G573,1)</f>
        <v>28.8</v>
      </c>
      <c r="Q573" s="61" t="n">
        <f aca="false">SUM(I573:P573)*Resumo!$C$11</f>
        <v>0</v>
      </c>
      <c r="R573" s="61" t="n">
        <f aca="false">SUM(I573:Q573)</f>
        <v>109.701158</v>
      </c>
      <c r="S573" s="61" t="n">
        <f aca="false">R573/(1-Resumo!$C$5)</f>
        <v>124.660406818182</v>
      </c>
      <c r="T573" s="61" t="n">
        <v>131.02</v>
      </c>
      <c r="U573" s="61" t="n">
        <f aca="false">H573*Resumo!$B$6</f>
        <v>0.73599</v>
      </c>
      <c r="V573" s="61" t="n">
        <f aca="false">H573*Resumo!$B$7</f>
        <v>1.47198</v>
      </c>
      <c r="W573" s="61" t="n">
        <f aca="false">Resumo!$B$9</f>
        <v>1</v>
      </c>
      <c r="X573" s="61" t="n">
        <f aca="false">Resumo!$B$10*CEILING(G573/100,1)</f>
        <v>4.5</v>
      </c>
      <c r="Y573" s="61" t="n">
        <f aca="false">Resumo!$B$12*CEILING(G573,1)</f>
        <v>3.84</v>
      </c>
      <c r="Z573" s="61" t="n">
        <f aca="false">Resumo!$B$14*CEILING(G573,1)</f>
        <v>28.8</v>
      </c>
      <c r="AA573" s="61" t="n">
        <f aca="false">SUM(T573:Z573)</f>
        <v>171.36797</v>
      </c>
      <c r="AB573" s="61" t="n">
        <f aca="false">AA573/(1-Resumo!$B$5)</f>
        <v>194.736329545455</v>
      </c>
      <c r="AC573" s="61" t="n">
        <f aca="false">AB573-S573</f>
        <v>70.0759227272728</v>
      </c>
      <c r="AD573" s="62" t="n">
        <f aca="false">AB573/S573-1</f>
        <v>0.562134558324353</v>
      </c>
      <c r="AE573" s="60" t="str">
        <f aca="false">IF(AB573&lt;S573,"SIM","NÃO")</f>
        <v>NÃO</v>
      </c>
      <c r="AF573" s="60" t="n">
        <v>2</v>
      </c>
      <c r="AG573" s="60" t="n">
        <v>5</v>
      </c>
      <c r="AH573" s="60" t="s">
        <v>382</v>
      </c>
      <c r="AI573" s="61" t="n">
        <f aca="false">(T573*(1-Painel!$C$40)+U573+V573+Painel!$C$41+Painel!$C$42*CEILING(G573/100,1)+Painel!$C$43*CEILING(G573,1)+Z573)/(1-Resumo!$B$5)</f>
        <v>137.319738636364</v>
      </c>
      <c r="AJ573" s="60" t="str">
        <f aca="false">IF(AI573&lt;S573,"SIM","NÃO")</f>
        <v>NÃO</v>
      </c>
    </row>
    <row r="574" customFormat="false" ht="15" hidden="false" customHeight="false" outlineLevel="0" collapsed="false">
      <c r="A574" s="59" t="n">
        <v>46238.8002430556</v>
      </c>
      <c r="B574" s="60" t="s">
        <v>933</v>
      </c>
      <c r="C574" s="60" t="n">
        <v>21920370</v>
      </c>
      <c r="D574" s="60" t="s">
        <v>46</v>
      </c>
      <c r="E574" s="60" t="s">
        <v>22</v>
      </c>
      <c r="F574" s="60" t="s">
        <v>233</v>
      </c>
      <c r="G574" s="60" t="n">
        <v>31.9</v>
      </c>
      <c r="H574" s="61" t="n">
        <v>551.99</v>
      </c>
      <c r="I574" s="61" t="n">
        <v>42.11</v>
      </c>
      <c r="J574" s="61" t="n">
        <f aca="false">H574*Resumo!$C$6</f>
        <v>0</v>
      </c>
      <c r="K574" s="61" t="n">
        <f aca="false">H574*Resumo!$C$7</f>
        <v>1.159179</v>
      </c>
      <c r="L574" s="61" t="n">
        <f aca="false">H574*Resumo!$C$8</f>
        <v>1.159179</v>
      </c>
      <c r="M574" s="61" t="n">
        <f aca="false">Resumo!$C$10*CEILING(G574/100,1)</f>
        <v>1.05</v>
      </c>
      <c r="N574" s="61" t="n">
        <f aca="false">Resumo!$C$9</f>
        <v>0</v>
      </c>
      <c r="O574" s="61" t="n">
        <f aca="false">Resumo!$C$13</f>
        <v>13.55</v>
      </c>
      <c r="P574" s="61" t="n">
        <f aca="false">Resumo!$C$14*CEILING(G574,1)</f>
        <v>14.4</v>
      </c>
      <c r="Q574" s="61" t="n">
        <f aca="false">SUM(I574:P574)*Resumo!$C$11</f>
        <v>0</v>
      </c>
      <c r="R574" s="61" t="n">
        <f aca="false">SUM(I574:Q574)</f>
        <v>73.428358</v>
      </c>
      <c r="S574" s="61" t="n">
        <f aca="false">R574/(1-Resumo!$C$5)</f>
        <v>83.4413159090909</v>
      </c>
      <c r="T574" s="61" t="n">
        <v>82.21</v>
      </c>
      <c r="U574" s="61" t="n">
        <f aca="false">H574*Resumo!$B$6</f>
        <v>0.55199</v>
      </c>
      <c r="V574" s="61" t="n">
        <f aca="false">H574*Resumo!$B$7</f>
        <v>1.10398</v>
      </c>
      <c r="W574" s="61" t="n">
        <f aca="false">Resumo!$B$9</f>
        <v>1</v>
      </c>
      <c r="X574" s="61" t="n">
        <f aca="false">Resumo!$B$10*CEILING(G574/100,1)</f>
        <v>4.5</v>
      </c>
      <c r="Y574" s="61" t="n">
        <f aca="false">Resumo!$B$12*CEILING(G574,1)</f>
        <v>1.92</v>
      </c>
      <c r="Z574" s="61" t="n">
        <f aca="false">Resumo!$B$14*CEILING(G574,1)</f>
        <v>14.4</v>
      </c>
      <c r="AA574" s="61" t="n">
        <f aca="false">SUM(T574:Z574)</f>
        <v>105.68597</v>
      </c>
      <c r="AB574" s="61" t="n">
        <f aca="false">AA574/(1-Resumo!$B$5)</f>
        <v>120.097693181818</v>
      </c>
      <c r="AC574" s="61" t="n">
        <f aca="false">AB574-S574</f>
        <v>36.6563772727273</v>
      </c>
      <c r="AD574" s="62" t="n">
        <f aca="false">AB574/S574-1</f>
        <v>0.439307276897026</v>
      </c>
      <c r="AE574" s="60" t="str">
        <f aca="false">IF(AB574&lt;S574,"SIM","NÃO")</f>
        <v>NÃO</v>
      </c>
      <c r="AF574" s="60" t="n">
        <v>2</v>
      </c>
      <c r="AG574" s="60" t="n">
        <v>5</v>
      </c>
      <c r="AH574" s="60" t="s">
        <v>382</v>
      </c>
      <c r="AI574" s="61" t="n">
        <f aca="false">(T574*(1-Painel!$C$40)+U574+V574+Painel!$C$41+Painel!$C$42*CEILING(G574/100,1)+Painel!$C$43*CEILING(G574,1)+Z574)/(1-Resumo!$B$5)</f>
        <v>83.1666704545454</v>
      </c>
      <c r="AJ574" s="60" t="str">
        <f aca="false">IF(AI574&lt;S574,"SIM","NÃO")</f>
        <v>SIM</v>
      </c>
    </row>
    <row r="575" customFormat="false" ht="15" hidden="false" customHeight="false" outlineLevel="0" collapsed="false">
      <c r="A575" s="59" t="n">
        <v>46238.8008564815</v>
      </c>
      <c r="B575" s="60" t="s">
        <v>934</v>
      </c>
      <c r="C575" s="60" t="n">
        <v>25635340</v>
      </c>
      <c r="D575" s="60" t="s">
        <v>219</v>
      </c>
      <c r="E575" s="60" t="s">
        <v>24</v>
      </c>
      <c r="F575" s="60" t="s">
        <v>240</v>
      </c>
      <c r="G575" s="60" t="n">
        <v>106.5</v>
      </c>
      <c r="H575" s="61" t="n">
        <v>1163.99</v>
      </c>
      <c r="I575" s="61" t="n">
        <v>119.5</v>
      </c>
      <c r="J575" s="61" t="n">
        <f aca="false">H575*Resumo!$C$6</f>
        <v>0</v>
      </c>
      <c r="K575" s="61" t="n">
        <f aca="false">H575*Resumo!$C$7</f>
        <v>2.444379</v>
      </c>
      <c r="L575" s="61" t="n">
        <f aca="false">H575*Resumo!$C$8</f>
        <v>2.444379</v>
      </c>
      <c r="M575" s="61" t="n">
        <f aca="false">Resumo!$C$10*CEILING(G575/100,1)</f>
        <v>2.1</v>
      </c>
      <c r="N575" s="61" t="n">
        <f aca="false">Resumo!$C$9</f>
        <v>0</v>
      </c>
      <c r="O575" s="61" t="n">
        <f aca="false">Resumo!$C$13</f>
        <v>13.55</v>
      </c>
      <c r="P575" s="61" t="n">
        <f aca="false">Resumo!$C$14*CEILING(G575,1)</f>
        <v>48.15</v>
      </c>
      <c r="Q575" s="61" t="n">
        <f aca="false">SUM(I575:P575)*Resumo!$C$11</f>
        <v>0</v>
      </c>
      <c r="R575" s="61" t="n">
        <f aca="false">SUM(I575:Q575)</f>
        <v>188.188758</v>
      </c>
      <c r="S575" s="61" t="n">
        <f aca="false">R575/(1-Resumo!$C$5)</f>
        <v>213.850861363636</v>
      </c>
      <c r="T575" s="61" t="n">
        <v>236.82</v>
      </c>
      <c r="U575" s="61" t="n">
        <f aca="false">H575*Resumo!$B$6</f>
        <v>1.16399</v>
      </c>
      <c r="V575" s="61" t="n">
        <f aca="false">H575*Resumo!$B$7</f>
        <v>2.32798</v>
      </c>
      <c r="W575" s="61" t="n">
        <f aca="false">Resumo!$B$9</f>
        <v>1</v>
      </c>
      <c r="X575" s="61" t="n">
        <f aca="false">Resumo!$B$10*CEILING(G575/100,1)</f>
        <v>9</v>
      </c>
      <c r="Y575" s="61" t="n">
        <f aca="false">Resumo!$B$12*CEILING(G575,1)</f>
        <v>6.42</v>
      </c>
      <c r="Z575" s="61" t="n">
        <f aca="false">Resumo!$B$14*CEILING(G575,1)</f>
        <v>48.15</v>
      </c>
      <c r="AA575" s="61" t="n">
        <f aca="false">SUM(T575:Z575)</f>
        <v>304.88197</v>
      </c>
      <c r="AB575" s="61" t="n">
        <f aca="false">AA575/(1-Resumo!$B$5)</f>
        <v>346.456784090909</v>
      </c>
      <c r="AC575" s="61" t="n">
        <f aca="false">AB575-S575</f>
        <v>132.605922727273</v>
      </c>
      <c r="AD575" s="62" t="n">
        <f aca="false">AB575/S575-1</f>
        <v>0.620085988345807</v>
      </c>
      <c r="AE575" s="60" t="str">
        <f aca="false">IF(AB575&lt;S575,"SIM","NÃO")</f>
        <v>NÃO</v>
      </c>
      <c r="AF575" s="60" t="n">
        <v>13</v>
      </c>
      <c r="AG575" s="60" t="n">
        <v>8</v>
      </c>
      <c r="AH575" s="60" t="s">
        <v>382</v>
      </c>
      <c r="AI575" s="61" t="n">
        <f aca="false">(T575*(1-Painel!$C$40)+U575+V575+Painel!$C$41+Painel!$C$42*CEILING(G575/100,1)+Painel!$C$43*CEILING(G575,1)+Z575)/(1-Resumo!$B$5)</f>
        <v>242.512920454545</v>
      </c>
      <c r="AJ575" s="60" t="str">
        <f aca="false">IF(AI575&lt;S575,"SIM","NÃO")</f>
        <v>NÃO</v>
      </c>
    </row>
    <row r="576" customFormat="false" ht="15" hidden="false" customHeight="false" outlineLevel="0" collapsed="false">
      <c r="A576" s="59" t="n">
        <v>46238.8121296296</v>
      </c>
      <c r="B576" s="60" t="s">
        <v>935</v>
      </c>
      <c r="C576" s="60" t="n">
        <v>22740362</v>
      </c>
      <c r="D576" s="60" t="s">
        <v>46</v>
      </c>
      <c r="E576" s="60" t="s">
        <v>22</v>
      </c>
      <c r="F576" s="60" t="s">
        <v>236</v>
      </c>
      <c r="G576" s="60" t="n">
        <v>56.6</v>
      </c>
      <c r="H576" s="61" t="n">
        <v>959.99</v>
      </c>
      <c r="I576" s="61" t="n">
        <v>58.6</v>
      </c>
      <c r="J576" s="61" t="n">
        <f aca="false">H576*Resumo!$C$6</f>
        <v>0</v>
      </c>
      <c r="K576" s="61" t="n">
        <f aca="false">H576*Resumo!$C$7</f>
        <v>2.015979</v>
      </c>
      <c r="L576" s="61" t="n">
        <f aca="false">H576*Resumo!$C$8</f>
        <v>2.015979</v>
      </c>
      <c r="M576" s="61" t="n">
        <f aca="false">Resumo!$C$10*CEILING(G576/100,1)</f>
        <v>1.05</v>
      </c>
      <c r="N576" s="61" t="n">
        <f aca="false">Resumo!$C$9</f>
        <v>0</v>
      </c>
      <c r="O576" s="61" t="n">
        <f aca="false">Resumo!$C$13</f>
        <v>13.55</v>
      </c>
      <c r="P576" s="61" t="n">
        <f aca="false">Resumo!$C$14*CEILING(G576,1)</f>
        <v>25.65</v>
      </c>
      <c r="Q576" s="61" t="n">
        <f aca="false">SUM(I576:P576)*Resumo!$C$11</f>
        <v>0</v>
      </c>
      <c r="R576" s="61" t="n">
        <f aca="false">SUM(I576:Q576)</f>
        <v>102.881958</v>
      </c>
      <c r="S576" s="61" t="n">
        <f aca="false">R576/(1-Resumo!$C$5)</f>
        <v>116.911315909091</v>
      </c>
      <c r="T576" s="61" t="n">
        <v>112.3</v>
      </c>
      <c r="U576" s="61" t="n">
        <f aca="false">H576*Resumo!$B$6</f>
        <v>0.95999</v>
      </c>
      <c r="V576" s="61" t="n">
        <f aca="false">H576*Resumo!$B$7</f>
        <v>1.91998</v>
      </c>
      <c r="W576" s="61" t="n">
        <f aca="false">Resumo!$B$9</f>
        <v>1</v>
      </c>
      <c r="X576" s="61" t="n">
        <f aca="false">Resumo!$B$10*CEILING(G576/100,1)</f>
        <v>4.5</v>
      </c>
      <c r="Y576" s="61" t="n">
        <f aca="false">Resumo!$B$12*CEILING(G576,1)</f>
        <v>3.42</v>
      </c>
      <c r="Z576" s="61" t="n">
        <f aca="false">Resumo!$B$14*CEILING(G576,1)</f>
        <v>25.65</v>
      </c>
      <c r="AA576" s="61" t="n">
        <f aca="false">SUM(T576:Z576)</f>
        <v>149.74997</v>
      </c>
      <c r="AB576" s="61" t="n">
        <f aca="false">AA576/(1-Resumo!$B$5)</f>
        <v>170.170420454545</v>
      </c>
      <c r="AC576" s="61" t="n">
        <f aca="false">AB576-S576</f>
        <v>53.2591045454545</v>
      </c>
      <c r="AD576" s="62" t="n">
        <f aca="false">AB576/S576-1</f>
        <v>0.45555132222503</v>
      </c>
      <c r="AE576" s="60" t="str">
        <f aca="false">IF(AB576&lt;S576,"SIM","NÃO")</f>
        <v>NÃO</v>
      </c>
      <c r="AF576" s="60" t="n">
        <v>2</v>
      </c>
      <c r="AG576" s="60" t="n">
        <v>5</v>
      </c>
      <c r="AH576" s="60" t="s">
        <v>382</v>
      </c>
      <c r="AI576" s="61" t="n">
        <f aca="false">(T576*(1-Painel!$C$40)+U576+V576+Painel!$C$41+Painel!$C$42*CEILING(G576/100,1)+Painel!$C$43*CEILING(G576,1)+Z576)/(1-Resumo!$B$5)</f>
        <v>120.251102272727</v>
      </c>
      <c r="AJ576" s="60" t="str">
        <f aca="false">IF(AI576&lt;S576,"SIM","NÃO")</f>
        <v>NÃO</v>
      </c>
    </row>
    <row r="577" customFormat="false" ht="15" hidden="false" customHeight="false" outlineLevel="0" collapsed="false">
      <c r="A577" s="59" t="n">
        <v>46238.8204050926</v>
      </c>
      <c r="B577" s="60" t="s">
        <v>936</v>
      </c>
      <c r="C577" s="60" t="n">
        <v>26278535</v>
      </c>
      <c r="D577" s="60" t="s">
        <v>49</v>
      </c>
      <c r="E577" s="60" t="s">
        <v>23</v>
      </c>
      <c r="F577" s="60" t="s">
        <v>237</v>
      </c>
      <c r="G577" s="60" t="n">
        <v>69.45</v>
      </c>
      <c r="H577" s="61" t="n">
        <v>859.99</v>
      </c>
      <c r="I577" s="61" t="n">
        <v>76.55</v>
      </c>
      <c r="J577" s="61" t="n">
        <f aca="false">H577*Resumo!$C$6</f>
        <v>0</v>
      </c>
      <c r="K577" s="61" t="n">
        <f aca="false">H577*Resumo!$C$7</f>
        <v>1.805979</v>
      </c>
      <c r="L577" s="61" t="n">
        <f aca="false">H577*Resumo!$C$8</f>
        <v>1.805979</v>
      </c>
      <c r="M577" s="61" t="n">
        <f aca="false">Resumo!$C$10*CEILING(G577/100,1)</f>
        <v>1.05</v>
      </c>
      <c r="N577" s="61" t="n">
        <f aca="false">Resumo!$C$9</f>
        <v>0</v>
      </c>
      <c r="O577" s="61" t="n">
        <f aca="false">Resumo!$C$13</f>
        <v>13.55</v>
      </c>
      <c r="P577" s="61" t="n">
        <f aca="false">Resumo!$C$14*CEILING(G577,1)</f>
        <v>31.5</v>
      </c>
      <c r="Q577" s="61" t="n">
        <f aca="false">SUM(I577:P577)*Resumo!$C$11</f>
        <v>0</v>
      </c>
      <c r="R577" s="61" t="n">
        <f aca="false">SUM(I577:Q577)</f>
        <v>126.261958</v>
      </c>
      <c r="S577" s="61" t="n">
        <f aca="false">R577/(1-Resumo!$C$5)</f>
        <v>143.479497727273</v>
      </c>
      <c r="T577" s="61" t="n">
        <v>131.02</v>
      </c>
      <c r="U577" s="61" t="n">
        <f aca="false">H577*Resumo!$B$6</f>
        <v>0.85999</v>
      </c>
      <c r="V577" s="61" t="n">
        <f aca="false">H577*Resumo!$B$7</f>
        <v>1.71998</v>
      </c>
      <c r="W577" s="61" t="n">
        <f aca="false">Resumo!$B$9</f>
        <v>1</v>
      </c>
      <c r="X577" s="61" t="n">
        <f aca="false">Resumo!$B$10*CEILING(G577/100,1)</f>
        <v>4.5</v>
      </c>
      <c r="Y577" s="61" t="n">
        <f aca="false">Resumo!$B$12*CEILING(G577,1)</f>
        <v>4.2</v>
      </c>
      <c r="Z577" s="61" t="n">
        <f aca="false">Resumo!$B$14*CEILING(G577,1)</f>
        <v>31.5</v>
      </c>
      <c r="AA577" s="61" t="n">
        <f aca="false">SUM(T577:Z577)</f>
        <v>174.79997</v>
      </c>
      <c r="AB577" s="61" t="n">
        <f aca="false">AA577/(1-Resumo!$B$5)</f>
        <v>198.636329545455</v>
      </c>
      <c r="AC577" s="61" t="n">
        <f aca="false">AB577-S577</f>
        <v>55.1568318181818</v>
      </c>
      <c r="AD577" s="62" t="n">
        <f aca="false">AB577/S577-1</f>
        <v>0.384423089653021</v>
      </c>
      <c r="AE577" s="60" t="str">
        <f aca="false">IF(AB577&lt;S577,"SIM","NÃO")</f>
        <v>NÃO</v>
      </c>
      <c r="AF577" s="60" t="n">
        <v>2</v>
      </c>
      <c r="AG577" s="60" t="n">
        <v>5</v>
      </c>
      <c r="AH577" s="60" t="s">
        <v>382</v>
      </c>
      <c r="AI577" s="61" t="n">
        <f aca="false">(T577*(1-Painel!$C$40)+U577+V577+Painel!$C$41+Painel!$C$42*CEILING(G577/100,1)+Painel!$C$43*CEILING(G577,1)+Z577)/(1-Resumo!$B$5)</f>
        <v>140.810647727273</v>
      </c>
      <c r="AJ577" s="60" t="str">
        <f aca="false">IF(AI577&lt;S577,"SIM","NÃO")</f>
        <v>SIM</v>
      </c>
    </row>
    <row r="578" customFormat="false" ht="15" hidden="false" customHeight="false" outlineLevel="0" collapsed="false">
      <c r="A578" s="59" t="n">
        <v>46238.8345717593</v>
      </c>
      <c r="B578" s="60" t="s">
        <v>937</v>
      </c>
      <c r="C578" s="60" t="n">
        <v>28926596</v>
      </c>
      <c r="D578" s="60" t="s">
        <v>221</v>
      </c>
      <c r="E578" s="60" t="s">
        <v>24</v>
      </c>
      <c r="F578" s="60" t="s">
        <v>237</v>
      </c>
      <c r="G578" s="60" t="n">
        <v>63.9</v>
      </c>
      <c r="H578" s="61" t="n">
        <v>735.99</v>
      </c>
      <c r="I578" s="61" t="n">
        <v>90.2</v>
      </c>
      <c r="J578" s="61" t="n">
        <f aca="false">H578*Resumo!$C$6</f>
        <v>0</v>
      </c>
      <c r="K578" s="61" t="n">
        <f aca="false">H578*Resumo!$C$7</f>
        <v>1.545579</v>
      </c>
      <c r="L578" s="61" t="n">
        <f aca="false">H578*Resumo!$C$8</f>
        <v>1.545579</v>
      </c>
      <c r="M578" s="61" t="n">
        <f aca="false">Resumo!$C$10*CEILING(G578/100,1)</f>
        <v>1.05</v>
      </c>
      <c r="N578" s="61" t="n">
        <f aca="false">Resumo!$C$9</f>
        <v>0</v>
      </c>
      <c r="O578" s="61" t="n">
        <f aca="false">Resumo!$C$13</f>
        <v>13.55</v>
      </c>
      <c r="P578" s="61" t="n">
        <f aca="false">Resumo!$C$14*CEILING(G578,1)</f>
        <v>28.8</v>
      </c>
      <c r="Q578" s="61" t="n">
        <f aca="false">SUM(I578:P578)*Resumo!$C$11</f>
        <v>0</v>
      </c>
      <c r="R578" s="61" t="n">
        <f aca="false">SUM(I578:Q578)</f>
        <v>136.691158</v>
      </c>
      <c r="S578" s="61" t="n">
        <f aca="false">R578/(1-Resumo!$C$5)</f>
        <v>155.330861363636</v>
      </c>
      <c r="T578" s="61" t="n">
        <v>166.05</v>
      </c>
      <c r="U578" s="61" t="n">
        <f aca="false">H578*Resumo!$B$6</f>
        <v>0.73599</v>
      </c>
      <c r="V578" s="61" t="n">
        <f aca="false">H578*Resumo!$B$7</f>
        <v>1.47198</v>
      </c>
      <c r="W578" s="61" t="n">
        <f aca="false">Resumo!$B$9</f>
        <v>1</v>
      </c>
      <c r="X578" s="61" t="n">
        <f aca="false">Resumo!$B$10*CEILING(G578/100,1)</f>
        <v>4.5</v>
      </c>
      <c r="Y578" s="61" t="n">
        <f aca="false">Resumo!$B$12*CEILING(G578,1)</f>
        <v>3.84</v>
      </c>
      <c r="Z578" s="61" t="n">
        <f aca="false">Resumo!$B$14*CEILING(G578,1)</f>
        <v>28.8</v>
      </c>
      <c r="AA578" s="61" t="n">
        <f aca="false">SUM(T578:Z578)</f>
        <v>206.39797</v>
      </c>
      <c r="AB578" s="61" t="n">
        <f aca="false">AA578/(1-Resumo!$B$5)</f>
        <v>234.543147727273</v>
      </c>
      <c r="AC578" s="61" t="n">
        <f aca="false">AB578-S578</f>
        <v>79.2122863636364</v>
      </c>
      <c r="AD578" s="62" t="n">
        <f aca="false">AB578/S578-1</f>
        <v>0.509958456859368</v>
      </c>
      <c r="AE578" s="60" t="str">
        <f aca="false">IF(AB578&lt;S578,"SIM","NÃO")</f>
        <v>NÃO</v>
      </c>
      <c r="AF578" s="60" t="n">
        <v>13</v>
      </c>
      <c r="AG578" s="60" t="n">
        <v>10</v>
      </c>
      <c r="AH578" s="60" t="s">
        <v>382</v>
      </c>
      <c r="AI578" s="61" t="n">
        <f aca="false">(T578*(1-Painel!$C$40)+U578+V578+Painel!$C$41+Painel!$C$42*CEILING(G578/100,1)+Painel!$C$43*CEILING(G578,1)+Z578)/(1-Resumo!$B$5)</f>
        <v>163.990306818182</v>
      </c>
      <c r="AJ578" s="60" t="str">
        <f aca="false">IF(AI578&lt;S578,"SIM","NÃO")</f>
        <v>NÃO</v>
      </c>
    </row>
    <row r="579" customFormat="false" ht="15" hidden="false" customHeight="false" outlineLevel="0" collapsed="false">
      <c r="A579" s="59" t="n">
        <v>46238.8631712963</v>
      </c>
      <c r="B579" s="60" t="s">
        <v>938</v>
      </c>
      <c r="C579" s="60" t="n">
        <v>25946148</v>
      </c>
      <c r="D579" s="60" t="s">
        <v>280</v>
      </c>
      <c r="E579" s="60" t="s">
        <v>24</v>
      </c>
      <c r="F579" s="60" t="s">
        <v>237</v>
      </c>
      <c r="G579" s="60" t="n">
        <v>63.9</v>
      </c>
      <c r="H579" s="61" t="n">
        <v>735.99</v>
      </c>
      <c r="I579" s="61" t="n">
        <v>90.2</v>
      </c>
      <c r="J579" s="61" t="n">
        <f aca="false">H579*Resumo!$C$6</f>
        <v>0</v>
      </c>
      <c r="K579" s="61" t="n">
        <f aca="false">H579*Resumo!$C$7</f>
        <v>1.545579</v>
      </c>
      <c r="L579" s="61" t="n">
        <f aca="false">H579*Resumo!$C$8</f>
        <v>1.545579</v>
      </c>
      <c r="M579" s="61" t="n">
        <f aca="false">Resumo!$C$10*CEILING(G579/100,1)</f>
        <v>1.05</v>
      </c>
      <c r="N579" s="61" t="n">
        <f aca="false">Resumo!$C$9</f>
        <v>0</v>
      </c>
      <c r="O579" s="61" t="n">
        <f aca="false">Resumo!$C$13</f>
        <v>13.55</v>
      </c>
      <c r="P579" s="61" t="n">
        <f aca="false">Resumo!$C$14*CEILING(G579,1)</f>
        <v>28.8</v>
      </c>
      <c r="Q579" s="61" t="n">
        <f aca="false">SUM(I579:P579)*Resumo!$C$11</f>
        <v>0</v>
      </c>
      <c r="R579" s="61" t="n">
        <f aca="false">SUM(I579:Q579)</f>
        <v>136.691158</v>
      </c>
      <c r="S579" s="61" t="n">
        <f aca="false">R579/(1-Resumo!$C$5)</f>
        <v>155.330861363636</v>
      </c>
      <c r="T579" s="61" t="n">
        <v>136.53</v>
      </c>
      <c r="U579" s="61" t="n">
        <f aca="false">H579*Resumo!$B$6</f>
        <v>0.73599</v>
      </c>
      <c r="V579" s="61" t="n">
        <f aca="false">H579*Resumo!$B$7</f>
        <v>1.47198</v>
      </c>
      <c r="W579" s="61" t="n">
        <f aca="false">Resumo!$B$9</f>
        <v>1</v>
      </c>
      <c r="X579" s="61" t="n">
        <f aca="false">Resumo!$B$10*CEILING(G579/100,1)</f>
        <v>4.5</v>
      </c>
      <c r="Y579" s="61" t="n">
        <f aca="false">Resumo!$B$12*CEILING(G579,1)</f>
        <v>3.84</v>
      </c>
      <c r="Z579" s="61" t="n">
        <f aca="false">Resumo!$B$14*CEILING(G579,1)</f>
        <v>28.8</v>
      </c>
      <c r="AA579" s="61" t="n">
        <f aca="false">SUM(T579:Z579)</f>
        <v>176.87797</v>
      </c>
      <c r="AB579" s="61" t="n">
        <f aca="false">AA579/(1-Resumo!$B$5)</f>
        <v>200.997693181818</v>
      </c>
      <c r="AC579" s="61" t="n">
        <f aca="false">AB579-S579</f>
        <v>45.6668318181818</v>
      </c>
      <c r="AD579" s="62" t="n">
        <f aca="false">AB579/S579-1</f>
        <v>0.293997158177561</v>
      </c>
      <c r="AE579" s="60" t="str">
        <f aca="false">IF(AB579&lt;S579,"SIM","NÃO")</f>
        <v>NÃO</v>
      </c>
      <c r="AF579" s="60" t="n">
        <v>13</v>
      </c>
      <c r="AG579" s="60" t="n">
        <v>6</v>
      </c>
      <c r="AH579" s="60" t="s">
        <v>385</v>
      </c>
      <c r="AI579" s="61" t="n">
        <f aca="false">(T579*(1-Painel!$C$40)+U579+V579+Painel!$C$41+Painel!$C$42*CEILING(G579/100,1)+Painel!$C$43*CEILING(G579,1)+Z579)/(1-Resumo!$B$5)</f>
        <v>141.514852272727</v>
      </c>
      <c r="AJ579" s="60" t="str">
        <f aca="false">IF(AI579&lt;S579,"SIM","NÃO")</f>
        <v>SIM</v>
      </c>
    </row>
    <row r="580" customFormat="false" ht="15" hidden="false" customHeight="false" outlineLevel="0" collapsed="false">
      <c r="A580" s="59" t="n">
        <v>46238.8660648148</v>
      </c>
      <c r="B580" s="60" t="s">
        <v>939</v>
      </c>
      <c r="C580" s="60" t="n">
        <v>26562421</v>
      </c>
      <c r="D580" s="60" t="s">
        <v>224</v>
      </c>
      <c r="E580" s="60" t="s">
        <v>23</v>
      </c>
      <c r="F580" s="60" t="s">
        <v>234</v>
      </c>
      <c r="G580" s="60" t="n">
        <v>40</v>
      </c>
      <c r="H580" s="61" t="n">
        <v>599.99</v>
      </c>
      <c r="I580" s="61" t="n">
        <v>66.83</v>
      </c>
      <c r="J580" s="61" t="n">
        <f aca="false">H580*Resumo!$C$6</f>
        <v>0</v>
      </c>
      <c r="K580" s="61" t="n">
        <f aca="false">H580*Resumo!$C$7</f>
        <v>1.259979</v>
      </c>
      <c r="L580" s="61" t="n">
        <f aca="false">H580*Resumo!$C$8</f>
        <v>1.259979</v>
      </c>
      <c r="M580" s="61" t="n">
        <f aca="false">Resumo!$C$10*CEILING(G580/100,1)</f>
        <v>1.05</v>
      </c>
      <c r="N580" s="61" t="n">
        <f aca="false">Resumo!$C$9</f>
        <v>0</v>
      </c>
      <c r="O580" s="61" t="n">
        <f aca="false">Resumo!$C$13</f>
        <v>13.55</v>
      </c>
      <c r="P580" s="61" t="n">
        <f aca="false">Resumo!$C$14*CEILING(G580,1)</f>
        <v>18</v>
      </c>
      <c r="Q580" s="61" t="n">
        <f aca="false">SUM(I580:P580)*Resumo!$C$11</f>
        <v>0</v>
      </c>
      <c r="R580" s="61" t="n">
        <f aca="false">SUM(I580:Q580)</f>
        <v>101.949958</v>
      </c>
      <c r="S580" s="61" t="n">
        <f aca="false">R580/(1-Resumo!$C$5)</f>
        <v>115.852225</v>
      </c>
      <c r="T580" s="61" t="n">
        <v>93.97</v>
      </c>
      <c r="U580" s="61" t="n">
        <f aca="false">H580*Resumo!$B$6</f>
        <v>0.59999</v>
      </c>
      <c r="V580" s="61" t="n">
        <f aca="false">H580*Resumo!$B$7</f>
        <v>1.19998</v>
      </c>
      <c r="W580" s="61" t="n">
        <f aca="false">Resumo!$B$9</f>
        <v>1</v>
      </c>
      <c r="X580" s="61" t="n">
        <f aca="false">Resumo!$B$10*CEILING(G580/100,1)</f>
        <v>4.5</v>
      </c>
      <c r="Y580" s="61" t="n">
        <f aca="false">Resumo!$B$12*CEILING(G580,1)</f>
        <v>2.4</v>
      </c>
      <c r="Z580" s="61" t="n">
        <f aca="false">Resumo!$B$14*CEILING(G580,1)</f>
        <v>18</v>
      </c>
      <c r="AA580" s="61" t="n">
        <f aca="false">SUM(T580:Z580)</f>
        <v>121.66997</v>
      </c>
      <c r="AB580" s="61" t="n">
        <f aca="false">AA580/(1-Resumo!$B$5)</f>
        <v>138.261329545455</v>
      </c>
      <c r="AC580" s="61" t="n">
        <f aca="false">AB580-S580</f>
        <v>22.4091045454546</v>
      </c>
      <c r="AD580" s="62" t="n">
        <f aca="false">AB580/S580-1</f>
        <v>0.193428348445225</v>
      </c>
      <c r="AE580" s="60" t="str">
        <f aca="false">IF(AB580&lt;S580,"SIM","NÃO")</f>
        <v>NÃO</v>
      </c>
      <c r="AF580" s="60" t="n">
        <v>2</v>
      </c>
      <c r="AG580" s="60" t="n">
        <v>5</v>
      </c>
      <c r="AH580" s="60" t="s">
        <v>382</v>
      </c>
      <c r="AI580" s="61" t="n">
        <f aca="false">(T580*(1-Painel!$C$40)+U580+V580+Painel!$C$41+Painel!$C$42*CEILING(G580/100,1)+Painel!$C$43*CEILING(G580,1)+Z580)/(1-Resumo!$B$5)</f>
        <v>96.3748522727273</v>
      </c>
      <c r="AJ580" s="60" t="str">
        <f aca="false">IF(AI580&lt;S580,"SIM","NÃO")</f>
        <v>SIM</v>
      </c>
    </row>
    <row r="581" customFormat="false" ht="15" hidden="false" customHeight="false" outlineLevel="0" collapsed="false">
      <c r="A581" s="59" t="n">
        <v>46238.8905902778</v>
      </c>
      <c r="B581" s="60" t="s">
        <v>940</v>
      </c>
      <c r="C581" s="60" t="n">
        <v>26582220</v>
      </c>
      <c r="D581" s="60" t="s">
        <v>224</v>
      </c>
      <c r="E581" s="60" t="s">
        <v>23</v>
      </c>
      <c r="F581" s="60" t="s">
        <v>240</v>
      </c>
      <c r="G581" s="60" t="n">
        <v>106.5</v>
      </c>
      <c r="H581" s="61" t="n">
        <v>1163.99</v>
      </c>
      <c r="I581" s="61" t="n">
        <v>101.26</v>
      </c>
      <c r="J581" s="61" t="n">
        <f aca="false">H581*Resumo!$C$6</f>
        <v>0</v>
      </c>
      <c r="K581" s="61" t="n">
        <f aca="false">H581*Resumo!$C$7</f>
        <v>2.444379</v>
      </c>
      <c r="L581" s="61" t="n">
        <f aca="false">H581*Resumo!$C$8</f>
        <v>2.444379</v>
      </c>
      <c r="M581" s="61" t="n">
        <f aca="false">Resumo!$C$10*CEILING(G581/100,1)</f>
        <v>2.1</v>
      </c>
      <c r="N581" s="61" t="n">
        <f aca="false">Resumo!$C$9</f>
        <v>0</v>
      </c>
      <c r="O581" s="61" t="n">
        <f aca="false">Resumo!$C$13</f>
        <v>13.55</v>
      </c>
      <c r="P581" s="61" t="n">
        <f aca="false">Resumo!$C$14*CEILING(G581,1)</f>
        <v>48.15</v>
      </c>
      <c r="Q581" s="61" t="n">
        <f aca="false">SUM(I581:P581)*Resumo!$C$11</f>
        <v>0</v>
      </c>
      <c r="R581" s="61" t="n">
        <f aca="false">SUM(I581:Q581)</f>
        <v>169.948758</v>
      </c>
      <c r="S581" s="61" t="n">
        <f aca="false">R581/(1-Resumo!$C$5)</f>
        <v>193.123588636364</v>
      </c>
      <c r="T581" s="61" t="n">
        <v>201.59</v>
      </c>
      <c r="U581" s="61" t="n">
        <f aca="false">H581*Resumo!$B$6</f>
        <v>1.16399</v>
      </c>
      <c r="V581" s="61" t="n">
        <f aca="false">H581*Resumo!$B$7</f>
        <v>2.32798</v>
      </c>
      <c r="W581" s="61" t="n">
        <f aca="false">Resumo!$B$9</f>
        <v>1</v>
      </c>
      <c r="X581" s="61" t="n">
        <f aca="false">Resumo!$B$10*CEILING(G581/100,1)</f>
        <v>9</v>
      </c>
      <c r="Y581" s="61" t="n">
        <f aca="false">Resumo!$B$12*CEILING(G581,1)</f>
        <v>6.42</v>
      </c>
      <c r="Z581" s="61" t="n">
        <f aca="false">Resumo!$B$14*CEILING(G581,1)</f>
        <v>48.15</v>
      </c>
      <c r="AA581" s="61" t="n">
        <f aca="false">SUM(T581:Z581)</f>
        <v>269.65197</v>
      </c>
      <c r="AB581" s="61" t="n">
        <f aca="false">AA581/(1-Resumo!$B$5)</f>
        <v>306.422693181818</v>
      </c>
      <c r="AC581" s="61" t="n">
        <f aca="false">AB581-S581</f>
        <v>113.299104545455</v>
      </c>
      <c r="AD581" s="62" t="n">
        <f aca="false">AB581/S581-1</f>
        <v>0.586666317384915</v>
      </c>
      <c r="AE581" s="60" t="str">
        <f aca="false">IF(AB581&lt;S581,"SIM","NÃO")</f>
        <v>NÃO</v>
      </c>
      <c r="AF581" s="60" t="n">
        <v>2</v>
      </c>
      <c r="AG581" s="60" t="n">
        <v>5</v>
      </c>
      <c r="AH581" s="60" t="s">
        <v>382</v>
      </c>
      <c r="AI581" s="61" t="n">
        <f aca="false">(T581*(1-Painel!$C$40)+U581+V581+Painel!$C$41+Painel!$C$42*CEILING(G581/100,1)+Painel!$C$43*CEILING(G581,1)+Z581)/(1-Resumo!$B$5)</f>
        <v>215.690079545455</v>
      </c>
      <c r="AJ581" s="60" t="str">
        <f aca="false">IF(AI581&lt;S581,"SIM","NÃO")</f>
        <v>NÃO</v>
      </c>
    </row>
    <row r="582" customFormat="false" ht="15" hidden="false" customHeight="false" outlineLevel="0" collapsed="false">
      <c r="A582" s="59" t="n">
        <v>46238.8923958333</v>
      </c>
      <c r="B582" s="60" t="s">
        <v>941</v>
      </c>
      <c r="C582" s="60" t="n">
        <v>24812280</v>
      </c>
      <c r="D582" s="60" t="s">
        <v>223</v>
      </c>
      <c r="E582" s="60" t="s">
        <v>24</v>
      </c>
      <c r="F582" s="60" t="s">
        <v>234</v>
      </c>
      <c r="G582" s="60" t="n">
        <v>37.2</v>
      </c>
      <c r="H582" s="61" t="n">
        <v>399.99</v>
      </c>
      <c r="I582" s="61" t="n">
        <v>74.97</v>
      </c>
      <c r="J582" s="61" t="n">
        <f aca="false">H582*Resumo!$C$6</f>
        <v>0</v>
      </c>
      <c r="K582" s="61" t="n">
        <f aca="false">H582*Resumo!$C$7</f>
        <v>0.839979</v>
      </c>
      <c r="L582" s="61" t="n">
        <f aca="false">H582*Resumo!$C$8</f>
        <v>0.839979</v>
      </c>
      <c r="M582" s="61" t="n">
        <f aca="false">Resumo!$C$10*CEILING(G582/100,1)</f>
        <v>1.05</v>
      </c>
      <c r="N582" s="61" t="n">
        <f aca="false">Resumo!$C$9</f>
        <v>0</v>
      </c>
      <c r="O582" s="61" t="n">
        <f aca="false">Resumo!$C$13</f>
        <v>13.55</v>
      </c>
      <c r="P582" s="61" t="n">
        <f aca="false">Resumo!$C$14*CEILING(G582,1)</f>
        <v>17.1</v>
      </c>
      <c r="Q582" s="61" t="n">
        <f aca="false">SUM(I582:P582)*Resumo!$C$11</f>
        <v>0</v>
      </c>
      <c r="R582" s="61" t="n">
        <f aca="false">SUM(I582:Q582)</f>
        <v>108.349958</v>
      </c>
      <c r="S582" s="61" t="n">
        <f aca="false">R582/(1-Resumo!$C$5)</f>
        <v>123.124952272727</v>
      </c>
      <c r="T582" s="61" t="n">
        <v>114.95</v>
      </c>
      <c r="U582" s="61" t="n">
        <f aca="false">H582*Resumo!$B$6</f>
        <v>0.39999</v>
      </c>
      <c r="V582" s="61" t="n">
        <f aca="false">H582*Resumo!$B$7</f>
        <v>0.79998</v>
      </c>
      <c r="W582" s="61" t="n">
        <f aca="false">Resumo!$B$9</f>
        <v>1</v>
      </c>
      <c r="X582" s="61" t="n">
        <f aca="false">Resumo!$B$10*CEILING(G582/100,1)</f>
        <v>4.5</v>
      </c>
      <c r="Y582" s="61" t="n">
        <f aca="false">Resumo!$B$12*CEILING(G582,1)</f>
        <v>2.28</v>
      </c>
      <c r="Z582" s="61" t="n">
        <f aca="false">Resumo!$B$14*CEILING(G582,1)</f>
        <v>17.1</v>
      </c>
      <c r="AA582" s="61" t="n">
        <f aca="false">SUM(T582:Z582)</f>
        <v>141.02997</v>
      </c>
      <c r="AB582" s="61" t="n">
        <f aca="false">AA582/(1-Resumo!$B$5)</f>
        <v>160.261329545455</v>
      </c>
      <c r="AC582" s="61" t="n">
        <f aca="false">AB582-S582</f>
        <v>37.1363772727273</v>
      </c>
      <c r="AD582" s="62" t="n">
        <f aca="false">AB582/S582-1</f>
        <v>0.301615363801064</v>
      </c>
      <c r="AE582" s="60" t="str">
        <f aca="false">IF(AB582&lt;S582,"SIM","NÃO")</f>
        <v>NÃO</v>
      </c>
      <c r="AF582" s="60" t="n">
        <v>13</v>
      </c>
      <c r="AG582" s="60" t="n">
        <v>7</v>
      </c>
      <c r="AH582" s="60" t="s">
        <v>382</v>
      </c>
      <c r="AI582" s="61" t="n">
        <f aca="false">(T582*(1-Painel!$C$40)+U582+V582+Painel!$C$41+Painel!$C$42*CEILING(G582/100,1)+Painel!$C$43*CEILING(G582,1)+Z582)/(1-Resumo!$B$5)</f>
        <v>110.643715909091</v>
      </c>
      <c r="AJ582" s="60" t="str">
        <f aca="false">IF(AI582&lt;S582,"SIM","NÃO")</f>
        <v>SIM</v>
      </c>
    </row>
    <row r="583" customFormat="false" ht="15" hidden="false" customHeight="false" outlineLevel="0" collapsed="false">
      <c r="A583" s="59" t="n">
        <v>46238.8963310185</v>
      </c>
      <c r="B583" s="60" t="s">
        <v>942</v>
      </c>
      <c r="C583" s="60" t="n">
        <v>20550210</v>
      </c>
      <c r="D583" s="60" t="s">
        <v>46</v>
      </c>
      <c r="E583" s="60" t="s">
        <v>22</v>
      </c>
      <c r="F583" s="60" t="s">
        <v>232</v>
      </c>
      <c r="G583" s="60" t="n">
        <v>19.5</v>
      </c>
      <c r="H583" s="61" t="n">
        <v>379.99</v>
      </c>
      <c r="I583" s="61" t="n">
        <v>33.42</v>
      </c>
      <c r="J583" s="61" t="n">
        <f aca="false">H583*Resumo!$C$6</f>
        <v>0</v>
      </c>
      <c r="K583" s="61" t="n">
        <f aca="false">H583*Resumo!$C$7</f>
        <v>0.797979</v>
      </c>
      <c r="L583" s="61" t="n">
        <f aca="false">H583*Resumo!$C$8</f>
        <v>0.797979</v>
      </c>
      <c r="M583" s="61" t="n">
        <f aca="false">Resumo!$C$10*CEILING(G583/100,1)</f>
        <v>1.05</v>
      </c>
      <c r="N583" s="61" t="n">
        <f aca="false">Resumo!$C$9</f>
        <v>0</v>
      </c>
      <c r="O583" s="61" t="n">
        <f aca="false">Resumo!$C$13</f>
        <v>13.55</v>
      </c>
      <c r="P583" s="61" t="n">
        <f aca="false">Resumo!$C$14*CEILING(G583,1)</f>
        <v>9</v>
      </c>
      <c r="Q583" s="61" t="n">
        <f aca="false">SUM(I583:P583)*Resumo!$C$11</f>
        <v>0</v>
      </c>
      <c r="R583" s="61" t="n">
        <f aca="false">SUM(I583:Q583)</f>
        <v>58.615958</v>
      </c>
      <c r="S583" s="61" t="n">
        <f aca="false">R583/(1-Resumo!$C$5)</f>
        <v>66.6090431818182</v>
      </c>
      <c r="T583" s="61" t="n">
        <v>46.98</v>
      </c>
      <c r="U583" s="61" t="n">
        <f aca="false">H583*Resumo!$B$6</f>
        <v>0.37999</v>
      </c>
      <c r="V583" s="61" t="n">
        <f aca="false">H583*Resumo!$B$7</f>
        <v>0.75998</v>
      </c>
      <c r="W583" s="61" t="n">
        <f aca="false">Resumo!$B$9</f>
        <v>1</v>
      </c>
      <c r="X583" s="61" t="n">
        <f aca="false">Resumo!$B$10*CEILING(G583/100,1)</f>
        <v>4.5</v>
      </c>
      <c r="Y583" s="61" t="n">
        <f aca="false">Resumo!$B$12*CEILING(G583,1)</f>
        <v>1.2</v>
      </c>
      <c r="Z583" s="61" t="n">
        <f aca="false">Resumo!$B$14*CEILING(G583,1)</f>
        <v>9</v>
      </c>
      <c r="AA583" s="61" t="n">
        <f aca="false">SUM(T583:Z583)</f>
        <v>63.81997</v>
      </c>
      <c r="AB583" s="61" t="n">
        <f aca="false">AA583/(1-Resumo!$B$5)</f>
        <v>72.5226931818182</v>
      </c>
      <c r="AC583" s="61" t="n">
        <f aca="false">AB583-S583</f>
        <v>5.91365</v>
      </c>
      <c r="AD583" s="62" t="n">
        <f aca="false">AB583/S583-1</f>
        <v>0.0887814884813449</v>
      </c>
      <c r="AE583" s="60" t="str">
        <f aca="false">IF(AB583&lt;S583,"SIM","NÃO")</f>
        <v>NÃO</v>
      </c>
      <c r="AF583" s="60" t="n">
        <v>2</v>
      </c>
      <c r="AG583" s="60" t="n">
        <v>5</v>
      </c>
      <c r="AH583" s="60" t="s">
        <v>382</v>
      </c>
      <c r="AI583" s="61" t="n">
        <f aca="false">(T583*(1-Painel!$C$40)+U583+V583+Painel!$C$41+Painel!$C$42*CEILING(G583/100,1)+Painel!$C$43*CEILING(G583,1)+Z583)/(1-Resumo!$B$5)</f>
        <v>49.6211022727273</v>
      </c>
      <c r="AJ583" s="60" t="str">
        <f aca="false">IF(AI583&lt;S583,"SIM","NÃO")</f>
        <v>SIM</v>
      </c>
    </row>
    <row r="584" customFormat="false" ht="15" hidden="false" customHeight="false" outlineLevel="0" collapsed="false">
      <c r="A584" s="59" t="n">
        <v>46238.9312847222</v>
      </c>
      <c r="B584" s="60" t="s">
        <v>943</v>
      </c>
      <c r="C584" s="60" t="n">
        <v>25214415</v>
      </c>
      <c r="D584" s="60" t="s">
        <v>48</v>
      </c>
      <c r="E584" s="60" t="s">
        <v>23</v>
      </c>
      <c r="F584" s="60" t="s">
        <v>232</v>
      </c>
      <c r="G584" s="60" t="n">
        <v>19.8</v>
      </c>
      <c r="H584" s="61" t="n">
        <v>329.99</v>
      </c>
      <c r="I584" s="61" t="n">
        <v>42.72</v>
      </c>
      <c r="J584" s="61" t="n">
        <f aca="false">H584*Resumo!$C$6</f>
        <v>0</v>
      </c>
      <c r="K584" s="61" t="n">
        <f aca="false">H584*Resumo!$C$7</f>
        <v>0.692979</v>
      </c>
      <c r="L584" s="61" t="n">
        <f aca="false">H584*Resumo!$C$8</f>
        <v>0.692979</v>
      </c>
      <c r="M584" s="61" t="n">
        <f aca="false">Resumo!$C$10*CEILING(G584/100,1)</f>
        <v>1.05</v>
      </c>
      <c r="N584" s="61" t="n">
        <f aca="false">Resumo!$C$9</f>
        <v>0</v>
      </c>
      <c r="O584" s="61" t="n">
        <f aca="false">Resumo!$C$13</f>
        <v>13.55</v>
      </c>
      <c r="P584" s="61" t="n">
        <f aca="false">Resumo!$C$14*CEILING(G584,1)</f>
        <v>9</v>
      </c>
      <c r="Q584" s="61" t="n">
        <f aca="false">SUM(I584:P584)*Resumo!$C$11</f>
        <v>0</v>
      </c>
      <c r="R584" s="61" t="n">
        <f aca="false">SUM(I584:Q584)</f>
        <v>67.705958</v>
      </c>
      <c r="S584" s="61" t="n">
        <f aca="false">R584/(1-Resumo!$C$5)</f>
        <v>76.9385886363637</v>
      </c>
      <c r="T584" s="61" t="n">
        <v>46.98</v>
      </c>
      <c r="U584" s="61" t="n">
        <f aca="false">H584*Resumo!$B$6</f>
        <v>0.32999</v>
      </c>
      <c r="V584" s="61" t="n">
        <f aca="false">H584*Resumo!$B$7</f>
        <v>0.65998</v>
      </c>
      <c r="W584" s="61" t="n">
        <f aca="false">Resumo!$B$9</f>
        <v>1</v>
      </c>
      <c r="X584" s="61" t="n">
        <f aca="false">Resumo!$B$10*CEILING(G584/100,1)</f>
        <v>4.5</v>
      </c>
      <c r="Y584" s="61" t="n">
        <f aca="false">Resumo!$B$12*CEILING(G584,1)</f>
        <v>1.2</v>
      </c>
      <c r="Z584" s="61" t="n">
        <f aca="false">Resumo!$B$14*CEILING(G584,1)</f>
        <v>9</v>
      </c>
      <c r="AA584" s="61" t="n">
        <f aca="false">SUM(T584:Z584)</f>
        <v>63.66997</v>
      </c>
      <c r="AB584" s="61" t="n">
        <f aca="false">AA584/(1-Resumo!$B$5)</f>
        <v>72.3522386363636</v>
      </c>
      <c r="AC584" s="61" t="n">
        <f aca="false">AB584-S584</f>
        <v>-4.58635000000001</v>
      </c>
      <c r="AD584" s="62" t="n">
        <f aca="false">AB584/S584-1</f>
        <v>-0.0596105294012679</v>
      </c>
      <c r="AE584" s="60" t="str">
        <f aca="false">IF(AB584&lt;S584,"SIM","NÃO")</f>
        <v>SIM</v>
      </c>
      <c r="AF584" s="60" t="n">
        <v>2</v>
      </c>
      <c r="AG584" s="60" t="n">
        <v>5</v>
      </c>
      <c r="AH584" s="60" t="s">
        <v>382</v>
      </c>
      <c r="AI584" s="61" t="n">
        <f aca="false">(T584*(1-Painel!$C$40)+U584+V584+Painel!$C$41+Painel!$C$42*CEILING(G584/100,1)+Painel!$C$43*CEILING(G584,1)+Z584)/(1-Resumo!$B$5)</f>
        <v>49.4506477272727</v>
      </c>
      <c r="AJ584" s="60" t="str">
        <f aca="false">IF(AI584&lt;S584,"SIM","NÃO")</f>
        <v>SIM</v>
      </c>
    </row>
    <row r="585" customFormat="false" ht="15" hidden="false" customHeight="false" outlineLevel="0" collapsed="false">
      <c r="A585" s="59" t="n">
        <v>46238.9324652778</v>
      </c>
      <c r="B585" s="60" t="s">
        <v>944</v>
      </c>
      <c r="C585" s="60" t="n">
        <v>21341270</v>
      </c>
      <c r="D585" s="60" t="s">
        <v>46</v>
      </c>
      <c r="E585" s="60" t="s">
        <v>22</v>
      </c>
      <c r="F585" s="60" t="s">
        <v>237</v>
      </c>
      <c r="G585" s="60" t="n">
        <v>69.75</v>
      </c>
      <c r="H585" s="61" t="n">
        <v>859.99</v>
      </c>
      <c r="I585" s="61" t="n">
        <v>63.21</v>
      </c>
      <c r="J585" s="61" t="n">
        <f aca="false">H585*Resumo!$C$6</f>
        <v>0</v>
      </c>
      <c r="K585" s="61" t="n">
        <f aca="false">H585*Resumo!$C$7</f>
        <v>1.805979</v>
      </c>
      <c r="L585" s="61" t="n">
        <f aca="false">H585*Resumo!$C$8</f>
        <v>1.805979</v>
      </c>
      <c r="M585" s="61" t="n">
        <f aca="false">Resumo!$C$10*CEILING(G585/100,1)</f>
        <v>1.05</v>
      </c>
      <c r="N585" s="61" t="n">
        <f aca="false">Resumo!$C$9</f>
        <v>0</v>
      </c>
      <c r="O585" s="61" t="n">
        <f aca="false">Resumo!$C$13</f>
        <v>13.55</v>
      </c>
      <c r="P585" s="61" t="n">
        <f aca="false">Resumo!$C$14*CEILING(G585,1)</f>
        <v>31.5</v>
      </c>
      <c r="Q585" s="61" t="n">
        <f aca="false">SUM(I585:P585)*Resumo!$C$11</f>
        <v>0</v>
      </c>
      <c r="R585" s="61" t="n">
        <f aca="false">SUM(I585:Q585)</f>
        <v>112.921958</v>
      </c>
      <c r="S585" s="61" t="n">
        <f aca="false">R585/(1-Resumo!$C$5)</f>
        <v>128.320406818182</v>
      </c>
      <c r="T585" s="61" t="n">
        <v>131.02</v>
      </c>
      <c r="U585" s="61" t="n">
        <f aca="false">H585*Resumo!$B$6</f>
        <v>0.85999</v>
      </c>
      <c r="V585" s="61" t="n">
        <f aca="false">H585*Resumo!$B$7</f>
        <v>1.71998</v>
      </c>
      <c r="W585" s="61" t="n">
        <f aca="false">Resumo!$B$9</f>
        <v>1</v>
      </c>
      <c r="X585" s="61" t="n">
        <f aca="false">Resumo!$B$10*CEILING(G585/100,1)</f>
        <v>4.5</v>
      </c>
      <c r="Y585" s="61" t="n">
        <f aca="false">Resumo!$B$12*CEILING(G585,1)</f>
        <v>4.2</v>
      </c>
      <c r="Z585" s="61" t="n">
        <f aca="false">Resumo!$B$14*CEILING(G585,1)</f>
        <v>31.5</v>
      </c>
      <c r="AA585" s="61" t="n">
        <f aca="false">SUM(T585:Z585)</f>
        <v>174.79997</v>
      </c>
      <c r="AB585" s="61" t="n">
        <f aca="false">AA585/(1-Resumo!$B$5)</f>
        <v>198.636329545455</v>
      </c>
      <c r="AC585" s="61" t="n">
        <f aca="false">AB585-S585</f>
        <v>70.3159227272727</v>
      </c>
      <c r="AD585" s="62" t="n">
        <f aca="false">AB585/S585-1</f>
        <v>0.547971476017091</v>
      </c>
      <c r="AE585" s="60" t="str">
        <f aca="false">IF(AB585&lt;S585,"SIM","NÃO")</f>
        <v>NÃO</v>
      </c>
      <c r="AF585" s="60" t="n">
        <v>2</v>
      </c>
      <c r="AG585" s="60" t="n">
        <v>5</v>
      </c>
      <c r="AH585" s="60" t="s">
        <v>382</v>
      </c>
      <c r="AI585" s="61" t="n">
        <f aca="false">(T585*(1-Painel!$C$40)+U585+V585+Painel!$C$41+Painel!$C$42*CEILING(G585/100,1)+Painel!$C$43*CEILING(G585,1)+Z585)/(1-Resumo!$B$5)</f>
        <v>140.810647727273</v>
      </c>
      <c r="AJ585" s="60" t="str">
        <f aca="false">IF(AI585&lt;S585,"SIM","NÃO")</f>
        <v>NÃO</v>
      </c>
    </row>
    <row r="586" customFormat="false" ht="15" hidden="false" customHeight="false" outlineLevel="0" collapsed="false">
      <c r="A586" s="59" t="n">
        <v>46239.0077662037</v>
      </c>
      <c r="B586" s="60" t="s">
        <v>945</v>
      </c>
      <c r="C586" s="60" t="n">
        <v>21853054</v>
      </c>
      <c r="D586" s="60" t="s">
        <v>46</v>
      </c>
      <c r="E586" s="60" t="s">
        <v>22</v>
      </c>
      <c r="F586" s="60" t="s">
        <v>233</v>
      </c>
      <c r="G586" s="60" t="n">
        <v>33</v>
      </c>
      <c r="H586" s="61" t="n">
        <v>519.99</v>
      </c>
      <c r="I586" s="61" t="n">
        <v>42.11</v>
      </c>
      <c r="J586" s="61" t="n">
        <f aca="false">H586*Resumo!$C$6</f>
        <v>0</v>
      </c>
      <c r="K586" s="61" t="n">
        <f aca="false">H586*Resumo!$C$7</f>
        <v>1.091979</v>
      </c>
      <c r="L586" s="61" t="n">
        <f aca="false">H586*Resumo!$C$8</f>
        <v>1.091979</v>
      </c>
      <c r="M586" s="61" t="n">
        <f aca="false">Resumo!$C$10*CEILING(G586/100,1)</f>
        <v>1.05</v>
      </c>
      <c r="N586" s="61" t="n">
        <f aca="false">Resumo!$C$9</f>
        <v>0</v>
      </c>
      <c r="O586" s="61" t="n">
        <f aca="false">Resumo!$C$13</f>
        <v>13.55</v>
      </c>
      <c r="P586" s="61" t="n">
        <f aca="false">Resumo!$C$14*CEILING(G586,1)</f>
        <v>14.85</v>
      </c>
      <c r="Q586" s="61" t="n">
        <f aca="false">SUM(I586:P586)*Resumo!$C$11</f>
        <v>0</v>
      </c>
      <c r="R586" s="61" t="n">
        <f aca="false">SUM(I586:Q586)</f>
        <v>73.743958</v>
      </c>
      <c r="S586" s="61" t="n">
        <f aca="false">R586/(1-Resumo!$C$5)</f>
        <v>83.7999522727273</v>
      </c>
      <c r="T586" s="61" t="n">
        <v>82.21</v>
      </c>
      <c r="U586" s="61" t="n">
        <f aca="false">H586*Resumo!$B$6</f>
        <v>0.51999</v>
      </c>
      <c r="V586" s="61" t="n">
        <f aca="false">H586*Resumo!$B$7</f>
        <v>1.03998</v>
      </c>
      <c r="W586" s="61" t="n">
        <f aca="false">Resumo!$B$9</f>
        <v>1</v>
      </c>
      <c r="X586" s="61" t="n">
        <f aca="false">Resumo!$B$10*CEILING(G586/100,1)</f>
        <v>4.5</v>
      </c>
      <c r="Y586" s="61" t="n">
        <f aca="false">Resumo!$B$12*CEILING(G586,1)</f>
        <v>1.98</v>
      </c>
      <c r="Z586" s="61" t="n">
        <f aca="false">Resumo!$B$14*CEILING(G586,1)</f>
        <v>14.85</v>
      </c>
      <c r="AA586" s="61" t="n">
        <f aca="false">SUM(T586:Z586)</f>
        <v>106.09997</v>
      </c>
      <c r="AB586" s="61" t="n">
        <f aca="false">AA586/(1-Resumo!$B$5)</f>
        <v>120.568147727273</v>
      </c>
      <c r="AC586" s="61" t="n">
        <f aca="false">AB586-S586</f>
        <v>36.7681954545455</v>
      </c>
      <c r="AD586" s="62" t="n">
        <f aca="false">AB586/S586-1</f>
        <v>0.438761532165116</v>
      </c>
      <c r="AE586" s="60" t="str">
        <f aca="false">IF(AB586&lt;S586,"SIM","NÃO")</f>
        <v>NÃO</v>
      </c>
      <c r="AF586" s="60" t="n">
        <v>2</v>
      </c>
      <c r="AG586" s="60" t="n">
        <v>5</v>
      </c>
      <c r="AH586" s="60" t="s">
        <v>382</v>
      </c>
      <c r="AI586" s="61" t="n">
        <f aca="false">(T586*(1-Painel!$C$40)+U586+V586+Painel!$C$41+Painel!$C$42*CEILING(G586/100,1)+Painel!$C$43*CEILING(G586,1)+Z586)/(1-Resumo!$B$5)</f>
        <v>83.5689431818182</v>
      </c>
      <c r="AJ586" s="60" t="str">
        <f aca="false">IF(AI586&lt;S586,"SIM","NÃO")</f>
        <v>SIM</v>
      </c>
    </row>
    <row r="587" customFormat="false" ht="15" hidden="false" customHeight="false" outlineLevel="0" collapsed="false">
      <c r="A587" s="59" t="n">
        <v>46239.3051851852</v>
      </c>
      <c r="B587" s="60" t="s">
        <v>946</v>
      </c>
      <c r="C587" s="60" t="n">
        <v>25215285</v>
      </c>
      <c r="D587" s="60" t="s">
        <v>48</v>
      </c>
      <c r="E587" s="60" t="s">
        <v>23</v>
      </c>
      <c r="F587" s="60" t="s">
        <v>236</v>
      </c>
      <c r="G587" s="60" t="n">
        <v>52.3</v>
      </c>
      <c r="H587" s="61" t="n">
        <v>685.85</v>
      </c>
      <c r="I587" s="61" t="n">
        <v>70.98</v>
      </c>
      <c r="J587" s="61" t="n">
        <f aca="false">H587*Resumo!$C$6</f>
        <v>0</v>
      </c>
      <c r="K587" s="61" t="n">
        <f aca="false">H587*Resumo!$C$7</f>
        <v>1.440285</v>
      </c>
      <c r="L587" s="61" t="n">
        <f aca="false">H587*Resumo!$C$8</f>
        <v>1.440285</v>
      </c>
      <c r="M587" s="61" t="n">
        <f aca="false">Resumo!$C$10*CEILING(G587/100,1)</f>
        <v>1.05</v>
      </c>
      <c r="N587" s="61" t="n">
        <f aca="false">Resumo!$C$9</f>
        <v>0</v>
      </c>
      <c r="O587" s="61" t="n">
        <f aca="false">Resumo!$C$13</f>
        <v>13.55</v>
      </c>
      <c r="P587" s="61" t="n">
        <f aca="false">Resumo!$C$14*CEILING(G587,1)</f>
        <v>23.85</v>
      </c>
      <c r="Q587" s="61" t="n">
        <f aca="false">SUM(I587:P587)*Resumo!$C$11</f>
        <v>0</v>
      </c>
      <c r="R587" s="61" t="n">
        <f aca="false">SUM(I587:Q587)</f>
        <v>112.31057</v>
      </c>
      <c r="S587" s="61" t="n">
        <f aca="false">R587/(1-Resumo!$C$5)</f>
        <v>127.625647727273</v>
      </c>
      <c r="T587" s="61" t="n">
        <v>112.3</v>
      </c>
      <c r="U587" s="61" t="n">
        <f aca="false">H587*Resumo!$B$6</f>
        <v>0.68585</v>
      </c>
      <c r="V587" s="61" t="n">
        <f aca="false">H587*Resumo!$B$7</f>
        <v>1.3717</v>
      </c>
      <c r="W587" s="61" t="n">
        <f aca="false">Resumo!$B$9</f>
        <v>1</v>
      </c>
      <c r="X587" s="61" t="n">
        <f aca="false">Resumo!$B$10*CEILING(G587/100,1)</f>
        <v>4.5</v>
      </c>
      <c r="Y587" s="61" t="n">
        <f aca="false">Resumo!$B$12*CEILING(G587,1)</f>
        <v>3.18</v>
      </c>
      <c r="Z587" s="61" t="n">
        <f aca="false">Resumo!$B$14*CEILING(G587,1)</f>
        <v>23.85</v>
      </c>
      <c r="AA587" s="61" t="n">
        <f aca="false">SUM(T587:Z587)</f>
        <v>146.88755</v>
      </c>
      <c r="AB587" s="61" t="n">
        <f aca="false">AA587/(1-Resumo!$B$5)</f>
        <v>166.917670454545</v>
      </c>
      <c r="AC587" s="61" t="n">
        <f aca="false">AB587-S587</f>
        <v>39.2920227272727</v>
      </c>
      <c r="AD587" s="62" t="n">
        <f aca="false">AB587/S587-1</f>
        <v>0.30786933055366</v>
      </c>
      <c r="AE587" s="60" t="str">
        <f aca="false">IF(AB587&lt;S587,"SIM","NÃO")</f>
        <v>NÃO</v>
      </c>
      <c r="AF587" s="60" t="n">
        <v>2</v>
      </c>
      <c r="AG587" s="60" t="n">
        <v>5</v>
      </c>
      <c r="AH587" s="60" t="s">
        <v>382</v>
      </c>
      <c r="AI587" s="61" t="n">
        <f aca="false">(T587*(1-Painel!$C$40)+U587+V587+Painel!$C$41+Painel!$C$42*CEILING(G587/100,1)+Painel!$C$43*CEILING(G587,1)+Z587)/(1-Resumo!$B$5)</f>
        <v>117.271079545455</v>
      </c>
      <c r="AJ587" s="60" t="str">
        <f aca="false">IF(AI587&lt;S587,"SIM","NÃO")</f>
        <v>SIM</v>
      </c>
    </row>
    <row r="588" customFormat="false" ht="15" hidden="false" customHeight="false" outlineLevel="0" collapsed="false">
      <c r="A588" s="59" t="n">
        <v>46239.3425578704</v>
      </c>
      <c r="B588" s="60" t="s">
        <v>947</v>
      </c>
      <c r="C588" s="60" t="n">
        <v>23570490</v>
      </c>
      <c r="D588" s="60" t="s">
        <v>46</v>
      </c>
      <c r="E588" s="60" t="s">
        <v>22</v>
      </c>
      <c r="F588" s="60" t="s">
        <v>237</v>
      </c>
      <c r="G588" s="60" t="n">
        <v>66.8</v>
      </c>
      <c r="H588" s="61" t="n">
        <v>719.99</v>
      </c>
      <c r="I588" s="61" t="n">
        <v>63.21</v>
      </c>
      <c r="J588" s="61" t="n">
        <f aca="false">H588*Resumo!$C$6</f>
        <v>0</v>
      </c>
      <c r="K588" s="61" t="n">
        <f aca="false">H588*Resumo!$C$7</f>
        <v>1.511979</v>
      </c>
      <c r="L588" s="61" t="n">
        <f aca="false">H588*Resumo!$C$8</f>
        <v>1.511979</v>
      </c>
      <c r="M588" s="61" t="n">
        <f aca="false">Resumo!$C$10*CEILING(G588/100,1)</f>
        <v>1.05</v>
      </c>
      <c r="N588" s="61" t="n">
        <f aca="false">Resumo!$C$9</f>
        <v>0</v>
      </c>
      <c r="O588" s="61" t="n">
        <f aca="false">Resumo!$C$13</f>
        <v>13.55</v>
      </c>
      <c r="P588" s="61" t="n">
        <f aca="false">Resumo!$C$14*CEILING(G588,1)</f>
        <v>30.15</v>
      </c>
      <c r="Q588" s="61" t="n">
        <f aca="false">SUM(I588:P588)*Resumo!$C$11</f>
        <v>0</v>
      </c>
      <c r="R588" s="61" t="n">
        <f aca="false">SUM(I588:Q588)</f>
        <v>110.983958</v>
      </c>
      <c r="S588" s="61" t="n">
        <f aca="false">R588/(1-Resumo!$C$5)</f>
        <v>126.118134090909</v>
      </c>
      <c r="T588" s="61" t="n">
        <v>131.02</v>
      </c>
      <c r="U588" s="61" t="n">
        <f aca="false">H588*Resumo!$B$6</f>
        <v>0.71999</v>
      </c>
      <c r="V588" s="61" t="n">
        <f aca="false">H588*Resumo!$B$7</f>
        <v>1.43998</v>
      </c>
      <c r="W588" s="61" t="n">
        <f aca="false">Resumo!$B$9</f>
        <v>1</v>
      </c>
      <c r="X588" s="61" t="n">
        <f aca="false">Resumo!$B$10*CEILING(G588/100,1)</f>
        <v>4.5</v>
      </c>
      <c r="Y588" s="61" t="n">
        <f aca="false">Resumo!$B$12*CEILING(G588,1)</f>
        <v>4.02</v>
      </c>
      <c r="Z588" s="61" t="n">
        <f aca="false">Resumo!$B$14*CEILING(G588,1)</f>
        <v>30.15</v>
      </c>
      <c r="AA588" s="61" t="n">
        <f aca="false">SUM(T588:Z588)</f>
        <v>172.84997</v>
      </c>
      <c r="AB588" s="61" t="n">
        <f aca="false">AA588/(1-Resumo!$B$5)</f>
        <v>196.420420454545</v>
      </c>
      <c r="AC588" s="61" t="n">
        <f aca="false">AB588-S588</f>
        <v>70.3022863636364</v>
      </c>
      <c r="AD588" s="62" t="n">
        <f aca="false">AB588/S588-1</f>
        <v>0.557432020941261</v>
      </c>
      <c r="AE588" s="60" t="str">
        <f aca="false">IF(AB588&lt;S588,"SIM","NÃO")</f>
        <v>NÃO</v>
      </c>
      <c r="AF588" s="60" t="n">
        <v>2</v>
      </c>
      <c r="AG588" s="60" t="n">
        <v>5</v>
      </c>
      <c r="AH588" s="60" t="s">
        <v>382</v>
      </c>
      <c r="AI588" s="61" t="n">
        <f aca="false">(T588*(1-Painel!$C$40)+U588+V588+Painel!$C$41+Painel!$C$42*CEILING(G588/100,1)+Painel!$C$43*CEILING(G588,1)+Z588)/(1-Resumo!$B$5)</f>
        <v>138.799284090909</v>
      </c>
      <c r="AJ588" s="60" t="str">
        <f aca="false">IF(AI588&lt;S588,"SIM","NÃO")</f>
        <v>NÃO</v>
      </c>
    </row>
    <row r="589" customFormat="false" ht="15" hidden="false" customHeight="false" outlineLevel="0" collapsed="false">
      <c r="A589" s="59" t="n">
        <v>46239.3798611111</v>
      </c>
      <c r="B589" s="60" t="s">
        <v>948</v>
      </c>
      <c r="C589" s="60" t="n">
        <v>25850000</v>
      </c>
      <c r="D589" s="60" t="s">
        <v>276</v>
      </c>
      <c r="E589" s="60" t="s">
        <v>24</v>
      </c>
      <c r="F589" s="60" t="s">
        <v>241</v>
      </c>
      <c r="G589" s="60" t="n">
        <v>124.2</v>
      </c>
      <c r="H589" s="61" t="n">
        <v>1558.09</v>
      </c>
      <c r="I589" s="61" t="n">
        <v>144.24</v>
      </c>
      <c r="J589" s="61" t="n">
        <f aca="false">H589*Resumo!$C$6</f>
        <v>0</v>
      </c>
      <c r="K589" s="61" t="n">
        <f aca="false">H589*Resumo!$C$7</f>
        <v>3.271989</v>
      </c>
      <c r="L589" s="61" t="n">
        <f aca="false">H589*Resumo!$C$8</f>
        <v>3.271989</v>
      </c>
      <c r="M589" s="61" t="n">
        <f aca="false">Resumo!$C$10*CEILING(G589/100,1)</f>
        <v>2.1</v>
      </c>
      <c r="N589" s="61" t="n">
        <f aca="false">Resumo!$C$9</f>
        <v>0</v>
      </c>
      <c r="O589" s="61" t="n">
        <f aca="false">Resumo!$C$13</f>
        <v>13.55</v>
      </c>
      <c r="P589" s="61" t="n">
        <f aca="false">Resumo!$C$14*CEILING(G589,1)</f>
        <v>56.25</v>
      </c>
      <c r="Q589" s="61" t="n">
        <f aca="false">SUM(I589:P589)*Resumo!$C$11</f>
        <v>0</v>
      </c>
      <c r="R589" s="61" t="n">
        <f aca="false">SUM(I589:Q589)</f>
        <v>222.683978</v>
      </c>
      <c r="S589" s="61" t="n">
        <f aca="false">R589/(1-Resumo!$C$5)</f>
        <v>253.049975</v>
      </c>
      <c r="T589" s="61" t="n">
        <v>264.84</v>
      </c>
      <c r="U589" s="61" t="n">
        <f aca="false">H589*Resumo!$B$6</f>
        <v>1.55809</v>
      </c>
      <c r="V589" s="61" t="n">
        <f aca="false">H589*Resumo!$B$7</f>
        <v>3.11618</v>
      </c>
      <c r="W589" s="61" t="n">
        <f aca="false">Resumo!$B$9</f>
        <v>1</v>
      </c>
      <c r="X589" s="61" t="n">
        <f aca="false">Resumo!$B$10*CEILING(G589/100,1)</f>
        <v>9</v>
      </c>
      <c r="Y589" s="61" t="n">
        <f aca="false">Resumo!$B$12*CEILING(G589,1)</f>
        <v>7.5</v>
      </c>
      <c r="Z589" s="61" t="n">
        <f aca="false">Resumo!$B$14*CEILING(G589,1)</f>
        <v>56.25</v>
      </c>
      <c r="AA589" s="61" t="n">
        <f aca="false">SUM(T589:Z589)</f>
        <v>343.26427</v>
      </c>
      <c r="AB589" s="61" t="n">
        <f aca="false">AA589/(1-Resumo!$B$5)</f>
        <v>390.073034090909</v>
      </c>
      <c r="AC589" s="61" t="n">
        <f aca="false">AB589-S589</f>
        <v>137.023059090909</v>
      </c>
      <c r="AD589" s="62" t="n">
        <f aca="false">AB589/S589-1</f>
        <v>0.541486159367963</v>
      </c>
      <c r="AE589" s="60" t="str">
        <f aca="false">IF(AB589&lt;S589,"SIM","NÃO")</f>
        <v>NÃO</v>
      </c>
      <c r="AF589" s="60" t="n">
        <v>13</v>
      </c>
      <c r="AG589" s="60" t="n">
        <v>10</v>
      </c>
      <c r="AH589" s="60" t="s">
        <v>385</v>
      </c>
      <c r="AI589" s="61" t="n">
        <f aca="false">(T589*(1-Painel!$C$40)+U589+V589+Painel!$C$41+Painel!$C$42*CEILING(G589/100,1)+Painel!$C$43*CEILING(G589,1)+Z589)/(1-Resumo!$B$5)</f>
        <v>274.394397727273</v>
      </c>
      <c r="AJ589" s="60" t="str">
        <f aca="false">IF(AI589&lt;S589,"SIM","NÃO")</f>
        <v>NÃO</v>
      </c>
    </row>
    <row r="590" customFormat="false" ht="15" hidden="false" customHeight="false" outlineLevel="0" collapsed="false">
      <c r="A590" s="59" t="n">
        <v>46239.3831944445</v>
      </c>
      <c r="B590" s="60" t="s">
        <v>949</v>
      </c>
      <c r="C590" s="60" t="n">
        <v>26293384</v>
      </c>
      <c r="D590" s="60" t="s">
        <v>49</v>
      </c>
      <c r="E590" s="60" t="s">
        <v>23</v>
      </c>
      <c r="F590" s="60" t="s">
        <v>237</v>
      </c>
      <c r="G590" s="60" t="n">
        <v>69</v>
      </c>
      <c r="H590" s="61" t="n">
        <v>730.99</v>
      </c>
      <c r="I590" s="61" t="n">
        <v>76.55</v>
      </c>
      <c r="J590" s="61" t="n">
        <f aca="false">H590*Resumo!$C$6</f>
        <v>0</v>
      </c>
      <c r="K590" s="61" t="n">
        <f aca="false">H590*Resumo!$C$7</f>
        <v>1.535079</v>
      </c>
      <c r="L590" s="61" t="n">
        <f aca="false">H590*Resumo!$C$8</f>
        <v>1.535079</v>
      </c>
      <c r="M590" s="61" t="n">
        <f aca="false">Resumo!$C$10*CEILING(G590/100,1)</f>
        <v>1.05</v>
      </c>
      <c r="N590" s="61" t="n">
        <f aca="false">Resumo!$C$9</f>
        <v>0</v>
      </c>
      <c r="O590" s="61" t="n">
        <f aca="false">Resumo!$C$13</f>
        <v>13.55</v>
      </c>
      <c r="P590" s="61" t="n">
        <f aca="false">Resumo!$C$14*CEILING(G590,1)</f>
        <v>31.05</v>
      </c>
      <c r="Q590" s="61" t="n">
        <f aca="false">SUM(I590:P590)*Resumo!$C$11</f>
        <v>0</v>
      </c>
      <c r="R590" s="61" t="n">
        <f aca="false">SUM(I590:Q590)</f>
        <v>125.270158</v>
      </c>
      <c r="S590" s="61" t="n">
        <f aca="false">R590/(1-Resumo!$C$5)</f>
        <v>142.352452272727</v>
      </c>
      <c r="T590" s="61" t="n">
        <v>131.02</v>
      </c>
      <c r="U590" s="61" t="n">
        <f aca="false">H590*Resumo!$B$6</f>
        <v>0.73099</v>
      </c>
      <c r="V590" s="61" t="n">
        <f aca="false">H590*Resumo!$B$7</f>
        <v>1.46198</v>
      </c>
      <c r="W590" s="61" t="n">
        <f aca="false">Resumo!$B$9</f>
        <v>1</v>
      </c>
      <c r="X590" s="61" t="n">
        <f aca="false">Resumo!$B$10*CEILING(G590/100,1)</f>
        <v>4.5</v>
      </c>
      <c r="Y590" s="61" t="n">
        <f aca="false">Resumo!$B$12*CEILING(G590,1)</f>
        <v>4.14</v>
      </c>
      <c r="Z590" s="61" t="n">
        <f aca="false">Resumo!$B$14*CEILING(G590,1)</f>
        <v>31.05</v>
      </c>
      <c r="AA590" s="61" t="n">
        <f aca="false">SUM(T590:Z590)</f>
        <v>173.90297</v>
      </c>
      <c r="AB590" s="61" t="n">
        <f aca="false">AA590/(1-Resumo!$B$5)</f>
        <v>197.617011363636</v>
      </c>
      <c r="AC590" s="61" t="n">
        <f aca="false">AB590-S590</f>
        <v>55.2645590909091</v>
      </c>
      <c r="AD590" s="62" t="n">
        <f aca="false">AB590/S590-1</f>
        <v>0.388223442649446</v>
      </c>
      <c r="AE590" s="60" t="str">
        <f aca="false">IF(AB590&lt;S590,"SIM","NÃO")</f>
        <v>NÃO</v>
      </c>
      <c r="AF590" s="60" t="n">
        <v>2</v>
      </c>
      <c r="AG590" s="60" t="n">
        <v>5</v>
      </c>
      <c r="AH590" s="60" t="s">
        <v>382</v>
      </c>
      <c r="AI590" s="61" t="n">
        <f aca="false">(T590*(1-Painel!$C$40)+U590+V590+Painel!$C$41+Painel!$C$42*CEILING(G590/100,1)+Painel!$C$43*CEILING(G590,1)+Z590)/(1-Resumo!$B$5)</f>
        <v>139.859511363636</v>
      </c>
      <c r="AJ590" s="60" t="str">
        <f aca="false">IF(AI590&lt;S590,"SIM","NÃO")</f>
        <v>SIM</v>
      </c>
    </row>
    <row r="591" customFormat="false" ht="15" hidden="false" customHeight="false" outlineLevel="0" collapsed="false">
      <c r="A591" s="59" t="n">
        <v>46239.4048842593</v>
      </c>
      <c r="B591" s="60" t="s">
        <v>950</v>
      </c>
      <c r="C591" s="60" t="n">
        <v>26082005</v>
      </c>
      <c r="D591" s="60" t="s">
        <v>49</v>
      </c>
      <c r="E591" s="60" t="s">
        <v>23</v>
      </c>
      <c r="F591" s="60" t="s">
        <v>233</v>
      </c>
      <c r="G591" s="60" t="n">
        <v>31.9</v>
      </c>
      <c r="H591" s="61" t="n">
        <v>551.99</v>
      </c>
      <c r="I591" s="61" t="n">
        <v>58.8</v>
      </c>
      <c r="J591" s="61" t="n">
        <f aca="false">H591*Resumo!$C$6</f>
        <v>0</v>
      </c>
      <c r="K591" s="61" t="n">
        <f aca="false">H591*Resumo!$C$7</f>
        <v>1.159179</v>
      </c>
      <c r="L591" s="61" t="n">
        <f aca="false">H591*Resumo!$C$8</f>
        <v>1.159179</v>
      </c>
      <c r="M591" s="61" t="n">
        <f aca="false">Resumo!$C$10*CEILING(G591/100,1)</f>
        <v>1.05</v>
      </c>
      <c r="N591" s="61" t="n">
        <f aca="false">Resumo!$C$9</f>
        <v>0</v>
      </c>
      <c r="O591" s="61" t="n">
        <f aca="false">Resumo!$C$13</f>
        <v>13.55</v>
      </c>
      <c r="P591" s="61" t="n">
        <f aca="false">Resumo!$C$14*CEILING(G591,1)</f>
        <v>14.4</v>
      </c>
      <c r="Q591" s="61" t="n">
        <f aca="false">SUM(I591:P591)*Resumo!$C$11</f>
        <v>0</v>
      </c>
      <c r="R591" s="61" t="n">
        <f aca="false">SUM(I591:Q591)</f>
        <v>90.118358</v>
      </c>
      <c r="S591" s="61" t="n">
        <f aca="false">R591/(1-Resumo!$C$5)</f>
        <v>102.407225</v>
      </c>
      <c r="T591" s="61" t="n">
        <v>82.21</v>
      </c>
      <c r="U591" s="61" t="n">
        <f aca="false">H591*Resumo!$B$6</f>
        <v>0.55199</v>
      </c>
      <c r="V591" s="61" t="n">
        <f aca="false">H591*Resumo!$B$7</f>
        <v>1.10398</v>
      </c>
      <c r="W591" s="61" t="n">
        <f aca="false">Resumo!$B$9</f>
        <v>1</v>
      </c>
      <c r="X591" s="61" t="n">
        <f aca="false">Resumo!$B$10*CEILING(G591/100,1)</f>
        <v>4.5</v>
      </c>
      <c r="Y591" s="61" t="n">
        <f aca="false">Resumo!$B$12*CEILING(G591,1)</f>
        <v>1.92</v>
      </c>
      <c r="Z591" s="61" t="n">
        <f aca="false">Resumo!$B$14*CEILING(G591,1)</f>
        <v>14.4</v>
      </c>
      <c r="AA591" s="61" t="n">
        <f aca="false">SUM(T591:Z591)</f>
        <v>105.68597</v>
      </c>
      <c r="AB591" s="61" t="n">
        <f aca="false">AA591/(1-Resumo!$B$5)</f>
        <v>120.097693181818</v>
      </c>
      <c r="AC591" s="61" t="n">
        <f aca="false">AB591-S591</f>
        <v>17.6904681818182</v>
      </c>
      <c r="AD591" s="62" t="n">
        <f aca="false">AB591/S591-1</f>
        <v>0.17274628994017</v>
      </c>
      <c r="AE591" s="60" t="str">
        <f aca="false">IF(AB591&lt;S591,"SIM","NÃO")</f>
        <v>NÃO</v>
      </c>
      <c r="AF591" s="60" t="n">
        <v>2</v>
      </c>
      <c r="AG591" s="60" t="n">
        <v>5</v>
      </c>
      <c r="AH591" s="60" t="s">
        <v>382</v>
      </c>
      <c r="AI591" s="61" t="n">
        <f aca="false">(T591*(1-Painel!$C$40)+U591+V591+Painel!$C$41+Painel!$C$42*CEILING(G591/100,1)+Painel!$C$43*CEILING(G591,1)+Z591)/(1-Resumo!$B$5)</f>
        <v>83.1666704545454</v>
      </c>
      <c r="AJ591" s="60" t="str">
        <f aca="false">IF(AI591&lt;S591,"SIM","NÃO")</f>
        <v>SIM</v>
      </c>
    </row>
    <row r="592" customFormat="false" ht="15" hidden="false" customHeight="false" outlineLevel="0" collapsed="false">
      <c r="A592" s="59" t="n">
        <v>46239.4156018519</v>
      </c>
      <c r="B592" s="60" t="s">
        <v>951</v>
      </c>
      <c r="C592" s="60" t="n">
        <v>26110323</v>
      </c>
      <c r="D592" s="60" t="s">
        <v>52</v>
      </c>
      <c r="E592" s="60" t="s">
        <v>23</v>
      </c>
      <c r="F592" s="60" t="s">
        <v>236</v>
      </c>
      <c r="G592" s="60" t="n">
        <v>52.3</v>
      </c>
      <c r="H592" s="61" t="n">
        <v>699.99</v>
      </c>
      <c r="I592" s="61" t="n">
        <v>70.98</v>
      </c>
      <c r="J592" s="61" t="n">
        <f aca="false">H592*Resumo!$C$6</f>
        <v>0</v>
      </c>
      <c r="K592" s="61" t="n">
        <f aca="false">H592*Resumo!$C$7</f>
        <v>1.469979</v>
      </c>
      <c r="L592" s="61" t="n">
        <f aca="false">H592*Resumo!$C$8</f>
        <v>1.469979</v>
      </c>
      <c r="M592" s="61" t="n">
        <f aca="false">Resumo!$C$10*CEILING(G592/100,1)</f>
        <v>1.05</v>
      </c>
      <c r="N592" s="61" t="n">
        <f aca="false">Resumo!$C$9</f>
        <v>0</v>
      </c>
      <c r="O592" s="61" t="n">
        <f aca="false">Resumo!$C$13</f>
        <v>13.55</v>
      </c>
      <c r="P592" s="61" t="n">
        <f aca="false">Resumo!$C$14*CEILING(G592,1)</f>
        <v>23.85</v>
      </c>
      <c r="Q592" s="61" t="n">
        <f aca="false">SUM(I592:P592)*Resumo!$C$11</f>
        <v>0</v>
      </c>
      <c r="R592" s="61" t="n">
        <f aca="false">SUM(I592:Q592)</f>
        <v>112.369958</v>
      </c>
      <c r="S592" s="61" t="n">
        <f aca="false">R592/(1-Resumo!$C$5)</f>
        <v>127.693134090909</v>
      </c>
      <c r="T592" s="61" t="n">
        <v>112.3</v>
      </c>
      <c r="U592" s="61" t="n">
        <f aca="false">H592*Resumo!$B$6</f>
        <v>0.69999</v>
      </c>
      <c r="V592" s="61" t="n">
        <f aca="false">H592*Resumo!$B$7</f>
        <v>1.39998</v>
      </c>
      <c r="W592" s="61" t="n">
        <f aca="false">Resumo!$B$9</f>
        <v>1</v>
      </c>
      <c r="X592" s="61" t="n">
        <f aca="false">Resumo!$B$10*CEILING(G592/100,1)</f>
        <v>4.5</v>
      </c>
      <c r="Y592" s="61" t="n">
        <f aca="false">Resumo!$B$12*CEILING(G592,1)</f>
        <v>3.18</v>
      </c>
      <c r="Z592" s="61" t="n">
        <f aca="false">Resumo!$B$14*CEILING(G592,1)</f>
        <v>23.85</v>
      </c>
      <c r="AA592" s="61" t="n">
        <f aca="false">SUM(T592:Z592)</f>
        <v>146.92997</v>
      </c>
      <c r="AB592" s="61" t="n">
        <f aca="false">AA592/(1-Resumo!$B$5)</f>
        <v>166.965875</v>
      </c>
      <c r="AC592" s="61" t="n">
        <f aca="false">AB592-S592</f>
        <v>39.2727409090909</v>
      </c>
      <c r="AD592" s="62" t="n">
        <f aca="false">AB592/S592-1</f>
        <v>0.307555619091715</v>
      </c>
      <c r="AE592" s="60" t="str">
        <f aca="false">IF(AB592&lt;S592,"SIM","NÃO")</f>
        <v>NÃO</v>
      </c>
      <c r="AF592" s="60" t="n">
        <v>2</v>
      </c>
      <c r="AG592" s="60" t="n">
        <v>5</v>
      </c>
      <c r="AH592" s="60" t="s">
        <v>382</v>
      </c>
      <c r="AI592" s="61" t="n">
        <f aca="false">(T592*(1-Painel!$C$40)+U592+V592+Painel!$C$41+Painel!$C$42*CEILING(G592/100,1)+Painel!$C$43*CEILING(G592,1)+Z592)/(1-Resumo!$B$5)</f>
        <v>117.319284090909</v>
      </c>
      <c r="AJ592" s="60" t="str">
        <f aca="false">IF(AI592&lt;S592,"SIM","NÃO")</f>
        <v>SIM</v>
      </c>
    </row>
    <row r="593" customFormat="false" ht="15" hidden="false" customHeight="false" outlineLevel="0" collapsed="false">
      <c r="A593" s="59" t="n">
        <v>46239.4173611111</v>
      </c>
      <c r="B593" s="60" t="s">
        <v>952</v>
      </c>
      <c r="C593" s="60" t="n">
        <v>22753053</v>
      </c>
      <c r="D593" s="60" t="s">
        <v>46</v>
      </c>
      <c r="E593" s="60" t="s">
        <v>22</v>
      </c>
      <c r="F593" s="60" t="s">
        <v>236</v>
      </c>
      <c r="G593" s="60" t="n">
        <v>52.3</v>
      </c>
      <c r="H593" s="61" t="n">
        <v>642.07</v>
      </c>
      <c r="I593" s="61" t="n">
        <v>58.6</v>
      </c>
      <c r="J593" s="61" t="n">
        <f aca="false">H593*Resumo!$C$6</f>
        <v>0</v>
      </c>
      <c r="K593" s="61" t="n">
        <f aca="false">H593*Resumo!$C$7</f>
        <v>1.348347</v>
      </c>
      <c r="L593" s="61" t="n">
        <f aca="false">H593*Resumo!$C$8</f>
        <v>1.348347</v>
      </c>
      <c r="M593" s="61" t="n">
        <f aca="false">Resumo!$C$10*CEILING(G593/100,1)</f>
        <v>1.05</v>
      </c>
      <c r="N593" s="61" t="n">
        <f aca="false">Resumo!$C$9</f>
        <v>0</v>
      </c>
      <c r="O593" s="61" t="n">
        <f aca="false">Resumo!$C$13</f>
        <v>13.55</v>
      </c>
      <c r="P593" s="61" t="n">
        <f aca="false">Resumo!$C$14*CEILING(G593,1)</f>
        <v>23.85</v>
      </c>
      <c r="Q593" s="61" t="n">
        <f aca="false">SUM(I593:P593)*Resumo!$C$11</f>
        <v>0</v>
      </c>
      <c r="R593" s="61" t="n">
        <f aca="false">SUM(I593:Q593)</f>
        <v>99.746694</v>
      </c>
      <c r="S593" s="61" t="n">
        <f aca="false">R593/(1-Resumo!$C$5)</f>
        <v>113.348515909091</v>
      </c>
      <c r="T593" s="61" t="n">
        <v>112.3</v>
      </c>
      <c r="U593" s="61" t="n">
        <f aca="false">H593*Resumo!$B$6</f>
        <v>0.64207</v>
      </c>
      <c r="V593" s="61" t="n">
        <f aca="false">H593*Resumo!$B$7</f>
        <v>1.28414</v>
      </c>
      <c r="W593" s="61" t="n">
        <f aca="false">Resumo!$B$9</f>
        <v>1</v>
      </c>
      <c r="X593" s="61" t="n">
        <f aca="false">Resumo!$B$10*CEILING(G593/100,1)</f>
        <v>4.5</v>
      </c>
      <c r="Y593" s="61" t="n">
        <f aca="false">Resumo!$B$12*CEILING(G593,1)</f>
        <v>3.18</v>
      </c>
      <c r="Z593" s="61" t="n">
        <f aca="false">Resumo!$B$14*CEILING(G593,1)</f>
        <v>23.85</v>
      </c>
      <c r="AA593" s="61" t="n">
        <f aca="false">SUM(T593:Z593)</f>
        <v>146.75621</v>
      </c>
      <c r="AB593" s="61" t="n">
        <f aca="false">AA593/(1-Resumo!$B$5)</f>
        <v>166.768420454545</v>
      </c>
      <c r="AC593" s="61" t="n">
        <f aca="false">AB593-S593</f>
        <v>53.4199045454546</v>
      </c>
      <c r="AD593" s="62" t="n">
        <f aca="false">AB593/S593-1</f>
        <v>0.471288963221177</v>
      </c>
      <c r="AE593" s="60" t="str">
        <f aca="false">IF(AB593&lt;S593,"SIM","NÃO")</f>
        <v>NÃO</v>
      </c>
      <c r="AF593" s="60" t="n">
        <v>2</v>
      </c>
      <c r="AG593" s="60" t="n">
        <v>5</v>
      </c>
      <c r="AH593" s="60" t="s">
        <v>382</v>
      </c>
      <c r="AI593" s="61" t="n">
        <f aca="false">(T593*(1-Painel!$C$40)+U593+V593+Painel!$C$41+Painel!$C$42*CEILING(G593/100,1)+Painel!$C$43*CEILING(G593,1)+Z593)/(1-Resumo!$B$5)</f>
        <v>117.121829545455</v>
      </c>
      <c r="AJ593" s="60" t="str">
        <f aca="false">IF(AI593&lt;S593,"SIM","NÃO")</f>
        <v>NÃO</v>
      </c>
    </row>
    <row r="594" customFormat="false" ht="15" hidden="false" customHeight="false" outlineLevel="0" collapsed="false">
      <c r="A594" s="59" t="n">
        <v>46239.4725115741</v>
      </c>
      <c r="B594" s="60" t="s">
        <v>953</v>
      </c>
      <c r="C594" s="60" t="n">
        <v>22070011</v>
      </c>
      <c r="D594" s="60" t="s">
        <v>46</v>
      </c>
      <c r="E594" s="60" t="s">
        <v>22</v>
      </c>
      <c r="F594" s="60" t="s">
        <v>232</v>
      </c>
      <c r="G594" s="60" t="n">
        <v>17.2</v>
      </c>
      <c r="H594" s="61" t="n">
        <v>269.99</v>
      </c>
      <c r="I594" s="61" t="n">
        <v>33.42</v>
      </c>
      <c r="J594" s="61" t="n">
        <f aca="false">H594*Resumo!$C$6</f>
        <v>0</v>
      </c>
      <c r="K594" s="61" t="n">
        <f aca="false">H594*Resumo!$C$7</f>
        <v>0.566979</v>
      </c>
      <c r="L594" s="61" t="n">
        <f aca="false">H594*Resumo!$C$8</f>
        <v>0.566979</v>
      </c>
      <c r="M594" s="61" t="n">
        <f aca="false">Resumo!$C$10*CEILING(G594/100,1)</f>
        <v>1.05</v>
      </c>
      <c r="N594" s="61" t="n">
        <f aca="false">Resumo!$C$9</f>
        <v>0</v>
      </c>
      <c r="O594" s="61" t="n">
        <f aca="false">Resumo!$C$13</f>
        <v>13.55</v>
      </c>
      <c r="P594" s="61" t="n">
        <f aca="false">Resumo!$C$14*CEILING(G594,1)</f>
        <v>8.1</v>
      </c>
      <c r="Q594" s="61" t="n">
        <f aca="false">SUM(I594:P594)*Resumo!$C$11</f>
        <v>0</v>
      </c>
      <c r="R594" s="61" t="n">
        <f aca="false">SUM(I594:Q594)</f>
        <v>57.253958</v>
      </c>
      <c r="S594" s="61" t="n">
        <f aca="false">R594/(1-Resumo!$C$5)</f>
        <v>65.0613159090909</v>
      </c>
      <c r="T594" s="61" t="n">
        <v>46.98</v>
      </c>
      <c r="U594" s="61" t="n">
        <f aca="false">H594*Resumo!$B$6</f>
        <v>0.26999</v>
      </c>
      <c r="V594" s="61" t="n">
        <f aca="false">H594*Resumo!$B$7</f>
        <v>0.53998</v>
      </c>
      <c r="W594" s="61" t="n">
        <f aca="false">Resumo!$B$9</f>
        <v>1</v>
      </c>
      <c r="X594" s="61" t="n">
        <f aca="false">Resumo!$B$10*CEILING(G594/100,1)</f>
        <v>4.5</v>
      </c>
      <c r="Y594" s="61" t="n">
        <f aca="false">Resumo!$B$12*CEILING(G594,1)</f>
        <v>1.08</v>
      </c>
      <c r="Z594" s="61" t="n">
        <f aca="false">Resumo!$B$14*CEILING(G594,1)</f>
        <v>8.1</v>
      </c>
      <c r="AA594" s="61" t="n">
        <f aca="false">SUM(T594:Z594)</f>
        <v>62.46997</v>
      </c>
      <c r="AB594" s="61" t="n">
        <f aca="false">AA594/(1-Resumo!$B$5)</f>
        <v>70.9886022727273</v>
      </c>
      <c r="AC594" s="61" t="n">
        <f aca="false">AB594-S594</f>
        <v>5.92728636363636</v>
      </c>
      <c r="AD594" s="62" t="n">
        <f aca="false">AB594/S594-1</f>
        <v>0.0911030814673108</v>
      </c>
      <c r="AE594" s="60" t="str">
        <f aca="false">IF(AB594&lt;S594,"SIM","NÃO")</f>
        <v>NÃO</v>
      </c>
      <c r="AF594" s="60" t="n">
        <v>2</v>
      </c>
      <c r="AG594" s="60" t="n">
        <v>5</v>
      </c>
      <c r="AH594" s="60" t="s">
        <v>382</v>
      </c>
      <c r="AI594" s="61" t="n">
        <f aca="false">(T594*(1-Painel!$C$40)+U594+V594+Painel!$C$41+Painel!$C$42*CEILING(G594/100,1)+Painel!$C$43*CEILING(G594,1)+Z594)/(1-Resumo!$B$5)</f>
        <v>48.223375</v>
      </c>
      <c r="AJ594" s="60" t="str">
        <f aca="false">IF(AI594&lt;S594,"SIM","NÃO")</f>
        <v>SIM</v>
      </c>
    </row>
    <row r="595" customFormat="false" ht="15" hidden="false" customHeight="false" outlineLevel="0" collapsed="false">
      <c r="A595" s="59" t="n">
        <v>46239.4746875</v>
      </c>
      <c r="B595" s="60" t="s">
        <v>954</v>
      </c>
      <c r="C595" s="60" t="n">
        <v>25270270</v>
      </c>
      <c r="D595" s="60" t="s">
        <v>48</v>
      </c>
      <c r="E595" s="60" t="s">
        <v>23</v>
      </c>
      <c r="F595" s="60" t="s">
        <v>239</v>
      </c>
      <c r="G595" s="60" t="n">
        <v>93.8</v>
      </c>
      <c r="H595" s="61" t="n">
        <v>999.99</v>
      </c>
      <c r="I595" s="61" t="n">
        <v>92.32</v>
      </c>
      <c r="J595" s="61" t="n">
        <f aca="false">H595*Resumo!$C$6</f>
        <v>0</v>
      </c>
      <c r="K595" s="61" t="n">
        <f aca="false">H595*Resumo!$C$7</f>
        <v>2.099979</v>
      </c>
      <c r="L595" s="61" t="n">
        <f aca="false">H595*Resumo!$C$8</f>
        <v>2.099979</v>
      </c>
      <c r="M595" s="61" t="n">
        <f aca="false">Resumo!$C$10*CEILING(G595/100,1)</f>
        <v>1.05</v>
      </c>
      <c r="N595" s="61" t="n">
        <f aca="false">Resumo!$C$9</f>
        <v>0</v>
      </c>
      <c r="O595" s="61" t="n">
        <f aca="false">Resumo!$C$13</f>
        <v>13.55</v>
      </c>
      <c r="P595" s="61" t="n">
        <f aca="false">Resumo!$C$14*CEILING(G595,1)</f>
        <v>42.3</v>
      </c>
      <c r="Q595" s="61" t="n">
        <f aca="false">SUM(I595:P595)*Resumo!$C$11</f>
        <v>0</v>
      </c>
      <c r="R595" s="61" t="n">
        <f aca="false">SUM(I595:Q595)</f>
        <v>153.419958</v>
      </c>
      <c r="S595" s="61" t="n">
        <f aca="false">R595/(1-Resumo!$C$5)</f>
        <v>174.340861363636</v>
      </c>
      <c r="T595" s="61" t="n">
        <v>167.99</v>
      </c>
      <c r="U595" s="61" t="n">
        <f aca="false">H595*Resumo!$B$6</f>
        <v>0.99999</v>
      </c>
      <c r="V595" s="61" t="n">
        <f aca="false">H595*Resumo!$B$7</f>
        <v>1.99998</v>
      </c>
      <c r="W595" s="61" t="n">
        <f aca="false">Resumo!$B$9</f>
        <v>1</v>
      </c>
      <c r="X595" s="61" t="n">
        <f aca="false">Resumo!$B$10*CEILING(G595/100,1)</f>
        <v>4.5</v>
      </c>
      <c r="Y595" s="61" t="n">
        <f aca="false">Resumo!$B$12*CEILING(G595,1)</f>
        <v>5.64</v>
      </c>
      <c r="Z595" s="61" t="n">
        <f aca="false">Resumo!$B$14*CEILING(G595,1)</f>
        <v>42.3</v>
      </c>
      <c r="AA595" s="61" t="n">
        <f aca="false">SUM(T595:Z595)</f>
        <v>224.42997</v>
      </c>
      <c r="AB595" s="61" t="n">
        <f aca="false">AA595/(1-Resumo!$B$5)</f>
        <v>255.034056818182</v>
      </c>
      <c r="AC595" s="61" t="n">
        <f aca="false">AB595-S595</f>
        <v>80.6931954545455</v>
      </c>
      <c r="AD595" s="62" t="n">
        <f aca="false">AB595/S595-1</f>
        <v>0.462847291354362</v>
      </c>
      <c r="AE595" s="60" t="str">
        <f aca="false">IF(AB595&lt;S595,"SIM","NÃO")</f>
        <v>NÃO</v>
      </c>
      <c r="AF595" s="60" t="n">
        <v>2</v>
      </c>
      <c r="AG595" s="60" t="n">
        <v>5</v>
      </c>
      <c r="AH595" s="60" t="s">
        <v>382</v>
      </c>
      <c r="AI595" s="61" t="n">
        <f aca="false">(T595*(1-Painel!$C$40)+U595+V595+Painel!$C$41+Painel!$C$42*CEILING(G595/100,1)+Painel!$C$43*CEILING(G595,1)+Z595)/(1-Resumo!$B$5)</f>
        <v>181.708261363636</v>
      </c>
      <c r="AJ595" s="60" t="str">
        <f aca="false">IF(AI595&lt;S595,"SIM","NÃO")</f>
        <v>NÃO</v>
      </c>
    </row>
    <row r="596" customFormat="false" ht="15" hidden="false" customHeight="false" outlineLevel="0" collapsed="false">
      <c r="A596" s="59" t="n">
        <v>46239.4860416667</v>
      </c>
      <c r="B596" s="60" t="s">
        <v>955</v>
      </c>
      <c r="C596" s="60" t="n">
        <v>22753501</v>
      </c>
      <c r="D596" s="60" t="s">
        <v>46</v>
      </c>
      <c r="E596" s="60" t="s">
        <v>22</v>
      </c>
      <c r="F596" s="60" t="s">
        <v>241</v>
      </c>
      <c r="G596" s="60" t="n">
        <v>128</v>
      </c>
      <c r="H596" s="61" t="n">
        <v>1503.01</v>
      </c>
      <c r="I596" s="61" t="n">
        <v>120.59</v>
      </c>
      <c r="J596" s="61" t="n">
        <f aca="false">H596*Resumo!$C$6</f>
        <v>0</v>
      </c>
      <c r="K596" s="61" t="n">
        <f aca="false">H596*Resumo!$C$7</f>
        <v>3.156321</v>
      </c>
      <c r="L596" s="61" t="n">
        <f aca="false">H596*Resumo!$C$8</f>
        <v>3.156321</v>
      </c>
      <c r="M596" s="61" t="n">
        <f aca="false">Resumo!$C$10*CEILING(G596/100,1)</f>
        <v>2.1</v>
      </c>
      <c r="N596" s="61" t="n">
        <f aca="false">Resumo!$C$9</f>
        <v>0</v>
      </c>
      <c r="O596" s="61" t="n">
        <f aca="false">Resumo!$C$13</f>
        <v>13.55</v>
      </c>
      <c r="P596" s="61" t="n">
        <f aca="false">Resumo!$C$14*CEILING(G596,1)</f>
        <v>57.6</v>
      </c>
      <c r="Q596" s="61" t="n">
        <f aca="false">SUM(I596:P596)*Resumo!$C$11</f>
        <v>0</v>
      </c>
      <c r="R596" s="61" t="n">
        <f aca="false">SUM(I596:Q596)</f>
        <v>200.152642</v>
      </c>
      <c r="S596" s="61" t="n">
        <f aca="false">R596/(1-Resumo!$C$5)</f>
        <v>227.446184090909</v>
      </c>
      <c r="T596" s="61" t="n">
        <v>239.25</v>
      </c>
      <c r="U596" s="61" t="n">
        <f aca="false">H596*Resumo!$B$6</f>
        <v>1.50301</v>
      </c>
      <c r="V596" s="61" t="n">
        <f aca="false">H596*Resumo!$B$7</f>
        <v>3.00602</v>
      </c>
      <c r="W596" s="61" t="n">
        <f aca="false">Resumo!$B$9</f>
        <v>1</v>
      </c>
      <c r="X596" s="61" t="n">
        <f aca="false">Resumo!$B$10*CEILING(G596/100,1)</f>
        <v>9</v>
      </c>
      <c r="Y596" s="61" t="n">
        <f aca="false">Resumo!$B$12*CEILING(G596,1)</f>
        <v>7.68</v>
      </c>
      <c r="Z596" s="61" t="n">
        <f aca="false">Resumo!$B$14*CEILING(G596,1)</f>
        <v>57.6</v>
      </c>
      <c r="AA596" s="61" t="n">
        <f aca="false">SUM(T596:Z596)</f>
        <v>319.03903</v>
      </c>
      <c r="AB596" s="61" t="n">
        <f aca="false">AA596/(1-Resumo!$B$5)</f>
        <v>362.544352272727</v>
      </c>
      <c r="AC596" s="61" t="n">
        <f aca="false">AB596-S596</f>
        <v>135.098168181818</v>
      </c>
      <c r="AD596" s="62" t="n">
        <f aca="false">AB596/S596-1</f>
        <v>0.593978609585379</v>
      </c>
      <c r="AE596" s="60" t="str">
        <f aca="false">IF(AB596&lt;S596,"SIM","NÃO")</f>
        <v>NÃO</v>
      </c>
      <c r="AF596" s="60" t="n">
        <v>2</v>
      </c>
      <c r="AG596" s="60" t="n">
        <v>5</v>
      </c>
      <c r="AH596" s="60" t="s">
        <v>382</v>
      </c>
      <c r="AI596" s="61" t="n">
        <f aca="false">(T596*(1-Painel!$C$40)+U596+V596+Painel!$C$41+Painel!$C$42*CEILING(G596/100,1)+Painel!$C$43*CEILING(G596,1)+Z596)/(1-Resumo!$B$5)</f>
        <v>256.257420454545</v>
      </c>
      <c r="AJ596" s="60" t="str">
        <f aca="false">IF(AI596&lt;S596,"SIM","NÃO")</f>
        <v>NÃO</v>
      </c>
    </row>
    <row r="597" customFormat="false" ht="15" hidden="false" customHeight="false" outlineLevel="0" collapsed="false">
      <c r="A597" s="59" t="n">
        <v>46239.4887615741</v>
      </c>
      <c r="B597" s="60" t="s">
        <v>956</v>
      </c>
      <c r="C597" s="60" t="n">
        <v>25267320</v>
      </c>
      <c r="D597" s="60" t="s">
        <v>48</v>
      </c>
      <c r="E597" s="60" t="s">
        <v>23</v>
      </c>
      <c r="F597" s="60" t="s">
        <v>236</v>
      </c>
      <c r="G597" s="60" t="n">
        <v>59.9</v>
      </c>
      <c r="H597" s="61" t="n">
        <v>919.99</v>
      </c>
      <c r="I597" s="61" t="n">
        <v>70.98</v>
      </c>
      <c r="J597" s="61" t="n">
        <f aca="false">H597*Resumo!$C$6</f>
        <v>0</v>
      </c>
      <c r="K597" s="61" t="n">
        <f aca="false">H597*Resumo!$C$7</f>
        <v>1.931979</v>
      </c>
      <c r="L597" s="61" t="n">
        <f aca="false">H597*Resumo!$C$8</f>
        <v>1.931979</v>
      </c>
      <c r="M597" s="61" t="n">
        <f aca="false">Resumo!$C$10*CEILING(G597/100,1)</f>
        <v>1.05</v>
      </c>
      <c r="N597" s="61" t="n">
        <f aca="false">Resumo!$C$9</f>
        <v>0</v>
      </c>
      <c r="O597" s="61" t="n">
        <f aca="false">Resumo!$C$13</f>
        <v>13.55</v>
      </c>
      <c r="P597" s="61" t="n">
        <f aca="false">Resumo!$C$14*CEILING(G597,1)</f>
        <v>27</v>
      </c>
      <c r="Q597" s="61" t="n">
        <f aca="false">SUM(I597:P597)*Resumo!$C$11</f>
        <v>0</v>
      </c>
      <c r="R597" s="61" t="n">
        <f aca="false">SUM(I597:Q597)</f>
        <v>116.443958</v>
      </c>
      <c r="S597" s="61" t="n">
        <f aca="false">R597/(1-Resumo!$C$5)</f>
        <v>132.322679545455</v>
      </c>
      <c r="T597" s="61" t="n">
        <v>112.3</v>
      </c>
      <c r="U597" s="61" t="n">
        <f aca="false">H597*Resumo!$B$6</f>
        <v>0.91999</v>
      </c>
      <c r="V597" s="61" t="n">
        <f aca="false">H597*Resumo!$B$7</f>
        <v>1.83998</v>
      </c>
      <c r="W597" s="61" t="n">
        <f aca="false">Resumo!$B$9</f>
        <v>1</v>
      </c>
      <c r="X597" s="61" t="n">
        <f aca="false">Resumo!$B$10*CEILING(G597/100,1)</f>
        <v>4.5</v>
      </c>
      <c r="Y597" s="61" t="n">
        <f aca="false">Resumo!$B$12*CEILING(G597,1)</f>
        <v>3.6</v>
      </c>
      <c r="Z597" s="61" t="n">
        <f aca="false">Resumo!$B$14*CEILING(G597,1)</f>
        <v>27</v>
      </c>
      <c r="AA597" s="61" t="n">
        <f aca="false">SUM(T597:Z597)</f>
        <v>151.15997</v>
      </c>
      <c r="AB597" s="61" t="n">
        <f aca="false">AA597/(1-Resumo!$B$5)</f>
        <v>171.772693181818</v>
      </c>
      <c r="AC597" s="61" t="n">
        <f aca="false">AB597-S597</f>
        <v>39.4500136363636</v>
      </c>
      <c r="AD597" s="62" t="n">
        <f aca="false">AB597/S597-1</f>
        <v>0.298134936292701</v>
      </c>
      <c r="AE597" s="60" t="str">
        <f aca="false">IF(AB597&lt;S597,"SIM","NÃO")</f>
        <v>NÃO</v>
      </c>
      <c r="AF597" s="60" t="n">
        <v>2</v>
      </c>
      <c r="AG597" s="60" t="n">
        <v>5</v>
      </c>
      <c r="AH597" s="60" t="s">
        <v>382</v>
      </c>
      <c r="AI597" s="61" t="n">
        <f aca="false">(T597*(1-Painel!$C$40)+U597+V597+Painel!$C$41+Painel!$C$42*CEILING(G597/100,1)+Painel!$C$43*CEILING(G597,1)+Z597)/(1-Resumo!$B$5)</f>
        <v>121.648829545455</v>
      </c>
      <c r="AJ597" s="60" t="str">
        <f aca="false">IF(AI597&lt;S597,"SIM","NÃO")</f>
        <v>SIM</v>
      </c>
    </row>
    <row r="598" customFormat="false" ht="15" hidden="false" customHeight="false" outlineLevel="0" collapsed="false">
      <c r="A598" s="59" t="n">
        <v>46239.4996875</v>
      </c>
      <c r="B598" s="60" t="s">
        <v>957</v>
      </c>
      <c r="C598" s="60" t="n">
        <v>28027150</v>
      </c>
      <c r="D598" s="60" t="s">
        <v>51</v>
      </c>
      <c r="E598" s="60" t="s">
        <v>24</v>
      </c>
      <c r="F598" s="60" t="s">
        <v>234</v>
      </c>
      <c r="G598" s="60" t="n">
        <v>35.3</v>
      </c>
      <c r="H598" s="61" t="n">
        <v>479.8</v>
      </c>
      <c r="I598" s="61" t="n">
        <v>74.97</v>
      </c>
      <c r="J598" s="61" t="n">
        <f aca="false">H598*Resumo!$C$6</f>
        <v>0</v>
      </c>
      <c r="K598" s="61" t="n">
        <f aca="false">H598*Resumo!$C$7</f>
        <v>1.00758</v>
      </c>
      <c r="L598" s="61" t="n">
        <f aca="false">H598*Resumo!$C$8</f>
        <v>1.00758</v>
      </c>
      <c r="M598" s="61" t="n">
        <f aca="false">Resumo!$C$10*CEILING(G598/100,1)</f>
        <v>1.05</v>
      </c>
      <c r="N598" s="61" t="n">
        <f aca="false">Resumo!$C$9</f>
        <v>0</v>
      </c>
      <c r="O598" s="61" t="n">
        <f aca="false">Resumo!$C$13</f>
        <v>13.55</v>
      </c>
      <c r="P598" s="61" t="n">
        <f aca="false">Resumo!$C$14*CEILING(G598,1)</f>
        <v>16.2</v>
      </c>
      <c r="Q598" s="61" t="n">
        <f aca="false">SUM(I598:P598)*Resumo!$C$11</f>
        <v>0</v>
      </c>
      <c r="R598" s="61" t="n">
        <f aca="false">SUM(I598:Q598)</f>
        <v>107.78516</v>
      </c>
      <c r="S598" s="61" t="n">
        <f aca="false">R598/(1-Resumo!$C$5)</f>
        <v>122.483136363636</v>
      </c>
      <c r="T598" s="61" t="n">
        <v>143.04</v>
      </c>
      <c r="U598" s="61" t="n">
        <f aca="false">H598*Resumo!$B$6</f>
        <v>0.4798</v>
      </c>
      <c r="V598" s="61" t="n">
        <f aca="false">H598*Resumo!$B$7</f>
        <v>0.9596</v>
      </c>
      <c r="W598" s="61" t="n">
        <f aca="false">Resumo!$B$9</f>
        <v>1</v>
      </c>
      <c r="X598" s="61" t="n">
        <f aca="false">Resumo!$B$10*CEILING(G598/100,1)</f>
        <v>4.5</v>
      </c>
      <c r="Y598" s="61" t="n">
        <f aca="false">Resumo!$B$12*CEILING(G598,1)</f>
        <v>2.16</v>
      </c>
      <c r="Z598" s="61" t="n">
        <f aca="false">Resumo!$B$14*CEILING(G598,1)</f>
        <v>16.2</v>
      </c>
      <c r="AA598" s="61" t="n">
        <f aca="false">SUM(T598:Z598)</f>
        <v>168.3394</v>
      </c>
      <c r="AB598" s="61" t="n">
        <f aca="false">AA598/(1-Resumo!$B$5)</f>
        <v>191.294772727273</v>
      </c>
      <c r="AC598" s="61" t="n">
        <f aca="false">AB598-S598</f>
        <v>68.8116363636364</v>
      </c>
      <c r="AD598" s="62" t="n">
        <f aca="false">AB598/S598-1</f>
        <v>0.56180498317208</v>
      </c>
      <c r="AE598" s="60" t="str">
        <f aca="false">IF(AB598&lt;S598,"SIM","NÃO")</f>
        <v>NÃO</v>
      </c>
      <c r="AF598" s="60" t="n">
        <v>13</v>
      </c>
      <c r="AG598" s="60" t="n">
        <v>11</v>
      </c>
      <c r="AH598" s="60" t="s">
        <v>382</v>
      </c>
      <c r="AI598" s="61" t="n">
        <f aca="false">(T598*(1-Painel!$C$40)+U598+V598+Painel!$C$41+Painel!$C$42*CEILING(G598/100,1)+Painel!$C$43*CEILING(G598,1)+Z598)/(1-Resumo!$B$5)</f>
        <v>131.279772727273</v>
      </c>
      <c r="AJ598" s="60" t="str">
        <f aca="false">IF(AI598&lt;S598,"SIM","NÃO")</f>
        <v>NÃO</v>
      </c>
    </row>
    <row r="599" customFormat="false" ht="15" hidden="false" customHeight="false" outlineLevel="0" collapsed="false">
      <c r="A599" s="59" t="n">
        <v>46239.5210416667</v>
      </c>
      <c r="B599" s="60" t="s">
        <v>958</v>
      </c>
      <c r="C599" s="60" t="n">
        <v>25545201</v>
      </c>
      <c r="D599" s="60" t="s">
        <v>216</v>
      </c>
      <c r="E599" s="60" t="s">
        <v>23</v>
      </c>
      <c r="F599" s="60" t="s">
        <v>233</v>
      </c>
      <c r="G599" s="60" t="n">
        <v>29.2</v>
      </c>
      <c r="H599" s="61" t="n">
        <v>449.99</v>
      </c>
      <c r="I599" s="61" t="n">
        <v>58.8</v>
      </c>
      <c r="J599" s="61" t="n">
        <f aca="false">H599*Resumo!$C$6</f>
        <v>0</v>
      </c>
      <c r="K599" s="61" t="n">
        <f aca="false">H599*Resumo!$C$7</f>
        <v>0.944979</v>
      </c>
      <c r="L599" s="61" t="n">
        <f aca="false">H599*Resumo!$C$8</f>
        <v>0.944979</v>
      </c>
      <c r="M599" s="61" t="n">
        <f aca="false">Resumo!$C$10*CEILING(G599/100,1)</f>
        <v>1.05</v>
      </c>
      <c r="N599" s="61" t="n">
        <f aca="false">Resumo!$C$9</f>
        <v>0</v>
      </c>
      <c r="O599" s="61" t="n">
        <f aca="false">Resumo!$C$13</f>
        <v>13.55</v>
      </c>
      <c r="P599" s="61" t="n">
        <f aca="false">Resumo!$C$14*CEILING(G599,1)</f>
        <v>13.5</v>
      </c>
      <c r="Q599" s="61" t="n">
        <f aca="false">SUM(I599:P599)*Resumo!$C$11</f>
        <v>0</v>
      </c>
      <c r="R599" s="61" t="n">
        <f aca="false">SUM(I599:Q599)</f>
        <v>88.789958</v>
      </c>
      <c r="S599" s="61" t="n">
        <f aca="false">R599/(1-Resumo!$C$5)</f>
        <v>100.897679545455</v>
      </c>
      <c r="T599" s="61" t="n">
        <v>82.21</v>
      </c>
      <c r="U599" s="61" t="n">
        <f aca="false">H599*Resumo!$B$6</f>
        <v>0.44999</v>
      </c>
      <c r="V599" s="61" t="n">
        <f aca="false">H599*Resumo!$B$7</f>
        <v>0.89998</v>
      </c>
      <c r="W599" s="61" t="n">
        <f aca="false">Resumo!$B$9</f>
        <v>1</v>
      </c>
      <c r="X599" s="61" t="n">
        <f aca="false">Resumo!$B$10*CEILING(G599/100,1)</f>
        <v>4.5</v>
      </c>
      <c r="Y599" s="61" t="n">
        <f aca="false">Resumo!$B$12*CEILING(G599,1)</f>
        <v>1.8</v>
      </c>
      <c r="Z599" s="61" t="n">
        <f aca="false">Resumo!$B$14*CEILING(G599,1)</f>
        <v>13.5</v>
      </c>
      <c r="AA599" s="61" t="n">
        <f aca="false">SUM(T599:Z599)</f>
        <v>104.35997</v>
      </c>
      <c r="AB599" s="61" t="n">
        <f aca="false">AA599/(1-Resumo!$B$5)</f>
        <v>118.590875</v>
      </c>
      <c r="AC599" s="61" t="n">
        <f aca="false">AB599-S599</f>
        <v>17.6931954545454</v>
      </c>
      <c r="AD599" s="62" t="n">
        <f aca="false">AB599/S599-1</f>
        <v>0.175357803412859</v>
      </c>
      <c r="AE599" s="60" t="str">
        <f aca="false">IF(AB599&lt;S599,"SIM","NÃO")</f>
        <v>NÃO</v>
      </c>
      <c r="AF599" s="60" t="n">
        <v>2</v>
      </c>
      <c r="AG599" s="60" t="n">
        <v>5</v>
      </c>
      <c r="AH599" s="60" t="s">
        <v>382</v>
      </c>
      <c r="AI599" s="61" t="n">
        <f aca="false">(T599*(1-Painel!$C$40)+U599+V599+Painel!$C$41+Painel!$C$42*CEILING(G599/100,1)+Painel!$C$43*CEILING(G599,1)+Z599)/(1-Resumo!$B$5)</f>
        <v>81.7962159090909</v>
      </c>
      <c r="AJ599" s="60" t="str">
        <f aca="false">IF(AI599&lt;S599,"SIM","NÃO")</f>
        <v>SIM</v>
      </c>
    </row>
    <row r="600" customFormat="false" ht="15" hidden="false" customHeight="false" outlineLevel="0" collapsed="false">
      <c r="A600" s="59" t="n">
        <v>46239.5375810185</v>
      </c>
      <c r="B600" s="60" t="s">
        <v>959</v>
      </c>
      <c r="C600" s="60" t="n">
        <v>21715190</v>
      </c>
      <c r="D600" s="60" t="s">
        <v>46</v>
      </c>
      <c r="E600" s="60" t="s">
        <v>22</v>
      </c>
      <c r="F600" s="60" t="s">
        <v>237</v>
      </c>
      <c r="G600" s="60" t="n">
        <v>69</v>
      </c>
      <c r="H600" s="61" t="n">
        <v>721.82</v>
      </c>
      <c r="I600" s="61" t="n">
        <v>63.21</v>
      </c>
      <c r="J600" s="61" t="n">
        <f aca="false">H600*Resumo!$C$6</f>
        <v>0</v>
      </c>
      <c r="K600" s="61" t="n">
        <f aca="false">H600*Resumo!$C$7</f>
        <v>1.515822</v>
      </c>
      <c r="L600" s="61" t="n">
        <f aca="false">H600*Resumo!$C$8</f>
        <v>1.515822</v>
      </c>
      <c r="M600" s="61" t="n">
        <f aca="false">Resumo!$C$10*CEILING(G600/100,1)</f>
        <v>1.05</v>
      </c>
      <c r="N600" s="61" t="n">
        <f aca="false">Resumo!$C$9</f>
        <v>0</v>
      </c>
      <c r="O600" s="61" t="n">
        <f aca="false">Resumo!$C$13</f>
        <v>13.55</v>
      </c>
      <c r="P600" s="61" t="n">
        <f aca="false">Resumo!$C$14*CEILING(G600,1)</f>
        <v>31.05</v>
      </c>
      <c r="Q600" s="61" t="n">
        <f aca="false">SUM(I600:P600)*Resumo!$C$11</f>
        <v>0</v>
      </c>
      <c r="R600" s="61" t="n">
        <f aca="false">SUM(I600:Q600)</f>
        <v>111.891644</v>
      </c>
      <c r="S600" s="61" t="n">
        <f aca="false">R600/(1-Resumo!$C$5)</f>
        <v>127.149595454545</v>
      </c>
      <c r="T600" s="61" t="n">
        <v>131.02</v>
      </c>
      <c r="U600" s="61" t="n">
        <f aca="false">H600*Resumo!$B$6</f>
        <v>0.72182</v>
      </c>
      <c r="V600" s="61" t="n">
        <f aca="false">H600*Resumo!$B$7</f>
        <v>1.44364</v>
      </c>
      <c r="W600" s="61" t="n">
        <f aca="false">Resumo!$B$9</f>
        <v>1</v>
      </c>
      <c r="X600" s="61" t="n">
        <f aca="false">Resumo!$B$10*CEILING(G600/100,1)</f>
        <v>4.5</v>
      </c>
      <c r="Y600" s="61" t="n">
        <f aca="false">Resumo!$B$12*CEILING(G600,1)</f>
        <v>4.14</v>
      </c>
      <c r="Z600" s="61" t="n">
        <f aca="false">Resumo!$B$14*CEILING(G600,1)</f>
        <v>31.05</v>
      </c>
      <c r="AA600" s="61" t="n">
        <f aca="false">SUM(T600:Z600)</f>
        <v>173.87546</v>
      </c>
      <c r="AB600" s="61" t="n">
        <f aca="false">AA600/(1-Resumo!$B$5)</f>
        <v>197.58575</v>
      </c>
      <c r="AC600" s="61" t="n">
        <f aca="false">AB600-S600</f>
        <v>70.4361545454546</v>
      </c>
      <c r="AD600" s="62" t="n">
        <f aca="false">AB600/S600-1</f>
        <v>0.553962867861697</v>
      </c>
      <c r="AE600" s="60" t="str">
        <f aca="false">IF(AB600&lt;S600,"SIM","NÃO")</f>
        <v>NÃO</v>
      </c>
      <c r="AF600" s="60" t="n">
        <v>2</v>
      </c>
      <c r="AG600" s="60" t="n">
        <v>5</v>
      </c>
      <c r="AH600" s="60" t="s">
        <v>382</v>
      </c>
      <c r="AI600" s="61" t="n">
        <f aca="false">(T600*(1-Painel!$C$40)+U600+V600+Painel!$C$41+Painel!$C$42*CEILING(G600/100,1)+Painel!$C$43*CEILING(G600,1)+Z600)/(1-Resumo!$B$5)</f>
        <v>139.82825</v>
      </c>
      <c r="AJ600" s="60" t="str">
        <f aca="false">IF(AI600&lt;S600,"SIM","NÃO")</f>
        <v>NÃO</v>
      </c>
    </row>
    <row r="601" customFormat="false" ht="15" hidden="false" customHeight="false" outlineLevel="0" collapsed="false">
      <c r="A601" s="59" t="n">
        <v>46239.5390277778</v>
      </c>
      <c r="B601" s="60" t="s">
        <v>960</v>
      </c>
      <c r="C601" s="60" t="n">
        <v>26515401</v>
      </c>
      <c r="D601" s="60" t="s">
        <v>284</v>
      </c>
      <c r="E601" s="60" t="s">
        <v>23</v>
      </c>
      <c r="F601" s="60" t="s">
        <v>233</v>
      </c>
      <c r="G601" s="60" t="n">
        <v>29.2</v>
      </c>
      <c r="H601" s="61" t="n">
        <v>426.78</v>
      </c>
      <c r="I601" s="61" t="n">
        <v>58.8</v>
      </c>
      <c r="J601" s="61" t="n">
        <f aca="false">H601*Resumo!$C$6</f>
        <v>0</v>
      </c>
      <c r="K601" s="61" t="n">
        <f aca="false">H601*Resumo!$C$7</f>
        <v>0.896238</v>
      </c>
      <c r="L601" s="61" t="n">
        <f aca="false">H601*Resumo!$C$8</f>
        <v>0.896238</v>
      </c>
      <c r="M601" s="61" t="n">
        <f aca="false">Resumo!$C$10*CEILING(G601/100,1)</f>
        <v>1.05</v>
      </c>
      <c r="N601" s="61" t="n">
        <f aca="false">Resumo!$C$9</f>
        <v>0</v>
      </c>
      <c r="O601" s="61" t="n">
        <f aca="false">Resumo!$C$13</f>
        <v>13.55</v>
      </c>
      <c r="P601" s="61" t="n">
        <f aca="false">Resumo!$C$14*CEILING(G601,1)</f>
        <v>13.5</v>
      </c>
      <c r="Q601" s="61" t="n">
        <f aca="false">SUM(I601:P601)*Resumo!$C$11</f>
        <v>0</v>
      </c>
      <c r="R601" s="61" t="n">
        <f aca="false">SUM(I601:Q601)</f>
        <v>88.692476</v>
      </c>
      <c r="S601" s="61" t="n">
        <f aca="false">R601/(1-Resumo!$C$5)</f>
        <v>100.786904545455</v>
      </c>
      <c r="T601" s="61" t="n">
        <v>82.21</v>
      </c>
      <c r="U601" s="61" t="n">
        <f aca="false">H601*Resumo!$B$6</f>
        <v>0.42678</v>
      </c>
      <c r="V601" s="61" t="n">
        <f aca="false">H601*Resumo!$B$7</f>
        <v>0.85356</v>
      </c>
      <c r="W601" s="61" t="n">
        <f aca="false">Resumo!$B$9</f>
        <v>1</v>
      </c>
      <c r="X601" s="61" t="n">
        <f aca="false">Resumo!$B$10*CEILING(G601/100,1)</f>
        <v>4.5</v>
      </c>
      <c r="Y601" s="61" t="n">
        <f aca="false">Resumo!$B$12*CEILING(G601,1)</f>
        <v>1.8</v>
      </c>
      <c r="Z601" s="61" t="n">
        <f aca="false">Resumo!$B$14*CEILING(G601,1)</f>
        <v>13.5</v>
      </c>
      <c r="AA601" s="61" t="n">
        <f aca="false">SUM(T601:Z601)</f>
        <v>104.29034</v>
      </c>
      <c r="AB601" s="61" t="n">
        <f aca="false">AA601/(1-Resumo!$B$5)</f>
        <v>118.51175</v>
      </c>
      <c r="AC601" s="61" t="n">
        <f aca="false">AB601-S601</f>
        <v>17.7248454545455</v>
      </c>
      <c r="AD601" s="62" t="n">
        <f aca="false">AB601/S601-1</f>
        <v>0.175864568263942</v>
      </c>
      <c r="AE601" s="60" t="str">
        <f aca="false">IF(AB601&lt;S601,"SIM","NÃO")</f>
        <v>NÃO</v>
      </c>
      <c r="AF601" s="60" t="n">
        <v>2</v>
      </c>
      <c r="AG601" s="60" t="n">
        <v>5</v>
      </c>
      <c r="AH601" s="60" t="s">
        <v>385</v>
      </c>
      <c r="AI601" s="61" t="n">
        <f aca="false">(T601*(1-Painel!$C$40)+U601+V601+Painel!$C$41+Painel!$C$42*CEILING(G601/100,1)+Painel!$C$43*CEILING(G601,1)+Z601)/(1-Resumo!$B$5)</f>
        <v>81.7170909090909</v>
      </c>
      <c r="AJ601" s="60" t="str">
        <f aca="false">IF(AI601&lt;S601,"SIM","NÃO")</f>
        <v>SIM</v>
      </c>
    </row>
    <row r="602" customFormat="false" ht="15" hidden="false" customHeight="false" outlineLevel="0" collapsed="false">
      <c r="A602" s="59" t="n">
        <v>46239.5740393519</v>
      </c>
      <c r="B602" s="60" t="s">
        <v>961</v>
      </c>
      <c r="C602" s="60" t="n">
        <v>22061020</v>
      </c>
      <c r="D602" s="60" t="s">
        <v>46</v>
      </c>
      <c r="E602" s="60" t="s">
        <v>22</v>
      </c>
      <c r="F602" s="60" t="s">
        <v>236</v>
      </c>
      <c r="G602" s="60" t="n">
        <v>52.3</v>
      </c>
      <c r="H602" s="61" t="n">
        <v>685.85</v>
      </c>
      <c r="I602" s="61" t="n">
        <v>58.6</v>
      </c>
      <c r="J602" s="61" t="n">
        <f aca="false">H602*Resumo!$C$6</f>
        <v>0</v>
      </c>
      <c r="K602" s="61" t="n">
        <f aca="false">H602*Resumo!$C$7</f>
        <v>1.440285</v>
      </c>
      <c r="L602" s="61" t="n">
        <f aca="false">H602*Resumo!$C$8</f>
        <v>1.440285</v>
      </c>
      <c r="M602" s="61" t="n">
        <f aca="false">Resumo!$C$10*CEILING(G602/100,1)</f>
        <v>1.05</v>
      </c>
      <c r="N602" s="61" t="n">
        <f aca="false">Resumo!$C$9</f>
        <v>0</v>
      </c>
      <c r="O602" s="61" t="n">
        <f aca="false">Resumo!$C$13</f>
        <v>13.55</v>
      </c>
      <c r="P602" s="61" t="n">
        <f aca="false">Resumo!$C$14*CEILING(G602,1)</f>
        <v>23.85</v>
      </c>
      <c r="Q602" s="61" t="n">
        <f aca="false">SUM(I602:P602)*Resumo!$C$11</f>
        <v>0</v>
      </c>
      <c r="R602" s="61" t="n">
        <f aca="false">SUM(I602:Q602)</f>
        <v>99.93057</v>
      </c>
      <c r="S602" s="61" t="n">
        <f aca="false">R602/(1-Resumo!$C$5)</f>
        <v>113.557465909091</v>
      </c>
      <c r="T602" s="61" t="n">
        <v>112.3</v>
      </c>
      <c r="U602" s="61" t="n">
        <f aca="false">H602*Resumo!$B$6</f>
        <v>0.68585</v>
      </c>
      <c r="V602" s="61" t="n">
        <f aca="false">H602*Resumo!$B$7</f>
        <v>1.3717</v>
      </c>
      <c r="W602" s="61" t="n">
        <f aca="false">Resumo!$B$9</f>
        <v>1</v>
      </c>
      <c r="X602" s="61" t="n">
        <f aca="false">Resumo!$B$10*CEILING(G602/100,1)</f>
        <v>4.5</v>
      </c>
      <c r="Y602" s="61" t="n">
        <f aca="false">Resumo!$B$12*CEILING(G602,1)</f>
        <v>3.18</v>
      </c>
      <c r="Z602" s="61" t="n">
        <f aca="false">Resumo!$B$14*CEILING(G602,1)</f>
        <v>23.85</v>
      </c>
      <c r="AA602" s="61" t="n">
        <f aca="false">SUM(T602:Z602)</f>
        <v>146.88755</v>
      </c>
      <c r="AB602" s="61" t="n">
        <f aca="false">AA602/(1-Resumo!$B$5)</f>
        <v>166.917670454545</v>
      </c>
      <c r="AC602" s="61" t="n">
        <f aca="false">AB602-S602</f>
        <v>53.3602045454545</v>
      </c>
      <c r="AD602" s="62" t="n">
        <f aca="false">AB602/S602-1</f>
        <v>0.4698960488267</v>
      </c>
      <c r="AE602" s="60" t="str">
        <f aca="false">IF(AB602&lt;S602,"SIM","NÃO")</f>
        <v>NÃO</v>
      </c>
      <c r="AF602" s="60" t="n">
        <v>2</v>
      </c>
      <c r="AG602" s="60" t="n">
        <v>5</v>
      </c>
      <c r="AH602" s="60" t="s">
        <v>382</v>
      </c>
      <c r="AI602" s="61" t="n">
        <f aca="false">(T602*(1-Painel!$C$40)+U602+V602+Painel!$C$41+Painel!$C$42*CEILING(G602/100,1)+Painel!$C$43*CEILING(G602,1)+Z602)/(1-Resumo!$B$5)</f>
        <v>117.271079545455</v>
      </c>
      <c r="AJ602" s="60" t="str">
        <f aca="false">IF(AI602&lt;S602,"SIM","NÃO")</f>
        <v>NÃO</v>
      </c>
    </row>
    <row r="603" customFormat="false" ht="15" hidden="false" customHeight="false" outlineLevel="0" collapsed="false">
      <c r="A603" s="59" t="n">
        <v>46239.578599537</v>
      </c>
      <c r="B603" s="60" t="s">
        <v>962</v>
      </c>
      <c r="C603" s="60" t="n">
        <v>27935170</v>
      </c>
      <c r="D603" s="60" t="s">
        <v>53</v>
      </c>
      <c r="E603" s="60" t="s">
        <v>24</v>
      </c>
      <c r="F603" s="60" t="s">
        <v>236</v>
      </c>
      <c r="G603" s="60" t="n">
        <v>52.3</v>
      </c>
      <c r="H603" s="61" t="n">
        <v>699.99</v>
      </c>
      <c r="I603" s="61" t="n">
        <v>83.58</v>
      </c>
      <c r="J603" s="61" t="n">
        <f aca="false">H603*Resumo!$C$6</f>
        <v>0</v>
      </c>
      <c r="K603" s="61" t="n">
        <f aca="false">H603*Resumo!$C$7</f>
        <v>1.469979</v>
      </c>
      <c r="L603" s="61" t="n">
        <f aca="false">H603*Resumo!$C$8</f>
        <v>1.469979</v>
      </c>
      <c r="M603" s="61" t="n">
        <f aca="false">Resumo!$C$10*CEILING(G603/100,1)</f>
        <v>1.05</v>
      </c>
      <c r="N603" s="61" t="n">
        <f aca="false">Resumo!$C$9</f>
        <v>0</v>
      </c>
      <c r="O603" s="61" t="n">
        <f aca="false">Resumo!$C$13</f>
        <v>13.55</v>
      </c>
      <c r="P603" s="61" t="n">
        <f aca="false">Resumo!$C$14*CEILING(G603,1)</f>
        <v>23.85</v>
      </c>
      <c r="Q603" s="61" t="n">
        <f aca="false">SUM(I603:P603)*Resumo!$C$11</f>
        <v>0</v>
      </c>
      <c r="R603" s="61" t="n">
        <f aca="false">SUM(I603:Q603)</f>
        <v>124.969958</v>
      </c>
      <c r="S603" s="61" t="n">
        <f aca="false">R603/(1-Resumo!$C$5)</f>
        <v>142.011315909091</v>
      </c>
      <c r="T603" s="61" t="n">
        <v>162.04</v>
      </c>
      <c r="U603" s="61" t="n">
        <f aca="false">H603*Resumo!$B$6</f>
        <v>0.69999</v>
      </c>
      <c r="V603" s="61" t="n">
        <f aca="false">H603*Resumo!$B$7</f>
        <v>1.39998</v>
      </c>
      <c r="W603" s="61" t="n">
        <f aca="false">Resumo!$B$9</f>
        <v>1</v>
      </c>
      <c r="X603" s="61" t="n">
        <f aca="false">Resumo!$B$10*CEILING(G603/100,1)</f>
        <v>4.5</v>
      </c>
      <c r="Y603" s="61" t="n">
        <f aca="false">Resumo!$B$12*CEILING(G603,1)</f>
        <v>3.18</v>
      </c>
      <c r="Z603" s="61" t="n">
        <f aca="false">Resumo!$B$14*CEILING(G603,1)</f>
        <v>23.85</v>
      </c>
      <c r="AA603" s="61" t="n">
        <f aca="false">SUM(T603:Z603)</f>
        <v>196.66997</v>
      </c>
      <c r="AB603" s="61" t="n">
        <f aca="false">AA603/(1-Resumo!$B$5)</f>
        <v>223.488602272727</v>
      </c>
      <c r="AC603" s="61" t="n">
        <f aca="false">AB603-S603</f>
        <v>81.4772863636363</v>
      </c>
      <c r="AD603" s="62" t="n">
        <f aca="false">AB603/S603-1</f>
        <v>0.573737985892577</v>
      </c>
      <c r="AE603" s="60" t="str">
        <f aca="false">IF(AB603&lt;S603,"SIM","NÃO")</f>
        <v>NÃO</v>
      </c>
      <c r="AF603" s="60" t="n">
        <v>13</v>
      </c>
      <c r="AG603" s="60" t="n">
        <v>11</v>
      </c>
      <c r="AH603" s="60" t="s">
        <v>382</v>
      </c>
      <c r="AI603" s="61" t="n">
        <f aca="false">(T603*(1-Painel!$C$40)+U603+V603+Painel!$C$41+Painel!$C$42*CEILING(G603/100,1)+Painel!$C$43*CEILING(G603,1)+Z603)/(1-Resumo!$B$5)</f>
        <v>155.189511363636</v>
      </c>
      <c r="AJ603" s="60" t="str">
        <f aca="false">IF(AI603&lt;S603,"SIM","NÃO")</f>
        <v>NÃO</v>
      </c>
    </row>
    <row r="604" customFormat="false" ht="15" hidden="false" customHeight="false" outlineLevel="0" collapsed="false">
      <c r="A604" s="59" t="n">
        <v>46239.5894791667</v>
      </c>
      <c r="B604" s="60" t="s">
        <v>963</v>
      </c>
      <c r="C604" s="60" t="n">
        <v>27330660</v>
      </c>
      <c r="D604" s="60" t="s">
        <v>293</v>
      </c>
      <c r="E604" s="60" t="s">
        <v>24</v>
      </c>
      <c r="F604" s="60" t="s">
        <v>234</v>
      </c>
      <c r="G604" s="60" t="n">
        <v>40</v>
      </c>
      <c r="H604" s="61" t="n">
        <v>569.99</v>
      </c>
      <c r="I604" s="61" t="n">
        <v>74.97</v>
      </c>
      <c r="J604" s="61" t="n">
        <f aca="false">H604*Resumo!$C$6</f>
        <v>0</v>
      </c>
      <c r="K604" s="61" t="n">
        <f aca="false">H604*Resumo!$C$7</f>
        <v>1.196979</v>
      </c>
      <c r="L604" s="61" t="n">
        <f aca="false">H604*Resumo!$C$8</f>
        <v>1.196979</v>
      </c>
      <c r="M604" s="61" t="n">
        <f aca="false">Resumo!$C$10*CEILING(G604/100,1)</f>
        <v>1.05</v>
      </c>
      <c r="N604" s="61" t="n">
        <f aca="false">Resumo!$C$9</f>
        <v>0</v>
      </c>
      <c r="O604" s="61" t="n">
        <f aca="false">Resumo!$C$13</f>
        <v>13.55</v>
      </c>
      <c r="P604" s="61" t="n">
        <f aca="false">Resumo!$C$14*CEILING(G604,1)</f>
        <v>18</v>
      </c>
      <c r="Q604" s="61" t="n">
        <f aca="false">SUM(I604:P604)*Resumo!$C$11</f>
        <v>0</v>
      </c>
      <c r="R604" s="61" t="n">
        <f aca="false">SUM(I604:Q604)</f>
        <v>109.963958</v>
      </c>
      <c r="S604" s="61" t="n">
        <f aca="false">R604/(1-Resumo!$C$5)</f>
        <v>124.959043181818</v>
      </c>
      <c r="T604" s="61" t="n">
        <v>124.38</v>
      </c>
      <c r="U604" s="61" t="n">
        <f aca="false">H604*Resumo!$B$6</f>
        <v>0.56999</v>
      </c>
      <c r="V604" s="61" t="n">
        <f aca="false">H604*Resumo!$B$7</f>
        <v>1.13998</v>
      </c>
      <c r="W604" s="61" t="n">
        <f aca="false">Resumo!$B$9</f>
        <v>1</v>
      </c>
      <c r="X604" s="61" t="n">
        <f aca="false">Resumo!$B$10*CEILING(G604/100,1)</f>
        <v>4.5</v>
      </c>
      <c r="Y604" s="61" t="n">
        <f aca="false">Resumo!$B$12*CEILING(G604,1)</f>
        <v>2.4</v>
      </c>
      <c r="Z604" s="61" t="n">
        <f aca="false">Resumo!$B$14*CEILING(G604,1)</f>
        <v>18</v>
      </c>
      <c r="AA604" s="61" t="n">
        <f aca="false">SUM(T604:Z604)</f>
        <v>151.98997</v>
      </c>
      <c r="AB604" s="61" t="n">
        <f aca="false">AA604/(1-Resumo!$B$5)</f>
        <v>172.715875</v>
      </c>
      <c r="AC604" s="61" t="n">
        <f aca="false">AB604-S604</f>
        <v>47.7568318181818</v>
      </c>
      <c r="AD604" s="62" t="n">
        <f aca="false">AB604/S604-1</f>
        <v>0.382179877519505</v>
      </c>
      <c r="AE604" s="60" t="str">
        <f aca="false">IF(AB604&lt;S604,"SIM","NÃO")</f>
        <v>NÃO</v>
      </c>
      <c r="AF604" s="60" t="n">
        <v>13</v>
      </c>
      <c r="AG604" s="60" t="n">
        <v>10</v>
      </c>
      <c r="AH604" s="60" t="s">
        <v>385</v>
      </c>
      <c r="AI604" s="61" t="n">
        <f aca="false">(T604*(1-Painel!$C$40)+U604+V604+Painel!$C$41+Painel!$C$42*CEILING(G604/100,1)+Painel!$C$43*CEILING(G604,1)+Z604)/(1-Resumo!$B$5)</f>
        <v>119.425647727273</v>
      </c>
      <c r="AJ604" s="60" t="str">
        <f aca="false">IF(AI604&lt;S604,"SIM","NÃO")</f>
        <v>SIM</v>
      </c>
    </row>
    <row r="605" customFormat="false" ht="15" hidden="false" customHeight="false" outlineLevel="0" collapsed="false">
      <c r="A605" s="59" t="n">
        <v>46239.6053703704</v>
      </c>
      <c r="B605" s="60" t="s">
        <v>964</v>
      </c>
      <c r="C605" s="60" t="n">
        <v>26383560</v>
      </c>
      <c r="D605" s="60" t="s">
        <v>282</v>
      </c>
      <c r="E605" s="60" t="s">
        <v>23</v>
      </c>
      <c r="F605" s="60" t="s">
        <v>234</v>
      </c>
      <c r="G605" s="60" t="n">
        <v>37.2</v>
      </c>
      <c r="H605" s="61" t="n">
        <v>459.99</v>
      </c>
      <c r="I605" s="61" t="n">
        <v>66.83</v>
      </c>
      <c r="J605" s="61" t="n">
        <f aca="false">H605*Resumo!$C$6</f>
        <v>0</v>
      </c>
      <c r="K605" s="61" t="n">
        <f aca="false">H605*Resumo!$C$7</f>
        <v>0.965979</v>
      </c>
      <c r="L605" s="61" t="n">
        <f aca="false">H605*Resumo!$C$8</f>
        <v>0.965979</v>
      </c>
      <c r="M605" s="61" t="n">
        <f aca="false">Resumo!$C$10*CEILING(G605/100,1)</f>
        <v>1.05</v>
      </c>
      <c r="N605" s="61" t="n">
        <f aca="false">Resumo!$C$9</f>
        <v>0</v>
      </c>
      <c r="O605" s="61" t="n">
        <f aca="false">Resumo!$C$13</f>
        <v>13.55</v>
      </c>
      <c r="P605" s="61" t="n">
        <f aca="false">Resumo!$C$14*CEILING(G605,1)</f>
        <v>17.1</v>
      </c>
      <c r="Q605" s="61" t="n">
        <f aca="false">SUM(I605:P605)*Resumo!$C$11</f>
        <v>0</v>
      </c>
      <c r="R605" s="61" t="n">
        <f aca="false">SUM(I605:Q605)</f>
        <v>100.461958</v>
      </c>
      <c r="S605" s="61" t="n">
        <f aca="false">R605/(1-Resumo!$C$5)</f>
        <v>114.161315909091</v>
      </c>
      <c r="T605" s="61" t="n">
        <v>93.97</v>
      </c>
      <c r="U605" s="61" t="n">
        <f aca="false">H605*Resumo!$B$6</f>
        <v>0.45999</v>
      </c>
      <c r="V605" s="61" t="n">
        <f aca="false">H605*Resumo!$B$7</f>
        <v>0.91998</v>
      </c>
      <c r="W605" s="61" t="n">
        <f aca="false">Resumo!$B$9</f>
        <v>1</v>
      </c>
      <c r="X605" s="61" t="n">
        <f aca="false">Resumo!$B$10*CEILING(G605/100,1)</f>
        <v>4.5</v>
      </c>
      <c r="Y605" s="61" t="n">
        <f aca="false">Resumo!$B$12*CEILING(G605,1)</f>
        <v>2.28</v>
      </c>
      <c r="Z605" s="61" t="n">
        <f aca="false">Resumo!$B$14*CEILING(G605,1)</f>
        <v>17.1</v>
      </c>
      <c r="AA605" s="61" t="n">
        <f aca="false">SUM(T605:Z605)</f>
        <v>120.22997</v>
      </c>
      <c r="AB605" s="61" t="n">
        <f aca="false">AA605/(1-Resumo!$B$5)</f>
        <v>136.624965909091</v>
      </c>
      <c r="AC605" s="61" t="n">
        <f aca="false">AB605-S605</f>
        <v>22.46365</v>
      </c>
      <c r="AD605" s="62" t="n">
        <f aca="false">AB605/S605-1</f>
        <v>0.196771120069151</v>
      </c>
      <c r="AE605" s="60" t="str">
        <f aca="false">IF(AB605&lt;S605,"SIM","NÃO")</f>
        <v>NÃO</v>
      </c>
      <c r="AF605" s="60" t="n">
        <v>2</v>
      </c>
      <c r="AG605" s="60" t="n">
        <v>5</v>
      </c>
      <c r="AH605" s="60" t="s">
        <v>385</v>
      </c>
      <c r="AI605" s="61" t="n">
        <f aca="false">(T605*(1-Painel!$C$40)+U605+V605+Painel!$C$41+Painel!$C$42*CEILING(G605/100,1)+Painel!$C$43*CEILING(G605,1)+Z605)/(1-Resumo!$B$5)</f>
        <v>94.8748522727273</v>
      </c>
      <c r="AJ605" s="60" t="str">
        <f aca="false">IF(AI605&lt;S605,"SIM","NÃO")</f>
        <v>SIM</v>
      </c>
    </row>
    <row r="606" customFormat="false" ht="15" hidden="false" customHeight="false" outlineLevel="0" collapsed="false">
      <c r="A606" s="59" t="n">
        <v>46239.6148148148</v>
      </c>
      <c r="B606" s="60" t="s">
        <v>965</v>
      </c>
      <c r="C606" s="60" t="n">
        <v>22770360</v>
      </c>
      <c r="D606" s="60" t="s">
        <v>46</v>
      </c>
      <c r="E606" s="60" t="s">
        <v>22</v>
      </c>
      <c r="F606" s="60" t="s">
        <v>236</v>
      </c>
      <c r="G606" s="60" t="n">
        <v>52.3</v>
      </c>
      <c r="H606" s="61" t="n">
        <v>685.85</v>
      </c>
      <c r="I606" s="61" t="n">
        <v>58.6</v>
      </c>
      <c r="J606" s="61" t="n">
        <f aca="false">H606*Resumo!$C$6</f>
        <v>0</v>
      </c>
      <c r="K606" s="61" t="n">
        <f aca="false">H606*Resumo!$C$7</f>
        <v>1.440285</v>
      </c>
      <c r="L606" s="61" t="n">
        <f aca="false">H606*Resumo!$C$8</f>
        <v>1.440285</v>
      </c>
      <c r="M606" s="61" t="n">
        <f aca="false">Resumo!$C$10*CEILING(G606/100,1)</f>
        <v>1.05</v>
      </c>
      <c r="N606" s="61" t="n">
        <f aca="false">Resumo!$C$9</f>
        <v>0</v>
      </c>
      <c r="O606" s="61" t="n">
        <f aca="false">Resumo!$C$13</f>
        <v>13.55</v>
      </c>
      <c r="P606" s="61" t="n">
        <f aca="false">Resumo!$C$14*CEILING(G606,1)</f>
        <v>23.85</v>
      </c>
      <c r="Q606" s="61" t="n">
        <f aca="false">SUM(I606:P606)*Resumo!$C$11</f>
        <v>0</v>
      </c>
      <c r="R606" s="61" t="n">
        <f aca="false">SUM(I606:Q606)</f>
        <v>99.93057</v>
      </c>
      <c r="S606" s="61" t="n">
        <f aca="false">R606/(1-Resumo!$C$5)</f>
        <v>113.557465909091</v>
      </c>
      <c r="T606" s="61" t="n">
        <v>112.3</v>
      </c>
      <c r="U606" s="61" t="n">
        <f aca="false">H606*Resumo!$B$6</f>
        <v>0.68585</v>
      </c>
      <c r="V606" s="61" t="n">
        <f aca="false">H606*Resumo!$B$7</f>
        <v>1.3717</v>
      </c>
      <c r="W606" s="61" t="n">
        <f aca="false">Resumo!$B$9</f>
        <v>1</v>
      </c>
      <c r="X606" s="61" t="n">
        <f aca="false">Resumo!$B$10*CEILING(G606/100,1)</f>
        <v>4.5</v>
      </c>
      <c r="Y606" s="61" t="n">
        <f aca="false">Resumo!$B$12*CEILING(G606,1)</f>
        <v>3.18</v>
      </c>
      <c r="Z606" s="61" t="n">
        <f aca="false">Resumo!$B$14*CEILING(G606,1)</f>
        <v>23.85</v>
      </c>
      <c r="AA606" s="61" t="n">
        <f aca="false">SUM(T606:Z606)</f>
        <v>146.88755</v>
      </c>
      <c r="AB606" s="61" t="n">
        <f aca="false">AA606/(1-Resumo!$B$5)</f>
        <v>166.917670454545</v>
      </c>
      <c r="AC606" s="61" t="n">
        <f aca="false">AB606-S606</f>
        <v>53.3602045454545</v>
      </c>
      <c r="AD606" s="62" t="n">
        <f aca="false">AB606/S606-1</f>
        <v>0.4698960488267</v>
      </c>
      <c r="AE606" s="60" t="str">
        <f aca="false">IF(AB606&lt;S606,"SIM","NÃO")</f>
        <v>NÃO</v>
      </c>
      <c r="AF606" s="60" t="n">
        <v>2</v>
      </c>
      <c r="AG606" s="60" t="n">
        <v>5</v>
      </c>
      <c r="AH606" s="60" t="s">
        <v>382</v>
      </c>
      <c r="AI606" s="61" t="n">
        <f aca="false">(T606*(1-Painel!$C$40)+U606+V606+Painel!$C$41+Painel!$C$42*CEILING(G606/100,1)+Painel!$C$43*CEILING(G606,1)+Z606)/(1-Resumo!$B$5)</f>
        <v>117.271079545455</v>
      </c>
      <c r="AJ606" s="60" t="str">
        <f aca="false">IF(AI606&lt;S606,"SIM","NÃO")</f>
        <v>NÃO</v>
      </c>
    </row>
    <row r="607" customFormat="false" ht="15" hidden="false" customHeight="false" outlineLevel="0" collapsed="false">
      <c r="A607" s="59" t="n">
        <v>46239.6216666667</v>
      </c>
      <c r="B607" s="60" t="s">
        <v>966</v>
      </c>
      <c r="C607" s="60" t="n">
        <v>24738834</v>
      </c>
      <c r="D607" s="60" t="s">
        <v>47</v>
      </c>
      <c r="E607" s="60" t="s">
        <v>23</v>
      </c>
      <c r="F607" s="60" t="s">
        <v>236</v>
      </c>
      <c r="G607" s="60" t="n">
        <v>52.3</v>
      </c>
      <c r="H607" s="61" t="n">
        <v>699.99</v>
      </c>
      <c r="I607" s="61" t="n">
        <v>70.98</v>
      </c>
      <c r="J607" s="61" t="n">
        <f aca="false">H607*Resumo!$C$6</f>
        <v>0</v>
      </c>
      <c r="K607" s="61" t="n">
        <f aca="false">H607*Resumo!$C$7</f>
        <v>1.469979</v>
      </c>
      <c r="L607" s="61" t="n">
        <f aca="false">H607*Resumo!$C$8</f>
        <v>1.469979</v>
      </c>
      <c r="M607" s="61" t="n">
        <f aca="false">Resumo!$C$10*CEILING(G607/100,1)</f>
        <v>1.05</v>
      </c>
      <c r="N607" s="61" t="n">
        <f aca="false">Resumo!$C$9</f>
        <v>0</v>
      </c>
      <c r="O607" s="61" t="n">
        <f aca="false">Resumo!$C$13</f>
        <v>13.55</v>
      </c>
      <c r="P607" s="61" t="n">
        <f aca="false">Resumo!$C$14*CEILING(G607,1)</f>
        <v>23.85</v>
      </c>
      <c r="Q607" s="61" t="n">
        <f aca="false">SUM(I607:P607)*Resumo!$C$11</f>
        <v>0</v>
      </c>
      <c r="R607" s="61" t="n">
        <f aca="false">SUM(I607:Q607)</f>
        <v>112.369958</v>
      </c>
      <c r="S607" s="61" t="n">
        <f aca="false">R607/(1-Resumo!$C$5)</f>
        <v>127.693134090909</v>
      </c>
      <c r="T607" s="61" t="n">
        <v>128.14</v>
      </c>
      <c r="U607" s="61" t="n">
        <f aca="false">H607*Resumo!$B$6</f>
        <v>0.69999</v>
      </c>
      <c r="V607" s="61" t="n">
        <f aca="false">H607*Resumo!$B$7</f>
        <v>1.39998</v>
      </c>
      <c r="W607" s="61" t="n">
        <f aca="false">Resumo!$B$9</f>
        <v>1</v>
      </c>
      <c r="X607" s="61" t="n">
        <f aca="false">Resumo!$B$10*CEILING(G607/100,1)</f>
        <v>4.5</v>
      </c>
      <c r="Y607" s="61" t="n">
        <f aca="false">Resumo!$B$12*CEILING(G607,1)</f>
        <v>3.18</v>
      </c>
      <c r="Z607" s="61" t="n">
        <f aca="false">Resumo!$B$14*CEILING(G607,1)</f>
        <v>23.85</v>
      </c>
      <c r="AA607" s="61" t="n">
        <f aca="false">SUM(T607:Z607)</f>
        <v>162.76997</v>
      </c>
      <c r="AB607" s="61" t="n">
        <f aca="false">AA607/(1-Resumo!$B$5)</f>
        <v>184.965875</v>
      </c>
      <c r="AC607" s="61" t="n">
        <f aca="false">AB607-S607</f>
        <v>57.2727409090909</v>
      </c>
      <c r="AD607" s="62" t="n">
        <f aca="false">AB607/S607-1</f>
        <v>0.448518562229951</v>
      </c>
      <c r="AE607" s="60" t="str">
        <f aca="false">IF(AB607&lt;S607,"SIM","NÃO")</f>
        <v>NÃO</v>
      </c>
      <c r="AF607" s="60" t="n">
        <v>2</v>
      </c>
      <c r="AG607" s="60" t="n">
        <v>7</v>
      </c>
      <c r="AH607" s="60" t="s">
        <v>382</v>
      </c>
      <c r="AI607" s="61" t="n">
        <f aca="false">(T607*(1-Painel!$C$40)+U607+V607+Painel!$C$41+Painel!$C$42*CEILING(G607/100,1)+Painel!$C$43*CEILING(G607,1)+Z607)/(1-Resumo!$B$5)</f>
        <v>129.379284090909</v>
      </c>
      <c r="AJ607" s="60" t="str">
        <f aca="false">IF(AI607&lt;S607,"SIM","NÃO")</f>
        <v>NÃO</v>
      </c>
    </row>
    <row r="608" customFormat="false" ht="15" hidden="false" customHeight="false" outlineLevel="0" collapsed="false">
      <c r="A608" s="59" t="n">
        <v>46239.6224305556</v>
      </c>
      <c r="B608" s="60" t="s">
        <v>967</v>
      </c>
      <c r="C608" s="60" t="n">
        <v>21031752</v>
      </c>
      <c r="D608" s="60" t="s">
        <v>46</v>
      </c>
      <c r="E608" s="60" t="s">
        <v>22</v>
      </c>
      <c r="F608" s="60" t="s">
        <v>241</v>
      </c>
      <c r="G608" s="60" t="n">
        <v>124.2</v>
      </c>
      <c r="H608" s="61" t="n">
        <v>1699.99</v>
      </c>
      <c r="I608" s="61" t="n">
        <v>120.59</v>
      </c>
      <c r="J608" s="61" t="n">
        <f aca="false">H608*Resumo!$C$6</f>
        <v>0</v>
      </c>
      <c r="K608" s="61" t="n">
        <f aca="false">H608*Resumo!$C$7</f>
        <v>3.569979</v>
      </c>
      <c r="L608" s="61" t="n">
        <f aca="false">H608*Resumo!$C$8</f>
        <v>3.569979</v>
      </c>
      <c r="M608" s="61" t="n">
        <f aca="false">Resumo!$C$10*CEILING(G608/100,1)</f>
        <v>2.1</v>
      </c>
      <c r="N608" s="61" t="n">
        <f aca="false">Resumo!$C$9</f>
        <v>0</v>
      </c>
      <c r="O608" s="61" t="n">
        <f aca="false">Resumo!$C$13</f>
        <v>13.55</v>
      </c>
      <c r="P608" s="61" t="n">
        <f aca="false">Resumo!$C$14*CEILING(G608,1)</f>
        <v>56.25</v>
      </c>
      <c r="Q608" s="61" t="n">
        <f aca="false">SUM(I608:P608)*Resumo!$C$11</f>
        <v>0</v>
      </c>
      <c r="R608" s="61" t="n">
        <f aca="false">SUM(I608:Q608)</f>
        <v>199.629958</v>
      </c>
      <c r="S608" s="61" t="n">
        <f aca="false">R608/(1-Resumo!$C$5)</f>
        <v>226.852225</v>
      </c>
      <c r="T608" s="61" t="n">
        <v>239.25</v>
      </c>
      <c r="U608" s="61" t="n">
        <f aca="false">H608*Resumo!$B$6</f>
        <v>1.69999</v>
      </c>
      <c r="V608" s="61" t="n">
        <f aca="false">H608*Resumo!$B$7</f>
        <v>3.39998</v>
      </c>
      <c r="W608" s="61" t="n">
        <f aca="false">Resumo!$B$9</f>
        <v>1</v>
      </c>
      <c r="X608" s="61" t="n">
        <f aca="false">Resumo!$B$10*CEILING(G608/100,1)</f>
        <v>9</v>
      </c>
      <c r="Y608" s="61" t="n">
        <f aca="false">Resumo!$B$12*CEILING(G608,1)</f>
        <v>7.5</v>
      </c>
      <c r="Z608" s="61" t="n">
        <f aca="false">Resumo!$B$14*CEILING(G608,1)</f>
        <v>56.25</v>
      </c>
      <c r="AA608" s="61" t="n">
        <f aca="false">SUM(T608:Z608)</f>
        <v>318.09997</v>
      </c>
      <c r="AB608" s="61" t="n">
        <f aca="false">AA608/(1-Resumo!$B$5)</f>
        <v>361.477238636364</v>
      </c>
      <c r="AC608" s="61" t="n">
        <f aca="false">AB608-S608</f>
        <v>134.625013636364</v>
      </c>
      <c r="AD608" s="62" t="n">
        <f aca="false">AB608/S608-1</f>
        <v>0.593448063541645</v>
      </c>
      <c r="AE608" s="60" t="str">
        <f aca="false">IF(AB608&lt;S608,"SIM","NÃO")</f>
        <v>NÃO</v>
      </c>
      <c r="AF608" s="60" t="n">
        <v>2</v>
      </c>
      <c r="AG608" s="60" t="n">
        <v>5</v>
      </c>
      <c r="AH608" s="60" t="s">
        <v>382</v>
      </c>
      <c r="AI608" s="61" t="n">
        <f aca="false">(T608*(1-Painel!$C$40)+U608+V608+Painel!$C$41+Painel!$C$42*CEILING(G608/100,1)+Painel!$C$43*CEILING(G608,1)+Z608)/(1-Resumo!$B$5)</f>
        <v>255.394852272727</v>
      </c>
      <c r="AJ608" s="60" t="str">
        <f aca="false">IF(AI608&lt;S608,"SIM","NÃO")</f>
        <v>NÃO</v>
      </c>
    </row>
    <row r="609" customFormat="false" ht="15" hidden="false" customHeight="false" outlineLevel="0" collapsed="false">
      <c r="A609" s="59" t="n">
        <v>46239.6275578704</v>
      </c>
      <c r="B609" s="60" t="s">
        <v>968</v>
      </c>
      <c r="C609" s="60" t="n">
        <v>22753050</v>
      </c>
      <c r="D609" s="60" t="s">
        <v>46</v>
      </c>
      <c r="E609" s="60" t="s">
        <v>22</v>
      </c>
      <c r="F609" s="60" t="s">
        <v>237</v>
      </c>
      <c r="G609" s="60" t="n">
        <v>66.8</v>
      </c>
      <c r="H609" s="61" t="n">
        <v>719.99</v>
      </c>
      <c r="I609" s="61" t="n">
        <v>63.21</v>
      </c>
      <c r="J609" s="61" t="n">
        <f aca="false">H609*Resumo!$C$6</f>
        <v>0</v>
      </c>
      <c r="K609" s="61" t="n">
        <f aca="false">H609*Resumo!$C$7</f>
        <v>1.511979</v>
      </c>
      <c r="L609" s="61" t="n">
        <f aca="false">H609*Resumo!$C$8</f>
        <v>1.511979</v>
      </c>
      <c r="M609" s="61" t="n">
        <f aca="false">Resumo!$C$10*CEILING(G609/100,1)</f>
        <v>1.05</v>
      </c>
      <c r="N609" s="61" t="n">
        <f aca="false">Resumo!$C$9</f>
        <v>0</v>
      </c>
      <c r="O609" s="61" t="n">
        <f aca="false">Resumo!$C$13</f>
        <v>13.55</v>
      </c>
      <c r="P609" s="61" t="n">
        <f aca="false">Resumo!$C$14*CEILING(G609,1)</f>
        <v>30.15</v>
      </c>
      <c r="Q609" s="61" t="n">
        <f aca="false">SUM(I609:P609)*Resumo!$C$11</f>
        <v>0</v>
      </c>
      <c r="R609" s="61" t="n">
        <f aca="false">SUM(I609:Q609)</f>
        <v>110.983958</v>
      </c>
      <c r="S609" s="61" t="n">
        <f aca="false">R609/(1-Resumo!$C$5)</f>
        <v>126.118134090909</v>
      </c>
      <c r="T609" s="61" t="n">
        <v>131.02</v>
      </c>
      <c r="U609" s="61" t="n">
        <f aca="false">H609*Resumo!$B$6</f>
        <v>0.71999</v>
      </c>
      <c r="V609" s="61" t="n">
        <f aca="false">H609*Resumo!$B$7</f>
        <v>1.43998</v>
      </c>
      <c r="W609" s="61" t="n">
        <f aca="false">Resumo!$B$9</f>
        <v>1</v>
      </c>
      <c r="X609" s="61" t="n">
        <f aca="false">Resumo!$B$10*CEILING(G609/100,1)</f>
        <v>4.5</v>
      </c>
      <c r="Y609" s="61" t="n">
        <f aca="false">Resumo!$B$12*CEILING(G609,1)</f>
        <v>4.02</v>
      </c>
      <c r="Z609" s="61" t="n">
        <f aca="false">Resumo!$B$14*CEILING(G609,1)</f>
        <v>30.15</v>
      </c>
      <c r="AA609" s="61" t="n">
        <f aca="false">SUM(T609:Z609)</f>
        <v>172.84997</v>
      </c>
      <c r="AB609" s="61" t="n">
        <f aca="false">AA609/(1-Resumo!$B$5)</f>
        <v>196.420420454545</v>
      </c>
      <c r="AC609" s="61" t="n">
        <f aca="false">AB609-S609</f>
        <v>70.3022863636364</v>
      </c>
      <c r="AD609" s="62" t="n">
        <f aca="false">AB609/S609-1</f>
        <v>0.557432020941261</v>
      </c>
      <c r="AE609" s="60" t="str">
        <f aca="false">IF(AB609&lt;S609,"SIM","NÃO")</f>
        <v>NÃO</v>
      </c>
      <c r="AF609" s="60" t="n">
        <v>2</v>
      </c>
      <c r="AG609" s="60" t="n">
        <v>5</v>
      </c>
      <c r="AH609" s="60" t="s">
        <v>382</v>
      </c>
      <c r="AI609" s="61" t="n">
        <f aca="false">(T609*(1-Painel!$C$40)+U609+V609+Painel!$C$41+Painel!$C$42*CEILING(G609/100,1)+Painel!$C$43*CEILING(G609,1)+Z609)/(1-Resumo!$B$5)</f>
        <v>138.799284090909</v>
      </c>
      <c r="AJ609" s="60" t="str">
        <f aca="false">IF(AI609&lt;S609,"SIM","NÃO")</f>
        <v>NÃO</v>
      </c>
    </row>
    <row r="610" customFormat="false" ht="15" hidden="false" customHeight="false" outlineLevel="0" collapsed="false">
      <c r="A610" s="59" t="n">
        <v>46239.6306712963</v>
      </c>
      <c r="B610" s="60" t="s">
        <v>969</v>
      </c>
      <c r="C610" s="60" t="n">
        <v>28944042</v>
      </c>
      <c r="D610" s="60" t="s">
        <v>338</v>
      </c>
      <c r="E610" s="60" t="s">
        <v>24</v>
      </c>
      <c r="F610" s="60" t="s">
        <v>236</v>
      </c>
      <c r="G610" s="60" t="n">
        <v>59.9</v>
      </c>
      <c r="H610" s="61" t="n">
        <v>945.99</v>
      </c>
      <c r="I610" s="61" t="n">
        <v>83.58</v>
      </c>
      <c r="J610" s="61" t="n">
        <f aca="false">H610*Resumo!$C$6</f>
        <v>0</v>
      </c>
      <c r="K610" s="61" t="n">
        <f aca="false">H610*Resumo!$C$7</f>
        <v>1.986579</v>
      </c>
      <c r="L610" s="61" t="n">
        <f aca="false">H610*Resumo!$C$8</f>
        <v>1.986579</v>
      </c>
      <c r="M610" s="61" t="n">
        <f aca="false">Resumo!$C$10*CEILING(G610/100,1)</f>
        <v>1.05</v>
      </c>
      <c r="N610" s="61" t="n">
        <f aca="false">Resumo!$C$9</f>
        <v>0</v>
      </c>
      <c r="O610" s="61" t="n">
        <f aca="false">Resumo!$C$13</f>
        <v>13.55</v>
      </c>
      <c r="P610" s="61" t="n">
        <f aca="false">Resumo!$C$14*CEILING(G610,1)</f>
        <v>27</v>
      </c>
      <c r="Q610" s="61" t="n">
        <f aca="false">SUM(I610:P610)*Resumo!$C$11</f>
        <v>0</v>
      </c>
      <c r="R610" s="61" t="n">
        <f aca="false">SUM(I610:Q610)</f>
        <v>129.153158</v>
      </c>
      <c r="S610" s="61" t="n">
        <f aca="false">R610/(1-Resumo!$C$5)</f>
        <v>146.764952272727</v>
      </c>
      <c r="T610" s="61" t="n">
        <v>142.32</v>
      </c>
      <c r="U610" s="61" t="n">
        <f aca="false">H610*Resumo!$B$6</f>
        <v>0.94599</v>
      </c>
      <c r="V610" s="61" t="n">
        <f aca="false">H610*Resumo!$B$7</f>
        <v>1.89198</v>
      </c>
      <c r="W610" s="61" t="n">
        <f aca="false">Resumo!$B$9</f>
        <v>1</v>
      </c>
      <c r="X610" s="61" t="n">
        <f aca="false">Resumo!$B$10*CEILING(G610/100,1)</f>
        <v>4.5</v>
      </c>
      <c r="Y610" s="61" t="n">
        <f aca="false">Resumo!$B$12*CEILING(G610,1)</f>
        <v>3.6</v>
      </c>
      <c r="Z610" s="61" t="n">
        <f aca="false">Resumo!$B$14*CEILING(G610,1)</f>
        <v>27</v>
      </c>
      <c r="AA610" s="61" t="n">
        <f aca="false">SUM(T610:Z610)</f>
        <v>181.25797</v>
      </c>
      <c r="AB610" s="61" t="n">
        <f aca="false">AA610/(1-Resumo!$B$5)</f>
        <v>205.974965909091</v>
      </c>
      <c r="AC610" s="61" t="n">
        <f aca="false">AB610-S610</f>
        <v>59.2100136363636</v>
      </c>
      <c r="AD610" s="62" t="n">
        <f aca="false">AB610/S610-1</f>
        <v>0.40343428536219</v>
      </c>
      <c r="AE610" s="60" t="str">
        <f aca="false">IF(AB610&lt;S610,"SIM","NÃO")</f>
        <v>NÃO</v>
      </c>
      <c r="AF610" s="60" t="n">
        <v>13</v>
      </c>
      <c r="AG610" s="60" t="n">
        <v>10</v>
      </c>
      <c r="AH610" s="60" t="s">
        <v>385</v>
      </c>
      <c r="AI610" s="61" t="n">
        <f aca="false">(T610*(1-Painel!$C$40)+U610+V610+Painel!$C$41+Painel!$C$42*CEILING(G610/100,1)+Painel!$C$43*CEILING(G610,1)+Z610)/(1-Resumo!$B$5)</f>
        <v>144.593602272727</v>
      </c>
      <c r="AJ610" s="60" t="str">
        <f aca="false">IF(AI610&lt;S610,"SIM","NÃO")</f>
        <v>SIM</v>
      </c>
    </row>
    <row r="611" customFormat="false" ht="15" hidden="false" customHeight="false" outlineLevel="0" collapsed="false">
      <c r="A611" s="59" t="n">
        <v>46239.6368981482</v>
      </c>
      <c r="B611" s="60" t="s">
        <v>415</v>
      </c>
      <c r="C611" s="60" t="n">
        <v>26143290</v>
      </c>
      <c r="D611" s="60" t="s">
        <v>52</v>
      </c>
      <c r="E611" s="60" t="s">
        <v>23</v>
      </c>
      <c r="F611" s="60" t="s">
        <v>238</v>
      </c>
      <c r="G611" s="60" t="n">
        <v>71.9</v>
      </c>
      <c r="H611" s="61" t="n">
        <v>719.47</v>
      </c>
      <c r="I611" s="61" t="n">
        <v>82.48</v>
      </c>
      <c r="J611" s="61" t="n">
        <f aca="false">H611*Resumo!$C$6</f>
        <v>0</v>
      </c>
      <c r="K611" s="61" t="n">
        <f aca="false">H611*Resumo!$C$7</f>
        <v>1.510887</v>
      </c>
      <c r="L611" s="61" t="n">
        <f aca="false">H611*Resumo!$C$8</f>
        <v>1.510887</v>
      </c>
      <c r="M611" s="61" t="n">
        <f aca="false">Resumo!$C$10*CEILING(G611/100,1)</f>
        <v>1.05</v>
      </c>
      <c r="N611" s="61" t="n">
        <f aca="false">Resumo!$C$9</f>
        <v>0</v>
      </c>
      <c r="O611" s="61" t="n">
        <f aca="false">Resumo!$C$13</f>
        <v>13.55</v>
      </c>
      <c r="P611" s="61" t="n">
        <f aca="false">Resumo!$C$14*CEILING(G611,1)</f>
        <v>32.4</v>
      </c>
      <c r="Q611" s="61" t="n">
        <f aca="false">SUM(I611:P611)*Resumo!$C$11</f>
        <v>0</v>
      </c>
      <c r="R611" s="61" t="n">
        <f aca="false">SUM(I611:Q611)</f>
        <v>132.501774</v>
      </c>
      <c r="S611" s="61" t="n">
        <f aca="false">R611/(1-Resumo!$C$5)</f>
        <v>150.570197727273</v>
      </c>
      <c r="T611" s="61" t="n">
        <v>134.39</v>
      </c>
      <c r="U611" s="61" t="n">
        <f aca="false">H611*Resumo!$B$6</f>
        <v>0.71947</v>
      </c>
      <c r="V611" s="61" t="n">
        <f aca="false">H611*Resumo!$B$7</f>
        <v>1.43894</v>
      </c>
      <c r="W611" s="61" t="n">
        <f aca="false">Resumo!$B$9</f>
        <v>1</v>
      </c>
      <c r="X611" s="61" t="n">
        <f aca="false">Resumo!$B$10*CEILING(G611/100,1)</f>
        <v>4.5</v>
      </c>
      <c r="Y611" s="61" t="n">
        <f aca="false">Resumo!$B$12*CEILING(G611,1)</f>
        <v>4.32</v>
      </c>
      <c r="Z611" s="61" t="n">
        <f aca="false">Resumo!$B$14*CEILING(G611,1)</f>
        <v>32.4</v>
      </c>
      <c r="AA611" s="61" t="n">
        <f aca="false">SUM(T611:Z611)</f>
        <v>178.76841</v>
      </c>
      <c r="AB611" s="61" t="n">
        <f aca="false">AA611/(1-Resumo!$B$5)</f>
        <v>203.145920454545</v>
      </c>
      <c r="AC611" s="61" t="n">
        <f aca="false">AB611-S611</f>
        <v>52.5757227272727</v>
      </c>
      <c r="AD611" s="62" t="n">
        <f aca="false">AB611/S611-1</f>
        <v>0.34917748346524</v>
      </c>
      <c r="AE611" s="60" t="str">
        <f aca="false">IF(AB611&lt;S611,"SIM","NÃO")</f>
        <v>NÃO</v>
      </c>
      <c r="AF611" s="60" t="n">
        <v>2</v>
      </c>
      <c r="AG611" s="60" t="n">
        <v>5</v>
      </c>
      <c r="AH611" s="60" t="s">
        <v>382</v>
      </c>
      <c r="AI611" s="61" t="n">
        <f aca="false">(T611*(1-Painel!$C$40)+U611+V611+Painel!$C$41+Painel!$C$42*CEILING(G611/100,1)+Painel!$C$43*CEILING(G611,1)+Z611)/(1-Resumo!$B$5)</f>
        <v>143.920125</v>
      </c>
      <c r="AJ611" s="60" t="str">
        <f aca="false">IF(AI611&lt;S611,"SIM","NÃO")</f>
        <v>SIM</v>
      </c>
    </row>
    <row r="612" customFormat="false" ht="15" hidden="false" customHeight="false" outlineLevel="0" collapsed="false">
      <c r="A612" s="59" t="n">
        <v>46239.6611689815</v>
      </c>
      <c r="B612" s="60" t="s">
        <v>592</v>
      </c>
      <c r="C612" s="60" t="n">
        <v>22451265</v>
      </c>
      <c r="D612" s="60" t="s">
        <v>46</v>
      </c>
      <c r="E612" s="60" t="s">
        <v>22</v>
      </c>
      <c r="F612" s="60" t="s">
        <v>235</v>
      </c>
      <c r="G612" s="60" t="n">
        <v>43.5</v>
      </c>
      <c r="H612" s="61" t="n">
        <v>799.99</v>
      </c>
      <c r="I612" s="61" t="n">
        <v>53.55</v>
      </c>
      <c r="J612" s="61" t="n">
        <f aca="false">H612*Resumo!$C$6</f>
        <v>0</v>
      </c>
      <c r="K612" s="61" t="n">
        <f aca="false">H612*Resumo!$C$7</f>
        <v>1.679979</v>
      </c>
      <c r="L612" s="61" t="n">
        <f aca="false">H612*Resumo!$C$8</f>
        <v>1.679979</v>
      </c>
      <c r="M612" s="61" t="n">
        <f aca="false">Resumo!$C$10*CEILING(G612/100,1)</f>
        <v>1.05</v>
      </c>
      <c r="N612" s="61" t="n">
        <f aca="false">Resumo!$C$9</f>
        <v>0</v>
      </c>
      <c r="O612" s="61" t="n">
        <f aca="false">Resumo!$C$13</f>
        <v>13.55</v>
      </c>
      <c r="P612" s="61" t="n">
        <f aca="false">Resumo!$C$14*CEILING(G612,1)</f>
        <v>19.8</v>
      </c>
      <c r="Q612" s="61" t="n">
        <f aca="false">SUM(I612:P612)*Resumo!$C$11</f>
        <v>0</v>
      </c>
      <c r="R612" s="61" t="n">
        <f aca="false">SUM(I612:Q612)</f>
        <v>91.309958</v>
      </c>
      <c r="S612" s="61" t="n">
        <f aca="false">R612/(1-Resumo!$C$5)</f>
        <v>103.761315909091</v>
      </c>
      <c r="T612" s="61" t="n">
        <v>93.97</v>
      </c>
      <c r="U612" s="61" t="n">
        <f aca="false">H612*Resumo!$B$6</f>
        <v>0.79999</v>
      </c>
      <c r="V612" s="61" t="n">
        <f aca="false">H612*Resumo!$B$7</f>
        <v>1.59998</v>
      </c>
      <c r="W612" s="61" t="n">
        <f aca="false">Resumo!$B$9</f>
        <v>1</v>
      </c>
      <c r="X612" s="61" t="n">
        <f aca="false">Resumo!$B$10*CEILING(G612/100,1)</f>
        <v>4.5</v>
      </c>
      <c r="Y612" s="61" t="n">
        <f aca="false">Resumo!$B$12*CEILING(G612,1)</f>
        <v>2.64</v>
      </c>
      <c r="Z612" s="61" t="n">
        <f aca="false">Resumo!$B$14*CEILING(G612,1)</f>
        <v>19.8</v>
      </c>
      <c r="AA612" s="61" t="n">
        <f aca="false">SUM(T612:Z612)</f>
        <v>124.30997</v>
      </c>
      <c r="AB612" s="61" t="n">
        <f aca="false">AA612/(1-Resumo!$B$5)</f>
        <v>141.261329545455</v>
      </c>
      <c r="AC612" s="61" t="n">
        <f aca="false">AB612-S612</f>
        <v>37.5000136363637</v>
      </c>
      <c r="AD612" s="62" t="n">
        <f aca="false">AB612/S612-1</f>
        <v>0.361406496321026</v>
      </c>
      <c r="AE612" s="60" t="str">
        <f aca="false">IF(AB612&lt;S612,"SIM","NÃO")</f>
        <v>NÃO</v>
      </c>
      <c r="AF612" s="60" t="n">
        <v>2</v>
      </c>
      <c r="AG612" s="60" t="n">
        <v>5</v>
      </c>
      <c r="AH612" s="60" t="s">
        <v>382</v>
      </c>
      <c r="AI612" s="61" t="n">
        <f aca="false">(T612*(1-Painel!$C$40)+U612+V612+Painel!$C$41+Painel!$C$42*CEILING(G612/100,1)+Painel!$C$43*CEILING(G612,1)+Z612)/(1-Resumo!$B$5)</f>
        <v>99.102125</v>
      </c>
      <c r="AJ612" s="60" t="str">
        <f aca="false">IF(AI612&lt;S612,"SIM","NÃO")</f>
        <v>SIM</v>
      </c>
    </row>
    <row r="613" customFormat="false" ht="15" hidden="false" customHeight="false" outlineLevel="0" collapsed="false">
      <c r="A613" s="59" t="n">
        <v>46239.6754166667</v>
      </c>
      <c r="B613" s="60" t="s">
        <v>970</v>
      </c>
      <c r="C613" s="60" t="n">
        <v>25025086</v>
      </c>
      <c r="D613" s="60" t="s">
        <v>48</v>
      </c>
      <c r="E613" s="60" t="s">
        <v>23</v>
      </c>
      <c r="F613" s="60" t="s">
        <v>236</v>
      </c>
      <c r="G613" s="60" t="n">
        <v>52.3</v>
      </c>
      <c r="H613" s="61" t="n">
        <v>685.85</v>
      </c>
      <c r="I613" s="61" t="n">
        <v>70.98</v>
      </c>
      <c r="J613" s="61" t="n">
        <f aca="false">H613*Resumo!$C$6</f>
        <v>0</v>
      </c>
      <c r="K613" s="61" t="n">
        <f aca="false">H613*Resumo!$C$7</f>
        <v>1.440285</v>
      </c>
      <c r="L613" s="61" t="n">
        <f aca="false">H613*Resumo!$C$8</f>
        <v>1.440285</v>
      </c>
      <c r="M613" s="61" t="n">
        <f aca="false">Resumo!$C$10*CEILING(G613/100,1)</f>
        <v>1.05</v>
      </c>
      <c r="N613" s="61" t="n">
        <f aca="false">Resumo!$C$9</f>
        <v>0</v>
      </c>
      <c r="O613" s="61" t="n">
        <f aca="false">Resumo!$C$13</f>
        <v>13.55</v>
      </c>
      <c r="P613" s="61" t="n">
        <f aca="false">Resumo!$C$14*CEILING(G613,1)</f>
        <v>23.85</v>
      </c>
      <c r="Q613" s="61" t="n">
        <f aca="false">SUM(I613:P613)*Resumo!$C$11</f>
        <v>0</v>
      </c>
      <c r="R613" s="61" t="n">
        <f aca="false">SUM(I613:Q613)</f>
        <v>112.31057</v>
      </c>
      <c r="S613" s="61" t="n">
        <f aca="false">R613/(1-Resumo!$C$5)</f>
        <v>127.625647727273</v>
      </c>
      <c r="T613" s="61" t="n">
        <v>112.3</v>
      </c>
      <c r="U613" s="61" t="n">
        <f aca="false">H613*Resumo!$B$6</f>
        <v>0.68585</v>
      </c>
      <c r="V613" s="61" t="n">
        <f aca="false">H613*Resumo!$B$7</f>
        <v>1.3717</v>
      </c>
      <c r="W613" s="61" t="n">
        <f aca="false">Resumo!$B$9</f>
        <v>1</v>
      </c>
      <c r="X613" s="61" t="n">
        <f aca="false">Resumo!$B$10*CEILING(G613/100,1)</f>
        <v>4.5</v>
      </c>
      <c r="Y613" s="61" t="n">
        <f aca="false">Resumo!$B$12*CEILING(G613,1)</f>
        <v>3.18</v>
      </c>
      <c r="Z613" s="61" t="n">
        <f aca="false">Resumo!$B$14*CEILING(G613,1)</f>
        <v>23.85</v>
      </c>
      <c r="AA613" s="61" t="n">
        <f aca="false">SUM(T613:Z613)</f>
        <v>146.88755</v>
      </c>
      <c r="AB613" s="61" t="n">
        <f aca="false">AA613/(1-Resumo!$B$5)</f>
        <v>166.917670454545</v>
      </c>
      <c r="AC613" s="61" t="n">
        <f aca="false">AB613-S613</f>
        <v>39.2920227272727</v>
      </c>
      <c r="AD613" s="62" t="n">
        <f aca="false">AB613/S613-1</f>
        <v>0.30786933055366</v>
      </c>
      <c r="AE613" s="60" t="str">
        <f aca="false">IF(AB613&lt;S613,"SIM","NÃO")</f>
        <v>NÃO</v>
      </c>
      <c r="AF613" s="60" t="n">
        <v>2</v>
      </c>
      <c r="AG613" s="60" t="n">
        <v>5</v>
      </c>
      <c r="AH613" s="60" t="s">
        <v>382</v>
      </c>
      <c r="AI613" s="61" t="n">
        <f aca="false">(T613*(1-Painel!$C$40)+U613+V613+Painel!$C$41+Painel!$C$42*CEILING(G613/100,1)+Painel!$C$43*CEILING(G613,1)+Z613)/(1-Resumo!$B$5)</f>
        <v>117.271079545455</v>
      </c>
      <c r="AJ613" s="60" t="str">
        <f aca="false">IF(AI613&lt;S613,"SIM","NÃO")</f>
        <v>SIM</v>
      </c>
    </row>
    <row r="614" customFormat="false" ht="15" hidden="false" customHeight="false" outlineLevel="0" collapsed="false">
      <c r="A614" s="59" t="n">
        <v>46239.7263773148</v>
      </c>
      <c r="B614" s="60" t="s">
        <v>971</v>
      </c>
      <c r="C614" s="60" t="n">
        <v>23042500</v>
      </c>
      <c r="D614" s="60" t="s">
        <v>46</v>
      </c>
      <c r="E614" s="60" t="s">
        <v>22</v>
      </c>
      <c r="F614" s="60" t="s">
        <v>234</v>
      </c>
      <c r="G614" s="60" t="n">
        <v>40</v>
      </c>
      <c r="H614" s="61" t="n">
        <v>579.99</v>
      </c>
      <c r="I614" s="61" t="n">
        <v>48.35</v>
      </c>
      <c r="J614" s="61" t="n">
        <f aca="false">H614*Resumo!$C$6</f>
        <v>0</v>
      </c>
      <c r="K614" s="61" t="n">
        <f aca="false">H614*Resumo!$C$7</f>
        <v>1.217979</v>
      </c>
      <c r="L614" s="61" t="n">
        <f aca="false">H614*Resumo!$C$8</f>
        <v>1.217979</v>
      </c>
      <c r="M614" s="61" t="n">
        <f aca="false">Resumo!$C$10*CEILING(G614/100,1)</f>
        <v>1.05</v>
      </c>
      <c r="N614" s="61" t="n">
        <f aca="false">Resumo!$C$9</f>
        <v>0</v>
      </c>
      <c r="O614" s="61" t="n">
        <f aca="false">Resumo!$C$13</f>
        <v>13.55</v>
      </c>
      <c r="P614" s="61" t="n">
        <f aca="false">Resumo!$C$14*CEILING(G614,1)</f>
        <v>18</v>
      </c>
      <c r="Q614" s="61" t="n">
        <f aca="false">SUM(I614:P614)*Resumo!$C$11</f>
        <v>0</v>
      </c>
      <c r="R614" s="61" t="n">
        <f aca="false">SUM(I614:Q614)</f>
        <v>83.385958</v>
      </c>
      <c r="S614" s="61" t="n">
        <f aca="false">R614/(1-Resumo!$C$5)</f>
        <v>94.7567704545455</v>
      </c>
      <c r="T614" s="61" t="n">
        <v>93.97</v>
      </c>
      <c r="U614" s="61" t="n">
        <f aca="false">H614*Resumo!$B$6</f>
        <v>0.57999</v>
      </c>
      <c r="V614" s="61" t="n">
        <f aca="false">H614*Resumo!$B$7</f>
        <v>1.15998</v>
      </c>
      <c r="W614" s="61" t="n">
        <f aca="false">Resumo!$B$9</f>
        <v>1</v>
      </c>
      <c r="X614" s="61" t="n">
        <f aca="false">Resumo!$B$10*CEILING(G614/100,1)</f>
        <v>4.5</v>
      </c>
      <c r="Y614" s="61" t="n">
        <f aca="false">Resumo!$B$12*CEILING(G614,1)</f>
        <v>2.4</v>
      </c>
      <c r="Z614" s="61" t="n">
        <f aca="false">Resumo!$B$14*CEILING(G614,1)</f>
        <v>18</v>
      </c>
      <c r="AA614" s="61" t="n">
        <f aca="false">SUM(T614:Z614)</f>
        <v>121.60997</v>
      </c>
      <c r="AB614" s="61" t="n">
        <f aca="false">AA614/(1-Resumo!$B$5)</f>
        <v>138.193147727273</v>
      </c>
      <c r="AC614" s="61" t="n">
        <f aca="false">AB614-S614</f>
        <v>43.4363772727273</v>
      </c>
      <c r="AD614" s="62" t="n">
        <f aca="false">AB614/S614-1</f>
        <v>0.458398667075337</v>
      </c>
      <c r="AE614" s="60" t="str">
        <f aca="false">IF(AB614&lt;S614,"SIM","NÃO")</f>
        <v>NÃO</v>
      </c>
      <c r="AF614" s="60" t="n">
        <v>2</v>
      </c>
      <c r="AG614" s="60" t="n">
        <v>5</v>
      </c>
      <c r="AH614" s="60" t="s">
        <v>382</v>
      </c>
      <c r="AI614" s="61" t="n">
        <f aca="false">(T614*(1-Painel!$C$40)+U614+V614+Painel!$C$41+Painel!$C$42*CEILING(G614/100,1)+Painel!$C$43*CEILING(G614,1)+Z614)/(1-Resumo!$B$5)</f>
        <v>96.3066704545454</v>
      </c>
      <c r="AJ614" s="60" t="str">
        <f aca="false">IF(AI614&lt;S614,"SIM","NÃO")</f>
        <v>NÃO</v>
      </c>
    </row>
    <row r="615" customFormat="false" ht="15" hidden="false" customHeight="false" outlineLevel="0" collapsed="false">
      <c r="A615" s="59" t="n">
        <v>46239.7581712963</v>
      </c>
      <c r="B615" s="60" t="s">
        <v>972</v>
      </c>
      <c r="C615" s="60" t="n">
        <v>22210050</v>
      </c>
      <c r="D615" s="60" t="s">
        <v>46</v>
      </c>
      <c r="E615" s="60" t="s">
        <v>22</v>
      </c>
      <c r="F615" s="60" t="s">
        <v>233</v>
      </c>
      <c r="G615" s="60" t="n">
        <v>27.5</v>
      </c>
      <c r="H615" s="61" t="n">
        <v>399.99</v>
      </c>
      <c r="I615" s="61" t="n">
        <v>42.11</v>
      </c>
      <c r="J615" s="61" t="n">
        <f aca="false">H615*Resumo!$C$6</f>
        <v>0</v>
      </c>
      <c r="K615" s="61" t="n">
        <f aca="false">H615*Resumo!$C$7</f>
        <v>0.839979</v>
      </c>
      <c r="L615" s="61" t="n">
        <f aca="false">H615*Resumo!$C$8</f>
        <v>0.839979</v>
      </c>
      <c r="M615" s="61" t="n">
        <f aca="false">Resumo!$C$10*CEILING(G615/100,1)</f>
        <v>1.05</v>
      </c>
      <c r="N615" s="61" t="n">
        <f aca="false">Resumo!$C$9</f>
        <v>0</v>
      </c>
      <c r="O615" s="61" t="n">
        <f aca="false">Resumo!$C$13</f>
        <v>13.55</v>
      </c>
      <c r="P615" s="61" t="n">
        <f aca="false">Resumo!$C$14*CEILING(G615,1)</f>
        <v>12.6</v>
      </c>
      <c r="Q615" s="61" t="n">
        <f aca="false">SUM(I615:P615)*Resumo!$C$11</f>
        <v>0</v>
      </c>
      <c r="R615" s="61" t="n">
        <f aca="false">SUM(I615:Q615)</f>
        <v>70.989958</v>
      </c>
      <c r="S615" s="61" t="n">
        <f aca="false">R615/(1-Resumo!$C$5)</f>
        <v>80.6704068181818</v>
      </c>
      <c r="T615" s="61" t="n">
        <v>82.21</v>
      </c>
      <c r="U615" s="61" t="n">
        <f aca="false">H615*Resumo!$B$6</f>
        <v>0.39999</v>
      </c>
      <c r="V615" s="61" t="n">
        <f aca="false">H615*Resumo!$B$7</f>
        <v>0.79998</v>
      </c>
      <c r="W615" s="61" t="n">
        <f aca="false">Resumo!$B$9</f>
        <v>1</v>
      </c>
      <c r="X615" s="61" t="n">
        <f aca="false">Resumo!$B$10*CEILING(G615/100,1)</f>
        <v>4.5</v>
      </c>
      <c r="Y615" s="61" t="n">
        <f aca="false">Resumo!$B$12*CEILING(G615,1)</f>
        <v>1.68</v>
      </c>
      <c r="Z615" s="61" t="n">
        <f aca="false">Resumo!$B$14*CEILING(G615,1)</f>
        <v>12.6</v>
      </c>
      <c r="AA615" s="61" t="n">
        <f aca="false">SUM(T615:Z615)</f>
        <v>103.18997</v>
      </c>
      <c r="AB615" s="61" t="n">
        <f aca="false">AA615/(1-Resumo!$B$5)</f>
        <v>117.261329545455</v>
      </c>
      <c r="AC615" s="61" t="n">
        <f aca="false">AB615-S615</f>
        <v>36.5909227272727</v>
      </c>
      <c r="AD615" s="62" t="n">
        <f aca="false">AB615/S615-1</f>
        <v>0.45358544936736</v>
      </c>
      <c r="AE615" s="60" t="str">
        <f aca="false">IF(AB615&lt;S615,"SIM","NÃO")</f>
        <v>NÃO</v>
      </c>
      <c r="AF615" s="60" t="n">
        <v>2</v>
      </c>
      <c r="AG615" s="60" t="n">
        <v>5</v>
      </c>
      <c r="AH615" s="60" t="s">
        <v>382</v>
      </c>
      <c r="AI615" s="61" t="n">
        <f aca="false">(T615*(1-Painel!$C$40)+U615+V615+Painel!$C$41+Painel!$C$42*CEILING(G615/100,1)+Painel!$C$43*CEILING(G615,1)+Z615)/(1-Resumo!$B$5)</f>
        <v>80.6030340909091</v>
      </c>
      <c r="AJ615" s="60" t="str">
        <f aca="false">IF(AI615&lt;S615,"SIM","NÃO")</f>
        <v>SIM</v>
      </c>
    </row>
    <row r="616" customFormat="false" ht="15" hidden="false" customHeight="false" outlineLevel="0" collapsed="false">
      <c r="A616" s="59" t="n">
        <v>46239.8094675926</v>
      </c>
      <c r="B616" s="60" t="s">
        <v>973</v>
      </c>
      <c r="C616" s="60" t="n">
        <v>27197249</v>
      </c>
      <c r="D616" s="60" t="s">
        <v>292</v>
      </c>
      <c r="E616" s="60" t="s">
        <v>24</v>
      </c>
      <c r="F616" s="60" t="s">
        <v>236</v>
      </c>
      <c r="G616" s="60" t="n">
        <v>52.3</v>
      </c>
      <c r="H616" s="61" t="n">
        <v>637.57</v>
      </c>
      <c r="I616" s="61" t="n">
        <v>83.58</v>
      </c>
      <c r="J616" s="61" t="n">
        <f aca="false">H616*Resumo!$C$6</f>
        <v>0</v>
      </c>
      <c r="K616" s="61" t="n">
        <f aca="false">H616*Resumo!$C$7</f>
        <v>1.338897</v>
      </c>
      <c r="L616" s="61" t="n">
        <f aca="false">H616*Resumo!$C$8</f>
        <v>1.338897</v>
      </c>
      <c r="M616" s="61" t="n">
        <f aca="false">Resumo!$C$10*CEILING(G616/100,1)</f>
        <v>1.05</v>
      </c>
      <c r="N616" s="61" t="n">
        <f aca="false">Resumo!$C$9</f>
        <v>0</v>
      </c>
      <c r="O616" s="61" t="n">
        <f aca="false">Resumo!$C$13</f>
        <v>13.55</v>
      </c>
      <c r="P616" s="61" t="n">
        <f aca="false">Resumo!$C$14*CEILING(G616,1)</f>
        <v>23.85</v>
      </c>
      <c r="Q616" s="61" t="n">
        <f aca="false">SUM(I616:P616)*Resumo!$C$11</f>
        <v>0</v>
      </c>
      <c r="R616" s="61" t="n">
        <f aca="false">SUM(I616:Q616)</f>
        <v>124.707794</v>
      </c>
      <c r="S616" s="61" t="n">
        <f aca="false">R616/(1-Resumo!$C$5)</f>
        <v>141.713402272727</v>
      </c>
      <c r="T616" s="61" t="n">
        <v>142.32</v>
      </c>
      <c r="U616" s="61" t="n">
        <f aca="false">H616*Resumo!$B$6</f>
        <v>0.63757</v>
      </c>
      <c r="V616" s="61" t="n">
        <f aca="false">H616*Resumo!$B$7</f>
        <v>1.27514</v>
      </c>
      <c r="W616" s="61" t="n">
        <f aca="false">Resumo!$B$9</f>
        <v>1</v>
      </c>
      <c r="X616" s="61" t="n">
        <f aca="false">Resumo!$B$10*CEILING(G616/100,1)</f>
        <v>4.5</v>
      </c>
      <c r="Y616" s="61" t="n">
        <f aca="false">Resumo!$B$12*CEILING(G616,1)</f>
        <v>3.18</v>
      </c>
      <c r="Z616" s="61" t="n">
        <f aca="false">Resumo!$B$14*CEILING(G616,1)</f>
        <v>23.85</v>
      </c>
      <c r="AA616" s="61" t="n">
        <f aca="false">SUM(T616:Z616)</f>
        <v>176.76271</v>
      </c>
      <c r="AB616" s="61" t="n">
        <f aca="false">AA616/(1-Resumo!$B$5)</f>
        <v>200.866715909091</v>
      </c>
      <c r="AC616" s="61" t="n">
        <f aca="false">AB616-S616</f>
        <v>59.1533136363636</v>
      </c>
      <c r="AD616" s="62" t="n">
        <f aca="false">AB616/S616-1</f>
        <v>0.417415097568</v>
      </c>
      <c r="AE616" s="60" t="str">
        <f aca="false">IF(AB616&lt;S616,"SIM","NÃO")</f>
        <v>NÃO</v>
      </c>
      <c r="AF616" s="60" t="n">
        <v>13</v>
      </c>
      <c r="AG616" s="60" t="n">
        <v>10</v>
      </c>
      <c r="AH616" s="60" t="s">
        <v>385</v>
      </c>
      <c r="AI616" s="61" t="n">
        <f aca="false">(T616*(1-Painel!$C$40)+U616+V616+Painel!$C$41+Painel!$C$42*CEILING(G616/100,1)+Painel!$C$43*CEILING(G616,1)+Z616)/(1-Resumo!$B$5)</f>
        <v>139.962625</v>
      </c>
      <c r="AJ616" s="60" t="str">
        <f aca="false">IF(AI616&lt;S616,"SIM","NÃO")</f>
        <v>SIM</v>
      </c>
    </row>
    <row r="617" customFormat="false" ht="15" hidden="false" customHeight="false" outlineLevel="0" collapsed="false">
      <c r="A617" s="59" t="n">
        <v>46239.8469328704</v>
      </c>
      <c r="B617" s="60" t="s">
        <v>974</v>
      </c>
      <c r="C617" s="60" t="n">
        <v>25555091</v>
      </c>
      <c r="D617" s="60" t="s">
        <v>216</v>
      </c>
      <c r="E617" s="60" t="s">
        <v>23</v>
      </c>
      <c r="F617" s="60" t="s">
        <v>236</v>
      </c>
      <c r="G617" s="60" t="n">
        <v>52.3</v>
      </c>
      <c r="H617" s="61" t="n">
        <v>611.71</v>
      </c>
      <c r="I617" s="61" t="n">
        <v>70.98</v>
      </c>
      <c r="J617" s="61" t="n">
        <f aca="false">H617*Resumo!$C$6</f>
        <v>0</v>
      </c>
      <c r="K617" s="61" t="n">
        <f aca="false">H617*Resumo!$C$7</f>
        <v>1.284591</v>
      </c>
      <c r="L617" s="61" t="n">
        <f aca="false">H617*Resumo!$C$8</f>
        <v>1.284591</v>
      </c>
      <c r="M617" s="61" t="n">
        <f aca="false">Resumo!$C$10*CEILING(G617/100,1)</f>
        <v>1.05</v>
      </c>
      <c r="N617" s="61" t="n">
        <f aca="false">Resumo!$C$9</f>
        <v>0</v>
      </c>
      <c r="O617" s="61" t="n">
        <f aca="false">Resumo!$C$13</f>
        <v>13.55</v>
      </c>
      <c r="P617" s="61" t="n">
        <f aca="false">Resumo!$C$14*CEILING(G617,1)</f>
        <v>23.85</v>
      </c>
      <c r="Q617" s="61" t="n">
        <f aca="false">SUM(I617:P617)*Resumo!$C$11</f>
        <v>0</v>
      </c>
      <c r="R617" s="61" t="n">
        <f aca="false">SUM(I617:Q617)</f>
        <v>111.999182</v>
      </c>
      <c r="S617" s="61" t="n">
        <f aca="false">R617/(1-Resumo!$C$5)</f>
        <v>127.271797727273</v>
      </c>
      <c r="T617" s="61" t="n">
        <v>112.3</v>
      </c>
      <c r="U617" s="61" t="n">
        <f aca="false">H617*Resumo!$B$6</f>
        <v>0.61171</v>
      </c>
      <c r="V617" s="61" t="n">
        <f aca="false">H617*Resumo!$B$7</f>
        <v>1.22342</v>
      </c>
      <c r="W617" s="61" t="n">
        <f aca="false">Resumo!$B$9</f>
        <v>1</v>
      </c>
      <c r="X617" s="61" t="n">
        <f aca="false">Resumo!$B$10*CEILING(G617/100,1)</f>
        <v>4.5</v>
      </c>
      <c r="Y617" s="61" t="n">
        <f aca="false">Resumo!$B$12*CEILING(G617,1)</f>
        <v>3.18</v>
      </c>
      <c r="Z617" s="61" t="n">
        <f aca="false">Resumo!$B$14*CEILING(G617,1)</f>
        <v>23.85</v>
      </c>
      <c r="AA617" s="61" t="n">
        <f aca="false">SUM(T617:Z617)</f>
        <v>146.66513</v>
      </c>
      <c r="AB617" s="61" t="n">
        <f aca="false">AA617/(1-Resumo!$B$5)</f>
        <v>166.664920454545</v>
      </c>
      <c r="AC617" s="61" t="n">
        <f aca="false">AB617-S617</f>
        <v>39.3931227272727</v>
      </c>
      <c r="AD617" s="62" t="n">
        <f aca="false">AB617/S617-1</f>
        <v>0.30951965345604</v>
      </c>
      <c r="AE617" s="60" t="str">
        <f aca="false">IF(AB617&lt;S617,"SIM","NÃO")</f>
        <v>NÃO</v>
      </c>
      <c r="AF617" s="60" t="n">
        <v>2</v>
      </c>
      <c r="AG617" s="60" t="n">
        <v>5</v>
      </c>
      <c r="AH617" s="60" t="s">
        <v>382</v>
      </c>
      <c r="AI617" s="61" t="n">
        <f aca="false">(T617*(1-Painel!$C$40)+U617+V617+Painel!$C$41+Painel!$C$42*CEILING(G617/100,1)+Painel!$C$43*CEILING(G617,1)+Z617)/(1-Resumo!$B$5)</f>
        <v>117.018329545455</v>
      </c>
      <c r="AJ617" s="60" t="str">
        <f aca="false">IF(AI617&lt;S617,"SIM","NÃO")</f>
        <v>SIM</v>
      </c>
    </row>
    <row r="618" customFormat="false" ht="15" hidden="false" customHeight="false" outlineLevel="0" collapsed="false">
      <c r="A618" s="59" t="n">
        <v>46239.8708101852</v>
      </c>
      <c r="B618" s="60" t="s">
        <v>975</v>
      </c>
      <c r="C618" s="60" t="n">
        <v>26083460</v>
      </c>
      <c r="D618" s="60" t="s">
        <v>49</v>
      </c>
      <c r="E618" s="60" t="s">
        <v>23</v>
      </c>
      <c r="F618" s="60" t="s">
        <v>237</v>
      </c>
      <c r="G618" s="60" t="n">
        <v>61.5</v>
      </c>
      <c r="H618" s="61" t="n">
        <v>726.79</v>
      </c>
      <c r="I618" s="61" t="n">
        <v>76.55</v>
      </c>
      <c r="J618" s="61" t="n">
        <f aca="false">H618*Resumo!$C$6</f>
        <v>0</v>
      </c>
      <c r="K618" s="61" t="n">
        <f aca="false">H618*Resumo!$C$7</f>
        <v>1.526259</v>
      </c>
      <c r="L618" s="61" t="n">
        <f aca="false">H618*Resumo!$C$8</f>
        <v>1.526259</v>
      </c>
      <c r="M618" s="61" t="n">
        <f aca="false">Resumo!$C$10*CEILING(G618/100,1)</f>
        <v>1.05</v>
      </c>
      <c r="N618" s="61" t="n">
        <f aca="false">Resumo!$C$9</f>
        <v>0</v>
      </c>
      <c r="O618" s="61" t="n">
        <f aca="false">Resumo!$C$13</f>
        <v>13.55</v>
      </c>
      <c r="P618" s="61" t="n">
        <f aca="false">Resumo!$C$14*CEILING(G618,1)</f>
        <v>27.9</v>
      </c>
      <c r="Q618" s="61" t="n">
        <f aca="false">SUM(I618:P618)*Resumo!$C$11</f>
        <v>0</v>
      </c>
      <c r="R618" s="61" t="n">
        <f aca="false">SUM(I618:Q618)</f>
        <v>122.102518</v>
      </c>
      <c r="S618" s="61" t="n">
        <f aca="false">R618/(1-Resumo!$C$5)</f>
        <v>138.752861363636</v>
      </c>
      <c r="T618" s="61" t="n">
        <v>131.02</v>
      </c>
      <c r="U618" s="61" t="n">
        <f aca="false">H618*Resumo!$B$6</f>
        <v>0.72679</v>
      </c>
      <c r="V618" s="61" t="n">
        <f aca="false">H618*Resumo!$B$7</f>
        <v>1.45358</v>
      </c>
      <c r="W618" s="61" t="n">
        <f aca="false">Resumo!$B$9</f>
        <v>1</v>
      </c>
      <c r="X618" s="61" t="n">
        <f aca="false">Resumo!$B$10*CEILING(G618/100,1)</f>
        <v>4.5</v>
      </c>
      <c r="Y618" s="61" t="n">
        <f aca="false">Resumo!$B$12*CEILING(G618,1)</f>
        <v>3.72</v>
      </c>
      <c r="Z618" s="61" t="n">
        <f aca="false">Resumo!$B$14*CEILING(G618,1)</f>
        <v>27.9</v>
      </c>
      <c r="AA618" s="61" t="n">
        <f aca="false">SUM(T618:Z618)</f>
        <v>170.32037</v>
      </c>
      <c r="AB618" s="61" t="n">
        <f aca="false">AA618/(1-Resumo!$B$5)</f>
        <v>193.545875</v>
      </c>
      <c r="AC618" s="61" t="n">
        <f aca="false">AB618-S618</f>
        <v>54.7930136363637</v>
      </c>
      <c r="AD618" s="62" t="n">
        <f aca="false">AB618/S618-1</f>
        <v>0.394896459055824</v>
      </c>
      <c r="AE618" s="60" t="str">
        <f aca="false">IF(AB618&lt;S618,"SIM","NÃO")</f>
        <v>NÃO</v>
      </c>
      <c r="AF618" s="60" t="n">
        <v>2</v>
      </c>
      <c r="AG618" s="60" t="n">
        <v>5</v>
      </c>
      <c r="AH618" s="60" t="s">
        <v>382</v>
      </c>
      <c r="AI618" s="61" t="n">
        <f aca="false">(T618*(1-Painel!$C$40)+U618+V618+Painel!$C$41+Painel!$C$42*CEILING(G618/100,1)+Painel!$C$43*CEILING(G618,1)+Z618)/(1-Resumo!$B$5)</f>
        <v>136.265647727273</v>
      </c>
      <c r="AJ618" s="60" t="str">
        <f aca="false">IF(AI618&lt;S618,"SIM","NÃO")</f>
        <v>SIM</v>
      </c>
    </row>
    <row r="619" customFormat="false" ht="15" hidden="false" customHeight="false" outlineLevel="0" collapsed="false">
      <c r="A619" s="59" t="n">
        <v>46239.8980787037</v>
      </c>
      <c r="B619" s="60" t="s">
        <v>976</v>
      </c>
      <c r="C619" s="60" t="n">
        <v>24421021</v>
      </c>
      <c r="D619" s="60" t="s">
        <v>47</v>
      </c>
      <c r="E619" s="60" t="s">
        <v>23</v>
      </c>
      <c r="F619" s="60" t="s">
        <v>235</v>
      </c>
      <c r="G619" s="60" t="n">
        <v>45.3</v>
      </c>
      <c r="H619" s="61" t="n">
        <v>699.99</v>
      </c>
      <c r="I619" s="61" t="n">
        <v>65.36</v>
      </c>
      <c r="J619" s="61" t="n">
        <f aca="false">H619*Resumo!$C$6</f>
        <v>0</v>
      </c>
      <c r="K619" s="61" t="n">
        <f aca="false">H619*Resumo!$C$7</f>
        <v>1.469979</v>
      </c>
      <c r="L619" s="61" t="n">
        <f aca="false">H619*Resumo!$C$8</f>
        <v>1.469979</v>
      </c>
      <c r="M619" s="61" t="n">
        <f aca="false">Resumo!$C$10*CEILING(G619/100,1)</f>
        <v>1.05</v>
      </c>
      <c r="N619" s="61" t="n">
        <f aca="false">Resumo!$C$9</f>
        <v>0</v>
      </c>
      <c r="O619" s="61" t="n">
        <f aca="false">Resumo!$C$13</f>
        <v>13.55</v>
      </c>
      <c r="P619" s="61" t="n">
        <f aca="false">Resumo!$C$14*CEILING(G619,1)</f>
        <v>20.7</v>
      </c>
      <c r="Q619" s="61" t="n">
        <f aca="false">SUM(I619:P619)*Resumo!$C$11</f>
        <v>0</v>
      </c>
      <c r="R619" s="61" t="n">
        <f aca="false">SUM(I619:Q619)</f>
        <v>103.599958</v>
      </c>
      <c r="S619" s="61" t="n">
        <f aca="false">R619/(1-Resumo!$C$5)</f>
        <v>117.727225</v>
      </c>
      <c r="T619" s="61" t="n">
        <v>114.95</v>
      </c>
      <c r="U619" s="61" t="n">
        <f aca="false">H619*Resumo!$B$6</f>
        <v>0.69999</v>
      </c>
      <c r="V619" s="61" t="n">
        <f aca="false">H619*Resumo!$B$7</f>
        <v>1.39998</v>
      </c>
      <c r="W619" s="61" t="n">
        <f aca="false">Resumo!$B$9</f>
        <v>1</v>
      </c>
      <c r="X619" s="61" t="n">
        <f aca="false">Resumo!$B$10*CEILING(G619/100,1)</f>
        <v>4.5</v>
      </c>
      <c r="Y619" s="61" t="n">
        <f aca="false">Resumo!$B$12*CEILING(G619,1)</f>
        <v>2.76</v>
      </c>
      <c r="Z619" s="61" t="n">
        <f aca="false">Resumo!$B$14*CEILING(G619,1)</f>
        <v>20.7</v>
      </c>
      <c r="AA619" s="61" t="n">
        <f aca="false">SUM(T619:Z619)</f>
        <v>146.00997</v>
      </c>
      <c r="AB619" s="61" t="n">
        <f aca="false">AA619/(1-Resumo!$B$5)</f>
        <v>165.920420454545</v>
      </c>
      <c r="AC619" s="61" t="n">
        <f aca="false">AB619-S619</f>
        <v>48.1931954545455</v>
      </c>
      <c r="AD619" s="62" t="n">
        <f aca="false">AB619/S619-1</f>
        <v>0.409363216151111</v>
      </c>
      <c r="AE619" s="60" t="str">
        <f aca="false">IF(AB619&lt;S619,"SIM","NÃO")</f>
        <v>NÃO</v>
      </c>
      <c r="AF619" s="60" t="n">
        <v>2</v>
      </c>
      <c r="AG619" s="60" t="n">
        <v>7</v>
      </c>
      <c r="AH619" s="60" t="s">
        <v>382</v>
      </c>
      <c r="AI619" s="61" t="n">
        <f aca="false">(T619*(1-Painel!$C$40)+U619+V619+Painel!$C$41+Painel!$C$42*CEILING(G619/100,1)+Painel!$C$43*CEILING(G619,1)+Z619)/(1-Resumo!$B$5)</f>
        <v>115.757352272727</v>
      </c>
      <c r="AJ619" s="60" t="str">
        <f aca="false">IF(AI619&lt;S619,"SIM","NÃO")</f>
        <v>SIM</v>
      </c>
    </row>
    <row r="620" customFormat="false" ht="15" hidden="false" customHeight="false" outlineLevel="0" collapsed="false">
      <c r="A620" s="59" t="n">
        <v>46239.9427430556</v>
      </c>
      <c r="B620" s="60" t="s">
        <v>977</v>
      </c>
      <c r="C620" s="60" t="n">
        <v>24804700</v>
      </c>
      <c r="D620" s="60" t="s">
        <v>223</v>
      </c>
      <c r="E620" s="60" t="s">
        <v>24</v>
      </c>
      <c r="F620" s="60" t="s">
        <v>236</v>
      </c>
      <c r="G620" s="60" t="n">
        <v>52.3</v>
      </c>
      <c r="H620" s="61" t="n">
        <v>833.32</v>
      </c>
      <c r="I620" s="61" t="n">
        <v>83.58</v>
      </c>
      <c r="J620" s="61" t="n">
        <f aca="false">H620*Resumo!$C$6</f>
        <v>0</v>
      </c>
      <c r="K620" s="61" t="n">
        <f aca="false">H620*Resumo!$C$7</f>
        <v>1.749972</v>
      </c>
      <c r="L620" s="61" t="n">
        <f aca="false">H620*Resumo!$C$8</f>
        <v>1.749972</v>
      </c>
      <c r="M620" s="61" t="n">
        <f aca="false">Resumo!$C$10*CEILING(G620/100,1)</f>
        <v>1.05</v>
      </c>
      <c r="N620" s="61" t="n">
        <f aca="false">Resumo!$C$9</f>
        <v>0</v>
      </c>
      <c r="O620" s="61" t="n">
        <f aca="false">Resumo!$C$13</f>
        <v>13.55</v>
      </c>
      <c r="P620" s="61" t="n">
        <f aca="false">Resumo!$C$14*CEILING(G620,1)</f>
        <v>23.85</v>
      </c>
      <c r="Q620" s="61" t="n">
        <f aca="false">SUM(I620:P620)*Resumo!$C$11</f>
        <v>0</v>
      </c>
      <c r="R620" s="61" t="n">
        <f aca="false">SUM(I620:Q620)</f>
        <v>125.529944</v>
      </c>
      <c r="S620" s="61" t="n">
        <f aca="false">R620/(1-Resumo!$C$5)</f>
        <v>142.647663636364</v>
      </c>
      <c r="T620" s="61" t="n">
        <v>128.14</v>
      </c>
      <c r="U620" s="61" t="n">
        <f aca="false">H620*Resumo!$B$6</f>
        <v>0.83332</v>
      </c>
      <c r="V620" s="61" t="n">
        <f aca="false">H620*Resumo!$B$7</f>
        <v>1.66664</v>
      </c>
      <c r="W620" s="61" t="n">
        <f aca="false">Resumo!$B$9</f>
        <v>1</v>
      </c>
      <c r="X620" s="61" t="n">
        <f aca="false">Resumo!$B$10*CEILING(G620/100,1)</f>
        <v>4.5</v>
      </c>
      <c r="Y620" s="61" t="n">
        <f aca="false">Resumo!$B$12*CEILING(G620,1)</f>
        <v>3.18</v>
      </c>
      <c r="Z620" s="61" t="n">
        <f aca="false">Resumo!$B$14*CEILING(G620,1)</f>
        <v>23.85</v>
      </c>
      <c r="AA620" s="61" t="n">
        <f aca="false">SUM(T620:Z620)</f>
        <v>163.16996</v>
      </c>
      <c r="AB620" s="61" t="n">
        <f aca="false">AA620/(1-Resumo!$B$5)</f>
        <v>185.420409090909</v>
      </c>
      <c r="AC620" s="61" t="n">
        <f aca="false">AB620-S620</f>
        <v>42.7727454545454</v>
      </c>
      <c r="AD620" s="62" t="n">
        <f aca="false">AB620/S620-1</f>
        <v>0.299848902983658</v>
      </c>
      <c r="AE620" s="60" t="str">
        <f aca="false">IF(AB620&lt;S620,"SIM","NÃO")</f>
        <v>NÃO</v>
      </c>
      <c r="AF620" s="60" t="n">
        <v>13</v>
      </c>
      <c r="AG620" s="60" t="n">
        <v>7</v>
      </c>
      <c r="AH620" s="60" t="s">
        <v>382</v>
      </c>
      <c r="AI620" s="61" t="n">
        <f aca="false">(T620*(1-Painel!$C$40)+U620+V620+Painel!$C$41+Painel!$C$42*CEILING(G620/100,1)+Painel!$C$43*CEILING(G620,1)+Z620)/(1-Resumo!$B$5)</f>
        <v>129.833818181818</v>
      </c>
      <c r="AJ620" s="60" t="str">
        <f aca="false">IF(AI620&lt;S620,"SIM","NÃO")</f>
        <v>SIM</v>
      </c>
    </row>
    <row r="621" customFormat="false" ht="15" hidden="false" customHeight="false" outlineLevel="0" collapsed="false">
      <c r="A621" s="59" t="n">
        <v>46240.0214699074</v>
      </c>
      <c r="B621" s="60" t="s">
        <v>978</v>
      </c>
      <c r="C621" s="60" t="n">
        <v>21721480</v>
      </c>
      <c r="D621" s="60" t="s">
        <v>46</v>
      </c>
      <c r="E621" s="60" t="s">
        <v>22</v>
      </c>
      <c r="F621" s="60" t="s">
        <v>233</v>
      </c>
      <c r="G621" s="60" t="n">
        <v>31.4</v>
      </c>
      <c r="H621" s="61" t="n">
        <v>365.49</v>
      </c>
      <c r="I621" s="61" t="n">
        <v>42.11</v>
      </c>
      <c r="J621" s="61" t="n">
        <f aca="false">H621*Resumo!$C$6</f>
        <v>0</v>
      </c>
      <c r="K621" s="61" t="n">
        <f aca="false">H621*Resumo!$C$7</f>
        <v>0.767529</v>
      </c>
      <c r="L621" s="61" t="n">
        <f aca="false">H621*Resumo!$C$8</f>
        <v>0.767529</v>
      </c>
      <c r="M621" s="61" t="n">
        <f aca="false">Resumo!$C$10*CEILING(G621/100,1)</f>
        <v>1.05</v>
      </c>
      <c r="N621" s="61" t="n">
        <f aca="false">Resumo!$C$9</f>
        <v>0</v>
      </c>
      <c r="O621" s="61" t="n">
        <f aca="false">Resumo!$C$13</f>
        <v>13.55</v>
      </c>
      <c r="P621" s="61" t="n">
        <f aca="false">Resumo!$C$14*CEILING(G621,1)</f>
        <v>14.4</v>
      </c>
      <c r="Q621" s="61" t="n">
        <f aca="false">SUM(I621:P621)*Resumo!$C$11</f>
        <v>0</v>
      </c>
      <c r="R621" s="61" t="n">
        <f aca="false">SUM(I621:Q621)</f>
        <v>72.645058</v>
      </c>
      <c r="S621" s="61" t="n">
        <f aca="false">R621/(1-Resumo!$C$5)</f>
        <v>82.5512022727273</v>
      </c>
      <c r="T621" s="61" t="n">
        <v>82.21</v>
      </c>
      <c r="U621" s="61" t="n">
        <f aca="false">H621*Resumo!$B$6</f>
        <v>0.36549</v>
      </c>
      <c r="V621" s="61" t="n">
        <f aca="false">H621*Resumo!$B$7</f>
        <v>0.73098</v>
      </c>
      <c r="W621" s="61" t="n">
        <f aca="false">Resumo!$B$9</f>
        <v>1</v>
      </c>
      <c r="X621" s="61" t="n">
        <f aca="false">Resumo!$B$10*CEILING(G621/100,1)</f>
        <v>4.5</v>
      </c>
      <c r="Y621" s="61" t="n">
        <f aca="false">Resumo!$B$12*CEILING(G621,1)</f>
        <v>1.92</v>
      </c>
      <c r="Z621" s="61" t="n">
        <f aca="false">Resumo!$B$14*CEILING(G621,1)</f>
        <v>14.4</v>
      </c>
      <c r="AA621" s="61" t="n">
        <f aca="false">SUM(T621:Z621)</f>
        <v>105.12647</v>
      </c>
      <c r="AB621" s="61" t="n">
        <f aca="false">AA621/(1-Resumo!$B$5)</f>
        <v>119.461897727273</v>
      </c>
      <c r="AC621" s="61" t="n">
        <f aca="false">AB621-S621</f>
        <v>36.9106954545455</v>
      </c>
      <c r="AD621" s="62" t="n">
        <f aca="false">AB621/S621-1</f>
        <v>0.447124868425324</v>
      </c>
      <c r="AE621" s="60" t="str">
        <f aca="false">IF(AB621&lt;S621,"SIM","NÃO")</f>
        <v>NÃO</v>
      </c>
      <c r="AF621" s="60" t="n">
        <v>2</v>
      </c>
      <c r="AG621" s="60" t="n">
        <v>5</v>
      </c>
      <c r="AH621" s="60" t="s">
        <v>382</v>
      </c>
      <c r="AI621" s="61" t="n">
        <f aca="false">(T621*(1-Painel!$C$40)+U621+V621+Painel!$C$41+Painel!$C$42*CEILING(G621/100,1)+Painel!$C$43*CEILING(G621,1)+Z621)/(1-Resumo!$B$5)</f>
        <v>82.530875</v>
      </c>
      <c r="AJ621" s="60" t="str">
        <f aca="false">IF(AI621&lt;S621,"SIM","NÃO")</f>
        <v>SIM</v>
      </c>
    </row>
    <row r="622" customFormat="false" ht="15" hidden="false" customHeight="false" outlineLevel="0" collapsed="false">
      <c r="A622" s="59" t="n">
        <v>46240.0511226852</v>
      </c>
      <c r="B622" s="60" t="s">
        <v>979</v>
      </c>
      <c r="C622" s="60" t="n">
        <v>20750120</v>
      </c>
      <c r="D622" s="60" t="s">
        <v>46</v>
      </c>
      <c r="E622" s="60" t="s">
        <v>22</v>
      </c>
      <c r="F622" s="60" t="s">
        <v>235</v>
      </c>
      <c r="G622" s="60" t="n">
        <v>43.5</v>
      </c>
      <c r="H622" s="61" t="n">
        <v>611.05</v>
      </c>
      <c r="I622" s="61" t="n">
        <v>53.55</v>
      </c>
      <c r="J622" s="61" t="n">
        <f aca="false">H622*Resumo!$C$6</f>
        <v>0</v>
      </c>
      <c r="K622" s="61" t="n">
        <f aca="false">H622*Resumo!$C$7</f>
        <v>1.283205</v>
      </c>
      <c r="L622" s="61" t="n">
        <f aca="false">H622*Resumo!$C$8</f>
        <v>1.283205</v>
      </c>
      <c r="M622" s="61" t="n">
        <f aca="false">Resumo!$C$10*CEILING(G622/100,1)</f>
        <v>1.05</v>
      </c>
      <c r="N622" s="61" t="n">
        <f aca="false">Resumo!$C$9</f>
        <v>0</v>
      </c>
      <c r="O622" s="61" t="n">
        <f aca="false">Resumo!$C$13</f>
        <v>13.55</v>
      </c>
      <c r="P622" s="61" t="n">
        <f aca="false">Resumo!$C$14*CEILING(G622,1)</f>
        <v>19.8</v>
      </c>
      <c r="Q622" s="61" t="n">
        <f aca="false">SUM(I622:P622)*Resumo!$C$11</f>
        <v>0</v>
      </c>
      <c r="R622" s="61" t="n">
        <f aca="false">SUM(I622:Q622)</f>
        <v>90.51641</v>
      </c>
      <c r="S622" s="61" t="n">
        <f aca="false">R622/(1-Resumo!$C$5)</f>
        <v>102.859556818182</v>
      </c>
      <c r="T622" s="61" t="n">
        <v>93.97</v>
      </c>
      <c r="U622" s="61" t="n">
        <f aca="false">H622*Resumo!$B$6</f>
        <v>0.61105</v>
      </c>
      <c r="V622" s="61" t="n">
        <f aca="false">H622*Resumo!$B$7</f>
        <v>1.2221</v>
      </c>
      <c r="W622" s="61" t="n">
        <f aca="false">Resumo!$B$9</f>
        <v>1</v>
      </c>
      <c r="X622" s="61" t="n">
        <f aca="false">Resumo!$B$10*CEILING(G622/100,1)</f>
        <v>4.5</v>
      </c>
      <c r="Y622" s="61" t="n">
        <f aca="false">Resumo!$B$12*CEILING(G622,1)</f>
        <v>2.64</v>
      </c>
      <c r="Z622" s="61" t="n">
        <f aca="false">Resumo!$B$14*CEILING(G622,1)</f>
        <v>19.8</v>
      </c>
      <c r="AA622" s="61" t="n">
        <f aca="false">SUM(T622:Z622)</f>
        <v>123.74315</v>
      </c>
      <c r="AB622" s="61" t="n">
        <f aca="false">AA622/(1-Resumo!$B$5)</f>
        <v>140.617215909091</v>
      </c>
      <c r="AC622" s="61" t="n">
        <f aca="false">AB622-S622</f>
        <v>37.7576590909091</v>
      </c>
      <c r="AD622" s="62" t="n">
        <f aca="false">AB622/S622-1</f>
        <v>0.367079737254272</v>
      </c>
      <c r="AE622" s="60" t="str">
        <f aca="false">IF(AB622&lt;S622,"SIM","NÃO")</f>
        <v>NÃO</v>
      </c>
      <c r="AF622" s="60" t="n">
        <v>2</v>
      </c>
      <c r="AG622" s="60" t="n">
        <v>5</v>
      </c>
      <c r="AH622" s="60" t="s">
        <v>382</v>
      </c>
      <c r="AI622" s="61" t="n">
        <f aca="false">(T622*(1-Painel!$C$40)+U622+V622+Painel!$C$41+Painel!$C$42*CEILING(G622/100,1)+Painel!$C$43*CEILING(G622,1)+Z622)/(1-Resumo!$B$5)</f>
        <v>98.4580113636363</v>
      </c>
      <c r="AJ622" s="60" t="str">
        <f aca="false">IF(AI622&lt;S622,"SIM","NÃO")</f>
        <v>SIM</v>
      </c>
    </row>
    <row r="623" customFormat="false" ht="15" hidden="false" customHeight="false" outlineLevel="0" collapsed="false">
      <c r="A623" s="59" t="n">
        <v>46240.3696064815</v>
      </c>
      <c r="B623" s="60" t="s">
        <v>980</v>
      </c>
      <c r="C623" s="60" t="n">
        <v>22783325</v>
      </c>
      <c r="D623" s="60" t="s">
        <v>46</v>
      </c>
      <c r="E623" s="60" t="s">
        <v>22</v>
      </c>
      <c r="F623" s="60" t="s">
        <v>236</v>
      </c>
      <c r="G623" s="60" t="n">
        <v>52.3</v>
      </c>
      <c r="H623" s="61" t="n">
        <v>685.85</v>
      </c>
      <c r="I623" s="61" t="n">
        <v>58.6</v>
      </c>
      <c r="J623" s="61" t="n">
        <f aca="false">H623*Resumo!$C$6</f>
        <v>0</v>
      </c>
      <c r="K623" s="61" t="n">
        <f aca="false">H623*Resumo!$C$7</f>
        <v>1.440285</v>
      </c>
      <c r="L623" s="61" t="n">
        <f aca="false">H623*Resumo!$C$8</f>
        <v>1.440285</v>
      </c>
      <c r="M623" s="61" t="n">
        <f aca="false">Resumo!$C$10*CEILING(G623/100,1)</f>
        <v>1.05</v>
      </c>
      <c r="N623" s="61" t="n">
        <f aca="false">Resumo!$C$9</f>
        <v>0</v>
      </c>
      <c r="O623" s="61" t="n">
        <f aca="false">Resumo!$C$13</f>
        <v>13.55</v>
      </c>
      <c r="P623" s="61" t="n">
        <f aca="false">Resumo!$C$14*CEILING(G623,1)</f>
        <v>23.85</v>
      </c>
      <c r="Q623" s="61" t="n">
        <f aca="false">SUM(I623:P623)*Resumo!$C$11</f>
        <v>0</v>
      </c>
      <c r="R623" s="61" t="n">
        <f aca="false">SUM(I623:Q623)</f>
        <v>99.93057</v>
      </c>
      <c r="S623" s="61" t="n">
        <f aca="false">R623/(1-Resumo!$C$5)</f>
        <v>113.557465909091</v>
      </c>
      <c r="T623" s="61" t="n">
        <v>112.3</v>
      </c>
      <c r="U623" s="61" t="n">
        <f aca="false">H623*Resumo!$B$6</f>
        <v>0.68585</v>
      </c>
      <c r="V623" s="61" t="n">
        <f aca="false">H623*Resumo!$B$7</f>
        <v>1.3717</v>
      </c>
      <c r="W623" s="61" t="n">
        <f aca="false">Resumo!$B$9</f>
        <v>1</v>
      </c>
      <c r="X623" s="61" t="n">
        <f aca="false">Resumo!$B$10*CEILING(G623/100,1)</f>
        <v>4.5</v>
      </c>
      <c r="Y623" s="61" t="n">
        <f aca="false">Resumo!$B$12*CEILING(G623,1)</f>
        <v>3.18</v>
      </c>
      <c r="Z623" s="61" t="n">
        <f aca="false">Resumo!$B$14*CEILING(G623,1)</f>
        <v>23.85</v>
      </c>
      <c r="AA623" s="61" t="n">
        <f aca="false">SUM(T623:Z623)</f>
        <v>146.88755</v>
      </c>
      <c r="AB623" s="61" t="n">
        <f aca="false">AA623/(1-Resumo!$B$5)</f>
        <v>166.917670454545</v>
      </c>
      <c r="AC623" s="61" t="n">
        <f aca="false">AB623-S623</f>
        <v>53.3602045454545</v>
      </c>
      <c r="AD623" s="62" t="n">
        <f aca="false">AB623/S623-1</f>
        <v>0.4698960488267</v>
      </c>
      <c r="AE623" s="60" t="str">
        <f aca="false">IF(AB623&lt;S623,"SIM","NÃO")</f>
        <v>NÃO</v>
      </c>
      <c r="AF623" s="60" t="n">
        <v>2</v>
      </c>
      <c r="AG623" s="60" t="n">
        <v>5</v>
      </c>
      <c r="AH623" s="60" t="s">
        <v>382</v>
      </c>
      <c r="AI623" s="61" t="n">
        <f aca="false">(T623*(1-Painel!$C$40)+U623+V623+Painel!$C$41+Painel!$C$42*CEILING(G623/100,1)+Painel!$C$43*CEILING(G623,1)+Z623)/(1-Resumo!$B$5)</f>
        <v>117.271079545455</v>
      </c>
      <c r="AJ623" s="60" t="str">
        <f aca="false">IF(AI623&lt;S623,"SIM","NÃO")</f>
        <v>NÃO</v>
      </c>
    </row>
    <row r="624" customFormat="false" ht="15" hidden="false" customHeight="false" outlineLevel="0" collapsed="false">
      <c r="A624" s="59" t="n">
        <v>46240.3922916667</v>
      </c>
      <c r="B624" s="60" t="s">
        <v>981</v>
      </c>
      <c r="C624" s="60" t="n">
        <v>24436000</v>
      </c>
      <c r="D624" s="60" t="s">
        <v>47</v>
      </c>
      <c r="E624" s="60" t="s">
        <v>23</v>
      </c>
      <c r="F624" s="60" t="s">
        <v>235</v>
      </c>
      <c r="G624" s="60" t="n">
        <v>45</v>
      </c>
      <c r="H624" s="61" t="n">
        <v>531.42</v>
      </c>
      <c r="I624" s="61" t="n">
        <v>65.36</v>
      </c>
      <c r="J624" s="61" t="n">
        <f aca="false">H624*Resumo!$C$6</f>
        <v>0</v>
      </c>
      <c r="K624" s="61" t="n">
        <f aca="false">H624*Resumo!$C$7</f>
        <v>1.115982</v>
      </c>
      <c r="L624" s="61" t="n">
        <f aca="false">H624*Resumo!$C$8</f>
        <v>1.115982</v>
      </c>
      <c r="M624" s="61" t="n">
        <f aca="false">Resumo!$C$10*CEILING(G624/100,1)</f>
        <v>1.05</v>
      </c>
      <c r="N624" s="61" t="n">
        <f aca="false">Resumo!$C$9</f>
        <v>0</v>
      </c>
      <c r="O624" s="61" t="n">
        <f aca="false">Resumo!$C$13</f>
        <v>13.55</v>
      </c>
      <c r="P624" s="61" t="n">
        <f aca="false">Resumo!$C$14*CEILING(G624,1)</f>
        <v>20.25</v>
      </c>
      <c r="Q624" s="61" t="n">
        <f aca="false">SUM(I624:P624)*Resumo!$C$11</f>
        <v>0</v>
      </c>
      <c r="R624" s="61" t="n">
        <f aca="false">SUM(I624:Q624)</f>
        <v>102.441964</v>
      </c>
      <c r="S624" s="61" t="n">
        <f aca="false">R624/(1-Resumo!$C$5)</f>
        <v>116.411322727273</v>
      </c>
      <c r="T624" s="61" t="n">
        <v>114.95</v>
      </c>
      <c r="U624" s="61" t="n">
        <f aca="false">H624*Resumo!$B$6</f>
        <v>0.53142</v>
      </c>
      <c r="V624" s="61" t="n">
        <f aca="false">H624*Resumo!$B$7</f>
        <v>1.06284</v>
      </c>
      <c r="W624" s="61" t="n">
        <f aca="false">Resumo!$B$9</f>
        <v>1</v>
      </c>
      <c r="X624" s="61" t="n">
        <f aca="false">Resumo!$B$10*CEILING(G624/100,1)</f>
        <v>4.5</v>
      </c>
      <c r="Y624" s="61" t="n">
        <f aca="false">Resumo!$B$12*CEILING(G624,1)</f>
        <v>2.7</v>
      </c>
      <c r="Z624" s="61" t="n">
        <f aca="false">Resumo!$B$14*CEILING(G624,1)</f>
        <v>20.25</v>
      </c>
      <c r="AA624" s="61" t="n">
        <f aca="false">SUM(T624:Z624)</f>
        <v>144.99426</v>
      </c>
      <c r="AB624" s="61" t="n">
        <f aca="false">AA624/(1-Resumo!$B$5)</f>
        <v>164.766204545455</v>
      </c>
      <c r="AC624" s="61" t="n">
        <f aca="false">AB624-S624</f>
        <v>48.3548818181818</v>
      </c>
      <c r="AD624" s="62" t="n">
        <f aca="false">AB624/S624-1</f>
        <v>0.415379541141949</v>
      </c>
      <c r="AE624" s="60" t="str">
        <f aca="false">IF(AB624&lt;S624,"SIM","NÃO")</f>
        <v>NÃO</v>
      </c>
      <c r="AF624" s="60" t="n">
        <v>2</v>
      </c>
      <c r="AG624" s="60" t="n">
        <v>7</v>
      </c>
      <c r="AH624" s="60" t="s">
        <v>382</v>
      </c>
      <c r="AI624" s="61" t="n">
        <f aca="false">(T624*(1-Painel!$C$40)+U624+V624+Painel!$C$41+Painel!$C$42*CEILING(G624/100,1)+Painel!$C$43*CEILING(G624,1)+Z624)/(1-Resumo!$B$5)</f>
        <v>114.671318181818</v>
      </c>
      <c r="AJ624" s="60" t="str">
        <f aca="false">IF(AI624&lt;S624,"SIM","NÃO")</f>
        <v>SIM</v>
      </c>
    </row>
    <row r="625" customFormat="false" ht="15" hidden="false" customHeight="false" outlineLevel="0" collapsed="false">
      <c r="A625" s="59" t="n">
        <v>46240.3943171296</v>
      </c>
      <c r="B625" s="60" t="s">
        <v>982</v>
      </c>
      <c r="C625" s="60" t="n">
        <v>21640260</v>
      </c>
      <c r="D625" s="60" t="s">
        <v>46</v>
      </c>
      <c r="E625" s="60" t="s">
        <v>22</v>
      </c>
      <c r="F625" s="60" t="s">
        <v>234</v>
      </c>
      <c r="G625" s="60" t="n">
        <v>40</v>
      </c>
      <c r="H625" s="61" t="n">
        <v>569.99</v>
      </c>
      <c r="I625" s="61" t="n">
        <v>48.35</v>
      </c>
      <c r="J625" s="61" t="n">
        <f aca="false">H625*Resumo!$C$6</f>
        <v>0</v>
      </c>
      <c r="K625" s="61" t="n">
        <f aca="false">H625*Resumo!$C$7</f>
        <v>1.196979</v>
      </c>
      <c r="L625" s="61" t="n">
        <f aca="false">H625*Resumo!$C$8</f>
        <v>1.196979</v>
      </c>
      <c r="M625" s="61" t="n">
        <f aca="false">Resumo!$C$10*CEILING(G625/100,1)</f>
        <v>1.05</v>
      </c>
      <c r="N625" s="61" t="n">
        <f aca="false">Resumo!$C$9</f>
        <v>0</v>
      </c>
      <c r="O625" s="61" t="n">
        <f aca="false">Resumo!$C$13</f>
        <v>13.55</v>
      </c>
      <c r="P625" s="61" t="n">
        <f aca="false">Resumo!$C$14*CEILING(G625,1)</f>
        <v>18</v>
      </c>
      <c r="Q625" s="61" t="n">
        <f aca="false">SUM(I625:P625)*Resumo!$C$11</f>
        <v>0</v>
      </c>
      <c r="R625" s="61" t="n">
        <f aca="false">SUM(I625:Q625)</f>
        <v>83.343958</v>
      </c>
      <c r="S625" s="61" t="n">
        <f aca="false">R625/(1-Resumo!$C$5)</f>
        <v>94.7090431818182</v>
      </c>
      <c r="T625" s="61" t="n">
        <v>93.97</v>
      </c>
      <c r="U625" s="61" t="n">
        <f aca="false">H625*Resumo!$B$6</f>
        <v>0.56999</v>
      </c>
      <c r="V625" s="61" t="n">
        <f aca="false">H625*Resumo!$B$7</f>
        <v>1.13998</v>
      </c>
      <c r="W625" s="61" t="n">
        <f aca="false">Resumo!$B$9</f>
        <v>1</v>
      </c>
      <c r="X625" s="61" t="n">
        <f aca="false">Resumo!$B$10*CEILING(G625/100,1)</f>
        <v>4.5</v>
      </c>
      <c r="Y625" s="61" t="n">
        <f aca="false">Resumo!$B$12*CEILING(G625,1)</f>
        <v>2.4</v>
      </c>
      <c r="Z625" s="61" t="n">
        <f aca="false">Resumo!$B$14*CEILING(G625,1)</f>
        <v>18</v>
      </c>
      <c r="AA625" s="61" t="n">
        <f aca="false">SUM(T625:Z625)</f>
        <v>121.57997</v>
      </c>
      <c r="AB625" s="61" t="n">
        <f aca="false">AA625/(1-Resumo!$B$5)</f>
        <v>138.159056818182</v>
      </c>
      <c r="AC625" s="61" t="n">
        <f aca="false">AB625-S625</f>
        <v>43.4500136363636</v>
      </c>
      <c r="AD625" s="62" t="n">
        <f aca="false">AB625/S625-1</f>
        <v>0.45877365219444</v>
      </c>
      <c r="AE625" s="60" t="str">
        <f aca="false">IF(AB625&lt;S625,"SIM","NÃO")</f>
        <v>NÃO</v>
      </c>
      <c r="AF625" s="60" t="n">
        <v>2</v>
      </c>
      <c r="AG625" s="60" t="n">
        <v>5</v>
      </c>
      <c r="AH625" s="60" t="s">
        <v>382</v>
      </c>
      <c r="AI625" s="61" t="n">
        <f aca="false">(T625*(1-Painel!$C$40)+U625+V625+Painel!$C$41+Painel!$C$42*CEILING(G625/100,1)+Painel!$C$43*CEILING(G625,1)+Z625)/(1-Resumo!$B$5)</f>
        <v>96.2725795454545</v>
      </c>
      <c r="AJ625" s="60" t="str">
        <f aca="false">IF(AI625&lt;S625,"SIM","NÃO")</f>
        <v>NÃO</v>
      </c>
    </row>
    <row r="626" customFormat="false" ht="15" hidden="false" customHeight="false" outlineLevel="0" collapsed="false">
      <c r="A626" s="59" t="n">
        <v>46240.4075347222</v>
      </c>
      <c r="B626" s="60" t="s">
        <v>983</v>
      </c>
      <c r="C626" s="60" t="n">
        <v>20765171</v>
      </c>
      <c r="D626" s="60" t="s">
        <v>46</v>
      </c>
      <c r="E626" s="60" t="s">
        <v>22</v>
      </c>
      <c r="F626" s="60" t="s">
        <v>236</v>
      </c>
      <c r="G626" s="60" t="n">
        <v>59.3</v>
      </c>
      <c r="H626" s="61" t="n">
        <v>819.7</v>
      </c>
      <c r="I626" s="61" t="n">
        <v>58.6</v>
      </c>
      <c r="J626" s="61" t="n">
        <f aca="false">H626*Resumo!$C$6</f>
        <v>0</v>
      </c>
      <c r="K626" s="61" t="n">
        <f aca="false">H626*Resumo!$C$7</f>
        <v>1.72137</v>
      </c>
      <c r="L626" s="61" t="n">
        <f aca="false">H626*Resumo!$C$8</f>
        <v>1.72137</v>
      </c>
      <c r="M626" s="61" t="n">
        <f aca="false">Resumo!$C$10*CEILING(G626/100,1)</f>
        <v>1.05</v>
      </c>
      <c r="N626" s="61" t="n">
        <f aca="false">Resumo!$C$9</f>
        <v>0</v>
      </c>
      <c r="O626" s="61" t="n">
        <f aca="false">Resumo!$C$13</f>
        <v>13.55</v>
      </c>
      <c r="P626" s="61" t="n">
        <f aca="false">Resumo!$C$14*CEILING(G626,1)</f>
        <v>27</v>
      </c>
      <c r="Q626" s="61" t="n">
        <f aca="false">SUM(I626:P626)*Resumo!$C$11</f>
        <v>0</v>
      </c>
      <c r="R626" s="61" t="n">
        <f aca="false">SUM(I626:Q626)</f>
        <v>103.64274</v>
      </c>
      <c r="S626" s="61" t="n">
        <f aca="false">R626/(1-Resumo!$C$5)</f>
        <v>117.775840909091</v>
      </c>
      <c r="T626" s="61" t="n">
        <v>112.3</v>
      </c>
      <c r="U626" s="61" t="n">
        <f aca="false">H626*Resumo!$B$6</f>
        <v>0.8197</v>
      </c>
      <c r="V626" s="61" t="n">
        <f aca="false">H626*Resumo!$B$7</f>
        <v>1.6394</v>
      </c>
      <c r="W626" s="61" t="n">
        <f aca="false">Resumo!$B$9</f>
        <v>1</v>
      </c>
      <c r="X626" s="61" t="n">
        <f aca="false">Resumo!$B$10*CEILING(G626/100,1)</f>
        <v>4.5</v>
      </c>
      <c r="Y626" s="61" t="n">
        <f aca="false">Resumo!$B$12*CEILING(G626,1)</f>
        <v>3.6</v>
      </c>
      <c r="Z626" s="61" t="n">
        <f aca="false">Resumo!$B$14*CEILING(G626,1)</f>
        <v>27</v>
      </c>
      <c r="AA626" s="61" t="n">
        <f aca="false">SUM(T626:Z626)</f>
        <v>150.8591</v>
      </c>
      <c r="AB626" s="61" t="n">
        <f aca="false">AA626/(1-Resumo!$B$5)</f>
        <v>171.430795454545</v>
      </c>
      <c r="AC626" s="61" t="n">
        <f aca="false">AB626-S626</f>
        <v>53.6549545454545</v>
      </c>
      <c r="AD626" s="62" t="n">
        <f aca="false">AB626/S626-1</f>
        <v>0.455568426693466</v>
      </c>
      <c r="AE626" s="60" t="str">
        <f aca="false">IF(AB626&lt;S626,"SIM","NÃO")</f>
        <v>NÃO</v>
      </c>
      <c r="AF626" s="60" t="n">
        <v>2</v>
      </c>
      <c r="AG626" s="60" t="n">
        <v>5</v>
      </c>
      <c r="AH626" s="60" t="s">
        <v>382</v>
      </c>
      <c r="AI626" s="61" t="n">
        <f aca="false">(T626*(1-Painel!$C$40)+U626+V626+Painel!$C$41+Painel!$C$42*CEILING(G626/100,1)+Painel!$C$43*CEILING(G626,1)+Z626)/(1-Resumo!$B$5)</f>
        <v>121.306931818182</v>
      </c>
      <c r="AJ626" s="60" t="str">
        <f aca="false">IF(AI626&lt;S626,"SIM","NÃO")</f>
        <v>NÃO</v>
      </c>
    </row>
    <row r="627" customFormat="false" ht="15" hidden="false" customHeight="false" outlineLevel="0" collapsed="false">
      <c r="A627" s="59" t="n">
        <v>46240.5147222222</v>
      </c>
      <c r="B627" s="60" t="s">
        <v>984</v>
      </c>
      <c r="C627" s="60" t="n">
        <v>24754007</v>
      </c>
      <c r="D627" s="60" t="s">
        <v>47</v>
      </c>
      <c r="E627" s="60" t="s">
        <v>23</v>
      </c>
      <c r="F627" s="60" t="s">
        <v>233</v>
      </c>
      <c r="G627" s="60" t="n">
        <v>27.5</v>
      </c>
      <c r="H627" s="61" t="n">
        <v>320</v>
      </c>
      <c r="I627" s="61" t="n">
        <v>58.8</v>
      </c>
      <c r="J627" s="61" t="n">
        <f aca="false">H627*Resumo!$C$6</f>
        <v>0</v>
      </c>
      <c r="K627" s="61" t="n">
        <f aca="false">H627*Resumo!$C$7</f>
        <v>0.672</v>
      </c>
      <c r="L627" s="61" t="n">
        <f aca="false">H627*Resumo!$C$8</f>
        <v>0.672</v>
      </c>
      <c r="M627" s="61" t="n">
        <f aca="false">Resumo!$C$10*CEILING(G627/100,1)</f>
        <v>1.05</v>
      </c>
      <c r="N627" s="61" t="n">
        <f aca="false">Resumo!$C$9</f>
        <v>0</v>
      </c>
      <c r="O627" s="61" t="n">
        <f aca="false">Resumo!$C$13</f>
        <v>13.55</v>
      </c>
      <c r="P627" s="61" t="n">
        <f aca="false">Resumo!$C$14*CEILING(G627,1)</f>
        <v>12.6</v>
      </c>
      <c r="Q627" s="61" t="n">
        <f aca="false">SUM(I627:P627)*Resumo!$C$11</f>
        <v>0</v>
      </c>
      <c r="R627" s="61" t="n">
        <f aca="false">SUM(I627:Q627)</f>
        <v>87.344</v>
      </c>
      <c r="S627" s="61" t="n">
        <f aca="false">R627/(1-Resumo!$C$5)</f>
        <v>99.2545454545455</v>
      </c>
      <c r="T627" s="61" t="n">
        <v>100.58</v>
      </c>
      <c r="U627" s="61" t="n">
        <f aca="false">H627*Resumo!$B$6</f>
        <v>0.32</v>
      </c>
      <c r="V627" s="61" t="n">
        <f aca="false">H627*Resumo!$B$7</f>
        <v>0.64</v>
      </c>
      <c r="W627" s="61" t="n">
        <f aca="false">Resumo!$B$9</f>
        <v>1</v>
      </c>
      <c r="X627" s="61" t="n">
        <f aca="false">Resumo!$B$10*CEILING(G627/100,1)</f>
        <v>4.5</v>
      </c>
      <c r="Y627" s="61" t="n">
        <f aca="false">Resumo!$B$12*CEILING(G627,1)</f>
        <v>1.68</v>
      </c>
      <c r="Z627" s="61" t="n">
        <f aca="false">Resumo!$B$14*CEILING(G627,1)</f>
        <v>12.6</v>
      </c>
      <c r="AA627" s="61" t="n">
        <f aca="false">SUM(T627:Z627)</f>
        <v>121.32</v>
      </c>
      <c r="AB627" s="61" t="n">
        <f aca="false">AA627/(1-Resumo!$B$5)</f>
        <v>137.863636363636</v>
      </c>
      <c r="AC627" s="61" t="n">
        <f aca="false">AB627-S627</f>
        <v>38.6090909090909</v>
      </c>
      <c r="AD627" s="62" t="n">
        <f aca="false">AB627/S627-1</f>
        <v>0.388990657629602</v>
      </c>
      <c r="AE627" s="60" t="str">
        <f aca="false">IF(AB627&lt;S627,"SIM","NÃO")</f>
        <v>NÃO</v>
      </c>
      <c r="AF627" s="60" t="n">
        <v>2</v>
      </c>
      <c r="AG627" s="60" t="n">
        <v>7</v>
      </c>
      <c r="AH627" s="60" t="s">
        <v>382</v>
      </c>
      <c r="AI627" s="61" t="n">
        <f aca="false">(T627*(1-Painel!$C$40)+U627+V627+Painel!$C$41+Painel!$C$42*CEILING(G627/100,1)+Painel!$C$43*CEILING(G627,1)+Z627)/(1-Resumo!$B$5)</f>
        <v>94.3165909090909</v>
      </c>
      <c r="AJ627" s="60" t="str">
        <f aca="false">IF(AI627&lt;S627,"SIM","NÃO")</f>
        <v>SIM</v>
      </c>
    </row>
    <row r="628" customFormat="false" ht="15" hidden="false" customHeight="false" outlineLevel="0" collapsed="false">
      <c r="A628" s="59" t="n">
        <v>46240.5242592593</v>
      </c>
      <c r="B628" s="60" t="s">
        <v>985</v>
      </c>
      <c r="C628" s="60" t="n">
        <v>28994500</v>
      </c>
      <c r="D628" s="60" t="s">
        <v>341</v>
      </c>
      <c r="E628" s="60" t="s">
        <v>24</v>
      </c>
      <c r="F628" s="60" t="s">
        <v>234</v>
      </c>
      <c r="G628" s="60" t="n">
        <v>37.2</v>
      </c>
      <c r="H628" s="61" t="n">
        <v>419.99</v>
      </c>
      <c r="I628" s="61" t="n">
        <v>74.97</v>
      </c>
      <c r="J628" s="61" t="n">
        <f aca="false">H628*Resumo!$C$6</f>
        <v>0</v>
      </c>
      <c r="K628" s="61" t="n">
        <f aca="false">H628*Resumo!$C$7</f>
        <v>0.881979</v>
      </c>
      <c r="L628" s="61" t="n">
        <f aca="false">H628*Resumo!$C$8</f>
        <v>0.881979</v>
      </c>
      <c r="M628" s="61" t="n">
        <f aca="false">Resumo!$C$10*CEILING(G628/100,1)</f>
        <v>1.05</v>
      </c>
      <c r="N628" s="61" t="n">
        <f aca="false">Resumo!$C$9</f>
        <v>0</v>
      </c>
      <c r="O628" s="61" t="n">
        <f aca="false">Resumo!$C$13</f>
        <v>13.55</v>
      </c>
      <c r="P628" s="61" t="n">
        <f aca="false">Resumo!$C$14*CEILING(G628,1)</f>
        <v>17.1</v>
      </c>
      <c r="Q628" s="61" t="n">
        <f aca="false">SUM(I628:P628)*Resumo!$C$11</f>
        <v>0</v>
      </c>
      <c r="R628" s="61" t="n">
        <f aca="false">SUM(I628:Q628)</f>
        <v>108.433958</v>
      </c>
      <c r="S628" s="61" t="n">
        <f aca="false">R628/(1-Resumo!$C$5)</f>
        <v>123.220406818182</v>
      </c>
      <c r="T628" s="61" t="n">
        <v>124.38</v>
      </c>
      <c r="U628" s="61" t="n">
        <f aca="false">H628*Resumo!$B$6</f>
        <v>0.41999</v>
      </c>
      <c r="V628" s="61" t="n">
        <f aca="false">H628*Resumo!$B$7</f>
        <v>0.83998</v>
      </c>
      <c r="W628" s="61" t="n">
        <f aca="false">Resumo!$B$9</f>
        <v>1</v>
      </c>
      <c r="X628" s="61" t="n">
        <f aca="false">Resumo!$B$10*CEILING(G628/100,1)</f>
        <v>4.5</v>
      </c>
      <c r="Y628" s="61" t="n">
        <f aca="false">Resumo!$B$12*CEILING(G628,1)</f>
        <v>2.28</v>
      </c>
      <c r="Z628" s="61" t="n">
        <f aca="false">Resumo!$B$14*CEILING(G628,1)</f>
        <v>17.1</v>
      </c>
      <c r="AA628" s="61" t="n">
        <f aca="false">SUM(T628:Z628)</f>
        <v>150.51997</v>
      </c>
      <c r="AB628" s="61" t="n">
        <f aca="false">AA628/(1-Resumo!$B$5)</f>
        <v>171.045420454545</v>
      </c>
      <c r="AC628" s="61" t="n">
        <f aca="false">AB628-S628</f>
        <v>47.8250136363637</v>
      </c>
      <c r="AD628" s="62" t="n">
        <f aca="false">AB628/S628-1</f>
        <v>0.388125756693305</v>
      </c>
      <c r="AE628" s="60" t="str">
        <f aca="false">IF(AB628&lt;S628,"SIM","NÃO")</f>
        <v>NÃO</v>
      </c>
      <c r="AF628" s="60" t="n">
        <v>13</v>
      </c>
      <c r="AG628" s="60" t="n">
        <v>10</v>
      </c>
      <c r="AH628" s="60" t="s">
        <v>385</v>
      </c>
      <c r="AI628" s="61" t="n">
        <f aca="false">(T628*(1-Painel!$C$40)+U628+V628+Painel!$C$41+Painel!$C$42*CEILING(G628/100,1)+Painel!$C$43*CEILING(G628,1)+Z628)/(1-Resumo!$B$5)</f>
        <v>117.891556818182</v>
      </c>
      <c r="AJ628" s="60" t="str">
        <f aca="false">IF(AI628&lt;S628,"SIM","NÃO")</f>
        <v>SIM</v>
      </c>
    </row>
    <row r="629" customFormat="false" ht="15" hidden="false" customHeight="false" outlineLevel="0" collapsed="false">
      <c r="A629" s="59" t="n">
        <v>46240.5316319445</v>
      </c>
      <c r="B629" s="60" t="s">
        <v>986</v>
      </c>
      <c r="C629" s="60" t="n">
        <v>24436807</v>
      </c>
      <c r="D629" s="60" t="s">
        <v>47</v>
      </c>
      <c r="E629" s="60" t="s">
        <v>23</v>
      </c>
      <c r="F629" s="60" t="s">
        <v>232</v>
      </c>
      <c r="G629" s="60" t="n">
        <v>19.5</v>
      </c>
      <c r="H629" s="61" t="n">
        <v>359.99</v>
      </c>
      <c r="I629" s="61" t="n">
        <v>42.72</v>
      </c>
      <c r="J629" s="61" t="n">
        <f aca="false">H629*Resumo!$C$6</f>
        <v>0</v>
      </c>
      <c r="K629" s="61" t="n">
        <f aca="false">H629*Resumo!$C$7</f>
        <v>0.755979</v>
      </c>
      <c r="L629" s="61" t="n">
        <f aca="false">H629*Resumo!$C$8</f>
        <v>0.755979</v>
      </c>
      <c r="M629" s="61" t="n">
        <f aca="false">Resumo!$C$10*CEILING(G629/100,1)</f>
        <v>1.05</v>
      </c>
      <c r="N629" s="61" t="n">
        <f aca="false">Resumo!$C$9</f>
        <v>0</v>
      </c>
      <c r="O629" s="61" t="n">
        <f aca="false">Resumo!$C$13</f>
        <v>13.55</v>
      </c>
      <c r="P629" s="61" t="n">
        <f aca="false">Resumo!$C$14*CEILING(G629,1)</f>
        <v>9</v>
      </c>
      <c r="Q629" s="61" t="n">
        <f aca="false">SUM(I629:P629)*Resumo!$C$11</f>
        <v>0</v>
      </c>
      <c r="R629" s="61" t="n">
        <f aca="false">SUM(I629:Q629)</f>
        <v>67.831958</v>
      </c>
      <c r="S629" s="61" t="n">
        <f aca="false">R629/(1-Resumo!$C$5)</f>
        <v>77.0817704545455</v>
      </c>
      <c r="T629" s="61" t="n">
        <v>57.47</v>
      </c>
      <c r="U629" s="61" t="n">
        <f aca="false">H629*Resumo!$B$6</f>
        <v>0.35999</v>
      </c>
      <c r="V629" s="61" t="n">
        <f aca="false">H629*Resumo!$B$7</f>
        <v>0.71998</v>
      </c>
      <c r="W629" s="61" t="n">
        <f aca="false">Resumo!$B$9</f>
        <v>1</v>
      </c>
      <c r="X629" s="61" t="n">
        <f aca="false">Resumo!$B$10*CEILING(G629/100,1)</f>
        <v>4.5</v>
      </c>
      <c r="Y629" s="61" t="n">
        <f aca="false">Resumo!$B$12*CEILING(G629,1)</f>
        <v>1.2</v>
      </c>
      <c r="Z629" s="61" t="n">
        <f aca="false">Resumo!$B$14*CEILING(G629,1)</f>
        <v>9</v>
      </c>
      <c r="AA629" s="61" t="n">
        <f aca="false">SUM(T629:Z629)</f>
        <v>74.24997</v>
      </c>
      <c r="AB629" s="61" t="n">
        <f aca="false">AA629/(1-Resumo!$B$5)</f>
        <v>84.3749659090909</v>
      </c>
      <c r="AC629" s="61" t="n">
        <f aca="false">AB629-S629</f>
        <v>7.29319545454547</v>
      </c>
      <c r="AD629" s="62" t="n">
        <f aca="false">AB629/S629-1</f>
        <v>0.094616345882276</v>
      </c>
      <c r="AE629" s="60" t="str">
        <f aca="false">IF(AB629&lt;S629,"SIM","NÃO")</f>
        <v>NÃO</v>
      </c>
      <c r="AF629" s="60" t="n">
        <v>2</v>
      </c>
      <c r="AG629" s="60" t="n">
        <v>7</v>
      </c>
      <c r="AH629" s="60" t="s">
        <v>382</v>
      </c>
      <c r="AI629" s="61" t="n">
        <f aca="false">(T629*(1-Painel!$C$40)+U629+V629+Painel!$C$41+Painel!$C$42*CEILING(G629/100,1)+Painel!$C$43*CEILING(G629,1)+Z629)/(1-Resumo!$B$5)</f>
        <v>57.539625</v>
      </c>
      <c r="AJ629" s="60" t="str">
        <f aca="false">IF(AI629&lt;S629,"SIM","NÃO")</f>
        <v>SIM</v>
      </c>
    </row>
    <row r="630" customFormat="false" ht="15" hidden="false" customHeight="false" outlineLevel="0" collapsed="false">
      <c r="A630" s="59" t="n">
        <v>46240.5337384259</v>
      </c>
      <c r="B630" s="60" t="s">
        <v>987</v>
      </c>
      <c r="C630" s="60" t="n">
        <v>21843110</v>
      </c>
      <c r="D630" s="60" t="s">
        <v>46</v>
      </c>
      <c r="E630" s="60" t="s">
        <v>22</v>
      </c>
      <c r="F630" s="60" t="s">
        <v>235</v>
      </c>
      <c r="G630" s="60" t="n">
        <v>45</v>
      </c>
      <c r="H630" s="61" t="n">
        <v>531.42</v>
      </c>
      <c r="I630" s="61" t="n">
        <v>53.55</v>
      </c>
      <c r="J630" s="61" t="n">
        <f aca="false">H630*Resumo!$C$6</f>
        <v>0</v>
      </c>
      <c r="K630" s="61" t="n">
        <f aca="false">H630*Resumo!$C$7</f>
        <v>1.115982</v>
      </c>
      <c r="L630" s="61" t="n">
        <f aca="false">H630*Resumo!$C$8</f>
        <v>1.115982</v>
      </c>
      <c r="M630" s="61" t="n">
        <f aca="false">Resumo!$C$10*CEILING(G630/100,1)</f>
        <v>1.05</v>
      </c>
      <c r="N630" s="61" t="n">
        <f aca="false">Resumo!$C$9</f>
        <v>0</v>
      </c>
      <c r="O630" s="61" t="n">
        <f aca="false">Resumo!$C$13</f>
        <v>13.55</v>
      </c>
      <c r="P630" s="61" t="n">
        <f aca="false">Resumo!$C$14*CEILING(G630,1)</f>
        <v>20.25</v>
      </c>
      <c r="Q630" s="61" t="n">
        <f aca="false">SUM(I630:P630)*Resumo!$C$11</f>
        <v>0</v>
      </c>
      <c r="R630" s="61" t="n">
        <f aca="false">SUM(I630:Q630)</f>
        <v>90.631964</v>
      </c>
      <c r="S630" s="61" t="n">
        <f aca="false">R630/(1-Resumo!$C$5)</f>
        <v>102.990868181818</v>
      </c>
      <c r="T630" s="61" t="n">
        <v>93.97</v>
      </c>
      <c r="U630" s="61" t="n">
        <f aca="false">H630*Resumo!$B$6</f>
        <v>0.53142</v>
      </c>
      <c r="V630" s="61" t="n">
        <f aca="false">H630*Resumo!$B$7</f>
        <v>1.06284</v>
      </c>
      <c r="W630" s="61" t="n">
        <f aca="false">Resumo!$B$9</f>
        <v>1</v>
      </c>
      <c r="X630" s="61" t="n">
        <f aca="false">Resumo!$B$10*CEILING(G630/100,1)</f>
        <v>4.5</v>
      </c>
      <c r="Y630" s="61" t="n">
        <f aca="false">Resumo!$B$12*CEILING(G630,1)</f>
        <v>2.7</v>
      </c>
      <c r="Z630" s="61" t="n">
        <f aca="false">Resumo!$B$14*CEILING(G630,1)</f>
        <v>20.25</v>
      </c>
      <c r="AA630" s="61" t="n">
        <f aca="false">SUM(T630:Z630)</f>
        <v>124.01426</v>
      </c>
      <c r="AB630" s="61" t="n">
        <f aca="false">AA630/(1-Resumo!$B$5)</f>
        <v>140.925295454545</v>
      </c>
      <c r="AC630" s="61" t="n">
        <f aca="false">AB630-S630</f>
        <v>37.9344272727273</v>
      </c>
      <c r="AD630" s="62" t="n">
        <f aca="false">AB630/S630-1</f>
        <v>0.36832806580248</v>
      </c>
      <c r="AE630" s="60" t="str">
        <f aca="false">IF(AB630&lt;S630,"SIM","NÃO")</f>
        <v>NÃO</v>
      </c>
      <c r="AF630" s="60" t="n">
        <v>2</v>
      </c>
      <c r="AG630" s="60" t="n">
        <v>5</v>
      </c>
      <c r="AH630" s="60" t="s">
        <v>382</v>
      </c>
      <c r="AI630" s="61" t="n">
        <f aca="false">(T630*(1-Painel!$C$40)+U630+V630+Painel!$C$41+Painel!$C$42*CEILING(G630/100,1)+Painel!$C$43*CEILING(G630,1)+Z630)/(1-Resumo!$B$5)</f>
        <v>98.6979090909091</v>
      </c>
      <c r="AJ630" s="60" t="str">
        <f aca="false">IF(AI630&lt;S630,"SIM","NÃO")</f>
        <v>SIM</v>
      </c>
    </row>
    <row r="631" customFormat="false" ht="15" hidden="false" customHeight="false" outlineLevel="0" collapsed="false">
      <c r="A631" s="59" t="n">
        <v>46240.5474884259</v>
      </c>
      <c r="B631" s="60" t="s">
        <v>988</v>
      </c>
      <c r="C631" s="60" t="n">
        <v>21920120</v>
      </c>
      <c r="D631" s="60" t="s">
        <v>46</v>
      </c>
      <c r="E631" s="60" t="s">
        <v>22</v>
      </c>
      <c r="F631" s="60" t="s">
        <v>233</v>
      </c>
      <c r="G631" s="60" t="n">
        <v>31.9</v>
      </c>
      <c r="H631" s="61" t="n">
        <v>466.39</v>
      </c>
      <c r="I631" s="61" t="n">
        <v>42.11</v>
      </c>
      <c r="J631" s="61" t="n">
        <f aca="false">H631*Resumo!$C$6</f>
        <v>0</v>
      </c>
      <c r="K631" s="61" t="n">
        <f aca="false">H631*Resumo!$C$7</f>
        <v>0.979419</v>
      </c>
      <c r="L631" s="61" t="n">
        <f aca="false">H631*Resumo!$C$8</f>
        <v>0.979419</v>
      </c>
      <c r="M631" s="61" t="n">
        <f aca="false">Resumo!$C$10*CEILING(G631/100,1)</f>
        <v>1.05</v>
      </c>
      <c r="N631" s="61" t="n">
        <f aca="false">Resumo!$C$9</f>
        <v>0</v>
      </c>
      <c r="O631" s="61" t="n">
        <f aca="false">Resumo!$C$13</f>
        <v>13.55</v>
      </c>
      <c r="P631" s="61" t="n">
        <f aca="false">Resumo!$C$14*CEILING(G631,1)</f>
        <v>14.4</v>
      </c>
      <c r="Q631" s="61" t="n">
        <f aca="false">SUM(I631:P631)*Resumo!$C$11</f>
        <v>0</v>
      </c>
      <c r="R631" s="61" t="n">
        <f aca="false">SUM(I631:Q631)</f>
        <v>73.068838</v>
      </c>
      <c r="S631" s="61" t="n">
        <f aca="false">R631/(1-Resumo!$C$5)</f>
        <v>83.0327704545455</v>
      </c>
      <c r="T631" s="61" t="n">
        <v>82.21</v>
      </c>
      <c r="U631" s="61" t="n">
        <f aca="false">H631*Resumo!$B$6</f>
        <v>0.46639</v>
      </c>
      <c r="V631" s="61" t="n">
        <f aca="false">H631*Resumo!$B$7</f>
        <v>0.93278</v>
      </c>
      <c r="W631" s="61" t="n">
        <f aca="false">Resumo!$B$9</f>
        <v>1</v>
      </c>
      <c r="X631" s="61" t="n">
        <f aca="false">Resumo!$B$10*CEILING(G631/100,1)</f>
        <v>4.5</v>
      </c>
      <c r="Y631" s="61" t="n">
        <f aca="false">Resumo!$B$12*CEILING(G631,1)</f>
        <v>1.92</v>
      </c>
      <c r="Z631" s="61" t="n">
        <f aca="false">Resumo!$B$14*CEILING(G631,1)</f>
        <v>14.4</v>
      </c>
      <c r="AA631" s="61" t="n">
        <f aca="false">SUM(T631:Z631)</f>
        <v>105.42917</v>
      </c>
      <c r="AB631" s="61" t="n">
        <f aca="false">AA631/(1-Resumo!$B$5)</f>
        <v>119.805875</v>
      </c>
      <c r="AC631" s="61" t="n">
        <f aca="false">AB631-S631</f>
        <v>36.7731045454545</v>
      </c>
      <c r="AD631" s="62" t="n">
        <f aca="false">AB631/S631-1</f>
        <v>0.442874594502242</v>
      </c>
      <c r="AE631" s="60" t="str">
        <f aca="false">IF(AB631&lt;S631,"SIM","NÃO")</f>
        <v>NÃO</v>
      </c>
      <c r="AF631" s="60" t="n">
        <v>2</v>
      </c>
      <c r="AG631" s="60" t="n">
        <v>5</v>
      </c>
      <c r="AH631" s="60" t="s">
        <v>382</v>
      </c>
      <c r="AI631" s="61" t="n">
        <f aca="false">(T631*(1-Painel!$C$40)+U631+V631+Painel!$C$41+Painel!$C$42*CEILING(G631/100,1)+Painel!$C$43*CEILING(G631,1)+Z631)/(1-Resumo!$B$5)</f>
        <v>82.8748522727273</v>
      </c>
      <c r="AJ631" s="60" t="str">
        <f aca="false">IF(AI631&lt;S631,"SIM","NÃO")</f>
        <v>SIM</v>
      </c>
    </row>
    <row r="632" customFormat="false" ht="15" hidden="false" customHeight="false" outlineLevel="0" collapsed="false">
      <c r="A632" s="59" t="n">
        <v>46240.5514467593</v>
      </c>
      <c r="B632" s="60" t="s">
        <v>989</v>
      </c>
      <c r="C632" s="60" t="n">
        <v>21230354</v>
      </c>
      <c r="D632" s="60" t="s">
        <v>46</v>
      </c>
      <c r="E632" s="60" t="s">
        <v>22</v>
      </c>
      <c r="F632" s="60" t="s">
        <v>233</v>
      </c>
      <c r="G632" s="60" t="n">
        <v>23.4</v>
      </c>
      <c r="H632" s="61" t="n">
        <v>379.99</v>
      </c>
      <c r="I632" s="61" t="n">
        <v>42.11</v>
      </c>
      <c r="J632" s="61" t="n">
        <f aca="false">H632*Resumo!$C$6</f>
        <v>0</v>
      </c>
      <c r="K632" s="61" t="n">
        <f aca="false">H632*Resumo!$C$7</f>
        <v>0.797979</v>
      </c>
      <c r="L632" s="61" t="n">
        <f aca="false">H632*Resumo!$C$8</f>
        <v>0.797979</v>
      </c>
      <c r="M632" s="61" t="n">
        <f aca="false">Resumo!$C$10*CEILING(G632/100,1)</f>
        <v>1.05</v>
      </c>
      <c r="N632" s="61" t="n">
        <f aca="false">Resumo!$C$9</f>
        <v>0</v>
      </c>
      <c r="O632" s="61" t="n">
        <f aca="false">Resumo!$C$13</f>
        <v>13.55</v>
      </c>
      <c r="P632" s="61" t="n">
        <f aca="false">Resumo!$C$14*CEILING(G632,1)</f>
        <v>10.8</v>
      </c>
      <c r="Q632" s="61" t="n">
        <f aca="false">SUM(I632:P632)*Resumo!$C$11</f>
        <v>0</v>
      </c>
      <c r="R632" s="61" t="n">
        <f aca="false">SUM(I632:Q632)</f>
        <v>69.105958</v>
      </c>
      <c r="S632" s="61" t="n">
        <f aca="false">R632/(1-Resumo!$C$5)</f>
        <v>78.5294977272727</v>
      </c>
      <c r="T632" s="61" t="n">
        <v>82.21</v>
      </c>
      <c r="U632" s="61" t="n">
        <f aca="false">H632*Resumo!$B$6</f>
        <v>0.37999</v>
      </c>
      <c r="V632" s="61" t="n">
        <f aca="false">H632*Resumo!$B$7</f>
        <v>0.75998</v>
      </c>
      <c r="W632" s="61" t="n">
        <f aca="false">Resumo!$B$9</f>
        <v>1</v>
      </c>
      <c r="X632" s="61" t="n">
        <f aca="false">Resumo!$B$10*CEILING(G632/100,1)</f>
        <v>4.5</v>
      </c>
      <c r="Y632" s="61" t="n">
        <f aca="false">Resumo!$B$12*CEILING(G632,1)</f>
        <v>1.44</v>
      </c>
      <c r="Z632" s="61" t="n">
        <f aca="false">Resumo!$B$14*CEILING(G632,1)</f>
        <v>10.8</v>
      </c>
      <c r="AA632" s="61" t="n">
        <f aca="false">SUM(T632:Z632)</f>
        <v>101.08997</v>
      </c>
      <c r="AB632" s="61" t="n">
        <f aca="false">AA632/(1-Resumo!$B$5)</f>
        <v>114.874965909091</v>
      </c>
      <c r="AC632" s="61" t="n">
        <f aca="false">AB632-S632</f>
        <v>36.3454681818182</v>
      </c>
      <c r="AD632" s="62" t="n">
        <f aca="false">AB632/S632-1</f>
        <v>0.462825679950779</v>
      </c>
      <c r="AE632" s="60" t="str">
        <f aca="false">IF(AB632&lt;S632,"SIM","NÃO")</f>
        <v>NÃO</v>
      </c>
      <c r="AF632" s="60" t="n">
        <v>2</v>
      </c>
      <c r="AG632" s="60" t="n">
        <v>5</v>
      </c>
      <c r="AH632" s="60" t="s">
        <v>382</v>
      </c>
      <c r="AI632" s="61" t="n">
        <f aca="false">(T632*(1-Painel!$C$40)+U632+V632+Painel!$C$41+Painel!$C$42*CEILING(G632/100,1)+Painel!$C$43*CEILING(G632,1)+Z632)/(1-Resumo!$B$5)</f>
        <v>78.4893977272727</v>
      </c>
      <c r="AJ632" s="60" t="str">
        <f aca="false">IF(AI632&lt;S632,"SIM","NÃO")</f>
        <v>SIM</v>
      </c>
    </row>
    <row r="633" customFormat="false" ht="15" hidden="false" customHeight="false" outlineLevel="0" collapsed="false">
      <c r="A633" s="59" t="n">
        <v>46240.555150463</v>
      </c>
      <c r="B633" s="60" t="s">
        <v>990</v>
      </c>
      <c r="C633" s="60" t="n">
        <v>20766721</v>
      </c>
      <c r="D633" s="60" t="s">
        <v>46</v>
      </c>
      <c r="E633" s="60" t="s">
        <v>22</v>
      </c>
      <c r="F633" s="60" t="s">
        <v>236</v>
      </c>
      <c r="G633" s="60" t="n">
        <v>52.3</v>
      </c>
      <c r="H633" s="61" t="n">
        <v>536.93</v>
      </c>
      <c r="I633" s="61" t="n">
        <v>58.6</v>
      </c>
      <c r="J633" s="61" t="n">
        <f aca="false">H633*Resumo!$C$6</f>
        <v>0</v>
      </c>
      <c r="K633" s="61" t="n">
        <f aca="false">H633*Resumo!$C$7</f>
        <v>1.127553</v>
      </c>
      <c r="L633" s="61" t="n">
        <f aca="false">H633*Resumo!$C$8</f>
        <v>1.127553</v>
      </c>
      <c r="M633" s="61" t="n">
        <f aca="false">Resumo!$C$10*CEILING(G633/100,1)</f>
        <v>1.05</v>
      </c>
      <c r="N633" s="61" t="n">
        <f aca="false">Resumo!$C$9</f>
        <v>0</v>
      </c>
      <c r="O633" s="61" t="n">
        <f aca="false">Resumo!$C$13</f>
        <v>13.55</v>
      </c>
      <c r="P633" s="61" t="n">
        <f aca="false">Resumo!$C$14*CEILING(G633,1)</f>
        <v>23.85</v>
      </c>
      <c r="Q633" s="61" t="n">
        <f aca="false">SUM(I633:P633)*Resumo!$C$11</f>
        <v>0</v>
      </c>
      <c r="R633" s="61" t="n">
        <f aca="false">SUM(I633:Q633)</f>
        <v>99.305106</v>
      </c>
      <c r="S633" s="61" t="n">
        <f aca="false">R633/(1-Resumo!$C$5)</f>
        <v>112.846711363636</v>
      </c>
      <c r="T633" s="61" t="n">
        <v>112.3</v>
      </c>
      <c r="U633" s="61" t="n">
        <f aca="false">H633*Resumo!$B$6</f>
        <v>0.53693</v>
      </c>
      <c r="V633" s="61" t="n">
        <f aca="false">H633*Resumo!$B$7</f>
        <v>1.07386</v>
      </c>
      <c r="W633" s="61" t="n">
        <f aca="false">Resumo!$B$9</f>
        <v>1</v>
      </c>
      <c r="X633" s="61" t="n">
        <f aca="false">Resumo!$B$10*CEILING(G633/100,1)</f>
        <v>4.5</v>
      </c>
      <c r="Y633" s="61" t="n">
        <f aca="false">Resumo!$B$12*CEILING(G633,1)</f>
        <v>3.18</v>
      </c>
      <c r="Z633" s="61" t="n">
        <f aca="false">Resumo!$B$14*CEILING(G633,1)</f>
        <v>23.85</v>
      </c>
      <c r="AA633" s="61" t="n">
        <f aca="false">SUM(T633:Z633)</f>
        <v>146.44079</v>
      </c>
      <c r="AB633" s="61" t="n">
        <f aca="false">AA633/(1-Resumo!$B$5)</f>
        <v>166.409988636364</v>
      </c>
      <c r="AC633" s="61" t="n">
        <f aca="false">AB633-S633</f>
        <v>53.5632772727273</v>
      </c>
      <c r="AD633" s="62" t="n">
        <f aca="false">AB633/S633-1</f>
        <v>0.47465519043905</v>
      </c>
      <c r="AE633" s="60" t="str">
        <f aca="false">IF(AB633&lt;S633,"SIM","NÃO")</f>
        <v>NÃO</v>
      </c>
      <c r="AF633" s="60" t="n">
        <v>2</v>
      </c>
      <c r="AG633" s="60" t="n">
        <v>5</v>
      </c>
      <c r="AH633" s="60" t="s">
        <v>382</v>
      </c>
      <c r="AI633" s="61" t="n">
        <f aca="false">(T633*(1-Painel!$C$40)+U633+V633+Painel!$C$41+Painel!$C$42*CEILING(G633/100,1)+Painel!$C$43*CEILING(G633,1)+Z633)/(1-Resumo!$B$5)</f>
        <v>116.763397727273</v>
      </c>
      <c r="AJ633" s="60" t="str">
        <f aca="false">IF(AI633&lt;S633,"SIM","NÃO")</f>
        <v>NÃO</v>
      </c>
    </row>
    <row r="634" customFormat="false" ht="15" hidden="false" customHeight="false" outlineLevel="0" collapsed="false">
      <c r="A634" s="59" t="n">
        <v>46240.5702314815</v>
      </c>
      <c r="B634" s="60" t="s">
        <v>991</v>
      </c>
      <c r="C634" s="60" t="n">
        <v>21775410</v>
      </c>
      <c r="D634" s="60" t="s">
        <v>46</v>
      </c>
      <c r="E634" s="60" t="s">
        <v>22</v>
      </c>
      <c r="F634" s="60" t="s">
        <v>232</v>
      </c>
      <c r="G634" s="60" t="n">
        <v>19.5</v>
      </c>
      <c r="H634" s="61" t="n">
        <v>335.99</v>
      </c>
      <c r="I634" s="61" t="n">
        <v>33.42</v>
      </c>
      <c r="J634" s="61" t="n">
        <f aca="false">H634*Resumo!$C$6</f>
        <v>0</v>
      </c>
      <c r="K634" s="61" t="n">
        <f aca="false">H634*Resumo!$C$7</f>
        <v>0.705579</v>
      </c>
      <c r="L634" s="61" t="n">
        <f aca="false">H634*Resumo!$C$8</f>
        <v>0.705579</v>
      </c>
      <c r="M634" s="61" t="n">
        <f aca="false">Resumo!$C$10*CEILING(G634/100,1)</f>
        <v>1.05</v>
      </c>
      <c r="N634" s="61" t="n">
        <f aca="false">Resumo!$C$9</f>
        <v>0</v>
      </c>
      <c r="O634" s="61" t="n">
        <f aca="false">Resumo!$C$13</f>
        <v>13.55</v>
      </c>
      <c r="P634" s="61" t="n">
        <f aca="false">Resumo!$C$14*CEILING(G634,1)</f>
        <v>9</v>
      </c>
      <c r="Q634" s="61" t="n">
        <f aca="false">SUM(I634:P634)*Resumo!$C$11</f>
        <v>0</v>
      </c>
      <c r="R634" s="61" t="n">
        <f aca="false">SUM(I634:Q634)</f>
        <v>58.431158</v>
      </c>
      <c r="S634" s="61" t="n">
        <f aca="false">R634/(1-Resumo!$C$5)</f>
        <v>66.3990431818182</v>
      </c>
      <c r="T634" s="61" t="n">
        <v>46.98</v>
      </c>
      <c r="U634" s="61" t="n">
        <f aca="false">H634*Resumo!$B$6</f>
        <v>0.33599</v>
      </c>
      <c r="V634" s="61" t="n">
        <f aca="false">H634*Resumo!$B$7</f>
        <v>0.67198</v>
      </c>
      <c r="W634" s="61" t="n">
        <f aca="false">Resumo!$B$9</f>
        <v>1</v>
      </c>
      <c r="X634" s="61" t="n">
        <f aca="false">Resumo!$B$10*CEILING(G634/100,1)</f>
        <v>4.5</v>
      </c>
      <c r="Y634" s="61" t="n">
        <f aca="false">Resumo!$B$12*CEILING(G634,1)</f>
        <v>1.2</v>
      </c>
      <c r="Z634" s="61" t="n">
        <f aca="false">Resumo!$B$14*CEILING(G634,1)</f>
        <v>9</v>
      </c>
      <c r="AA634" s="61" t="n">
        <f aca="false">SUM(T634:Z634)</f>
        <v>63.68797</v>
      </c>
      <c r="AB634" s="61" t="n">
        <f aca="false">AA634/(1-Resumo!$B$5)</f>
        <v>72.3726931818182</v>
      </c>
      <c r="AC634" s="61" t="n">
        <f aca="false">AB634-S634</f>
        <v>5.97364999999999</v>
      </c>
      <c r="AD634" s="62" t="n">
        <f aca="false">AB634/S634-1</f>
        <v>0.0899659048345405</v>
      </c>
      <c r="AE634" s="60" t="str">
        <f aca="false">IF(AB634&lt;S634,"SIM","NÃO")</f>
        <v>NÃO</v>
      </c>
      <c r="AF634" s="60" t="n">
        <v>2</v>
      </c>
      <c r="AG634" s="60" t="n">
        <v>5</v>
      </c>
      <c r="AH634" s="60" t="s">
        <v>382</v>
      </c>
      <c r="AI634" s="61" t="n">
        <f aca="false">(T634*(1-Painel!$C$40)+U634+V634+Painel!$C$41+Painel!$C$42*CEILING(G634/100,1)+Painel!$C$43*CEILING(G634,1)+Z634)/(1-Resumo!$B$5)</f>
        <v>49.4711022727273</v>
      </c>
      <c r="AJ634" s="60" t="str">
        <f aca="false">IF(AI634&lt;S634,"SIM","NÃO")</f>
        <v>SIM</v>
      </c>
    </row>
    <row r="635" customFormat="false" ht="15" hidden="false" customHeight="false" outlineLevel="0" collapsed="false">
      <c r="A635" s="59" t="n">
        <v>46240.5704050926</v>
      </c>
      <c r="B635" s="60" t="s">
        <v>992</v>
      </c>
      <c r="C635" s="60" t="n">
        <v>25261470</v>
      </c>
      <c r="D635" s="60" t="s">
        <v>48</v>
      </c>
      <c r="E635" s="60" t="s">
        <v>23</v>
      </c>
      <c r="F635" s="60" t="s">
        <v>236</v>
      </c>
      <c r="G635" s="60" t="n">
        <v>52.3</v>
      </c>
      <c r="H635" s="61" t="n">
        <v>630</v>
      </c>
      <c r="I635" s="61" t="n">
        <v>70.98</v>
      </c>
      <c r="J635" s="61" t="n">
        <f aca="false">H635*Resumo!$C$6</f>
        <v>0</v>
      </c>
      <c r="K635" s="61" t="n">
        <f aca="false">H635*Resumo!$C$7</f>
        <v>1.323</v>
      </c>
      <c r="L635" s="61" t="n">
        <f aca="false">H635*Resumo!$C$8</f>
        <v>1.323</v>
      </c>
      <c r="M635" s="61" t="n">
        <f aca="false">Resumo!$C$10*CEILING(G635/100,1)</f>
        <v>1.05</v>
      </c>
      <c r="N635" s="61" t="n">
        <f aca="false">Resumo!$C$9</f>
        <v>0</v>
      </c>
      <c r="O635" s="61" t="n">
        <f aca="false">Resumo!$C$13</f>
        <v>13.55</v>
      </c>
      <c r="P635" s="61" t="n">
        <f aca="false">Resumo!$C$14*CEILING(G635,1)</f>
        <v>23.85</v>
      </c>
      <c r="Q635" s="61" t="n">
        <f aca="false">SUM(I635:P635)*Resumo!$C$11</f>
        <v>0</v>
      </c>
      <c r="R635" s="61" t="n">
        <f aca="false">SUM(I635:Q635)</f>
        <v>112.076</v>
      </c>
      <c r="S635" s="61" t="n">
        <f aca="false">R635/(1-Resumo!$C$5)</f>
        <v>127.359090909091</v>
      </c>
      <c r="T635" s="61" t="n">
        <v>112.3</v>
      </c>
      <c r="U635" s="61" t="n">
        <f aca="false">H635*Resumo!$B$6</f>
        <v>0.63</v>
      </c>
      <c r="V635" s="61" t="n">
        <f aca="false">H635*Resumo!$B$7</f>
        <v>1.26</v>
      </c>
      <c r="W635" s="61" t="n">
        <f aca="false">Resumo!$B$9</f>
        <v>1</v>
      </c>
      <c r="X635" s="61" t="n">
        <f aca="false">Resumo!$B$10*CEILING(G635/100,1)</f>
        <v>4.5</v>
      </c>
      <c r="Y635" s="61" t="n">
        <f aca="false">Resumo!$B$12*CEILING(G635,1)</f>
        <v>3.18</v>
      </c>
      <c r="Z635" s="61" t="n">
        <f aca="false">Resumo!$B$14*CEILING(G635,1)</f>
        <v>23.85</v>
      </c>
      <c r="AA635" s="61" t="n">
        <f aca="false">SUM(T635:Z635)</f>
        <v>146.72</v>
      </c>
      <c r="AB635" s="61" t="n">
        <f aca="false">AA635/(1-Resumo!$B$5)</f>
        <v>166.727272727273</v>
      </c>
      <c r="AC635" s="61" t="n">
        <f aca="false">AB635-S635</f>
        <v>39.3681818181818</v>
      </c>
      <c r="AD635" s="62" t="n">
        <f aca="false">AB635/S635-1</f>
        <v>0.309111674221064</v>
      </c>
      <c r="AE635" s="60" t="str">
        <f aca="false">IF(AB635&lt;S635,"SIM","NÃO")</f>
        <v>NÃO</v>
      </c>
      <c r="AF635" s="60" t="n">
        <v>2</v>
      </c>
      <c r="AG635" s="60" t="n">
        <v>5</v>
      </c>
      <c r="AH635" s="60" t="s">
        <v>382</v>
      </c>
      <c r="AI635" s="61" t="n">
        <f aca="false">(T635*(1-Painel!$C$40)+U635+V635+Painel!$C$41+Painel!$C$42*CEILING(G635/100,1)+Painel!$C$43*CEILING(G635,1)+Z635)/(1-Resumo!$B$5)</f>
        <v>117.080681818182</v>
      </c>
      <c r="AJ635" s="60" t="str">
        <f aca="false">IF(AI635&lt;S635,"SIM","NÃO")</f>
        <v>SIM</v>
      </c>
    </row>
    <row r="636" customFormat="false" ht="15" hidden="false" customHeight="false" outlineLevel="0" collapsed="false">
      <c r="A636" s="59" t="n">
        <v>46240.5867476852</v>
      </c>
      <c r="B636" s="60" t="s">
        <v>993</v>
      </c>
      <c r="C636" s="60" t="n">
        <v>21760001</v>
      </c>
      <c r="D636" s="60" t="s">
        <v>46</v>
      </c>
      <c r="E636" s="60" t="s">
        <v>22</v>
      </c>
      <c r="F636" s="60" t="s">
        <v>233</v>
      </c>
      <c r="G636" s="60" t="n">
        <v>27.4</v>
      </c>
      <c r="H636" s="61" t="n">
        <v>315.99</v>
      </c>
      <c r="I636" s="61" t="n">
        <v>42.11</v>
      </c>
      <c r="J636" s="61" t="n">
        <f aca="false">H636*Resumo!$C$6</f>
        <v>0</v>
      </c>
      <c r="K636" s="61" t="n">
        <f aca="false">H636*Resumo!$C$7</f>
        <v>0.663579</v>
      </c>
      <c r="L636" s="61" t="n">
        <f aca="false">H636*Resumo!$C$8</f>
        <v>0.663579</v>
      </c>
      <c r="M636" s="61" t="n">
        <f aca="false">Resumo!$C$10*CEILING(G636/100,1)</f>
        <v>1.05</v>
      </c>
      <c r="N636" s="61" t="n">
        <f aca="false">Resumo!$C$9</f>
        <v>0</v>
      </c>
      <c r="O636" s="61" t="n">
        <f aca="false">Resumo!$C$13</f>
        <v>13.55</v>
      </c>
      <c r="P636" s="61" t="n">
        <f aca="false">Resumo!$C$14*CEILING(G636,1)</f>
        <v>12.6</v>
      </c>
      <c r="Q636" s="61" t="n">
        <f aca="false">SUM(I636:P636)*Resumo!$C$11</f>
        <v>0</v>
      </c>
      <c r="R636" s="61" t="n">
        <f aca="false">SUM(I636:Q636)</f>
        <v>70.637158</v>
      </c>
      <c r="S636" s="61" t="n">
        <f aca="false">R636/(1-Resumo!$C$5)</f>
        <v>80.2694977272727</v>
      </c>
      <c r="T636" s="61" t="n">
        <v>82.21</v>
      </c>
      <c r="U636" s="61" t="n">
        <f aca="false">H636*Resumo!$B$6</f>
        <v>0.31599</v>
      </c>
      <c r="V636" s="61" t="n">
        <f aca="false">H636*Resumo!$B$7</f>
        <v>0.63198</v>
      </c>
      <c r="W636" s="61" t="n">
        <f aca="false">Resumo!$B$9</f>
        <v>1</v>
      </c>
      <c r="X636" s="61" t="n">
        <f aca="false">Resumo!$B$10*CEILING(G636/100,1)</f>
        <v>4.5</v>
      </c>
      <c r="Y636" s="61" t="n">
        <f aca="false">Resumo!$B$12*CEILING(G636,1)</f>
        <v>1.68</v>
      </c>
      <c r="Z636" s="61" t="n">
        <f aca="false">Resumo!$B$14*CEILING(G636,1)</f>
        <v>12.6</v>
      </c>
      <c r="AA636" s="61" t="n">
        <f aca="false">SUM(T636:Z636)</f>
        <v>102.93797</v>
      </c>
      <c r="AB636" s="61" t="n">
        <f aca="false">AA636/(1-Resumo!$B$5)</f>
        <v>116.974965909091</v>
      </c>
      <c r="AC636" s="61" t="n">
        <f aca="false">AB636-S636</f>
        <v>36.7054681818182</v>
      </c>
      <c r="AD636" s="62" t="n">
        <f aca="false">AB636/S636-1</f>
        <v>0.457277910303243</v>
      </c>
      <c r="AE636" s="60" t="str">
        <f aca="false">IF(AB636&lt;S636,"SIM","NÃO")</f>
        <v>NÃO</v>
      </c>
      <c r="AF636" s="60" t="n">
        <v>2</v>
      </c>
      <c r="AG636" s="60" t="n">
        <v>5</v>
      </c>
      <c r="AH636" s="60" t="s">
        <v>382</v>
      </c>
      <c r="AI636" s="61" t="n">
        <f aca="false">(T636*(1-Painel!$C$40)+U636+V636+Painel!$C$41+Painel!$C$42*CEILING(G636/100,1)+Painel!$C$43*CEILING(G636,1)+Z636)/(1-Resumo!$B$5)</f>
        <v>80.3166704545454</v>
      </c>
      <c r="AJ636" s="60" t="str">
        <f aca="false">IF(AI636&lt;S636,"SIM","NÃO")</f>
        <v>NÃO</v>
      </c>
    </row>
    <row r="637" customFormat="false" ht="15" hidden="false" customHeight="false" outlineLevel="0" collapsed="false">
      <c r="A637" s="59" t="n">
        <v>46240.6100115741</v>
      </c>
      <c r="B637" s="60" t="s">
        <v>994</v>
      </c>
      <c r="C637" s="60" t="n">
        <v>26381411</v>
      </c>
      <c r="D637" s="60" t="s">
        <v>282</v>
      </c>
      <c r="E637" s="60" t="s">
        <v>23</v>
      </c>
      <c r="F637" s="60" t="s">
        <v>238</v>
      </c>
      <c r="G637" s="60" t="n">
        <v>73</v>
      </c>
      <c r="H637" s="61" t="n">
        <v>827.99</v>
      </c>
      <c r="I637" s="61" t="n">
        <v>82.48</v>
      </c>
      <c r="J637" s="61" t="n">
        <f aca="false">H637*Resumo!$C$6</f>
        <v>0</v>
      </c>
      <c r="K637" s="61" t="n">
        <f aca="false">H637*Resumo!$C$7</f>
        <v>1.738779</v>
      </c>
      <c r="L637" s="61" t="n">
        <f aca="false">H637*Resumo!$C$8</f>
        <v>1.738779</v>
      </c>
      <c r="M637" s="61" t="n">
        <f aca="false">Resumo!$C$10*CEILING(G637/100,1)</f>
        <v>1.05</v>
      </c>
      <c r="N637" s="61" t="n">
        <f aca="false">Resumo!$C$9</f>
        <v>0</v>
      </c>
      <c r="O637" s="61" t="n">
        <f aca="false">Resumo!$C$13</f>
        <v>13.55</v>
      </c>
      <c r="P637" s="61" t="n">
        <f aca="false">Resumo!$C$14*CEILING(G637,1)</f>
        <v>32.85</v>
      </c>
      <c r="Q637" s="61" t="n">
        <f aca="false">SUM(I637:P637)*Resumo!$C$11</f>
        <v>0</v>
      </c>
      <c r="R637" s="61" t="n">
        <f aca="false">SUM(I637:Q637)</f>
        <v>133.407558</v>
      </c>
      <c r="S637" s="61" t="n">
        <f aca="false">R637/(1-Resumo!$C$5)</f>
        <v>151.599497727273</v>
      </c>
      <c r="T637" s="61" t="n">
        <v>134.39</v>
      </c>
      <c r="U637" s="61" t="n">
        <f aca="false">H637*Resumo!$B$6</f>
        <v>0.82799</v>
      </c>
      <c r="V637" s="61" t="n">
        <f aca="false">H637*Resumo!$B$7</f>
        <v>1.65598</v>
      </c>
      <c r="W637" s="61" t="n">
        <f aca="false">Resumo!$B$9</f>
        <v>1</v>
      </c>
      <c r="X637" s="61" t="n">
        <f aca="false">Resumo!$B$10*CEILING(G637/100,1)</f>
        <v>4.5</v>
      </c>
      <c r="Y637" s="61" t="n">
        <f aca="false">Resumo!$B$12*CEILING(G637,1)</f>
        <v>4.38</v>
      </c>
      <c r="Z637" s="61" t="n">
        <f aca="false">Resumo!$B$14*CEILING(G637,1)</f>
        <v>32.85</v>
      </c>
      <c r="AA637" s="61" t="n">
        <f aca="false">SUM(T637:Z637)</f>
        <v>179.60397</v>
      </c>
      <c r="AB637" s="61" t="n">
        <f aca="false">AA637/(1-Resumo!$B$5)</f>
        <v>204.095420454545</v>
      </c>
      <c r="AC637" s="61" t="n">
        <f aca="false">AB637-S637</f>
        <v>52.4959227272727</v>
      </c>
      <c r="AD637" s="62" t="n">
        <f aca="false">AB637/S637-1</f>
        <v>0.346280320939538</v>
      </c>
      <c r="AE637" s="60" t="str">
        <f aca="false">IF(AB637&lt;S637,"SIM","NÃO")</f>
        <v>NÃO</v>
      </c>
      <c r="AF637" s="60" t="n">
        <v>2</v>
      </c>
      <c r="AG637" s="60" t="n">
        <v>5</v>
      </c>
      <c r="AH637" s="60" t="s">
        <v>385</v>
      </c>
      <c r="AI637" s="61" t="n">
        <f aca="false">(T637*(1-Painel!$C$40)+U637+V637+Painel!$C$41+Painel!$C$42*CEILING(G637/100,1)+Painel!$C$43*CEILING(G637,1)+Z637)/(1-Resumo!$B$5)</f>
        <v>144.801443181818</v>
      </c>
      <c r="AJ637" s="60" t="str">
        <f aca="false">IF(AI637&lt;S637,"SIM","NÃO")</f>
        <v>SIM</v>
      </c>
    </row>
    <row r="638" customFormat="false" ht="15" hidden="false" customHeight="false" outlineLevel="0" collapsed="false">
      <c r="A638" s="59" t="n">
        <v>46240.6322569445</v>
      </c>
      <c r="B638" s="60" t="s">
        <v>995</v>
      </c>
      <c r="C638" s="60" t="n">
        <v>28990051</v>
      </c>
      <c r="D638" s="60" t="s">
        <v>341</v>
      </c>
      <c r="E638" s="60" t="s">
        <v>24</v>
      </c>
      <c r="F638" s="60" t="s">
        <v>233</v>
      </c>
      <c r="G638" s="60" t="n">
        <v>22.6</v>
      </c>
      <c r="H638" s="61" t="n">
        <v>475.99</v>
      </c>
      <c r="I638" s="61" t="n">
        <v>65.63</v>
      </c>
      <c r="J638" s="61" t="n">
        <f aca="false">H638*Resumo!$C$6</f>
        <v>0</v>
      </c>
      <c r="K638" s="61" t="n">
        <f aca="false">H638*Resumo!$C$7</f>
        <v>0.999579</v>
      </c>
      <c r="L638" s="61" t="n">
        <f aca="false">H638*Resumo!$C$8</f>
        <v>0.999579</v>
      </c>
      <c r="M638" s="61" t="n">
        <f aca="false">Resumo!$C$10*CEILING(G638/100,1)</f>
        <v>1.05</v>
      </c>
      <c r="N638" s="61" t="n">
        <f aca="false">Resumo!$C$9</f>
        <v>0</v>
      </c>
      <c r="O638" s="61" t="n">
        <f aca="false">Resumo!$C$13</f>
        <v>13.55</v>
      </c>
      <c r="P638" s="61" t="n">
        <f aca="false">Resumo!$C$14*CEILING(G638,1)</f>
        <v>10.35</v>
      </c>
      <c r="Q638" s="61" t="n">
        <f aca="false">SUM(I638:P638)*Resumo!$C$11</f>
        <v>0</v>
      </c>
      <c r="R638" s="61" t="n">
        <f aca="false">SUM(I638:Q638)</f>
        <v>92.579158</v>
      </c>
      <c r="S638" s="61" t="n">
        <f aca="false">R638/(1-Resumo!$C$5)</f>
        <v>105.203588636364</v>
      </c>
      <c r="T638" s="61" t="n">
        <v>114.95</v>
      </c>
      <c r="U638" s="61" t="n">
        <f aca="false">H638*Resumo!$B$6</f>
        <v>0.47599</v>
      </c>
      <c r="V638" s="61" t="n">
        <f aca="false">H638*Resumo!$B$7</f>
        <v>0.95198</v>
      </c>
      <c r="W638" s="61" t="n">
        <f aca="false">Resumo!$B$9</f>
        <v>1</v>
      </c>
      <c r="X638" s="61" t="n">
        <f aca="false">Resumo!$B$10*CEILING(G638/100,1)</f>
        <v>4.5</v>
      </c>
      <c r="Y638" s="61" t="n">
        <f aca="false">Resumo!$B$12*CEILING(G638,1)</f>
        <v>1.38</v>
      </c>
      <c r="Z638" s="61" t="n">
        <f aca="false">Resumo!$B$14*CEILING(G638,1)</f>
        <v>10.35</v>
      </c>
      <c r="AA638" s="61" t="n">
        <f aca="false">SUM(T638:Z638)</f>
        <v>133.60797</v>
      </c>
      <c r="AB638" s="61" t="n">
        <f aca="false">AA638/(1-Resumo!$B$5)</f>
        <v>151.827238636364</v>
      </c>
      <c r="AC638" s="61" t="n">
        <f aca="false">AB638-S638</f>
        <v>46.62365</v>
      </c>
      <c r="AD638" s="62" t="n">
        <f aca="false">AB638/S638-1</f>
        <v>0.443175471524595</v>
      </c>
      <c r="AE638" s="60" t="str">
        <f aca="false">IF(AB638&lt;S638,"SIM","NÃO")</f>
        <v>NÃO</v>
      </c>
      <c r="AF638" s="60" t="n">
        <v>13</v>
      </c>
      <c r="AG638" s="60" t="n">
        <v>10</v>
      </c>
      <c r="AH638" s="60" t="s">
        <v>385</v>
      </c>
      <c r="AI638" s="61" t="n">
        <f aca="false">(T638*(1-Painel!$C$40)+U638+V638+Painel!$C$41+Painel!$C$42*CEILING(G638/100,1)+Painel!$C$43*CEILING(G638,1)+Z638)/(1-Resumo!$B$5)</f>
        <v>103.232352272727</v>
      </c>
      <c r="AJ638" s="60" t="str">
        <f aca="false">IF(AI638&lt;S638,"SIM","NÃO")</f>
        <v>SIM</v>
      </c>
    </row>
    <row r="639" customFormat="false" ht="15" hidden="false" customHeight="false" outlineLevel="0" collapsed="false">
      <c r="A639" s="59" t="n">
        <v>46240.6406481482</v>
      </c>
      <c r="B639" s="60" t="s">
        <v>996</v>
      </c>
      <c r="C639" s="60" t="n">
        <v>24325020</v>
      </c>
      <c r="D639" s="60" t="s">
        <v>50</v>
      </c>
      <c r="E639" s="60" t="s">
        <v>23</v>
      </c>
      <c r="F639" s="60" t="s">
        <v>241</v>
      </c>
      <c r="G639" s="60" t="n">
        <v>124.2</v>
      </c>
      <c r="H639" s="61" t="n">
        <v>1558.09</v>
      </c>
      <c r="I639" s="61" t="n">
        <v>129.62</v>
      </c>
      <c r="J639" s="61" t="n">
        <f aca="false">H639*Resumo!$C$6</f>
        <v>0</v>
      </c>
      <c r="K639" s="61" t="n">
        <f aca="false">H639*Resumo!$C$7</f>
        <v>3.271989</v>
      </c>
      <c r="L639" s="61" t="n">
        <f aca="false">H639*Resumo!$C$8</f>
        <v>3.271989</v>
      </c>
      <c r="M639" s="61" t="n">
        <f aca="false">Resumo!$C$10*CEILING(G639/100,1)</f>
        <v>2.1</v>
      </c>
      <c r="N639" s="61" t="n">
        <f aca="false">Resumo!$C$9</f>
        <v>0</v>
      </c>
      <c r="O639" s="61" t="n">
        <f aca="false">Resumo!$C$13</f>
        <v>13.55</v>
      </c>
      <c r="P639" s="61" t="n">
        <f aca="false">Resumo!$C$14*CEILING(G639,1)</f>
        <v>56.25</v>
      </c>
      <c r="Q639" s="61" t="n">
        <f aca="false">SUM(I639:P639)*Resumo!$C$11</f>
        <v>0</v>
      </c>
      <c r="R639" s="61" t="n">
        <f aca="false">SUM(I639:Q639)</f>
        <v>208.063978</v>
      </c>
      <c r="S639" s="61" t="n">
        <f aca="false">R639/(1-Resumo!$C$5)</f>
        <v>236.436338636364</v>
      </c>
      <c r="T639" s="61" t="n">
        <v>249.03</v>
      </c>
      <c r="U639" s="61" t="n">
        <f aca="false">H639*Resumo!$B$6</f>
        <v>1.55809</v>
      </c>
      <c r="V639" s="61" t="n">
        <f aca="false">H639*Resumo!$B$7</f>
        <v>3.11618</v>
      </c>
      <c r="W639" s="61" t="n">
        <f aca="false">Resumo!$B$9</f>
        <v>1</v>
      </c>
      <c r="X639" s="61" t="n">
        <f aca="false">Resumo!$B$10*CEILING(G639/100,1)</f>
        <v>9</v>
      </c>
      <c r="Y639" s="61" t="n">
        <f aca="false">Resumo!$B$12*CEILING(G639,1)</f>
        <v>7.5</v>
      </c>
      <c r="Z639" s="61" t="n">
        <f aca="false">Resumo!$B$14*CEILING(G639,1)</f>
        <v>56.25</v>
      </c>
      <c r="AA639" s="61" t="n">
        <f aca="false">SUM(T639:Z639)</f>
        <v>327.45427</v>
      </c>
      <c r="AB639" s="61" t="n">
        <f aca="false">AA639/(1-Resumo!$B$5)</f>
        <v>372.107125</v>
      </c>
      <c r="AC639" s="61" t="n">
        <f aca="false">AB639-S639</f>
        <v>135.670786363636</v>
      </c>
      <c r="AD639" s="62" t="n">
        <f aca="false">AB639/S639-1</f>
        <v>0.573815290602586</v>
      </c>
      <c r="AE639" s="60" t="str">
        <f aca="false">IF(AB639&lt;S639,"SIM","NÃO")</f>
        <v>NÃO</v>
      </c>
      <c r="AF639" s="60" t="n">
        <v>2</v>
      </c>
      <c r="AG639" s="60" t="n">
        <v>7</v>
      </c>
      <c r="AH639" s="60" t="s">
        <v>382</v>
      </c>
      <c r="AI639" s="61" t="n">
        <f aca="false">(T639*(1-Painel!$C$40)+U639+V639+Painel!$C$41+Painel!$C$42*CEILING(G639/100,1)+Painel!$C$43*CEILING(G639,1)+Z639)/(1-Resumo!$B$5)</f>
        <v>262.357238636364</v>
      </c>
      <c r="AJ639" s="60" t="str">
        <f aca="false">IF(AI639&lt;S639,"SIM","NÃO")</f>
        <v>NÃO</v>
      </c>
    </row>
    <row r="640" customFormat="false" ht="15" hidden="false" customHeight="false" outlineLevel="0" collapsed="false">
      <c r="A640" s="59" t="n">
        <v>46240.655462963</v>
      </c>
      <c r="B640" s="60" t="s">
        <v>997</v>
      </c>
      <c r="C640" s="60" t="n">
        <v>28972872</v>
      </c>
      <c r="D640" s="60" t="s">
        <v>222</v>
      </c>
      <c r="E640" s="60" t="s">
        <v>24</v>
      </c>
      <c r="F640" s="60" t="s">
        <v>234</v>
      </c>
      <c r="G640" s="60" t="n">
        <v>35.4</v>
      </c>
      <c r="H640" s="61" t="n">
        <v>466.06</v>
      </c>
      <c r="I640" s="61" t="n">
        <v>74.97</v>
      </c>
      <c r="J640" s="61" t="n">
        <f aca="false">H640*Resumo!$C$6</f>
        <v>0</v>
      </c>
      <c r="K640" s="61" t="n">
        <f aca="false">H640*Resumo!$C$7</f>
        <v>0.978726</v>
      </c>
      <c r="L640" s="61" t="n">
        <f aca="false">H640*Resumo!$C$8</f>
        <v>0.978726</v>
      </c>
      <c r="M640" s="61" t="n">
        <f aca="false">Resumo!$C$10*CEILING(G640/100,1)</f>
        <v>1.05</v>
      </c>
      <c r="N640" s="61" t="n">
        <f aca="false">Resumo!$C$9</f>
        <v>0</v>
      </c>
      <c r="O640" s="61" t="n">
        <f aca="false">Resumo!$C$13</f>
        <v>13.55</v>
      </c>
      <c r="P640" s="61" t="n">
        <f aca="false">Resumo!$C$14*CEILING(G640,1)</f>
        <v>16.2</v>
      </c>
      <c r="Q640" s="61" t="n">
        <f aca="false">SUM(I640:P640)*Resumo!$C$11</f>
        <v>0</v>
      </c>
      <c r="R640" s="61" t="n">
        <f aca="false">SUM(I640:Q640)</f>
        <v>107.727452</v>
      </c>
      <c r="S640" s="61" t="n">
        <f aca="false">R640/(1-Resumo!$C$5)</f>
        <v>122.417559090909</v>
      </c>
      <c r="T640" s="61" t="n">
        <v>124.38</v>
      </c>
      <c r="U640" s="61" t="n">
        <f aca="false">H640*Resumo!$B$6</f>
        <v>0.46606</v>
      </c>
      <c r="V640" s="61" t="n">
        <f aca="false">H640*Resumo!$B$7</f>
        <v>0.93212</v>
      </c>
      <c r="W640" s="61" t="n">
        <f aca="false">Resumo!$B$9</f>
        <v>1</v>
      </c>
      <c r="X640" s="61" t="n">
        <f aca="false">Resumo!$B$10*CEILING(G640/100,1)</f>
        <v>4.5</v>
      </c>
      <c r="Y640" s="61" t="n">
        <f aca="false">Resumo!$B$12*CEILING(G640,1)</f>
        <v>2.16</v>
      </c>
      <c r="Z640" s="61" t="n">
        <f aca="false">Resumo!$B$14*CEILING(G640,1)</f>
        <v>16.2</v>
      </c>
      <c r="AA640" s="61" t="n">
        <f aca="false">SUM(T640:Z640)</f>
        <v>149.63818</v>
      </c>
      <c r="AB640" s="61" t="n">
        <f aca="false">AA640/(1-Resumo!$B$5)</f>
        <v>170.043386363636</v>
      </c>
      <c r="AC640" s="61" t="n">
        <f aca="false">AB640-S640</f>
        <v>47.6258272727272</v>
      </c>
      <c r="AD640" s="62" t="n">
        <f aca="false">AB640/S640-1</f>
        <v>0.389044085067565</v>
      </c>
      <c r="AE640" s="60" t="str">
        <f aca="false">IF(AB640&lt;S640,"SIM","NÃO")</f>
        <v>NÃO</v>
      </c>
      <c r="AF640" s="60" t="n">
        <v>13</v>
      </c>
      <c r="AG640" s="60" t="n">
        <v>10</v>
      </c>
      <c r="AH640" s="60" t="s">
        <v>382</v>
      </c>
      <c r="AI640" s="61" t="n">
        <f aca="false">(T640*(1-Painel!$C$40)+U640+V640+Painel!$C$41+Painel!$C$42*CEILING(G640/100,1)+Painel!$C$43*CEILING(G640,1)+Z640)/(1-Resumo!$B$5)</f>
        <v>117.025886363636</v>
      </c>
      <c r="AJ640" s="60" t="str">
        <f aca="false">IF(AI640&lt;S640,"SIM","NÃO")</f>
        <v>SIM</v>
      </c>
    </row>
    <row r="641" customFormat="false" ht="15" hidden="false" customHeight="false" outlineLevel="0" collapsed="false">
      <c r="A641" s="59" t="n">
        <v>46240.6790393519</v>
      </c>
      <c r="B641" s="60" t="s">
        <v>998</v>
      </c>
      <c r="C641" s="60" t="n">
        <v>25525720</v>
      </c>
      <c r="D641" s="60" t="s">
        <v>216</v>
      </c>
      <c r="E641" s="60" t="s">
        <v>23</v>
      </c>
      <c r="F641" s="60" t="s">
        <v>234</v>
      </c>
      <c r="G641" s="60" t="n">
        <v>37.2</v>
      </c>
      <c r="H641" s="61" t="n">
        <v>459.99</v>
      </c>
      <c r="I641" s="61" t="n">
        <v>66.83</v>
      </c>
      <c r="J641" s="61" t="n">
        <f aca="false">H641*Resumo!$C$6</f>
        <v>0</v>
      </c>
      <c r="K641" s="61" t="n">
        <f aca="false">H641*Resumo!$C$7</f>
        <v>0.965979</v>
      </c>
      <c r="L641" s="61" t="n">
        <f aca="false">H641*Resumo!$C$8</f>
        <v>0.965979</v>
      </c>
      <c r="M641" s="61" t="n">
        <f aca="false">Resumo!$C$10*CEILING(G641/100,1)</f>
        <v>1.05</v>
      </c>
      <c r="N641" s="61" t="n">
        <f aca="false">Resumo!$C$9</f>
        <v>0</v>
      </c>
      <c r="O641" s="61" t="n">
        <f aca="false">Resumo!$C$13</f>
        <v>13.55</v>
      </c>
      <c r="P641" s="61" t="n">
        <f aca="false">Resumo!$C$14*CEILING(G641,1)</f>
        <v>17.1</v>
      </c>
      <c r="Q641" s="61" t="n">
        <f aca="false">SUM(I641:P641)*Resumo!$C$11</f>
        <v>0</v>
      </c>
      <c r="R641" s="61" t="n">
        <f aca="false">SUM(I641:Q641)</f>
        <v>100.461958</v>
      </c>
      <c r="S641" s="61" t="n">
        <f aca="false">R641/(1-Resumo!$C$5)</f>
        <v>114.161315909091</v>
      </c>
      <c r="T641" s="61" t="n">
        <v>93.97</v>
      </c>
      <c r="U641" s="61" t="n">
        <f aca="false">H641*Resumo!$B$6</f>
        <v>0.45999</v>
      </c>
      <c r="V641" s="61" t="n">
        <f aca="false">H641*Resumo!$B$7</f>
        <v>0.91998</v>
      </c>
      <c r="W641" s="61" t="n">
        <f aca="false">Resumo!$B$9</f>
        <v>1</v>
      </c>
      <c r="X641" s="61" t="n">
        <f aca="false">Resumo!$B$10*CEILING(G641/100,1)</f>
        <v>4.5</v>
      </c>
      <c r="Y641" s="61" t="n">
        <f aca="false">Resumo!$B$12*CEILING(G641,1)</f>
        <v>2.28</v>
      </c>
      <c r="Z641" s="61" t="n">
        <f aca="false">Resumo!$B$14*CEILING(G641,1)</f>
        <v>17.1</v>
      </c>
      <c r="AA641" s="61" t="n">
        <f aca="false">SUM(T641:Z641)</f>
        <v>120.22997</v>
      </c>
      <c r="AB641" s="61" t="n">
        <f aca="false">AA641/(1-Resumo!$B$5)</f>
        <v>136.624965909091</v>
      </c>
      <c r="AC641" s="61" t="n">
        <f aca="false">AB641-S641</f>
        <v>22.46365</v>
      </c>
      <c r="AD641" s="62" t="n">
        <f aca="false">AB641/S641-1</f>
        <v>0.196771120069151</v>
      </c>
      <c r="AE641" s="60" t="str">
        <f aca="false">IF(AB641&lt;S641,"SIM","NÃO")</f>
        <v>NÃO</v>
      </c>
      <c r="AF641" s="60" t="n">
        <v>2</v>
      </c>
      <c r="AG641" s="60" t="n">
        <v>5</v>
      </c>
      <c r="AH641" s="60" t="s">
        <v>382</v>
      </c>
      <c r="AI641" s="61" t="n">
        <f aca="false">(T641*(1-Painel!$C$40)+U641+V641+Painel!$C$41+Painel!$C$42*CEILING(G641/100,1)+Painel!$C$43*CEILING(G641,1)+Z641)/(1-Resumo!$B$5)</f>
        <v>94.8748522727273</v>
      </c>
      <c r="AJ641" s="60" t="str">
        <f aca="false">IF(AI641&lt;S641,"SIM","NÃO")</f>
        <v>SIM</v>
      </c>
    </row>
    <row r="642" customFormat="false" ht="15" hidden="false" customHeight="false" outlineLevel="0" collapsed="false">
      <c r="A642" s="59" t="n">
        <v>46240.7103703704</v>
      </c>
      <c r="B642" s="60" t="s">
        <v>999</v>
      </c>
      <c r="C642" s="60" t="n">
        <v>23555220</v>
      </c>
      <c r="D642" s="60" t="s">
        <v>46</v>
      </c>
      <c r="E642" s="60" t="s">
        <v>22</v>
      </c>
      <c r="F642" s="60" t="s">
        <v>234</v>
      </c>
      <c r="G642" s="60" t="n">
        <v>36.8</v>
      </c>
      <c r="H642" s="61" t="n">
        <v>449.99</v>
      </c>
      <c r="I642" s="61" t="n">
        <v>48.35</v>
      </c>
      <c r="J642" s="61" t="n">
        <f aca="false">H642*Resumo!$C$6</f>
        <v>0</v>
      </c>
      <c r="K642" s="61" t="n">
        <f aca="false">H642*Resumo!$C$7</f>
        <v>0.944979</v>
      </c>
      <c r="L642" s="61" t="n">
        <f aca="false">H642*Resumo!$C$8</f>
        <v>0.944979</v>
      </c>
      <c r="M642" s="61" t="n">
        <f aca="false">Resumo!$C$10*CEILING(G642/100,1)</f>
        <v>1.05</v>
      </c>
      <c r="N642" s="61" t="n">
        <f aca="false">Resumo!$C$9</f>
        <v>0</v>
      </c>
      <c r="O642" s="61" t="n">
        <f aca="false">Resumo!$C$13</f>
        <v>13.55</v>
      </c>
      <c r="P642" s="61" t="n">
        <f aca="false">Resumo!$C$14*CEILING(G642,1)</f>
        <v>16.65</v>
      </c>
      <c r="Q642" s="61" t="n">
        <f aca="false">SUM(I642:P642)*Resumo!$C$11</f>
        <v>0</v>
      </c>
      <c r="R642" s="61" t="n">
        <f aca="false">SUM(I642:Q642)</f>
        <v>81.489958</v>
      </c>
      <c r="S642" s="61" t="n">
        <f aca="false">R642/(1-Resumo!$C$5)</f>
        <v>92.602225</v>
      </c>
      <c r="T642" s="61" t="n">
        <v>93.97</v>
      </c>
      <c r="U642" s="61" t="n">
        <f aca="false">H642*Resumo!$B$6</f>
        <v>0.44999</v>
      </c>
      <c r="V642" s="61" t="n">
        <f aca="false">H642*Resumo!$B$7</f>
        <v>0.89998</v>
      </c>
      <c r="W642" s="61" t="n">
        <f aca="false">Resumo!$B$9</f>
        <v>1</v>
      </c>
      <c r="X642" s="61" t="n">
        <f aca="false">Resumo!$B$10*CEILING(G642/100,1)</f>
        <v>4.5</v>
      </c>
      <c r="Y642" s="61" t="n">
        <f aca="false">Resumo!$B$12*CEILING(G642,1)</f>
        <v>2.22</v>
      </c>
      <c r="Z642" s="61" t="n">
        <f aca="false">Resumo!$B$14*CEILING(G642,1)</f>
        <v>16.65</v>
      </c>
      <c r="AA642" s="61" t="n">
        <f aca="false">SUM(T642:Z642)</f>
        <v>119.68997</v>
      </c>
      <c r="AB642" s="61" t="n">
        <f aca="false">AA642/(1-Resumo!$B$5)</f>
        <v>136.011329545455</v>
      </c>
      <c r="AC642" s="61" t="n">
        <f aca="false">AB642-S642</f>
        <v>43.4091045454545</v>
      </c>
      <c r="AD642" s="62" t="n">
        <f aca="false">AB642/S642-1</f>
        <v>0.468769562993271</v>
      </c>
      <c r="AE642" s="60" t="str">
        <f aca="false">IF(AB642&lt;S642,"SIM","NÃO")</f>
        <v>NÃO</v>
      </c>
      <c r="AF642" s="60" t="n">
        <v>2</v>
      </c>
      <c r="AG642" s="60" t="n">
        <v>5</v>
      </c>
      <c r="AH642" s="60" t="s">
        <v>382</v>
      </c>
      <c r="AI642" s="61" t="n">
        <f aca="false">(T642*(1-Painel!$C$40)+U642+V642+Painel!$C$41+Painel!$C$42*CEILING(G642/100,1)+Painel!$C$43*CEILING(G642,1)+Z642)/(1-Resumo!$B$5)</f>
        <v>94.3293977272727</v>
      </c>
      <c r="AJ642" s="60" t="str">
        <f aca="false">IF(AI642&lt;S642,"SIM","NÃO")</f>
        <v>NÃO</v>
      </c>
    </row>
    <row r="643" customFormat="false" ht="15" hidden="false" customHeight="false" outlineLevel="0" collapsed="false">
      <c r="A643" s="59" t="n">
        <v>46240.7307175926</v>
      </c>
      <c r="B643" s="60" t="s">
        <v>1000</v>
      </c>
      <c r="C643" s="60" t="n">
        <v>28985225</v>
      </c>
      <c r="D643" s="60" t="s">
        <v>222</v>
      </c>
      <c r="E643" s="60" t="s">
        <v>24</v>
      </c>
      <c r="F643" s="60" t="s">
        <v>237</v>
      </c>
      <c r="G643" s="60" t="n">
        <v>63.9</v>
      </c>
      <c r="H643" s="61" t="n">
        <v>735.99</v>
      </c>
      <c r="I643" s="61" t="n">
        <v>90.2</v>
      </c>
      <c r="J643" s="61" t="n">
        <f aca="false">H643*Resumo!$C$6</f>
        <v>0</v>
      </c>
      <c r="K643" s="61" t="n">
        <f aca="false">H643*Resumo!$C$7</f>
        <v>1.545579</v>
      </c>
      <c r="L643" s="61" t="n">
        <f aca="false">H643*Resumo!$C$8</f>
        <v>1.545579</v>
      </c>
      <c r="M643" s="61" t="n">
        <f aca="false">Resumo!$C$10*CEILING(G643/100,1)</f>
        <v>1.05</v>
      </c>
      <c r="N643" s="61" t="n">
        <f aca="false">Resumo!$C$9</f>
        <v>0</v>
      </c>
      <c r="O643" s="61" t="n">
        <f aca="false">Resumo!$C$13</f>
        <v>13.55</v>
      </c>
      <c r="P643" s="61" t="n">
        <f aca="false">Resumo!$C$14*CEILING(G643,1)</f>
        <v>28.8</v>
      </c>
      <c r="Q643" s="61" t="n">
        <f aca="false">SUM(I643:P643)*Resumo!$C$11</f>
        <v>0</v>
      </c>
      <c r="R643" s="61" t="n">
        <f aca="false">SUM(I643:Q643)</f>
        <v>136.691158</v>
      </c>
      <c r="S643" s="61" t="n">
        <f aca="false">R643/(1-Resumo!$C$5)</f>
        <v>155.330861363636</v>
      </c>
      <c r="T643" s="61" t="n">
        <v>166.05</v>
      </c>
      <c r="U643" s="61" t="n">
        <f aca="false">H643*Resumo!$B$6</f>
        <v>0.73599</v>
      </c>
      <c r="V643" s="61" t="n">
        <f aca="false">H643*Resumo!$B$7</f>
        <v>1.47198</v>
      </c>
      <c r="W643" s="61" t="n">
        <f aca="false">Resumo!$B$9</f>
        <v>1</v>
      </c>
      <c r="X643" s="61" t="n">
        <f aca="false">Resumo!$B$10*CEILING(G643/100,1)</f>
        <v>4.5</v>
      </c>
      <c r="Y643" s="61" t="n">
        <f aca="false">Resumo!$B$12*CEILING(G643,1)</f>
        <v>3.84</v>
      </c>
      <c r="Z643" s="61" t="n">
        <f aca="false">Resumo!$B$14*CEILING(G643,1)</f>
        <v>28.8</v>
      </c>
      <c r="AA643" s="61" t="n">
        <f aca="false">SUM(T643:Z643)</f>
        <v>206.39797</v>
      </c>
      <c r="AB643" s="61" t="n">
        <f aca="false">AA643/(1-Resumo!$B$5)</f>
        <v>234.543147727273</v>
      </c>
      <c r="AC643" s="61" t="n">
        <f aca="false">AB643-S643</f>
        <v>79.2122863636364</v>
      </c>
      <c r="AD643" s="62" t="n">
        <f aca="false">AB643/S643-1</f>
        <v>0.509958456859368</v>
      </c>
      <c r="AE643" s="60" t="str">
        <f aca="false">IF(AB643&lt;S643,"SIM","NÃO")</f>
        <v>NÃO</v>
      </c>
      <c r="AF643" s="60" t="n">
        <v>13</v>
      </c>
      <c r="AG643" s="60" t="n">
        <v>10</v>
      </c>
      <c r="AH643" s="60" t="s">
        <v>382</v>
      </c>
      <c r="AI643" s="61" t="n">
        <f aca="false">(T643*(1-Painel!$C$40)+U643+V643+Painel!$C$41+Painel!$C$42*CEILING(G643/100,1)+Painel!$C$43*CEILING(G643,1)+Z643)/(1-Resumo!$B$5)</f>
        <v>163.990306818182</v>
      </c>
      <c r="AJ643" s="60" t="str">
        <f aca="false">IF(AI643&lt;S643,"SIM","NÃO")</f>
        <v>NÃO</v>
      </c>
    </row>
    <row r="644" customFormat="false" ht="15" hidden="false" customHeight="false" outlineLevel="0" collapsed="false">
      <c r="A644" s="59" t="n">
        <v>46240.7421527778</v>
      </c>
      <c r="B644" s="60" t="s">
        <v>1001</v>
      </c>
      <c r="C644" s="60" t="n">
        <v>21740030</v>
      </c>
      <c r="D644" s="60" t="s">
        <v>46</v>
      </c>
      <c r="E644" s="60" t="s">
        <v>22</v>
      </c>
      <c r="F644" s="60" t="s">
        <v>232</v>
      </c>
      <c r="G644" s="60" t="n">
        <v>8</v>
      </c>
      <c r="H644" s="61" t="n">
        <v>155.1</v>
      </c>
      <c r="I644" s="61" t="n">
        <v>33.42</v>
      </c>
      <c r="J644" s="61" t="n">
        <f aca="false">H644*Resumo!$C$6</f>
        <v>0</v>
      </c>
      <c r="K644" s="61" t="n">
        <f aca="false">H644*Resumo!$C$7</f>
        <v>0.32571</v>
      </c>
      <c r="L644" s="61" t="n">
        <f aca="false">H644*Resumo!$C$8</f>
        <v>0.32571</v>
      </c>
      <c r="M644" s="61" t="n">
        <f aca="false">Resumo!$C$10*CEILING(G644/100,1)</f>
        <v>1.05</v>
      </c>
      <c r="N644" s="61" t="n">
        <f aca="false">Resumo!$C$9</f>
        <v>0</v>
      </c>
      <c r="O644" s="61" t="n">
        <f aca="false">Resumo!$C$13</f>
        <v>13.55</v>
      </c>
      <c r="P644" s="61" t="n">
        <f aca="false">Resumo!$C$14*CEILING(G644,1)</f>
        <v>3.6</v>
      </c>
      <c r="Q644" s="61" t="n">
        <f aca="false">SUM(I644:P644)*Resumo!$C$11</f>
        <v>0</v>
      </c>
      <c r="R644" s="61" t="n">
        <f aca="false">SUM(I644:Q644)</f>
        <v>52.27142</v>
      </c>
      <c r="S644" s="61" t="n">
        <f aca="false">R644/(1-Resumo!$C$5)</f>
        <v>59.3993409090909</v>
      </c>
      <c r="T644" s="61" t="n">
        <v>46.98</v>
      </c>
      <c r="U644" s="61" t="n">
        <f aca="false">H644*Resumo!$B$6</f>
        <v>0.1551</v>
      </c>
      <c r="V644" s="61" t="n">
        <f aca="false">H644*Resumo!$B$7</f>
        <v>0.3102</v>
      </c>
      <c r="W644" s="61" t="n">
        <f aca="false">Resumo!$B$9</f>
        <v>1</v>
      </c>
      <c r="X644" s="61" t="n">
        <f aca="false">Resumo!$B$10*CEILING(G644/100,1)</f>
        <v>4.5</v>
      </c>
      <c r="Y644" s="61" t="n">
        <f aca="false">Resumo!$B$12*CEILING(G644,1)</f>
        <v>0.48</v>
      </c>
      <c r="Z644" s="61" t="n">
        <f aca="false">Resumo!$B$14*CEILING(G644,1)</f>
        <v>3.6</v>
      </c>
      <c r="AA644" s="61" t="n">
        <f aca="false">SUM(T644:Z644)</f>
        <v>57.0253</v>
      </c>
      <c r="AB644" s="61" t="n">
        <f aca="false">AA644/(1-Resumo!$B$5)</f>
        <v>64.8014772727273</v>
      </c>
      <c r="AC644" s="61" t="n">
        <f aca="false">AB644-S644</f>
        <v>5.40213636363635</v>
      </c>
      <c r="AD644" s="62" t="n">
        <f aca="false">AB644/S644-1</f>
        <v>0.0909460657468266</v>
      </c>
      <c r="AE644" s="60" t="str">
        <f aca="false">IF(AB644&lt;S644,"SIM","NÃO")</f>
        <v>NÃO</v>
      </c>
      <c r="AF644" s="60" t="n">
        <v>2</v>
      </c>
      <c r="AG644" s="60" t="n">
        <v>5</v>
      </c>
      <c r="AH644" s="60" t="s">
        <v>382</v>
      </c>
      <c r="AI644" s="61" t="n">
        <f aca="false">(T644*(1-Painel!$C$40)+U644+V644+Painel!$C$41+Painel!$C$42*CEILING(G644/100,1)+Painel!$C$43*CEILING(G644,1)+Z644)/(1-Resumo!$B$5)</f>
        <v>42.7180681818182</v>
      </c>
      <c r="AJ644" s="60" t="str">
        <f aca="false">IF(AI644&lt;S644,"SIM","NÃO")</f>
        <v>SIM</v>
      </c>
    </row>
    <row r="645" customFormat="false" ht="15" hidden="false" customHeight="false" outlineLevel="0" collapsed="false">
      <c r="A645" s="59" t="n">
        <v>46240.7459027778</v>
      </c>
      <c r="B645" s="60" t="s">
        <v>1002</v>
      </c>
      <c r="C645" s="60" t="n">
        <v>23030300</v>
      </c>
      <c r="D645" s="60" t="s">
        <v>46</v>
      </c>
      <c r="E645" s="60" t="s">
        <v>22</v>
      </c>
      <c r="F645" s="60" t="s">
        <v>234</v>
      </c>
      <c r="G645" s="60" t="n">
        <v>37.2</v>
      </c>
      <c r="H645" s="61" t="n">
        <v>419.99</v>
      </c>
      <c r="I645" s="61" t="n">
        <v>48.35</v>
      </c>
      <c r="J645" s="61" t="n">
        <f aca="false">H645*Resumo!$C$6</f>
        <v>0</v>
      </c>
      <c r="K645" s="61" t="n">
        <f aca="false">H645*Resumo!$C$7</f>
        <v>0.881979</v>
      </c>
      <c r="L645" s="61" t="n">
        <f aca="false">H645*Resumo!$C$8</f>
        <v>0.881979</v>
      </c>
      <c r="M645" s="61" t="n">
        <f aca="false">Resumo!$C$10*CEILING(G645/100,1)</f>
        <v>1.05</v>
      </c>
      <c r="N645" s="61" t="n">
        <f aca="false">Resumo!$C$9</f>
        <v>0</v>
      </c>
      <c r="O645" s="61" t="n">
        <f aca="false">Resumo!$C$13</f>
        <v>13.55</v>
      </c>
      <c r="P645" s="61" t="n">
        <f aca="false">Resumo!$C$14*CEILING(G645,1)</f>
        <v>17.1</v>
      </c>
      <c r="Q645" s="61" t="n">
        <f aca="false">SUM(I645:P645)*Resumo!$C$11</f>
        <v>0</v>
      </c>
      <c r="R645" s="61" t="n">
        <f aca="false">SUM(I645:Q645)</f>
        <v>81.813958</v>
      </c>
      <c r="S645" s="61" t="n">
        <f aca="false">R645/(1-Resumo!$C$5)</f>
        <v>92.9704068181818</v>
      </c>
      <c r="T645" s="61" t="n">
        <v>93.97</v>
      </c>
      <c r="U645" s="61" t="n">
        <f aca="false">H645*Resumo!$B$6</f>
        <v>0.41999</v>
      </c>
      <c r="V645" s="61" t="n">
        <f aca="false">H645*Resumo!$B$7</f>
        <v>0.83998</v>
      </c>
      <c r="W645" s="61" t="n">
        <f aca="false">Resumo!$B$9</f>
        <v>1</v>
      </c>
      <c r="X645" s="61" t="n">
        <f aca="false">Resumo!$B$10*CEILING(G645/100,1)</f>
        <v>4.5</v>
      </c>
      <c r="Y645" s="61" t="n">
        <f aca="false">Resumo!$B$12*CEILING(G645,1)</f>
        <v>2.28</v>
      </c>
      <c r="Z645" s="61" t="n">
        <f aca="false">Resumo!$B$14*CEILING(G645,1)</f>
        <v>17.1</v>
      </c>
      <c r="AA645" s="61" t="n">
        <f aca="false">SUM(T645:Z645)</f>
        <v>120.10997</v>
      </c>
      <c r="AB645" s="61" t="n">
        <f aca="false">AA645/(1-Resumo!$B$5)</f>
        <v>136.488602272727</v>
      </c>
      <c r="AC645" s="61" t="n">
        <f aca="false">AB645-S645</f>
        <v>43.5181954545454</v>
      </c>
      <c r="AD645" s="62" t="n">
        <f aca="false">AB645/S645-1</f>
        <v>0.468086533596138</v>
      </c>
      <c r="AE645" s="60" t="str">
        <f aca="false">IF(AB645&lt;S645,"SIM","NÃO")</f>
        <v>NÃO</v>
      </c>
      <c r="AF645" s="60" t="n">
        <v>2</v>
      </c>
      <c r="AG645" s="60" t="n">
        <v>5</v>
      </c>
      <c r="AH645" s="60" t="s">
        <v>382</v>
      </c>
      <c r="AI645" s="61" t="n">
        <f aca="false">(T645*(1-Painel!$C$40)+U645+V645+Painel!$C$41+Painel!$C$42*CEILING(G645/100,1)+Painel!$C$43*CEILING(G645,1)+Z645)/(1-Resumo!$B$5)</f>
        <v>94.7384886363636</v>
      </c>
      <c r="AJ645" s="60" t="str">
        <f aca="false">IF(AI645&lt;S645,"SIM","NÃO")</f>
        <v>NÃO</v>
      </c>
    </row>
    <row r="646" customFormat="false" ht="15" hidden="false" customHeight="false" outlineLevel="0" collapsed="false">
      <c r="A646" s="59" t="n">
        <v>46240.7543518519</v>
      </c>
      <c r="B646" s="60" t="s">
        <v>1003</v>
      </c>
      <c r="C646" s="60" t="n">
        <v>26042450</v>
      </c>
      <c r="D646" s="60" t="s">
        <v>49</v>
      </c>
      <c r="E646" s="60" t="s">
        <v>23</v>
      </c>
      <c r="F646" s="60" t="s">
        <v>236</v>
      </c>
      <c r="G646" s="60" t="n">
        <v>60</v>
      </c>
      <c r="H646" s="61" t="n">
        <v>899.99</v>
      </c>
      <c r="I646" s="61" t="n">
        <v>70.98</v>
      </c>
      <c r="J646" s="61" t="n">
        <f aca="false">H646*Resumo!$C$6</f>
        <v>0</v>
      </c>
      <c r="K646" s="61" t="n">
        <f aca="false">H646*Resumo!$C$7</f>
        <v>1.889979</v>
      </c>
      <c r="L646" s="61" t="n">
        <f aca="false">H646*Resumo!$C$8</f>
        <v>1.889979</v>
      </c>
      <c r="M646" s="61" t="n">
        <f aca="false">Resumo!$C$10*CEILING(G646/100,1)</f>
        <v>1.05</v>
      </c>
      <c r="N646" s="61" t="n">
        <f aca="false">Resumo!$C$9</f>
        <v>0</v>
      </c>
      <c r="O646" s="61" t="n">
        <f aca="false">Resumo!$C$13</f>
        <v>13.55</v>
      </c>
      <c r="P646" s="61" t="n">
        <f aca="false">Resumo!$C$14*CEILING(G646,1)</f>
        <v>27</v>
      </c>
      <c r="Q646" s="61" t="n">
        <f aca="false">SUM(I646:P646)*Resumo!$C$11</f>
        <v>0</v>
      </c>
      <c r="R646" s="61" t="n">
        <f aca="false">SUM(I646:Q646)</f>
        <v>116.359958</v>
      </c>
      <c r="S646" s="61" t="n">
        <f aca="false">R646/(1-Resumo!$C$5)</f>
        <v>132.227225</v>
      </c>
      <c r="T646" s="61" t="n">
        <v>112.3</v>
      </c>
      <c r="U646" s="61" t="n">
        <f aca="false">H646*Resumo!$B$6</f>
        <v>0.89999</v>
      </c>
      <c r="V646" s="61" t="n">
        <f aca="false">H646*Resumo!$B$7</f>
        <v>1.79998</v>
      </c>
      <c r="W646" s="61" t="n">
        <f aca="false">Resumo!$B$9</f>
        <v>1</v>
      </c>
      <c r="X646" s="61" t="n">
        <f aca="false">Resumo!$B$10*CEILING(G646/100,1)</f>
        <v>4.5</v>
      </c>
      <c r="Y646" s="61" t="n">
        <f aca="false">Resumo!$B$12*CEILING(G646,1)</f>
        <v>3.6</v>
      </c>
      <c r="Z646" s="61" t="n">
        <f aca="false">Resumo!$B$14*CEILING(G646,1)</f>
        <v>27</v>
      </c>
      <c r="AA646" s="61" t="n">
        <f aca="false">SUM(T646:Z646)</f>
        <v>151.09997</v>
      </c>
      <c r="AB646" s="61" t="n">
        <f aca="false">AA646/(1-Resumo!$B$5)</f>
        <v>171.704511363636</v>
      </c>
      <c r="AC646" s="61" t="n">
        <f aca="false">AB646-S646</f>
        <v>39.4772863636364</v>
      </c>
      <c r="AD646" s="62" t="n">
        <f aca="false">AB646/S646-1</f>
        <v>0.298556415773199</v>
      </c>
      <c r="AE646" s="60" t="str">
        <f aca="false">IF(AB646&lt;S646,"SIM","NÃO")</f>
        <v>NÃO</v>
      </c>
      <c r="AF646" s="60" t="n">
        <v>2</v>
      </c>
      <c r="AG646" s="60" t="n">
        <v>5</v>
      </c>
      <c r="AH646" s="60" t="s">
        <v>382</v>
      </c>
      <c r="AI646" s="61" t="n">
        <f aca="false">(T646*(1-Painel!$C$40)+U646+V646+Painel!$C$41+Painel!$C$42*CEILING(G646/100,1)+Painel!$C$43*CEILING(G646,1)+Z646)/(1-Resumo!$B$5)</f>
        <v>121.580647727273</v>
      </c>
      <c r="AJ646" s="60" t="str">
        <f aca="false">IF(AI646&lt;S646,"SIM","NÃO")</f>
        <v>SIM</v>
      </c>
    </row>
    <row r="647" customFormat="false" ht="15" hidden="false" customHeight="false" outlineLevel="0" collapsed="false">
      <c r="A647" s="59" t="n">
        <v>46240.7763773148</v>
      </c>
      <c r="B647" s="60" t="s">
        <v>1004</v>
      </c>
      <c r="C647" s="60" t="n">
        <v>24440440</v>
      </c>
      <c r="D647" s="60" t="s">
        <v>47</v>
      </c>
      <c r="E647" s="60" t="s">
        <v>23</v>
      </c>
      <c r="F647" s="60" t="s">
        <v>232</v>
      </c>
      <c r="G647" s="60" t="n">
        <v>14.4</v>
      </c>
      <c r="H647" s="61" t="n">
        <v>459.99</v>
      </c>
      <c r="I647" s="61" t="n">
        <v>42.72</v>
      </c>
      <c r="J647" s="61" t="n">
        <f aca="false">H647*Resumo!$C$6</f>
        <v>0</v>
      </c>
      <c r="K647" s="61" t="n">
        <f aca="false">H647*Resumo!$C$7</f>
        <v>0.965979</v>
      </c>
      <c r="L647" s="61" t="n">
        <f aca="false">H647*Resumo!$C$8</f>
        <v>0.965979</v>
      </c>
      <c r="M647" s="61" t="n">
        <f aca="false">Resumo!$C$10*CEILING(G647/100,1)</f>
        <v>1.05</v>
      </c>
      <c r="N647" s="61" t="n">
        <f aca="false">Resumo!$C$9</f>
        <v>0</v>
      </c>
      <c r="O647" s="61" t="n">
        <f aca="false">Resumo!$C$13</f>
        <v>13.55</v>
      </c>
      <c r="P647" s="61" t="n">
        <f aca="false">Resumo!$C$14*CEILING(G647,1)</f>
        <v>6.75</v>
      </c>
      <c r="Q647" s="61" t="n">
        <f aca="false">SUM(I647:P647)*Resumo!$C$11</f>
        <v>0</v>
      </c>
      <c r="R647" s="61" t="n">
        <f aca="false">SUM(I647:Q647)</f>
        <v>66.001958</v>
      </c>
      <c r="S647" s="61" t="n">
        <f aca="false">R647/(1-Resumo!$C$5)</f>
        <v>75.002225</v>
      </c>
      <c r="T647" s="61" t="n">
        <v>57.47</v>
      </c>
      <c r="U647" s="61" t="n">
        <f aca="false">H647*Resumo!$B$6</f>
        <v>0.45999</v>
      </c>
      <c r="V647" s="61" t="n">
        <f aca="false">H647*Resumo!$B$7</f>
        <v>0.91998</v>
      </c>
      <c r="W647" s="61" t="n">
        <f aca="false">Resumo!$B$9</f>
        <v>1</v>
      </c>
      <c r="X647" s="61" t="n">
        <f aca="false">Resumo!$B$10*CEILING(G647/100,1)</f>
        <v>4.5</v>
      </c>
      <c r="Y647" s="61" t="n">
        <f aca="false">Resumo!$B$12*CEILING(G647,1)</f>
        <v>0.9</v>
      </c>
      <c r="Z647" s="61" t="n">
        <f aca="false">Resumo!$B$14*CEILING(G647,1)</f>
        <v>6.75</v>
      </c>
      <c r="AA647" s="61" t="n">
        <f aca="false">SUM(T647:Z647)</f>
        <v>71.99997</v>
      </c>
      <c r="AB647" s="61" t="n">
        <f aca="false">AA647/(1-Resumo!$B$5)</f>
        <v>81.8181477272727</v>
      </c>
      <c r="AC647" s="61" t="n">
        <f aca="false">AB647-S647</f>
        <v>6.81592272727274</v>
      </c>
      <c r="AD647" s="62" t="n">
        <f aca="false">AB647/S647-1</f>
        <v>0.0908762737008499</v>
      </c>
      <c r="AE647" s="60" t="str">
        <f aca="false">IF(AB647&lt;S647,"SIM","NÃO")</f>
        <v>NÃO</v>
      </c>
      <c r="AF647" s="60" t="n">
        <v>2</v>
      </c>
      <c r="AG647" s="60" t="n">
        <v>7</v>
      </c>
      <c r="AH647" s="60" t="s">
        <v>382</v>
      </c>
      <c r="AI647" s="61" t="n">
        <f aca="false">(T647*(1-Painel!$C$40)+U647+V647+Painel!$C$41+Painel!$C$42*CEILING(G647/100,1)+Painel!$C$43*CEILING(G647,1)+Z647)/(1-Resumo!$B$5)</f>
        <v>55.3237159090909</v>
      </c>
      <c r="AJ647" s="60" t="str">
        <f aca="false">IF(AI647&lt;S647,"SIM","NÃO")</f>
        <v>SIM</v>
      </c>
    </row>
    <row r="648" customFormat="false" ht="15" hidden="false" customHeight="false" outlineLevel="0" collapsed="false">
      <c r="A648" s="59" t="n">
        <v>46240.7954513889</v>
      </c>
      <c r="B648" s="60" t="s">
        <v>1005</v>
      </c>
      <c r="C648" s="60" t="n">
        <v>23058150</v>
      </c>
      <c r="D648" s="60" t="s">
        <v>46</v>
      </c>
      <c r="E648" s="60" t="s">
        <v>22</v>
      </c>
      <c r="F648" s="60" t="s">
        <v>236</v>
      </c>
      <c r="G648" s="60" t="n">
        <v>52.3</v>
      </c>
      <c r="H648" s="61" t="n">
        <v>611.37</v>
      </c>
      <c r="I648" s="61" t="n">
        <v>58.6</v>
      </c>
      <c r="J648" s="61" t="n">
        <f aca="false">H648*Resumo!$C$6</f>
        <v>0</v>
      </c>
      <c r="K648" s="61" t="n">
        <f aca="false">H648*Resumo!$C$7</f>
        <v>1.283877</v>
      </c>
      <c r="L648" s="61" t="n">
        <f aca="false">H648*Resumo!$C$8</f>
        <v>1.283877</v>
      </c>
      <c r="M648" s="61" t="n">
        <f aca="false">Resumo!$C$10*CEILING(G648/100,1)</f>
        <v>1.05</v>
      </c>
      <c r="N648" s="61" t="n">
        <f aca="false">Resumo!$C$9</f>
        <v>0</v>
      </c>
      <c r="O648" s="61" t="n">
        <f aca="false">Resumo!$C$13</f>
        <v>13.55</v>
      </c>
      <c r="P648" s="61" t="n">
        <f aca="false">Resumo!$C$14*CEILING(G648,1)</f>
        <v>23.85</v>
      </c>
      <c r="Q648" s="61" t="n">
        <f aca="false">SUM(I648:P648)*Resumo!$C$11</f>
        <v>0</v>
      </c>
      <c r="R648" s="61" t="n">
        <f aca="false">SUM(I648:Q648)</f>
        <v>99.617754</v>
      </c>
      <c r="S648" s="61" t="n">
        <f aca="false">R648/(1-Resumo!$C$5)</f>
        <v>113.201993181818</v>
      </c>
      <c r="T648" s="61" t="n">
        <v>112.3</v>
      </c>
      <c r="U648" s="61" t="n">
        <f aca="false">H648*Resumo!$B$6</f>
        <v>0.61137</v>
      </c>
      <c r="V648" s="61" t="n">
        <f aca="false">H648*Resumo!$B$7</f>
        <v>1.22274</v>
      </c>
      <c r="W648" s="61" t="n">
        <f aca="false">Resumo!$B$9</f>
        <v>1</v>
      </c>
      <c r="X648" s="61" t="n">
        <f aca="false">Resumo!$B$10*CEILING(G648/100,1)</f>
        <v>4.5</v>
      </c>
      <c r="Y648" s="61" t="n">
        <f aca="false">Resumo!$B$12*CEILING(G648,1)</f>
        <v>3.18</v>
      </c>
      <c r="Z648" s="61" t="n">
        <f aca="false">Resumo!$B$14*CEILING(G648,1)</f>
        <v>23.85</v>
      </c>
      <c r="AA648" s="61" t="n">
        <f aca="false">SUM(T648:Z648)</f>
        <v>146.66411</v>
      </c>
      <c r="AB648" s="61" t="n">
        <f aca="false">AA648/(1-Resumo!$B$5)</f>
        <v>166.663761363636</v>
      </c>
      <c r="AC648" s="61" t="n">
        <f aca="false">AB648-S648</f>
        <v>53.4617681818182</v>
      </c>
      <c r="AD648" s="62" t="n">
        <f aca="false">AB648/S648-1</f>
        <v>0.472268788553494</v>
      </c>
      <c r="AE648" s="60" t="str">
        <f aca="false">IF(AB648&lt;S648,"SIM","NÃO")</f>
        <v>NÃO</v>
      </c>
      <c r="AF648" s="60" t="n">
        <v>2</v>
      </c>
      <c r="AG648" s="60" t="n">
        <v>5</v>
      </c>
      <c r="AH648" s="60" t="s">
        <v>382</v>
      </c>
      <c r="AI648" s="61" t="n">
        <f aca="false">(T648*(1-Painel!$C$40)+U648+V648+Painel!$C$41+Painel!$C$42*CEILING(G648/100,1)+Painel!$C$43*CEILING(G648,1)+Z648)/(1-Resumo!$B$5)</f>
        <v>117.017170454545</v>
      </c>
      <c r="AJ648" s="60" t="str">
        <f aca="false">IF(AI648&lt;S648,"SIM","NÃO")</f>
        <v>NÃO</v>
      </c>
    </row>
    <row r="649" customFormat="false" ht="15" hidden="false" customHeight="false" outlineLevel="0" collapsed="false">
      <c r="A649" s="59" t="n">
        <v>46240.8080555556</v>
      </c>
      <c r="B649" s="60" t="s">
        <v>592</v>
      </c>
      <c r="C649" s="60" t="n">
        <v>22451265</v>
      </c>
      <c r="D649" s="60" t="s">
        <v>46</v>
      </c>
      <c r="E649" s="60" t="s">
        <v>22</v>
      </c>
      <c r="F649" s="60" t="s">
        <v>235</v>
      </c>
      <c r="G649" s="60" t="n">
        <v>48.6</v>
      </c>
      <c r="H649" s="61" t="n">
        <v>679.99</v>
      </c>
      <c r="I649" s="61" t="n">
        <v>53.55</v>
      </c>
      <c r="J649" s="61" t="n">
        <f aca="false">H649*Resumo!$C$6</f>
        <v>0</v>
      </c>
      <c r="K649" s="61" t="n">
        <f aca="false">H649*Resumo!$C$7</f>
        <v>1.427979</v>
      </c>
      <c r="L649" s="61" t="n">
        <f aca="false">H649*Resumo!$C$8</f>
        <v>1.427979</v>
      </c>
      <c r="M649" s="61" t="n">
        <f aca="false">Resumo!$C$10*CEILING(G649/100,1)</f>
        <v>1.05</v>
      </c>
      <c r="N649" s="61" t="n">
        <f aca="false">Resumo!$C$9</f>
        <v>0</v>
      </c>
      <c r="O649" s="61" t="n">
        <f aca="false">Resumo!$C$13</f>
        <v>13.55</v>
      </c>
      <c r="P649" s="61" t="n">
        <f aca="false">Resumo!$C$14*CEILING(G649,1)</f>
        <v>22.05</v>
      </c>
      <c r="Q649" s="61" t="n">
        <f aca="false">SUM(I649:P649)*Resumo!$C$11</f>
        <v>0</v>
      </c>
      <c r="R649" s="61" t="n">
        <f aca="false">SUM(I649:Q649)</f>
        <v>93.055958</v>
      </c>
      <c r="S649" s="61" t="n">
        <f aca="false">R649/(1-Resumo!$C$5)</f>
        <v>105.745406818182</v>
      </c>
      <c r="T649" s="61" t="n">
        <v>93.97</v>
      </c>
      <c r="U649" s="61" t="n">
        <f aca="false">H649*Resumo!$B$6</f>
        <v>0.67999</v>
      </c>
      <c r="V649" s="61" t="n">
        <f aca="false">H649*Resumo!$B$7</f>
        <v>1.35998</v>
      </c>
      <c r="W649" s="61" t="n">
        <f aca="false">Resumo!$B$9</f>
        <v>1</v>
      </c>
      <c r="X649" s="61" t="n">
        <f aca="false">Resumo!$B$10*CEILING(G649/100,1)</f>
        <v>4.5</v>
      </c>
      <c r="Y649" s="61" t="n">
        <f aca="false">Resumo!$B$12*CEILING(G649,1)</f>
        <v>2.94</v>
      </c>
      <c r="Z649" s="61" t="n">
        <f aca="false">Resumo!$B$14*CEILING(G649,1)</f>
        <v>22.05</v>
      </c>
      <c r="AA649" s="61" t="n">
        <f aca="false">SUM(T649:Z649)</f>
        <v>126.49997</v>
      </c>
      <c r="AB649" s="61" t="n">
        <f aca="false">AA649/(1-Resumo!$B$5)</f>
        <v>143.749965909091</v>
      </c>
      <c r="AC649" s="61" t="n">
        <f aca="false">AB649-S649</f>
        <v>38.0045590909091</v>
      </c>
      <c r="AD649" s="62" t="n">
        <f aca="false">AB649/S649-1</f>
        <v>0.359396783599821</v>
      </c>
      <c r="AE649" s="60" t="str">
        <f aca="false">IF(AB649&lt;S649,"SIM","NÃO")</f>
        <v>NÃO</v>
      </c>
      <c r="AF649" s="60" t="n">
        <v>2</v>
      </c>
      <c r="AG649" s="60" t="n">
        <v>5</v>
      </c>
      <c r="AH649" s="60" t="s">
        <v>382</v>
      </c>
      <c r="AI649" s="61" t="n">
        <f aca="false">(T649*(1-Painel!$C$40)+U649+V649+Painel!$C$41+Painel!$C$42*CEILING(G649/100,1)+Painel!$C$43*CEILING(G649,1)+Z649)/(1-Resumo!$B$5)</f>
        <v>101.249852272727</v>
      </c>
      <c r="AJ649" s="60" t="str">
        <f aca="false">IF(AI649&lt;S649,"SIM","NÃO")</f>
        <v>SIM</v>
      </c>
    </row>
    <row r="650" customFormat="false" ht="15" hidden="false" customHeight="false" outlineLevel="0" collapsed="false">
      <c r="A650" s="59" t="n">
        <v>46240.8086921296</v>
      </c>
      <c r="B650" s="60" t="s">
        <v>1006</v>
      </c>
      <c r="C650" s="60" t="n">
        <v>21215060</v>
      </c>
      <c r="D650" s="60" t="s">
        <v>46</v>
      </c>
      <c r="E650" s="60" t="s">
        <v>22</v>
      </c>
      <c r="F650" s="60" t="s">
        <v>237</v>
      </c>
      <c r="G650" s="60" t="n">
        <v>66.8</v>
      </c>
      <c r="H650" s="61" t="n">
        <v>699.99</v>
      </c>
      <c r="I650" s="61" t="n">
        <v>63.21</v>
      </c>
      <c r="J650" s="61" t="n">
        <f aca="false">H650*Resumo!$C$6</f>
        <v>0</v>
      </c>
      <c r="K650" s="61" t="n">
        <f aca="false">H650*Resumo!$C$7</f>
        <v>1.469979</v>
      </c>
      <c r="L650" s="61" t="n">
        <f aca="false">H650*Resumo!$C$8</f>
        <v>1.469979</v>
      </c>
      <c r="M650" s="61" t="n">
        <f aca="false">Resumo!$C$10*CEILING(G650/100,1)</f>
        <v>1.05</v>
      </c>
      <c r="N650" s="61" t="n">
        <f aca="false">Resumo!$C$9</f>
        <v>0</v>
      </c>
      <c r="O650" s="61" t="n">
        <f aca="false">Resumo!$C$13</f>
        <v>13.55</v>
      </c>
      <c r="P650" s="61" t="n">
        <f aca="false">Resumo!$C$14*CEILING(G650,1)</f>
        <v>30.15</v>
      </c>
      <c r="Q650" s="61" t="n">
        <f aca="false">SUM(I650:P650)*Resumo!$C$11</f>
        <v>0</v>
      </c>
      <c r="R650" s="61" t="n">
        <f aca="false">SUM(I650:Q650)</f>
        <v>110.899958</v>
      </c>
      <c r="S650" s="61" t="n">
        <f aca="false">R650/(1-Resumo!$C$5)</f>
        <v>126.022679545455</v>
      </c>
      <c r="T650" s="61" t="n">
        <v>131.02</v>
      </c>
      <c r="U650" s="61" t="n">
        <f aca="false">H650*Resumo!$B$6</f>
        <v>0.69999</v>
      </c>
      <c r="V650" s="61" t="n">
        <f aca="false">H650*Resumo!$B$7</f>
        <v>1.39998</v>
      </c>
      <c r="W650" s="61" t="n">
        <f aca="false">Resumo!$B$9</f>
        <v>1</v>
      </c>
      <c r="X650" s="61" t="n">
        <f aca="false">Resumo!$B$10*CEILING(G650/100,1)</f>
        <v>4.5</v>
      </c>
      <c r="Y650" s="61" t="n">
        <f aca="false">Resumo!$B$12*CEILING(G650,1)</f>
        <v>4.02</v>
      </c>
      <c r="Z650" s="61" t="n">
        <f aca="false">Resumo!$B$14*CEILING(G650,1)</f>
        <v>30.15</v>
      </c>
      <c r="AA650" s="61" t="n">
        <f aca="false">SUM(T650:Z650)</f>
        <v>172.78997</v>
      </c>
      <c r="AB650" s="61" t="n">
        <f aca="false">AA650/(1-Resumo!$B$5)</f>
        <v>196.352238636364</v>
      </c>
      <c r="AC650" s="61" t="n">
        <f aca="false">AB650-S650</f>
        <v>70.3295590909091</v>
      </c>
      <c r="AD650" s="62" t="n">
        <f aca="false">AB650/S650-1</f>
        <v>0.558070653191771</v>
      </c>
      <c r="AE650" s="60" t="str">
        <f aca="false">IF(AB650&lt;S650,"SIM","NÃO")</f>
        <v>NÃO</v>
      </c>
      <c r="AF650" s="60" t="n">
        <v>2</v>
      </c>
      <c r="AG650" s="60" t="n">
        <v>5</v>
      </c>
      <c r="AH650" s="60" t="s">
        <v>382</v>
      </c>
      <c r="AI650" s="61" t="n">
        <f aca="false">(T650*(1-Painel!$C$40)+U650+V650+Painel!$C$41+Painel!$C$42*CEILING(G650/100,1)+Painel!$C$43*CEILING(G650,1)+Z650)/(1-Resumo!$B$5)</f>
        <v>138.731102272727</v>
      </c>
      <c r="AJ650" s="60" t="str">
        <f aca="false">IF(AI650&lt;S650,"SIM","NÃO")</f>
        <v>NÃO</v>
      </c>
    </row>
    <row r="651" customFormat="false" ht="15" hidden="false" customHeight="false" outlineLevel="0" collapsed="false">
      <c r="A651" s="59" t="n">
        <v>46240.8312152778</v>
      </c>
      <c r="B651" s="60" t="s">
        <v>1007</v>
      </c>
      <c r="C651" s="60" t="n">
        <v>25264480</v>
      </c>
      <c r="D651" s="60" t="s">
        <v>48</v>
      </c>
      <c r="E651" s="60" t="s">
        <v>23</v>
      </c>
      <c r="F651" s="60" t="s">
        <v>236</v>
      </c>
      <c r="G651" s="60" t="n">
        <v>52.3</v>
      </c>
      <c r="H651" s="61" t="n">
        <v>685.85</v>
      </c>
      <c r="I651" s="61" t="n">
        <v>70.98</v>
      </c>
      <c r="J651" s="61" t="n">
        <f aca="false">H651*Resumo!$C$6</f>
        <v>0</v>
      </c>
      <c r="K651" s="61" t="n">
        <f aca="false">H651*Resumo!$C$7</f>
        <v>1.440285</v>
      </c>
      <c r="L651" s="61" t="n">
        <f aca="false">H651*Resumo!$C$8</f>
        <v>1.440285</v>
      </c>
      <c r="M651" s="61" t="n">
        <f aca="false">Resumo!$C$10*CEILING(G651/100,1)</f>
        <v>1.05</v>
      </c>
      <c r="N651" s="61" t="n">
        <f aca="false">Resumo!$C$9</f>
        <v>0</v>
      </c>
      <c r="O651" s="61" t="n">
        <f aca="false">Resumo!$C$13</f>
        <v>13.55</v>
      </c>
      <c r="P651" s="61" t="n">
        <f aca="false">Resumo!$C$14*CEILING(G651,1)</f>
        <v>23.85</v>
      </c>
      <c r="Q651" s="61" t="n">
        <f aca="false">SUM(I651:P651)*Resumo!$C$11</f>
        <v>0</v>
      </c>
      <c r="R651" s="61" t="n">
        <f aca="false">SUM(I651:Q651)</f>
        <v>112.31057</v>
      </c>
      <c r="S651" s="61" t="n">
        <f aca="false">R651/(1-Resumo!$C$5)</f>
        <v>127.625647727273</v>
      </c>
      <c r="T651" s="61" t="n">
        <v>112.3</v>
      </c>
      <c r="U651" s="61" t="n">
        <f aca="false">H651*Resumo!$B$6</f>
        <v>0.68585</v>
      </c>
      <c r="V651" s="61" t="n">
        <f aca="false">H651*Resumo!$B$7</f>
        <v>1.3717</v>
      </c>
      <c r="W651" s="61" t="n">
        <f aca="false">Resumo!$B$9</f>
        <v>1</v>
      </c>
      <c r="X651" s="61" t="n">
        <f aca="false">Resumo!$B$10*CEILING(G651/100,1)</f>
        <v>4.5</v>
      </c>
      <c r="Y651" s="61" t="n">
        <f aca="false">Resumo!$B$12*CEILING(G651,1)</f>
        <v>3.18</v>
      </c>
      <c r="Z651" s="61" t="n">
        <f aca="false">Resumo!$B$14*CEILING(G651,1)</f>
        <v>23.85</v>
      </c>
      <c r="AA651" s="61" t="n">
        <f aca="false">SUM(T651:Z651)</f>
        <v>146.88755</v>
      </c>
      <c r="AB651" s="61" t="n">
        <f aca="false">AA651/(1-Resumo!$B$5)</f>
        <v>166.917670454545</v>
      </c>
      <c r="AC651" s="61" t="n">
        <f aca="false">AB651-S651</f>
        <v>39.2920227272727</v>
      </c>
      <c r="AD651" s="62" t="n">
        <f aca="false">AB651/S651-1</f>
        <v>0.30786933055366</v>
      </c>
      <c r="AE651" s="60" t="str">
        <f aca="false">IF(AB651&lt;S651,"SIM","NÃO")</f>
        <v>NÃO</v>
      </c>
      <c r="AF651" s="60" t="n">
        <v>2</v>
      </c>
      <c r="AG651" s="60" t="n">
        <v>5</v>
      </c>
      <c r="AH651" s="60" t="s">
        <v>382</v>
      </c>
      <c r="AI651" s="61" t="n">
        <f aca="false">(T651*(1-Painel!$C$40)+U651+V651+Painel!$C$41+Painel!$C$42*CEILING(G651/100,1)+Painel!$C$43*CEILING(G651,1)+Z651)/(1-Resumo!$B$5)</f>
        <v>117.271079545455</v>
      </c>
      <c r="AJ651" s="60" t="str">
        <f aca="false">IF(AI651&lt;S651,"SIM","NÃO")</f>
        <v>SIM</v>
      </c>
    </row>
    <row r="652" customFormat="false" ht="15" hidden="false" customHeight="false" outlineLevel="0" collapsed="false">
      <c r="A652" s="59" t="n">
        <v>46240.8312731482</v>
      </c>
      <c r="B652" s="60" t="s">
        <v>1008</v>
      </c>
      <c r="C652" s="60" t="n">
        <v>22775598</v>
      </c>
      <c r="D652" s="60" t="s">
        <v>46</v>
      </c>
      <c r="E652" s="60" t="s">
        <v>22</v>
      </c>
      <c r="F652" s="60" t="s">
        <v>233</v>
      </c>
      <c r="G652" s="60" t="n">
        <v>22.4</v>
      </c>
      <c r="H652" s="61" t="n">
        <v>440.99</v>
      </c>
      <c r="I652" s="61" t="n">
        <v>42.11</v>
      </c>
      <c r="J652" s="61" t="n">
        <f aca="false">H652*Resumo!$C$6</f>
        <v>0</v>
      </c>
      <c r="K652" s="61" t="n">
        <f aca="false">H652*Resumo!$C$7</f>
        <v>0.926079</v>
      </c>
      <c r="L652" s="61" t="n">
        <f aca="false">H652*Resumo!$C$8</f>
        <v>0.926079</v>
      </c>
      <c r="M652" s="61" t="n">
        <f aca="false">Resumo!$C$10*CEILING(G652/100,1)</f>
        <v>1.05</v>
      </c>
      <c r="N652" s="61" t="n">
        <f aca="false">Resumo!$C$9</f>
        <v>0</v>
      </c>
      <c r="O652" s="61" t="n">
        <f aca="false">Resumo!$C$13</f>
        <v>13.55</v>
      </c>
      <c r="P652" s="61" t="n">
        <f aca="false">Resumo!$C$14*CEILING(G652,1)</f>
        <v>10.35</v>
      </c>
      <c r="Q652" s="61" t="n">
        <f aca="false">SUM(I652:P652)*Resumo!$C$11</f>
        <v>0</v>
      </c>
      <c r="R652" s="61" t="n">
        <f aca="false">SUM(I652:Q652)</f>
        <v>68.912158</v>
      </c>
      <c r="S652" s="61" t="n">
        <f aca="false">R652/(1-Resumo!$C$5)</f>
        <v>78.3092704545454</v>
      </c>
      <c r="T652" s="61" t="n">
        <v>82.21</v>
      </c>
      <c r="U652" s="61" t="n">
        <f aca="false">H652*Resumo!$B$6</f>
        <v>0.44099</v>
      </c>
      <c r="V652" s="61" t="n">
        <f aca="false">H652*Resumo!$B$7</f>
        <v>0.88198</v>
      </c>
      <c r="W652" s="61" t="n">
        <f aca="false">Resumo!$B$9</f>
        <v>1</v>
      </c>
      <c r="X652" s="61" t="n">
        <f aca="false">Resumo!$B$10*CEILING(G652/100,1)</f>
        <v>4.5</v>
      </c>
      <c r="Y652" s="61" t="n">
        <f aca="false">Resumo!$B$12*CEILING(G652,1)</f>
        <v>1.38</v>
      </c>
      <c r="Z652" s="61" t="n">
        <f aca="false">Resumo!$B$14*CEILING(G652,1)</f>
        <v>10.35</v>
      </c>
      <c r="AA652" s="61" t="n">
        <f aca="false">SUM(T652:Z652)</f>
        <v>100.76297</v>
      </c>
      <c r="AB652" s="61" t="n">
        <f aca="false">AA652/(1-Resumo!$B$5)</f>
        <v>114.503375</v>
      </c>
      <c r="AC652" s="61" t="n">
        <f aca="false">AB652-S652</f>
        <v>36.1941045454545</v>
      </c>
      <c r="AD652" s="62" t="n">
        <f aca="false">AB652/S652-1</f>
        <v>0.462194377949969</v>
      </c>
      <c r="AE652" s="60" t="str">
        <f aca="false">IF(AB652&lt;S652,"SIM","NÃO")</f>
        <v>NÃO</v>
      </c>
      <c r="AF652" s="60" t="n">
        <v>2</v>
      </c>
      <c r="AG652" s="60" t="n">
        <v>5</v>
      </c>
      <c r="AH652" s="60" t="s">
        <v>382</v>
      </c>
      <c r="AI652" s="61" t="n">
        <f aca="false">(T652*(1-Painel!$C$40)+U652+V652+Painel!$C$41+Painel!$C$42*CEILING(G652/100,1)+Painel!$C$43*CEILING(G652,1)+Z652)/(1-Resumo!$B$5)</f>
        <v>78.1859886363636</v>
      </c>
      <c r="AJ652" s="60" t="str">
        <f aca="false">IF(AI652&lt;S652,"SIM","NÃO")</f>
        <v>SIM</v>
      </c>
    </row>
    <row r="653" customFormat="false" ht="15" hidden="false" customHeight="false" outlineLevel="0" collapsed="false">
      <c r="A653" s="59" t="n">
        <v>46240.8334259259</v>
      </c>
      <c r="B653" s="60" t="s">
        <v>1009</v>
      </c>
      <c r="C653" s="60" t="n">
        <v>24813093</v>
      </c>
      <c r="D653" s="60" t="s">
        <v>223</v>
      </c>
      <c r="E653" s="60" t="s">
        <v>24</v>
      </c>
      <c r="F653" s="60" t="s">
        <v>236</v>
      </c>
      <c r="G653" s="60" t="n">
        <v>51.7</v>
      </c>
      <c r="H653" s="61" t="n">
        <v>659.99</v>
      </c>
      <c r="I653" s="61" t="n">
        <v>83.58</v>
      </c>
      <c r="J653" s="61" t="n">
        <f aca="false">H653*Resumo!$C$6</f>
        <v>0</v>
      </c>
      <c r="K653" s="61" t="n">
        <f aca="false">H653*Resumo!$C$7</f>
        <v>1.385979</v>
      </c>
      <c r="L653" s="61" t="n">
        <f aca="false">H653*Resumo!$C$8</f>
        <v>1.385979</v>
      </c>
      <c r="M653" s="61" t="n">
        <f aca="false">Resumo!$C$10*CEILING(G653/100,1)</f>
        <v>1.05</v>
      </c>
      <c r="N653" s="61" t="n">
        <f aca="false">Resumo!$C$9</f>
        <v>0</v>
      </c>
      <c r="O653" s="61" t="n">
        <f aca="false">Resumo!$C$13</f>
        <v>13.55</v>
      </c>
      <c r="P653" s="61" t="n">
        <f aca="false">Resumo!$C$14*CEILING(G653,1)</f>
        <v>23.4</v>
      </c>
      <c r="Q653" s="61" t="n">
        <f aca="false">SUM(I653:P653)*Resumo!$C$11</f>
        <v>0</v>
      </c>
      <c r="R653" s="61" t="n">
        <f aca="false">SUM(I653:Q653)</f>
        <v>124.351958</v>
      </c>
      <c r="S653" s="61" t="n">
        <f aca="false">R653/(1-Resumo!$C$5)</f>
        <v>141.309043181818</v>
      </c>
      <c r="T653" s="61" t="n">
        <v>128.14</v>
      </c>
      <c r="U653" s="61" t="n">
        <f aca="false">H653*Resumo!$B$6</f>
        <v>0.65999</v>
      </c>
      <c r="V653" s="61" t="n">
        <f aca="false">H653*Resumo!$B$7</f>
        <v>1.31998</v>
      </c>
      <c r="W653" s="61" t="n">
        <f aca="false">Resumo!$B$9</f>
        <v>1</v>
      </c>
      <c r="X653" s="61" t="n">
        <f aca="false">Resumo!$B$10*CEILING(G653/100,1)</f>
        <v>4.5</v>
      </c>
      <c r="Y653" s="61" t="n">
        <f aca="false">Resumo!$B$12*CEILING(G653,1)</f>
        <v>3.12</v>
      </c>
      <c r="Z653" s="61" t="n">
        <f aca="false">Resumo!$B$14*CEILING(G653,1)</f>
        <v>23.4</v>
      </c>
      <c r="AA653" s="61" t="n">
        <f aca="false">SUM(T653:Z653)</f>
        <v>162.13997</v>
      </c>
      <c r="AB653" s="61" t="n">
        <f aca="false">AA653/(1-Resumo!$B$5)</f>
        <v>184.249965909091</v>
      </c>
      <c r="AC653" s="61" t="n">
        <f aca="false">AB653-S653</f>
        <v>42.9409227272727</v>
      </c>
      <c r="AD653" s="62" t="n">
        <f aca="false">AB653/S653-1</f>
        <v>0.303879509480663</v>
      </c>
      <c r="AE653" s="60" t="str">
        <f aca="false">IF(AB653&lt;S653,"SIM","NÃO")</f>
        <v>NÃO</v>
      </c>
      <c r="AF653" s="60" t="n">
        <v>13</v>
      </c>
      <c r="AG653" s="60" t="n">
        <v>7</v>
      </c>
      <c r="AH653" s="60" t="s">
        <v>382</v>
      </c>
      <c r="AI653" s="61" t="n">
        <f aca="false">(T653*(1-Painel!$C$40)+U653+V653+Painel!$C$41+Painel!$C$42*CEILING(G653/100,1)+Painel!$C$43*CEILING(G653,1)+Z653)/(1-Resumo!$B$5)</f>
        <v>128.731556818182</v>
      </c>
      <c r="AJ653" s="60" t="str">
        <f aca="false">IF(AI653&lt;S653,"SIM","NÃO")</f>
        <v>SIM</v>
      </c>
    </row>
    <row r="654" customFormat="false" ht="15" hidden="false" customHeight="false" outlineLevel="0" collapsed="false">
      <c r="A654" s="59" t="n">
        <v>46240.8490046296</v>
      </c>
      <c r="B654" s="60" t="s">
        <v>1010</v>
      </c>
      <c r="C654" s="60" t="n">
        <v>23520521</v>
      </c>
      <c r="D654" s="60" t="s">
        <v>46</v>
      </c>
      <c r="E654" s="60" t="s">
        <v>22</v>
      </c>
      <c r="F654" s="60" t="s">
        <v>244</v>
      </c>
      <c r="G654" s="60" t="n">
        <v>200.3</v>
      </c>
      <c r="H654" s="61" t="n">
        <v>2125.94</v>
      </c>
      <c r="I654" s="61" t="n">
        <v>181.55</v>
      </c>
      <c r="J654" s="61" t="n">
        <f aca="false">H654*Resumo!$C$6</f>
        <v>0</v>
      </c>
      <c r="K654" s="61" t="n">
        <f aca="false">H654*Resumo!$C$7</f>
        <v>4.464474</v>
      </c>
      <c r="L654" s="61" t="n">
        <f aca="false">H654*Resumo!$C$8</f>
        <v>4.464474</v>
      </c>
      <c r="M654" s="61" t="n">
        <f aca="false">Resumo!$C$10*CEILING(G654/100,1)</f>
        <v>3.15</v>
      </c>
      <c r="N654" s="61" t="n">
        <f aca="false">Resumo!$C$9</f>
        <v>0</v>
      </c>
      <c r="O654" s="61" t="n">
        <f aca="false">Resumo!$C$13</f>
        <v>13.55</v>
      </c>
      <c r="P654" s="61" t="n">
        <f aca="false">Resumo!$C$14*CEILING(G654,1)</f>
        <v>90.45</v>
      </c>
      <c r="Q654" s="61" t="n">
        <f aca="false">SUM(I654:P654)*Resumo!$C$11</f>
        <v>0</v>
      </c>
      <c r="R654" s="61" t="n">
        <f aca="false">SUM(I654:Q654)</f>
        <v>297.628948</v>
      </c>
      <c r="S654" s="61" t="n">
        <f aca="false">R654/(1-Resumo!$C$5)</f>
        <v>338.214713636364</v>
      </c>
      <c r="T654" s="61" t="n">
        <v>398.74</v>
      </c>
      <c r="U654" s="61" t="n">
        <f aca="false">H654*Resumo!$B$6</f>
        <v>2.12594</v>
      </c>
      <c r="V654" s="61" t="n">
        <f aca="false">H654*Resumo!$B$7</f>
        <v>4.25188</v>
      </c>
      <c r="W654" s="61" t="n">
        <f aca="false">Resumo!$B$9</f>
        <v>1</v>
      </c>
      <c r="X654" s="61" t="n">
        <f aca="false">Resumo!$B$10*CEILING(G654/100,1)</f>
        <v>13.5</v>
      </c>
      <c r="Y654" s="61" t="n">
        <f aca="false">Resumo!$B$12*CEILING(G654,1)</f>
        <v>12.06</v>
      </c>
      <c r="Z654" s="61" t="n">
        <f aca="false">Resumo!$B$14*CEILING(G654,1)</f>
        <v>90.45</v>
      </c>
      <c r="AA654" s="61" t="n">
        <f aca="false">SUM(T654:Z654)</f>
        <v>522.12782</v>
      </c>
      <c r="AB654" s="61" t="n">
        <f aca="false">AA654/(1-Resumo!$B$5)</f>
        <v>593.327068181818</v>
      </c>
      <c r="AC654" s="61" t="n">
        <f aca="false">AB654-S654</f>
        <v>255.112354545455</v>
      </c>
      <c r="AD654" s="62" t="n">
        <f aca="false">AB654/S654-1</f>
        <v>0.754291118214751</v>
      </c>
      <c r="AE654" s="60" t="str">
        <f aca="false">IF(AB654&lt;S654,"SIM","NÃO")</f>
        <v>NÃO</v>
      </c>
      <c r="AF654" s="60" t="n">
        <v>2</v>
      </c>
      <c r="AG654" s="60" t="n">
        <v>5</v>
      </c>
      <c r="AH654" s="60" t="s">
        <v>382</v>
      </c>
      <c r="AI654" s="61" t="n">
        <f aca="false">(T654*(1-Painel!$C$40)+U654+V654+Painel!$C$41+Painel!$C$42*CEILING(G654/100,1)+Painel!$C$43*CEILING(G654,1)+Z654)/(1-Resumo!$B$5)</f>
        <v>418.333659090909</v>
      </c>
      <c r="AJ654" s="60" t="str">
        <f aca="false">IF(AI654&lt;S654,"SIM","NÃO")</f>
        <v>NÃO</v>
      </c>
    </row>
    <row r="655" customFormat="false" ht="15" hidden="false" customHeight="false" outlineLevel="0" collapsed="false">
      <c r="A655" s="59" t="n">
        <v>46240.8514930556</v>
      </c>
      <c r="B655" s="60" t="s">
        <v>1011</v>
      </c>
      <c r="C655" s="60" t="n">
        <v>20771631</v>
      </c>
      <c r="D655" s="60" t="s">
        <v>46</v>
      </c>
      <c r="E655" s="60" t="s">
        <v>22</v>
      </c>
      <c r="F655" s="60" t="s">
        <v>234</v>
      </c>
      <c r="G655" s="60" t="n">
        <v>36.8</v>
      </c>
      <c r="H655" s="61" t="n">
        <v>469.99</v>
      </c>
      <c r="I655" s="61" t="n">
        <v>48.35</v>
      </c>
      <c r="J655" s="61" t="n">
        <f aca="false">H655*Resumo!$C$6</f>
        <v>0</v>
      </c>
      <c r="K655" s="61" t="n">
        <f aca="false">H655*Resumo!$C$7</f>
        <v>0.986979</v>
      </c>
      <c r="L655" s="61" t="n">
        <f aca="false">H655*Resumo!$C$8</f>
        <v>0.986979</v>
      </c>
      <c r="M655" s="61" t="n">
        <f aca="false">Resumo!$C$10*CEILING(G655/100,1)</f>
        <v>1.05</v>
      </c>
      <c r="N655" s="61" t="n">
        <f aca="false">Resumo!$C$9</f>
        <v>0</v>
      </c>
      <c r="O655" s="61" t="n">
        <f aca="false">Resumo!$C$13</f>
        <v>13.55</v>
      </c>
      <c r="P655" s="61" t="n">
        <f aca="false">Resumo!$C$14*CEILING(G655,1)</f>
        <v>16.65</v>
      </c>
      <c r="Q655" s="61" t="n">
        <f aca="false">SUM(I655:P655)*Resumo!$C$11</f>
        <v>0</v>
      </c>
      <c r="R655" s="61" t="n">
        <f aca="false">SUM(I655:Q655)</f>
        <v>81.573958</v>
      </c>
      <c r="S655" s="61" t="n">
        <f aca="false">R655/(1-Resumo!$C$5)</f>
        <v>92.6976795454546</v>
      </c>
      <c r="T655" s="61" t="n">
        <v>93.97</v>
      </c>
      <c r="U655" s="61" t="n">
        <f aca="false">H655*Resumo!$B$6</f>
        <v>0.46999</v>
      </c>
      <c r="V655" s="61" t="n">
        <f aca="false">H655*Resumo!$B$7</f>
        <v>0.93998</v>
      </c>
      <c r="W655" s="61" t="n">
        <f aca="false">Resumo!$B$9</f>
        <v>1</v>
      </c>
      <c r="X655" s="61" t="n">
        <f aca="false">Resumo!$B$10*CEILING(G655/100,1)</f>
        <v>4.5</v>
      </c>
      <c r="Y655" s="61" t="n">
        <f aca="false">Resumo!$B$12*CEILING(G655,1)</f>
        <v>2.22</v>
      </c>
      <c r="Z655" s="61" t="n">
        <f aca="false">Resumo!$B$14*CEILING(G655,1)</f>
        <v>16.65</v>
      </c>
      <c r="AA655" s="61" t="n">
        <f aca="false">SUM(T655:Z655)</f>
        <v>119.74997</v>
      </c>
      <c r="AB655" s="61" t="n">
        <f aca="false">AA655/(1-Resumo!$B$5)</f>
        <v>136.079511363636</v>
      </c>
      <c r="AC655" s="61" t="n">
        <f aca="false">AB655-S655</f>
        <v>43.3818318181818</v>
      </c>
      <c r="AD655" s="62" t="n">
        <f aca="false">AB655/S655-1</f>
        <v>0.467992640494409</v>
      </c>
      <c r="AE655" s="60" t="str">
        <f aca="false">IF(AB655&lt;S655,"SIM","NÃO")</f>
        <v>NÃO</v>
      </c>
      <c r="AF655" s="60" t="n">
        <v>2</v>
      </c>
      <c r="AG655" s="60" t="n">
        <v>5</v>
      </c>
      <c r="AH655" s="60" t="s">
        <v>382</v>
      </c>
      <c r="AI655" s="61" t="n">
        <f aca="false">(T655*(1-Painel!$C$40)+U655+V655+Painel!$C$41+Painel!$C$42*CEILING(G655/100,1)+Painel!$C$43*CEILING(G655,1)+Z655)/(1-Resumo!$B$5)</f>
        <v>94.3975795454545</v>
      </c>
      <c r="AJ655" s="60" t="str">
        <f aca="false">IF(AI655&lt;S655,"SIM","NÃO")</f>
        <v>NÃO</v>
      </c>
    </row>
    <row r="656" customFormat="false" ht="15" hidden="false" customHeight="false" outlineLevel="0" collapsed="false">
      <c r="A656" s="59" t="n">
        <v>46240.8684143519</v>
      </c>
      <c r="B656" s="60" t="s">
        <v>1012</v>
      </c>
      <c r="C656" s="60" t="n">
        <v>24900155</v>
      </c>
      <c r="D656" s="60" t="s">
        <v>220</v>
      </c>
      <c r="E656" s="60" t="s">
        <v>24</v>
      </c>
      <c r="F656" s="60" t="s">
        <v>240</v>
      </c>
      <c r="G656" s="60" t="n">
        <v>106.5</v>
      </c>
      <c r="H656" s="61" t="n">
        <v>1199.99</v>
      </c>
      <c r="I656" s="61" t="n">
        <v>119.5</v>
      </c>
      <c r="J656" s="61" t="n">
        <f aca="false">H656*Resumo!$C$6</f>
        <v>0</v>
      </c>
      <c r="K656" s="61" t="n">
        <f aca="false">H656*Resumo!$C$7</f>
        <v>2.519979</v>
      </c>
      <c r="L656" s="61" t="n">
        <f aca="false">H656*Resumo!$C$8</f>
        <v>2.519979</v>
      </c>
      <c r="M656" s="61" t="n">
        <f aca="false">Resumo!$C$10*CEILING(G656/100,1)</f>
        <v>2.1</v>
      </c>
      <c r="N656" s="61" t="n">
        <f aca="false">Resumo!$C$9</f>
        <v>0</v>
      </c>
      <c r="O656" s="61" t="n">
        <f aca="false">Resumo!$C$13</f>
        <v>13.55</v>
      </c>
      <c r="P656" s="61" t="n">
        <f aca="false">Resumo!$C$14*CEILING(G656,1)</f>
        <v>48.15</v>
      </c>
      <c r="Q656" s="61" t="n">
        <f aca="false">SUM(I656:P656)*Resumo!$C$11</f>
        <v>0</v>
      </c>
      <c r="R656" s="61" t="n">
        <f aca="false">SUM(I656:Q656)</f>
        <v>188.339958</v>
      </c>
      <c r="S656" s="61" t="n">
        <f aca="false">R656/(1-Resumo!$C$5)</f>
        <v>214.022679545455</v>
      </c>
      <c r="T656" s="61" t="n">
        <v>214.11</v>
      </c>
      <c r="U656" s="61" t="n">
        <f aca="false">H656*Resumo!$B$6</f>
        <v>1.19999</v>
      </c>
      <c r="V656" s="61" t="n">
        <f aca="false">H656*Resumo!$B$7</f>
        <v>2.39998</v>
      </c>
      <c r="W656" s="61" t="n">
        <f aca="false">Resumo!$B$9</f>
        <v>1</v>
      </c>
      <c r="X656" s="61" t="n">
        <f aca="false">Resumo!$B$10*CEILING(G656/100,1)</f>
        <v>9</v>
      </c>
      <c r="Y656" s="61" t="n">
        <f aca="false">Resumo!$B$12*CEILING(G656,1)</f>
        <v>6.42</v>
      </c>
      <c r="Z656" s="61" t="n">
        <f aca="false">Resumo!$B$14*CEILING(G656,1)</f>
        <v>48.15</v>
      </c>
      <c r="AA656" s="61" t="n">
        <f aca="false">SUM(T656:Z656)</f>
        <v>282.27997</v>
      </c>
      <c r="AB656" s="61" t="n">
        <f aca="false">AA656/(1-Resumo!$B$5)</f>
        <v>320.772693181818</v>
      </c>
      <c r="AC656" s="61" t="n">
        <f aca="false">AB656-S656</f>
        <v>106.750013636364</v>
      </c>
      <c r="AD656" s="62" t="n">
        <f aca="false">AB656/S656-1</f>
        <v>0.498778979232861</v>
      </c>
      <c r="AE656" s="60" t="str">
        <f aca="false">IF(AB656&lt;S656,"SIM","NÃO")</f>
        <v>NÃO</v>
      </c>
      <c r="AF656" s="60" t="n">
        <v>13</v>
      </c>
      <c r="AG656" s="60" t="n">
        <v>7</v>
      </c>
      <c r="AH656" s="60" t="s">
        <v>382</v>
      </c>
      <c r="AI656" s="61" t="n">
        <f aca="false">(T656*(1-Painel!$C$40)+U656+V656+Painel!$C$41+Painel!$C$42*CEILING(G656/100,1)+Painel!$C$43*CEILING(G656,1)+Z656)/(1-Resumo!$B$5)</f>
        <v>225.345079545455</v>
      </c>
      <c r="AJ656" s="60" t="str">
        <f aca="false">IF(AI656&lt;S656,"SIM","NÃO")</f>
        <v>NÃO</v>
      </c>
    </row>
    <row r="657" customFormat="false" ht="15" hidden="false" customHeight="false" outlineLevel="0" collapsed="false">
      <c r="A657" s="59" t="n">
        <v>46240.8778703704</v>
      </c>
      <c r="B657" s="60" t="s">
        <v>1013</v>
      </c>
      <c r="C657" s="60" t="n">
        <v>27255005</v>
      </c>
      <c r="D657" s="60" t="s">
        <v>217</v>
      </c>
      <c r="E657" s="60" t="s">
        <v>24</v>
      </c>
      <c r="F657" s="60" t="s">
        <v>236</v>
      </c>
      <c r="G657" s="60" t="n">
        <v>52.3</v>
      </c>
      <c r="H657" s="61" t="n">
        <v>685.85</v>
      </c>
      <c r="I657" s="61" t="n">
        <v>83.58</v>
      </c>
      <c r="J657" s="61" t="n">
        <f aca="false">H657*Resumo!$C$6</f>
        <v>0</v>
      </c>
      <c r="K657" s="61" t="n">
        <f aca="false">H657*Resumo!$C$7</f>
        <v>1.440285</v>
      </c>
      <c r="L657" s="61" t="n">
        <f aca="false">H657*Resumo!$C$8</f>
        <v>1.440285</v>
      </c>
      <c r="M657" s="61" t="n">
        <f aca="false">Resumo!$C$10*CEILING(G657/100,1)</f>
        <v>1.05</v>
      </c>
      <c r="N657" s="61" t="n">
        <f aca="false">Resumo!$C$9</f>
        <v>0</v>
      </c>
      <c r="O657" s="61" t="n">
        <f aca="false">Resumo!$C$13</f>
        <v>13.55</v>
      </c>
      <c r="P657" s="61" t="n">
        <f aca="false">Resumo!$C$14*CEILING(G657,1)</f>
        <v>23.85</v>
      </c>
      <c r="Q657" s="61" t="n">
        <f aca="false">SUM(I657:P657)*Resumo!$C$11</f>
        <v>0</v>
      </c>
      <c r="R657" s="61" t="n">
        <f aca="false">SUM(I657:Q657)</f>
        <v>124.91057</v>
      </c>
      <c r="S657" s="61" t="n">
        <f aca="false">R657/(1-Resumo!$C$5)</f>
        <v>141.943829545455</v>
      </c>
      <c r="T657" s="61" t="n">
        <v>142.32</v>
      </c>
      <c r="U657" s="61" t="n">
        <f aca="false">H657*Resumo!$B$6</f>
        <v>0.68585</v>
      </c>
      <c r="V657" s="61" t="n">
        <f aca="false">H657*Resumo!$B$7</f>
        <v>1.3717</v>
      </c>
      <c r="W657" s="61" t="n">
        <f aca="false">Resumo!$B$9</f>
        <v>1</v>
      </c>
      <c r="X657" s="61" t="n">
        <f aca="false">Resumo!$B$10*CEILING(G657/100,1)</f>
        <v>4.5</v>
      </c>
      <c r="Y657" s="61" t="n">
        <f aca="false">Resumo!$B$12*CEILING(G657,1)</f>
        <v>3.18</v>
      </c>
      <c r="Z657" s="61" t="n">
        <f aca="false">Resumo!$B$14*CEILING(G657,1)</f>
        <v>23.85</v>
      </c>
      <c r="AA657" s="61" t="n">
        <f aca="false">SUM(T657:Z657)</f>
        <v>176.90755</v>
      </c>
      <c r="AB657" s="61" t="n">
        <f aca="false">AA657/(1-Resumo!$B$5)</f>
        <v>201.031306818182</v>
      </c>
      <c r="AC657" s="61" t="n">
        <f aca="false">AB657-S657</f>
        <v>59.0874772727273</v>
      </c>
      <c r="AD657" s="62" t="n">
        <f aca="false">AB657/S657-1</f>
        <v>0.416273658826471</v>
      </c>
      <c r="AE657" s="60" t="str">
        <f aca="false">IF(AB657&lt;S657,"SIM","NÃO")</f>
        <v>NÃO</v>
      </c>
      <c r="AF657" s="60" t="n">
        <v>13</v>
      </c>
      <c r="AG657" s="60" t="n">
        <v>10</v>
      </c>
      <c r="AH657" s="60" t="s">
        <v>382</v>
      </c>
      <c r="AI657" s="61" t="n">
        <f aca="false">(T657*(1-Painel!$C$40)+U657+V657+Painel!$C$41+Painel!$C$42*CEILING(G657/100,1)+Painel!$C$43*CEILING(G657,1)+Z657)/(1-Resumo!$B$5)</f>
        <v>140.127215909091</v>
      </c>
      <c r="AJ657" s="60" t="str">
        <f aca="false">IF(AI657&lt;S657,"SIM","NÃO")</f>
        <v>SIM</v>
      </c>
    </row>
    <row r="658" customFormat="false" ht="15" hidden="false" customHeight="false" outlineLevel="0" collapsed="false">
      <c r="A658" s="59" t="n">
        <v>46240.8843865741</v>
      </c>
      <c r="B658" s="60" t="s">
        <v>1014</v>
      </c>
      <c r="C658" s="60" t="n">
        <v>23063152</v>
      </c>
      <c r="D658" s="60" t="s">
        <v>46</v>
      </c>
      <c r="E658" s="60" t="s">
        <v>22</v>
      </c>
      <c r="F658" s="60" t="s">
        <v>236</v>
      </c>
      <c r="G658" s="60" t="n">
        <v>52.3</v>
      </c>
      <c r="H658" s="61" t="n">
        <v>685.85</v>
      </c>
      <c r="I658" s="61" t="n">
        <v>58.6</v>
      </c>
      <c r="J658" s="61" t="n">
        <f aca="false">H658*Resumo!$C$6</f>
        <v>0</v>
      </c>
      <c r="K658" s="61" t="n">
        <f aca="false">H658*Resumo!$C$7</f>
        <v>1.440285</v>
      </c>
      <c r="L658" s="61" t="n">
        <f aca="false">H658*Resumo!$C$8</f>
        <v>1.440285</v>
      </c>
      <c r="M658" s="61" t="n">
        <f aca="false">Resumo!$C$10*CEILING(G658/100,1)</f>
        <v>1.05</v>
      </c>
      <c r="N658" s="61" t="n">
        <f aca="false">Resumo!$C$9</f>
        <v>0</v>
      </c>
      <c r="O658" s="61" t="n">
        <f aca="false">Resumo!$C$13</f>
        <v>13.55</v>
      </c>
      <c r="P658" s="61" t="n">
        <f aca="false">Resumo!$C$14*CEILING(G658,1)</f>
        <v>23.85</v>
      </c>
      <c r="Q658" s="61" t="n">
        <f aca="false">SUM(I658:P658)*Resumo!$C$11</f>
        <v>0</v>
      </c>
      <c r="R658" s="61" t="n">
        <f aca="false">SUM(I658:Q658)</f>
        <v>99.93057</v>
      </c>
      <c r="S658" s="61" t="n">
        <f aca="false">R658/(1-Resumo!$C$5)</f>
        <v>113.557465909091</v>
      </c>
      <c r="T658" s="61" t="n">
        <v>112.3</v>
      </c>
      <c r="U658" s="61" t="n">
        <f aca="false">H658*Resumo!$B$6</f>
        <v>0.68585</v>
      </c>
      <c r="V658" s="61" t="n">
        <f aca="false">H658*Resumo!$B$7</f>
        <v>1.3717</v>
      </c>
      <c r="W658" s="61" t="n">
        <f aca="false">Resumo!$B$9</f>
        <v>1</v>
      </c>
      <c r="X658" s="61" t="n">
        <f aca="false">Resumo!$B$10*CEILING(G658/100,1)</f>
        <v>4.5</v>
      </c>
      <c r="Y658" s="61" t="n">
        <f aca="false">Resumo!$B$12*CEILING(G658,1)</f>
        <v>3.18</v>
      </c>
      <c r="Z658" s="61" t="n">
        <f aca="false">Resumo!$B$14*CEILING(G658,1)</f>
        <v>23.85</v>
      </c>
      <c r="AA658" s="61" t="n">
        <f aca="false">SUM(T658:Z658)</f>
        <v>146.88755</v>
      </c>
      <c r="AB658" s="61" t="n">
        <f aca="false">AA658/(1-Resumo!$B$5)</f>
        <v>166.917670454545</v>
      </c>
      <c r="AC658" s="61" t="n">
        <f aca="false">AB658-S658</f>
        <v>53.3602045454545</v>
      </c>
      <c r="AD658" s="62" t="n">
        <f aca="false">AB658/S658-1</f>
        <v>0.4698960488267</v>
      </c>
      <c r="AE658" s="60" t="str">
        <f aca="false">IF(AB658&lt;S658,"SIM","NÃO")</f>
        <v>NÃO</v>
      </c>
      <c r="AF658" s="60" t="n">
        <v>2</v>
      </c>
      <c r="AG658" s="60" t="n">
        <v>5</v>
      </c>
      <c r="AH658" s="60" t="s">
        <v>382</v>
      </c>
      <c r="AI658" s="61" t="n">
        <f aca="false">(T658*(1-Painel!$C$40)+U658+V658+Painel!$C$41+Painel!$C$42*CEILING(G658/100,1)+Painel!$C$43*CEILING(G658,1)+Z658)/(1-Resumo!$B$5)</f>
        <v>117.271079545455</v>
      </c>
      <c r="AJ658" s="60" t="str">
        <f aca="false">IF(AI658&lt;S658,"SIM","NÃO")</f>
        <v>NÃO</v>
      </c>
    </row>
    <row r="659" customFormat="false" ht="15" hidden="false" customHeight="false" outlineLevel="0" collapsed="false">
      <c r="A659" s="59" t="n">
        <v>46240.9035532407</v>
      </c>
      <c r="B659" s="60" t="s">
        <v>1015</v>
      </c>
      <c r="C659" s="60" t="n">
        <v>21042070</v>
      </c>
      <c r="D659" s="60" t="s">
        <v>46</v>
      </c>
      <c r="E659" s="60" t="s">
        <v>22</v>
      </c>
      <c r="F659" s="60" t="s">
        <v>233</v>
      </c>
      <c r="G659" s="60" t="n">
        <v>22.4</v>
      </c>
      <c r="H659" s="61" t="n">
        <v>466.39</v>
      </c>
      <c r="I659" s="61" t="n">
        <v>42.11</v>
      </c>
      <c r="J659" s="61" t="n">
        <f aca="false">H659*Resumo!$C$6</f>
        <v>0</v>
      </c>
      <c r="K659" s="61" t="n">
        <f aca="false">H659*Resumo!$C$7</f>
        <v>0.979419</v>
      </c>
      <c r="L659" s="61" t="n">
        <f aca="false">H659*Resumo!$C$8</f>
        <v>0.979419</v>
      </c>
      <c r="M659" s="61" t="n">
        <f aca="false">Resumo!$C$10*CEILING(G659/100,1)</f>
        <v>1.05</v>
      </c>
      <c r="N659" s="61" t="n">
        <f aca="false">Resumo!$C$9</f>
        <v>0</v>
      </c>
      <c r="O659" s="61" t="n">
        <f aca="false">Resumo!$C$13</f>
        <v>13.55</v>
      </c>
      <c r="P659" s="61" t="n">
        <f aca="false">Resumo!$C$14*CEILING(G659,1)</f>
        <v>10.35</v>
      </c>
      <c r="Q659" s="61" t="n">
        <f aca="false">SUM(I659:P659)*Resumo!$C$11</f>
        <v>0</v>
      </c>
      <c r="R659" s="61" t="n">
        <f aca="false">SUM(I659:Q659)</f>
        <v>69.018838</v>
      </c>
      <c r="S659" s="61" t="n">
        <f aca="false">R659/(1-Resumo!$C$5)</f>
        <v>78.4304977272727</v>
      </c>
      <c r="T659" s="61" t="n">
        <v>82.21</v>
      </c>
      <c r="U659" s="61" t="n">
        <f aca="false">H659*Resumo!$B$6</f>
        <v>0.46639</v>
      </c>
      <c r="V659" s="61" t="n">
        <f aca="false">H659*Resumo!$B$7</f>
        <v>0.93278</v>
      </c>
      <c r="W659" s="61" t="n">
        <f aca="false">Resumo!$B$9</f>
        <v>1</v>
      </c>
      <c r="X659" s="61" t="n">
        <f aca="false">Resumo!$B$10*CEILING(G659/100,1)</f>
        <v>4.5</v>
      </c>
      <c r="Y659" s="61" t="n">
        <f aca="false">Resumo!$B$12*CEILING(G659,1)</f>
        <v>1.38</v>
      </c>
      <c r="Z659" s="61" t="n">
        <f aca="false">Resumo!$B$14*CEILING(G659,1)</f>
        <v>10.35</v>
      </c>
      <c r="AA659" s="61" t="n">
        <f aca="false">SUM(T659:Z659)</f>
        <v>100.83917</v>
      </c>
      <c r="AB659" s="61" t="n">
        <f aca="false">AA659/(1-Resumo!$B$5)</f>
        <v>114.589965909091</v>
      </c>
      <c r="AC659" s="61" t="n">
        <f aca="false">AB659-S659</f>
        <v>36.1594681818182</v>
      </c>
      <c r="AD659" s="62" t="n">
        <f aca="false">AB659/S659-1</f>
        <v>0.46103836172959</v>
      </c>
      <c r="AE659" s="60" t="str">
        <f aca="false">IF(AB659&lt;S659,"SIM","NÃO")</f>
        <v>NÃO</v>
      </c>
      <c r="AF659" s="60" t="n">
        <v>2</v>
      </c>
      <c r="AG659" s="60" t="n">
        <v>5</v>
      </c>
      <c r="AH659" s="60" t="s">
        <v>382</v>
      </c>
      <c r="AI659" s="61" t="n">
        <f aca="false">(T659*(1-Painel!$C$40)+U659+V659+Painel!$C$41+Painel!$C$42*CEILING(G659/100,1)+Painel!$C$43*CEILING(G659,1)+Z659)/(1-Resumo!$B$5)</f>
        <v>78.2725795454545</v>
      </c>
      <c r="AJ659" s="60" t="str">
        <f aca="false">IF(AI659&lt;S659,"SIM","NÃO")</f>
        <v>SIM</v>
      </c>
    </row>
    <row r="660" customFormat="false" ht="15" hidden="false" customHeight="false" outlineLevel="0" collapsed="false">
      <c r="A660" s="59" t="n">
        <v>46240.9112268519</v>
      </c>
      <c r="B660" s="60" t="s">
        <v>1016</v>
      </c>
      <c r="C660" s="60" t="n">
        <v>23914215</v>
      </c>
      <c r="D660" s="60" t="s">
        <v>218</v>
      </c>
      <c r="E660" s="60" t="s">
        <v>24</v>
      </c>
      <c r="F660" s="60" t="s">
        <v>234</v>
      </c>
      <c r="G660" s="60" t="n">
        <v>40</v>
      </c>
      <c r="H660" s="61" t="n">
        <v>599.99</v>
      </c>
      <c r="I660" s="61" t="n">
        <v>74.97</v>
      </c>
      <c r="J660" s="61" t="n">
        <f aca="false">H660*Resumo!$C$6</f>
        <v>0</v>
      </c>
      <c r="K660" s="61" t="n">
        <f aca="false">H660*Resumo!$C$7</f>
        <v>1.259979</v>
      </c>
      <c r="L660" s="61" t="n">
        <f aca="false">H660*Resumo!$C$8</f>
        <v>1.259979</v>
      </c>
      <c r="M660" s="61" t="n">
        <f aca="false">Resumo!$C$10*CEILING(G660/100,1)</f>
        <v>1.05</v>
      </c>
      <c r="N660" s="61" t="n">
        <f aca="false">Resumo!$C$9</f>
        <v>0</v>
      </c>
      <c r="O660" s="61" t="n">
        <f aca="false">Resumo!$C$13</f>
        <v>13.55</v>
      </c>
      <c r="P660" s="61" t="n">
        <f aca="false">Resumo!$C$14*CEILING(G660,1)</f>
        <v>18</v>
      </c>
      <c r="Q660" s="61" t="n">
        <f aca="false">SUM(I660:P660)*Resumo!$C$11</f>
        <v>0</v>
      </c>
      <c r="R660" s="61" t="n">
        <f aca="false">SUM(I660:Q660)</f>
        <v>110.089958</v>
      </c>
      <c r="S660" s="61" t="n">
        <f aca="false">R660/(1-Resumo!$C$5)</f>
        <v>125.102225</v>
      </c>
      <c r="T660" s="61" t="n">
        <v>124.38</v>
      </c>
      <c r="U660" s="61" t="n">
        <f aca="false">H660*Resumo!$B$6</f>
        <v>0.59999</v>
      </c>
      <c r="V660" s="61" t="n">
        <f aca="false">H660*Resumo!$B$7</f>
        <v>1.19998</v>
      </c>
      <c r="W660" s="61" t="n">
        <f aca="false">Resumo!$B$9</f>
        <v>1</v>
      </c>
      <c r="X660" s="61" t="n">
        <f aca="false">Resumo!$B$10*CEILING(G660/100,1)</f>
        <v>4.5</v>
      </c>
      <c r="Y660" s="61" t="n">
        <f aca="false">Resumo!$B$12*CEILING(G660,1)</f>
        <v>2.4</v>
      </c>
      <c r="Z660" s="61" t="n">
        <f aca="false">Resumo!$B$14*CEILING(G660,1)</f>
        <v>18</v>
      </c>
      <c r="AA660" s="61" t="n">
        <f aca="false">SUM(T660:Z660)</f>
        <v>152.07997</v>
      </c>
      <c r="AB660" s="61" t="n">
        <f aca="false">AA660/(1-Resumo!$B$5)</f>
        <v>172.818147727273</v>
      </c>
      <c r="AC660" s="61" t="n">
        <f aca="false">AB660-S660</f>
        <v>47.7159227272727</v>
      </c>
      <c r="AD660" s="62" t="n">
        <f aca="false">AB660/S660-1</f>
        <v>0.381415460254786</v>
      </c>
      <c r="AE660" s="60" t="str">
        <f aca="false">IF(AB660&lt;S660,"SIM","NÃO")</f>
        <v>NÃO</v>
      </c>
      <c r="AF660" s="60" t="n">
        <v>13</v>
      </c>
      <c r="AG660" s="60" t="n">
        <v>10</v>
      </c>
      <c r="AH660" s="60" t="s">
        <v>382</v>
      </c>
      <c r="AI660" s="61" t="n">
        <f aca="false">(T660*(1-Painel!$C$40)+U660+V660+Painel!$C$41+Painel!$C$42*CEILING(G660/100,1)+Painel!$C$43*CEILING(G660,1)+Z660)/(1-Resumo!$B$5)</f>
        <v>119.527920454545</v>
      </c>
      <c r="AJ660" s="60" t="str">
        <f aca="false">IF(AI660&lt;S660,"SIM","NÃO")</f>
        <v>SIM</v>
      </c>
    </row>
    <row r="661" customFormat="false" ht="15" hidden="false" customHeight="false" outlineLevel="0" collapsed="false">
      <c r="A661" s="59" t="n">
        <v>46240.9252430556</v>
      </c>
      <c r="B661" s="60" t="s">
        <v>1017</v>
      </c>
      <c r="C661" s="60" t="n">
        <v>24725229</v>
      </c>
      <c r="D661" s="60" t="s">
        <v>47</v>
      </c>
      <c r="E661" s="60" t="s">
        <v>23</v>
      </c>
      <c r="F661" s="60" t="s">
        <v>233</v>
      </c>
      <c r="G661" s="60" t="n">
        <v>20.9</v>
      </c>
      <c r="H661" s="61" t="n">
        <v>487.59</v>
      </c>
      <c r="I661" s="61" t="n">
        <v>58.8</v>
      </c>
      <c r="J661" s="61" t="n">
        <f aca="false">H661*Resumo!$C$6</f>
        <v>0</v>
      </c>
      <c r="K661" s="61" t="n">
        <f aca="false">H661*Resumo!$C$7</f>
        <v>1.023939</v>
      </c>
      <c r="L661" s="61" t="n">
        <f aca="false">H661*Resumo!$C$8</f>
        <v>1.023939</v>
      </c>
      <c r="M661" s="61" t="n">
        <f aca="false">Resumo!$C$10*CEILING(G661/100,1)</f>
        <v>1.05</v>
      </c>
      <c r="N661" s="61" t="n">
        <f aca="false">Resumo!$C$9</f>
        <v>0</v>
      </c>
      <c r="O661" s="61" t="n">
        <f aca="false">Resumo!$C$13</f>
        <v>13.55</v>
      </c>
      <c r="P661" s="61" t="n">
        <f aca="false">Resumo!$C$14*CEILING(G661,1)</f>
        <v>9.45</v>
      </c>
      <c r="Q661" s="61" t="n">
        <f aca="false">SUM(I661:P661)*Resumo!$C$11</f>
        <v>0</v>
      </c>
      <c r="R661" s="61" t="n">
        <f aca="false">SUM(I661:Q661)</f>
        <v>84.897878</v>
      </c>
      <c r="S661" s="61" t="n">
        <f aca="false">R661/(1-Resumo!$C$5)</f>
        <v>96.4748613636364</v>
      </c>
      <c r="T661" s="61" t="n">
        <v>100.58</v>
      </c>
      <c r="U661" s="61" t="n">
        <f aca="false">H661*Resumo!$B$6</f>
        <v>0.48759</v>
      </c>
      <c r="V661" s="61" t="n">
        <f aca="false">H661*Resumo!$B$7</f>
        <v>0.97518</v>
      </c>
      <c r="W661" s="61" t="n">
        <f aca="false">Resumo!$B$9</f>
        <v>1</v>
      </c>
      <c r="X661" s="61" t="n">
        <f aca="false">Resumo!$B$10*CEILING(G661/100,1)</f>
        <v>4.5</v>
      </c>
      <c r="Y661" s="61" t="n">
        <f aca="false">Resumo!$B$12*CEILING(G661,1)</f>
        <v>1.26</v>
      </c>
      <c r="Z661" s="61" t="n">
        <f aca="false">Resumo!$B$14*CEILING(G661,1)</f>
        <v>9.45</v>
      </c>
      <c r="AA661" s="61" t="n">
        <f aca="false">SUM(T661:Z661)</f>
        <v>118.25277</v>
      </c>
      <c r="AB661" s="61" t="n">
        <f aca="false">AA661/(1-Resumo!$B$5)</f>
        <v>134.378147727273</v>
      </c>
      <c r="AC661" s="61" t="n">
        <f aca="false">AB661-S661</f>
        <v>37.9032863636364</v>
      </c>
      <c r="AD661" s="62" t="n">
        <f aca="false">AB661/S661-1</f>
        <v>0.392882517040061</v>
      </c>
      <c r="AE661" s="60" t="str">
        <f aca="false">IF(AB661&lt;S661,"SIM","NÃO")</f>
        <v>NÃO</v>
      </c>
      <c r="AF661" s="60" t="n">
        <v>2</v>
      </c>
      <c r="AG661" s="60" t="n">
        <v>7</v>
      </c>
      <c r="AH661" s="60" t="s">
        <v>382</v>
      </c>
      <c r="AI661" s="61" t="n">
        <f aca="false">(T661*(1-Painel!$C$40)+U661+V661+Painel!$C$41+Painel!$C$42*CEILING(G661/100,1)+Painel!$C$43*CEILING(G661,1)+Z661)/(1-Resumo!$B$5)</f>
        <v>91.308375</v>
      </c>
      <c r="AJ661" s="60" t="str">
        <f aca="false">IF(AI661&lt;S661,"SIM","NÃO")</f>
        <v>SIM</v>
      </c>
    </row>
    <row r="662" customFormat="false" ht="15" hidden="false" customHeight="false" outlineLevel="0" collapsed="false">
      <c r="A662" s="59" t="n">
        <v>46240.9266319444</v>
      </c>
      <c r="B662" s="60" t="s">
        <v>1018</v>
      </c>
      <c r="C662" s="60" t="n">
        <v>25213152</v>
      </c>
      <c r="D662" s="60" t="s">
        <v>48</v>
      </c>
      <c r="E662" s="60" t="s">
        <v>23</v>
      </c>
      <c r="F662" s="60" t="s">
        <v>237</v>
      </c>
      <c r="G662" s="60" t="n">
        <v>63.9</v>
      </c>
      <c r="H662" s="61" t="n">
        <v>735.99</v>
      </c>
      <c r="I662" s="61" t="n">
        <v>76.55</v>
      </c>
      <c r="J662" s="61" t="n">
        <f aca="false">H662*Resumo!$C$6</f>
        <v>0</v>
      </c>
      <c r="K662" s="61" t="n">
        <f aca="false">H662*Resumo!$C$7</f>
        <v>1.545579</v>
      </c>
      <c r="L662" s="61" t="n">
        <f aca="false">H662*Resumo!$C$8</f>
        <v>1.545579</v>
      </c>
      <c r="M662" s="61" t="n">
        <f aca="false">Resumo!$C$10*CEILING(G662/100,1)</f>
        <v>1.05</v>
      </c>
      <c r="N662" s="61" t="n">
        <f aca="false">Resumo!$C$9</f>
        <v>0</v>
      </c>
      <c r="O662" s="61" t="n">
        <f aca="false">Resumo!$C$13</f>
        <v>13.55</v>
      </c>
      <c r="P662" s="61" t="n">
        <f aca="false">Resumo!$C$14*CEILING(G662,1)</f>
        <v>28.8</v>
      </c>
      <c r="Q662" s="61" t="n">
        <f aca="false">SUM(I662:P662)*Resumo!$C$11</f>
        <v>0</v>
      </c>
      <c r="R662" s="61" t="n">
        <f aca="false">SUM(I662:Q662)</f>
        <v>123.041158</v>
      </c>
      <c r="S662" s="61" t="n">
        <f aca="false">R662/(1-Resumo!$C$5)</f>
        <v>139.819497727273</v>
      </c>
      <c r="T662" s="61" t="n">
        <v>131.02</v>
      </c>
      <c r="U662" s="61" t="n">
        <f aca="false">H662*Resumo!$B$6</f>
        <v>0.73599</v>
      </c>
      <c r="V662" s="61" t="n">
        <f aca="false">H662*Resumo!$B$7</f>
        <v>1.47198</v>
      </c>
      <c r="W662" s="61" t="n">
        <f aca="false">Resumo!$B$9</f>
        <v>1</v>
      </c>
      <c r="X662" s="61" t="n">
        <f aca="false">Resumo!$B$10*CEILING(G662/100,1)</f>
        <v>4.5</v>
      </c>
      <c r="Y662" s="61" t="n">
        <f aca="false">Resumo!$B$12*CEILING(G662,1)</f>
        <v>3.84</v>
      </c>
      <c r="Z662" s="61" t="n">
        <f aca="false">Resumo!$B$14*CEILING(G662,1)</f>
        <v>28.8</v>
      </c>
      <c r="AA662" s="61" t="n">
        <f aca="false">SUM(T662:Z662)</f>
        <v>171.36797</v>
      </c>
      <c r="AB662" s="61" t="n">
        <f aca="false">AA662/(1-Resumo!$B$5)</f>
        <v>194.736329545455</v>
      </c>
      <c r="AC662" s="61" t="n">
        <f aca="false">AB662-S662</f>
        <v>54.9168318181818</v>
      </c>
      <c r="AD662" s="62" t="n">
        <f aca="false">AB662/S662-1</f>
        <v>0.392769482874991</v>
      </c>
      <c r="AE662" s="60" t="str">
        <f aca="false">IF(AB662&lt;S662,"SIM","NÃO")</f>
        <v>NÃO</v>
      </c>
      <c r="AF662" s="60" t="n">
        <v>2</v>
      </c>
      <c r="AG662" s="60" t="n">
        <v>5</v>
      </c>
      <c r="AH662" s="60" t="s">
        <v>382</v>
      </c>
      <c r="AI662" s="61" t="n">
        <f aca="false">(T662*(1-Painel!$C$40)+U662+V662+Painel!$C$41+Painel!$C$42*CEILING(G662/100,1)+Painel!$C$43*CEILING(G662,1)+Z662)/(1-Resumo!$B$5)</f>
        <v>137.319738636364</v>
      </c>
      <c r="AJ662" s="60" t="str">
        <f aca="false">IF(AI662&lt;S662,"SIM","NÃO")</f>
        <v>SIM</v>
      </c>
    </row>
    <row r="663" customFormat="false" ht="15" hidden="false" customHeight="false" outlineLevel="0" collapsed="false">
      <c r="A663" s="59" t="n">
        <v>46240.9313888889</v>
      </c>
      <c r="B663" s="60" t="s">
        <v>1019</v>
      </c>
      <c r="C663" s="60" t="n">
        <v>27262470</v>
      </c>
      <c r="D663" s="60" t="s">
        <v>217</v>
      </c>
      <c r="E663" s="60" t="s">
        <v>24</v>
      </c>
      <c r="F663" s="60" t="s">
        <v>234</v>
      </c>
      <c r="G663" s="60" t="n">
        <v>36</v>
      </c>
      <c r="H663" s="61" t="n">
        <v>449.99</v>
      </c>
      <c r="I663" s="61" t="n">
        <v>74.97</v>
      </c>
      <c r="J663" s="61" t="n">
        <f aca="false">H663*Resumo!$C$6</f>
        <v>0</v>
      </c>
      <c r="K663" s="61" t="n">
        <f aca="false">H663*Resumo!$C$7</f>
        <v>0.944979</v>
      </c>
      <c r="L663" s="61" t="n">
        <f aca="false">H663*Resumo!$C$8</f>
        <v>0.944979</v>
      </c>
      <c r="M663" s="61" t="n">
        <f aca="false">Resumo!$C$10*CEILING(G663/100,1)</f>
        <v>1.05</v>
      </c>
      <c r="N663" s="61" t="n">
        <f aca="false">Resumo!$C$9</f>
        <v>0</v>
      </c>
      <c r="O663" s="61" t="n">
        <f aca="false">Resumo!$C$13</f>
        <v>13.55</v>
      </c>
      <c r="P663" s="61" t="n">
        <f aca="false">Resumo!$C$14*CEILING(G663,1)</f>
        <v>16.2</v>
      </c>
      <c r="Q663" s="61" t="n">
        <f aca="false">SUM(I663:P663)*Resumo!$C$11</f>
        <v>0</v>
      </c>
      <c r="R663" s="61" t="n">
        <f aca="false">SUM(I663:Q663)</f>
        <v>107.659958</v>
      </c>
      <c r="S663" s="61" t="n">
        <f aca="false">R663/(1-Resumo!$C$5)</f>
        <v>122.340861363636</v>
      </c>
      <c r="T663" s="61" t="n">
        <v>124.38</v>
      </c>
      <c r="U663" s="61" t="n">
        <f aca="false">H663*Resumo!$B$6</f>
        <v>0.44999</v>
      </c>
      <c r="V663" s="61" t="n">
        <f aca="false">H663*Resumo!$B$7</f>
        <v>0.89998</v>
      </c>
      <c r="W663" s="61" t="n">
        <f aca="false">Resumo!$B$9</f>
        <v>1</v>
      </c>
      <c r="X663" s="61" t="n">
        <f aca="false">Resumo!$B$10*CEILING(G663/100,1)</f>
        <v>4.5</v>
      </c>
      <c r="Y663" s="61" t="n">
        <f aca="false">Resumo!$B$12*CEILING(G663,1)</f>
        <v>2.16</v>
      </c>
      <c r="Z663" s="61" t="n">
        <f aca="false">Resumo!$B$14*CEILING(G663,1)</f>
        <v>16.2</v>
      </c>
      <c r="AA663" s="61" t="n">
        <f aca="false">SUM(T663:Z663)</f>
        <v>149.58997</v>
      </c>
      <c r="AB663" s="61" t="n">
        <f aca="false">AA663/(1-Resumo!$B$5)</f>
        <v>169.988602272727</v>
      </c>
      <c r="AC663" s="61" t="n">
        <f aca="false">AB663-S663</f>
        <v>47.6477409090909</v>
      </c>
      <c r="AD663" s="62" t="n">
        <f aca="false">AB663/S663-1</f>
        <v>0.389467103451777</v>
      </c>
      <c r="AE663" s="60" t="str">
        <f aca="false">IF(AB663&lt;S663,"SIM","NÃO")</f>
        <v>NÃO</v>
      </c>
      <c r="AF663" s="60" t="n">
        <v>13</v>
      </c>
      <c r="AG663" s="60" t="n">
        <v>10</v>
      </c>
      <c r="AH663" s="60" t="s">
        <v>382</v>
      </c>
      <c r="AI663" s="61" t="n">
        <f aca="false">(T663*(1-Painel!$C$40)+U663+V663+Painel!$C$41+Painel!$C$42*CEILING(G663/100,1)+Painel!$C$43*CEILING(G663,1)+Z663)/(1-Resumo!$B$5)</f>
        <v>116.971102272727</v>
      </c>
      <c r="AJ663" s="60" t="str">
        <f aca="false">IF(AI663&lt;S663,"SIM","NÃO")</f>
        <v>SIM</v>
      </c>
    </row>
    <row r="664" customFormat="false" ht="15" hidden="false" customHeight="false" outlineLevel="0" collapsed="false">
      <c r="A664" s="59" t="n">
        <v>46240.9336805556</v>
      </c>
      <c r="B664" s="60" t="s">
        <v>1020</v>
      </c>
      <c r="C664" s="60" t="n">
        <v>21211740</v>
      </c>
      <c r="D664" s="60" t="s">
        <v>46</v>
      </c>
      <c r="E664" s="60" t="s">
        <v>22</v>
      </c>
      <c r="F664" s="60" t="s">
        <v>237</v>
      </c>
      <c r="G664" s="60" t="n">
        <v>69.15</v>
      </c>
      <c r="H664" s="61" t="n">
        <v>707</v>
      </c>
      <c r="I664" s="61" t="n">
        <v>63.21</v>
      </c>
      <c r="J664" s="61" t="n">
        <f aca="false">H664*Resumo!$C$6</f>
        <v>0</v>
      </c>
      <c r="K664" s="61" t="n">
        <f aca="false">H664*Resumo!$C$7</f>
        <v>1.4847</v>
      </c>
      <c r="L664" s="61" t="n">
        <f aca="false">H664*Resumo!$C$8</f>
        <v>1.4847</v>
      </c>
      <c r="M664" s="61" t="n">
        <f aca="false">Resumo!$C$10*CEILING(G664/100,1)</f>
        <v>1.05</v>
      </c>
      <c r="N664" s="61" t="n">
        <f aca="false">Resumo!$C$9</f>
        <v>0</v>
      </c>
      <c r="O664" s="61" t="n">
        <f aca="false">Resumo!$C$13</f>
        <v>13.55</v>
      </c>
      <c r="P664" s="61" t="n">
        <f aca="false">Resumo!$C$14*CEILING(G664,1)</f>
        <v>31.5</v>
      </c>
      <c r="Q664" s="61" t="n">
        <f aca="false">SUM(I664:P664)*Resumo!$C$11</f>
        <v>0</v>
      </c>
      <c r="R664" s="61" t="n">
        <f aca="false">SUM(I664:Q664)</f>
        <v>112.2794</v>
      </c>
      <c r="S664" s="61" t="n">
        <f aca="false">R664/(1-Resumo!$C$5)</f>
        <v>127.590227272727</v>
      </c>
      <c r="T664" s="61" t="n">
        <v>131.02</v>
      </c>
      <c r="U664" s="61" t="n">
        <f aca="false">H664*Resumo!$B$6</f>
        <v>0.707</v>
      </c>
      <c r="V664" s="61" t="n">
        <f aca="false">H664*Resumo!$B$7</f>
        <v>1.414</v>
      </c>
      <c r="W664" s="61" t="n">
        <f aca="false">Resumo!$B$9</f>
        <v>1</v>
      </c>
      <c r="X664" s="61" t="n">
        <f aca="false">Resumo!$B$10*CEILING(G664/100,1)</f>
        <v>4.5</v>
      </c>
      <c r="Y664" s="61" t="n">
        <f aca="false">Resumo!$B$12*CEILING(G664,1)</f>
        <v>4.2</v>
      </c>
      <c r="Z664" s="61" t="n">
        <f aca="false">Resumo!$B$14*CEILING(G664,1)</f>
        <v>31.5</v>
      </c>
      <c r="AA664" s="61" t="n">
        <f aca="false">SUM(T664:Z664)</f>
        <v>174.341</v>
      </c>
      <c r="AB664" s="61" t="n">
        <f aca="false">AA664/(1-Resumo!$B$5)</f>
        <v>198.114772727273</v>
      </c>
      <c r="AC664" s="61" t="n">
        <f aca="false">AB664-S664</f>
        <v>70.5245454545455</v>
      </c>
      <c r="AD664" s="62" t="n">
        <f aca="false">AB664/S664-1</f>
        <v>0.552742533358746</v>
      </c>
      <c r="AE664" s="60" t="str">
        <f aca="false">IF(AB664&lt;S664,"SIM","NÃO")</f>
        <v>NÃO</v>
      </c>
      <c r="AF664" s="60" t="n">
        <v>2</v>
      </c>
      <c r="AG664" s="60" t="n">
        <v>5</v>
      </c>
      <c r="AH664" s="60" t="s">
        <v>382</v>
      </c>
      <c r="AI664" s="61" t="n">
        <f aca="false">(T664*(1-Painel!$C$40)+U664+V664+Painel!$C$41+Painel!$C$42*CEILING(G664/100,1)+Painel!$C$43*CEILING(G664,1)+Z664)/(1-Resumo!$B$5)</f>
        <v>140.289090909091</v>
      </c>
      <c r="AJ664" s="60" t="str">
        <f aca="false">IF(AI664&lt;S664,"SIM","NÃO")</f>
        <v>NÃO</v>
      </c>
    </row>
    <row r="665" customFormat="false" ht="15" hidden="false" customHeight="false" outlineLevel="0" collapsed="false">
      <c r="A665" s="59" t="n">
        <v>46240.9584953704</v>
      </c>
      <c r="B665" s="60" t="s">
        <v>1021</v>
      </c>
      <c r="C665" s="60" t="n">
        <v>28030350</v>
      </c>
      <c r="D665" s="60" t="s">
        <v>51</v>
      </c>
      <c r="E665" s="60" t="s">
        <v>24</v>
      </c>
      <c r="F665" s="60" t="s">
        <v>240</v>
      </c>
      <c r="G665" s="60" t="n">
        <v>106.5</v>
      </c>
      <c r="H665" s="61" t="n">
        <v>1199.99</v>
      </c>
      <c r="I665" s="61" t="n">
        <v>119.5</v>
      </c>
      <c r="J665" s="61" t="n">
        <f aca="false">H665*Resumo!$C$6</f>
        <v>0</v>
      </c>
      <c r="K665" s="61" t="n">
        <f aca="false">H665*Resumo!$C$7</f>
        <v>2.519979</v>
      </c>
      <c r="L665" s="61" t="n">
        <f aca="false">H665*Resumo!$C$8</f>
        <v>2.519979</v>
      </c>
      <c r="M665" s="61" t="n">
        <f aca="false">Resumo!$C$10*CEILING(G665/100,1)</f>
        <v>2.1</v>
      </c>
      <c r="N665" s="61" t="n">
        <f aca="false">Resumo!$C$9</f>
        <v>0</v>
      </c>
      <c r="O665" s="61" t="n">
        <f aca="false">Resumo!$C$13</f>
        <v>13.55</v>
      </c>
      <c r="P665" s="61" t="n">
        <f aca="false">Resumo!$C$14*CEILING(G665,1)</f>
        <v>48.15</v>
      </c>
      <c r="Q665" s="61" t="n">
        <f aca="false">SUM(I665:P665)*Resumo!$C$11</f>
        <v>0</v>
      </c>
      <c r="R665" s="61" t="n">
        <f aca="false">SUM(I665:Q665)</f>
        <v>188.339958</v>
      </c>
      <c r="S665" s="61" t="n">
        <f aca="false">R665/(1-Resumo!$C$5)</f>
        <v>214.022679545455</v>
      </c>
      <c r="T665" s="61" t="n">
        <v>236.82</v>
      </c>
      <c r="U665" s="61" t="n">
        <f aca="false">H665*Resumo!$B$6</f>
        <v>1.19999</v>
      </c>
      <c r="V665" s="61" t="n">
        <f aca="false">H665*Resumo!$B$7</f>
        <v>2.39998</v>
      </c>
      <c r="W665" s="61" t="n">
        <f aca="false">Resumo!$B$9</f>
        <v>1</v>
      </c>
      <c r="X665" s="61" t="n">
        <f aca="false">Resumo!$B$10*CEILING(G665/100,1)</f>
        <v>9</v>
      </c>
      <c r="Y665" s="61" t="n">
        <f aca="false">Resumo!$B$12*CEILING(G665,1)</f>
        <v>6.42</v>
      </c>
      <c r="Z665" s="61" t="n">
        <f aca="false">Resumo!$B$14*CEILING(G665,1)</f>
        <v>48.15</v>
      </c>
      <c r="AA665" s="61" t="n">
        <f aca="false">SUM(T665:Z665)</f>
        <v>304.98997</v>
      </c>
      <c r="AB665" s="61" t="n">
        <f aca="false">AA665/(1-Resumo!$B$5)</f>
        <v>346.579511363636</v>
      </c>
      <c r="AC665" s="61" t="n">
        <f aca="false">AB665-S665</f>
        <v>132.556831818182</v>
      </c>
      <c r="AD665" s="62" t="n">
        <f aca="false">AB665/S665-1</f>
        <v>0.619358808607146</v>
      </c>
      <c r="AE665" s="60" t="str">
        <f aca="false">IF(AB665&lt;S665,"SIM","NÃO")</f>
        <v>NÃO</v>
      </c>
      <c r="AF665" s="60" t="n">
        <v>13</v>
      </c>
      <c r="AG665" s="60" t="n">
        <v>11</v>
      </c>
      <c r="AH665" s="60" t="s">
        <v>382</v>
      </c>
      <c r="AI665" s="61" t="n">
        <f aca="false">(T665*(1-Painel!$C$40)+U665+V665+Painel!$C$41+Painel!$C$42*CEILING(G665/100,1)+Painel!$C$43*CEILING(G665,1)+Z665)/(1-Resumo!$B$5)</f>
        <v>242.635647727273</v>
      </c>
      <c r="AJ665" s="60" t="str">
        <f aca="false">IF(AI665&lt;S665,"SIM","NÃO")</f>
        <v>NÃO</v>
      </c>
    </row>
    <row r="666" customFormat="false" ht="15" hidden="false" customHeight="false" outlineLevel="0" collapsed="false">
      <c r="A666" s="59" t="n">
        <v>46241.0879513889</v>
      </c>
      <c r="B666" s="60" t="s">
        <v>1022</v>
      </c>
      <c r="C666" s="60" t="n">
        <v>24472160</v>
      </c>
      <c r="D666" s="60" t="s">
        <v>47</v>
      </c>
      <c r="E666" s="60" t="s">
        <v>23</v>
      </c>
      <c r="F666" s="60" t="s">
        <v>237</v>
      </c>
      <c r="G666" s="60" t="n">
        <v>61.5</v>
      </c>
      <c r="H666" s="61" t="n">
        <v>726.79</v>
      </c>
      <c r="I666" s="61" t="n">
        <v>76.55</v>
      </c>
      <c r="J666" s="61" t="n">
        <f aca="false">H666*Resumo!$C$6</f>
        <v>0</v>
      </c>
      <c r="K666" s="61" t="n">
        <f aca="false">H666*Resumo!$C$7</f>
        <v>1.526259</v>
      </c>
      <c r="L666" s="61" t="n">
        <f aca="false">H666*Resumo!$C$8</f>
        <v>1.526259</v>
      </c>
      <c r="M666" s="61" t="n">
        <f aca="false">Resumo!$C$10*CEILING(G666/100,1)</f>
        <v>1.05</v>
      </c>
      <c r="N666" s="61" t="n">
        <f aca="false">Resumo!$C$9</f>
        <v>0</v>
      </c>
      <c r="O666" s="61" t="n">
        <f aca="false">Resumo!$C$13</f>
        <v>13.55</v>
      </c>
      <c r="P666" s="61" t="n">
        <f aca="false">Resumo!$C$14*CEILING(G666,1)</f>
        <v>27.9</v>
      </c>
      <c r="Q666" s="61" t="n">
        <f aca="false">SUM(I666:P666)*Resumo!$C$11</f>
        <v>0</v>
      </c>
      <c r="R666" s="61" t="n">
        <f aca="false">SUM(I666:Q666)</f>
        <v>122.102518</v>
      </c>
      <c r="S666" s="61" t="n">
        <f aca="false">R666/(1-Resumo!$C$5)</f>
        <v>138.752861363636</v>
      </c>
      <c r="T666" s="61" t="n">
        <v>149.5</v>
      </c>
      <c r="U666" s="61" t="n">
        <f aca="false">H666*Resumo!$B$6</f>
        <v>0.72679</v>
      </c>
      <c r="V666" s="61" t="n">
        <f aca="false">H666*Resumo!$B$7</f>
        <v>1.45358</v>
      </c>
      <c r="W666" s="61" t="n">
        <f aca="false">Resumo!$B$9</f>
        <v>1</v>
      </c>
      <c r="X666" s="61" t="n">
        <f aca="false">Resumo!$B$10*CEILING(G666/100,1)</f>
        <v>4.5</v>
      </c>
      <c r="Y666" s="61" t="n">
        <f aca="false">Resumo!$B$12*CEILING(G666,1)</f>
        <v>3.72</v>
      </c>
      <c r="Z666" s="61" t="n">
        <f aca="false">Resumo!$B$14*CEILING(G666,1)</f>
        <v>27.9</v>
      </c>
      <c r="AA666" s="61" t="n">
        <f aca="false">SUM(T666:Z666)</f>
        <v>188.80037</v>
      </c>
      <c r="AB666" s="61" t="n">
        <f aca="false">AA666/(1-Resumo!$B$5)</f>
        <v>214.545875</v>
      </c>
      <c r="AC666" s="61" t="n">
        <f aca="false">AB666-S666</f>
        <v>75.7930136363637</v>
      </c>
      <c r="AD666" s="62" t="n">
        <f aca="false">AB666/S666-1</f>
        <v>0.546244689237285</v>
      </c>
      <c r="AE666" s="60" t="str">
        <f aca="false">IF(AB666&lt;S666,"SIM","NÃO")</f>
        <v>NÃO</v>
      </c>
      <c r="AF666" s="60" t="n">
        <v>2</v>
      </c>
      <c r="AG666" s="60" t="n">
        <v>7</v>
      </c>
      <c r="AH666" s="60" t="s">
        <v>382</v>
      </c>
      <c r="AI666" s="61" t="n">
        <f aca="false">(T666*(1-Painel!$C$40)+U666+V666+Painel!$C$41+Painel!$C$42*CEILING(G666/100,1)+Painel!$C$43*CEILING(G666,1)+Z666)/(1-Resumo!$B$5)</f>
        <v>150.335647727273</v>
      </c>
      <c r="AJ666" s="60" t="str">
        <f aca="false">IF(AI666&lt;S666,"SIM","NÃO")</f>
        <v>NÃO</v>
      </c>
    </row>
    <row r="667" customFormat="false" ht="15" hidden="false" customHeight="false" outlineLevel="0" collapsed="false">
      <c r="A667" s="59" t="n">
        <v>46241.3121527778</v>
      </c>
      <c r="B667" s="60" t="s">
        <v>1023</v>
      </c>
      <c r="C667" s="60" t="n">
        <v>25015005</v>
      </c>
      <c r="D667" s="60" t="s">
        <v>48</v>
      </c>
      <c r="E667" s="60" t="s">
        <v>23</v>
      </c>
      <c r="F667" s="60" t="s">
        <v>241</v>
      </c>
      <c r="G667" s="60" t="n">
        <v>145.8</v>
      </c>
      <c r="H667" s="61" t="n">
        <v>1559.99</v>
      </c>
      <c r="I667" s="61" t="n">
        <v>129.62</v>
      </c>
      <c r="J667" s="61" t="n">
        <f aca="false">H667*Resumo!$C$6</f>
        <v>0</v>
      </c>
      <c r="K667" s="61" t="n">
        <f aca="false">H667*Resumo!$C$7</f>
        <v>3.275979</v>
      </c>
      <c r="L667" s="61" t="n">
        <f aca="false">H667*Resumo!$C$8</f>
        <v>3.275979</v>
      </c>
      <c r="M667" s="61" t="n">
        <f aca="false">Resumo!$C$10*CEILING(G667/100,1)</f>
        <v>2.1</v>
      </c>
      <c r="N667" s="61" t="n">
        <f aca="false">Resumo!$C$9</f>
        <v>0</v>
      </c>
      <c r="O667" s="61" t="n">
        <f aca="false">Resumo!$C$13</f>
        <v>13.55</v>
      </c>
      <c r="P667" s="61" t="n">
        <f aca="false">Resumo!$C$14*CEILING(G667,1)</f>
        <v>65.7</v>
      </c>
      <c r="Q667" s="61" t="n">
        <f aca="false">SUM(I667:P667)*Resumo!$C$11</f>
        <v>0</v>
      </c>
      <c r="R667" s="61" t="n">
        <f aca="false">SUM(I667:Q667)</f>
        <v>217.521958</v>
      </c>
      <c r="S667" s="61" t="n">
        <f aca="false">R667/(1-Resumo!$C$5)</f>
        <v>247.184043181818</v>
      </c>
      <c r="T667" s="61" t="n">
        <v>239.25</v>
      </c>
      <c r="U667" s="61" t="n">
        <f aca="false">H667*Resumo!$B$6</f>
        <v>1.55999</v>
      </c>
      <c r="V667" s="61" t="n">
        <f aca="false">H667*Resumo!$B$7</f>
        <v>3.11998</v>
      </c>
      <c r="W667" s="61" t="n">
        <f aca="false">Resumo!$B$9</f>
        <v>1</v>
      </c>
      <c r="X667" s="61" t="n">
        <f aca="false">Resumo!$B$10*CEILING(G667/100,1)</f>
        <v>9</v>
      </c>
      <c r="Y667" s="61" t="n">
        <f aca="false">Resumo!$B$12*CEILING(G667,1)</f>
        <v>8.76</v>
      </c>
      <c r="Z667" s="61" t="n">
        <f aca="false">Resumo!$B$14*CEILING(G667,1)</f>
        <v>65.7</v>
      </c>
      <c r="AA667" s="61" t="n">
        <f aca="false">SUM(T667:Z667)</f>
        <v>328.38997</v>
      </c>
      <c r="AB667" s="61" t="n">
        <f aca="false">AA667/(1-Resumo!$B$5)</f>
        <v>373.170420454546</v>
      </c>
      <c r="AC667" s="61" t="n">
        <f aca="false">AB667-S667</f>
        <v>125.986377272727</v>
      </c>
      <c r="AD667" s="62" t="n">
        <f aca="false">AB667/S667-1</f>
        <v>0.509686530129524</v>
      </c>
      <c r="AE667" s="60" t="str">
        <f aca="false">IF(AB667&lt;S667,"SIM","NÃO")</f>
        <v>NÃO</v>
      </c>
      <c r="AF667" s="60" t="n">
        <v>2</v>
      </c>
      <c r="AG667" s="60" t="n">
        <v>5</v>
      </c>
      <c r="AH667" s="60" t="s">
        <v>382</v>
      </c>
      <c r="AI667" s="61" t="n">
        <f aca="false">(T667*(1-Painel!$C$40)+U667+V667+Painel!$C$41+Painel!$C$42*CEILING(G667/100,1)+Painel!$C$43*CEILING(G667,1)+Z667)/(1-Resumo!$B$5)</f>
        <v>265.656215909091</v>
      </c>
      <c r="AJ667" s="60" t="str">
        <f aca="false">IF(AI667&lt;S667,"SIM","NÃO")</f>
        <v>NÃO</v>
      </c>
    </row>
    <row r="668" customFormat="false" ht="15" hidden="false" customHeight="false" outlineLevel="0" collapsed="false">
      <c r="A668" s="59" t="n">
        <v>46241.3949305556</v>
      </c>
      <c r="B668" s="60" t="s">
        <v>1024</v>
      </c>
      <c r="C668" s="60" t="n">
        <v>21555150</v>
      </c>
      <c r="D668" s="60" t="s">
        <v>46</v>
      </c>
      <c r="E668" s="60" t="s">
        <v>22</v>
      </c>
      <c r="F668" s="60" t="s">
        <v>232</v>
      </c>
      <c r="G668" s="60" t="n">
        <v>19.5</v>
      </c>
      <c r="H668" s="61" t="n">
        <v>459.99</v>
      </c>
      <c r="I668" s="61" t="n">
        <v>33.42</v>
      </c>
      <c r="J668" s="61" t="n">
        <f aca="false">H668*Resumo!$C$6</f>
        <v>0</v>
      </c>
      <c r="K668" s="61" t="n">
        <f aca="false">H668*Resumo!$C$7</f>
        <v>0.965979</v>
      </c>
      <c r="L668" s="61" t="n">
        <f aca="false">H668*Resumo!$C$8</f>
        <v>0.965979</v>
      </c>
      <c r="M668" s="61" t="n">
        <f aca="false">Resumo!$C$10*CEILING(G668/100,1)</f>
        <v>1.05</v>
      </c>
      <c r="N668" s="61" t="n">
        <f aca="false">Resumo!$C$9</f>
        <v>0</v>
      </c>
      <c r="O668" s="61" t="n">
        <f aca="false">Resumo!$C$13</f>
        <v>13.55</v>
      </c>
      <c r="P668" s="61" t="n">
        <f aca="false">Resumo!$C$14*CEILING(G668,1)</f>
        <v>9</v>
      </c>
      <c r="Q668" s="61" t="n">
        <f aca="false">SUM(I668:P668)*Resumo!$C$11</f>
        <v>0</v>
      </c>
      <c r="R668" s="61" t="n">
        <f aca="false">SUM(I668:Q668)</f>
        <v>58.951958</v>
      </c>
      <c r="S668" s="61" t="n">
        <f aca="false">R668/(1-Resumo!$C$5)</f>
        <v>66.9908613636364</v>
      </c>
      <c r="T668" s="61" t="n">
        <v>46.98</v>
      </c>
      <c r="U668" s="61" t="n">
        <f aca="false">H668*Resumo!$B$6</f>
        <v>0.45999</v>
      </c>
      <c r="V668" s="61" t="n">
        <f aca="false">H668*Resumo!$B$7</f>
        <v>0.91998</v>
      </c>
      <c r="W668" s="61" t="n">
        <f aca="false">Resumo!$B$9</f>
        <v>1</v>
      </c>
      <c r="X668" s="61" t="n">
        <f aca="false">Resumo!$B$10*CEILING(G668/100,1)</f>
        <v>4.5</v>
      </c>
      <c r="Y668" s="61" t="n">
        <f aca="false">Resumo!$B$12*CEILING(G668,1)</f>
        <v>1.2</v>
      </c>
      <c r="Z668" s="61" t="n">
        <f aca="false">Resumo!$B$14*CEILING(G668,1)</f>
        <v>9</v>
      </c>
      <c r="AA668" s="61" t="n">
        <f aca="false">SUM(T668:Z668)</f>
        <v>64.05997</v>
      </c>
      <c r="AB668" s="61" t="n">
        <f aca="false">AA668/(1-Resumo!$B$5)</f>
        <v>72.7954204545455</v>
      </c>
      <c r="AC668" s="61" t="n">
        <f aca="false">AB668-S668</f>
        <v>5.80455909090908</v>
      </c>
      <c r="AD668" s="62" t="n">
        <f aca="false">AB668/S668-1</f>
        <v>0.0866470287551771</v>
      </c>
      <c r="AE668" s="60" t="str">
        <f aca="false">IF(AB668&lt;S668,"SIM","NÃO")</f>
        <v>NÃO</v>
      </c>
      <c r="AF668" s="60" t="n">
        <v>2</v>
      </c>
      <c r="AG668" s="60" t="n">
        <v>5</v>
      </c>
      <c r="AH668" s="60" t="s">
        <v>382</v>
      </c>
      <c r="AI668" s="61" t="n">
        <f aca="false">(T668*(1-Painel!$C$40)+U668+V668+Painel!$C$41+Painel!$C$42*CEILING(G668/100,1)+Painel!$C$43*CEILING(G668,1)+Z668)/(1-Resumo!$B$5)</f>
        <v>49.8938295454545</v>
      </c>
      <c r="AJ668" s="60" t="str">
        <f aca="false">IF(AI668&lt;S668,"SIM","NÃO")</f>
        <v>SIM</v>
      </c>
    </row>
    <row r="669" customFormat="false" ht="15" hidden="false" customHeight="false" outlineLevel="0" collapsed="false">
      <c r="A669" s="59" t="n">
        <v>46241.4174189815</v>
      </c>
      <c r="B669" s="60" t="s">
        <v>1025</v>
      </c>
      <c r="C669" s="60" t="n">
        <v>23061200</v>
      </c>
      <c r="D669" s="60" t="s">
        <v>46</v>
      </c>
      <c r="E669" s="60" t="s">
        <v>22</v>
      </c>
      <c r="F669" s="60" t="s">
        <v>232</v>
      </c>
      <c r="G669" s="60" t="n">
        <v>15.15</v>
      </c>
      <c r="H669" s="61" t="n">
        <v>284.99</v>
      </c>
      <c r="I669" s="61" t="n">
        <v>33.42</v>
      </c>
      <c r="J669" s="61" t="n">
        <f aca="false">H669*Resumo!$C$6</f>
        <v>0</v>
      </c>
      <c r="K669" s="61" t="n">
        <f aca="false">H669*Resumo!$C$7</f>
        <v>0.598479</v>
      </c>
      <c r="L669" s="61" t="n">
        <f aca="false">H669*Resumo!$C$8</f>
        <v>0.598479</v>
      </c>
      <c r="M669" s="61" t="n">
        <f aca="false">Resumo!$C$10*CEILING(G669/100,1)</f>
        <v>1.05</v>
      </c>
      <c r="N669" s="61" t="n">
        <f aca="false">Resumo!$C$9</f>
        <v>0</v>
      </c>
      <c r="O669" s="61" t="n">
        <f aca="false">Resumo!$C$13</f>
        <v>13.55</v>
      </c>
      <c r="P669" s="61" t="n">
        <f aca="false">Resumo!$C$14*CEILING(G669,1)</f>
        <v>7.2</v>
      </c>
      <c r="Q669" s="61" t="n">
        <f aca="false">SUM(I669:P669)*Resumo!$C$11</f>
        <v>0</v>
      </c>
      <c r="R669" s="61" t="n">
        <f aca="false">SUM(I669:Q669)</f>
        <v>56.416958</v>
      </c>
      <c r="S669" s="61" t="n">
        <f aca="false">R669/(1-Resumo!$C$5)</f>
        <v>64.1101795454546</v>
      </c>
      <c r="T669" s="61" t="n">
        <v>46.98</v>
      </c>
      <c r="U669" s="61" t="n">
        <f aca="false">H669*Resumo!$B$6</f>
        <v>0.28499</v>
      </c>
      <c r="V669" s="61" t="n">
        <f aca="false">H669*Resumo!$B$7</f>
        <v>0.56998</v>
      </c>
      <c r="W669" s="61" t="n">
        <f aca="false">Resumo!$B$9</f>
        <v>1</v>
      </c>
      <c r="X669" s="61" t="n">
        <f aca="false">Resumo!$B$10*CEILING(G669/100,1)</f>
        <v>4.5</v>
      </c>
      <c r="Y669" s="61" t="n">
        <f aca="false">Resumo!$B$12*CEILING(G669,1)</f>
        <v>0.96</v>
      </c>
      <c r="Z669" s="61" t="n">
        <f aca="false">Resumo!$B$14*CEILING(G669,1)</f>
        <v>7.2</v>
      </c>
      <c r="AA669" s="61" t="n">
        <f aca="false">SUM(T669:Z669)</f>
        <v>61.49497</v>
      </c>
      <c r="AB669" s="61" t="n">
        <f aca="false">AA669/(1-Resumo!$B$5)</f>
        <v>69.8806477272727</v>
      </c>
      <c r="AC669" s="61" t="n">
        <f aca="false">AB669-S669</f>
        <v>5.77046818181817</v>
      </c>
      <c r="AD669" s="62" t="n">
        <f aca="false">AB669/S669-1</f>
        <v>0.0900086105316063</v>
      </c>
      <c r="AE669" s="60" t="str">
        <f aca="false">IF(AB669&lt;S669,"SIM","NÃO")</f>
        <v>NÃO</v>
      </c>
      <c r="AF669" s="60" t="n">
        <v>2</v>
      </c>
      <c r="AG669" s="60" t="n">
        <v>5</v>
      </c>
      <c r="AH669" s="60" t="s">
        <v>382</v>
      </c>
      <c r="AI669" s="61" t="n">
        <f aca="false">(T669*(1-Painel!$C$40)+U669+V669+Painel!$C$41+Painel!$C$42*CEILING(G669/100,1)+Painel!$C$43*CEILING(G669,1)+Z669)/(1-Resumo!$B$5)</f>
        <v>47.2517840909091</v>
      </c>
      <c r="AJ669" s="60" t="str">
        <f aca="false">IF(AI669&lt;S669,"SIM","NÃO")</f>
        <v>SIM</v>
      </c>
    </row>
    <row r="670" customFormat="false" ht="15" hidden="false" customHeight="false" outlineLevel="0" collapsed="false">
      <c r="A670" s="59" t="n">
        <v>46241.4553703704</v>
      </c>
      <c r="B670" s="60" t="s">
        <v>1026</v>
      </c>
      <c r="C670" s="60" t="n">
        <v>22790873</v>
      </c>
      <c r="D670" s="60" t="s">
        <v>46</v>
      </c>
      <c r="E670" s="60" t="s">
        <v>22</v>
      </c>
      <c r="F670" s="60" t="s">
        <v>240</v>
      </c>
      <c r="G670" s="60" t="n">
        <v>106.5</v>
      </c>
      <c r="H670" s="61" t="n">
        <v>1199.99</v>
      </c>
      <c r="I670" s="61" t="n">
        <v>92.34</v>
      </c>
      <c r="J670" s="61" t="n">
        <f aca="false">H670*Resumo!$C$6</f>
        <v>0</v>
      </c>
      <c r="K670" s="61" t="n">
        <f aca="false">H670*Resumo!$C$7</f>
        <v>2.519979</v>
      </c>
      <c r="L670" s="61" t="n">
        <f aca="false">H670*Resumo!$C$8</f>
        <v>2.519979</v>
      </c>
      <c r="M670" s="61" t="n">
        <f aca="false">Resumo!$C$10*CEILING(G670/100,1)</f>
        <v>2.1</v>
      </c>
      <c r="N670" s="61" t="n">
        <f aca="false">Resumo!$C$9</f>
        <v>0</v>
      </c>
      <c r="O670" s="61" t="n">
        <f aca="false">Resumo!$C$13</f>
        <v>13.55</v>
      </c>
      <c r="P670" s="61" t="n">
        <f aca="false">Resumo!$C$14*CEILING(G670,1)</f>
        <v>48.15</v>
      </c>
      <c r="Q670" s="61" t="n">
        <f aca="false">SUM(I670:P670)*Resumo!$C$11</f>
        <v>0</v>
      </c>
      <c r="R670" s="61" t="n">
        <f aca="false">SUM(I670:Q670)</f>
        <v>161.179958</v>
      </c>
      <c r="S670" s="61" t="n">
        <f aca="false">R670/(1-Resumo!$C$5)</f>
        <v>183.159043181818</v>
      </c>
      <c r="T670" s="61" t="n">
        <v>201.59</v>
      </c>
      <c r="U670" s="61" t="n">
        <f aca="false">H670*Resumo!$B$6</f>
        <v>1.19999</v>
      </c>
      <c r="V670" s="61" t="n">
        <f aca="false">H670*Resumo!$B$7</f>
        <v>2.39998</v>
      </c>
      <c r="W670" s="61" t="n">
        <f aca="false">Resumo!$B$9</f>
        <v>1</v>
      </c>
      <c r="X670" s="61" t="n">
        <f aca="false">Resumo!$B$10*CEILING(G670/100,1)</f>
        <v>9</v>
      </c>
      <c r="Y670" s="61" t="n">
        <f aca="false">Resumo!$B$12*CEILING(G670,1)</f>
        <v>6.42</v>
      </c>
      <c r="Z670" s="61" t="n">
        <f aca="false">Resumo!$B$14*CEILING(G670,1)</f>
        <v>48.15</v>
      </c>
      <c r="AA670" s="61" t="n">
        <f aca="false">SUM(T670:Z670)</f>
        <v>269.75997</v>
      </c>
      <c r="AB670" s="61" t="n">
        <f aca="false">AA670/(1-Resumo!$B$5)</f>
        <v>306.545420454546</v>
      </c>
      <c r="AC670" s="61" t="n">
        <f aca="false">AB670-S670</f>
        <v>123.386377272727</v>
      </c>
      <c r="AD670" s="62" t="n">
        <f aca="false">AB670/S670-1</f>
        <v>0.673657031229652</v>
      </c>
      <c r="AE670" s="60" t="str">
        <f aca="false">IF(AB670&lt;S670,"SIM","NÃO")</f>
        <v>NÃO</v>
      </c>
      <c r="AF670" s="60" t="n">
        <v>2</v>
      </c>
      <c r="AG670" s="60" t="n">
        <v>5</v>
      </c>
      <c r="AH670" s="60" t="s">
        <v>382</v>
      </c>
      <c r="AI670" s="61" t="n">
        <f aca="false">(T670*(1-Painel!$C$40)+U670+V670+Painel!$C$41+Painel!$C$42*CEILING(G670/100,1)+Painel!$C$43*CEILING(G670,1)+Z670)/(1-Resumo!$B$5)</f>
        <v>215.812806818182</v>
      </c>
      <c r="AJ670" s="60" t="str">
        <f aca="false">IF(AI670&lt;S670,"SIM","NÃO")</f>
        <v>NÃO</v>
      </c>
    </row>
    <row r="671" customFormat="false" ht="15" hidden="false" customHeight="false" outlineLevel="0" collapsed="false">
      <c r="A671" s="59" t="n">
        <v>46241.4620486111</v>
      </c>
      <c r="B671" s="60" t="s">
        <v>1027</v>
      </c>
      <c r="C671" s="60" t="n">
        <v>24230090</v>
      </c>
      <c r="D671" s="60" t="s">
        <v>50</v>
      </c>
      <c r="E671" s="60" t="s">
        <v>23</v>
      </c>
      <c r="F671" s="60" t="s">
        <v>236</v>
      </c>
      <c r="G671" s="60" t="n">
        <v>52.3</v>
      </c>
      <c r="H671" s="61" t="n">
        <v>643.99</v>
      </c>
      <c r="I671" s="61" t="n">
        <v>70.98</v>
      </c>
      <c r="J671" s="61" t="n">
        <f aca="false">H671*Resumo!$C$6</f>
        <v>0</v>
      </c>
      <c r="K671" s="61" t="n">
        <f aca="false">H671*Resumo!$C$7</f>
        <v>1.352379</v>
      </c>
      <c r="L671" s="61" t="n">
        <f aca="false">H671*Resumo!$C$8</f>
        <v>1.352379</v>
      </c>
      <c r="M671" s="61" t="n">
        <f aca="false">Resumo!$C$10*CEILING(G671/100,1)</f>
        <v>1.05</v>
      </c>
      <c r="N671" s="61" t="n">
        <f aca="false">Resumo!$C$9</f>
        <v>0</v>
      </c>
      <c r="O671" s="61" t="n">
        <f aca="false">Resumo!$C$13</f>
        <v>13.55</v>
      </c>
      <c r="P671" s="61" t="n">
        <f aca="false">Resumo!$C$14*CEILING(G671,1)</f>
        <v>23.85</v>
      </c>
      <c r="Q671" s="61" t="n">
        <f aca="false">SUM(I671:P671)*Resumo!$C$11</f>
        <v>0</v>
      </c>
      <c r="R671" s="61" t="n">
        <f aca="false">SUM(I671:Q671)</f>
        <v>112.134758</v>
      </c>
      <c r="S671" s="61" t="n">
        <f aca="false">R671/(1-Resumo!$C$5)</f>
        <v>127.425861363636</v>
      </c>
      <c r="T671" s="61" t="n">
        <v>128.14</v>
      </c>
      <c r="U671" s="61" t="n">
        <f aca="false">H671*Resumo!$B$6</f>
        <v>0.64399</v>
      </c>
      <c r="V671" s="61" t="n">
        <f aca="false">H671*Resumo!$B$7</f>
        <v>1.28798</v>
      </c>
      <c r="W671" s="61" t="n">
        <f aca="false">Resumo!$B$9</f>
        <v>1</v>
      </c>
      <c r="X671" s="61" t="n">
        <f aca="false">Resumo!$B$10*CEILING(G671/100,1)</f>
        <v>4.5</v>
      </c>
      <c r="Y671" s="61" t="n">
        <f aca="false">Resumo!$B$12*CEILING(G671,1)</f>
        <v>3.18</v>
      </c>
      <c r="Z671" s="61" t="n">
        <f aca="false">Resumo!$B$14*CEILING(G671,1)</f>
        <v>23.85</v>
      </c>
      <c r="AA671" s="61" t="n">
        <f aca="false">SUM(T671:Z671)</f>
        <v>162.60197</v>
      </c>
      <c r="AB671" s="61" t="n">
        <f aca="false">AA671/(1-Resumo!$B$5)</f>
        <v>184.774965909091</v>
      </c>
      <c r="AC671" s="61" t="n">
        <f aca="false">AB671-S671</f>
        <v>57.3491045454545</v>
      </c>
      <c r="AD671" s="62" t="n">
        <f aca="false">AB671/S671-1</f>
        <v>0.450058598244801</v>
      </c>
      <c r="AE671" s="60" t="str">
        <f aca="false">IF(AB671&lt;S671,"SIM","NÃO")</f>
        <v>NÃO</v>
      </c>
      <c r="AF671" s="60" t="n">
        <v>2</v>
      </c>
      <c r="AG671" s="60" t="n">
        <v>7</v>
      </c>
      <c r="AH671" s="60" t="s">
        <v>382</v>
      </c>
      <c r="AI671" s="61" t="n">
        <f aca="false">(T671*(1-Painel!$C$40)+U671+V671+Painel!$C$41+Painel!$C$42*CEILING(G671/100,1)+Painel!$C$43*CEILING(G671,1)+Z671)/(1-Resumo!$B$5)</f>
        <v>129.188375</v>
      </c>
      <c r="AJ671" s="60" t="str">
        <f aca="false">IF(AI671&lt;S671,"SIM","NÃO")</f>
        <v>NÃO</v>
      </c>
    </row>
    <row r="672" customFormat="false" ht="15" hidden="false" customHeight="false" outlineLevel="0" collapsed="false">
      <c r="A672" s="59" t="n">
        <v>46241.5012152778</v>
      </c>
      <c r="B672" s="60" t="s">
        <v>1028</v>
      </c>
      <c r="C672" s="60" t="n">
        <v>28989520</v>
      </c>
      <c r="D672" s="60" t="s">
        <v>222</v>
      </c>
      <c r="E672" s="60" t="s">
        <v>24</v>
      </c>
      <c r="F672" s="60" t="s">
        <v>233</v>
      </c>
      <c r="G672" s="60" t="n">
        <v>30.5</v>
      </c>
      <c r="H672" s="61" t="n">
        <v>424.99</v>
      </c>
      <c r="I672" s="61" t="n">
        <v>65.63</v>
      </c>
      <c r="J672" s="61" t="n">
        <f aca="false">H672*Resumo!$C$6</f>
        <v>0</v>
      </c>
      <c r="K672" s="61" t="n">
        <f aca="false">H672*Resumo!$C$7</f>
        <v>0.892479</v>
      </c>
      <c r="L672" s="61" t="n">
        <f aca="false">H672*Resumo!$C$8</f>
        <v>0.892479</v>
      </c>
      <c r="M672" s="61" t="n">
        <f aca="false">Resumo!$C$10*CEILING(G672/100,1)</f>
        <v>1.05</v>
      </c>
      <c r="N672" s="61" t="n">
        <f aca="false">Resumo!$C$9</f>
        <v>0</v>
      </c>
      <c r="O672" s="61" t="n">
        <f aca="false">Resumo!$C$13</f>
        <v>13.55</v>
      </c>
      <c r="P672" s="61" t="n">
        <f aca="false">Resumo!$C$14*CEILING(G672,1)</f>
        <v>13.95</v>
      </c>
      <c r="Q672" s="61" t="n">
        <f aca="false">SUM(I672:P672)*Resumo!$C$11</f>
        <v>0</v>
      </c>
      <c r="R672" s="61" t="n">
        <f aca="false">SUM(I672:Q672)</f>
        <v>95.964958</v>
      </c>
      <c r="S672" s="61" t="n">
        <f aca="false">R672/(1-Resumo!$C$5)</f>
        <v>109.051088636364</v>
      </c>
      <c r="T672" s="61" t="n">
        <v>114.95</v>
      </c>
      <c r="U672" s="61" t="n">
        <f aca="false">H672*Resumo!$B$6</f>
        <v>0.42499</v>
      </c>
      <c r="V672" s="61" t="n">
        <f aca="false">H672*Resumo!$B$7</f>
        <v>0.84998</v>
      </c>
      <c r="W672" s="61" t="n">
        <f aca="false">Resumo!$B$9</f>
        <v>1</v>
      </c>
      <c r="X672" s="61" t="n">
        <f aca="false">Resumo!$B$10*CEILING(G672/100,1)</f>
        <v>4.5</v>
      </c>
      <c r="Y672" s="61" t="n">
        <f aca="false">Resumo!$B$12*CEILING(G672,1)</f>
        <v>1.86</v>
      </c>
      <c r="Z672" s="61" t="n">
        <f aca="false">Resumo!$B$14*CEILING(G672,1)</f>
        <v>13.95</v>
      </c>
      <c r="AA672" s="61" t="n">
        <f aca="false">SUM(T672:Z672)</f>
        <v>137.53497</v>
      </c>
      <c r="AB672" s="61" t="n">
        <f aca="false">AA672/(1-Resumo!$B$5)</f>
        <v>156.289738636364</v>
      </c>
      <c r="AC672" s="61" t="n">
        <f aca="false">AB672-S672</f>
        <v>47.23865</v>
      </c>
      <c r="AD672" s="62" t="n">
        <f aca="false">AB672/S672-1</f>
        <v>0.433179077721266</v>
      </c>
      <c r="AE672" s="60" t="str">
        <f aca="false">IF(AB672&lt;S672,"SIM","NÃO")</f>
        <v>NÃO</v>
      </c>
      <c r="AF672" s="60" t="n">
        <v>13</v>
      </c>
      <c r="AG672" s="60" t="n">
        <v>10</v>
      </c>
      <c r="AH672" s="60" t="s">
        <v>382</v>
      </c>
      <c r="AI672" s="61" t="n">
        <f aca="false">(T672*(1-Painel!$C$40)+U672+V672+Painel!$C$41+Painel!$C$42*CEILING(G672/100,1)+Painel!$C$43*CEILING(G672,1)+Z672)/(1-Resumo!$B$5)</f>
        <v>107.149397727273</v>
      </c>
      <c r="AJ672" s="60" t="str">
        <f aca="false">IF(AI672&lt;S672,"SIM","NÃO")</f>
        <v>SIM</v>
      </c>
    </row>
    <row r="673" customFormat="false" ht="15" hidden="false" customHeight="false" outlineLevel="0" collapsed="false">
      <c r="A673" s="59" t="n">
        <v>46241.5196064815</v>
      </c>
      <c r="B673" s="60" t="s">
        <v>1029</v>
      </c>
      <c r="C673" s="60" t="n">
        <v>26033310</v>
      </c>
      <c r="D673" s="60" t="s">
        <v>49</v>
      </c>
      <c r="E673" s="60" t="s">
        <v>23</v>
      </c>
      <c r="F673" s="60" t="s">
        <v>236</v>
      </c>
      <c r="G673" s="60" t="n">
        <v>52.3</v>
      </c>
      <c r="H673" s="61" t="n">
        <v>685.85</v>
      </c>
      <c r="I673" s="61" t="n">
        <v>70.98</v>
      </c>
      <c r="J673" s="61" t="n">
        <f aca="false">H673*Resumo!$C$6</f>
        <v>0</v>
      </c>
      <c r="K673" s="61" t="n">
        <f aca="false">H673*Resumo!$C$7</f>
        <v>1.440285</v>
      </c>
      <c r="L673" s="61" t="n">
        <f aca="false">H673*Resumo!$C$8</f>
        <v>1.440285</v>
      </c>
      <c r="M673" s="61" t="n">
        <f aca="false">Resumo!$C$10*CEILING(G673/100,1)</f>
        <v>1.05</v>
      </c>
      <c r="N673" s="61" t="n">
        <f aca="false">Resumo!$C$9</f>
        <v>0</v>
      </c>
      <c r="O673" s="61" t="n">
        <f aca="false">Resumo!$C$13</f>
        <v>13.55</v>
      </c>
      <c r="P673" s="61" t="n">
        <f aca="false">Resumo!$C$14*CEILING(G673,1)</f>
        <v>23.85</v>
      </c>
      <c r="Q673" s="61" t="n">
        <f aca="false">SUM(I673:P673)*Resumo!$C$11</f>
        <v>0</v>
      </c>
      <c r="R673" s="61" t="n">
        <f aca="false">SUM(I673:Q673)</f>
        <v>112.31057</v>
      </c>
      <c r="S673" s="61" t="n">
        <f aca="false">R673/(1-Resumo!$C$5)</f>
        <v>127.625647727273</v>
      </c>
      <c r="T673" s="61" t="n">
        <v>112.3</v>
      </c>
      <c r="U673" s="61" t="n">
        <f aca="false">H673*Resumo!$B$6</f>
        <v>0.68585</v>
      </c>
      <c r="V673" s="61" t="n">
        <f aca="false">H673*Resumo!$B$7</f>
        <v>1.3717</v>
      </c>
      <c r="W673" s="61" t="n">
        <f aca="false">Resumo!$B$9</f>
        <v>1</v>
      </c>
      <c r="X673" s="61" t="n">
        <f aca="false">Resumo!$B$10*CEILING(G673/100,1)</f>
        <v>4.5</v>
      </c>
      <c r="Y673" s="61" t="n">
        <f aca="false">Resumo!$B$12*CEILING(G673,1)</f>
        <v>3.18</v>
      </c>
      <c r="Z673" s="61" t="n">
        <f aca="false">Resumo!$B$14*CEILING(G673,1)</f>
        <v>23.85</v>
      </c>
      <c r="AA673" s="61" t="n">
        <f aca="false">SUM(T673:Z673)</f>
        <v>146.88755</v>
      </c>
      <c r="AB673" s="61" t="n">
        <f aca="false">AA673/(1-Resumo!$B$5)</f>
        <v>166.917670454545</v>
      </c>
      <c r="AC673" s="61" t="n">
        <f aca="false">AB673-S673</f>
        <v>39.2920227272727</v>
      </c>
      <c r="AD673" s="62" t="n">
        <f aca="false">AB673/S673-1</f>
        <v>0.30786933055366</v>
      </c>
      <c r="AE673" s="60" t="str">
        <f aca="false">IF(AB673&lt;S673,"SIM","NÃO")</f>
        <v>NÃO</v>
      </c>
      <c r="AF673" s="60" t="n">
        <v>2</v>
      </c>
      <c r="AG673" s="60" t="n">
        <v>5</v>
      </c>
      <c r="AH673" s="60" t="s">
        <v>382</v>
      </c>
      <c r="AI673" s="61" t="n">
        <f aca="false">(T673*(1-Painel!$C$40)+U673+V673+Painel!$C$41+Painel!$C$42*CEILING(G673/100,1)+Painel!$C$43*CEILING(G673,1)+Z673)/(1-Resumo!$B$5)</f>
        <v>117.271079545455</v>
      </c>
      <c r="AJ673" s="60" t="str">
        <f aca="false">IF(AI673&lt;S673,"SIM","NÃO")</f>
        <v>SIM</v>
      </c>
    </row>
    <row r="674" customFormat="false" ht="15" hidden="false" customHeight="false" outlineLevel="0" collapsed="false">
      <c r="A674" s="59" t="n">
        <v>46241.5785763889</v>
      </c>
      <c r="B674" s="60" t="s">
        <v>1030</v>
      </c>
      <c r="C674" s="60" t="n">
        <v>27935365</v>
      </c>
      <c r="D674" s="60" t="s">
        <v>53</v>
      </c>
      <c r="E674" s="60" t="s">
        <v>24</v>
      </c>
      <c r="F674" s="60" t="s">
        <v>237</v>
      </c>
      <c r="G674" s="60" t="n">
        <v>61.4</v>
      </c>
      <c r="H674" s="61" t="n">
        <v>1119.99</v>
      </c>
      <c r="I674" s="61" t="n">
        <v>90.2</v>
      </c>
      <c r="J674" s="61" t="n">
        <f aca="false">H674*Resumo!$C$6</f>
        <v>0</v>
      </c>
      <c r="K674" s="61" t="n">
        <f aca="false">H674*Resumo!$C$7</f>
        <v>2.351979</v>
      </c>
      <c r="L674" s="61" t="n">
        <f aca="false">H674*Resumo!$C$8</f>
        <v>2.351979</v>
      </c>
      <c r="M674" s="61" t="n">
        <f aca="false">Resumo!$C$10*CEILING(G674/100,1)</f>
        <v>1.05</v>
      </c>
      <c r="N674" s="61" t="n">
        <f aca="false">Resumo!$C$9</f>
        <v>0</v>
      </c>
      <c r="O674" s="61" t="n">
        <f aca="false">Resumo!$C$13</f>
        <v>13.55</v>
      </c>
      <c r="P674" s="61" t="n">
        <f aca="false">Resumo!$C$14*CEILING(G674,1)</f>
        <v>27.9</v>
      </c>
      <c r="Q674" s="61" t="n">
        <f aca="false">SUM(I674:P674)*Resumo!$C$11</f>
        <v>0</v>
      </c>
      <c r="R674" s="61" t="n">
        <f aca="false">SUM(I674:Q674)</f>
        <v>137.403958</v>
      </c>
      <c r="S674" s="61" t="n">
        <f aca="false">R674/(1-Resumo!$C$5)</f>
        <v>156.140861363636</v>
      </c>
      <c r="T674" s="61" t="n">
        <v>171.54</v>
      </c>
      <c r="U674" s="61" t="n">
        <f aca="false">H674*Resumo!$B$6</f>
        <v>1.11999</v>
      </c>
      <c r="V674" s="61" t="n">
        <f aca="false">H674*Resumo!$B$7</f>
        <v>2.23998</v>
      </c>
      <c r="W674" s="61" t="n">
        <f aca="false">Resumo!$B$9</f>
        <v>1</v>
      </c>
      <c r="X674" s="61" t="n">
        <f aca="false">Resumo!$B$10*CEILING(G674/100,1)</f>
        <v>4.5</v>
      </c>
      <c r="Y674" s="61" t="n">
        <f aca="false">Resumo!$B$12*CEILING(G674,1)</f>
        <v>3.72</v>
      </c>
      <c r="Z674" s="61" t="n">
        <f aca="false">Resumo!$B$14*CEILING(G674,1)</f>
        <v>27.9</v>
      </c>
      <c r="AA674" s="61" t="n">
        <f aca="false">SUM(T674:Z674)</f>
        <v>212.01997</v>
      </c>
      <c r="AB674" s="61" t="n">
        <f aca="false">AA674/(1-Resumo!$B$5)</f>
        <v>240.931784090909</v>
      </c>
      <c r="AC674" s="61" t="n">
        <f aca="false">AB674-S674</f>
        <v>84.7909227272727</v>
      </c>
      <c r="AD674" s="62" t="n">
        <f aca="false">AB674/S674-1</f>
        <v>0.543041212830274</v>
      </c>
      <c r="AE674" s="60" t="str">
        <f aca="false">IF(AB674&lt;S674,"SIM","NÃO")</f>
        <v>NÃO</v>
      </c>
      <c r="AF674" s="60" t="n">
        <v>13</v>
      </c>
      <c r="AG674" s="60" t="n">
        <v>11</v>
      </c>
      <c r="AH674" s="60" t="s">
        <v>382</v>
      </c>
      <c r="AI674" s="61" t="n">
        <f aca="false">(T674*(1-Painel!$C$40)+U674+V674+Painel!$C$41+Painel!$C$42*CEILING(G674/100,1)+Painel!$C$43*CEILING(G674,1)+Z674)/(1-Resumo!$B$5)</f>
        <v>168.456556818182</v>
      </c>
      <c r="AJ674" s="60" t="str">
        <f aca="false">IF(AI674&lt;S674,"SIM","NÃO")</f>
        <v>NÃO</v>
      </c>
    </row>
    <row r="675" customFormat="false" ht="15" hidden="false" customHeight="false" outlineLevel="0" collapsed="false">
      <c r="A675" s="59" t="n">
        <v>46241.587025463</v>
      </c>
      <c r="B675" s="60" t="s">
        <v>1031</v>
      </c>
      <c r="C675" s="60" t="n">
        <v>23587076</v>
      </c>
      <c r="D675" s="60" t="s">
        <v>46</v>
      </c>
      <c r="E675" s="60" t="s">
        <v>22</v>
      </c>
      <c r="F675" s="60" t="s">
        <v>236</v>
      </c>
      <c r="G675" s="60" t="n">
        <v>52.3</v>
      </c>
      <c r="H675" s="61" t="n">
        <v>677.59</v>
      </c>
      <c r="I675" s="61" t="n">
        <v>58.6</v>
      </c>
      <c r="J675" s="61" t="n">
        <f aca="false">H675*Resumo!$C$6</f>
        <v>0</v>
      </c>
      <c r="K675" s="61" t="n">
        <f aca="false">H675*Resumo!$C$7</f>
        <v>1.422939</v>
      </c>
      <c r="L675" s="61" t="n">
        <f aca="false">H675*Resumo!$C$8</f>
        <v>1.422939</v>
      </c>
      <c r="M675" s="61" t="n">
        <f aca="false">Resumo!$C$10*CEILING(G675/100,1)</f>
        <v>1.05</v>
      </c>
      <c r="N675" s="61" t="n">
        <f aca="false">Resumo!$C$9</f>
        <v>0</v>
      </c>
      <c r="O675" s="61" t="n">
        <f aca="false">Resumo!$C$13</f>
        <v>13.55</v>
      </c>
      <c r="P675" s="61" t="n">
        <f aca="false">Resumo!$C$14*CEILING(G675,1)</f>
        <v>23.85</v>
      </c>
      <c r="Q675" s="61" t="n">
        <f aca="false">SUM(I675:P675)*Resumo!$C$11</f>
        <v>0</v>
      </c>
      <c r="R675" s="61" t="n">
        <f aca="false">SUM(I675:Q675)</f>
        <v>99.895878</v>
      </c>
      <c r="S675" s="61" t="n">
        <f aca="false">R675/(1-Resumo!$C$5)</f>
        <v>113.518043181818</v>
      </c>
      <c r="T675" s="61" t="n">
        <v>112.3</v>
      </c>
      <c r="U675" s="61" t="n">
        <f aca="false">H675*Resumo!$B$6</f>
        <v>0.67759</v>
      </c>
      <c r="V675" s="61" t="n">
        <f aca="false">H675*Resumo!$B$7</f>
        <v>1.35518</v>
      </c>
      <c r="W675" s="61" t="n">
        <f aca="false">Resumo!$B$9</f>
        <v>1</v>
      </c>
      <c r="X675" s="61" t="n">
        <f aca="false">Resumo!$B$10*CEILING(G675/100,1)</f>
        <v>4.5</v>
      </c>
      <c r="Y675" s="61" t="n">
        <f aca="false">Resumo!$B$12*CEILING(G675,1)</f>
        <v>3.18</v>
      </c>
      <c r="Z675" s="61" t="n">
        <f aca="false">Resumo!$B$14*CEILING(G675,1)</f>
        <v>23.85</v>
      </c>
      <c r="AA675" s="61" t="n">
        <f aca="false">SUM(T675:Z675)</f>
        <v>146.86277</v>
      </c>
      <c r="AB675" s="61" t="n">
        <f aca="false">AA675/(1-Resumo!$B$5)</f>
        <v>166.889511363636</v>
      </c>
      <c r="AC675" s="61" t="n">
        <f aca="false">AB675-S675</f>
        <v>53.3714681818182</v>
      </c>
      <c r="AD675" s="62" t="n">
        <f aca="false">AB675/S675-1</f>
        <v>0.470158458390045</v>
      </c>
      <c r="AE675" s="60" t="str">
        <f aca="false">IF(AB675&lt;S675,"SIM","NÃO")</f>
        <v>NÃO</v>
      </c>
      <c r="AF675" s="60" t="n">
        <v>2</v>
      </c>
      <c r="AG675" s="60" t="n">
        <v>5</v>
      </c>
      <c r="AH675" s="60" t="s">
        <v>382</v>
      </c>
      <c r="AI675" s="61" t="n">
        <f aca="false">(T675*(1-Painel!$C$40)+U675+V675+Painel!$C$41+Painel!$C$42*CEILING(G675/100,1)+Painel!$C$43*CEILING(G675,1)+Z675)/(1-Resumo!$B$5)</f>
        <v>117.242920454545</v>
      </c>
      <c r="AJ675" s="60" t="str">
        <f aca="false">IF(AI675&lt;S675,"SIM","NÃO")</f>
        <v>NÃO</v>
      </c>
    </row>
    <row r="676" customFormat="false" ht="15" hidden="false" customHeight="false" outlineLevel="0" collapsed="false">
      <c r="A676" s="59" t="n">
        <v>46241.6154166667</v>
      </c>
      <c r="B676" s="60" t="s">
        <v>1032</v>
      </c>
      <c r="C676" s="60" t="n">
        <v>25220340</v>
      </c>
      <c r="D676" s="60" t="s">
        <v>48</v>
      </c>
      <c r="E676" s="60" t="s">
        <v>23</v>
      </c>
      <c r="F676" s="60" t="s">
        <v>236</v>
      </c>
      <c r="G676" s="60" t="n">
        <v>56.7</v>
      </c>
      <c r="H676" s="61" t="n">
        <v>799.99</v>
      </c>
      <c r="I676" s="61" t="n">
        <v>70.98</v>
      </c>
      <c r="J676" s="61" t="n">
        <f aca="false">H676*Resumo!$C$6</f>
        <v>0</v>
      </c>
      <c r="K676" s="61" t="n">
        <f aca="false">H676*Resumo!$C$7</f>
        <v>1.679979</v>
      </c>
      <c r="L676" s="61" t="n">
        <f aca="false">H676*Resumo!$C$8</f>
        <v>1.679979</v>
      </c>
      <c r="M676" s="61" t="n">
        <f aca="false">Resumo!$C$10*CEILING(G676/100,1)</f>
        <v>1.05</v>
      </c>
      <c r="N676" s="61" t="n">
        <f aca="false">Resumo!$C$9</f>
        <v>0</v>
      </c>
      <c r="O676" s="61" t="n">
        <f aca="false">Resumo!$C$13</f>
        <v>13.55</v>
      </c>
      <c r="P676" s="61" t="n">
        <f aca="false">Resumo!$C$14*CEILING(G676,1)</f>
        <v>25.65</v>
      </c>
      <c r="Q676" s="61" t="n">
        <f aca="false">SUM(I676:P676)*Resumo!$C$11</f>
        <v>0</v>
      </c>
      <c r="R676" s="61" t="n">
        <f aca="false">SUM(I676:Q676)</f>
        <v>114.589958</v>
      </c>
      <c r="S676" s="61" t="n">
        <f aca="false">R676/(1-Resumo!$C$5)</f>
        <v>130.215861363636</v>
      </c>
      <c r="T676" s="61" t="n">
        <v>112.3</v>
      </c>
      <c r="U676" s="61" t="n">
        <f aca="false">H676*Resumo!$B$6</f>
        <v>0.79999</v>
      </c>
      <c r="V676" s="61" t="n">
        <f aca="false">H676*Resumo!$B$7</f>
        <v>1.59998</v>
      </c>
      <c r="W676" s="61" t="n">
        <f aca="false">Resumo!$B$9</f>
        <v>1</v>
      </c>
      <c r="X676" s="61" t="n">
        <f aca="false">Resumo!$B$10*CEILING(G676/100,1)</f>
        <v>4.5</v>
      </c>
      <c r="Y676" s="61" t="n">
        <f aca="false">Resumo!$B$12*CEILING(G676,1)</f>
        <v>3.42</v>
      </c>
      <c r="Z676" s="61" t="n">
        <f aca="false">Resumo!$B$14*CEILING(G676,1)</f>
        <v>25.65</v>
      </c>
      <c r="AA676" s="61" t="n">
        <f aca="false">SUM(T676:Z676)</f>
        <v>149.26997</v>
      </c>
      <c r="AB676" s="61" t="n">
        <f aca="false">AA676/(1-Resumo!$B$5)</f>
        <v>169.624965909091</v>
      </c>
      <c r="AC676" s="61" t="n">
        <f aca="false">AB676-S676</f>
        <v>39.4091045454545</v>
      </c>
      <c r="AD676" s="62" t="n">
        <f aca="false">AB676/S676-1</f>
        <v>0.302644425439095</v>
      </c>
      <c r="AE676" s="60" t="str">
        <f aca="false">IF(AB676&lt;S676,"SIM","NÃO")</f>
        <v>NÃO</v>
      </c>
      <c r="AF676" s="60" t="n">
        <v>2</v>
      </c>
      <c r="AG676" s="60" t="n">
        <v>5</v>
      </c>
      <c r="AH676" s="60" t="s">
        <v>382</v>
      </c>
      <c r="AI676" s="61" t="n">
        <f aca="false">(T676*(1-Painel!$C$40)+U676+V676+Painel!$C$41+Painel!$C$42*CEILING(G676/100,1)+Painel!$C$43*CEILING(G676,1)+Z676)/(1-Resumo!$B$5)</f>
        <v>119.705647727273</v>
      </c>
      <c r="AJ676" s="60" t="str">
        <f aca="false">IF(AI676&lt;S676,"SIM","NÃO")</f>
        <v>SIM</v>
      </c>
    </row>
    <row r="677" customFormat="false" ht="15" hidden="false" customHeight="false" outlineLevel="0" collapsed="false">
      <c r="A677" s="59" t="n">
        <v>46241.616712963</v>
      </c>
      <c r="B677" s="60" t="s">
        <v>486</v>
      </c>
      <c r="C677" s="60" t="n">
        <v>28200000</v>
      </c>
      <c r="D677" s="60" t="s">
        <v>305</v>
      </c>
      <c r="E677" s="60" t="s">
        <v>24</v>
      </c>
      <c r="F677" s="60" t="s">
        <v>235</v>
      </c>
      <c r="G677" s="60" t="n">
        <v>46.8</v>
      </c>
      <c r="H677" s="61" t="n">
        <v>599.99</v>
      </c>
      <c r="I677" s="61" t="n">
        <v>77.7</v>
      </c>
      <c r="J677" s="61" t="n">
        <f aca="false">H677*Resumo!$C$6</f>
        <v>0</v>
      </c>
      <c r="K677" s="61" t="n">
        <f aca="false">H677*Resumo!$C$7</f>
        <v>1.259979</v>
      </c>
      <c r="L677" s="61" t="n">
        <f aca="false">H677*Resumo!$C$8</f>
        <v>1.259979</v>
      </c>
      <c r="M677" s="61" t="n">
        <f aca="false">Resumo!$C$10*CEILING(G677/100,1)</f>
        <v>1.05</v>
      </c>
      <c r="N677" s="61" t="n">
        <f aca="false">Resumo!$C$9</f>
        <v>0</v>
      </c>
      <c r="O677" s="61" t="n">
        <f aca="false">Resumo!$C$13</f>
        <v>13.55</v>
      </c>
      <c r="P677" s="61" t="n">
        <f aca="false">Resumo!$C$14*CEILING(G677,1)</f>
        <v>21.15</v>
      </c>
      <c r="Q677" s="61" t="n">
        <f aca="false">SUM(I677:P677)*Resumo!$C$11</f>
        <v>0</v>
      </c>
      <c r="R677" s="61" t="n">
        <f aca="false">SUM(I677:Q677)</f>
        <v>115.969958</v>
      </c>
      <c r="S677" s="61" t="n">
        <f aca="false">R677/(1-Resumo!$C$5)</f>
        <v>131.784043181818</v>
      </c>
      <c r="T677" s="61" t="n">
        <v>152.54</v>
      </c>
      <c r="U677" s="61" t="n">
        <f aca="false">H677*Resumo!$B$6</f>
        <v>0.59999</v>
      </c>
      <c r="V677" s="61" t="n">
        <f aca="false">H677*Resumo!$B$7</f>
        <v>1.19998</v>
      </c>
      <c r="W677" s="61" t="n">
        <f aca="false">Resumo!$B$9</f>
        <v>1</v>
      </c>
      <c r="X677" s="61" t="n">
        <f aca="false">Resumo!$B$10*CEILING(G677/100,1)</f>
        <v>4.5</v>
      </c>
      <c r="Y677" s="61" t="n">
        <f aca="false">Resumo!$B$12*CEILING(G677,1)</f>
        <v>2.82</v>
      </c>
      <c r="Z677" s="61" t="n">
        <f aca="false">Resumo!$B$14*CEILING(G677,1)</f>
        <v>21.15</v>
      </c>
      <c r="AA677" s="61" t="n">
        <f aca="false">SUM(T677:Z677)</f>
        <v>183.80997</v>
      </c>
      <c r="AB677" s="61" t="n">
        <f aca="false">AA677/(1-Resumo!$B$5)</f>
        <v>208.874965909091</v>
      </c>
      <c r="AC677" s="61" t="n">
        <f aca="false">AB677-S677</f>
        <v>77.0909227272727</v>
      </c>
      <c r="AD677" s="62" t="n">
        <f aca="false">AB677/S677-1</f>
        <v>0.584979189179322</v>
      </c>
      <c r="AE677" s="60" t="str">
        <f aca="false">IF(AB677&lt;S677,"SIM","NÃO")</f>
        <v>NÃO</v>
      </c>
      <c r="AF677" s="60" t="n">
        <v>13</v>
      </c>
      <c r="AG677" s="60" t="n">
        <v>11</v>
      </c>
      <c r="AH677" s="60" t="s">
        <v>385</v>
      </c>
      <c r="AI677" s="61" t="n">
        <f aca="false">(T677*(1-Painel!$C$40)+U677+V677+Painel!$C$41+Painel!$C$42*CEILING(G677/100,1)+Painel!$C$43*CEILING(G677,1)+Z677)/(1-Resumo!$B$5)</f>
        <v>144.547465909091</v>
      </c>
      <c r="AJ677" s="60" t="str">
        <f aca="false">IF(AI677&lt;S677,"SIM","NÃO")</f>
        <v>NÃO</v>
      </c>
    </row>
    <row r="678" customFormat="false" ht="15" hidden="false" customHeight="false" outlineLevel="0" collapsed="false">
      <c r="A678" s="59" t="n">
        <v>46241.6208101852</v>
      </c>
      <c r="B678" s="60" t="s">
        <v>1033</v>
      </c>
      <c r="C678" s="60" t="n">
        <v>24425290</v>
      </c>
      <c r="D678" s="60" t="s">
        <v>47</v>
      </c>
      <c r="E678" s="60" t="s">
        <v>23</v>
      </c>
      <c r="F678" s="60" t="s">
        <v>233</v>
      </c>
      <c r="G678" s="60" t="n">
        <v>35</v>
      </c>
      <c r="H678" s="61" t="n">
        <v>383.99</v>
      </c>
      <c r="I678" s="61" t="n">
        <v>58.8</v>
      </c>
      <c r="J678" s="61" t="n">
        <f aca="false">H678*Resumo!$C$6</f>
        <v>0</v>
      </c>
      <c r="K678" s="61" t="n">
        <f aca="false">H678*Resumo!$C$7</f>
        <v>0.806379</v>
      </c>
      <c r="L678" s="61" t="n">
        <f aca="false">H678*Resumo!$C$8</f>
        <v>0.806379</v>
      </c>
      <c r="M678" s="61" t="n">
        <f aca="false">Resumo!$C$10*CEILING(G678/100,1)</f>
        <v>1.05</v>
      </c>
      <c r="N678" s="61" t="n">
        <f aca="false">Resumo!$C$9</f>
        <v>0</v>
      </c>
      <c r="O678" s="61" t="n">
        <f aca="false">Resumo!$C$13</f>
        <v>13.55</v>
      </c>
      <c r="P678" s="61" t="n">
        <f aca="false">Resumo!$C$14*CEILING(G678,1)</f>
        <v>15.75</v>
      </c>
      <c r="Q678" s="61" t="n">
        <f aca="false">SUM(I678:P678)*Resumo!$C$11</f>
        <v>0</v>
      </c>
      <c r="R678" s="61" t="n">
        <f aca="false">SUM(I678:Q678)</f>
        <v>90.762758</v>
      </c>
      <c r="S678" s="61" t="n">
        <f aca="false">R678/(1-Resumo!$C$5)</f>
        <v>103.139497727273</v>
      </c>
      <c r="T678" s="61" t="n">
        <v>100.58</v>
      </c>
      <c r="U678" s="61" t="n">
        <f aca="false">H678*Resumo!$B$6</f>
        <v>0.38399</v>
      </c>
      <c r="V678" s="61" t="n">
        <f aca="false">H678*Resumo!$B$7</f>
        <v>0.76798</v>
      </c>
      <c r="W678" s="61" t="n">
        <f aca="false">Resumo!$B$9</f>
        <v>1</v>
      </c>
      <c r="X678" s="61" t="n">
        <f aca="false">Resumo!$B$10*CEILING(G678/100,1)</f>
        <v>4.5</v>
      </c>
      <c r="Y678" s="61" t="n">
        <f aca="false">Resumo!$B$12*CEILING(G678,1)</f>
        <v>2.1</v>
      </c>
      <c r="Z678" s="61" t="n">
        <f aca="false">Resumo!$B$14*CEILING(G678,1)</f>
        <v>15.75</v>
      </c>
      <c r="AA678" s="61" t="n">
        <f aca="false">SUM(T678:Z678)</f>
        <v>125.08197</v>
      </c>
      <c r="AB678" s="61" t="n">
        <f aca="false">AA678/(1-Resumo!$B$5)</f>
        <v>142.138602272727</v>
      </c>
      <c r="AC678" s="61" t="n">
        <f aca="false">AB678-S678</f>
        <v>38.9991045454546</v>
      </c>
      <c r="AD678" s="62" t="n">
        <f aca="false">AB678/S678-1</f>
        <v>0.378119977358996</v>
      </c>
      <c r="AE678" s="60" t="str">
        <f aca="false">IF(AB678&lt;S678,"SIM","NÃO")</f>
        <v>NÃO</v>
      </c>
      <c r="AF678" s="60" t="n">
        <v>2</v>
      </c>
      <c r="AG678" s="60" t="n">
        <v>7</v>
      </c>
      <c r="AH678" s="60" t="s">
        <v>382</v>
      </c>
      <c r="AI678" s="61" t="n">
        <f aca="false">(T678*(1-Painel!$C$40)+U678+V678+Painel!$C$41+Painel!$C$42*CEILING(G678/100,1)+Painel!$C$43*CEILING(G678,1)+Z678)/(1-Resumo!$B$5)</f>
        <v>98.1142840909091</v>
      </c>
      <c r="AJ678" s="60" t="str">
        <f aca="false">IF(AI678&lt;S678,"SIM","NÃO")</f>
        <v>SIM</v>
      </c>
    </row>
    <row r="679" customFormat="false" ht="15" hidden="false" customHeight="false" outlineLevel="0" collapsed="false">
      <c r="A679" s="59" t="n">
        <v>46241.733900463</v>
      </c>
      <c r="B679" s="60" t="s">
        <v>968</v>
      </c>
      <c r="C679" s="60" t="n">
        <v>22753050</v>
      </c>
      <c r="D679" s="60" t="s">
        <v>46</v>
      </c>
      <c r="E679" s="60" t="s">
        <v>22</v>
      </c>
      <c r="F679" s="60" t="s">
        <v>233</v>
      </c>
      <c r="G679" s="60" t="n">
        <v>31.9</v>
      </c>
      <c r="H679" s="61" t="n">
        <v>659.99</v>
      </c>
      <c r="I679" s="61" t="n">
        <v>42.11</v>
      </c>
      <c r="J679" s="61" t="n">
        <f aca="false">H679*Resumo!$C$6</f>
        <v>0</v>
      </c>
      <c r="K679" s="61" t="n">
        <f aca="false">H679*Resumo!$C$7</f>
        <v>1.385979</v>
      </c>
      <c r="L679" s="61" t="n">
        <f aca="false">H679*Resumo!$C$8</f>
        <v>1.385979</v>
      </c>
      <c r="M679" s="61" t="n">
        <f aca="false">Resumo!$C$10*CEILING(G679/100,1)</f>
        <v>1.05</v>
      </c>
      <c r="N679" s="61" t="n">
        <f aca="false">Resumo!$C$9</f>
        <v>0</v>
      </c>
      <c r="O679" s="61" t="n">
        <f aca="false">Resumo!$C$13</f>
        <v>13.55</v>
      </c>
      <c r="P679" s="61" t="n">
        <f aca="false">Resumo!$C$14*CEILING(G679,1)</f>
        <v>14.4</v>
      </c>
      <c r="Q679" s="61" t="n">
        <f aca="false">SUM(I679:P679)*Resumo!$C$11</f>
        <v>0</v>
      </c>
      <c r="R679" s="61" t="n">
        <f aca="false">SUM(I679:Q679)</f>
        <v>73.881958</v>
      </c>
      <c r="S679" s="61" t="n">
        <f aca="false">R679/(1-Resumo!$C$5)</f>
        <v>83.9567704545455</v>
      </c>
      <c r="T679" s="61" t="n">
        <v>82.21</v>
      </c>
      <c r="U679" s="61" t="n">
        <f aca="false">H679*Resumo!$B$6</f>
        <v>0.65999</v>
      </c>
      <c r="V679" s="61" t="n">
        <f aca="false">H679*Resumo!$B$7</f>
        <v>1.31998</v>
      </c>
      <c r="W679" s="61" t="n">
        <f aca="false">Resumo!$B$9</f>
        <v>1</v>
      </c>
      <c r="X679" s="61" t="n">
        <f aca="false">Resumo!$B$10*CEILING(G679/100,1)</f>
        <v>4.5</v>
      </c>
      <c r="Y679" s="61" t="n">
        <f aca="false">Resumo!$B$12*CEILING(G679,1)</f>
        <v>1.92</v>
      </c>
      <c r="Z679" s="61" t="n">
        <f aca="false">Resumo!$B$14*CEILING(G679,1)</f>
        <v>14.4</v>
      </c>
      <c r="AA679" s="61" t="n">
        <f aca="false">SUM(T679:Z679)</f>
        <v>106.00997</v>
      </c>
      <c r="AB679" s="61" t="n">
        <f aca="false">AA679/(1-Resumo!$B$5)</f>
        <v>120.465875</v>
      </c>
      <c r="AC679" s="61" t="n">
        <f aca="false">AB679-S679</f>
        <v>36.5091045454546</v>
      </c>
      <c r="AD679" s="62" t="n">
        <f aca="false">AB679/S679-1</f>
        <v>0.434855990145794</v>
      </c>
      <c r="AE679" s="60" t="str">
        <f aca="false">IF(AB679&lt;S679,"SIM","NÃO")</f>
        <v>NÃO</v>
      </c>
      <c r="AF679" s="60" t="n">
        <v>2</v>
      </c>
      <c r="AG679" s="60" t="n">
        <v>5</v>
      </c>
      <c r="AH679" s="60" t="s">
        <v>382</v>
      </c>
      <c r="AI679" s="61" t="n">
        <f aca="false">(T679*(1-Painel!$C$40)+U679+V679+Painel!$C$41+Painel!$C$42*CEILING(G679/100,1)+Painel!$C$43*CEILING(G679,1)+Z679)/(1-Resumo!$B$5)</f>
        <v>83.5348522727273</v>
      </c>
      <c r="AJ679" s="60" t="str">
        <f aca="false">IF(AI679&lt;S679,"SIM","NÃO")</f>
        <v>SIM</v>
      </c>
    </row>
    <row r="680" customFormat="false" ht="15" hidden="false" customHeight="false" outlineLevel="0" collapsed="false">
      <c r="A680" s="59" t="n">
        <v>46241.7476967593</v>
      </c>
      <c r="B680" s="60" t="s">
        <v>983</v>
      </c>
      <c r="C680" s="60" t="n">
        <v>20765171</v>
      </c>
      <c r="D680" s="60" t="s">
        <v>46</v>
      </c>
      <c r="E680" s="60" t="s">
        <v>22</v>
      </c>
      <c r="F680" s="60" t="s">
        <v>233</v>
      </c>
      <c r="G680" s="60" t="n">
        <v>33.4</v>
      </c>
      <c r="H680" s="61" t="n">
        <v>373.27</v>
      </c>
      <c r="I680" s="61" t="n">
        <v>42.11</v>
      </c>
      <c r="J680" s="61" t="n">
        <f aca="false">H680*Resumo!$C$6</f>
        <v>0</v>
      </c>
      <c r="K680" s="61" t="n">
        <f aca="false">H680*Resumo!$C$7</f>
        <v>0.783867</v>
      </c>
      <c r="L680" s="61" t="n">
        <f aca="false">H680*Resumo!$C$8</f>
        <v>0.783867</v>
      </c>
      <c r="M680" s="61" t="n">
        <f aca="false">Resumo!$C$10*CEILING(G680/100,1)</f>
        <v>1.05</v>
      </c>
      <c r="N680" s="61" t="n">
        <f aca="false">Resumo!$C$9</f>
        <v>0</v>
      </c>
      <c r="O680" s="61" t="n">
        <f aca="false">Resumo!$C$13</f>
        <v>13.55</v>
      </c>
      <c r="P680" s="61" t="n">
        <f aca="false">Resumo!$C$14*CEILING(G680,1)</f>
        <v>15.3</v>
      </c>
      <c r="Q680" s="61" t="n">
        <f aca="false">SUM(I680:P680)*Resumo!$C$11</f>
        <v>0</v>
      </c>
      <c r="R680" s="61" t="n">
        <f aca="false">SUM(I680:Q680)</f>
        <v>73.577734</v>
      </c>
      <c r="S680" s="61" t="n">
        <f aca="false">R680/(1-Resumo!$C$5)</f>
        <v>83.6110613636364</v>
      </c>
      <c r="T680" s="61" t="n">
        <v>82.21</v>
      </c>
      <c r="U680" s="61" t="n">
        <f aca="false">H680*Resumo!$B$6</f>
        <v>0.37327</v>
      </c>
      <c r="V680" s="61" t="n">
        <f aca="false">H680*Resumo!$B$7</f>
        <v>0.74654</v>
      </c>
      <c r="W680" s="61" t="n">
        <f aca="false">Resumo!$B$9</f>
        <v>1</v>
      </c>
      <c r="X680" s="61" t="n">
        <f aca="false">Resumo!$B$10*CEILING(G680/100,1)</f>
        <v>4.5</v>
      </c>
      <c r="Y680" s="61" t="n">
        <f aca="false">Resumo!$B$12*CEILING(G680,1)</f>
        <v>2.04</v>
      </c>
      <c r="Z680" s="61" t="n">
        <f aca="false">Resumo!$B$14*CEILING(G680,1)</f>
        <v>15.3</v>
      </c>
      <c r="AA680" s="61" t="n">
        <f aca="false">SUM(T680:Z680)</f>
        <v>106.16981</v>
      </c>
      <c r="AB680" s="61" t="n">
        <f aca="false">AA680/(1-Resumo!$B$5)</f>
        <v>120.647511363636</v>
      </c>
      <c r="AC680" s="61" t="n">
        <f aca="false">AB680-S680</f>
        <v>37.03645</v>
      </c>
      <c r="AD680" s="62" t="n">
        <f aca="false">AB680/S680-1</f>
        <v>0.442961127343225</v>
      </c>
      <c r="AE680" s="60" t="str">
        <f aca="false">IF(AB680&lt;S680,"SIM","NÃO")</f>
        <v>NÃO</v>
      </c>
      <c r="AF680" s="60" t="n">
        <v>2</v>
      </c>
      <c r="AG680" s="60" t="n">
        <v>5</v>
      </c>
      <c r="AH680" s="60" t="s">
        <v>382</v>
      </c>
      <c r="AI680" s="61" t="n">
        <f aca="false">(T680*(1-Painel!$C$40)+U680+V680+Painel!$C$41+Painel!$C$42*CEILING(G680/100,1)+Painel!$C$43*CEILING(G680,1)+Z680)/(1-Resumo!$B$5)</f>
        <v>83.580125</v>
      </c>
      <c r="AJ680" s="60" t="str">
        <f aca="false">IF(AI680&lt;S680,"SIM","NÃO")</f>
        <v>SIM</v>
      </c>
    </row>
    <row r="681" customFormat="false" ht="15" hidden="false" customHeight="false" outlineLevel="0" collapsed="false">
      <c r="A681" s="59" t="n">
        <v>46241.7621875</v>
      </c>
      <c r="B681" s="60" t="s">
        <v>1034</v>
      </c>
      <c r="C681" s="60" t="n">
        <v>21770100</v>
      </c>
      <c r="D681" s="60" t="s">
        <v>46</v>
      </c>
      <c r="E681" s="60" t="s">
        <v>22</v>
      </c>
      <c r="F681" s="60" t="s">
        <v>236</v>
      </c>
      <c r="G681" s="60" t="n">
        <v>51.3</v>
      </c>
      <c r="H681" s="61" t="n">
        <v>570</v>
      </c>
      <c r="I681" s="61" t="n">
        <v>58.6</v>
      </c>
      <c r="J681" s="61" t="n">
        <f aca="false">H681*Resumo!$C$6</f>
        <v>0</v>
      </c>
      <c r="K681" s="61" t="n">
        <f aca="false">H681*Resumo!$C$7</f>
        <v>1.197</v>
      </c>
      <c r="L681" s="61" t="n">
        <f aca="false">H681*Resumo!$C$8</f>
        <v>1.197</v>
      </c>
      <c r="M681" s="61" t="n">
        <f aca="false">Resumo!$C$10*CEILING(G681/100,1)</f>
        <v>1.05</v>
      </c>
      <c r="N681" s="61" t="n">
        <f aca="false">Resumo!$C$9</f>
        <v>0</v>
      </c>
      <c r="O681" s="61" t="n">
        <f aca="false">Resumo!$C$13</f>
        <v>13.55</v>
      </c>
      <c r="P681" s="61" t="n">
        <f aca="false">Resumo!$C$14*CEILING(G681,1)</f>
        <v>23.4</v>
      </c>
      <c r="Q681" s="61" t="n">
        <f aca="false">SUM(I681:P681)*Resumo!$C$11</f>
        <v>0</v>
      </c>
      <c r="R681" s="61" t="n">
        <f aca="false">SUM(I681:Q681)</f>
        <v>98.994</v>
      </c>
      <c r="S681" s="61" t="n">
        <f aca="false">R681/(1-Resumo!$C$5)</f>
        <v>112.493181818182</v>
      </c>
      <c r="T681" s="61" t="n">
        <v>112.3</v>
      </c>
      <c r="U681" s="61" t="n">
        <f aca="false">H681*Resumo!$B$6</f>
        <v>0.57</v>
      </c>
      <c r="V681" s="61" t="n">
        <f aca="false">H681*Resumo!$B$7</f>
        <v>1.14</v>
      </c>
      <c r="W681" s="61" t="n">
        <f aca="false">Resumo!$B$9</f>
        <v>1</v>
      </c>
      <c r="X681" s="61" t="n">
        <f aca="false">Resumo!$B$10*CEILING(G681/100,1)</f>
        <v>4.5</v>
      </c>
      <c r="Y681" s="61" t="n">
        <f aca="false">Resumo!$B$12*CEILING(G681,1)</f>
        <v>3.12</v>
      </c>
      <c r="Z681" s="61" t="n">
        <f aca="false">Resumo!$B$14*CEILING(G681,1)</f>
        <v>23.4</v>
      </c>
      <c r="AA681" s="61" t="n">
        <f aca="false">SUM(T681:Z681)</f>
        <v>146.03</v>
      </c>
      <c r="AB681" s="61" t="n">
        <f aca="false">AA681/(1-Resumo!$B$5)</f>
        <v>165.943181818182</v>
      </c>
      <c r="AC681" s="61" t="n">
        <f aca="false">AB681-S681</f>
        <v>53.45</v>
      </c>
      <c r="AD681" s="62" t="n">
        <f aca="false">AB681/S681-1</f>
        <v>0.475139907469139</v>
      </c>
      <c r="AE681" s="60" t="str">
        <f aca="false">IF(AB681&lt;S681,"SIM","NÃO")</f>
        <v>NÃO</v>
      </c>
      <c r="AF681" s="60" t="n">
        <v>2</v>
      </c>
      <c r="AG681" s="60" t="n">
        <v>5</v>
      </c>
      <c r="AH681" s="60" t="s">
        <v>382</v>
      </c>
      <c r="AI681" s="61" t="n">
        <f aca="false">(T681*(1-Painel!$C$40)+U681+V681+Painel!$C$41+Painel!$C$42*CEILING(G681/100,1)+Painel!$C$43*CEILING(G681,1)+Z681)/(1-Resumo!$B$5)</f>
        <v>116.364772727273</v>
      </c>
      <c r="AJ681" s="60" t="str">
        <f aca="false">IF(AI681&lt;S681,"SIM","NÃO")</f>
        <v>NÃO</v>
      </c>
    </row>
    <row r="682" customFormat="false" ht="15" hidden="false" customHeight="false" outlineLevel="0" collapsed="false">
      <c r="A682" s="59" t="n">
        <v>46241.7917708333</v>
      </c>
      <c r="B682" s="60" t="s">
        <v>1035</v>
      </c>
      <c r="C682" s="60" t="n">
        <v>26190520</v>
      </c>
      <c r="D682" s="60" t="s">
        <v>52</v>
      </c>
      <c r="E682" s="60" t="s">
        <v>23</v>
      </c>
      <c r="F682" s="60" t="s">
        <v>235</v>
      </c>
      <c r="G682" s="60" t="n">
        <v>46.8</v>
      </c>
      <c r="H682" s="61" t="n">
        <v>474.4</v>
      </c>
      <c r="I682" s="61" t="n">
        <v>65.36</v>
      </c>
      <c r="J682" s="61" t="n">
        <f aca="false">H682*Resumo!$C$6</f>
        <v>0</v>
      </c>
      <c r="K682" s="61" t="n">
        <f aca="false">H682*Resumo!$C$7</f>
        <v>0.99624</v>
      </c>
      <c r="L682" s="61" t="n">
        <f aca="false">H682*Resumo!$C$8</f>
        <v>0.99624</v>
      </c>
      <c r="M682" s="61" t="n">
        <f aca="false">Resumo!$C$10*CEILING(G682/100,1)</f>
        <v>1.05</v>
      </c>
      <c r="N682" s="61" t="n">
        <f aca="false">Resumo!$C$9</f>
        <v>0</v>
      </c>
      <c r="O682" s="61" t="n">
        <f aca="false">Resumo!$C$13</f>
        <v>13.55</v>
      </c>
      <c r="P682" s="61" t="n">
        <f aca="false">Resumo!$C$14*CEILING(G682,1)</f>
        <v>21.15</v>
      </c>
      <c r="Q682" s="61" t="n">
        <f aca="false">SUM(I682:P682)*Resumo!$C$11</f>
        <v>0</v>
      </c>
      <c r="R682" s="61" t="n">
        <f aca="false">SUM(I682:Q682)</f>
        <v>103.10248</v>
      </c>
      <c r="S682" s="61" t="n">
        <f aca="false">R682/(1-Resumo!$C$5)</f>
        <v>117.161909090909</v>
      </c>
      <c r="T682" s="61" t="n">
        <v>93.97</v>
      </c>
      <c r="U682" s="61" t="n">
        <f aca="false">H682*Resumo!$B$6</f>
        <v>0.4744</v>
      </c>
      <c r="V682" s="61" t="n">
        <f aca="false">H682*Resumo!$B$7</f>
        <v>0.9488</v>
      </c>
      <c r="W682" s="61" t="n">
        <f aca="false">Resumo!$B$9</f>
        <v>1</v>
      </c>
      <c r="X682" s="61" t="n">
        <f aca="false">Resumo!$B$10*CEILING(G682/100,1)</f>
        <v>4.5</v>
      </c>
      <c r="Y682" s="61" t="n">
        <f aca="false">Resumo!$B$12*CEILING(G682,1)</f>
        <v>2.82</v>
      </c>
      <c r="Z682" s="61" t="n">
        <f aca="false">Resumo!$B$14*CEILING(G682,1)</f>
        <v>21.15</v>
      </c>
      <c r="AA682" s="61" t="n">
        <f aca="false">SUM(T682:Z682)</f>
        <v>124.8632</v>
      </c>
      <c r="AB682" s="61" t="n">
        <f aca="false">AA682/(1-Resumo!$B$5)</f>
        <v>141.89</v>
      </c>
      <c r="AC682" s="61" t="n">
        <f aca="false">AB682-S682</f>
        <v>24.7280909090909</v>
      </c>
      <c r="AD682" s="62" t="n">
        <f aca="false">AB682/S682-1</f>
        <v>0.211059132622222</v>
      </c>
      <c r="AE682" s="60" t="str">
        <f aca="false">IF(AB682&lt;S682,"SIM","NÃO")</f>
        <v>NÃO</v>
      </c>
      <c r="AF682" s="60" t="n">
        <v>2</v>
      </c>
      <c r="AG682" s="60" t="n">
        <v>5</v>
      </c>
      <c r="AH682" s="60" t="s">
        <v>382</v>
      </c>
      <c r="AI682" s="61" t="n">
        <f aca="false">(T682*(1-Painel!$C$40)+U682+V682+Painel!$C$41+Painel!$C$42*CEILING(G682/100,1)+Painel!$C$43*CEILING(G682,1)+Z682)/(1-Resumo!$B$5)</f>
        <v>99.52625</v>
      </c>
      <c r="AJ682" s="60" t="str">
        <f aca="false">IF(AI682&lt;S682,"SIM","NÃO")</f>
        <v>SIM</v>
      </c>
    </row>
    <row r="683" customFormat="false" ht="15" hidden="false" customHeight="false" outlineLevel="0" collapsed="false">
      <c r="A683" s="59" t="n">
        <v>46241.7918171296</v>
      </c>
      <c r="B683" s="60" t="s">
        <v>1036</v>
      </c>
      <c r="C683" s="60" t="n">
        <v>27283040</v>
      </c>
      <c r="D683" s="60" t="s">
        <v>217</v>
      </c>
      <c r="E683" s="60" t="s">
        <v>24</v>
      </c>
      <c r="F683" s="60" t="s">
        <v>234</v>
      </c>
      <c r="G683" s="60" t="n">
        <v>39</v>
      </c>
      <c r="H683" s="61" t="n">
        <v>539.99</v>
      </c>
      <c r="I683" s="61" t="n">
        <v>74.97</v>
      </c>
      <c r="J683" s="61" t="n">
        <f aca="false">H683*Resumo!$C$6</f>
        <v>0</v>
      </c>
      <c r="K683" s="61" t="n">
        <f aca="false">H683*Resumo!$C$7</f>
        <v>1.133979</v>
      </c>
      <c r="L683" s="61" t="n">
        <f aca="false">H683*Resumo!$C$8</f>
        <v>1.133979</v>
      </c>
      <c r="M683" s="61" t="n">
        <f aca="false">Resumo!$C$10*CEILING(G683/100,1)</f>
        <v>1.05</v>
      </c>
      <c r="N683" s="61" t="n">
        <f aca="false">Resumo!$C$9</f>
        <v>0</v>
      </c>
      <c r="O683" s="61" t="n">
        <f aca="false">Resumo!$C$13</f>
        <v>13.55</v>
      </c>
      <c r="P683" s="61" t="n">
        <f aca="false">Resumo!$C$14*CEILING(G683,1)</f>
        <v>17.55</v>
      </c>
      <c r="Q683" s="61" t="n">
        <f aca="false">SUM(I683:P683)*Resumo!$C$11</f>
        <v>0</v>
      </c>
      <c r="R683" s="61" t="n">
        <f aca="false">SUM(I683:Q683)</f>
        <v>109.387958</v>
      </c>
      <c r="S683" s="61" t="n">
        <f aca="false">R683/(1-Resumo!$C$5)</f>
        <v>124.304497727273</v>
      </c>
      <c r="T683" s="61" t="n">
        <v>124.38</v>
      </c>
      <c r="U683" s="61" t="n">
        <f aca="false">H683*Resumo!$B$6</f>
        <v>0.53999</v>
      </c>
      <c r="V683" s="61" t="n">
        <f aca="false">H683*Resumo!$B$7</f>
        <v>1.07998</v>
      </c>
      <c r="W683" s="61" t="n">
        <f aca="false">Resumo!$B$9</f>
        <v>1</v>
      </c>
      <c r="X683" s="61" t="n">
        <f aca="false">Resumo!$B$10*CEILING(G683/100,1)</f>
        <v>4.5</v>
      </c>
      <c r="Y683" s="61" t="n">
        <f aca="false">Resumo!$B$12*CEILING(G683,1)</f>
        <v>2.34</v>
      </c>
      <c r="Z683" s="61" t="n">
        <f aca="false">Resumo!$B$14*CEILING(G683,1)</f>
        <v>17.55</v>
      </c>
      <c r="AA683" s="61" t="n">
        <f aca="false">SUM(T683:Z683)</f>
        <v>151.38997</v>
      </c>
      <c r="AB683" s="61" t="n">
        <f aca="false">AA683/(1-Resumo!$B$5)</f>
        <v>172.034056818182</v>
      </c>
      <c r="AC683" s="61" t="n">
        <f aca="false">AB683-S683</f>
        <v>47.7295590909091</v>
      </c>
      <c r="AD683" s="62" t="n">
        <f aca="false">AB683/S683-1</f>
        <v>0.38397290495175</v>
      </c>
      <c r="AE683" s="60" t="str">
        <f aca="false">IF(AB683&lt;S683,"SIM","NÃO")</f>
        <v>NÃO</v>
      </c>
      <c r="AF683" s="60" t="n">
        <v>13</v>
      </c>
      <c r="AG683" s="60" t="n">
        <v>10</v>
      </c>
      <c r="AH683" s="60" t="s">
        <v>382</v>
      </c>
      <c r="AI683" s="61" t="n">
        <f aca="false">(T683*(1-Painel!$C$40)+U683+V683+Painel!$C$41+Painel!$C$42*CEILING(G683/100,1)+Painel!$C$43*CEILING(G683,1)+Z683)/(1-Resumo!$B$5)</f>
        <v>118.812011363636</v>
      </c>
      <c r="AJ683" s="60" t="str">
        <f aca="false">IF(AI683&lt;S683,"SIM","NÃO")</f>
        <v>SIM</v>
      </c>
    </row>
    <row r="684" customFormat="false" ht="15" hidden="false" customHeight="false" outlineLevel="0" collapsed="false">
      <c r="A684" s="59" t="n">
        <v>46241.8343981481</v>
      </c>
      <c r="B684" s="60" t="s">
        <v>1037</v>
      </c>
      <c r="C684" s="60" t="n">
        <v>24460170</v>
      </c>
      <c r="D684" s="60" t="s">
        <v>47</v>
      </c>
      <c r="E684" s="60" t="s">
        <v>23</v>
      </c>
      <c r="F684" s="60" t="s">
        <v>232</v>
      </c>
      <c r="G684" s="60" t="n">
        <v>19.5</v>
      </c>
      <c r="H684" s="61" t="n">
        <v>359.99</v>
      </c>
      <c r="I684" s="61" t="n">
        <v>42.72</v>
      </c>
      <c r="J684" s="61" t="n">
        <f aca="false">H684*Resumo!$C$6</f>
        <v>0</v>
      </c>
      <c r="K684" s="61" t="n">
        <f aca="false">H684*Resumo!$C$7</f>
        <v>0.755979</v>
      </c>
      <c r="L684" s="61" t="n">
        <f aca="false">H684*Resumo!$C$8</f>
        <v>0.755979</v>
      </c>
      <c r="M684" s="61" t="n">
        <f aca="false">Resumo!$C$10*CEILING(G684/100,1)</f>
        <v>1.05</v>
      </c>
      <c r="N684" s="61" t="n">
        <f aca="false">Resumo!$C$9</f>
        <v>0</v>
      </c>
      <c r="O684" s="61" t="n">
        <f aca="false">Resumo!$C$13</f>
        <v>13.55</v>
      </c>
      <c r="P684" s="61" t="n">
        <f aca="false">Resumo!$C$14*CEILING(G684,1)</f>
        <v>9</v>
      </c>
      <c r="Q684" s="61" t="n">
        <f aca="false">SUM(I684:P684)*Resumo!$C$11</f>
        <v>0</v>
      </c>
      <c r="R684" s="61" t="n">
        <f aca="false">SUM(I684:Q684)</f>
        <v>67.831958</v>
      </c>
      <c r="S684" s="61" t="n">
        <f aca="false">R684/(1-Resumo!$C$5)</f>
        <v>77.0817704545455</v>
      </c>
      <c r="T684" s="61" t="n">
        <v>57.47</v>
      </c>
      <c r="U684" s="61" t="n">
        <f aca="false">H684*Resumo!$B$6</f>
        <v>0.35999</v>
      </c>
      <c r="V684" s="61" t="n">
        <f aca="false">H684*Resumo!$B$7</f>
        <v>0.71998</v>
      </c>
      <c r="W684" s="61" t="n">
        <f aca="false">Resumo!$B$9</f>
        <v>1</v>
      </c>
      <c r="X684" s="61" t="n">
        <f aca="false">Resumo!$B$10*CEILING(G684/100,1)</f>
        <v>4.5</v>
      </c>
      <c r="Y684" s="61" t="n">
        <f aca="false">Resumo!$B$12*CEILING(G684,1)</f>
        <v>1.2</v>
      </c>
      <c r="Z684" s="61" t="n">
        <f aca="false">Resumo!$B$14*CEILING(G684,1)</f>
        <v>9</v>
      </c>
      <c r="AA684" s="61" t="n">
        <f aca="false">SUM(T684:Z684)</f>
        <v>74.24997</v>
      </c>
      <c r="AB684" s="61" t="n">
        <f aca="false">AA684/(1-Resumo!$B$5)</f>
        <v>84.3749659090909</v>
      </c>
      <c r="AC684" s="61" t="n">
        <f aca="false">AB684-S684</f>
        <v>7.29319545454547</v>
      </c>
      <c r="AD684" s="62" t="n">
        <f aca="false">AB684/S684-1</f>
        <v>0.094616345882276</v>
      </c>
      <c r="AE684" s="60" t="str">
        <f aca="false">IF(AB684&lt;S684,"SIM","NÃO")</f>
        <v>NÃO</v>
      </c>
      <c r="AF684" s="60" t="n">
        <v>2</v>
      </c>
      <c r="AG684" s="60" t="n">
        <v>7</v>
      </c>
      <c r="AH684" s="60" t="s">
        <v>382</v>
      </c>
      <c r="AI684" s="61" t="n">
        <f aca="false">(T684*(1-Painel!$C$40)+U684+V684+Painel!$C$41+Painel!$C$42*CEILING(G684/100,1)+Painel!$C$43*CEILING(G684,1)+Z684)/(1-Resumo!$B$5)</f>
        <v>57.539625</v>
      </c>
      <c r="AJ684" s="60" t="str">
        <f aca="false">IF(AI684&lt;S684,"SIM","NÃO")</f>
        <v>SIM</v>
      </c>
    </row>
    <row r="685" customFormat="false" ht="15" hidden="false" customHeight="false" outlineLevel="0" collapsed="false">
      <c r="A685" s="59" t="n">
        <v>46241.973599537</v>
      </c>
      <c r="B685" s="60" t="s">
        <v>1038</v>
      </c>
      <c r="C685" s="60" t="n">
        <v>20973900</v>
      </c>
      <c r="D685" s="60" t="s">
        <v>46</v>
      </c>
      <c r="E685" s="60" t="s">
        <v>22</v>
      </c>
      <c r="F685" s="60" t="s">
        <v>236</v>
      </c>
      <c r="G685" s="60" t="n">
        <v>58.6</v>
      </c>
      <c r="H685" s="61" t="n">
        <v>799.99</v>
      </c>
      <c r="I685" s="61" t="n">
        <v>58.6</v>
      </c>
      <c r="J685" s="61" t="n">
        <f aca="false">H685*Resumo!$C$6</f>
        <v>0</v>
      </c>
      <c r="K685" s="61" t="n">
        <f aca="false">H685*Resumo!$C$7</f>
        <v>1.679979</v>
      </c>
      <c r="L685" s="61" t="n">
        <f aca="false">H685*Resumo!$C$8</f>
        <v>1.679979</v>
      </c>
      <c r="M685" s="61" t="n">
        <f aca="false">Resumo!$C$10*CEILING(G685/100,1)</f>
        <v>1.05</v>
      </c>
      <c r="N685" s="61" t="n">
        <f aca="false">Resumo!$C$9</f>
        <v>0</v>
      </c>
      <c r="O685" s="61" t="n">
        <f aca="false">Resumo!$C$13</f>
        <v>13.55</v>
      </c>
      <c r="P685" s="61" t="n">
        <f aca="false">Resumo!$C$14*CEILING(G685,1)</f>
        <v>26.55</v>
      </c>
      <c r="Q685" s="61" t="n">
        <f aca="false">SUM(I685:P685)*Resumo!$C$11</f>
        <v>0</v>
      </c>
      <c r="R685" s="61" t="n">
        <f aca="false">SUM(I685:Q685)</f>
        <v>103.109958</v>
      </c>
      <c r="S685" s="61" t="n">
        <f aca="false">R685/(1-Resumo!$C$5)</f>
        <v>117.170406818182</v>
      </c>
      <c r="T685" s="61" t="n">
        <v>112.3</v>
      </c>
      <c r="U685" s="61" t="n">
        <f aca="false">H685*Resumo!$B$6</f>
        <v>0.79999</v>
      </c>
      <c r="V685" s="61" t="n">
        <f aca="false">H685*Resumo!$B$7</f>
        <v>1.59998</v>
      </c>
      <c r="W685" s="61" t="n">
        <f aca="false">Resumo!$B$9</f>
        <v>1</v>
      </c>
      <c r="X685" s="61" t="n">
        <f aca="false">Resumo!$B$10*CEILING(G685/100,1)</f>
        <v>4.5</v>
      </c>
      <c r="Y685" s="61" t="n">
        <f aca="false">Resumo!$B$12*CEILING(G685,1)</f>
        <v>3.54</v>
      </c>
      <c r="Z685" s="61" t="n">
        <f aca="false">Resumo!$B$14*CEILING(G685,1)</f>
        <v>26.55</v>
      </c>
      <c r="AA685" s="61" t="n">
        <f aca="false">SUM(T685:Z685)</f>
        <v>150.28997</v>
      </c>
      <c r="AB685" s="61" t="n">
        <f aca="false">AA685/(1-Resumo!$B$5)</f>
        <v>170.784056818182</v>
      </c>
      <c r="AC685" s="61" t="n">
        <f aca="false">AB685-S685</f>
        <v>53.61365</v>
      </c>
      <c r="AD685" s="62" t="n">
        <f aca="false">AB685/S685-1</f>
        <v>0.457569888642569</v>
      </c>
      <c r="AE685" s="60" t="str">
        <f aca="false">IF(AB685&lt;S685,"SIM","NÃO")</f>
        <v>NÃO</v>
      </c>
      <c r="AF685" s="60" t="n">
        <v>2</v>
      </c>
      <c r="AG685" s="60" t="n">
        <v>5</v>
      </c>
      <c r="AH685" s="60" t="s">
        <v>382</v>
      </c>
      <c r="AI685" s="61" t="n">
        <f aca="false">(T685*(1-Painel!$C$40)+U685+V685+Painel!$C$41+Painel!$C$42*CEILING(G685/100,1)+Painel!$C$43*CEILING(G685,1)+Z685)/(1-Resumo!$B$5)</f>
        <v>120.728375</v>
      </c>
      <c r="AJ685" s="60" t="str">
        <f aca="false">IF(AI685&lt;S685,"SIM","NÃO")</f>
        <v>NÃO</v>
      </c>
    </row>
    <row r="686" customFormat="false" ht="15" hidden="false" customHeight="false" outlineLevel="0" collapsed="false">
      <c r="A686" s="59" t="n">
        <v>46242.0012962963</v>
      </c>
      <c r="B686" s="60" t="s">
        <v>1039</v>
      </c>
      <c r="C686" s="60" t="n">
        <v>28120000</v>
      </c>
      <c r="D686" s="60" t="s">
        <v>51</v>
      </c>
      <c r="E686" s="60" t="s">
        <v>24</v>
      </c>
      <c r="F686" s="60" t="s">
        <v>233</v>
      </c>
      <c r="G686" s="60" t="n">
        <v>22.4</v>
      </c>
      <c r="H686" s="61" t="n">
        <v>487.6</v>
      </c>
      <c r="I686" s="61" t="n">
        <v>65.63</v>
      </c>
      <c r="J686" s="61" t="n">
        <f aca="false">H686*Resumo!$C$6</f>
        <v>0</v>
      </c>
      <c r="K686" s="61" t="n">
        <f aca="false">H686*Resumo!$C$7</f>
        <v>1.02396</v>
      </c>
      <c r="L686" s="61" t="n">
        <f aca="false">H686*Resumo!$C$8</f>
        <v>1.02396</v>
      </c>
      <c r="M686" s="61" t="n">
        <f aca="false">Resumo!$C$10*CEILING(G686/100,1)</f>
        <v>1.05</v>
      </c>
      <c r="N686" s="61" t="n">
        <f aca="false">Resumo!$C$9</f>
        <v>0</v>
      </c>
      <c r="O686" s="61" t="n">
        <f aca="false">Resumo!$C$13</f>
        <v>13.55</v>
      </c>
      <c r="P686" s="61" t="n">
        <f aca="false">Resumo!$C$14*CEILING(G686,1)</f>
        <v>10.35</v>
      </c>
      <c r="Q686" s="61" t="n">
        <f aca="false">SUM(I686:P686)*Resumo!$C$11</f>
        <v>0</v>
      </c>
      <c r="R686" s="61" t="n">
        <f aca="false">SUM(I686:Q686)</f>
        <v>92.62792</v>
      </c>
      <c r="S686" s="61" t="n">
        <f aca="false">R686/(1-Resumo!$C$5)</f>
        <v>105.259</v>
      </c>
      <c r="T686" s="61" t="n">
        <v>138.29</v>
      </c>
      <c r="U686" s="61" t="n">
        <f aca="false">H686*Resumo!$B$6</f>
        <v>0.4876</v>
      </c>
      <c r="V686" s="61" t="n">
        <f aca="false">H686*Resumo!$B$7</f>
        <v>0.9752</v>
      </c>
      <c r="W686" s="61" t="n">
        <f aca="false">Resumo!$B$9</f>
        <v>1</v>
      </c>
      <c r="X686" s="61" t="n">
        <f aca="false">Resumo!$B$10*CEILING(G686/100,1)</f>
        <v>4.5</v>
      </c>
      <c r="Y686" s="61" t="n">
        <f aca="false">Resumo!$B$12*CEILING(G686,1)</f>
        <v>1.38</v>
      </c>
      <c r="Z686" s="61" t="n">
        <f aca="false">Resumo!$B$14*CEILING(G686,1)</f>
        <v>10.35</v>
      </c>
      <c r="AA686" s="61" t="n">
        <f aca="false">SUM(T686:Z686)</f>
        <v>156.9828</v>
      </c>
      <c r="AB686" s="61" t="n">
        <f aca="false">AA686/(1-Resumo!$B$5)</f>
        <v>178.389545454545</v>
      </c>
      <c r="AC686" s="61" t="n">
        <f aca="false">AB686-S686</f>
        <v>73.1305454545455</v>
      </c>
      <c r="AD686" s="62" t="n">
        <f aca="false">AB686/S686-1</f>
        <v>0.694767625139375</v>
      </c>
      <c r="AE686" s="60" t="str">
        <f aca="false">IF(AB686&lt;S686,"SIM","NÃO")</f>
        <v>NÃO</v>
      </c>
      <c r="AF686" s="60" t="n">
        <v>13</v>
      </c>
      <c r="AG686" s="60" t="n">
        <v>11</v>
      </c>
      <c r="AH686" s="60" t="s">
        <v>382</v>
      </c>
      <c r="AI686" s="61" t="n">
        <f aca="false">(T686*(1-Painel!$C$40)+U686+V686+Painel!$C$41+Painel!$C$42*CEILING(G686/100,1)+Painel!$C$43*CEILING(G686,1)+Z686)/(1-Resumo!$B$5)</f>
        <v>121.042159090909</v>
      </c>
      <c r="AJ686" s="60" t="str">
        <f aca="false">IF(AI686&lt;S686,"SIM","NÃO")</f>
        <v>NÃO</v>
      </c>
    </row>
    <row r="687" customFormat="false" ht="15" hidden="false" customHeight="false" outlineLevel="0" collapsed="false">
      <c r="A687" s="59" t="n">
        <v>46242.0028935185</v>
      </c>
      <c r="B687" s="60" t="s">
        <v>1040</v>
      </c>
      <c r="C687" s="60" t="n">
        <v>25535120</v>
      </c>
      <c r="D687" s="60" t="s">
        <v>216</v>
      </c>
      <c r="E687" s="60" t="s">
        <v>23</v>
      </c>
      <c r="F687" s="60" t="s">
        <v>232</v>
      </c>
      <c r="G687" s="60" t="n">
        <v>19.5</v>
      </c>
      <c r="H687" s="61" t="n">
        <v>351</v>
      </c>
      <c r="I687" s="61" t="n">
        <v>42.72</v>
      </c>
      <c r="J687" s="61" t="n">
        <f aca="false">H687*Resumo!$C$6</f>
        <v>0</v>
      </c>
      <c r="K687" s="61" t="n">
        <f aca="false">H687*Resumo!$C$7</f>
        <v>0.7371</v>
      </c>
      <c r="L687" s="61" t="n">
        <f aca="false">H687*Resumo!$C$8</f>
        <v>0.7371</v>
      </c>
      <c r="M687" s="61" t="n">
        <f aca="false">Resumo!$C$10*CEILING(G687/100,1)</f>
        <v>1.05</v>
      </c>
      <c r="N687" s="61" t="n">
        <f aca="false">Resumo!$C$9</f>
        <v>0</v>
      </c>
      <c r="O687" s="61" t="n">
        <f aca="false">Resumo!$C$13</f>
        <v>13.55</v>
      </c>
      <c r="P687" s="61" t="n">
        <f aca="false">Resumo!$C$14*CEILING(G687,1)</f>
        <v>9</v>
      </c>
      <c r="Q687" s="61" t="n">
        <f aca="false">SUM(I687:P687)*Resumo!$C$11</f>
        <v>0</v>
      </c>
      <c r="R687" s="61" t="n">
        <f aca="false">SUM(I687:Q687)</f>
        <v>67.7942</v>
      </c>
      <c r="S687" s="61" t="n">
        <f aca="false">R687/(1-Resumo!$C$5)</f>
        <v>77.0388636363636</v>
      </c>
      <c r="T687" s="61" t="n">
        <v>46.98</v>
      </c>
      <c r="U687" s="61" t="n">
        <f aca="false">H687*Resumo!$B$6</f>
        <v>0.351</v>
      </c>
      <c r="V687" s="61" t="n">
        <f aca="false">H687*Resumo!$B$7</f>
        <v>0.702</v>
      </c>
      <c r="W687" s="61" t="n">
        <f aca="false">Resumo!$B$9</f>
        <v>1</v>
      </c>
      <c r="X687" s="61" t="n">
        <f aca="false">Resumo!$B$10*CEILING(G687/100,1)</f>
        <v>4.5</v>
      </c>
      <c r="Y687" s="61" t="n">
        <f aca="false">Resumo!$B$12*CEILING(G687,1)</f>
        <v>1.2</v>
      </c>
      <c r="Z687" s="61" t="n">
        <f aca="false">Resumo!$B$14*CEILING(G687,1)</f>
        <v>9</v>
      </c>
      <c r="AA687" s="61" t="n">
        <f aca="false">SUM(T687:Z687)</f>
        <v>63.733</v>
      </c>
      <c r="AB687" s="61" t="n">
        <f aca="false">AA687/(1-Resumo!$B$5)</f>
        <v>72.4238636363636</v>
      </c>
      <c r="AC687" s="61" t="n">
        <f aca="false">AB687-S687</f>
        <v>-4.615</v>
      </c>
      <c r="AD687" s="62" t="n">
        <f aca="false">AB687/S687-1</f>
        <v>-0.0599048296166929</v>
      </c>
      <c r="AE687" s="60" t="str">
        <f aca="false">IF(AB687&lt;S687,"SIM","NÃO")</f>
        <v>SIM</v>
      </c>
      <c r="AF687" s="60" t="n">
        <v>2</v>
      </c>
      <c r="AG687" s="60" t="n">
        <v>5</v>
      </c>
      <c r="AH687" s="60" t="s">
        <v>382</v>
      </c>
      <c r="AI687" s="61" t="n">
        <f aca="false">(T687*(1-Painel!$C$40)+U687+V687+Painel!$C$41+Painel!$C$42*CEILING(G687/100,1)+Painel!$C$43*CEILING(G687,1)+Z687)/(1-Resumo!$B$5)</f>
        <v>49.5222727272727</v>
      </c>
      <c r="AJ687" s="60" t="str">
        <f aca="false">IF(AI687&lt;S687,"SIM","NÃO")</f>
        <v>SIM</v>
      </c>
    </row>
    <row r="688" customFormat="false" ht="15" hidden="false" customHeight="false" outlineLevel="0" collapsed="false">
      <c r="A688" s="59" t="n">
        <v>46242.0042476852</v>
      </c>
      <c r="B688" s="60" t="s">
        <v>1041</v>
      </c>
      <c r="C688" s="60" t="n">
        <v>26165340</v>
      </c>
      <c r="D688" s="60" t="s">
        <v>52</v>
      </c>
      <c r="E688" s="60" t="s">
        <v>23</v>
      </c>
      <c r="F688" s="60" t="s">
        <v>236</v>
      </c>
      <c r="G688" s="60" t="n">
        <v>52.3</v>
      </c>
      <c r="H688" s="61" t="n">
        <v>616.99</v>
      </c>
      <c r="I688" s="61" t="n">
        <v>70.98</v>
      </c>
      <c r="J688" s="61" t="n">
        <f aca="false">H688*Resumo!$C$6</f>
        <v>0</v>
      </c>
      <c r="K688" s="61" t="n">
        <f aca="false">H688*Resumo!$C$7</f>
        <v>1.295679</v>
      </c>
      <c r="L688" s="61" t="n">
        <f aca="false">H688*Resumo!$C$8</f>
        <v>1.295679</v>
      </c>
      <c r="M688" s="61" t="n">
        <f aca="false">Resumo!$C$10*CEILING(G688/100,1)</f>
        <v>1.05</v>
      </c>
      <c r="N688" s="61" t="n">
        <f aca="false">Resumo!$C$9</f>
        <v>0</v>
      </c>
      <c r="O688" s="61" t="n">
        <f aca="false">Resumo!$C$13</f>
        <v>13.55</v>
      </c>
      <c r="P688" s="61" t="n">
        <f aca="false">Resumo!$C$14*CEILING(G688,1)</f>
        <v>23.85</v>
      </c>
      <c r="Q688" s="61" t="n">
        <f aca="false">SUM(I688:P688)*Resumo!$C$11</f>
        <v>0</v>
      </c>
      <c r="R688" s="61" t="n">
        <f aca="false">SUM(I688:Q688)</f>
        <v>112.021358</v>
      </c>
      <c r="S688" s="61" t="n">
        <f aca="false">R688/(1-Resumo!$C$5)</f>
        <v>127.296997727273</v>
      </c>
      <c r="T688" s="61" t="n">
        <v>112.3</v>
      </c>
      <c r="U688" s="61" t="n">
        <f aca="false">H688*Resumo!$B$6</f>
        <v>0.61699</v>
      </c>
      <c r="V688" s="61" t="n">
        <f aca="false">H688*Resumo!$B$7</f>
        <v>1.23398</v>
      </c>
      <c r="W688" s="61" t="n">
        <f aca="false">Resumo!$B$9</f>
        <v>1</v>
      </c>
      <c r="X688" s="61" t="n">
        <f aca="false">Resumo!$B$10*CEILING(G688/100,1)</f>
        <v>4.5</v>
      </c>
      <c r="Y688" s="61" t="n">
        <f aca="false">Resumo!$B$12*CEILING(G688,1)</f>
        <v>3.18</v>
      </c>
      <c r="Z688" s="61" t="n">
        <f aca="false">Resumo!$B$14*CEILING(G688,1)</f>
        <v>23.85</v>
      </c>
      <c r="AA688" s="61" t="n">
        <f aca="false">SUM(T688:Z688)</f>
        <v>146.68097</v>
      </c>
      <c r="AB688" s="61" t="n">
        <f aca="false">AA688/(1-Resumo!$B$5)</f>
        <v>166.682920454545</v>
      </c>
      <c r="AC688" s="61" t="n">
        <f aca="false">AB688-S688</f>
        <v>39.3859227272727</v>
      </c>
      <c r="AD688" s="62" t="n">
        <f aca="false">AB688/S688-1</f>
        <v>0.309401819606579</v>
      </c>
      <c r="AE688" s="60" t="str">
        <f aca="false">IF(AB688&lt;S688,"SIM","NÃO")</f>
        <v>NÃO</v>
      </c>
      <c r="AF688" s="60" t="n">
        <v>2</v>
      </c>
      <c r="AG688" s="60" t="n">
        <v>5</v>
      </c>
      <c r="AH688" s="60" t="s">
        <v>382</v>
      </c>
      <c r="AI688" s="61" t="n">
        <f aca="false">(T688*(1-Painel!$C$40)+U688+V688+Painel!$C$41+Painel!$C$42*CEILING(G688/100,1)+Painel!$C$43*CEILING(G688,1)+Z688)/(1-Resumo!$B$5)</f>
        <v>117.036329545455</v>
      </c>
      <c r="AJ688" s="60" t="str">
        <f aca="false">IF(AI688&lt;S688,"SIM","NÃO")</f>
        <v>SIM</v>
      </c>
    </row>
    <row r="689" customFormat="false" ht="15" hidden="false" customHeight="false" outlineLevel="0" collapsed="false">
      <c r="A689" s="59" t="n">
        <v>46242.0045023148</v>
      </c>
      <c r="B689" s="60" t="s">
        <v>515</v>
      </c>
      <c r="C689" s="60" t="n">
        <v>24754190</v>
      </c>
      <c r="D689" s="60" t="s">
        <v>47</v>
      </c>
      <c r="E689" s="60" t="s">
        <v>23</v>
      </c>
      <c r="F689" s="60" t="s">
        <v>236</v>
      </c>
      <c r="G689" s="60" t="n">
        <v>55</v>
      </c>
      <c r="H689" s="61" t="n">
        <v>759.98</v>
      </c>
      <c r="I689" s="61" t="n">
        <v>70.98</v>
      </c>
      <c r="J689" s="61" t="n">
        <f aca="false">H689*Resumo!$C$6</f>
        <v>0</v>
      </c>
      <c r="K689" s="61" t="n">
        <f aca="false">H689*Resumo!$C$7</f>
        <v>1.595958</v>
      </c>
      <c r="L689" s="61" t="n">
        <f aca="false">H689*Resumo!$C$8</f>
        <v>1.595958</v>
      </c>
      <c r="M689" s="61" t="n">
        <f aca="false">Resumo!$C$10*CEILING(G689/100,1)</f>
        <v>1.05</v>
      </c>
      <c r="N689" s="61" t="n">
        <f aca="false">Resumo!$C$9</f>
        <v>0</v>
      </c>
      <c r="O689" s="61" t="n">
        <f aca="false">Resumo!$C$13</f>
        <v>13.55</v>
      </c>
      <c r="P689" s="61" t="n">
        <f aca="false">Resumo!$C$14*CEILING(G689,1)</f>
        <v>24.75</v>
      </c>
      <c r="Q689" s="61" t="n">
        <f aca="false">SUM(I689:P689)*Resumo!$C$11</f>
        <v>0</v>
      </c>
      <c r="R689" s="61" t="n">
        <f aca="false">SUM(I689:Q689)</f>
        <v>113.521916</v>
      </c>
      <c r="S689" s="61" t="n">
        <f aca="false">R689/(1-Resumo!$C$5)</f>
        <v>129.002177272727</v>
      </c>
      <c r="T689" s="61" t="n">
        <v>128.14</v>
      </c>
      <c r="U689" s="61" t="n">
        <f aca="false">H689*Resumo!$B$6</f>
        <v>0.75998</v>
      </c>
      <c r="V689" s="61" t="n">
        <f aca="false">H689*Resumo!$B$7</f>
        <v>1.51996</v>
      </c>
      <c r="W689" s="61" t="n">
        <f aca="false">Resumo!$B$9</f>
        <v>1</v>
      </c>
      <c r="X689" s="61" t="n">
        <f aca="false">Resumo!$B$10*CEILING(G689/100,1)</f>
        <v>4.5</v>
      </c>
      <c r="Y689" s="61" t="n">
        <f aca="false">Resumo!$B$12*CEILING(G689,1)</f>
        <v>3.3</v>
      </c>
      <c r="Z689" s="61" t="n">
        <f aca="false">Resumo!$B$14*CEILING(G689,1)</f>
        <v>24.75</v>
      </c>
      <c r="AA689" s="61" t="n">
        <f aca="false">SUM(T689:Z689)</f>
        <v>163.96994</v>
      </c>
      <c r="AB689" s="61" t="n">
        <f aca="false">AA689/(1-Resumo!$B$5)</f>
        <v>186.329477272727</v>
      </c>
      <c r="AC689" s="61" t="n">
        <f aca="false">AB689-S689</f>
        <v>57.3273</v>
      </c>
      <c r="AD689" s="62" t="n">
        <f aca="false">AB689/S689-1</f>
        <v>0.444390173964294</v>
      </c>
      <c r="AE689" s="60" t="str">
        <f aca="false">IF(AB689&lt;S689,"SIM","NÃO")</f>
        <v>NÃO</v>
      </c>
      <c r="AF689" s="60" t="n">
        <v>2</v>
      </c>
      <c r="AG689" s="60" t="n">
        <v>7</v>
      </c>
      <c r="AH689" s="60" t="s">
        <v>382</v>
      </c>
      <c r="AI689" s="61" t="n">
        <f aca="false">(T689*(1-Painel!$C$40)+U689+V689+Painel!$C$41+Painel!$C$42*CEILING(G689/100,1)+Painel!$C$43*CEILING(G689,1)+Z689)/(1-Resumo!$B$5)</f>
        <v>130.606522727273</v>
      </c>
      <c r="AJ689" s="60" t="str">
        <f aca="false">IF(AI689&lt;S689,"SIM","NÃO")</f>
        <v>NÃO</v>
      </c>
    </row>
    <row r="690" customFormat="false" ht="15" hidden="false" customHeight="false" outlineLevel="0" collapsed="false">
      <c r="A690" s="59" t="n">
        <v>46242.0080324074</v>
      </c>
      <c r="B690" s="60" t="s">
        <v>1042</v>
      </c>
      <c r="C690" s="60" t="n">
        <v>25575080</v>
      </c>
      <c r="D690" s="60" t="s">
        <v>216</v>
      </c>
      <c r="E690" s="60" t="s">
        <v>23</v>
      </c>
      <c r="F690" s="60" t="s">
        <v>234</v>
      </c>
      <c r="G690" s="60" t="n">
        <v>39</v>
      </c>
      <c r="H690" s="61" t="n">
        <v>759.98</v>
      </c>
      <c r="I690" s="61" t="n">
        <v>66.83</v>
      </c>
      <c r="J690" s="61" t="n">
        <f aca="false">H690*Resumo!$C$6</f>
        <v>0</v>
      </c>
      <c r="K690" s="61" t="n">
        <f aca="false">H690*Resumo!$C$7</f>
        <v>1.595958</v>
      </c>
      <c r="L690" s="61" t="n">
        <f aca="false">H690*Resumo!$C$8</f>
        <v>1.595958</v>
      </c>
      <c r="M690" s="61" t="n">
        <f aca="false">Resumo!$C$10*CEILING(G690/100,1)</f>
        <v>1.05</v>
      </c>
      <c r="N690" s="61" t="n">
        <f aca="false">Resumo!$C$9</f>
        <v>0</v>
      </c>
      <c r="O690" s="61" t="n">
        <f aca="false">Resumo!$C$13</f>
        <v>13.55</v>
      </c>
      <c r="P690" s="61" t="n">
        <f aca="false">Resumo!$C$14*CEILING(G690,1)</f>
        <v>17.55</v>
      </c>
      <c r="Q690" s="61" t="n">
        <f aca="false">SUM(I690:P690)*Resumo!$C$11</f>
        <v>0</v>
      </c>
      <c r="R690" s="61" t="n">
        <f aca="false">SUM(I690:Q690)</f>
        <v>102.171916</v>
      </c>
      <c r="S690" s="61" t="n">
        <f aca="false">R690/(1-Resumo!$C$5)</f>
        <v>116.10445</v>
      </c>
      <c r="T690" s="61" t="n">
        <v>93.97</v>
      </c>
      <c r="U690" s="61" t="n">
        <f aca="false">H690*Resumo!$B$6</f>
        <v>0.75998</v>
      </c>
      <c r="V690" s="61" t="n">
        <f aca="false">H690*Resumo!$B$7</f>
        <v>1.51996</v>
      </c>
      <c r="W690" s="61" t="n">
        <f aca="false">Resumo!$B$9</f>
        <v>1</v>
      </c>
      <c r="X690" s="61" t="n">
        <f aca="false">Resumo!$B$10*CEILING(G690/100,1)</f>
        <v>4.5</v>
      </c>
      <c r="Y690" s="61" t="n">
        <f aca="false">Resumo!$B$12*CEILING(G690,1)</f>
        <v>2.34</v>
      </c>
      <c r="Z690" s="61" t="n">
        <f aca="false">Resumo!$B$14*CEILING(G690,1)</f>
        <v>17.55</v>
      </c>
      <c r="AA690" s="61" t="n">
        <f aca="false">SUM(T690:Z690)</f>
        <v>121.63994</v>
      </c>
      <c r="AB690" s="61" t="n">
        <f aca="false">AA690/(1-Resumo!$B$5)</f>
        <v>138.227204545455</v>
      </c>
      <c r="AC690" s="61" t="n">
        <f aca="false">AB690-S690</f>
        <v>22.1227545454545</v>
      </c>
      <c r="AD690" s="62" t="n">
        <f aca="false">AB690/S690-1</f>
        <v>0.190541831475491</v>
      </c>
      <c r="AE690" s="60" t="str">
        <f aca="false">IF(AB690&lt;S690,"SIM","NÃO")</f>
        <v>NÃO</v>
      </c>
      <c r="AF690" s="60" t="n">
        <v>2</v>
      </c>
      <c r="AG690" s="60" t="n">
        <v>5</v>
      </c>
      <c r="AH690" s="60" t="s">
        <v>382</v>
      </c>
      <c r="AI690" s="61" t="n">
        <f aca="false">(T690*(1-Painel!$C$40)+U690+V690+Painel!$C$41+Painel!$C$42*CEILING(G690/100,1)+Painel!$C$43*CEILING(G690,1)+Z690)/(1-Resumo!$B$5)</f>
        <v>96.4089090909091</v>
      </c>
      <c r="AJ690" s="60" t="str">
        <f aca="false">IF(AI690&lt;S690,"SIM","NÃO")</f>
        <v>SIM</v>
      </c>
    </row>
    <row r="691" customFormat="false" ht="15" hidden="false" customHeight="false" outlineLevel="0" collapsed="false">
      <c r="A691" s="59" t="n">
        <v>46242.0198032407</v>
      </c>
      <c r="B691" s="60" t="s">
        <v>1043</v>
      </c>
      <c r="C691" s="60" t="n">
        <v>21050424</v>
      </c>
      <c r="D691" s="60" t="s">
        <v>46</v>
      </c>
      <c r="E691" s="60" t="s">
        <v>22</v>
      </c>
      <c r="F691" s="60" t="s">
        <v>234</v>
      </c>
      <c r="G691" s="60" t="n">
        <v>37.6</v>
      </c>
      <c r="H691" s="61" t="n">
        <v>378.99</v>
      </c>
      <c r="I691" s="61" t="n">
        <v>48.35</v>
      </c>
      <c r="J691" s="61" t="n">
        <f aca="false">H691*Resumo!$C$6</f>
        <v>0</v>
      </c>
      <c r="K691" s="61" t="n">
        <f aca="false">H691*Resumo!$C$7</f>
        <v>0.795879</v>
      </c>
      <c r="L691" s="61" t="n">
        <f aca="false">H691*Resumo!$C$8</f>
        <v>0.795879</v>
      </c>
      <c r="M691" s="61" t="n">
        <f aca="false">Resumo!$C$10*CEILING(G691/100,1)</f>
        <v>1.05</v>
      </c>
      <c r="N691" s="61" t="n">
        <f aca="false">Resumo!$C$9</f>
        <v>0</v>
      </c>
      <c r="O691" s="61" t="n">
        <f aca="false">Resumo!$C$13</f>
        <v>13.55</v>
      </c>
      <c r="P691" s="61" t="n">
        <f aca="false">Resumo!$C$14*CEILING(G691,1)</f>
        <v>17.1</v>
      </c>
      <c r="Q691" s="61" t="n">
        <f aca="false">SUM(I691:P691)*Resumo!$C$11</f>
        <v>0</v>
      </c>
      <c r="R691" s="61" t="n">
        <f aca="false">SUM(I691:Q691)</f>
        <v>81.641758</v>
      </c>
      <c r="S691" s="61" t="n">
        <f aca="false">R691/(1-Resumo!$C$5)</f>
        <v>92.774725</v>
      </c>
      <c r="T691" s="61" t="n">
        <v>93.97</v>
      </c>
      <c r="U691" s="61" t="n">
        <f aca="false">H691*Resumo!$B$6</f>
        <v>0.37899</v>
      </c>
      <c r="V691" s="61" t="n">
        <f aca="false">H691*Resumo!$B$7</f>
        <v>0.75798</v>
      </c>
      <c r="W691" s="61" t="n">
        <f aca="false">Resumo!$B$9</f>
        <v>1</v>
      </c>
      <c r="X691" s="61" t="n">
        <f aca="false">Resumo!$B$10*CEILING(G691/100,1)</f>
        <v>4.5</v>
      </c>
      <c r="Y691" s="61" t="n">
        <f aca="false">Resumo!$B$12*CEILING(G691,1)</f>
        <v>2.28</v>
      </c>
      <c r="Z691" s="61" t="n">
        <f aca="false">Resumo!$B$14*CEILING(G691,1)</f>
        <v>17.1</v>
      </c>
      <c r="AA691" s="61" t="n">
        <f aca="false">SUM(T691:Z691)</f>
        <v>119.98697</v>
      </c>
      <c r="AB691" s="61" t="n">
        <f aca="false">AA691/(1-Resumo!$B$5)</f>
        <v>136.348829545455</v>
      </c>
      <c r="AC691" s="61" t="n">
        <f aca="false">AB691-S691</f>
        <v>43.5741045454545</v>
      </c>
      <c r="AD691" s="62" t="n">
        <f aca="false">AB691/S691-1</f>
        <v>0.469676461401039</v>
      </c>
      <c r="AE691" s="60" t="str">
        <f aca="false">IF(AB691&lt;S691,"SIM","NÃO")</f>
        <v>NÃO</v>
      </c>
      <c r="AF691" s="60" t="n">
        <v>2</v>
      </c>
      <c r="AG691" s="60" t="n">
        <v>5</v>
      </c>
      <c r="AH691" s="60" t="s">
        <v>382</v>
      </c>
      <c r="AI691" s="61" t="n">
        <f aca="false">(T691*(1-Painel!$C$40)+U691+V691+Painel!$C$41+Painel!$C$42*CEILING(G691/100,1)+Painel!$C$43*CEILING(G691,1)+Z691)/(1-Resumo!$B$5)</f>
        <v>94.5987159090909</v>
      </c>
      <c r="AJ691" s="60" t="str">
        <f aca="false">IF(AI691&lt;S691,"SIM","NÃO")</f>
        <v>NÃO</v>
      </c>
    </row>
    <row r="692" customFormat="false" ht="15" hidden="false" customHeight="false" outlineLevel="0" collapsed="false">
      <c r="A692" s="59" t="n">
        <v>46242.022037037</v>
      </c>
      <c r="B692" s="60" t="s">
        <v>1044</v>
      </c>
      <c r="C692" s="60" t="n">
        <v>24461590</v>
      </c>
      <c r="D692" s="60" t="s">
        <v>47</v>
      </c>
      <c r="E692" s="60" t="s">
        <v>23</v>
      </c>
      <c r="F692" s="60" t="s">
        <v>236</v>
      </c>
      <c r="G692" s="60" t="n">
        <v>59.9</v>
      </c>
      <c r="H692" s="61" t="n">
        <v>874</v>
      </c>
      <c r="I692" s="61" t="n">
        <v>70.98</v>
      </c>
      <c r="J692" s="61" t="n">
        <f aca="false">H692*Resumo!$C$6</f>
        <v>0</v>
      </c>
      <c r="K692" s="61" t="n">
        <f aca="false">H692*Resumo!$C$7</f>
        <v>1.8354</v>
      </c>
      <c r="L692" s="61" t="n">
        <f aca="false">H692*Resumo!$C$8</f>
        <v>1.8354</v>
      </c>
      <c r="M692" s="61" t="n">
        <f aca="false">Resumo!$C$10*CEILING(G692/100,1)</f>
        <v>1.05</v>
      </c>
      <c r="N692" s="61" t="n">
        <f aca="false">Resumo!$C$9</f>
        <v>0</v>
      </c>
      <c r="O692" s="61" t="n">
        <f aca="false">Resumo!$C$13</f>
        <v>13.55</v>
      </c>
      <c r="P692" s="61" t="n">
        <f aca="false">Resumo!$C$14*CEILING(G692,1)</f>
        <v>27</v>
      </c>
      <c r="Q692" s="61" t="n">
        <f aca="false">SUM(I692:P692)*Resumo!$C$11</f>
        <v>0</v>
      </c>
      <c r="R692" s="61" t="n">
        <f aca="false">SUM(I692:Q692)</f>
        <v>116.2508</v>
      </c>
      <c r="S692" s="61" t="n">
        <f aca="false">R692/(1-Resumo!$C$5)</f>
        <v>132.103181818182</v>
      </c>
      <c r="T692" s="61" t="n">
        <v>128.14</v>
      </c>
      <c r="U692" s="61" t="n">
        <f aca="false">H692*Resumo!$B$6</f>
        <v>0.874</v>
      </c>
      <c r="V692" s="61" t="n">
        <f aca="false">H692*Resumo!$B$7</f>
        <v>1.748</v>
      </c>
      <c r="W692" s="61" t="n">
        <f aca="false">Resumo!$B$9</f>
        <v>1</v>
      </c>
      <c r="X692" s="61" t="n">
        <f aca="false">Resumo!$B$10*CEILING(G692/100,1)</f>
        <v>4.5</v>
      </c>
      <c r="Y692" s="61" t="n">
        <f aca="false">Resumo!$B$12*CEILING(G692,1)</f>
        <v>3.6</v>
      </c>
      <c r="Z692" s="61" t="n">
        <f aca="false">Resumo!$B$14*CEILING(G692,1)</f>
        <v>27</v>
      </c>
      <c r="AA692" s="61" t="n">
        <f aca="false">SUM(T692:Z692)</f>
        <v>166.862</v>
      </c>
      <c r="AB692" s="61" t="n">
        <f aca="false">AA692/(1-Resumo!$B$5)</f>
        <v>189.615909090909</v>
      </c>
      <c r="AC692" s="61" t="n">
        <f aca="false">AB692-S692</f>
        <v>57.5127272727273</v>
      </c>
      <c r="AD692" s="62" t="n">
        <f aca="false">AB692/S692-1</f>
        <v>0.435362165249615</v>
      </c>
      <c r="AE692" s="60" t="str">
        <f aca="false">IF(AB692&lt;S692,"SIM","NÃO")</f>
        <v>NÃO</v>
      </c>
      <c r="AF692" s="60" t="n">
        <v>2</v>
      </c>
      <c r="AG692" s="60" t="n">
        <v>7</v>
      </c>
      <c r="AH692" s="60" t="s">
        <v>382</v>
      </c>
      <c r="AI692" s="61" t="n">
        <f aca="false">(T692*(1-Painel!$C$40)+U692+V692+Painel!$C$41+Painel!$C$42*CEILING(G692/100,1)+Painel!$C$43*CEILING(G692,1)+Z692)/(1-Resumo!$B$5)</f>
        <v>133.552045454545</v>
      </c>
      <c r="AJ692" s="60" t="str">
        <f aca="false">IF(AI692&lt;S692,"SIM","NÃO")</f>
        <v>NÃO</v>
      </c>
    </row>
    <row r="693" customFormat="false" ht="15" hidden="false" customHeight="false" outlineLevel="0" collapsed="false">
      <c r="A693" s="59" t="n">
        <v>46242.0246759259</v>
      </c>
      <c r="B693" s="60" t="s">
        <v>1045</v>
      </c>
      <c r="C693" s="60" t="n">
        <v>23042330</v>
      </c>
      <c r="D693" s="60" t="s">
        <v>46</v>
      </c>
      <c r="E693" s="60" t="s">
        <v>22</v>
      </c>
      <c r="F693" s="60" t="s">
        <v>233</v>
      </c>
      <c r="G693" s="60" t="n">
        <v>22.6</v>
      </c>
      <c r="H693" s="61" t="n">
        <v>559.99</v>
      </c>
      <c r="I693" s="61" t="n">
        <v>42.11</v>
      </c>
      <c r="J693" s="61" t="n">
        <f aca="false">H693*Resumo!$C$6</f>
        <v>0</v>
      </c>
      <c r="K693" s="61" t="n">
        <f aca="false">H693*Resumo!$C$7</f>
        <v>1.175979</v>
      </c>
      <c r="L693" s="61" t="n">
        <f aca="false">H693*Resumo!$C$8</f>
        <v>1.175979</v>
      </c>
      <c r="M693" s="61" t="n">
        <f aca="false">Resumo!$C$10*CEILING(G693/100,1)</f>
        <v>1.05</v>
      </c>
      <c r="N693" s="61" t="n">
        <f aca="false">Resumo!$C$9</f>
        <v>0</v>
      </c>
      <c r="O693" s="61" t="n">
        <f aca="false">Resumo!$C$13</f>
        <v>13.55</v>
      </c>
      <c r="P693" s="61" t="n">
        <f aca="false">Resumo!$C$14*CEILING(G693,1)</f>
        <v>10.35</v>
      </c>
      <c r="Q693" s="61" t="n">
        <f aca="false">SUM(I693:P693)*Resumo!$C$11</f>
        <v>0</v>
      </c>
      <c r="R693" s="61" t="n">
        <f aca="false">SUM(I693:Q693)</f>
        <v>69.411958</v>
      </c>
      <c r="S693" s="61" t="n">
        <f aca="false">R693/(1-Resumo!$C$5)</f>
        <v>78.877225</v>
      </c>
      <c r="T693" s="61" t="n">
        <v>82.21</v>
      </c>
      <c r="U693" s="61" t="n">
        <f aca="false">H693*Resumo!$B$6</f>
        <v>0.55999</v>
      </c>
      <c r="V693" s="61" t="n">
        <f aca="false">H693*Resumo!$B$7</f>
        <v>1.11998</v>
      </c>
      <c r="W693" s="61" t="n">
        <f aca="false">Resumo!$B$9</f>
        <v>1</v>
      </c>
      <c r="X693" s="61" t="n">
        <f aca="false">Resumo!$B$10*CEILING(G693/100,1)</f>
        <v>4.5</v>
      </c>
      <c r="Y693" s="61" t="n">
        <f aca="false">Resumo!$B$12*CEILING(G693,1)</f>
        <v>1.38</v>
      </c>
      <c r="Z693" s="61" t="n">
        <f aca="false">Resumo!$B$14*CEILING(G693,1)</f>
        <v>10.35</v>
      </c>
      <c r="AA693" s="61" t="n">
        <f aca="false">SUM(T693:Z693)</f>
        <v>101.11997</v>
      </c>
      <c r="AB693" s="61" t="n">
        <f aca="false">AA693/(1-Resumo!$B$5)</f>
        <v>114.909056818182</v>
      </c>
      <c r="AC693" s="61" t="n">
        <f aca="false">AB693-S693</f>
        <v>36.0318318181818</v>
      </c>
      <c r="AD693" s="62" t="n">
        <f aca="false">AB693/S693-1</f>
        <v>0.456809070275759</v>
      </c>
      <c r="AE693" s="60" t="str">
        <f aca="false">IF(AB693&lt;S693,"SIM","NÃO")</f>
        <v>NÃO</v>
      </c>
      <c r="AF693" s="60" t="n">
        <v>2</v>
      </c>
      <c r="AG693" s="60" t="n">
        <v>5</v>
      </c>
      <c r="AH693" s="60" t="s">
        <v>382</v>
      </c>
      <c r="AI693" s="61" t="n">
        <f aca="false">(T693*(1-Painel!$C$40)+U693+V693+Painel!$C$41+Painel!$C$42*CEILING(G693/100,1)+Painel!$C$43*CEILING(G693,1)+Z693)/(1-Resumo!$B$5)</f>
        <v>78.5916704545454</v>
      </c>
      <c r="AJ693" s="60" t="str">
        <f aca="false">IF(AI693&lt;S693,"SIM","NÃO")</f>
        <v>SIM</v>
      </c>
    </row>
    <row r="694" customFormat="false" ht="15" hidden="false" customHeight="false" outlineLevel="0" collapsed="false">
      <c r="A694" s="59" t="n">
        <v>46242.0295949074</v>
      </c>
      <c r="B694" s="60" t="s">
        <v>1046</v>
      </c>
      <c r="C694" s="60" t="n">
        <v>25225660</v>
      </c>
      <c r="D694" s="60" t="s">
        <v>48</v>
      </c>
      <c r="E694" s="60" t="s">
        <v>23</v>
      </c>
      <c r="F694" s="60" t="s">
        <v>237</v>
      </c>
      <c r="G694" s="60" t="n">
        <v>63</v>
      </c>
      <c r="H694" s="61" t="n">
        <v>789.99</v>
      </c>
      <c r="I694" s="61" t="n">
        <v>76.55</v>
      </c>
      <c r="J694" s="61" t="n">
        <f aca="false">H694*Resumo!$C$6</f>
        <v>0</v>
      </c>
      <c r="K694" s="61" t="n">
        <f aca="false">H694*Resumo!$C$7</f>
        <v>1.658979</v>
      </c>
      <c r="L694" s="61" t="n">
        <f aca="false">H694*Resumo!$C$8</f>
        <v>1.658979</v>
      </c>
      <c r="M694" s="61" t="n">
        <f aca="false">Resumo!$C$10*CEILING(G694/100,1)</f>
        <v>1.05</v>
      </c>
      <c r="N694" s="61" t="n">
        <f aca="false">Resumo!$C$9</f>
        <v>0</v>
      </c>
      <c r="O694" s="61" t="n">
        <f aca="false">Resumo!$C$13</f>
        <v>13.55</v>
      </c>
      <c r="P694" s="61" t="n">
        <f aca="false">Resumo!$C$14*CEILING(G694,1)</f>
        <v>28.35</v>
      </c>
      <c r="Q694" s="61" t="n">
        <f aca="false">SUM(I694:P694)*Resumo!$C$11</f>
        <v>0</v>
      </c>
      <c r="R694" s="61" t="n">
        <f aca="false">SUM(I694:Q694)</f>
        <v>122.817958</v>
      </c>
      <c r="S694" s="61" t="n">
        <f aca="false">R694/(1-Resumo!$C$5)</f>
        <v>139.565861363636</v>
      </c>
      <c r="T694" s="61" t="n">
        <v>131.02</v>
      </c>
      <c r="U694" s="61" t="n">
        <f aca="false">H694*Resumo!$B$6</f>
        <v>0.78999</v>
      </c>
      <c r="V694" s="61" t="n">
        <f aca="false">H694*Resumo!$B$7</f>
        <v>1.57998</v>
      </c>
      <c r="W694" s="61" t="n">
        <f aca="false">Resumo!$B$9</f>
        <v>1</v>
      </c>
      <c r="X694" s="61" t="n">
        <f aca="false">Resumo!$B$10*CEILING(G694/100,1)</f>
        <v>4.5</v>
      </c>
      <c r="Y694" s="61" t="n">
        <f aca="false">Resumo!$B$12*CEILING(G694,1)</f>
        <v>3.78</v>
      </c>
      <c r="Z694" s="61" t="n">
        <f aca="false">Resumo!$B$14*CEILING(G694,1)</f>
        <v>28.35</v>
      </c>
      <c r="AA694" s="61" t="n">
        <f aca="false">SUM(T694:Z694)</f>
        <v>171.01997</v>
      </c>
      <c r="AB694" s="61" t="n">
        <f aca="false">AA694/(1-Resumo!$B$5)</f>
        <v>194.340875</v>
      </c>
      <c r="AC694" s="61" t="n">
        <f aca="false">AB694-S694</f>
        <v>54.7750136363636</v>
      </c>
      <c r="AD694" s="62" t="n">
        <f aca="false">AB694/S694-1</f>
        <v>0.392467134162905</v>
      </c>
      <c r="AE694" s="60" t="str">
        <f aca="false">IF(AB694&lt;S694,"SIM","NÃO")</f>
        <v>NÃO</v>
      </c>
      <c r="AF694" s="60" t="n">
        <v>2</v>
      </c>
      <c r="AG694" s="60" t="n">
        <v>5</v>
      </c>
      <c r="AH694" s="60" t="s">
        <v>382</v>
      </c>
      <c r="AI694" s="61" t="n">
        <f aca="false">(T694*(1-Painel!$C$40)+U694+V694+Painel!$C$41+Painel!$C$42*CEILING(G694/100,1)+Painel!$C$43*CEILING(G694,1)+Z694)/(1-Resumo!$B$5)</f>
        <v>136.992465909091</v>
      </c>
      <c r="AJ694" s="60" t="str">
        <f aca="false">IF(AI694&lt;S694,"SIM","NÃO")</f>
        <v>SIM</v>
      </c>
    </row>
    <row r="695" customFormat="false" ht="15" hidden="false" customHeight="false" outlineLevel="0" collapsed="false">
      <c r="A695" s="59" t="n">
        <v>46242.029849537</v>
      </c>
      <c r="B695" s="60" t="s">
        <v>1047</v>
      </c>
      <c r="C695" s="60" t="n">
        <v>26515020</v>
      </c>
      <c r="D695" s="60" t="s">
        <v>284</v>
      </c>
      <c r="E695" s="60" t="s">
        <v>23</v>
      </c>
      <c r="F695" s="60" t="s">
        <v>237</v>
      </c>
      <c r="G695" s="60" t="n">
        <v>66.8</v>
      </c>
      <c r="H695" s="61" t="n">
        <v>609.99</v>
      </c>
      <c r="I695" s="61" t="n">
        <v>76.55</v>
      </c>
      <c r="J695" s="61" t="n">
        <f aca="false">H695*Resumo!$C$6</f>
        <v>0</v>
      </c>
      <c r="K695" s="61" t="n">
        <f aca="false">H695*Resumo!$C$7</f>
        <v>1.280979</v>
      </c>
      <c r="L695" s="61" t="n">
        <f aca="false">H695*Resumo!$C$8</f>
        <v>1.280979</v>
      </c>
      <c r="M695" s="61" t="n">
        <f aca="false">Resumo!$C$10*CEILING(G695/100,1)</f>
        <v>1.05</v>
      </c>
      <c r="N695" s="61" t="n">
        <f aca="false">Resumo!$C$9</f>
        <v>0</v>
      </c>
      <c r="O695" s="61" t="n">
        <f aca="false">Resumo!$C$13</f>
        <v>13.55</v>
      </c>
      <c r="P695" s="61" t="n">
        <f aca="false">Resumo!$C$14*CEILING(G695,1)</f>
        <v>30.15</v>
      </c>
      <c r="Q695" s="61" t="n">
        <f aca="false">SUM(I695:P695)*Resumo!$C$11</f>
        <v>0</v>
      </c>
      <c r="R695" s="61" t="n">
        <f aca="false">SUM(I695:Q695)</f>
        <v>123.861958</v>
      </c>
      <c r="S695" s="61" t="n">
        <f aca="false">R695/(1-Resumo!$C$5)</f>
        <v>140.752225</v>
      </c>
      <c r="T695" s="61" t="n">
        <v>131.02</v>
      </c>
      <c r="U695" s="61" t="n">
        <f aca="false">H695*Resumo!$B$6</f>
        <v>0.60999</v>
      </c>
      <c r="V695" s="61" t="n">
        <f aca="false">H695*Resumo!$B$7</f>
        <v>1.21998</v>
      </c>
      <c r="W695" s="61" t="n">
        <f aca="false">Resumo!$B$9</f>
        <v>1</v>
      </c>
      <c r="X695" s="61" t="n">
        <f aca="false">Resumo!$B$10*CEILING(G695/100,1)</f>
        <v>4.5</v>
      </c>
      <c r="Y695" s="61" t="n">
        <f aca="false">Resumo!$B$12*CEILING(G695,1)</f>
        <v>4.02</v>
      </c>
      <c r="Z695" s="61" t="n">
        <f aca="false">Resumo!$B$14*CEILING(G695,1)</f>
        <v>30.15</v>
      </c>
      <c r="AA695" s="61" t="n">
        <f aca="false">SUM(T695:Z695)</f>
        <v>172.51997</v>
      </c>
      <c r="AB695" s="61" t="n">
        <f aca="false">AA695/(1-Resumo!$B$5)</f>
        <v>196.045420454545</v>
      </c>
      <c r="AC695" s="61" t="n">
        <f aca="false">AB695-S695</f>
        <v>55.2931954545455</v>
      </c>
      <c r="AD695" s="62" t="n">
        <f aca="false">AB695/S695-1</f>
        <v>0.39284064926537</v>
      </c>
      <c r="AE695" s="60" t="str">
        <f aca="false">IF(AB695&lt;S695,"SIM","NÃO")</f>
        <v>NÃO</v>
      </c>
      <c r="AF695" s="60" t="n">
        <v>2</v>
      </c>
      <c r="AG695" s="60" t="n">
        <v>5</v>
      </c>
      <c r="AH695" s="60" t="s">
        <v>385</v>
      </c>
      <c r="AI695" s="61" t="n">
        <f aca="false">(T695*(1-Painel!$C$40)+U695+V695+Painel!$C$41+Painel!$C$42*CEILING(G695/100,1)+Painel!$C$43*CEILING(G695,1)+Z695)/(1-Resumo!$B$5)</f>
        <v>138.424284090909</v>
      </c>
      <c r="AJ695" s="60" t="str">
        <f aca="false">IF(AI695&lt;S695,"SIM","NÃO")</f>
        <v>SIM</v>
      </c>
    </row>
    <row r="696" customFormat="false" ht="15" hidden="false" customHeight="false" outlineLevel="0" collapsed="false">
      <c r="A696" s="59" t="n">
        <v>46242.0413078704</v>
      </c>
      <c r="B696" s="60" t="s">
        <v>1048</v>
      </c>
      <c r="C696" s="60" t="n">
        <v>23092002</v>
      </c>
      <c r="D696" s="60" t="s">
        <v>46</v>
      </c>
      <c r="E696" s="60" t="s">
        <v>22</v>
      </c>
      <c r="F696" s="60" t="s">
        <v>233</v>
      </c>
      <c r="G696" s="60" t="n">
        <v>20.9</v>
      </c>
      <c r="H696" s="61" t="n">
        <v>450</v>
      </c>
      <c r="I696" s="61" t="n">
        <v>42.11</v>
      </c>
      <c r="J696" s="61" t="n">
        <f aca="false">H696*Resumo!$C$6</f>
        <v>0</v>
      </c>
      <c r="K696" s="61" t="n">
        <f aca="false">H696*Resumo!$C$7</f>
        <v>0.945</v>
      </c>
      <c r="L696" s="61" t="n">
        <f aca="false">H696*Resumo!$C$8</f>
        <v>0.945</v>
      </c>
      <c r="M696" s="61" t="n">
        <f aca="false">Resumo!$C$10*CEILING(G696/100,1)</f>
        <v>1.05</v>
      </c>
      <c r="N696" s="61" t="n">
        <f aca="false">Resumo!$C$9</f>
        <v>0</v>
      </c>
      <c r="O696" s="61" t="n">
        <f aca="false">Resumo!$C$13</f>
        <v>13.55</v>
      </c>
      <c r="P696" s="61" t="n">
        <f aca="false">Resumo!$C$14*CEILING(G696,1)</f>
        <v>9.45</v>
      </c>
      <c r="Q696" s="61" t="n">
        <f aca="false">SUM(I696:P696)*Resumo!$C$11</f>
        <v>0</v>
      </c>
      <c r="R696" s="61" t="n">
        <f aca="false">SUM(I696:Q696)</f>
        <v>68.05</v>
      </c>
      <c r="S696" s="61" t="n">
        <f aca="false">R696/(1-Resumo!$C$5)</f>
        <v>77.3295454545455</v>
      </c>
      <c r="T696" s="61" t="n">
        <v>82.21</v>
      </c>
      <c r="U696" s="61" t="n">
        <f aca="false">H696*Resumo!$B$6</f>
        <v>0.45</v>
      </c>
      <c r="V696" s="61" t="n">
        <f aca="false">H696*Resumo!$B$7</f>
        <v>0.9</v>
      </c>
      <c r="W696" s="61" t="n">
        <f aca="false">Resumo!$B$9</f>
        <v>1</v>
      </c>
      <c r="X696" s="61" t="n">
        <f aca="false">Resumo!$B$10*CEILING(G696/100,1)</f>
        <v>4.5</v>
      </c>
      <c r="Y696" s="61" t="n">
        <f aca="false">Resumo!$B$12*CEILING(G696,1)</f>
        <v>1.26</v>
      </c>
      <c r="Z696" s="61" t="n">
        <f aca="false">Resumo!$B$14*CEILING(G696,1)</f>
        <v>9.45</v>
      </c>
      <c r="AA696" s="61" t="n">
        <f aca="false">SUM(T696:Z696)</f>
        <v>99.77</v>
      </c>
      <c r="AB696" s="61" t="n">
        <f aca="false">AA696/(1-Resumo!$B$5)</f>
        <v>113.375</v>
      </c>
      <c r="AC696" s="61" t="n">
        <f aca="false">AB696-S696</f>
        <v>36.0454545454546</v>
      </c>
      <c r="AD696" s="62" t="n">
        <f aca="false">AB696/S696-1</f>
        <v>0.466127847171198</v>
      </c>
      <c r="AE696" s="60" t="str">
        <f aca="false">IF(AB696&lt;S696,"SIM","NÃO")</f>
        <v>NÃO</v>
      </c>
      <c r="AF696" s="60" t="n">
        <v>2</v>
      </c>
      <c r="AG696" s="60" t="n">
        <v>5</v>
      </c>
      <c r="AH696" s="60" t="s">
        <v>382</v>
      </c>
      <c r="AI696" s="61" t="n">
        <f aca="false">(T696*(1-Painel!$C$40)+U696+V696+Painel!$C$41+Painel!$C$42*CEILING(G696/100,1)+Painel!$C$43*CEILING(G696,1)+Z696)/(1-Resumo!$B$5)</f>
        <v>77.1939772727273</v>
      </c>
      <c r="AJ696" s="60" t="str">
        <f aca="false">IF(AI696&lt;S696,"SIM","NÃO")</f>
        <v>SIM</v>
      </c>
    </row>
    <row r="697" customFormat="false" ht="15" hidden="false" customHeight="false" outlineLevel="0" collapsed="false">
      <c r="A697" s="59" t="n">
        <v>46242.1006365741</v>
      </c>
      <c r="B697" s="60" t="s">
        <v>1049</v>
      </c>
      <c r="C697" s="60" t="n">
        <v>26178200</v>
      </c>
      <c r="D697" s="60" t="s">
        <v>52</v>
      </c>
      <c r="E697" s="60" t="s">
        <v>23</v>
      </c>
      <c r="F697" s="60" t="s">
        <v>234</v>
      </c>
      <c r="G697" s="60" t="n">
        <v>37.2</v>
      </c>
      <c r="H697" s="61" t="n">
        <v>360.99</v>
      </c>
      <c r="I697" s="61" t="n">
        <v>66.83</v>
      </c>
      <c r="J697" s="61" t="n">
        <f aca="false">H697*Resumo!$C$6</f>
        <v>0</v>
      </c>
      <c r="K697" s="61" t="n">
        <f aca="false">H697*Resumo!$C$7</f>
        <v>0.758079</v>
      </c>
      <c r="L697" s="61" t="n">
        <f aca="false">H697*Resumo!$C$8</f>
        <v>0.758079</v>
      </c>
      <c r="M697" s="61" t="n">
        <f aca="false">Resumo!$C$10*CEILING(G697/100,1)</f>
        <v>1.05</v>
      </c>
      <c r="N697" s="61" t="n">
        <f aca="false">Resumo!$C$9</f>
        <v>0</v>
      </c>
      <c r="O697" s="61" t="n">
        <f aca="false">Resumo!$C$13</f>
        <v>13.55</v>
      </c>
      <c r="P697" s="61" t="n">
        <f aca="false">Resumo!$C$14*CEILING(G697,1)</f>
        <v>17.1</v>
      </c>
      <c r="Q697" s="61" t="n">
        <f aca="false">SUM(I697:P697)*Resumo!$C$11</f>
        <v>0</v>
      </c>
      <c r="R697" s="61" t="n">
        <f aca="false">SUM(I697:Q697)</f>
        <v>100.046158</v>
      </c>
      <c r="S697" s="61" t="n">
        <f aca="false">R697/(1-Resumo!$C$5)</f>
        <v>113.688815909091</v>
      </c>
      <c r="T697" s="61" t="n">
        <v>93.97</v>
      </c>
      <c r="U697" s="61" t="n">
        <f aca="false">H697*Resumo!$B$6</f>
        <v>0.36099</v>
      </c>
      <c r="V697" s="61" t="n">
        <f aca="false">H697*Resumo!$B$7</f>
        <v>0.72198</v>
      </c>
      <c r="W697" s="61" t="n">
        <f aca="false">Resumo!$B$9</f>
        <v>1</v>
      </c>
      <c r="X697" s="61" t="n">
        <f aca="false">Resumo!$B$10*CEILING(G697/100,1)</f>
        <v>4.5</v>
      </c>
      <c r="Y697" s="61" t="n">
        <f aca="false">Resumo!$B$12*CEILING(G697,1)</f>
        <v>2.28</v>
      </c>
      <c r="Z697" s="61" t="n">
        <f aca="false">Resumo!$B$14*CEILING(G697,1)</f>
        <v>17.1</v>
      </c>
      <c r="AA697" s="61" t="n">
        <f aca="false">SUM(T697:Z697)</f>
        <v>119.93297</v>
      </c>
      <c r="AB697" s="61" t="n">
        <f aca="false">AA697/(1-Resumo!$B$5)</f>
        <v>136.287465909091</v>
      </c>
      <c r="AC697" s="61" t="n">
        <f aca="false">AB697-S697</f>
        <v>22.59865</v>
      </c>
      <c r="AD697" s="62" t="n">
        <f aca="false">AB697/S697-1</f>
        <v>0.198776368803688</v>
      </c>
      <c r="AE697" s="60" t="str">
        <f aca="false">IF(AB697&lt;S697,"SIM","NÃO")</f>
        <v>NÃO</v>
      </c>
      <c r="AF697" s="60" t="n">
        <v>2</v>
      </c>
      <c r="AG697" s="60" t="n">
        <v>5</v>
      </c>
      <c r="AH697" s="60" t="s">
        <v>382</v>
      </c>
      <c r="AI697" s="61" t="n">
        <f aca="false">(T697*(1-Painel!$C$40)+U697+V697+Painel!$C$41+Painel!$C$42*CEILING(G697/100,1)+Painel!$C$43*CEILING(G697,1)+Z697)/(1-Resumo!$B$5)</f>
        <v>94.5373522727273</v>
      </c>
      <c r="AJ697" s="60" t="str">
        <f aca="false">IF(AI697&lt;S697,"SIM","NÃO")</f>
        <v>SIM</v>
      </c>
    </row>
    <row r="698" customFormat="false" ht="15" hidden="false" customHeight="false" outlineLevel="0" collapsed="false">
      <c r="A698" s="59" t="n">
        <v>46242.2783217593</v>
      </c>
      <c r="B698" s="60" t="s">
        <v>1050</v>
      </c>
      <c r="C698" s="60" t="n">
        <v>23025150</v>
      </c>
      <c r="D698" s="60" t="s">
        <v>46</v>
      </c>
      <c r="E698" s="60" t="s">
        <v>22</v>
      </c>
      <c r="F698" s="60" t="s">
        <v>235</v>
      </c>
      <c r="G698" s="60" t="n">
        <v>44.8</v>
      </c>
      <c r="H698" s="61" t="n">
        <v>589.99</v>
      </c>
      <c r="I698" s="61" t="n">
        <v>53.55</v>
      </c>
      <c r="J698" s="61" t="n">
        <f aca="false">H698*Resumo!$C$6</f>
        <v>0</v>
      </c>
      <c r="K698" s="61" t="n">
        <f aca="false">H698*Resumo!$C$7</f>
        <v>1.238979</v>
      </c>
      <c r="L698" s="61" t="n">
        <f aca="false">H698*Resumo!$C$8</f>
        <v>1.238979</v>
      </c>
      <c r="M698" s="61" t="n">
        <f aca="false">Resumo!$C$10*CEILING(G698/100,1)</f>
        <v>1.05</v>
      </c>
      <c r="N698" s="61" t="n">
        <f aca="false">Resumo!$C$9</f>
        <v>0</v>
      </c>
      <c r="O698" s="61" t="n">
        <f aca="false">Resumo!$C$13</f>
        <v>13.55</v>
      </c>
      <c r="P698" s="61" t="n">
        <f aca="false">Resumo!$C$14*CEILING(G698,1)</f>
        <v>20.25</v>
      </c>
      <c r="Q698" s="61" t="n">
        <f aca="false">SUM(I698:P698)*Resumo!$C$11</f>
        <v>0</v>
      </c>
      <c r="R698" s="61" t="n">
        <f aca="false">SUM(I698:Q698)</f>
        <v>90.877958</v>
      </c>
      <c r="S698" s="61" t="n">
        <f aca="false">R698/(1-Resumo!$C$5)</f>
        <v>103.270406818182</v>
      </c>
      <c r="T698" s="61" t="n">
        <v>93.97</v>
      </c>
      <c r="U698" s="61" t="n">
        <f aca="false">H698*Resumo!$B$6</f>
        <v>0.58999</v>
      </c>
      <c r="V698" s="61" t="n">
        <f aca="false">H698*Resumo!$B$7</f>
        <v>1.17998</v>
      </c>
      <c r="W698" s="61" t="n">
        <f aca="false">Resumo!$B$9</f>
        <v>1</v>
      </c>
      <c r="X698" s="61" t="n">
        <f aca="false">Resumo!$B$10*CEILING(G698/100,1)</f>
        <v>4.5</v>
      </c>
      <c r="Y698" s="61" t="n">
        <f aca="false">Resumo!$B$12*CEILING(G698,1)</f>
        <v>2.7</v>
      </c>
      <c r="Z698" s="61" t="n">
        <f aca="false">Resumo!$B$14*CEILING(G698,1)</f>
        <v>20.25</v>
      </c>
      <c r="AA698" s="61" t="n">
        <f aca="false">SUM(T698:Z698)</f>
        <v>124.18997</v>
      </c>
      <c r="AB698" s="61" t="n">
        <f aca="false">AA698/(1-Resumo!$B$5)</f>
        <v>141.124965909091</v>
      </c>
      <c r="AC698" s="61" t="n">
        <f aca="false">AB698-S698</f>
        <v>37.8545590909091</v>
      </c>
      <c r="AD698" s="62" t="n">
        <f aca="false">AB698/S698-1</f>
        <v>0.366557664070753</v>
      </c>
      <c r="AE698" s="60" t="str">
        <f aca="false">IF(AB698&lt;S698,"SIM","NÃO")</f>
        <v>NÃO</v>
      </c>
      <c r="AF698" s="60" t="n">
        <v>2</v>
      </c>
      <c r="AG698" s="60" t="n">
        <v>5</v>
      </c>
      <c r="AH698" s="60" t="s">
        <v>382</v>
      </c>
      <c r="AI698" s="61" t="n">
        <f aca="false">(T698*(1-Painel!$C$40)+U698+V698+Painel!$C$41+Painel!$C$42*CEILING(G698/100,1)+Painel!$C$43*CEILING(G698,1)+Z698)/(1-Resumo!$B$5)</f>
        <v>98.8975795454545</v>
      </c>
      <c r="AJ698" s="60" t="str">
        <f aca="false">IF(AI698&lt;S698,"SIM","NÃO")</f>
        <v>SIM</v>
      </c>
    </row>
    <row r="699" customFormat="false" ht="15" hidden="false" customHeight="false" outlineLevel="0" collapsed="false">
      <c r="A699" s="59" t="n">
        <v>46242.2845023148</v>
      </c>
      <c r="B699" s="60" t="s">
        <v>1051</v>
      </c>
      <c r="C699" s="60" t="n">
        <v>24425190</v>
      </c>
      <c r="D699" s="60" t="s">
        <v>47</v>
      </c>
      <c r="E699" s="60" t="s">
        <v>23</v>
      </c>
      <c r="F699" s="60" t="s">
        <v>233</v>
      </c>
      <c r="G699" s="60" t="n">
        <v>20.9</v>
      </c>
      <c r="H699" s="61" t="n">
        <v>441</v>
      </c>
      <c r="I699" s="61" t="n">
        <v>58.8</v>
      </c>
      <c r="J699" s="61" t="n">
        <f aca="false">H699*Resumo!$C$6</f>
        <v>0</v>
      </c>
      <c r="K699" s="61" t="n">
        <f aca="false">H699*Resumo!$C$7</f>
        <v>0.9261</v>
      </c>
      <c r="L699" s="61" t="n">
        <f aca="false">H699*Resumo!$C$8</f>
        <v>0.9261</v>
      </c>
      <c r="M699" s="61" t="n">
        <f aca="false">Resumo!$C$10*CEILING(G699/100,1)</f>
        <v>1.05</v>
      </c>
      <c r="N699" s="61" t="n">
        <f aca="false">Resumo!$C$9</f>
        <v>0</v>
      </c>
      <c r="O699" s="61" t="n">
        <f aca="false">Resumo!$C$13</f>
        <v>13.55</v>
      </c>
      <c r="P699" s="61" t="n">
        <f aca="false">Resumo!$C$14*CEILING(G699,1)</f>
        <v>9.45</v>
      </c>
      <c r="Q699" s="61" t="n">
        <f aca="false">SUM(I699:P699)*Resumo!$C$11</f>
        <v>0</v>
      </c>
      <c r="R699" s="61" t="n">
        <f aca="false">SUM(I699:Q699)</f>
        <v>84.7022</v>
      </c>
      <c r="S699" s="61" t="n">
        <f aca="false">R699/(1-Resumo!$C$5)</f>
        <v>96.2525</v>
      </c>
      <c r="T699" s="61" t="n">
        <v>100.58</v>
      </c>
      <c r="U699" s="61" t="n">
        <f aca="false">H699*Resumo!$B$6</f>
        <v>0.441</v>
      </c>
      <c r="V699" s="61" t="n">
        <f aca="false">H699*Resumo!$B$7</f>
        <v>0.882</v>
      </c>
      <c r="W699" s="61" t="n">
        <f aca="false">Resumo!$B$9</f>
        <v>1</v>
      </c>
      <c r="X699" s="61" t="n">
        <f aca="false">Resumo!$B$10*CEILING(G699/100,1)</f>
        <v>4.5</v>
      </c>
      <c r="Y699" s="61" t="n">
        <f aca="false">Resumo!$B$12*CEILING(G699,1)</f>
        <v>1.26</v>
      </c>
      <c r="Z699" s="61" t="n">
        <f aca="false">Resumo!$B$14*CEILING(G699,1)</f>
        <v>9.45</v>
      </c>
      <c r="AA699" s="61" t="n">
        <f aca="false">SUM(T699:Z699)</f>
        <v>118.113</v>
      </c>
      <c r="AB699" s="61" t="n">
        <f aca="false">AA699/(1-Resumo!$B$5)</f>
        <v>134.219318181818</v>
      </c>
      <c r="AC699" s="61" t="n">
        <f aca="false">AB699-S699</f>
        <v>37.9668181818182</v>
      </c>
      <c r="AD699" s="62" t="n">
        <f aca="false">AB699/S699-1</f>
        <v>0.394450203182444</v>
      </c>
      <c r="AE699" s="60" t="str">
        <f aca="false">IF(AB699&lt;S699,"SIM","NÃO")</f>
        <v>NÃO</v>
      </c>
      <c r="AF699" s="60" t="n">
        <v>2</v>
      </c>
      <c r="AG699" s="60" t="n">
        <v>7</v>
      </c>
      <c r="AH699" s="60" t="s">
        <v>382</v>
      </c>
      <c r="AI699" s="61" t="n">
        <f aca="false">(T699*(1-Painel!$C$40)+U699+V699+Painel!$C$41+Painel!$C$42*CEILING(G699/100,1)+Painel!$C$43*CEILING(G699,1)+Z699)/(1-Resumo!$B$5)</f>
        <v>91.1495454545455</v>
      </c>
      <c r="AJ699" s="60" t="str">
        <f aca="false">IF(AI699&lt;S699,"SIM","NÃO")</f>
        <v>SIM</v>
      </c>
    </row>
    <row r="700" customFormat="false" ht="15" hidden="false" customHeight="false" outlineLevel="0" collapsed="false">
      <c r="A700" s="59" t="n">
        <v>46242.373599537</v>
      </c>
      <c r="B700" s="60" t="s">
        <v>1052</v>
      </c>
      <c r="C700" s="60" t="n">
        <v>26110250</v>
      </c>
      <c r="D700" s="60" t="s">
        <v>52</v>
      </c>
      <c r="E700" s="60" t="s">
        <v>23</v>
      </c>
      <c r="F700" s="60" t="s">
        <v>232</v>
      </c>
      <c r="G700" s="60" t="n">
        <v>19.5</v>
      </c>
      <c r="H700" s="61" t="n">
        <v>351</v>
      </c>
      <c r="I700" s="61" t="n">
        <v>42.72</v>
      </c>
      <c r="J700" s="61" t="n">
        <f aca="false">H700*Resumo!$C$6</f>
        <v>0</v>
      </c>
      <c r="K700" s="61" t="n">
        <f aca="false">H700*Resumo!$C$7</f>
        <v>0.7371</v>
      </c>
      <c r="L700" s="61" t="n">
        <f aca="false">H700*Resumo!$C$8</f>
        <v>0.7371</v>
      </c>
      <c r="M700" s="61" t="n">
        <f aca="false">Resumo!$C$10*CEILING(G700/100,1)</f>
        <v>1.05</v>
      </c>
      <c r="N700" s="61" t="n">
        <f aca="false">Resumo!$C$9</f>
        <v>0</v>
      </c>
      <c r="O700" s="61" t="n">
        <f aca="false">Resumo!$C$13</f>
        <v>13.55</v>
      </c>
      <c r="P700" s="61" t="n">
        <f aca="false">Resumo!$C$14*CEILING(G700,1)</f>
        <v>9</v>
      </c>
      <c r="Q700" s="61" t="n">
        <f aca="false">SUM(I700:P700)*Resumo!$C$11</f>
        <v>0</v>
      </c>
      <c r="R700" s="61" t="n">
        <f aca="false">SUM(I700:Q700)</f>
        <v>67.7942</v>
      </c>
      <c r="S700" s="61" t="n">
        <f aca="false">R700/(1-Resumo!$C$5)</f>
        <v>77.0388636363636</v>
      </c>
      <c r="T700" s="61" t="n">
        <v>46.98</v>
      </c>
      <c r="U700" s="61" t="n">
        <f aca="false">H700*Resumo!$B$6</f>
        <v>0.351</v>
      </c>
      <c r="V700" s="61" t="n">
        <f aca="false">H700*Resumo!$B$7</f>
        <v>0.702</v>
      </c>
      <c r="W700" s="61" t="n">
        <f aca="false">Resumo!$B$9</f>
        <v>1</v>
      </c>
      <c r="X700" s="61" t="n">
        <f aca="false">Resumo!$B$10*CEILING(G700/100,1)</f>
        <v>4.5</v>
      </c>
      <c r="Y700" s="61" t="n">
        <f aca="false">Resumo!$B$12*CEILING(G700,1)</f>
        <v>1.2</v>
      </c>
      <c r="Z700" s="61" t="n">
        <f aca="false">Resumo!$B$14*CEILING(G700,1)</f>
        <v>9</v>
      </c>
      <c r="AA700" s="61" t="n">
        <f aca="false">SUM(T700:Z700)</f>
        <v>63.733</v>
      </c>
      <c r="AB700" s="61" t="n">
        <f aca="false">AA700/(1-Resumo!$B$5)</f>
        <v>72.4238636363636</v>
      </c>
      <c r="AC700" s="61" t="n">
        <f aca="false">AB700-S700</f>
        <v>-4.615</v>
      </c>
      <c r="AD700" s="62" t="n">
        <f aca="false">AB700/S700-1</f>
        <v>-0.0599048296166929</v>
      </c>
      <c r="AE700" s="60" t="str">
        <f aca="false">IF(AB700&lt;S700,"SIM","NÃO")</f>
        <v>SIM</v>
      </c>
      <c r="AF700" s="60" t="n">
        <v>2</v>
      </c>
      <c r="AG700" s="60" t="n">
        <v>5</v>
      </c>
      <c r="AH700" s="60" t="s">
        <v>382</v>
      </c>
      <c r="AI700" s="61" t="n">
        <f aca="false">(T700*(1-Painel!$C$40)+U700+V700+Painel!$C$41+Painel!$C$42*CEILING(G700/100,1)+Painel!$C$43*CEILING(G700,1)+Z700)/(1-Resumo!$B$5)</f>
        <v>49.5222727272727</v>
      </c>
      <c r="AJ700" s="60" t="str">
        <f aca="false">IF(AI700&lt;S700,"SIM","NÃO")</f>
        <v>SIM</v>
      </c>
    </row>
    <row r="701" customFormat="false" ht="15" hidden="false" customHeight="false" outlineLevel="0" collapsed="false">
      <c r="A701" s="59" t="n">
        <v>46242.3751157407</v>
      </c>
      <c r="B701" s="60" t="s">
        <v>1053</v>
      </c>
      <c r="C701" s="60" t="n">
        <v>28948008</v>
      </c>
      <c r="D701" s="60" t="s">
        <v>338</v>
      </c>
      <c r="E701" s="60" t="s">
        <v>24</v>
      </c>
      <c r="F701" s="60" t="s">
        <v>238</v>
      </c>
      <c r="G701" s="60" t="n">
        <v>73.9</v>
      </c>
      <c r="H701" s="61" t="n">
        <v>959.99</v>
      </c>
      <c r="I701" s="61" t="n">
        <v>96.77</v>
      </c>
      <c r="J701" s="61" t="n">
        <f aca="false">H701*Resumo!$C$6</f>
        <v>0</v>
      </c>
      <c r="K701" s="61" t="n">
        <f aca="false">H701*Resumo!$C$7</f>
        <v>2.015979</v>
      </c>
      <c r="L701" s="61" t="n">
        <f aca="false">H701*Resumo!$C$8</f>
        <v>2.015979</v>
      </c>
      <c r="M701" s="61" t="n">
        <f aca="false">Resumo!$C$10*CEILING(G701/100,1)</f>
        <v>1.05</v>
      </c>
      <c r="N701" s="61" t="n">
        <f aca="false">Resumo!$C$9</f>
        <v>0</v>
      </c>
      <c r="O701" s="61" t="n">
        <f aca="false">Resumo!$C$13</f>
        <v>13.55</v>
      </c>
      <c r="P701" s="61" t="n">
        <f aca="false">Resumo!$C$14*CEILING(G701,1)</f>
        <v>33.3</v>
      </c>
      <c r="Q701" s="61" t="n">
        <f aca="false">SUM(I701:P701)*Resumo!$C$11</f>
        <v>0</v>
      </c>
      <c r="R701" s="61" t="n">
        <f aca="false">SUM(I701:Q701)</f>
        <v>148.701958</v>
      </c>
      <c r="S701" s="61" t="n">
        <f aca="false">R701/(1-Resumo!$C$5)</f>
        <v>168.979497727273</v>
      </c>
      <c r="T701" s="61" t="n">
        <v>166.05</v>
      </c>
      <c r="U701" s="61" t="n">
        <f aca="false">H701*Resumo!$B$6</f>
        <v>0.95999</v>
      </c>
      <c r="V701" s="61" t="n">
        <f aca="false">H701*Resumo!$B$7</f>
        <v>1.91998</v>
      </c>
      <c r="W701" s="61" t="n">
        <f aca="false">Resumo!$B$9</f>
        <v>1</v>
      </c>
      <c r="X701" s="61" t="n">
        <f aca="false">Resumo!$B$10*CEILING(G701/100,1)</f>
        <v>4.5</v>
      </c>
      <c r="Y701" s="61" t="n">
        <f aca="false">Resumo!$B$12*CEILING(G701,1)</f>
        <v>4.44</v>
      </c>
      <c r="Z701" s="61" t="n">
        <f aca="false">Resumo!$B$14*CEILING(G701,1)</f>
        <v>33.3</v>
      </c>
      <c r="AA701" s="61" t="n">
        <f aca="false">SUM(T701:Z701)</f>
        <v>212.16997</v>
      </c>
      <c r="AB701" s="61" t="n">
        <f aca="false">AA701/(1-Resumo!$B$5)</f>
        <v>241.102238636364</v>
      </c>
      <c r="AC701" s="61" t="n">
        <f aca="false">AB701-S701</f>
        <v>72.1227409090909</v>
      </c>
      <c r="AD701" s="62" t="n">
        <f aca="false">AB701/S701-1</f>
        <v>0.426813559509418</v>
      </c>
      <c r="AE701" s="60" t="str">
        <f aca="false">IF(AB701&lt;S701,"SIM","NÃO")</f>
        <v>NÃO</v>
      </c>
      <c r="AF701" s="60" t="n">
        <v>13</v>
      </c>
      <c r="AG701" s="60" t="n">
        <v>10</v>
      </c>
      <c r="AH701" s="60" t="s">
        <v>385</v>
      </c>
      <c r="AI701" s="61" t="n">
        <f aca="false">(T701*(1-Painel!$C$40)+U701+V701+Painel!$C$41+Painel!$C$42*CEILING(G701/100,1)+Painel!$C$43*CEILING(G701,1)+Z701)/(1-Resumo!$B$5)</f>
        <v>169.867579545455</v>
      </c>
      <c r="AJ701" s="60" t="str">
        <f aca="false">IF(AI701&lt;S701,"SIM","NÃO")</f>
        <v>NÃO</v>
      </c>
    </row>
    <row r="702" customFormat="false" ht="15" hidden="false" customHeight="false" outlineLevel="0" collapsed="false">
      <c r="A702" s="59" t="n">
        <v>46242.3771412037</v>
      </c>
      <c r="B702" s="60" t="s">
        <v>1054</v>
      </c>
      <c r="C702" s="60" t="n">
        <v>22783124</v>
      </c>
      <c r="D702" s="60" t="s">
        <v>46</v>
      </c>
      <c r="E702" s="60" t="s">
        <v>22</v>
      </c>
      <c r="F702" s="60" t="s">
        <v>233</v>
      </c>
      <c r="G702" s="60" t="n">
        <v>22.4</v>
      </c>
      <c r="H702" s="61" t="n">
        <v>423</v>
      </c>
      <c r="I702" s="61" t="n">
        <v>42.11</v>
      </c>
      <c r="J702" s="61" t="n">
        <f aca="false">H702*Resumo!$C$6</f>
        <v>0</v>
      </c>
      <c r="K702" s="61" t="n">
        <f aca="false">H702*Resumo!$C$7</f>
        <v>0.8883</v>
      </c>
      <c r="L702" s="61" t="n">
        <f aca="false">H702*Resumo!$C$8</f>
        <v>0.8883</v>
      </c>
      <c r="M702" s="61" t="n">
        <f aca="false">Resumo!$C$10*CEILING(G702/100,1)</f>
        <v>1.05</v>
      </c>
      <c r="N702" s="61" t="n">
        <f aca="false">Resumo!$C$9</f>
        <v>0</v>
      </c>
      <c r="O702" s="61" t="n">
        <f aca="false">Resumo!$C$13</f>
        <v>13.55</v>
      </c>
      <c r="P702" s="61" t="n">
        <f aca="false">Resumo!$C$14*CEILING(G702,1)</f>
        <v>10.35</v>
      </c>
      <c r="Q702" s="61" t="n">
        <f aca="false">SUM(I702:P702)*Resumo!$C$11</f>
        <v>0</v>
      </c>
      <c r="R702" s="61" t="n">
        <f aca="false">SUM(I702:Q702)</f>
        <v>68.8366</v>
      </c>
      <c r="S702" s="61" t="n">
        <f aca="false">R702/(1-Resumo!$C$5)</f>
        <v>78.2234090909091</v>
      </c>
      <c r="T702" s="61" t="n">
        <v>82.21</v>
      </c>
      <c r="U702" s="61" t="n">
        <f aca="false">H702*Resumo!$B$6</f>
        <v>0.423</v>
      </c>
      <c r="V702" s="61" t="n">
        <f aca="false">H702*Resumo!$B$7</f>
        <v>0.846</v>
      </c>
      <c r="W702" s="61" t="n">
        <f aca="false">Resumo!$B$9</f>
        <v>1</v>
      </c>
      <c r="X702" s="61" t="n">
        <f aca="false">Resumo!$B$10*CEILING(G702/100,1)</f>
        <v>4.5</v>
      </c>
      <c r="Y702" s="61" t="n">
        <f aca="false">Resumo!$B$12*CEILING(G702,1)</f>
        <v>1.38</v>
      </c>
      <c r="Z702" s="61" t="n">
        <f aca="false">Resumo!$B$14*CEILING(G702,1)</f>
        <v>10.35</v>
      </c>
      <c r="AA702" s="61" t="n">
        <f aca="false">SUM(T702:Z702)</f>
        <v>100.709</v>
      </c>
      <c r="AB702" s="61" t="n">
        <f aca="false">AA702/(1-Resumo!$B$5)</f>
        <v>114.442045454545</v>
      </c>
      <c r="AC702" s="61" t="n">
        <f aca="false">AB702-S702</f>
        <v>36.2186363636363</v>
      </c>
      <c r="AD702" s="62" t="n">
        <f aca="false">AB702/S702-1</f>
        <v>0.463015314527446</v>
      </c>
      <c r="AE702" s="60" t="str">
        <f aca="false">IF(AB702&lt;S702,"SIM","NÃO")</f>
        <v>NÃO</v>
      </c>
      <c r="AF702" s="60" t="n">
        <v>2</v>
      </c>
      <c r="AG702" s="60" t="n">
        <v>5</v>
      </c>
      <c r="AH702" s="60" t="s">
        <v>382</v>
      </c>
      <c r="AI702" s="61" t="n">
        <f aca="false">(T702*(1-Painel!$C$40)+U702+V702+Painel!$C$41+Painel!$C$42*CEILING(G702/100,1)+Painel!$C$43*CEILING(G702,1)+Z702)/(1-Resumo!$B$5)</f>
        <v>78.1246590909091</v>
      </c>
      <c r="AJ702" s="60" t="str">
        <f aca="false">IF(AI702&lt;S702,"SIM","NÃO")</f>
        <v>SIM</v>
      </c>
    </row>
    <row r="703" customFormat="false" ht="15" hidden="false" customHeight="false" outlineLevel="0" collapsed="false">
      <c r="A703" s="59" t="n">
        <v>46242.3829398148</v>
      </c>
      <c r="B703" s="60" t="s">
        <v>486</v>
      </c>
      <c r="C703" s="60" t="n">
        <v>28200000</v>
      </c>
      <c r="D703" s="60" t="s">
        <v>305</v>
      </c>
      <c r="E703" s="60" t="s">
        <v>24</v>
      </c>
      <c r="F703" s="60" t="s">
        <v>241</v>
      </c>
      <c r="G703" s="60" t="n">
        <v>134.4</v>
      </c>
      <c r="H703" s="61" t="n">
        <v>1597.99</v>
      </c>
      <c r="I703" s="61" t="n">
        <v>144.24</v>
      </c>
      <c r="J703" s="61" t="n">
        <f aca="false">H703*Resumo!$C$6</f>
        <v>0</v>
      </c>
      <c r="K703" s="61" t="n">
        <f aca="false">H703*Resumo!$C$7</f>
        <v>3.355779</v>
      </c>
      <c r="L703" s="61" t="n">
        <f aca="false">H703*Resumo!$C$8</f>
        <v>3.355779</v>
      </c>
      <c r="M703" s="61" t="n">
        <f aca="false">Resumo!$C$10*CEILING(G703/100,1)</f>
        <v>2.1</v>
      </c>
      <c r="N703" s="61" t="n">
        <f aca="false">Resumo!$C$9</f>
        <v>0</v>
      </c>
      <c r="O703" s="61" t="n">
        <f aca="false">Resumo!$C$13</f>
        <v>13.55</v>
      </c>
      <c r="P703" s="61" t="n">
        <f aca="false">Resumo!$C$14*CEILING(G703,1)</f>
        <v>60.75</v>
      </c>
      <c r="Q703" s="61" t="n">
        <f aca="false">SUM(I703:P703)*Resumo!$C$11</f>
        <v>0</v>
      </c>
      <c r="R703" s="61" t="n">
        <f aca="false">SUM(I703:Q703)</f>
        <v>227.351558</v>
      </c>
      <c r="S703" s="61" t="n">
        <f aca="false">R703/(1-Resumo!$C$5)</f>
        <v>258.354043181818</v>
      </c>
      <c r="T703" s="61" t="n">
        <v>264.84</v>
      </c>
      <c r="U703" s="61" t="n">
        <f aca="false">H703*Resumo!$B$6</f>
        <v>1.59799</v>
      </c>
      <c r="V703" s="61" t="n">
        <f aca="false">H703*Resumo!$B$7</f>
        <v>3.19598</v>
      </c>
      <c r="W703" s="61" t="n">
        <f aca="false">Resumo!$B$9</f>
        <v>1</v>
      </c>
      <c r="X703" s="61" t="n">
        <f aca="false">Resumo!$B$10*CEILING(G703/100,1)</f>
        <v>9</v>
      </c>
      <c r="Y703" s="61" t="n">
        <f aca="false">Resumo!$B$12*CEILING(G703,1)</f>
        <v>8.1</v>
      </c>
      <c r="Z703" s="61" t="n">
        <f aca="false">Resumo!$B$14*CEILING(G703,1)</f>
        <v>60.75</v>
      </c>
      <c r="AA703" s="61" t="n">
        <f aca="false">SUM(T703:Z703)</f>
        <v>348.48397</v>
      </c>
      <c r="AB703" s="61" t="n">
        <f aca="false">AA703/(1-Resumo!$B$5)</f>
        <v>396.004511363636</v>
      </c>
      <c r="AC703" s="61" t="n">
        <f aca="false">AB703-S703</f>
        <v>137.650468181818</v>
      </c>
      <c r="AD703" s="62" t="n">
        <f aca="false">AB703/S703-1</f>
        <v>0.532797809109362</v>
      </c>
      <c r="AE703" s="60" t="str">
        <f aca="false">IF(AB703&lt;S703,"SIM","NÃO")</f>
        <v>NÃO</v>
      </c>
      <c r="AF703" s="60" t="n">
        <v>13</v>
      </c>
      <c r="AG703" s="60" t="n">
        <v>11</v>
      </c>
      <c r="AH703" s="60" t="s">
        <v>385</v>
      </c>
      <c r="AI703" s="61" t="n">
        <f aca="false">(T703*(1-Painel!$C$40)+U703+V703+Painel!$C$41+Painel!$C$42*CEILING(G703/100,1)+Painel!$C$43*CEILING(G703,1)+Z703)/(1-Resumo!$B$5)</f>
        <v>279.644056818182</v>
      </c>
      <c r="AJ703" s="60" t="str">
        <f aca="false">IF(AI703&lt;S703,"SIM","NÃO")</f>
        <v>NÃO</v>
      </c>
    </row>
    <row r="704" customFormat="false" ht="15" hidden="false" customHeight="false" outlineLevel="0" collapsed="false">
      <c r="A704" s="59" t="n">
        <v>46242.3999189815</v>
      </c>
      <c r="B704" s="60" t="s">
        <v>1055</v>
      </c>
      <c r="C704" s="60" t="n">
        <v>23032180</v>
      </c>
      <c r="D704" s="60" t="s">
        <v>46</v>
      </c>
      <c r="E704" s="60" t="s">
        <v>22</v>
      </c>
      <c r="F704" s="60" t="s">
        <v>233</v>
      </c>
      <c r="G704" s="60" t="n">
        <v>22.4</v>
      </c>
      <c r="H704" s="61" t="n">
        <v>423</v>
      </c>
      <c r="I704" s="61" t="n">
        <v>42.11</v>
      </c>
      <c r="J704" s="61" t="n">
        <f aca="false">H704*Resumo!$C$6</f>
        <v>0</v>
      </c>
      <c r="K704" s="61" t="n">
        <f aca="false">H704*Resumo!$C$7</f>
        <v>0.8883</v>
      </c>
      <c r="L704" s="61" t="n">
        <f aca="false">H704*Resumo!$C$8</f>
        <v>0.8883</v>
      </c>
      <c r="M704" s="61" t="n">
        <f aca="false">Resumo!$C$10*CEILING(G704/100,1)</f>
        <v>1.05</v>
      </c>
      <c r="N704" s="61" t="n">
        <f aca="false">Resumo!$C$9</f>
        <v>0</v>
      </c>
      <c r="O704" s="61" t="n">
        <f aca="false">Resumo!$C$13</f>
        <v>13.55</v>
      </c>
      <c r="P704" s="61" t="n">
        <f aca="false">Resumo!$C$14*CEILING(G704,1)</f>
        <v>10.35</v>
      </c>
      <c r="Q704" s="61" t="n">
        <f aca="false">SUM(I704:P704)*Resumo!$C$11</f>
        <v>0</v>
      </c>
      <c r="R704" s="61" t="n">
        <f aca="false">SUM(I704:Q704)</f>
        <v>68.8366</v>
      </c>
      <c r="S704" s="61" t="n">
        <f aca="false">R704/(1-Resumo!$C$5)</f>
        <v>78.2234090909091</v>
      </c>
      <c r="T704" s="61" t="n">
        <v>82.21</v>
      </c>
      <c r="U704" s="61" t="n">
        <f aca="false">H704*Resumo!$B$6</f>
        <v>0.423</v>
      </c>
      <c r="V704" s="61" t="n">
        <f aca="false">H704*Resumo!$B$7</f>
        <v>0.846</v>
      </c>
      <c r="W704" s="61" t="n">
        <f aca="false">Resumo!$B$9</f>
        <v>1</v>
      </c>
      <c r="X704" s="61" t="n">
        <f aca="false">Resumo!$B$10*CEILING(G704/100,1)</f>
        <v>4.5</v>
      </c>
      <c r="Y704" s="61" t="n">
        <f aca="false">Resumo!$B$12*CEILING(G704,1)</f>
        <v>1.38</v>
      </c>
      <c r="Z704" s="61" t="n">
        <f aca="false">Resumo!$B$14*CEILING(G704,1)</f>
        <v>10.35</v>
      </c>
      <c r="AA704" s="61" t="n">
        <f aca="false">SUM(T704:Z704)</f>
        <v>100.709</v>
      </c>
      <c r="AB704" s="61" t="n">
        <f aca="false">AA704/(1-Resumo!$B$5)</f>
        <v>114.442045454545</v>
      </c>
      <c r="AC704" s="61" t="n">
        <f aca="false">AB704-S704</f>
        <v>36.2186363636363</v>
      </c>
      <c r="AD704" s="62" t="n">
        <f aca="false">AB704/S704-1</f>
        <v>0.463015314527446</v>
      </c>
      <c r="AE704" s="60" t="str">
        <f aca="false">IF(AB704&lt;S704,"SIM","NÃO")</f>
        <v>NÃO</v>
      </c>
      <c r="AF704" s="60" t="n">
        <v>2</v>
      </c>
      <c r="AG704" s="60" t="n">
        <v>5</v>
      </c>
      <c r="AH704" s="60" t="s">
        <v>382</v>
      </c>
      <c r="AI704" s="61" t="n">
        <f aca="false">(T704*(1-Painel!$C$40)+U704+V704+Painel!$C$41+Painel!$C$42*CEILING(G704/100,1)+Painel!$C$43*CEILING(G704,1)+Z704)/(1-Resumo!$B$5)</f>
        <v>78.1246590909091</v>
      </c>
      <c r="AJ704" s="60" t="str">
        <f aca="false">IF(AI704&lt;S704,"SIM","NÃO")</f>
        <v>SIM</v>
      </c>
    </row>
    <row r="705" customFormat="false" ht="15" hidden="false" customHeight="false" outlineLevel="0" collapsed="false">
      <c r="A705" s="59" t="n">
        <v>46242.4213194445</v>
      </c>
      <c r="B705" s="60" t="s">
        <v>1056</v>
      </c>
      <c r="C705" s="60" t="n">
        <v>21910170</v>
      </c>
      <c r="D705" s="60" t="s">
        <v>46</v>
      </c>
      <c r="E705" s="60" t="s">
        <v>22</v>
      </c>
      <c r="F705" s="60" t="s">
        <v>233</v>
      </c>
      <c r="G705" s="60" t="n">
        <v>20.9</v>
      </c>
      <c r="H705" s="61" t="n">
        <v>441</v>
      </c>
      <c r="I705" s="61" t="n">
        <v>42.11</v>
      </c>
      <c r="J705" s="61" t="n">
        <f aca="false">H705*Resumo!$C$6</f>
        <v>0</v>
      </c>
      <c r="K705" s="61" t="n">
        <f aca="false">H705*Resumo!$C$7</f>
        <v>0.9261</v>
      </c>
      <c r="L705" s="61" t="n">
        <f aca="false">H705*Resumo!$C$8</f>
        <v>0.9261</v>
      </c>
      <c r="M705" s="61" t="n">
        <f aca="false">Resumo!$C$10*CEILING(G705/100,1)</f>
        <v>1.05</v>
      </c>
      <c r="N705" s="61" t="n">
        <f aca="false">Resumo!$C$9</f>
        <v>0</v>
      </c>
      <c r="O705" s="61" t="n">
        <f aca="false">Resumo!$C$13</f>
        <v>13.55</v>
      </c>
      <c r="P705" s="61" t="n">
        <f aca="false">Resumo!$C$14*CEILING(G705,1)</f>
        <v>9.45</v>
      </c>
      <c r="Q705" s="61" t="n">
        <f aca="false">SUM(I705:P705)*Resumo!$C$11</f>
        <v>0</v>
      </c>
      <c r="R705" s="61" t="n">
        <f aca="false">SUM(I705:Q705)</f>
        <v>68.0122</v>
      </c>
      <c r="S705" s="61" t="n">
        <f aca="false">R705/(1-Resumo!$C$5)</f>
        <v>77.2865909090909</v>
      </c>
      <c r="T705" s="61" t="n">
        <v>82.21</v>
      </c>
      <c r="U705" s="61" t="n">
        <f aca="false">H705*Resumo!$B$6</f>
        <v>0.441</v>
      </c>
      <c r="V705" s="61" t="n">
        <f aca="false">H705*Resumo!$B$7</f>
        <v>0.882</v>
      </c>
      <c r="W705" s="61" t="n">
        <f aca="false">Resumo!$B$9</f>
        <v>1</v>
      </c>
      <c r="X705" s="61" t="n">
        <f aca="false">Resumo!$B$10*CEILING(G705/100,1)</f>
        <v>4.5</v>
      </c>
      <c r="Y705" s="61" t="n">
        <f aca="false">Resumo!$B$12*CEILING(G705,1)</f>
        <v>1.26</v>
      </c>
      <c r="Z705" s="61" t="n">
        <f aca="false">Resumo!$B$14*CEILING(G705,1)</f>
        <v>9.45</v>
      </c>
      <c r="AA705" s="61" t="n">
        <f aca="false">SUM(T705:Z705)</f>
        <v>99.743</v>
      </c>
      <c r="AB705" s="61" t="n">
        <f aca="false">AA705/(1-Resumo!$B$5)</f>
        <v>113.344318181818</v>
      </c>
      <c r="AC705" s="61" t="n">
        <f aca="false">AB705-S705</f>
        <v>36.0577272727273</v>
      </c>
      <c r="AD705" s="62" t="n">
        <f aca="false">AB705/S705-1</f>
        <v>0.466545707975922</v>
      </c>
      <c r="AE705" s="60" t="str">
        <f aca="false">IF(AB705&lt;S705,"SIM","NÃO")</f>
        <v>NÃO</v>
      </c>
      <c r="AF705" s="60" t="n">
        <v>2</v>
      </c>
      <c r="AG705" s="60" t="n">
        <v>5</v>
      </c>
      <c r="AH705" s="60" t="s">
        <v>382</v>
      </c>
      <c r="AI705" s="61" t="n">
        <f aca="false">(T705*(1-Painel!$C$40)+U705+V705+Painel!$C$41+Painel!$C$42*CEILING(G705/100,1)+Painel!$C$43*CEILING(G705,1)+Z705)/(1-Resumo!$B$5)</f>
        <v>77.1632954545454</v>
      </c>
      <c r="AJ705" s="60" t="str">
        <f aca="false">IF(AI705&lt;S705,"SIM","NÃO")</f>
        <v>SIM</v>
      </c>
    </row>
    <row r="706" customFormat="false" ht="15" hidden="false" customHeight="false" outlineLevel="0" collapsed="false">
      <c r="A706" s="59" t="n">
        <v>46242.4307407407</v>
      </c>
      <c r="B706" s="60" t="s">
        <v>1057</v>
      </c>
      <c r="C706" s="60" t="n">
        <v>21046415</v>
      </c>
      <c r="D706" s="60" t="s">
        <v>46</v>
      </c>
      <c r="E706" s="60" t="s">
        <v>22</v>
      </c>
      <c r="F706" s="60" t="s">
        <v>235</v>
      </c>
      <c r="G706" s="60" t="n">
        <v>44.5</v>
      </c>
      <c r="H706" s="61" t="n">
        <v>799.99</v>
      </c>
      <c r="I706" s="61" t="n">
        <v>53.55</v>
      </c>
      <c r="J706" s="61" t="n">
        <f aca="false">H706*Resumo!$C$6</f>
        <v>0</v>
      </c>
      <c r="K706" s="61" t="n">
        <f aca="false">H706*Resumo!$C$7</f>
        <v>1.679979</v>
      </c>
      <c r="L706" s="61" t="n">
        <f aca="false">H706*Resumo!$C$8</f>
        <v>1.679979</v>
      </c>
      <c r="M706" s="61" t="n">
        <f aca="false">Resumo!$C$10*CEILING(G706/100,1)</f>
        <v>1.05</v>
      </c>
      <c r="N706" s="61" t="n">
        <f aca="false">Resumo!$C$9</f>
        <v>0</v>
      </c>
      <c r="O706" s="61" t="n">
        <f aca="false">Resumo!$C$13</f>
        <v>13.55</v>
      </c>
      <c r="P706" s="61" t="n">
        <f aca="false">Resumo!$C$14*CEILING(G706,1)</f>
        <v>20.25</v>
      </c>
      <c r="Q706" s="61" t="n">
        <f aca="false">SUM(I706:P706)*Resumo!$C$11</f>
        <v>0</v>
      </c>
      <c r="R706" s="61" t="n">
        <f aca="false">SUM(I706:Q706)</f>
        <v>91.759958</v>
      </c>
      <c r="S706" s="61" t="n">
        <f aca="false">R706/(1-Resumo!$C$5)</f>
        <v>104.272679545455</v>
      </c>
      <c r="T706" s="61" t="n">
        <v>93.97</v>
      </c>
      <c r="U706" s="61" t="n">
        <f aca="false">H706*Resumo!$B$6</f>
        <v>0.79999</v>
      </c>
      <c r="V706" s="61" t="n">
        <f aca="false">H706*Resumo!$B$7</f>
        <v>1.59998</v>
      </c>
      <c r="W706" s="61" t="n">
        <f aca="false">Resumo!$B$9</f>
        <v>1</v>
      </c>
      <c r="X706" s="61" t="n">
        <f aca="false">Resumo!$B$10*CEILING(G706/100,1)</f>
        <v>4.5</v>
      </c>
      <c r="Y706" s="61" t="n">
        <f aca="false">Resumo!$B$12*CEILING(G706,1)</f>
        <v>2.7</v>
      </c>
      <c r="Z706" s="61" t="n">
        <f aca="false">Resumo!$B$14*CEILING(G706,1)</f>
        <v>20.25</v>
      </c>
      <c r="AA706" s="61" t="n">
        <f aca="false">SUM(T706:Z706)</f>
        <v>124.81997</v>
      </c>
      <c r="AB706" s="61" t="n">
        <f aca="false">AA706/(1-Resumo!$B$5)</f>
        <v>141.840875</v>
      </c>
      <c r="AC706" s="61" t="n">
        <f aca="false">AB706-S706</f>
        <v>37.5681954545454</v>
      </c>
      <c r="AD706" s="62" t="n">
        <f aca="false">AB706/S706-1</f>
        <v>0.360288002747342</v>
      </c>
      <c r="AE706" s="60" t="str">
        <f aca="false">IF(AB706&lt;S706,"SIM","NÃO")</f>
        <v>NÃO</v>
      </c>
      <c r="AF706" s="60" t="n">
        <v>2</v>
      </c>
      <c r="AG706" s="60" t="n">
        <v>5</v>
      </c>
      <c r="AH706" s="60" t="s">
        <v>382</v>
      </c>
      <c r="AI706" s="61" t="n">
        <f aca="false">(T706*(1-Painel!$C$40)+U706+V706+Painel!$C$41+Painel!$C$42*CEILING(G706/100,1)+Painel!$C$43*CEILING(G706,1)+Z706)/(1-Resumo!$B$5)</f>
        <v>99.6134886363636</v>
      </c>
      <c r="AJ706" s="60" t="str">
        <f aca="false">IF(AI706&lt;S706,"SIM","NÃO")</f>
        <v>SIM</v>
      </c>
    </row>
    <row r="707" customFormat="false" ht="15" hidden="false" customHeight="false" outlineLevel="0" collapsed="false">
      <c r="A707" s="59" t="n">
        <v>46242.4407523148</v>
      </c>
      <c r="B707" s="60" t="s">
        <v>645</v>
      </c>
      <c r="C707" s="60" t="n">
        <v>22783111</v>
      </c>
      <c r="D707" s="60" t="s">
        <v>46</v>
      </c>
      <c r="E707" s="60" t="s">
        <v>22</v>
      </c>
      <c r="F707" s="60" t="s">
        <v>233</v>
      </c>
      <c r="G707" s="60" t="n">
        <v>20.9</v>
      </c>
      <c r="H707" s="61" t="n">
        <v>441</v>
      </c>
      <c r="I707" s="61" t="n">
        <v>42.11</v>
      </c>
      <c r="J707" s="61" t="n">
        <f aca="false">H707*Resumo!$C$6</f>
        <v>0</v>
      </c>
      <c r="K707" s="61" t="n">
        <f aca="false">H707*Resumo!$C$7</f>
        <v>0.9261</v>
      </c>
      <c r="L707" s="61" t="n">
        <f aca="false">H707*Resumo!$C$8</f>
        <v>0.9261</v>
      </c>
      <c r="M707" s="61" t="n">
        <f aca="false">Resumo!$C$10*CEILING(G707/100,1)</f>
        <v>1.05</v>
      </c>
      <c r="N707" s="61" t="n">
        <f aca="false">Resumo!$C$9</f>
        <v>0</v>
      </c>
      <c r="O707" s="61" t="n">
        <f aca="false">Resumo!$C$13</f>
        <v>13.55</v>
      </c>
      <c r="P707" s="61" t="n">
        <f aca="false">Resumo!$C$14*CEILING(G707,1)</f>
        <v>9.45</v>
      </c>
      <c r="Q707" s="61" t="n">
        <f aca="false">SUM(I707:P707)*Resumo!$C$11</f>
        <v>0</v>
      </c>
      <c r="R707" s="61" t="n">
        <f aca="false">SUM(I707:Q707)</f>
        <v>68.0122</v>
      </c>
      <c r="S707" s="61" t="n">
        <f aca="false">R707/(1-Resumo!$C$5)</f>
        <v>77.2865909090909</v>
      </c>
      <c r="T707" s="61" t="n">
        <v>82.21</v>
      </c>
      <c r="U707" s="61" t="n">
        <f aca="false">H707*Resumo!$B$6</f>
        <v>0.441</v>
      </c>
      <c r="V707" s="61" t="n">
        <f aca="false">H707*Resumo!$B$7</f>
        <v>0.882</v>
      </c>
      <c r="W707" s="61" t="n">
        <f aca="false">Resumo!$B$9</f>
        <v>1</v>
      </c>
      <c r="X707" s="61" t="n">
        <f aca="false">Resumo!$B$10*CEILING(G707/100,1)</f>
        <v>4.5</v>
      </c>
      <c r="Y707" s="61" t="n">
        <f aca="false">Resumo!$B$12*CEILING(G707,1)</f>
        <v>1.26</v>
      </c>
      <c r="Z707" s="61" t="n">
        <f aca="false">Resumo!$B$14*CEILING(G707,1)</f>
        <v>9.45</v>
      </c>
      <c r="AA707" s="61" t="n">
        <f aca="false">SUM(T707:Z707)</f>
        <v>99.743</v>
      </c>
      <c r="AB707" s="61" t="n">
        <f aca="false">AA707/(1-Resumo!$B$5)</f>
        <v>113.344318181818</v>
      </c>
      <c r="AC707" s="61" t="n">
        <f aca="false">AB707-S707</f>
        <v>36.0577272727273</v>
      </c>
      <c r="AD707" s="62" t="n">
        <f aca="false">AB707/S707-1</f>
        <v>0.466545707975922</v>
      </c>
      <c r="AE707" s="60" t="str">
        <f aca="false">IF(AB707&lt;S707,"SIM","NÃO")</f>
        <v>NÃO</v>
      </c>
      <c r="AF707" s="60" t="n">
        <v>2</v>
      </c>
      <c r="AG707" s="60" t="n">
        <v>5</v>
      </c>
      <c r="AH707" s="60" t="s">
        <v>382</v>
      </c>
      <c r="AI707" s="61" t="n">
        <f aca="false">(T707*(1-Painel!$C$40)+U707+V707+Painel!$C$41+Painel!$C$42*CEILING(G707/100,1)+Painel!$C$43*CEILING(G707,1)+Z707)/(1-Resumo!$B$5)</f>
        <v>77.1632954545454</v>
      </c>
      <c r="AJ707" s="60" t="str">
        <f aca="false">IF(AI707&lt;S707,"SIM","NÃO")</f>
        <v>SIM</v>
      </c>
    </row>
    <row r="708" customFormat="false" ht="15" hidden="false" customHeight="false" outlineLevel="0" collapsed="false">
      <c r="A708" s="59" t="n">
        <v>46242.441875</v>
      </c>
      <c r="B708" s="60" t="s">
        <v>948</v>
      </c>
      <c r="C708" s="60" t="n">
        <v>25850000</v>
      </c>
      <c r="D708" s="60" t="s">
        <v>276</v>
      </c>
      <c r="E708" s="60" t="s">
        <v>24</v>
      </c>
      <c r="F708" s="60" t="s">
        <v>233</v>
      </c>
      <c r="G708" s="60" t="n">
        <v>31.9</v>
      </c>
      <c r="H708" s="61" t="n">
        <v>533.6</v>
      </c>
      <c r="I708" s="61" t="n">
        <v>65.63</v>
      </c>
      <c r="J708" s="61" t="n">
        <f aca="false">H708*Resumo!$C$6</f>
        <v>0</v>
      </c>
      <c r="K708" s="61" t="n">
        <f aca="false">H708*Resumo!$C$7</f>
        <v>1.12056</v>
      </c>
      <c r="L708" s="61" t="n">
        <f aca="false">H708*Resumo!$C$8</f>
        <v>1.12056</v>
      </c>
      <c r="M708" s="61" t="n">
        <f aca="false">Resumo!$C$10*CEILING(G708/100,1)</f>
        <v>1.05</v>
      </c>
      <c r="N708" s="61" t="n">
        <f aca="false">Resumo!$C$9</f>
        <v>0</v>
      </c>
      <c r="O708" s="61" t="n">
        <f aca="false">Resumo!$C$13</f>
        <v>13.55</v>
      </c>
      <c r="P708" s="61" t="n">
        <f aca="false">Resumo!$C$14*CEILING(G708,1)</f>
        <v>14.4</v>
      </c>
      <c r="Q708" s="61" t="n">
        <f aca="false">SUM(I708:P708)*Resumo!$C$11</f>
        <v>0</v>
      </c>
      <c r="R708" s="61" t="n">
        <f aca="false">SUM(I708:Q708)</f>
        <v>96.87112</v>
      </c>
      <c r="S708" s="61" t="n">
        <f aca="false">R708/(1-Resumo!$C$5)</f>
        <v>110.080818181818</v>
      </c>
      <c r="T708" s="61" t="n">
        <v>120.78</v>
      </c>
      <c r="U708" s="61" t="n">
        <f aca="false">H708*Resumo!$B$6</f>
        <v>0.5336</v>
      </c>
      <c r="V708" s="61" t="n">
        <f aca="false">H708*Resumo!$B$7</f>
        <v>1.0672</v>
      </c>
      <c r="W708" s="61" t="n">
        <f aca="false">Resumo!$B$9</f>
        <v>1</v>
      </c>
      <c r="X708" s="61" t="n">
        <f aca="false">Resumo!$B$10*CEILING(G708/100,1)</f>
        <v>4.5</v>
      </c>
      <c r="Y708" s="61" t="n">
        <f aca="false">Resumo!$B$12*CEILING(G708,1)</f>
        <v>1.92</v>
      </c>
      <c r="Z708" s="61" t="n">
        <f aca="false">Resumo!$B$14*CEILING(G708,1)</f>
        <v>14.4</v>
      </c>
      <c r="AA708" s="61" t="n">
        <f aca="false">SUM(T708:Z708)</f>
        <v>144.2008</v>
      </c>
      <c r="AB708" s="61" t="n">
        <f aca="false">AA708/(1-Resumo!$B$5)</f>
        <v>163.864545454545</v>
      </c>
      <c r="AC708" s="61" t="n">
        <f aca="false">AB708-S708</f>
        <v>53.7837272727273</v>
      </c>
      <c r="AD708" s="62" t="n">
        <f aca="false">AB708/S708-1</f>
        <v>0.488584007287208</v>
      </c>
      <c r="AE708" s="60" t="str">
        <f aca="false">IF(AB708&lt;S708,"SIM","NÃO")</f>
        <v>NÃO</v>
      </c>
      <c r="AF708" s="60" t="n">
        <v>13</v>
      </c>
      <c r="AG708" s="60" t="n">
        <v>10</v>
      </c>
      <c r="AH708" s="60" t="s">
        <v>385</v>
      </c>
      <c r="AI708" s="61" t="n">
        <f aca="false">(T708*(1-Painel!$C$40)+U708+V708+Painel!$C$41+Painel!$C$42*CEILING(G708/100,1)+Painel!$C$43*CEILING(G708,1)+Z708)/(1-Resumo!$B$5)</f>
        <v>112.469772727273</v>
      </c>
      <c r="AJ708" s="60" t="str">
        <f aca="false">IF(AI708&lt;S708,"SIM","NÃO")</f>
        <v>NÃO</v>
      </c>
    </row>
    <row r="709" customFormat="false" ht="15" hidden="false" customHeight="false" outlineLevel="0" collapsed="false">
      <c r="A709" s="59" t="n">
        <v>46242.4480902778</v>
      </c>
      <c r="B709" s="60" t="s">
        <v>983</v>
      </c>
      <c r="C709" s="60" t="n">
        <v>20765171</v>
      </c>
      <c r="D709" s="60" t="s">
        <v>46</v>
      </c>
      <c r="E709" s="60" t="s">
        <v>22</v>
      </c>
      <c r="F709" s="60" t="s">
        <v>236</v>
      </c>
      <c r="G709" s="60" t="n">
        <v>60</v>
      </c>
      <c r="H709" s="61" t="n">
        <v>797.62</v>
      </c>
      <c r="I709" s="61" t="n">
        <v>58.6</v>
      </c>
      <c r="J709" s="61" t="n">
        <f aca="false">H709*Resumo!$C$6</f>
        <v>0</v>
      </c>
      <c r="K709" s="61" t="n">
        <f aca="false">H709*Resumo!$C$7</f>
        <v>1.675002</v>
      </c>
      <c r="L709" s="61" t="n">
        <f aca="false">H709*Resumo!$C$8</f>
        <v>1.675002</v>
      </c>
      <c r="M709" s="61" t="n">
        <f aca="false">Resumo!$C$10*CEILING(G709/100,1)</f>
        <v>1.05</v>
      </c>
      <c r="N709" s="61" t="n">
        <f aca="false">Resumo!$C$9</f>
        <v>0</v>
      </c>
      <c r="O709" s="61" t="n">
        <f aca="false">Resumo!$C$13</f>
        <v>13.55</v>
      </c>
      <c r="P709" s="61" t="n">
        <f aca="false">Resumo!$C$14*CEILING(G709,1)</f>
        <v>27</v>
      </c>
      <c r="Q709" s="61" t="n">
        <f aca="false">SUM(I709:P709)*Resumo!$C$11</f>
        <v>0</v>
      </c>
      <c r="R709" s="61" t="n">
        <f aca="false">SUM(I709:Q709)</f>
        <v>103.550004</v>
      </c>
      <c r="S709" s="61" t="n">
        <f aca="false">R709/(1-Resumo!$C$5)</f>
        <v>117.670459090909</v>
      </c>
      <c r="T709" s="61" t="n">
        <v>112.3</v>
      </c>
      <c r="U709" s="61" t="n">
        <f aca="false">H709*Resumo!$B$6</f>
        <v>0.79762</v>
      </c>
      <c r="V709" s="61" t="n">
        <f aca="false">H709*Resumo!$B$7</f>
        <v>1.59524</v>
      </c>
      <c r="W709" s="61" t="n">
        <f aca="false">Resumo!$B$9</f>
        <v>1</v>
      </c>
      <c r="X709" s="61" t="n">
        <f aca="false">Resumo!$B$10*CEILING(G709/100,1)</f>
        <v>4.5</v>
      </c>
      <c r="Y709" s="61" t="n">
        <f aca="false">Resumo!$B$12*CEILING(G709,1)</f>
        <v>3.6</v>
      </c>
      <c r="Z709" s="61" t="n">
        <f aca="false">Resumo!$B$14*CEILING(G709,1)</f>
        <v>27</v>
      </c>
      <c r="AA709" s="61" t="n">
        <f aca="false">SUM(T709:Z709)</f>
        <v>150.79286</v>
      </c>
      <c r="AB709" s="61" t="n">
        <f aca="false">AA709/(1-Resumo!$B$5)</f>
        <v>171.355522727273</v>
      </c>
      <c r="AC709" s="61" t="n">
        <f aca="false">AB709-S709</f>
        <v>53.6850636363636</v>
      </c>
      <c r="AD709" s="62" t="n">
        <f aca="false">AB709/S709-1</f>
        <v>0.45623229526867</v>
      </c>
      <c r="AE709" s="60" t="str">
        <f aca="false">IF(AB709&lt;S709,"SIM","NÃO")</f>
        <v>NÃO</v>
      </c>
      <c r="AF709" s="60" t="n">
        <v>2</v>
      </c>
      <c r="AG709" s="60" t="n">
        <v>5</v>
      </c>
      <c r="AH709" s="60" t="s">
        <v>382</v>
      </c>
      <c r="AI709" s="61" t="n">
        <f aca="false">(T709*(1-Painel!$C$40)+U709+V709+Painel!$C$41+Painel!$C$42*CEILING(G709/100,1)+Painel!$C$43*CEILING(G709,1)+Z709)/(1-Resumo!$B$5)</f>
        <v>121.231659090909</v>
      </c>
      <c r="AJ709" s="60" t="str">
        <f aca="false">IF(AI709&lt;S709,"SIM","NÃO")</f>
        <v>NÃO</v>
      </c>
    </row>
    <row r="710" customFormat="false" ht="15" hidden="false" customHeight="false" outlineLevel="0" collapsed="false">
      <c r="A710" s="59" t="n">
        <v>46242.4501967593</v>
      </c>
      <c r="B710" s="60" t="s">
        <v>1058</v>
      </c>
      <c r="C710" s="60" t="n">
        <v>21072150</v>
      </c>
      <c r="D710" s="60" t="s">
        <v>46</v>
      </c>
      <c r="E710" s="60" t="s">
        <v>22</v>
      </c>
      <c r="F710" s="60" t="s">
        <v>235</v>
      </c>
      <c r="G710" s="60" t="n">
        <v>43.5</v>
      </c>
      <c r="H710" s="61" t="n">
        <v>690.99</v>
      </c>
      <c r="I710" s="61" t="n">
        <v>53.55</v>
      </c>
      <c r="J710" s="61" t="n">
        <f aca="false">H710*Resumo!$C$6</f>
        <v>0</v>
      </c>
      <c r="K710" s="61" t="n">
        <f aca="false">H710*Resumo!$C$7</f>
        <v>1.451079</v>
      </c>
      <c r="L710" s="61" t="n">
        <f aca="false">H710*Resumo!$C$8</f>
        <v>1.451079</v>
      </c>
      <c r="M710" s="61" t="n">
        <f aca="false">Resumo!$C$10*CEILING(G710/100,1)</f>
        <v>1.05</v>
      </c>
      <c r="N710" s="61" t="n">
        <f aca="false">Resumo!$C$9</f>
        <v>0</v>
      </c>
      <c r="O710" s="61" t="n">
        <f aca="false">Resumo!$C$13</f>
        <v>13.55</v>
      </c>
      <c r="P710" s="61" t="n">
        <f aca="false">Resumo!$C$14*CEILING(G710,1)</f>
        <v>19.8</v>
      </c>
      <c r="Q710" s="61" t="n">
        <f aca="false">SUM(I710:P710)*Resumo!$C$11</f>
        <v>0</v>
      </c>
      <c r="R710" s="61" t="n">
        <f aca="false">SUM(I710:Q710)</f>
        <v>90.852158</v>
      </c>
      <c r="S710" s="61" t="n">
        <f aca="false">R710/(1-Resumo!$C$5)</f>
        <v>103.241088636364</v>
      </c>
      <c r="T710" s="61" t="n">
        <v>93.97</v>
      </c>
      <c r="U710" s="61" t="n">
        <f aca="false">H710*Resumo!$B$6</f>
        <v>0.69099</v>
      </c>
      <c r="V710" s="61" t="n">
        <f aca="false">H710*Resumo!$B$7</f>
        <v>1.38198</v>
      </c>
      <c r="W710" s="61" t="n">
        <f aca="false">Resumo!$B$9</f>
        <v>1</v>
      </c>
      <c r="X710" s="61" t="n">
        <f aca="false">Resumo!$B$10*CEILING(G710/100,1)</f>
        <v>4.5</v>
      </c>
      <c r="Y710" s="61" t="n">
        <f aca="false">Resumo!$B$12*CEILING(G710,1)</f>
        <v>2.64</v>
      </c>
      <c r="Z710" s="61" t="n">
        <f aca="false">Resumo!$B$14*CEILING(G710,1)</f>
        <v>19.8</v>
      </c>
      <c r="AA710" s="61" t="n">
        <f aca="false">SUM(T710:Z710)</f>
        <v>123.98297</v>
      </c>
      <c r="AB710" s="61" t="n">
        <f aca="false">AA710/(1-Resumo!$B$5)</f>
        <v>140.889738636364</v>
      </c>
      <c r="AC710" s="61" t="n">
        <f aca="false">AB710-S710</f>
        <v>37.64865</v>
      </c>
      <c r="AD710" s="62" t="n">
        <f aca="false">AB710/S710-1</f>
        <v>0.364667309278443</v>
      </c>
      <c r="AE710" s="60" t="str">
        <f aca="false">IF(AB710&lt;S710,"SIM","NÃO")</f>
        <v>NÃO</v>
      </c>
      <c r="AF710" s="60" t="n">
        <v>2</v>
      </c>
      <c r="AG710" s="60" t="n">
        <v>5</v>
      </c>
      <c r="AH710" s="60" t="s">
        <v>382</v>
      </c>
      <c r="AI710" s="61" t="n">
        <f aca="false">(T710*(1-Painel!$C$40)+U710+V710+Painel!$C$41+Painel!$C$42*CEILING(G710/100,1)+Painel!$C$43*CEILING(G710,1)+Z710)/(1-Resumo!$B$5)</f>
        <v>98.7305340909091</v>
      </c>
      <c r="AJ710" s="60" t="str">
        <f aca="false">IF(AI710&lt;S710,"SIM","NÃO")</f>
        <v>SIM</v>
      </c>
    </row>
    <row r="711" customFormat="false" ht="15" hidden="false" customHeight="false" outlineLevel="0" collapsed="false">
      <c r="A711" s="59" t="n">
        <v>46242.4514467593</v>
      </c>
      <c r="B711" s="60" t="s">
        <v>1059</v>
      </c>
      <c r="C711" s="60" t="n">
        <v>24344121</v>
      </c>
      <c r="D711" s="60" t="s">
        <v>50</v>
      </c>
      <c r="E711" s="60" t="s">
        <v>23</v>
      </c>
      <c r="F711" s="60" t="s">
        <v>233</v>
      </c>
      <c r="G711" s="60" t="n">
        <v>31.9</v>
      </c>
      <c r="H711" s="61" t="n">
        <v>533.6</v>
      </c>
      <c r="I711" s="61" t="n">
        <v>58.8</v>
      </c>
      <c r="J711" s="61" t="n">
        <f aca="false">H711*Resumo!$C$6</f>
        <v>0</v>
      </c>
      <c r="K711" s="61" t="n">
        <f aca="false">H711*Resumo!$C$7</f>
        <v>1.12056</v>
      </c>
      <c r="L711" s="61" t="n">
        <f aca="false">H711*Resumo!$C$8</f>
        <v>1.12056</v>
      </c>
      <c r="M711" s="61" t="n">
        <f aca="false">Resumo!$C$10*CEILING(G711/100,1)</f>
        <v>1.05</v>
      </c>
      <c r="N711" s="61" t="n">
        <f aca="false">Resumo!$C$9</f>
        <v>0</v>
      </c>
      <c r="O711" s="61" t="n">
        <f aca="false">Resumo!$C$13</f>
        <v>13.55</v>
      </c>
      <c r="P711" s="61" t="n">
        <f aca="false">Resumo!$C$14*CEILING(G711,1)</f>
        <v>14.4</v>
      </c>
      <c r="Q711" s="61" t="n">
        <f aca="false">SUM(I711:P711)*Resumo!$C$11</f>
        <v>0</v>
      </c>
      <c r="R711" s="61" t="n">
        <f aca="false">SUM(I711:Q711)</f>
        <v>90.04112</v>
      </c>
      <c r="S711" s="61" t="n">
        <f aca="false">R711/(1-Resumo!$C$5)</f>
        <v>102.319454545455</v>
      </c>
      <c r="T711" s="61" t="n">
        <v>100.58</v>
      </c>
      <c r="U711" s="61" t="n">
        <f aca="false">H711*Resumo!$B$6</f>
        <v>0.5336</v>
      </c>
      <c r="V711" s="61" t="n">
        <f aca="false">H711*Resumo!$B$7</f>
        <v>1.0672</v>
      </c>
      <c r="W711" s="61" t="n">
        <f aca="false">Resumo!$B$9</f>
        <v>1</v>
      </c>
      <c r="X711" s="61" t="n">
        <f aca="false">Resumo!$B$10*CEILING(G711/100,1)</f>
        <v>4.5</v>
      </c>
      <c r="Y711" s="61" t="n">
        <f aca="false">Resumo!$B$12*CEILING(G711,1)</f>
        <v>1.92</v>
      </c>
      <c r="Z711" s="61" t="n">
        <f aca="false">Resumo!$B$14*CEILING(G711,1)</f>
        <v>14.4</v>
      </c>
      <c r="AA711" s="61" t="n">
        <f aca="false">SUM(T711:Z711)</f>
        <v>124.0008</v>
      </c>
      <c r="AB711" s="61" t="n">
        <f aca="false">AA711/(1-Resumo!$B$5)</f>
        <v>140.91</v>
      </c>
      <c r="AC711" s="61" t="n">
        <f aca="false">AB711-S711</f>
        <v>38.5905454545455</v>
      </c>
      <c r="AD711" s="62" t="n">
        <f aca="false">AB711/S711-1</f>
        <v>0.377157458725524</v>
      </c>
      <c r="AE711" s="60" t="str">
        <f aca="false">IF(AB711&lt;S711,"SIM","NÃO")</f>
        <v>NÃO</v>
      </c>
      <c r="AF711" s="60" t="n">
        <v>2</v>
      </c>
      <c r="AG711" s="60" t="n">
        <v>7</v>
      </c>
      <c r="AH711" s="60" t="s">
        <v>382</v>
      </c>
      <c r="AI711" s="61" t="n">
        <f aca="false">(T711*(1-Painel!$C$40)+U711+V711+Painel!$C$41+Painel!$C$42*CEILING(G711/100,1)+Painel!$C$43*CEILING(G711,1)+Z711)/(1-Resumo!$B$5)</f>
        <v>97.0902272727273</v>
      </c>
      <c r="AJ711" s="60" t="str">
        <f aca="false">IF(AI711&lt;S711,"SIM","NÃO")</f>
        <v>SIM</v>
      </c>
    </row>
    <row r="712" customFormat="false" ht="15" hidden="false" customHeight="false" outlineLevel="0" collapsed="false">
      <c r="A712" s="59" t="n">
        <v>46242.4638888889</v>
      </c>
      <c r="B712" s="60" t="s">
        <v>1060</v>
      </c>
      <c r="C712" s="60" t="n">
        <v>26297072</v>
      </c>
      <c r="D712" s="60" t="s">
        <v>49</v>
      </c>
      <c r="E712" s="60" t="s">
        <v>23</v>
      </c>
      <c r="F712" s="60" t="s">
        <v>238</v>
      </c>
      <c r="G712" s="60" t="n">
        <v>71.9</v>
      </c>
      <c r="H712" s="61" t="n">
        <v>793.68</v>
      </c>
      <c r="I712" s="61" t="n">
        <v>82.48</v>
      </c>
      <c r="J712" s="61" t="n">
        <f aca="false">H712*Resumo!$C$6</f>
        <v>0</v>
      </c>
      <c r="K712" s="61" t="n">
        <f aca="false">H712*Resumo!$C$7</f>
        <v>1.666728</v>
      </c>
      <c r="L712" s="61" t="n">
        <f aca="false">H712*Resumo!$C$8</f>
        <v>1.666728</v>
      </c>
      <c r="M712" s="61" t="n">
        <f aca="false">Resumo!$C$10*CEILING(G712/100,1)</f>
        <v>1.05</v>
      </c>
      <c r="N712" s="61" t="n">
        <f aca="false">Resumo!$C$9</f>
        <v>0</v>
      </c>
      <c r="O712" s="61" t="n">
        <f aca="false">Resumo!$C$13</f>
        <v>13.55</v>
      </c>
      <c r="P712" s="61" t="n">
        <f aca="false">Resumo!$C$14*CEILING(G712,1)</f>
        <v>32.4</v>
      </c>
      <c r="Q712" s="61" t="n">
        <f aca="false">SUM(I712:P712)*Resumo!$C$11</f>
        <v>0</v>
      </c>
      <c r="R712" s="61" t="n">
        <f aca="false">SUM(I712:Q712)</f>
        <v>132.813456</v>
      </c>
      <c r="S712" s="61" t="n">
        <f aca="false">R712/(1-Resumo!$C$5)</f>
        <v>150.924381818182</v>
      </c>
      <c r="T712" s="61" t="n">
        <v>134.39</v>
      </c>
      <c r="U712" s="61" t="n">
        <f aca="false">H712*Resumo!$B$6</f>
        <v>0.79368</v>
      </c>
      <c r="V712" s="61" t="n">
        <f aca="false">H712*Resumo!$B$7</f>
        <v>1.58736</v>
      </c>
      <c r="W712" s="61" t="n">
        <f aca="false">Resumo!$B$9</f>
        <v>1</v>
      </c>
      <c r="X712" s="61" t="n">
        <f aca="false">Resumo!$B$10*CEILING(G712/100,1)</f>
        <v>4.5</v>
      </c>
      <c r="Y712" s="61" t="n">
        <f aca="false">Resumo!$B$12*CEILING(G712,1)</f>
        <v>4.32</v>
      </c>
      <c r="Z712" s="61" t="n">
        <f aca="false">Resumo!$B$14*CEILING(G712,1)</f>
        <v>32.4</v>
      </c>
      <c r="AA712" s="61" t="n">
        <f aca="false">SUM(T712:Z712)</f>
        <v>178.99104</v>
      </c>
      <c r="AB712" s="61" t="n">
        <f aca="false">AA712/(1-Resumo!$B$5)</f>
        <v>203.398909090909</v>
      </c>
      <c r="AC712" s="61" t="n">
        <f aca="false">AB712-S712</f>
        <v>52.4745272727273</v>
      </c>
      <c r="AD712" s="62" t="n">
        <f aca="false">AB712/S712-1</f>
        <v>0.347687541539466</v>
      </c>
      <c r="AE712" s="60" t="str">
        <f aca="false">IF(AB712&lt;S712,"SIM","NÃO")</f>
        <v>NÃO</v>
      </c>
      <c r="AF712" s="60" t="n">
        <v>2</v>
      </c>
      <c r="AG712" s="60" t="n">
        <v>5</v>
      </c>
      <c r="AH712" s="60" t="s">
        <v>382</v>
      </c>
      <c r="AI712" s="61" t="n">
        <f aca="false">(T712*(1-Painel!$C$40)+U712+V712+Painel!$C$41+Painel!$C$42*CEILING(G712/100,1)+Painel!$C$43*CEILING(G712,1)+Z712)/(1-Resumo!$B$5)</f>
        <v>144.173113636364</v>
      </c>
      <c r="AJ712" s="60" t="str">
        <f aca="false">IF(AI712&lt;S712,"SIM","NÃO")</f>
        <v>SIM</v>
      </c>
    </row>
    <row r="713" customFormat="false" ht="15" hidden="false" customHeight="false" outlineLevel="0" collapsed="false">
      <c r="A713" s="59" t="n">
        <v>46242.4688078704</v>
      </c>
      <c r="B713" s="60" t="s">
        <v>1061</v>
      </c>
      <c r="C713" s="60" t="n">
        <v>23894658</v>
      </c>
      <c r="D713" s="60" t="s">
        <v>267</v>
      </c>
      <c r="E713" s="60" t="s">
        <v>24</v>
      </c>
      <c r="F713" s="60" t="s">
        <v>236</v>
      </c>
      <c r="G713" s="60" t="n">
        <v>52.3</v>
      </c>
      <c r="H713" s="61" t="n">
        <v>689.99</v>
      </c>
      <c r="I713" s="61" t="n">
        <v>83.58</v>
      </c>
      <c r="J713" s="61" t="n">
        <f aca="false">H713*Resumo!$C$6</f>
        <v>0</v>
      </c>
      <c r="K713" s="61" t="n">
        <f aca="false">H713*Resumo!$C$7</f>
        <v>1.448979</v>
      </c>
      <c r="L713" s="61" t="n">
        <f aca="false">H713*Resumo!$C$8</f>
        <v>1.448979</v>
      </c>
      <c r="M713" s="61" t="n">
        <f aca="false">Resumo!$C$10*CEILING(G713/100,1)</f>
        <v>1.05</v>
      </c>
      <c r="N713" s="61" t="n">
        <f aca="false">Resumo!$C$9</f>
        <v>0</v>
      </c>
      <c r="O713" s="61" t="n">
        <f aca="false">Resumo!$C$13</f>
        <v>13.55</v>
      </c>
      <c r="P713" s="61" t="n">
        <f aca="false">Resumo!$C$14*CEILING(G713,1)</f>
        <v>23.85</v>
      </c>
      <c r="Q713" s="61" t="n">
        <f aca="false">SUM(I713:P713)*Resumo!$C$11</f>
        <v>0</v>
      </c>
      <c r="R713" s="61" t="n">
        <f aca="false">SUM(I713:Q713)</f>
        <v>124.927958</v>
      </c>
      <c r="S713" s="61" t="n">
        <f aca="false">R713/(1-Resumo!$C$5)</f>
        <v>141.963588636364</v>
      </c>
      <c r="T713" s="61" t="n">
        <v>122.3</v>
      </c>
      <c r="U713" s="61" t="n">
        <f aca="false">H713*Resumo!$B$6</f>
        <v>0.68999</v>
      </c>
      <c r="V713" s="61" t="n">
        <f aca="false">H713*Resumo!$B$7</f>
        <v>1.37998</v>
      </c>
      <c r="W713" s="61" t="n">
        <f aca="false">Resumo!$B$9</f>
        <v>1</v>
      </c>
      <c r="X713" s="61" t="n">
        <f aca="false">Resumo!$B$10*CEILING(G713/100,1)</f>
        <v>4.5</v>
      </c>
      <c r="Y713" s="61" t="n">
        <f aca="false">Resumo!$B$12*CEILING(G713,1)</f>
        <v>3.18</v>
      </c>
      <c r="Z713" s="61" t="n">
        <f aca="false">Resumo!$B$14*CEILING(G713,1)</f>
        <v>23.85</v>
      </c>
      <c r="AA713" s="61" t="n">
        <f aca="false">SUM(T713:Z713)</f>
        <v>156.89997</v>
      </c>
      <c r="AB713" s="61" t="n">
        <f aca="false">AA713/(1-Resumo!$B$5)</f>
        <v>178.295420454545</v>
      </c>
      <c r="AC713" s="61" t="n">
        <f aca="false">AB713-S713</f>
        <v>36.3318318181818</v>
      </c>
      <c r="AD713" s="62" t="n">
        <f aca="false">AB713/S713-1</f>
        <v>0.255923593980461</v>
      </c>
      <c r="AE713" s="60" t="str">
        <f aca="false">IF(AB713&lt;S713,"SIM","NÃO")</f>
        <v>NÃO</v>
      </c>
      <c r="AF713" s="60" t="n">
        <v>13</v>
      </c>
      <c r="AG713" s="60" t="n">
        <v>5</v>
      </c>
      <c r="AH713" s="60" t="s">
        <v>385</v>
      </c>
      <c r="AI713" s="61" t="n">
        <f aca="false">(T713*(1-Painel!$C$40)+U713+V713+Painel!$C$41+Painel!$C$42*CEILING(G713/100,1)+Painel!$C$43*CEILING(G713,1)+Z713)/(1-Resumo!$B$5)</f>
        <v>124.898829545455</v>
      </c>
      <c r="AJ713" s="60" t="str">
        <f aca="false">IF(AI713&lt;S713,"SIM","NÃO")</f>
        <v>SIM</v>
      </c>
    </row>
    <row r="714" customFormat="false" ht="15" hidden="false" customHeight="false" outlineLevel="0" collapsed="false">
      <c r="A714" s="59" t="n">
        <v>46242.4702662037</v>
      </c>
      <c r="B714" s="60" t="s">
        <v>1062</v>
      </c>
      <c r="C714" s="60" t="n">
        <v>26116260</v>
      </c>
      <c r="D714" s="60" t="s">
        <v>52</v>
      </c>
      <c r="E714" s="60" t="s">
        <v>23</v>
      </c>
      <c r="F714" s="60" t="s">
        <v>235</v>
      </c>
      <c r="G714" s="60" t="n">
        <v>48.3</v>
      </c>
      <c r="H714" s="61" t="n">
        <v>429.99</v>
      </c>
      <c r="I714" s="61" t="n">
        <v>65.36</v>
      </c>
      <c r="J714" s="61" t="n">
        <f aca="false">H714*Resumo!$C$6</f>
        <v>0</v>
      </c>
      <c r="K714" s="61" t="n">
        <f aca="false">H714*Resumo!$C$7</f>
        <v>0.902979</v>
      </c>
      <c r="L714" s="61" t="n">
        <f aca="false">H714*Resumo!$C$8</f>
        <v>0.902979</v>
      </c>
      <c r="M714" s="61" t="n">
        <f aca="false">Resumo!$C$10*CEILING(G714/100,1)</f>
        <v>1.05</v>
      </c>
      <c r="N714" s="61" t="n">
        <f aca="false">Resumo!$C$9</f>
        <v>0</v>
      </c>
      <c r="O714" s="61" t="n">
        <f aca="false">Resumo!$C$13</f>
        <v>13.55</v>
      </c>
      <c r="P714" s="61" t="n">
        <f aca="false">Resumo!$C$14*CEILING(G714,1)</f>
        <v>22.05</v>
      </c>
      <c r="Q714" s="61" t="n">
        <f aca="false">SUM(I714:P714)*Resumo!$C$11</f>
        <v>0</v>
      </c>
      <c r="R714" s="61" t="n">
        <f aca="false">SUM(I714:Q714)</f>
        <v>103.815958</v>
      </c>
      <c r="S714" s="61" t="n">
        <f aca="false">R714/(1-Resumo!$C$5)</f>
        <v>117.972679545455</v>
      </c>
      <c r="T714" s="61" t="n">
        <v>93.97</v>
      </c>
      <c r="U714" s="61" t="n">
        <f aca="false">H714*Resumo!$B$6</f>
        <v>0.42999</v>
      </c>
      <c r="V714" s="61" t="n">
        <f aca="false">H714*Resumo!$B$7</f>
        <v>0.85998</v>
      </c>
      <c r="W714" s="61" t="n">
        <f aca="false">Resumo!$B$9</f>
        <v>1</v>
      </c>
      <c r="X714" s="61" t="n">
        <f aca="false">Resumo!$B$10*CEILING(G714/100,1)</f>
        <v>4.5</v>
      </c>
      <c r="Y714" s="61" t="n">
        <f aca="false">Resumo!$B$12*CEILING(G714,1)</f>
        <v>2.94</v>
      </c>
      <c r="Z714" s="61" t="n">
        <f aca="false">Resumo!$B$14*CEILING(G714,1)</f>
        <v>22.05</v>
      </c>
      <c r="AA714" s="61" t="n">
        <f aca="false">SUM(T714:Z714)</f>
        <v>125.74997</v>
      </c>
      <c r="AB714" s="61" t="n">
        <f aca="false">AA714/(1-Resumo!$B$5)</f>
        <v>142.897693181818</v>
      </c>
      <c r="AC714" s="61" t="n">
        <f aca="false">AB714-S714</f>
        <v>24.9250136363636</v>
      </c>
      <c r="AD714" s="62" t="n">
        <f aca="false">AB714/S714-1</f>
        <v>0.211277846128434</v>
      </c>
      <c r="AE714" s="60" t="str">
        <f aca="false">IF(AB714&lt;S714,"SIM","NÃO")</f>
        <v>NÃO</v>
      </c>
      <c r="AF714" s="60" t="n">
        <v>2</v>
      </c>
      <c r="AG714" s="60" t="n">
        <v>5</v>
      </c>
      <c r="AH714" s="60" t="s">
        <v>382</v>
      </c>
      <c r="AI714" s="61" t="n">
        <f aca="false">(T714*(1-Painel!$C$40)+U714+V714+Painel!$C$41+Painel!$C$42*CEILING(G714/100,1)+Painel!$C$43*CEILING(G714,1)+Z714)/(1-Resumo!$B$5)</f>
        <v>100.397579545455</v>
      </c>
      <c r="AJ714" s="60" t="str">
        <f aca="false">IF(AI714&lt;S714,"SIM","NÃO")</f>
        <v>SIM</v>
      </c>
    </row>
    <row r="715" customFormat="false" ht="15" hidden="false" customHeight="false" outlineLevel="0" collapsed="false">
      <c r="A715" s="59" t="n">
        <v>46242.471412037</v>
      </c>
      <c r="B715" s="60" t="s">
        <v>1063</v>
      </c>
      <c r="C715" s="60" t="n">
        <v>24806686</v>
      </c>
      <c r="D715" s="60" t="s">
        <v>223</v>
      </c>
      <c r="E715" s="60" t="s">
        <v>24</v>
      </c>
      <c r="F715" s="60" t="s">
        <v>233</v>
      </c>
      <c r="G715" s="60" t="n">
        <v>31.9</v>
      </c>
      <c r="H715" s="61" t="n">
        <v>533.6</v>
      </c>
      <c r="I715" s="61" t="n">
        <v>65.63</v>
      </c>
      <c r="J715" s="61" t="n">
        <f aca="false">H715*Resumo!$C$6</f>
        <v>0</v>
      </c>
      <c r="K715" s="61" t="n">
        <f aca="false">H715*Resumo!$C$7</f>
        <v>1.12056</v>
      </c>
      <c r="L715" s="61" t="n">
        <f aca="false">H715*Resumo!$C$8</f>
        <v>1.12056</v>
      </c>
      <c r="M715" s="61" t="n">
        <f aca="false">Resumo!$C$10*CEILING(G715/100,1)</f>
        <v>1.05</v>
      </c>
      <c r="N715" s="61" t="n">
        <f aca="false">Resumo!$C$9</f>
        <v>0</v>
      </c>
      <c r="O715" s="61" t="n">
        <f aca="false">Resumo!$C$13</f>
        <v>13.55</v>
      </c>
      <c r="P715" s="61" t="n">
        <f aca="false">Resumo!$C$14*CEILING(G715,1)</f>
        <v>14.4</v>
      </c>
      <c r="Q715" s="61" t="n">
        <f aca="false">SUM(I715:P715)*Resumo!$C$11</f>
        <v>0</v>
      </c>
      <c r="R715" s="61" t="n">
        <f aca="false">SUM(I715:Q715)</f>
        <v>96.87112</v>
      </c>
      <c r="S715" s="61" t="n">
        <f aca="false">R715/(1-Resumo!$C$5)</f>
        <v>110.080818181818</v>
      </c>
      <c r="T715" s="61" t="n">
        <v>100.58</v>
      </c>
      <c r="U715" s="61" t="n">
        <f aca="false">H715*Resumo!$B$6</f>
        <v>0.5336</v>
      </c>
      <c r="V715" s="61" t="n">
        <f aca="false">H715*Resumo!$B$7</f>
        <v>1.0672</v>
      </c>
      <c r="W715" s="61" t="n">
        <f aca="false">Resumo!$B$9</f>
        <v>1</v>
      </c>
      <c r="X715" s="61" t="n">
        <f aca="false">Resumo!$B$10*CEILING(G715/100,1)</f>
        <v>4.5</v>
      </c>
      <c r="Y715" s="61" t="n">
        <f aca="false">Resumo!$B$12*CEILING(G715,1)</f>
        <v>1.92</v>
      </c>
      <c r="Z715" s="61" t="n">
        <f aca="false">Resumo!$B$14*CEILING(G715,1)</f>
        <v>14.4</v>
      </c>
      <c r="AA715" s="61" t="n">
        <f aca="false">SUM(T715:Z715)</f>
        <v>124.0008</v>
      </c>
      <c r="AB715" s="61" t="n">
        <f aca="false">AA715/(1-Resumo!$B$5)</f>
        <v>140.91</v>
      </c>
      <c r="AC715" s="61" t="n">
        <f aca="false">AB715-S715</f>
        <v>30.8291818181818</v>
      </c>
      <c r="AD715" s="62" t="n">
        <f aca="false">AB715/S715-1</f>
        <v>0.280059526513165</v>
      </c>
      <c r="AE715" s="60" t="str">
        <f aca="false">IF(AB715&lt;S715,"SIM","NÃO")</f>
        <v>NÃO</v>
      </c>
      <c r="AF715" s="60" t="n">
        <v>13</v>
      </c>
      <c r="AG715" s="60" t="n">
        <v>7</v>
      </c>
      <c r="AH715" s="60" t="s">
        <v>382</v>
      </c>
      <c r="AI715" s="61" t="n">
        <f aca="false">(T715*(1-Painel!$C$40)+U715+V715+Painel!$C$41+Painel!$C$42*CEILING(G715/100,1)+Painel!$C$43*CEILING(G715,1)+Z715)/(1-Resumo!$B$5)</f>
        <v>97.0902272727273</v>
      </c>
      <c r="AJ715" s="60" t="str">
        <f aca="false">IF(AI715&lt;S715,"SIM","NÃO")</f>
        <v>SIM</v>
      </c>
    </row>
    <row r="716" customFormat="false" ht="15" hidden="false" customHeight="false" outlineLevel="0" collapsed="false">
      <c r="A716" s="59" t="n">
        <v>46242.4723726852</v>
      </c>
      <c r="B716" s="60" t="s">
        <v>1064</v>
      </c>
      <c r="C716" s="60" t="n">
        <v>21060630</v>
      </c>
      <c r="D716" s="60" t="s">
        <v>46</v>
      </c>
      <c r="E716" s="60" t="s">
        <v>22</v>
      </c>
      <c r="F716" s="60" t="s">
        <v>235</v>
      </c>
      <c r="G716" s="60" t="n">
        <v>45.5</v>
      </c>
      <c r="H716" s="61" t="n">
        <v>515.2</v>
      </c>
      <c r="I716" s="61" t="n">
        <v>53.55</v>
      </c>
      <c r="J716" s="61" t="n">
        <f aca="false">H716*Resumo!$C$6</f>
        <v>0</v>
      </c>
      <c r="K716" s="61" t="n">
        <f aca="false">H716*Resumo!$C$7</f>
        <v>1.08192</v>
      </c>
      <c r="L716" s="61" t="n">
        <f aca="false">H716*Resumo!$C$8</f>
        <v>1.08192</v>
      </c>
      <c r="M716" s="61" t="n">
        <f aca="false">Resumo!$C$10*CEILING(G716/100,1)</f>
        <v>1.05</v>
      </c>
      <c r="N716" s="61" t="n">
        <f aca="false">Resumo!$C$9</f>
        <v>0</v>
      </c>
      <c r="O716" s="61" t="n">
        <f aca="false">Resumo!$C$13</f>
        <v>13.55</v>
      </c>
      <c r="P716" s="61" t="n">
        <f aca="false">Resumo!$C$14*CEILING(G716,1)</f>
        <v>20.7</v>
      </c>
      <c r="Q716" s="61" t="n">
        <f aca="false">SUM(I716:P716)*Resumo!$C$11</f>
        <v>0</v>
      </c>
      <c r="R716" s="61" t="n">
        <f aca="false">SUM(I716:Q716)</f>
        <v>91.01384</v>
      </c>
      <c r="S716" s="61" t="n">
        <f aca="false">R716/(1-Resumo!$C$5)</f>
        <v>103.424818181818</v>
      </c>
      <c r="T716" s="61" t="n">
        <v>93.97</v>
      </c>
      <c r="U716" s="61" t="n">
        <f aca="false">H716*Resumo!$B$6</f>
        <v>0.5152</v>
      </c>
      <c r="V716" s="61" t="n">
        <f aca="false">H716*Resumo!$B$7</f>
        <v>1.0304</v>
      </c>
      <c r="W716" s="61" t="n">
        <f aca="false">Resumo!$B$9</f>
        <v>1</v>
      </c>
      <c r="X716" s="61" t="n">
        <f aca="false">Resumo!$B$10*CEILING(G716/100,1)</f>
        <v>4.5</v>
      </c>
      <c r="Y716" s="61" t="n">
        <f aca="false">Resumo!$B$12*CEILING(G716,1)</f>
        <v>2.76</v>
      </c>
      <c r="Z716" s="61" t="n">
        <f aca="false">Resumo!$B$14*CEILING(G716,1)</f>
        <v>20.7</v>
      </c>
      <c r="AA716" s="61" t="n">
        <f aca="false">SUM(T716:Z716)</f>
        <v>124.4756</v>
      </c>
      <c r="AB716" s="61" t="n">
        <f aca="false">AA716/(1-Resumo!$B$5)</f>
        <v>141.449545454545</v>
      </c>
      <c r="AC716" s="61" t="n">
        <f aca="false">AB716-S716</f>
        <v>38.0247272727273</v>
      </c>
      <c r="AD716" s="62" t="n">
        <f aca="false">AB716/S716-1</f>
        <v>0.367655732358947</v>
      </c>
      <c r="AE716" s="60" t="str">
        <f aca="false">IF(AB716&lt;S716,"SIM","NÃO")</f>
        <v>NÃO</v>
      </c>
      <c r="AF716" s="60" t="n">
        <v>2</v>
      </c>
      <c r="AG716" s="60" t="n">
        <v>5</v>
      </c>
      <c r="AH716" s="60" t="s">
        <v>382</v>
      </c>
      <c r="AI716" s="61" t="n">
        <f aca="false">(T716*(1-Painel!$C$40)+U716+V716+Painel!$C$41+Painel!$C$42*CEILING(G716/100,1)+Painel!$C$43*CEILING(G716,1)+Z716)/(1-Resumo!$B$5)</f>
        <v>99.1539772727273</v>
      </c>
      <c r="AJ716" s="60" t="str">
        <f aca="false">IF(AI716&lt;S716,"SIM","NÃO")</f>
        <v>SIM</v>
      </c>
    </row>
    <row r="717" customFormat="false" ht="15" hidden="false" customHeight="false" outlineLevel="0" collapsed="false">
      <c r="A717" s="59" t="n">
        <v>46242.4732638889</v>
      </c>
      <c r="B717" s="60" t="s">
        <v>1065</v>
      </c>
      <c r="C717" s="60" t="n">
        <v>28908105</v>
      </c>
      <c r="D717" s="60" t="s">
        <v>221</v>
      </c>
      <c r="E717" s="60" t="s">
        <v>24</v>
      </c>
      <c r="F717" s="60" t="s">
        <v>235</v>
      </c>
      <c r="G717" s="60" t="n">
        <v>48.6</v>
      </c>
      <c r="H717" s="61" t="n">
        <v>629.99</v>
      </c>
      <c r="I717" s="61" t="n">
        <v>77.7</v>
      </c>
      <c r="J717" s="61" t="n">
        <f aca="false">H717*Resumo!$C$6</f>
        <v>0</v>
      </c>
      <c r="K717" s="61" t="n">
        <f aca="false">H717*Resumo!$C$7</f>
        <v>1.322979</v>
      </c>
      <c r="L717" s="61" t="n">
        <f aca="false">H717*Resumo!$C$8</f>
        <v>1.322979</v>
      </c>
      <c r="M717" s="61" t="n">
        <f aca="false">Resumo!$C$10*CEILING(G717/100,1)</f>
        <v>1.05</v>
      </c>
      <c r="N717" s="61" t="n">
        <f aca="false">Resumo!$C$9</f>
        <v>0</v>
      </c>
      <c r="O717" s="61" t="n">
        <f aca="false">Resumo!$C$13</f>
        <v>13.55</v>
      </c>
      <c r="P717" s="61" t="n">
        <f aca="false">Resumo!$C$14*CEILING(G717,1)</f>
        <v>22.05</v>
      </c>
      <c r="Q717" s="61" t="n">
        <f aca="false">SUM(I717:P717)*Resumo!$C$11</f>
        <v>0</v>
      </c>
      <c r="R717" s="61" t="n">
        <f aca="false">SUM(I717:Q717)</f>
        <v>116.995958</v>
      </c>
      <c r="S717" s="61" t="n">
        <f aca="false">R717/(1-Resumo!$C$5)</f>
        <v>132.949952272727</v>
      </c>
      <c r="T717" s="61" t="n">
        <v>129.29</v>
      </c>
      <c r="U717" s="61" t="n">
        <f aca="false">H717*Resumo!$B$6</f>
        <v>0.62999</v>
      </c>
      <c r="V717" s="61" t="n">
        <f aca="false">H717*Resumo!$B$7</f>
        <v>1.25998</v>
      </c>
      <c r="W717" s="61" t="n">
        <f aca="false">Resumo!$B$9</f>
        <v>1</v>
      </c>
      <c r="X717" s="61" t="n">
        <f aca="false">Resumo!$B$10*CEILING(G717/100,1)</f>
        <v>4.5</v>
      </c>
      <c r="Y717" s="61" t="n">
        <f aca="false">Resumo!$B$12*CEILING(G717,1)</f>
        <v>2.94</v>
      </c>
      <c r="Z717" s="61" t="n">
        <f aca="false">Resumo!$B$14*CEILING(G717,1)</f>
        <v>22.05</v>
      </c>
      <c r="AA717" s="61" t="n">
        <f aca="false">SUM(T717:Z717)</f>
        <v>161.66997</v>
      </c>
      <c r="AB717" s="61" t="n">
        <f aca="false">AA717/(1-Resumo!$B$5)</f>
        <v>183.715875</v>
      </c>
      <c r="AC717" s="61" t="n">
        <f aca="false">AB717-S717</f>
        <v>50.7659227272727</v>
      </c>
      <c r="AD717" s="62" t="n">
        <f aca="false">AB717/S717-1</f>
        <v>0.381842353904226</v>
      </c>
      <c r="AE717" s="60" t="str">
        <f aca="false">IF(AB717&lt;S717,"SIM","NÃO")</f>
        <v>NÃO</v>
      </c>
      <c r="AF717" s="60" t="n">
        <v>13</v>
      </c>
      <c r="AG717" s="60" t="n">
        <v>10</v>
      </c>
      <c r="AH717" s="60" t="s">
        <v>382</v>
      </c>
      <c r="AI717" s="61" t="n">
        <f aca="false">(T717*(1-Painel!$C$40)+U717+V717+Painel!$C$41+Painel!$C$42*CEILING(G717/100,1)+Painel!$C$43*CEILING(G717,1)+Z717)/(1-Resumo!$B$5)</f>
        <v>127.970761363636</v>
      </c>
      <c r="AJ717" s="60" t="str">
        <f aca="false">IF(AI717&lt;S717,"SIM","NÃO")</f>
        <v>SIM</v>
      </c>
    </row>
    <row r="718" customFormat="false" ht="15" hidden="false" customHeight="false" outlineLevel="0" collapsed="false">
      <c r="A718" s="59" t="n">
        <v>46242.4767592593</v>
      </c>
      <c r="B718" s="60" t="s">
        <v>1066</v>
      </c>
      <c r="C718" s="60" t="n">
        <v>23811790</v>
      </c>
      <c r="D718" s="60" t="s">
        <v>263</v>
      </c>
      <c r="E718" s="60" t="s">
        <v>24</v>
      </c>
      <c r="F718" s="60" t="s">
        <v>237</v>
      </c>
      <c r="G718" s="60" t="n">
        <v>63.9</v>
      </c>
      <c r="H718" s="61" t="n">
        <v>717.6</v>
      </c>
      <c r="I718" s="61" t="n">
        <v>90.2</v>
      </c>
      <c r="J718" s="61" t="n">
        <f aca="false">H718*Resumo!$C$6</f>
        <v>0</v>
      </c>
      <c r="K718" s="61" t="n">
        <f aca="false">H718*Resumo!$C$7</f>
        <v>1.50696</v>
      </c>
      <c r="L718" s="61" t="n">
        <f aca="false">H718*Resumo!$C$8</f>
        <v>1.50696</v>
      </c>
      <c r="M718" s="61" t="n">
        <f aca="false">Resumo!$C$10*CEILING(G718/100,1)</f>
        <v>1.05</v>
      </c>
      <c r="N718" s="61" t="n">
        <f aca="false">Resumo!$C$9</f>
        <v>0</v>
      </c>
      <c r="O718" s="61" t="n">
        <f aca="false">Resumo!$C$13</f>
        <v>13.55</v>
      </c>
      <c r="P718" s="61" t="n">
        <f aca="false">Resumo!$C$14*CEILING(G718,1)</f>
        <v>28.8</v>
      </c>
      <c r="Q718" s="61" t="n">
        <f aca="false">SUM(I718:P718)*Resumo!$C$11</f>
        <v>0</v>
      </c>
      <c r="R718" s="61" t="n">
        <f aca="false">SUM(I718:Q718)</f>
        <v>136.61392</v>
      </c>
      <c r="S718" s="61" t="n">
        <f aca="false">R718/(1-Resumo!$C$5)</f>
        <v>155.243090909091</v>
      </c>
      <c r="T718" s="61" t="n">
        <v>141.02</v>
      </c>
      <c r="U718" s="61" t="n">
        <f aca="false">H718*Resumo!$B$6</f>
        <v>0.7176</v>
      </c>
      <c r="V718" s="61" t="n">
        <f aca="false">H718*Resumo!$B$7</f>
        <v>1.4352</v>
      </c>
      <c r="W718" s="61" t="n">
        <f aca="false">Resumo!$B$9</f>
        <v>1</v>
      </c>
      <c r="X718" s="61" t="n">
        <f aca="false">Resumo!$B$10*CEILING(G718/100,1)</f>
        <v>4.5</v>
      </c>
      <c r="Y718" s="61" t="n">
        <f aca="false">Resumo!$B$12*CEILING(G718,1)</f>
        <v>3.84</v>
      </c>
      <c r="Z718" s="61" t="n">
        <f aca="false">Resumo!$B$14*CEILING(G718,1)</f>
        <v>28.8</v>
      </c>
      <c r="AA718" s="61" t="n">
        <f aca="false">SUM(T718:Z718)</f>
        <v>181.3128</v>
      </c>
      <c r="AB718" s="61" t="n">
        <f aca="false">AA718/(1-Resumo!$B$5)</f>
        <v>206.037272727273</v>
      </c>
      <c r="AC718" s="61" t="n">
        <f aca="false">AB718-S718</f>
        <v>50.7941818181818</v>
      </c>
      <c r="AD718" s="62" t="n">
        <f aca="false">AB718/S718-1</f>
        <v>0.32719125547382</v>
      </c>
      <c r="AE718" s="60" t="str">
        <f aca="false">IF(AB718&lt;S718,"SIM","NÃO")</f>
        <v>NÃO</v>
      </c>
      <c r="AF718" s="60" t="n">
        <v>13</v>
      </c>
      <c r="AG718" s="60" t="n">
        <v>5</v>
      </c>
      <c r="AH718" s="60" t="s">
        <v>385</v>
      </c>
      <c r="AI718" s="61" t="n">
        <f aca="false">(T718*(1-Painel!$C$40)+U718+V718+Painel!$C$41+Painel!$C$42*CEILING(G718/100,1)+Painel!$C$43*CEILING(G718,1)+Z718)/(1-Resumo!$B$5)</f>
        <v>144.870681818182</v>
      </c>
      <c r="AJ718" s="60" t="str">
        <f aca="false">IF(AI718&lt;S718,"SIM","NÃO")</f>
        <v>SIM</v>
      </c>
    </row>
    <row r="719" customFormat="false" ht="15" hidden="false" customHeight="false" outlineLevel="0" collapsed="false">
      <c r="A719" s="59" t="n">
        <v>46242.5097685185</v>
      </c>
      <c r="B719" s="60" t="s">
        <v>1067</v>
      </c>
      <c r="C719" s="60" t="n">
        <v>21840102</v>
      </c>
      <c r="D719" s="60" t="s">
        <v>46</v>
      </c>
      <c r="E719" s="60" t="s">
        <v>22</v>
      </c>
      <c r="F719" s="60" t="s">
        <v>234</v>
      </c>
      <c r="G719" s="60" t="n">
        <v>36.8</v>
      </c>
      <c r="H719" s="61" t="n">
        <v>439.99</v>
      </c>
      <c r="I719" s="61" t="n">
        <v>48.35</v>
      </c>
      <c r="J719" s="61" t="n">
        <f aca="false">H719*Resumo!$C$6</f>
        <v>0</v>
      </c>
      <c r="K719" s="61" t="n">
        <f aca="false">H719*Resumo!$C$7</f>
        <v>0.923979</v>
      </c>
      <c r="L719" s="61" t="n">
        <f aca="false">H719*Resumo!$C$8</f>
        <v>0.923979</v>
      </c>
      <c r="M719" s="61" t="n">
        <f aca="false">Resumo!$C$10*CEILING(G719/100,1)</f>
        <v>1.05</v>
      </c>
      <c r="N719" s="61" t="n">
        <f aca="false">Resumo!$C$9</f>
        <v>0</v>
      </c>
      <c r="O719" s="61" t="n">
        <f aca="false">Resumo!$C$13</f>
        <v>13.55</v>
      </c>
      <c r="P719" s="61" t="n">
        <f aca="false">Resumo!$C$14*CEILING(G719,1)</f>
        <v>16.65</v>
      </c>
      <c r="Q719" s="61" t="n">
        <f aca="false">SUM(I719:P719)*Resumo!$C$11</f>
        <v>0</v>
      </c>
      <c r="R719" s="61" t="n">
        <f aca="false">SUM(I719:Q719)</f>
        <v>81.447958</v>
      </c>
      <c r="S719" s="61" t="n">
        <f aca="false">R719/(1-Resumo!$C$5)</f>
        <v>92.5544977272728</v>
      </c>
      <c r="T719" s="61" t="n">
        <v>93.97</v>
      </c>
      <c r="U719" s="61" t="n">
        <f aca="false">H719*Resumo!$B$6</f>
        <v>0.43999</v>
      </c>
      <c r="V719" s="61" t="n">
        <f aca="false">H719*Resumo!$B$7</f>
        <v>0.87998</v>
      </c>
      <c r="W719" s="61" t="n">
        <f aca="false">Resumo!$B$9</f>
        <v>1</v>
      </c>
      <c r="X719" s="61" t="n">
        <f aca="false">Resumo!$B$10*CEILING(G719/100,1)</f>
        <v>4.5</v>
      </c>
      <c r="Y719" s="61" t="n">
        <f aca="false">Resumo!$B$12*CEILING(G719,1)</f>
        <v>2.22</v>
      </c>
      <c r="Z719" s="61" t="n">
        <f aca="false">Resumo!$B$14*CEILING(G719,1)</f>
        <v>16.65</v>
      </c>
      <c r="AA719" s="61" t="n">
        <f aca="false">SUM(T719:Z719)</f>
        <v>119.65997</v>
      </c>
      <c r="AB719" s="61" t="n">
        <f aca="false">AA719/(1-Resumo!$B$5)</f>
        <v>135.977238636364</v>
      </c>
      <c r="AC719" s="61" t="n">
        <f aca="false">AB719-S719</f>
        <v>43.4227409090909</v>
      </c>
      <c r="AD719" s="62" t="n">
        <f aca="false">AB719/S719-1</f>
        <v>0.469158625192297</v>
      </c>
      <c r="AE719" s="60" t="str">
        <f aca="false">IF(AB719&lt;S719,"SIM","NÃO")</f>
        <v>NÃO</v>
      </c>
      <c r="AF719" s="60" t="n">
        <v>2</v>
      </c>
      <c r="AG719" s="60" t="n">
        <v>5</v>
      </c>
      <c r="AH719" s="60" t="s">
        <v>382</v>
      </c>
      <c r="AI719" s="61" t="n">
        <f aca="false">(T719*(1-Painel!$C$40)+U719+V719+Painel!$C$41+Painel!$C$42*CEILING(G719/100,1)+Painel!$C$43*CEILING(G719,1)+Z719)/(1-Resumo!$B$5)</f>
        <v>94.2953068181818</v>
      </c>
      <c r="AJ719" s="60" t="str">
        <f aca="false">IF(AI719&lt;S719,"SIM","NÃO")</f>
        <v>NÃO</v>
      </c>
    </row>
    <row r="720" customFormat="false" ht="15" hidden="false" customHeight="false" outlineLevel="0" collapsed="false">
      <c r="A720" s="59" t="n">
        <v>46242.5427662037</v>
      </c>
      <c r="B720" s="60" t="s">
        <v>1068</v>
      </c>
      <c r="C720" s="60" t="n">
        <v>21040016</v>
      </c>
      <c r="D720" s="60" t="s">
        <v>46</v>
      </c>
      <c r="E720" s="60" t="s">
        <v>22</v>
      </c>
      <c r="F720" s="60" t="s">
        <v>236</v>
      </c>
      <c r="G720" s="60" t="n">
        <v>52.3</v>
      </c>
      <c r="H720" s="61" t="n">
        <v>616.99</v>
      </c>
      <c r="I720" s="61" t="n">
        <v>58.6</v>
      </c>
      <c r="J720" s="61" t="n">
        <f aca="false">H720*Resumo!$C$6</f>
        <v>0</v>
      </c>
      <c r="K720" s="61" t="n">
        <f aca="false">H720*Resumo!$C$7</f>
        <v>1.295679</v>
      </c>
      <c r="L720" s="61" t="n">
        <f aca="false">H720*Resumo!$C$8</f>
        <v>1.295679</v>
      </c>
      <c r="M720" s="61" t="n">
        <f aca="false">Resumo!$C$10*CEILING(G720/100,1)</f>
        <v>1.05</v>
      </c>
      <c r="N720" s="61" t="n">
        <f aca="false">Resumo!$C$9</f>
        <v>0</v>
      </c>
      <c r="O720" s="61" t="n">
        <f aca="false">Resumo!$C$13</f>
        <v>13.55</v>
      </c>
      <c r="P720" s="61" t="n">
        <f aca="false">Resumo!$C$14*CEILING(G720,1)</f>
        <v>23.85</v>
      </c>
      <c r="Q720" s="61" t="n">
        <f aca="false">SUM(I720:P720)*Resumo!$C$11</f>
        <v>0</v>
      </c>
      <c r="R720" s="61" t="n">
        <f aca="false">SUM(I720:Q720)</f>
        <v>99.641358</v>
      </c>
      <c r="S720" s="61" t="n">
        <f aca="false">R720/(1-Resumo!$C$5)</f>
        <v>113.228815909091</v>
      </c>
      <c r="T720" s="61" t="n">
        <v>112.3</v>
      </c>
      <c r="U720" s="61" t="n">
        <f aca="false">H720*Resumo!$B$6</f>
        <v>0.61699</v>
      </c>
      <c r="V720" s="61" t="n">
        <f aca="false">H720*Resumo!$B$7</f>
        <v>1.23398</v>
      </c>
      <c r="W720" s="61" t="n">
        <f aca="false">Resumo!$B$9</f>
        <v>1</v>
      </c>
      <c r="X720" s="61" t="n">
        <f aca="false">Resumo!$B$10*CEILING(G720/100,1)</f>
        <v>4.5</v>
      </c>
      <c r="Y720" s="61" t="n">
        <f aca="false">Resumo!$B$12*CEILING(G720,1)</f>
        <v>3.18</v>
      </c>
      <c r="Z720" s="61" t="n">
        <f aca="false">Resumo!$B$14*CEILING(G720,1)</f>
        <v>23.85</v>
      </c>
      <c r="AA720" s="61" t="n">
        <f aca="false">SUM(T720:Z720)</f>
        <v>146.68097</v>
      </c>
      <c r="AB720" s="61" t="n">
        <f aca="false">AA720/(1-Resumo!$B$5)</f>
        <v>166.682920454545</v>
      </c>
      <c r="AC720" s="61" t="n">
        <f aca="false">AB720-S720</f>
        <v>53.4541045454546</v>
      </c>
      <c r="AD720" s="62" t="n">
        <f aca="false">AB720/S720-1</f>
        <v>0.472089230257179</v>
      </c>
      <c r="AE720" s="60" t="str">
        <f aca="false">IF(AB720&lt;S720,"SIM","NÃO")</f>
        <v>NÃO</v>
      </c>
      <c r="AF720" s="60" t="n">
        <v>2</v>
      </c>
      <c r="AG720" s="60" t="n">
        <v>5</v>
      </c>
      <c r="AH720" s="60" t="s">
        <v>382</v>
      </c>
      <c r="AI720" s="61" t="n">
        <f aca="false">(T720*(1-Painel!$C$40)+U720+V720+Painel!$C$41+Painel!$C$42*CEILING(G720/100,1)+Painel!$C$43*CEILING(G720,1)+Z720)/(1-Resumo!$B$5)</f>
        <v>117.036329545455</v>
      </c>
      <c r="AJ720" s="60" t="str">
        <f aca="false">IF(AI720&lt;S720,"SIM","NÃO")</f>
        <v>NÃO</v>
      </c>
    </row>
    <row r="721" customFormat="false" ht="15" hidden="false" customHeight="false" outlineLevel="0" collapsed="false">
      <c r="A721" s="59" t="n">
        <v>46242.5444328704</v>
      </c>
      <c r="B721" s="60" t="s">
        <v>1069</v>
      </c>
      <c r="C721" s="60" t="n">
        <v>21241430</v>
      </c>
      <c r="D721" s="60" t="s">
        <v>46</v>
      </c>
      <c r="E721" s="60" t="s">
        <v>22</v>
      </c>
      <c r="F721" s="60" t="s">
        <v>239</v>
      </c>
      <c r="G721" s="60" t="n">
        <v>97.2</v>
      </c>
      <c r="H721" s="61" t="n">
        <v>1202.15</v>
      </c>
      <c r="I721" s="61" t="n">
        <v>83.79</v>
      </c>
      <c r="J721" s="61" t="n">
        <f aca="false">H721*Resumo!$C$6</f>
        <v>0</v>
      </c>
      <c r="K721" s="61" t="n">
        <f aca="false">H721*Resumo!$C$7</f>
        <v>2.524515</v>
      </c>
      <c r="L721" s="61" t="n">
        <f aca="false">H721*Resumo!$C$8</f>
        <v>2.524515</v>
      </c>
      <c r="M721" s="61" t="n">
        <f aca="false">Resumo!$C$10*CEILING(G721/100,1)</f>
        <v>1.05</v>
      </c>
      <c r="N721" s="61" t="n">
        <f aca="false">Resumo!$C$9</f>
        <v>0</v>
      </c>
      <c r="O721" s="61" t="n">
        <f aca="false">Resumo!$C$13</f>
        <v>13.55</v>
      </c>
      <c r="P721" s="61" t="n">
        <f aca="false">Resumo!$C$14*CEILING(G721,1)</f>
        <v>44.1</v>
      </c>
      <c r="Q721" s="61" t="n">
        <f aca="false">SUM(I721:P721)*Resumo!$C$11</f>
        <v>0</v>
      </c>
      <c r="R721" s="61" t="n">
        <f aca="false">SUM(I721:Q721)</f>
        <v>147.53903</v>
      </c>
      <c r="S721" s="61" t="n">
        <f aca="false">R721/(1-Resumo!$C$5)</f>
        <v>167.657988636364</v>
      </c>
      <c r="T721" s="61" t="n">
        <v>167.99</v>
      </c>
      <c r="U721" s="61" t="n">
        <f aca="false">H721*Resumo!$B$6</f>
        <v>1.20215</v>
      </c>
      <c r="V721" s="61" t="n">
        <f aca="false">H721*Resumo!$B$7</f>
        <v>2.4043</v>
      </c>
      <c r="W721" s="61" t="n">
        <f aca="false">Resumo!$B$9</f>
        <v>1</v>
      </c>
      <c r="X721" s="61" t="n">
        <f aca="false">Resumo!$B$10*CEILING(G721/100,1)</f>
        <v>4.5</v>
      </c>
      <c r="Y721" s="61" t="n">
        <f aca="false">Resumo!$B$12*CEILING(G721,1)</f>
        <v>5.88</v>
      </c>
      <c r="Z721" s="61" t="n">
        <f aca="false">Resumo!$B$14*CEILING(G721,1)</f>
        <v>44.1</v>
      </c>
      <c r="AA721" s="61" t="n">
        <f aca="false">SUM(T721:Z721)</f>
        <v>227.07645</v>
      </c>
      <c r="AB721" s="61" t="n">
        <f aca="false">AA721/(1-Resumo!$B$5)</f>
        <v>258.041420454545</v>
      </c>
      <c r="AC721" s="61" t="n">
        <f aca="false">AB721-S721</f>
        <v>90.3834318181818</v>
      </c>
      <c r="AD721" s="62" t="n">
        <f aca="false">AB721/S721-1</f>
        <v>0.539094095982602</v>
      </c>
      <c r="AE721" s="60" t="str">
        <f aca="false">IF(AB721&lt;S721,"SIM","NÃO")</f>
        <v>NÃO</v>
      </c>
      <c r="AF721" s="60" t="n">
        <v>2</v>
      </c>
      <c r="AG721" s="60" t="n">
        <v>5</v>
      </c>
      <c r="AH721" s="60" t="s">
        <v>382</v>
      </c>
      <c r="AI721" s="61" t="n">
        <f aca="false">(T721*(1-Painel!$C$40)+U721+V721+Painel!$C$41+Painel!$C$42*CEILING(G721/100,1)+Painel!$C$43*CEILING(G721,1)+Z721)/(1-Resumo!$B$5)</f>
        <v>184.442897727273</v>
      </c>
      <c r="AJ721" s="60" t="str">
        <f aca="false">IF(AI721&lt;S721,"SIM","NÃO")</f>
        <v>NÃO</v>
      </c>
    </row>
    <row r="722" customFormat="false" ht="15" hidden="false" customHeight="false" outlineLevel="0" collapsed="false">
      <c r="A722" s="59" t="n">
        <v>46242.5481712963</v>
      </c>
      <c r="B722" s="60" t="s">
        <v>1070</v>
      </c>
      <c r="C722" s="60" t="n">
        <v>23580440</v>
      </c>
      <c r="D722" s="60" t="s">
        <v>46</v>
      </c>
      <c r="E722" s="60" t="s">
        <v>22</v>
      </c>
      <c r="F722" s="60" t="s">
        <v>236</v>
      </c>
      <c r="G722" s="60" t="n">
        <v>59.9</v>
      </c>
      <c r="H722" s="61" t="n">
        <v>874</v>
      </c>
      <c r="I722" s="61" t="n">
        <v>58.6</v>
      </c>
      <c r="J722" s="61" t="n">
        <f aca="false">H722*Resumo!$C$6</f>
        <v>0</v>
      </c>
      <c r="K722" s="61" t="n">
        <f aca="false">H722*Resumo!$C$7</f>
        <v>1.8354</v>
      </c>
      <c r="L722" s="61" t="n">
        <f aca="false">H722*Resumo!$C$8</f>
        <v>1.8354</v>
      </c>
      <c r="M722" s="61" t="n">
        <f aca="false">Resumo!$C$10*CEILING(G722/100,1)</f>
        <v>1.05</v>
      </c>
      <c r="N722" s="61" t="n">
        <f aca="false">Resumo!$C$9</f>
        <v>0</v>
      </c>
      <c r="O722" s="61" t="n">
        <f aca="false">Resumo!$C$13</f>
        <v>13.55</v>
      </c>
      <c r="P722" s="61" t="n">
        <f aca="false">Resumo!$C$14*CEILING(G722,1)</f>
        <v>27</v>
      </c>
      <c r="Q722" s="61" t="n">
        <f aca="false">SUM(I722:P722)*Resumo!$C$11</f>
        <v>0</v>
      </c>
      <c r="R722" s="61" t="n">
        <f aca="false">SUM(I722:Q722)</f>
        <v>103.8708</v>
      </c>
      <c r="S722" s="61" t="n">
        <f aca="false">R722/(1-Resumo!$C$5)</f>
        <v>118.035</v>
      </c>
      <c r="T722" s="61" t="n">
        <v>112.3</v>
      </c>
      <c r="U722" s="61" t="n">
        <f aca="false">H722*Resumo!$B$6</f>
        <v>0.874</v>
      </c>
      <c r="V722" s="61" t="n">
        <f aca="false">H722*Resumo!$B$7</f>
        <v>1.748</v>
      </c>
      <c r="W722" s="61" t="n">
        <f aca="false">Resumo!$B$9</f>
        <v>1</v>
      </c>
      <c r="X722" s="61" t="n">
        <f aca="false">Resumo!$B$10*CEILING(G722/100,1)</f>
        <v>4.5</v>
      </c>
      <c r="Y722" s="61" t="n">
        <f aca="false">Resumo!$B$12*CEILING(G722,1)</f>
        <v>3.6</v>
      </c>
      <c r="Z722" s="61" t="n">
        <f aca="false">Resumo!$B$14*CEILING(G722,1)</f>
        <v>27</v>
      </c>
      <c r="AA722" s="61" t="n">
        <f aca="false">SUM(T722:Z722)</f>
        <v>151.022</v>
      </c>
      <c r="AB722" s="61" t="n">
        <f aca="false">AA722/(1-Resumo!$B$5)</f>
        <v>171.615909090909</v>
      </c>
      <c r="AC722" s="61" t="n">
        <f aca="false">AB722-S722</f>
        <v>53.5809090909091</v>
      </c>
      <c r="AD722" s="62" t="n">
        <f aca="false">AB722/S722-1</f>
        <v>0.453940857295794</v>
      </c>
      <c r="AE722" s="60" t="str">
        <f aca="false">IF(AB722&lt;S722,"SIM","NÃO")</f>
        <v>NÃO</v>
      </c>
      <c r="AF722" s="60" t="n">
        <v>2</v>
      </c>
      <c r="AG722" s="60" t="n">
        <v>5</v>
      </c>
      <c r="AH722" s="60" t="s">
        <v>382</v>
      </c>
      <c r="AI722" s="61" t="n">
        <f aca="false">(T722*(1-Painel!$C$40)+U722+V722+Painel!$C$41+Painel!$C$42*CEILING(G722/100,1)+Painel!$C$43*CEILING(G722,1)+Z722)/(1-Resumo!$B$5)</f>
        <v>121.492045454545</v>
      </c>
      <c r="AJ722" s="60" t="str">
        <f aca="false">IF(AI722&lt;S722,"SIM","NÃO")</f>
        <v>NÃO</v>
      </c>
    </row>
    <row r="723" customFormat="false" ht="15" hidden="false" customHeight="false" outlineLevel="0" collapsed="false">
      <c r="A723" s="59" t="n">
        <v>46242.549375</v>
      </c>
      <c r="B723" s="60" t="s">
        <v>1071</v>
      </c>
      <c r="C723" s="60" t="n">
        <v>25035030</v>
      </c>
      <c r="D723" s="60" t="s">
        <v>48</v>
      </c>
      <c r="E723" s="60" t="s">
        <v>23</v>
      </c>
      <c r="F723" s="60" t="s">
        <v>236</v>
      </c>
      <c r="G723" s="60" t="n">
        <v>52.3</v>
      </c>
      <c r="H723" s="61" t="n">
        <v>616.99</v>
      </c>
      <c r="I723" s="61" t="n">
        <v>70.98</v>
      </c>
      <c r="J723" s="61" t="n">
        <f aca="false">H723*Resumo!$C$6</f>
        <v>0</v>
      </c>
      <c r="K723" s="61" t="n">
        <f aca="false">H723*Resumo!$C$7</f>
        <v>1.295679</v>
      </c>
      <c r="L723" s="61" t="n">
        <f aca="false">H723*Resumo!$C$8</f>
        <v>1.295679</v>
      </c>
      <c r="M723" s="61" t="n">
        <f aca="false">Resumo!$C$10*CEILING(G723/100,1)</f>
        <v>1.05</v>
      </c>
      <c r="N723" s="61" t="n">
        <f aca="false">Resumo!$C$9</f>
        <v>0</v>
      </c>
      <c r="O723" s="61" t="n">
        <f aca="false">Resumo!$C$13</f>
        <v>13.55</v>
      </c>
      <c r="P723" s="61" t="n">
        <f aca="false">Resumo!$C$14*CEILING(G723,1)</f>
        <v>23.85</v>
      </c>
      <c r="Q723" s="61" t="n">
        <f aca="false">SUM(I723:P723)*Resumo!$C$11</f>
        <v>0</v>
      </c>
      <c r="R723" s="61" t="n">
        <f aca="false">SUM(I723:Q723)</f>
        <v>112.021358</v>
      </c>
      <c r="S723" s="61" t="n">
        <f aca="false">R723/(1-Resumo!$C$5)</f>
        <v>127.296997727273</v>
      </c>
      <c r="T723" s="61" t="n">
        <v>112.3</v>
      </c>
      <c r="U723" s="61" t="n">
        <f aca="false">H723*Resumo!$B$6</f>
        <v>0.61699</v>
      </c>
      <c r="V723" s="61" t="n">
        <f aca="false">H723*Resumo!$B$7</f>
        <v>1.23398</v>
      </c>
      <c r="W723" s="61" t="n">
        <f aca="false">Resumo!$B$9</f>
        <v>1</v>
      </c>
      <c r="X723" s="61" t="n">
        <f aca="false">Resumo!$B$10*CEILING(G723/100,1)</f>
        <v>4.5</v>
      </c>
      <c r="Y723" s="61" t="n">
        <f aca="false">Resumo!$B$12*CEILING(G723,1)</f>
        <v>3.18</v>
      </c>
      <c r="Z723" s="61" t="n">
        <f aca="false">Resumo!$B$14*CEILING(G723,1)</f>
        <v>23.85</v>
      </c>
      <c r="AA723" s="61" t="n">
        <f aca="false">SUM(T723:Z723)</f>
        <v>146.68097</v>
      </c>
      <c r="AB723" s="61" t="n">
        <f aca="false">AA723/(1-Resumo!$B$5)</f>
        <v>166.682920454545</v>
      </c>
      <c r="AC723" s="61" t="n">
        <f aca="false">AB723-S723</f>
        <v>39.3859227272727</v>
      </c>
      <c r="AD723" s="62" t="n">
        <f aca="false">AB723/S723-1</f>
        <v>0.309401819606579</v>
      </c>
      <c r="AE723" s="60" t="str">
        <f aca="false">IF(AB723&lt;S723,"SIM","NÃO")</f>
        <v>NÃO</v>
      </c>
      <c r="AF723" s="60" t="n">
        <v>2</v>
      </c>
      <c r="AG723" s="60" t="n">
        <v>5</v>
      </c>
      <c r="AH723" s="60" t="s">
        <v>382</v>
      </c>
      <c r="AI723" s="61" t="n">
        <f aca="false">(T723*(1-Painel!$C$40)+U723+V723+Painel!$C$41+Painel!$C$42*CEILING(G723/100,1)+Painel!$C$43*CEILING(G723,1)+Z723)/(1-Resumo!$B$5)</f>
        <v>117.036329545455</v>
      </c>
      <c r="AJ723" s="60" t="str">
        <f aca="false">IF(AI723&lt;S723,"SIM","NÃO")</f>
        <v>SIM</v>
      </c>
    </row>
    <row r="724" customFormat="false" ht="15" hidden="false" customHeight="false" outlineLevel="0" collapsed="false">
      <c r="A724" s="59" t="n">
        <v>46242.5674652778</v>
      </c>
      <c r="B724" s="60" t="s">
        <v>1072</v>
      </c>
      <c r="C724" s="60" t="n">
        <v>23075007</v>
      </c>
      <c r="D724" s="60" t="s">
        <v>46</v>
      </c>
      <c r="E724" s="60" t="s">
        <v>22</v>
      </c>
      <c r="F724" s="60" t="s">
        <v>233</v>
      </c>
      <c r="G724" s="60" t="n">
        <v>21.75</v>
      </c>
      <c r="H724" s="61" t="n">
        <v>284.43</v>
      </c>
      <c r="I724" s="61" t="n">
        <v>42.11</v>
      </c>
      <c r="J724" s="61" t="n">
        <f aca="false">H724*Resumo!$C$6</f>
        <v>0</v>
      </c>
      <c r="K724" s="61" t="n">
        <f aca="false">H724*Resumo!$C$7</f>
        <v>0.597303</v>
      </c>
      <c r="L724" s="61" t="n">
        <f aca="false">H724*Resumo!$C$8</f>
        <v>0.597303</v>
      </c>
      <c r="M724" s="61" t="n">
        <f aca="false">Resumo!$C$10*CEILING(G724/100,1)</f>
        <v>1.05</v>
      </c>
      <c r="N724" s="61" t="n">
        <f aca="false">Resumo!$C$9</f>
        <v>0</v>
      </c>
      <c r="O724" s="61" t="n">
        <f aca="false">Resumo!$C$13</f>
        <v>13.55</v>
      </c>
      <c r="P724" s="61" t="n">
        <f aca="false">Resumo!$C$14*CEILING(G724,1)</f>
        <v>9.9</v>
      </c>
      <c r="Q724" s="61" t="n">
        <f aca="false">SUM(I724:P724)*Resumo!$C$11</f>
        <v>0</v>
      </c>
      <c r="R724" s="61" t="n">
        <f aca="false">SUM(I724:Q724)</f>
        <v>67.804606</v>
      </c>
      <c r="S724" s="61" t="n">
        <f aca="false">R724/(1-Resumo!$C$5)</f>
        <v>77.0506886363637</v>
      </c>
      <c r="T724" s="61" t="n">
        <v>82.21</v>
      </c>
      <c r="U724" s="61" t="n">
        <f aca="false">H724*Resumo!$B$6</f>
        <v>0.28443</v>
      </c>
      <c r="V724" s="61" t="n">
        <f aca="false">H724*Resumo!$B$7</f>
        <v>0.56886</v>
      </c>
      <c r="W724" s="61" t="n">
        <f aca="false">Resumo!$B$9</f>
        <v>1</v>
      </c>
      <c r="X724" s="61" t="n">
        <f aca="false">Resumo!$B$10*CEILING(G724/100,1)</f>
        <v>4.5</v>
      </c>
      <c r="Y724" s="61" t="n">
        <f aca="false">Resumo!$B$12*CEILING(G724,1)</f>
        <v>1.32</v>
      </c>
      <c r="Z724" s="61" t="n">
        <f aca="false">Resumo!$B$14*CEILING(G724,1)</f>
        <v>9.9</v>
      </c>
      <c r="AA724" s="61" t="n">
        <f aca="false">SUM(T724:Z724)</f>
        <v>99.78329</v>
      </c>
      <c r="AB724" s="61" t="n">
        <f aca="false">AA724/(1-Resumo!$B$5)</f>
        <v>113.390102272727</v>
      </c>
      <c r="AC724" s="61" t="n">
        <f aca="false">AB724-S724</f>
        <v>36.3394136363636</v>
      </c>
      <c r="AD724" s="62" t="n">
        <f aca="false">AB724/S724-1</f>
        <v>0.471629965669294</v>
      </c>
      <c r="AE724" s="60" t="str">
        <f aca="false">IF(AB724&lt;S724,"SIM","NÃO")</f>
        <v>NÃO</v>
      </c>
      <c r="AF724" s="60" t="n">
        <v>2</v>
      </c>
      <c r="AG724" s="60" t="n">
        <v>5</v>
      </c>
      <c r="AH724" s="60" t="s">
        <v>382</v>
      </c>
      <c r="AI724" s="61" t="n">
        <f aca="false">(T724*(1-Painel!$C$40)+U724+V724+Painel!$C$41+Painel!$C$42*CEILING(G724/100,1)+Painel!$C$43*CEILING(G724,1)+Z724)/(1-Resumo!$B$5)</f>
        <v>77.1408977272727</v>
      </c>
      <c r="AJ724" s="60" t="str">
        <f aca="false">IF(AI724&lt;S724,"SIM","NÃO")</f>
        <v>NÃO</v>
      </c>
    </row>
    <row r="725" customFormat="false" ht="15" hidden="false" customHeight="false" outlineLevel="0" collapsed="false">
      <c r="A725" s="59" t="n">
        <v>46242.5809722222</v>
      </c>
      <c r="B725" s="60" t="s">
        <v>1073</v>
      </c>
      <c r="C725" s="60" t="n">
        <v>24745170</v>
      </c>
      <c r="D725" s="60" t="s">
        <v>47</v>
      </c>
      <c r="E725" s="60" t="s">
        <v>23</v>
      </c>
      <c r="F725" s="60" t="s">
        <v>241</v>
      </c>
      <c r="G725" s="60" t="n">
        <v>127.8</v>
      </c>
      <c r="H725" s="61" t="n">
        <v>1387.09</v>
      </c>
      <c r="I725" s="61" t="n">
        <v>129.62</v>
      </c>
      <c r="J725" s="61" t="n">
        <f aca="false">H725*Resumo!$C$6</f>
        <v>0</v>
      </c>
      <c r="K725" s="61" t="n">
        <f aca="false">H725*Resumo!$C$7</f>
        <v>2.912889</v>
      </c>
      <c r="L725" s="61" t="n">
        <f aca="false">H725*Resumo!$C$8</f>
        <v>2.912889</v>
      </c>
      <c r="M725" s="61" t="n">
        <f aca="false">Resumo!$C$10*CEILING(G725/100,1)</f>
        <v>2.1</v>
      </c>
      <c r="N725" s="61" t="n">
        <f aca="false">Resumo!$C$9</f>
        <v>0</v>
      </c>
      <c r="O725" s="61" t="n">
        <f aca="false">Resumo!$C$13</f>
        <v>13.55</v>
      </c>
      <c r="P725" s="61" t="n">
        <f aca="false">Resumo!$C$14*CEILING(G725,1)</f>
        <v>57.6</v>
      </c>
      <c r="Q725" s="61" t="n">
        <f aca="false">SUM(I725:P725)*Resumo!$C$11</f>
        <v>0</v>
      </c>
      <c r="R725" s="61" t="n">
        <f aca="false">SUM(I725:Q725)</f>
        <v>208.695778</v>
      </c>
      <c r="S725" s="61" t="n">
        <f aca="false">R725/(1-Resumo!$C$5)</f>
        <v>237.154293181818</v>
      </c>
      <c r="T725" s="61" t="n">
        <v>249.03</v>
      </c>
      <c r="U725" s="61" t="n">
        <f aca="false">H725*Resumo!$B$6</f>
        <v>1.38709</v>
      </c>
      <c r="V725" s="61" t="n">
        <f aca="false">H725*Resumo!$B$7</f>
        <v>2.77418</v>
      </c>
      <c r="W725" s="61" t="n">
        <f aca="false">Resumo!$B$9</f>
        <v>1</v>
      </c>
      <c r="X725" s="61" t="n">
        <f aca="false">Resumo!$B$10*CEILING(G725/100,1)</f>
        <v>9</v>
      </c>
      <c r="Y725" s="61" t="n">
        <f aca="false">Resumo!$B$12*CEILING(G725,1)</f>
        <v>7.68</v>
      </c>
      <c r="Z725" s="61" t="n">
        <f aca="false">Resumo!$B$14*CEILING(G725,1)</f>
        <v>57.6</v>
      </c>
      <c r="AA725" s="61" t="n">
        <f aca="false">SUM(T725:Z725)</f>
        <v>328.47127</v>
      </c>
      <c r="AB725" s="61" t="n">
        <f aca="false">AA725/(1-Resumo!$B$5)</f>
        <v>373.262806818182</v>
      </c>
      <c r="AC725" s="61" t="n">
        <f aca="false">AB725-S725</f>
        <v>136.108513636364</v>
      </c>
      <c r="AD725" s="62" t="n">
        <f aca="false">AB725/S725-1</f>
        <v>0.573923886471724</v>
      </c>
      <c r="AE725" s="60" t="str">
        <f aca="false">IF(AB725&lt;S725,"SIM","NÃO")</f>
        <v>NÃO</v>
      </c>
      <c r="AF725" s="60" t="n">
        <v>2</v>
      </c>
      <c r="AG725" s="60" t="n">
        <v>7</v>
      </c>
      <c r="AH725" s="60" t="s">
        <v>382</v>
      </c>
      <c r="AI725" s="61" t="n">
        <f aca="false">(T725*(1-Painel!$C$40)+U725+V725+Painel!$C$41+Painel!$C$42*CEILING(G725/100,1)+Painel!$C$43*CEILING(G725,1)+Z725)/(1-Resumo!$B$5)</f>
        <v>263.308375</v>
      </c>
      <c r="AJ725" s="60" t="str">
        <f aca="false">IF(AI725&lt;S725,"SIM","NÃO")</f>
        <v>NÃO</v>
      </c>
    </row>
    <row r="726" customFormat="false" ht="15" hidden="false" customHeight="false" outlineLevel="0" collapsed="false">
      <c r="A726" s="59" t="n">
        <v>46242.5817476852</v>
      </c>
      <c r="B726" s="60" t="s">
        <v>1074</v>
      </c>
      <c r="C726" s="60" t="n">
        <v>23535811</v>
      </c>
      <c r="D726" s="60" t="s">
        <v>46</v>
      </c>
      <c r="E726" s="60" t="s">
        <v>22</v>
      </c>
      <c r="F726" s="60" t="s">
        <v>233</v>
      </c>
      <c r="G726" s="60" t="n">
        <v>20.9</v>
      </c>
      <c r="H726" s="61" t="n">
        <v>441</v>
      </c>
      <c r="I726" s="61" t="n">
        <v>42.11</v>
      </c>
      <c r="J726" s="61" t="n">
        <f aca="false">H726*Resumo!$C$6</f>
        <v>0</v>
      </c>
      <c r="K726" s="61" t="n">
        <f aca="false">H726*Resumo!$C$7</f>
        <v>0.9261</v>
      </c>
      <c r="L726" s="61" t="n">
        <f aca="false">H726*Resumo!$C$8</f>
        <v>0.9261</v>
      </c>
      <c r="M726" s="61" t="n">
        <f aca="false">Resumo!$C$10*CEILING(G726/100,1)</f>
        <v>1.05</v>
      </c>
      <c r="N726" s="61" t="n">
        <f aca="false">Resumo!$C$9</f>
        <v>0</v>
      </c>
      <c r="O726" s="61" t="n">
        <f aca="false">Resumo!$C$13</f>
        <v>13.55</v>
      </c>
      <c r="P726" s="61" t="n">
        <f aca="false">Resumo!$C$14*CEILING(G726,1)</f>
        <v>9.45</v>
      </c>
      <c r="Q726" s="61" t="n">
        <f aca="false">SUM(I726:P726)*Resumo!$C$11</f>
        <v>0</v>
      </c>
      <c r="R726" s="61" t="n">
        <f aca="false">SUM(I726:Q726)</f>
        <v>68.0122</v>
      </c>
      <c r="S726" s="61" t="n">
        <f aca="false">R726/(1-Resumo!$C$5)</f>
        <v>77.2865909090909</v>
      </c>
      <c r="T726" s="61" t="n">
        <v>82.21</v>
      </c>
      <c r="U726" s="61" t="n">
        <f aca="false">H726*Resumo!$B$6</f>
        <v>0.441</v>
      </c>
      <c r="V726" s="61" t="n">
        <f aca="false">H726*Resumo!$B$7</f>
        <v>0.882</v>
      </c>
      <c r="W726" s="61" t="n">
        <f aca="false">Resumo!$B$9</f>
        <v>1</v>
      </c>
      <c r="X726" s="61" t="n">
        <f aca="false">Resumo!$B$10*CEILING(G726/100,1)</f>
        <v>4.5</v>
      </c>
      <c r="Y726" s="61" t="n">
        <f aca="false">Resumo!$B$12*CEILING(G726,1)</f>
        <v>1.26</v>
      </c>
      <c r="Z726" s="61" t="n">
        <f aca="false">Resumo!$B$14*CEILING(G726,1)</f>
        <v>9.45</v>
      </c>
      <c r="AA726" s="61" t="n">
        <f aca="false">SUM(T726:Z726)</f>
        <v>99.743</v>
      </c>
      <c r="AB726" s="61" t="n">
        <f aca="false">AA726/(1-Resumo!$B$5)</f>
        <v>113.344318181818</v>
      </c>
      <c r="AC726" s="61" t="n">
        <f aca="false">AB726-S726</f>
        <v>36.0577272727273</v>
      </c>
      <c r="AD726" s="62" t="n">
        <f aca="false">AB726/S726-1</f>
        <v>0.466545707975922</v>
      </c>
      <c r="AE726" s="60" t="str">
        <f aca="false">IF(AB726&lt;S726,"SIM","NÃO")</f>
        <v>NÃO</v>
      </c>
      <c r="AF726" s="60" t="n">
        <v>2</v>
      </c>
      <c r="AG726" s="60" t="n">
        <v>5</v>
      </c>
      <c r="AH726" s="60" t="s">
        <v>382</v>
      </c>
      <c r="AI726" s="61" t="n">
        <f aca="false">(T726*(1-Painel!$C$40)+U726+V726+Painel!$C$41+Painel!$C$42*CEILING(G726/100,1)+Painel!$C$43*CEILING(G726,1)+Z726)/(1-Resumo!$B$5)</f>
        <v>77.1632954545454</v>
      </c>
      <c r="AJ726" s="60" t="str">
        <f aca="false">IF(AI726&lt;S726,"SIM","NÃO")</f>
        <v>SIM</v>
      </c>
    </row>
    <row r="727" customFormat="false" ht="15" hidden="false" customHeight="false" outlineLevel="0" collapsed="false">
      <c r="A727" s="59" t="n">
        <v>46242.5925925926</v>
      </c>
      <c r="B727" s="60" t="s">
        <v>1075</v>
      </c>
      <c r="C727" s="60" t="n">
        <v>23830080</v>
      </c>
      <c r="D727" s="60" t="s">
        <v>263</v>
      </c>
      <c r="E727" s="60" t="s">
        <v>24</v>
      </c>
      <c r="F727" s="60" t="s">
        <v>240</v>
      </c>
      <c r="G727" s="60" t="n">
        <v>117</v>
      </c>
      <c r="H727" s="61" t="n">
        <v>1167</v>
      </c>
      <c r="I727" s="61" t="n">
        <v>119.5</v>
      </c>
      <c r="J727" s="61" t="n">
        <f aca="false">H727*Resumo!$C$6</f>
        <v>0</v>
      </c>
      <c r="K727" s="61" t="n">
        <f aca="false">H727*Resumo!$C$7</f>
        <v>2.4507</v>
      </c>
      <c r="L727" s="61" t="n">
        <f aca="false">H727*Resumo!$C$8</f>
        <v>2.4507</v>
      </c>
      <c r="M727" s="61" t="n">
        <f aca="false">Resumo!$C$10*CEILING(G727/100,1)</f>
        <v>2.1</v>
      </c>
      <c r="N727" s="61" t="n">
        <f aca="false">Resumo!$C$9</f>
        <v>0</v>
      </c>
      <c r="O727" s="61" t="n">
        <f aca="false">Resumo!$C$13</f>
        <v>13.55</v>
      </c>
      <c r="P727" s="61" t="n">
        <f aca="false">Resumo!$C$14*CEILING(G727,1)</f>
        <v>52.65</v>
      </c>
      <c r="Q727" s="61" t="n">
        <f aca="false">SUM(I727:P727)*Resumo!$C$11</f>
        <v>0</v>
      </c>
      <c r="R727" s="61" t="n">
        <f aca="false">SUM(I727:Q727)</f>
        <v>192.7014</v>
      </c>
      <c r="S727" s="61" t="n">
        <f aca="false">R727/(1-Resumo!$C$5)</f>
        <v>218.978863636364</v>
      </c>
      <c r="T727" s="61" t="n">
        <v>211.59</v>
      </c>
      <c r="U727" s="61" t="n">
        <f aca="false">H727*Resumo!$B$6</f>
        <v>1.167</v>
      </c>
      <c r="V727" s="61" t="n">
        <f aca="false">H727*Resumo!$B$7</f>
        <v>2.334</v>
      </c>
      <c r="W727" s="61" t="n">
        <f aca="false">Resumo!$B$9</f>
        <v>1</v>
      </c>
      <c r="X727" s="61" t="n">
        <f aca="false">Resumo!$B$10*CEILING(G727/100,1)</f>
        <v>9</v>
      </c>
      <c r="Y727" s="61" t="n">
        <f aca="false">Resumo!$B$12*CEILING(G727,1)</f>
        <v>7.02</v>
      </c>
      <c r="Z727" s="61" t="n">
        <f aca="false">Resumo!$B$14*CEILING(G727,1)</f>
        <v>52.65</v>
      </c>
      <c r="AA727" s="61" t="n">
        <f aca="false">SUM(T727:Z727)</f>
        <v>284.761</v>
      </c>
      <c r="AB727" s="61" t="n">
        <f aca="false">AA727/(1-Resumo!$B$5)</f>
        <v>323.592045454545</v>
      </c>
      <c r="AC727" s="61" t="n">
        <f aca="false">AB727-S727</f>
        <v>104.613181818182</v>
      </c>
      <c r="AD727" s="62" t="n">
        <f aca="false">AB727/S727-1</f>
        <v>0.477731869099031</v>
      </c>
      <c r="AE727" s="60" t="str">
        <f aca="false">IF(AB727&lt;S727,"SIM","NÃO")</f>
        <v>NÃO</v>
      </c>
      <c r="AF727" s="60" t="n">
        <v>13</v>
      </c>
      <c r="AG727" s="60" t="n">
        <v>5</v>
      </c>
      <c r="AH727" s="60" t="s">
        <v>385</v>
      </c>
      <c r="AI727" s="61" t="n">
        <f aca="false">(T727*(1-Painel!$C$40)+U727+V727+Painel!$C$41+Painel!$C$42*CEILING(G727/100,1)+Painel!$C$43*CEILING(G727,1)+Z727)/(1-Resumo!$B$5)</f>
        <v>228.427613636364</v>
      </c>
      <c r="AJ727" s="60" t="str">
        <f aca="false">IF(AI727&lt;S727,"SIM","NÃO")</f>
        <v>NÃO</v>
      </c>
    </row>
    <row r="728" customFormat="false" ht="15" hidden="false" customHeight="false" outlineLevel="0" collapsed="false">
      <c r="A728" s="59" t="n">
        <v>46242.5946527778</v>
      </c>
      <c r="B728" s="60" t="s">
        <v>1076</v>
      </c>
      <c r="C728" s="60" t="n">
        <v>24921770</v>
      </c>
      <c r="D728" s="60" t="s">
        <v>220</v>
      </c>
      <c r="E728" s="60" t="s">
        <v>24</v>
      </c>
      <c r="F728" s="60" t="s">
        <v>235</v>
      </c>
      <c r="G728" s="60" t="n">
        <v>44.6</v>
      </c>
      <c r="H728" s="61" t="n">
        <v>513.9</v>
      </c>
      <c r="I728" s="61" t="n">
        <v>77.7</v>
      </c>
      <c r="J728" s="61" t="n">
        <f aca="false">H728*Resumo!$C$6</f>
        <v>0</v>
      </c>
      <c r="K728" s="61" t="n">
        <f aca="false">H728*Resumo!$C$7</f>
        <v>1.07919</v>
      </c>
      <c r="L728" s="61" t="n">
        <f aca="false">H728*Resumo!$C$8</f>
        <v>1.07919</v>
      </c>
      <c r="M728" s="61" t="n">
        <f aca="false">Resumo!$C$10*CEILING(G728/100,1)</f>
        <v>1.05</v>
      </c>
      <c r="N728" s="61" t="n">
        <f aca="false">Resumo!$C$9</f>
        <v>0</v>
      </c>
      <c r="O728" s="61" t="n">
        <f aca="false">Resumo!$C$13</f>
        <v>13.55</v>
      </c>
      <c r="P728" s="61" t="n">
        <f aca="false">Resumo!$C$14*CEILING(G728,1)</f>
        <v>20.25</v>
      </c>
      <c r="Q728" s="61" t="n">
        <f aca="false">SUM(I728:P728)*Resumo!$C$11</f>
        <v>0</v>
      </c>
      <c r="R728" s="61" t="n">
        <f aca="false">SUM(I728:Q728)</f>
        <v>114.70838</v>
      </c>
      <c r="S728" s="61" t="n">
        <f aca="false">R728/(1-Resumo!$C$5)</f>
        <v>130.350431818182</v>
      </c>
      <c r="T728" s="61" t="n">
        <v>114.95</v>
      </c>
      <c r="U728" s="61" t="n">
        <f aca="false">H728*Resumo!$B$6</f>
        <v>0.5139</v>
      </c>
      <c r="V728" s="61" t="n">
        <f aca="false">H728*Resumo!$B$7</f>
        <v>1.0278</v>
      </c>
      <c r="W728" s="61" t="n">
        <f aca="false">Resumo!$B$9</f>
        <v>1</v>
      </c>
      <c r="X728" s="61" t="n">
        <f aca="false">Resumo!$B$10*CEILING(G728/100,1)</f>
        <v>4.5</v>
      </c>
      <c r="Y728" s="61" t="n">
        <f aca="false">Resumo!$B$12*CEILING(G728,1)</f>
        <v>2.7</v>
      </c>
      <c r="Z728" s="61" t="n">
        <f aca="false">Resumo!$B$14*CEILING(G728,1)</f>
        <v>20.25</v>
      </c>
      <c r="AA728" s="61" t="n">
        <f aca="false">SUM(T728:Z728)</f>
        <v>144.9417</v>
      </c>
      <c r="AB728" s="61" t="n">
        <f aca="false">AA728/(1-Resumo!$B$5)</f>
        <v>164.706477272727</v>
      </c>
      <c r="AC728" s="61" t="n">
        <f aca="false">AB728-S728</f>
        <v>34.3560454545454</v>
      </c>
      <c r="AD728" s="62" t="n">
        <f aca="false">AB728/S728-1</f>
        <v>0.26356679433534</v>
      </c>
      <c r="AE728" s="60" t="str">
        <f aca="false">IF(AB728&lt;S728,"SIM","NÃO")</f>
        <v>NÃO</v>
      </c>
      <c r="AF728" s="60" t="n">
        <v>13</v>
      </c>
      <c r="AG728" s="60" t="n">
        <v>7</v>
      </c>
      <c r="AH728" s="60" t="s">
        <v>382</v>
      </c>
      <c r="AI728" s="61" t="n">
        <f aca="false">(T728*(1-Painel!$C$40)+U728+V728+Painel!$C$41+Painel!$C$42*CEILING(G728/100,1)+Painel!$C$43*CEILING(G728,1)+Z728)/(1-Resumo!$B$5)</f>
        <v>114.611590909091</v>
      </c>
      <c r="AJ728" s="60" t="str">
        <f aca="false">IF(AI728&lt;S728,"SIM","NÃO")</f>
        <v>SIM</v>
      </c>
    </row>
    <row r="729" customFormat="false" ht="15" hidden="false" customHeight="false" outlineLevel="0" collapsed="false">
      <c r="A729" s="59" t="n">
        <v>46242.5980324074</v>
      </c>
      <c r="B729" s="60" t="s">
        <v>1077</v>
      </c>
      <c r="C729" s="60" t="n">
        <v>24914100</v>
      </c>
      <c r="D729" s="60" t="s">
        <v>220</v>
      </c>
      <c r="E729" s="60" t="s">
        <v>24</v>
      </c>
      <c r="F729" s="60" t="s">
        <v>236</v>
      </c>
      <c r="G729" s="60" t="n">
        <v>52.3</v>
      </c>
      <c r="H729" s="61" t="n">
        <v>616.99</v>
      </c>
      <c r="I729" s="61" t="n">
        <v>83.58</v>
      </c>
      <c r="J729" s="61" t="n">
        <f aca="false">H729*Resumo!$C$6</f>
        <v>0</v>
      </c>
      <c r="K729" s="61" t="n">
        <f aca="false">H729*Resumo!$C$7</f>
        <v>1.295679</v>
      </c>
      <c r="L729" s="61" t="n">
        <f aca="false">H729*Resumo!$C$8</f>
        <v>1.295679</v>
      </c>
      <c r="M729" s="61" t="n">
        <f aca="false">Resumo!$C$10*CEILING(G729/100,1)</f>
        <v>1.05</v>
      </c>
      <c r="N729" s="61" t="n">
        <f aca="false">Resumo!$C$9</f>
        <v>0</v>
      </c>
      <c r="O729" s="61" t="n">
        <f aca="false">Resumo!$C$13</f>
        <v>13.55</v>
      </c>
      <c r="P729" s="61" t="n">
        <f aca="false">Resumo!$C$14*CEILING(G729,1)</f>
        <v>23.85</v>
      </c>
      <c r="Q729" s="61" t="n">
        <f aca="false">SUM(I729:P729)*Resumo!$C$11</f>
        <v>0</v>
      </c>
      <c r="R729" s="61" t="n">
        <f aca="false">SUM(I729:Q729)</f>
        <v>124.621358</v>
      </c>
      <c r="S729" s="61" t="n">
        <f aca="false">R729/(1-Resumo!$C$5)</f>
        <v>141.615179545455</v>
      </c>
      <c r="T729" s="61" t="n">
        <v>128.14</v>
      </c>
      <c r="U729" s="61" t="n">
        <f aca="false">H729*Resumo!$B$6</f>
        <v>0.61699</v>
      </c>
      <c r="V729" s="61" t="n">
        <f aca="false">H729*Resumo!$B$7</f>
        <v>1.23398</v>
      </c>
      <c r="W729" s="61" t="n">
        <f aca="false">Resumo!$B$9</f>
        <v>1</v>
      </c>
      <c r="X729" s="61" t="n">
        <f aca="false">Resumo!$B$10*CEILING(G729/100,1)</f>
        <v>4.5</v>
      </c>
      <c r="Y729" s="61" t="n">
        <f aca="false">Resumo!$B$12*CEILING(G729,1)</f>
        <v>3.18</v>
      </c>
      <c r="Z729" s="61" t="n">
        <f aca="false">Resumo!$B$14*CEILING(G729,1)</f>
        <v>23.85</v>
      </c>
      <c r="AA729" s="61" t="n">
        <f aca="false">SUM(T729:Z729)</f>
        <v>162.52097</v>
      </c>
      <c r="AB729" s="61" t="n">
        <f aca="false">AA729/(1-Resumo!$B$5)</f>
        <v>184.682920454545</v>
      </c>
      <c r="AC729" s="61" t="n">
        <f aca="false">AB729-S729</f>
        <v>43.0677409090909</v>
      </c>
      <c r="AD729" s="62" t="n">
        <f aca="false">AB729/S729-1</f>
        <v>0.304118111118642</v>
      </c>
      <c r="AE729" s="60" t="str">
        <f aca="false">IF(AB729&lt;S729,"SIM","NÃO")</f>
        <v>NÃO</v>
      </c>
      <c r="AF729" s="60" t="n">
        <v>13</v>
      </c>
      <c r="AG729" s="60" t="n">
        <v>7</v>
      </c>
      <c r="AH729" s="60" t="s">
        <v>382</v>
      </c>
      <c r="AI729" s="61" t="n">
        <f aca="false">(T729*(1-Painel!$C$40)+U729+V729+Painel!$C$41+Painel!$C$42*CEILING(G729/100,1)+Painel!$C$43*CEILING(G729,1)+Z729)/(1-Resumo!$B$5)</f>
        <v>129.096329545455</v>
      </c>
      <c r="AJ729" s="60" t="str">
        <f aca="false">IF(AI729&lt;S729,"SIM","NÃO")</f>
        <v>SIM</v>
      </c>
    </row>
    <row r="730" customFormat="false" ht="15" hidden="false" customHeight="false" outlineLevel="0" collapsed="false">
      <c r="A730" s="59" t="n">
        <v>46242.6135185185</v>
      </c>
      <c r="B730" s="60" t="s">
        <v>1078</v>
      </c>
      <c r="C730" s="60" t="n">
        <v>26376040</v>
      </c>
      <c r="D730" s="60" t="s">
        <v>282</v>
      </c>
      <c r="E730" s="60" t="s">
        <v>23</v>
      </c>
      <c r="F730" s="60" t="s">
        <v>234</v>
      </c>
      <c r="G730" s="60" t="n">
        <v>37.5</v>
      </c>
      <c r="H730" s="61" t="n">
        <v>459.99</v>
      </c>
      <c r="I730" s="61" t="n">
        <v>66.83</v>
      </c>
      <c r="J730" s="61" t="n">
        <f aca="false">H730*Resumo!$C$6</f>
        <v>0</v>
      </c>
      <c r="K730" s="61" t="n">
        <f aca="false">H730*Resumo!$C$7</f>
        <v>0.965979</v>
      </c>
      <c r="L730" s="61" t="n">
        <f aca="false">H730*Resumo!$C$8</f>
        <v>0.965979</v>
      </c>
      <c r="M730" s="61" t="n">
        <f aca="false">Resumo!$C$10*CEILING(G730/100,1)</f>
        <v>1.05</v>
      </c>
      <c r="N730" s="61" t="n">
        <f aca="false">Resumo!$C$9</f>
        <v>0</v>
      </c>
      <c r="O730" s="61" t="n">
        <f aca="false">Resumo!$C$13</f>
        <v>13.55</v>
      </c>
      <c r="P730" s="61" t="n">
        <f aca="false">Resumo!$C$14*CEILING(G730,1)</f>
        <v>17.1</v>
      </c>
      <c r="Q730" s="61" t="n">
        <f aca="false">SUM(I730:P730)*Resumo!$C$11</f>
        <v>0</v>
      </c>
      <c r="R730" s="61" t="n">
        <f aca="false">SUM(I730:Q730)</f>
        <v>100.461958</v>
      </c>
      <c r="S730" s="61" t="n">
        <f aca="false">R730/(1-Resumo!$C$5)</f>
        <v>114.161315909091</v>
      </c>
      <c r="T730" s="61" t="n">
        <v>93.97</v>
      </c>
      <c r="U730" s="61" t="n">
        <f aca="false">H730*Resumo!$B$6</f>
        <v>0.45999</v>
      </c>
      <c r="V730" s="61" t="n">
        <f aca="false">H730*Resumo!$B$7</f>
        <v>0.91998</v>
      </c>
      <c r="W730" s="61" t="n">
        <f aca="false">Resumo!$B$9</f>
        <v>1</v>
      </c>
      <c r="X730" s="61" t="n">
        <f aca="false">Resumo!$B$10*CEILING(G730/100,1)</f>
        <v>4.5</v>
      </c>
      <c r="Y730" s="61" t="n">
        <f aca="false">Resumo!$B$12*CEILING(G730,1)</f>
        <v>2.28</v>
      </c>
      <c r="Z730" s="61" t="n">
        <f aca="false">Resumo!$B$14*CEILING(G730,1)</f>
        <v>17.1</v>
      </c>
      <c r="AA730" s="61" t="n">
        <f aca="false">SUM(T730:Z730)</f>
        <v>120.22997</v>
      </c>
      <c r="AB730" s="61" t="n">
        <f aca="false">AA730/(1-Resumo!$B$5)</f>
        <v>136.624965909091</v>
      </c>
      <c r="AC730" s="61" t="n">
        <f aca="false">AB730-S730</f>
        <v>22.46365</v>
      </c>
      <c r="AD730" s="62" t="n">
        <f aca="false">AB730/S730-1</f>
        <v>0.196771120069151</v>
      </c>
      <c r="AE730" s="60" t="str">
        <f aca="false">IF(AB730&lt;S730,"SIM","NÃO")</f>
        <v>NÃO</v>
      </c>
      <c r="AF730" s="60" t="n">
        <v>2</v>
      </c>
      <c r="AG730" s="60" t="n">
        <v>5</v>
      </c>
      <c r="AH730" s="60" t="s">
        <v>385</v>
      </c>
      <c r="AI730" s="61" t="n">
        <f aca="false">(T730*(1-Painel!$C$40)+U730+V730+Painel!$C$41+Painel!$C$42*CEILING(G730/100,1)+Painel!$C$43*CEILING(G730,1)+Z730)/(1-Resumo!$B$5)</f>
        <v>94.8748522727273</v>
      </c>
      <c r="AJ730" s="60" t="str">
        <f aca="false">IF(AI730&lt;S730,"SIM","NÃO")</f>
        <v>SIM</v>
      </c>
    </row>
    <row r="731" customFormat="false" ht="15" hidden="false" customHeight="false" outlineLevel="0" collapsed="false">
      <c r="A731" s="59" t="n">
        <v>46242.6252662037</v>
      </c>
      <c r="B731" s="60" t="s">
        <v>1079</v>
      </c>
      <c r="C731" s="60" t="n">
        <v>21210260</v>
      </c>
      <c r="D731" s="60" t="s">
        <v>46</v>
      </c>
      <c r="E731" s="60" t="s">
        <v>22</v>
      </c>
      <c r="F731" s="60" t="s">
        <v>236</v>
      </c>
      <c r="G731" s="60" t="n">
        <v>54</v>
      </c>
      <c r="H731" s="61" t="n">
        <v>892</v>
      </c>
      <c r="I731" s="61" t="n">
        <v>58.6</v>
      </c>
      <c r="J731" s="61" t="n">
        <f aca="false">H731*Resumo!$C$6</f>
        <v>0</v>
      </c>
      <c r="K731" s="61" t="n">
        <f aca="false">H731*Resumo!$C$7</f>
        <v>1.8732</v>
      </c>
      <c r="L731" s="61" t="n">
        <f aca="false">H731*Resumo!$C$8</f>
        <v>1.8732</v>
      </c>
      <c r="M731" s="61" t="n">
        <f aca="false">Resumo!$C$10*CEILING(G731/100,1)</f>
        <v>1.05</v>
      </c>
      <c r="N731" s="61" t="n">
        <f aca="false">Resumo!$C$9</f>
        <v>0</v>
      </c>
      <c r="O731" s="61" t="n">
        <f aca="false">Resumo!$C$13</f>
        <v>13.55</v>
      </c>
      <c r="P731" s="61" t="n">
        <f aca="false">Resumo!$C$14*CEILING(G731,1)</f>
        <v>24.3</v>
      </c>
      <c r="Q731" s="61" t="n">
        <f aca="false">SUM(I731:P731)*Resumo!$C$11</f>
        <v>0</v>
      </c>
      <c r="R731" s="61" t="n">
        <f aca="false">SUM(I731:Q731)</f>
        <v>101.2464</v>
      </c>
      <c r="S731" s="61" t="n">
        <f aca="false">R731/(1-Resumo!$C$5)</f>
        <v>115.052727272727</v>
      </c>
      <c r="T731" s="61" t="n">
        <v>112.3</v>
      </c>
      <c r="U731" s="61" t="n">
        <f aca="false">H731*Resumo!$B$6</f>
        <v>0.892</v>
      </c>
      <c r="V731" s="61" t="n">
        <f aca="false">H731*Resumo!$B$7</f>
        <v>1.784</v>
      </c>
      <c r="W731" s="61" t="n">
        <f aca="false">Resumo!$B$9</f>
        <v>1</v>
      </c>
      <c r="X731" s="61" t="n">
        <f aca="false">Resumo!$B$10*CEILING(G731/100,1)</f>
        <v>4.5</v>
      </c>
      <c r="Y731" s="61" t="n">
        <f aca="false">Resumo!$B$12*CEILING(G731,1)</f>
        <v>3.24</v>
      </c>
      <c r="Z731" s="61" t="n">
        <f aca="false">Resumo!$B$14*CEILING(G731,1)</f>
        <v>24.3</v>
      </c>
      <c r="AA731" s="61" t="n">
        <f aca="false">SUM(T731:Z731)</f>
        <v>148.016</v>
      </c>
      <c r="AB731" s="61" t="n">
        <f aca="false">AA731/(1-Resumo!$B$5)</f>
        <v>168.2</v>
      </c>
      <c r="AC731" s="61" t="n">
        <f aca="false">AB731-S731</f>
        <v>53.1472727272727</v>
      </c>
      <c r="AD731" s="62" t="n">
        <f aca="false">AB731/S731-1</f>
        <v>0.461938399785079</v>
      </c>
      <c r="AE731" s="60" t="str">
        <f aca="false">IF(AB731&lt;S731,"SIM","NÃO")</f>
        <v>NÃO</v>
      </c>
      <c r="AF731" s="60" t="n">
        <v>2</v>
      </c>
      <c r="AG731" s="60" t="n">
        <v>5</v>
      </c>
      <c r="AH731" s="60" t="s">
        <v>382</v>
      </c>
      <c r="AI731" s="61" t="n">
        <f aca="false">(T731*(1-Painel!$C$40)+U731+V731+Painel!$C$41+Painel!$C$42*CEILING(G731/100,1)+Painel!$C$43*CEILING(G731,1)+Z731)/(1-Resumo!$B$5)</f>
        <v>118.485227272727</v>
      </c>
      <c r="AJ731" s="60" t="str">
        <f aca="false">IF(AI731&lt;S731,"SIM","NÃO")</f>
        <v>NÃO</v>
      </c>
    </row>
    <row r="732" customFormat="false" ht="15" hidden="false" customHeight="false" outlineLevel="0" collapsed="false">
      <c r="A732" s="59" t="n">
        <v>46242.638599537</v>
      </c>
      <c r="B732" s="60" t="s">
        <v>1080</v>
      </c>
      <c r="C732" s="60" t="n">
        <v>21545290</v>
      </c>
      <c r="D732" s="60" t="s">
        <v>46</v>
      </c>
      <c r="E732" s="60" t="s">
        <v>22</v>
      </c>
      <c r="F732" s="60" t="s">
        <v>232</v>
      </c>
      <c r="G732" s="60" t="n">
        <v>19.9</v>
      </c>
      <c r="H732" s="61" t="n">
        <v>299.99</v>
      </c>
      <c r="I732" s="61" t="n">
        <v>33.42</v>
      </c>
      <c r="J732" s="61" t="n">
        <f aca="false">H732*Resumo!$C$6</f>
        <v>0</v>
      </c>
      <c r="K732" s="61" t="n">
        <f aca="false">H732*Resumo!$C$7</f>
        <v>0.629979</v>
      </c>
      <c r="L732" s="61" t="n">
        <f aca="false">H732*Resumo!$C$8</f>
        <v>0.629979</v>
      </c>
      <c r="M732" s="61" t="n">
        <f aca="false">Resumo!$C$10*CEILING(G732/100,1)</f>
        <v>1.05</v>
      </c>
      <c r="N732" s="61" t="n">
        <f aca="false">Resumo!$C$9</f>
        <v>0</v>
      </c>
      <c r="O732" s="61" t="n">
        <f aca="false">Resumo!$C$13</f>
        <v>13.55</v>
      </c>
      <c r="P732" s="61" t="n">
        <f aca="false">Resumo!$C$14*CEILING(G732,1)</f>
        <v>9</v>
      </c>
      <c r="Q732" s="61" t="n">
        <f aca="false">SUM(I732:P732)*Resumo!$C$11</f>
        <v>0</v>
      </c>
      <c r="R732" s="61" t="n">
        <f aca="false">SUM(I732:Q732)</f>
        <v>58.279958</v>
      </c>
      <c r="S732" s="61" t="n">
        <f aca="false">R732/(1-Resumo!$C$5)</f>
        <v>66.227225</v>
      </c>
      <c r="T732" s="61" t="n">
        <v>46.98</v>
      </c>
      <c r="U732" s="61" t="n">
        <f aca="false">H732*Resumo!$B$6</f>
        <v>0.29999</v>
      </c>
      <c r="V732" s="61" t="n">
        <f aca="false">H732*Resumo!$B$7</f>
        <v>0.59998</v>
      </c>
      <c r="W732" s="61" t="n">
        <f aca="false">Resumo!$B$9</f>
        <v>1</v>
      </c>
      <c r="X732" s="61" t="n">
        <f aca="false">Resumo!$B$10*CEILING(G732/100,1)</f>
        <v>4.5</v>
      </c>
      <c r="Y732" s="61" t="n">
        <f aca="false">Resumo!$B$12*CEILING(G732,1)</f>
        <v>1.2</v>
      </c>
      <c r="Z732" s="61" t="n">
        <f aca="false">Resumo!$B$14*CEILING(G732,1)</f>
        <v>9</v>
      </c>
      <c r="AA732" s="61" t="n">
        <f aca="false">SUM(T732:Z732)</f>
        <v>63.57997</v>
      </c>
      <c r="AB732" s="61" t="n">
        <f aca="false">AA732/(1-Resumo!$B$5)</f>
        <v>72.2499659090909</v>
      </c>
      <c r="AC732" s="61" t="n">
        <f aca="false">AB732-S732</f>
        <v>6.0227409090909</v>
      </c>
      <c r="AD732" s="62" t="n">
        <f aca="false">AB732/S732-1</f>
        <v>0.0909405597032171</v>
      </c>
      <c r="AE732" s="60" t="str">
        <f aca="false">IF(AB732&lt;S732,"SIM","NÃO")</f>
        <v>NÃO</v>
      </c>
      <c r="AF732" s="60" t="n">
        <v>2</v>
      </c>
      <c r="AG732" s="60" t="n">
        <v>5</v>
      </c>
      <c r="AH732" s="60" t="s">
        <v>382</v>
      </c>
      <c r="AI732" s="61" t="n">
        <f aca="false">(T732*(1-Painel!$C$40)+U732+V732+Painel!$C$41+Painel!$C$42*CEILING(G732/100,1)+Painel!$C$43*CEILING(G732,1)+Z732)/(1-Resumo!$B$5)</f>
        <v>49.348375</v>
      </c>
      <c r="AJ732" s="60" t="str">
        <f aca="false">IF(AI732&lt;S732,"SIM","NÃO")</f>
        <v>SIM</v>
      </c>
    </row>
    <row r="733" customFormat="false" ht="15" hidden="false" customHeight="false" outlineLevel="0" collapsed="false">
      <c r="A733" s="59" t="n">
        <v>46242.64125</v>
      </c>
      <c r="B733" s="60" t="s">
        <v>1081</v>
      </c>
      <c r="C733" s="60" t="n">
        <v>21854002</v>
      </c>
      <c r="D733" s="60" t="s">
        <v>46</v>
      </c>
      <c r="E733" s="60" t="s">
        <v>22</v>
      </c>
      <c r="F733" s="60" t="s">
        <v>236</v>
      </c>
      <c r="G733" s="60" t="n">
        <v>60</v>
      </c>
      <c r="H733" s="61" t="n">
        <v>828</v>
      </c>
      <c r="I733" s="61" t="n">
        <v>58.6</v>
      </c>
      <c r="J733" s="61" t="n">
        <f aca="false">H733*Resumo!$C$6</f>
        <v>0</v>
      </c>
      <c r="K733" s="61" t="n">
        <f aca="false">H733*Resumo!$C$7</f>
        <v>1.7388</v>
      </c>
      <c r="L733" s="61" t="n">
        <f aca="false">H733*Resumo!$C$8</f>
        <v>1.7388</v>
      </c>
      <c r="M733" s="61" t="n">
        <f aca="false">Resumo!$C$10*CEILING(G733/100,1)</f>
        <v>1.05</v>
      </c>
      <c r="N733" s="61" t="n">
        <f aca="false">Resumo!$C$9</f>
        <v>0</v>
      </c>
      <c r="O733" s="61" t="n">
        <f aca="false">Resumo!$C$13</f>
        <v>13.55</v>
      </c>
      <c r="P733" s="61" t="n">
        <f aca="false">Resumo!$C$14*CEILING(G733,1)</f>
        <v>27</v>
      </c>
      <c r="Q733" s="61" t="n">
        <f aca="false">SUM(I733:P733)*Resumo!$C$11</f>
        <v>0</v>
      </c>
      <c r="R733" s="61" t="n">
        <f aca="false">SUM(I733:Q733)</f>
        <v>103.6776</v>
      </c>
      <c r="S733" s="61" t="n">
        <f aca="false">R733/(1-Resumo!$C$5)</f>
        <v>117.815454545455</v>
      </c>
      <c r="T733" s="61" t="n">
        <v>112.3</v>
      </c>
      <c r="U733" s="61" t="n">
        <f aca="false">H733*Resumo!$B$6</f>
        <v>0.828</v>
      </c>
      <c r="V733" s="61" t="n">
        <f aca="false">H733*Resumo!$B$7</f>
        <v>1.656</v>
      </c>
      <c r="W733" s="61" t="n">
        <f aca="false">Resumo!$B$9</f>
        <v>1</v>
      </c>
      <c r="X733" s="61" t="n">
        <f aca="false">Resumo!$B$10*CEILING(G733/100,1)</f>
        <v>4.5</v>
      </c>
      <c r="Y733" s="61" t="n">
        <f aca="false">Resumo!$B$12*CEILING(G733,1)</f>
        <v>3.6</v>
      </c>
      <c r="Z733" s="61" t="n">
        <f aca="false">Resumo!$B$14*CEILING(G733,1)</f>
        <v>27</v>
      </c>
      <c r="AA733" s="61" t="n">
        <f aca="false">SUM(T733:Z733)</f>
        <v>150.884</v>
      </c>
      <c r="AB733" s="61" t="n">
        <f aca="false">AA733/(1-Resumo!$B$5)</f>
        <v>171.459090909091</v>
      </c>
      <c r="AC733" s="61" t="n">
        <f aca="false">AB733-S733</f>
        <v>53.6436363636364</v>
      </c>
      <c r="AD733" s="62" t="n">
        <f aca="false">AB733/S733-1</f>
        <v>0.455319181771183</v>
      </c>
      <c r="AE733" s="60" t="str">
        <f aca="false">IF(AB733&lt;S733,"SIM","NÃO")</f>
        <v>NÃO</v>
      </c>
      <c r="AF733" s="60" t="n">
        <v>2</v>
      </c>
      <c r="AG733" s="60" t="n">
        <v>5</v>
      </c>
      <c r="AH733" s="60" t="s">
        <v>382</v>
      </c>
      <c r="AI733" s="61" t="n">
        <f aca="false">(T733*(1-Painel!$C$40)+U733+V733+Painel!$C$41+Painel!$C$42*CEILING(G733/100,1)+Painel!$C$43*CEILING(G733,1)+Z733)/(1-Resumo!$B$5)</f>
        <v>121.335227272727</v>
      </c>
      <c r="AJ733" s="60" t="str">
        <f aca="false">IF(AI733&lt;S733,"SIM","NÃO")</f>
        <v>NÃO</v>
      </c>
    </row>
    <row r="734" customFormat="false" ht="15" hidden="false" customHeight="false" outlineLevel="0" collapsed="false">
      <c r="A734" s="59" t="n">
        <v>46242.6427430556</v>
      </c>
      <c r="B734" s="60" t="s">
        <v>1082</v>
      </c>
      <c r="C734" s="60" t="n">
        <v>23070130</v>
      </c>
      <c r="D734" s="60" t="s">
        <v>46</v>
      </c>
      <c r="E734" s="60" t="s">
        <v>22</v>
      </c>
      <c r="F734" s="60" t="s">
        <v>232</v>
      </c>
      <c r="G734" s="60" t="n">
        <v>17.2</v>
      </c>
      <c r="H734" s="61" t="n">
        <v>249.99</v>
      </c>
      <c r="I734" s="61" t="n">
        <v>33.42</v>
      </c>
      <c r="J734" s="61" t="n">
        <f aca="false">H734*Resumo!$C$6</f>
        <v>0</v>
      </c>
      <c r="K734" s="61" t="n">
        <f aca="false">H734*Resumo!$C$7</f>
        <v>0.524979</v>
      </c>
      <c r="L734" s="61" t="n">
        <f aca="false">H734*Resumo!$C$8</f>
        <v>0.524979</v>
      </c>
      <c r="M734" s="61" t="n">
        <f aca="false">Resumo!$C$10*CEILING(G734/100,1)</f>
        <v>1.05</v>
      </c>
      <c r="N734" s="61" t="n">
        <f aca="false">Resumo!$C$9</f>
        <v>0</v>
      </c>
      <c r="O734" s="61" t="n">
        <f aca="false">Resumo!$C$13</f>
        <v>13.55</v>
      </c>
      <c r="P734" s="61" t="n">
        <f aca="false">Resumo!$C$14*CEILING(G734,1)</f>
        <v>8.1</v>
      </c>
      <c r="Q734" s="61" t="n">
        <f aca="false">SUM(I734:P734)*Resumo!$C$11</f>
        <v>0</v>
      </c>
      <c r="R734" s="61" t="n">
        <f aca="false">SUM(I734:Q734)</f>
        <v>57.169958</v>
      </c>
      <c r="S734" s="61" t="n">
        <f aca="false">R734/(1-Resumo!$C$5)</f>
        <v>64.9658613636364</v>
      </c>
      <c r="T734" s="61" t="n">
        <v>46.98</v>
      </c>
      <c r="U734" s="61" t="n">
        <f aca="false">H734*Resumo!$B$6</f>
        <v>0.24999</v>
      </c>
      <c r="V734" s="61" t="n">
        <f aca="false">H734*Resumo!$B$7</f>
        <v>0.49998</v>
      </c>
      <c r="W734" s="61" t="n">
        <f aca="false">Resumo!$B$9</f>
        <v>1</v>
      </c>
      <c r="X734" s="61" t="n">
        <f aca="false">Resumo!$B$10*CEILING(G734/100,1)</f>
        <v>4.5</v>
      </c>
      <c r="Y734" s="61" t="n">
        <f aca="false">Resumo!$B$12*CEILING(G734,1)</f>
        <v>1.08</v>
      </c>
      <c r="Z734" s="61" t="n">
        <f aca="false">Resumo!$B$14*CEILING(G734,1)</f>
        <v>8.1</v>
      </c>
      <c r="AA734" s="61" t="n">
        <f aca="false">SUM(T734:Z734)</f>
        <v>62.40997</v>
      </c>
      <c r="AB734" s="61" t="n">
        <f aca="false">AA734/(1-Resumo!$B$5)</f>
        <v>70.9204204545455</v>
      </c>
      <c r="AC734" s="61" t="n">
        <f aca="false">AB734-S734</f>
        <v>5.95455909090909</v>
      </c>
      <c r="AD734" s="62" t="n">
        <f aca="false">AB734/S734-1</f>
        <v>0.0916567404160065</v>
      </c>
      <c r="AE734" s="60" t="str">
        <f aca="false">IF(AB734&lt;S734,"SIM","NÃO")</f>
        <v>NÃO</v>
      </c>
      <c r="AF734" s="60" t="n">
        <v>2</v>
      </c>
      <c r="AG734" s="60" t="n">
        <v>5</v>
      </c>
      <c r="AH734" s="60" t="s">
        <v>382</v>
      </c>
      <c r="AI734" s="61" t="n">
        <f aca="false">(T734*(1-Painel!$C$40)+U734+V734+Painel!$C$41+Painel!$C$42*CEILING(G734/100,1)+Painel!$C$43*CEILING(G734,1)+Z734)/(1-Resumo!$B$5)</f>
        <v>48.1551931818182</v>
      </c>
      <c r="AJ734" s="60" t="str">
        <f aca="false">IF(AI734&lt;S734,"SIM","NÃO")</f>
        <v>SIM</v>
      </c>
    </row>
    <row r="735" customFormat="false" ht="15" hidden="false" customHeight="false" outlineLevel="0" collapsed="false">
      <c r="A735" s="59" t="n">
        <v>46242.6472685185</v>
      </c>
      <c r="B735" s="60" t="s">
        <v>1083</v>
      </c>
      <c r="C735" s="60" t="n">
        <v>23075078</v>
      </c>
      <c r="D735" s="60" t="s">
        <v>46</v>
      </c>
      <c r="E735" s="60" t="s">
        <v>22</v>
      </c>
      <c r="F735" s="60" t="s">
        <v>241</v>
      </c>
      <c r="G735" s="60" t="n">
        <v>124.2</v>
      </c>
      <c r="H735" s="61" t="n">
        <v>1597.99</v>
      </c>
      <c r="I735" s="61" t="n">
        <v>120.59</v>
      </c>
      <c r="J735" s="61" t="n">
        <f aca="false">H735*Resumo!$C$6</f>
        <v>0</v>
      </c>
      <c r="K735" s="61" t="n">
        <f aca="false">H735*Resumo!$C$7</f>
        <v>3.355779</v>
      </c>
      <c r="L735" s="61" t="n">
        <f aca="false">H735*Resumo!$C$8</f>
        <v>3.355779</v>
      </c>
      <c r="M735" s="61" t="n">
        <f aca="false">Resumo!$C$10*CEILING(G735/100,1)</f>
        <v>2.1</v>
      </c>
      <c r="N735" s="61" t="n">
        <f aca="false">Resumo!$C$9</f>
        <v>0</v>
      </c>
      <c r="O735" s="61" t="n">
        <f aca="false">Resumo!$C$13</f>
        <v>13.55</v>
      </c>
      <c r="P735" s="61" t="n">
        <f aca="false">Resumo!$C$14*CEILING(G735,1)</f>
        <v>56.25</v>
      </c>
      <c r="Q735" s="61" t="n">
        <f aca="false">SUM(I735:P735)*Resumo!$C$11</f>
        <v>0</v>
      </c>
      <c r="R735" s="61" t="n">
        <f aca="false">SUM(I735:Q735)</f>
        <v>199.201558</v>
      </c>
      <c r="S735" s="61" t="n">
        <f aca="false">R735/(1-Resumo!$C$5)</f>
        <v>226.365406818182</v>
      </c>
      <c r="T735" s="61" t="n">
        <v>239.25</v>
      </c>
      <c r="U735" s="61" t="n">
        <f aca="false">H735*Resumo!$B$6</f>
        <v>1.59799</v>
      </c>
      <c r="V735" s="61" t="n">
        <f aca="false">H735*Resumo!$B$7</f>
        <v>3.19598</v>
      </c>
      <c r="W735" s="61" t="n">
        <f aca="false">Resumo!$B$9</f>
        <v>1</v>
      </c>
      <c r="X735" s="61" t="n">
        <f aca="false">Resumo!$B$10*CEILING(G735/100,1)</f>
        <v>9</v>
      </c>
      <c r="Y735" s="61" t="n">
        <f aca="false">Resumo!$B$12*CEILING(G735,1)</f>
        <v>7.5</v>
      </c>
      <c r="Z735" s="61" t="n">
        <f aca="false">Resumo!$B$14*CEILING(G735,1)</f>
        <v>56.25</v>
      </c>
      <c r="AA735" s="61" t="n">
        <f aca="false">SUM(T735:Z735)</f>
        <v>317.79397</v>
      </c>
      <c r="AB735" s="61" t="n">
        <f aca="false">AA735/(1-Resumo!$B$5)</f>
        <v>361.129511363636</v>
      </c>
      <c r="AC735" s="61" t="n">
        <f aca="false">AB735-S735</f>
        <v>134.764104545455</v>
      </c>
      <c r="AD735" s="62" t="n">
        <f aca="false">AB735/S735-1</f>
        <v>0.595338777420607</v>
      </c>
      <c r="AE735" s="60" t="str">
        <f aca="false">IF(AB735&lt;S735,"SIM","NÃO")</f>
        <v>NÃO</v>
      </c>
      <c r="AF735" s="60" t="n">
        <v>2</v>
      </c>
      <c r="AG735" s="60" t="n">
        <v>5</v>
      </c>
      <c r="AH735" s="60" t="s">
        <v>382</v>
      </c>
      <c r="AI735" s="61" t="n">
        <f aca="false">(T735*(1-Painel!$C$40)+U735+V735+Painel!$C$41+Painel!$C$42*CEILING(G735/100,1)+Painel!$C$43*CEILING(G735,1)+Z735)/(1-Resumo!$B$5)</f>
        <v>255.047125</v>
      </c>
      <c r="AJ735" s="60" t="str">
        <f aca="false">IF(AI735&lt;S735,"SIM","NÃO")</f>
        <v>NÃO</v>
      </c>
    </row>
    <row r="736" customFormat="false" ht="15" hidden="false" customHeight="false" outlineLevel="0" collapsed="false">
      <c r="A736" s="59" t="n">
        <v>46242.6541898148</v>
      </c>
      <c r="B736" s="60" t="s">
        <v>1084</v>
      </c>
      <c r="C736" s="60" t="n">
        <v>27274090</v>
      </c>
      <c r="D736" s="60" t="s">
        <v>217</v>
      </c>
      <c r="E736" s="60" t="s">
        <v>24</v>
      </c>
      <c r="F736" s="60" t="s">
        <v>240</v>
      </c>
      <c r="G736" s="60" t="n">
        <v>109.7</v>
      </c>
      <c r="H736" s="61" t="n">
        <v>1263.12</v>
      </c>
      <c r="I736" s="61" t="n">
        <v>119.5</v>
      </c>
      <c r="J736" s="61" t="n">
        <f aca="false">H736*Resumo!$C$6</f>
        <v>0</v>
      </c>
      <c r="K736" s="61" t="n">
        <f aca="false">H736*Resumo!$C$7</f>
        <v>2.652552</v>
      </c>
      <c r="L736" s="61" t="n">
        <f aca="false">H736*Resumo!$C$8</f>
        <v>2.652552</v>
      </c>
      <c r="M736" s="61" t="n">
        <f aca="false">Resumo!$C$10*CEILING(G736/100,1)</f>
        <v>2.1</v>
      </c>
      <c r="N736" s="61" t="n">
        <f aca="false">Resumo!$C$9</f>
        <v>0</v>
      </c>
      <c r="O736" s="61" t="n">
        <f aca="false">Resumo!$C$13</f>
        <v>13.55</v>
      </c>
      <c r="P736" s="61" t="n">
        <f aca="false">Resumo!$C$14*CEILING(G736,1)</f>
        <v>49.5</v>
      </c>
      <c r="Q736" s="61" t="n">
        <f aca="false">SUM(I736:P736)*Resumo!$C$11</f>
        <v>0</v>
      </c>
      <c r="R736" s="61" t="n">
        <f aca="false">SUM(I736:Q736)</f>
        <v>189.955104</v>
      </c>
      <c r="S736" s="61" t="n">
        <f aca="false">R736/(1-Resumo!$C$5)</f>
        <v>215.858072727273</v>
      </c>
      <c r="T736" s="61" t="n">
        <v>236.82</v>
      </c>
      <c r="U736" s="61" t="n">
        <f aca="false">H736*Resumo!$B$6</f>
        <v>1.26312</v>
      </c>
      <c r="V736" s="61" t="n">
        <f aca="false">H736*Resumo!$B$7</f>
        <v>2.52624</v>
      </c>
      <c r="W736" s="61" t="n">
        <f aca="false">Resumo!$B$9</f>
        <v>1</v>
      </c>
      <c r="X736" s="61" t="n">
        <f aca="false">Resumo!$B$10*CEILING(G736/100,1)</f>
        <v>9</v>
      </c>
      <c r="Y736" s="61" t="n">
        <f aca="false">Resumo!$B$12*CEILING(G736,1)</f>
        <v>6.6</v>
      </c>
      <c r="Z736" s="61" t="n">
        <f aca="false">Resumo!$B$14*CEILING(G736,1)</f>
        <v>49.5</v>
      </c>
      <c r="AA736" s="61" t="n">
        <f aca="false">SUM(T736:Z736)</f>
        <v>306.70936</v>
      </c>
      <c r="AB736" s="61" t="n">
        <f aca="false">AA736/(1-Resumo!$B$5)</f>
        <v>348.533363636364</v>
      </c>
      <c r="AC736" s="61" t="n">
        <f aca="false">AB736-S736</f>
        <v>132.675290909091</v>
      </c>
      <c r="AD736" s="62" t="n">
        <f aca="false">AB736/S736-1</f>
        <v>0.614641320719658</v>
      </c>
      <c r="AE736" s="60" t="str">
        <f aca="false">IF(AB736&lt;S736,"SIM","NÃO")</f>
        <v>NÃO</v>
      </c>
      <c r="AF736" s="60" t="n">
        <v>13</v>
      </c>
      <c r="AG736" s="60" t="n">
        <v>10</v>
      </c>
      <c r="AH736" s="60" t="s">
        <v>382</v>
      </c>
      <c r="AI736" s="61" t="n">
        <f aca="false">(T736*(1-Painel!$C$40)+U736+V736+Painel!$C$41+Painel!$C$42*CEILING(G736/100,1)+Painel!$C$43*CEILING(G736,1)+Z736)/(1-Resumo!$B$5)</f>
        <v>244.384954545455</v>
      </c>
      <c r="AJ736" s="60" t="str">
        <f aca="false">IF(AI736&lt;S736,"SIM","NÃO")</f>
        <v>NÃO</v>
      </c>
    </row>
    <row r="737" customFormat="false" ht="15" hidden="false" customHeight="false" outlineLevel="0" collapsed="false">
      <c r="A737" s="59" t="n">
        <v>46242.6546643519</v>
      </c>
      <c r="B737" s="60" t="s">
        <v>1085</v>
      </c>
      <c r="C737" s="60" t="n">
        <v>26381736</v>
      </c>
      <c r="D737" s="60" t="s">
        <v>282</v>
      </c>
      <c r="E737" s="60" t="s">
        <v>23</v>
      </c>
      <c r="F737" s="60" t="s">
        <v>237</v>
      </c>
      <c r="G737" s="60" t="n">
        <v>63.9</v>
      </c>
      <c r="H737" s="61" t="n">
        <v>717.6</v>
      </c>
      <c r="I737" s="61" t="n">
        <v>76.55</v>
      </c>
      <c r="J737" s="61" t="n">
        <f aca="false">H737*Resumo!$C$6</f>
        <v>0</v>
      </c>
      <c r="K737" s="61" t="n">
        <f aca="false">H737*Resumo!$C$7</f>
        <v>1.50696</v>
      </c>
      <c r="L737" s="61" t="n">
        <f aca="false">H737*Resumo!$C$8</f>
        <v>1.50696</v>
      </c>
      <c r="M737" s="61" t="n">
        <f aca="false">Resumo!$C$10*CEILING(G737/100,1)</f>
        <v>1.05</v>
      </c>
      <c r="N737" s="61" t="n">
        <f aca="false">Resumo!$C$9</f>
        <v>0</v>
      </c>
      <c r="O737" s="61" t="n">
        <f aca="false">Resumo!$C$13</f>
        <v>13.55</v>
      </c>
      <c r="P737" s="61" t="n">
        <f aca="false">Resumo!$C$14*CEILING(G737,1)</f>
        <v>28.8</v>
      </c>
      <c r="Q737" s="61" t="n">
        <f aca="false">SUM(I737:P737)*Resumo!$C$11</f>
        <v>0</v>
      </c>
      <c r="R737" s="61" t="n">
        <f aca="false">SUM(I737:Q737)</f>
        <v>122.96392</v>
      </c>
      <c r="S737" s="61" t="n">
        <f aca="false">R737/(1-Resumo!$C$5)</f>
        <v>139.731727272727</v>
      </c>
      <c r="T737" s="61" t="n">
        <v>131.02</v>
      </c>
      <c r="U737" s="61" t="n">
        <f aca="false">H737*Resumo!$B$6</f>
        <v>0.7176</v>
      </c>
      <c r="V737" s="61" t="n">
        <f aca="false">H737*Resumo!$B$7</f>
        <v>1.4352</v>
      </c>
      <c r="W737" s="61" t="n">
        <f aca="false">Resumo!$B$9</f>
        <v>1</v>
      </c>
      <c r="X737" s="61" t="n">
        <f aca="false">Resumo!$B$10*CEILING(G737/100,1)</f>
        <v>4.5</v>
      </c>
      <c r="Y737" s="61" t="n">
        <f aca="false">Resumo!$B$12*CEILING(G737,1)</f>
        <v>3.84</v>
      </c>
      <c r="Z737" s="61" t="n">
        <f aca="false">Resumo!$B$14*CEILING(G737,1)</f>
        <v>28.8</v>
      </c>
      <c r="AA737" s="61" t="n">
        <f aca="false">SUM(T737:Z737)</f>
        <v>171.3128</v>
      </c>
      <c r="AB737" s="61" t="n">
        <f aca="false">AA737/(1-Resumo!$B$5)</f>
        <v>194.673636363636</v>
      </c>
      <c r="AC737" s="61" t="n">
        <f aca="false">AB737-S737</f>
        <v>54.9419090909091</v>
      </c>
      <c r="AD737" s="62" t="n">
        <f aca="false">AB737/S737-1</f>
        <v>0.393195662597614</v>
      </c>
      <c r="AE737" s="60" t="str">
        <f aca="false">IF(AB737&lt;S737,"SIM","NÃO")</f>
        <v>NÃO</v>
      </c>
      <c r="AF737" s="60" t="n">
        <v>2</v>
      </c>
      <c r="AG737" s="60" t="n">
        <v>5</v>
      </c>
      <c r="AH737" s="60" t="s">
        <v>385</v>
      </c>
      <c r="AI737" s="61" t="n">
        <f aca="false">(T737*(1-Painel!$C$40)+U737+V737+Painel!$C$41+Painel!$C$42*CEILING(G737/100,1)+Painel!$C$43*CEILING(G737,1)+Z737)/(1-Resumo!$B$5)</f>
        <v>137.257045454545</v>
      </c>
      <c r="AJ737" s="60" t="str">
        <f aca="false">IF(AI737&lt;S737,"SIM","NÃO")</f>
        <v>SIM</v>
      </c>
    </row>
    <row r="738" customFormat="false" ht="15" hidden="false" customHeight="false" outlineLevel="0" collapsed="false">
      <c r="A738" s="59" t="n">
        <v>46242.6550115741</v>
      </c>
      <c r="B738" s="60" t="s">
        <v>1086</v>
      </c>
      <c r="C738" s="60" t="n">
        <v>25230050</v>
      </c>
      <c r="D738" s="60" t="s">
        <v>48</v>
      </c>
      <c r="E738" s="60" t="s">
        <v>23</v>
      </c>
      <c r="F738" s="60" t="s">
        <v>236</v>
      </c>
      <c r="G738" s="60" t="n">
        <v>56.7</v>
      </c>
      <c r="H738" s="61" t="n">
        <v>690.99</v>
      </c>
      <c r="I738" s="61" t="n">
        <v>70.98</v>
      </c>
      <c r="J738" s="61" t="n">
        <f aca="false">H738*Resumo!$C$6</f>
        <v>0</v>
      </c>
      <c r="K738" s="61" t="n">
        <f aca="false">H738*Resumo!$C$7</f>
        <v>1.451079</v>
      </c>
      <c r="L738" s="61" t="n">
        <f aca="false">H738*Resumo!$C$8</f>
        <v>1.451079</v>
      </c>
      <c r="M738" s="61" t="n">
        <f aca="false">Resumo!$C$10*CEILING(G738/100,1)</f>
        <v>1.05</v>
      </c>
      <c r="N738" s="61" t="n">
        <f aca="false">Resumo!$C$9</f>
        <v>0</v>
      </c>
      <c r="O738" s="61" t="n">
        <f aca="false">Resumo!$C$13</f>
        <v>13.55</v>
      </c>
      <c r="P738" s="61" t="n">
        <f aca="false">Resumo!$C$14*CEILING(G738,1)</f>
        <v>25.65</v>
      </c>
      <c r="Q738" s="61" t="n">
        <f aca="false">SUM(I738:P738)*Resumo!$C$11</f>
        <v>0</v>
      </c>
      <c r="R738" s="61" t="n">
        <f aca="false">SUM(I738:Q738)</f>
        <v>114.132158</v>
      </c>
      <c r="S738" s="61" t="n">
        <f aca="false">R738/(1-Resumo!$C$5)</f>
        <v>129.695634090909</v>
      </c>
      <c r="T738" s="61" t="n">
        <v>112.3</v>
      </c>
      <c r="U738" s="61" t="n">
        <f aca="false">H738*Resumo!$B$6</f>
        <v>0.69099</v>
      </c>
      <c r="V738" s="61" t="n">
        <f aca="false">H738*Resumo!$B$7</f>
        <v>1.38198</v>
      </c>
      <c r="W738" s="61" t="n">
        <f aca="false">Resumo!$B$9</f>
        <v>1</v>
      </c>
      <c r="X738" s="61" t="n">
        <f aca="false">Resumo!$B$10*CEILING(G738/100,1)</f>
        <v>4.5</v>
      </c>
      <c r="Y738" s="61" t="n">
        <f aca="false">Resumo!$B$12*CEILING(G738,1)</f>
        <v>3.42</v>
      </c>
      <c r="Z738" s="61" t="n">
        <f aca="false">Resumo!$B$14*CEILING(G738,1)</f>
        <v>25.65</v>
      </c>
      <c r="AA738" s="61" t="n">
        <f aca="false">SUM(T738:Z738)</f>
        <v>148.94297</v>
      </c>
      <c r="AB738" s="61" t="n">
        <f aca="false">AA738/(1-Resumo!$B$5)</f>
        <v>169.253375</v>
      </c>
      <c r="AC738" s="61" t="n">
        <f aca="false">AB738-S738</f>
        <v>39.5577409090909</v>
      </c>
      <c r="AD738" s="62" t="n">
        <f aca="false">AB738/S738-1</f>
        <v>0.305004414268589</v>
      </c>
      <c r="AE738" s="60" t="str">
        <f aca="false">IF(AB738&lt;S738,"SIM","NÃO")</f>
        <v>NÃO</v>
      </c>
      <c r="AF738" s="60" t="n">
        <v>2</v>
      </c>
      <c r="AG738" s="60" t="n">
        <v>5</v>
      </c>
      <c r="AH738" s="60" t="s">
        <v>382</v>
      </c>
      <c r="AI738" s="61" t="n">
        <f aca="false">(T738*(1-Painel!$C$40)+U738+V738+Painel!$C$41+Painel!$C$42*CEILING(G738/100,1)+Painel!$C$43*CEILING(G738,1)+Z738)/(1-Resumo!$B$5)</f>
        <v>119.334056818182</v>
      </c>
      <c r="AJ738" s="60" t="str">
        <f aca="false">IF(AI738&lt;S738,"SIM","NÃO")</f>
        <v>SIM</v>
      </c>
    </row>
    <row r="739" customFormat="false" ht="15" hidden="false" customHeight="false" outlineLevel="0" collapsed="false">
      <c r="A739" s="59" t="n">
        <v>46242.6593171296</v>
      </c>
      <c r="B739" s="60" t="s">
        <v>1087</v>
      </c>
      <c r="C739" s="60" t="n">
        <v>28080095</v>
      </c>
      <c r="D739" s="60" t="s">
        <v>51</v>
      </c>
      <c r="E739" s="60" t="s">
        <v>24</v>
      </c>
      <c r="F739" s="60" t="s">
        <v>233</v>
      </c>
      <c r="G739" s="60" t="n">
        <v>33</v>
      </c>
      <c r="H739" s="61" t="n">
        <v>450.99</v>
      </c>
      <c r="I739" s="61" t="n">
        <v>65.63</v>
      </c>
      <c r="J739" s="61" t="n">
        <f aca="false">H739*Resumo!$C$6</f>
        <v>0</v>
      </c>
      <c r="K739" s="61" t="n">
        <f aca="false">H739*Resumo!$C$7</f>
        <v>0.947079</v>
      </c>
      <c r="L739" s="61" t="n">
        <f aca="false">H739*Resumo!$C$8</f>
        <v>0.947079</v>
      </c>
      <c r="M739" s="61" t="n">
        <f aca="false">Resumo!$C$10*CEILING(G739/100,1)</f>
        <v>1.05</v>
      </c>
      <c r="N739" s="61" t="n">
        <f aca="false">Resumo!$C$9</f>
        <v>0</v>
      </c>
      <c r="O739" s="61" t="n">
        <f aca="false">Resumo!$C$13</f>
        <v>13.55</v>
      </c>
      <c r="P739" s="61" t="n">
        <f aca="false">Resumo!$C$14*CEILING(G739,1)</f>
        <v>14.85</v>
      </c>
      <c r="Q739" s="61" t="n">
        <f aca="false">SUM(I739:P739)*Resumo!$C$11</f>
        <v>0</v>
      </c>
      <c r="R739" s="61" t="n">
        <f aca="false">SUM(I739:Q739)</f>
        <v>96.974158</v>
      </c>
      <c r="S739" s="61" t="n">
        <f aca="false">R739/(1-Resumo!$C$5)</f>
        <v>110.197906818182</v>
      </c>
      <c r="T739" s="61" t="n">
        <v>138.29</v>
      </c>
      <c r="U739" s="61" t="n">
        <f aca="false">H739*Resumo!$B$6</f>
        <v>0.45099</v>
      </c>
      <c r="V739" s="61" t="n">
        <f aca="false">H739*Resumo!$B$7</f>
        <v>0.90198</v>
      </c>
      <c r="W739" s="61" t="n">
        <f aca="false">Resumo!$B$9</f>
        <v>1</v>
      </c>
      <c r="X739" s="61" t="n">
        <f aca="false">Resumo!$B$10*CEILING(G739/100,1)</f>
        <v>4.5</v>
      </c>
      <c r="Y739" s="61" t="n">
        <f aca="false">Resumo!$B$12*CEILING(G739,1)</f>
        <v>1.98</v>
      </c>
      <c r="Z739" s="61" t="n">
        <f aca="false">Resumo!$B$14*CEILING(G739,1)</f>
        <v>14.85</v>
      </c>
      <c r="AA739" s="61" t="n">
        <f aca="false">SUM(T739:Z739)</f>
        <v>161.97297</v>
      </c>
      <c r="AB739" s="61" t="n">
        <f aca="false">AA739/(1-Resumo!$B$5)</f>
        <v>184.060193181818</v>
      </c>
      <c r="AC739" s="61" t="n">
        <f aca="false">AB739-S739</f>
        <v>73.8622863636364</v>
      </c>
      <c r="AD739" s="62" t="n">
        <f aca="false">AB739/S739-1</f>
        <v>0.670269413424554</v>
      </c>
      <c r="AE739" s="60" t="str">
        <f aca="false">IF(AB739&lt;S739,"SIM","NÃO")</f>
        <v>NÃO</v>
      </c>
      <c r="AF739" s="60" t="n">
        <v>13</v>
      </c>
      <c r="AG739" s="60" t="n">
        <v>11</v>
      </c>
      <c r="AH739" s="60" t="s">
        <v>382</v>
      </c>
      <c r="AI739" s="61" t="n">
        <f aca="false">(T739*(1-Painel!$C$40)+U739+V739+Painel!$C$41+Painel!$C$42*CEILING(G739/100,1)+Painel!$C$43*CEILING(G739,1)+Z739)/(1-Resumo!$B$5)</f>
        <v>126.030988636364</v>
      </c>
      <c r="AJ739" s="60" t="str">
        <f aca="false">IF(AI739&lt;S739,"SIM","NÃO")</f>
        <v>NÃO</v>
      </c>
    </row>
    <row r="740" customFormat="false" ht="15" hidden="false" customHeight="false" outlineLevel="0" collapsed="false">
      <c r="A740" s="59" t="n">
        <v>46242.6662268519</v>
      </c>
      <c r="B740" s="60" t="s">
        <v>1088</v>
      </c>
      <c r="C740" s="60" t="n">
        <v>25235105</v>
      </c>
      <c r="D740" s="60" t="s">
        <v>48</v>
      </c>
      <c r="E740" s="60" t="s">
        <v>23</v>
      </c>
      <c r="F740" s="60" t="s">
        <v>236</v>
      </c>
      <c r="G740" s="60" t="n">
        <v>59.9</v>
      </c>
      <c r="H740" s="61" t="n">
        <v>874</v>
      </c>
      <c r="I740" s="61" t="n">
        <v>70.98</v>
      </c>
      <c r="J740" s="61" t="n">
        <f aca="false">H740*Resumo!$C$6</f>
        <v>0</v>
      </c>
      <c r="K740" s="61" t="n">
        <f aca="false">H740*Resumo!$C$7</f>
        <v>1.8354</v>
      </c>
      <c r="L740" s="61" t="n">
        <f aca="false">H740*Resumo!$C$8</f>
        <v>1.8354</v>
      </c>
      <c r="M740" s="61" t="n">
        <f aca="false">Resumo!$C$10*CEILING(G740/100,1)</f>
        <v>1.05</v>
      </c>
      <c r="N740" s="61" t="n">
        <f aca="false">Resumo!$C$9</f>
        <v>0</v>
      </c>
      <c r="O740" s="61" t="n">
        <f aca="false">Resumo!$C$13</f>
        <v>13.55</v>
      </c>
      <c r="P740" s="61" t="n">
        <f aca="false">Resumo!$C$14*CEILING(G740,1)</f>
        <v>27</v>
      </c>
      <c r="Q740" s="61" t="n">
        <f aca="false">SUM(I740:P740)*Resumo!$C$11</f>
        <v>0</v>
      </c>
      <c r="R740" s="61" t="n">
        <f aca="false">SUM(I740:Q740)</f>
        <v>116.2508</v>
      </c>
      <c r="S740" s="61" t="n">
        <f aca="false">R740/(1-Resumo!$C$5)</f>
        <v>132.103181818182</v>
      </c>
      <c r="T740" s="61" t="n">
        <v>112.3</v>
      </c>
      <c r="U740" s="61" t="n">
        <f aca="false">H740*Resumo!$B$6</f>
        <v>0.874</v>
      </c>
      <c r="V740" s="61" t="n">
        <f aca="false">H740*Resumo!$B$7</f>
        <v>1.748</v>
      </c>
      <c r="W740" s="61" t="n">
        <f aca="false">Resumo!$B$9</f>
        <v>1</v>
      </c>
      <c r="X740" s="61" t="n">
        <f aca="false">Resumo!$B$10*CEILING(G740/100,1)</f>
        <v>4.5</v>
      </c>
      <c r="Y740" s="61" t="n">
        <f aca="false">Resumo!$B$12*CEILING(G740,1)</f>
        <v>3.6</v>
      </c>
      <c r="Z740" s="61" t="n">
        <f aca="false">Resumo!$B$14*CEILING(G740,1)</f>
        <v>27</v>
      </c>
      <c r="AA740" s="61" t="n">
        <f aca="false">SUM(T740:Z740)</f>
        <v>151.022</v>
      </c>
      <c r="AB740" s="61" t="n">
        <f aca="false">AA740/(1-Resumo!$B$5)</f>
        <v>171.615909090909</v>
      </c>
      <c r="AC740" s="61" t="n">
        <f aca="false">AB740-S740</f>
        <v>39.5127272727273</v>
      </c>
      <c r="AD740" s="62" t="n">
        <f aca="false">AB740/S740-1</f>
        <v>0.29910503841694</v>
      </c>
      <c r="AE740" s="60" t="str">
        <f aca="false">IF(AB740&lt;S740,"SIM","NÃO")</f>
        <v>NÃO</v>
      </c>
      <c r="AF740" s="60" t="n">
        <v>2</v>
      </c>
      <c r="AG740" s="60" t="n">
        <v>5</v>
      </c>
      <c r="AH740" s="60" t="s">
        <v>382</v>
      </c>
      <c r="AI740" s="61" t="n">
        <f aca="false">(T740*(1-Painel!$C$40)+U740+V740+Painel!$C$41+Painel!$C$42*CEILING(G740/100,1)+Painel!$C$43*CEILING(G740,1)+Z740)/(1-Resumo!$B$5)</f>
        <v>121.492045454545</v>
      </c>
      <c r="AJ740" s="60" t="str">
        <f aca="false">IF(AI740&lt;S740,"SIM","NÃO")</f>
        <v>SIM</v>
      </c>
    </row>
    <row r="741" customFormat="false" ht="15" hidden="false" customHeight="false" outlineLevel="0" collapsed="false">
      <c r="A741" s="59" t="n">
        <v>46242.6695023148</v>
      </c>
      <c r="B741" s="60" t="s">
        <v>1089</v>
      </c>
      <c r="C741" s="60" t="n">
        <v>28897174</v>
      </c>
      <c r="D741" s="60" t="s">
        <v>227</v>
      </c>
      <c r="E741" s="60" t="s">
        <v>24</v>
      </c>
      <c r="F741" s="60" t="s">
        <v>233</v>
      </c>
      <c r="G741" s="60" t="n">
        <v>33</v>
      </c>
      <c r="H741" s="61" t="n">
        <v>450.99</v>
      </c>
      <c r="I741" s="61" t="n">
        <v>65.63</v>
      </c>
      <c r="J741" s="61" t="n">
        <f aca="false">H741*Resumo!$C$6</f>
        <v>0</v>
      </c>
      <c r="K741" s="61" t="n">
        <f aca="false">H741*Resumo!$C$7</f>
        <v>0.947079</v>
      </c>
      <c r="L741" s="61" t="n">
        <f aca="false">H741*Resumo!$C$8</f>
        <v>0.947079</v>
      </c>
      <c r="M741" s="61" t="n">
        <f aca="false">Resumo!$C$10*CEILING(G741/100,1)</f>
        <v>1.05</v>
      </c>
      <c r="N741" s="61" t="n">
        <f aca="false">Resumo!$C$9</f>
        <v>0</v>
      </c>
      <c r="O741" s="61" t="n">
        <f aca="false">Resumo!$C$13</f>
        <v>13.55</v>
      </c>
      <c r="P741" s="61" t="n">
        <f aca="false">Resumo!$C$14*CEILING(G741,1)</f>
        <v>14.85</v>
      </c>
      <c r="Q741" s="61" t="n">
        <f aca="false">SUM(I741:P741)*Resumo!$C$11</f>
        <v>0</v>
      </c>
      <c r="R741" s="61" t="n">
        <f aca="false">SUM(I741:Q741)</f>
        <v>96.974158</v>
      </c>
      <c r="S741" s="61" t="n">
        <f aca="false">R741/(1-Resumo!$C$5)</f>
        <v>110.197906818182</v>
      </c>
      <c r="T741" s="61" t="n">
        <v>114.95</v>
      </c>
      <c r="U741" s="61" t="n">
        <f aca="false">H741*Resumo!$B$6</f>
        <v>0.45099</v>
      </c>
      <c r="V741" s="61" t="n">
        <f aca="false">H741*Resumo!$B$7</f>
        <v>0.90198</v>
      </c>
      <c r="W741" s="61" t="n">
        <f aca="false">Resumo!$B$9</f>
        <v>1</v>
      </c>
      <c r="X741" s="61" t="n">
        <f aca="false">Resumo!$B$10*CEILING(G741/100,1)</f>
        <v>4.5</v>
      </c>
      <c r="Y741" s="61" t="n">
        <f aca="false">Resumo!$B$12*CEILING(G741,1)</f>
        <v>1.98</v>
      </c>
      <c r="Z741" s="61" t="n">
        <f aca="false">Resumo!$B$14*CEILING(G741,1)</f>
        <v>14.85</v>
      </c>
      <c r="AA741" s="61" t="n">
        <f aca="false">SUM(T741:Z741)</f>
        <v>138.63297</v>
      </c>
      <c r="AB741" s="61" t="n">
        <f aca="false">AA741/(1-Resumo!$B$5)</f>
        <v>157.537465909091</v>
      </c>
      <c r="AC741" s="61" t="n">
        <f aca="false">AB741-S741</f>
        <v>47.3395590909091</v>
      </c>
      <c r="AD741" s="62" t="n">
        <f aca="false">AB741/S741-1</f>
        <v>0.429586735880708</v>
      </c>
      <c r="AE741" s="60" t="str">
        <f aca="false">IF(AB741&lt;S741,"SIM","NÃO")</f>
        <v>NÃO</v>
      </c>
      <c r="AF741" s="60" t="n">
        <v>13</v>
      </c>
      <c r="AG741" s="60" t="n">
        <v>10</v>
      </c>
      <c r="AH741" s="60" t="s">
        <v>382</v>
      </c>
      <c r="AI741" s="61" t="n">
        <f aca="false">(T741*(1-Painel!$C$40)+U741+V741+Painel!$C$41+Painel!$C$42*CEILING(G741/100,1)+Painel!$C$43*CEILING(G741,1)+Z741)/(1-Resumo!$B$5)</f>
        <v>108.260761363636</v>
      </c>
      <c r="AJ741" s="60" t="str">
        <f aca="false">IF(AI741&lt;S741,"SIM","NÃO")</f>
        <v>SIM</v>
      </c>
    </row>
    <row r="742" customFormat="false" ht="15" hidden="false" customHeight="false" outlineLevel="0" collapsed="false">
      <c r="A742" s="59" t="n">
        <v>46242.6801041667</v>
      </c>
      <c r="B742" s="60" t="s">
        <v>1090</v>
      </c>
      <c r="C742" s="60" t="n">
        <v>21665110</v>
      </c>
      <c r="D742" s="60" t="s">
        <v>46</v>
      </c>
      <c r="E742" s="60" t="s">
        <v>22</v>
      </c>
      <c r="F742" s="60" t="s">
        <v>234</v>
      </c>
      <c r="G742" s="60" t="n">
        <v>37.2</v>
      </c>
      <c r="H742" s="61" t="n">
        <v>360.99</v>
      </c>
      <c r="I742" s="61" t="n">
        <v>48.35</v>
      </c>
      <c r="J742" s="61" t="n">
        <f aca="false">H742*Resumo!$C$6</f>
        <v>0</v>
      </c>
      <c r="K742" s="61" t="n">
        <f aca="false">H742*Resumo!$C$7</f>
        <v>0.758079</v>
      </c>
      <c r="L742" s="61" t="n">
        <f aca="false">H742*Resumo!$C$8</f>
        <v>0.758079</v>
      </c>
      <c r="M742" s="61" t="n">
        <f aca="false">Resumo!$C$10*CEILING(G742/100,1)</f>
        <v>1.05</v>
      </c>
      <c r="N742" s="61" t="n">
        <f aca="false">Resumo!$C$9</f>
        <v>0</v>
      </c>
      <c r="O742" s="61" t="n">
        <f aca="false">Resumo!$C$13</f>
        <v>13.55</v>
      </c>
      <c r="P742" s="61" t="n">
        <f aca="false">Resumo!$C$14*CEILING(G742,1)</f>
        <v>17.1</v>
      </c>
      <c r="Q742" s="61" t="n">
        <f aca="false">SUM(I742:P742)*Resumo!$C$11</f>
        <v>0</v>
      </c>
      <c r="R742" s="61" t="n">
        <f aca="false">SUM(I742:Q742)</f>
        <v>81.566158</v>
      </c>
      <c r="S742" s="61" t="n">
        <f aca="false">R742/(1-Resumo!$C$5)</f>
        <v>92.6888159090909</v>
      </c>
      <c r="T742" s="61" t="n">
        <v>93.97</v>
      </c>
      <c r="U742" s="61" t="n">
        <f aca="false">H742*Resumo!$B$6</f>
        <v>0.36099</v>
      </c>
      <c r="V742" s="61" t="n">
        <f aca="false">H742*Resumo!$B$7</f>
        <v>0.72198</v>
      </c>
      <c r="W742" s="61" t="n">
        <f aca="false">Resumo!$B$9</f>
        <v>1</v>
      </c>
      <c r="X742" s="61" t="n">
        <f aca="false">Resumo!$B$10*CEILING(G742/100,1)</f>
        <v>4.5</v>
      </c>
      <c r="Y742" s="61" t="n">
        <f aca="false">Resumo!$B$12*CEILING(G742,1)</f>
        <v>2.28</v>
      </c>
      <c r="Z742" s="61" t="n">
        <f aca="false">Resumo!$B$14*CEILING(G742,1)</f>
        <v>17.1</v>
      </c>
      <c r="AA742" s="61" t="n">
        <f aca="false">SUM(T742:Z742)</f>
        <v>119.93297</v>
      </c>
      <c r="AB742" s="61" t="n">
        <f aca="false">AA742/(1-Resumo!$B$5)</f>
        <v>136.287465909091</v>
      </c>
      <c r="AC742" s="61" t="n">
        <f aca="false">AB742-S742</f>
        <v>43.59865</v>
      </c>
      <c r="AD742" s="62" t="n">
        <f aca="false">AB742/S742-1</f>
        <v>0.470376599079241</v>
      </c>
      <c r="AE742" s="60" t="str">
        <f aca="false">IF(AB742&lt;S742,"SIM","NÃO")</f>
        <v>NÃO</v>
      </c>
      <c r="AF742" s="60" t="n">
        <v>2</v>
      </c>
      <c r="AG742" s="60" t="n">
        <v>5</v>
      </c>
      <c r="AH742" s="60" t="s">
        <v>382</v>
      </c>
      <c r="AI742" s="61" t="n">
        <f aca="false">(T742*(1-Painel!$C$40)+U742+V742+Painel!$C$41+Painel!$C$42*CEILING(G742/100,1)+Painel!$C$43*CEILING(G742,1)+Z742)/(1-Resumo!$B$5)</f>
        <v>94.5373522727273</v>
      </c>
      <c r="AJ742" s="60" t="str">
        <f aca="false">IF(AI742&lt;S742,"SIM","NÃO")</f>
        <v>NÃO</v>
      </c>
    </row>
    <row r="743" customFormat="false" ht="15" hidden="false" customHeight="false" outlineLevel="0" collapsed="false">
      <c r="A743" s="59" t="n">
        <v>46242.6831018519</v>
      </c>
      <c r="B743" s="60" t="s">
        <v>722</v>
      </c>
      <c r="C743" s="60" t="n">
        <v>28400000</v>
      </c>
      <c r="D743" s="60" t="s">
        <v>314</v>
      </c>
      <c r="E743" s="60" t="s">
        <v>24</v>
      </c>
      <c r="F743" s="60" t="s">
        <v>235</v>
      </c>
      <c r="G743" s="60" t="n">
        <v>48.3</v>
      </c>
      <c r="H743" s="61" t="n">
        <v>439.99</v>
      </c>
      <c r="I743" s="61" t="n">
        <v>77.7</v>
      </c>
      <c r="J743" s="61" t="n">
        <f aca="false">H743*Resumo!$C$6</f>
        <v>0</v>
      </c>
      <c r="K743" s="61" t="n">
        <f aca="false">H743*Resumo!$C$7</f>
        <v>0.923979</v>
      </c>
      <c r="L743" s="61" t="n">
        <f aca="false">H743*Resumo!$C$8</f>
        <v>0.923979</v>
      </c>
      <c r="M743" s="61" t="n">
        <f aca="false">Resumo!$C$10*CEILING(G743/100,1)</f>
        <v>1.05</v>
      </c>
      <c r="N743" s="61" t="n">
        <f aca="false">Resumo!$C$9</f>
        <v>0</v>
      </c>
      <c r="O743" s="61" t="n">
        <f aca="false">Resumo!$C$13</f>
        <v>13.55</v>
      </c>
      <c r="P743" s="61" t="n">
        <f aca="false">Resumo!$C$14*CEILING(G743,1)</f>
        <v>22.05</v>
      </c>
      <c r="Q743" s="61" t="n">
        <f aca="false">SUM(I743:P743)*Resumo!$C$11</f>
        <v>0</v>
      </c>
      <c r="R743" s="61" t="n">
        <f aca="false">SUM(I743:Q743)</f>
        <v>116.197958</v>
      </c>
      <c r="S743" s="61" t="n">
        <f aca="false">R743/(1-Resumo!$C$5)</f>
        <v>132.043134090909</v>
      </c>
      <c r="T743" s="61" t="n">
        <v>152.54</v>
      </c>
      <c r="U743" s="61" t="n">
        <f aca="false">H743*Resumo!$B$6</f>
        <v>0.43999</v>
      </c>
      <c r="V743" s="61" t="n">
        <f aca="false">H743*Resumo!$B$7</f>
        <v>0.87998</v>
      </c>
      <c r="W743" s="61" t="n">
        <f aca="false">Resumo!$B$9</f>
        <v>1</v>
      </c>
      <c r="X743" s="61" t="n">
        <f aca="false">Resumo!$B$10*CEILING(G743/100,1)</f>
        <v>4.5</v>
      </c>
      <c r="Y743" s="61" t="n">
        <f aca="false">Resumo!$B$12*CEILING(G743,1)</f>
        <v>2.94</v>
      </c>
      <c r="Z743" s="61" t="n">
        <f aca="false">Resumo!$B$14*CEILING(G743,1)</f>
        <v>22.05</v>
      </c>
      <c r="AA743" s="61" t="n">
        <f aca="false">SUM(T743:Z743)</f>
        <v>184.34997</v>
      </c>
      <c r="AB743" s="61" t="n">
        <f aca="false">AA743/(1-Resumo!$B$5)</f>
        <v>209.488602272727</v>
      </c>
      <c r="AC743" s="61" t="n">
        <f aca="false">AB743-S743</f>
        <v>77.4454681818182</v>
      </c>
      <c r="AD743" s="62" t="n">
        <f aca="false">AB743/S743-1</f>
        <v>0.586516434307736</v>
      </c>
      <c r="AE743" s="60" t="str">
        <f aca="false">IF(AB743&lt;S743,"SIM","NÃO")</f>
        <v>NÃO</v>
      </c>
      <c r="AF743" s="60" t="n">
        <v>13</v>
      </c>
      <c r="AG743" s="60" t="n">
        <v>11</v>
      </c>
      <c r="AH743" s="60" t="s">
        <v>385</v>
      </c>
      <c r="AI743" s="61" t="n">
        <f aca="false">(T743*(1-Painel!$C$40)+U743+V743+Painel!$C$41+Painel!$C$42*CEILING(G743/100,1)+Painel!$C$43*CEILING(G743,1)+Z743)/(1-Resumo!$B$5)</f>
        <v>145.024738636364</v>
      </c>
      <c r="AJ743" s="60" t="str">
        <f aca="false">IF(AI743&lt;S743,"SIM","NÃO")</f>
        <v>NÃO</v>
      </c>
    </row>
    <row r="744" customFormat="false" ht="15" hidden="false" customHeight="false" outlineLevel="0" collapsed="false">
      <c r="A744" s="59" t="n">
        <v>46242.6841319444</v>
      </c>
      <c r="B744" s="60" t="s">
        <v>1091</v>
      </c>
      <c r="C744" s="60" t="n">
        <v>22713587</v>
      </c>
      <c r="D744" s="60" t="s">
        <v>46</v>
      </c>
      <c r="E744" s="60" t="s">
        <v>22</v>
      </c>
      <c r="F744" s="60" t="s">
        <v>234</v>
      </c>
      <c r="G744" s="60" t="n">
        <v>36.8</v>
      </c>
      <c r="H744" s="61" t="n">
        <v>396.99</v>
      </c>
      <c r="I744" s="61" t="n">
        <v>48.35</v>
      </c>
      <c r="J744" s="61" t="n">
        <f aca="false">H744*Resumo!$C$6</f>
        <v>0</v>
      </c>
      <c r="K744" s="61" t="n">
        <f aca="false">H744*Resumo!$C$7</f>
        <v>0.833679</v>
      </c>
      <c r="L744" s="61" t="n">
        <f aca="false">H744*Resumo!$C$8</f>
        <v>0.833679</v>
      </c>
      <c r="M744" s="61" t="n">
        <f aca="false">Resumo!$C$10*CEILING(G744/100,1)</f>
        <v>1.05</v>
      </c>
      <c r="N744" s="61" t="n">
        <f aca="false">Resumo!$C$9</f>
        <v>0</v>
      </c>
      <c r="O744" s="61" t="n">
        <f aca="false">Resumo!$C$13</f>
        <v>13.55</v>
      </c>
      <c r="P744" s="61" t="n">
        <f aca="false">Resumo!$C$14*CEILING(G744,1)</f>
        <v>16.65</v>
      </c>
      <c r="Q744" s="61" t="n">
        <f aca="false">SUM(I744:P744)*Resumo!$C$11</f>
        <v>0</v>
      </c>
      <c r="R744" s="61" t="n">
        <f aca="false">SUM(I744:Q744)</f>
        <v>81.267358</v>
      </c>
      <c r="S744" s="61" t="n">
        <f aca="false">R744/(1-Resumo!$C$5)</f>
        <v>92.3492704545455</v>
      </c>
      <c r="T744" s="61" t="n">
        <v>93.97</v>
      </c>
      <c r="U744" s="61" t="n">
        <f aca="false">H744*Resumo!$B$6</f>
        <v>0.39699</v>
      </c>
      <c r="V744" s="61" t="n">
        <f aca="false">H744*Resumo!$B$7</f>
        <v>0.79398</v>
      </c>
      <c r="W744" s="61" t="n">
        <f aca="false">Resumo!$B$9</f>
        <v>1</v>
      </c>
      <c r="X744" s="61" t="n">
        <f aca="false">Resumo!$B$10*CEILING(G744/100,1)</f>
        <v>4.5</v>
      </c>
      <c r="Y744" s="61" t="n">
        <f aca="false">Resumo!$B$12*CEILING(G744,1)</f>
        <v>2.22</v>
      </c>
      <c r="Z744" s="61" t="n">
        <f aca="false">Resumo!$B$14*CEILING(G744,1)</f>
        <v>16.65</v>
      </c>
      <c r="AA744" s="61" t="n">
        <f aca="false">SUM(T744:Z744)</f>
        <v>119.53097</v>
      </c>
      <c r="AB744" s="61" t="n">
        <f aca="false">AA744/(1-Resumo!$B$5)</f>
        <v>135.830647727273</v>
      </c>
      <c r="AC744" s="61" t="n">
        <f aca="false">AB744-S744</f>
        <v>43.4813772727273</v>
      </c>
      <c r="AD744" s="62" t="n">
        <f aca="false">AB744/S744-1</f>
        <v>0.470836175085205</v>
      </c>
      <c r="AE744" s="60" t="str">
        <f aca="false">IF(AB744&lt;S744,"SIM","NÃO")</f>
        <v>NÃO</v>
      </c>
      <c r="AF744" s="60" t="n">
        <v>2</v>
      </c>
      <c r="AG744" s="60" t="n">
        <v>5</v>
      </c>
      <c r="AH744" s="60" t="s">
        <v>382</v>
      </c>
      <c r="AI744" s="61" t="n">
        <f aca="false">(T744*(1-Painel!$C$40)+U744+V744+Painel!$C$41+Painel!$C$42*CEILING(G744/100,1)+Painel!$C$43*CEILING(G744,1)+Z744)/(1-Resumo!$B$5)</f>
        <v>94.1487159090909</v>
      </c>
      <c r="AJ744" s="60" t="str">
        <f aca="false">IF(AI744&lt;S744,"SIM","NÃO")</f>
        <v>NÃO</v>
      </c>
    </row>
    <row r="745" customFormat="false" ht="15" hidden="false" customHeight="false" outlineLevel="0" collapsed="false">
      <c r="A745" s="59" t="n">
        <v>46242.6987615741</v>
      </c>
      <c r="B745" s="60" t="s">
        <v>1092</v>
      </c>
      <c r="C745" s="60" t="n">
        <v>21616410</v>
      </c>
      <c r="D745" s="60" t="s">
        <v>46</v>
      </c>
      <c r="E745" s="60" t="s">
        <v>22</v>
      </c>
      <c r="F745" s="60" t="s">
        <v>236</v>
      </c>
      <c r="G745" s="60" t="n">
        <v>52.3</v>
      </c>
      <c r="H745" s="61" t="n">
        <v>616.99</v>
      </c>
      <c r="I745" s="61" t="n">
        <v>58.6</v>
      </c>
      <c r="J745" s="61" t="n">
        <f aca="false">H745*Resumo!$C$6</f>
        <v>0</v>
      </c>
      <c r="K745" s="61" t="n">
        <f aca="false">H745*Resumo!$C$7</f>
        <v>1.295679</v>
      </c>
      <c r="L745" s="61" t="n">
        <f aca="false">H745*Resumo!$C$8</f>
        <v>1.295679</v>
      </c>
      <c r="M745" s="61" t="n">
        <f aca="false">Resumo!$C$10*CEILING(G745/100,1)</f>
        <v>1.05</v>
      </c>
      <c r="N745" s="61" t="n">
        <f aca="false">Resumo!$C$9</f>
        <v>0</v>
      </c>
      <c r="O745" s="61" t="n">
        <f aca="false">Resumo!$C$13</f>
        <v>13.55</v>
      </c>
      <c r="P745" s="61" t="n">
        <f aca="false">Resumo!$C$14*CEILING(G745,1)</f>
        <v>23.85</v>
      </c>
      <c r="Q745" s="61" t="n">
        <f aca="false">SUM(I745:P745)*Resumo!$C$11</f>
        <v>0</v>
      </c>
      <c r="R745" s="61" t="n">
        <f aca="false">SUM(I745:Q745)</f>
        <v>99.641358</v>
      </c>
      <c r="S745" s="61" t="n">
        <f aca="false">R745/(1-Resumo!$C$5)</f>
        <v>113.228815909091</v>
      </c>
      <c r="T745" s="61" t="n">
        <v>112.3</v>
      </c>
      <c r="U745" s="61" t="n">
        <f aca="false">H745*Resumo!$B$6</f>
        <v>0.61699</v>
      </c>
      <c r="V745" s="61" t="n">
        <f aca="false">H745*Resumo!$B$7</f>
        <v>1.23398</v>
      </c>
      <c r="W745" s="61" t="n">
        <f aca="false">Resumo!$B$9</f>
        <v>1</v>
      </c>
      <c r="X745" s="61" t="n">
        <f aca="false">Resumo!$B$10*CEILING(G745/100,1)</f>
        <v>4.5</v>
      </c>
      <c r="Y745" s="61" t="n">
        <f aca="false">Resumo!$B$12*CEILING(G745,1)</f>
        <v>3.18</v>
      </c>
      <c r="Z745" s="61" t="n">
        <f aca="false">Resumo!$B$14*CEILING(G745,1)</f>
        <v>23.85</v>
      </c>
      <c r="AA745" s="61" t="n">
        <f aca="false">SUM(T745:Z745)</f>
        <v>146.68097</v>
      </c>
      <c r="AB745" s="61" t="n">
        <f aca="false">AA745/(1-Resumo!$B$5)</f>
        <v>166.682920454545</v>
      </c>
      <c r="AC745" s="61" t="n">
        <f aca="false">AB745-S745</f>
        <v>53.4541045454546</v>
      </c>
      <c r="AD745" s="62" t="n">
        <f aca="false">AB745/S745-1</f>
        <v>0.472089230257179</v>
      </c>
      <c r="AE745" s="60" t="str">
        <f aca="false">IF(AB745&lt;S745,"SIM","NÃO")</f>
        <v>NÃO</v>
      </c>
      <c r="AF745" s="60" t="n">
        <v>2</v>
      </c>
      <c r="AG745" s="60" t="n">
        <v>5</v>
      </c>
      <c r="AH745" s="60" t="s">
        <v>382</v>
      </c>
      <c r="AI745" s="61" t="n">
        <f aca="false">(T745*(1-Painel!$C$40)+U745+V745+Painel!$C$41+Painel!$C$42*CEILING(G745/100,1)+Painel!$C$43*CEILING(G745,1)+Z745)/(1-Resumo!$B$5)</f>
        <v>117.036329545455</v>
      </c>
      <c r="AJ745" s="60" t="str">
        <f aca="false">IF(AI745&lt;S745,"SIM","NÃO")</f>
        <v>NÃO</v>
      </c>
    </row>
    <row r="746" customFormat="false" ht="15" hidden="false" customHeight="false" outlineLevel="0" collapsed="false">
      <c r="A746" s="59" t="n">
        <v>46242.6994675926</v>
      </c>
      <c r="B746" s="60" t="s">
        <v>1093</v>
      </c>
      <c r="C746" s="60" t="n">
        <v>22775118</v>
      </c>
      <c r="D746" s="60" t="s">
        <v>46</v>
      </c>
      <c r="E746" s="60" t="s">
        <v>22</v>
      </c>
      <c r="F746" s="60" t="s">
        <v>241</v>
      </c>
      <c r="G746" s="60" t="n">
        <v>138</v>
      </c>
      <c r="H746" s="61" t="n">
        <v>1432.72</v>
      </c>
      <c r="I746" s="61" t="n">
        <v>120.59</v>
      </c>
      <c r="J746" s="61" t="n">
        <f aca="false">H746*Resumo!$C$6</f>
        <v>0</v>
      </c>
      <c r="K746" s="61" t="n">
        <f aca="false">H746*Resumo!$C$7</f>
        <v>3.008712</v>
      </c>
      <c r="L746" s="61" t="n">
        <f aca="false">H746*Resumo!$C$8</f>
        <v>3.008712</v>
      </c>
      <c r="M746" s="61" t="n">
        <f aca="false">Resumo!$C$10*CEILING(G746/100,1)</f>
        <v>2.1</v>
      </c>
      <c r="N746" s="61" t="n">
        <f aca="false">Resumo!$C$9</f>
        <v>0</v>
      </c>
      <c r="O746" s="61" t="n">
        <f aca="false">Resumo!$C$13</f>
        <v>13.55</v>
      </c>
      <c r="P746" s="61" t="n">
        <f aca="false">Resumo!$C$14*CEILING(G746,1)</f>
        <v>62.1</v>
      </c>
      <c r="Q746" s="61" t="n">
        <f aca="false">SUM(I746:P746)*Resumo!$C$11</f>
        <v>0</v>
      </c>
      <c r="R746" s="61" t="n">
        <f aca="false">SUM(I746:Q746)</f>
        <v>204.357424</v>
      </c>
      <c r="S746" s="61" t="n">
        <f aca="false">R746/(1-Resumo!$C$5)</f>
        <v>232.224345454545</v>
      </c>
      <c r="T746" s="61" t="n">
        <v>239.25</v>
      </c>
      <c r="U746" s="61" t="n">
        <f aca="false">H746*Resumo!$B$6</f>
        <v>1.43272</v>
      </c>
      <c r="V746" s="61" t="n">
        <f aca="false">H746*Resumo!$B$7</f>
        <v>2.86544</v>
      </c>
      <c r="W746" s="61" t="n">
        <f aca="false">Resumo!$B$9</f>
        <v>1</v>
      </c>
      <c r="X746" s="61" t="n">
        <f aca="false">Resumo!$B$10*CEILING(G746/100,1)</f>
        <v>9</v>
      </c>
      <c r="Y746" s="61" t="n">
        <f aca="false">Resumo!$B$12*CEILING(G746,1)</f>
        <v>8.28</v>
      </c>
      <c r="Z746" s="61" t="n">
        <f aca="false">Resumo!$B$14*CEILING(G746,1)</f>
        <v>62.1</v>
      </c>
      <c r="AA746" s="61" t="n">
        <f aca="false">SUM(T746:Z746)</f>
        <v>323.92816</v>
      </c>
      <c r="AB746" s="61" t="n">
        <f aca="false">AA746/(1-Resumo!$B$5)</f>
        <v>368.100181818182</v>
      </c>
      <c r="AC746" s="61" t="n">
        <f aca="false">AB746-S746</f>
        <v>135.875836363636</v>
      </c>
      <c r="AD746" s="62" t="n">
        <f aca="false">AB746/S746-1</f>
        <v>0.585105907383135</v>
      </c>
      <c r="AE746" s="60" t="str">
        <f aca="false">IF(AB746&lt;S746,"SIM","NÃO")</f>
        <v>NÃO</v>
      </c>
      <c r="AF746" s="60" t="n">
        <v>2</v>
      </c>
      <c r="AG746" s="60" t="n">
        <v>5</v>
      </c>
      <c r="AH746" s="60" t="s">
        <v>382</v>
      </c>
      <c r="AI746" s="61" t="n">
        <f aca="false">(T746*(1-Painel!$C$40)+U746+V746+Painel!$C$41+Painel!$C$42*CEILING(G746/100,1)+Painel!$C$43*CEILING(G746,1)+Z746)/(1-Resumo!$B$5)</f>
        <v>261.131431818182</v>
      </c>
      <c r="AJ746" s="60" t="str">
        <f aca="false">IF(AI746&lt;S746,"SIM","NÃO")</f>
        <v>NÃO</v>
      </c>
    </row>
    <row r="747" customFormat="false" ht="15" hidden="false" customHeight="false" outlineLevel="0" collapsed="false">
      <c r="A747" s="59" t="n">
        <v>46242.7001273148</v>
      </c>
      <c r="B747" s="60" t="s">
        <v>1094</v>
      </c>
      <c r="C747" s="60" t="n">
        <v>25266070</v>
      </c>
      <c r="D747" s="60" t="s">
        <v>48</v>
      </c>
      <c r="E747" s="60" t="s">
        <v>23</v>
      </c>
      <c r="F747" s="60" t="s">
        <v>237</v>
      </c>
      <c r="G747" s="60" t="n">
        <v>69.15</v>
      </c>
      <c r="H747" s="61" t="n">
        <v>829.99</v>
      </c>
      <c r="I747" s="61" t="n">
        <v>76.55</v>
      </c>
      <c r="J747" s="61" t="n">
        <f aca="false">H747*Resumo!$C$6</f>
        <v>0</v>
      </c>
      <c r="K747" s="61" t="n">
        <f aca="false">H747*Resumo!$C$7</f>
        <v>1.742979</v>
      </c>
      <c r="L747" s="61" t="n">
        <f aca="false">H747*Resumo!$C$8</f>
        <v>1.742979</v>
      </c>
      <c r="M747" s="61" t="n">
        <f aca="false">Resumo!$C$10*CEILING(G747/100,1)</f>
        <v>1.05</v>
      </c>
      <c r="N747" s="61" t="n">
        <f aca="false">Resumo!$C$9</f>
        <v>0</v>
      </c>
      <c r="O747" s="61" t="n">
        <f aca="false">Resumo!$C$13</f>
        <v>13.55</v>
      </c>
      <c r="P747" s="61" t="n">
        <f aca="false">Resumo!$C$14*CEILING(G747,1)</f>
        <v>31.5</v>
      </c>
      <c r="Q747" s="61" t="n">
        <f aca="false">SUM(I747:P747)*Resumo!$C$11</f>
        <v>0</v>
      </c>
      <c r="R747" s="61" t="n">
        <f aca="false">SUM(I747:Q747)</f>
        <v>126.135958</v>
      </c>
      <c r="S747" s="61" t="n">
        <f aca="false">R747/(1-Resumo!$C$5)</f>
        <v>143.336315909091</v>
      </c>
      <c r="T747" s="61" t="n">
        <v>131.02</v>
      </c>
      <c r="U747" s="61" t="n">
        <f aca="false">H747*Resumo!$B$6</f>
        <v>0.82999</v>
      </c>
      <c r="V747" s="61" t="n">
        <f aca="false">H747*Resumo!$B$7</f>
        <v>1.65998</v>
      </c>
      <c r="W747" s="61" t="n">
        <f aca="false">Resumo!$B$9</f>
        <v>1</v>
      </c>
      <c r="X747" s="61" t="n">
        <f aca="false">Resumo!$B$10*CEILING(G747/100,1)</f>
        <v>4.5</v>
      </c>
      <c r="Y747" s="61" t="n">
        <f aca="false">Resumo!$B$12*CEILING(G747,1)</f>
        <v>4.2</v>
      </c>
      <c r="Z747" s="61" t="n">
        <f aca="false">Resumo!$B$14*CEILING(G747,1)</f>
        <v>31.5</v>
      </c>
      <c r="AA747" s="61" t="n">
        <f aca="false">SUM(T747:Z747)</f>
        <v>174.70997</v>
      </c>
      <c r="AB747" s="61" t="n">
        <f aca="false">AA747/(1-Resumo!$B$5)</f>
        <v>198.534056818182</v>
      </c>
      <c r="AC747" s="61" t="n">
        <f aca="false">AB747-S747</f>
        <v>55.1977409090909</v>
      </c>
      <c r="AD747" s="62" t="n">
        <f aca="false">AB747/S747-1</f>
        <v>0.385092504708293</v>
      </c>
      <c r="AE747" s="60" t="str">
        <f aca="false">IF(AB747&lt;S747,"SIM","NÃO")</f>
        <v>NÃO</v>
      </c>
      <c r="AF747" s="60" t="n">
        <v>2</v>
      </c>
      <c r="AG747" s="60" t="n">
        <v>5</v>
      </c>
      <c r="AH747" s="60" t="s">
        <v>382</v>
      </c>
      <c r="AI747" s="61" t="n">
        <f aca="false">(T747*(1-Painel!$C$40)+U747+V747+Painel!$C$41+Painel!$C$42*CEILING(G747/100,1)+Painel!$C$43*CEILING(G747,1)+Z747)/(1-Resumo!$B$5)</f>
        <v>140.708375</v>
      </c>
      <c r="AJ747" s="60" t="str">
        <f aca="false">IF(AI747&lt;S747,"SIM","NÃO")</f>
        <v>SIM</v>
      </c>
    </row>
    <row r="748" customFormat="false" ht="15" hidden="false" customHeight="false" outlineLevel="0" collapsed="false">
      <c r="A748" s="59" t="n">
        <v>46242.7012037037</v>
      </c>
      <c r="B748" s="60" t="s">
        <v>680</v>
      </c>
      <c r="C748" s="60" t="n">
        <v>23860000</v>
      </c>
      <c r="D748" s="60" t="s">
        <v>265</v>
      </c>
      <c r="E748" s="60" t="s">
        <v>24</v>
      </c>
      <c r="F748" s="60" t="s">
        <v>237</v>
      </c>
      <c r="G748" s="60" t="n">
        <v>69.15</v>
      </c>
      <c r="H748" s="61" t="n">
        <v>707</v>
      </c>
      <c r="I748" s="61" t="n">
        <v>90.2</v>
      </c>
      <c r="J748" s="61" t="n">
        <f aca="false">H748*Resumo!$C$6</f>
        <v>0</v>
      </c>
      <c r="K748" s="61" t="n">
        <f aca="false">H748*Resumo!$C$7</f>
        <v>1.4847</v>
      </c>
      <c r="L748" s="61" t="n">
        <f aca="false">H748*Resumo!$C$8</f>
        <v>1.4847</v>
      </c>
      <c r="M748" s="61" t="n">
        <f aca="false">Resumo!$C$10*CEILING(G748/100,1)</f>
        <v>1.05</v>
      </c>
      <c r="N748" s="61" t="n">
        <f aca="false">Resumo!$C$9</f>
        <v>0</v>
      </c>
      <c r="O748" s="61" t="n">
        <f aca="false">Resumo!$C$13</f>
        <v>13.55</v>
      </c>
      <c r="P748" s="61" t="n">
        <f aca="false">Resumo!$C$14*CEILING(G748,1)</f>
        <v>31.5</v>
      </c>
      <c r="Q748" s="61" t="n">
        <f aca="false">SUM(I748:P748)*Resumo!$C$11</f>
        <v>0</v>
      </c>
      <c r="R748" s="61" t="n">
        <f aca="false">SUM(I748:Q748)</f>
        <v>139.2694</v>
      </c>
      <c r="S748" s="61" t="n">
        <f aca="false">R748/(1-Resumo!$C$5)</f>
        <v>158.260681818182</v>
      </c>
      <c r="T748" s="61" t="n">
        <v>166.05</v>
      </c>
      <c r="U748" s="61" t="n">
        <f aca="false">H748*Resumo!$B$6</f>
        <v>0.707</v>
      </c>
      <c r="V748" s="61" t="n">
        <f aca="false">H748*Resumo!$B$7</f>
        <v>1.414</v>
      </c>
      <c r="W748" s="61" t="n">
        <f aca="false">Resumo!$B$9</f>
        <v>1</v>
      </c>
      <c r="X748" s="61" t="n">
        <f aca="false">Resumo!$B$10*CEILING(G748/100,1)</f>
        <v>4.5</v>
      </c>
      <c r="Y748" s="61" t="n">
        <f aca="false">Resumo!$B$12*CEILING(G748,1)</f>
        <v>4.2</v>
      </c>
      <c r="Z748" s="61" t="n">
        <f aca="false">Resumo!$B$14*CEILING(G748,1)</f>
        <v>31.5</v>
      </c>
      <c r="AA748" s="61" t="n">
        <f aca="false">SUM(T748:Z748)</f>
        <v>209.371</v>
      </c>
      <c r="AB748" s="61" t="n">
        <f aca="false">AA748/(1-Resumo!$B$5)</f>
        <v>237.921590909091</v>
      </c>
      <c r="AC748" s="61" t="n">
        <f aca="false">AB748-S748</f>
        <v>79.6609090909091</v>
      </c>
      <c r="AD748" s="62" t="n">
        <f aca="false">AB748/S748-1</f>
        <v>0.503352495235852</v>
      </c>
      <c r="AE748" s="60" t="str">
        <f aca="false">IF(AB748&lt;S748,"SIM","NÃO")</f>
        <v>NÃO</v>
      </c>
      <c r="AF748" s="60" t="n">
        <v>13</v>
      </c>
      <c r="AG748" s="60" t="n">
        <v>10</v>
      </c>
      <c r="AH748" s="60" t="s">
        <v>385</v>
      </c>
      <c r="AI748" s="61" t="n">
        <f aca="false">(T748*(1-Painel!$C$40)+U748+V748+Painel!$C$41+Painel!$C$42*CEILING(G748/100,1)+Painel!$C$43*CEILING(G748,1)+Z748)/(1-Resumo!$B$5)</f>
        <v>166.959659090909</v>
      </c>
      <c r="AJ748" s="60" t="str">
        <f aca="false">IF(AI748&lt;S748,"SIM","NÃO")</f>
        <v>NÃO</v>
      </c>
    </row>
    <row r="749" customFormat="false" ht="15" hidden="false" customHeight="false" outlineLevel="0" collapsed="false">
      <c r="A749" s="59" t="n">
        <v>46242.7071527778</v>
      </c>
      <c r="B749" s="60" t="s">
        <v>1095</v>
      </c>
      <c r="C749" s="60" t="n">
        <v>25570290</v>
      </c>
      <c r="D749" s="60" t="s">
        <v>216</v>
      </c>
      <c r="E749" s="60" t="s">
        <v>23</v>
      </c>
      <c r="F749" s="60" t="s">
        <v>237</v>
      </c>
      <c r="G749" s="60" t="n">
        <v>61.5</v>
      </c>
      <c r="H749" s="61" t="n">
        <v>708.4</v>
      </c>
      <c r="I749" s="61" t="n">
        <v>76.55</v>
      </c>
      <c r="J749" s="61" t="n">
        <f aca="false">H749*Resumo!$C$6</f>
        <v>0</v>
      </c>
      <c r="K749" s="61" t="n">
        <f aca="false">H749*Resumo!$C$7</f>
        <v>1.48764</v>
      </c>
      <c r="L749" s="61" t="n">
        <f aca="false">H749*Resumo!$C$8</f>
        <v>1.48764</v>
      </c>
      <c r="M749" s="61" t="n">
        <f aca="false">Resumo!$C$10*CEILING(G749/100,1)</f>
        <v>1.05</v>
      </c>
      <c r="N749" s="61" t="n">
        <f aca="false">Resumo!$C$9</f>
        <v>0</v>
      </c>
      <c r="O749" s="61" t="n">
        <f aca="false">Resumo!$C$13</f>
        <v>13.55</v>
      </c>
      <c r="P749" s="61" t="n">
        <f aca="false">Resumo!$C$14*CEILING(G749,1)</f>
        <v>27.9</v>
      </c>
      <c r="Q749" s="61" t="n">
        <f aca="false">SUM(I749:P749)*Resumo!$C$11</f>
        <v>0</v>
      </c>
      <c r="R749" s="61" t="n">
        <f aca="false">SUM(I749:Q749)</f>
        <v>122.02528</v>
      </c>
      <c r="S749" s="61" t="n">
        <f aca="false">R749/(1-Resumo!$C$5)</f>
        <v>138.665090909091</v>
      </c>
      <c r="T749" s="61" t="n">
        <v>131.02</v>
      </c>
      <c r="U749" s="61" t="n">
        <f aca="false">H749*Resumo!$B$6</f>
        <v>0.7084</v>
      </c>
      <c r="V749" s="61" t="n">
        <f aca="false">H749*Resumo!$B$7</f>
        <v>1.4168</v>
      </c>
      <c r="W749" s="61" t="n">
        <f aca="false">Resumo!$B$9</f>
        <v>1</v>
      </c>
      <c r="X749" s="61" t="n">
        <f aca="false">Resumo!$B$10*CEILING(G749/100,1)</f>
        <v>4.5</v>
      </c>
      <c r="Y749" s="61" t="n">
        <f aca="false">Resumo!$B$12*CEILING(G749,1)</f>
        <v>3.72</v>
      </c>
      <c r="Z749" s="61" t="n">
        <f aca="false">Resumo!$B$14*CEILING(G749,1)</f>
        <v>27.9</v>
      </c>
      <c r="AA749" s="61" t="n">
        <f aca="false">SUM(T749:Z749)</f>
        <v>170.2652</v>
      </c>
      <c r="AB749" s="61" t="n">
        <f aca="false">AA749/(1-Resumo!$B$5)</f>
        <v>193.483181818182</v>
      </c>
      <c r="AC749" s="61" t="n">
        <f aca="false">AB749-S749</f>
        <v>54.8180909090909</v>
      </c>
      <c r="AD749" s="62" t="n">
        <f aca="false">AB749/S749-1</f>
        <v>0.395327263334286</v>
      </c>
      <c r="AE749" s="60" t="str">
        <f aca="false">IF(AB749&lt;S749,"SIM","NÃO")</f>
        <v>NÃO</v>
      </c>
      <c r="AF749" s="60" t="n">
        <v>2</v>
      </c>
      <c r="AG749" s="60" t="n">
        <v>5</v>
      </c>
      <c r="AH749" s="60" t="s">
        <v>382</v>
      </c>
      <c r="AI749" s="61" t="n">
        <f aca="false">(T749*(1-Painel!$C$40)+U749+V749+Painel!$C$41+Painel!$C$42*CEILING(G749/100,1)+Painel!$C$43*CEILING(G749,1)+Z749)/(1-Resumo!$B$5)</f>
        <v>136.202954545455</v>
      </c>
      <c r="AJ749" s="60" t="str">
        <f aca="false">IF(AI749&lt;S749,"SIM","NÃO")</f>
        <v>SIM</v>
      </c>
    </row>
    <row r="750" customFormat="false" ht="15" hidden="false" customHeight="false" outlineLevel="0" collapsed="false">
      <c r="A750" s="59" t="n">
        <v>46242.7202083333</v>
      </c>
      <c r="B750" s="60" t="s">
        <v>1096</v>
      </c>
      <c r="C750" s="60" t="n">
        <v>22775060</v>
      </c>
      <c r="D750" s="60" t="s">
        <v>46</v>
      </c>
      <c r="E750" s="60" t="s">
        <v>22</v>
      </c>
      <c r="F750" s="60" t="s">
        <v>233</v>
      </c>
      <c r="G750" s="60" t="n">
        <v>27</v>
      </c>
      <c r="H750" s="61" t="n">
        <v>297.99</v>
      </c>
      <c r="I750" s="61" t="n">
        <v>42.11</v>
      </c>
      <c r="J750" s="61" t="n">
        <f aca="false">H750*Resumo!$C$6</f>
        <v>0</v>
      </c>
      <c r="K750" s="61" t="n">
        <f aca="false">H750*Resumo!$C$7</f>
        <v>0.625779</v>
      </c>
      <c r="L750" s="61" t="n">
        <f aca="false">H750*Resumo!$C$8</f>
        <v>0.625779</v>
      </c>
      <c r="M750" s="61" t="n">
        <f aca="false">Resumo!$C$10*CEILING(G750/100,1)</f>
        <v>1.05</v>
      </c>
      <c r="N750" s="61" t="n">
        <f aca="false">Resumo!$C$9</f>
        <v>0</v>
      </c>
      <c r="O750" s="61" t="n">
        <f aca="false">Resumo!$C$13</f>
        <v>13.55</v>
      </c>
      <c r="P750" s="61" t="n">
        <f aca="false">Resumo!$C$14*CEILING(G750,1)</f>
        <v>12.15</v>
      </c>
      <c r="Q750" s="61" t="n">
        <f aca="false">SUM(I750:P750)*Resumo!$C$11</f>
        <v>0</v>
      </c>
      <c r="R750" s="61" t="n">
        <f aca="false">SUM(I750:Q750)</f>
        <v>70.111558</v>
      </c>
      <c r="S750" s="61" t="n">
        <f aca="false">R750/(1-Resumo!$C$5)</f>
        <v>79.672225</v>
      </c>
      <c r="T750" s="61" t="n">
        <v>82.21</v>
      </c>
      <c r="U750" s="61" t="n">
        <f aca="false">H750*Resumo!$B$6</f>
        <v>0.29799</v>
      </c>
      <c r="V750" s="61" t="n">
        <f aca="false">H750*Resumo!$B$7</f>
        <v>0.59598</v>
      </c>
      <c r="W750" s="61" t="n">
        <f aca="false">Resumo!$B$9</f>
        <v>1</v>
      </c>
      <c r="X750" s="61" t="n">
        <f aca="false">Resumo!$B$10*CEILING(G750/100,1)</f>
        <v>4.5</v>
      </c>
      <c r="Y750" s="61" t="n">
        <f aca="false">Resumo!$B$12*CEILING(G750,1)</f>
        <v>1.62</v>
      </c>
      <c r="Z750" s="61" t="n">
        <f aca="false">Resumo!$B$14*CEILING(G750,1)</f>
        <v>12.15</v>
      </c>
      <c r="AA750" s="61" t="n">
        <f aca="false">SUM(T750:Z750)</f>
        <v>102.37397</v>
      </c>
      <c r="AB750" s="61" t="n">
        <f aca="false">AA750/(1-Resumo!$B$5)</f>
        <v>116.334056818182</v>
      </c>
      <c r="AC750" s="61" t="n">
        <f aca="false">AB750-S750</f>
        <v>36.6618318181818</v>
      </c>
      <c r="AD750" s="62" t="n">
        <f aca="false">AB750/S750-1</f>
        <v>0.460158252366892</v>
      </c>
      <c r="AE750" s="60" t="str">
        <f aca="false">IF(AB750&lt;S750,"SIM","NÃO")</f>
        <v>NÃO</v>
      </c>
      <c r="AF750" s="60" t="n">
        <v>2</v>
      </c>
      <c r="AG750" s="60" t="n">
        <v>5</v>
      </c>
      <c r="AH750" s="60" t="s">
        <v>382</v>
      </c>
      <c r="AI750" s="61" t="n">
        <f aca="false">(T750*(1-Painel!$C$40)+U750+V750+Painel!$C$41+Painel!$C$42*CEILING(G750/100,1)+Painel!$C$43*CEILING(G750,1)+Z750)/(1-Resumo!$B$5)</f>
        <v>79.7439431818182</v>
      </c>
      <c r="AJ750" s="60" t="str">
        <f aca="false">IF(AI750&lt;S750,"SIM","NÃO")</f>
        <v>NÃO</v>
      </c>
    </row>
    <row r="751" customFormat="false" ht="15" hidden="false" customHeight="false" outlineLevel="0" collapsed="false">
      <c r="A751" s="59" t="n">
        <v>46242.7226041667</v>
      </c>
      <c r="B751" s="60" t="s">
        <v>1097</v>
      </c>
      <c r="C751" s="60" t="n">
        <v>23918510</v>
      </c>
      <c r="D751" s="60" t="s">
        <v>218</v>
      </c>
      <c r="E751" s="60" t="s">
        <v>24</v>
      </c>
      <c r="F751" s="60" t="s">
        <v>237</v>
      </c>
      <c r="G751" s="60" t="n">
        <v>66.8</v>
      </c>
      <c r="H751" s="61" t="n">
        <v>644.99</v>
      </c>
      <c r="I751" s="61" t="n">
        <v>90.2</v>
      </c>
      <c r="J751" s="61" t="n">
        <f aca="false">H751*Resumo!$C$6</f>
        <v>0</v>
      </c>
      <c r="K751" s="61" t="n">
        <f aca="false">H751*Resumo!$C$7</f>
        <v>1.354479</v>
      </c>
      <c r="L751" s="61" t="n">
        <f aca="false">H751*Resumo!$C$8</f>
        <v>1.354479</v>
      </c>
      <c r="M751" s="61" t="n">
        <f aca="false">Resumo!$C$10*CEILING(G751/100,1)</f>
        <v>1.05</v>
      </c>
      <c r="N751" s="61" t="n">
        <f aca="false">Resumo!$C$9</f>
        <v>0</v>
      </c>
      <c r="O751" s="61" t="n">
        <f aca="false">Resumo!$C$13</f>
        <v>13.55</v>
      </c>
      <c r="P751" s="61" t="n">
        <f aca="false">Resumo!$C$14*CEILING(G751,1)</f>
        <v>30.15</v>
      </c>
      <c r="Q751" s="61" t="n">
        <f aca="false">SUM(I751:P751)*Resumo!$C$11</f>
        <v>0</v>
      </c>
      <c r="R751" s="61" t="n">
        <f aca="false">SUM(I751:Q751)</f>
        <v>137.658958</v>
      </c>
      <c r="S751" s="61" t="n">
        <f aca="false">R751/(1-Resumo!$C$5)</f>
        <v>156.430634090909</v>
      </c>
      <c r="T751" s="61" t="n">
        <v>166.05</v>
      </c>
      <c r="U751" s="61" t="n">
        <f aca="false">H751*Resumo!$B$6</f>
        <v>0.64499</v>
      </c>
      <c r="V751" s="61" t="n">
        <f aca="false">H751*Resumo!$B$7</f>
        <v>1.28998</v>
      </c>
      <c r="W751" s="61" t="n">
        <f aca="false">Resumo!$B$9</f>
        <v>1</v>
      </c>
      <c r="X751" s="61" t="n">
        <f aca="false">Resumo!$B$10*CEILING(G751/100,1)</f>
        <v>4.5</v>
      </c>
      <c r="Y751" s="61" t="n">
        <f aca="false">Resumo!$B$12*CEILING(G751,1)</f>
        <v>4.02</v>
      </c>
      <c r="Z751" s="61" t="n">
        <f aca="false">Resumo!$B$14*CEILING(G751,1)</f>
        <v>30.15</v>
      </c>
      <c r="AA751" s="61" t="n">
        <f aca="false">SUM(T751:Z751)</f>
        <v>207.65497</v>
      </c>
      <c r="AB751" s="61" t="n">
        <f aca="false">AA751/(1-Resumo!$B$5)</f>
        <v>235.971556818182</v>
      </c>
      <c r="AC751" s="61" t="n">
        <f aca="false">AB751-S751</f>
        <v>79.5409227272727</v>
      </c>
      <c r="AD751" s="62" t="n">
        <f aca="false">AB751/S751-1</f>
        <v>0.508474079834311</v>
      </c>
      <c r="AE751" s="60" t="str">
        <f aca="false">IF(AB751&lt;S751,"SIM","NÃO")</f>
        <v>NÃO</v>
      </c>
      <c r="AF751" s="60" t="n">
        <v>13</v>
      </c>
      <c r="AG751" s="60" t="n">
        <v>10</v>
      </c>
      <c r="AH751" s="60" t="s">
        <v>382</v>
      </c>
      <c r="AI751" s="61" t="n">
        <f aca="false">(T751*(1-Painel!$C$40)+U751+V751+Painel!$C$41+Painel!$C$42*CEILING(G751/100,1)+Painel!$C$43*CEILING(G751,1)+Z751)/(1-Resumo!$B$5)</f>
        <v>165.214170454545</v>
      </c>
      <c r="AJ751" s="60" t="str">
        <f aca="false">IF(AI751&lt;S751,"SIM","NÃO")</f>
        <v>NÃO</v>
      </c>
    </row>
    <row r="752" customFormat="false" ht="15" hidden="false" customHeight="false" outlineLevel="0" collapsed="false">
      <c r="A752" s="59" t="n">
        <v>46242.7235532407</v>
      </c>
      <c r="B752" s="60" t="s">
        <v>1098</v>
      </c>
      <c r="C752" s="60" t="n">
        <v>28022720</v>
      </c>
      <c r="D752" s="60" t="s">
        <v>51</v>
      </c>
      <c r="E752" s="60" t="s">
        <v>24</v>
      </c>
      <c r="F752" s="60" t="s">
        <v>235</v>
      </c>
      <c r="G752" s="60" t="n">
        <v>41.4</v>
      </c>
      <c r="H752" s="61" t="n">
        <v>449.99</v>
      </c>
      <c r="I752" s="61" t="n">
        <v>77.7</v>
      </c>
      <c r="J752" s="61" t="n">
        <f aca="false">H752*Resumo!$C$6</f>
        <v>0</v>
      </c>
      <c r="K752" s="61" t="n">
        <f aca="false">H752*Resumo!$C$7</f>
        <v>0.944979</v>
      </c>
      <c r="L752" s="61" t="n">
        <f aca="false">H752*Resumo!$C$8</f>
        <v>0.944979</v>
      </c>
      <c r="M752" s="61" t="n">
        <f aca="false">Resumo!$C$10*CEILING(G752/100,1)</f>
        <v>1.05</v>
      </c>
      <c r="N752" s="61" t="n">
        <f aca="false">Resumo!$C$9</f>
        <v>0</v>
      </c>
      <c r="O752" s="61" t="n">
        <f aca="false">Resumo!$C$13</f>
        <v>13.55</v>
      </c>
      <c r="P752" s="61" t="n">
        <f aca="false">Resumo!$C$14*CEILING(G752,1)</f>
        <v>18.9</v>
      </c>
      <c r="Q752" s="61" t="n">
        <f aca="false">SUM(I752:P752)*Resumo!$C$11</f>
        <v>0</v>
      </c>
      <c r="R752" s="61" t="n">
        <f aca="false">SUM(I752:Q752)</f>
        <v>113.089958</v>
      </c>
      <c r="S752" s="61" t="n">
        <f aca="false">R752/(1-Resumo!$C$5)</f>
        <v>128.511315909091</v>
      </c>
      <c r="T752" s="61" t="n">
        <v>152.54</v>
      </c>
      <c r="U752" s="61" t="n">
        <f aca="false">H752*Resumo!$B$6</f>
        <v>0.44999</v>
      </c>
      <c r="V752" s="61" t="n">
        <f aca="false">H752*Resumo!$B$7</f>
        <v>0.89998</v>
      </c>
      <c r="W752" s="61" t="n">
        <f aca="false">Resumo!$B$9</f>
        <v>1</v>
      </c>
      <c r="X752" s="61" t="n">
        <f aca="false">Resumo!$B$10*CEILING(G752/100,1)</f>
        <v>4.5</v>
      </c>
      <c r="Y752" s="61" t="n">
        <f aca="false">Resumo!$B$12*CEILING(G752,1)</f>
        <v>2.52</v>
      </c>
      <c r="Z752" s="61" t="n">
        <f aca="false">Resumo!$B$14*CEILING(G752,1)</f>
        <v>18.9</v>
      </c>
      <c r="AA752" s="61" t="n">
        <f aca="false">SUM(T752:Z752)</f>
        <v>180.80997</v>
      </c>
      <c r="AB752" s="61" t="n">
        <f aca="false">AA752/(1-Resumo!$B$5)</f>
        <v>205.465875</v>
      </c>
      <c r="AC752" s="61" t="n">
        <f aca="false">AB752-S752</f>
        <v>76.9545590909091</v>
      </c>
      <c r="AD752" s="62" t="n">
        <f aca="false">AB752/S752-1</f>
        <v>0.598815431516917</v>
      </c>
      <c r="AE752" s="60" t="str">
        <f aca="false">IF(AB752&lt;S752,"SIM","NÃO")</f>
        <v>NÃO</v>
      </c>
      <c r="AF752" s="60" t="n">
        <v>13</v>
      </c>
      <c r="AG752" s="60" t="n">
        <v>11</v>
      </c>
      <c r="AH752" s="60" t="s">
        <v>382</v>
      </c>
      <c r="AI752" s="61" t="n">
        <f aca="false">(T752*(1-Painel!$C$40)+U752+V752+Painel!$C$41+Painel!$C$42*CEILING(G752/100,1)+Painel!$C$43*CEILING(G752,1)+Z752)/(1-Resumo!$B$5)</f>
        <v>141.479284090909</v>
      </c>
      <c r="AJ752" s="60" t="str">
        <f aca="false">IF(AI752&lt;S752,"SIM","NÃO")</f>
        <v>NÃO</v>
      </c>
    </row>
    <row r="753" customFormat="false" ht="15" hidden="false" customHeight="false" outlineLevel="0" collapsed="false">
      <c r="A753" s="59" t="n">
        <v>46242.7455671296</v>
      </c>
      <c r="B753" s="60" t="s">
        <v>576</v>
      </c>
      <c r="C753" s="60" t="n">
        <v>28380000</v>
      </c>
      <c r="D753" s="60" t="s">
        <v>312</v>
      </c>
      <c r="E753" s="60" t="s">
        <v>24</v>
      </c>
      <c r="F753" s="60" t="s">
        <v>236</v>
      </c>
      <c r="G753" s="60" t="n">
        <v>52.3</v>
      </c>
      <c r="H753" s="61" t="n">
        <v>616.99</v>
      </c>
      <c r="I753" s="61" t="n">
        <v>83.58</v>
      </c>
      <c r="J753" s="61" t="n">
        <f aca="false">H753*Resumo!$C$6</f>
        <v>0</v>
      </c>
      <c r="K753" s="61" t="n">
        <f aca="false">H753*Resumo!$C$7</f>
        <v>1.295679</v>
      </c>
      <c r="L753" s="61" t="n">
        <f aca="false">H753*Resumo!$C$8</f>
        <v>1.295679</v>
      </c>
      <c r="M753" s="61" t="n">
        <f aca="false">Resumo!$C$10*CEILING(G753/100,1)</f>
        <v>1.05</v>
      </c>
      <c r="N753" s="61" t="n">
        <f aca="false">Resumo!$C$9</f>
        <v>0</v>
      </c>
      <c r="O753" s="61" t="n">
        <f aca="false">Resumo!$C$13</f>
        <v>13.55</v>
      </c>
      <c r="P753" s="61" t="n">
        <f aca="false">Resumo!$C$14*CEILING(G753,1)</f>
        <v>23.85</v>
      </c>
      <c r="Q753" s="61" t="n">
        <f aca="false">SUM(I753:P753)*Resumo!$C$11</f>
        <v>0</v>
      </c>
      <c r="R753" s="61" t="n">
        <f aca="false">SUM(I753:Q753)</f>
        <v>124.621358</v>
      </c>
      <c r="S753" s="61" t="n">
        <f aca="false">R753/(1-Resumo!$C$5)</f>
        <v>141.615179545455</v>
      </c>
      <c r="T753" s="61" t="n">
        <v>162.04</v>
      </c>
      <c r="U753" s="61" t="n">
        <f aca="false">H753*Resumo!$B$6</f>
        <v>0.61699</v>
      </c>
      <c r="V753" s="61" t="n">
        <f aca="false">H753*Resumo!$B$7</f>
        <v>1.23398</v>
      </c>
      <c r="W753" s="61" t="n">
        <f aca="false">Resumo!$B$9</f>
        <v>1</v>
      </c>
      <c r="X753" s="61" t="n">
        <f aca="false">Resumo!$B$10*CEILING(G753/100,1)</f>
        <v>4.5</v>
      </c>
      <c r="Y753" s="61" t="n">
        <f aca="false">Resumo!$B$12*CEILING(G753,1)</f>
        <v>3.18</v>
      </c>
      <c r="Z753" s="61" t="n">
        <f aca="false">Resumo!$B$14*CEILING(G753,1)</f>
        <v>23.85</v>
      </c>
      <c r="AA753" s="61" t="n">
        <f aca="false">SUM(T753:Z753)</f>
        <v>196.42097</v>
      </c>
      <c r="AB753" s="61" t="n">
        <f aca="false">AA753/(1-Resumo!$B$5)</f>
        <v>223.205647727273</v>
      </c>
      <c r="AC753" s="61" t="n">
        <f aca="false">AB753-S753</f>
        <v>81.5904681818182</v>
      </c>
      <c r="AD753" s="62" t="n">
        <f aca="false">AB753/S753-1</f>
        <v>0.576142108802891</v>
      </c>
      <c r="AE753" s="60" t="str">
        <f aca="false">IF(AB753&lt;S753,"SIM","NÃO")</f>
        <v>NÃO</v>
      </c>
      <c r="AF753" s="60" t="n">
        <v>13</v>
      </c>
      <c r="AG753" s="60" t="n">
        <v>11</v>
      </c>
      <c r="AH753" s="60" t="s">
        <v>385</v>
      </c>
      <c r="AI753" s="61" t="n">
        <f aca="false">(T753*(1-Painel!$C$40)+U753+V753+Painel!$C$41+Painel!$C$42*CEILING(G753/100,1)+Painel!$C$43*CEILING(G753,1)+Z753)/(1-Resumo!$B$5)</f>
        <v>154.906556818182</v>
      </c>
      <c r="AJ753" s="60" t="str">
        <f aca="false">IF(AI753&lt;S753,"SIM","NÃO")</f>
        <v>NÃO</v>
      </c>
    </row>
    <row r="754" customFormat="false" ht="15" hidden="false" customHeight="false" outlineLevel="0" collapsed="false">
      <c r="A754" s="59" t="n">
        <v>46242.7471759259</v>
      </c>
      <c r="B754" s="60" t="s">
        <v>1099</v>
      </c>
      <c r="C754" s="60" t="n">
        <v>26525131</v>
      </c>
      <c r="D754" s="60" t="s">
        <v>284</v>
      </c>
      <c r="E754" s="60" t="s">
        <v>23</v>
      </c>
      <c r="F754" s="60" t="s">
        <v>241</v>
      </c>
      <c r="G754" s="60" t="n">
        <v>124.2</v>
      </c>
      <c r="H754" s="61" t="n">
        <v>1558.09</v>
      </c>
      <c r="I754" s="61" t="n">
        <v>129.62</v>
      </c>
      <c r="J754" s="61" t="n">
        <f aca="false">H754*Resumo!$C$6</f>
        <v>0</v>
      </c>
      <c r="K754" s="61" t="n">
        <f aca="false">H754*Resumo!$C$7</f>
        <v>3.271989</v>
      </c>
      <c r="L754" s="61" t="n">
        <f aca="false">H754*Resumo!$C$8</f>
        <v>3.271989</v>
      </c>
      <c r="M754" s="61" t="n">
        <f aca="false">Resumo!$C$10*CEILING(G754/100,1)</f>
        <v>2.1</v>
      </c>
      <c r="N754" s="61" t="n">
        <f aca="false">Resumo!$C$9</f>
        <v>0</v>
      </c>
      <c r="O754" s="61" t="n">
        <f aca="false">Resumo!$C$13</f>
        <v>13.55</v>
      </c>
      <c r="P754" s="61" t="n">
        <f aca="false">Resumo!$C$14*CEILING(G754,1)</f>
        <v>56.25</v>
      </c>
      <c r="Q754" s="61" t="n">
        <f aca="false">SUM(I754:P754)*Resumo!$C$11</f>
        <v>0</v>
      </c>
      <c r="R754" s="61" t="n">
        <f aca="false">SUM(I754:Q754)</f>
        <v>208.063978</v>
      </c>
      <c r="S754" s="61" t="n">
        <f aca="false">R754/(1-Resumo!$C$5)</f>
        <v>236.436338636364</v>
      </c>
      <c r="T754" s="61" t="n">
        <v>239.25</v>
      </c>
      <c r="U754" s="61" t="n">
        <f aca="false">H754*Resumo!$B$6</f>
        <v>1.55809</v>
      </c>
      <c r="V754" s="61" t="n">
        <f aca="false">H754*Resumo!$B$7</f>
        <v>3.11618</v>
      </c>
      <c r="W754" s="61" t="n">
        <f aca="false">Resumo!$B$9</f>
        <v>1</v>
      </c>
      <c r="X754" s="61" t="n">
        <f aca="false">Resumo!$B$10*CEILING(G754/100,1)</f>
        <v>9</v>
      </c>
      <c r="Y754" s="61" t="n">
        <f aca="false">Resumo!$B$12*CEILING(G754,1)</f>
        <v>7.5</v>
      </c>
      <c r="Z754" s="61" t="n">
        <f aca="false">Resumo!$B$14*CEILING(G754,1)</f>
        <v>56.25</v>
      </c>
      <c r="AA754" s="61" t="n">
        <f aca="false">SUM(T754:Z754)</f>
        <v>317.67427</v>
      </c>
      <c r="AB754" s="61" t="n">
        <f aca="false">AA754/(1-Resumo!$B$5)</f>
        <v>360.993488636364</v>
      </c>
      <c r="AC754" s="61" t="n">
        <f aca="false">AB754-S754</f>
        <v>124.55715</v>
      </c>
      <c r="AD754" s="62" t="n">
        <f aca="false">AB754/S754-1</f>
        <v>0.526810517868692</v>
      </c>
      <c r="AE754" s="60" t="str">
        <f aca="false">IF(AB754&lt;S754,"SIM","NÃO")</f>
        <v>NÃO</v>
      </c>
      <c r="AF754" s="60" t="n">
        <v>2</v>
      </c>
      <c r="AG754" s="60" t="n">
        <v>5</v>
      </c>
      <c r="AH754" s="60" t="s">
        <v>385</v>
      </c>
      <c r="AI754" s="61" t="n">
        <f aca="false">(T754*(1-Painel!$C$40)+U754+V754+Painel!$C$41+Painel!$C$42*CEILING(G754/100,1)+Painel!$C$43*CEILING(G754,1)+Z754)/(1-Resumo!$B$5)</f>
        <v>254.911102272727</v>
      </c>
      <c r="AJ754" s="60" t="str">
        <f aca="false">IF(AI754&lt;S754,"SIM","NÃO")</f>
        <v>NÃO</v>
      </c>
    </row>
    <row r="755" customFormat="false" ht="15" hidden="false" customHeight="false" outlineLevel="0" collapsed="false">
      <c r="A755" s="59" t="n">
        <v>46242.7655439815</v>
      </c>
      <c r="B755" s="60" t="s">
        <v>1100</v>
      </c>
      <c r="C755" s="60" t="n">
        <v>28948243</v>
      </c>
      <c r="D755" s="60" t="s">
        <v>338</v>
      </c>
      <c r="E755" s="60" t="s">
        <v>24</v>
      </c>
      <c r="F755" s="60" t="s">
        <v>236</v>
      </c>
      <c r="G755" s="60" t="n">
        <v>56.7</v>
      </c>
      <c r="H755" s="61" t="n">
        <v>690.99</v>
      </c>
      <c r="I755" s="61" t="n">
        <v>83.58</v>
      </c>
      <c r="J755" s="61" t="n">
        <f aca="false">H755*Resumo!$C$6</f>
        <v>0</v>
      </c>
      <c r="K755" s="61" t="n">
        <f aca="false">H755*Resumo!$C$7</f>
        <v>1.451079</v>
      </c>
      <c r="L755" s="61" t="n">
        <f aca="false">H755*Resumo!$C$8</f>
        <v>1.451079</v>
      </c>
      <c r="M755" s="61" t="n">
        <f aca="false">Resumo!$C$10*CEILING(G755/100,1)</f>
        <v>1.05</v>
      </c>
      <c r="N755" s="61" t="n">
        <f aca="false">Resumo!$C$9</f>
        <v>0</v>
      </c>
      <c r="O755" s="61" t="n">
        <f aca="false">Resumo!$C$13</f>
        <v>13.55</v>
      </c>
      <c r="P755" s="61" t="n">
        <f aca="false">Resumo!$C$14*CEILING(G755,1)</f>
        <v>25.65</v>
      </c>
      <c r="Q755" s="61" t="n">
        <f aca="false">SUM(I755:P755)*Resumo!$C$11</f>
        <v>0</v>
      </c>
      <c r="R755" s="61" t="n">
        <f aca="false">SUM(I755:Q755)</f>
        <v>126.732158</v>
      </c>
      <c r="S755" s="61" t="n">
        <f aca="false">R755/(1-Resumo!$C$5)</f>
        <v>144.013815909091</v>
      </c>
      <c r="T755" s="61" t="n">
        <v>142.32</v>
      </c>
      <c r="U755" s="61" t="n">
        <f aca="false">H755*Resumo!$B$6</f>
        <v>0.69099</v>
      </c>
      <c r="V755" s="61" t="n">
        <f aca="false">H755*Resumo!$B$7</f>
        <v>1.38198</v>
      </c>
      <c r="W755" s="61" t="n">
        <f aca="false">Resumo!$B$9</f>
        <v>1</v>
      </c>
      <c r="X755" s="61" t="n">
        <f aca="false">Resumo!$B$10*CEILING(G755/100,1)</f>
        <v>4.5</v>
      </c>
      <c r="Y755" s="61" t="n">
        <f aca="false">Resumo!$B$12*CEILING(G755,1)</f>
        <v>3.42</v>
      </c>
      <c r="Z755" s="61" t="n">
        <f aca="false">Resumo!$B$14*CEILING(G755,1)</f>
        <v>25.65</v>
      </c>
      <c r="AA755" s="61" t="n">
        <f aca="false">SUM(T755:Z755)</f>
        <v>178.96297</v>
      </c>
      <c r="AB755" s="61" t="n">
        <f aca="false">AA755/(1-Resumo!$B$5)</f>
        <v>203.367011363636</v>
      </c>
      <c r="AC755" s="61" t="n">
        <f aca="false">AB755-S755</f>
        <v>59.3531954545455</v>
      </c>
      <c r="AD755" s="62" t="n">
        <f aca="false">AB755/S755-1</f>
        <v>0.41213542658999</v>
      </c>
      <c r="AE755" s="60" t="str">
        <f aca="false">IF(AB755&lt;S755,"SIM","NÃO")</f>
        <v>NÃO</v>
      </c>
      <c r="AF755" s="60" t="n">
        <v>13</v>
      </c>
      <c r="AG755" s="60" t="n">
        <v>10</v>
      </c>
      <c r="AH755" s="60" t="s">
        <v>385</v>
      </c>
      <c r="AI755" s="61" t="n">
        <f aca="false">(T755*(1-Painel!$C$40)+U755+V755+Painel!$C$41+Painel!$C$42*CEILING(G755/100,1)+Painel!$C$43*CEILING(G755,1)+Z755)/(1-Resumo!$B$5)</f>
        <v>142.190193181818</v>
      </c>
      <c r="AJ755" s="60" t="str">
        <f aca="false">IF(AI755&lt;S755,"SIM","NÃO")</f>
        <v>SIM</v>
      </c>
    </row>
    <row r="756" customFormat="false" ht="15" hidden="false" customHeight="false" outlineLevel="0" collapsed="false">
      <c r="A756" s="59" t="n">
        <v>46242.7672916667</v>
      </c>
      <c r="B756" s="60" t="s">
        <v>1101</v>
      </c>
      <c r="C756" s="60" t="n">
        <v>22770590</v>
      </c>
      <c r="D756" s="60" t="s">
        <v>46</v>
      </c>
      <c r="E756" s="60" t="s">
        <v>22</v>
      </c>
      <c r="F756" s="60" t="s">
        <v>232</v>
      </c>
      <c r="G756" s="60" t="n">
        <v>17.2</v>
      </c>
      <c r="H756" s="61" t="n">
        <v>269.99</v>
      </c>
      <c r="I756" s="61" t="n">
        <v>33.42</v>
      </c>
      <c r="J756" s="61" t="n">
        <f aca="false">H756*Resumo!$C$6</f>
        <v>0</v>
      </c>
      <c r="K756" s="61" t="n">
        <f aca="false">H756*Resumo!$C$7</f>
        <v>0.566979</v>
      </c>
      <c r="L756" s="61" t="n">
        <f aca="false">H756*Resumo!$C$8</f>
        <v>0.566979</v>
      </c>
      <c r="M756" s="61" t="n">
        <f aca="false">Resumo!$C$10*CEILING(G756/100,1)</f>
        <v>1.05</v>
      </c>
      <c r="N756" s="61" t="n">
        <f aca="false">Resumo!$C$9</f>
        <v>0</v>
      </c>
      <c r="O756" s="61" t="n">
        <f aca="false">Resumo!$C$13</f>
        <v>13.55</v>
      </c>
      <c r="P756" s="61" t="n">
        <f aca="false">Resumo!$C$14*CEILING(G756,1)</f>
        <v>8.1</v>
      </c>
      <c r="Q756" s="61" t="n">
        <f aca="false">SUM(I756:P756)*Resumo!$C$11</f>
        <v>0</v>
      </c>
      <c r="R756" s="61" t="n">
        <f aca="false">SUM(I756:Q756)</f>
        <v>57.253958</v>
      </c>
      <c r="S756" s="61" t="n">
        <f aca="false">R756/(1-Resumo!$C$5)</f>
        <v>65.0613159090909</v>
      </c>
      <c r="T756" s="61" t="n">
        <v>46.98</v>
      </c>
      <c r="U756" s="61" t="n">
        <f aca="false">H756*Resumo!$B$6</f>
        <v>0.26999</v>
      </c>
      <c r="V756" s="61" t="n">
        <f aca="false">H756*Resumo!$B$7</f>
        <v>0.53998</v>
      </c>
      <c r="W756" s="61" t="n">
        <f aca="false">Resumo!$B$9</f>
        <v>1</v>
      </c>
      <c r="X756" s="61" t="n">
        <f aca="false">Resumo!$B$10*CEILING(G756/100,1)</f>
        <v>4.5</v>
      </c>
      <c r="Y756" s="61" t="n">
        <f aca="false">Resumo!$B$12*CEILING(G756,1)</f>
        <v>1.08</v>
      </c>
      <c r="Z756" s="61" t="n">
        <f aca="false">Resumo!$B$14*CEILING(G756,1)</f>
        <v>8.1</v>
      </c>
      <c r="AA756" s="61" t="n">
        <f aca="false">SUM(T756:Z756)</f>
        <v>62.46997</v>
      </c>
      <c r="AB756" s="61" t="n">
        <f aca="false">AA756/(1-Resumo!$B$5)</f>
        <v>70.9886022727273</v>
      </c>
      <c r="AC756" s="61" t="n">
        <f aca="false">AB756-S756</f>
        <v>5.92728636363636</v>
      </c>
      <c r="AD756" s="62" t="n">
        <f aca="false">AB756/S756-1</f>
        <v>0.0911030814673108</v>
      </c>
      <c r="AE756" s="60" t="str">
        <f aca="false">IF(AB756&lt;S756,"SIM","NÃO")</f>
        <v>NÃO</v>
      </c>
      <c r="AF756" s="60" t="n">
        <v>2</v>
      </c>
      <c r="AG756" s="60" t="n">
        <v>5</v>
      </c>
      <c r="AH756" s="60" t="s">
        <v>382</v>
      </c>
      <c r="AI756" s="61" t="n">
        <f aca="false">(T756*(1-Painel!$C$40)+U756+V756+Painel!$C$41+Painel!$C$42*CEILING(G756/100,1)+Painel!$C$43*CEILING(G756,1)+Z756)/(1-Resumo!$B$5)</f>
        <v>48.223375</v>
      </c>
      <c r="AJ756" s="60" t="str">
        <f aca="false">IF(AI756&lt;S756,"SIM","NÃO")</f>
        <v>SIM</v>
      </c>
    </row>
    <row r="757" customFormat="false" ht="15" hidden="false" customHeight="false" outlineLevel="0" collapsed="false">
      <c r="A757" s="59" t="n">
        <v>46242.7785185185</v>
      </c>
      <c r="B757" s="60" t="s">
        <v>1102</v>
      </c>
      <c r="C757" s="60" t="n">
        <v>25243054</v>
      </c>
      <c r="D757" s="60" t="s">
        <v>48</v>
      </c>
      <c r="E757" s="60" t="s">
        <v>23</v>
      </c>
      <c r="F757" s="60" t="s">
        <v>233</v>
      </c>
      <c r="G757" s="60" t="n">
        <v>22.4</v>
      </c>
      <c r="H757" s="61" t="n">
        <v>519.99</v>
      </c>
      <c r="I757" s="61" t="n">
        <v>58.8</v>
      </c>
      <c r="J757" s="61" t="n">
        <f aca="false">H757*Resumo!$C$6</f>
        <v>0</v>
      </c>
      <c r="K757" s="61" t="n">
        <f aca="false">H757*Resumo!$C$7</f>
        <v>1.091979</v>
      </c>
      <c r="L757" s="61" t="n">
        <f aca="false">H757*Resumo!$C$8</f>
        <v>1.091979</v>
      </c>
      <c r="M757" s="61" t="n">
        <f aca="false">Resumo!$C$10*CEILING(G757/100,1)</f>
        <v>1.05</v>
      </c>
      <c r="N757" s="61" t="n">
        <f aca="false">Resumo!$C$9</f>
        <v>0</v>
      </c>
      <c r="O757" s="61" t="n">
        <f aca="false">Resumo!$C$13</f>
        <v>13.55</v>
      </c>
      <c r="P757" s="61" t="n">
        <f aca="false">Resumo!$C$14*CEILING(G757,1)</f>
        <v>10.35</v>
      </c>
      <c r="Q757" s="61" t="n">
        <f aca="false">SUM(I757:P757)*Resumo!$C$11</f>
        <v>0</v>
      </c>
      <c r="R757" s="61" t="n">
        <f aca="false">SUM(I757:Q757)</f>
        <v>85.933958</v>
      </c>
      <c r="S757" s="61" t="n">
        <f aca="false">R757/(1-Resumo!$C$5)</f>
        <v>97.652225</v>
      </c>
      <c r="T757" s="61" t="n">
        <v>82.21</v>
      </c>
      <c r="U757" s="61" t="n">
        <f aca="false">H757*Resumo!$B$6</f>
        <v>0.51999</v>
      </c>
      <c r="V757" s="61" t="n">
        <f aca="false">H757*Resumo!$B$7</f>
        <v>1.03998</v>
      </c>
      <c r="W757" s="61" t="n">
        <f aca="false">Resumo!$B$9</f>
        <v>1</v>
      </c>
      <c r="X757" s="61" t="n">
        <f aca="false">Resumo!$B$10*CEILING(G757/100,1)</f>
        <v>4.5</v>
      </c>
      <c r="Y757" s="61" t="n">
        <f aca="false">Resumo!$B$12*CEILING(G757,1)</f>
        <v>1.38</v>
      </c>
      <c r="Z757" s="61" t="n">
        <f aca="false">Resumo!$B$14*CEILING(G757,1)</f>
        <v>10.35</v>
      </c>
      <c r="AA757" s="61" t="n">
        <f aca="false">SUM(T757:Z757)</f>
        <v>100.99997</v>
      </c>
      <c r="AB757" s="61" t="n">
        <f aca="false">AA757/(1-Resumo!$B$5)</f>
        <v>114.772693181818</v>
      </c>
      <c r="AC757" s="61" t="n">
        <f aca="false">AB757-S757</f>
        <v>17.1204681818182</v>
      </c>
      <c r="AD757" s="62" t="n">
        <f aca="false">AB757/S757-1</f>
        <v>0.175320820204744</v>
      </c>
      <c r="AE757" s="60" t="str">
        <f aca="false">IF(AB757&lt;S757,"SIM","NÃO")</f>
        <v>NÃO</v>
      </c>
      <c r="AF757" s="60" t="n">
        <v>2</v>
      </c>
      <c r="AG757" s="60" t="n">
        <v>5</v>
      </c>
      <c r="AH757" s="60" t="s">
        <v>382</v>
      </c>
      <c r="AI757" s="61" t="n">
        <f aca="false">(T757*(1-Painel!$C$40)+U757+V757+Painel!$C$41+Painel!$C$42*CEILING(G757/100,1)+Painel!$C$43*CEILING(G757,1)+Z757)/(1-Resumo!$B$5)</f>
        <v>78.4553068181818</v>
      </c>
      <c r="AJ757" s="60" t="str">
        <f aca="false">IF(AI757&lt;S757,"SIM","NÃO")</f>
        <v>SIM</v>
      </c>
    </row>
    <row r="758" customFormat="false" ht="15" hidden="false" customHeight="false" outlineLevel="0" collapsed="false">
      <c r="A758" s="59" t="n">
        <v>46242.7989583333</v>
      </c>
      <c r="B758" s="60" t="s">
        <v>1103</v>
      </c>
      <c r="C758" s="60" t="n">
        <v>23550570</v>
      </c>
      <c r="D758" s="60" t="s">
        <v>46</v>
      </c>
      <c r="E758" s="60" t="s">
        <v>22</v>
      </c>
      <c r="F758" s="60" t="s">
        <v>237</v>
      </c>
      <c r="G758" s="60" t="n">
        <v>63.9</v>
      </c>
      <c r="H758" s="61" t="n">
        <v>717.6</v>
      </c>
      <c r="I758" s="61" t="n">
        <v>63.21</v>
      </c>
      <c r="J758" s="61" t="n">
        <f aca="false">H758*Resumo!$C$6</f>
        <v>0</v>
      </c>
      <c r="K758" s="61" t="n">
        <f aca="false">H758*Resumo!$C$7</f>
        <v>1.50696</v>
      </c>
      <c r="L758" s="61" t="n">
        <f aca="false">H758*Resumo!$C$8</f>
        <v>1.50696</v>
      </c>
      <c r="M758" s="61" t="n">
        <f aca="false">Resumo!$C$10*CEILING(G758/100,1)</f>
        <v>1.05</v>
      </c>
      <c r="N758" s="61" t="n">
        <f aca="false">Resumo!$C$9</f>
        <v>0</v>
      </c>
      <c r="O758" s="61" t="n">
        <f aca="false">Resumo!$C$13</f>
        <v>13.55</v>
      </c>
      <c r="P758" s="61" t="n">
        <f aca="false">Resumo!$C$14*CEILING(G758,1)</f>
        <v>28.8</v>
      </c>
      <c r="Q758" s="61" t="n">
        <f aca="false">SUM(I758:P758)*Resumo!$C$11</f>
        <v>0</v>
      </c>
      <c r="R758" s="61" t="n">
        <f aca="false">SUM(I758:Q758)</f>
        <v>109.62392</v>
      </c>
      <c r="S758" s="61" t="n">
        <f aca="false">R758/(1-Resumo!$C$5)</f>
        <v>124.572636363636</v>
      </c>
      <c r="T758" s="61" t="n">
        <v>131.02</v>
      </c>
      <c r="U758" s="61" t="n">
        <f aca="false">H758*Resumo!$B$6</f>
        <v>0.7176</v>
      </c>
      <c r="V758" s="61" t="n">
        <f aca="false">H758*Resumo!$B$7</f>
        <v>1.4352</v>
      </c>
      <c r="W758" s="61" t="n">
        <f aca="false">Resumo!$B$9</f>
        <v>1</v>
      </c>
      <c r="X758" s="61" t="n">
        <f aca="false">Resumo!$B$10*CEILING(G758/100,1)</f>
        <v>4.5</v>
      </c>
      <c r="Y758" s="61" t="n">
        <f aca="false">Resumo!$B$12*CEILING(G758,1)</f>
        <v>3.84</v>
      </c>
      <c r="Z758" s="61" t="n">
        <f aca="false">Resumo!$B$14*CEILING(G758,1)</f>
        <v>28.8</v>
      </c>
      <c r="AA758" s="61" t="n">
        <f aca="false">SUM(T758:Z758)</f>
        <v>171.3128</v>
      </c>
      <c r="AB758" s="61" t="n">
        <f aca="false">AA758/(1-Resumo!$B$5)</f>
        <v>194.673636363636</v>
      </c>
      <c r="AC758" s="61" t="n">
        <f aca="false">AB758-S758</f>
        <v>70.101</v>
      </c>
      <c r="AD758" s="62" t="n">
        <f aca="false">AB758/S758-1</f>
        <v>0.562731929308859</v>
      </c>
      <c r="AE758" s="60" t="str">
        <f aca="false">IF(AB758&lt;S758,"SIM","NÃO")</f>
        <v>NÃO</v>
      </c>
      <c r="AF758" s="60" t="n">
        <v>2</v>
      </c>
      <c r="AG758" s="60" t="n">
        <v>5</v>
      </c>
      <c r="AH758" s="60" t="s">
        <v>382</v>
      </c>
      <c r="AI758" s="61" t="n">
        <f aca="false">(T758*(1-Painel!$C$40)+U758+V758+Painel!$C$41+Painel!$C$42*CEILING(G758/100,1)+Painel!$C$43*CEILING(G758,1)+Z758)/(1-Resumo!$B$5)</f>
        <v>137.257045454545</v>
      </c>
      <c r="AJ758" s="60" t="str">
        <f aca="false">IF(AI758&lt;S758,"SIM","NÃO")</f>
        <v>NÃO</v>
      </c>
    </row>
    <row r="759" customFormat="false" ht="15" hidden="false" customHeight="false" outlineLevel="0" collapsed="false">
      <c r="A759" s="59" t="n">
        <v>46242.8080555556</v>
      </c>
      <c r="B759" s="60" t="s">
        <v>1104</v>
      </c>
      <c r="C759" s="60" t="n">
        <v>27511610</v>
      </c>
      <c r="D759" s="60" t="s">
        <v>296</v>
      </c>
      <c r="E759" s="60" t="s">
        <v>24</v>
      </c>
      <c r="F759" s="60" t="s">
        <v>238</v>
      </c>
      <c r="G759" s="60" t="n">
        <v>74.06</v>
      </c>
      <c r="H759" s="61" t="n">
        <v>1099.99</v>
      </c>
      <c r="I759" s="61" t="n">
        <v>96.77</v>
      </c>
      <c r="J759" s="61" t="n">
        <f aca="false">H759*Resumo!$C$6</f>
        <v>0</v>
      </c>
      <c r="K759" s="61" t="n">
        <f aca="false">H759*Resumo!$C$7</f>
        <v>2.309979</v>
      </c>
      <c r="L759" s="61" t="n">
        <f aca="false">H759*Resumo!$C$8</f>
        <v>2.309979</v>
      </c>
      <c r="M759" s="61" t="n">
        <f aca="false">Resumo!$C$10*CEILING(G759/100,1)</f>
        <v>1.05</v>
      </c>
      <c r="N759" s="61" t="n">
        <f aca="false">Resumo!$C$9</f>
        <v>0</v>
      </c>
      <c r="O759" s="61" t="n">
        <f aca="false">Resumo!$C$13</f>
        <v>13.55</v>
      </c>
      <c r="P759" s="61" t="n">
        <f aca="false">Resumo!$C$14*CEILING(G759,1)</f>
        <v>33.75</v>
      </c>
      <c r="Q759" s="61" t="n">
        <f aca="false">SUM(I759:P759)*Resumo!$C$11</f>
        <v>0</v>
      </c>
      <c r="R759" s="61" t="n">
        <f aca="false">SUM(I759:Q759)</f>
        <v>149.739958</v>
      </c>
      <c r="S759" s="61" t="n">
        <f aca="false">R759/(1-Resumo!$C$5)</f>
        <v>170.159043181818</v>
      </c>
      <c r="T759" s="61" t="n">
        <v>157.88</v>
      </c>
      <c r="U759" s="61" t="n">
        <f aca="false">H759*Resumo!$B$6</f>
        <v>1.09999</v>
      </c>
      <c r="V759" s="61" t="n">
        <f aca="false">H759*Resumo!$B$7</f>
        <v>2.19998</v>
      </c>
      <c r="W759" s="61" t="n">
        <f aca="false">Resumo!$B$9</f>
        <v>1</v>
      </c>
      <c r="X759" s="61" t="n">
        <f aca="false">Resumo!$B$10*CEILING(G759/100,1)</f>
        <v>4.5</v>
      </c>
      <c r="Y759" s="61" t="n">
        <f aca="false">Resumo!$B$12*CEILING(G759,1)</f>
        <v>4.5</v>
      </c>
      <c r="Z759" s="61" t="n">
        <f aca="false">Resumo!$B$14*CEILING(G759,1)</f>
        <v>33.75</v>
      </c>
      <c r="AA759" s="61" t="n">
        <f aca="false">SUM(T759:Z759)</f>
        <v>204.92997</v>
      </c>
      <c r="AB759" s="61" t="n">
        <f aca="false">AA759/(1-Resumo!$B$5)</f>
        <v>232.874965909091</v>
      </c>
      <c r="AC759" s="61" t="n">
        <f aca="false">AB759-S759</f>
        <v>62.7159227272727</v>
      </c>
      <c r="AD759" s="62" t="n">
        <f aca="false">AB759/S759-1</f>
        <v>0.368572375317482</v>
      </c>
      <c r="AE759" s="60" t="str">
        <f aca="false">IF(AB759&lt;S759,"SIM","NÃO")</f>
        <v>NÃO</v>
      </c>
      <c r="AF759" s="60" t="n">
        <v>13</v>
      </c>
      <c r="AG759" s="60" t="n">
        <v>10</v>
      </c>
      <c r="AH759" s="60" t="s">
        <v>385</v>
      </c>
      <c r="AI759" s="61" t="n">
        <f aca="false">(T759*(1-Painel!$C$40)+U759+V759+Painel!$C$41+Painel!$C$42*CEILING(G759/100,1)+Painel!$C$43*CEILING(G759,1)+Z759)/(1-Resumo!$B$5)</f>
        <v>164.635875</v>
      </c>
      <c r="AJ759" s="60" t="str">
        <f aca="false">IF(AI759&lt;S759,"SIM","NÃO")</f>
        <v>SIM</v>
      </c>
    </row>
    <row r="760" customFormat="false" ht="15" hidden="false" customHeight="false" outlineLevel="0" collapsed="false">
      <c r="A760" s="59" t="n">
        <v>46242.8230208333</v>
      </c>
      <c r="B760" s="60" t="s">
        <v>1105</v>
      </c>
      <c r="C760" s="60" t="n">
        <v>23585245</v>
      </c>
      <c r="D760" s="60" t="s">
        <v>46</v>
      </c>
      <c r="E760" s="60" t="s">
        <v>22</v>
      </c>
      <c r="F760" s="60" t="s">
        <v>232</v>
      </c>
      <c r="G760" s="60" t="n">
        <v>19.5</v>
      </c>
      <c r="H760" s="61" t="n">
        <v>333</v>
      </c>
      <c r="I760" s="61" t="n">
        <v>33.42</v>
      </c>
      <c r="J760" s="61" t="n">
        <f aca="false">H760*Resumo!$C$6</f>
        <v>0</v>
      </c>
      <c r="K760" s="61" t="n">
        <f aca="false">H760*Resumo!$C$7</f>
        <v>0.6993</v>
      </c>
      <c r="L760" s="61" t="n">
        <f aca="false">H760*Resumo!$C$8</f>
        <v>0.6993</v>
      </c>
      <c r="M760" s="61" t="n">
        <f aca="false">Resumo!$C$10*CEILING(G760/100,1)</f>
        <v>1.05</v>
      </c>
      <c r="N760" s="61" t="n">
        <f aca="false">Resumo!$C$9</f>
        <v>0</v>
      </c>
      <c r="O760" s="61" t="n">
        <f aca="false">Resumo!$C$13</f>
        <v>13.55</v>
      </c>
      <c r="P760" s="61" t="n">
        <f aca="false">Resumo!$C$14*CEILING(G760,1)</f>
        <v>9</v>
      </c>
      <c r="Q760" s="61" t="n">
        <f aca="false">SUM(I760:P760)*Resumo!$C$11</f>
        <v>0</v>
      </c>
      <c r="R760" s="61" t="n">
        <f aca="false">SUM(I760:Q760)</f>
        <v>58.4186</v>
      </c>
      <c r="S760" s="61" t="n">
        <f aca="false">R760/(1-Resumo!$C$5)</f>
        <v>66.3847727272727</v>
      </c>
      <c r="T760" s="61" t="n">
        <v>46.98</v>
      </c>
      <c r="U760" s="61" t="n">
        <f aca="false">H760*Resumo!$B$6</f>
        <v>0.333</v>
      </c>
      <c r="V760" s="61" t="n">
        <f aca="false">H760*Resumo!$B$7</f>
        <v>0.666</v>
      </c>
      <c r="W760" s="61" t="n">
        <f aca="false">Resumo!$B$9</f>
        <v>1</v>
      </c>
      <c r="X760" s="61" t="n">
        <f aca="false">Resumo!$B$10*CEILING(G760/100,1)</f>
        <v>4.5</v>
      </c>
      <c r="Y760" s="61" t="n">
        <f aca="false">Resumo!$B$12*CEILING(G760,1)</f>
        <v>1.2</v>
      </c>
      <c r="Z760" s="61" t="n">
        <f aca="false">Resumo!$B$14*CEILING(G760,1)</f>
        <v>9</v>
      </c>
      <c r="AA760" s="61" t="n">
        <f aca="false">SUM(T760:Z760)</f>
        <v>63.679</v>
      </c>
      <c r="AB760" s="61" t="n">
        <f aca="false">AA760/(1-Resumo!$B$5)</f>
        <v>72.3625</v>
      </c>
      <c r="AC760" s="61" t="n">
        <f aca="false">AB760-S760</f>
        <v>5.97772727272727</v>
      </c>
      <c r="AD760" s="62" t="n">
        <f aca="false">AB760/S760-1</f>
        <v>0.0900466632202757</v>
      </c>
      <c r="AE760" s="60" t="str">
        <f aca="false">IF(AB760&lt;S760,"SIM","NÃO")</f>
        <v>NÃO</v>
      </c>
      <c r="AF760" s="60" t="n">
        <v>2</v>
      </c>
      <c r="AG760" s="60" t="n">
        <v>5</v>
      </c>
      <c r="AH760" s="60" t="s">
        <v>382</v>
      </c>
      <c r="AI760" s="61" t="n">
        <f aca="false">(T760*(1-Painel!$C$40)+U760+V760+Painel!$C$41+Painel!$C$42*CEILING(G760/100,1)+Painel!$C$43*CEILING(G760,1)+Z760)/(1-Resumo!$B$5)</f>
        <v>49.4609090909091</v>
      </c>
      <c r="AJ760" s="60" t="str">
        <f aca="false">IF(AI760&lt;S760,"SIM","NÃO")</f>
        <v>SIM</v>
      </c>
    </row>
    <row r="761" customFormat="false" ht="15" hidden="false" customHeight="false" outlineLevel="0" collapsed="false">
      <c r="A761" s="59" t="n">
        <v>46242.8270601852</v>
      </c>
      <c r="B761" s="60" t="s">
        <v>1106</v>
      </c>
      <c r="C761" s="60" t="n">
        <v>28415000</v>
      </c>
      <c r="D761" s="60" t="s">
        <v>314</v>
      </c>
      <c r="E761" s="60" t="s">
        <v>24</v>
      </c>
      <c r="F761" s="60" t="s">
        <v>241</v>
      </c>
      <c r="G761" s="60" t="n">
        <v>134.4</v>
      </c>
      <c r="H761" s="61" t="n">
        <v>1597.99</v>
      </c>
      <c r="I761" s="61" t="n">
        <v>144.24</v>
      </c>
      <c r="J761" s="61" t="n">
        <f aca="false">H761*Resumo!$C$6</f>
        <v>0</v>
      </c>
      <c r="K761" s="61" t="n">
        <f aca="false">H761*Resumo!$C$7</f>
        <v>3.355779</v>
      </c>
      <c r="L761" s="61" t="n">
        <f aca="false">H761*Resumo!$C$8</f>
        <v>3.355779</v>
      </c>
      <c r="M761" s="61" t="n">
        <f aca="false">Resumo!$C$10*CEILING(G761/100,1)</f>
        <v>2.1</v>
      </c>
      <c r="N761" s="61" t="n">
        <f aca="false">Resumo!$C$9</f>
        <v>0</v>
      </c>
      <c r="O761" s="61" t="n">
        <f aca="false">Resumo!$C$13</f>
        <v>13.55</v>
      </c>
      <c r="P761" s="61" t="n">
        <f aca="false">Resumo!$C$14*CEILING(G761,1)</f>
        <v>60.75</v>
      </c>
      <c r="Q761" s="61" t="n">
        <f aca="false">SUM(I761:P761)*Resumo!$C$11</f>
        <v>0</v>
      </c>
      <c r="R761" s="61" t="n">
        <f aca="false">SUM(I761:Q761)</f>
        <v>227.351558</v>
      </c>
      <c r="S761" s="61" t="n">
        <f aca="false">R761/(1-Resumo!$C$5)</f>
        <v>258.354043181818</v>
      </c>
      <c r="T761" s="61" t="n">
        <v>264.84</v>
      </c>
      <c r="U761" s="61" t="n">
        <f aca="false">H761*Resumo!$B$6</f>
        <v>1.59799</v>
      </c>
      <c r="V761" s="61" t="n">
        <f aca="false">H761*Resumo!$B$7</f>
        <v>3.19598</v>
      </c>
      <c r="W761" s="61" t="n">
        <f aca="false">Resumo!$B$9</f>
        <v>1</v>
      </c>
      <c r="X761" s="61" t="n">
        <f aca="false">Resumo!$B$10*CEILING(G761/100,1)</f>
        <v>9</v>
      </c>
      <c r="Y761" s="61" t="n">
        <f aca="false">Resumo!$B$12*CEILING(G761,1)</f>
        <v>8.1</v>
      </c>
      <c r="Z761" s="61" t="n">
        <f aca="false">Resumo!$B$14*CEILING(G761,1)</f>
        <v>60.75</v>
      </c>
      <c r="AA761" s="61" t="n">
        <f aca="false">SUM(T761:Z761)</f>
        <v>348.48397</v>
      </c>
      <c r="AB761" s="61" t="n">
        <f aca="false">AA761/(1-Resumo!$B$5)</f>
        <v>396.004511363636</v>
      </c>
      <c r="AC761" s="61" t="n">
        <f aca="false">AB761-S761</f>
        <v>137.650468181818</v>
      </c>
      <c r="AD761" s="62" t="n">
        <f aca="false">AB761/S761-1</f>
        <v>0.532797809109362</v>
      </c>
      <c r="AE761" s="60" t="str">
        <f aca="false">IF(AB761&lt;S761,"SIM","NÃO")</f>
        <v>NÃO</v>
      </c>
      <c r="AF761" s="60" t="n">
        <v>13</v>
      </c>
      <c r="AG761" s="60" t="n">
        <v>11</v>
      </c>
      <c r="AH761" s="60" t="s">
        <v>385</v>
      </c>
      <c r="AI761" s="61" t="n">
        <f aca="false">(T761*(1-Painel!$C$40)+U761+V761+Painel!$C$41+Painel!$C$42*CEILING(G761/100,1)+Painel!$C$43*CEILING(G761,1)+Z761)/(1-Resumo!$B$5)</f>
        <v>279.644056818182</v>
      </c>
      <c r="AJ761" s="60" t="str">
        <f aca="false">IF(AI761&lt;S761,"SIM","NÃO")</f>
        <v>NÃO</v>
      </c>
    </row>
    <row r="762" customFormat="false" ht="15" hidden="false" customHeight="false" outlineLevel="0" collapsed="false">
      <c r="A762" s="59" t="n">
        <v>46242.8413657407</v>
      </c>
      <c r="B762" s="60" t="s">
        <v>1107</v>
      </c>
      <c r="C762" s="60" t="n">
        <v>26455365</v>
      </c>
      <c r="D762" s="60" t="s">
        <v>283</v>
      </c>
      <c r="E762" s="60" t="s">
        <v>24</v>
      </c>
      <c r="F762" s="60" t="s">
        <v>234</v>
      </c>
      <c r="G762" s="60" t="n">
        <v>37.3</v>
      </c>
      <c r="H762" s="61" t="n">
        <v>423.99</v>
      </c>
      <c r="I762" s="61" t="n">
        <v>74.97</v>
      </c>
      <c r="J762" s="61" t="n">
        <f aca="false">H762*Resumo!$C$6</f>
        <v>0</v>
      </c>
      <c r="K762" s="61" t="n">
        <f aca="false">H762*Resumo!$C$7</f>
        <v>0.890379</v>
      </c>
      <c r="L762" s="61" t="n">
        <f aca="false">H762*Resumo!$C$8</f>
        <v>0.890379</v>
      </c>
      <c r="M762" s="61" t="n">
        <f aca="false">Resumo!$C$10*CEILING(G762/100,1)</f>
        <v>1.05</v>
      </c>
      <c r="N762" s="61" t="n">
        <f aca="false">Resumo!$C$9</f>
        <v>0</v>
      </c>
      <c r="O762" s="61" t="n">
        <f aca="false">Resumo!$C$13</f>
        <v>13.55</v>
      </c>
      <c r="P762" s="61" t="n">
        <f aca="false">Resumo!$C$14*CEILING(G762,1)</f>
        <v>17.1</v>
      </c>
      <c r="Q762" s="61" t="n">
        <f aca="false">SUM(I762:P762)*Resumo!$C$11</f>
        <v>0</v>
      </c>
      <c r="R762" s="61" t="n">
        <f aca="false">SUM(I762:Q762)</f>
        <v>108.450758</v>
      </c>
      <c r="S762" s="61" t="n">
        <f aca="false">R762/(1-Resumo!$C$5)</f>
        <v>123.239497727273</v>
      </c>
      <c r="T762" s="61" t="n">
        <v>93.97</v>
      </c>
      <c r="U762" s="61" t="n">
        <f aca="false">H762*Resumo!$B$6</f>
        <v>0.42399</v>
      </c>
      <c r="V762" s="61" t="n">
        <f aca="false">H762*Resumo!$B$7</f>
        <v>0.84798</v>
      </c>
      <c r="W762" s="61" t="n">
        <f aca="false">Resumo!$B$9</f>
        <v>1</v>
      </c>
      <c r="X762" s="61" t="n">
        <f aca="false">Resumo!$B$10*CEILING(G762/100,1)</f>
        <v>4.5</v>
      </c>
      <c r="Y762" s="61" t="n">
        <f aca="false">Resumo!$B$12*CEILING(G762,1)</f>
        <v>2.28</v>
      </c>
      <c r="Z762" s="61" t="n">
        <f aca="false">Resumo!$B$14*CEILING(G762,1)</f>
        <v>17.1</v>
      </c>
      <c r="AA762" s="61" t="n">
        <f aca="false">SUM(T762:Z762)</f>
        <v>120.12197</v>
      </c>
      <c r="AB762" s="61" t="n">
        <f aca="false">AA762/(1-Resumo!$B$5)</f>
        <v>136.502238636364</v>
      </c>
      <c r="AC762" s="61" t="n">
        <f aca="false">AB762-S762</f>
        <v>13.2627409090909</v>
      </c>
      <c r="AD762" s="62" t="n">
        <f aca="false">AB762/S762-1</f>
        <v>0.107617615729343</v>
      </c>
      <c r="AE762" s="60" t="str">
        <f aca="false">IF(AB762&lt;S762,"SIM","NÃO")</f>
        <v>NÃO</v>
      </c>
      <c r="AF762" s="60" t="n">
        <v>13</v>
      </c>
      <c r="AG762" s="60" t="n">
        <v>5</v>
      </c>
      <c r="AH762" s="60" t="s">
        <v>385</v>
      </c>
      <c r="AI762" s="61" t="n">
        <f aca="false">(T762*(1-Painel!$C$40)+U762+V762+Painel!$C$41+Painel!$C$42*CEILING(G762/100,1)+Painel!$C$43*CEILING(G762,1)+Z762)/(1-Resumo!$B$5)</f>
        <v>94.752125</v>
      </c>
      <c r="AJ762" s="60" t="str">
        <f aca="false">IF(AI762&lt;S762,"SIM","NÃO")</f>
        <v>SIM</v>
      </c>
    </row>
    <row r="763" customFormat="false" ht="15" hidden="false" customHeight="false" outlineLevel="0" collapsed="false">
      <c r="A763" s="59" t="n">
        <v>46242.8433333333</v>
      </c>
      <c r="B763" s="60" t="s">
        <v>1108</v>
      </c>
      <c r="C763" s="60" t="n">
        <v>28770000</v>
      </c>
      <c r="D763" s="60" t="s">
        <v>333</v>
      </c>
      <c r="E763" s="60" t="s">
        <v>24</v>
      </c>
      <c r="F763" s="60" t="s">
        <v>233</v>
      </c>
      <c r="G763" s="60" t="n">
        <v>31.9</v>
      </c>
      <c r="H763" s="61" t="n">
        <v>533.6</v>
      </c>
      <c r="I763" s="61" t="n">
        <v>65.63</v>
      </c>
      <c r="J763" s="61" t="n">
        <f aca="false">H763*Resumo!$C$6</f>
        <v>0</v>
      </c>
      <c r="K763" s="61" t="n">
        <f aca="false">H763*Resumo!$C$7</f>
        <v>1.12056</v>
      </c>
      <c r="L763" s="61" t="n">
        <f aca="false">H763*Resumo!$C$8</f>
        <v>1.12056</v>
      </c>
      <c r="M763" s="61" t="n">
        <f aca="false">Resumo!$C$10*CEILING(G763/100,1)</f>
        <v>1.05</v>
      </c>
      <c r="N763" s="61" t="n">
        <f aca="false">Resumo!$C$9</f>
        <v>0</v>
      </c>
      <c r="O763" s="61" t="n">
        <f aca="false">Resumo!$C$13</f>
        <v>13.55</v>
      </c>
      <c r="P763" s="61" t="n">
        <f aca="false">Resumo!$C$14*CEILING(G763,1)</f>
        <v>14.4</v>
      </c>
      <c r="Q763" s="61" t="n">
        <f aca="false">SUM(I763:P763)*Resumo!$C$11</f>
        <v>0</v>
      </c>
      <c r="R763" s="61" t="n">
        <f aca="false">SUM(I763:Q763)</f>
        <v>96.87112</v>
      </c>
      <c r="S763" s="61" t="n">
        <f aca="false">R763/(1-Resumo!$C$5)</f>
        <v>110.080818181818</v>
      </c>
      <c r="T763" s="61" t="n">
        <v>138.29</v>
      </c>
      <c r="U763" s="61" t="n">
        <f aca="false">H763*Resumo!$B$6</f>
        <v>0.5336</v>
      </c>
      <c r="V763" s="61" t="n">
        <f aca="false">H763*Resumo!$B$7</f>
        <v>1.0672</v>
      </c>
      <c r="W763" s="61" t="n">
        <f aca="false">Resumo!$B$9</f>
        <v>1</v>
      </c>
      <c r="X763" s="61" t="n">
        <f aca="false">Resumo!$B$10*CEILING(G763/100,1)</f>
        <v>4.5</v>
      </c>
      <c r="Y763" s="61" t="n">
        <f aca="false">Resumo!$B$12*CEILING(G763,1)</f>
        <v>1.92</v>
      </c>
      <c r="Z763" s="61" t="n">
        <f aca="false">Resumo!$B$14*CEILING(G763,1)</f>
        <v>14.4</v>
      </c>
      <c r="AA763" s="61" t="n">
        <f aca="false">SUM(T763:Z763)</f>
        <v>161.7108</v>
      </c>
      <c r="AB763" s="61" t="n">
        <f aca="false">AA763/(1-Resumo!$B$5)</f>
        <v>183.762272727273</v>
      </c>
      <c r="AC763" s="61" t="n">
        <f aca="false">AB763-S763</f>
        <v>73.6814545454546</v>
      </c>
      <c r="AD763" s="62" t="n">
        <f aca="false">AB763/S763-1</f>
        <v>0.669339633938371</v>
      </c>
      <c r="AE763" s="60" t="str">
        <f aca="false">IF(AB763&lt;S763,"SIM","NÃO")</f>
        <v>NÃO</v>
      </c>
      <c r="AF763" s="60" t="n">
        <v>13</v>
      </c>
      <c r="AG763" s="60" t="n">
        <v>11</v>
      </c>
      <c r="AH763" s="60" t="s">
        <v>385</v>
      </c>
      <c r="AI763" s="61" t="n">
        <f aca="false">(T763*(1-Painel!$C$40)+U763+V763+Painel!$C$41+Painel!$C$42*CEILING(G763/100,1)+Painel!$C$43*CEILING(G763,1)+Z763)/(1-Resumo!$B$5)</f>
        <v>125.80125</v>
      </c>
      <c r="AJ763" s="60" t="str">
        <f aca="false">IF(AI763&lt;S763,"SIM","NÃO")</f>
        <v>NÃO</v>
      </c>
    </row>
    <row r="764" customFormat="false" ht="15" hidden="false" customHeight="false" outlineLevel="0" collapsed="false">
      <c r="A764" s="59" t="n">
        <v>46242.8438194445</v>
      </c>
      <c r="B764" s="60" t="s">
        <v>1109</v>
      </c>
      <c r="C764" s="60" t="n">
        <v>28968345</v>
      </c>
      <c r="D764" s="60" t="s">
        <v>340</v>
      </c>
      <c r="E764" s="60" t="s">
        <v>24</v>
      </c>
      <c r="F764" s="60" t="s">
        <v>234</v>
      </c>
      <c r="G764" s="60" t="n">
        <v>36.9</v>
      </c>
      <c r="H764" s="61" t="n">
        <v>399.99</v>
      </c>
      <c r="I764" s="61" t="n">
        <v>74.97</v>
      </c>
      <c r="J764" s="61" t="n">
        <f aca="false">H764*Resumo!$C$6</f>
        <v>0</v>
      </c>
      <c r="K764" s="61" t="n">
        <f aca="false">H764*Resumo!$C$7</f>
        <v>0.839979</v>
      </c>
      <c r="L764" s="61" t="n">
        <f aca="false">H764*Resumo!$C$8</f>
        <v>0.839979</v>
      </c>
      <c r="M764" s="61" t="n">
        <f aca="false">Resumo!$C$10*CEILING(G764/100,1)</f>
        <v>1.05</v>
      </c>
      <c r="N764" s="61" t="n">
        <f aca="false">Resumo!$C$9</f>
        <v>0</v>
      </c>
      <c r="O764" s="61" t="n">
        <f aca="false">Resumo!$C$13</f>
        <v>13.55</v>
      </c>
      <c r="P764" s="61" t="n">
        <f aca="false">Resumo!$C$14*CEILING(G764,1)</f>
        <v>16.65</v>
      </c>
      <c r="Q764" s="61" t="n">
        <f aca="false">SUM(I764:P764)*Resumo!$C$11</f>
        <v>0</v>
      </c>
      <c r="R764" s="61" t="n">
        <f aca="false">SUM(I764:Q764)</f>
        <v>107.899958</v>
      </c>
      <c r="S764" s="61" t="n">
        <f aca="false">R764/(1-Resumo!$C$5)</f>
        <v>122.613588636364</v>
      </c>
      <c r="T764" s="61" t="n">
        <v>124.38</v>
      </c>
      <c r="U764" s="61" t="n">
        <f aca="false">H764*Resumo!$B$6</f>
        <v>0.39999</v>
      </c>
      <c r="V764" s="61" t="n">
        <f aca="false">H764*Resumo!$B$7</f>
        <v>0.79998</v>
      </c>
      <c r="W764" s="61" t="n">
        <f aca="false">Resumo!$B$9</f>
        <v>1</v>
      </c>
      <c r="X764" s="61" t="n">
        <f aca="false">Resumo!$B$10*CEILING(G764/100,1)</f>
        <v>4.5</v>
      </c>
      <c r="Y764" s="61" t="n">
        <f aca="false">Resumo!$B$12*CEILING(G764,1)</f>
        <v>2.22</v>
      </c>
      <c r="Z764" s="61" t="n">
        <f aca="false">Resumo!$B$14*CEILING(G764,1)</f>
        <v>16.65</v>
      </c>
      <c r="AA764" s="61" t="n">
        <f aca="false">SUM(T764:Z764)</f>
        <v>149.94997</v>
      </c>
      <c r="AB764" s="61" t="n">
        <f aca="false">AA764/(1-Resumo!$B$5)</f>
        <v>170.397693181818</v>
      </c>
      <c r="AC764" s="61" t="n">
        <f aca="false">AB764-S764</f>
        <v>47.7841045454546</v>
      </c>
      <c r="AD764" s="62" t="n">
        <f aca="false">AB764/S764-1</f>
        <v>0.389712959851199</v>
      </c>
      <c r="AE764" s="60" t="str">
        <f aca="false">IF(AB764&lt;S764,"SIM","NÃO")</f>
        <v>NÃO</v>
      </c>
      <c r="AF764" s="60" t="n">
        <v>13</v>
      </c>
      <c r="AG764" s="60" t="n">
        <v>10</v>
      </c>
      <c r="AH764" s="60" t="s">
        <v>385</v>
      </c>
      <c r="AI764" s="61" t="n">
        <f aca="false">(T764*(1-Painel!$C$40)+U764+V764+Painel!$C$41+Painel!$C$42*CEILING(G764/100,1)+Painel!$C$43*CEILING(G764,1)+Z764)/(1-Resumo!$B$5)</f>
        <v>117.312011363636</v>
      </c>
      <c r="AJ764" s="60" t="str">
        <f aca="false">IF(AI764&lt;S764,"SIM","NÃO")</f>
        <v>SIM</v>
      </c>
    </row>
    <row r="765" customFormat="false" ht="15" hidden="false" customHeight="false" outlineLevel="0" collapsed="false">
      <c r="A765" s="59" t="n">
        <v>46242.8531597222</v>
      </c>
      <c r="B765" s="60" t="s">
        <v>1110</v>
      </c>
      <c r="C765" s="60" t="n">
        <v>23068100</v>
      </c>
      <c r="D765" s="60" t="s">
        <v>46</v>
      </c>
      <c r="E765" s="60" t="s">
        <v>22</v>
      </c>
      <c r="F765" s="60" t="s">
        <v>232</v>
      </c>
      <c r="G765" s="60" t="n">
        <v>19.9</v>
      </c>
      <c r="H765" s="61" t="n">
        <v>309.99</v>
      </c>
      <c r="I765" s="61" t="n">
        <v>33.42</v>
      </c>
      <c r="J765" s="61" t="n">
        <f aca="false">H765*Resumo!$C$6</f>
        <v>0</v>
      </c>
      <c r="K765" s="61" t="n">
        <f aca="false">H765*Resumo!$C$7</f>
        <v>0.650979</v>
      </c>
      <c r="L765" s="61" t="n">
        <f aca="false">H765*Resumo!$C$8</f>
        <v>0.650979</v>
      </c>
      <c r="M765" s="61" t="n">
        <f aca="false">Resumo!$C$10*CEILING(G765/100,1)</f>
        <v>1.05</v>
      </c>
      <c r="N765" s="61" t="n">
        <f aca="false">Resumo!$C$9</f>
        <v>0</v>
      </c>
      <c r="O765" s="61" t="n">
        <f aca="false">Resumo!$C$13</f>
        <v>13.55</v>
      </c>
      <c r="P765" s="61" t="n">
        <f aca="false">Resumo!$C$14*CEILING(G765,1)</f>
        <v>9</v>
      </c>
      <c r="Q765" s="61" t="n">
        <f aca="false">SUM(I765:P765)*Resumo!$C$11</f>
        <v>0</v>
      </c>
      <c r="R765" s="61" t="n">
        <f aca="false">SUM(I765:Q765)</f>
        <v>58.321958</v>
      </c>
      <c r="S765" s="61" t="n">
        <f aca="false">R765/(1-Resumo!$C$5)</f>
        <v>66.2749522727273</v>
      </c>
      <c r="T765" s="61" t="n">
        <v>46.98</v>
      </c>
      <c r="U765" s="61" t="n">
        <f aca="false">H765*Resumo!$B$6</f>
        <v>0.30999</v>
      </c>
      <c r="V765" s="61" t="n">
        <f aca="false">H765*Resumo!$B$7</f>
        <v>0.61998</v>
      </c>
      <c r="W765" s="61" t="n">
        <f aca="false">Resumo!$B$9</f>
        <v>1</v>
      </c>
      <c r="X765" s="61" t="n">
        <f aca="false">Resumo!$B$10*CEILING(G765/100,1)</f>
        <v>4.5</v>
      </c>
      <c r="Y765" s="61" t="n">
        <f aca="false">Resumo!$B$12*CEILING(G765,1)</f>
        <v>1.2</v>
      </c>
      <c r="Z765" s="61" t="n">
        <f aca="false">Resumo!$B$14*CEILING(G765,1)</f>
        <v>9</v>
      </c>
      <c r="AA765" s="61" t="n">
        <f aca="false">SUM(T765:Z765)</f>
        <v>63.60997</v>
      </c>
      <c r="AB765" s="61" t="n">
        <f aca="false">AA765/(1-Resumo!$B$5)</f>
        <v>72.2840568181818</v>
      </c>
      <c r="AC765" s="61" t="n">
        <f aca="false">AB765-S765</f>
        <v>6.00910454545453</v>
      </c>
      <c r="AD765" s="62" t="n">
        <f aca="false">AB765/S765-1</f>
        <v>0.090669315320312</v>
      </c>
      <c r="AE765" s="60" t="str">
        <f aca="false">IF(AB765&lt;S765,"SIM","NÃO")</f>
        <v>NÃO</v>
      </c>
      <c r="AF765" s="60" t="n">
        <v>2</v>
      </c>
      <c r="AG765" s="60" t="n">
        <v>5</v>
      </c>
      <c r="AH765" s="60" t="s">
        <v>382</v>
      </c>
      <c r="AI765" s="61" t="n">
        <f aca="false">(T765*(1-Painel!$C$40)+U765+V765+Painel!$C$41+Painel!$C$42*CEILING(G765/100,1)+Painel!$C$43*CEILING(G765,1)+Z765)/(1-Resumo!$B$5)</f>
        <v>49.3824659090909</v>
      </c>
      <c r="AJ765" s="60" t="str">
        <f aca="false">IF(AI765&lt;S765,"SIM","NÃO")</f>
        <v>SIM</v>
      </c>
    </row>
    <row r="766" customFormat="false" ht="15" hidden="false" customHeight="false" outlineLevel="0" collapsed="false">
      <c r="A766" s="59" t="n">
        <v>46242.8531597222</v>
      </c>
      <c r="B766" s="60" t="s">
        <v>1110</v>
      </c>
      <c r="C766" s="60" t="n">
        <v>23068100</v>
      </c>
      <c r="D766" s="60" t="s">
        <v>46</v>
      </c>
      <c r="E766" s="60" t="s">
        <v>22</v>
      </c>
      <c r="F766" s="60" t="s">
        <v>234</v>
      </c>
      <c r="G766" s="60" t="n">
        <v>36.8</v>
      </c>
      <c r="H766" s="61" t="n">
        <v>414.99</v>
      </c>
      <c r="I766" s="61" t="n">
        <v>48.35</v>
      </c>
      <c r="J766" s="61" t="n">
        <f aca="false">H766*Resumo!$C$6</f>
        <v>0</v>
      </c>
      <c r="K766" s="61" t="n">
        <f aca="false">H766*Resumo!$C$7</f>
        <v>0.871479</v>
      </c>
      <c r="L766" s="61" t="n">
        <f aca="false">H766*Resumo!$C$8</f>
        <v>0.871479</v>
      </c>
      <c r="M766" s="61" t="n">
        <f aca="false">Resumo!$C$10*CEILING(G766/100,1)</f>
        <v>1.05</v>
      </c>
      <c r="N766" s="61" t="n">
        <f aca="false">Resumo!$C$9</f>
        <v>0</v>
      </c>
      <c r="O766" s="61" t="n">
        <f aca="false">Resumo!$C$13</f>
        <v>13.55</v>
      </c>
      <c r="P766" s="61" t="n">
        <f aca="false">Resumo!$C$14*CEILING(G766,1)</f>
        <v>16.65</v>
      </c>
      <c r="Q766" s="61" t="n">
        <f aca="false">SUM(I766:P766)*Resumo!$C$11</f>
        <v>0</v>
      </c>
      <c r="R766" s="61" t="n">
        <f aca="false">SUM(I766:Q766)</f>
        <v>81.342958</v>
      </c>
      <c r="S766" s="61" t="n">
        <f aca="false">R766/(1-Resumo!$C$5)</f>
        <v>92.4351795454546</v>
      </c>
      <c r="T766" s="61" t="n">
        <v>93.97</v>
      </c>
      <c r="U766" s="61" t="n">
        <f aca="false">H766*Resumo!$B$6</f>
        <v>0.41499</v>
      </c>
      <c r="V766" s="61" t="n">
        <f aca="false">H766*Resumo!$B$7</f>
        <v>0.82998</v>
      </c>
      <c r="W766" s="61" t="n">
        <f aca="false">Resumo!$B$9</f>
        <v>1</v>
      </c>
      <c r="X766" s="61" t="n">
        <f aca="false">Resumo!$B$10*CEILING(G766/100,1)</f>
        <v>4.5</v>
      </c>
      <c r="Y766" s="61" t="n">
        <f aca="false">Resumo!$B$12*CEILING(G766,1)</f>
        <v>2.22</v>
      </c>
      <c r="Z766" s="61" t="n">
        <f aca="false">Resumo!$B$14*CEILING(G766,1)</f>
        <v>16.65</v>
      </c>
      <c r="AA766" s="61" t="n">
        <f aca="false">SUM(T766:Z766)</f>
        <v>119.58497</v>
      </c>
      <c r="AB766" s="61" t="n">
        <f aca="false">AA766/(1-Resumo!$B$5)</f>
        <v>135.892011363636</v>
      </c>
      <c r="AC766" s="61" t="n">
        <f aca="false">AB766-S766</f>
        <v>43.4568318181818</v>
      </c>
      <c r="AD766" s="62" t="n">
        <f aca="false">AB766/S766-1</f>
        <v>0.470133038437082</v>
      </c>
      <c r="AE766" s="60" t="str">
        <f aca="false">IF(AB766&lt;S766,"SIM","NÃO")</f>
        <v>NÃO</v>
      </c>
      <c r="AF766" s="60" t="n">
        <v>2</v>
      </c>
      <c r="AG766" s="60" t="n">
        <v>5</v>
      </c>
      <c r="AH766" s="60" t="s">
        <v>382</v>
      </c>
      <c r="AI766" s="61" t="n">
        <f aca="false">(T766*(1-Painel!$C$40)+U766+V766+Painel!$C$41+Painel!$C$42*CEILING(G766/100,1)+Painel!$C$43*CEILING(G766,1)+Z766)/(1-Resumo!$B$5)</f>
        <v>94.2100795454546</v>
      </c>
      <c r="AJ766" s="60" t="str">
        <f aca="false">IF(AI766&lt;S766,"SIM","NÃO")</f>
        <v>NÃO</v>
      </c>
    </row>
    <row r="767" customFormat="false" ht="15" hidden="false" customHeight="false" outlineLevel="0" collapsed="false">
      <c r="A767" s="59" t="n">
        <v>46242.8698611111</v>
      </c>
      <c r="B767" s="60" t="s">
        <v>1111</v>
      </c>
      <c r="C767" s="60" t="n">
        <v>22410001</v>
      </c>
      <c r="D767" s="60" t="s">
        <v>46</v>
      </c>
      <c r="E767" s="60" t="s">
        <v>22</v>
      </c>
      <c r="F767" s="60" t="s">
        <v>236</v>
      </c>
      <c r="G767" s="60" t="n">
        <v>52.3</v>
      </c>
      <c r="H767" s="61" t="n">
        <v>616.99</v>
      </c>
      <c r="I767" s="61" t="n">
        <v>58.6</v>
      </c>
      <c r="J767" s="61" t="n">
        <f aca="false">H767*Resumo!$C$6</f>
        <v>0</v>
      </c>
      <c r="K767" s="61" t="n">
        <f aca="false">H767*Resumo!$C$7</f>
        <v>1.295679</v>
      </c>
      <c r="L767" s="61" t="n">
        <f aca="false">H767*Resumo!$C$8</f>
        <v>1.295679</v>
      </c>
      <c r="M767" s="61" t="n">
        <f aca="false">Resumo!$C$10*CEILING(G767/100,1)</f>
        <v>1.05</v>
      </c>
      <c r="N767" s="61" t="n">
        <f aca="false">Resumo!$C$9</f>
        <v>0</v>
      </c>
      <c r="O767" s="61" t="n">
        <f aca="false">Resumo!$C$13</f>
        <v>13.55</v>
      </c>
      <c r="P767" s="61" t="n">
        <f aca="false">Resumo!$C$14*CEILING(G767,1)</f>
        <v>23.85</v>
      </c>
      <c r="Q767" s="61" t="n">
        <f aca="false">SUM(I767:P767)*Resumo!$C$11</f>
        <v>0</v>
      </c>
      <c r="R767" s="61" t="n">
        <f aca="false">SUM(I767:Q767)</f>
        <v>99.641358</v>
      </c>
      <c r="S767" s="61" t="n">
        <f aca="false">R767/(1-Resumo!$C$5)</f>
        <v>113.228815909091</v>
      </c>
      <c r="T767" s="61" t="n">
        <v>112.3</v>
      </c>
      <c r="U767" s="61" t="n">
        <f aca="false">H767*Resumo!$B$6</f>
        <v>0.61699</v>
      </c>
      <c r="V767" s="61" t="n">
        <f aca="false">H767*Resumo!$B$7</f>
        <v>1.23398</v>
      </c>
      <c r="W767" s="61" t="n">
        <f aca="false">Resumo!$B$9</f>
        <v>1</v>
      </c>
      <c r="X767" s="61" t="n">
        <f aca="false">Resumo!$B$10*CEILING(G767/100,1)</f>
        <v>4.5</v>
      </c>
      <c r="Y767" s="61" t="n">
        <f aca="false">Resumo!$B$12*CEILING(G767,1)</f>
        <v>3.18</v>
      </c>
      <c r="Z767" s="61" t="n">
        <f aca="false">Resumo!$B$14*CEILING(G767,1)</f>
        <v>23.85</v>
      </c>
      <c r="AA767" s="61" t="n">
        <f aca="false">SUM(T767:Z767)</f>
        <v>146.68097</v>
      </c>
      <c r="AB767" s="61" t="n">
        <f aca="false">AA767/(1-Resumo!$B$5)</f>
        <v>166.682920454545</v>
      </c>
      <c r="AC767" s="61" t="n">
        <f aca="false">AB767-S767</f>
        <v>53.4541045454546</v>
      </c>
      <c r="AD767" s="62" t="n">
        <f aca="false">AB767/S767-1</f>
        <v>0.472089230257179</v>
      </c>
      <c r="AE767" s="60" t="str">
        <f aca="false">IF(AB767&lt;S767,"SIM","NÃO")</f>
        <v>NÃO</v>
      </c>
      <c r="AF767" s="60" t="n">
        <v>2</v>
      </c>
      <c r="AG767" s="60" t="n">
        <v>5</v>
      </c>
      <c r="AH767" s="60" t="s">
        <v>382</v>
      </c>
      <c r="AI767" s="61" t="n">
        <f aca="false">(T767*(1-Painel!$C$40)+U767+V767+Painel!$C$41+Painel!$C$42*CEILING(G767/100,1)+Painel!$C$43*CEILING(G767,1)+Z767)/(1-Resumo!$B$5)</f>
        <v>117.036329545455</v>
      </c>
      <c r="AJ767" s="60" t="str">
        <f aca="false">IF(AI767&lt;S767,"SIM","NÃO")</f>
        <v>NÃO</v>
      </c>
    </row>
    <row r="768" customFormat="false" ht="15" hidden="false" customHeight="false" outlineLevel="0" collapsed="false">
      <c r="A768" s="59" t="n">
        <v>46242.8924652778</v>
      </c>
      <c r="B768" s="60" t="s">
        <v>550</v>
      </c>
      <c r="C768" s="60" t="n">
        <v>22780760</v>
      </c>
      <c r="D768" s="60" t="s">
        <v>46</v>
      </c>
      <c r="E768" s="60" t="s">
        <v>22</v>
      </c>
      <c r="F768" s="60" t="s">
        <v>233</v>
      </c>
      <c r="G768" s="60" t="n">
        <v>20.9</v>
      </c>
      <c r="H768" s="61" t="n">
        <v>450</v>
      </c>
      <c r="I768" s="61" t="n">
        <v>42.11</v>
      </c>
      <c r="J768" s="61" t="n">
        <f aca="false">H768*Resumo!$C$6</f>
        <v>0</v>
      </c>
      <c r="K768" s="61" t="n">
        <f aca="false">H768*Resumo!$C$7</f>
        <v>0.945</v>
      </c>
      <c r="L768" s="61" t="n">
        <f aca="false">H768*Resumo!$C$8</f>
        <v>0.945</v>
      </c>
      <c r="M768" s="61" t="n">
        <f aca="false">Resumo!$C$10*CEILING(G768/100,1)</f>
        <v>1.05</v>
      </c>
      <c r="N768" s="61" t="n">
        <f aca="false">Resumo!$C$9</f>
        <v>0</v>
      </c>
      <c r="O768" s="61" t="n">
        <f aca="false">Resumo!$C$13</f>
        <v>13.55</v>
      </c>
      <c r="P768" s="61" t="n">
        <f aca="false">Resumo!$C$14*CEILING(G768,1)</f>
        <v>9.45</v>
      </c>
      <c r="Q768" s="61" t="n">
        <f aca="false">SUM(I768:P768)*Resumo!$C$11</f>
        <v>0</v>
      </c>
      <c r="R768" s="61" t="n">
        <f aca="false">SUM(I768:Q768)</f>
        <v>68.05</v>
      </c>
      <c r="S768" s="61" t="n">
        <f aca="false">R768/(1-Resumo!$C$5)</f>
        <v>77.3295454545455</v>
      </c>
      <c r="T768" s="61" t="n">
        <v>82.21</v>
      </c>
      <c r="U768" s="61" t="n">
        <f aca="false">H768*Resumo!$B$6</f>
        <v>0.45</v>
      </c>
      <c r="V768" s="61" t="n">
        <f aca="false">H768*Resumo!$B$7</f>
        <v>0.9</v>
      </c>
      <c r="W768" s="61" t="n">
        <f aca="false">Resumo!$B$9</f>
        <v>1</v>
      </c>
      <c r="X768" s="61" t="n">
        <f aca="false">Resumo!$B$10*CEILING(G768/100,1)</f>
        <v>4.5</v>
      </c>
      <c r="Y768" s="61" t="n">
        <f aca="false">Resumo!$B$12*CEILING(G768,1)</f>
        <v>1.26</v>
      </c>
      <c r="Z768" s="61" t="n">
        <f aca="false">Resumo!$B$14*CEILING(G768,1)</f>
        <v>9.45</v>
      </c>
      <c r="AA768" s="61" t="n">
        <f aca="false">SUM(T768:Z768)</f>
        <v>99.77</v>
      </c>
      <c r="AB768" s="61" t="n">
        <f aca="false">AA768/(1-Resumo!$B$5)</f>
        <v>113.375</v>
      </c>
      <c r="AC768" s="61" t="n">
        <f aca="false">AB768-S768</f>
        <v>36.0454545454546</v>
      </c>
      <c r="AD768" s="62" t="n">
        <f aca="false">AB768/S768-1</f>
        <v>0.466127847171198</v>
      </c>
      <c r="AE768" s="60" t="str">
        <f aca="false">IF(AB768&lt;S768,"SIM","NÃO")</f>
        <v>NÃO</v>
      </c>
      <c r="AF768" s="60" t="n">
        <v>2</v>
      </c>
      <c r="AG768" s="60" t="n">
        <v>5</v>
      </c>
      <c r="AH768" s="60" t="s">
        <v>382</v>
      </c>
      <c r="AI768" s="61" t="n">
        <f aca="false">(T768*(1-Painel!$C$40)+U768+V768+Painel!$C$41+Painel!$C$42*CEILING(G768/100,1)+Painel!$C$43*CEILING(G768,1)+Z768)/(1-Resumo!$B$5)</f>
        <v>77.1939772727273</v>
      </c>
      <c r="AJ768" s="60" t="str">
        <f aca="false">IF(AI768&lt;S768,"SIM","NÃO")</f>
        <v>SIM</v>
      </c>
    </row>
    <row r="769" customFormat="false" ht="15" hidden="false" customHeight="false" outlineLevel="0" collapsed="false">
      <c r="A769" s="59" t="n">
        <v>46242.8924884259</v>
      </c>
      <c r="B769" s="60" t="s">
        <v>1112</v>
      </c>
      <c r="C769" s="60" t="n">
        <v>22270060</v>
      </c>
      <c r="D769" s="60" t="s">
        <v>46</v>
      </c>
      <c r="E769" s="60" t="s">
        <v>22</v>
      </c>
      <c r="F769" s="60" t="s">
        <v>237</v>
      </c>
      <c r="G769" s="60" t="n">
        <v>61.4</v>
      </c>
      <c r="H769" s="61" t="n">
        <v>979.99</v>
      </c>
      <c r="I769" s="61" t="n">
        <v>63.21</v>
      </c>
      <c r="J769" s="61" t="n">
        <f aca="false">H769*Resumo!$C$6</f>
        <v>0</v>
      </c>
      <c r="K769" s="61" t="n">
        <f aca="false">H769*Resumo!$C$7</f>
        <v>2.057979</v>
      </c>
      <c r="L769" s="61" t="n">
        <f aca="false">H769*Resumo!$C$8</f>
        <v>2.057979</v>
      </c>
      <c r="M769" s="61" t="n">
        <f aca="false">Resumo!$C$10*CEILING(G769/100,1)</f>
        <v>1.05</v>
      </c>
      <c r="N769" s="61" t="n">
        <f aca="false">Resumo!$C$9</f>
        <v>0</v>
      </c>
      <c r="O769" s="61" t="n">
        <f aca="false">Resumo!$C$13</f>
        <v>13.55</v>
      </c>
      <c r="P769" s="61" t="n">
        <f aca="false">Resumo!$C$14*CEILING(G769,1)</f>
        <v>27.9</v>
      </c>
      <c r="Q769" s="61" t="n">
        <f aca="false">SUM(I769:P769)*Resumo!$C$11</f>
        <v>0</v>
      </c>
      <c r="R769" s="61" t="n">
        <f aca="false">SUM(I769:Q769)</f>
        <v>109.825958</v>
      </c>
      <c r="S769" s="61" t="n">
        <f aca="false">R769/(1-Resumo!$C$5)</f>
        <v>124.802225</v>
      </c>
      <c r="T769" s="61" t="n">
        <v>131.02</v>
      </c>
      <c r="U769" s="61" t="n">
        <f aca="false">H769*Resumo!$B$6</f>
        <v>0.97999</v>
      </c>
      <c r="V769" s="61" t="n">
        <f aca="false">H769*Resumo!$B$7</f>
        <v>1.95998</v>
      </c>
      <c r="W769" s="61" t="n">
        <f aca="false">Resumo!$B$9</f>
        <v>1</v>
      </c>
      <c r="X769" s="61" t="n">
        <f aca="false">Resumo!$B$10*CEILING(G769/100,1)</f>
        <v>4.5</v>
      </c>
      <c r="Y769" s="61" t="n">
        <f aca="false">Resumo!$B$12*CEILING(G769,1)</f>
        <v>3.72</v>
      </c>
      <c r="Z769" s="61" t="n">
        <f aca="false">Resumo!$B$14*CEILING(G769,1)</f>
        <v>27.9</v>
      </c>
      <c r="AA769" s="61" t="n">
        <f aca="false">SUM(T769:Z769)</f>
        <v>171.07997</v>
      </c>
      <c r="AB769" s="61" t="n">
        <f aca="false">AA769/(1-Resumo!$B$5)</f>
        <v>194.409056818182</v>
      </c>
      <c r="AC769" s="61" t="n">
        <f aca="false">AB769-S769</f>
        <v>69.6068318181818</v>
      </c>
      <c r="AD769" s="62" t="n">
        <f aca="false">AB769/S769-1</f>
        <v>0.557737106194876</v>
      </c>
      <c r="AE769" s="60" t="str">
        <f aca="false">IF(AB769&lt;S769,"SIM","NÃO")</f>
        <v>NÃO</v>
      </c>
      <c r="AF769" s="60" t="n">
        <v>2</v>
      </c>
      <c r="AG769" s="60" t="n">
        <v>5</v>
      </c>
      <c r="AH769" s="60" t="s">
        <v>382</v>
      </c>
      <c r="AI769" s="61" t="n">
        <f aca="false">(T769*(1-Painel!$C$40)+U769+V769+Painel!$C$41+Painel!$C$42*CEILING(G769/100,1)+Painel!$C$43*CEILING(G769,1)+Z769)/(1-Resumo!$B$5)</f>
        <v>137.128829545455</v>
      </c>
      <c r="AJ769" s="60" t="str">
        <f aca="false">IF(AI769&lt;S769,"SIM","NÃO")</f>
        <v>NÃO</v>
      </c>
    </row>
    <row r="770" customFormat="false" ht="15" hidden="false" customHeight="false" outlineLevel="0" collapsed="false">
      <c r="A770" s="59" t="n">
        <v>46242.9063310185</v>
      </c>
      <c r="B770" s="60" t="s">
        <v>1113</v>
      </c>
      <c r="C770" s="60" t="n">
        <v>23097640</v>
      </c>
      <c r="D770" s="60" t="s">
        <v>46</v>
      </c>
      <c r="E770" s="60" t="s">
        <v>22</v>
      </c>
      <c r="F770" s="60" t="s">
        <v>235</v>
      </c>
      <c r="G770" s="60" t="n">
        <v>44.6</v>
      </c>
      <c r="H770" s="61" t="n">
        <v>549.99</v>
      </c>
      <c r="I770" s="61" t="n">
        <v>53.55</v>
      </c>
      <c r="J770" s="61" t="n">
        <f aca="false">H770*Resumo!$C$6</f>
        <v>0</v>
      </c>
      <c r="K770" s="61" t="n">
        <f aca="false">H770*Resumo!$C$7</f>
        <v>1.154979</v>
      </c>
      <c r="L770" s="61" t="n">
        <f aca="false">H770*Resumo!$C$8</f>
        <v>1.154979</v>
      </c>
      <c r="M770" s="61" t="n">
        <f aca="false">Resumo!$C$10*CEILING(G770/100,1)</f>
        <v>1.05</v>
      </c>
      <c r="N770" s="61" t="n">
        <f aca="false">Resumo!$C$9</f>
        <v>0</v>
      </c>
      <c r="O770" s="61" t="n">
        <f aca="false">Resumo!$C$13</f>
        <v>13.55</v>
      </c>
      <c r="P770" s="61" t="n">
        <f aca="false">Resumo!$C$14*CEILING(G770,1)</f>
        <v>20.25</v>
      </c>
      <c r="Q770" s="61" t="n">
        <f aca="false">SUM(I770:P770)*Resumo!$C$11</f>
        <v>0</v>
      </c>
      <c r="R770" s="61" t="n">
        <f aca="false">SUM(I770:Q770)</f>
        <v>90.709958</v>
      </c>
      <c r="S770" s="61" t="n">
        <f aca="false">R770/(1-Resumo!$C$5)</f>
        <v>103.079497727273</v>
      </c>
      <c r="T770" s="61" t="n">
        <v>93.97</v>
      </c>
      <c r="U770" s="61" t="n">
        <f aca="false">H770*Resumo!$B$6</f>
        <v>0.54999</v>
      </c>
      <c r="V770" s="61" t="n">
        <f aca="false">H770*Resumo!$B$7</f>
        <v>1.09998</v>
      </c>
      <c r="W770" s="61" t="n">
        <f aca="false">Resumo!$B$9</f>
        <v>1</v>
      </c>
      <c r="X770" s="61" t="n">
        <f aca="false">Resumo!$B$10*CEILING(G770/100,1)</f>
        <v>4.5</v>
      </c>
      <c r="Y770" s="61" t="n">
        <f aca="false">Resumo!$B$12*CEILING(G770,1)</f>
        <v>2.7</v>
      </c>
      <c r="Z770" s="61" t="n">
        <f aca="false">Resumo!$B$14*CEILING(G770,1)</f>
        <v>20.25</v>
      </c>
      <c r="AA770" s="61" t="n">
        <f aca="false">SUM(T770:Z770)</f>
        <v>124.06997</v>
      </c>
      <c r="AB770" s="61" t="n">
        <f aca="false">AA770/(1-Resumo!$B$5)</f>
        <v>140.988602272727</v>
      </c>
      <c r="AC770" s="61" t="n">
        <f aca="false">AB770-S770</f>
        <v>37.9091045454545</v>
      </c>
      <c r="AD770" s="62" t="n">
        <f aca="false">AB770/S770-1</f>
        <v>0.367765708810051</v>
      </c>
      <c r="AE770" s="60" t="str">
        <f aca="false">IF(AB770&lt;S770,"SIM","NÃO")</f>
        <v>NÃO</v>
      </c>
      <c r="AF770" s="60" t="n">
        <v>2</v>
      </c>
      <c r="AG770" s="60" t="n">
        <v>5</v>
      </c>
      <c r="AH770" s="60" t="s">
        <v>382</v>
      </c>
      <c r="AI770" s="61" t="n">
        <f aca="false">(T770*(1-Painel!$C$40)+U770+V770+Painel!$C$41+Painel!$C$42*CEILING(G770/100,1)+Painel!$C$43*CEILING(G770,1)+Z770)/(1-Resumo!$B$5)</f>
        <v>98.7612159090909</v>
      </c>
      <c r="AJ770" s="60" t="str">
        <f aca="false">IF(AI770&lt;S770,"SIM","NÃO")</f>
        <v>SIM</v>
      </c>
    </row>
    <row r="771" customFormat="false" ht="15" hidden="false" customHeight="false" outlineLevel="0" collapsed="false">
      <c r="A771" s="59" t="n">
        <v>46242.9144097222</v>
      </c>
      <c r="B771" s="60" t="s">
        <v>1114</v>
      </c>
      <c r="C771" s="60" t="n">
        <v>24436810</v>
      </c>
      <c r="D771" s="60" t="s">
        <v>47</v>
      </c>
      <c r="E771" s="60" t="s">
        <v>23</v>
      </c>
      <c r="F771" s="60" t="s">
        <v>233</v>
      </c>
      <c r="G771" s="60" t="n">
        <v>34.4</v>
      </c>
      <c r="H771" s="61" t="n">
        <v>440.88</v>
      </c>
      <c r="I771" s="61" t="n">
        <v>58.8</v>
      </c>
      <c r="J771" s="61" t="n">
        <f aca="false">H771*Resumo!$C$6</f>
        <v>0</v>
      </c>
      <c r="K771" s="61" t="n">
        <f aca="false">H771*Resumo!$C$7</f>
        <v>0.925848</v>
      </c>
      <c r="L771" s="61" t="n">
        <f aca="false">H771*Resumo!$C$8</f>
        <v>0.925848</v>
      </c>
      <c r="M771" s="61" t="n">
        <f aca="false">Resumo!$C$10*CEILING(G771/100,1)</f>
        <v>1.05</v>
      </c>
      <c r="N771" s="61" t="n">
        <f aca="false">Resumo!$C$9</f>
        <v>0</v>
      </c>
      <c r="O771" s="61" t="n">
        <f aca="false">Resumo!$C$13</f>
        <v>13.55</v>
      </c>
      <c r="P771" s="61" t="n">
        <f aca="false">Resumo!$C$14*CEILING(G771,1)</f>
        <v>15.75</v>
      </c>
      <c r="Q771" s="61" t="n">
        <f aca="false">SUM(I771:P771)*Resumo!$C$11</f>
        <v>0</v>
      </c>
      <c r="R771" s="61" t="n">
        <f aca="false">SUM(I771:Q771)</f>
        <v>91.001696</v>
      </c>
      <c r="S771" s="61" t="n">
        <f aca="false">R771/(1-Resumo!$C$5)</f>
        <v>103.411018181818</v>
      </c>
      <c r="T771" s="61" t="n">
        <v>100.58</v>
      </c>
      <c r="U771" s="61" t="n">
        <f aca="false">H771*Resumo!$B$6</f>
        <v>0.44088</v>
      </c>
      <c r="V771" s="61" t="n">
        <f aca="false">H771*Resumo!$B$7</f>
        <v>0.88176</v>
      </c>
      <c r="W771" s="61" t="n">
        <f aca="false">Resumo!$B$9</f>
        <v>1</v>
      </c>
      <c r="X771" s="61" t="n">
        <f aca="false">Resumo!$B$10*CEILING(G771/100,1)</f>
        <v>4.5</v>
      </c>
      <c r="Y771" s="61" t="n">
        <f aca="false">Resumo!$B$12*CEILING(G771,1)</f>
        <v>2.1</v>
      </c>
      <c r="Z771" s="61" t="n">
        <f aca="false">Resumo!$B$14*CEILING(G771,1)</f>
        <v>15.75</v>
      </c>
      <c r="AA771" s="61" t="n">
        <f aca="false">SUM(T771:Z771)</f>
        <v>125.25264</v>
      </c>
      <c r="AB771" s="61" t="n">
        <f aca="false">AA771/(1-Resumo!$B$5)</f>
        <v>142.332545454545</v>
      </c>
      <c r="AC771" s="61" t="n">
        <f aca="false">AB771-S771</f>
        <v>38.9215272727273</v>
      </c>
      <c r="AD771" s="62" t="n">
        <f aca="false">AB771/S771-1</f>
        <v>0.376376985325636</v>
      </c>
      <c r="AE771" s="60" t="str">
        <f aca="false">IF(AB771&lt;S771,"SIM","NÃO")</f>
        <v>NÃO</v>
      </c>
      <c r="AF771" s="60" t="n">
        <v>2</v>
      </c>
      <c r="AG771" s="60" t="n">
        <v>7</v>
      </c>
      <c r="AH771" s="60" t="s">
        <v>382</v>
      </c>
      <c r="AI771" s="61" t="n">
        <f aca="false">(T771*(1-Painel!$C$40)+U771+V771+Painel!$C$41+Painel!$C$42*CEILING(G771/100,1)+Painel!$C$43*CEILING(G771,1)+Z771)/(1-Resumo!$B$5)</f>
        <v>98.3082272727273</v>
      </c>
      <c r="AJ771" s="60" t="str">
        <f aca="false">IF(AI771&lt;S771,"SIM","NÃO")</f>
        <v>SIM</v>
      </c>
    </row>
    <row r="772" customFormat="false" ht="15" hidden="false" customHeight="false" outlineLevel="0" collapsed="false">
      <c r="A772" s="59" t="n">
        <v>46242.9253009259</v>
      </c>
      <c r="B772" s="60" t="s">
        <v>1115</v>
      </c>
      <c r="C772" s="60" t="n">
        <v>24730090</v>
      </c>
      <c r="D772" s="60" t="s">
        <v>47</v>
      </c>
      <c r="E772" s="60" t="s">
        <v>23</v>
      </c>
      <c r="F772" s="60" t="s">
        <v>236</v>
      </c>
      <c r="G772" s="60" t="n">
        <v>54.8</v>
      </c>
      <c r="H772" s="61" t="n">
        <v>719.98</v>
      </c>
      <c r="I772" s="61" t="n">
        <v>70.98</v>
      </c>
      <c r="J772" s="61" t="n">
        <f aca="false">H772*Resumo!$C$6</f>
        <v>0</v>
      </c>
      <c r="K772" s="61" t="n">
        <f aca="false">H772*Resumo!$C$7</f>
        <v>1.511958</v>
      </c>
      <c r="L772" s="61" t="n">
        <f aca="false">H772*Resumo!$C$8</f>
        <v>1.511958</v>
      </c>
      <c r="M772" s="61" t="n">
        <f aca="false">Resumo!$C$10*CEILING(G772/100,1)</f>
        <v>1.05</v>
      </c>
      <c r="N772" s="61" t="n">
        <f aca="false">Resumo!$C$9</f>
        <v>0</v>
      </c>
      <c r="O772" s="61" t="n">
        <f aca="false">Resumo!$C$13</f>
        <v>13.55</v>
      </c>
      <c r="P772" s="61" t="n">
        <f aca="false">Resumo!$C$14*CEILING(G772,1)</f>
        <v>24.75</v>
      </c>
      <c r="Q772" s="61" t="n">
        <f aca="false">SUM(I772:P772)*Resumo!$C$11</f>
        <v>0</v>
      </c>
      <c r="R772" s="61" t="n">
        <f aca="false">SUM(I772:Q772)</f>
        <v>113.353916</v>
      </c>
      <c r="S772" s="61" t="n">
        <f aca="false">R772/(1-Resumo!$C$5)</f>
        <v>128.811268181818</v>
      </c>
      <c r="T772" s="61" t="n">
        <v>128.14</v>
      </c>
      <c r="U772" s="61" t="n">
        <f aca="false">H772*Resumo!$B$6</f>
        <v>0.71998</v>
      </c>
      <c r="V772" s="61" t="n">
        <f aca="false">H772*Resumo!$B$7</f>
        <v>1.43996</v>
      </c>
      <c r="W772" s="61" t="n">
        <f aca="false">Resumo!$B$9</f>
        <v>1</v>
      </c>
      <c r="X772" s="61" t="n">
        <f aca="false">Resumo!$B$10*CEILING(G772/100,1)</f>
        <v>4.5</v>
      </c>
      <c r="Y772" s="61" t="n">
        <f aca="false">Resumo!$B$12*CEILING(G772,1)</f>
        <v>3.3</v>
      </c>
      <c r="Z772" s="61" t="n">
        <f aca="false">Resumo!$B$14*CEILING(G772,1)</f>
        <v>24.75</v>
      </c>
      <c r="AA772" s="61" t="n">
        <f aca="false">SUM(T772:Z772)</f>
        <v>163.84994</v>
      </c>
      <c r="AB772" s="61" t="n">
        <f aca="false">AA772/(1-Resumo!$B$5)</f>
        <v>186.193113636364</v>
      </c>
      <c r="AC772" s="61" t="n">
        <f aca="false">AB772-S772</f>
        <v>57.3818454545454</v>
      </c>
      <c r="AD772" s="62" t="n">
        <f aca="false">AB772/S772-1</f>
        <v>0.445472249939737</v>
      </c>
      <c r="AE772" s="60" t="str">
        <f aca="false">IF(AB772&lt;S772,"SIM","NÃO")</f>
        <v>NÃO</v>
      </c>
      <c r="AF772" s="60" t="n">
        <v>2</v>
      </c>
      <c r="AG772" s="60" t="n">
        <v>7</v>
      </c>
      <c r="AH772" s="60" t="s">
        <v>382</v>
      </c>
      <c r="AI772" s="61" t="n">
        <f aca="false">(T772*(1-Painel!$C$40)+U772+V772+Painel!$C$41+Painel!$C$42*CEILING(G772/100,1)+Painel!$C$43*CEILING(G772,1)+Z772)/(1-Resumo!$B$5)</f>
        <v>130.470159090909</v>
      </c>
      <c r="AJ772" s="60" t="str">
        <f aca="false">IF(AI772&lt;S772,"SIM","NÃO")</f>
        <v>NÃO</v>
      </c>
    </row>
    <row r="773" customFormat="false" ht="15" hidden="false" customHeight="false" outlineLevel="0" collapsed="false">
      <c r="A773" s="59" t="n">
        <v>46242.9296527778</v>
      </c>
      <c r="B773" s="60" t="s">
        <v>1116</v>
      </c>
      <c r="C773" s="60" t="n">
        <v>21530013</v>
      </c>
      <c r="D773" s="60" t="s">
        <v>46</v>
      </c>
      <c r="E773" s="60" t="s">
        <v>22</v>
      </c>
      <c r="F773" s="60" t="s">
        <v>233</v>
      </c>
      <c r="G773" s="60" t="n">
        <v>29.2</v>
      </c>
      <c r="H773" s="61" t="n">
        <v>387.99</v>
      </c>
      <c r="I773" s="61" t="n">
        <v>42.11</v>
      </c>
      <c r="J773" s="61" t="n">
        <f aca="false">H773*Resumo!$C$6</f>
        <v>0</v>
      </c>
      <c r="K773" s="61" t="n">
        <f aca="false">H773*Resumo!$C$7</f>
        <v>0.814779</v>
      </c>
      <c r="L773" s="61" t="n">
        <f aca="false">H773*Resumo!$C$8</f>
        <v>0.814779</v>
      </c>
      <c r="M773" s="61" t="n">
        <f aca="false">Resumo!$C$10*CEILING(G773/100,1)</f>
        <v>1.05</v>
      </c>
      <c r="N773" s="61" t="n">
        <f aca="false">Resumo!$C$9</f>
        <v>0</v>
      </c>
      <c r="O773" s="61" t="n">
        <f aca="false">Resumo!$C$13</f>
        <v>13.55</v>
      </c>
      <c r="P773" s="61" t="n">
        <f aca="false">Resumo!$C$14*CEILING(G773,1)</f>
        <v>13.5</v>
      </c>
      <c r="Q773" s="61" t="n">
        <f aca="false">SUM(I773:P773)*Resumo!$C$11</f>
        <v>0</v>
      </c>
      <c r="R773" s="61" t="n">
        <f aca="false">SUM(I773:Q773)</f>
        <v>71.839558</v>
      </c>
      <c r="S773" s="61" t="n">
        <f aca="false">R773/(1-Resumo!$C$5)</f>
        <v>81.6358613636364</v>
      </c>
      <c r="T773" s="61" t="n">
        <v>82.21</v>
      </c>
      <c r="U773" s="61" t="n">
        <f aca="false">H773*Resumo!$B$6</f>
        <v>0.38799</v>
      </c>
      <c r="V773" s="61" t="n">
        <f aca="false">H773*Resumo!$B$7</f>
        <v>0.77598</v>
      </c>
      <c r="W773" s="61" t="n">
        <f aca="false">Resumo!$B$9</f>
        <v>1</v>
      </c>
      <c r="X773" s="61" t="n">
        <f aca="false">Resumo!$B$10*CEILING(G773/100,1)</f>
        <v>4.5</v>
      </c>
      <c r="Y773" s="61" t="n">
        <f aca="false">Resumo!$B$12*CEILING(G773,1)</f>
        <v>1.8</v>
      </c>
      <c r="Z773" s="61" t="n">
        <f aca="false">Resumo!$B$14*CEILING(G773,1)</f>
        <v>13.5</v>
      </c>
      <c r="AA773" s="61" t="n">
        <f aca="false">SUM(T773:Z773)</f>
        <v>104.17397</v>
      </c>
      <c r="AB773" s="61" t="n">
        <f aca="false">AA773/(1-Resumo!$B$5)</f>
        <v>118.379511363636</v>
      </c>
      <c r="AC773" s="61" t="n">
        <f aca="false">AB773-S773</f>
        <v>36.74365</v>
      </c>
      <c r="AD773" s="62" t="n">
        <f aca="false">AB773/S773-1</f>
        <v>0.450092023116289</v>
      </c>
      <c r="AE773" s="60" t="str">
        <f aca="false">IF(AB773&lt;S773,"SIM","NÃO")</f>
        <v>NÃO</v>
      </c>
      <c r="AF773" s="60" t="n">
        <v>2</v>
      </c>
      <c r="AG773" s="60" t="n">
        <v>5</v>
      </c>
      <c r="AH773" s="60" t="s">
        <v>382</v>
      </c>
      <c r="AI773" s="61" t="n">
        <f aca="false">(T773*(1-Painel!$C$40)+U773+V773+Painel!$C$41+Painel!$C$42*CEILING(G773/100,1)+Painel!$C$43*CEILING(G773,1)+Z773)/(1-Resumo!$B$5)</f>
        <v>81.5848522727273</v>
      </c>
      <c r="AJ773" s="60" t="str">
        <f aca="false">IF(AI773&lt;S773,"SIM","NÃO")</f>
        <v>SIM</v>
      </c>
    </row>
    <row r="774" customFormat="false" ht="15" hidden="false" customHeight="false" outlineLevel="0" collapsed="false">
      <c r="A774" s="59" t="n">
        <v>46242.94</v>
      </c>
      <c r="B774" s="60" t="s">
        <v>1117</v>
      </c>
      <c r="C774" s="60" t="n">
        <v>21011290</v>
      </c>
      <c r="D774" s="60" t="s">
        <v>46</v>
      </c>
      <c r="E774" s="60" t="s">
        <v>22</v>
      </c>
      <c r="F774" s="60" t="s">
        <v>233</v>
      </c>
      <c r="G774" s="60" t="n">
        <v>27</v>
      </c>
      <c r="H774" s="61" t="n">
        <v>297.99</v>
      </c>
      <c r="I774" s="61" t="n">
        <v>42.11</v>
      </c>
      <c r="J774" s="61" t="n">
        <f aca="false">H774*Resumo!$C$6</f>
        <v>0</v>
      </c>
      <c r="K774" s="61" t="n">
        <f aca="false">H774*Resumo!$C$7</f>
        <v>0.625779</v>
      </c>
      <c r="L774" s="61" t="n">
        <f aca="false">H774*Resumo!$C$8</f>
        <v>0.625779</v>
      </c>
      <c r="M774" s="61" t="n">
        <f aca="false">Resumo!$C$10*CEILING(G774/100,1)</f>
        <v>1.05</v>
      </c>
      <c r="N774" s="61" t="n">
        <f aca="false">Resumo!$C$9</f>
        <v>0</v>
      </c>
      <c r="O774" s="61" t="n">
        <f aca="false">Resumo!$C$13</f>
        <v>13.55</v>
      </c>
      <c r="P774" s="61" t="n">
        <f aca="false">Resumo!$C$14*CEILING(G774,1)</f>
        <v>12.15</v>
      </c>
      <c r="Q774" s="61" t="n">
        <f aca="false">SUM(I774:P774)*Resumo!$C$11</f>
        <v>0</v>
      </c>
      <c r="R774" s="61" t="n">
        <f aca="false">SUM(I774:Q774)</f>
        <v>70.111558</v>
      </c>
      <c r="S774" s="61" t="n">
        <f aca="false">R774/(1-Resumo!$C$5)</f>
        <v>79.672225</v>
      </c>
      <c r="T774" s="61" t="n">
        <v>82.21</v>
      </c>
      <c r="U774" s="61" t="n">
        <f aca="false">H774*Resumo!$B$6</f>
        <v>0.29799</v>
      </c>
      <c r="V774" s="61" t="n">
        <f aca="false">H774*Resumo!$B$7</f>
        <v>0.59598</v>
      </c>
      <c r="W774" s="61" t="n">
        <f aca="false">Resumo!$B$9</f>
        <v>1</v>
      </c>
      <c r="X774" s="61" t="n">
        <f aca="false">Resumo!$B$10*CEILING(G774/100,1)</f>
        <v>4.5</v>
      </c>
      <c r="Y774" s="61" t="n">
        <f aca="false">Resumo!$B$12*CEILING(G774,1)</f>
        <v>1.62</v>
      </c>
      <c r="Z774" s="61" t="n">
        <f aca="false">Resumo!$B$14*CEILING(G774,1)</f>
        <v>12.15</v>
      </c>
      <c r="AA774" s="61" t="n">
        <f aca="false">SUM(T774:Z774)</f>
        <v>102.37397</v>
      </c>
      <c r="AB774" s="61" t="n">
        <f aca="false">AA774/(1-Resumo!$B$5)</f>
        <v>116.334056818182</v>
      </c>
      <c r="AC774" s="61" t="n">
        <f aca="false">AB774-S774</f>
        <v>36.6618318181818</v>
      </c>
      <c r="AD774" s="62" t="n">
        <f aca="false">AB774/S774-1</f>
        <v>0.460158252366892</v>
      </c>
      <c r="AE774" s="60" t="str">
        <f aca="false">IF(AB774&lt;S774,"SIM","NÃO")</f>
        <v>NÃO</v>
      </c>
      <c r="AF774" s="60" t="n">
        <v>2</v>
      </c>
      <c r="AG774" s="60" t="n">
        <v>5</v>
      </c>
      <c r="AH774" s="60" t="s">
        <v>382</v>
      </c>
      <c r="AI774" s="61" t="n">
        <f aca="false">(T774*(1-Painel!$C$40)+U774+V774+Painel!$C$41+Painel!$C$42*CEILING(G774/100,1)+Painel!$C$43*CEILING(G774,1)+Z774)/(1-Resumo!$B$5)</f>
        <v>79.7439431818182</v>
      </c>
      <c r="AJ774" s="60" t="str">
        <f aca="false">IF(AI774&lt;S774,"SIM","NÃO")</f>
        <v>NÃO</v>
      </c>
    </row>
    <row r="775" customFormat="false" ht="15" hidden="false" customHeight="false" outlineLevel="0" collapsed="false">
      <c r="A775" s="59" t="n">
        <v>46242.9423032407</v>
      </c>
      <c r="B775" s="60" t="s">
        <v>1118</v>
      </c>
      <c r="C775" s="60" t="n">
        <v>28994282</v>
      </c>
      <c r="D775" s="60" t="s">
        <v>341</v>
      </c>
      <c r="E775" s="60" t="s">
        <v>24</v>
      </c>
      <c r="F775" s="60" t="s">
        <v>237</v>
      </c>
      <c r="G775" s="60" t="n">
        <v>61.5</v>
      </c>
      <c r="H775" s="61" t="n">
        <v>708.4</v>
      </c>
      <c r="I775" s="61" t="n">
        <v>90.2</v>
      </c>
      <c r="J775" s="61" t="n">
        <f aca="false">H775*Resumo!$C$6</f>
        <v>0</v>
      </c>
      <c r="K775" s="61" t="n">
        <f aca="false">H775*Resumo!$C$7</f>
        <v>1.48764</v>
      </c>
      <c r="L775" s="61" t="n">
        <f aca="false">H775*Resumo!$C$8</f>
        <v>1.48764</v>
      </c>
      <c r="M775" s="61" t="n">
        <f aca="false">Resumo!$C$10*CEILING(G775/100,1)</f>
        <v>1.05</v>
      </c>
      <c r="N775" s="61" t="n">
        <f aca="false">Resumo!$C$9</f>
        <v>0</v>
      </c>
      <c r="O775" s="61" t="n">
        <f aca="false">Resumo!$C$13</f>
        <v>13.55</v>
      </c>
      <c r="P775" s="61" t="n">
        <f aca="false">Resumo!$C$14*CEILING(G775,1)</f>
        <v>27.9</v>
      </c>
      <c r="Q775" s="61" t="n">
        <f aca="false">SUM(I775:P775)*Resumo!$C$11</f>
        <v>0</v>
      </c>
      <c r="R775" s="61" t="n">
        <f aca="false">SUM(I775:Q775)</f>
        <v>135.67528</v>
      </c>
      <c r="S775" s="61" t="n">
        <f aca="false">R775/(1-Resumo!$C$5)</f>
        <v>154.176454545455</v>
      </c>
      <c r="T775" s="61" t="n">
        <v>166.05</v>
      </c>
      <c r="U775" s="61" t="n">
        <f aca="false">H775*Resumo!$B$6</f>
        <v>0.7084</v>
      </c>
      <c r="V775" s="61" t="n">
        <f aca="false">H775*Resumo!$B$7</f>
        <v>1.4168</v>
      </c>
      <c r="W775" s="61" t="n">
        <f aca="false">Resumo!$B$9</f>
        <v>1</v>
      </c>
      <c r="X775" s="61" t="n">
        <f aca="false">Resumo!$B$10*CEILING(G775/100,1)</f>
        <v>4.5</v>
      </c>
      <c r="Y775" s="61" t="n">
        <f aca="false">Resumo!$B$12*CEILING(G775,1)</f>
        <v>3.72</v>
      </c>
      <c r="Z775" s="61" t="n">
        <f aca="false">Resumo!$B$14*CEILING(G775,1)</f>
        <v>27.9</v>
      </c>
      <c r="AA775" s="61" t="n">
        <f aca="false">SUM(T775:Z775)</f>
        <v>205.2952</v>
      </c>
      <c r="AB775" s="61" t="n">
        <f aca="false">AA775/(1-Resumo!$B$5)</f>
        <v>233.29</v>
      </c>
      <c r="AC775" s="61" t="n">
        <f aca="false">AB775-S775</f>
        <v>79.1135454545455</v>
      </c>
      <c r="AD775" s="62" t="n">
        <f aca="false">AB775/S775-1</f>
        <v>0.513136365003264</v>
      </c>
      <c r="AE775" s="60" t="str">
        <f aca="false">IF(AB775&lt;S775,"SIM","NÃO")</f>
        <v>NÃO</v>
      </c>
      <c r="AF775" s="60" t="n">
        <v>13</v>
      </c>
      <c r="AG775" s="60" t="n">
        <v>10</v>
      </c>
      <c r="AH775" s="60" t="s">
        <v>385</v>
      </c>
      <c r="AI775" s="61" t="n">
        <f aca="false">(T775*(1-Painel!$C$40)+U775+V775+Painel!$C$41+Painel!$C$42*CEILING(G775/100,1)+Painel!$C$43*CEILING(G775,1)+Z775)/(1-Resumo!$B$5)</f>
        <v>162.873522727273</v>
      </c>
      <c r="AJ775" s="60" t="str">
        <f aca="false">IF(AI775&lt;S775,"SIM","NÃO")</f>
        <v>NÃO</v>
      </c>
    </row>
    <row r="776" customFormat="false" ht="15" hidden="false" customHeight="false" outlineLevel="0" collapsed="false">
      <c r="A776" s="59" t="n">
        <v>46242.9448726852</v>
      </c>
      <c r="B776" s="60" t="s">
        <v>1119</v>
      </c>
      <c r="C776" s="60" t="n">
        <v>24456150</v>
      </c>
      <c r="D776" s="60" t="s">
        <v>47</v>
      </c>
      <c r="E776" s="60" t="s">
        <v>23</v>
      </c>
      <c r="F776" s="60" t="s">
        <v>233</v>
      </c>
      <c r="G776" s="60" t="n">
        <v>22.4</v>
      </c>
      <c r="H776" s="61" t="n">
        <v>423</v>
      </c>
      <c r="I776" s="61" t="n">
        <v>58.8</v>
      </c>
      <c r="J776" s="61" t="n">
        <f aca="false">H776*Resumo!$C$6</f>
        <v>0</v>
      </c>
      <c r="K776" s="61" t="n">
        <f aca="false">H776*Resumo!$C$7</f>
        <v>0.8883</v>
      </c>
      <c r="L776" s="61" t="n">
        <f aca="false">H776*Resumo!$C$8</f>
        <v>0.8883</v>
      </c>
      <c r="M776" s="61" t="n">
        <f aca="false">Resumo!$C$10*CEILING(G776/100,1)</f>
        <v>1.05</v>
      </c>
      <c r="N776" s="61" t="n">
        <f aca="false">Resumo!$C$9</f>
        <v>0</v>
      </c>
      <c r="O776" s="61" t="n">
        <f aca="false">Resumo!$C$13</f>
        <v>13.55</v>
      </c>
      <c r="P776" s="61" t="n">
        <f aca="false">Resumo!$C$14*CEILING(G776,1)</f>
        <v>10.35</v>
      </c>
      <c r="Q776" s="61" t="n">
        <f aca="false">SUM(I776:P776)*Resumo!$C$11</f>
        <v>0</v>
      </c>
      <c r="R776" s="61" t="n">
        <f aca="false">SUM(I776:Q776)</f>
        <v>85.5266</v>
      </c>
      <c r="S776" s="61" t="n">
        <f aca="false">R776/(1-Resumo!$C$5)</f>
        <v>97.1893181818182</v>
      </c>
      <c r="T776" s="61" t="n">
        <v>100.58</v>
      </c>
      <c r="U776" s="61" t="n">
        <f aca="false">H776*Resumo!$B$6</f>
        <v>0.423</v>
      </c>
      <c r="V776" s="61" t="n">
        <f aca="false">H776*Resumo!$B$7</f>
        <v>0.846</v>
      </c>
      <c r="W776" s="61" t="n">
        <f aca="false">Resumo!$B$9</f>
        <v>1</v>
      </c>
      <c r="X776" s="61" t="n">
        <f aca="false">Resumo!$B$10*CEILING(G776/100,1)</f>
        <v>4.5</v>
      </c>
      <c r="Y776" s="61" t="n">
        <f aca="false">Resumo!$B$12*CEILING(G776,1)</f>
        <v>1.38</v>
      </c>
      <c r="Z776" s="61" t="n">
        <f aca="false">Resumo!$B$14*CEILING(G776,1)</f>
        <v>10.35</v>
      </c>
      <c r="AA776" s="61" t="n">
        <f aca="false">SUM(T776:Z776)</f>
        <v>119.079</v>
      </c>
      <c r="AB776" s="61" t="n">
        <f aca="false">AA776/(1-Resumo!$B$5)</f>
        <v>135.317045454545</v>
      </c>
      <c r="AC776" s="61" t="n">
        <f aca="false">AB776-S776</f>
        <v>38.1277272727273</v>
      </c>
      <c r="AD776" s="62" t="n">
        <f aca="false">AB776/S776-1</f>
        <v>0.392303680960076</v>
      </c>
      <c r="AE776" s="60" t="str">
        <f aca="false">IF(AB776&lt;S776,"SIM","NÃO")</f>
        <v>NÃO</v>
      </c>
      <c r="AF776" s="60" t="n">
        <v>2</v>
      </c>
      <c r="AG776" s="60" t="n">
        <v>7</v>
      </c>
      <c r="AH776" s="60" t="s">
        <v>382</v>
      </c>
      <c r="AI776" s="61" t="n">
        <f aca="false">(T776*(1-Painel!$C$40)+U776+V776+Painel!$C$41+Painel!$C$42*CEILING(G776/100,1)+Painel!$C$43*CEILING(G776,1)+Z776)/(1-Resumo!$B$5)</f>
        <v>92.1109090909091</v>
      </c>
      <c r="AJ776" s="60" t="str">
        <f aca="false">IF(AI776&lt;S776,"SIM","NÃO")</f>
        <v>SIM</v>
      </c>
    </row>
    <row r="777" customFormat="false" ht="15" hidden="false" customHeight="false" outlineLevel="0" collapsed="false">
      <c r="A777" s="59" t="n">
        <v>46242.9454861111</v>
      </c>
      <c r="B777" s="60" t="s">
        <v>1120</v>
      </c>
      <c r="C777" s="60" t="n">
        <v>24320420</v>
      </c>
      <c r="D777" s="60" t="s">
        <v>50</v>
      </c>
      <c r="E777" s="60" t="s">
        <v>23</v>
      </c>
      <c r="F777" s="60" t="s">
        <v>236</v>
      </c>
      <c r="G777" s="60" t="n">
        <v>52.3</v>
      </c>
      <c r="H777" s="61" t="n">
        <v>616.99</v>
      </c>
      <c r="I777" s="61" t="n">
        <v>70.98</v>
      </c>
      <c r="J777" s="61" t="n">
        <f aca="false">H777*Resumo!$C$6</f>
        <v>0</v>
      </c>
      <c r="K777" s="61" t="n">
        <f aca="false">H777*Resumo!$C$7</f>
        <v>1.295679</v>
      </c>
      <c r="L777" s="61" t="n">
        <f aca="false">H777*Resumo!$C$8</f>
        <v>1.295679</v>
      </c>
      <c r="M777" s="61" t="n">
        <f aca="false">Resumo!$C$10*CEILING(G777/100,1)</f>
        <v>1.05</v>
      </c>
      <c r="N777" s="61" t="n">
        <f aca="false">Resumo!$C$9</f>
        <v>0</v>
      </c>
      <c r="O777" s="61" t="n">
        <f aca="false">Resumo!$C$13</f>
        <v>13.55</v>
      </c>
      <c r="P777" s="61" t="n">
        <f aca="false">Resumo!$C$14*CEILING(G777,1)</f>
        <v>23.85</v>
      </c>
      <c r="Q777" s="61" t="n">
        <f aca="false">SUM(I777:P777)*Resumo!$C$11</f>
        <v>0</v>
      </c>
      <c r="R777" s="61" t="n">
        <f aca="false">SUM(I777:Q777)</f>
        <v>112.021358</v>
      </c>
      <c r="S777" s="61" t="n">
        <f aca="false">R777/(1-Resumo!$C$5)</f>
        <v>127.296997727273</v>
      </c>
      <c r="T777" s="61" t="n">
        <v>128.14</v>
      </c>
      <c r="U777" s="61" t="n">
        <f aca="false">H777*Resumo!$B$6</f>
        <v>0.61699</v>
      </c>
      <c r="V777" s="61" t="n">
        <f aca="false">H777*Resumo!$B$7</f>
        <v>1.23398</v>
      </c>
      <c r="W777" s="61" t="n">
        <f aca="false">Resumo!$B$9</f>
        <v>1</v>
      </c>
      <c r="X777" s="61" t="n">
        <f aca="false">Resumo!$B$10*CEILING(G777/100,1)</f>
        <v>4.5</v>
      </c>
      <c r="Y777" s="61" t="n">
        <f aca="false">Resumo!$B$12*CEILING(G777,1)</f>
        <v>3.18</v>
      </c>
      <c r="Z777" s="61" t="n">
        <f aca="false">Resumo!$B$14*CEILING(G777,1)</f>
        <v>23.85</v>
      </c>
      <c r="AA777" s="61" t="n">
        <f aca="false">SUM(T777:Z777)</f>
        <v>162.52097</v>
      </c>
      <c r="AB777" s="61" t="n">
        <f aca="false">AA777/(1-Resumo!$B$5)</f>
        <v>184.682920454545</v>
      </c>
      <c r="AC777" s="61" t="n">
        <f aca="false">AB777-S777</f>
        <v>57.3859227272727</v>
      </c>
      <c r="AD777" s="62" t="n">
        <f aca="false">AB777/S777-1</f>
        <v>0.450803426253768</v>
      </c>
      <c r="AE777" s="60" t="str">
        <f aca="false">IF(AB777&lt;S777,"SIM","NÃO")</f>
        <v>NÃO</v>
      </c>
      <c r="AF777" s="60" t="n">
        <v>2</v>
      </c>
      <c r="AG777" s="60" t="n">
        <v>7</v>
      </c>
      <c r="AH777" s="60" t="s">
        <v>382</v>
      </c>
      <c r="AI777" s="61" t="n">
        <f aca="false">(T777*(1-Painel!$C$40)+U777+V777+Painel!$C$41+Painel!$C$42*CEILING(G777/100,1)+Painel!$C$43*CEILING(G777,1)+Z777)/(1-Resumo!$B$5)</f>
        <v>129.096329545455</v>
      </c>
      <c r="AJ777" s="60" t="str">
        <f aca="false">IF(AI777&lt;S777,"SIM","NÃO")</f>
        <v>NÃO</v>
      </c>
    </row>
    <row r="778" customFormat="false" ht="15" hidden="false" customHeight="false" outlineLevel="0" collapsed="false">
      <c r="A778" s="59" t="n">
        <v>46242.9470601852</v>
      </c>
      <c r="B778" s="60" t="s">
        <v>421</v>
      </c>
      <c r="C778" s="60" t="n">
        <v>23056630</v>
      </c>
      <c r="D778" s="60" t="s">
        <v>46</v>
      </c>
      <c r="E778" s="60" t="s">
        <v>22</v>
      </c>
      <c r="F778" s="60" t="s">
        <v>236</v>
      </c>
      <c r="G778" s="60" t="n">
        <v>52.3</v>
      </c>
      <c r="H778" s="61" t="n">
        <v>685.88</v>
      </c>
      <c r="I778" s="61" t="n">
        <v>58.6</v>
      </c>
      <c r="J778" s="61" t="n">
        <f aca="false">H778*Resumo!$C$6</f>
        <v>0</v>
      </c>
      <c r="K778" s="61" t="n">
        <f aca="false">H778*Resumo!$C$7</f>
        <v>1.440348</v>
      </c>
      <c r="L778" s="61" t="n">
        <f aca="false">H778*Resumo!$C$8</f>
        <v>1.440348</v>
      </c>
      <c r="M778" s="61" t="n">
        <f aca="false">Resumo!$C$10*CEILING(G778/100,1)</f>
        <v>1.05</v>
      </c>
      <c r="N778" s="61" t="n">
        <f aca="false">Resumo!$C$9</f>
        <v>0</v>
      </c>
      <c r="O778" s="61" t="n">
        <f aca="false">Resumo!$C$13</f>
        <v>13.55</v>
      </c>
      <c r="P778" s="61" t="n">
        <f aca="false">Resumo!$C$14*CEILING(G778,1)</f>
        <v>23.85</v>
      </c>
      <c r="Q778" s="61" t="n">
        <f aca="false">SUM(I778:P778)*Resumo!$C$11</f>
        <v>0</v>
      </c>
      <c r="R778" s="61" t="n">
        <f aca="false">SUM(I778:Q778)</f>
        <v>99.930696</v>
      </c>
      <c r="S778" s="61" t="n">
        <f aca="false">R778/(1-Resumo!$C$5)</f>
        <v>113.557609090909</v>
      </c>
      <c r="T778" s="61" t="n">
        <v>112.3</v>
      </c>
      <c r="U778" s="61" t="n">
        <f aca="false">H778*Resumo!$B$6</f>
        <v>0.68588</v>
      </c>
      <c r="V778" s="61" t="n">
        <f aca="false">H778*Resumo!$B$7</f>
        <v>1.37176</v>
      </c>
      <c r="W778" s="61" t="n">
        <f aca="false">Resumo!$B$9</f>
        <v>1</v>
      </c>
      <c r="X778" s="61" t="n">
        <f aca="false">Resumo!$B$10*CEILING(G778/100,1)</f>
        <v>4.5</v>
      </c>
      <c r="Y778" s="61" t="n">
        <f aca="false">Resumo!$B$12*CEILING(G778,1)</f>
        <v>3.18</v>
      </c>
      <c r="Z778" s="61" t="n">
        <f aca="false">Resumo!$B$14*CEILING(G778,1)</f>
        <v>23.85</v>
      </c>
      <c r="AA778" s="61" t="n">
        <f aca="false">SUM(T778:Z778)</f>
        <v>146.88764</v>
      </c>
      <c r="AB778" s="61" t="n">
        <f aca="false">AA778/(1-Resumo!$B$5)</f>
        <v>166.917772727273</v>
      </c>
      <c r="AC778" s="61" t="n">
        <f aca="false">AB778-S778</f>
        <v>53.3601636363636</v>
      </c>
      <c r="AD778" s="62" t="n">
        <f aca="false">AB778/S778-1</f>
        <v>0.469895096097399</v>
      </c>
      <c r="AE778" s="60" t="str">
        <f aca="false">IF(AB778&lt;S778,"SIM","NÃO")</f>
        <v>NÃO</v>
      </c>
      <c r="AF778" s="60" t="n">
        <v>2</v>
      </c>
      <c r="AG778" s="60" t="n">
        <v>5</v>
      </c>
      <c r="AH778" s="60" t="s">
        <v>382</v>
      </c>
      <c r="AI778" s="61" t="n">
        <f aca="false">(T778*(1-Painel!$C$40)+U778+V778+Painel!$C$41+Painel!$C$42*CEILING(G778/100,1)+Painel!$C$43*CEILING(G778,1)+Z778)/(1-Resumo!$B$5)</f>
        <v>117.271181818182</v>
      </c>
      <c r="AJ778" s="60" t="str">
        <f aca="false">IF(AI778&lt;S778,"SIM","NÃO")</f>
        <v>NÃO</v>
      </c>
    </row>
    <row r="779" customFormat="false" ht="15" hidden="false" customHeight="false" outlineLevel="0" collapsed="false">
      <c r="A779" s="59" t="n">
        <v>46242.9505787037</v>
      </c>
      <c r="B779" s="60" t="s">
        <v>1121</v>
      </c>
      <c r="C779" s="60" t="n">
        <v>20750030</v>
      </c>
      <c r="D779" s="60" t="s">
        <v>46</v>
      </c>
      <c r="E779" s="60" t="s">
        <v>22</v>
      </c>
      <c r="F779" s="60" t="s">
        <v>236</v>
      </c>
      <c r="G779" s="60" t="n">
        <v>52.3</v>
      </c>
      <c r="H779" s="61" t="n">
        <v>685.88</v>
      </c>
      <c r="I779" s="61" t="n">
        <v>58.6</v>
      </c>
      <c r="J779" s="61" t="n">
        <f aca="false">H779*Resumo!$C$6</f>
        <v>0</v>
      </c>
      <c r="K779" s="61" t="n">
        <f aca="false">H779*Resumo!$C$7</f>
        <v>1.440348</v>
      </c>
      <c r="L779" s="61" t="n">
        <f aca="false">H779*Resumo!$C$8</f>
        <v>1.440348</v>
      </c>
      <c r="M779" s="61" t="n">
        <f aca="false">Resumo!$C$10*CEILING(G779/100,1)</f>
        <v>1.05</v>
      </c>
      <c r="N779" s="61" t="n">
        <f aca="false">Resumo!$C$9</f>
        <v>0</v>
      </c>
      <c r="O779" s="61" t="n">
        <f aca="false">Resumo!$C$13</f>
        <v>13.55</v>
      </c>
      <c r="P779" s="61" t="n">
        <f aca="false">Resumo!$C$14*CEILING(G779,1)</f>
        <v>23.85</v>
      </c>
      <c r="Q779" s="61" t="n">
        <f aca="false">SUM(I779:P779)*Resumo!$C$11</f>
        <v>0</v>
      </c>
      <c r="R779" s="61" t="n">
        <f aca="false">SUM(I779:Q779)</f>
        <v>99.930696</v>
      </c>
      <c r="S779" s="61" t="n">
        <f aca="false">R779/(1-Resumo!$C$5)</f>
        <v>113.557609090909</v>
      </c>
      <c r="T779" s="61" t="n">
        <v>112.3</v>
      </c>
      <c r="U779" s="61" t="n">
        <f aca="false">H779*Resumo!$B$6</f>
        <v>0.68588</v>
      </c>
      <c r="V779" s="61" t="n">
        <f aca="false">H779*Resumo!$B$7</f>
        <v>1.37176</v>
      </c>
      <c r="W779" s="61" t="n">
        <f aca="false">Resumo!$B$9</f>
        <v>1</v>
      </c>
      <c r="X779" s="61" t="n">
        <f aca="false">Resumo!$B$10*CEILING(G779/100,1)</f>
        <v>4.5</v>
      </c>
      <c r="Y779" s="61" t="n">
        <f aca="false">Resumo!$B$12*CEILING(G779,1)</f>
        <v>3.18</v>
      </c>
      <c r="Z779" s="61" t="n">
        <f aca="false">Resumo!$B$14*CEILING(G779,1)</f>
        <v>23.85</v>
      </c>
      <c r="AA779" s="61" t="n">
        <f aca="false">SUM(T779:Z779)</f>
        <v>146.88764</v>
      </c>
      <c r="AB779" s="61" t="n">
        <f aca="false">AA779/(1-Resumo!$B$5)</f>
        <v>166.917772727273</v>
      </c>
      <c r="AC779" s="61" t="n">
        <f aca="false">AB779-S779</f>
        <v>53.3601636363636</v>
      </c>
      <c r="AD779" s="62" t="n">
        <f aca="false">AB779/S779-1</f>
        <v>0.469895096097399</v>
      </c>
      <c r="AE779" s="60" t="str">
        <f aca="false">IF(AB779&lt;S779,"SIM","NÃO")</f>
        <v>NÃO</v>
      </c>
      <c r="AF779" s="60" t="n">
        <v>2</v>
      </c>
      <c r="AG779" s="60" t="n">
        <v>5</v>
      </c>
      <c r="AH779" s="60" t="s">
        <v>382</v>
      </c>
      <c r="AI779" s="61" t="n">
        <f aca="false">(T779*(1-Painel!$C$40)+U779+V779+Painel!$C$41+Painel!$C$42*CEILING(G779/100,1)+Painel!$C$43*CEILING(G779,1)+Z779)/(1-Resumo!$B$5)</f>
        <v>117.271181818182</v>
      </c>
      <c r="AJ779" s="60" t="str">
        <f aca="false">IF(AI779&lt;S779,"SIM","NÃO")</f>
        <v>NÃO</v>
      </c>
    </row>
    <row r="780" customFormat="false" ht="15" hidden="false" customHeight="false" outlineLevel="0" collapsed="false">
      <c r="A780" s="59" t="n">
        <v>46242.952962963</v>
      </c>
      <c r="B780" s="60" t="s">
        <v>1122</v>
      </c>
      <c r="C780" s="60" t="n">
        <v>24723415</v>
      </c>
      <c r="D780" s="60" t="s">
        <v>47</v>
      </c>
      <c r="E780" s="60" t="s">
        <v>23</v>
      </c>
      <c r="F780" s="60" t="s">
        <v>232</v>
      </c>
      <c r="G780" s="60" t="n">
        <v>19.5</v>
      </c>
      <c r="H780" s="61" t="n">
        <v>351</v>
      </c>
      <c r="I780" s="61" t="n">
        <v>42.72</v>
      </c>
      <c r="J780" s="61" t="n">
        <f aca="false">H780*Resumo!$C$6</f>
        <v>0</v>
      </c>
      <c r="K780" s="61" t="n">
        <f aca="false">H780*Resumo!$C$7</f>
        <v>0.7371</v>
      </c>
      <c r="L780" s="61" t="n">
        <f aca="false">H780*Resumo!$C$8</f>
        <v>0.7371</v>
      </c>
      <c r="M780" s="61" t="n">
        <f aca="false">Resumo!$C$10*CEILING(G780/100,1)</f>
        <v>1.05</v>
      </c>
      <c r="N780" s="61" t="n">
        <f aca="false">Resumo!$C$9</f>
        <v>0</v>
      </c>
      <c r="O780" s="61" t="n">
        <f aca="false">Resumo!$C$13</f>
        <v>13.55</v>
      </c>
      <c r="P780" s="61" t="n">
        <f aca="false">Resumo!$C$14*CEILING(G780,1)</f>
        <v>9</v>
      </c>
      <c r="Q780" s="61" t="n">
        <f aca="false">SUM(I780:P780)*Resumo!$C$11</f>
        <v>0</v>
      </c>
      <c r="R780" s="61" t="n">
        <f aca="false">SUM(I780:Q780)</f>
        <v>67.7942</v>
      </c>
      <c r="S780" s="61" t="n">
        <f aca="false">R780/(1-Resumo!$C$5)</f>
        <v>77.0388636363636</v>
      </c>
      <c r="T780" s="61" t="n">
        <v>57.47</v>
      </c>
      <c r="U780" s="61" t="n">
        <f aca="false">H780*Resumo!$B$6</f>
        <v>0.351</v>
      </c>
      <c r="V780" s="61" t="n">
        <f aca="false">H780*Resumo!$B$7</f>
        <v>0.702</v>
      </c>
      <c r="W780" s="61" t="n">
        <f aca="false">Resumo!$B$9</f>
        <v>1</v>
      </c>
      <c r="X780" s="61" t="n">
        <f aca="false">Resumo!$B$10*CEILING(G780/100,1)</f>
        <v>4.5</v>
      </c>
      <c r="Y780" s="61" t="n">
        <f aca="false">Resumo!$B$12*CEILING(G780,1)</f>
        <v>1.2</v>
      </c>
      <c r="Z780" s="61" t="n">
        <f aca="false">Resumo!$B$14*CEILING(G780,1)</f>
        <v>9</v>
      </c>
      <c r="AA780" s="61" t="n">
        <f aca="false">SUM(T780:Z780)</f>
        <v>74.223</v>
      </c>
      <c r="AB780" s="61" t="n">
        <f aca="false">AA780/(1-Resumo!$B$5)</f>
        <v>84.3443181818182</v>
      </c>
      <c r="AC780" s="61" t="n">
        <f aca="false">AB780-S780</f>
        <v>7.30545454545455</v>
      </c>
      <c r="AD780" s="62" t="n">
        <f aca="false">AB780/S780-1</f>
        <v>0.0948281711414842</v>
      </c>
      <c r="AE780" s="60" t="str">
        <f aca="false">IF(AB780&lt;S780,"SIM","NÃO")</f>
        <v>NÃO</v>
      </c>
      <c r="AF780" s="60" t="n">
        <v>2</v>
      </c>
      <c r="AG780" s="60" t="n">
        <v>7</v>
      </c>
      <c r="AH780" s="60" t="s">
        <v>382</v>
      </c>
      <c r="AI780" s="61" t="n">
        <f aca="false">(T780*(1-Painel!$C$40)+U780+V780+Painel!$C$41+Painel!$C$42*CEILING(G780/100,1)+Painel!$C$43*CEILING(G780,1)+Z780)/(1-Resumo!$B$5)</f>
        <v>57.5089772727273</v>
      </c>
      <c r="AJ780" s="60" t="str">
        <f aca="false">IF(AI780&lt;S780,"SIM","NÃO")</f>
        <v>SIM</v>
      </c>
    </row>
    <row r="781" customFormat="false" ht="15" hidden="false" customHeight="false" outlineLevel="0" collapsed="false">
      <c r="A781" s="59" t="n">
        <v>46242.9636458333</v>
      </c>
      <c r="B781" s="60" t="s">
        <v>1123</v>
      </c>
      <c r="C781" s="60" t="n">
        <v>22210030</v>
      </c>
      <c r="D781" s="60" t="s">
        <v>46</v>
      </c>
      <c r="E781" s="60" t="s">
        <v>22</v>
      </c>
      <c r="F781" s="60" t="s">
        <v>235</v>
      </c>
      <c r="G781" s="60" t="n">
        <v>44.5</v>
      </c>
      <c r="H781" s="61" t="n">
        <v>799.99</v>
      </c>
      <c r="I781" s="61" t="n">
        <v>53.55</v>
      </c>
      <c r="J781" s="61" t="n">
        <f aca="false">H781*Resumo!$C$6</f>
        <v>0</v>
      </c>
      <c r="K781" s="61" t="n">
        <f aca="false">H781*Resumo!$C$7</f>
        <v>1.679979</v>
      </c>
      <c r="L781" s="61" t="n">
        <f aca="false">H781*Resumo!$C$8</f>
        <v>1.679979</v>
      </c>
      <c r="M781" s="61" t="n">
        <f aca="false">Resumo!$C$10*CEILING(G781/100,1)</f>
        <v>1.05</v>
      </c>
      <c r="N781" s="61" t="n">
        <f aca="false">Resumo!$C$9</f>
        <v>0</v>
      </c>
      <c r="O781" s="61" t="n">
        <f aca="false">Resumo!$C$13</f>
        <v>13.55</v>
      </c>
      <c r="P781" s="61" t="n">
        <f aca="false">Resumo!$C$14*CEILING(G781,1)</f>
        <v>20.25</v>
      </c>
      <c r="Q781" s="61" t="n">
        <f aca="false">SUM(I781:P781)*Resumo!$C$11</f>
        <v>0</v>
      </c>
      <c r="R781" s="61" t="n">
        <f aca="false">SUM(I781:Q781)</f>
        <v>91.759958</v>
      </c>
      <c r="S781" s="61" t="n">
        <f aca="false">R781/(1-Resumo!$C$5)</f>
        <v>104.272679545455</v>
      </c>
      <c r="T781" s="61" t="n">
        <v>93.97</v>
      </c>
      <c r="U781" s="61" t="n">
        <f aca="false">H781*Resumo!$B$6</f>
        <v>0.79999</v>
      </c>
      <c r="V781" s="61" t="n">
        <f aca="false">H781*Resumo!$B$7</f>
        <v>1.59998</v>
      </c>
      <c r="W781" s="61" t="n">
        <f aca="false">Resumo!$B$9</f>
        <v>1</v>
      </c>
      <c r="X781" s="61" t="n">
        <f aca="false">Resumo!$B$10*CEILING(G781/100,1)</f>
        <v>4.5</v>
      </c>
      <c r="Y781" s="61" t="n">
        <f aca="false">Resumo!$B$12*CEILING(G781,1)</f>
        <v>2.7</v>
      </c>
      <c r="Z781" s="61" t="n">
        <f aca="false">Resumo!$B$14*CEILING(G781,1)</f>
        <v>20.25</v>
      </c>
      <c r="AA781" s="61" t="n">
        <f aca="false">SUM(T781:Z781)</f>
        <v>124.81997</v>
      </c>
      <c r="AB781" s="61" t="n">
        <f aca="false">AA781/(1-Resumo!$B$5)</f>
        <v>141.840875</v>
      </c>
      <c r="AC781" s="61" t="n">
        <f aca="false">AB781-S781</f>
        <v>37.5681954545454</v>
      </c>
      <c r="AD781" s="62" t="n">
        <f aca="false">AB781/S781-1</f>
        <v>0.360288002747342</v>
      </c>
      <c r="AE781" s="60" t="str">
        <f aca="false">IF(AB781&lt;S781,"SIM","NÃO")</f>
        <v>NÃO</v>
      </c>
      <c r="AF781" s="60" t="n">
        <v>2</v>
      </c>
      <c r="AG781" s="60" t="n">
        <v>5</v>
      </c>
      <c r="AH781" s="60" t="s">
        <v>382</v>
      </c>
      <c r="AI781" s="61" t="n">
        <f aca="false">(T781*(1-Painel!$C$40)+U781+V781+Painel!$C$41+Painel!$C$42*CEILING(G781/100,1)+Painel!$C$43*CEILING(G781,1)+Z781)/(1-Resumo!$B$5)</f>
        <v>99.6134886363636</v>
      </c>
      <c r="AJ781" s="60" t="str">
        <f aca="false">IF(AI781&lt;S781,"SIM","NÃO")</f>
        <v>SIM</v>
      </c>
    </row>
    <row r="782" customFormat="false" ht="15" hidden="false" customHeight="false" outlineLevel="0" collapsed="false">
      <c r="A782" s="59" t="n">
        <v>46242.9721990741</v>
      </c>
      <c r="B782" s="60" t="s">
        <v>1124</v>
      </c>
      <c r="C782" s="60" t="n">
        <v>25046480</v>
      </c>
      <c r="D782" s="60" t="s">
        <v>48</v>
      </c>
      <c r="E782" s="60" t="s">
        <v>23</v>
      </c>
      <c r="F782" s="60" t="s">
        <v>233</v>
      </c>
      <c r="G782" s="60" t="n">
        <v>35</v>
      </c>
      <c r="H782" s="61" t="n">
        <v>399.99</v>
      </c>
      <c r="I782" s="61" t="n">
        <v>58.8</v>
      </c>
      <c r="J782" s="61" t="n">
        <f aca="false">H782*Resumo!$C$6</f>
        <v>0</v>
      </c>
      <c r="K782" s="61" t="n">
        <f aca="false">H782*Resumo!$C$7</f>
        <v>0.839979</v>
      </c>
      <c r="L782" s="61" t="n">
        <f aca="false">H782*Resumo!$C$8</f>
        <v>0.839979</v>
      </c>
      <c r="M782" s="61" t="n">
        <f aca="false">Resumo!$C$10*CEILING(G782/100,1)</f>
        <v>1.05</v>
      </c>
      <c r="N782" s="61" t="n">
        <f aca="false">Resumo!$C$9</f>
        <v>0</v>
      </c>
      <c r="O782" s="61" t="n">
        <f aca="false">Resumo!$C$13</f>
        <v>13.55</v>
      </c>
      <c r="P782" s="61" t="n">
        <f aca="false">Resumo!$C$14*CEILING(G782,1)</f>
        <v>15.75</v>
      </c>
      <c r="Q782" s="61" t="n">
        <f aca="false">SUM(I782:P782)*Resumo!$C$11</f>
        <v>0</v>
      </c>
      <c r="R782" s="61" t="n">
        <f aca="false">SUM(I782:Q782)</f>
        <v>90.829958</v>
      </c>
      <c r="S782" s="61" t="n">
        <f aca="false">R782/(1-Resumo!$C$5)</f>
        <v>103.215861363636</v>
      </c>
      <c r="T782" s="61" t="n">
        <v>82.21</v>
      </c>
      <c r="U782" s="61" t="n">
        <f aca="false">H782*Resumo!$B$6</f>
        <v>0.39999</v>
      </c>
      <c r="V782" s="61" t="n">
        <f aca="false">H782*Resumo!$B$7</f>
        <v>0.79998</v>
      </c>
      <c r="W782" s="61" t="n">
        <f aca="false">Resumo!$B$9</f>
        <v>1</v>
      </c>
      <c r="X782" s="61" t="n">
        <f aca="false">Resumo!$B$10*CEILING(G782/100,1)</f>
        <v>4.5</v>
      </c>
      <c r="Y782" s="61" t="n">
        <f aca="false">Resumo!$B$12*CEILING(G782,1)</f>
        <v>2.1</v>
      </c>
      <c r="Z782" s="61" t="n">
        <f aca="false">Resumo!$B$14*CEILING(G782,1)</f>
        <v>15.75</v>
      </c>
      <c r="AA782" s="61" t="n">
        <f aca="false">SUM(T782:Z782)</f>
        <v>106.75997</v>
      </c>
      <c r="AB782" s="61" t="n">
        <f aca="false">AA782/(1-Resumo!$B$5)</f>
        <v>121.318147727273</v>
      </c>
      <c r="AC782" s="61" t="n">
        <f aca="false">AB782-S782</f>
        <v>18.1022863636364</v>
      </c>
      <c r="AD782" s="62" t="n">
        <f aca="false">AB782/S782-1</f>
        <v>0.175382796059423</v>
      </c>
      <c r="AE782" s="60" t="str">
        <f aca="false">IF(AB782&lt;S782,"SIM","NÃO")</f>
        <v>NÃO</v>
      </c>
      <c r="AF782" s="60" t="n">
        <v>2</v>
      </c>
      <c r="AG782" s="60" t="n">
        <v>5</v>
      </c>
      <c r="AH782" s="60" t="s">
        <v>382</v>
      </c>
      <c r="AI782" s="61" t="n">
        <f aca="false">(T782*(1-Painel!$C$40)+U782+V782+Painel!$C$41+Painel!$C$42*CEILING(G782/100,1)+Painel!$C$43*CEILING(G782,1)+Z782)/(1-Resumo!$B$5)</f>
        <v>84.1825795454545</v>
      </c>
      <c r="AJ782" s="60" t="str">
        <f aca="false">IF(AI782&lt;S782,"SIM","NÃO")</f>
        <v>SIM</v>
      </c>
    </row>
    <row r="783" customFormat="false" ht="15" hidden="false" customHeight="false" outlineLevel="0" collapsed="false">
      <c r="A783" s="59" t="n">
        <v>46242.9844212963</v>
      </c>
      <c r="B783" s="60" t="s">
        <v>1125</v>
      </c>
      <c r="C783" s="60" t="n">
        <v>20770180</v>
      </c>
      <c r="D783" s="60" t="s">
        <v>46</v>
      </c>
      <c r="E783" s="60" t="s">
        <v>22</v>
      </c>
      <c r="F783" s="60" t="s">
        <v>233</v>
      </c>
      <c r="G783" s="60" t="n">
        <v>27.4</v>
      </c>
      <c r="H783" s="61" t="n">
        <v>369.99</v>
      </c>
      <c r="I783" s="61" t="n">
        <v>42.11</v>
      </c>
      <c r="J783" s="61" t="n">
        <f aca="false">H783*Resumo!$C$6</f>
        <v>0</v>
      </c>
      <c r="K783" s="61" t="n">
        <f aca="false">H783*Resumo!$C$7</f>
        <v>0.776979</v>
      </c>
      <c r="L783" s="61" t="n">
        <f aca="false">H783*Resumo!$C$8</f>
        <v>0.776979</v>
      </c>
      <c r="M783" s="61" t="n">
        <f aca="false">Resumo!$C$10*CEILING(G783/100,1)</f>
        <v>1.05</v>
      </c>
      <c r="N783" s="61" t="n">
        <f aca="false">Resumo!$C$9</f>
        <v>0</v>
      </c>
      <c r="O783" s="61" t="n">
        <f aca="false">Resumo!$C$13</f>
        <v>13.55</v>
      </c>
      <c r="P783" s="61" t="n">
        <f aca="false">Resumo!$C$14*CEILING(G783,1)</f>
        <v>12.6</v>
      </c>
      <c r="Q783" s="61" t="n">
        <f aca="false">SUM(I783:P783)*Resumo!$C$11</f>
        <v>0</v>
      </c>
      <c r="R783" s="61" t="n">
        <f aca="false">SUM(I783:Q783)</f>
        <v>70.863958</v>
      </c>
      <c r="S783" s="61" t="n">
        <f aca="false">R783/(1-Resumo!$C$5)</f>
        <v>80.527225</v>
      </c>
      <c r="T783" s="61" t="n">
        <v>82.21</v>
      </c>
      <c r="U783" s="61" t="n">
        <f aca="false">H783*Resumo!$B$6</f>
        <v>0.36999</v>
      </c>
      <c r="V783" s="61" t="n">
        <f aca="false">H783*Resumo!$B$7</f>
        <v>0.73998</v>
      </c>
      <c r="W783" s="61" t="n">
        <f aca="false">Resumo!$B$9</f>
        <v>1</v>
      </c>
      <c r="X783" s="61" t="n">
        <f aca="false">Resumo!$B$10*CEILING(G783/100,1)</f>
        <v>4.5</v>
      </c>
      <c r="Y783" s="61" t="n">
        <f aca="false">Resumo!$B$12*CEILING(G783,1)</f>
        <v>1.68</v>
      </c>
      <c r="Z783" s="61" t="n">
        <f aca="false">Resumo!$B$14*CEILING(G783,1)</f>
        <v>12.6</v>
      </c>
      <c r="AA783" s="61" t="n">
        <f aca="false">SUM(T783:Z783)</f>
        <v>103.09997</v>
      </c>
      <c r="AB783" s="61" t="n">
        <f aca="false">AA783/(1-Resumo!$B$5)</f>
        <v>117.159056818182</v>
      </c>
      <c r="AC783" s="61" t="n">
        <f aca="false">AB783-S783</f>
        <v>36.6318318181818</v>
      </c>
      <c r="AD783" s="62" t="n">
        <f aca="false">AB783/S783-1</f>
        <v>0.454899964802982</v>
      </c>
      <c r="AE783" s="60" t="str">
        <f aca="false">IF(AB783&lt;S783,"SIM","NÃO")</f>
        <v>NÃO</v>
      </c>
      <c r="AF783" s="60" t="n">
        <v>2</v>
      </c>
      <c r="AG783" s="60" t="n">
        <v>5</v>
      </c>
      <c r="AH783" s="60" t="s">
        <v>382</v>
      </c>
      <c r="AI783" s="61" t="n">
        <f aca="false">(T783*(1-Painel!$C$40)+U783+V783+Painel!$C$41+Painel!$C$42*CEILING(G783/100,1)+Painel!$C$43*CEILING(G783,1)+Z783)/(1-Resumo!$B$5)</f>
        <v>80.5007613636364</v>
      </c>
      <c r="AJ783" s="60" t="str">
        <f aca="false">IF(AI783&lt;S783,"SIM","NÃO")</f>
        <v>SIM</v>
      </c>
    </row>
    <row r="784" customFormat="false" ht="15" hidden="false" customHeight="false" outlineLevel="0" collapsed="false">
      <c r="A784" s="59" t="n">
        <v>46242.9846527778</v>
      </c>
      <c r="B784" s="60" t="s">
        <v>1126</v>
      </c>
      <c r="C784" s="60" t="n">
        <v>24753532</v>
      </c>
      <c r="D784" s="60" t="s">
        <v>47</v>
      </c>
      <c r="E784" s="60" t="s">
        <v>23</v>
      </c>
      <c r="F784" s="60" t="s">
        <v>235</v>
      </c>
      <c r="G784" s="60" t="n">
        <v>46.8</v>
      </c>
      <c r="H784" s="61" t="n">
        <v>515.99</v>
      </c>
      <c r="I784" s="61" t="n">
        <v>65.36</v>
      </c>
      <c r="J784" s="61" t="n">
        <f aca="false">H784*Resumo!$C$6</f>
        <v>0</v>
      </c>
      <c r="K784" s="61" t="n">
        <f aca="false">H784*Resumo!$C$7</f>
        <v>1.083579</v>
      </c>
      <c r="L784" s="61" t="n">
        <f aca="false">H784*Resumo!$C$8</f>
        <v>1.083579</v>
      </c>
      <c r="M784" s="61" t="n">
        <f aca="false">Resumo!$C$10*CEILING(G784/100,1)</f>
        <v>1.05</v>
      </c>
      <c r="N784" s="61" t="n">
        <f aca="false">Resumo!$C$9</f>
        <v>0</v>
      </c>
      <c r="O784" s="61" t="n">
        <f aca="false">Resumo!$C$13</f>
        <v>13.55</v>
      </c>
      <c r="P784" s="61" t="n">
        <f aca="false">Resumo!$C$14*CEILING(G784,1)</f>
        <v>21.15</v>
      </c>
      <c r="Q784" s="61" t="n">
        <f aca="false">SUM(I784:P784)*Resumo!$C$11</f>
        <v>0</v>
      </c>
      <c r="R784" s="61" t="n">
        <f aca="false">SUM(I784:Q784)</f>
        <v>103.277158</v>
      </c>
      <c r="S784" s="61" t="n">
        <f aca="false">R784/(1-Resumo!$C$5)</f>
        <v>117.360406818182</v>
      </c>
      <c r="T784" s="61" t="n">
        <v>114.95</v>
      </c>
      <c r="U784" s="61" t="n">
        <f aca="false">H784*Resumo!$B$6</f>
        <v>0.51599</v>
      </c>
      <c r="V784" s="61" t="n">
        <f aca="false">H784*Resumo!$B$7</f>
        <v>1.03198</v>
      </c>
      <c r="W784" s="61" t="n">
        <f aca="false">Resumo!$B$9</f>
        <v>1</v>
      </c>
      <c r="X784" s="61" t="n">
        <f aca="false">Resumo!$B$10*CEILING(G784/100,1)</f>
        <v>4.5</v>
      </c>
      <c r="Y784" s="61" t="n">
        <f aca="false">Resumo!$B$12*CEILING(G784,1)</f>
        <v>2.82</v>
      </c>
      <c r="Z784" s="61" t="n">
        <f aca="false">Resumo!$B$14*CEILING(G784,1)</f>
        <v>21.15</v>
      </c>
      <c r="AA784" s="61" t="n">
        <f aca="false">SUM(T784:Z784)</f>
        <v>145.96797</v>
      </c>
      <c r="AB784" s="61" t="n">
        <f aca="false">AA784/(1-Resumo!$B$5)</f>
        <v>165.872693181818</v>
      </c>
      <c r="AC784" s="61" t="n">
        <f aca="false">AB784-S784</f>
        <v>48.5122863636364</v>
      </c>
      <c r="AD784" s="62" t="n">
        <f aca="false">AB784/S784-1</f>
        <v>0.413361607026406</v>
      </c>
      <c r="AE784" s="60" t="str">
        <f aca="false">IF(AB784&lt;S784,"SIM","NÃO")</f>
        <v>NÃO</v>
      </c>
      <c r="AF784" s="60" t="n">
        <v>2</v>
      </c>
      <c r="AG784" s="60" t="n">
        <v>7</v>
      </c>
      <c r="AH784" s="60" t="s">
        <v>382</v>
      </c>
      <c r="AI784" s="61" t="n">
        <f aca="false">(T784*(1-Painel!$C$40)+U784+V784+Painel!$C$41+Painel!$C$42*CEILING(G784/100,1)+Painel!$C$43*CEILING(G784,1)+Z784)/(1-Resumo!$B$5)</f>
        <v>115.641443181818</v>
      </c>
      <c r="AJ784" s="60" t="str">
        <f aca="false">IF(AI784&lt;S784,"SIM","NÃO")</f>
        <v>SIM</v>
      </c>
    </row>
    <row r="785" customFormat="false" ht="15" hidden="false" customHeight="false" outlineLevel="0" collapsed="false">
      <c r="A785" s="59" t="n">
        <v>46242.989224537</v>
      </c>
      <c r="B785" s="60" t="s">
        <v>1127</v>
      </c>
      <c r="C785" s="60" t="n">
        <v>23595020</v>
      </c>
      <c r="D785" s="60" t="s">
        <v>46</v>
      </c>
      <c r="E785" s="60" t="s">
        <v>22</v>
      </c>
      <c r="F785" s="60" t="s">
        <v>236</v>
      </c>
      <c r="G785" s="60" t="n">
        <v>56.7</v>
      </c>
      <c r="H785" s="61" t="n">
        <v>799.99</v>
      </c>
      <c r="I785" s="61" t="n">
        <v>58.6</v>
      </c>
      <c r="J785" s="61" t="n">
        <f aca="false">H785*Resumo!$C$6</f>
        <v>0</v>
      </c>
      <c r="K785" s="61" t="n">
        <f aca="false">H785*Resumo!$C$7</f>
        <v>1.679979</v>
      </c>
      <c r="L785" s="61" t="n">
        <f aca="false">H785*Resumo!$C$8</f>
        <v>1.679979</v>
      </c>
      <c r="M785" s="61" t="n">
        <f aca="false">Resumo!$C$10*CEILING(G785/100,1)</f>
        <v>1.05</v>
      </c>
      <c r="N785" s="61" t="n">
        <f aca="false">Resumo!$C$9</f>
        <v>0</v>
      </c>
      <c r="O785" s="61" t="n">
        <f aca="false">Resumo!$C$13</f>
        <v>13.55</v>
      </c>
      <c r="P785" s="61" t="n">
        <f aca="false">Resumo!$C$14*CEILING(G785,1)</f>
        <v>25.65</v>
      </c>
      <c r="Q785" s="61" t="n">
        <f aca="false">SUM(I785:P785)*Resumo!$C$11</f>
        <v>0</v>
      </c>
      <c r="R785" s="61" t="n">
        <f aca="false">SUM(I785:Q785)</f>
        <v>102.209958</v>
      </c>
      <c r="S785" s="61" t="n">
        <f aca="false">R785/(1-Resumo!$C$5)</f>
        <v>116.147679545455</v>
      </c>
      <c r="T785" s="61" t="n">
        <v>112.3</v>
      </c>
      <c r="U785" s="61" t="n">
        <f aca="false">H785*Resumo!$B$6</f>
        <v>0.79999</v>
      </c>
      <c r="V785" s="61" t="n">
        <f aca="false">H785*Resumo!$B$7</f>
        <v>1.59998</v>
      </c>
      <c r="W785" s="61" t="n">
        <f aca="false">Resumo!$B$9</f>
        <v>1</v>
      </c>
      <c r="X785" s="61" t="n">
        <f aca="false">Resumo!$B$10*CEILING(G785/100,1)</f>
        <v>4.5</v>
      </c>
      <c r="Y785" s="61" t="n">
        <f aca="false">Resumo!$B$12*CEILING(G785,1)</f>
        <v>3.42</v>
      </c>
      <c r="Z785" s="61" t="n">
        <f aca="false">Resumo!$B$14*CEILING(G785,1)</f>
        <v>25.65</v>
      </c>
      <c r="AA785" s="61" t="n">
        <f aca="false">SUM(T785:Z785)</f>
        <v>149.26997</v>
      </c>
      <c r="AB785" s="61" t="n">
        <f aca="false">AA785/(1-Resumo!$B$5)</f>
        <v>169.624965909091</v>
      </c>
      <c r="AC785" s="61" t="n">
        <f aca="false">AB785-S785</f>
        <v>53.4772863636364</v>
      </c>
      <c r="AD785" s="62" t="n">
        <f aca="false">AB785/S785-1</f>
        <v>0.460424922589245</v>
      </c>
      <c r="AE785" s="60" t="str">
        <f aca="false">IF(AB785&lt;S785,"SIM","NÃO")</f>
        <v>NÃO</v>
      </c>
      <c r="AF785" s="60" t="n">
        <v>2</v>
      </c>
      <c r="AG785" s="60" t="n">
        <v>5</v>
      </c>
      <c r="AH785" s="60" t="s">
        <v>382</v>
      </c>
      <c r="AI785" s="61" t="n">
        <f aca="false">(T785*(1-Painel!$C$40)+U785+V785+Painel!$C$41+Painel!$C$42*CEILING(G785/100,1)+Painel!$C$43*CEILING(G785,1)+Z785)/(1-Resumo!$B$5)</f>
        <v>119.705647727273</v>
      </c>
      <c r="AJ785" s="60" t="str">
        <f aca="false">IF(AI785&lt;S785,"SIM","NÃO")</f>
        <v>NÃO</v>
      </c>
    </row>
    <row r="786" customFormat="false" ht="15" hidden="false" customHeight="false" outlineLevel="0" collapsed="false">
      <c r="A786" s="59" t="n">
        <v>46242.9914467593</v>
      </c>
      <c r="B786" s="60" t="s">
        <v>754</v>
      </c>
      <c r="C786" s="60" t="n">
        <v>22753005</v>
      </c>
      <c r="D786" s="60" t="s">
        <v>46</v>
      </c>
      <c r="E786" s="60" t="s">
        <v>22</v>
      </c>
      <c r="F786" s="60" t="s">
        <v>236</v>
      </c>
      <c r="G786" s="60" t="n">
        <v>56.7</v>
      </c>
      <c r="H786" s="61" t="n">
        <v>690.99</v>
      </c>
      <c r="I786" s="61" t="n">
        <v>58.6</v>
      </c>
      <c r="J786" s="61" t="n">
        <f aca="false">H786*Resumo!$C$6</f>
        <v>0</v>
      </c>
      <c r="K786" s="61" t="n">
        <f aca="false">H786*Resumo!$C$7</f>
        <v>1.451079</v>
      </c>
      <c r="L786" s="61" t="n">
        <f aca="false">H786*Resumo!$C$8</f>
        <v>1.451079</v>
      </c>
      <c r="M786" s="61" t="n">
        <f aca="false">Resumo!$C$10*CEILING(G786/100,1)</f>
        <v>1.05</v>
      </c>
      <c r="N786" s="61" t="n">
        <f aca="false">Resumo!$C$9</f>
        <v>0</v>
      </c>
      <c r="O786" s="61" t="n">
        <f aca="false">Resumo!$C$13</f>
        <v>13.55</v>
      </c>
      <c r="P786" s="61" t="n">
        <f aca="false">Resumo!$C$14*CEILING(G786,1)</f>
        <v>25.65</v>
      </c>
      <c r="Q786" s="61" t="n">
        <f aca="false">SUM(I786:P786)*Resumo!$C$11</f>
        <v>0</v>
      </c>
      <c r="R786" s="61" t="n">
        <f aca="false">SUM(I786:Q786)</f>
        <v>101.752158</v>
      </c>
      <c r="S786" s="61" t="n">
        <f aca="false">R786/(1-Resumo!$C$5)</f>
        <v>115.627452272727</v>
      </c>
      <c r="T786" s="61" t="n">
        <v>112.3</v>
      </c>
      <c r="U786" s="61" t="n">
        <f aca="false">H786*Resumo!$B$6</f>
        <v>0.69099</v>
      </c>
      <c r="V786" s="61" t="n">
        <f aca="false">H786*Resumo!$B$7</f>
        <v>1.38198</v>
      </c>
      <c r="W786" s="61" t="n">
        <f aca="false">Resumo!$B$9</f>
        <v>1</v>
      </c>
      <c r="X786" s="61" t="n">
        <f aca="false">Resumo!$B$10*CEILING(G786/100,1)</f>
        <v>4.5</v>
      </c>
      <c r="Y786" s="61" t="n">
        <f aca="false">Resumo!$B$12*CEILING(G786,1)</f>
        <v>3.42</v>
      </c>
      <c r="Z786" s="61" t="n">
        <f aca="false">Resumo!$B$14*CEILING(G786,1)</f>
        <v>25.65</v>
      </c>
      <c r="AA786" s="61" t="n">
        <f aca="false">SUM(T786:Z786)</f>
        <v>148.94297</v>
      </c>
      <c r="AB786" s="61" t="n">
        <f aca="false">AA786/(1-Resumo!$B$5)</f>
        <v>169.253375</v>
      </c>
      <c r="AC786" s="61" t="n">
        <f aca="false">AB786-S786</f>
        <v>53.6259227272727</v>
      </c>
      <c r="AD786" s="62" t="n">
        <f aca="false">AB786/S786-1</f>
        <v>0.463781927848646</v>
      </c>
      <c r="AE786" s="60" t="str">
        <f aca="false">IF(AB786&lt;S786,"SIM","NÃO")</f>
        <v>NÃO</v>
      </c>
      <c r="AF786" s="60" t="n">
        <v>2</v>
      </c>
      <c r="AG786" s="60" t="n">
        <v>5</v>
      </c>
      <c r="AH786" s="60" t="s">
        <v>382</v>
      </c>
      <c r="AI786" s="61" t="n">
        <f aca="false">(T786*(1-Painel!$C$40)+U786+V786+Painel!$C$41+Painel!$C$42*CEILING(G786/100,1)+Painel!$C$43*CEILING(G786,1)+Z786)/(1-Resumo!$B$5)</f>
        <v>119.334056818182</v>
      </c>
      <c r="AJ786" s="60" t="str">
        <f aca="false">IF(AI786&lt;S786,"SIM","NÃO")</f>
        <v>NÃO</v>
      </c>
    </row>
    <row r="787" customFormat="false" ht="15" hidden="false" customHeight="false" outlineLevel="0" collapsed="false">
      <c r="A787" s="59" t="n">
        <v>46242.9921064815</v>
      </c>
      <c r="B787" s="60" t="s">
        <v>1128</v>
      </c>
      <c r="C787" s="60" t="n">
        <v>20740370</v>
      </c>
      <c r="D787" s="60" t="s">
        <v>46</v>
      </c>
      <c r="E787" s="60" t="s">
        <v>22</v>
      </c>
      <c r="F787" s="60" t="s">
        <v>233</v>
      </c>
      <c r="G787" s="60" t="n">
        <v>31.9</v>
      </c>
      <c r="H787" s="61" t="n">
        <v>466.39</v>
      </c>
      <c r="I787" s="61" t="n">
        <v>42.11</v>
      </c>
      <c r="J787" s="61" t="n">
        <f aca="false">H787*Resumo!$C$6</f>
        <v>0</v>
      </c>
      <c r="K787" s="61" t="n">
        <f aca="false">H787*Resumo!$C$7</f>
        <v>0.979419</v>
      </c>
      <c r="L787" s="61" t="n">
        <f aca="false">H787*Resumo!$C$8</f>
        <v>0.979419</v>
      </c>
      <c r="M787" s="61" t="n">
        <f aca="false">Resumo!$C$10*CEILING(G787/100,1)</f>
        <v>1.05</v>
      </c>
      <c r="N787" s="61" t="n">
        <f aca="false">Resumo!$C$9</f>
        <v>0</v>
      </c>
      <c r="O787" s="61" t="n">
        <f aca="false">Resumo!$C$13</f>
        <v>13.55</v>
      </c>
      <c r="P787" s="61" t="n">
        <f aca="false">Resumo!$C$14*CEILING(G787,1)</f>
        <v>14.4</v>
      </c>
      <c r="Q787" s="61" t="n">
        <f aca="false">SUM(I787:P787)*Resumo!$C$11</f>
        <v>0</v>
      </c>
      <c r="R787" s="61" t="n">
        <f aca="false">SUM(I787:Q787)</f>
        <v>73.068838</v>
      </c>
      <c r="S787" s="61" t="n">
        <f aca="false">R787/(1-Resumo!$C$5)</f>
        <v>83.0327704545455</v>
      </c>
      <c r="T787" s="61" t="n">
        <v>82.21</v>
      </c>
      <c r="U787" s="61" t="n">
        <f aca="false">H787*Resumo!$B$6</f>
        <v>0.46639</v>
      </c>
      <c r="V787" s="61" t="n">
        <f aca="false">H787*Resumo!$B$7</f>
        <v>0.93278</v>
      </c>
      <c r="W787" s="61" t="n">
        <f aca="false">Resumo!$B$9</f>
        <v>1</v>
      </c>
      <c r="X787" s="61" t="n">
        <f aca="false">Resumo!$B$10*CEILING(G787/100,1)</f>
        <v>4.5</v>
      </c>
      <c r="Y787" s="61" t="n">
        <f aca="false">Resumo!$B$12*CEILING(G787,1)</f>
        <v>1.92</v>
      </c>
      <c r="Z787" s="61" t="n">
        <f aca="false">Resumo!$B$14*CEILING(G787,1)</f>
        <v>14.4</v>
      </c>
      <c r="AA787" s="61" t="n">
        <f aca="false">SUM(T787:Z787)</f>
        <v>105.42917</v>
      </c>
      <c r="AB787" s="61" t="n">
        <f aca="false">AA787/(1-Resumo!$B$5)</f>
        <v>119.805875</v>
      </c>
      <c r="AC787" s="61" t="n">
        <f aca="false">AB787-S787</f>
        <v>36.7731045454545</v>
      </c>
      <c r="AD787" s="62" t="n">
        <f aca="false">AB787/S787-1</f>
        <v>0.442874594502242</v>
      </c>
      <c r="AE787" s="60" t="str">
        <f aca="false">IF(AB787&lt;S787,"SIM","NÃO")</f>
        <v>NÃO</v>
      </c>
      <c r="AF787" s="60" t="n">
        <v>2</v>
      </c>
      <c r="AG787" s="60" t="n">
        <v>5</v>
      </c>
      <c r="AH787" s="60" t="s">
        <v>382</v>
      </c>
      <c r="AI787" s="61" t="n">
        <f aca="false">(T787*(1-Painel!$C$40)+U787+V787+Painel!$C$41+Painel!$C$42*CEILING(G787/100,1)+Painel!$C$43*CEILING(G787,1)+Z787)/(1-Resumo!$B$5)</f>
        <v>82.8748522727273</v>
      </c>
      <c r="AJ787" s="60" t="str">
        <f aca="false">IF(AI787&lt;S787,"SIM","NÃO")</f>
        <v>SIM</v>
      </c>
    </row>
    <row r="788" customFormat="false" ht="15" hidden="false" customHeight="false" outlineLevel="0" collapsed="false">
      <c r="A788" s="59" t="n">
        <v>46243.0326736111</v>
      </c>
      <c r="B788" s="60" t="s">
        <v>1129</v>
      </c>
      <c r="C788" s="60" t="n">
        <v>24914420</v>
      </c>
      <c r="D788" s="60" t="s">
        <v>220</v>
      </c>
      <c r="E788" s="60" t="s">
        <v>24</v>
      </c>
      <c r="F788" s="60" t="s">
        <v>236</v>
      </c>
      <c r="G788" s="60" t="n">
        <v>52.3</v>
      </c>
      <c r="H788" s="61" t="n">
        <v>616.99</v>
      </c>
      <c r="I788" s="61" t="n">
        <v>83.58</v>
      </c>
      <c r="J788" s="61" t="n">
        <f aca="false">H788*Resumo!$C$6</f>
        <v>0</v>
      </c>
      <c r="K788" s="61" t="n">
        <f aca="false">H788*Resumo!$C$7</f>
        <v>1.295679</v>
      </c>
      <c r="L788" s="61" t="n">
        <f aca="false">H788*Resumo!$C$8</f>
        <v>1.295679</v>
      </c>
      <c r="M788" s="61" t="n">
        <f aca="false">Resumo!$C$10*CEILING(G788/100,1)</f>
        <v>1.05</v>
      </c>
      <c r="N788" s="61" t="n">
        <f aca="false">Resumo!$C$9</f>
        <v>0</v>
      </c>
      <c r="O788" s="61" t="n">
        <f aca="false">Resumo!$C$13</f>
        <v>13.55</v>
      </c>
      <c r="P788" s="61" t="n">
        <f aca="false">Resumo!$C$14*CEILING(G788,1)</f>
        <v>23.85</v>
      </c>
      <c r="Q788" s="61" t="n">
        <f aca="false">SUM(I788:P788)*Resumo!$C$11</f>
        <v>0</v>
      </c>
      <c r="R788" s="61" t="n">
        <f aca="false">SUM(I788:Q788)</f>
        <v>124.621358</v>
      </c>
      <c r="S788" s="61" t="n">
        <f aca="false">R788/(1-Resumo!$C$5)</f>
        <v>141.615179545455</v>
      </c>
      <c r="T788" s="61" t="n">
        <v>128.14</v>
      </c>
      <c r="U788" s="61" t="n">
        <f aca="false">H788*Resumo!$B$6</f>
        <v>0.61699</v>
      </c>
      <c r="V788" s="61" t="n">
        <f aca="false">H788*Resumo!$B$7</f>
        <v>1.23398</v>
      </c>
      <c r="W788" s="61" t="n">
        <f aca="false">Resumo!$B$9</f>
        <v>1</v>
      </c>
      <c r="X788" s="61" t="n">
        <f aca="false">Resumo!$B$10*CEILING(G788/100,1)</f>
        <v>4.5</v>
      </c>
      <c r="Y788" s="61" t="n">
        <f aca="false">Resumo!$B$12*CEILING(G788,1)</f>
        <v>3.18</v>
      </c>
      <c r="Z788" s="61" t="n">
        <f aca="false">Resumo!$B$14*CEILING(G788,1)</f>
        <v>23.85</v>
      </c>
      <c r="AA788" s="61" t="n">
        <f aca="false">SUM(T788:Z788)</f>
        <v>162.52097</v>
      </c>
      <c r="AB788" s="61" t="n">
        <f aca="false">AA788/(1-Resumo!$B$5)</f>
        <v>184.682920454545</v>
      </c>
      <c r="AC788" s="61" t="n">
        <f aca="false">AB788-S788</f>
        <v>43.0677409090909</v>
      </c>
      <c r="AD788" s="62" t="n">
        <f aca="false">AB788/S788-1</f>
        <v>0.304118111118642</v>
      </c>
      <c r="AE788" s="60" t="str">
        <f aca="false">IF(AB788&lt;S788,"SIM","NÃO")</f>
        <v>NÃO</v>
      </c>
      <c r="AF788" s="60" t="n">
        <v>13</v>
      </c>
      <c r="AG788" s="60" t="n">
        <v>7</v>
      </c>
      <c r="AH788" s="60" t="s">
        <v>382</v>
      </c>
      <c r="AI788" s="61" t="n">
        <f aca="false">(T788*(1-Painel!$C$40)+U788+V788+Painel!$C$41+Painel!$C$42*CEILING(G788/100,1)+Painel!$C$43*CEILING(G788,1)+Z788)/(1-Resumo!$B$5)</f>
        <v>129.096329545455</v>
      </c>
      <c r="AJ788" s="60" t="str">
        <f aca="false">IF(AI788&lt;S788,"SIM","NÃO")</f>
        <v>SIM</v>
      </c>
    </row>
    <row r="789" customFormat="false" ht="15" hidden="false" customHeight="false" outlineLevel="0" collapsed="false">
      <c r="A789" s="59" t="n">
        <v>46243.0793634259</v>
      </c>
      <c r="B789" s="60" t="s">
        <v>1130</v>
      </c>
      <c r="C789" s="60" t="n">
        <v>22041011</v>
      </c>
      <c r="D789" s="60" t="s">
        <v>46</v>
      </c>
      <c r="E789" s="60" t="s">
        <v>22</v>
      </c>
      <c r="F789" s="60" t="s">
        <v>236</v>
      </c>
      <c r="G789" s="60" t="n">
        <v>52.3</v>
      </c>
      <c r="H789" s="61" t="n">
        <v>685.88</v>
      </c>
      <c r="I789" s="61" t="n">
        <v>58.6</v>
      </c>
      <c r="J789" s="61" t="n">
        <f aca="false">H789*Resumo!$C$6</f>
        <v>0</v>
      </c>
      <c r="K789" s="61" t="n">
        <f aca="false">H789*Resumo!$C$7</f>
        <v>1.440348</v>
      </c>
      <c r="L789" s="61" t="n">
        <f aca="false">H789*Resumo!$C$8</f>
        <v>1.440348</v>
      </c>
      <c r="M789" s="61" t="n">
        <f aca="false">Resumo!$C$10*CEILING(G789/100,1)</f>
        <v>1.05</v>
      </c>
      <c r="N789" s="61" t="n">
        <f aca="false">Resumo!$C$9</f>
        <v>0</v>
      </c>
      <c r="O789" s="61" t="n">
        <f aca="false">Resumo!$C$13</f>
        <v>13.55</v>
      </c>
      <c r="P789" s="61" t="n">
        <f aca="false">Resumo!$C$14*CEILING(G789,1)</f>
        <v>23.85</v>
      </c>
      <c r="Q789" s="61" t="n">
        <f aca="false">SUM(I789:P789)*Resumo!$C$11</f>
        <v>0</v>
      </c>
      <c r="R789" s="61" t="n">
        <f aca="false">SUM(I789:Q789)</f>
        <v>99.930696</v>
      </c>
      <c r="S789" s="61" t="n">
        <f aca="false">R789/(1-Resumo!$C$5)</f>
        <v>113.557609090909</v>
      </c>
      <c r="T789" s="61" t="n">
        <v>112.3</v>
      </c>
      <c r="U789" s="61" t="n">
        <f aca="false">H789*Resumo!$B$6</f>
        <v>0.68588</v>
      </c>
      <c r="V789" s="61" t="n">
        <f aca="false">H789*Resumo!$B$7</f>
        <v>1.37176</v>
      </c>
      <c r="W789" s="61" t="n">
        <f aca="false">Resumo!$B$9</f>
        <v>1</v>
      </c>
      <c r="X789" s="61" t="n">
        <f aca="false">Resumo!$B$10*CEILING(G789/100,1)</f>
        <v>4.5</v>
      </c>
      <c r="Y789" s="61" t="n">
        <f aca="false">Resumo!$B$12*CEILING(G789,1)</f>
        <v>3.18</v>
      </c>
      <c r="Z789" s="61" t="n">
        <f aca="false">Resumo!$B$14*CEILING(G789,1)</f>
        <v>23.85</v>
      </c>
      <c r="AA789" s="61" t="n">
        <f aca="false">SUM(T789:Z789)</f>
        <v>146.88764</v>
      </c>
      <c r="AB789" s="61" t="n">
        <f aca="false">AA789/(1-Resumo!$B$5)</f>
        <v>166.917772727273</v>
      </c>
      <c r="AC789" s="61" t="n">
        <f aca="false">AB789-S789</f>
        <v>53.3601636363636</v>
      </c>
      <c r="AD789" s="62" t="n">
        <f aca="false">AB789/S789-1</f>
        <v>0.469895096097399</v>
      </c>
      <c r="AE789" s="60" t="str">
        <f aca="false">IF(AB789&lt;S789,"SIM","NÃO")</f>
        <v>NÃO</v>
      </c>
      <c r="AF789" s="60" t="n">
        <v>2</v>
      </c>
      <c r="AG789" s="60" t="n">
        <v>5</v>
      </c>
      <c r="AH789" s="60" t="s">
        <v>382</v>
      </c>
      <c r="AI789" s="61" t="n">
        <f aca="false">(T789*(1-Painel!$C$40)+U789+V789+Painel!$C$41+Painel!$C$42*CEILING(G789/100,1)+Painel!$C$43*CEILING(G789,1)+Z789)/(1-Resumo!$B$5)</f>
        <v>117.271181818182</v>
      </c>
      <c r="AJ789" s="60" t="str">
        <f aca="false">IF(AI789&lt;S789,"SIM","NÃO")</f>
        <v>NÃO</v>
      </c>
    </row>
    <row r="790" customFormat="false" ht="15" hidden="false" customHeight="false" outlineLevel="0" collapsed="false">
      <c r="A790" s="59" t="n">
        <v>46243.3046296296</v>
      </c>
      <c r="B790" s="60" t="s">
        <v>1131</v>
      </c>
      <c r="C790" s="60" t="n">
        <v>20540106</v>
      </c>
      <c r="D790" s="60" t="s">
        <v>46</v>
      </c>
      <c r="E790" s="60" t="s">
        <v>22</v>
      </c>
      <c r="F790" s="60" t="s">
        <v>236</v>
      </c>
      <c r="G790" s="60" t="n">
        <v>56.7</v>
      </c>
      <c r="H790" s="61" t="n">
        <v>690.99</v>
      </c>
      <c r="I790" s="61" t="n">
        <v>58.6</v>
      </c>
      <c r="J790" s="61" t="n">
        <f aca="false">H790*Resumo!$C$6</f>
        <v>0</v>
      </c>
      <c r="K790" s="61" t="n">
        <f aca="false">H790*Resumo!$C$7</f>
        <v>1.451079</v>
      </c>
      <c r="L790" s="61" t="n">
        <f aca="false">H790*Resumo!$C$8</f>
        <v>1.451079</v>
      </c>
      <c r="M790" s="61" t="n">
        <f aca="false">Resumo!$C$10*CEILING(G790/100,1)</f>
        <v>1.05</v>
      </c>
      <c r="N790" s="61" t="n">
        <f aca="false">Resumo!$C$9</f>
        <v>0</v>
      </c>
      <c r="O790" s="61" t="n">
        <f aca="false">Resumo!$C$13</f>
        <v>13.55</v>
      </c>
      <c r="P790" s="61" t="n">
        <f aca="false">Resumo!$C$14*CEILING(G790,1)</f>
        <v>25.65</v>
      </c>
      <c r="Q790" s="61" t="n">
        <f aca="false">SUM(I790:P790)*Resumo!$C$11</f>
        <v>0</v>
      </c>
      <c r="R790" s="61" t="n">
        <f aca="false">SUM(I790:Q790)</f>
        <v>101.752158</v>
      </c>
      <c r="S790" s="61" t="n">
        <f aca="false">R790/(1-Resumo!$C$5)</f>
        <v>115.627452272727</v>
      </c>
      <c r="T790" s="61" t="n">
        <v>112.3</v>
      </c>
      <c r="U790" s="61" t="n">
        <f aca="false">H790*Resumo!$B$6</f>
        <v>0.69099</v>
      </c>
      <c r="V790" s="61" t="n">
        <f aca="false">H790*Resumo!$B$7</f>
        <v>1.38198</v>
      </c>
      <c r="W790" s="61" t="n">
        <f aca="false">Resumo!$B$9</f>
        <v>1</v>
      </c>
      <c r="X790" s="61" t="n">
        <f aca="false">Resumo!$B$10*CEILING(G790/100,1)</f>
        <v>4.5</v>
      </c>
      <c r="Y790" s="61" t="n">
        <f aca="false">Resumo!$B$12*CEILING(G790,1)</f>
        <v>3.42</v>
      </c>
      <c r="Z790" s="61" t="n">
        <f aca="false">Resumo!$B$14*CEILING(G790,1)</f>
        <v>25.65</v>
      </c>
      <c r="AA790" s="61" t="n">
        <f aca="false">SUM(T790:Z790)</f>
        <v>148.94297</v>
      </c>
      <c r="AB790" s="61" t="n">
        <f aca="false">AA790/(1-Resumo!$B$5)</f>
        <v>169.253375</v>
      </c>
      <c r="AC790" s="61" t="n">
        <f aca="false">AB790-S790</f>
        <v>53.6259227272727</v>
      </c>
      <c r="AD790" s="62" t="n">
        <f aca="false">AB790/S790-1</f>
        <v>0.463781927848646</v>
      </c>
      <c r="AE790" s="60" t="str">
        <f aca="false">IF(AB790&lt;S790,"SIM","NÃO")</f>
        <v>NÃO</v>
      </c>
      <c r="AF790" s="60" t="n">
        <v>2</v>
      </c>
      <c r="AG790" s="60" t="n">
        <v>5</v>
      </c>
      <c r="AH790" s="60" t="s">
        <v>382</v>
      </c>
      <c r="AI790" s="61" t="n">
        <f aca="false">(T790*(1-Painel!$C$40)+U790+V790+Painel!$C$41+Painel!$C$42*CEILING(G790/100,1)+Painel!$C$43*CEILING(G790,1)+Z790)/(1-Resumo!$B$5)</f>
        <v>119.334056818182</v>
      </c>
      <c r="AJ790" s="60" t="str">
        <f aca="false">IF(AI790&lt;S790,"SIM","NÃO")</f>
        <v>NÃO</v>
      </c>
    </row>
    <row r="791" customFormat="false" ht="15" hidden="false" customHeight="false" outlineLevel="0" collapsed="false">
      <c r="A791" s="59" t="n">
        <v>46243.3053009259</v>
      </c>
      <c r="B791" s="60" t="s">
        <v>1132</v>
      </c>
      <c r="C791" s="60" t="n">
        <v>21042001</v>
      </c>
      <c r="D791" s="60" t="s">
        <v>46</v>
      </c>
      <c r="E791" s="60" t="s">
        <v>22</v>
      </c>
      <c r="F791" s="60" t="s">
        <v>234</v>
      </c>
      <c r="G791" s="60" t="n">
        <v>37.2</v>
      </c>
      <c r="H791" s="61" t="n">
        <v>419.99</v>
      </c>
      <c r="I791" s="61" t="n">
        <v>48.35</v>
      </c>
      <c r="J791" s="61" t="n">
        <f aca="false">H791*Resumo!$C$6</f>
        <v>0</v>
      </c>
      <c r="K791" s="61" t="n">
        <f aca="false">H791*Resumo!$C$7</f>
        <v>0.881979</v>
      </c>
      <c r="L791" s="61" t="n">
        <f aca="false">H791*Resumo!$C$8</f>
        <v>0.881979</v>
      </c>
      <c r="M791" s="61" t="n">
        <f aca="false">Resumo!$C$10*CEILING(G791/100,1)</f>
        <v>1.05</v>
      </c>
      <c r="N791" s="61" t="n">
        <f aca="false">Resumo!$C$9</f>
        <v>0</v>
      </c>
      <c r="O791" s="61" t="n">
        <f aca="false">Resumo!$C$13</f>
        <v>13.55</v>
      </c>
      <c r="P791" s="61" t="n">
        <f aca="false">Resumo!$C$14*CEILING(G791,1)</f>
        <v>17.1</v>
      </c>
      <c r="Q791" s="61" t="n">
        <f aca="false">SUM(I791:P791)*Resumo!$C$11</f>
        <v>0</v>
      </c>
      <c r="R791" s="61" t="n">
        <f aca="false">SUM(I791:Q791)</f>
        <v>81.813958</v>
      </c>
      <c r="S791" s="61" t="n">
        <f aca="false">R791/(1-Resumo!$C$5)</f>
        <v>92.9704068181818</v>
      </c>
      <c r="T791" s="61" t="n">
        <v>93.97</v>
      </c>
      <c r="U791" s="61" t="n">
        <f aca="false">H791*Resumo!$B$6</f>
        <v>0.41999</v>
      </c>
      <c r="V791" s="61" t="n">
        <f aca="false">H791*Resumo!$B$7</f>
        <v>0.83998</v>
      </c>
      <c r="W791" s="61" t="n">
        <f aca="false">Resumo!$B$9</f>
        <v>1</v>
      </c>
      <c r="X791" s="61" t="n">
        <f aca="false">Resumo!$B$10*CEILING(G791/100,1)</f>
        <v>4.5</v>
      </c>
      <c r="Y791" s="61" t="n">
        <f aca="false">Resumo!$B$12*CEILING(G791,1)</f>
        <v>2.28</v>
      </c>
      <c r="Z791" s="61" t="n">
        <f aca="false">Resumo!$B$14*CEILING(G791,1)</f>
        <v>17.1</v>
      </c>
      <c r="AA791" s="61" t="n">
        <f aca="false">SUM(T791:Z791)</f>
        <v>120.10997</v>
      </c>
      <c r="AB791" s="61" t="n">
        <f aca="false">AA791/(1-Resumo!$B$5)</f>
        <v>136.488602272727</v>
      </c>
      <c r="AC791" s="61" t="n">
        <f aca="false">AB791-S791</f>
        <v>43.5181954545454</v>
      </c>
      <c r="AD791" s="62" t="n">
        <f aca="false">AB791/S791-1</f>
        <v>0.468086533596138</v>
      </c>
      <c r="AE791" s="60" t="str">
        <f aca="false">IF(AB791&lt;S791,"SIM","NÃO")</f>
        <v>NÃO</v>
      </c>
      <c r="AF791" s="60" t="n">
        <v>2</v>
      </c>
      <c r="AG791" s="60" t="n">
        <v>5</v>
      </c>
      <c r="AH791" s="60" t="s">
        <v>382</v>
      </c>
      <c r="AI791" s="61" t="n">
        <f aca="false">(T791*(1-Painel!$C$40)+U791+V791+Painel!$C$41+Painel!$C$42*CEILING(G791/100,1)+Painel!$C$43*CEILING(G791,1)+Z791)/(1-Resumo!$B$5)</f>
        <v>94.7384886363636</v>
      </c>
      <c r="AJ791" s="60" t="str">
        <f aca="false">IF(AI791&lt;S791,"SIM","NÃO")</f>
        <v>NÃO</v>
      </c>
    </row>
    <row r="792" customFormat="false" ht="15" hidden="false" customHeight="false" outlineLevel="0" collapsed="false">
      <c r="A792" s="59" t="n">
        <v>46243.3721875</v>
      </c>
      <c r="B792" s="60" t="s">
        <v>1133</v>
      </c>
      <c r="C792" s="60" t="n">
        <v>28988892</v>
      </c>
      <c r="D792" s="60" t="s">
        <v>222</v>
      </c>
      <c r="E792" s="60" t="s">
        <v>24</v>
      </c>
      <c r="F792" s="60" t="s">
        <v>237</v>
      </c>
      <c r="G792" s="60" t="n">
        <v>63.9</v>
      </c>
      <c r="H792" s="61" t="n">
        <v>735.99</v>
      </c>
      <c r="I792" s="61" t="n">
        <v>90.2</v>
      </c>
      <c r="J792" s="61" t="n">
        <f aca="false">H792*Resumo!$C$6</f>
        <v>0</v>
      </c>
      <c r="K792" s="61" t="n">
        <f aca="false">H792*Resumo!$C$7</f>
        <v>1.545579</v>
      </c>
      <c r="L792" s="61" t="n">
        <f aca="false">H792*Resumo!$C$8</f>
        <v>1.545579</v>
      </c>
      <c r="M792" s="61" t="n">
        <f aca="false">Resumo!$C$10*CEILING(G792/100,1)</f>
        <v>1.05</v>
      </c>
      <c r="N792" s="61" t="n">
        <f aca="false">Resumo!$C$9</f>
        <v>0</v>
      </c>
      <c r="O792" s="61" t="n">
        <f aca="false">Resumo!$C$13</f>
        <v>13.55</v>
      </c>
      <c r="P792" s="61" t="n">
        <f aca="false">Resumo!$C$14*CEILING(G792,1)</f>
        <v>28.8</v>
      </c>
      <c r="Q792" s="61" t="n">
        <f aca="false">SUM(I792:P792)*Resumo!$C$11</f>
        <v>0</v>
      </c>
      <c r="R792" s="61" t="n">
        <f aca="false">SUM(I792:Q792)</f>
        <v>136.691158</v>
      </c>
      <c r="S792" s="61" t="n">
        <f aca="false">R792/(1-Resumo!$C$5)</f>
        <v>155.330861363636</v>
      </c>
      <c r="T792" s="61" t="n">
        <v>166.05</v>
      </c>
      <c r="U792" s="61" t="n">
        <f aca="false">H792*Resumo!$B$6</f>
        <v>0.73599</v>
      </c>
      <c r="V792" s="61" t="n">
        <f aca="false">H792*Resumo!$B$7</f>
        <v>1.47198</v>
      </c>
      <c r="W792" s="61" t="n">
        <f aca="false">Resumo!$B$9</f>
        <v>1</v>
      </c>
      <c r="X792" s="61" t="n">
        <f aca="false">Resumo!$B$10*CEILING(G792/100,1)</f>
        <v>4.5</v>
      </c>
      <c r="Y792" s="61" t="n">
        <f aca="false">Resumo!$B$12*CEILING(G792,1)</f>
        <v>3.84</v>
      </c>
      <c r="Z792" s="61" t="n">
        <f aca="false">Resumo!$B$14*CEILING(G792,1)</f>
        <v>28.8</v>
      </c>
      <c r="AA792" s="61" t="n">
        <f aca="false">SUM(T792:Z792)</f>
        <v>206.39797</v>
      </c>
      <c r="AB792" s="61" t="n">
        <f aca="false">AA792/(1-Resumo!$B$5)</f>
        <v>234.543147727273</v>
      </c>
      <c r="AC792" s="61" t="n">
        <f aca="false">AB792-S792</f>
        <v>79.2122863636364</v>
      </c>
      <c r="AD792" s="62" t="n">
        <f aca="false">AB792/S792-1</f>
        <v>0.509958456859368</v>
      </c>
      <c r="AE792" s="60" t="str">
        <f aca="false">IF(AB792&lt;S792,"SIM","NÃO")</f>
        <v>NÃO</v>
      </c>
      <c r="AF792" s="60" t="n">
        <v>13</v>
      </c>
      <c r="AG792" s="60" t="n">
        <v>10</v>
      </c>
      <c r="AH792" s="60" t="s">
        <v>382</v>
      </c>
      <c r="AI792" s="61" t="n">
        <f aca="false">(T792*(1-Painel!$C$40)+U792+V792+Painel!$C$41+Painel!$C$42*CEILING(G792/100,1)+Painel!$C$43*CEILING(G792,1)+Z792)/(1-Resumo!$B$5)</f>
        <v>163.990306818182</v>
      </c>
      <c r="AJ792" s="60" t="str">
        <f aca="false">IF(AI792&lt;S792,"SIM","NÃO")</f>
        <v>NÃO</v>
      </c>
    </row>
    <row r="793" customFormat="false" ht="15" hidden="false" customHeight="false" outlineLevel="0" collapsed="false">
      <c r="A793" s="59" t="n">
        <v>46243.3998842593</v>
      </c>
      <c r="B793" s="60" t="s">
        <v>1134</v>
      </c>
      <c r="C793" s="60" t="n">
        <v>24415000</v>
      </c>
      <c r="D793" s="60" t="s">
        <v>47</v>
      </c>
      <c r="E793" s="60" t="s">
        <v>23</v>
      </c>
      <c r="F793" s="60" t="s">
        <v>235</v>
      </c>
      <c r="G793" s="60" t="n">
        <v>44.5</v>
      </c>
      <c r="H793" s="61" t="n">
        <v>685.63</v>
      </c>
      <c r="I793" s="61" t="n">
        <v>65.36</v>
      </c>
      <c r="J793" s="61" t="n">
        <f aca="false">H793*Resumo!$C$6</f>
        <v>0</v>
      </c>
      <c r="K793" s="61" t="n">
        <f aca="false">H793*Resumo!$C$7</f>
        <v>1.439823</v>
      </c>
      <c r="L793" s="61" t="n">
        <f aca="false">H793*Resumo!$C$8</f>
        <v>1.439823</v>
      </c>
      <c r="M793" s="61" t="n">
        <f aca="false">Resumo!$C$10*CEILING(G793/100,1)</f>
        <v>1.05</v>
      </c>
      <c r="N793" s="61" t="n">
        <f aca="false">Resumo!$C$9</f>
        <v>0</v>
      </c>
      <c r="O793" s="61" t="n">
        <f aca="false">Resumo!$C$13</f>
        <v>13.55</v>
      </c>
      <c r="P793" s="61" t="n">
        <f aca="false">Resumo!$C$14*CEILING(G793,1)</f>
        <v>20.25</v>
      </c>
      <c r="Q793" s="61" t="n">
        <f aca="false">SUM(I793:P793)*Resumo!$C$11</f>
        <v>0</v>
      </c>
      <c r="R793" s="61" t="n">
        <f aca="false">SUM(I793:Q793)</f>
        <v>103.089646</v>
      </c>
      <c r="S793" s="61" t="n">
        <f aca="false">R793/(1-Resumo!$C$5)</f>
        <v>117.147325</v>
      </c>
      <c r="T793" s="61" t="n">
        <v>114.95</v>
      </c>
      <c r="U793" s="61" t="n">
        <f aca="false">H793*Resumo!$B$6</f>
        <v>0.68563</v>
      </c>
      <c r="V793" s="61" t="n">
        <f aca="false">H793*Resumo!$B$7</f>
        <v>1.37126</v>
      </c>
      <c r="W793" s="61" t="n">
        <f aca="false">Resumo!$B$9</f>
        <v>1</v>
      </c>
      <c r="X793" s="61" t="n">
        <f aca="false">Resumo!$B$10*CEILING(G793/100,1)</f>
        <v>4.5</v>
      </c>
      <c r="Y793" s="61" t="n">
        <f aca="false">Resumo!$B$12*CEILING(G793,1)</f>
        <v>2.7</v>
      </c>
      <c r="Z793" s="61" t="n">
        <f aca="false">Resumo!$B$14*CEILING(G793,1)</f>
        <v>20.25</v>
      </c>
      <c r="AA793" s="61" t="n">
        <f aca="false">SUM(T793:Z793)</f>
        <v>145.45689</v>
      </c>
      <c r="AB793" s="61" t="n">
        <f aca="false">AA793/(1-Resumo!$B$5)</f>
        <v>165.291920454545</v>
      </c>
      <c r="AC793" s="61" t="n">
        <f aca="false">AB793-S793</f>
        <v>48.1445954545455</v>
      </c>
      <c r="AD793" s="62" t="n">
        <f aca="false">AB793/S793-1</f>
        <v>0.410974774324087</v>
      </c>
      <c r="AE793" s="60" t="str">
        <f aca="false">IF(AB793&lt;S793,"SIM","NÃO")</f>
        <v>NÃO</v>
      </c>
      <c r="AF793" s="60" t="n">
        <v>2</v>
      </c>
      <c r="AG793" s="60" t="n">
        <v>7</v>
      </c>
      <c r="AH793" s="60" t="s">
        <v>382</v>
      </c>
      <c r="AI793" s="61" t="n">
        <f aca="false">(T793*(1-Painel!$C$40)+U793+V793+Painel!$C$41+Painel!$C$42*CEILING(G793/100,1)+Painel!$C$43*CEILING(G793,1)+Z793)/(1-Resumo!$B$5)</f>
        <v>115.197034090909</v>
      </c>
      <c r="AJ793" s="60" t="str">
        <f aca="false">IF(AI793&lt;S793,"SIM","NÃO")</f>
        <v>SIM</v>
      </c>
    </row>
    <row r="794" customFormat="false" ht="15" hidden="false" customHeight="false" outlineLevel="0" collapsed="false">
      <c r="A794" s="59" t="n">
        <v>46243.4022453704</v>
      </c>
      <c r="B794" s="60" t="s">
        <v>913</v>
      </c>
      <c r="C794" s="60" t="n">
        <v>21341180</v>
      </c>
      <c r="D794" s="60" t="s">
        <v>46</v>
      </c>
      <c r="E794" s="60" t="s">
        <v>22</v>
      </c>
      <c r="F794" s="60" t="s">
        <v>233</v>
      </c>
      <c r="G794" s="60" t="n">
        <v>27.5</v>
      </c>
      <c r="H794" s="61" t="n">
        <v>339.99</v>
      </c>
      <c r="I794" s="61" t="n">
        <v>42.11</v>
      </c>
      <c r="J794" s="61" t="n">
        <f aca="false">H794*Resumo!$C$6</f>
        <v>0</v>
      </c>
      <c r="K794" s="61" t="n">
        <f aca="false">H794*Resumo!$C$7</f>
        <v>0.713979</v>
      </c>
      <c r="L794" s="61" t="n">
        <f aca="false">H794*Resumo!$C$8</f>
        <v>0.713979</v>
      </c>
      <c r="M794" s="61" t="n">
        <f aca="false">Resumo!$C$10*CEILING(G794/100,1)</f>
        <v>1.05</v>
      </c>
      <c r="N794" s="61" t="n">
        <f aca="false">Resumo!$C$9</f>
        <v>0</v>
      </c>
      <c r="O794" s="61" t="n">
        <f aca="false">Resumo!$C$13</f>
        <v>13.55</v>
      </c>
      <c r="P794" s="61" t="n">
        <f aca="false">Resumo!$C$14*CEILING(G794,1)</f>
        <v>12.6</v>
      </c>
      <c r="Q794" s="61" t="n">
        <f aca="false">SUM(I794:P794)*Resumo!$C$11</f>
        <v>0</v>
      </c>
      <c r="R794" s="61" t="n">
        <f aca="false">SUM(I794:Q794)</f>
        <v>70.737958</v>
      </c>
      <c r="S794" s="61" t="n">
        <f aca="false">R794/(1-Resumo!$C$5)</f>
        <v>80.3840431818182</v>
      </c>
      <c r="T794" s="61" t="n">
        <v>82.21</v>
      </c>
      <c r="U794" s="61" t="n">
        <f aca="false">H794*Resumo!$B$6</f>
        <v>0.33999</v>
      </c>
      <c r="V794" s="61" t="n">
        <f aca="false">H794*Resumo!$B$7</f>
        <v>0.67998</v>
      </c>
      <c r="W794" s="61" t="n">
        <f aca="false">Resumo!$B$9</f>
        <v>1</v>
      </c>
      <c r="X794" s="61" t="n">
        <f aca="false">Resumo!$B$10*CEILING(G794/100,1)</f>
        <v>4.5</v>
      </c>
      <c r="Y794" s="61" t="n">
        <f aca="false">Resumo!$B$12*CEILING(G794,1)</f>
        <v>1.68</v>
      </c>
      <c r="Z794" s="61" t="n">
        <f aca="false">Resumo!$B$14*CEILING(G794,1)</f>
        <v>12.6</v>
      </c>
      <c r="AA794" s="61" t="n">
        <f aca="false">SUM(T794:Z794)</f>
        <v>103.00997</v>
      </c>
      <c r="AB794" s="61" t="n">
        <f aca="false">AA794/(1-Resumo!$B$5)</f>
        <v>117.056784090909</v>
      </c>
      <c r="AC794" s="61" t="n">
        <f aca="false">AB794-S794</f>
        <v>36.6727409090909</v>
      </c>
      <c r="AD794" s="62" t="n">
        <f aca="false">AB794/S794-1</f>
        <v>0.45621916312597</v>
      </c>
      <c r="AE794" s="60" t="str">
        <f aca="false">IF(AB794&lt;S794,"SIM","NÃO")</f>
        <v>NÃO</v>
      </c>
      <c r="AF794" s="60" t="n">
        <v>2</v>
      </c>
      <c r="AG794" s="60" t="n">
        <v>5</v>
      </c>
      <c r="AH794" s="60" t="s">
        <v>382</v>
      </c>
      <c r="AI794" s="61" t="n">
        <f aca="false">(T794*(1-Painel!$C$40)+U794+V794+Painel!$C$41+Painel!$C$42*CEILING(G794/100,1)+Painel!$C$43*CEILING(G794,1)+Z794)/(1-Resumo!$B$5)</f>
        <v>80.3984886363636</v>
      </c>
      <c r="AJ794" s="60" t="str">
        <f aca="false">IF(AI794&lt;S794,"SIM","NÃO")</f>
        <v>NÃO</v>
      </c>
    </row>
    <row r="795" customFormat="false" ht="15" hidden="false" customHeight="false" outlineLevel="0" collapsed="false">
      <c r="A795" s="59" t="n">
        <v>46243.5060185185</v>
      </c>
      <c r="B795" s="60" t="s">
        <v>531</v>
      </c>
      <c r="C795" s="60" t="n">
        <v>22710568</v>
      </c>
      <c r="D795" s="60" t="s">
        <v>46</v>
      </c>
      <c r="E795" s="60" t="s">
        <v>22</v>
      </c>
      <c r="F795" s="60" t="s">
        <v>237</v>
      </c>
      <c r="G795" s="60" t="n">
        <v>61.5</v>
      </c>
      <c r="H795" s="61" t="n">
        <v>726.79</v>
      </c>
      <c r="I795" s="61" t="n">
        <v>63.21</v>
      </c>
      <c r="J795" s="61" t="n">
        <f aca="false">H795*Resumo!$C$6</f>
        <v>0</v>
      </c>
      <c r="K795" s="61" t="n">
        <f aca="false">H795*Resumo!$C$7</f>
        <v>1.526259</v>
      </c>
      <c r="L795" s="61" t="n">
        <f aca="false">H795*Resumo!$C$8</f>
        <v>1.526259</v>
      </c>
      <c r="M795" s="61" t="n">
        <f aca="false">Resumo!$C$10*CEILING(G795/100,1)</f>
        <v>1.05</v>
      </c>
      <c r="N795" s="61" t="n">
        <f aca="false">Resumo!$C$9</f>
        <v>0</v>
      </c>
      <c r="O795" s="61" t="n">
        <f aca="false">Resumo!$C$13</f>
        <v>13.55</v>
      </c>
      <c r="P795" s="61" t="n">
        <f aca="false">Resumo!$C$14*CEILING(G795,1)</f>
        <v>27.9</v>
      </c>
      <c r="Q795" s="61" t="n">
        <f aca="false">SUM(I795:P795)*Resumo!$C$11</f>
        <v>0</v>
      </c>
      <c r="R795" s="61" t="n">
        <f aca="false">SUM(I795:Q795)</f>
        <v>108.762518</v>
      </c>
      <c r="S795" s="61" t="n">
        <f aca="false">R795/(1-Resumo!$C$5)</f>
        <v>123.593770454545</v>
      </c>
      <c r="T795" s="61" t="n">
        <v>131.02</v>
      </c>
      <c r="U795" s="61" t="n">
        <f aca="false">H795*Resumo!$B$6</f>
        <v>0.72679</v>
      </c>
      <c r="V795" s="61" t="n">
        <f aca="false">H795*Resumo!$B$7</f>
        <v>1.45358</v>
      </c>
      <c r="W795" s="61" t="n">
        <f aca="false">Resumo!$B$9</f>
        <v>1</v>
      </c>
      <c r="X795" s="61" t="n">
        <f aca="false">Resumo!$B$10*CEILING(G795/100,1)</f>
        <v>4.5</v>
      </c>
      <c r="Y795" s="61" t="n">
        <f aca="false">Resumo!$B$12*CEILING(G795,1)</f>
        <v>3.72</v>
      </c>
      <c r="Z795" s="61" t="n">
        <f aca="false">Resumo!$B$14*CEILING(G795,1)</f>
        <v>27.9</v>
      </c>
      <c r="AA795" s="61" t="n">
        <f aca="false">SUM(T795:Z795)</f>
        <v>170.32037</v>
      </c>
      <c r="AB795" s="61" t="n">
        <f aca="false">AA795/(1-Resumo!$B$5)</f>
        <v>193.545875</v>
      </c>
      <c r="AC795" s="61" t="n">
        <f aca="false">AB795-S795</f>
        <v>69.9521045454546</v>
      </c>
      <c r="AD795" s="62" t="n">
        <f aca="false">AB795/S795-1</f>
        <v>0.565984064473388</v>
      </c>
      <c r="AE795" s="60" t="str">
        <f aca="false">IF(AB795&lt;S795,"SIM","NÃO")</f>
        <v>NÃO</v>
      </c>
      <c r="AF795" s="60" t="n">
        <v>2</v>
      </c>
      <c r="AG795" s="60" t="n">
        <v>5</v>
      </c>
      <c r="AH795" s="60" t="s">
        <v>382</v>
      </c>
      <c r="AI795" s="61" t="n">
        <f aca="false">(T795*(1-Painel!$C$40)+U795+V795+Painel!$C$41+Painel!$C$42*CEILING(G795/100,1)+Painel!$C$43*CEILING(G795,1)+Z795)/(1-Resumo!$B$5)</f>
        <v>136.265647727273</v>
      </c>
      <c r="AJ795" s="60" t="str">
        <f aca="false">IF(AI795&lt;S795,"SIM","NÃO")</f>
        <v>NÃO</v>
      </c>
    </row>
    <row r="796" customFormat="false" ht="15" hidden="false" customHeight="false" outlineLevel="0" collapsed="false">
      <c r="A796" s="59" t="n">
        <v>46243.509224537</v>
      </c>
      <c r="B796" s="60" t="s">
        <v>1135</v>
      </c>
      <c r="C796" s="60" t="n">
        <v>24932855</v>
      </c>
      <c r="D796" s="60" t="s">
        <v>220</v>
      </c>
      <c r="E796" s="60" t="s">
        <v>24</v>
      </c>
      <c r="F796" s="60" t="s">
        <v>236</v>
      </c>
      <c r="G796" s="60" t="n">
        <v>52.3</v>
      </c>
      <c r="H796" s="61" t="n">
        <v>699.99</v>
      </c>
      <c r="I796" s="61" t="n">
        <v>83.58</v>
      </c>
      <c r="J796" s="61" t="n">
        <f aca="false">H796*Resumo!$C$6</f>
        <v>0</v>
      </c>
      <c r="K796" s="61" t="n">
        <f aca="false">H796*Resumo!$C$7</f>
        <v>1.469979</v>
      </c>
      <c r="L796" s="61" t="n">
        <f aca="false">H796*Resumo!$C$8</f>
        <v>1.469979</v>
      </c>
      <c r="M796" s="61" t="n">
        <f aca="false">Resumo!$C$10*CEILING(G796/100,1)</f>
        <v>1.05</v>
      </c>
      <c r="N796" s="61" t="n">
        <f aca="false">Resumo!$C$9</f>
        <v>0</v>
      </c>
      <c r="O796" s="61" t="n">
        <f aca="false">Resumo!$C$13</f>
        <v>13.55</v>
      </c>
      <c r="P796" s="61" t="n">
        <f aca="false">Resumo!$C$14*CEILING(G796,1)</f>
        <v>23.85</v>
      </c>
      <c r="Q796" s="61" t="n">
        <f aca="false">SUM(I796:P796)*Resumo!$C$11</f>
        <v>0</v>
      </c>
      <c r="R796" s="61" t="n">
        <f aca="false">SUM(I796:Q796)</f>
        <v>124.969958</v>
      </c>
      <c r="S796" s="61" t="n">
        <f aca="false">R796/(1-Resumo!$C$5)</f>
        <v>142.011315909091</v>
      </c>
      <c r="T796" s="61" t="n">
        <v>128.14</v>
      </c>
      <c r="U796" s="61" t="n">
        <f aca="false">H796*Resumo!$B$6</f>
        <v>0.69999</v>
      </c>
      <c r="V796" s="61" t="n">
        <f aca="false">H796*Resumo!$B$7</f>
        <v>1.39998</v>
      </c>
      <c r="W796" s="61" t="n">
        <f aca="false">Resumo!$B$9</f>
        <v>1</v>
      </c>
      <c r="X796" s="61" t="n">
        <f aca="false">Resumo!$B$10*CEILING(G796/100,1)</f>
        <v>4.5</v>
      </c>
      <c r="Y796" s="61" t="n">
        <f aca="false">Resumo!$B$12*CEILING(G796,1)</f>
        <v>3.18</v>
      </c>
      <c r="Z796" s="61" t="n">
        <f aca="false">Resumo!$B$14*CEILING(G796,1)</f>
        <v>23.85</v>
      </c>
      <c r="AA796" s="61" t="n">
        <f aca="false">SUM(T796:Z796)</f>
        <v>162.76997</v>
      </c>
      <c r="AB796" s="61" t="n">
        <f aca="false">AA796/(1-Resumo!$B$5)</f>
        <v>184.965875</v>
      </c>
      <c r="AC796" s="61" t="n">
        <f aca="false">AB796-S796</f>
        <v>42.954559090909</v>
      </c>
      <c r="AD796" s="62" t="n">
        <f aca="false">AB796/S796-1</f>
        <v>0.302472791100722</v>
      </c>
      <c r="AE796" s="60" t="str">
        <f aca="false">IF(AB796&lt;S796,"SIM","NÃO")</f>
        <v>NÃO</v>
      </c>
      <c r="AF796" s="60" t="n">
        <v>13</v>
      </c>
      <c r="AG796" s="60" t="n">
        <v>7</v>
      </c>
      <c r="AH796" s="60" t="s">
        <v>382</v>
      </c>
      <c r="AI796" s="61" t="n">
        <f aca="false">(T796*(1-Painel!$C$40)+U796+V796+Painel!$C$41+Painel!$C$42*CEILING(G796/100,1)+Painel!$C$43*CEILING(G796,1)+Z796)/(1-Resumo!$B$5)</f>
        <v>129.379284090909</v>
      </c>
      <c r="AJ796" s="60" t="str">
        <f aca="false">IF(AI796&lt;S796,"SIM","NÃO")</f>
        <v>SIM</v>
      </c>
    </row>
    <row r="797" customFormat="false" ht="15" hidden="false" customHeight="false" outlineLevel="0" collapsed="false">
      <c r="A797" s="59" t="n">
        <v>46243.509537037</v>
      </c>
      <c r="B797" s="60" t="s">
        <v>1136</v>
      </c>
      <c r="C797" s="60" t="n">
        <v>25555221</v>
      </c>
      <c r="D797" s="60" t="s">
        <v>216</v>
      </c>
      <c r="E797" s="60" t="s">
        <v>23</v>
      </c>
      <c r="F797" s="60" t="s">
        <v>241</v>
      </c>
      <c r="G797" s="60" t="n">
        <v>124.2</v>
      </c>
      <c r="H797" s="61" t="n">
        <v>1749.98</v>
      </c>
      <c r="I797" s="61" t="n">
        <v>129.62</v>
      </c>
      <c r="J797" s="61" t="n">
        <f aca="false">H797*Resumo!$C$6</f>
        <v>0</v>
      </c>
      <c r="K797" s="61" t="n">
        <f aca="false">H797*Resumo!$C$7</f>
        <v>3.674958</v>
      </c>
      <c r="L797" s="61" t="n">
        <f aca="false">H797*Resumo!$C$8</f>
        <v>3.674958</v>
      </c>
      <c r="M797" s="61" t="n">
        <f aca="false">Resumo!$C$10*CEILING(G797/100,1)</f>
        <v>2.1</v>
      </c>
      <c r="N797" s="61" t="n">
        <f aca="false">Resumo!$C$9</f>
        <v>0</v>
      </c>
      <c r="O797" s="61" t="n">
        <f aca="false">Resumo!$C$13</f>
        <v>13.55</v>
      </c>
      <c r="P797" s="61" t="n">
        <f aca="false">Resumo!$C$14*CEILING(G797,1)</f>
        <v>56.25</v>
      </c>
      <c r="Q797" s="61" t="n">
        <f aca="false">SUM(I797:P797)*Resumo!$C$11</f>
        <v>0</v>
      </c>
      <c r="R797" s="61" t="n">
        <f aca="false">SUM(I797:Q797)</f>
        <v>208.869916</v>
      </c>
      <c r="S797" s="61" t="n">
        <f aca="false">R797/(1-Resumo!$C$5)</f>
        <v>237.352177272727</v>
      </c>
      <c r="T797" s="61" t="n">
        <v>239.25</v>
      </c>
      <c r="U797" s="61" t="n">
        <f aca="false">H797*Resumo!$B$6</f>
        <v>1.74998</v>
      </c>
      <c r="V797" s="61" t="n">
        <f aca="false">H797*Resumo!$B$7</f>
        <v>3.49996</v>
      </c>
      <c r="W797" s="61" t="n">
        <f aca="false">Resumo!$B$9</f>
        <v>1</v>
      </c>
      <c r="X797" s="61" t="n">
        <f aca="false">Resumo!$B$10*CEILING(G797/100,1)</f>
        <v>9</v>
      </c>
      <c r="Y797" s="61" t="n">
        <f aca="false">Resumo!$B$12*CEILING(G797,1)</f>
        <v>7.5</v>
      </c>
      <c r="Z797" s="61" t="n">
        <f aca="false">Resumo!$B$14*CEILING(G797,1)</f>
        <v>56.25</v>
      </c>
      <c r="AA797" s="61" t="n">
        <f aca="false">SUM(T797:Z797)</f>
        <v>318.24994</v>
      </c>
      <c r="AB797" s="61" t="n">
        <f aca="false">AA797/(1-Resumo!$B$5)</f>
        <v>361.647659090909</v>
      </c>
      <c r="AC797" s="61" t="n">
        <f aca="false">AB797-S797</f>
        <v>124.295481818182</v>
      </c>
      <c r="AD797" s="62" t="n">
        <f aca="false">AB797/S797-1</f>
        <v>0.523675338673474</v>
      </c>
      <c r="AE797" s="60" t="str">
        <f aca="false">IF(AB797&lt;S797,"SIM","NÃO")</f>
        <v>NÃO</v>
      </c>
      <c r="AF797" s="60" t="n">
        <v>2</v>
      </c>
      <c r="AG797" s="60" t="n">
        <v>5</v>
      </c>
      <c r="AH797" s="60" t="s">
        <v>382</v>
      </c>
      <c r="AI797" s="61" t="n">
        <f aca="false">(T797*(1-Painel!$C$40)+U797+V797+Painel!$C$41+Painel!$C$42*CEILING(G797/100,1)+Painel!$C$43*CEILING(G797,1)+Z797)/(1-Resumo!$B$5)</f>
        <v>255.565272727273</v>
      </c>
      <c r="AJ797" s="60" t="str">
        <f aca="false">IF(AI797&lt;S797,"SIM","NÃO")</f>
        <v>NÃO</v>
      </c>
    </row>
    <row r="798" customFormat="false" ht="15" hidden="false" customHeight="false" outlineLevel="0" collapsed="false">
      <c r="A798" s="59" t="n">
        <v>46243.520462963</v>
      </c>
      <c r="B798" s="60" t="s">
        <v>1137</v>
      </c>
      <c r="C798" s="60" t="n">
        <v>22753710</v>
      </c>
      <c r="D798" s="60" t="s">
        <v>46</v>
      </c>
      <c r="E798" s="60" t="s">
        <v>22</v>
      </c>
      <c r="F798" s="60" t="s">
        <v>234</v>
      </c>
      <c r="G798" s="60" t="n">
        <v>37.2</v>
      </c>
      <c r="H798" s="61" t="n">
        <v>419.99</v>
      </c>
      <c r="I798" s="61" t="n">
        <v>48.35</v>
      </c>
      <c r="J798" s="61" t="n">
        <f aca="false">H798*Resumo!$C$6</f>
        <v>0</v>
      </c>
      <c r="K798" s="61" t="n">
        <f aca="false">H798*Resumo!$C$7</f>
        <v>0.881979</v>
      </c>
      <c r="L798" s="61" t="n">
        <f aca="false">H798*Resumo!$C$8</f>
        <v>0.881979</v>
      </c>
      <c r="M798" s="61" t="n">
        <f aca="false">Resumo!$C$10*CEILING(G798/100,1)</f>
        <v>1.05</v>
      </c>
      <c r="N798" s="61" t="n">
        <f aca="false">Resumo!$C$9</f>
        <v>0</v>
      </c>
      <c r="O798" s="61" t="n">
        <f aca="false">Resumo!$C$13</f>
        <v>13.55</v>
      </c>
      <c r="P798" s="61" t="n">
        <f aca="false">Resumo!$C$14*CEILING(G798,1)</f>
        <v>17.1</v>
      </c>
      <c r="Q798" s="61" t="n">
        <f aca="false">SUM(I798:P798)*Resumo!$C$11</f>
        <v>0</v>
      </c>
      <c r="R798" s="61" t="n">
        <f aca="false">SUM(I798:Q798)</f>
        <v>81.813958</v>
      </c>
      <c r="S798" s="61" t="n">
        <f aca="false">R798/(1-Resumo!$C$5)</f>
        <v>92.9704068181818</v>
      </c>
      <c r="T798" s="61" t="n">
        <v>93.97</v>
      </c>
      <c r="U798" s="61" t="n">
        <f aca="false">H798*Resumo!$B$6</f>
        <v>0.41999</v>
      </c>
      <c r="V798" s="61" t="n">
        <f aca="false">H798*Resumo!$B$7</f>
        <v>0.83998</v>
      </c>
      <c r="W798" s="61" t="n">
        <f aca="false">Resumo!$B$9</f>
        <v>1</v>
      </c>
      <c r="X798" s="61" t="n">
        <f aca="false">Resumo!$B$10*CEILING(G798/100,1)</f>
        <v>4.5</v>
      </c>
      <c r="Y798" s="61" t="n">
        <f aca="false">Resumo!$B$12*CEILING(G798,1)</f>
        <v>2.28</v>
      </c>
      <c r="Z798" s="61" t="n">
        <f aca="false">Resumo!$B$14*CEILING(G798,1)</f>
        <v>17.1</v>
      </c>
      <c r="AA798" s="61" t="n">
        <f aca="false">SUM(T798:Z798)</f>
        <v>120.10997</v>
      </c>
      <c r="AB798" s="61" t="n">
        <f aca="false">AA798/(1-Resumo!$B$5)</f>
        <v>136.488602272727</v>
      </c>
      <c r="AC798" s="61" t="n">
        <f aca="false">AB798-S798</f>
        <v>43.5181954545454</v>
      </c>
      <c r="AD798" s="62" t="n">
        <f aca="false">AB798/S798-1</f>
        <v>0.468086533596138</v>
      </c>
      <c r="AE798" s="60" t="str">
        <f aca="false">IF(AB798&lt;S798,"SIM","NÃO")</f>
        <v>NÃO</v>
      </c>
      <c r="AF798" s="60" t="n">
        <v>2</v>
      </c>
      <c r="AG798" s="60" t="n">
        <v>5</v>
      </c>
      <c r="AH798" s="60" t="s">
        <v>382</v>
      </c>
      <c r="AI798" s="61" t="n">
        <f aca="false">(T798*(1-Painel!$C$40)+U798+V798+Painel!$C$41+Painel!$C$42*CEILING(G798/100,1)+Painel!$C$43*CEILING(G798,1)+Z798)/(1-Resumo!$B$5)</f>
        <v>94.7384886363636</v>
      </c>
      <c r="AJ798" s="60" t="str">
        <f aca="false">IF(AI798&lt;S798,"SIM","NÃO")</f>
        <v>NÃO</v>
      </c>
    </row>
    <row r="799" customFormat="false" ht="15" hidden="false" customHeight="false" outlineLevel="0" collapsed="false">
      <c r="A799" s="59" t="n">
        <v>46243.5611574074</v>
      </c>
      <c r="B799" s="60" t="s">
        <v>1138</v>
      </c>
      <c r="C799" s="60" t="n">
        <v>27923390</v>
      </c>
      <c r="D799" s="60" t="s">
        <v>53</v>
      </c>
      <c r="E799" s="60" t="s">
        <v>24</v>
      </c>
      <c r="F799" s="60" t="s">
        <v>235</v>
      </c>
      <c r="G799" s="60" t="n">
        <v>40.6</v>
      </c>
      <c r="H799" s="61" t="n">
        <v>439.99</v>
      </c>
      <c r="I799" s="61" t="n">
        <v>77.7</v>
      </c>
      <c r="J799" s="61" t="n">
        <f aca="false">H799*Resumo!$C$6</f>
        <v>0</v>
      </c>
      <c r="K799" s="61" t="n">
        <f aca="false">H799*Resumo!$C$7</f>
        <v>0.923979</v>
      </c>
      <c r="L799" s="61" t="n">
        <f aca="false">H799*Resumo!$C$8</f>
        <v>0.923979</v>
      </c>
      <c r="M799" s="61" t="n">
        <f aca="false">Resumo!$C$10*CEILING(G799/100,1)</f>
        <v>1.05</v>
      </c>
      <c r="N799" s="61" t="n">
        <f aca="false">Resumo!$C$9</f>
        <v>0</v>
      </c>
      <c r="O799" s="61" t="n">
        <f aca="false">Resumo!$C$13</f>
        <v>13.55</v>
      </c>
      <c r="P799" s="61" t="n">
        <f aca="false">Resumo!$C$14*CEILING(G799,1)</f>
        <v>18.45</v>
      </c>
      <c r="Q799" s="61" t="n">
        <f aca="false">SUM(I799:P799)*Resumo!$C$11</f>
        <v>0</v>
      </c>
      <c r="R799" s="61" t="n">
        <f aca="false">SUM(I799:Q799)</f>
        <v>112.597958</v>
      </c>
      <c r="S799" s="61" t="n">
        <f aca="false">R799/(1-Resumo!$C$5)</f>
        <v>127.952225</v>
      </c>
      <c r="T799" s="61" t="n">
        <v>152.54</v>
      </c>
      <c r="U799" s="61" t="n">
        <f aca="false">H799*Resumo!$B$6</f>
        <v>0.43999</v>
      </c>
      <c r="V799" s="61" t="n">
        <f aca="false">H799*Resumo!$B$7</f>
        <v>0.87998</v>
      </c>
      <c r="W799" s="61" t="n">
        <f aca="false">Resumo!$B$9</f>
        <v>1</v>
      </c>
      <c r="X799" s="61" t="n">
        <f aca="false">Resumo!$B$10*CEILING(G799/100,1)</f>
        <v>4.5</v>
      </c>
      <c r="Y799" s="61" t="n">
        <f aca="false">Resumo!$B$12*CEILING(G799,1)</f>
        <v>2.46</v>
      </c>
      <c r="Z799" s="61" t="n">
        <f aca="false">Resumo!$B$14*CEILING(G799,1)</f>
        <v>18.45</v>
      </c>
      <c r="AA799" s="61" t="n">
        <f aca="false">SUM(T799:Z799)</f>
        <v>180.26997</v>
      </c>
      <c r="AB799" s="61" t="n">
        <f aca="false">AA799/(1-Resumo!$B$5)</f>
        <v>204.852238636364</v>
      </c>
      <c r="AC799" s="61" t="n">
        <f aca="false">AB799-S799</f>
        <v>76.9000136363636</v>
      </c>
      <c r="AD799" s="62" t="n">
        <f aca="false">AB799/S799-1</f>
        <v>0.601005677207751</v>
      </c>
      <c r="AE799" s="60" t="str">
        <f aca="false">IF(AB799&lt;S799,"SIM","NÃO")</f>
        <v>NÃO</v>
      </c>
      <c r="AF799" s="60" t="n">
        <v>13</v>
      </c>
      <c r="AG799" s="60" t="n">
        <v>11</v>
      </c>
      <c r="AH799" s="60" t="s">
        <v>382</v>
      </c>
      <c r="AI799" s="61" t="n">
        <f aca="false">(T799*(1-Painel!$C$40)+U799+V799+Painel!$C$41+Painel!$C$42*CEILING(G799/100,1)+Painel!$C$43*CEILING(G799,1)+Z799)/(1-Resumo!$B$5)</f>
        <v>140.933829545455</v>
      </c>
      <c r="AJ799" s="60" t="str">
        <f aca="false">IF(AI799&lt;S799,"SIM","NÃO")</f>
        <v>NÃO</v>
      </c>
    </row>
    <row r="800" customFormat="false" ht="15" hidden="false" customHeight="false" outlineLevel="0" collapsed="false">
      <c r="A800" s="59" t="n">
        <v>46243.5819907407</v>
      </c>
      <c r="B800" s="60" t="s">
        <v>1139</v>
      </c>
      <c r="C800" s="60" t="n">
        <v>22790714</v>
      </c>
      <c r="D800" s="60" t="s">
        <v>46</v>
      </c>
      <c r="E800" s="60" t="s">
        <v>22</v>
      </c>
      <c r="F800" s="60" t="s">
        <v>233</v>
      </c>
      <c r="G800" s="60" t="n">
        <v>24.4</v>
      </c>
      <c r="H800" s="61" t="n">
        <v>369.99</v>
      </c>
      <c r="I800" s="61" t="n">
        <v>42.11</v>
      </c>
      <c r="J800" s="61" t="n">
        <f aca="false">H800*Resumo!$C$6</f>
        <v>0</v>
      </c>
      <c r="K800" s="61" t="n">
        <f aca="false">H800*Resumo!$C$7</f>
        <v>0.776979</v>
      </c>
      <c r="L800" s="61" t="n">
        <f aca="false">H800*Resumo!$C$8</f>
        <v>0.776979</v>
      </c>
      <c r="M800" s="61" t="n">
        <f aca="false">Resumo!$C$10*CEILING(G800/100,1)</f>
        <v>1.05</v>
      </c>
      <c r="N800" s="61" t="n">
        <f aca="false">Resumo!$C$9</f>
        <v>0</v>
      </c>
      <c r="O800" s="61" t="n">
        <f aca="false">Resumo!$C$13</f>
        <v>13.55</v>
      </c>
      <c r="P800" s="61" t="n">
        <f aca="false">Resumo!$C$14*CEILING(G800,1)</f>
        <v>11.25</v>
      </c>
      <c r="Q800" s="61" t="n">
        <f aca="false">SUM(I800:P800)*Resumo!$C$11</f>
        <v>0</v>
      </c>
      <c r="R800" s="61" t="n">
        <f aca="false">SUM(I800:Q800)</f>
        <v>69.513958</v>
      </c>
      <c r="S800" s="61" t="n">
        <f aca="false">R800/(1-Resumo!$C$5)</f>
        <v>78.9931340909091</v>
      </c>
      <c r="T800" s="61" t="n">
        <v>82.21</v>
      </c>
      <c r="U800" s="61" t="n">
        <f aca="false">H800*Resumo!$B$6</f>
        <v>0.36999</v>
      </c>
      <c r="V800" s="61" t="n">
        <f aca="false">H800*Resumo!$B$7</f>
        <v>0.73998</v>
      </c>
      <c r="W800" s="61" t="n">
        <f aca="false">Resumo!$B$9</f>
        <v>1</v>
      </c>
      <c r="X800" s="61" t="n">
        <f aca="false">Resumo!$B$10*CEILING(G800/100,1)</f>
        <v>4.5</v>
      </c>
      <c r="Y800" s="61" t="n">
        <f aca="false">Resumo!$B$12*CEILING(G800,1)</f>
        <v>1.5</v>
      </c>
      <c r="Z800" s="61" t="n">
        <f aca="false">Resumo!$B$14*CEILING(G800,1)</f>
        <v>11.25</v>
      </c>
      <c r="AA800" s="61" t="n">
        <f aca="false">SUM(T800:Z800)</f>
        <v>101.56997</v>
      </c>
      <c r="AB800" s="61" t="n">
        <f aca="false">AA800/(1-Resumo!$B$5)</f>
        <v>115.420420454545</v>
      </c>
      <c r="AC800" s="61" t="n">
        <f aca="false">AB800-S800</f>
        <v>36.4272863636364</v>
      </c>
      <c r="AD800" s="62" t="n">
        <f aca="false">AB800/S800-1</f>
        <v>0.461144968899627</v>
      </c>
      <c r="AE800" s="60" t="str">
        <f aca="false">IF(AB800&lt;S800,"SIM","NÃO")</f>
        <v>NÃO</v>
      </c>
      <c r="AF800" s="60" t="n">
        <v>2</v>
      </c>
      <c r="AG800" s="60" t="n">
        <v>5</v>
      </c>
      <c r="AH800" s="60" t="s">
        <v>382</v>
      </c>
      <c r="AI800" s="61" t="n">
        <f aca="false">(T800*(1-Painel!$C$40)+U800+V800+Painel!$C$41+Painel!$C$42*CEILING(G800/100,1)+Painel!$C$43*CEILING(G800,1)+Z800)/(1-Resumo!$B$5)</f>
        <v>78.9666704545455</v>
      </c>
      <c r="AJ800" s="60" t="str">
        <f aca="false">IF(AI800&lt;S800,"SIM","NÃO")</f>
        <v>SIM</v>
      </c>
    </row>
    <row r="801" customFormat="false" ht="15" hidden="false" customHeight="false" outlineLevel="0" collapsed="false">
      <c r="A801" s="59" t="n">
        <v>46243.6115393519</v>
      </c>
      <c r="B801" s="60" t="s">
        <v>1140</v>
      </c>
      <c r="C801" s="60" t="n">
        <v>22740240</v>
      </c>
      <c r="D801" s="60" t="s">
        <v>46</v>
      </c>
      <c r="E801" s="60" t="s">
        <v>22</v>
      </c>
      <c r="F801" s="60" t="s">
        <v>236</v>
      </c>
      <c r="G801" s="60" t="n">
        <v>54</v>
      </c>
      <c r="H801" s="61" t="n">
        <v>659.98</v>
      </c>
      <c r="I801" s="61" t="n">
        <v>58.6</v>
      </c>
      <c r="J801" s="61" t="n">
        <f aca="false">H801*Resumo!$C$6</f>
        <v>0</v>
      </c>
      <c r="K801" s="61" t="n">
        <f aca="false">H801*Resumo!$C$7</f>
        <v>1.385958</v>
      </c>
      <c r="L801" s="61" t="n">
        <f aca="false">H801*Resumo!$C$8</f>
        <v>1.385958</v>
      </c>
      <c r="M801" s="61" t="n">
        <f aca="false">Resumo!$C$10*CEILING(G801/100,1)</f>
        <v>1.05</v>
      </c>
      <c r="N801" s="61" t="n">
        <f aca="false">Resumo!$C$9</f>
        <v>0</v>
      </c>
      <c r="O801" s="61" t="n">
        <f aca="false">Resumo!$C$13</f>
        <v>13.55</v>
      </c>
      <c r="P801" s="61" t="n">
        <f aca="false">Resumo!$C$14*CEILING(G801,1)</f>
        <v>24.3</v>
      </c>
      <c r="Q801" s="61" t="n">
        <f aca="false">SUM(I801:P801)*Resumo!$C$11</f>
        <v>0</v>
      </c>
      <c r="R801" s="61" t="n">
        <f aca="false">SUM(I801:Q801)</f>
        <v>100.271916</v>
      </c>
      <c r="S801" s="61" t="n">
        <f aca="false">R801/(1-Resumo!$C$5)</f>
        <v>113.945359090909</v>
      </c>
      <c r="T801" s="61" t="n">
        <v>112.3</v>
      </c>
      <c r="U801" s="61" t="n">
        <f aca="false">H801*Resumo!$B$6</f>
        <v>0.65998</v>
      </c>
      <c r="V801" s="61" t="n">
        <f aca="false">H801*Resumo!$B$7</f>
        <v>1.31996</v>
      </c>
      <c r="W801" s="61" t="n">
        <f aca="false">Resumo!$B$9</f>
        <v>1</v>
      </c>
      <c r="X801" s="61" t="n">
        <f aca="false">Resumo!$B$10*CEILING(G801/100,1)</f>
        <v>4.5</v>
      </c>
      <c r="Y801" s="61" t="n">
        <f aca="false">Resumo!$B$12*CEILING(G801,1)</f>
        <v>3.24</v>
      </c>
      <c r="Z801" s="61" t="n">
        <f aca="false">Resumo!$B$14*CEILING(G801,1)</f>
        <v>24.3</v>
      </c>
      <c r="AA801" s="61" t="n">
        <f aca="false">SUM(T801:Z801)</f>
        <v>147.31994</v>
      </c>
      <c r="AB801" s="61" t="n">
        <f aca="false">AA801/(1-Resumo!$B$5)</f>
        <v>167.409022727273</v>
      </c>
      <c r="AC801" s="61" t="n">
        <f aca="false">AB801-S801</f>
        <v>53.4636636363637</v>
      </c>
      <c r="AD801" s="62" t="n">
        <f aca="false">AB801/S801-1</f>
        <v>0.469204398168676</v>
      </c>
      <c r="AE801" s="60" t="str">
        <f aca="false">IF(AB801&lt;S801,"SIM","NÃO")</f>
        <v>NÃO</v>
      </c>
      <c r="AF801" s="60" t="n">
        <v>2</v>
      </c>
      <c r="AG801" s="60" t="n">
        <v>5</v>
      </c>
      <c r="AH801" s="60" t="s">
        <v>382</v>
      </c>
      <c r="AI801" s="61" t="n">
        <f aca="false">(T801*(1-Painel!$C$40)+U801+V801+Painel!$C$41+Painel!$C$42*CEILING(G801/100,1)+Painel!$C$43*CEILING(G801,1)+Z801)/(1-Resumo!$B$5)</f>
        <v>117.69425</v>
      </c>
      <c r="AJ801" s="60" t="str">
        <f aca="false">IF(AI801&lt;S801,"SIM","NÃO")</f>
        <v>NÃO</v>
      </c>
    </row>
    <row r="802" customFormat="false" ht="15" hidden="false" customHeight="false" outlineLevel="0" collapsed="false">
      <c r="A802" s="59" t="n">
        <v>46243.6199305556</v>
      </c>
      <c r="B802" s="60" t="s">
        <v>1141</v>
      </c>
      <c r="C802" s="60" t="n">
        <v>26540130</v>
      </c>
      <c r="D802" s="60" t="s">
        <v>284</v>
      </c>
      <c r="E802" s="60" t="s">
        <v>23</v>
      </c>
      <c r="F802" s="60" t="s">
        <v>235</v>
      </c>
      <c r="G802" s="60" t="n">
        <v>48.6</v>
      </c>
      <c r="H802" s="61" t="n">
        <v>679.99</v>
      </c>
      <c r="I802" s="61" t="n">
        <v>65.36</v>
      </c>
      <c r="J802" s="61" t="n">
        <f aca="false">H802*Resumo!$C$6</f>
        <v>0</v>
      </c>
      <c r="K802" s="61" t="n">
        <f aca="false">H802*Resumo!$C$7</f>
        <v>1.427979</v>
      </c>
      <c r="L802" s="61" t="n">
        <f aca="false">H802*Resumo!$C$8</f>
        <v>1.427979</v>
      </c>
      <c r="M802" s="61" t="n">
        <f aca="false">Resumo!$C$10*CEILING(G802/100,1)</f>
        <v>1.05</v>
      </c>
      <c r="N802" s="61" t="n">
        <f aca="false">Resumo!$C$9</f>
        <v>0</v>
      </c>
      <c r="O802" s="61" t="n">
        <f aca="false">Resumo!$C$13</f>
        <v>13.55</v>
      </c>
      <c r="P802" s="61" t="n">
        <f aca="false">Resumo!$C$14*CEILING(G802,1)</f>
        <v>22.05</v>
      </c>
      <c r="Q802" s="61" t="n">
        <f aca="false">SUM(I802:P802)*Resumo!$C$11</f>
        <v>0</v>
      </c>
      <c r="R802" s="61" t="n">
        <f aca="false">SUM(I802:Q802)</f>
        <v>104.865958</v>
      </c>
      <c r="S802" s="61" t="n">
        <f aca="false">R802/(1-Resumo!$C$5)</f>
        <v>119.165861363636</v>
      </c>
      <c r="T802" s="61" t="n">
        <v>93.97</v>
      </c>
      <c r="U802" s="61" t="n">
        <f aca="false">H802*Resumo!$B$6</f>
        <v>0.67999</v>
      </c>
      <c r="V802" s="61" t="n">
        <f aca="false">H802*Resumo!$B$7</f>
        <v>1.35998</v>
      </c>
      <c r="W802" s="61" t="n">
        <f aca="false">Resumo!$B$9</f>
        <v>1</v>
      </c>
      <c r="X802" s="61" t="n">
        <f aca="false">Resumo!$B$10*CEILING(G802/100,1)</f>
        <v>4.5</v>
      </c>
      <c r="Y802" s="61" t="n">
        <f aca="false">Resumo!$B$12*CEILING(G802,1)</f>
        <v>2.94</v>
      </c>
      <c r="Z802" s="61" t="n">
        <f aca="false">Resumo!$B$14*CEILING(G802,1)</f>
        <v>22.05</v>
      </c>
      <c r="AA802" s="61" t="n">
        <f aca="false">SUM(T802:Z802)</f>
        <v>126.49997</v>
      </c>
      <c r="AB802" s="61" t="n">
        <f aca="false">AA802/(1-Resumo!$B$5)</f>
        <v>143.749965909091</v>
      </c>
      <c r="AC802" s="61" t="n">
        <f aca="false">AB802-S802</f>
        <v>24.5841045454545</v>
      </c>
      <c r="AD802" s="62" t="n">
        <f aca="false">AB802/S802-1</f>
        <v>0.206301572146034</v>
      </c>
      <c r="AE802" s="60" t="str">
        <f aca="false">IF(AB802&lt;S802,"SIM","NÃO")</f>
        <v>NÃO</v>
      </c>
      <c r="AF802" s="60" t="n">
        <v>2</v>
      </c>
      <c r="AG802" s="60" t="n">
        <v>5</v>
      </c>
      <c r="AH802" s="60" t="s">
        <v>385</v>
      </c>
      <c r="AI802" s="61" t="n">
        <f aca="false">(T802*(1-Painel!$C$40)+U802+V802+Painel!$C$41+Painel!$C$42*CEILING(G802/100,1)+Painel!$C$43*CEILING(G802,1)+Z802)/(1-Resumo!$B$5)</f>
        <v>101.249852272727</v>
      </c>
      <c r="AJ802" s="60" t="str">
        <f aca="false">IF(AI802&lt;S802,"SIM","NÃO")</f>
        <v>SIM</v>
      </c>
    </row>
    <row r="803" customFormat="false" ht="15" hidden="false" customHeight="false" outlineLevel="0" collapsed="false">
      <c r="A803" s="59" t="n">
        <v>46243.6651041667</v>
      </c>
      <c r="B803" s="60" t="s">
        <v>1142</v>
      </c>
      <c r="C803" s="60" t="n">
        <v>27273500</v>
      </c>
      <c r="D803" s="60" t="s">
        <v>217</v>
      </c>
      <c r="E803" s="60" t="s">
        <v>24</v>
      </c>
      <c r="F803" s="60" t="s">
        <v>237</v>
      </c>
      <c r="G803" s="60" t="n">
        <v>66.8</v>
      </c>
      <c r="H803" s="61" t="n">
        <v>578</v>
      </c>
      <c r="I803" s="61" t="n">
        <v>90.2</v>
      </c>
      <c r="J803" s="61" t="n">
        <f aca="false">H803*Resumo!$C$6</f>
        <v>0</v>
      </c>
      <c r="K803" s="61" t="n">
        <f aca="false">H803*Resumo!$C$7</f>
        <v>1.2138</v>
      </c>
      <c r="L803" s="61" t="n">
        <f aca="false">H803*Resumo!$C$8</f>
        <v>1.2138</v>
      </c>
      <c r="M803" s="61" t="n">
        <f aca="false">Resumo!$C$10*CEILING(G803/100,1)</f>
        <v>1.05</v>
      </c>
      <c r="N803" s="61" t="n">
        <f aca="false">Resumo!$C$9</f>
        <v>0</v>
      </c>
      <c r="O803" s="61" t="n">
        <f aca="false">Resumo!$C$13</f>
        <v>13.55</v>
      </c>
      <c r="P803" s="61" t="n">
        <f aca="false">Resumo!$C$14*CEILING(G803,1)</f>
        <v>30.15</v>
      </c>
      <c r="Q803" s="61" t="n">
        <f aca="false">SUM(I803:P803)*Resumo!$C$11</f>
        <v>0</v>
      </c>
      <c r="R803" s="61" t="n">
        <f aca="false">SUM(I803:Q803)</f>
        <v>137.3776</v>
      </c>
      <c r="S803" s="61" t="n">
        <f aca="false">R803/(1-Resumo!$C$5)</f>
        <v>156.110909090909</v>
      </c>
      <c r="T803" s="61" t="n">
        <v>166.05</v>
      </c>
      <c r="U803" s="61" t="n">
        <f aca="false">H803*Resumo!$B$6</f>
        <v>0.578</v>
      </c>
      <c r="V803" s="61" t="n">
        <f aca="false">H803*Resumo!$B$7</f>
        <v>1.156</v>
      </c>
      <c r="W803" s="61" t="n">
        <f aca="false">Resumo!$B$9</f>
        <v>1</v>
      </c>
      <c r="X803" s="61" t="n">
        <f aca="false">Resumo!$B$10*CEILING(G803/100,1)</f>
        <v>4.5</v>
      </c>
      <c r="Y803" s="61" t="n">
        <f aca="false">Resumo!$B$12*CEILING(G803,1)</f>
        <v>4.02</v>
      </c>
      <c r="Z803" s="61" t="n">
        <f aca="false">Resumo!$B$14*CEILING(G803,1)</f>
        <v>30.15</v>
      </c>
      <c r="AA803" s="61" t="n">
        <f aca="false">SUM(T803:Z803)</f>
        <v>207.454</v>
      </c>
      <c r="AB803" s="61" t="n">
        <f aca="false">AA803/(1-Resumo!$B$5)</f>
        <v>235.743181818182</v>
      </c>
      <c r="AC803" s="61" t="n">
        <f aca="false">AB803-S803</f>
        <v>79.6322727272727</v>
      </c>
      <c r="AD803" s="62" t="n">
        <f aca="false">AB803/S803-1</f>
        <v>0.510100627758819</v>
      </c>
      <c r="AE803" s="60" t="str">
        <f aca="false">IF(AB803&lt;S803,"SIM","NÃO")</f>
        <v>NÃO</v>
      </c>
      <c r="AF803" s="60" t="n">
        <v>13</v>
      </c>
      <c r="AG803" s="60" t="n">
        <v>10</v>
      </c>
      <c r="AH803" s="60" t="s">
        <v>382</v>
      </c>
      <c r="AI803" s="61" t="n">
        <f aca="false">(T803*(1-Painel!$C$40)+U803+V803+Painel!$C$41+Painel!$C$42*CEILING(G803/100,1)+Painel!$C$43*CEILING(G803,1)+Z803)/(1-Resumo!$B$5)</f>
        <v>164.985795454545</v>
      </c>
      <c r="AJ803" s="60" t="str">
        <f aca="false">IF(AI803&lt;S803,"SIM","NÃO")</f>
        <v>NÃO</v>
      </c>
    </row>
    <row r="804" customFormat="false" ht="15" hidden="false" customHeight="false" outlineLevel="0" collapsed="false">
      <c r="A804" s="59" t="n">
        <v>46243.7180208333</v>
      </c>
      <c r="B804" s="60" t="s">
        <v>1143</v>
      </c>
      <c r="C804" s="60" t="n">
        <v>20521030</v>
      </c>
      <c r="D804" s="60" t="s">
        <v>46</v>
      </c>
      <c r="E804" s="60" t="s">
        <v>22</v>
      </c>
      <c r="F804" s="60" t="s">
        <v>236</v>
      </c>
      <c r="G804" s="60" t="n">
        <v>52.3</v>
      </c>
      <c r="H804" s="61" t="n">
        <v>616.99</v>
      </c>
      <c r="I804" s="61" t="n">
        <v>58.6</v>
      </c>
      <c r="J804" s="61" t="n">
        <f aca="false">H804*Resumo!$C$6</f>
        <v>0</v>
      </c>
      <c r="K804" s="61" t="n">
        <f aca="false">H804*Resumo!$C$7</f>
        <v>1.295679</v>
      </c>
      <c r="L804" s="61" t="n">
        <f aca="false">H804*Resumo!$C$8</f>
        <v>1.295679</v>
      </c>
      <c r="M804" s="61" t="n">
        <f aca="false">Resumo!$C$10*CEILING(G804/100,1)</f>
        <v>1.05</v>
      </c>
      <c r="N804" s="61" t="n">
        <f aca="false">Resumo!$C$9</f>
        <v>0</v>
      </c>
      <c r="O804" s="61" t="n">
        <f aca="false">Resumo!$C$13</f>
        <v>13.55</v>
      </c>
      <c r="P804" s="61" t="n">
        <f aca="false">Resumo!$C$14*CEILING(G804,1)</f>
        <v>23.85</v>
      </c>
      <c r="Q804" s="61" t="n">
        <f aca="false">SUM(I804:P804)*Resumo!$C$11</f>
        <v>0</v>
      </c>
      <c r="R804" s="61" t="n">
        <f aca="false">SUM(I804:Q804)</f>
        <v>99.641358</v>
      </c>
      <c r="S804" s="61" t="n">
        <f aca="false">R804/(1-Resumo!$C$5)</f>
        <v>113.228815909091</v>
      </c>
      <c r="T804" s="61" t="n">
        <v>112.3</v>
      </c>
      <c r="U804" s="61" t="n">
        <f aca="false">H804*Resumo!$B$6</f>
        <v>0.61699</v>
      </c>
      <c r="V804" s="61" t="n">
        <f aca="false">H804*Resumo!$B$7</f>
        <v>1.23398</v>
      </c>
      <c r="W804" s="61" t="n">
        <f aca="false">Resumo!$B$9</f>
        <v>1</v>
      </c>
      <c r="X804" s="61" t="n">
        <f aca="false">Resumo!$B$10*CEILING(G804/100,1)</f>
        <v>4.5</v>
      </c>
      <c r="Y804" s="61" t="n">
        <f aca="false">Resumo!$B$12*CEILING(G804,1)</f>
        <v>3.18</v>
      </c>
      <c r="Z804" s="61" t="n">
        <f aca="false">Resumo!$B$14*CEILING(G804,1)</f>
        <v>23.85</v>
      </c>
      <c r="AA804" s="61" t="n">
        <f aca="false">SUM(T804:Z804)</f>
        <v>146.68097</v>
      </c>
      <c r="AB804" s="61" t="n">
        <f aca="false">AA804/(1-Resumo!$B$5)</f>
        <v>166.682920454545</v>
      </c>
      <c r="AC804" s="61" t="n">
        <f aca="false">AB804-S804</f>
        <v>53.4541045454546</v>
      </c>
      <c r="AD804" s="62" t="n">
        <f aca="false">AB804/S804-1</f>
        <v>0.472089230257179</v>
      </c>
      <c r="AE804" s="60" t="str">
        <f aca="false">IF(AB804&lt;S804,"SIM","NÃO")</f>
        <v>NÃO</v>
      </c>
      <c r="AF804" s="60" t="n">
        <v>2</v>
      </c>
      <c r="AG804" s="60" t="n">
        <v>5</v>
      </c>
      <c r="AH804" s="60" t="s">
        <v>382</v>
      </c>
      <c r="AI804" s="61" t="n">
        <f aca="false">(T804*(1-Painel!$C$40)+U804+V804+Painel!$C$41+Painel!$C$42*CEILING(G804/100,1)+Painel!$C$43*CEILING(G804,1)+Z804)/(1-Resumo!$B$5)</f>
        <v>117.036329545455</v>
      </c>
      <c r="AJ804" s="60" t="str">
        <f aca="false">IF(AI804&lt;S804,"SIM","NÃO")</f>
        <v>NÃO</v>
      </c>
    </row>
    <row r="805" customFormat="false" ht="15" hidden="false" customHeight="false" outlineLevel="0" collapsed="false">
      <c r="A805" s="59" t="n">
        <v>46243.7403356481</v>
      </c>
      <c r="B805" s="60" t="s">
        <v>1144</v>
      </c>
      <c r="C805" s="60" t="n">
        <v>26293307</v>
      </c>
      <c r="D805" s="60" t="s">
        <v>49</v>
      </c>
      <c r="E805" s="60" t="s">
        <v>23</v>
      </c>
      <c r="F805" s="60" t="s">
        <v>233</v>
      </c>
      <c r="G805" s="60" t="n">
        <v>33</v>
      </c>
      <c r="H805" s="61" t="n">
        <v>488.88</v>
      </c>
      <c r="I805" s="61" t="n">
        <v>58.8</v>
      </c>
      <c r="J805" s="61" t="n">
        <f aca="false">H805*Resumo!$C$6</f>
        <v>0</v>
      </c>
      <c r="K805" s="61" t="n">
        <f aca="false">H805*Resumo!$C$7</f>
        <v>1.026648</v>
      </c>
      <c r="L805" s="61" t="n">
        <f aca="false">H805*Resumo!$C$8</f>
        <v>1.026648</v>
      </c>
      <c r="M805" s="61" t="n">
        <f aca="false">Resumo!$C$10*CEILING(G805/100,1)</f>
        <v>1.05</v>
      </c>
      <c r="N805" s="61" t="n">
        <f aca="false">Resumo!$C$9</f>
        <v>0</v>
      </c>
      <c r="O805" s="61" t="n">
        <f aca="false">Resumo!$C$13</f>
        <v>13.55</v>
      </c>
      <c r="P805" s="61" t="n">
        <f aca="false">Resumo!$C$14*CEILING(G805,1)</f>
        <v>14.85</v>
      </c>
      <c r="Q805" s="61" t="n">
        <f aca="false">SUM(I805:P805)*Resumo!$C$11</f>
        <v>0</v>
      </c>
      <c r="R805" s="61" t="n">
        <f aca="false">SUM(I805:Q805)</f>
        <v>90.303296</v>
      </c>
      <c r="S805" s="61" t="n">
        <f aca="false">R805/(1-Resumo!$C$5)</f>
        <v>102.617381818182</v>
      </c>
      <c r="T805" s="61" t="n">
        <v>82.21</v>
      </c>
      <c r="U805" s="61" t="n">
        <f aca="false">H805*Resumo!$B$6</f>
        <v>0.48888</v>
      </c>
      <c r="V805" s="61" t="n">
        <f aca="false">H805*Resumo!$B$7</f>
        <v>0.97776</v>
      </c>
      <c r="W805" s="61" t="n">
        <f aca="false">Resumo!$B$9</f>
        <v>1</v>
      </c>
      <c r="X805" s="61" t="n">
        <f aca="false">Resumo!$B$10*CEILING(G805/100,1)</f>
        <v>4.5</v>
      </c>
      <c r="Y805" s="61" t="n">
        <f aca="false">Resumo!$B$12*CEILING(G805,1)</f>
        <v>1.98</v>
      </c>
      <c r="Z805" s="61" t="n">
        <f aca="false">Resumo!$B$14*CEILING(G805,1)</f>
        <v>14.85</v>
      </c>
      <c r="AA805" s="61" t="n">
        <f aca="false">SUM(T805:Z805)</f>
        <v>106.00664</v>
      </c>
      <c r="AB805" s="61" t="n">
        <f aca="false">AA805/(1-Resumo!$B$5)</f>
        <v>120.462090909091</v>
      </c>
      <c r="AC805" s="61" t="n">
        <f aca="false">AB805-S805</f>
        <v>17.8447090909091</v>
      </c>
      <c r="AD805" s="62" t="n">
        <f aca="false">AB805/S805-1</f>
        <v>0.173895579625355</v>
      </c>
      <c r="AE805" s="60" t="str">
        <f aca="false">IF(AB805&lt;S805,"SIM","NÃO")</f>
        <v>NÃO</v>
      </c>
      <c r="AF805" s="60" t="n">
        <v>2</v>
      </c>
      <c r="AG805" s="60" t="n">
        <v>5</v>
      </c>
      <c r="AH805" s="60" t="s">
        <v>382</v>
      </c>
      <c r="AI805" s="61" t="n">
        <f aca="false">(T805*(1-Painel!$C$40)+U805+V805+Painel!$C$41+Painel!$C$42*CEILING(G805/100,1)+Painel!$C$43*CEILING(G805,1)+Z805)/(1-Resumo!$B$5)</f>
        <v>83.4628863636363</v>
      </c>
      <c r="AJ805" s="60" t="str">
        <f aca="false">IF(AI805&lt;S805,"SIM","NÃO")</f>
        <v>SIM</v>
      </c>
    </row>
    <row r="806" customFormat="false" ht="15" hidden="false" customHeight="false" outlineLevel="0" collapsed="false">
      <c r="A806" s="59" t="n">
        <v>46243.7589467593</v>
      </c>
      <c r="B806" s="60" t="s">
        <v>1145</v>
      </c>
      <c r="C806" s="60" t="n">
        <v>26173140</v>
      </c>
      <c r="D806" s="60" t="s">
        <v>52</v>
      </c>
      <c r="E806" s="60" t="s">
        <v>23</v>
      </c>
      <c r="F806" s="60" t="s">
        <v>237</v>
      </c>
      <c r="G806" s="60" t="n">
        <v>61.4</v>
      </c>
      <c r="H806" s="61" t="n">
        <v>1069.99</v>
      </c>
      <c r="I806" s="61" t="n">
        <v>76.55</v>
      </c>
      <c r="J806" s="61" t="n">
        <f aca="false">H806*Resumo!$C$6</f>
        <v>0</v>
      </c>
      <c r="K806" s="61" t="n">
        <f aca="false">H806*Resumo!$C$7</f>
        <v>2.246979</v>
      </c>
      <c r="L806" s="61" t="n">
        <f aca="false">H806*Resumo!$C$8</f>
        <v>2.246979</v>
      </c>
      <c r="M806" s="61" t="n">
        <f aca="false">Resumo!$C$10*CEILING(G806/100,1)</f>
        <v>1.05</v>
      </c>
      <c r="N806" s="61" t="n">
        <f aca="false">Resumo!$C$9</f>
        <v>0</v>
      </c>
      <c r="O806" s="61" t="n">
        <f aca="false">Resumo!$C$13</f>
        <v>13.55</v>
      </c>
      <c r="P806" s="61" t="n">
        <f aca="false">Resumo!$C$14*CEILING(G806,1)</f>
        <v>27.9</v>
      </c>
      <c r="Q806" s="61" t="n">
        <f aca="false">SUM(I806:P806)*Resumo!$C$11</f>
        <v>0</v>
      </c>
      <c r="R806" s="61" t="n">
        <f aca="false">SUM(I806:Q806)</f>
        <v>123.543958</v>
      </c>
      <c r="S806" s="61" t="n">
        <f aca="false">R806/(1-Resumo!$C$5)</f>
        <v>140.390861363636</v>
      </c>
      <c r="T806" s="61" t="n">
        <v>131.02</v>
      </c>
      <c r="U806" s="61" t="n">
        <f aca="false">H806*Resumo!$B$6</f>
        <v>1.06999</v>
      </c>
      <c r="V806" s="61" t="n">
        <f aca="false">H806*Resumo!$B$7</f>
        <v>2.13998</v>
      </c>
      <c r="W806" s="61" t="n">
        <f aca="false">Resumo!$B$9</f>
        <v>1</v>
      </c>
      <c r="X806" s="61" t="n">
        <f aca="false">Resumo!$B$10*CEILING(G806/100,1)</f>
        <v>4.5</v>
      </c>
      <c r="Y806" s="61" t="n">
        <f aca="false">Resumo!$B$12*CEILING(G806,1)</f>
        <v>3.72</v>
      </c>
      <c r="Z806" s="61" t="n">
        <f aca="false">Resumo!$B$14*CEILING(G806,1)</f>
        <v>27.9</v>
      </c>
      <c r="AA806" s="61" t="n">
        <f aca="false">SUM(T806:Z806)</f>
        <v>171.34997</v>
      </c>
      <c r="AB806" s="61" t="n">
        <f aca="false">AA806/(1-Resumo!$B$5)</f>
        <v>194.715875</v>
      </c>
      <c r="AC806" s="61" t="n">
        <f aca="false">AB806-S806</f>
        <v>54.3250136363637</v>
      </c>
      <c r="AD806" s="62" t="n">
        <f aca="false">AB806/S806-1</f>
        <v>0.386955483488719</v>
      </c>
      <c r="AE806" s="60" t="str">
        <f aca="false">IF(AB806&lt;S806,"SIM","NÃO")</f>
        <v>NÃO</v>
      </c>
      <c r="AF806" s="60" t="n">
        <v>2</v>
      </c>
      <c r="AG806" s="60" t="n">
        <v>5</v>
      </c>
      <c r="AH806" s="60" t="s">
        <v>382</v>
      </c>
      <c r="AI806" s="61" t="n">
        <f aca="false">(T806*(1-Painel!$C$40)+U806+V806+Painel!$C$41+Painel!$C$42*CEILING(G806/100,1)+Painel!$C$43*CEILING(G806,1)+Z806)/(1-Resumo!$B$5)</f>
        <v>137.435647727273</v>
      </c>
      <c r="AJ806" s="60" t="str">
        <f aca="false">IF(AI806&lt;S806,"SIM","NÃO")</f>
        <v>SIM</v>
      </c>
    </row>
    <row r="807" customFormat="false" ht="15" hidden="false" customHeight="false" outlineLevel="0" collapsed="false">
      <c r="A807" s="59" t="n">
        <v>46243.7757986111</v>
      </c>
      <c r="B807" s="60" t="s">
        <v>1146</v>
      </c>
      <c r="C807" s="60" t="n">
        <v>24722250</v>
      </c>
      <c r="D807" s="60" t="s">
        <v>47</v>
      </c>
      <c r="E807" s="60" t="s">
        <v>23</v>
      </c>
      <c r="F807" s="60" t="s">
        <v>236</v>
      </c>
      <c r="G807" s="60" t="n">
        <v>51.06</v>
      </c>
      <c r="H807" s="61" t="n">
        <v>749.99</v>
      </c>
      <c r="I807" s="61" t="n">
        <v>70.98</v>
      </c>
      <c r="J807" s="61" t="n">
        <f aca="false">H807*Resumo!$C$6</f>
        <v>0</v>
      </c>
      <c r="K807" s="61" t="n">
        <f aca="false">H807*Resumo!$C$7</f>
        <v>1.574979</v>
      </c>
      <c r="L807" s="61" t="n">
        <f aca="false">H807*Resumo!$C$8</f>
        <v>1.574979</v>
      </c>
      <c r="M807" s="61" t="n">
        <f aca="false">Resumo!$C$10*CEILING(G807/100,1)</f>
        <v>1.05</v>
      </c>
      <c r="N807" s="61" t="n">
        <f aca="false">Resumo!$C$9</f>
        <v>0</v>
      </c>
      <c r="O807" s="61" t="n">
        <f aca="false">Resumo!$C$13</f>
        <v>13.55</v>
      </c>
      <c r="P807" s="61" t="n">
        <f aca="false">Resumo!$C$14*CEILING(G807,1)</f>
        <v>23.4</v>
      </c>
      <c r="Q807" s="61" t="n">
        <f aca="false">SUM(I807:P807)*Resumo!$C$11</f>
        <v>0</v>
      </c>
      <c r="R807" s="61" t="n">
        <f aca="false">SUM(I807:Q807)</f>
        <v>112.129958</v>
      </c>
      <c r="S807" s="61" t="n">
        <f aca="false">R807/(1-Resumo!$C$5)</f>
        <v>127.420406818182</v>
      </c>
      <c r="T807" s="61" t="n">
        <v>128.14</v>
      </c>
      <c r="U807" s="61" t="n">
        <f aca="false">H807*Resumo!$B$6</f>
        <v>0.74999</v>
      </c>
      <c r="V807" s="61" t="n">
        <f aca="false">H807*Resumo!$B$7</f>
        <v>1.49998</v>
      </c>
      <c r="W807" s="61" t="n">
        <f aca="false">Resumo!$B$9</f>
        <v>1</v>
      </c>
      <c r="X807" s="61" t="n">
        <f aca="false">Resumo!$B$10*CEILING(G807/100,1)</f>
        <v>4.5</v>
      </c>
      <c r="Y807" s="61" t="n">
        <f aca="false">Resumo!$B$12*CEILING(G807,1)</f>
        <v>3.12</v>
      </c>
      <c r="Z807" s="61" t="n">
        <f aca="false">Resumo!$B$14*CEILING(G807,1)</f>
        <v>23.4</v>
      </c>
      <c r="AA807" s="61" t="n">
        <f aca="false">SUM(T807:Z807)</f>
        <v>162.40997</v>
      </c>
      <c r="AB807" s="61" t="n">
        <f aca="false">AA807/(1-Resumo!$B$5)</f>
        <v>184.556784090909</v>
      </c>
      <c r="AC807" s="61" t="n">
        <f aca="false">AB807-S807</f>
        <v>57.1363772727272</v>
      </c>
      <c r="AD807" s="62" t="n">
        <f aca="false">AB807/S807-1</f>
        <v>0.448408372720518</v>
      </c>
      <c r="AE807" s="60" t="str">
        <f aca="false">IF(AB807&lt;S807,"SIM","NÃO")</f>
        <v>NÃO</v>
      </c>
      <c r="AF807" s="60" t="n">
        <v>2</v>
      </c>
      <c r="AG807" s="60" t="n">
        <v>7</v>
      </c>
      <c r="AH807" s="60" t="s">
        <v>382</v>
      </c>
      <c r="AI807" s="61" t="n">
        <f aca="false">(T807*(1-Painel!$C$40)+U807+V807+Painel!$C$41+Painel!$C$42*CEILING(G807/100,1)+Painel!$C$43*CEILING(G807,1)+Z807)/(1-Resumo!$B$5)</f>
        <v>129.038375</v>
      </c>
      <c r="AJ807" s="60" t="str">
        <f aca="false">IF(AI807&lt;S807,"SIM","NÃO")</f>
        <v>NÃO</v>
      </c>
    </row>
    <row r="808" customFormat="false" ht="15" hidden="false" customHeight="false" outlineLevel="0" collapsed="false">
      <c r="A808" s="59" t="n">
        <v>46243.7871643519</v>
      </c>
      <c r="B808" s="60" t="s">
        <v>1147</v>
      </c>
      <c r="C808" s="60" t="n">
        <v>26177110</v>
      </c>
      <c r="D808" s="60" t="s">
        <v>52</v>
      </c>
      <c r="E808" s="60" t="s">
        <v>23</v>
      </c>
      <c r="F808" s="60" t="s">
        <v>233</v>
      </c>
      <c r="G808" s="60" t="n">
        <v>27.5</v>
      </c>
      <c r="H808" s="61" t="n">
        <v>399.99</v>
      </c>
      <c r="I808" s="61" t="n">
        <v>58.8</v>
      </c>
      <c r="J808" s="61" t="n">
        <f aca="false">H808*Resumo!$C$6</f>
        <v>0</v>
      </c>
      <c r="K808" s="61" t="n">
        <f aca="false">H808*Resumo!$C$7</f>
        <v>0.839979</v>
      </c>
      <c r="L808" s="61" t="n">
        <f aca="false">H808*Resumo!$C$8</f>
        <v>0.839979</v>
      </c>
      <c r="M808" s="61" t="n">
        <f aca="false">Resumo!$C$10*CEILING(G808/100,1)</f>
        <v>1.05</v>
      </c>
      <c r="N808" s="61" t="n">
        <f aca="false">Resumo!$C$9</f>
        <v>0</v>
      </c>
      <c r="O808" s="61" t="n">
        <f aca="false">Resumo!$C$13</f>
        <v>13.55</v>
      </c>
      <c r="P808" s="61" t="n">
        <f aca="false">Resumo!$C$14*CEILING(G808,1)</f>
        <v>12.6</v>
      </c>
      <c r="Q808" s="61" t="n">
        <f aca="false">SUM(I808:P808)*Resumo!$C$11</f>
        <v>0</v>
      </c>
      <c r="R808" s="61" t="n">
        <f aca="false">SUM(I808:Q808)</f>
        <v>87.679958</v>
      </c>
      <c r="S808" s="61" t="n">
        <f aca="false">R808/(1-Resumo!$C$5)</f>
        <v>99.6363159090909</v>
      </c>
      <c r="T808" s="61" t="n">
        <v>82.21</v>
      </c>
      <c r="U808" s="61" t="n">
        <f aca="false">H808*Resumo!$B$6</f>
        <v>0.39999</v>
      </c>
      <c r="V808" s="61" t="n">
        <f aca="false">H808*Resumo!$B$7</f>
        <v>0.79998</v>
      </c>
      <c r="W808" s="61" t="n">
        <f aca="false">Resumo!$B$9</f>
        <v>1</v>
      </c>
      <c r="X808" s="61" t="n">
        <f aca="false">Resumo!$B$10*CEILING(G808/100,1)</f>
        <v>4.5</v>
      </c>
      <c r="Y808" s="61" t="n">
        <f aca="false">Resumo!$B$12*CEILING(G808,1)</f>
        <v>1.68</v>
      </c>
      <c r="Z808" s="61" t="n">
        <f aca="false">Resumo!$B$14*CEILING(G808,1)</f>
        <v>12.6</v>
      </c>
      <c r="AA808" s="61" t="n">
        <f aca="false">SUM(T808:Z808)</f>
        <v>103.18997</v>
      </c>
      <c r="AB808" s="61" t="n">
        <f aca="false">AA808/(1-Resumo!$B$5)</f>
        <v>117.261329545455</v>
      </c>
      <c r="AC808" s="61" t="n">
        <f aca="false">AB808-S808</f>
        <v>17.6250136363636</v>
      </c>
      <c r="AD808" s="62" t="n">
        <f aca="false">AB808/S808-1</f>
        <v>0.17689346977105</v>
      </c>
      <c r="AE808" s="60" t="str">
        <f aca="false">IF(AB808&lt;S808,"SIM","NÃO")</f>
        <v>NÃO</v>
      </c>
      <c r="AF808" s="60" t="n">
        <v>2</v>
      </c>
      <c r="AG808" s="60" t="n">
        <v>5</v>
      </c>
      <c r="AH808" s="60" t="s">
        <v>382</v>
      </c>
      <c r="AI808" s="61" t="n">
        <f aca="false">(T808*(1-Painel!$C$40)+U808+V808+Painel!$C$41+Painel!$C$42*CEILING(G808/100,1)+Painel!$C$43*CEILING(G808,1)+Z808)/(1-Resumo!$B$5)</f>
        <v>80.6030340909091</v>
      </c>
      <c r="AJ808" s="60" t="str">
        <f aca="false">IF(AI808&lt;S808,"SIM","NÃO")</f>
        <v>SIM</v>
      </c>
    </row>
    <row r="809" customFormat="false" ht="15" hidden="false" customHeight="false" outlineLevel="0" collapsed="false">
      <c r="A809" s="59" t="n">
        <v>46243.8404976852</v>
      </c>
      <c r="B809" s="60" t="s">
        <v>1148</v>
      </c>
      <c r="C809" s="60" t="n">
        <v>24455436</v>
      </c>
      <c r="D809" s="60" t="s">
        <v>47</v>
      </c>
      <c r="E809" s="60" t="s">
        <v>23</v>
      </c>
      <c r="F809" s="60" t="s">
        <v>234</v>
      </c>
      <c r="G809" s="60" t="n">
        <v>37.6</v>
      </c>
      <c r="H809" s="61" t="n">
        <v>391.05</v>
      </c>
      <c r="I809" s="61" t="n">
        <v>66.83</v>
      </c>
      <c r="J809" s="61" t="n">
        <f aca="false">H809*Resumo!$C$6</f>
        <v>0</v>
      </c>
      <c r="K809" s="61" t="n">
        <f aca="false">H809*Resumo!$C$7</f>
        <v>0.821205</v>
      </c>
      <c r="L809" s="61" t="n">
        <f aca="false">H809*Resumo!$C$8</f>
        <v>0.821205</v>
      </c>
      <c r="M809" s="61" t="n">
        <f aca="false">Resumo!$C$10*CEILING(G809/100,1)</f>
        <v>1.05</v>
      </c>
      <c r="N809" s="61" t="n">
        <f aca="false">Resumo!$C$9</f>
        <v>0</v>
      </c>
      <c r="O809" s="61" t="n">
        <f aca="false">Resumo!$C$13</f>
        <v>13.55</v>
      </c>
      <c r="P809" s="61" t="n">
        <f aca="false">Resumo!$C$14*CEILING(G809,1)</f>
        <v>17.1</v>
      </c>
      <c r="Q809" s="61" t="n">
        <f aca="false">SUM(I809:P809)*Resumo!$C$11</f>
        <v>0</v>
      </c>
      <c r="R809" s="61" t="n">
        <f aca="false">SUM(I809:Q809)</f>
        <v>100.17241</v>
      </c>
      <c r="S809" s="61" t="n">
        <f aca="false">R809/(1-Resumo!$C$5)</f>
        <v>113.832284090909</v>
      </c>
      <c r="T809" s="61" t="n">
        <v>114.95</v>
      </c>
      <c r="U809" s="61" t="n">
        <f aca="false">H809*Resumo!$B$6</f>
        <v>0.39105</v>
      </c>
      <c r="V809" s="61" t="n">
        <f aca="false">H809*Resumo!$B$7</f>
        <v>0.7821</v>
      </c>
      <c r="W809" s="61" t="n">
        <f aca="false">Resumo!$B$9</f>
        <v>1</v>
      </c>
      <c r="X809" s="61" t="n">
        <f aca="false">Resumo!$B$10*CEILING(G809/100,1)</f>
        <v>4.5</v>
      </c>
      <c r="Y809" s="61" t="n">
        <f aca="false">Resumo!$B$12*CEILING(G809,1)</f>
        <v>2.28</v>
      </c>
      <c r="Z809" s="61" t="n">
        <f aca="false">Resumo!$B$14*CEILING(G809,1)</f>
        <v>17.1</v>
      </c>
      <c r="AA809" s="61" t="n">
        <f aca="false">SUM(T809:Z809)</f>
        <v>141.00315</v>
      </c>
      <c r="AB809" s="61" t="n">
        <f aca="false">AA809/(1-Resumo!$B$5)</f>
        <v>160.230852272727</v>
      </c>
      <c r="AC809" s="61" t="n">
        <f aca="false">AB809-S809</f>
        <v>46.3985681818182</v>
      </c>
      <c r="AD809" s="62" t="n">
        <f aca="false">AB809/S809-1</f>
        <v>0.407604648824961</v>
      </c>
      <c r="AE809" s="60" t="str">
        <f aca="false">IF(AB809&lt;S809,"SIM","NÃO")</f>
        <v>NÃO</v>
      </c>
      <c r="AF809" s="60" t="n">
        <v>2</v>
      </c>
      <c r="AG809" s="60" t="n">
        <v>7</v>
      </c>
      <c r="AH809" s="60" t="s">
        <v>382</v>
      </c>
      <c r="AI809" s="61" t="n">
        <f aca="false">(T809*(1-Painel!$C$40)+U809+V809+Painel!$C$41+Painel!$C$42*CEILING(G809/100,1)+Painel!$C$43*CEILING(G809,1)+Z809)/(1-Resumo!$B$5)</f>
        <v>110.613238636364</v>
      </c>
      <c r="AJ809" s="60" t="str">
        <f aca="false">IF(AI809&lt;S809,"SIM","NÃO")</f>
        <v>SIM</v>
      </c>
    </row>
    <row r="810" customFormat="false" ht="15" hidden="false" customHeight="false" outlineLevel="0" collapsed="false">
      <c r="A810" s="59" t="n">
        <v>46243.8521412037</v>
      </c>
      <c r="B810" s="60" t="s">
        <v>1149</v>
      </c>
      <c r="C810" s="60" t="n">
        <v>23550105</v>
      </c>
      <c r="D810" s="60" t="s">
        <v>46</v>
      </c>
      <c r="E810" s="60" t="s">
        <v>22</v>
      </c>
      <c r="F810" s="60" t="s">
        <v>233</v>
      </c>
      <c r="G810" s="60" t="n">
        <v>28.8</v>
      </c>
      <c r="H810" s="61" t="n">
        <v>881.88</v>
      </c>
      <c r="I810" s="61" t="n">
        <v>42.11</v>
      </c>
      <c r="J810" s="61" t="n">
        <f aca="false">H810*Resumo!$C$6</f>
        <v>0</v>
      </c>
      <c r="K810" s="61" t="n">
        <f aca="false">H810*Resumo!$C$7</f>
        <v>1.851948</v>
      </c>
      <c r="L810" s="61" t="n">
        <f aca="false">H810*Resumo!$C$8</f>
        <v>1.851948</v>
      </c>
      <c r="M810" s="61" t="n">
        <f aca="false">Resumo!$C$10*CEILING(G810/100,1)</f>
        <v>1.05</v>
      </c>
      <c r="N810" s="61" t="n">
        <f aca="false">Resumo!$C$9</f>
        <v>0</v>
      </c>
      <c r="O810" s="61" t="n">
        <f aca="false">Resumo!$C$13</f>
        <v>13.55</v>
      </c>
      <c r="P810" s="61" t="n">
        <f aca="false">Resumo!$C$14*CEILING(G810,1)</f>
        <v>13.05</v>
      </c>
      <c r="Q810" s="61" t="n">
        <f aca="false">SUM(I810:P810)*Resumo!$C$11</f>
        <v>0</v>
      </c>
      <c r="R810" s="61" t="n">
        <f aca="false">SUM(I810:Q810)</f>
        <v>73.463896</v>
      </c>
      <c r="S810" s="61" t="n">
        <f aca="false">R810/(1-Resumo!$C$5)</f>
        <v>83.4817</v>
      </c>
      <c r="T810" s="61" t="n">
        <v>82.21</v>
      </c>
      <c r="U810" s="61" t="n">
        <f aca="false">H810*Resumo!$B$6</f>
        <v>0.88188</v>
      </c>
      <c r="V810" s="61" t="n">
        <f aca="false">H810*Resumo!$B$7</f>
        <v>1.76376</v>
      </c>
      <c r="W810" s="61" t="n">
        <f aca="false">Resumo!$B$9</f>
        <v>1</v>
      </c>
      <c r="X810" s="61" t="n">
        <f aca="false">Resumo!$B$10*CEILING(G810/100,1)</f>
        <v>4.5</v>
      </c>
      <c r="Y810" s="61" t="n">
        <f aca="false">Resumo!$B$12*CEILING(G810,1)</f>
        <v>1.74</v>
      </c>
      <c r="Z810" s="61" t="n">
        <f aca="false">Resumo!$B$14*CEILING(G810,1)</f>
        <v>13.05</v>
      </c>
      <c r="AA810" s="61" t="n">
        <f aca="false">SUM(T810:Z810)</f>
        <v>105.14564</v>
      </c>
      <c r="AB810" s="61" t="n">
        <f aca="false">AA810/(1-Resumo!$B$5)</f>
        <v>119.483681818182</v>
      </c>
      <c r="AC810" s="61" t="n">
        <f aca="false">AB810-S810</f>
        <v>36.0019818181818</v>
      </c>
      <c r="AD810" s="62" t="n">
        <f aca="false">AB810/S810-1</f>
        <v>0.431255973682637</v>
      </c>
      <c r="AE810" s="60" t="str">
        <f aca="false">IF(AB810&lt;S810,"SIM","NÃO")</f>
        <v>NÃO</v>
      </c>
      <c r="AF810" s="60" t="n">
        <v>2</v>
      </c>
      <c r="AG810" s="60" t="n">
        <v>5</v>
      </c>
      <c r="AH810" s="60" t="s">
        <v>382</v>
      </c>
      <c r="AI810" s="61" t="n">
        <f aca="false">(T810*(1-Painel!$C$40)+U810+V810+Painel!$C$41+Painel!$C$42*CEILING(G810/100,1)+Painel!$C$43*CEILING(G810,1)+Z810)/(1-Resumo!$B$5)</f>
        <v>82.7572045454545</v>
      </c>
      <c r="AJ810" s="60" t="str">
        <f aca="false">IF(AI810&lt;S810,"SIM","NÃO")</f>
        <v>SIM</v>
      </c>
    </row>
    <row r="811" customFormat="false" ht="15" hidden="false" customHeight="false" outlineLevel="0" collapsed="false">
      <c r="A811" s="59" t="n">
        <v>46243.8693055556</v>
      </c>
      <c r="B811" s="60" t="s">
        <v>1150</v>
      </c>
      <c r="C811" s="60" t="n">
        <v>22011900</v>
      </c>
      <c r="D811" s="60" t="s">
        <v>46</v>
      </c>
      <c r="E811" s="60" t="s">
        <v>22</v>
      </c>
      <c r="F811" s="60" t="s">
        <v>235</v>
      </c>
      <c r="G811" s="60" t="n">
        <v>48.6</v>
      </c>
      <c r="H811" s="61" t="n">
        <v>583</v>
      </c>
      <c r="I811" s="61" t="n">
        <v>53.55</v>
      </c>
      <c r="J811" s="61" t="n">
        <f aca="false">H811*Resumo!$C$6</f>
        <v>0</v>
      </c>
      <c r="K811" s="61" t="n">
        <f aca="false">H811*Resumo!$C$7</f>
        <v>1.2243</v>
      </c>
      <c r="L811" s="61" t="n">
        <f aca="false">H811*Resumo!$C$8</f>
        <v>1.2243</v>
      </c>
      <c r="M811" s="61" t="n">
        <f aca="false">Resumo!$C$10*CEILING(G811/100,1)</f>
        <v>1.05</v>
      </c>
      <c r="N811" s="61" t="n">
        <f aca="false">Resumo!$C$9</f>
        <v>0</v>
      </c>
      <c r="O811" s="61" t="n">
        <f aca="false">Resumo!$C$13</f>
        <v>13.55</v>
      </c>
      <c r="P811" s="61" t="n">
        <f aca="false">Resumo!$C$14*CEILING(G811,1)</f>
        <v>22.05</v>
      </c>
      <c r="Q811" s="61" t="n">
        <f aca="false">SUM(I811:P811)*Resumo!$C$11</f>
        <v>0</v>
      </c>
      <c r="R811" s="61" t="n">
        <f aca="false">SUM(I811:Q811)</f>
        <v>92.6486</v>
      </c>
      <c r="S811" s="61" t="n">
        <f aca="false">R811/(1-Resumo!$C$5)</f>
        <v>105.2825</v>
      </c>
      <c r="T811" s="61" t="n">
        <v>93.97</v>
      </c>
      <c r="U811" s="61" t="n">
        <f aca="false">H811*Resumo!$B$6</f>
        <v>0.583</v>
      </c>
      <c r="V811" s="61" t="n">
        <f aca="false">H811*Resumo!$B$7</f>
        <v>1.166</v>
      </c>
      <c r="W811" s="61" t="n">
        <f aca="false">Resumo!$B$9</f>
        <v>1</v>
      </c>
      <c r="X811" s="61" t="n">
        <f aca="false">Resumo!$B$10*CEILING(G811/100,1)</f>
        <v>4.5</v>
      </c>
      <c r="Y811" s="61" t="n">
        <f aca="false">Resumo!$B$12*CEILING(G811,1)</f>
        <v>2.94</v>
      </c>
      <c r="Z811" s="61" t="n">
        <f aca="false">Resumo!$B$14*CEILING(G811,1)</f>
        <v>22.05</v>
      </c>
      <c r="AA811" s="61" t="n">
        <f aca="false">SUM(T811:Z811)</f>
        <v>126.209</v>
      </c>
      <c r="AB811" s="61" t="n">
        <f aca="false">AA811/(1-Resumo!$B$5)</f>
        <v>143.419318181818</v>
      </c>
      <c r="AC811" s="61" t="n">
        <f aca="false">AB811-S811</f>
        <v>38.1368181818182</v>
      </c>
      <c r="AD811" s="62" t="n">
        <f aca="false">AB811/S811-1</f>
        <v>0.362233212374499</v>
      </c>
      <c r="AE811" s="60" t="str">
        <f aca="false">IF(AB811&lt;S811,"SIM","NÃO")</f>
        <v>NÃO</v>
      </c>
      <c r="AF811" s="60" t="n">
        <v>2</v>
      </c>
      <c r="AG811" s="60" t="n">
        <v>5</v>
      </c>
      <c r="AH811" s="60" t="s">
        <v>382</v>
      </c>
      <c r="AI811" s="61" t="n">
        <f aca="false">(T811*(1-Painel!$C$40)+U811+V811+Painel!$C$41+Painel!$C$42*CEILING(G811/100,1)+Painel!$C$43*CEILING(G811,1)+Z811)/(1-Resumo!$B$5)</f>
        <v>100.919204545455</v>
      </c>
      <c r="AJ811" s="60" t="str">
        <f aca="false">IF(AI811&lt;S811,"SIM","NÃO")</f>
        <v>SIM</v>
      </c>
    </row>
    <row r="812" customFormat="false" ht="15" hidden="false" customHeight="false" outlineLevel="0" collapsed="false">
      <c r="A812" s="59" t="n">
        <v>46243.8703472222</v>
      </c>
      <c r="B812" s="60" t="s">
        <v>1151</v>
      </c>
      <c r="C812" s="60" t="n">
        <v>23035600</v>
      </c>
      <c r="D812" s="60" t="s">
        <v>46</v>
      </c>
      <c r="E812" s="60" t="s">
        <v>22</v>
      </c>
      <c r="F812" s="60" t="s">
        <v>233</v>
      </c>
      <c r="G812" s="60" t="n">
        <v>31.9</v>
      </c>
      <c r="H812" s="61" t="n">
        <v>466.39</v>
      </c>
      <c r="I812" s="61" t="n">
        <v>42.11</v>
      </c>
      <c r="J812" s="61" t="n">
        <f aca="false">H812*Resumo!$C$6</f>
        <v>0</v>
      </c>
      <c r="K812" s="61" t="n">
        <f aca="false">H812*Resumo!$C$7</f>
        <v>0.979419</v>
      </c>
      <c r="L812" s="61" t="n">
        <f aca="false">H812*Resumo!$C$8</f>
        <v>0.979419</v>
      </c>
      <c r="M812" s="61" t="n">
        <f aca="false">Resumo!$C$10*CEILING(G812/100,1)</f>
        <v>1.05</v>
      </c>
      <c r="N812" s="61" t="n">
        <f aca="false">Resumo!$C$9</f>
        <v>0</v>
      </c>
      <c r="O812" s="61" t="n">
        <f aca="false">Resumo!$C$13</f>
        <v>13.55</v>
      </c>
      <c r="P812" s="61" t="n">
        <f aca="false">Resumo!$C$14*CEILING(G812,1)</f>
        <v>14.4</v>
      </c>
      <c r="Q812" s="61" t="n">
        <f aca="false">SUM(I812:P812)*Resumo!$C$11</f>
        <v>0</v>
      </c>
      <c r="R812" s="61" t="n">
        <f aca="false">SUM(I812:Q812)</f>
        <v>73.068838</v>
      </c>
      <c r="S812" s="61" t="n">
        <f aca="false">R812/(1-Resumo!$C$5)</f>
        <v>83.0327704545455</v>
      </c>
      <c r="T812" s="61" t="n">
        <v>82.21</v>
      </c>
      <c r="U812" s="61" t="n">
        <f aca="false">H812*Resumo!$B$6</f>
        <v>0.46639</v>
      </c>
      <c r="V812" s="61" t="n">
        <f aca="false">H812*Resumo!$B$7</f>
        <v>0.93278</v>
      </c>
      <c r="W812" s="61" t="n">
        <f aca="false">Resumo!$B$9</f>
        <v>1</v>
      </c>
      <c r="X812" s="61" t="n">
        <f aca="false">Resumo!$B$10*CEILING(G812/100,1)</f>
        <v>4.5</v>
      </c>
      <c r="Y812" s="61" t="n">
        <f aca="false">Resumo!$B$12*CEILING(G812,1)</f>
        <v>1.92</v>
      </c>
      <c r="Z812" s="61" t="n">
        <f aca="false">Resumo!$B$14*CEILING(G812,1)</f>
        <v>14.4</v>
      </c>
      <c r="AA812" s="61" t="n">
        <f aca="false">SUM(T812:Z812)</f>
        <v>105.42917</v>
      </c>
      <c r="AB812" s="61" t="n">
        <f aca="false">AA812/(1-Resumo!$B$5)</f>
        <v>119.805875</v>
      </c>
      <c r="AC812" s="61" t="n">
        <f aca="false">AB812-S812</f>
        <v>36.7731045454545</v>
      </c>
      <c r="AD812" s="62" t="n">
        <f aca="false">AB812/S812-1</f>
        <v>0.442874594502242</v>
      </c>
      <c r="AE812" s="60" t="str">
        <f aca="false">IF(AB812&lt;S812,"SIM","NÃO")</f>
        <v>NÃO</v>
      </c>
      <c r="AF812" s="60" t="n">
        <v>2</v>
      </c>
      <c r="AG812" s="60" t="n">
        <v>5</v>
      </c>
      <c r="AH812" s="60" t="s">
        <v>382</v>
      </c>
      <c r="AI812" s="61" t="n">
        <f aca="false">(T812*(1-Painel!$C$40)+U812+V812+Painel!$C$41+Painel!$C$42*CEILING(G812/100,1)+Painel!$C$43*CEILING(G812,1)+Z812)/(1-Resumo!$B$5)</f>
        <v>82.8748522727273</v>
      </c>
      <c r="AJ812" s="60" t="str">
        <f aca="false">IF(AI812&lt;S812,"SIM","NÃO")</f>
        <v>SIM</v>
      </c>
    </row>
    <row r="813" customFormat="false" ht="15" hidden="false" customHeight="false" outlineLevel="0" collapsed="false">
      <c r="A813" s="59" t="n">
        <v>46243.8841782407</v>
      </c>
      <c r="B813" s="60" t="s">
        <v>1152</v>
      </c>
      <c r="C813" s="60" t="n">
        <v>26553495</v>
      </c>
      <c r="D813" s="60" t="s">
        <v>224</v>
      </c>
      <c r="E813" s="60" t="s">
        <v>23</v>
      </c>
      <c r="F813" s="60" t="s">
        <v>237</v>
      </c>
      <c r="G813" s="60" t="n">
        <v>69.15</v>
      </c>
      <c r="H813" s="61" t="n">
        <v>707</v>
      </c>
      <c r="I813" s="61" t="n">
        <v>76.55</v>
      </c>
      <c r="J813" s="61" t="n">
        <f aca="false">H813*Resumo!$C$6</f>
        <v>0</v>
      </c>
      <c r="K813" s="61" t="n">
        <f aca="false">H813*Resumo!$C$7</f>
        <v>1.4847</v>
      </c>
      <c r="L813" s="61" t="n">
        <f aca="false">H813*Resumo!$C$8</f>
        <v>1.4847</v>
      </c>
      <c r="M813" s="61" t="n">
        <f aca="false">Resumo!$C$10*CEILING(G813/100,1)</f>
        <v>1.05</v>
      </c>
      <c r="N813" s="61" t="n">
        <f aca="false">Resumo!$C$9</f>
        <v>0</v>
      </c>
      <c r="O813" s="61" t="n">
        <f aca="false">Resumo!$C$13</f>
        <v>13.55</v>
      </c>
      <c r="P813" s="61" t="n">
        <f aca="false">Resumo!$C$14*CEILING(G813,1)</f>
        <v>31.5</v>
      </c>
      <c r="Q813" s="61" t="n">
        <f aca="false">SUM(I813:P813)*Resumo!$C$11</f>
        <v>0</v>
      </c>
      <c r="R813" s="61" t="n">
        <f aca="false">SUM(I813:Q813)</f>
        <v>125.6194</v>
      </c>
      <c r="S813" s="61" t="n">
        <f aca="false">R813/(1-Resumo!$C$5)</f>
        <v>142.749318181818</v>
      </c>
      <c r="T813" s="61" t="n">
        <v>131.02</v>
      </c>
      <c r="U813" s="61" t="n">
        <f aca="false">H813*Resumo!$B$6</f>
        <v>0.707</v>
      </c>
      <c r="V813" s="61" t="n">
        <f aca="false">H813*Resumo!$B$7</f>
        <v>1.414</v>
      </c>
      <c r="W813" s="61" t="n">
        <f aca="false">Resumo!$B$9</f>
        <v>1</v>
      </c>
      <c r="X813" s="61" t="n">
        <f aca="false">Resumo!$B$10*CEILING(G813/100,1)</f>
        <v>4.5</v>
      </c>
      <c r="Y813" s="61" t="n">
        <f aca="false">Resumo!$B$12*CEILING(G813,1)</f>
        <v>4.2</v>
      </c>
      <c r="Z813" s="61" t="n">
        <f aca="false">Resumo!$B$14*CEILING(G813,1)</f>
        <v>31.5</v>
      </c>
      <c r="AA813" s="61" t="n">
        <f aca="false">SUM(T813:Z813)</f>
        <v>174.341</v>
      </c>
      <c r="AB813" s="61" t="n">
        <f aca="false">AA813/(1-Resumo!$B$5)</f>
        <v>198.114772727273</v>
      </c>
      <c r="AC813" s="61" t="n">
        <f aca="false">AB813-S813</f>
        <v>55.3654545454546</v>
      </c>
      <c r="AD813" s="62" t="n">
        <f aca="false">AB813/S813-1</f>
        <v>0.387850921115688</v>
      </c>
      <c r="AE813" s="60" t="str">
        <f aca="false">IF(AB813&lt;S813,"SIM","NÃO")</f>
        <v>NÃO</v>
      </c>
      <c r="AF813" s="60" t="n">
        <v>2</v>
      </c>
      <c r="AG813" s="60" t="n">
        <v>5</v>
      </c>
      <c r="AH813" s="60" t="s">
        <v>382</v>
      </c>
      <c r="AI813" s="61" t="n">
        <f aca="false">(T813*(1-Painel!$C$40)+U813+V813+Painel!$C$41+Painel!$C$42*CEILING(G813/100,1)+Painel!$C$43*CEILING(G813,1)+Z813)/(1-Resumo!$B$5)</f>
        <v>140.289090909091</v>
      </c>
      <c r="AJ813" s="60" t="str">
        <f aca="false">IF(AI813&lt;S813,"SIM","NÃO")</f>
        <v>SIM</v>
      </c>
    </row>
    <row r="814" customFormat="false" ht="15" hidden="false" customHeight="false" outlineLevel="0" collapsed="false">
      <c r="A814" s="59" t="n">
        <v>46243.9165972222</v>
      </c>
      <c r="B814" s="60" t="s">
        <v>1153</v>
      </c>
      <c r="C814" s="60" t="n">
        <v>24130247</v>
      </c>
      <c r="D814" s="60" t="s">
        <v>50</v>
      </c>
      <c r="E814" s="60" t="s">
        <v>23</v>
      </c>
      <c r="F814" s="60" t="s">
        <v>235</v>
      </c>
      <c r="G814" s="60" t="n">
        <v>41.4</v>
      </c>
      <c r="H814" s="61" t="n">
        <v>449.99</v>
      </c>
      <c r="I814" s="61" t="n">
        <v>65.36</v>
      </c>
      <c r="J814" s="61" t="n">
        <f aca="false">H814*Resumo!$C$6</f>
        <v>0</v>
      </c>
      <c r="K814" s="61" t="n">
        <f aca="false">H814*Resumo!$C$7</f>
        <v>0.944979</v>
      </c>
      <c r="L814" s="61" t="n">
        <f aca="false">H814*Resumo!$C$8</f>
        <v>0.944979</v>
      </c>
      <c r="M814" s="61" t="n">
        <f aca="false">Resumo!$C$10*CEILING(G814/100,1)</f>
        <v>1.05</v>
      </c>
      <c r="N814" s="61" t="n">
        <f aca="false">Resumo!$C$9</f>
        <v>0</v>
      </c>
      <c r="O814" s="61" t="n">
        <f aca="false">Resumo!$C$13</f>
        <v>13.55</v>
      </c>
      <c r="P814" s="61" t="n">
        <f aca="false">Resumo!$C$14*CEILING(G814,1)</f>
        <v>18.9</v>
      </c>
      <c r="Q814" s="61" t="n">
        <f aca="false">SUM(I814:P814)*Resumo!$C$11</f>
        <v>0</v>
      </c>
      <c r="R814" s="61" t="n">
        <f aca="false">SUM(I814:Q814)</f>
        <v>100.749958</v>
      </c>
      <c r="S814" s="61" t="n">
        <f aca="false">R814/(1-Resumo!$C$5)</f>
        <v>114.488588636364</v>
      </c>
      <c r="T814" s="61" t="n">
        <v>114.95</v>
      </c>
      <c r="U814" s="61" t="n">
        <f aca="false">H814*Resumo!$B$6</f>
        <v>0.44999</v>
      </c>
      <c r="V814" s="61" t="n">
        <f aca="false">H814*Resumo!$B$7</f>
        <v>0.89998</v>
      </c>
      <c r="W814" s="61" t="n">
        <f aca="false">Resumo!$B$9</f>
        <v>1</v>
      </c>
      <c r="X814" s="61" t="n">
        <f aca="false">Resumo!$B$10*CEILING(G814/100,1)</f>
        <v>4.5</v>
      </c>
      <c r="Y814" s="61" t="n">
        <f aca="false">Resumo!$B$12*CEILING(G814,1)</f>
        <v>2.52</v>
      </c>
      <c r="Z814" s="61" t="n">
        <f aca="false">Resumo!$B$14*CEILING(G814,1)</f>
        <v>18.9</v>
      </c>
      <c r="AA814" s="61" t="n">
        <f aca="false">SUM(T814:Z814)</f>
        <v>143.21997</v>
      </c>
      <c r="AB814" s="61" t="n">
        <f aca="false">AA814/(1-Resumo!$B$5)</f>
        <v>162.749965909091</v>
      </c>
      <c r="AC814" s="61" t="n">
        <f aca="false">AB814-S814</f>
        <v>48.2613772727272</v>
      </c>
      <c r="AD814" s="62" t="n">
        <f aca="false">AB814/S814-1</f>
        <v>0.421538756373476</v>
      </c>
      <c r="AE814" s="60" t="str">
        <f aca="false">IF(AB814&lt;S814,"SIM","NÃO")</f>
        <v>NÃO</v>
      </c>
      <c r="AF814" s="60" t="n">
        <v>2</v>
      </c>
      <c r="AG814" s="60" t="n">
        <v>7</v>
      </c>
      <c r="AH814" s="60" t="s">
        <v>382</v>
      </c>
      <c r="AI814" s="61" t="n">
        <f aca="false">(T814*(1-Painel!$C$40)+U814+V814+Painel!$C$41+Painel!$C$42*CEILING(G814/100,1)+Painel!$C$43*CEILING(G814,1)+Z814)/(1-Resumo!$B$5)</f>
        <v>112.859625</v>
      </c>
      <c r="AJ814" s="60" t="str">
        <f aca="false">IF(AI814&lt;S814,"SIM","NÃO")</f>
        <v>SIM</v>
      </c>
    </row>
    <row r="815" customFormat="false" ht="15" hidden="false" customHeight="false" outlineLevel="0" collapsed="false">
      <c r="A815" s="59" t="n">
        <v>46243.9375925926</v>
      </c>
      <c r="B815" s="60" t="s">
        <v>1154</v>
      </c>
      <c r="C815" s="60" t="n">
        <v>21230075</v>
      </c>
      <c r="D815" s="60" t="s">
        <v>46</v>
      </c>
      <c r="E815" s="60" t="s">
        <v>22</v>
      </c>
      <c r="F815" s="60" t="s">
        <v>235</v>
      </c>
      <c r="G815" s="60" t="n">
        <v>46.8</v>
      </c>
      <c r="H815" s="61" t="n">
        <v>559.99</v>
      </c>
      <c r="I815" s="61" t="n">
        <v>53.55</v>
      </c>
      <c r="J815" s="61" t="n">
        <f aca="false">H815*Resumo!$C$6</f>
        <v>0</v>
      </c>
      <c r="K815" s="61" t="n">
        <f aca="false">H815*Resumo!$C$7</f>
        <v>1.175979</v>
      </c>
      <c r="L815" s="61" t="n">
        <f aca="false">H815*Resumo!$C$8</f>
        <v>1.175979</v>
      </c>
      <c r="M815" s="61" t="n">
        <f aca="false">Resumo!$C$10*CEILING(G815/100,1)</f>
        <v>1.05</v>
      </c>
      <c r="N815" s="61" t="n">
        <f aca="false">Resumo!$C$9</f>
        <v>0</v>
      </c>
      <c r="O815" s="61" t="n">
        <f aca="false">Resumo!$C$13</f>
        <v>13.55</v>
      </c>
      <c r="P815" s="61" t="n">
        <f aca="false">Resumo!$C$14*CEILING(G815,1)</f>
        <v>21.15</v>
      </c>
      <c r="Q815" s="61" t="n">
        <f aca="false">SUM(I815:P815)*Resumo!$C$11</f>
        <v>0</v>
      </c>
      <c r="R815" s="61" t="n">
        <f aca="false">SUM(I815:Q815)</f>
        <v>91.651958</v>
      </c>
      <c r="S815" s="61" t="n">
        <f aca="false">R815/(1-Resumo!$C$5)</f>
        <v>104.149952272727</v>
      </c>
      <c r="T815" s="61" t="n">
        <v>93.97</v>
      </c>
      <c r="U815" s="61" t="n">
        <f aca="false">H815*Resumo!$B$6</f>
        <v>0.55999</v>
      </c>
      <c r="V815" s="61" t="n">
        <f aca="false">H815*Resumo!$B$7</f>
        <v>1.11998</v>
      </c>
      <c r="W815" s="61" t="n">
        <f aca="false">Resumo!$B$9</f>
        <v>1</v>
      </c>
      <c r="X815" s="61" t="n">
        <f aca="false">Resumo!$B$10*CEILING(G815/100,1)</f>
        <v>4.5</v>
      </c>
      <c r="Y815" s="61" t="n">
        <f aca="false">Resumo!$B$12*CEILING(G815,1)</f>
        <v>2.82</v>
      </c>
      <c r="Z815" s="61" t="n">
        <f aca="false">Resumo!$B$14*CEILING(G815,1)</f>
        <v>21.15</v>
      </c>
      <c r="AA815" s="61" t="n">
        <f aca="false">SUM(T815:Z815)</f>
        <v>125.11997</v>
      </c>
      <c r="AB815" s="61" t="n">
        <f aca="false">AA815/(1-Resumo!$B$5)</f>
        <v>142.181784090909</v>
      </c>
      <c r="AC815" s="61" t="n">
        <f aca="false">AB815-S815</f>
        <v>38.0318318181818</v>
      </c>
      <c r="AD815" s="62" t="n">
        <f aca="false">AB815/S815-1</f>
        <v>0.365164179034779</v>
      </c>
      <c r="AE815" s="60" t="str">
        <f aca="false">IF(AB815&lt;S815,"SIM","NÃO")</f>
        <v>NÃO</v>
      </c>
      <c r="AF815" s="60" t="n">
        <v>2</v>
      </c>
      <c r="AG815" s="60" t="n">
        <v>5</v>
      </c>
      <c r="AH815" s="60" t="s">
        <v>382</v>
      </c>
      <c r="AI815" s="61" t="n">
        <f aca="false">(T815*(1-Painel!$C$40)+U815+V815+Painel!$C$41+Painel!$C$42*CEILING(G815/100,1)+Painel!$C$43*CEILING(G815,1)+Z815)/(1-Resumo!$B$5)</f>
        <v>99.8180340909091</v>
      </c>
      <c r="AJ815" s="60" t="str">
        <f aca="false">IF(AI815&lt;S815,"SIM","NÃO")</f>
        <v>SIM</v>
      </c>
    </row>
    <row r="816" customFormat="false" ht="15" hidden="false" customHeight="false" outlineLevel="0" collapsed="false">
      <c r="A816" s="59" t="n">
        <v>46243.9382291667</v>
      </c>
      <c r="B816" s="60" t="s">
        <v>1155</v>
      </c>
      <c r="C816" s="60" t="n">
        <v>21520050</v>
      </c>
      <c r="D816" s="60" t="s">
        <v>46</v>
      </c>
      <c r="E816" s="60" t="s">
        <v>22</v>
      </c>
      <c r="F816" s="60" t="s">
        <v>241</v>
      </c>
      <c r="G816" s="60" t="n">
        <v>124.2</v>
      </c>
      <c r="H816" s="61" t="n">
        <v>1649.99</v>
      </c>
      <c r="I816" s="61" t="n">
        <v>120.59</v>
      </c>
      <c r="J816" s="61" t="n">
        <f aca="false">H816*Resumo!$C$6</f>
        <v>0</v>
      </c>
      <c r="K816" s="61" t="n">
        <f aca="false">H816*Resumo!$C$7</f>
        <v>3.464979</v>
      </c>
      <c r="L816" s="61" t="n">
        <f aca="false">H816*Resumo!$C$8</f>
        <v>3.464979</v>
      </c>
      <c r="M816" s="61" t="n">
        <f aca="false">Resumo!$C$10*CEILING(G816/100,1)</f>
        <v>2.1</v>
      </c>
      <c r="N816" s="61" t="n">
        <f aca="false">Resumo!$C$9</f>
        <v>0</v>
      </c>
      <c r="O816" s="61" t="n">
        <f aca="false">Resumo!$C$13</f>
        <v>13.55</v>
      </c>
      <c r="P816" s="61" t="n">
        <f aca="false">Resumo!$C$14*CEILING(G816,1)</f>
        <v>56.25</v>
      </c>
      <c r="Q816" s="61" t="n">
        <f aca="false">SUM(I816:P816)*Resumo!$C$11</f>
        <v>0</v>
      </c>
      <c r="R816" s="61" t="n">
        <f aca="false">SUM(I816:Q816)</f>
        <v>199.419958</v>
      </c>
      <c r="S816" s="61" t="n">
        <f aca="false">R816/(1-Resumo!$C$5)</f>
        <v>226.613588636364</v>
      </c>
      <c r="T816" s="61" t="n">
        <v>239.25</v>
      </c>
      <c r="U816" s="61" t="n">
        <f aca="false">H816*Resumo!$B$6</f>
        <v>1.64999</v>
      </c>
      <c r="V816" s="61" t="n">
        <f aca="false">H816*Resumo!$B$7</f>
        <v>3.29998</v>
      </c>
      <c r="W816" s="61" t="n">
        <f aca="false">Resumo!$B$9</f>
        <v>1</v>
      </c>
      <c r="X816" s="61" t="n">
        <f aca="false">Resumo!$B$10*CEILING(G816/100,1)</f>
        <v>9</v>
      </c>
      <c r="Y816" s="61" t="n">
        <f aca="false">Resumo!$B$12*CEILING(G816,1)</f>
        <v>7.5</v>
      </c>
      <c r="Z816" s="61" t="n">
        <f aca="false">Resumo!$B$14*CEILING(G816,1)</f>
        <v>56.25</v>
      </c>
      <c r="AA816" s="61" t="n">
        <f aca="false">SUM(T816:Z816)</f>
        <v>317.94997</v>
      </c>
      <c r="AB816" s="61" t="n">
        <f aca="false">AA816/(1-Resumo!$B$5)</f>
        <v>361.306784090909</v>
      </c>
      <c r="AC816" s="61" t="n">
        <f aca="false">AB816-S816</f>
        <v>134.693195454545</v>
      </c>
      <c r="AD816" s="62" t="n">
        <f aca="false">AB816/S816-1</f>
        <v>0.594373869038725</v>
      </c>
      <c r="AE816" s="60" t="str">
        <f aca="false">IF(AB816&lt;S816,"SIM","NÃO")</f>
        <v>NÃO</v>
      </c>
      <c r="AF816" s="60" t="n">
        <v>2</v>
      </c>
      <c r="AG816" s="60" t="n">
        <v>5</v>
      </c>
      <c r="AH816" s="60" t="s">
        <v>382</v>
      </c>
      <c r="AI816" s="61" t="n">
        <f aca="false">(T816*(1-Painel!$C$40)+U816+V816+Painel!$C$41+Painel!$C$42*CEILING(G816/100,1)+Painel!$C$43*CEILING(G816,1)+Z816)/(1-Resumo!$B$5)</f>
        <v>255.224397727273</v>
      </c>
      <c r="AJ816" s="60" t="str">
        <f aca="false">IF(AI816&lt;S816,"SIM","NÃO")</f>
        <v>NÃO</v>
      </c>
    </row>
    <row r="817" customFormat="false" ht="15" hidden="false" customHeight="false" outlineLevel="0" collapsed="false">
      <c r="A817" s="59" t="n">
        <v>46244.1058217593</v>
      </c>
      <c r="B817" s="60" t="s">
        <v>1156</v>
      </c>
      <c r="C817" s="60" t="n">
        <v>20730200</v>
      </c>
      <c r="D817" s="60" t="s">
        <v>46</v>
      </c>
      <c r="E817" s="60" t="s">
        <v>22</v>
      </c>
      <c r="F817" s="60" t="s">
        <v>235</v>
      </c>
      <c r="G817" s="60" t="n">
        <v>45.3</v>
      </c>
      <c r="H817" s="61" t="n">
        <v>699.99</v>
      </c>
      <c r="I817" s="61" t="n">
        <v>53.55</v>
      </c>
      <c r="J817" s="61" t="n">
        <f aca="false">H817*Resumo!$C$6</f>
        <v>0</v>
      </c>
      <c r="K817" s="61" t="n">
        <f aca="false">H817*Resumo!$C$7</f>
        <v>1.469979</v>
      </c>
      <c r="L817" s="61" t="n">
        <f aca="false">H817*Resumo!$C$8</f>
        <v>1.469979</v>
      </c>
      <c r="M817" s="61" t="n">
        <f aca="false">Resumo!$C$10*CEILING(G817/100,1)</f>
        <v>1.05</v>
      </c>
      <c r="N817" s="61" t="n">
        <f aca="false">Resumo!$C$9</f>
        <v>0</v>
      </c>
      <c r="O817" s="61" t="n">
        <f aca="false">Resumo!$C$13</f>
        <v>13.55</v>
      </c>
      <c r="P817" s="61" t="n">
        <f aca="false">Resumo!$C$14*CEILING(G817,1)</f>
        <v>20.7</v>
      </c>
      <c r="Q817" s="61" t="n">
        <f aca="false">SUM(I817:P817)*Resumo!$C$11</f>
        <v>0</v>
      </c>
      <c r="R817" s="61" t="n">
        <f aca="false">SUM(I817:Q817)</f>
        <v>91.789958</v>
      </c>
      <c r="S817" s="61" t="n">
        <f aca="false">R817/(1-Resumo!$C$5)</f>
        <v>104.306770454545</v>
      </c>
      <c r="T817" s="61" t="n">
        <v>93.97</v>
      </c>
      <c r="U817" s="61" t="n">
        <f aca="false">H817*Resumo!$B$6</f>
        <v>0.69999</v>
      </c>
      <c r="V817" s="61" t="n">
        <f aca="false">H817*Resumo!$B$7</f>
        <v>1.39998</v>
      </c>
      <c r="W817" s="61" t="n">
        <f aca="false">Resumo!$B$9</f>
        <v>1</v>
      </c>
      <c r="X817" s="61" t="n">
        <f aca="false">Resumo!$B$10*CEILING(G817/100,1)</f>
        <v>4.5</v>
      </c>
      <c r="Y817" s="61" t="n">
        <f aca="false">Resumo!$B$12*CEILING(G817,1)</f>
        <v>2.76</v>
      </c>
      <c r="Z817" s="61" t="n">
        <f aca="false">Resumo!$B$14*CEILING(G817,1)</f>
        <v>20.7</v>
      </c>
      <c r="AA817" s="61" t="n">
        <f aca="false">SUM(T817:Z817)</f>
        <v>125.02997</v>
      </c>
      <c r="AB817" s="61" t="n">
        <f aca="false">AA817/(1-Resumo!$B$5)</f>
        <v>142.079511363636</v>
      </c>
      <c r="AC817" s="61" t="n">
        <f aca="false">AB817-S817</f>
        <v>37.7727409090909</v>
      </c>
      <c r="AD817" s="62" t="n">
        <f aca="false">AB817/S817-1</f>
        <v>0.362131247516204</v>
      </c>
      <c r="AE817" s="60" t="str">
        <f aca="false">IF(AB817&lt;S817,"SIM","NÃO")</f>
        <v>NÃO</v>
      </c>
      <c r="AF817" s="60" t="n">
        <v>2</v>
      </c>
      <c r="AG817" s="60" t="n">
        <v>5</v>
      </c>
      <c r="AH817" s="60" t="s">
        <v>382</v>
      </c>
      <c r="AI817" s="61" t="n">
        <f aca="false">(T817*(1-Painel!$C$40)+U817+V817+Painel!$C$41+Painel!$C$42*CEILING(G817/100,1)+Painel!$C$43*CEILING(G817,1)+Z817)/(1-Resumo!$B$5)</f>
        <v>99.7839431818182</v>
      </c>
      <c r="AJ817" s="60" t="str">
        <f aca="false">IF(AI817&lt;S817,"SIM","NÃO")</f>
        <v>SIM</v>
      </c>
    </row>
    <row r="818" customFormat="false" ht="15" hidden="false" customHeight="false" outlineLevel="0" collapsed="false">
      <c r="A818" s="59" t="n">
        <v>46244.3113194444</v>
      </c>
      <c r="B818" s="60" t="s">
        <v>1157</v>
      </c>
      <c r="C818" s="60" t="n">
        <v>21046020</v>
      </c>
      <c r="D818" s="60" t="s">
        <v>46</v>
      </c>
      <c r="E818" s="60" t="s">
        <v>22</v>
      </c>
      <c r="F818" s="60" t="s">
        <v>233</v>
      </c>
      <c r="G818" s="60" t="n">
        <v>30.5</v>
      </c>
      <c r="H818" s="61" t="n">
        <v>395.99</v>
      </c>
      <c r="I818" s="61" t="n">
        <v>42.11</v>
      </c>
      <c r="J818" s="61" t="n">
        <f aca="false">H818*Resumo!$C$6</f>
        <v>0</v>
      </c>
      <c r="K818" s="61" t="n">
        <f aca="false">H818*Resumo!$C$7</f>
        <v>0.831579</v>
      </c>
      <c r="L818" s="61" t="n">
        <f aca="false">H818*Resumo!$C$8</f>
        <v>0.831579</v>
      </c>
      <c r="M818" s="61" t="n">
        <f aca="false">Resumo!$C$10*CEILING(G818/100,1)</f>
        <v>1.05</v>
      </c>
      <c r="N818" s="61" t="n">
        <f aca="false">Resumo!$C$9</f>
        <v>0</v>
      </c>
      <c r="O818" s="61" t="n">
        <f aca="false">Resumo!$C$13</f>
        <v>13.55</v>
      </c>
      <c r="P818" s="61" t="n">
        <f aca="false">Resumo!$C$14*CEILING(G818,1)</f>
        <v>13.95</v>
      </c>
      <c r="Q818" s="61" t="n">
        <f aca="false">SUM(I818:P818)*Resumo!$C$11</f>
        <v>0</v>
      </c>
      <c r="R818" s="61" t="n">
        <f aca="false">SUM(I818:Q818)</f>
        <v>72.323158</v>
      </c>
      <c r="S818" s="61" t="n">
        <f aca="false">R818/(1-Resumo!$C$5)</f>
        <v>82.1854068181818</v>
      </c>
      <c r="T818" s="61" t="n">
        <v>82.21</v>
      </c>
      <c r="U818" s="61" t="n">
        <f aca="false">H818*Resumo!$B$6</f>
        <v>0.39599</v>
      </c>
      <c r="V818" s="61" t="n">
        <f aca="false">H818*Resumo!$B$7</f>
        <v>0.79198</v>
      </c>
      <c r="W818" s="61" t="n">
        <f aca="false">Resumo!$B$9</f>
        <v>1</v>
      </c>
      <c r="X818" s="61" t="n">
        <f aca="false">Resumo!$B$10*CEILING(G818/100,1)</f>
        <v>4.5</v>
      </c>
      <c r="Y818" s="61" t="n">
        <f aca="false">Resumo!$B$12*CEILING(G818,1)</f>
        <v>1.86</v>
      </c>
      <c r="Z818" s="61" t="n">
        <f aca="false">Resumo!$B$14*CEILING(G818,1)</f>
        <v>13.95</v>
      </c>
      <c r="AA818" s="61" t="n">
        <f aca="false">SUM(T818:Z818)</f>
        <v>104.70797</v>
      </c>
      <c r="AB818" s="61" t="n">
        <f aca="false">AA818/(1-Resumo!$B$5)</f>
        <v>118.986329545455</v>
      </c>
      <c r="AC818" s="61" t="n">
        <f aca="false">AB818-S818</f>
        <v>36.8009227272727</v>
      </c>
      <c r="AD818" s="62" t="n">
        <f aca="false">AB818/S818-1</f>
        <v>0.447779285301673</v>
      </c>
      <c r="AE818" s="60" t="str">
        <f aca="false">IF(AB818&lt;S818,"SIM","NÃO")</f>
        <v>NÃO</v>
      </c>
      <c r="AF818" s="60" t="n">
        <v>2</v>
      </c>
      <c r="AG818" s="60" t="n">
        <v>5</v>
      </c>
      <c r="AH818" s="60" t="s">
        <v>382</v>
      </c>
      <c r="AI818" s="61" t="n">
        <f aca="false">(T818*(1-Painel!$C$40)+U818+V818+Painel!$C$41+Painel!$C$42*CEILING(G818/100,1)+Painel!$C$43*CEILING(G818,1)+Z818)/(1-Resumo!$B$5)</f>
        <v>82.1234886363636</v>
      </c>
      <c r="AJ818" s="60" t="str">
        <f aca="false">IF(AI818&lt;S818,"SIM","NÃO")</f>
        <v>SIM</v>
      </c>
    </row>
    <row r="819" customFormat="false" ht="15" hidden="false" customHeight="false" outlineLevel="0" collapsed="false">
      <c r="A819" s="59" t="n">
        <v>46244.3929282407</v>
      </c>
      <c r="B819" s="60" t="s">
        <v>1158</v>
      </c>
      <c r="C819" s="60" t="n">
        <v>25035008</v>
      </c>
      <c r="D819" s="60" t="s">
        <v>48</v>
      </c>
      <c r="E819" s="60" t="s">
        <v>23</v>
      </c>
      <c r="F819" s="60" t="s">
        <v>237</v>
      </c>
      <c r="G819" s="60" t="n">
        <v>66.8</v>
      </c>
      <c r="H819" s="61" t="n">
        <v>699.99</v>
      </c>
      <c r="I819" s="61" t="n">
        <v>76.55</v>
      </c>
      <c r="J819" s="61" t="n">
        <f aca="false">H819*Resumo!$C$6</f>
        <v>0</v>
      </c>
      <c r="K819" s="61" t="n">
        <f aca="false">H819*Resumo!$C$7</f>
        <v>1.469979</v>
      </c>
      <c r="L819" s="61" t="n">
        <f aca="false">H819*Resumo!$C$8</f>
        <v>1.469979</v>
      </c>
      <c r="M819" s="61" t="n">
        <f aca="false">Resumo!$C$10*CEILING(G819/100,1)</f>
        <v>1.05</v>
      </c>
      <c r="N819" s="61" t="n">
        <f aca="false">Resumo!$C$9</f>
        <v>0</v>
      </c>
      <c r="O819" s="61" t="n">
        <f aca="false">Resumo!$C$13</f>
        <v>13.55</v>
      </c>
      <c r="P819" s="61" t="n">
        <f aca="false">Resumo!$C$14*CEILING(G819,1)</f>
        <v>30.15</v>
      </c>
      <c r="Q819" s="61" t="n">
        <f aca="false">SUM(I819:P819)*Resumo!$C$11</f>
        <v>0</v>
      </c>
      <c r="R819" s="61" t="n">
        <f aca="false">SUM(I819:Q819)</f>
        <v>124.239958</v>
      </c>
      <c r="S819" s="61" t="n">
        <f aca="false">R819/(1-Resumo!$C$5)</f>
        <v>141.181770454545</v>
      </c>
      <c r="T819" s="61" t="n">
        <v>131.02</v>
      </c>
      <c r="U819" s="61" t="n">
        <f aca="false">H819*Resumo!$B$6</f>
        <v>0.69999</v>
      </c>
      <c r="V819" s="61" t="n">
        <f aca="false">H819*Resumo!$B$7</f>
        <v>1.39998</v>
      </c>
      <c r="W819" s="61" t="n">
        <f aca="false">Resumo!$B$9</f>
        <v>1</v>
      </c>
      <c r="X819" s="61" t="n">
        <f aca="false">Resumo!$B$10*CEILING(G819/100,1)</f>
        <v>4.5</v>
      </c>
      <c r="Y819" s="61" t="n">
        <f aca="false">Resumo!$B$12*CEILING(G819,1)</f>
        <v>4.02</v>
      </c>
      <c r="Z819" s="61" t="n">
        <f aca="false">Resumo!$B$14*CEILING(G819,1)</f>
        <v>30.15</v>
      </c>
      <c r="AA819" s="61" t="n">
        <f aca="false">SUM(T819:Z819)</f>
        <v>172.78997</v>
      </c>
      <c r="AB819" s="61" t="n">
        <f aca="false">AA819/(1-Resumo!$B$5)</f>
        <v>196.352238636364</v>
      </c>
      <c r="AC819" s="61" t="n">
        <f aca="false">AB819-S819</f>
        <v>55.1704681818182</v>
      </c>
      <c r="AD819" s="62" t="n">
        <f aca="false">AB819/S819-1</f>
        <v>0.390776146270108</v>
      </c>
      <c r="AE819" s="60" t="str">
        <f aca="false">IF(AB819&lt;S819,"SIM","NÃO")</f>
        <v>NÃO</v>
      </c>
      <c r="AF819" s="60" t="n">
        <v>2</v>
      </c>
      <c r="AG819" s="60" t="n">
        <v>5</v>
      </c>
      <c r="AH819" s="60" t="s">
        <v>382</v>
      </c>
      <c r="AI819" s="61" t="n">
        <f aca="false">(T819*(1-Painel!$C$40)+U819+V819+Painel!$C$41+Painel!$C$42*CEILING(G819/100,1)+Painel!$C$43*CEILING(G819,1)+Z819)/(1-Resumo!$B$5)</f>
        <v>138.731102272727</v>
      </c>
      <c r="AJ819" s="60" t="str">
        <f aca="false">IF(AI819&lt;S819,"SIM","NÃO")</f>
        <v>SIM</v>
      </c>
    </row>
    <row r="820" customFormat="false" ht="15" hidden="false" customHeight="false" outlineLevel="0" collapsed="false">
      <c r="A820" s="59" t="n">
        <v>46244.4009143519</v>
      </c>
      <c r="B820" s="60" t="s">
        <v>1159</v>
      </c>
      <c r="C820" s="60" t="n">
        <v>21725180</v>
      </c>
      <c r="D820" s="60" t="s">
        <v>46</v>
      </c>
      <c r="E820" s="60" t="s">
        <v>22</v>
      </c>
      <c r="F820" s="60" t="s">
        <v>235</v>
      </c>
      <c r="G820" s="60" t="n">
        <v>48</v>
      </c>
      <c r="H820" s="61" t="n">
        <v>815.51</v>
      </c>
      <c r="I820" s="61" t="n">
        <v>53.55</v>
      </c>
      <c r="J820" s="61" t="n">
        <f aca="false">H820*Resumo!$C$6</f>
        <v>0</v>
      </c>
      <c r="K820" s="61" t="n">
        <f aca="false">H820*Resumo!$C$7</f>
        <v>1.712571</v>
      </c>
      <c r="L820" s="61" t="n">
        <f aca="false">H820*Resumo!$C$8</f>
        <v>1.712571</v>
      </c>
      <c r="M820" s="61" t="n">
        <f aca="false">Resumo!$C$10*CEILING(G820/100,1)</f>
        <v>1.05</v>
      </c>
      <c r="N820" s="61" t="n">
        <f aca="false">Resumo!$C$9</f>
        <v>0</v>
      </c>
      <c r="O820" s="61" t="n">
        <f aca="false">Resumo!$C$13</f>
        <v>13.55</v>
      </c>
      <c r="P820" s="61" t="n">
        <f aca="false">Resumo!$C$14*CEILING(G820,1)</f>
        <v>21.6</v>
      </c>
      <c r="Q820" s="61" t="n">
        <f aca="false">SUM(I820:P820)*Resumo!$C$11</f>
        <v>0</v>
      </c>
      <c r="R820" s="61" t="n">
        <f aca="false">SUM(I820:Q820)</f>
        <v>93.175142</v>
      </c>
      <c r="S820" s="61" t="n">
        <f aca="false">R820/(1-Resumo!$C$5)</f>
        <v>105.880843181818</v>
      </c>
      <c r="T820" s="61" t="n">
        <v>93.97</v>
      </c>
      <c r="U820" s="61" t="n">
        <f aca="false">H820*Resumo!$B$6</f>
        <v>0.81551</v>
      </c>
      <c r="V820" s="61" t="n">
        <f aca="false">H820*Resumo!$B$7</f>
        <v>1.63102</v>
      </c>
      <c r="W820" s="61" t="n">
        <f aca="false">Resumo!$B$9</f>
        <v>1</v>
      </c>
      <c r="X820" s="61" t="n">
        <f aca="false">Resumo!$B$10*CEILING(G820/100,1)</f>
        <v>4.5</v>
      </c>
      <c r="Y820" s="61" t="n">
        <f aca="false">Resumo!$B$12*CEILING(G820,1)</f>
        <v>2.88</v>
      </c>
      <c r="Z820" s="61" t="n">
        <f aca="false">Resumo!$B$14*CEILING(G820,1)</f>
        <v>21.6</v>
      </c>
      <c r="AA820" s="61" t="n">
        <f aca="false">SUM(T820:Z820)</f>
        <v>126.39653</v>
      </c>
      <c r="AB820" s="61" t="n">
        <f aca="false">AA820/(1-Resumo!$B$5)</f>
        <v>143.632420454545</v>
      </c>
      <c r="AC820" s="61" t="n">
        <f aca="false">AB820-S820</f>
        <v>37.7515772727273</v>
      </c>
      <c r="AD820" s="62" t="n">
        <f aca="false">AB820/S820-1</f>
        <v>0.356547758199285</v>
      </c>
      <c r="AE820" s="60" t="str">
        <f aca="false">IF(AB820&lt;S820,"SIM","NÃO")</f>
        <v>NÃO</v>
      </c>
      <c r="AF820" s="60" t="n">
        <v>2</v>
      </c>
      <c r="AG820" s="60" t="n">
        <v>5</v>
      </c>
      <c r="AH820" s="60" t="s">
        <v>382</v>
      </c>
      <c r="AI820" s="61" t="n">
        <f aca="false">(T820*(1-Painel!$C$40)+U820+V820+Painel!$C$41+Painel!$C$42*CEILING(G820/100,1)+Painel!$C$43*CEILING(G820,1)+Z820)/(1-Resumo!$B$5)</f>
        <v>101.200488636364</v>
      </c>
      <c r="AJ820" s="60" t="str">
        <f aca="false">IF(AI820&lt;S820,"SIM","NÃO")</f>
        <v>SIM</v>
      </c>
    </row>
    <row r="821" customFormat="false" ht="15" hidden="false" customHeight="false" outlineLevel="0" collapsed="false">
      <c r="A821" s="59" t="n">
        <v>46244.4340740741</v>
      </c>
      <c r="B821" s="60" t="s">
        <v>1160</v>
      </c>
      <c r="C821" s="60" t="n">
        <v>26278010</v>
      </c>
      <c r="D821" s="60" t="s">
        <v>49</v>
      </c>
      <c r="E821" s="60" t="s">
        <v>23</v>
      </c>
      <c r="F821" s="60" t="s">
        <v>233</v>
      </c>
      <c r="G821" s="60" t="n">
        <v>31</v>
      </c>
      <c r="H821" s="61" t="n">
        <v>329.99</v>
      </c>
      <c r="I821" s="61" t="n">
        <v>58.8</v>
      </c>
      <c r="J821" s="61" t="n">
        <f aca="false">H821*Resumo!$C$6</f>
        <v>0</v>
      </c>
      <c r="K821" s="61" t="n">
        <f aca="false">H821*Resumo!$C$7</f>
        <v>0.692979</v>
      </c>
      <c r="L821" s="61" t="n">
        <f aca="false">H821*Resumo!$C$8</f>
        <v>0.692979</v>
      </c>
      <c r="M821" s="61" t="n">
        <f aca="false">Resumo!$C$10*CEILING(G821/100,1)</f>
        <v>1.05</v>
      </c>
      <c r="N821" s="61" t="n">
        <f aca="false">Resumo!$C$9</f>
        <v>0</v>
      </c>
      <c r="O821" s="61" t="n">
        <f aca="false">Resumo!$C$13</f>
        <v>13.55</v>
      </c>
      <c r="P821" s="61" t="n">
        <f aca="false">Resumo!$C$14*CEILING(G821,1)</f>
        <v>13.95</v>
      </c>
      <c r="Q821" s="61" t="n">
        <f aca="false">SUM(I821:P821)*Resumo!$C$11</f>
        <v>0</v>
      </c>
      <c r="R821" s="61" t="n">
        <f aca="false">SUM(I821:Q821)</f>
        <v>88.735958</v>
      </c>
      <c r="S821" s="61" t="n">
        <f aca="false">R821/(1-Resumo!$C$5)</f>
        <v>100.836315909091</v>
      </c>
      <c r="T821" s="61" t="n">
        <v>82.21</v>
      </c>
      <c r="U821" s="61" t="n">
        <f aca="false">H821*Resumo!$B$6</f>
        <v>0.32999</v>
      </c>
      <c r="V821" s="61" t="n">
        <f aca="false">H821*Resumo!$B$7</f>
        <v>0.65998</v>
      </c>
      <c r="W821" s="61" t="n">
        <f aca="false">Resumo!$B$9</f>
        <v>1</v>
      </c>
      <c r="X821" s="61" t="n">
        <f aca="false">Resumo!$B$10*CEILING(G821/100,1)</f>
        <v>4.5</v>
      </c>
      <c r="Y821" s="61" t="n">
        <f aca="false">Resumo!$B$12*CEILING(G821,1)</f>
        <v>1.86</v>
      </c>
      <c r="Z821" s="61" t="n">
        <f aca="false">Resumo!$B$14*CEILING(G821,1)</f>
        <v>13.95</v>
      </c>
      <c r="AA821" s="61" t="n">
        <f aca="false">SUM(T821:Z821)</f>
        <v>104.50997</v>
      </c>
      <c r="AB821" s="61" t="n">
        <f aca="false">AA821/(1-Resumo!$B$5)</f>
        <v>118.761329545455</v>
      </c>
      <c r="AC821" s="61" t="n">
        <f aca="false">AB821-S821</f>
        <v>17.9250136363636</v>
      </c>
      <c r="AD821" s="62" t="n">
        <f aca="false">AB821/S821-1</f>
        <v>0.177763472165365</v>
      </c>
      <c r="AE821" s="60" t="str">
        <f aca="false">IF(AB821&lt;S821,"SIM","NÃO")</f>
        <v>NÃO</v>
      </c>
      <c r="AF821" s="60" t="n">
        <v>2</v>
      </c>
      <c r="AG821" s="60" t="n">
        <v>5</v>
      </c>
      <c r="AH821" s="60" t="s">
        <v>382</v>
      </c>
      <c r="AI821" s="61" t="n">
        <f aca="false">(T821*(1-Painel!$C$40)+U821+V821+Painel!$C$41+Painel!$C$42*CEILING(G821/100,1)+Painel!$C$43*CEILING(G821,1)+Z821)/(1-Resumo!$B$5)</f>
        <v>81.8984886363636</v>
      </c>
      <c r="AJ821" s="60" t="str">
        <f aca="false">IF(AI821&lt;S821,"SIM","NÃO")</f>
        <v>SIM</v>
      </c>
    </row>
    <row r="822" customFormat="false" ht="15" hidden="false" customHeight="false" outlineLevel="0" collapsed="false">
      <c r="A822" s="59" t="n">
        <v>46244.4397685185</v>
      </c>
      <c r="B822" s="60" t="s">
        <v>1161</v>
      </c>
      <c r="C822" s="60" t="n">
        <v>22641004</v>
      </c>
      <c r="D822" s="60" t="s">
        <v>46</v>
      </c>
      <c r="E822" s="60" t="s">
        <v>22</v>
      </c>
      <c r="F822" s="60" t="s">
        <v>236</v>
      </c>
      <c r="G822" s="60" t="n">
        <v>52.3</v>
      </c>
      <c r="H822" s="61" t="n">
        <v>685.88</v>
      </c>
      <c r="I822" s="61" t="n">
        <v>58.6</v>
      </c>
      <c r="J822" s="61" t="n">
        <f aca="false">H822*Resumo!$C$6</f>
        <v>0</v>
      </c>
      <c r="K822" s="61" t="n">
        <f aca="false">H822*Resumo!$C$7</f>
        <v>1.440348</v>
      </c>
      <c r="L822" s="61" t="n">
        <f aca="false">H822*Resumo!$C$8</f>
        <v>1.440348</v>
      </c>
      <c r="M822" s="61" t="n">
        <f aca="false">Resumo!$C$10*CEILING(G822/100,1)</f>
        <v>1.05</v>
      </c>
      <c r="N822" s="61" t="n">
        <f aca="false">Resumo!$C$9</f>
        <v>0</v>
      </c>
      <c r="O822" s="61" t="n">
        <f aca="false">Resumo!$C$13</f>
        <v>13.55</v>
      </c>
      <c r="P822" s="61" t="n">
        <f aca="false">Resumo!$C$14*CEILING(G822,1)</f>
        <v>23.85</v>
      </c>
      <c r="Q822" s="61" t="n">
        <f aca="false">SUM(I822:P822)*Resumo!$C$11</f>
        <v>0</v>
      </c>
      <c r="R822" s="61" t="n">
        <f aca="false">SUM(I822:Q822)</f>
        <v>99.930696</v>
      </c>
      <c r="S822" s="61" t="n">
        <f aca="false">R822/(1-Resumo!$C$5)</f>
        <v>113.557609090909</v>
      </c>
      <c r="T822" s="61" t="n">
        <v>112.3</v>
      </c>
      <c r="U822" s="61" t="n">
        <f aca="false">H822*Resumo!$B$6</f>
        <v>0.68588</v>
      </c>
      <c r="V822" s="61" t="n">
        <f aca="false">H822*Resumo!$B$7</f>
        <v>1.37176</v>
      </c>
      <c r="W822" s="61" t="n">
        <f aca="false">Resumo!$B$9</f>
        <v>1</v>
      </c>
      <c r="X822" s="61" t="n">
        <f aca="false">Resumo!$B$10*CEILING(G822/100,1)</f>
        <v>4.5</v>
      </c>
      <c r="Y822" s="61" t="n">
        <f aca="false">Resumo!$B$12*CEILING(G822,1)</f>
        <v>3.18</v>
      </c>
      <c r="Z822" s="61" t="n">
        <f aca="false">Resumo!$B$14*CEILING(G822,1)</f>
        <v>23.85</v>
      </c>
      <c r="AA822" s="61" t="n">
        <f aca="false">SUM(T822:Z822)</f>
        <v>146.88764</v>
      </c>
      <c r="AB822" s="61" t="n">
        <f aca="false">AA822/(1-Resumo!$B$5)</f>
        <v>166.917772727273</v>
      </c>
      <c r="AC822" s="61" t="n">
        <f aca="false">AB822-S822</f>
        <v>53.3601636363636</v>
      </c>
      <c r="AD822" s="62" t="n">
        <f aca="false">AB822/S822-1</f>
        <v>0.469895096097399</v>
      </c>
      <c r="AE822" s="60" t="str">
        <f aca="false">IF(AB822&lt;S822,"SIM","NÃO")</f>
        <v>NÃO</v>
      </c>
      <c r="AF822" s="60" t="n">
        <v>2</v>
      </c>
      <c r="AG822" s="60" t="n">
        <v>5</v>
      </c>
      <c r="AH822" s="60" t="s">
        <v>382</v>
      </c>
      <c r="AI822" s="61" t="n">
        <f aca="false">(T822*(1-Painel!$C$40)+U822+V822+Painel!$C$41+Painel!$C$42*CEILING(G822/100,1)+Painel!$C$43*CEILING(G822,1)+Z822)/(1-Resumo!$B$5)</f>
        <v>117.271181818182</v>
      </c>
      <c r="AJ822" s="60" t="str">
        <f aca="false">IF(AI822&lt;S822,"SIM","NÃO")</f>
        <v>NÃO</v>
      </c>
    </row>
    <row r="823" customFormat="false" ht="15" hidden="false" customHeight="false" outlineLevel="0" collapsed="false">
      <c r="A823" s="59" t="n">
        <v>46244.4745717593</v>
      </c>
      <c r="B823" s="60" t="s">
        <v>1162</v>
      </c>
      <c r="C823" s="60" t="n">
        <v>25212610</v>
      </c>
      <c r="D823" s="60" t="s">
        <v>48</v>
      </c>
      <c r="E823" s="60" t="s">
        <v>23</v>
      </c>
      <c r="F823" s="60" t="s">
        <v>234</v>
      </c>
      <c r="G823" s="60" t="n">
        <v>39</v>
      </c>
      <c r="H823" s="61" t="n">
        <v>496.79</v>
      </c>
      <c r="I823" s="61" t="n">
        <v>66.83</v>
      </c>
      <c r="J823" s="61" t="n">
        <f aca="false">H823*Resumo!$C$6</f>
        <v>0</v>
      </c>
      <c r="K823" s="61" t="n">
        <f aca="false">H823*Resumo!$C$7</f>
        <v>1.043259</v>
      </c>
      <c r="L823" s="61" t="n">
        <f aca="false">H823*Resumo!$C$8</f>
        <v>1.043259</v>
      </c>
      <c r="M823" s="61" t="n">
        <f aca="false">Resumo!$C$10*CEILING(G823/100,1)</f>
        <v>1.05</v>
      </c>
      <c r="N823" s="61" t="n">
        <f aca="false">Resumo!$C$9</f>
        <v>0</v>
      </c>
      <c r="O823" s="61" t="n">
        <f aca="false">Resumo!$C$13</f>
        <v>13.55</v>
      </c>
      <c r="P823" s="61" t="n">
        <f aca="false">Resumo!$C$14*CEILING(G823,1)</f>
        <v>17.55</v>
      </c>
      <c r="Q823" s="61" t="n">
        <f aca="false">SUM(I823:P823)*Resumo!$C$11</f>
        <v>0</v>
      </c>
      <c r="R823" s="61" t="n">
        <f aca="false">SUM(I823:Q823)</f>
        <v>101.066518</v>
      </c>
      <c r="S823" s="61" t="n">
        <f aca="false">R823/(1-Resumo!$C$5)</f>
        <v>114.848315909091</v>
      </c>
      <c r="T823" s="61" t="n">
        <v>93.97</v>
      </c>
      <c r="U823" s="61" t="n">
        <f aca="false">H823*Resumo!$B$6</f>
        <v>0.49679</v>
      </c>
      <c r="V823" s="61" t="n">
        <f aca="false">H823*Resumo!$B$7</f>
        <v>0.99358</v>
      </c>
      <c r="W823" s="61" t="n">
        <f aca="false">Resumo!$B$9</f>
        <v>1</v>
      </c>
      <c r="X823" s="61" t="n">
        <f aca="false">Resumo!$B$10*CEILING(G823/100,1)</f>
        <v>4.5</v>
      </c>
      <c r="Y823" s="61" t="n">
        <f aca="false">Resumo!$B$12*CEILING(G823,1)</f>
        <v>2.34</v>
      </c>
      <c r="Z823" s="61" t="n">
        <f aca="false">Resumo!$B$14*CEILING(G823,1)</f>
        <v>17.55</v>
      </c>
      <c r="AA823" s="61" t="n">
        <f aca="false">SUM(T823:Z823)</f>
        <v>120.85037</v>
      </c>
      <c r="AB823" s="61" t="n">
        <f aca="false">AA823/(1-Resumo!$B$5)</f>
        <v>137.329965909091</v>
      </c>
      <c r="AC823" s="61" t="n">
        <f aca="false">AB823-S823</f>
        <v>22.48165</v>
      </c>
      <c r="AD823" s="62" t="n">
        <f aca="false">AB823/S823-1</f>
        <v>0.195750802456655</v>
      </c>
      <c r="AE823" s="60" t="str">
        <f aca="false">IF(AB823&lt;S823,"SIM","NÃO")</f>
        <v>NÃO</v>
      </c>
      <c r="AF823" s="60" t="n">
        <v>2</v>
      </c>
      <c r="AG823" s="60" t="n">
        <v>5</v>
      </c>
      <c r="AH823" s="60" t="s">
        <v>382</v>
      </c>
      <c r="AI823" s="61" t="n">
        <f aca="false">(T823*(1-Painel!$C$40)+U823+V823+Painel!$C$41+Painel!$C$42*CEILING(G823/100,1)+Painel!$C$43*CEILING(G823,1)+Z823)/(1-Resumo!$B$5)</f>
        <v>95.5116704545454</v>
      </c>
      <c r="AJ823" s="60" t="str">
        <f aca="false">IF(AI823&lt;S823,"SIM","NÃO")</f>
        <v>SIM</v>
      </c>
    </row>
    <row r="824" customFormat="false" ht="15" hidden="false" customHeight="false" outlineLevel="0" collapsed="false">
      <c r="A824" s="59" t="n">
        <v>46244.4917708333</v>
      </c>
      <c r="B824" s="60" t="s">
        <v>1163</v>
      </c>
      <c r="C824" s="60" t="n">
        <v>23025033</v>
      </c>
      <c r="D824" s="60" t="s">
        <v>46</v>
      </c>
      <c r="E824" s="60" t="s">
        <v>22</v>
      </c>
      <c r="F824" s="60" t="s">
        <v>235</v>
      </c>
      <c r="G824" s="60" t="n">
        <v>45</v>
      </c>
      <c r="H824" s="61" t="n">
        <v>531.42</v>
      </c>
      <c r="I824" s="61" t="n">
        <v>53.55</v>
      </c>
      <c r="J824" s="61" t="n">
        <f aca="false">H824*Resumo!$C$6</f>
        <v>0</v>
      </c>
      <c r="K824" s="61" t="n">
        <f aca="false">H824*Resumo!$C$7</f>
        <v>1.115982</v>
      </c>
      <c r="L824" s="61" t="n">
        <f aca="false">H824*Resumo!$C$8</f>
        <v>1.115982</v>
      </c>
      <c r="M824" s="61" t="n">
        <f aca="false">Resumo!$C$10*CEILING(G824/100,1)</f>
        <v>1.05</v>
      </c>
      <c r="N824" s="61" t="n">
        <f aca="false">Resumo!$C$9</f>
        <v>0</v>
      </c>
      <c r="O824" s="61" t="n">
        <f aca="false">Resumo!$C$13</f>
        <v>13.55</v>
      </c>
      <c r="P824" s="61" t="n">
        <f aca="false">Resumo!$C$14*CEILING(G824,1)</f>
        <v>20.25</v>
      </c>
      <c r="Q824" s="61" t="n">
        <f aca="false">SUM(I824:P824)*Resumo!$C$11</f>
        <v>0</v>
      </c>
      <c r="R824" s="61" t="n">
        <f aca="false">SUM(I824:Q824)</f>
        <v>90.631964</v>
      </c>
      <c r="S824" s="61" t="n">
        <f aca="false">R824/(1-Resumo!$C$5)</f>
        <v>102.990868181818</v>
      </c>
      <c r="T824" s="61" t="n">
        <v>93.97</v>
      </c>
      <c r="U824" s="61" t="n">
        <f aca="false">H824*Resumo!$B$6</f>
        <v>0.53142</v>
      </c>
      <c r="V824" s="61" t="n">
        <f aca="false">H824*Resumo!$B$7</f>
        <v>1.06284</v>
      </c>
      <c r="W824" s="61" t="n">
        <f aca="false">Resumo!$B$9</f>
        <v>1</v>
      </c>
      <c r="X824" s="61" t="n">
        <f aca="false">Resumo!$B$10*CEILING(G824/100,1)</f>
        <v>4.5</v>
      </c>
      <c r="Y824" s="61" t="n">
        <f aca="false">Resumo!$B$12*CEILING(G824,1)</f>
        <v>2.7</v>
      </c>
      <c r="Z824" s="61" t="n">
        <f aca="false">Resumo!$B$14*CEILING(G824,1)</f>
        <v>20.25</v>
      </c>
      <c r="AA824" s="61" t="n">
        <f aca="false">SUM(T824:Z824)</f>
        <v>124.01426</v>
      </c>
      <c r="AB824" s="61" t="n">
        <f aca="false">AA824/(1-Resumo!$B$5)</f>
        <v>140.925295454545</v>
      </c>
      <c r="AC824" s="61" t="n">
        <f aca="false">AB824-S824</f>
        <v>37.9344272727273</v>
      </c>
      <c r="AD824" s="62" t="n">
        <f aca="false">AB824/S824-1</f>
        <v>0.36832806580248</v>
      </c>
      <c r="AE824" s="60" t="str">
        <f aca="false">IF(AB824&lt;S824,"SIM","NÃO")</f>
        <v>NÃO</v>
      </c>
      <c r="AF824" s="60" t="n">
        <v>2</v>
      </c>
      <c r="AG824" s="60" t="n">
        <v>5</v>
      </c>
      <c r="AH824" s="60" t="s">
        <v>382</v>
      </c>
      <c r="AI824" s="61" t="n">
        <f aca="false">(T824*(1-Painel!$C$40)+U824+V824+Painel!$C$41+Painel!$C$42*CEILING(G824/100,1)+Painel!$C$43*CEILING(G824,1)+Z824)/(1-Resumo!$B$5)</f>
        <v>98.6979090909091</v>
      </c>
      <c r="AJ824" s="60" t="str">
        <f aca="false">IF(AI824&lt;S824,"SIM","NÃO")</f>
        <v>SIM</v>
      </c>
    </row>
    <row r="825" customFormat="false" ht="15" hidden="false" customHeight="false" outlineLevel="0" collapsed="false">
      <c r="A825" s="59" t="n">
        <v>46244.505462963</v>
      </c>
      <c r="B825" s="60" t="s">
        <v>1164</v>
      </c>
      <c r="C825" s="60" t="n">
        <v>26030095</v>
      </c>
      <c r="D825" s="60" t="s">
        <v>49</v>
      </c>
      <c r="E825" s="60" t="s">
        <v>23</v>
      </c>
      <c r="F825" s="60" t="s">
        <v>233</v>
      </c>
      <c r="G825" s="60" t="n">
        <v>33.11</v>
      </c>
      <c r="H825" s="61" t="n">
        <v>392.24</v>
      </c>
      <c r="I825" s="61" t="n">
        <v>58.8</v>
      </c>
      <c r="J825" s="61" t="n">
        <f aca="false">H825*Resumo!$C$6</f>
        <v>0</v>
      </c>
      <c r="K825" s="61" t="n">
        <f aca="false">H825*Resumo!$C$7</f>
        <v>0.823704</v>
      </c>
      <c r="L825" s="61" t="n">
        <f aca="false">H825*Resumo!$C$8</f>
        <v>0.823704</v>
      </c>
      <c r="M825" s="61" t="n">
        <f aca="false">Resumo!$C$10*CEILING(G825/100,1)</f>
        <v>1.05</v>
      </c>
      <c r="N825" s="61" t="n">
        <f aca="false">Resumo!$C$9</f>
        <v>0</v>
      </c>
      <c r="O825" s="61" t="n">
        <f aca="false">Resumo!$C$13</f>
        <v>13.55</v>
      </c>
      <c r="P825" s="61" t="n">
        <f aca="false">Resumo!$C$14*CEILING(G825,1)</f>
        <v>15.3</v>
      </c>
      <c r="Q825" s="61" t="n">
        <f aca="false">SUM(I825:P825)*Resumo!$C$11</f>
        <v>0</v>
      </c>
      <c r="R825" s="61" t="n">
        <f aca="false">SUM(I825:Q825)</f>
        <v>90.347408</v>
      </c>
      <c r="S825" s="61" t="n">
        <f aca="false">R825/(1-Resumo!$C$5)</f>
        <v>102.667509090909</v>
      </c>
      <c r="T825" s="61" t="n">
        <v>82.21</v>
      </c>
      <c r="U825" s="61" t="n">
        <f aca="false">H825*Resumo!$B$6</f>
        <v>0.39224</v>
      </c>
      <c r="V825" s="61" t="n">
        <f aca="false">H825*Resumo!$B$7</f>
        <v>0.78448</v>
      </c>
      <c r="W825" s="61" t="n">
        <f aca="false">Resumo!$B$9</f>
        <v>1</v>
      </c>
      <c r="X825" s="61" t="n">
        <f aca="false">Resumo!$B$10*CEILING(G825/100,1)</f>
        <v>4.5</v>
      </c>
      <c r="Y825" s="61" t="n">
        <f aca="false">Resumo!$B$12*CEILING(G825,1)</f>
        <v>2.04</v>
      </c>
      <c r="Z825" s="61" t="n">
        <f aca="false">Resumo!$B$14*CEILING(G825,1)</f>
        <v>15.3</v>
      </c>
      <c r="AA825" s="61" t="n">
        <f aca="false">SUM(T825:Z825)</f>
        <v>106.22672</v>
      </c>
      <c r="AB825" s="61" t="n">
        <f aca="false">AA825/(1-Resumo!$B$5)</f>
        <v>120.712181818182</v>
      </c>
      <c r="AC825" s="61" t="n">
        <f aca="false">AB825-S825</f>
        <v>18.0446727272727</v>
      </c>
      <c r="AD825" s="62" t="n">
        <f aca="false">AB825/S825-1</f>
        <v>0.175758357118557</v>
      </c>
      <c r="AE825" s="60" t="str">
        <f aca="false">IF(AB825&lt;S825,"SIM","NÃO")</f>
        <v>NÃO</v>
      </c>
      <c r="AF825" s="60" t="n">
        <v>2</v>
      </c>
      <c r="AG825" s="60" t="n">
        <v>5</v>
      </c>
      <c r="AH825" s="60" t="s">
        <v>382</v>
      </c>
      <c r="AI825" s="61" t="n">
        <f aca="false">(T825*(1-Painel!$C$40)+U825+V825+Painel!$C$41+Painel!$C$42*CEILING(G825/100,1)+Painel!$C$43*CEILING(G825,1)+Z825)/(1-Resumo!$B$5)</f>
        <v>83.6447954545455</v>
      </c>
      <c r="AJ825" s="60" t="str">
        <f aca="false">IF(AI825&lt;S825,"SIM","NÃO")</f>
        <v>SIM</v>
      </c>
    </row>
    <row r="826" customFormat="false" ht="15" hidden="false" customHeight="false" outlineLevel="0" collapsed="false">
      <c r="A826" s="59" t="n">
        <v>46244.5103240741</v>
      </c>
      <c r="B826" s="60" t="s">
        <v>1165</v>
      </c>
      <c r="C826" s="60" t="n">
        <v>26175240</v>
      </c>
      <c r="D826" s="60" t="s">
        <v>52</v>
      </c>
      <c r="E826" s="60" t="s">
        <v>23</v>
      </c>
      <c r="F826" s="60" t="s">
        <v>232</v>
      </c>
      <c r="G826" s="60" t="n">
        <v>19.5</v>
      </c>
      <c r="H826" s="61" t="n">
        <v>379.99</v>
      </c>
      <c r="I826" s="61" t="n">
        <v>42.72</v>
      </c>
      <c r="J826" s="61" t="n">
        <f aca="false">H826*Resumo!$C$6</f>
        <v>0</v>
      </c>
      <c r="K826" s="61" t="n">
        <f aca="false">H826*Resumo!$C$7</f>
        <v>0.797979</v>
      </c>
      <c r="L826" s="61" t="n">
        <f aca="false">H826*Resumo!$C$8</f>
        <v>0.797979</v>
      </c>
      <c r="M826" s="61" t="n">
        <f aca="false">Resumo!$C$10*CEILING(G826/100,1)</f>
        <v>1.05</v>
      </c>
      <c r="N826" s="61" t="n">
        <f aca="false">Resumo!$C$9</f>
        <v>0</v>
      </c>
      <c r="O826" s="61" t="n">
        <f aca="false">Resumo!$C$13</f>
        <v>13.55</v>
      </c>
      <c r="P826" s="61" t="n">
        <f aca="false">Resumo!$C$14*CEILING(G826,1)</f>
        <v>9</v>
      </c>
      <c r="Q826" s="61" t="n">
        <f aca="false">SUM(I826:P826)*Resumo!$C$11</f>
        <v>0</v>
      </c>
      <c r="R826" s="61" t="n">
        <f aca="false">SUM(I826:Q826)</f>
        <v>67.915958</v>
      </c>
      <c r="S826" s="61" t="n">
        <f aca="false">R826/(1-Resumo!$C$5)</f>
        <v>77.177225</v>
      </c>
      <c r="T826" s="61" t="n">
        <v>46.98</v>
      </c>
      <c r="U826" s="61" t="n">
        <f aca="false">H826*Resumo!$B$6</f>
        <v>0.37999</v>
      </c>
      <c r="V826" s="61" t="n">
        <f aca="false">H826*Resumo!$B$7</f>
        <v>0.75998</v>
      </c>
      <c r="W826" s="61" t="n">
        <f aca="false">Resumo!$B$9</f>
        <v>1</v>
      </c>
      <c r="X826" s="61" t="n">
        <f aca="false">Resumo!$B$10*CEILING(G826/100,1)</f>
        <v>4.5</v>
      </c>
      <c r="Y826" s="61" t="n">
        <f aca="false">Resumo!$B$12*CEILING(G826,1)</f>
        <v>1.2</v>
      </c>
      <c r="Z826" s="61" t="n">
        <f aca="false">Resumo!$B$14*CEILING(G826,1)</f>
        <v>9</v>
      </c>
      <c r="AA826" s="61" t="n">
        <f aca="false">SUM(T826:Z826)</f>
        <v>63.81997</v>
      </c>
      <c r="AB826" s="61" t="n">
        <f aca="false">AA826/(1-Resumo!$B$5)</f>
        <v>72.5226931818182</v>
      </c>
      <c r="AC826" s="61" t="n">
        <f aca="false">AB826-S826</f>
        <v>-4.65453181818181</v>
      </c>
      <c r="AD826" s="62" t="n">
        <f aca="false">AB826/S826-1</f>
        <v>-0.0603096550592718</v>
      </c>
      <c r="AE826" s="60" t="str">
        <f aca="false">IF(AB826&lt;S826,"SIM","NÃO")</f>
        <v>SIM</v>
      </c>
      <c r="AF826" s="60" t="n">
        <v>2</v>
      </c>
      <c r="AG826" s="60" t="n">
        <v>5</v>
      </c>
      <c r="AH826" s="60" t="s">
        <v>382</v>
      </c>
      <c r="AI826" s="61" t="n">
        <f aca="false">(T826*(1-Painel!$C$40)+U826+V826+Painel!$C$41+Painel!$C$42*CEILING(G826/100,1)+Painel!$C$43*CEILING(G826,1)+Z826)/(1-Resumo!$B$5)</f>
        <v>49.6211022727273</v>
      </c>
      <c r="AJ826" s="60" t="str">
        <f aca="false">IF(AI826&lt;S826,"SIM","NÃO")</f>
        <v>SIM</v>
      </c>
    </row>
    <row r="827" customFormat="false" ht="15" hidden="false" customHeight="false" outlineLevel="0" collapsed="false">
      <c r="A827" s="59" t="n">
        <v>46244.5465046296</v>
      </c>
      <c r="B827" s="60" t="s">
        <v>1166</v>
      </c>
      <c r="C827" s="60" t="n">
        <v>21515070</v>
      </c>
      <c r="D827" s="60" t="s">
        <v>46</v>
      </c>
      <c r="E827" s="60" t="s">
        <v>22</v>
      </c>
      <c r="F827" s="60" t="s">
        <v>235</v>
      </c>
      <c r="G827" s="60" t="n">
        <v>48.3</v>
      </c>
      <c r="H827" s="61" t="n">
        <v>429.99</v>
      </c>
      <c r="I827" s="61" t="n">
        <v>53.55</v>
      </c>
      <c r="J827" s="61" t="n">
        <f aca="false">H827*Resumo!$C$6</f>
        <v>0</v>
      </c>
      <c r="K827" s="61" t="n">
        <f aca="false">H827*Resumo!$C$7</f>
        <v>0.902979</v>
      </c>
      <c r="L827" s="61" t="n">
        <f aca="false">H827*Resumo!$C$8</f>
        <v>0.902979</v>
      </c>
      <c r="M827" s="61" t="n">
        <f aca="false">Resumo!$C$10*CEILING(G827/100,1)</f>
        <v>1.05</v>
      </c>
      <c r="N827" s="61" t="n">
        <f aca="false">Resumo!$C$9</f>
        <v>0</v>
      </c>
      <c r="O827" s="61" t="n">
        <f aca="false">Resumo!$C$13</f>
        <v>13.55</v>
      </c>
      <c r="P827" s="61" t="n">
        <f aca="false">Resumo!$C$14*CEILING(G827,1)</f>
        <v>22.05</v>
      </c>
      <c r="Q827" s="61" t="n">
        <f aca="false">SUM(I827:P827)*Resumo!$C$11</f>
        <v>0</v>
      </c>
      <c r="R827" s="61" t="n">
        <f aca="false">SUM(I827:Q827)</f>
        <v>92.005958</v>
      </c>
      <c r="S827" s="61" t="n">
        <f aca="false">R827/(1-Resumo!$C$5)</f>
        <v>104.552225</v>
      </c>
      <c r="T827" s="61" t="n">
        <v>93.97</v>
      </c>
      <c r="U827" s="61" t="n">
        <f aca="false">H827*Resumo!$B$6</f>
        <v>0.42999</v>
      </c>
      <c r="V827" s="61" t="n">
        <f aca="false">H827*Resumo!$B$7</f>
        <v>0.85998</v>
      </c>
      <c r="W827" s="61" t="n">
        <f aca="false">Resumo!$B$9</f>
        <v>1</v>
      </c>
      <c r="X827" s="61" t="n">
        <f aca="false">Resumo!$B$10*CEILING(G827/100,1)</f>
        <v>4.5</v>
      </c>
      <c r="Y827" s="61" t="n">
        <f aca="false">Resumo!$B$12*CEILING(G827,1)</f>
        <v>2.94</v>
      </c>
      <c r="Z827" s="61" t="n">
        <f aca="false">Resumo!$B$14*CEILING(G827,1)</f>
        <v>22.05</v>
      </c>
      <c r="AA827" s="61" t="n">
        <f aca="false">SUM(T827:Z827)</f>
        <v>125.74997</v>
      </c>
      <c r="AB827" s="61" t="n">
        <f aca="false">AA827/(1-Resumo!$B$5)</f>
        <v>142.897693181818</v>
      </c>
      <c r="AC827" s="61" t="n">
        <f aca="false">AB827-S827</f>
        <v>38.3454681818182</v>
      </c>
      <c r="AD827" s="62" t="n">
        <f aca="false">AB827/S827-1</f>
        <v>0.366758987499483</v>
      </c>
      <c r="AE827" s="60" t="str">
        <f aca="false">IF(AB827&lt;S827,"SIM","NÃO")</f>
        <v>NÃO</v>
      </c>
      <c r="AF827" s="60" t="n">
        <v>2</v>
      </c>
      <c r="AG827" s="60" t="n">
        <v>5</v>
      </c>
      <c r="AH827" s="60" t="s">
        <v>382</v>
      </c>
      <c r="AI827" s="61" t="n">
        <f aca="false">(T827*(1-Painel!$C$40)+U827+V827+Painel!$C$41+Painel!$C$42*CEILING(G827/100,1)+Painel!$C$43*CEILING(G827,1)+Z827)/(1-Resumo!$B$5)</f>
        <v>100.397579545455</v>
      </c>
      <c r="AJ827" s="60" t="str">
        <f aca="false">IF(AI827&lt;S827,"SIM","NÃO")</f>
        <v>SIM</v>
      </c>
    </row>
    <row r="828" customFormat="false" ht="15" hidden="false" customHeight="false" outlineLevel="0" collapsed="false">
      <c r="A828" s="59" t="n">
        <v>46244.5593287037</v>
      </c>
      <c r="B828" s="60" t="s">
        <v>1167</v>
      </c>
      <c r="C828" s="60" t="n">
        <v>24020320</v>
      </c>
      <c r="D828" s="60" t="s">
        <v>50</v>
      </c>
      <c r="E828" s="60" t="s">
        <v>23</v>
      </c>
      <c r="F828" s="60" t="s">
        <v>234</v>
      </c>
      <c r="G828" s="60" t="n">
        <v>40</v>
      </c>
      <c r="H828" s="61" t="n">
        <v>510.39</v>
      </c>
      <c r="I828" s="61" t="n">
        <v>66.83</v>
      </c>
      <c r="J828" s="61" t="n">
        <f aca="false">H828*Resumo!$C$6</f>
        <v>0</v>
      </c>
      <c r="K828" s="61" t="n">
        <f aca="false">H828*Resumo!$C$7</f>
        <v>1.071819</v>
      </c>
      <c r="L828" s="61" t="n">
        <f aca="false">H828*Resumo!$C$8</f>
        <v>1.071819</v>
      </c>
      <c r="M828" s="61" t="n">
        <f aca="false">Resumo!$C$10*CEILING(G828/100,1)</f>
        <v>1.05</v>
      </c>
      <c r="N828" s="61" t="n">
        <f aca="false">Resumo!$C$9</f>
        <v>0</v>
      </c>
      <c r="O828" s="61" t="n">
        <f aca="false">Resumo!$C$13</f>
        <v>13.55</v>
      </c>
      <c r="P828" s="61" t="n">
        <f aca="false">Resumo!$C$14*CEILING(G828,1)</f>
        <v>18</v>
      </c>
      <c r="Q828" s="61" t="n">
        <f aca="false">SUM(I828:P828)*Resumo!$C$11</f>
        <v>0</v>
      </c>
      <c r="R828" s="61" t="n">
        <f aca="false">SUM(I828:Q828)</f>
        <v>101.573638</v>
      </c>
      <c r="S828" s="61" t="n">
        <f aca="false">R828/(1-Resumo!$C$5)</f>
        <v>115.424588636364</v>
      </c>
      <c r="T828" s="61" t="n">
        <v>114.95</v>
      </c>
      <c r="U828" s="61" t="n">
        <f aca="false">H828*Resumo!$B$6</f>
        <v>0.51039</v>
      </c>
      <c r="V828" s="61" t="n">
        <f aca="false">H828*Resumo!$B$7</f>
        <v>1.02078</v>
      </c>
      <c r="W828" s="61" t="n">
        <f aca="false">Resumo!$B$9</f>
        <v>1</v>
      </c>
      <c r="X828" s="61" t="n">
        <f aca="false">Resumo!$B$10*CEILING(G828/100,1)</f>
        <v>4.5</v>
      </c>
      <c r="Y828" s="61" t="n">
        <f aca="false">Resumo!$B$12*CEILING(G828,1)</f>
        <v>2.4</v>
      </c>
      <c r="Z828" s="61" t="n">
        <f aca="false">Resumo!$B$14*CEILING(G828,1)</f>
        <v>18</v>
      </c>
      <c r="AA828" s="61" t="n">
        <f aca="false">SUM(T828:Z828)</f>
        <v>142.38117</v>
      </c>
      <c r="AB828" s="61" t="n">
        <f aca="false">AA828/(1-Resumo!$B$5)</f>
        <v>161.796784090909</v>
      </c>
      <c r="AC828" s="61" t="n">
        <f aca="false">AB828-S828</f>
        <v>46.3721954545455</v>
      </c>
      <c r="AD828" s="62" t="n">
        <f aca="false">AB828/S828-1</f>
        <v>0.40175317930426</v>
      </c>
      <c r="AE828" s="60" t="str">
        <f aca="false">IF(AB828&lt;S828,"SIM","NÃO")</f>
        <v>NÃO</v>
      </c>
      <c r="AF828" s="60" t="n">
        <v>2</v>
      </c>
      <c r="AG828" s="60" t="n">
        <v>7</v>
      </c>
      <c r="AH828" s="60" t="s">
        <v>382</v>
      </c>
      <c r="AI828" s="61" t="n">
        <f aca="false">(T828*(1-Painel!$C$40)+U828+V828+Painel!$C$41+Painel!$C$42*CEILING(G828/100,1)+Painel!$C$43*CEILING(G828,1)+Z828)/(1-Resumo!$B$5)</f>
        <v>112.042806818182</v>
      </c>
      <c r="AJ828" s="60" t="str">
        <f aca="false">IF(AI828&lt;S828,"SIM","NÃO")</f>
        <v>SIM</v>
      </c>
    </row>
    <row r="829" customFormat="false" ht="15" hidden="false" customHeight="false" outlineLevel="0" collapsed="false">
      <c r="A829" s="59" t="n">
        <v>46244.5619328704</v>
      </c>
      <c r="B829" s="60" t="s">
        <v>1168</v>
      </c>
      <c r="C829" s="60" t="n">
        <v>21341370</v>
      </c>
      <c r="D829" s="60" t="s">
        <v>46</v>
      </c>
      <c r="E829" s="60" t="s">
        <v>22</v>
      </c>
      <c r="F829" s="60" t="s">
        <v>237</v>
      </c>
      <c r="G829" s="60" t="n">
        <v>69.15</v>
      </c>
      <c r="H829" s="61" t="n">
        <v>684</v>
      </c>
      <c r="I829" s="61" t="n">
        <v>63.21</v>
      </c>
      <c r="J829" s="61" t="n">
        <f aca="false">H829*Resumo!$C$6</f>
        <v>0</v>
      </c>
      <c r="K829" s="61" t="n">
        <f aca="false">H829*Resumo!$C$7</f>
        <v>1.4364</v>
      </c>
      <c r="L829" s="61" t="n">
        <f aca="false">H829*Resumo!$C$8</f>
        <v>1.4364</v>
      </c>
      <c r="M829" s="61" t="n">
        <f aca="false">Resumo!$C$10*CEILING(G829/100,1)</f>
        <v>1.05</v>
      </c>
      <c r="N829" s="61" t="n">
        <f aca="false">Resumo!$C$9</f>
        <v>0</v>
      </c>
      <c r="O829" s="61" t="n">
        <f aca="false">Resumo!$C$13</f>
        <v>13.55</v>
      </c>
      <c r="P829" s="61" t="n">
        <f aca="false">Resumo!$C$14*CEILING(G829,1)</f>
        <v>31.5</v>
      </c>
      <c r="Q829" s="61" t="n">
        <f aca="false">SUM(I829:P829)*Resumo!$C$11</f>
        <v>0</v>
      </c>
      <c r="R829" s="61" t="n">
        <f aca="false">SUM(I829:Q829)</f>
        <v>112.1828</v>
      </c>
      <c r="S829" s="61" t="n">
        <f aca="false">R829/(1-Resumo!$C$5)</f>
        <v>127.480454545455</v>
      </c>
      <c r="T829" s="61" t="n">
        <v>131.02</v>
      </c>
      <c r="U829" s="61" t="n">
        <f aca="false">H829*Resumo!$B$6</f>
        <v>0.684</v>
      </c>
      <c r="V829" s="61" t="n">
        <f aca="false">H829*Resumo!$B$7</f>
        <v>1.368</v>
      </c>
      <c r="W829" s="61" t="n">
        <f aca="false">Resumo!$B$9</f>
        <v>1</v>
      </c>
      <c r="X829" s="61" t="n">
        <f aca="false">Resumo!$B$10*CEILING(G829/100,1)</f>
        <v>4.5</v>
      </c>
      <c r="Y829" s="61" t="n">
        <f aca="false">Resumo!$B$12*CEILING(G829,1)</f>
        <v>4.2</v>
      </c>
      <c r="Z829" s="61" t="n">
        <f aca="false">Resumo!$B$14*CEILING(G829,1)</f>
        <v>31.5</v>
      </c>
      <c r="AA829" s="61" t="n">
        <f aca="false">SUM(T829:Z829)</f>
        <v>174.272</v>
      </c>
      <c r="AB829" s="61" t="n">
        <f aca="false">AA829/(1-Resumo!$B$5)</f>
        <v>198.036363636364</v>
      </c>
      <c r="AC829" s="61" t="n">
        <f aca="false">AB829-S829</f>
        <v>70.5559090909091</v>
      </c>
      <c r="AD829" s="62" t="n">
        <f aca="false">AB829/S829-1</f>
        <v>0.553464523973372</v>
      </c>
      <c r="AE829" s="60" t="str">
        <f aca="false">IF(AB829&lt;S829,"SIM","NÃO")</f>
        <v>NÃO</v>
      </c>
      <c r="AF829" s="60" t="n">
        <v>2</v>
      </c>
      <c r="AG829" s="60" t="n">
        <v>5</v>
      </c>
      <c r="AH829" s="60" t="s">
        <v>382</v>
      </c>
      <c r="AI829" s="61" t="n">
        <f aca="false">(T829*(1-Painel!$C$40)+U829+V829+Painel!$C$41+Painel!$C$42*CEILING(G829/100,1)+Painel!$C$43*CEILING(G829,1)+Z829)/(1-Resumo!$B$5)</f>
        <v>140.210681818182</v>
      </c>
      <c r="AJ829" s="60" t="str">
        <f aca="false">IF(AI829&lt;S829,"SIM","NÃO")</f>
        <v>NÃO</v>
      </c>
    </row>
    <row r="830" customFormat="false" ht="15" hidden="false" customHeight="false" outlineLevel="0" collapsed="false">
      <c r="A830" s="59" t="n">
        <v>46244.5662615741</v>
      </c>
      <c r="B830" s="60" t="s">
        <v>1169</v>
      </c>
      <c r="C830" s="60" t="n">
        <v>23587460</v>
      </c>
      <c r="D830" s="60" t="s">
        <v>46</v>
      </c>
      <c r="E830" s="60" t="s">
        <v>22</v>
      </c>
      <c r="F830" s="60" t="s">
        <v>241</v>
      </c>
      <c r="G830" s="60" t="n">
        <v>124.2</v>
      </c>
      <c r="H830" s="61" t="n">
        <v>1699.99</v>
      </c>
      <c r="I830" s="61" t="n">
        <v>120.59</v>
      </c>
      <c r="J830" s="61" t="n">
        <f aca="false">H830*Resumo!$C$6</f>
        <v>0</v>
      </c>
      <c r="K830" s="61" t="n">
        <f aca="false">H830*Resumo!$C$7</f>
        <v>3.569979</v>
      </c>
      <c r="L830" s="61" t="n">
        <f aca="false">H830*Resumo!$C$8</f>
        <v>3.569979</v>
      </c>
      <c r="M830" s="61" t="n">
        <f aca="false">Resumo!$C$10*CEILING(G830/100,1)</f>
        <v>2.1</v>
      </c>
      <c r="N830" s="61" t="n">
        <f aca="false">Resumo!$C$9</f>
        <v>0</v>
      </c>
      <c r="O830" s="61" t="n">
        <f aca="false">Resumo!$C$13</f>
        <v>13.55</v>
      </c>
      <c r="P830" s="61" t="n">
        <f aca="false">Resumo!$C$14*CEILING(G830,1)</f>
        <v>56.25</v>
      </c>
      <c r="Q830" s="61" t="n">
        <f aca="false">SUM(I830:P830)*Resumo!$C$11</f>
        <v>0</v>
      </c>
      <c r="R830" s="61" t="n">
        <f aca="false">SUM(I830:Q830)</f>
        <v>199.629958</v>
      </c>
      <c r="S830" s="61" t="n">
        <f aca="false">R830/(1-Resumo!$C$5)</f>
        <v>226.852225</v>
      </c>
      <c r="T830" s="61" t="n">
        <v>239.25</v>
      </c>
      <c r="U830" s="61" t="n">
        <f aca="false">H830*Resumo!$B$6</f>
        <v>1.69999</v>
      </c>
      <c r="V830" s="61" t="n">
        <f aca="false">H830*Resumo!$B$7</f>
        <v>3.39998</v>
      </c>
      <c r="W830" s="61" t="n">
        <f aca="false">Resumo!$B$9</f>
        <v>1</v>
      </c>
      <c r="X830" s="61" t="n">
        <f aca="false">Resumo!$B$10*CEILING(G830/100,1)</f>
        <v>9</v>
      </c>
      <c r="Y830" s="61" t="n">
        <f aca="false">Resumo!$B$12*CEILING(G830,1)</f>
        <v>7.5</v>
      </c>
      <c r="Z830" s="61" t="n">
        <f aca="false">Resumo!$B$14*CEILING(G830,1)</f>
        <v>56.25</v>
      </c>
      <c r="AA830" s="61" t="n">
        <f aca="false">SUM(T830:Z830)</f>
        <v>318.09997</v>
      </c>
      <c r="AB830" s="61" t="n">
        <f aca="false">AA830/(1-Resumo!$B$5)</f>
        <v>361.477238636364</v>
      </c>
      <c r="AC830" s="61" t="n">
        <f aca="false">AB830-S830</f>
        <v>134.625013636364</v>
      </c>
      <c r="AD830" s="62" t="n">
        <f aca="false">AB830/S830-1</f>
        <v>0.593448063541645</v>
      </c>
      <c r="AE830" s="60" t="str">
        <f aca="false">IF(AB830&lt;S830,"SIM","NÃO")</f>
        <v>NÃO</v>
      </c>
      <c r="AF830" s="60" t="n">
        <v>2</v>
      </c>
      <c r="AG830" s="60" t="n">
        <v>5</v>
      </c>
      <c r="AH830" s="60" t="s">
        <v>382</v>
      </c>
      <c r="AI830" s="61" t="n">
        <f aca="false">(T830*(1-Painel!$C$40)+U830+V830+Painel!$C$41+Painel!$C$42*CEILING(G830/100,1)+Painel!$C$43*CEILING(G830,1)+Z830)/(1-Resumo!$B$5)</f>
        <v>255.394852272727</v>
      </c>
      <c r="AJ830" s="60" t="str">
        <f aca="false">IF(AI830&lt;S830,"SIM","NÃO")</f>
        <v>NÃO</v>
      </c>
    </row>
    <row r="831" customFormat="false" ht="15" hidden="false" customHeight="false" outlineLevel="0" collapsed="false">
      <c r="A831" s="59" t="n">
        <v>46244.5896296296</v>
      </c>
      <c r="B831" s="60" t="s">
        <v>1170</v>
      </c>
      <c r="C831" s="60" t="n">
        <v>21520280</v>
      </c>
      <c r="D831" s="60" t="s">
        <v>46</v>
      </c>
      <c r="E831" s="60" t="s">
        <v>22</v>
      </c>
      <c r="F831" s="60" t="s">
        <v>233</v>
      </c>
      <c r="G831" s="60" t="n">
        <v>21.75</v>
      </c>
      <c r="H831" s="61" t="n">
        <v>319.99</v>
      </c>
      <c r="I831" s="61" t="n">
        <v>42.11</v>
      </c>
      <c r="J831" s="61" t="n">
        <f aca="false">H831*Resumo!$C$6</f>
        <v>0</v>
      </c>
      <c r="K831" s="61" t="n">
        <f aca="false">H831*Resumo!$C$7</f>
        <v>0.671979</v>
      </c>
      <c r="L831" s="61" t="n">
        <f aca="false">H831*Resumo!$C$8</f>
        <v>0.671979</v>
      </c>
      <c r="M831" s="61" t="n">
        <f aca="false">Resumo!$C$10*CEILING(G831/100,1)</f>
        <v>1.05</v>
      </c>
      <c r="N831" s="61" t="n">
        <f aca="false">Resumo!$C$9</f>
        <v>0</v>
      </c>
      <c r="O831" s="61" t="n">
        <f aca="false">Resumo!$C$13</f>
        <v>13.55</v>
      </c>
      <c r="P831" s="61" t="n">
        <f aca="false">Resumo!$C$14*CEILING(G831,1)</f>
        <v>9.9</v>
      </c>
      <c r="Q831" s="61" t="n">
        <f aca="false">SUM(I831:P831)*Resumo!$C$11</f>
        <v>0</v>
      </c>
      <c r="R831" s="61" t="n">
        <f aca="false">SUM(I831:Q831)</f>
        <v>67.953958</v>
      </c>
      <c r="S831" s="61" t="n">
        <f aca="false">R831/(1-Resumo!$C$5)</f>
        <v>77.2204068181818</v>
      </c>
      <c r="T831" s="61" t="n">
        <v>82.21</v>
      </c>
      <c r="U831" s="61" t="n">
        <f aca="false">H831*Resumo!$B$6</f>
        <v>0.31999</v>
      </c>
      <c r="V831" s="61" t="n">
        <f aca="false">H831*Resumo!$B$7</f>
        <v>0.63998</v>
      </c>
      <c r="W831" s="61" t="n">
        <f aca="false">Resumo!$B$9</f>
        <v>1</v>
      </c>
      <c r="X831" s="61" t="n">
        <f aca="false">Resumo!$B$10*CEILING(G831/100,1)</f>
        <v>4.5</v>
      </c>
      <c r="Y831" s="61" t="n">
        <f aca="false">Resumo!$B$12*CEILING(G831,1)</f>
        <v>1.32</v>
      </c>
      <c r="Z831" s="61" t="n">
        <f aca="false">Resumo!$B$14*CEILING(G831,1)</f>
        <v>9.9</v>
      </c>
      <c r="AA831" s="61" t="n">
        <f aca="false">SUM(T831:Z831)</f>
        <v>99.88997</v>
      </c>
      <c r="AB831" s="61" t="n">
        <f aca="false">AA831/(1-Resumo!$B$5)</f>
        <v>113.511329545455</v>
      </c>
      <c r="AC831" s="61" t="n">
        <f aca="false">AB831-S831</f>
        <v>36.2909227272727</v>
      </c>
      <c r="AD831" s="62" t="n">
        <f aca="false">AB831/S831-1</f>
        <v>0.469965443366816</v>
      </c>
      <c r="AE831" s="60" t="str">
        <f aca="false">IF(AB831&lt;S831,"SIM","NÃO")</f>
        <v>NÃO</v>
      </c>
      <c r="AF831" s="60" t="n">
        <v>2</v>
      </c>
      <c r="AG831" s="60" t="n">
        <v>5</v>
      </c>
      <c r="AH831" s="60" t="s">
        <v>382</v>
      </c>
      <c r="AI831" s="61" t="n">
        <f aca="false">(T831*(1-Painel!$C$40)+U831+V831+Painel!$C$41+Painel!$C$42*CEILING(G831/100,1)+Painel!$C$43*CEILING(G831,1)+Z831)/(1-Resumo!$B$5)</f>
        <v>77.262125</v>
      </c>
      <c r="AJ831" s="60" t="str">
        <f aca="false">IF(AI831&lt;S831,"SIM","NÃO")</f>
        <v>NÃO</v>
      </c>
    </row>
    <row r="832" customFormat="false" ht="15" hidden="false" customHeight="false" outlineLevel="0" collapsed="false">
      <c r="A832" s="59" t="n">
        <v>46244.6097222222</v>
      </c>
      <c r="B832" s="60" t="s">
        <v>1171</v>
      </c>
      <c r="C832" s="60" t="n">
        <v>28027040</v>
      </c>
      <c r="D832" s="60" t="s">
        <v>51</v>
      </c>
      <c r="E832" s="60" t="s">
        <v>24</v>
      </c>
      <c r="F832" s="60" t="s">
        <v>236</v>
      </c>
      <c r="G832" s="60" t="n">
        <v>52.3</v>
      </c>
      <c r="H832" s="61" t="n">
        <v>640.18</v>
      </c>
      <c r="I832" s="61" t="n">
        <v>83.58</v>
      </c>
      <c r="J832" s="61" t="n">
        <f aca="false">H832*Resumo!$C$6</f>
        <v>0</v>
      </c>
      <c r="K832" s="61" t="n">
        <f aca="false">H832*Resumo!$C$7</f>
        <v>1.344378</v>
      </c>
      <c r="L832" s="61" t="n">
        <f aca="false">H832*Resumo!$C$8</f>
        <v>1.344378</v>
      </c>
      <c r="M832" s="61" t="n">
        <f aca="false">Resumo!$C$10*CEILING(G832/100,1)</f>
        <v>1.05</v>
      </c>
      <c r="N832" s="61" t="n">
        <f aca="false">Resumo!$C$9</f>
        <v>0</v>
      </c>
      <c r="O832" s="61" t="n">
        <f aca="false">Resumo!$C$13</f>
        <v>13.55</v>
      </c>
      <c r="P832" s="61" t="n">
        <f aca="false">Resumo!$C$14*CEILING(G832,1)</f>
        <v>23.85</v>
      </c>
      <c r="Q832" s="61" t="n">
        <f aca="false">SUM(I832:P832)*Resumo!$C$11</f>
        <v>0</v>
      </c>
      <c r="R832" s="61" t="n">
        <f aca="false">SUM(I832:Q832)</f>
        <v>124.718756</v>
      </c>
      <c r="S832" s="61" t="n">
        <f aca="false">R832/(1-Resumo!$C$5)</f>
        <v>141.725859090909</v>
      </c>
      <c r="T832" s="61" t="n">
        <v>162.04</v>
      </c>
      <c r="U832" s="61" t="n">
        <f aca="false">H832*Resumo!$B$6</f>
        <v>0.64018</v>
      </c>
      <c r="V832" s="61" t="n">
        <f aca="false">H832*Resumo!$B$7</f>
        <v>1.28036</v>
      </c>
      <c r="W832" s="61" t="n">
        <f aca="false">Resumo!$B$9</f>
        <v>1</v>
      </c>
      <c r="X832" s="61" t="n">
        <f aca="false">Resumo!$B$10*CEILING(G832/100,1)</f>
        <v>4.5</v>
      </c>
      <c r="Y832" s="61" t="n">
        <f aca="false">Resumo!$B$12*CEILING(G832,1)</f>
        <v>3.18</v>
      </c>
      <c r="Z832" s="61" t="n">
        <f aca="false">Resumo!$B$14*CEILING(G832,1)</f>
        <v>23.85</v>
      </c>
      <c r="AA832" s="61" t="n">
        <f aca="false">SUM(T832:Z832)</f>
        <v>196.49054</v>
      </c>
      <c r="AB832" s="61" t="n">
        <f aca="false">AA832/(1-Resumo!$B$5)</f>
        <v>223.284704545455</v>
      </c>
      <c r="AC832" s="61" t="n">
        <f aca="false">AB832-S832</f>
        <v>81.5588454545454</v>
      </c>
      <c r="AD832" s="62" t="n">
        <f aca="false">AB832/S832-1</f>
        <v>0.575469049739399</v>
      </c>
      <c r="AE832" s="60" t="str">
        <f aca="false">IF(AB832&lt;S832,"SIM","NÃO")</f>
        <v>NÃO</v>
      </c>
      <c r="AF832" s="60" t="n">
        <v>13</v>
      </c>
      <c r="AG832" s="60" t="n">
        <v>11</v>
      </c>
      <c r="AH832" s="60" t="s">
        <v>382</v>
      </c>
      <c r="AI832" s="61" t="n">
        <f aca="false">(T832*(1-Painel!$C$40)+U832+V832+Painel!$C$41+Painel!$C$42*CEILING(G832/100,1)+Painel!$C$43*CEILING(G832,1)+Z832)/(1-Resumo!$B$5)</f>
        <v>154.985613636364</v>
      </c>
      <c r="AJ832" s="60" t="str">
        <f aca="false">IF(AI832&lt;S832,"SIM","NÃO")</f>
        <v>NÃO</v>
      </c>
    </row>
    <row r="833" customFormat="false" ht="15" hidden="false" customHeight="false" outlineLevel="0" collapsed="false">
      <c r="A833" s="59" t="n">
        <v>46244.6266435185</v>
      </c>
      <c r="B833" s="60" t="s">
        <v>1172</v>
      </c>
      <c r="C833" s="60" t="n">
        <v>25071100</v>
      </c>
      <c r="D833" s="60" t="s">
        <v>48</v>
      </c>
      <c r="E833" s="60" t="s">
        <v>23</v>
      </c>
      <c r="F833" s="60" t="s">
        <v>236</v>
      </c>
      <c r="G833" s="60" t="n">
        <v>56.7</v>
      </c>
      <c r="H833" s="61" t="n">
        <v>663.52</v>
      </c>
      <c r="I833" s="61" t="n">
        <v>70.98</v>
      </c>
      <c r="J833" s="61" t="n">
        <f aca="false">H833*Resumo!$C$6</f>
        <v>0</v>
      </c>
      <c r="K833" s="61" t="n">
        <f aca="false">H833*Resumo!$C$7</f>
        <v>1.393392</v>
      </c>
      <c r="L833" s="61" t="n">
        <f aca="false">H833*Resumo!$C$8</f>
        <v>1.393392</v>
      </c>
      <c r="M833" s="61" t="n">
        <f aca="false">Resumo!$C$10*CEILING(G833/100,1)</f>
        <v>1.05</v>
      </c>
      <c r="N833" s="61" t="n">
        <f aca="false">Resumo!$C$9</f>
        <v>0</v>
      </c>
      <c r="O833" s="61" t="n">
        <f aca="false">Resumo!$C$13</f>
        <v>13.55</v>
      </c>
      <c r="P833" s="61" t="n">
        <f aca="false">Resumo!$C$14*CEILING(G833,1)</f>
        <v>25.65</v>
      </c>
      <c r="Q833" s="61" t="n">
        <f aca="false">SUM(I833:P833)*Resumo!$C$11</f>
        <v>0</v>
      </c>
      <c r="R833" s="61" t="n">
        <f aca="false">SUM(I833:Q833)</f>
        <v>114.016784</v>
      </c>
      <c r="S833" s="61" t="n">
        <f aca="false">R833/(1-Resumo!$C$5)</f>
        <v>129.564527272727</v>
      </c>
      <c r="T833" s="61" t="n">
        <v>112.3</v>
      </c>
      <c r="U833" s="61" t="n">
        <f aca="false">H833*Resumo!$B$6</f>
        <v>0.66352</v>
      </c>
      <c r="V833" s="61" t="n">
        <f aca="false">H833*Resumo!$B$7</f>
        <v>1.32704</v>
      </c>
      <c r="W833" s="61" t="n">
        <f aca="false">Resumo!$B$9</f>
        <v>1</v>
      </c>
      <c r="X833" s="61" t="n">
        <f aca="false">Resumo!$B$10*CEILING(G833/100,1)</f>
        <v>4.5</v>
      </c>
      <c r="Y833" s="61" t="n">
        <f aca="false">Resumo!$B$12*CEILING(G833,1)</f>
        <v>3.42</v>
      </c>
      <c r="Z833" s="61" t="n">
        <f aca="false">Resumo!$B$14*CEILING(G833,1)</f>
        <v>25.65</v>
      </c>
      <c r="AA833" s="61" t="n">
        <f aca="false">SUM(T833:Z833)</f>
        <v>148.86056</v>
      </c>
      <c r="AB833" s="61" t="n">
        <f aca="false">AA833/(1-Resumo!$B$5)</f>
        <v>169.159727272727</v>
      </c>
      <c r="AC833" s="61" t="n">
        <f aca="false">AB833-S833</f>
        <v>39.5952</v>
      </c>
      <c r="AD833" s="62" t="n">
        <f aca="false">AB833/S833-1</f>
        <v>0.30560216467779</v>
      </c>
      <c r="AE833" s="60" t="str">
        <f aca="false">IF(AB833&lt;S833,"SIM","NÃO")</f>
        <v>NÃO</v>
      </c>
      <c r="AF833" s="60" t="n">
        <v>2</v>
      </c>
      <c r="AG833" s="60" t="n">
        <v>5</v>
      </c>
      <c r="AH833" s="60" t="s">
        <v>382</v>
      </c>
      <c r="AI833" s="61" t="n">
        <f aca="false">(T833*(1-Painel!$C$40)+U833+V833+Painel!$C$41+Painel!$C$42*CEILING(G833/100,1)+Painel!$C$43*CEILING(G833,1)+Z833)/(1-Resumo!$B$5)</f>
        <v>119.240409090909</v>
      </c>
      <c r="AJ833" s="60" t="str">
        <f aca="false">IF(AI833&lt;S833,"SIM","NÃO")</f>
        <v>SIM</v>
      </c>
    </row>
    <row r="834" customFormat="false" ht="15" hidden="false" customHeight="false" outlineLevel="0" collapsed="false">
      <c r="A834" s="59" t="n">
        <v>46244.6473726852</v>
      </c>
      <c r="B834" s="60" t="s">
        <v>1173</v>
      </c>
      <c r="C834" s="60" t="n">
        <v>22452770</v>
      </c>
      <c r="D834" s="60" t="s">
        <v>46</v>
      </c>
      <c r="E834" s="60" t="s">
        <v>22</v>
      </c>
      <c r="F834" s="60" t="s">
        <v>232</v>
      </c>
      <c r="G834" s="60" t="n">
        <v>19.5</v>
      </c>
      <c r="H834" s="61" t="n">
        <v>389.99</v>
      </c>
      <c r="I834" s="61" t="n">
        <v>33.42</v>
      </c>
      <c r="J834" s="61" t="n">
        <f aca="false">H834*Resumo!$C$6</f>
        <v>0</v>
      </c>
      <c r="K834" s="61" t="n">
        <f aca="false">H834*Resumo!$C$7</f>
        <v>0.818979</v>
      </c>
      <c r="L834" s="61" t="n">
        <f aca="false">H834*Resumo!$C$8</f>
        <v>0.818979</v>
      </c>
      <c r="M834" s="61" t="n">
        <f aca="false">Resumo!$C$10*CEILING(G834/100,1)</f>
        <v>1.05</v>
      </c>
      <c r="N834" s="61" t="n">
        <f aca="false">Resumo!$C$9</f>
        <v>0</v>
      </c>
      <c r="O834" s="61" t="n">
        <f aca="false">Resumo!$C$13</f>
        <v>13.55</v>
      </c>
      <c r="P834" s="61" t="n">
        <f aca="false">Resumo!$C$14*CEILING(G834,1)</f>
        <v>9</v>
      </c>
      <c r="Q834" s="61" t="n">
        <f aca="false">SUM(I834:P834)*Resumo!$C$11</f>
        <v>0</v>
      </c>
      <c r="R834" s="61" t="n">
        <f aca="false">SUM(I834:Q834)</f>
        <v>58.657958</v>
      </c>
      <c r="S834" s="61" t="n">
        <f aca="false">R834/(1-Resumo!$C$5)</f>
        <v>66.6567704545455</v>
      </c>
      <c r="T834" s="61" t="n">
        <v>46.98</v>
      </c>
      <c r="U834" s="61" t="n">
        <f aca="false">H834*Resumo!$B$6</f>
        <v>0.38999</v>
      </c>
      <c r="V834" s="61" t="n">
        <f aca="false">H834*Resumo!$B$7</f>
        <v>0.77998</v>
      </c>
      <c r="W834" s="61" t="n">
        <f aca="false">Resumo!$B$9</f>
        <v>1</v>
      </c>
      <c r="X834" s="61" t="n">
        <f aca="false">Resumo!$B$10*CEILING(G834/100,1)</f>
        <v>4.5</v>
      </c>
      <c r="Y834" s="61" t="n">
        <f aca="false">Resumo!$B$12*CEILING(G834,1)</f>
        <v>1.2</v>
      </c>
      <c r="Z834" s="61" t="n">
        <f aca="false">Resumo!$B$14*CEILING(G834,1)</f>
        <v>9</v>
      </c>
      <c r="AA834" s="61" t="n">
        <f aca="false">SUM(T834:Z834)</f>
        <v>63.84997</v>
      </c>
      <c r="AB834" s="61" t="n">
        <f aca="false">AA834/(1-Resumo!$B$5)</f>
        <v>72.5567840909091</v>
      </c>
      <c r="AC834" s="61" t="n">
        <f aca="false">AB834-S834</f>
        <v>5.90001363636364</v>
      </c>
      <c r="AD834" s="62" t="n">
        <f aca="false">AB834/S834-1</f>
        <v>0.0885133437478338</v>
      </c>
      <c r="AE834" s="60" t="str">
        <f aca="false">IF(AB834&lt;S834,"SIM","NÃO")</f>
        <v>NÃO</v>
      </c>
      <c r="AF834" s="60" t="n">
        <v>2</v>
      </c>
      <c r="AG834" s="60" t="n">
        <v>5</v>
      </c>
      <c r="AH834" s="60" t="s">
        <v>382</v>
      </c>
      <c r="AI834" s="61" t="n">
        <f aca="false">(T834*(1-Painel!$C$40)+U834+V834+Painel!$C$41+Painel!$C$42*CEILING(G834/100,1)+Painel!$C$43*CEILING(G834,1)+Z834)/(1-Resumo!$B$5)</f>
        <v>49.6551931818182</v>
      </c>
      <c r="AJ834" s="60" t="str">
        <f aca="false">IF(AI834&lt;S834,"SIM","NÃO")</f>
        <v>SIM</v>
      </c>
    </row>
    <row r="835" customFormat="false" ht="15" hidden="false" customHeight="false" outlineLevel="0" collapsed="false">
      <c r="A835" s="59" t="n">
        <v>46244.6564814815</v>
      </c>
      <c r="B835" s="60" t="s">
        <v>1174</v>
      </c>
      <c r="C835" s="60" t="n">
        <v>25010005</v>
      </c>
      <c r="D835" s="60" t="s">
        <v>48</v>
      </c>
      <c r="E835" s="60" t="s">
        <v>23</v>
      </c>
      <c r="F835" s="60" t="s">
        <v>235</v>
      </c>
      <c r="G835" s="60" t="n">
        <v>44.7</v>
      </c>
      <c r="H835" s="61" t="n">
        <v>551.99</v>
      </c>
      <c r="I835" s="61" t="n">
        <v>65.36</v>
      </c>
      <c r="J835" s="61" t="n">
        <f aca="false">H835*Resumo!$C$6</f>
        <v>0</v>
      </c>
      <c r="K835" s="61" t="n">
        <f aca="false">H835*Resumo!$C$7</f>
        <v>1.159179</v>
      </c>
      <c r="L835" s="61" t="n">
        <f aca="false">H835*Resumo!$C$8</f>
        <v>1.159179</v>
      </c>
      <c r="M835" s="61" t="n">
        <f aca="false">Resumo!$C$10*CEILING(G835/100,1)</f>
        <v>1.05</v>
      </c>
      <c r="N835" s="61" t="n">
        <f aca="false">Resumo!$C$9</f>
        <v>0</v>
      </c>
      <c r="O835" s="61" t="n">
        <f aca="false">Resumo!$C$13</f>
        <v>13.55</v>
      </c>
      <c r="P835" s="61" t="n">
        <f aca="false">Resumo!$C$14*CEILING(G835,1)</f>
        <v>20.25</v>
      </c>
      <c r="Q835" s="61" t="n">
        <f aca="false">SUM(I835:P835)*Resumo!$C$11</f>
        <v>0</v>
      </c>
      <c r="R835" s="61" t="n">
        <f aca="false">SUM(I835:Q835)</f>
        <v>102.528358</v>
      </c>
      <c r="S835" s="61" t="n">
        <f aca="false">R835/(1-Resumo!$C$5)</f>
        <v>116.509497727273</v>
      </c>
      <c r="T835" s="61" t="n">
        <v>93.97</v>
      </c>
      <c r="U835" s="61" t="n">
        <f aca="false">H835*Resumo!$B$6</f>
        <v>0.55199</v>
      </c>
      <c r="V835" s="61" t="n">
        <f aca="false">H835*Resumo!$B$7</f>
        <v>1.10398</v>
      </c>
      <c r="W835" s="61" t="n">
        <f aca="false">Resumo!$B$9</f>
        <v>1</v>
      </c>
      <c r="X835" s="61" t="n">
        <f aca="false">Resumo!$B$10*CEILING(G835/100,1)</f>
        <v>4.5</v>
      </c>
      <c r="Y835" s="61" t="n">
        <f aca="false">Resumo!$B$12*CEILING(G835,1)</f>
        <v>2.7</v>
      </c>
      <c r="Z835" s="61" t="n">
        <f aca="false">Resumo!$B$14*CEILING(G835,1)</f>
        <v>20.25</v>
      </c>
      <c r="AA835" s="61" t="n">
        <f aca="false">SUM(T835:Z835)</f>
        <v>124.07597</v>
      </c>
      <c r="AB835" s="61" t="n">
        <f aca="false">AA835/(1-Resumo!$B$5)</f>
        <v>140.995420454545</v>
      </c>
      <c r="AC835" s="61" t="n">
        <f aca="false">AB835-S835</f>
        <v>24.4859227272727</v>
      </c>
      <c r="AD835" s="62" t="n">
        <f aca="false">AB835/S835-1</f>
        <v>0.210162460614067</v>
      </c>
      <c r="AE835" s="60" t="str">
        <f aca="false">IF(AB835&lt;S835,"SIM","NÃO")</f>
        <v>NÃO</v>
      </c>
      <c r="AF835" s="60" t="n">
        <v>2</v>
      </c>
      <c r="AG835" s="60" t="n">
        <v>5</v>
      </c>
      <c r="AH835" s="60" t="s">
        <v>382</v>
      </c>
      <c r="AI835" s="61" t="n">
        <f aca="false">(T835*(1-Painel!$C$40)+U835+V835+Painel!$C$41+Painel!$C$42*CEILING(G835/100,1)+Painel!$C$43*CEILING(G835,1)+Z835)/(1-Resumo!$B$5)</f>
        <v>98.7680340909091</v>
      </c>
      <c r="AJ835" s="60" t="str">
        <f aca="false">IF(AI835&lt;S835,"SIM","NÃO")</f>
        <v>SIM</v>
      </c>
    </row>
    <row r="836" customFormat="false" ht="15" hidden="false" customHeight="false" outlineLevel="0" collapsed="false">
      <c r="A836" s="59" t="n">
        <v>46244.6898958333</v>
      </c>
      <c r="B836" s="60" t="s">
        <v>1175</v>
      </c>
      <c r="C836" s="60" t="n">
        <v>25586030</v>
      </c>
      <c r="D836" s="60" t="s">
        <v>216</v>
      </c>
      <c r="E836" s="60" t="s">
        <v>23</v>
      </c>
      <c r="F836" s="60" t="s">
        <v>236</v>
      </c>
      <c r="G836" s="60" t="n">
        <v>59.9</v>
      </c>
      <c r="H836" s="61" t="n">
        <v>919.99</v>
      </c>
      <c r="I836" s="61" t="n">
        <v>70.98</v>
      </c>
      <c r="J836" s="61" t="n">
        <f aca="false">H836*Resumo!$C$6</f>
        <v>0</v>
      </c>
      <c r="K836" s="61" t="n">
        <f aca="false">H836*Resumo!$C$7</f>
        <v>1.931979</v>
      </c>
      <c r="L836" s="61" t="n">
        <f aca="false">H836*Resumo!$C$8</f>
        <v>1.931979</v>
      </c>
      <c r="M836" s="61" t="n">
        <f aca="false">Resumo!$C$10*CEILING(G836/100,1)</f>
        <v>1.05</v>
      </c>
      <c r="N836" s="61" t="n">
        <f aca="false">Resumo!$C$9</f>
        <v>0</v>
      </c>
      <c r="O836" s="61" t="n">
        <f aca="false">Resumo!$C$13</f>
        <v>13.55</v>
      </c>
      <c r="P836" s="61" t="n">
        <f aca="false">Resumo!$C$14*CEILING(G836,1)</f>
        <v>27</v>
      </c>
      <c r="Q836" s="61" t="n">
        <f aca="false">SUM(I836:P836)*Resumo!$C$11</f>
        <v>0</v>
      </c>
      <c r="R836" s="61" t="n">
        <f aca="false">SUM(I836:Q836)</f>
        <v>116.443958</v>
      </c>
      <c r="S836" s="61" t="n">
        <f aca="false">R836/(1-Resumo!$C$5)</f>
        <v>132.322679545455</v>
      </c>
      <c r="T836" s="61" t="n">
        <v>112.3</v>
      </c>
      <c r="U836" s="61" t="n">
        <f aca="false">H836*Resumo!$B$6</f>
        <v>0.91999</v>
      </c>
      <c r="V836" s="61" t="n">
        <f aca="false">H836*Resumo!$B$7</f>
        <v>1.83998</v>
      </c>
      <c r="W836" s="61" t="n">
        <f aca="false">Resumo!$B$9</f>
        <v>1</v>
      </c>
      <c r="X836" s="61" t="n">
        <f aca="false">Resumo!$B$10*CEILING(G836/100,1)</f>
        <v>4.5</v>
      </c>
      <c r="Y836" s="61" t="n">
        <f aca="false">Resumo!$B$12*CEILING(G836,1)</f>
        <v>3.6</v>
      </c>
      <c r="Z836" s="61" t="n">
        <f aca="false">Resumo!$B$14*CEILING(G836,1)</f>
        <v>27</v>
      </c>
      <c r="AA836" s="61" t="n">
        <f aca="false">SUM(T836:Z836)</f>
        <v>151.15997</v>
      </c>
      <c r="AB836" s="61" t="n">
        <f aca="false">AA836/(1-Resumo!$B$5)</f>
        <v>171.772693181818</v>
      </c>
      <c r="AC836" s="61" t="n">
        <f aca="false">AB836-S836</f>
        <v>39.4500136363636</v>
      </c>
      <c r="AD836" s="62" t="n">
        <f aca="false">AB836/S836-1</f>
        <v>0.298134936292701</v>
      </c>
      <c r="AE836" s="60" t="str">
        <f aca="false">IF(AB836&lt;S836,"SIM","NÃO")</f>
        <v>NÃO</v>
      </c>
      <c r="AF836" s="60" t="n">
        <v>2</v>
      </c>
      <c r="AG836" s="60" t="n">
        <v>5</v>
      </c>
      <c r="AH836" s="60" t="s">
        <v>382</v>
      </c>
      <c r="AI836" s="61" t="n">
        <f aca="false">(T836*(1-Painel!$C$40)+U836+V836+Painel!$C$41+Painel!$C$42*CEILING(G836/100,1)+Painel!$C$43*CEILING(G836,1)+Z836)/(1-Resumo!$B$5)</f>
        <v>121.648829545455</v>
      </c>
      <c r="AJ836" s="60" t="str">
        <f aca="false">IF(AI836&lt;S836,"SIM","NÃO")</f>
        <v>SIM</v>
      </c>
    </row>
    <row r="837" customFormat="false" ht="15" hidden="false" customHeight="false" outlineLevel="0" collapsed="false">
      <c r="A837" s="59" t="n">
        <v>46244.691400463</v>
      </c>
      <c r="B837" s="60" t="s">
        <v>1176</v>
      </c>
      <c r="C837" s="60" t="n">
        <v>26311240</v>
      </c>
      <c r="D837" s="60" t="s">
        <v>282</v>
      </c>
      <c r="E837" s="60" t="s">
        <v>23</v>
      </c>
      <c r="F837" s="60" t="s">
        <v>234</v>
      </c>
      <c r="G837" s="60" t="n">
        <v>36.9</v>
      </c>
      <c r="H837" s="61" t="n">
        <v>459.99</v>
      </c>
      <c r="I837" s="61" t="n">
        <v>66.83</v>
      </c>
      <c r="J837" s="61" t="n">
        <f aca="false">H837*Resumo!$C$6</f>
        <v>0</v>
      </c>
      <c r="K837" s="61" t="n">
        <f aca="false">H837*Resumo!$C$7</f>
        <v>0.965979</v>
      </c>
      <c r="L837" s="61" t="n">
        <f aca="false">H837*Resumo!$C$8</f>
        <v>0.965979</v>
      </c>
      <c r="M837" s="61" t="n">
        <f aca="false">Resumo!$C$10*CEILING(G837/100,1)</f>
        <v>1.05</v>
      </c>
      <c r="N837" s="61" t="n">
        <f aca="false">Resumo!$C$9</f>
        <v>0</v>
      </c>
      <c r="O837" s="61" t="n">
        <f aca="false">Resumo!$C$13</f>
        <v>13.55</v>
      </c>
      <c r="P837" s="61" t="n">
        <f aca="false">Resumo!$C$14*CEILING(G837,1)</f>
        <v>16.65</v>
      </c>
      <c r="Q837" s="61" t="n">
        <f aca="false">SUM(I837:P837)*Resumo!$C$11</f>
        <v>0</v>
      </c>
      <c r="R837" s="61" t="n">
        <f aca="false">SUM(I837:Q837)</f>
        <v>100.011958</v>
      </c>
      <c r="S837" s="61" t="n">
        <f aca="false">R837/(1-Resumo!$C$5)</f>
        <v>113.649952272727</v>
      </c>
      <c r="T837" s="61" t="n">
        <v>93.97</v>
      </c>
      <c r="U837" s="61" t="n">
        <f aca="false">H837*Resumo!$B$6</f>
        <v>0.45999</v>
      </c>
      <c r="V837" s="61" t="n">
        <f aca="false">H837*Resumo!$B$7</f>
        <v>0.91998</v>
      </c>
      <c r="W837" s="61" t="n">
        <f aca="false">Resumo!$B$9</f>
        <v>1</v>
      </c>
      <c r="X837" s="61" t="n">
        <f aca="false">Resumo!$B$10*CEILING(G837/100,1)</f>
        <v>4.5</v>
      </c>
      <c r="Y837" s="61" t="n">
        <f aca="false">Resumo!$B$12*CEILING(G837,1)</f>
        <v>2.22</v>
      </c>
      <c r="Z837" s="61" t="n">
        <f aca="false">Resumo!$B$14*CEILING(G837,1)</f>
        <v>16.65</v>
      </c>
      <c r="AA837" s="61" t="n">
        <f aca="false">SUM(T837:Z837)</f>
        <v>119.71997</v>
      </c>
      <c r="AB837" s="61" t="n">
        <f aca="false">AA837/(1-Resumo!$B$5)</f>
        <v>136.045420454545</v>
      </c>
      <c r="AC837" s="61" t="n">
        <f aca="false">AB837-S837</f>
        <v>22.3954681818182</v>
      </c>
      <c r="AD837" s="62" t="n">
        <f aca="false">AB837/S837-1</f>
        <v>0.197056555977036</v>
      </c>
      <c r="AE837" s="60" t="str">
        <f aca="false">IF(AB837&lt;S837,"SIM","NÃO")</f>
        <v>NÃO</v>
      </c>
      <c r="AF837" s="60" t="n">
        <v>2</v>
      </c>
      <c r="AG837" s="60" t="n">
        <v>5</v>
      </c>
      <c r="AH837" s="60" t="s">
        <v>385</v>
      </c>
      <c r="AI837" s="61" t="n">
        <f aca="false">(T837*(1-Painel!$C$40)+U837+V837+Painel!$C$41+Painel!$C$42*CEILING(G837/100,1)+Painel!$C$43*CEILING(G837,1)+Z837)/(1-Resumo!$B$5)</f>
        <v>94.3634886363636</v>
      </c>
      <c r="AJ837" s="60" t="str">
        <f aca="false">IF(AI837&lt;S837,"SIM","NÃO")</f>
        <v>SIM</v>
      </c>
    </row>
    <row r="838" customFormat="false" ht="15" hidden="false" customHeight="false" outlineLevel="0" collapsed="false">
      <c r="A838" s="59" t="n">
        <v>46244.6958680556</v>
      </c>
      <c r="B838" s="60" t="s">
        <v>1177</v>
      </c>
      <c r="C838" s="60" t="n">
        <v>21321035</v>
      </c>
      <c r="D838" s="60" t="s">
        <v>46</v>
      </c>
      <c r="E838" s="60" t="s">
        <v>22</v>
      </c>
      <c r="F838" s="60" t="s">
        <v>232</v>
      </c>
      <c r="G838" s="60" t="n">
        <v>19.9</v>
      </c>
      <c r="H838" s="61" t="n">
        <v>299.99</v>
      </c>
      <c r="I838" s="61" t="n">
        <v>33.42</v>
      </c>
      <c r="J838" s="61" t="n">
        <f aca="false">H838*Resumo!$C$6</f>
        <v>0</v>
      </c>
      <c r="K838" s="61" t="n">
        <f aca="false">H838*Resumo!$C$7</f>
        <v>0.629979</v>
      </c>
      <c r="L838" s="61" t="n">
        <f aca="false">H838*Resumo!$C$8</f>
        <v>0.629979</v>
      </c>
      <c r="M838" s="61" t="n">
        <f aca="false">Resumo!$C$10*CEILING(G838/100,1)</f>
        <v>1.05</v>
      </c>
      <c r="N838" s="61" t="n">
        <f aca="false">Resumo!$C$9</f>
        <v>0</v>
      </c>
      <c r="O838" s="61" t="n">
        <f aca="false">Resumo!$C$13</f>
        <v>13.55</v>
      </c>
      <c r="P838" s="61" t="n">
        <f aca="false">Resumo!$C$14*CEILING(G838,1)</f>
        <v>9</v>
      </c>
      <c r="Q838" s="61" t="n">
        <f aca="false">SUM(I838:P838)*Resumo!$C$11</f>
        <v>0</v>
      </c>
      <c r="R838" s="61" t="n">
        <f aca="false">SUM(I838:Q838)</f>
        <v>58.279958</v>
      </c>
      <c r="S838" s="61" t="n">
        <f aca="false">R838/(1-Resumo!$C$5)</f>
        <v>66.227225</v>
      </c>
      <c r="T838" s="61" t="n">
        <v>46.98</v>
      </c>
      <c r="U838" s="61" t="n">
        <f aca="false">H838*Resumo!$B$6</f>
        <v>0.29999</v>
      </c>
      <c r="V838" s="61" t="n">
        <f aca="false">H838*Resumo!$B$7</f>
        <v>0.59998</v>
      </c>
      <c r="W838" s="61" t="n">
        <f aca="false">Resumo!$B$9</f>
        <v>1</v>
      </c>
      <c r="X838" s="61" t="n">
        <f aca="false">Resumo!$B$10*CEILING(G838/100,1)</f>
        <v>4.5</v>
      </c>
      <c r="Y838" s="61" t="n">
        <f aca="false">Resumo!$B$12*CEILING(G838,1)</f>
        <v>1.2</v>
      </c>
      <c r="Z838" s="61" t="n">
        <f aca="false">Resumo!$B$14*CEILING(G838,1)</f>
        <v>9</v>
      </c>
      <c r="AA838" s="61" t="n">
        <f aca="false">SUM(T838:Z838)</f>
        <v>63.57997</v>
      </c>
      <c r="AB838" s="61" t="n">
        <f aca="false">AA838/(1-Resumo!$B$5)</f>
        <v>72.2499659090909</v>
      </c>
      <c r="AC838" s="61" t="n">
        <f aca="false">AB838-S838</f>
        <v>6.0227409090909</v>
      </c>
      <c r="AD838" s="62" t="n">
        <f aca="false">AB838/S838-1</f>
        <v>0.0909405597032171</v>
      </c>
      <c r="AE838" s="60" t="str">
        <f aca="false">IF(AB838&lt;S838,"SIM","NÃO")</f>
        <v>NÃO</v>
      </c>
      <c r="AF838" s="60" t="n">
        <v>2</v>
      </c>
      <c r="AG838" s="60" t="n">
        <v>5</v>
      </c>
      <c r="AH838" s="60" t="s">
        <v>382</v>
      </c>
      <c r="AI838" s="61" t="n">
        <f aca="false">(T838*(1-Painel!$C$40)+U838+V838+Painel!$C$41+Painel!$C$42*CEILING(G838/100,1)+Painel!$C$43*CEILING(G838,1)+Z838)/(1-Resumo!$B$5)</f>
        <v>49.348375</v>
      </c>
      <c r="AJ838" s="60" t="str">
        <f aca="false">IF(AI838&lt;S838,"SIM","NÃO")</f>
        <v>SIM</v>
      </c>
    </row>
    <row r="839" customFormat="false" ht="15" hidden="false" customHeight="false" outlineLevel="0" collapsed="false">
      <c r="A839" s="59" t="n">
        <v>46244.7253356482</v>
      </c>
      <c r="B839" s="60" t="s">
        <v>1178</v>
      </c>
      <c r="C839" s="60" t="n">
        <v>21545230</v>
      </c>
      <c r="D839" s="60" t="s">
        <v>46</v>
      </c>
      <c r="E839" s="60" t="s">
        <v>22</v>
      </c>
      <c r="F839" s="60" t="s">
        <v>238</v>
      </c>
      <c r="G839" s="60" t="n">
        <v>78.7</v>
      </c>
      <c r="H839" s="61" t="n">
        <v>1577.68</v>
      </c>
      <c r="I839" s="61" t="n">
        <v>68.88</v>
      </c>
      <c r="J839" s="61" t="n">
        <f aca="false">H839*Resumo!$C$6</f>
        <v>0</v>
      </c>
      <c r="K839" s="61" t="n">
        <f aca="false">H839*Resumo!$C$7</f>
        <v>3.313128</v>
      </c>
      <c r="L839" s="61" t="n">
        <f aca="false">H839*Resumo!$C$8</f>
        <v>3.313128</v>
      </c>
      <c r="M839" s="61" t="n">
        <f aca="false">Resumo!$C$10*CEILING(G839/100,1)</f>
        <v>1.05</v>
      </c>
      <c r="N839" s="61" t="n">
        <f aca="false">Resumo!$C$9</f>
        <v>0</v>
      </c>
      <c r="O839" s="61" t="n">
        <f aca="false">Resumo!$C$13</f>
        <v>13.55</v>
      </c>
      <c r="P839" s="61" t="n">
        <f aca="false">Resumo!$C$14*CEILING(G839,1)</f>
        <v>35.55</v>
      </c>
      <c r="Q839" s="61" t="n">
        <f aca="false">SUM(I839:P839)*Resumo!$C$11</f>
        <v>0</v>
      </c>
      <c r="R839" s="61" t="n">
        <f aca="false">SUM(I839:Q839)</f>
        <v>125.656256</v>
      </c>
      <c r="S839" s="61" t="n">
        <f aca="false">R839/(1-Resumo!$C$5)</f>
        <v>142.7912</v>
      </c>
      <c r="T839" s="61" t="n">
        <v>134.39</v>
      </c>
      <c r="U839" s="61" t="n">
        <f aca="false">H839*Resumo!$B$6</f>
        <v>1.57768</v>
      </c>
      <c r="V839" s="61" t="n">
        <f aca="false">H839*Resumo!$B$7</f>
        <v>3.15536</v>
      </c>
      <c r="W839" s="61" t="n">
        <f aca="false">Resumo!$B$9</f>
        <v>1</v>
      </c>
      <c r="X839" s="61" t="n">
        <f aca="false">Resumo!$B$10*CEILING(G839/100,1)</f>
        <v>4.5</v>
      </c>
      <c r="Y839" s="61" t="n">
        <f aca="false">Resumo!$B$12*CEILING(G839,1)</f>
        <v>4.74</v>
      </c>
      <c r="Z839" s="61" t="n">
        <f aca="false">Resumo!$B$14*CEILING(G839,1)</f>
        <v>35.55</v>
      </c>
      <c r="AA839" s="61" t="n">
        <f aca="false">SUM(T839:Z839)</f>
        <v>184.91304</v>
      </c>
      <c r="AB839" s="61" t="n">
        <f aca="false">AA839/(1-Resumo!$B$5)</f>
        <v>210.128454545455</v>
      </c>
      <c r="AC839" s="61" t="n">
        <f aca="false">AB839-S839</f>
        <v>67.3372545454545</v>
      </c>
      <c r="AD839" s="62" t="n">
        <f aca="false">AB839/S839-1</f>
        <v>0.471578462436442</v>
      </c>
      <c r="AE839" s="60" t="str">
        <f aca="false">IF(AB839&lt;S839,"SIM","NÃO")</f>
        <v>NÃO</v>
      </c>
      <c r="AF839" s="60" t="n">
        <v>2</v>
      </c>
      <c r="AG839" s="60" t="n">
        <v>5</v>
      </c>
      <c r="AH839" s="60" t="s">
        <v>382</v>
      </c>
      <c r="AI839" s="61" t="n">
        <f aca="false">(T839*(1-Painel!$C$40)+U839+V839+Painel!$C$41+Painel!$C$42*CEILING(G839/100,1)+Painel!$C$43*CEILING(G839,1)+Z839)/(1-Resumo!$B$5)</f>
        <v>150.425386363636</v>
      </c>
      <c r="AJ839" s="60" t="str">
        <f aca="false">IF(AI839&lt;S839,"SIM","NÃO")</f>
        <v>NÃO</v>
      </c>
    </row>
    <row r="840" customFormat="false" ht="15" hidden="false" customHeight="false" outlineLevel="0" collapsed="false">
      <c r="A840" s="59" t="n">
        <v>46244.7535300926</v>
      </c>
      <c r="B840" s="60" t="s">
        <v>1179</v>
      </c>
      <c r="C840" s="60" t="n">
        <v>28920050</v>
      </c>
      <c r="D840" s="60" t="s">
        <v>221</v>
      </c>
      <c r="E840" s="60" t="s">
        <v>24</v>
      </c>
      <c r="F840" s="60" t="s">
        <v>237</v>
      </c>
      <c r="G840" s="60" t="n">
        <v>69</v>
      </c>
      <c r="H840" s="61" t="n">
        <v>783.88</v>
      </c>
      <c r="I840" s="61" t="n">
        <v>90.2</v>
      </c>
      <c r="J840" s="61" t="n">
        <f aca="false">H840*Resumo!$C$6</f>
        <v>0</v>
      </c>
      <c r="K840" s="61" t="n">
        <f aca="false">H840*Resumo!$C$7</f>
        <v>1.646148</v>
      </c>
      <c r="L840" s="61" t="n">
        <f aca="false">H840*Resumo!$C$8</f>
        <v>1.646148</v>
      </c>
      <c r="M840" s="61" t="n">
        <f aca="false">Resumo!$C$10*CEILING(G840/100,1)</f>
        <v>1.05</v>
      </c>
      <c r="N840" s="61" t="n">
        <f aca="false">Resumo!$C$9</f>
        <v>0</v>
      </c>
      <c r="O840" s="61" t="n">
        <f aca="false">Resumo!$C$13</f>
        <v>13.55</v>
      </c>
      <c r="P840" s="61" t="n">
        <f aca="false">Resumo!$C$14*CEILING(G840,1)</f>
        <v>31.05</v>
      </c>
      <c r="Q840" s="61" t="n">
        <f aca="false">SUM(I840:P840)*Resumo!$C$11</f>
        <v>0</v>
      </c>
      <c r="R840" s="61" t="n">
        <f aca="false">SUM(I840:Q840)</f>
        <v>139.142296</v>
      </c>
      <c r="S840" s="61" t="n">
        <f aca="false">R840/(1-Resumo!$C$5)</f>
        <v>158.116245454545</v>
      </c>
      <c r="T840" s="61" t="n">
        <v>166.05</v>
      </c>
      <c r="U840" s="61" t="n">
        <f aca="false">H840*Resumo!$B$6</f>
        <v>0.78388</v>
      </c>
      <c r="V840" s="61" t="n">
        <f aca="false">H840*Resumo!$B$7</f>
        <v>1.56776</v>
      </c>
      <c r="W840" s="61" t="n">
        <f aca="false">Resumo!$B$9</f>
        <v>1</v>
      </c>
      <c r="X840" s="61" t="n">
        <f aca="false">Resumo!$B$10*CEILING(G840/100,1)</f>
        <v>4.5</v>
      </c>
      <c r="Y840" s="61" t="n">
        <f aca="false">Resumo!$B$12*CEILING(G840,1)</f>
        <v>4.14</v>
      </c>
      <c r="Z840" s="61" t="n">
        <f aca="false">Resumo!$B$14*CEILING(G840,1)</f>
        <v>31.05</v>
      </c>
      <c r="AA840" s="61" t="n">
        <f aca="false">SUM(T840:Z840)</f>
        <v>209.09164</v>
      </c>
      <c r="AB840" s="61" t="n">
        <f aca="false">AA840/(1-Resumo!$B$5)</f>
        <v>237.604136363636</v>
      </c>
      <c r="AC840" s="61" t="n">
        <f aca="false">AB840-S840</f>
        <v>79.4878909090909</v>
      </c>
      <c r="AD840" s="62" t="n">
        <f aca="false">AB840/S840-1</f>
        <v>0.502718052029269</v>
      </c>
      <c r="AE840" s="60" t="str">
        <f aca="false">IF(AB840&lt;S840,"SIM","NÃO")</f>
        <v>NÃO</v>
      </c>
      <c r="AF840" s="60" t="n">
        <v>13</v>
      </c>
      <c r="AG840" s="60" t="n">
        <v>10</v>
      </c>
      <c r="AH840" s="60" t="s">
        <v>382</v>
      </c>
      <c r="AI840" s="61" t="n">
        <f aca="false">(T840*(1-Painel!$C$40)+U840+V840+Painel!$C$41+Painel!$C$42*CEILING(G840/100,1)+Painel!$C$43*CEILING(G840,1)+Z840)/(1-Resumo!$B$5)</f>
        <v>166.710386363636</v>
      </c>
      <c r="AJ840" s="60" t="str">
        <f aca="false">IF(AI840&lt;S840,"SIM","NÃO")</f>
        <v>NÃO</v>
      </c>
    </row>
    <row r="841" customFormat="false" ht="15" hidden="false" customHeight="false" outlineLevel="0" collapsed="false">
      <c r="A841" s="59" t="n">
        <v>46244.7956597222</v>
      </c>
      <c r="B841" s="60" t="s">
        <v>1180</v>
      </c>
      <c r="C841" s="60" t="n">
        <v>25070170</v>
      </c>
      <c r="D841" s="60" t="s">
        <v>48</v>
      </c>
      <c r="E841" s="60" t="s">
        <v>23</v>
      </c>
      <c r="F841" s="60" t="s">
        <v>241</v>
      </c>
      <c r="G841" s="60" t="n">
        <v>124.2</v>
      </c>
      <c r="H841" s="61" t="n">
        <v>1589.99</v>
      </c>
      <c r="I841" s="61" t="n">
        <v>129.62</v>
      </c>
      <c r="J841" s="61" t="n">
        <f aca="false">H841*Resumo!$C$6</f>
        <v>0</v>
      </c>
      <c r="K841" s="61" t="n">
        <f aca="false">H841*Resumo!$C$7</f>
        <v>3.338979</v>
      </c>
      <c r="L841" s="61" t="n">
        <f aca="false">H841*Resumo!$C$8</f>
        <v>3.338979</v>
      </c>
      <c r="M841" s="61" t="n">
        <f aca="false">Resumo!$C$10*CEILING(G841/100,1)</f>
        <v>2.1</v>
      </c>
      <c r="N841" s="61" t="n">
        <f aca="false">Resumo!$C$9</f>
        <v>0</v>
      </c>
      <c r="O841" s="61" t="n">
        <f aca="false">Resumo!$C$13</f>
        <v>13.55</v>
      </c>
      <c r="P841" s="61" t="n">
        <f aca="false">Resumo!$C$14*CEILING(G841,1)</f>
        <v>56.25</v>
      </c>
      <c r="Q841" s="61" t="n">
        <f aca="false">SUM(I841:P841)*Resumo!$C$11</f>
        <v>0</v>
      </c>
      <c r="R841" s="61" t="n">
        <f aca="false">SUM(I841:Q841)</f>
        <v>208.197958</v>
      </c>
      <c r="S841" s="61" t="n">
        <f aca="false">R841/(1-Resumo!$C$5)</f>
        <v>236.588588636364</v>
      </c>
      <c r="T841" s="61" t="n">
        <v>239.25</v>
      </c>
      <c r="U841" s="61" t="n">
        <f aca="false">H841*Resumo!$B$6</f>
        <v>1.58999</v>
      </c>
      <c r="V841" s="61" t="n">
        <f aca="false">H841*Resumo!$B$7</f>
        <v>3.17998</v>
      </c>
      <c r="W841" s="61" t="n">
        <f aca="false">Resumo!$B$9</f>
        <v>1</v>
      </c>
      <c r="X841" s="61" t="n">
        <f aca="false">Resumo!$B$10*CEILING(G841/100,1)</f>
        <v>9</v>
      </c>
      <c r="Y841" s="61" t="n">
        <f aca="false">Resumo!$B$12*CEILING(G841,1)</f>
        <v>7.5</v>
      </c>
      <c r="Z841" s="61" t="n">
        <f aca="false">Resumo!$B$14*CEILING(G841,1)</f>
        <v>56.25</v>
      </c>
      <c r="AA841" s="61" t="n">
        <f aca="false">SUM(T841:Z841)</f>
        <v>317.76997</v>
      </c>
      <c r="AB841" s="61" t="n">
        <f aca="false">AA841/(1-Resumo!$B$5)</f>
        <v>361.102238636364</v>
      </c>
      <c r="AC841" s="61" t="n">
        <f aca="false">AB841-S841</f>
        <v>124.51365</v>
      </c>
      <c r="AD841" s="62" t="n">
        <f aca="false">AB841/S841-1</f>
        <v>0.52628764015063</v>
      </c>
      <c r="AE841" s="60" t="str">
        <f aca="false">IF(AB841&lt;S841,"SIM","NÃO")</f>
        <v>NÃO</v>
      </c>
      <c r="AF841" s="60" t="n">
        <v>2</v>
      </c>
      <c r="AG841" s="60" t="n">
        <v>5</v>
      </c>
      <c r="AH841" s="60" t="s">
        <v>382</v>
      </c>
      <c r="AI841" s="61" t="n">
        <f aca="false">(T841*(1-Painel!$C$40)+U841+V841+Painel!$C$41+Painel!$C$42*CEILING(G841/100,1)+Painel!$C$43*CEILING(G841,1)+Z841)/(1-Resumo!$B$5)</f>
        <v>255.019852272727</v>
      </c>
      <c r="AJ841" s="60" t="str">
        <f aca="false">IF(AI841&lt;S841,"SIM","NÃO")</f>
        <v>NÃO</v>
      </c>
    </row>
    <row r="842" customFormat="false" ht="15" hidden="false" customHeight="false" outlineLevel="0" collapsed="false">
      <c r="A842" s="59" t="n">
        <v>46244.8473032407</v>
      </c>
      <c r="B842" s="60" t="s">
        <v>1181</v>
      </c>
      <c r="C842" s="60" t="n">
        <v>22430070</v>
      </c>
      <c r="D842" s="60" t="s">
        <v>46</v>
      </c>
      <c r="E842" s="60" t="s">
        <v>22</v>
      </c>
      <c r="F842" s="60" t="s">
        <v>236</v>
      </c>
      <c r="G842" s="60" t="n">
        <v>52.3</v>
      </c>
      <c r="H842" s="61" t="n">
        <v>699.99</v>
      </c>
      <c r="I842" s="61" t="n">
        <v>58.6</v>
      </c>
      <c r="J842" s="61" t="n">
        <f aca="false">H842*Resumo!$C$6</f>
        <v>0</v>
      </c>
      <c r="K842" s="61" t="n">
        <f aca="false">H842*Resumo!$C$7</f>
        <v>1.469979</v>
      </c>
      <c r="L842" s="61" t="n">
        <f aca="false">H842*Resumo!$C$8</f>
        <v>1.469979</v>
      </c>
      <c r="M842" s="61" t="n">
        <f aca="false">Resumo!$C$10*CEILING(G842/100,1)</f>
        <v>1.05</v>
      </c>
      <c r="N842" s="61" t="n">
        <f aca="false">Resumo!$C$9</f>
        <v>0</v>
      </c>
      <c r="O842" s="61" t="n">
        <f aca="false">Resumo!$C$13</f>
        <v>13.55</v>
      </c>
      <c r="P842" s="61" t="n">
        <f aca="false">Resumo!$C$14*CEILING(G842,1)</f>
        <v>23.85</v>
      </c>
      <c r="Q842" s="61" t="n">
        <f aca="false">SUM(I842:P842)*Resumo!$C$11</f>
        <v>0</v>
      </c>
      <c r="R842" s="61" t="n">
        <f aca="false">SUM(I842:Q842)</f>
        <v>99.989958</v>
      </c>
      <c r="S842" s="61" t="n">
        <f aca="false">R842/(1-Resumo!$C$5)</f>
        <v>113.624952272727</v>
      </c>
      <c r="T842" s="61" t="n">
        <v>112.3</v>
      </c>
      <c r="U842" s="61" t="n">
        <f aca="false">H842*Resumo!$B$6</f>
        <v>0.69999</v>
      </c>
      <c r="V842" s="61" t="n">
        <f aca="false">H842*Resumo!$B$7</f>
        <v>1.39998</v>
      </c>
      <c r="W842" s="61" t="n">
        <f aca="false">Resumo!$B$9</f>
        <v>1</v>
      </c>
      <c r="X842" s="61" t="n">
        <f aca="false">Resumo!$B$10*CEILING(G842/100,1)</f>
        <v>4.5</v>
      </c>
      <c r="Y842" s="61" t="n">
        <f aca="false">Resumo!$B$12*CEILING(G842,1)</f>
        <v>3.18</v>
      </c>
      <c r="Z842" s="61" t="n">
        <f aca="false">Resumo!$B$14*CEILING(G842,1)</f>
        <v>23.85</v>
      </c>
      <c r="AA842" s="61" t="n">
        <f aca="false">SUM(T842:Z842)</f>
        <v>146.92997</v>
      </c>
      <c r="AB842" s="61" t="n">
        <f aca="false">AA842/(1-Resumo!$B$5)</f>
        <v>166.965875</v>
      </c>
      <c r="AC842" s="61" t="n">
        <f aca="false">AB842-S842</f>
        <v>53.3409227272727</v>
      </c>
      <c r="AD842" s="62" t="n">
        <f aca="false">AB842/S842-1</f>
        <v>0.469447261894039</v>
      </c>
      <c r="AE842" s="60" t="str">
        <f aca="false">IF(AB842&lt;S842,"SIM","NÃO")</f>
        <v>NÃO</v>
      </c>
      <c r="AF842" s="60" t="n">
        <v>2</v>
      </c>
      <c r="AG842" s="60" t="n">
        <v>5</v>
      </c>
      <c r="AH842" s="60" t="s">
        <v>382</v>
      </c>
      <c r="AI842" s="61" t="n">
        <f aca="false">(T842*(1-Painel!$C$40)+U842+V842+Painel!$C$41+Painel!$C$42*CEILING(G842/100,1)+Painel!$C$43*CEILING(G842,1)+Z842)/(1-Resumo!$B$5)</f>
        <v>117.319284090909</v>
      </c>
      <c r="AJ842" s="60" t="str">
        <f aca="false">IF(AI842&lt;S842,"SIM","NÃO")</f>
        <v>NÃO</v>
      </c>
    </row>
    <row r="843" customFormat="false" ht="15" hidden="false" customHeight="false" outlineLevel="0" collapsed="false">
      <c r="A843" s="59" t="n">
        <v>46244.8668402778</v>
      </c>
      <c r="B843" s="60" t="s">
        <v>1182</v>
      </c>
      <c r="C843" s="60" t="n">
        <v>24744490</v>
      </c>
      <c r="D843" s="60" t="s">
        <v>47</v>
      </c>
      <c r="E843" s="60" t="s">
        <v>23</v>
      </c>
      <c r="F843" s="60" t="s">
        <v>234</v>
      </c>
      <c r="G843" s="60" t="n">
        <v>36.9</v>
      </c>
      <c r="H843" s="61" t="n">
        <v>439.99</v>
      </c>
      <c r="I843" s="61" t="n">
        <v>66.83</v>
      </c>
      <c r="J843" s="61" t="n">
        <f aca="false">H843*Resumo!$C$6</f>
        <v>0</v>
      </c>
      <c r="K843" s="61" t="n">
        <f aca="false">H843*Resumo!$C$7</f>
        <v>0.923979</v>
      </c>
      <c r="L843" s="61" t="n">
        <f aca="false">H843*Resumo!$C$8</f>
        <v>0.923979</v>
      </c>
      <c r="M843" s="61" t="n">
        <f aca="false">Resumo!$C$10*CEILING(G843/100,1)</f>
        <v>1.05</v>
      </c>
      <c r="N843" s="61" t="n">
        <f aca="false">Resumo!$C$9</f>
        <v>0</v>
      </c>
      <c r="O843" s="61" t="n">
        <f aca="false">Resumo!$C$13</f>
        <v>13.55</v>
      </c>
      <c r="P843" s="61" t="n">
        <f aca="false">Resumo!$C$14*CEILING(G843,1)</f>
        <v>16.65</v>
      </c>
      <c r="Q843" s="61" t="n">
        <f aca="false">SUM(I843:P843)*Resumo!$C$11</f>
        <v>0</v>
      </c>
      <c r="R843" s="61" t="n">
        <f aca="false">SUM(I843:Q843)</f>
        <v>99.927958</v>
      </c>
      <c r="S843" s="61" t="n">
        <f aca="false">R843/(1-Resumo!$C$5)</f>
        <v>113.554497727273</v>
      </c>
      <c r="T843" s="61" t="n">
        <v>114.95</v>
      </c>
      <c r="U843" s="61" t="n">
        <f aca="false">H843*Resumo!$B$6</f>
        <v>0.43999</v>
      </c>
      <c r="V843" s="61" t="n">
        <f aca="false">H843*Resumo!$B$7</f>
        <v>0.87998</v>
      </c>
      <c r="W843" s="61" t="n">
        <f aca="false">Resumo!$B$9</f>
        <v>1</v>
      </c>
      <c r="X843" s="61" t="n">
        <f aca="false">Resumo!$B$10*CEILING(G843/100,1)</f>
        <v>4.5</v>
      </c>
      <c r="Y843" s="61" t="n">
        <f aca="false">Resumo!$B$12*CEILING(G843,1)</f>
        <v>2.22</v>
      </c>
      <c r="Z843" s="61" t="n">
        <f aca="false">Resumo!$B$14*CEILING(G843,1)</f>
        <v>16.65</v>
      </c>
      <c r="AA843" s="61" t="n">
        <f aca="false">SUM(T843:Z843)</f>
        <v>140.63997</v>
      </c>
      <c r="AB843" s="61" t="n">
        <f aca="false">AA843/(1-Resumo!$B$5)</f>
        <v>159.818147727273</v>
      </c>
      <c r="AC843" s="61" t="n">
        <f aca="false">AB843-S843</f>
        <v>46.26365</v>
      </c>
      <c r="AD843" s="62" t="n">
        <f aca="false">AB843/S843-1</f>
        <v>0.407413628926551</v>
      </c>
      <c r="AE843" s="60" t="str">
        <f aca="false">IF(AB843&lt;S843,"SIM","NÃO")</f>
        <v>NÃO</v>
      </c>
      <c r="AF843" s="60" t="n">
        <v>2</v>
      </c>
      <c r="AG843" s="60" t="n">
        <v>7</v>
      </c>
      <c r="AH843" s="60" t="s">
        <v>382</v>
      </c>
      <c r="AI843" s="61" t="n">
        <f aca="false">(T843*(1-Painel!$C$40)+U843+V843+Painel!$C$41+Painel!$C$42*CEILING(G843/100,1)+Painel!$C$43*CEILING(G843,1)+Z843)/(1-Resumo!$B$5)</f>
        <v>110.268715909091</v>
      </c>
      <c r="AJ843" s="60" t="str">
        <f aca="false">IF(AI843&lt;S843,"SIM","NÃO")</f>
        <v>SIM</v>
      </c>
    </row>
    <row r="844" customFormat="false" ht="15" hidden="false" customHeight="false" outlineLevel="0" collapsed="false">
      <c r="A844" s="59" t="n">
        <v>46244.8765162037</v>
      </c>
      <c r="B844" s="60" t="s">
        <v>1183</v>
      </c>
      <c r="C844" s="60" t="n">
        <v>20270231</v>
      </c>
      <c r="D844" s="60" t="s">
        <v>46</v>
      </c>
      <c r="E844" s="60" t="s">
        <v>22</v>
      </c>
      <c r="F844" s="60" t="s">
        <v>235</v>
      </c>
      <c r="G844" s="60" t="n">
        <v>43.5</v>
      </c>
      <c r="H844" s="61" t="n">
        <v>699.99</v>
      </c>
      <c r="I844" s="61" t="n">
        <v>53.55</v>
      </c>
      <c r="J844" s="61" t="n">
        <f aca="false">H844*Resumo!$C$6</f>
        <v>0</v>
      </c>
      <c r="K844" s="61" t="n">
        <f aca="false">H844*Resumo!$C$7</f>
        <v>1.469979</v>
      </c>
      <c r="L844" s="61" t="n">
        <f aca="false">H844*Resumo!$C$8</f>
        <v>1.469979</v>
      </c>
      <c r="M844" s="61" t="n">
        <f aca="false">Resumo!$C$10*CEILING(G844/100,1)</f>
        <v>1.05</v>
      </c>
      <c r="N844" s="61" t="n">
        <f aca="false">Resumo!$C$9</f>
        <v>0</v>
      </c>
      <c r="O844" s="61" t="n">
        <f aca="false">Resumo!$C$13</f>
        <v>13.55</v>
      </c>
      <c r="P844" s="61" t="n">
        <f aca="false">Resumo!$C$14*CEILING(G844,1)</f>
        <v>19.8</v>
      </c>
      <c r="Q844" s="61" t="n">
        <f aca="false">SUM(I844:P844)*Resumo!$C$11</f>
        <v>0</v>
      </c>
      <c r="R844" s="61" t="n">
        <f aca="false">SUM(I844:Q844)</f>
        <v>90.889958</v>
      </c>
      <c r="S844" s="61" t="n">
        <f aca="false">R844/(1-Resumo!$C$5)</f>
        <v>103.284043181818</v>
      </c>
      <c r="T844" s="61" t="n">
        <v>93.97</v>
      </c>
      <c r="U844" s="61" t="n">
        <f aca="false">H844*Resumo!$B$6</f>
        <v>0.69999</v>
      </c>
      <c r="V844" s="61" t="n">
        <f aca="false">H844*Resumo!$B$7</f>
        <v>1.39998</v>
      </c>
      <c r="W844" s="61" t="n">
        <f aca="false">Resumo!$B$9</f>
        <v>1</v>
      </c>
      <c r="X844" s="61" t="n">
        <f aca="false">Resumo!$B$10*CEILING(G844/100,1)</f>
        <v>4.5</v>
      </c>
      <c r="Y844" s="61" t="n">
        <f aca="false">Resumo!$B$12*CEILING(G844,1)</f>
        <v>2.64</v>
      </c>
      <c r="Z844" s="61" t="n">
        <f aca="false">Resumo!$B$14*CEILING(G844,1)</f>
        <v>19.8</v>
      </c>
      <c r="AA844" s="61" t="n">
        <f aca="false">SUM(T844:Z844)</f>
        <v>124.00997</v>
      </c>
      <c r="AB844" s="61" t="n">
        <f aca="false">AA844/(1-Resumo!$B$5)</f>
        <v>140.920420454545</v>
      </c>
      <c r="AC844" s="61" t="n">
        <f aca="false">AB844-S844</f>
        <v>37.6363772727273</v>
      </c>
      <c r="AD844" s="62" t="n">
        <f aca="false">AB844/S844-1</f>
        <v>0.364396823684306</v>
      </c>
      <c r="AE844" s="60" t="str">
        <f aca="false">IF(AB844&lt;S844,"SIM","NÃO")</f>
        <v>NÃO</v>
      </c>
      <c r="AF844" s="60" t="n">
        <v>2</v>
      </c>
      <c r="AG844" s="60" t="n">
        <v>5</v>
      </c>
      <c r="AH844" s="60" t="s">
        <v>382</v>
      </c>
      <c r="AI844" s="61" t="n">
        <f aca="false">(T844*(1-Painel!$C$40)+U844+V844+Painel!$C$41+Painel!$C$42*CEILING(G844/100,1)+Painel!$C$43*CEILING(G844,1)+Z844)/(1-Resumo!$B$5)</f>
        <v>98.7612159090909</v>
      </c>
      <c r="AJ844" s="60" t="str">
        <f aca="false">IF(AI844&lt;S844,"SIM","NÃO")</f>
        <v>SIM</v>
      </c>
    </row>
    <row r="845" customFormat="false" ht="15" hidden="false" customHeight="false" outlineLevel="0" collapsed="false">
      <c r="A845" s="59" t="n">
        <v>46244.8876041667</v>
      </c>
      <c r="B845" s="60" t="s">
        <v>1184</v>
      </c>
      <c r="C845" s="60" t="n">
        <v>26294462</v>
      </c>
      <c r="D845" s="60" t="s">
        <v>49</v>
      </c>
      <c r="E845" s="60" t="s">
        <v>23</v>
      </c>
      <c r="F845" s="60" t="s">
        <v>235</v>
      </c>
      <c r="G845" s="60" t="n">
        <v>45.3</v>
      </c>
      <c r="H845" s="61" t="n">
        <v>699.99</v>
      </c>
      <c r="I845" s="61" t="n">
        <v>65.36</v>
      </c>
      <c r="J845" s="61" t="n">
        <f aca="false">H845*Resumo!$C$6</f>
        <v>0</v>
      </c>
      <c r="K845" s="61" t="n">
        <f aca="false">H845*Resumo!$C$7</f>
        <v>1.469979</v>
      </c>
      <c r="L845" s="61" t="n">
        <f aca="false">H845*Resumo!$C$8</f>
        <v>1.469979</v>
      </c>
      <c r="M845" s="61" t="n">
        <f aca="false">Resumo!$C$10*CEILING(G845/100,1)</f>
        <v>1.05</v>
      </c>
      <c r="N845" s="61" t="n">
        <f aca="false">Resumo!$C$9</f>
        <v>0</v>
      </c>
      <c r="O845" s="61" t="n">
        <f aca="false">Resumo!$C$13</f>
        <v>13.55</v>
      </c>
      <c r="P845" s="61" t="n">
        <f aca="false">Resumo!$C$14*CEILING(G845,1)</f>
        <v>20.7</v>
      </c>
      <c r="Q845" s="61" t="n">
        <f aca="false">SUM(I845:P845)*Resumo!$C$11</f>
        <v>0</v>
      </c>
      <c r="R845" s="61" t="n">
        <f aca="false">SUM(I845:Q845)</f>
        <v>103.599958</v>
      </c>
      <c r="S845" s="61" t="n">
        <f aca="false">R845/(1-Resumo!$C$5)</f>
        <v>117.727225</v>
      </c>
      <c r="T845" s="61" t="n">
        <v>93.97</v>
      </c>
      <c r="U845" s="61" t="n">
        <f aca="false">H845*Resumo!$B$6</f>
        <v>0.69999</v>
      </c>
      <c r="V845" s="61" t="n">
        <f aca="false">H845*Resumo!$B$7</f>
        <v>1.39998</v>
      </c>
      <c r="W845" s="61" t="n">
        <f aca="false">Resumo!$B$9</f>
        <v>1</v>
      </c>
      <c r="X845" s="61" t="n">
        <f aca="false">Resumo!$B$10*CEILING(G845/100,1)</f>
        <v>4.5</v>
      </c>
      <c r="Y845" s="61" t="n">
        <f aca="false">Resumo!$B$12*CEILING(G845,1)</f>
        <v>2.76</v>
      </c>
      <c r="Z845" s="61" t="n">
        <f aca="false">Resumo!$B$14*CEILING(G845,1)</f>
        <v>20.7</v>
      </c>
      <c r="AA845" s="61" t="n">
        <f aca="false">SUM(T845:Z845)</f>
        <v>125.02997</v>
      </c>
      <c r="AB845" s="61" t="n">
        <f aca="false">AA845/(1-Resumo!$B$5)</f>
        <v>142.079511363636</v>
      </c>
      <c r="AC845" s="61" t="n">
        <f aca="false">AB845-S845</f>
        <v>24.3522863636364</v>
      </c>
      <c r="AD845" s="62" t="n">
        <f aca="false">AB845/S845-1</f>
        <v>0.206853481542917</v>
      </c>
      <c r="AE845" s="60" t="str">
        <f aca="false">IF(AB845&lt;S845,"SIM","NÃO")</f>
        <v>NÃO</v>
      </c>
      <c r="AF845" s="60" t="n">
        <v>2</v>
      </c>
      <c r="AG845" s="60" t="n">
        <v>5</v>
      </c>
      <c r="AH845" s="60" t="s">
        <v>382</v>
      </c>
      <c r="AI845" s="61" t="n">
        <f aca="false">(T845*(1-Painel!$C$40)+U845+V845+Painel!$C$41+Painel!$C$42*CEILING(G845/100,1)+Painel!$C$43*CEILING(G845,1)+Z845)/(1-Resumo!$B$5)</f>
        <v>99.7839431818182</v>
      </c>
      <c r="AJ845" s="60" t="str">
        <f aca="false">IF(AI845&lt;S845,"SIM","NÃO")</f>
        <v>SIM</v>
      </c>
    </row>
    <row r="846" customFormat="false" ht="15" hidden="false" customHeight="false" outlineLevel="0" collapsed="false">
      <c r="A846" s="59" t="n">
        <v>46244.888125</v>
      </c>
      <c r="B846" s="60" t="s">
        <v>1185</v>
      </c>
      <c r="C846" s="60" t="n">
        <v>25020085</v>
      </c>
      <c r="D846" s="60" t="s">
        <v>48</v>
      </c>
      <c r="E846" s="60" t="s">
        <v>23</v>
      </c>
      <c r="F846" s="60" t="s">
        <v>233</v>
      </c>
      <c r="G846" s="60" t="n">
        <v>27</v>
      </c>
      <c r="H846" s="61" t="n">
        <v>329.99</v>
      </c>
      <c r="I846" s="61" t="n">
        <v>58.8</v>
      </c>
      <c r="J846" s="61" t="n">
        <f aca="false">H846*Resumo!$C$6</f>
        <v>0</v>
      </c>
      <c r="K846" s="61" t="n">
        <f aca="false">H846*Resumo!$C$7</f>
        <v>0.692979</v>
      </c>
      <c r="L846" s="61" t="n">
        <f aca="false">H846*Resumo!$C$8</f>
        <v>0.692979</v>
      </c>
      <c r="M846" s="61" t="n">
        <f aca="false">Resumo!$C$10*CEILING(G846/100,1)</f>
        <v>1.05</v>
      </c>
      <c r="N846" s="61" t="n">
        <f aca="false">Resumo!$C$9</f>
        <v>0</v>
      </c>
      <c r="O846" s="61" t="n">
        <f aca="false">Resumo!$C$13</f>
        <v>13.55</v>
      </c>
      <c r="P846" s="61" t="n">
        <f aca="false">Resumo!$C$14*CEILING(G846,1)</f>
        <v>12.15</v>
      </c>
      <c r="Q846" s="61" t="n">
        <f aca="false">SUM(I846:P846)*Resumo!$C$11</f>
        <v>0</v>
      </c>
      <c r="R846" s="61" t="n">
        <f aca="false">SUM(I846:Q846)</f>
        <v>86.935958</v>
      </c>
      <c r="S846" s="61" t="n">
        <f aca="false">R846/(1-Resumo!$C$5)</f>
        <v>98.7908613636364</v>
      </c>
      <c r="T846" s="61" t="n">
        <v>82.21</v>
      </c>
      <c r="U846" s="61" t="n">
        <f aca="false">H846*Resumo!$B$6</f>
        <v>0.32999</v>
      </c>
      <c r="V846" s="61" t="n">
        <f aca="false">H846*Resumo!$B$7</f>
        <v>0.65998</v>
      </c>
      <c r="W846" s="61" t="n">
        <f aca="false">Resumo!$B$9</f>
        <v>1</v>
      </c>
      <c r="X846" s="61" t="n">
        <f aca="false">Resumo!$B$10*CEILING(G846/100,1)</f>
        <v>4.5</v>
      </c>
      <c r="Y846" s="61" t="n">
        <f aca="false">Resumo!$B$12*CEILING(G846,1)</f>
        <v>1.62</v>
      </c>
      <c r="Z846" s="61" t="n">
        <f aca="false">Resumo!$B$14*CEILING(G846,1)</f>
        <v>12.15</v>
      </c>
      <c r="AA846" s="61" t="n">
        <f aca="false">SUM(T846:Z846)</f>
        <v>102.46997</v>
      </c>
      <c r="AB846" s="61" t="n">
        <f aca="false">AA846/(1-Resumo!$B$5)</f>
        <v>116.443147727273</v>
      </c>
      <c r="AC846" s="61" t="n">
        <f aca="false">AB846-S846</f>
        <v>17.6522863636364</v>
      </c>
      <c r="AD846" s="62" t="n">
        <f aca="false">AB846/S846-1</f>
        <v>0.178683393584965</v>
      </c>
      <c r="AE846" s="60" t="str">
        <f aca="false">IF(AB846&lt;S846,"SIM","NÃO")</f>
        <v>NÃO</v>
      </c>
      <c r="AF846" s="60" t="n">
        <v>2</v>
      </c>
      <c r="AG846" s="60" t="n">
        <v>5</v>
      </c>
      <c r="AH846" s="60" t="s">
        <v>382</v>
      </c>
      <c r="AI846" s="61" t="n">
        <f aca="false">(T846*(1-Painel!$C$40)+U846+V846+Painel!$C$41+Painel!$C$42*CEILING(G846/100,1)+Painel!$C$43*CEILING(G846,1)+Z846)/(1-Resumo!$B$5)</f>
        <v>79.8530340909091</v>
      </c>
      <c r="AJ846" s="60" t="str">
        <f aca="false">IF(AI846&lt;S846,"SIM","NÃO")</f>
        <v>SIM</v>
      </c>
    </row>
    <row r="847" customFormat="false" ht="15" hidden="false" customHeight="false" outlineLevel="0" collapsed="false">
      <c r="A847" s="59" t="n">
        <v>46244.8924421296</v>
      </c>
      <c r="B847" s="60" t="s">
        <v>1186</v>
      </c>
      <c r="C847" s="60" t="n">
        <v>20541018</v>
      </c>
      <c r="D847" s="60" t="s">
        <v>46</v>
      </c>
      <c r="E847" s="60" t="s">
        <v>22</v>
      </c>
      <c r="F847" s="60" t="s">
        <v>239</v>
      </c>
      <c r="G847" s="60" t="n">
        <v>97.2</v>
      </c>
      <c r="H847" s="61" t="n">
        <v>1349.99</v>
      </c>
      <c r="I847" s="61" t="n">
        <v>83.79</v>
      </c>
      <c r="J847" s="61" t="n">
        <f aca="false">H847*Resumo!$C$6</f>
        <v>0</v>
      </c>
      <c r="K847" s="61" t="n">
        <f aca="false">H847*Resumo!$C$7</f>
        <v>2.834979</v>
      </c>
      <c r="L847" s="61" t="n">
        <f aca="false">H847*Resumo!$C$8</f>
        <v>2.834979</v>
      </c>
      <c r="M847" s="61" t="n">
        <f aca="false">Resumo!$C$10*CEILING(G847/100,1)</f>
        <v>1.05</v>
      </c>
      <c r="N847" s="61" t="n">
        <f aca="false">Resumo!$C$9</f>
        <v>0</v>
      </c>
      <c r="O847" s="61" t="n">
        <f aca="false">Resumo!$C$13</f>
        <v>13.55</v>
      </c>
      <c r="P847" s="61" t="n">
        <f aca="false">Resumo!$C$14*CEILING(G847,1)</f>
        <v>44.1</v>
      </c>
      <c r="Q847" s="61" t="n">
        <f aca="false">SUM(I847:P847)*Resumo!$C$11</f>
        <v>0</v>
      </c>
      <c r="R847" s="61" t="n">
        <f aca="false">SUM(I847:Q847)</f>
        <v>148.159958</v>
      </c>
      <c r="S847" s="61" t="n">
        <f aca="false">R847/(1-Resumo!$C$5)</f>
        <v>168.363588636364</v>
      </c>
      <c r="T847" s="61" t="n">
        <v>167.99</v>
      </c>
      <c r="U847" s="61" t="n">
        <f aca="false">H847*Resumo!$B$6</f>
        <v>1.34999</v>
      </c>
      <c r="V847" s="61" t="n">
        <f aca="false">H847*Resumo!$B$7</f>
        <v>2.69998</v>
      </c>
      <c r="W847" s="61" t="n">
        <f aca="false">Resumo!$B$9</f>
        <v>1</v>
      </c>
      <c r="X847" s="61" t="n">
        <f aca="false">Resumo!$B$10*CEILING(G847/100,1)</f>
        <v>4.5</v>
      </c>
      <c r="Y847" s="61" t="n">
        <f aca="false">Resumo!$B$12*CEILING(G847,1)</f>
        <v>5.88</v>
      </c>
      <c r="Z847" s="61" t="n">
        <f aca="false">Resumo!$B$14*CEILING(G847,1)</f>
        <v>44.1</v>
      </c>
      <c r="AA847" s="61" t="n">
        <f aca="false">SUM(T847:Z847)</f>
        <v>227.51997</v>
      </c>
      <c r="AB847" s="61" t="n">
        <f aca="false">AA847/(1-Resumo!$B$5)</f>
        <v>258.545420454546</v>
      </c>
      <c r="AC847" s="61" t="n">
        <f aca="false">AB847-S847</f>
        <v>90.1818318181818</v>
      </c>
      <c r="AD847" s="62" t="n">
        <f aca="false">AB847/S847-1</f>
        <v>0.535637381862649</v>
      </c>
      <c r="AE847" s="60" t="str">
        <f aca="false">IF(AB847&lt;S847,"SIM","NÃO")</f>
        <v>NÃO</v>
      </c>
      <c r="AF847" s="60" t="n">
        <v>2</v>
      </c>
      <c r="AG847" s="60" t="n">
        <v>5</v>
      </c>
      <c r="AH847" s="60" t="s">
        <v>382</v>
      </c>
      <c r="AI847" s="61" t="n">
        <f aca="false">(T847*(1-Painel!$C$40)+U847+V847+Painel!$C$41+Painel!$C$42*CEILING(G847/100,1)+Painel!$C$43*CEILING(G847,1)+Z847)/(1-Resumo!$B$5)</f>
        <v>184.946897727273</v>
      </c>
      <c r="AJ847" s="60" t="str">
        <f aca="false">IF(AI847&lt;S847,"SIM","NÃO")</f>
        <v>NÃO</v>
      </c>
    </row>
    <row r="848" customFormat="false" ht="15" hidden="false" customHeight="false" outlineLevel="0" collapsed="false">
      <c r="A848" s="59" t="n">
        <v>46244.8946064815</v>
      </c>
      <c r="B848" s="60" t="s">
        <v>963</v>
      </c>
      <c r="C848" s="60" t="n">
        <v>27330660</v>
      </c>
      <c r="D848" s="60" t="s">
        <v>293</v>
      </c>
      <c r="E848" s="60" t="s">
        <v>24</v>
      </c>
      <c r="F848" s="60" t="s">
        <v>234</v>
      </c>
      <c r="G848" s="60" t="n">
        <v>40</v>
      </c>
      <c r="H848" s="61" t="n">
        <v>569.99</v>
      </c>
      <c r="I848" s="61" t="n">
        <v>74.97</v>
      </c>
      <c r="J848" s="61" t="n">
        <f aca="false">H848*Resumo!$C$6</f>
        <v>0</v>
      </c>
      <c r="K848" s="61" t="n">
        <f aca="false">H848*Resumo!$C$7</f>
        <v>1.196979</v>
      </c>
      <c r="L848" s="61" t="n">
        <f aca="false">H848*Resumo!$C$8</f>
        <v>1.196979</v>
      </c>
      <c r="M848" s="61" t="n">
        <f aca="false">Resumo!$C$10*CEILING(G848/100,1)</f>
        <v>1.05</v>
      </c>
      <c r="N848" s="61" t="n">
        <f aca="false">Resumo!$C$9</f>
        <v>0</v>
      </c>
      <c r="O848" s="61" t="n">
        <f aca="false">Resumo!$C$13</f>
        <v>13.55</v>
      </c>
      <c r="P848" s="61" t="n">
        <f aca="false">Resumo!$C$14*CEILING(G848,1)</f>
        <v>18</v>
      </c>
      <c r="Q848" s="61" t="n">
        <f aca="false">SUM(I848:P848)*Resumo!$C$11</f>
        <v>0</v>
      </c>
      <c r="R848" s="61" t="n">
        <f aca="false">SUM(I848:Q848)</f>
        <v>109.963958</v>
      </c>
      <c r="S848" s="61" t="n">
        <f aca="false">R848/(1-Resumo!$C$5)</f>
        <v>124.959043181818</v>
      </c>
      <c r="T848" s="61" t="n">
        <v>124.38</v>
      </c>
      <c r="U848" s="61" t="n">
        <f aca="false">H848*Resumo!$B$6</f>
        <v>0.56999</v>
      </c>
      <c r="V848" s="61" t="n">
        <f aca="false">H848*Resumo!$B$7</f>
        <v>1.13998</v>
      </c>
      <c r="W848" s="61" t="n">
        <f aca="false">Resumo!$B$9</f>
        <v>1</v>
      </c>
      <c r="X848" s="61" t="n">
        <f aca="false">Resumo!$B$10*CEILING(G848/100,1)</f>
        <v>4.5</v>
      </c>
      <c r="Y848" s="61" t="n">
        <f aca="false">Resumo!$B$12*CEILING(G848,1)</f>
        <v>2.4</v>
      </c>
      <c r="Z848" s="61" t="n">
        <f aca="false">Resumo!$B$14*CEILING(G848,1)</f>
        <v>18</v>
      </c>
      <c r="AA848" s="61" t="n">
        <f aca="false">SUM(T848:Z848)</f>
        <v>151.98997</v>
      </c>
      <c r="AB848" s="61" t="n">
        <f aca="false">AA848/(1-Resumo!$B$5)</f>
        <v>172.715875</v>
      </c>
      <c r="AC848" s="61" t="n">
        <f aca="false">AB848-S848</f>
        <v>47.7568318181818</v>
      </c>
      <c r="AD848" s="62" t="n">
        <f aca="false">AB848/S848-1</f>
        <v>0.382179877519505</v>
      </c>
      <c r="AE848" s="60" t="str">
        <f aca="false">IF(AB848&lt;S848,"SIM","NÃO")</f>
        <v>NÃO</v>
      </c>
      <c r="AF848" s="60" t="n">
        <v>13</v>
      </c>
      <c r="AG848" s="60" t="n">
        <v>10</v>
      </c>
      <c r="AH848" s="60" t="s">
        <v>385</v>
      </c>
      <c r="AI848" s="61" t="n">
        <f aca="false">(T848*(1-Painel!$C$40)+U848+V848+Painel!$C$41+Painel!$C$42*CEILING(G848/100,1)+Painel!$C$43*CEILING(G848,1)+Z848)/(1-Resumo!$B$5)</f>
        <v>119.425647727273</v>
      </c>
      <c r="AJ848" s="60" t="str">
        <f aca="false">IF(AI848&lt;S848,"SIM","NÃO")</f>
        <v>SIM</v>
      </c>
    </row>
    <row r="849" customFormat="false" ht="15" hidden="false" customHeight="false" outlineLevel="0" collapsed="false">
      <c r="A849" s="59" t="n">
        <v>46244.921712963</v>
      </c>
      <c r="B849" s="60" t="s">
        <v>1187</v>
      </c>
      <c r="C849" s="60" t="n">
        <v>21843070</v>
      </c>
      <c r="D849" s="60" t="s">
        <v>46</v>
      </c>
      <c r="E849" s="60" t="s">
        <v>22</v>
      </c>
      <c r="F849" s="60" t="s">
        <v>234</v>
      </c>
      <c r="G849" s="60" t="n">
        <v>37.2</v>
      </c>
      <c r="H849" s="61" t="n">
        <v>419.99</v>
      </c>
      <c r="I849" s="61" t="n">
        <v>48.35</v>
      </c>
      <c r="J849" s="61" t="n">
        <f aca="false">H849*Resumo!$C$6</f>
        <v>0</v>
      </c>
      <c r="K849" s="61" t="n">
        <f aca="false">H849*Resumo!$C$7</f>
        <v>0.881979</v>
      </c>
      <c r="L849" s="61" t="n">
        <f aca="false">H849*Resumo!$C$8</f>
        <v>0.881979</v>
      </c>
      <c r="M849" s="61" t="n">
        <f aca="false">Resumo!$C$10*CEILING(G849/100,1)</f>
        <v>1.05</v>
      </c>
      <c r="N849" s="61" t="n">
        <f aca="false">Resumo!$C$9</f>
        <v>0</v>
      </c>
      <c r="O849" s="61" t="n">
        <f aca="false">Resumo!$C$13</f>
        <v>13.55</v>
      </c>
      <c r="P849" s="61" t="n">
        <f aca="false">Resumo!$C$14*CEILING(G849,1)</f>
        <v>17.1</v>
      </c>
      <c r="Q849" s="61" t="n">
        <f aca="false">SUM(I849:P849)*Resumo!$C$11</f>
        <v>0</v>
      </c>
      <c r="R849" s="61" t="n">
        <f aca="false">SUM(I849:Q849)</f>
        <v>81.813958</v>
      </c>
      <c r="S849" s="61" t="n">
        <f aca="false">R849/(1-Resumo!$C$5)</f>
        <v>92.9704068181818</v>
      </c>
      <c r="T849" s="61" t="n">
        <v>93.97</v>
      </c>
      <c r="U849" s="61" t="n">
        <f aca="false">H849*Resumo!$B$6</f>
        <v>0.41999</v>
      </c>
      <c r="V849" s="61" t="n">
        <f aca="false">H849*Resumo!$B$7</f>
        <v>0.83998</v>
      </c>
      <c r="W849" s="61" t="n">
        <f aca="false">Resumo!$B$9</f>
        <v>1</v>
      </c>
      <c r="X849" s="61" t="n">
        <f aca="false">Resumo!$B$10*CEILING(G849/100,1)</f>
        <v>4.5</v>
      </c>
      <c r="Y849" s="61" t="n">
        <f aca="false">Resumo!$B$12*CEILING(G849,1)</f>
        <v>2.28</v>
      </c>
      <c r="Z849" s="61" t="n">
        <f aca="false">Resumo!$B$14*CEILING(G849,1)</f>
        <v>17.1</v>
      </c>
      <c r="AA849" s="61" t="n">
        <f aca="false">SUM(T849:Z849)</f>
        <v>120.10997</v>
      </c>
      <c r="AB849" s="61" t="n">
        <f aca="false">AA849/(1-Resumo!$B$5)</f>
        <v>136.488602272727</v>
      </c>
      <c r="AC849" s="61" t="n">
        <f aca="false">AB849-S849</f>
        <v>43.5181954545454</v>
      </c>
      <c r="AD849" s="62" t="n">
        <f aca="false">AB849/S849-1</f>
        <v>0.468086533596138</v>
      </c>
      <c r="AE849" s="60" t="str">
        <f aca="false">IF(AB849&lt;S849,"SIM","NÃO")</f>
        <v>NÃO</v>
      </c>
      <c r="AF849" s="60" t="n">
        <v>2</v>
      </c>
      <c r="AG849" s="60" t="n">
        <v>5</v>
      </c>
      <c r="AH849" s="60" t="s">
        <v>382</v>
      </c>
      <c r="AI849" s="61" t="n">
        <f aca="false">(T849*(1-Painel!$C$40)+U849+V849+Painel!$C$41+Painel!$C$42*CEILING(G849/100,1)+Painel!$C$43*CEILING(G849,1)+Z849)/(1-Resumo!$B$5)</f>
        <v>94.7384886363636</v>
      </c>
      <c r="AJ849" s="60" t="str">
        <f aca="false">IF(AI849&lt;S849,"SIM","NÃO")</f>
        <v>NÃO</v>
      </c>
    </row>
    <row r="850" customFormat="false" ht="15" hidden="false" customHeight="false" outlineLevel="0" collapsed="false">
      <c r="A850" s="59" t="n">
        <v>46244.9468402778</v>
      </c>
      <c r="B850" s="60" t="s">
        <v>527</v>
      </c>
      <c r="C850" s="60" t="n">
        <v>23065006</v>
      </c>
      <c r="D850" s="60" t="s">
        <v>46</v>
      </c>
      <c r="E850" s="60" t="s">
        <v>22</v>
      </c>
      <c r="F850" s="60" t="s">
        <v>234</v>
      </c>
      <c r="G850" s="60" t="n">
        <v>36.9</v>
      </c>
      <c r="H850" s="61" t="n">
        <v>391.88</v>
      </c>
      <c r="I850" s="61" t="n">
        <v>48.35</v>
      </c>
      <c r="J850" s="61" t="n">
        <f aca="false">H850*Resumo!$C$6</f>
        <v>0</v>
      </c>
      <c r="K850" s="61" t="n">
        <f aca="false">H850*Resumo!$C$7</f>
        <v>0.822948</v>
      </c>
      <c r="L850" s="61" t="n">
        <f aca="false">H850*Resumo!$C$8</f>
        <v>0.822948</v>
      </c>
      <c r="M850" s="61" t="n">
        <f aca="false">Resumo!$C$10*CEILING(G850/100,1)</f>
        <v>1.05</v>
      </c>
      <c r="N850" s="61" t="n">
        <f aca="false">Resumo!$C$9</f>
        <v>0</v>
      </c>
      <c r="O850" s="61" t="n">
        <f aca="false">Resumo!$C$13</f>
        <v>13.55</v>
      </c>
      <c r="P850" s="61" t="n">
        <f aca="false">Resumo!$C$14*CEILING(G850,1)</f>
        <v>16.65</v>
      </c>
      <c r="Q850" s="61" t="n">
        <f aca="false">SUM(I850:P850)*Resumo!$C$11</f>
        <v>0</v>
      </c>
      <c r="R850" s="61" t="n">
        <f aca="false">SUM(I850:Q850)</f>
        <v>81.245896</v>
      </c>
      <c r="S850" s="61" t="n">
        <f aca="false">R850/(1-Resumo!$C$5)</f>
        <v>92.3248818181818</v>
      </c>
      <c r="T850" s="61" t="n">
        <v>93.97</v>
      </c>
      <c r="U850" s="61" t="n">
        <f aca="false">H850*Resumo!$B$6</f>
        <v>0.39188</v>
      </c>
      <c r="V850" s="61" t="n">
        <f aca="false">H850*Resumo!$B$7</f>
        <v>0.78376</v>
      </c>
      <c r="W850" s="61" t="n">
        <f aca="false">Resumo!$B$9</f>
        <v>1</v>
      </c>
      <c r="X850" s="61" t="n">
        <f aca="false">Resumo!$B$10*CEILING(G850/100,1)</f>
        <v>4.5</v>
      </c>
      <c r="Y850" s="61" t="n">
        <f aca="false">Resumo!$B$12*CEILING(G850,1)</f>
        <v>2.22</v>
      </c>
      <c r="Z850" s="61" t="n">
        <f aca="false">Resumo!$B$14*CEILING(G850,1)</f>
        <v>16.65</v>
      </c>
      <c r="AA850" s="61" t="n">
        <f aca="false">SUM(T850:Z850)</f>
        <v>119.51564</v>
      </c>
      <c r="AB850" s="61" t="n">
        <f aca="false">AA850/(1-Resumo!$B$5)</f>
        <v>135.813227272727</v>
      </c>
      <c r="AC850" s="61" t="n">
        <f aca="false">AB850-S850</f>
        <v>43.4883454545455</v>
      </c>
      <c r="AD850" s="62" t="n">
        <f aca="false">AB850/S850-1</f>
        <v>0.471036026238175</v>
      </c>
      <c r="AE850" s="60" t="str">
        <f aca="false">IF(AB850&lt;S850,"SIM","NÃO")</f>
        <v>NÃO</v>
      </c>
      <c r="AF850" s="60" t="n">
        <v>2</v>
      </c>
      <c r="AG850" s="60" t="n">
        <v>5</v>
      </c>
      <c r="AH850" s="60" t="s">
        <v>382</v>
      </c>
      <c r="AI850" s="61" t="n">
        <f aca="false">(T850*(1-Painel!$C$40)+U850+V850+Painel!$C$41+Painel!$C$42*CEILING(G850/100,1)+Painel!$C$43*CEILING(G850,1)+Z850)/(1-Resumo!$B$5)</f>
        <v>94.1312954545455</v>
      </c>
      <c r="AJ850" s="60" t="str">
        <f aca="false">IF(AI850&lt;S850,"SIM","NÃO")</f>
        <v>NÃO</v>
      </c>
    </row>
    <row r="851" customFormat="false" ht="15" hidden="false" customHeight="false" outlineLevel="0" collapsed="false">
      <c r="A851" s="59" t="n">
        <v>46244.9644328704</v>
      </c>
      <c r="B851" s="60" t="s">
        <v>1188</v>
      </c>
      <c r="C851" s="60" t="n">
        <v>23547320</v>
      </c>
      <c r="D851" s="60" t="s">
        <v>46</v>
      </c>
      <c r="E851" s="60" t="s">
        <v>22</v>
      </c>
      <c r="F851" s="60" t="s">
        <v>234</v>
      </c>
      <c r="G851" s="60" t="n">
        <v>36.8</v>
      </c>
      <c r="H851" s="61" t="n">
        <v>459.99</v>
      </c>
      <c r="I851" s="61" t="n">
        <v>48.35</v>
      </c>
      <c r="J851" s="61" t="n">
        <f aca="false">H851*Resumo!$C$6</f>
        <v>0</v>
      </c>
      <c r="K851" s="61" t="n">
        <f aca="false">H851*Resumo!$C$7</f>
        <v>0.965979</v>
      </c>
      <c r="L851" s="61" t="n">
        <f aca="false">H851*Resumo!$C$8</f>
        <v>0.965979</v>
      </c>
      <c r="M851" s="61" t="n">
        <f aca="false">Resumo!$C$10*CEILING(G851/100,1)</f>
        <v>1.05</v>
      </c>
      <c r="N851" s="61" t="n">
        <f aca="false">Resumo!$C$9</f>
        <v>0</v>
      </c>
      <c r="O851" s="61" t="n">
        <f aca="false">Resumo!$C$13</f>
        <v>13.55</v>
      </c>
      <c r="P851" s="61" t="n">
        <f aca="false">Resumo!$C$14*CEILING(G851,1)</f>
        <v>16.65</v>
      </c>
      <c r="Q851" s="61" t="n">
        <f aca="false">SUM(I851:P851)*Resumo!$C$11</f>
        <v>0</v>
      </c>
      <c r="R851" s="61" t="n">
        <f aca="false">SUM(I851:Q851)</f>
        <v>81.531958</v>
      </c>
      <c r="S851" s="61" t="n">
        <f aca="false">R851/(1-Resumo!$C$5)</f>
        <v>92.6499522727273</v>
      </c>
      <c r="T851" s="61" t="n">
        <v>93.97</v>
      </c>
      <c r="U851" s="61" t="n">
        <f aca="false">H851*Resumo!$B$6</f>
        <v>0.45999</v>
      </c>
      <c r="V851" s="61" t="n">
        <f aca="false">H851*Resumo!$B$7</f>
        <v>0.91998</v>
      </c>
      <c r="W851" s="61" t="n">
        <f aca="false">Resumo!$B$9</f>
        <v>1</v>
      </c>
      <c r="X851" s="61" t="n">
        <f aca="false">Resumo!$B$10*CEILING(G851/100,1)</f>
        <v>4.5</v>
      </c>
      <c r="Y851" s="61" t="n">
        <f aca="false">Resumo!$B$12*CEILING(G851,1)</f>
        <v>2.22</v>
      </c>
      <c r="Z851" s="61" t="n">
        <f aca="false">Resumo!$B$14*CEILING(G851,1)</f>
        <v>16.65</v>
      </c>
      <c r="AA851" s="61" t="n">
        <f aca="false">SUM(T851:Z851)</f>
        <v>119.71997</v>
      </c>
      <c r="AB851" s="61" t="n">
        <f aca="false">AA851/(1-Resumo!$B$5)</f>
        <v>136.045420454545</v>
      </c>
      <c r="AC851" s="61" t="n">
        <f aca="false">AB851-S851</f>
        <v>43.3954681818182</v>
      </c>
      <c r="AD851" s="62" t="n">
        <f aca="false">AB851/S851-1</f>
        <v>0.468380901633688</v>
      </c>
      <c r="AE851" s="60" t="str">
        <f aca="false">IF(AB851&lt;S851,"SIM","NÃO")</f>
        <v>NÃO</v>
      </c>
      <c r="AF851" s="60" t="n">
        <v>2</v>
      </c>
      <c r="AG851" s="60" t="n">
        <v>5</v>
      </c>
      <c r="AH851" s="60" t="s">
        <v>382</v>
      </c>
      <c r="AI851" s="61" t="n">
        <f aca="false">(T851*(1-Painel!$C$40)+U851+V851+Painel!$C$41+Painel!$C$42*CEILING(G851/100,1)+Painel!$C$43*CEILING(G851,1)+Z851)/(1-Resumo!$B$5)</f>
        <v>94.3634886363636</v>
      </c>
      <c r="AJ851" s="60" t="str">
        <f aca="false">IF(AI851&lt;S851,"SIM","NÃO")</f>
        <v>NÃO</v>
      </c>
    </row>
    <row r="852" customFormat="false" ht="15" hidden="false" customHeight="false" outlineLevel="0" collapsed="false">
      <c r="A852" s="59" t="n">
        <v>46245.0250694445</v>
      </c>
      <c r="B852" s="60" t="s">
        <v>1189</v>
      </c>
      <c r="C852" s="60" t="n">
        <v>28898024</v>
      </c>
      <c r="D852" s="60" t="s">
        <v>227</v>
      </c>
      <c r="E852" s="60" t="s">
        <v>24</v>
      </c>
      <c r="F852" s="60" t="s">
        <v>233</v>
      </c>
      <c r="G852" s="60" t="n">
        <v>24.4</v>
      </c>
      <c r="H852" s="61" t="n">
        <v>349.99</v>
      </c>
      <c r="I852" s="61" t="n">
        <v>65.63</v>
      </c>
      <c r="J852" s="61" t="n">
        <f aca="false">H852*Resumo!$C$6</f>
        <v>0</v>
      </c>
      <c r="K852" s="61" t="n">
        <f aca="false">H852*Resumo!$C$7</f>
        <v>0.734979</v>
      </c>
      <c r="L852" s="61" t="n">
        <f aca="false">H852*Resumo!$C$8</f>
        <v>0.734979</v>
      </c>
      <c r="M852" s="61" t="n">
        <f aca="false">Resumo!$C$10*CEILING(G852/100,1)</f>
        <v>1.05</v>
      </c>
      <c r="N852" s="61" t="n">
        <f aca="false">Resumo!$C$9</f>
        <v>0</v>
      </c>
      <c r="O852" s="61" t="n">
        <f aca="false">Resumo!$C$13</f>
        <v>13.55</v>
      </c>
      <c r="P852" s="61" t="n">
        <f aca="false">Resumo!$C$14*CEILING(G852,1)</f>
        <v>11.25</v>
      </c>
      <c r="Q852" s="61" t="n">
        <f aca="false">SUM(I852:P852)*Resumo!$C$11</f>
        <v>0</v>
      </c>
      <c r="R852" s="61" t="n">
        <f aca="false">SUM(I852:Q852)</f>
        <v>92.949958</v>
      </c>
      <c r="S852" s="61" t="n">
        <f aca="false">R852/(1-Resumo!$C$5)</f>
        <v>105.624952272727</v>
      </c>
      <c r="T852" s="61" t="n">
        <v>114.95</v>
      </c>
      <c r="U852" s="61" t="n">
        <f aca="false">H852*Resumo!$B$6</f>
        <v>0.34999</v>
      </c>
      <c r="V852" s="61" t="n">
        <f aca="false">H852*Resumo!$B$7</f>
        <v>0.69998</v>
      </c>
      <c r="W852" s="61" t="n">
        <f aca="false">Resumo!$B$9</f>
        <v>1</v>
      </c>
      <c r="X852" s="61" t="n">
        <f aca="false">Resumo!$B$10*CEILING(G852/100,1)</f>
        <v>4.5</v>
      </c>
      <c r="Y852" s="61" t="n">
        <f aca="false">Resumo!$B$12*CEILING(G852,1)</f>
        <v>1.5</v>
      </c>
      <c r="Z852" s="61" t="n">
        <f aca="false">Resumo!$B$14*CEILING(G852,1)</f>
        <v>11.25</v>
      </c>
      <c r="AA852" s="61" t="n">
        <f aca="false">SUM(T852:Z852)</f>
        <v>134.24997</v>
      </c>
      <c r="AB852" s="61" t="n">
        <f aca="false">AA852/(1-Resumo!$B$5)</f>
        <v>152.556784090909</v>
      </c>
      <c r="AC852" s="61" t="n">
        <f aca="false">AB852-S852</f>
        <v>46.9318318181818</v>
      </c>
      <c r="AD852" s="62" t="n">
        <f aca="false">AB852/S852-1</f>
        <v>0.444325235735986</v>
      </c>
      <c r="AE852" s="60" t="str">
        <f aca="false">IF(AB852&lt;S852,"SIM","NÃO")</f>
        <v>NÃO</v>
      </c>
      <c r="AF852" s="60" t="n">
        <v>13</v>
      </c>
      <c r="AG852" s="60" t="n">
        <v>10</v>
      </c>
      <c r="AH852" s="60" t="s">
        <v>382</v>
      </c>
      <c r="AI852" s="61" t="n">
        <f aca="false">(T852*(1-Painel!$C$40)+U852+V852+Painel!$C$41+Painel!$C$42*CEILING(G852/100,1)+Painel!$C$43*CEILING(G852,1)+Z852)/(1-Resumo!$B$5)</f>
        <v>103.825534090909</v>
      </c>
      <c r="AJ852" s="60" t="str">
        <f aca="false">IF(AI852&lt;S852,"SIM","NÃO")</f>
        <v>SIM</v>
      </c>
    </row>
    <row r="853" customFormat="false" ht="15" hidden="false" customHeight="false" outlineLevel="0" collapsed="false">
      <c r="A853" s="59" t="n">
        <v>46245.1247916667</v>
      </c>
      <c r="B853" s="60" t="s">
        <v>1190</v>
      </c>
      <c r="C853" s="60" t="n">
        <v>25056100</v>
      </c>
      <c r="D853" s="60" t="s">
        <v>48</v>
      </c>
      <c r="E853" s="60" t="s">
        <v>23</v>
      </c>
      <c r="F853" s="60" t="s">
        <v>233</v>
      </c>
      <c r="G853" s="60" t="n">
        <v>22.4</v>
      </c>
      <c r="H853" s="61" t="n">
        <v>489.99</v>
      </c>
      <c r="I853" s="61" t="n">
        <v>58.8</v>
      </c>
      <c r="J853" s="61" t="n">
        <f aca="false">H853*Resumo!$C$6</f>
        <v>0</v>
      </c>
      <c r="K853" s="61" t="n">
        <f aca="false">H853*Resumo!$C$7</f>
        <v>1.028979</v>
      </c>
      <c r="L853" s="61" t="n">
        <f aca="false">H853*Resumo!$C$8</f>
        <v>1.028979</v>
      </c>
      <c r="M853" s="61" t="n">
        <f aca="false">Resumo!$C$10*CEILING(G853/100,1)</f>
        <v>1.05</v>
      </c>
      <c r="N853" s="61" t="n">
        <f aca="false">Resumo!$C$9</f>
        <v>0</v>
      </c>
      <c r="O853" s="61" t="n">
        <f aca="false">Resumo!$C$13</f>
        <v>13.55</v>
      </c>
      <c r="P853" s="61" t="n">
        <f aca="false">Resumo!$C$14*CEILING(G853,1)</f>
        <v>10.35</v>
      </c>
      <c r="Q853" s="61" t="n">
        <f aca="false">SUM(I853:P853)*Resumo!$C$11</f>
        <v>0</v>
      </c>
      <c r="R853" s="61" t="n">
        <f aca="false">SUM(I853:Q853)</f>
        <v>85.807958</v>
      </c>
      <c r="S853" s="61" t="n">
        <f aca="false">R853/(1-Resumo!$C$5)</f>
        <v>97.5090431818182</v>
      </c>
      <c r="T853" s="61" t="n">
        <v>82.21</v>
      </c>
      <c r="U853" s="61" t="n">
        <f aca="false">H853*Resumo!$B$6</f>
        <v>0.48999</v>
      </c>
      <c r="V853" s="61" t="n">
        <f aca="false">H853*Resumo!$B$7</f>
        <v>0.97998</v>
      </c>
      <c r="W853" s="61" t="n">
        <f aca="false">Resumo!$B$9</f>
        <v>1</v>
      </c>
      <c r="X853" s="61" t="n">
        <f aca="false">Resumo!$B$10*CEILING(G853/100,1)</f>
        <v>4.5</v>
      </c>
      <c r="Y853" s="61" t="n">
        <f aca="false">Resumo!$B$12*CEILING(G853,1)</f>
        <v>1.38</v>
      </c>
      <c r="Z853" s="61" t="n">
        <f aca="false">Resumo!$B$14*CEILING(G853,1)</f>
        <v>10.35</v>
      </c>
      <c r="AA853" s="61" t="n">
        <f aca="false">SUM(T853:Z853)</f>
        <v>100.90997</v>
      </c>
      <c r="AB853" s="61" t="n">
        <f aca="false">AA853/(1-Resumo!$B$5)</f>
        <v>114.670420454545</v>
      </c>
      <c r="AC853" s="61" t="n">
        <f aca="false">AB853-S853</f>
        <v>17.1613772727273</v>
      </c>
      <c r="AD853" s="62" t="n">
        <f aca="false">AB853/S853-1</f>
        <v>0.17599780197543</v>
      </c>
      <c r="AE853" s="60" t="str">
        <f aca="false">IF(AB853&lt;S853,"SIM","NÃO")</f>
        <v>NÃO</v>
      </c>
      <c r="AF853" s="60" t="n">
        <v>2</v>
      </c>
      <c r="AG853" s="60" t="n">
        <v>5</v>
      </c>
      <c r="AH853" s="60" t="s">
        <v>382</v>
      </c>
      <c r="AI853" s="61" t="n">
        <f aca="false">(T853*(1-Painel!$C$40)+U853+V853+Painel!$C$41+Painel!$C$42*CEILING(G853/100,1)+Painel!$C$43*CEILING(G853,1)+Z853)/(1-Resumo!$B$5)</f>
        <v>78.3530340909091</v>
      </c>
      <c r="AJ853" s="60" t="str">
        <f aca="false">IF(AI853&lt;S853,"SIM","NÃO")</f>
        <v>SIM</v>
      </c>
    </row>
    <row r="854" customFormat="false" ht="15" hidden="false" customHeight="false" outlineLevel="0" collapsed="false">
      <c r="A854" s="59" t="n">
        <v>46245.332650463</v>
      </c>
      <c r="B854" s="60" t="s">
        <v>1191</v>
      </c>
      <c r="C854" s="60" t="n">
        <v>26294300</v>
      </c>
      <c r="D854" s="60" t="s">
        <v>49</v>
      </c>
      <c r="E854" s="60" t="s">
        <v>23</v>
      </c>
      <c r="F854" s="60" t="s">
        <v>236</v>
      </c>
      <c r="G854" s="60" t="n">
        <v>52.3</v>
      </c>
      <c r="H854" s="61" t="n">
        <v>632.65</v>
      </c>
      <c r="I854" s="61" t="n">
        <v>70.98</v>
      </c>
      <c r="J854" s="61" t="n">
        <f aca="false">H854*Resumo!$C$6</f>
        <v>0</v>
      </c>
      <c r="K854" s="61" t="n">
        <f aca="false">H854*Resumo!$C$7</f>
        <v>1.328565</v>
      </c>
      <c r="L854" s="61" t="n">
        <f aca="false">H854*Resumo!$C$8</f>
        <v>1.328565</v>
      </c>
      <c r="M854" s="61" t="n">
        <f aca="false">Resumo!$C$10*CEILING(G854/100,1)</f>
        <v>1.05</v>
      </c>
      <c r="N854" s="61" t="n">
        <f aca="false">Resumo!$C$9</f>
        <v>0</v>
      </c>
      <c r="O854" s="61" t="n">
        <f aca="false">Resumo!$C$13</f>
        <v>13.55</v>
      </c>
      <c r="P854" s="61" t="n">
        <f aca="false">Resumo!$C$14*CEILING(G854,1)</f>
        <v>23.85</v>
      </c>
      <c r="Q854" s="61" t="n">
        <f aca="false">SUM(I854:P854)*Resumo!$C$11</f>
        <v>0</v>
      </c>
      <c r="R854" s="61" t="n">
        <f aca="false">SUM(I854:Q854)</f>
        <v>112.08713</v>
      </c>
      <c r="S854" s="61" t="n">
        <f aca="false">R854/(1-Resumo!$C$5)</f>
        <v>127.371738636364</v>
      </c>
      <c r="T854" s="61" t="n">
        <v>112.3</v>
      </c>
      <c r="U854" s="61" t="n">
        <f aca="false">H854*Resumo!$B$6</f>
        <v>0.63265</v>
      </c>
      <c r="V854" s="61" t="n">
        <f aca="false">H854*Resumo!$B$7</f>
        <v>1.2653</v>
      </c>
      <c r="W854" s="61" t="n">
        <f aca="false">Resumo!$B$9</f>
        <v>1</v>
      </c>
      <c r="X854" s="61" t="n">
        <f aca="false">Resumo!$B$10*CEILING(G854/100,1)</f>
        <v>4.5</v>
      </c>
      <c r="Y854" s="61" t="n">
        <f aca="false">Resumo!$B$12*CEILING(G854,1)</f>
        <v>3.18</v>
      </c>
      <c r="Z854" s="61" t="n">
        <f aca="false">Resumo!$B$14*CEILING(G854,1)</f>
        <v>23.85</v>
      </c>
      <c r="AA854" s="61" t="n">
        <f aca="false">SUM(T854:Z854)</f>
        <v>146.72795</v>
      </c>
      <c r="AB854" s="61" t="n">
        <f aca="false">AA854/(1-Resumo!$B$5)</f>
        <v>166.736306818182</v>
      </c>
      <c r="AC854" s="61" t="n">
        <f aca="false">AB854-S854</f>
        <v>39.3645681818182</v>
      </c>
      <c r="AD854" s="62" t="n">
        <f aca="false">AB854/S854-1</f>
        <v>0.309052609340608</v>
      </c>
      <c r="AE854" s="60" t="str">
        <f aca="false">IF(AB854&lt;S854,"SIM","NÃO")</f>
        <v>NÃO</v>
      </c>
      <c r="AF854" s="60" t="n">
        <v>2</v>
      </c>
      <c r="AG854" s="60" t="n">
        <v>5</v>
      </c>
      <c r="AH854" s="60" t="s">
        <v>382</v>
      </c>
      <c r="AI854" s="61" t="n">
        <f aca="false">(T854*(1-Painel!$C$40)+U854+V854+Painel!$C$41+Painel!$C$42*CEILING(G854/100,1)+Painel!$C$43*CEILING(G854,1)+Z854)/(1-Resumo!$B$5)</f>
        <v>117.089715909091</v>
      </c>
      <c r="AJ854" s="60" t="str">
        <f aca="false">IF(AI854&lt;S854,"SIM","NÃO")</f>
        <v>SIM</v>
      </c>
    </row>
    <row r="855" customFormat="false" ht="15" hidden="false" customHeight="false" outlineLevel="0" collapsed="false">
      <c r="A855" s="59" t="n">
        <v>46245.3660416667</v>
      </c>
      <c r="B855" s="60" t="s">
        <v>1192</v>
      </c>
      <c r="C855" s="60" t="n">
        <v>22723497</v>
      </c>
      <c r="D855" s="60" t="s">
        <v>46</v>
      </c>
      <c r="E855" s="60" t="s">
        <v>22</v>
      </c>
      <c r="F855" s="60" t="s">
        <v>235</v>
      </c>
      <c r="G855" s="60" t="n">
        <v>41.3</v>
      </c>
      <c r="H855" s="61" t="n">
        <v>509.5</v>
      </c>
      <c r="I855" s="61" t="n">
        <v>53.55</v>
      </c>
      <c r="J855" s="61" t="n">
        <f aca="false">H855*Resumo!$C$6</f>
        <v>0</v>
      </c>
      <c r="K855" s="61" t="n">
        <f aca="false">H855*Resumo!$C$7</f>
        <v>1.06995</v>
      </c>
      <c r="L855" s="61" t="n">
        <f aca="false">H855*Resumo!$C$8</f>
        <v>1.06995</v>
      </c>
      <c r="M855" s="61" t="n">
        <f aca="false">Resumo!$C$10*CEILING(G855/100,1)</f>
        <v>1.05</v>
      </c>
      <c r="N855" s="61" t="n">
        <f aca="false">Resumo!$C$9</f>
        <v>0</v>
      </c>
      <c r="O855" s="61" t="n">
        <f aca="false">Resumo!$C$13</f>
        <v>13.55</v>
      </c>
      <c r="P855" s="61" t="n">
        <f aca="false">Resumo!$C$14*CEILING(G855,1)</f>
        <v>18.9</v>
      </c>
      <c r="Q855" s="61" t="n">
        <f aca="false">SUM(I855:P855)*Resumo!$C$11</f>
        <v>0</v>
      </c>
      <c r="R855" s="61" t="n">
        <f aca="false">SUM(I855:Q855)</f>
        <v>89.1899</v>
      </c>
      <c r="S855" s="61" t="n">
        <f aca="false">R855/(1-Resumo!$C$5)</f>
        <v>101.352159090909</v>
      </c>
      <c r="T855" s="61" t="n">
        <v>93.97</v>
      </c>
      <c r="U855" s="61" t="n">
        <f aca="false">H855*Resumo!$B$6</f>
        <v>0.5095</v>
      </c>
      <c r="V855" s="61" t="n">
        <f aca="false">H855*Resumo!$B$7</f>
        <v>1.019</v>
      </c>
      <c r="W855" s="61" t="n">
        <f aca="false">Resumo!$B$9</f>
        <v>1</v>
      </c>
      <c r="X855" s="61" t="n">
        <f aca="false">Resumo!$B$10*CEILING(G855/100,1)</f>
        <v>4.5</v>
      </c>
      <c r="Y855" s="61" t="n">
        <f aca="false">Resumo!$B$12*CEILING(G855,1)</f>
        <v>2.52</v>
      </c>
      <c r="Z855" s="61" t="n">
        <f aca="false">Resumo!$B$14*CEILING(G855,1)</f>
        <v>18.9</v>
      </c>
      <c r="AA855" s="61" t="n">
        <f aca="false">SUM(T855:Z855)</f>
        <v>122.4185</v>
      </c>
      <c r="AB855" s="61" t="n">
        <f aca="false">AA855/(1-Resumo!$B$5)</f>
        <v>139.111931818182</v>
      </c>
      <c r="AC855" s="61" t="n">
        <f aca="false">AB855-S855</f>
        <v>37.7597727272727</v>
      </c>
      <c r="AD855" s="62" t="n">
        <f aca="false">AB855/S855-1</f>
        <v>0.372560121717818</v>
      </c>
      <c r="AE855" s="60" t="str">
        <f aca="false">IF(AB855&lt;S855,"SIM","NÃO")</f>
        <v>NÃO</v>
      </c>
      <c r="AF855" s="60" t="n">
        <v>2</v>
      </c>
      <c r="AG855" s="60" t="n">
        <v>5</v>
      </c>
      <c r="AH855" s="60" t="s">
        <v>382</v>
      </c>
      <c r="AI855" s="61" t="n">
        <f aca="false">(T855*(1-Painel!$C$40)+U855+V855+Painel!$C$41+Painel!$C$42*CEILING(G855/100,1)+Painel!$C$43*CEILING(G855,1)+Z855)/(1-Resumo!$B$5)</f>
        <v>97.0890909090909</v>
      </c>
      <c r="AJ855" s="60" t="str">
        <f aca="false">IF(AI855&lt;S855,"SIM","NÃO")</f>
        <v>SIM</v>
      </c>
    </row>
    <row r="856" customFormat="false" ht="15" hidden="false" customHeight="false" outlineLevel="0" collapsed="false">
      <c r="A856" s="59" t="n">
        <v>46245.3776388889</v>
      </c>
      <c r="B856" s="60" t="s">
        <v>1193</v>
      </c>
      <c r="C856" s="60" t="n">
        <v>26260035</v>
      </c>
      <c r="D856" s="60" t="s">
        <v>49</v>
      </c>
      <c r="E856" s="60" t="s">
        <v>23</v>
      </c>
      <c r="F856" s="60" t="s">
        <v>235</v>
      </c>
      <c r="G856" s="60" t="n">
        <v>46.8</v>
      </c>
      <c r="H856" s="61" t="n">
        <v>587.49</v>
      </c>
      <c r="I856" s="61" t="n">
        <v>65.36</v>
      </c>
      <c r="J856" s="61" t="n">
        <f aca="false">H856*Resumo!$C$6</f>
        <v>0</v>
      </c>
      <c r="K856" s="61" t="n">
        <f aca="false">H856*Resumo!$C$7</f>
        <v>1.233729</v>
      </c>
      <c r="L856" s="61" t="n">
        <f aca="false">H856*Resumo!$C$8</f>
        <v>1.233729</v>
      </c>
      <c r="M856" s="61" t="n">
        <f aca="false">Resumo!$C$10*CEILING(G856/100,1)</f>
        <v>1.05</v>
      </c>
      <c r="N856" s="61" t="n">
        <f aca="false">Resumo!$C$9</f>
        <v>0</v>
      </c>
      <c r="O856" s="61" t="n">
        <f aca="false">Resumo!$C$13</f>
        <v>13.55</v>
      </c>
      <c r="P856" s="61" t="n">
        <f aca="false">Resumo!$C$14*CEILING(G856,1)</f>
        <v>21.15</v>
      </c>
      <c r="Q856" s="61" t="n">
        <f aca="false">SUM(I856:P856)*Resumo!$C$11</f>
        <v>0</v>
      </c>
      <c r="R856" s="61" t="n">
        <f aca="false">SUM(I856:Q856)</f>
        <v>103.577458</v>
      </c>
      <c r="S856" s="61" t="n">
        <f aca="false">R856/(1-Resumo!$C$5)</f>
        <v>117.701656818182</v>
      </c>
      <c r="T856" s="61" t="n">
        <v>93.97</v>
      </c>
      <c r="U856" s="61" t="n">
        <f aca="false">H856*Resumo!$B$6</f>
        <v>0.58749</v>
      </c>
      <c r="V856" s="61" t="n">
        <f aca="false">H856*Resumo!$B$7</f>
        <v>1.17498</v>
      </c>
      <c r="W856" s="61" t="n">
        <f aca="false">Resumo!$B$9</f>
        <v>1</v>
      </c>
      <c r="X856" s="61" t="n">
        <f aca="false">Resumo!$B$10*CEILING(G856/100,1)</f>
        <v>4.5</v>
      </c>
      <c r="Y856" s="61" t="n">
        <f aca="false">Resumo!$B$12*CEILING(G856,1)</f>
        <v>2.82</v>
      </c>
      <c r="Z856" s="61" t="n">
        <f aca="false">Resumo!$B$14*CEILING(G856,1)</f>
        <v>21.15</v>
      </c>
      <c r="AA856" s="61" t="n">
        <f aca="false">SUM(T856:Z856)</f>
        <v>125.20247</v>
      </c>
      <c r="AB856" s="61" t="n">
        <f aca="false">AA856/(1-Resumo!$B$5)</f>
        <v>142.275534090909</v>
      </c>
      <c r="AC856" s="61" t="n">
        <f aca="false">AB856-S856</f>
        <v>24.5738772727273</v>
      </c>
      <c r="AD856" s="62" t="n">
        <f aca="false">AB856/S856-1</f>
        <v>0.208781065084644</v>
      </c>
      <c r="AE856" s="60" t="str">
        <f aca="false">IF(AB856&lt;S856,"SIM","NÃO")</f>
        <v>NÃO</v>
      </c>
      <c r="AF856" s="60" t="n">
        <v>2</v>
      </c>
      <c r="AG856" s="60" t="n">
        <v>5</v>
      </c>
      <c r="AH856" s="60" t="s">
        <v>382</v>
      </c>
      <c r="AI856" s="61" t="n">
        <f aca="false">(T856*(1-Painel!$C$40)+U856+V856+Painel!$C$41+Painel!$C$42*CEILING(G856/100,1)+Painel!$C$43*CEILING(G856,1)+Z856)/(1-Resumo!$B$5)</f>
        <v>99.9117840909091</v>
      </c>
      <c r="AJ856" s="60" t="str">
        <f aca="false">IF(AI856&lt;S856,"SIM","NÃO")</f>
        <v>SIM</v>
      </c>
    </row>
    <row r="857" customFormat="false" ht="15" hidden="false" customHeight="false" outlineLevel="0" collapsed="false">
      <c r="A857" s="59" t="n">
        <v>46245.385462963</v>
      </c>
      <c r="B857" s="60" t="s">
        <v>1194</v>
      </c>
      <c r="C857" s="60" t="n">
        <v>25035460</v>
      </c>
      <c r="D857" s="60" t="s">
        <v>48</v>
      </c>
      <c r="E857" s="60" t="s">
        <v>23</v>
      </c>
      <c r="F857" s="60" t="s">
        <v>233</v>
      </c>
      <c r="G857" s="60" t="n">
        <v>27.4</v>
      </c>
      <c r="H857" s="61" t="n">
        <v>315.99</v>
      </c>
      <c r="I857" s="61" t="n">
        <v>58.8</v>
      </c>
      <c r="J857" s="61" t="n">
        <f aca="false">H857*Resumo!$C$6</f>
        <v>0</v>
      </c>
      <c r="K857" s="61" t="n">
        <f aca="false">H857*Resumo!$C$7</f>
        <v>0.663579</v>
      </c>
      <c r="L857" s="61" t="n">
        <f aca="false">H857*Resumo!$C$8</f>
        <v>0.663579</v>
      </c>
      <c r="M857" s="61" t="n">
        <f aca="false">Resumo!$C$10*CEILING(G857/100,1)</f>
        <v>1.05</v>
      </c>
      <c r="N857" s="61" t="n">
        <f aca="false">Resumo!$C$9</f>
        <v>0</v>
      </c>
      <c r="O857" s="61" t="n">
        <f aca="false">Resumo!$C$13</f>
        <v>13.55</v>
      </c>
      <c r="P857" s="61" t="n">
        <f aca="false">Resumo!$C$14*CEILING(G857,1)</f>
        <v>12.6</v>
      </c>
      <c r="Q857" s="61" t="n">
        <f aca="false">SUM(I857:P857)*Resumo!$C$11</f>
        <v>0</v>
      </c>
      <c r="R857" s="61" t="n">
        <f aca="false">SUM(I857:Q857)</f>
        <v>87.327158</v>
      </c>
      <c r="S857" s="61" t="n">
        <f aca="false">R857/(1-Resumo!$C$5)</f>
        <v>99.2354068181818</v>
      </c>
      <c r="T857" s="61" t="n">
        <v>82.21</v>
      </c>
      <c r="U857" s="61" t="n">
        <f aca="false">H857*Resumo!$B$6</f>
        <v>0.31599</v>
      </c>
      <c r="V857" s="61" t="n">
        <f aca="false">H857*Resumo!$B$7</f>
        <v>0.63198</v>
      </c>
      <c r="W857" s="61" t="n">
        <f aca="false">Resumo!$B$9</f>
        <v>1</v>
      </c>
      <c r="X857" s="61" t="n">
        <f aca="false">Resumo!$B$10*CEILING(G857/100,1)</f>
        <v>4.5</v>
      </c>
      <c r="Y857" s="61" t="n">
        <f aca="false">Resumo!$B$12*CEILING(G857,1)</f>
        <v>1.68</v>
      </c>
      <c r="Z857" s="61" t="n">
        <f aca="false">Resumo!$B$14*CEILING(G857,1)</f>
        <v>12.6</v>
      </c>
      <c r="AA857" s="61" t="n">
        <f aca="false">SUM(T857:Z857)</f>
        <v>102.93797</v>
      </c>
      <c r="AB857" s="61" t="n">
        <f aca="false">AA857/(1-Resumo!$B$5)</f>
        <v>116.974965909091</v>
      </c>
      <c r="AC857" s="61" t="n">
        <f aca="false">AB857-S857</f>
        <v>17.7395590909091</v>
      </c>
      <c r="AD857" s="62" t="n">
        <f aca="false">AB857/S857-1</f>
        <v>0.178762396000566</v>
      </c>
      <c r="AE857" s="60" t="str">
        <f aca="false">IF(AB857&lt;S857,"SIM","NÃO")</f>
        <v>NÃO</v>
      </c>
      <c r="AF857" s="60" t="n">
        <v>2</v>
      </c>
      <c r="AG857" s="60" t="n">
        <v>5</v>
      </c>
      <c r="AH857" s="60" t="s">
        <v>382</v>
      </c>
      <c r="AI857" s="61" t="n">
        <f aca="false">(T857*(1-Painel!$C$40)+U857+V857+Painel!$C$41+Painel!$C$42*CEILING(G857/100,1)+Painel!$C$43*CEILING(G857,1)+Z857)/(1-Resumo!$B$5)</f>
        <v>80.3166704545454</v>
      </c>
      <c r="AJ857" s="60" t="str">
        <f aca="false">IF(AI857&lt;S857,"SIM","NÃO")</f>
        <v>SIM</v>
      </c>
    </row>
    <row r="858" customFormat="false" ht="15" hidden="false" customHeight="false" outlineLevel="0" collapsed="false">
      <c r="A858" s="59" t="n">
        <v>46245.3896527778</v>
      </c>
      <c r="B858" s="60" t="s">
        <v>1194</v>
      </c>
      <c r="C858" s="60" t="n">
        <v>25035460</v>
      </c>
      <c r="D858" s="60" t="s">
        <v>48</v>
      </c>
      <c r="E858" s="60" t="s">
        <v>23</v>
      </c>
      <c r="F858" s="60" t="s">
        <v>233</v>
      </c>
      <c r="G858" s="60" t="n">
        <v>27</v>
      </c>
      <c r="H858" s="61" t="n">
        <v>319.99</v>
      </c>
      <c r="I858" s="61" t="n">
        <v>58.8</v>
      </c>
      <c r="J858" s="61" t="n">
        <f aca="false">H858*Resumo!$C$6</f>
        <v>0</v>
      </c>
      <c r="K858" s="61" t="n">
        <f aca="false">H858*Resumo!$C$7</f>
        <v>0.671979</v>
      </c>
      <c r="L858" s="61" t="n">
        <f aca="false">H858*Resumo!$C$8</f>
        <v>0.671979</v>
      </c>
      <c r="M858" s="61" t="n">
        <f aca="false">Resumo!$C$10*CEILING(G858/100,1)</f>
        <v>1.05</v>
      </c>
      <c r="N858" s="61" t="n">
        <f aca="false">Resumo!$C$9</f>
        <v>0</v>
      </c>
      <c r="O858" s="61" t="n">
        <f aca="false">Resumo!$C$13</f>
        <v>13.55</v>
      </c>
      <c r="P858" s="61" t="n">
        <f aca="false">Resumo!$C$14*CEILING(G858,1)</f>
        <v>12.15</v>
      </c>
      <c r="Q858" s="61" t="n">
        <f aca="false">SUM(I858:P858)*Resumo!$C$11</f>
        <v>0</v>
      </c>
      <c r="R858" s="61" t="n">
        <f aca="false">SUM(I858:Q858)</f>
        <v>86.893958</v>
      </c>
      <c r="S858" s="61" t="n">
        <f aca="false">R858/(1-Resumo!$C$5)</f>
        <v>98.7431340909091</v>
      </c>
      <c r="T858" s="61" t="n">
        <v>82.21</v>
      </c>
      <c r="U858" s="61" t="n">
        <f aca="false">H858*Resumo!$B$6</f>
        <v>0.31999</v>
      </c>
      <c r="V858" s="61" t="n">
        <f aca="false">H858*Resumo!$B$7</f>
        <v>0.63998</v>
      </c>
      <c r="W858" s="61" t="n">
        <f aca="false">Resumo!$B$9</f>
        <v>1</v>
      </c>
      <c r="X858" s="61" t="n">
        <f aca="false">Resumo!$B$10*CEILING(G858/100,1)</f>
        <v>4.5</v>
      </c>
      <c r="Y858" s="61" t="n">
        <f aca="false">Resumo!$B$12*CEILING(G858,1)</f>
        <v>1.62</v>
      </c>
      <c r="Z858" s="61" t="n">
        <f aca="false">Resumo!$B$14*CEILING(G858,1)</f>
        <v>12.15</v>
      </c>
      <c r="AA858" s="61" t="n">
        <f aca="false">SUM(T858:Z858)</f>
        <v>102.43997</v>
      </c>
      <c r="AB858" s="61" t="n">
        <f aca="false">AA858/(1-Resumo!$B$5)</f>
        <v>116.409056818182</v>
      </c>
      <c r="AC858" s="61" t="n">
        <f aca="false">AB858-S858</f>
        <v>17.6659227272727</v>
      </c>
      <c r="AD858" s="62" t="n">
        <f aca="false">AB858/S858-1</f>
        <v>0.178907859163234</v>
      </c>
      <c r="AE858" s="60" t="str">
        <f aca="false">IF(AB858&lt;S858,"SIM","NÃO")</f>
        <v>NÃO</v>
      </c>
      <c r="AF858" s="60" t="n">
        <v>2</v>
      </c>
      <c r="AG858" s="60" t="n">
        <v>5</v>
      </c>
      <c r="AH858" s="60" t="s">
        <v>382</v>
      </c>
      <c r="AI858" s="61" t="n">
        <f aca="false">(T858*(1-Painel!$C$40)+U858+V858+Painel!$C$41+Painel!$C$42*CEILING(G858/100,1)+Painel!$C$43*CEILING(G858,1)+Z858)/(1-Resumo!$B$5)</f>
        <v>79.8189431818182</v>
      </c>
      <c r="AJ858" s="60" t="str">
        <f aca="false">IF(AI858&lt;S858,"SIM","NÃO")</f>
        <v>SIM</v>
      </c>
    </row>
    <row r="859" customFormat="false" ht="15" hidden="false" customHeight="false" outlineLevel="0" collapsed="false">
      <c r="A859" s="59" t="n">
        <v>46245.4047337963</v>
      </c>
      <c r="B859" s="60" t="s">
        <v>1195</v>
      </c>
      <c r="C859" s="60" t="n">
        <v>25720142</v>
      </c>
      <c r="D859" s="60" t="s">
        <v>219</v>
      </c>
      <c r="E859" s="60" t="s">
        <v>24</v>
      </c>
      <c r="F859" s="60" t="s">
        <v>237</v>
      </c>
      <c r="G859" s="60" t="n">
        <v>60.9</v>
      </c>
      <c r="H859" s="61" t="n">
        <v>999.99</v>
      </c>
      <c r="I859" s="61" t="n">
        <v>90.2</v>
      </c>
      <c r="J859" s="61" t="n">
        <f aca="false">H859*Resumo!$C$6</f>
        <v>0</v>
      </c>
      <c r="K859" s="61" t="n">
        <f aca="false">H859*Resumo!$C$7</f>
        <v>2.099979</v>
      </c>
      <c r="L859" s="61" t="n">
        <f aca="false">H859*Resumo!$C$8</f>
        <v>2.099979</v>
      </c>
      <c r="M859" s="61" t="n">
        <f aca="false">Resumo!$C$10*CEILING(G859/100,1)</f>
        <v>1.05</v>
      </c>
      <c r="N859" s="61" t="n">
        <f aca="false">Resumo!$C$9</f>
        <v>0</v>
      </c>
      <c r="O859" s="61" t="n">
        <f aca="false">Resumo!$C$13</f>
        <v>13.55</v>
      </c>
      <c r="P859" s="61" t="n">
        <f aca="false">Resumo!$C$14*CEILING(G859,1)</f>
        <v>27.45</v>
      </c>
      <c r="Q859" s="61" t="n">
        <f aca="false">SUM(I859:P859)*Resumo!$C$11</f>
        <v>0</v>
      </c>
      <c r="R859" s="61" t="n">
        <f aca="false">SUM(I859:Q859)</f>
        <v>136.449958</v>
      </c>
      <c r="S859" s="61" t="n">
        <f aca="false">R859/(1-Resumo!$C$5)</f>
        <v>155.056770454545</v>
      </c>
      <c r="T859" s="61" t="n">
        <v>166.05</v>
      </c>
      <c r="U859" s="61" t="n">
        <f aca="false">H859*Resumo!$B$6</f>
        <v>0.99999</v>
      </c>
      <c r="V859" s="61" t="n">
        <f aca="false">H859*Resumo!$B$7</f>
        <v>1.99998</v>
      </c>
      <c r="W859" s="61" t="n">
        <f aca="false">Resumo!$B$9</f>
        <v>1</v>
      </c>
      <c r="X859" s="61" t="n">
        <f aca="false">Resumo!$B$10*CEILING(G859/100,1)</f>
        <v>4.5</v>
      </c>
      <c r="Y859" s="61" t="n">
        <f aca="false">Resumo!$B$12*CEILING(G859,1)</f>
        <v>3.66</v>
      </c>
      <c r="Z859" s="61" t="n">
        <f aca="false">Resumo!$B$14*CEILING(G859,1)</f>
        <v>27.45</v>
      </c>
      <c r="AA859" s="61" t="n">
        <f aca="false">SUM(T859:Z859)</f>
        <v>205.65997</v>
      </c>
      <c r="AB859" s="61" t="n">
        <f aca="false">AA859/(1-Resumo!$B$5)</f>
        <v>233.704511363636</v>
      </c>
      <c r="AC859" s="61" t="n">
        <f aca="false">AB859-S859</f>
        <v>78.6477409090909</v>
      </c>
      <c r="AD859" s="62" t="n">
        <f aca="false">AB859/S859-1</f>
        <v>0.507219005519958</v>
      </c>
      <c r="AE859" s="60" t="str">
        <f aca="false">IF(AB859&lt;S859,"SIM","NÃO")</f>
        <v>NÃO</v>
      </c>
      <c r="AF859" s="60" t="n">
        <v>13</v>
      </c>
      <c r="AG859" s="60" t="n">
        <v>8</v>
      </c>
      <c r="AH859" s="60" t="s">
        <v>382</v>
      </c>
      <c r="AI859" s="61" t="n">
        <f aca="false">(T859*(1-Painel!$C$40)+U859+V859+Painel!$C$41+Painel!$C$42*CEILING(G859/100,1)+Painel!$C$43*CEILING(G859,1)+Z859)/(1-Resumo!$B$5)</f>
        <v>163.356215909091</v>
      </c>
      <c r="AJ859" s="60" t="str">
        <f aca="false">IF(AI859&lt;S859,"SIM","NÃO")</f>
        <v>NÃO</v>
      </c>
    </row>
    <row r="860" customFormat="false" ht="15" hidden="false" customHeight="false" outlineLevel="0" collapsed="false">
      <c r="A860" s="59" t="n">
        <v>46245.410787037</v>
      </c>
      <c r="B860" s="60" t="s">
        <v>1196</v>
      </c>
      <c r="C860" s="60" t="n">
        <v>27276310</v>
      </c>
      <c r="D860" s="60" t="s">
        <v>217</v>
      </c>
      <c r="E860" s="60" t="s">
        <v>24</v>
      </c>
      <c r="F860" s="60" t="s">
        <v>233</v>
      </c>
      <c r="G860" s="60" t="n">
        <v>27.4</v>
      </c>
      <c r="H860" s="61" t="n">
        <v>315.99</v>
      </c>
      <c r="I860" s="61" t="n">
        <v>65.63</v>
      </c>
      <c r="J860" s="61" t="n">
        <f aca="false">H860*Resumo!$C$6</f>
        <v>0</v>
      </c>
      <c r="K860" s="61" t="n">
        <f aca="false">H860*Resumo!$C$7</f>
        <v>0.663579</v>
      </c>
      <c r="L860" s="61" t="n">
        <f aca="false">H860*Resumo!$C$8</f>
        <v>0.663579</v>
      </c>
      <c r="M860" s="61" t="n">
        <f aca="false">Resumo!$C$10*CEILING(G860/100,1)</f>
        <v>1.05</v>
      </c>
      <c r="N860" s="61" t="n">
        <f aca="false">Resumo!$C$9</f>
        <v>0</v>
      </c>
      <c r="O860" s="61" t="n">
        <f aca="false">Resumo!$C$13</f>
        <v>13.55</v>
      </c>
      <c r="P860" s="61" t="n">
        <f aca="false">Resumo!$C$14*CEILING(G860,1)</f>
        <v>12.6</v>
      </c>
      <c r="Q860" s="61" t="n">
        <f aca="false">SUM(I860:P860)*Resumo!$C$11</f>
        <v>0</v>
      </c>
      <c r="R860" s="61" t="n">
        <f aca="false">SUM(I860:Q860)</f>
        <v>94.157158</v>
      </c>
      <c r="S860" s="61" t="n">
        <f aca="false">R860/(1-Resumo!$C$5)</f>
        <v>106.996770454545</v>
      </c>
      <c r="T860" s="61" t="n">
        <v>108.83</v>
      </c>
      <c r="U860" s="61" t="n">
        <f aca="false">H860*Resumo!$B$6</f>
        <v>0.31599</v>
      </c>
      <c r="V860" s="61" t="n">
        <f aca="false">H860*Resumo!$B$7</f>
        <v>0.63198</v>
      </c>
      <c r="W860" s="61" t="n">
        <f aca="false">Resumo!$B$9</f>
        <v>1</v>
      </c>
      <c r="X860" s="61" t="n">
        <f aca="false">Resumo!$B$10*CEILING(G860/100,1)</f>
        <v>4.5</v>
      </c>
      <c r="Y860" s="61" t="n">
        <f aca="false">Resumo!$B$12*CEILING(G860,1)</f>
        <v>1.68</v>
      </c>
      <c r="Z860" s="61" t="n">
        <f aca="false">Resumo!$B$14*CEILING(G860,1)</f>
        <v>12.6</v>
      </c>
      <c r="AA860" s="61" t="n">
        <f aca="false">SUM(T860:Z860)</f>
        <v>129.55797</v>
      </c>
      <c r="AB860" s="61" t="n">
        <f aca="false">AA860/(1-Resumo!$B$5)</f>
        <v>147.224965909091</v>
      </c>
      <c r="AC860" s="61" t="n">
        <f aca="false">AB860-S860</f>
        <v>40.2281954545455</v>
      </c>
      <c r="AD860" s="62" t="n">
        <f aca="false">AB860/S860-1</f>
        <v>0.375975791452839</v>
      </c>
      <c r="AE860" s="60" t="str">
        <f aca="false">IF(AB860&lt;S860,"SIM","NÃO")</f>
        <v>NÃO</v>
      </c>
      <c r="AF860" s="60" t="n">
        <v>13</v>
      </c>
      <c r="AG860" s="60" t="n">
        <v>10</v>
      </c>
      <c r="AH860" s="60" t="s">
        <v>382</v>
      </c>
      <c r="AI860" s="61" t="n">
        <f aca="false">(T860*(1-Painel!$C$40)+U860+V860+Painel!$C$41+Painel!$C$42*CEILING(G860/100,1)+Painel!$C$43*CEILING(G860,1)+Z860)/(1-Resumo!$B$5)</f>
        <v>100.584170454545</v>
      </c>
      <c r="AJ860" s="60" t="str">
        <f aca="false">IF(AI860&lt;S860,"SIM","NÃO")</f>
        <v>SIM</v>
      </c>
    </row>
    <row r="861" customFormat="false" ht="15" hidden="false" customHeight="false" outlineLevel="0" collapsed="false">
      <c r="A861" s="59" t="n">
        <v>46245.4386342593</v>
      </c>
      <c r="B861" s="60" t="s">
        <v>1197</v>
      </c>
      <c r="C861" s="60" t="n">
        <v>28991406</v>
      </c>
      <c r="D861" s="60" t="s">
        <v>341</v>
      </c>
      <c r="E861" s="60" t="s">
        <v>24</v>
      </c>
      <c r="F861" s="60" t="s">
        <v>233</v>
      </c>
      <c r="G861" s="60" t="n">
        <v>27.5</v>
      </c>
      <c r="H861" s="61" t="n">
        <v>332</v>
      </c>
      <c r="I861" s="61" t="n">
        <v>65.63</v>
      </c>
      <c r="J861" s="61" t="n">
        <f aca="false">H861*Resumo!$C$6</f>
        <v>0</v>
      </c>
      <c r="K861" s="61" t="n">
        <f aca="false">H861*Resumo!$C$7</f>
        <v>0.6972</v>
      </c>
      <c r="L861" s="61" t="n">
        <f aca="false">H861*Resumo!$C$8</f>
        <v>0.6972</v>
      </c>
      <c r="M861" s="61" t="n">
        <f aca="false">Resumo!$C$10*CEILING(G861/100,1)</f>
        <v>1.05</v>
      </c>
      <c r="N861" s="61" t="n">
        <f aca="false">Resumo!$C$9</f>
        <v>0</v>
      </c>
      <c r="O861" s="61" t="n">
        <f aca="false">Resumo!$C$13</f>
        <v>13.55</v>
      </c>
      <c r="P861" s="61" t="n">
        <f aca="false">Resumo!$C$14*CEILING(G861,1)</f>
        <v>12.6</v>
      </c>
      <c r="Q861" s="61" t="n">
        <f aca="false">SUM(I861:P861)*Resumo!$C$11</f>
        <v>0</v>
      </c>
      <c r="R861" s="61" t="n">
        <f aca="false">SUM(I861:Q861)</f>
        <v>94.2244</v>
      </c>
      <c r="S861" s="61" t="n">
        <f aca="false">R861/(1-Resumo!$C$5)</f>
        <v>107.073181818182</v>
      </c>
      <c r="T861" s="61" t="n">
        <v>114.95</v>
      </c>
      <c r="U861" s="61" t="n">
        <f aca="false">H861*Resumo!$B$6</f>
        <v>0.332</v>
      </c>
      <c r="V861" s="61" t="n">
        <f aca="false">H861*Resumo!$B$7</f>
        <v>0.664</v>
      </c>
      <c r="W861" s="61" t="n">
        <f aca="false">Resumo!$B$9</f>
        <v>1</v>
      </c>
      <c r="X861" s="61" t="n">
        <f aca="false">Resumo!$B$10*CEILING(G861/100,1)</f>
        <v>4.5</v>
      </c>
      <c r="Y861" s="61" t="n">
        <f aca="false">Resumo!$B$12*CEILING(G861,1)</f>
        <v>1.68</v>
      </c>
      <c r="Z861" s="61" t="n">
        <f aca="false">Resumo!$B$14*CEILING(G861,1)</f>
        <v>12.6</v>
      </c>
      <c r="AA861" s="61" t="n">
        <f aca="false">SUM(T861:Z861)</f>
        <v>135.726</v>
      </c>
      <c r="AB861" s="61" t="n">
        <f aca="false">AA861/(1-Resumo!$B$5)</f>
        <v>154.234090909091</v>
      </c>
      <c r="AC861" s="61" t="n">
        <f aca="false">AB861-S861</f>
        <v>47.1609090909091</v>
      </c>
      <c r="AD861" s="62" t="n">
        <f aca="false">AB861/S861-1</f>
        <v>0.44045491401378</v>
      </c>
      <c r="AE861" s="60" t="str">
        <f aca="false">IF(AB861&lt;S861,"SIM","NÃO")</f>
        <v>NÃO</v>
      </c>
      <c r="AF861" s="60" t="n">
        <v>13</v>
      </c>
      <c r="AG861" s="60" t="n">
        <v>10</v>
      </c>
      <c r="AH861" s="60" t="s">
        <v>385</v>
      </c>
      <c r="AI861" s="61" t="n">
        <f aca="false">(T861*(1-Painel!$C$40)+U861+V861+Painel!$C$41+Painel!$C$42*CEILING(G861/100,1)+Painel!$C$43*CEILING(G861,1)+Z861)/(1-Resumo!$B$5)</f>
        <v>105.298295454545</v>
      </c>
      <c r="AJ861" s="60" t="str">
        <f aca="false">IF(AI861&lt;S861,"SIM","NÃO")</f>
        <v>SIM</v>
      </c>
    </row>
    <row r="862" customFormat="false" ht="15" hidden="false" customHeight="false" outlineLevel="0" collapsed="false">
      <c r="A862" s="59" t="n">
        <v>46245.4518981482</v>
      </c>
      <c r="B862" s="60" t="s">
        <v>1198</v>
      </c>
      <c r="C862" s="60" t="n">
        <v>25030058</v>
      </c>
      <c r="D862" s="60" t="s">
        <v>48</v>
      </c>
      <c r="E862" s="60" t="s">
        <v>23</v>
      </c>
      <c r="F862" s="60" t="s">
        <v>234</v>
      </c>
      <c r="G862" s="60" t="n">
        <v>37.6</v>
      </c>
      <c r="H862" s="61" t="n">
        <v>391.05</v>
      </c>
      <c r="I862" s="61" t="n">
        <v>66.83</v>
      </c>
      <c r="J862" s="61" t="n">
        <f aca="false">H862*Resumo!$C$6</f>
        <v>0</v>
      </c>
      <c r="K862" s="61" t="n">
        <f aca="false">H862*Resumo!$C$7</f>
        <v>0.821205</v>
      </c>
      <c r="L862" s="61" t="n">
        <f aca="false">H862*Resumo!$C$8</f>
        <v>0.821205</v>
      </c>
      <c r="M862" s="61" t="n">
        <f aca="false">Resumo!$C$10*CEILING(G862/100,1)</f>
        <v>1.05</v>
      </c>
      <c r="N862" s="61" t="n">
        <f aca="false">Resumo!$C$9</f>
        <v>0</v>
      </c>
      <c r="O862" s="61" t="n">
        <f aca="false">Resumo!$C$13</f>
        <v>13.55</v>
      </c>
      <c r="P862" s="61" t="n">
        <f aca="false">Resumo!$C$14*CEILING(G862,1)</f>
        <v>17.1</v>
      </c>
      <c r="Q862" s="61" t="n">
        <f aca="false">SUM(I862:P862)*Resumo!$C$11</f>
        <v>0</v>
      </c>
      <c r="R862" s="61" t="n">
        <f aca="false">SUM(I862:Q862)</f>
        <v>100.17241</v>
      </c>
      <c r="S862" s="61" t="n">
        <f aca="false">R862/(1-Resumo!$C$5)</f>
        <v>113.832284090909</v>
      </c>
      <c r="T862" s="61" t="n">
        <v>93.97</v>
      </c>
      <c r="U862" s="61" t="n">
        <f aca="false">H862*Resumo!$B$6</f>
        <v>0.39105</v>
      </c>
      <c r="V862" s="61" t="n">
        <f aca="false">H862*Resumo!$B$7</f>
        <v>0.7821</v>
      </c>
      <c r="W862" s="61" t="n">
        <f aca="false">Resumo!$B$9</f>
        <v>1</v>
      </c>
      <c r="X862" s="61" t="n">
        <f aca="false">Resumo!$B$10*CEILING(G862/100,1)</f>
        <v>4.5</v>
      </c>
      <c r="Y862" s="61" t="n">
        <f aca="false">Resumo!$B$12*CEILING(G862,1)</f>
        <v>2.28</v>
      </c>
      <c r="Z862" s="61" t="n">
        <f aca="false">Resumo!$B$14*CEILING(G862,1)</f>
        <v>17.1</v>
      </c>
      <c r="AA862" s="61" t="n">
        <f aca="false">SUM(T862:Z862)</f>
        <v>120.02315</v>
      </c>
      <c r="AB862" s="61" t="n">
        <f aca="false">AA862/(1-Resumo!$B$5)</f>
        <v>136.389943181818</v>
      </c>
      <c r="AC862" s="61" t="n">
        <f aca="false">AB862-S862</f>
        <v>22.557659090909</v>
      </c>
      <c r="AD862" s="62" t="n">
        <f aca="false">AB862/S862-1</f>
        <v>0.198165742443453</v>
      </c>
      <c r="AE862" s="60" t="str">
        <f aca="false">IF(AB862&lt;S862,"SIM","NÃO")</f>
        <v>NÃO</v>
      </c>
      <c r="AF862" s="60" t="n">
        <v>2</v>
      </c>
      <c r="AG862" s="60" t="n">
        <v>5</v>
      </c>
      <c r="AH862" s="60" t="s">
        <v>382</v>
      </c>
      <c r="AI862" s="61" t="n">
        <f aca="false">(T862*(1-Painel!$C$40)+U862+V862+Painel!$C$41+Painel!$C$42*CEILING(G862/100,1)+Painel!$C$43*CEILING(G862,1)+Z862)/(1-Resumo!$B$5)</f>
        <v>94.6398295454546</v>
      </c>
      <c r="AJ862" s="60" t="str">
        <f aca="false">IF(AI862&lt;S862,"SIM","NÃO")</f>
        <v>SIM</v>
      </c>
    </row>
    <row r="863" customFormat="false" ht="15" hidden="false" customHeight="false" outlineLevel="0" collapsed="false">
      <c r="A863" s="59" t="n">
        <v>46245.4877083333</v>
      </c>
      <c r="B863" s="60" t="s">
        <v>1199</v>
      </c>
      <c r="C863" s="60" t="n">
        <v>25035200</v>
      </c>
      <c r="D863" s="60" t="s">
        <v>48</v>
      </c>
      <c r="E863" s="60" t="s">
        <v>23</v>
      </c>
      <c r="F863" s="60" t="s">
        <v>241</v>
      </c>
      <c r="G863" s="60" t="n">
        <v>124.2</v>
      </c>
      <c r="H863" s="61" t="n">
        <v>1599.99</v>
      </c>
      <c r="I863" s="61" t="n">
        <v>129.62</v>
      </c>
      <c r="J863" s="61" t="n">
        <f aca="false">H863*Resumo!$C$6</f>
        <v>0</v>
      </c>
      <c r="K863" s="61" t="n">
        <f aca="false">H863*Resumo!$C$7</f>
        <v>3.359979</v>
      </c>
      <c r="L863" s="61" t="n">
        <f aca="false">H863*Resumo!$C$8</f>
        <v>3.359979</v>
      </c>
      <c r="M863" s="61" t="n">
        <f aca="false">Resumo!$C$10*CEILING(G863/100,1)</f>
        <v>2.1</v>
      </c>
      <c r="N863" s="61" t="n">
        <f aca="false">Resumo!$C$9</f>
        <v>0</v>
      </c>
      <c r="O863" s="61" t="n">
        <f aca="false">Resumo!$C$13</f>
        <v>13.55</v>
      </c>
      <c r="P863" s="61" t="n">
        <f aca="false">Resumo!$C$14*CEILING(G863,1)</f>
        <v>56.25</v>
      </c>
      <c r="Q863" s="61" t="n">
        <f aca="false">SUM(I863:P863)*Resumo!$C$11</f>
        <v>0</v>
      </c>
      <c r="R863" s="61" t="n">
        <f aca="false">SUM(I863:Q863)</f>
        <v>208.239958</v>
      </c>
      <c r="S863" s="61" t="n">
        <f aca="false">R863/(1-Resumo!$C$5)</f>
        <v>236.636315909091</v>
      </c>
      <c r="T863" s="61" t="n">
        <v>239.25</v>
      </c>
      <c r="U863" s="61" t="n">
        <f aca="false">H863*Resumo!$B$6</f>
        <v>1.59999</v>
      </c>
      <c r="V863" s="61" t="n">
        <f aca="false">H863*Resumo!$B$7</f>
        <v>3.19998</v>
      </c>
      <c r="W863" s="61" t="n">
        <f aca="false">Resumo!$B$9</f>
        <v>1</v>
      </c>
      <c r="X863" s="61" t="n">
        <f aca="false">Resumo!$B$10*CEILING(G863/100,1)</f>
        <v>9</v>
      </c>
      <c r="Y863" s="61" t="n">
        <f aca="false">Resumo!$B$12*CEILING(G863,1)</f>
        <v>7.5</v>
      </c>
      <c r="Z863" s="61" t="n">
        <f aca="false">Resumo!$B$14*CEILING(G863,1)</f>
        <v>56.25</v>
      </c>
      <c r="AA863" s="61" t="n">
        <f aca="false">SUM(T863:Z863)</f>
        <v>317.79997</v>
      </c>
      <c r="AB863" s="61" t="n">
        <f aca="false">AA863/(1-Resumo!$B$5)</f>
        <v>361.136329545455</v>
      </c>
      <c r="AC863" s="61" t="n">
        <f aca="false">AB863-S863</f>
        <v>124.500013636364</v>
      </c>
      <c r="AD863" s="62" t="n">
        <f aca="false">AB863/S863-1</f>
        <v>0.526123867159059</v>
      </c>
      <c r="AE863" s="60" t="str">
        <f aca="false">IF(AB863&lt;S863,"SIM","NÃO")</f>
        <v>NÃO</v>
      </c>
      <c r="AF863" s="60" t="n">
        <v>2</v>
      </c>
      <c r="AG863" s="60" t="n">
        <v>5</v>
      </c>
      <c r="AH863" s="60" t="s">
        <v>382</v>
      </c>
      <c r="AI863" s="61" t="n">
        <f aca="false">(T863*(1-Painel!$C$40)+U863+V863+Painel!$C$41+Painel!$C$42*CEILING(G863/100,1)+Painel!$C$43*CEILING(G863,1)+Z863)/(1-Resumo!$B$5)</f>
        <v>255.053943181818</v>
      </c>
      <c r="AJ863" s="60" t="str">
        <f aca="false">IF(AI863&lt;S863,"SIM","NÃO")</f>
        <v>NÃO</v>
      </c>
    </row>
    <row r="864" customFormat="false" ht="15" hidden="false" customHeight="false" outlineLevel="0" collapsed="false">
      <c r="A864" s="59" t="n">
        <v>46245.4909375</v>
      </c>
      <c r="B864" s="60" t="s">
        <v>1200</v>
      </c>
      <c r="C864" s="60" t="n">
        <v>26040810</v>
      </c>
      <c r="D864" s="60" t="s">
        <v>49</v>
      </c>
      <c r="E864" s="60" t="s">
        <v>23</v>
      </c>
      <c r="F864" s="60" t="s">
        <v>236</v>
      </c>
      <c r="G864" s="60" t="n">
        <v>52.3</v>
      </c>
      <c r="H864" s="61" t="n">
        <v>616.99</v>
      </c>
      <c r="I864" s="61" t="n">
        <v>70.98</v>
      </c>
      <c r="J864" s="61" t="n">
        <f aca="false">H864*Resumo!$C$6</f>
        <v>0</v>
      </c>
      <c r="K864" s="61" t="n">
        <f aca="false">H864*Resumo!$C$7</f>
        <v>1.295679</v>
      </c>
      <c r="L864" s="61" t="n">
        <f aca="false">H864*Resumo!$C$8</f>
        <v>1.295679</v>
      </c>
      <c r="M864" s="61" t="n">
        <f aca="false">Resumo!$C$10*CEILING(G864/100,1)</f>
        <v>1.05</v>
      </c>
      <c r="N864" s="61" t="n">
        <f aca="false">Resumo!$C$9</f>
        <v>0</v>
      </c>
      <c r="O864" s="61" t="n">
        <f aca="false">Resumo!$C$13</f>
        <v>13.55</v>
      </c>
      <c r="P864" s="61" t="n">
        <f aca="false">Resumo!$C$14*CEILING(G864,1)</f>
        <v>23.85</v>
      </c>
      <c r="Q864" s="61" t="n">
        <f aca="false">SUM(I864:P864)*Resumo!$C$11</f>
        <v>0</v>
      </c>
      <c r="R864" s="61" t="n">
        <f aca="false">SUM(I864:Q864)</f>
        <v>112.021358</v>
      </c>
      <c r="S864" s="61" t="n">
        <f aca="false">R864/(1-Resumo!$C$5)</f>
        <v>127.296997727273</v>
      </c>
      <c r="T864" s="61" t="n">
        <v>112.3</v>
      </c>
      <c r="U864" s="61" t="n">
        <f aca="false">H864*Resumo!$B$6</f>
        <v>0.61699</v>
      </c>
      <c r="V864" s="61" t="n">
        <f aca="false">H864*Resumo!$B$7</f>
        <v>1.23398</v>
      </c>
      <c r="W864" s="61" t="n">
        <f aca="false">Resumo!$B$9</f>
        <v>1</v>
      </c>
      <c r="X864" s="61" t="n">
        <f aca="false">Resumo!$B$10*CEILING(G864/100,1)</f>
        <v>4.5</v>
      </c>
      <c r="Y864" s="61" t="n">
        <f aca="false">Resumo!$B$12*CEILING(G864,1)</f>
        <v>3.18</v>
      </c>
      <c r="Z864" s="61" t="n">
        <f aca="false">Resumo!$B$14*CEILING(G864,1)</f>
        <v>23.85</v>
      </c>
      <c r="AA864" s="61" t="n">
        <f aca="false">SUM(T864:Z864)</f>
        <v>146.68097</v>
      </c>
      <c r="AB864" s="61" t="n">
        <f aca="false">AA864/(1-Resumo!$B$5)</f>
        <v>166.682920454545</v>
      </c>
      <c r="AC864" s="61" t="n">
        <f aca="false">AB864-S864</f>
        <v>39.3859227272727</v>
      </c>
      <c r="AD864" s="62" t="n">
        <f aca="false">AB864/S864-1</f>
        <v>0.309401819606579</v>
      </c>
      <c r="AE864" s="60" t="str">
        <f aca="false">IF(AB864&lt;S864,"SIM","NÃO")</f>
        <v>NÃO</v>
      </c>
      <c r="AF864" s="60" t="n">
        <v>2</v>
      </c>
      <c r="AG864" s="60" t="n">
        <v>5</v>
      </c>
      <c r="AH864" s="60" t="s">
        <v>382</v>
      </c>
      <c r="AI864" s="61" t="n">
        <f aca="false">(T864*(1-Painel!$C$40)+U864+V864+Painel!$C$41+Painel!$C$42*CEILING(G864/100,1)+Painel!$C$43*CEILING(G864,1)+Z864)/(1-Resumo!$B$5)</f>
        <v>117.036329545455</v>
      </c>
      <c r="AJ864" s="60" t="str">
        <f aca="false">IF(AI864&lt;S864,"SIM","NÃO")</f>
        <v>SIM</v>
      </c>
    </row>
    <row r="865" customFormat="false" ht="15" hidden="false" customHeight="false" outlineLevel="0" collapsed="false">
      <c r="A865" s="59" t="n">
        <v>46245.4954976852</v>
      </c>
      <c r="B865" s="60" t="s">
        <v>1201</v>
      </c>
      <c r="C865" s="60" t="n">
        <v>28934815</v>
      </c>
      <c r="D865" s="60" t="s">
        <v>337</v>
      </c>
      <c r="E865" s="60" t="s">
        <v>24</v>
      </c>
      <c r="F865" s="60" t="s">
        <v>235</v>
      </c>
      <c r="G865" s="60" t="n">
        <v>43.5</v>
      </c>
      <c r="H865" s="61" t="n">
        <v>687.21</v>
      </c>
      <c r="I865" s="61" t="n">
        <v>77.7</v>
      </c>
      <c r="J865" s="61" t="n">
        <f aca="false">H865*Resumo!$C$6</f>
        <v>0</v>
      </c>
      <c r="K865" s="61" t="n">
        <f aca="false">H865*Resumo!$C$7</f>
        <v>1.443141</v>
      </c>
      <c r="L865" s="61" t="n">
        <f aca="false">H865*Resumo!$C$8</f>
        <v>1.443141</v>
      </c>
      <c r="M865" s="61" t="n">
        <f aca="false">Resumo!$C$10*CEILING(G865/100,1)</f>
        <v>1.05</v>
      </c>
      <c r="N865" s="61" t="n">
        <f aca="false">Resumo!$C$9</f>
        <v>0</v>
      </c>
      <c r="O865" s="61" t="n">
        <f aca="false">Resumo!$C$13</f>
        <v>13.55</v>
      </c>
      <c r="P865" s="61" t="n">
        <f aca="false">Resumo!$C$14*CEILING(G865,1)</f>
        <v>19.8</v>
      </c>
      <c r="Q865" s="61" t="n">
        <f aca="false">SUM(I865:P865)*Resumo!$C$11</f>
        <v>0</v>
      </c>
      <c r="R865" s="61" t="n">
        <f aca="false">SUM(I865:Q865)</f>
        <v>114.986282</v>
      </c>
      <c r="S865" s="61" t="n">
        <f aca="false">R865/(1-Resumo!$C$5)</f>
        <v>130.666229545455</v>
      </c>
      <c r="T865" s="61" t="n">
        <v>129.29</v>
      </c>
      <c r="U865" s="61" t="n">
        <f aca="false">H865*Resumo!$B$6</f>
        <v>0.68721</v>
      </c>
      <c r="V865" s="61" t="n">
        <f aca="false">H865*Resumo!$B$7</f>
        <v>1.37442</v>
      </c>
      <c r="W865" s="61" t="n">
        <f aca="false">Resumo!$B$9</f>
        <v>1</v>
      </c>
      <c r="X865" s="61" t="n">
        <f aca="false">Resumo!$B$10*CEILING(G865/100,1)</f>
        <v>4.5</v>
      </c>
      <c r="Y865" s="61" t="n">
        <f aca="false">Resumo!$B$12*CEILING(G865,1)</f>
        <v>2.64</v>
      </c>
      <c r="Z865" s="61" t="n">
        <f aca="false">Resumo!$B$14*CEILING(G865,1)</f>
        <v>19.8</v>
      </c>
      <c r="AA865" s="61" t="n">
        <f aca="false">SUM(T865:Z865)</f>
        <v>159.29163</v>
      </c>
      <c r="AB865" s="61" t="n">
        <f aca="false">AA865/(1-Resumo!$B$5)</f>
        <v>181.013215909091</v>
      </c>
      <c r="AC865" s="61" t="n">
        <f aca="false">AB865-S865</f>
        <v>50.3469863636364</v>
      </c>
      <c r="AD865" s="62" t="n">
        <f aca="false">AB865/S865-1</f>
        <v>0.385309858092464</v>
      </c>
      <c r="AE865" s="60" t="str">
        <f aca="false">IF(AB865&lt;S865,"SIM","NÃO")</f>
        <v>NÃO</v>
      </c>
      <c r="AF865" s="60" t="n">
        <v>13</v>
      </c>
      <c r="AG865" s="60" t="n">
        <v>10</v>
      </c>
      <c r="AH865" s="60" t="s">
        <v>385</v>
      </c>
      <c r="AI865" s="61" t="n">
        <f aca="false">(T865*(1-Painel!$C$40)+U865+V865+Painel!$C$41+Painel!$C$42*CEILING(G865/100,1)+Painel!$C$43*CEILING(G865,1)+Z865)/(1-Resumo!$B$5)</f>
        <v>125.609011363636</v>
      </c>
      <c r="AJ865" s="60" t="str">
        <f aca="false">IF(AI865&lt;S865,"SIM","NÃO")</f>
        <v>SIM</v>
      </c>
    </row>
    <row r="866" customFormat="false" ht="15" hidden="false" customHeight="false" outlineLevel="0" collapsed="false">
      <c r="A866" s="59" t="n">
        <v>46245.5137037037</v>
      </c>
      <c r="B866" s="60" t="s">
        <v>1202</v>
      </c>
      <c r="C866" s="60" t="n">
        <v>24931115</v>
      </c>
      <c r="D866" s="60" t="s">
        <v>220</v>
      </c>
      <c r="E866" s="60" t="s">
        <v>24</v>
      </c>
      <c r="F866" s="60" t="s">
        <v>237</v>
      </c>
      <c r="G866" s="60" t="n">
        <v>63.9</v>
      </c>
      <c r="H866" s="61" t="n">
        <v>785.04</v>
      </c>
      <c r="I866" s="61" t="n">
        <v>90.2</v>
      </c>
      <c r="J866" s="61" t="n">
        <f aca="false">H866*Resumo!$C$6</f>
        <v>0</v>
      </c>
      <c r="K866" s="61" t="n">
        <f aca="false">H866*Resumo!$C$7</f>
        <v>1.648584</v>
      </c>
      <c r="L866" s="61" t="n">
        <f aca="false">H866*Resumo!$C$8</f>
        <v>1.648584</v>
      </c>
      <c r="M866" s="61" t="n">
        <f aca="false">Resumo!$C$10*CEILING(G866/100,1)</f>
        <v>1.05</v>
      </c>
      <c r="N866" s="61" t="n">
        <f aca="false">Resumo!$C$9</f>
        <v>0</v>
      </c>
      <c r="O866" s="61" t="n">
        <f aca="false">Resumo!$C$13</f>
        <v>13.55</v>
      </c>
      <c r="P866" s="61" t="n">
        <f aca="false">Resumo!$C$14*CEILING(G866,1)</f>
        <v>28.8</v>
      </c>
      <c r="Q866" s="61" t="n">
        <f aca="false">SUM(I866:P866)*Resumo!$C$11</f>
        <v>0</v>
      </c>
      <c r="R866" s="61" t="n">
        <f aca="false">SUM(I866:Q866)</f>
        <v>136.897168</v>
      </c>
      <c r="S866" s="61" t="n">
        <f aca="false">R866/(1-Resumo!$C$5)</f>
        <v>155.564963636364</v>
      </c>
      <c r="T866" s="61" t="n">
        <v>149.5</v>
      </c>
      <c r="U866" s="61" t="n">
        <f aca="false">H866*Resumo!$B$6</f>
        <v>0.78504</v>
      </c>
      <c r="V866" s="61" t="n">
        <f aca="false">H866*Resumo!$B$7</f>
        <v>1.57008</v>
      </c>
      <c r="W866" s="61" t="n">
        <f aca="false">Resumo!$B$9</f>
        <v>1</v>
      </c>
      <c r="X866" s="61" t="n">
        <f aca="false">Resumo!$B$10*CEILING(G866/100,1)</f>
        <v>4.5</v>
      </c>
      <c r="Y866" s="61" t="n">
        <f aca="false">Resumo!$B$12*CEILING(G866,1)</f>
        <v>3.84</v>
      </c>
      <c r="Z866" s="61" t="n">
        <f aca="false">Resumo!$B$14*CEILING(G866,1)</f>
        <v>28.8</v>
      </c>
      <c r="AA866" s="61" t="n">
        <f aca="false">SUM(T866:Z866)</f>
        <v>189.99512</v>
      </c>
      <c r="AB866" s="61" t="n">
        <f aca="false">AA866/(1-Resumo!$B$5)</f>
        <v>215.903545454545</v>
      </c>
      <c r="AC866" s="61" t="n">
        <f aca="false">AB866-S866</f>
        <v>60.3385818181819</v>
      </c>
      <c r="AD866" s="62" t="n">
        <f aca="false">AB866/S866-1</f>
        <v>0.387867424693549</v>
      </c>
      <c r="AE866" s="60" t="str">
        <f aca="false">IF(AB866&lt;S866,"SIM","NÃO")</f>
        <v>NÃO</v>
      </c>
      <c r="AF866" s="60" t="n">
        <v>13</v>
      </c>
      <c r="AG866" s="60" t="n">
        <v>7</v>
      </c>
      <c r="AH866" s="60" t="s">
        <v>382</v>
      </c>
      <c r="AI866" s="61" t="n">
        <f aca="false">(T866*(1-Painel!$C$40)+U866+V866+Painel!$C$41+Painel!$C$42*CEILING(G866/100,1)+Painel!$C$43*CEILING(G866,1)+Z866)/(1-Resumo!$B$5)</f>
        <v>151.556954545455</v>
      </c>
      <c r="AJ866" s="60" t="str">
        <f aca="false">IF(AI866&lt;S866,"SIM","NÃO")</f>
        <v>SIM</v>
      </c>
    </row>
    <row r="867" customFormat="false" ht="15" hidden="false" customHeight="false" outlineLevel="0" collapsed="false">
      <c r="A867" s="59" t="n">
        <v>46245.525474537</v>
      </c>
      <c r="B867" s="60" t="s">
        <v>1203</v>
      </c>
      <c r="C867" s="60" t="n">
        <v>21760140</v>
      </c>
      <c r="D867" s="60" t="s">
        <v>46</v>
      </c>
      <c r="E867" s="60" t="s">
        <v>22</v>
      </c>
      <c r="F867" s="60" t="s">
        <v>233</v>
      </c>
      <c r="G867" s="60" t="n">
        <v>22.4</v>
      </c>
      <c r="H867" s="61" t="n">
        <v>499.99</v>
      </c>
      <c r="I867" s="61" t="n">
        <v>42.11</v>
      </c>
      <c r="J867" s="61" t="n">
        <f aca="false">H867*Resumo!$C$6</f>
        <v>0</v>
      </c>
      <c r="K867" s="61" t="n">
        <f aca="false">H867*Resumo!$C$7</f>
        <v>1.049979</v>
      </c>
      <c r="L867" s="61" t="n">
        <f aca="false">H867*Resumo!$C$8</f>
        <v>1.049979</v>
      </c>
      <c r="M867" s="61" t="n">
        <f aca="false">Resumo!$C$10*CEILING(G867/100,1)</f>
        <v>1.05</v>
      </c>
      <c r="N867" s="61" t="n">
        <f aca="false">Resumo!$C$9</f>
        <v>0</v>
      </c>
      <c r="O867" s="61" t="n">
        <f aca="false">Resumo!$C$13</f>
        <v>13.55</v>
      </c>
      <c r="P867" s="61" t="n">
        <f aca="false">Resumo!$C$14*CEILING(G867,1)</f>
        <v>10.35</v>
      </c>
      <c r="Q867" s="61" t="n">
        <f aca="false">SUM(I867:P867)*Resumo!$C$11</f>
        <v>0</v>
      </c>
      <c r="R867" s="61" t="n">
        <f aca="false">SUM(I867:Q867)</f>
        <v>69.159958</v>
      </c>
      <c r="S867" s="61" t="n">
        <f aca="false">R867/(1-Resumo!$C$5)</f>
        <v>78.5908613636364</v>
      </c>
      <c r="T867" s="61" t="n">
        <v>82.21</v>
      </c>
      <c r="U867" s="61" t="n">
        <f aca="false">H867*Resumo!$B$6</f>
        <v>0.49999</v>
      </c>
      <c r="V867" s="61" t="n">
        <f aca="false">H867*Resumo!$B$7</f>
        <v>0.99998</v>
      </c>
      <c r="W867" s="61" t="n">
        <f aca="false">Resumo!$B$9</f>
        <v>1</v>
      </c>
      <c r="X867" s="61" t="n">
        <f aca="false">Resumo!$B$10*CEILING(G867/100,1)</f>
        <v>4.5</v>
      </c>
      <c r="Y867" s="61" t="n">
        <f aca="false">Resumo!$B$12*CEILING(G867,1)</f>
        <v>1.38</v>
      </c>
      <c r="Z867" s="61" t="n">
        <f aca="false">Resumo!$B$14*CEILING(G867,1)</f>
        <v>10.35</v>
      </c>
      <c r="AA867" s="61" t="n">
        <f aca="false">SUM(T867:Z867)</f>
        <v>100.93997</v>
      </c>
      <c r="AB867" s="61" t="n">
        <f aca="false">AA867/(1-Resumo!$B$5)</f>
        <v>114.704511363636</v>
      </c>
      <c r="AC867" s="61" t="n">
        <f aca="false">AB867-S867</f>
        <v>36.11365</v>
      </c>
      <c r="AD867" s="62" t="n">
        <f aca="false">AB867/S867-1</f>
        <v>0.459514622608649</v>
      </c>
      <c r="AE867" s="60" t="str">
        <f aca="false">IF(AB867&lt;S867,"SIM","NÃO")</f>
        <v>NÃO</v>
      </c>
      <c r="AF867" s="60" t="n">
        <v>2</v>
      </c>
      <c r="AG867" s="60" t="n">
        <v>5</v>
      </c>
      <c r="AH867" s="60" t="s">
        <v>382</v>
      </c>
      <c r="AI867" s="61" t="n">
        <f aca="false">(T867*(1-Painel!$C$40)+U867+V867+Painel!$C$41+Painel!$C$42*CEILING(G867/100,1)+Painel!$C$43*CEILING(G867,1)+Z867)/(1-Resumo!$B$5)</f>
        <v>78.387125</v>
      </c>
      <c r="AJ867" s="60" t="str">
        <f aca="false">IF(AI867&lt;S867,"SIM","NÃO")</f>
        <v>SIM</v>
      </c>
    </row>
    <row r="868" customFormat="false" ht="15" hidden="false" customHeight="false" outlineLevel="0" collapsed="false">
      <c r="A868" s="59" t="n">
        <v>46245.5399305556</v>
      </c>
      <c r="B868" s="60" t="s">
        <v>1204</v>
      </c>
      <c r="C868" s="60" t="n">
        <v>25235074</v>
      </c>
      <c r="D868" s="60" t="s">
        <v>48</v>
      </c>
      <c r="E868" s="60" t="s">
        <v>23</v>
      </c>
      <c r="F868" s="60" t="s">
        <v>235</v>
      </c>
      <c r="G868" s="60" t="n">
        <v>45</v>
      </c>
      <c r="H868" s="61" t="n">
        <v>531.42</v>
      </c>
      <c r="I868" s="61" t="n">
        <v>65.36</v>
      </c>
      <c r="J868" s="61" t="n">
        <f aca="false">H868*Resumo!$C$6</f>
        <v>0</v>
      </c>
      <c r="K868" s="61" t="n">
        <f aca="false">H868*Resumo!$C$7</f>
        <v>1.115982</v>
      </c>
      <c r="L868" s="61" t="n">
        <f aca="false">H868*Resumo!$C$8</f>
        <v>1.115982</v>
      </c>
      <c r="M868" s="61" t="n">
        <f aca="false">Resumo!$C$10*CEILING(G868/100,1)</f>
        <v>1.05</v>
      </c>
      <c r="N868" s="61" t="n">
        <f aca="false">Resumo!$C$9</f>
        <v>0</v>
      </c>
      <c r="O868" s="61" t="n">
        <f aca="false">Resumo!$C$13</f>
        <v>13.55</v>
      </c>
      <c r="P868" s="61" t="n">
        <f aca="false">Resumo!$C$14*CEILING(G868,1)</f>
        <v>20.25</v>
      </c>
      <c r="Q868" s="61" t="n">
        <f aca="false">SUM(I868:P868)*Resumo!$C$11</f>
        <v>0</v>
      </c>
      <c r="R868" s="61" t="n">
        <f aca="false">SUM(I868:Q868)</f>
        <v>102.441964</v>
      </c>
      <c r="S868" s="61" t="n">
        <f aca="false">R868/(1-Resumo!$C$5)</f>
        <v>116.411322727273</v>
      </c>
      <c r="T868" s="61" t="n">
        <v>93.97</v>
      </c>
      <c r="U868" s="61" t="n">
        <f aca="false">H868*Resumo!$B$6</f>
        <v>0.53142</v>
      </c>
      <c r="V868" s="61" t="n">
        <f aca="false">H868*Resumo!$B$7</f>
        <v>1.06284</v>
      </c>
      <c r="W868" s="61" t="n">
        <f aca="false">Resumo!$B$9</f>
        <v>1</v>
      </c>
      <c r="X868" s="61" t="n">
        <f aca="false">Resumo!$B$10*CEILING(G868/100,1)</f>
        <v>4.5</v>
      </c>
      <c r="Y868" s="61" t="n">
        <f aca="false">Resumo!$B$12*CEILING(G868,1)</f>
        <v>2.7</v>
      </c>
      <c r="Z868" s="61" t="n">
        <f aca="false">Resumo!$B$14*CEILING(G868,1)</f>
        <v>20.25</v>
      </c>
      <c r="AA868" s="61" t="n">
        <f aca="false">SUM(T868:Z868)</f>
        <v>124.01426</v>
      </c>
      <c r="AB868" s="61" t="n">
        <f aca="false">AA868/(1-Resumo!$B$5)</f>
        <v>140.925295454545</v>
      </c>
      <c r="AC868" s="61" t="n">
        <f aca="false">AB868-S868</f>
        <v>24.5139727272727</v>
      </c>
      <c r="AD868" s="62" t="n">
        <f aca="false">AB868/S868-1</f>
        <v>0.210580656184999</v>
      </c>
      <c r="AE868" s="60" t="str">
        <f aca="false">IF(AB868&lt;S868,"SIM","NÃO")</f>
        <v>NÃO</v>
      </c>
      <c r="AF868" s="60" t="n">
        <v>2</v>
      </c>
      <c r="AG868" s="60" t="n">
        <v>5</v>
      </c>
      <c r="AH868" s="60" t="s">
        <v>382</v>
      </c>
      <c r="AI868" s="61" t="n">
        <f aca="false">(T868*(1-Painel!$C$40)+U868+V868+Painel!$C$41+Painel!$C$42*CEILING(G868/100,1)+Painel!$C$43*CEILING(G868,1)+Z868)/(1-Resumo!$B$5)</f>
        <v>98.6979090909091</v>
      </c>
      <c r="AJ868" s="60" t="str">
        <f aca="false">IF(AI868&lt;S868,"SIM","NÃO")</f>
        <v>SIM</v>
      </c>
    </row>
    <row r="869" customFormat="false" ht="15" hidden="false" customHeight="false" outlineLevel="0" collapsed="false">
      <c r="A869" s="59" t="n">
        <v>46245.5879282407</v>
      </c>
      <c r="B869" s="60" t="s">
        <v>1205</v>
      </c>
      <c r="C869" s="60" t="n">
        <v>28998320</v>
      </c>
      <c r="D869" s="60" t="s">
        <v>341</v>
      </c>
      <c r="E869" s="60" t="s">
        <v>24</v>
      </c>
      <c r="F869" s="60" t="s">
        <v>244</v>
      </c>
      <c r="G869" s="60" t="n">
        <v>224</v>
      </c>
      <c r="H869" s="61" t="n">
        <v>4959.9</v>
      </c>
      <c r="I869" s="61" t="n">
        <v>214.88</v>
      </c>
      <c r="J869" s="61" t="n">
        <f aca="false">H869*Resumo!$C$6</f>
        <v>0</v>
      </c>
      <c r="K869" s="61" t="n">
        <f aca="false">H869*Resumo!$C$7</f>
        <v>10.41579</v>
      </c>
      <c r="L869" s="61" t="n">
        <f aca="false">H869*Resumo!$C$8</f>
        <v>10.41579</v>
      </c>
      <c r="M869" s="61" t="n">
        <f aca="false">Resumo!$C$10*CEILING(G869/100,1)</f>
        <v>3.15</v>
      </c>
      <c r="N869" s="61" t="n">
        <f aca="false">Resumo!$C$9</f>
        <v>0</v>
      </c>
      <c r="O869" s="61" t="n">
        <f aca="false">Resumo!$C$13</f>
        <v>13.55</v>
      </c>
      <c r="P869" s="61" t="n">
        <f aca="false">Resumo!$C$14*CEILING(G869,1)</f>
        <v>100.8</v>
      </c>
      <c r="Q869" s="61" t="n">
        <f aca="false">SUM(I869:P869)*Resumo!$C$11</f>
        <v>0</v>
      </c>
      <c r="R869" s="61" t="n">
        <f aca="false">SUM(I869:Q869)</f>
        <v>353.21158</v>
      </c>
      <c r="S869" s="61" t="n">
        <f aca="false">R869/(1-Resumo!$C$5)</f>
        <v>401.376795454545</v>
      </c>
      <c r="T869" s="61" t="n">
        <v>441.4</v>
      </c>
      <c r="U869" s="61" t="n">
        <f aca="false">H869*Resumo!$B$6</f>
        <v>4.9599</v>
      </c>
      <c r="V869" s="61" t="n">
        <f aca="false">H869*Resumo!$B$7</f>
        <v>9.9198</v>
      </c>
      <c r="W869" s="61" t="n">
        <f aca="false">Resumo!$B$9</f>
        <v>1</v>
      </c>
      <c r="X869" s="61" t="n">
        <f aca="false">Resumo!$B$10*CEILING(G869/100,1)</f>
        <v>13.5</v>
      </c>
      <c r="Y869" s="61" t="n">
        <f aca="false">Resumo!$B$12*CEILING(G869,1)</f>
        <v>13.44</v>
      </c>
      <c r="Z869" s="61" t="n">
        <f aca="false">Resumo!$B$14*CEILING(G869,1)</f>
        <v>100.8</v>
      </c>
      <c r="AA869" s="61" t="n">
        <f aca="false">SUM(T869:Z869)</f>
        <v>585.0197</v>
      </c>
      <c r="AB869" s="61" t="n">
        <f aca="false">AA869/(1-Resumo!$B$5)</f>
        <v>664.795113636364</v>
      </c>
      <c r="AC869" s="61" t="n">
        <f aca="false">AB869-S869</f>
        <v>263.418318181818</v>
      </c>
      <c r="AD869" s="62" t="n">
        <f aca="false">AB869/S869-1</f>
        <v>0.656286863528087</v>
      </c>
      <c r="AE869" s="60" t="str">
        <f aca="false">IF(AB869&lt;S869,"SIM","NÃO")</f>
        <v>NÃO</v>
      </c>
      <c r="AF869" s="60" t="n">
        <v>13</v>
      </c>
      <c r="AG869" s="60" t="n">
        <v>10</v>
      </c>
      <c r="AH869" s="60" t="s">
        <v>385</v>
      </c>
      <c r="AI869" s="61" t="n">
        <f aca="false">(T869*(1-Painel!$C$40)+U869+V869+Painel!$C$41+Painel!$C$42*CEILING(G869/100,1)+Painel!$C$43*CEILING(G869,1)+Z869)/(1-Resumo!$B$5)</f>
        <v>472.236022727273</v>
      </c>
      <c r="AJ869" s="60" t="str">
        <f aca="false">IF(AI869&lt;S869,"SIM","NÃO")</f>
        <v>NÃO</v>
      </c>
    </row>
    <row r="870" customFormat="false" ht="15" hidden="false" customHeight="false" outlineLevel="0" collapsed="false">
      <c r="A870" s="59" t="n">
        <v>46245.5937962963</v>
      </c>
      <c r="B870" s="60" t="s">
        <v>1206</v>
      </c>
      <c r="C870" s="60" t="n">
        <v>21215395</v>
      </c>
      <c r="D870" s="60" t="s">
        <v>46</v>
      </c>
      <c r="E870" s="60" t="s">
        <v>22</v>
      </c>
      <c r="F870" s="60" t="s">
        <v>233</v>
      </c>
      <c r="G870" s="60" t="n">
        <v>27.4</v>
      </c>
      <c r="H870" s="61" t="n">
        <v>315.99</v>
      </c>
      <c r="I870" s="61" t="n">
        <v>42.11</v>
      </c>
      <c r="J870" s="61" t="n">
        <f aca="false">H870*Resumo!$C$6</f>
        <v>0</v>
      </c>
      <c r="K870" s="61" t="n">
        <f aca="false">H870*Resumo!$C$7</f>
        <v>0.663579</v>
      </c>
      <c r="L870" s="61" t="n">
        <f aca="false">H870*Resumo!$C$8</f>
        <v>0.663579</v>
      </c>
      <c r="M870" s="61" t="n">
        <f aca="false">Resumo!$C$10*CEILING(G870/100,1)</f>
        <v>1.05</v>
      </c>
      <c r="N870" s="61" t="n">
        <f aca="false">Resumo!$C$9</f>
        <v>0</v>
      </c>
      <c r="O870" s="61" t="n">
        <f aca="false">Resumo!$C$13</f>
        <v>13.55</v>
      </c>
      <c r="P870" s="61" t="n">
        <f aca="false">Resumo!$C$14*CEILING(G870,1)</f>
        <v>12.6</v>
      </c>
      <c r="Q870" s="61" t="n">
        <f aca="false">SUM(I870:P870)*Resumo!$C$11</f>
        <v>0</v>
      </c>
      <c r="R870" s="61" t="n">
        <f aca="false">SUM(I870:Q870)</f>
        <v>70.637158</v>
      </c>
      <c r="S870" s="61" t="n">
        <f aca="false">R870/(1-Resumo!$C$5)</f>
        <v>80.2694977272727</v>
      </c>
      <c r="T870" s="61" t="n">
        <v>82.21</v>
      </c>
      <c r="U870" s="61" t="n">
        <f aca="false">H870*Resumo!$B$6</f>
        <v>0.31599</v>
      </c>
      <c r="V870" s="61" t="n">
        <f aca="false">H870*Resumo!$B$7</f>
        <v>0.63198</v>
      </c>
      <c r="W870" s="61" t="n">
        <f aca="false">Resumo!$B$9</f>
        <v>1</v>
      </c>
      <c r="X870" s="61" t="n">
        <f aca="false">Resumo!$B$10*CEILING(G870/100,1)</f>
        <v>4.5</v>
      </c>
      <c r="Y870" s="61" t="n">
        <f aca="false">Resumo!$B$12*CEILING(G870,1)</f>
        <v>1.68</v>
      </c>
      <c r="Z870" s="61" t="n">
        <f aca="false">Resumo!$B$14*CEILING(G870,1)</f>
        <v>12.6</v>
      </c>
      <c r="AA870" s="61" t="n">
        <f aca="false">SUM(T870:Z870)</f>
        <v>102.93797</v>
      </c>
      <c r="AB870" s="61" t="n">
        <f aca="false">AA870/(1-Resumo!$B$5)</f>
        <v>116.974965909091</v>
      </c>
      <c r="AC870" s="61" t="n">
        <f aca="false">AB870-S870</f>
        <v>36.7054681818182</v>
      </c>
      <c r="AD870" s="62" t="n">
        <f aca="false">AB870/S870-1</f>
        <v>0.457277910303243</v>
      </c>
      <c r="AE870" s="60" t="str">
        <f aca="false">IF(AB870&lt;S870,"SIM","NÃO")</f>
        <v>NÃO</v>
      </c>
      <c r="AF870" s="60" t="n">
        <v>2</v>
      </c>
      <c r="AG870" s="60" t="n">
        <v>5</v>
      </c>
      <c r="AH870" s="60" t="s">
        <v>382</v>
      </c>
      <c r="AI870" s="61" t="n">
        <f aca="false">(T870*(1-Painel!$C$40)+U870+V870+Painel!$C$41+Painel!$C$42*CEILING(G870/100,1)+Painel!$C$43*CEILING(G870,1)+Z870)/(1-Resumo!$B$5)</f>
        <v>80.3166704545454</v>
      </c>
      <c r="AJ870" s="60" t="str">
        <f aca="false">IF(AI870&lt;S870,"SIM","NÃO")</f>
        <v>NÃO</v>
      </c>
    </row>
    <row r="871" customFormat="false" ht="15" hidden="false" customHeight="false" outlineLevel="0" collapsed="false">
      <c r="A871" s="59" t="n">
        <v>46245.6079513889</v>
      </c>
      <c r="B871" s="60" t="s">
        <v>1207</v>
      </c>
      <c r="C871" s="60" t="n">
        <v>27516240</v>
      </c>
      <c r="D871" s="60" t="s">
        <v>296</v>
      </c>
      <c r="E871" s="60" t="s">
        <v>24</v>
      </c>
      <c r="F871" s="60" t="s">
        <v>233</v>
      </c>
      <c r="G871" s="60" t="n">
        <v>35</v>
      </c>
      <c r="H871" s="61" t="n">
        <v>499.99</v>
      </c>
      <c r="I871" s="61" t="n">
        <v>65.63</v>
      </c>
      <c r="J871" s="61" t="n">
        <f aca="false">H871*Resumo!$C$6</f>
        <v>0</v>
      </c>
      <c r="K871" s="61" t="n">
        <f aca="false">H871*Resumo!$C$7</f>
        <v>1.049979</v>
      </c>
      <c r="L871" s="61" t="n">
        <f aca="false">H871*Resumo!$C$8</f>
        <v>1.049979</v>
      </c>
      <c r="M871" s="61" t="n">
        <f aca="false">Resumo!$C$10*CEILING(G871/100,1)</f>
        <v>1.05</v>
      </c>
      <c r="N871" s="61" t="n">
        <f aca="false">Resumo!$C$9</f>
        <v>0</v>
      </c>
      <c r="O871" s="61" t="n">
        <f aca="false">Resumo!$C$13</f>
        <v>13.55</v>
      </c>
      <c r="P871" s="61" t="n">
        <f aca="false">Resumo!$C$14*CEILING(G871,1)</f>
        <v>15.75</v>
      </c>
      <c r="Q871" s="61" t="n">
        <f aca="false">SUM(I871:P871)*Resumo!$C$11</f>
        <v>0</v>
      </c>
      <c r="R871" s="61" t="n">
        <f aca="false">SUM(I871:Q871)</f>
        <v>98.079958</v>
      </c>
      <c r="S871" s="61" t="n">
        <f aca="false">R871/(1-Resumo!$C$5)</f>
        <v>111.454497727273</v>
      </c>
      <c r="T871" s="61" t="n">
        <v>108.83</v>
      </c>
      <c r="U871" s="61" t="n">
        <f aca="false">H871*Resumo!$B$6</f>
        <v>0.49999</v>
      </c>
      <c r="V871" s="61" t="n">
        <f aca="false">H871*Resumo!$B$7</f>
        <v>0.99998</v>
      </c>
      <c r="W871" s="61" t="n">
        <f aca="false">Resumo!$B$9</f>
        <v>1</v>
      </c>
      <c r="X871" s="61" t="n">
        <f aca="false">Resumo!$B$10*CEILING(G871/100,1)</f>
        <v>4.5</v>
      </c>
      <c r="Y871" s="61" t="n">
        <f aca="false">Resumo!$B$12*CEILING(G871,1)</f>
        <v>2.1</v>
      </c>
      <c r="Z871" s="61" t="n">
        <f aca="false">Resumo!$B$14*CEILING(G871,1)</f>
        <v>15.75</v>
      </c>
      <c r="AA871" s="61" t="n">
        <f aca="false">SUM(T871:Z871)</f>
        <v>133.67997</v>
      </c>
      <c r="AB871" s="61" t="n">
        <f aca="false">AA871/(1-Resumo!$B$5)</f>
        <v>151.909056818182</v>
      </c>
      <c r="AC871" s="61" t="n">
        <f aca="false">AB871-S871</f>
        <v>40.4545590909091</v>
      </c>
      <c r="AD871" s="62" t="n">
        <f aca="false">AB871/S871-1</f>
        <v>0.362969282674448</v>
      </c>
      <c r="AE871" s="60" t="str">
        <f aca="false">IF(AB871&lt;S871,"SIM","NÃO")</f>
        <v>NÃO</v>
      </c>
      <c r="AF871" s="60" t="n">
        <v>13</v>
      </c>
      <c r="AG871" s="60" t="n">
        <v>10</v>
      </c>
      <c r="AH871" s="60" t="s">
        <v>385</v>
      </c>
      <c r="AI871" s="61" t="n">
        <f aca="false">(T871*(1-Painel!$C$40)+U871+V871+Painel!$C$41+Painel!$C$42*CEILING(G871/100,1)+Painel!$C$43*CEILING(G871,1)+Z871)/(1-Resumo!$B$5)</f>
        <v>104.790988636364</v>
      </c>
      <c r="AJ871" s="60" t="str">
        <f aca="false">IF(AI871&lt;S871,"SIM","NÃO")</f>
        <v>SIM</v>
      </c>
    </row>
    <row r="872" customFormat="false" ht="15" hidden="false" customHeight="false" outlineLevel="0" collapsed="false">
      <c r="A872" s="59" t="n">
        <v>46245.637337963</v>
      </c>
      <c r="B872" s="60" t="s">
        <v>1208</v>
      </c>
      <c r="C872" s="60" t="n">
        <v>22793400</v>
      </c>
      <c r="D872" s="60" t="s">
        <v>46</v>
      </c>
      <c r="E872" s="60" t="s">
        <v>22</v>
      </c>
      <c r="F872" s="60" t="s">
        <v>236</v>
      </c>
      <c r="G872" s="60" t="n">
        <v>52.3</v>
      </c>
      <c r="H872" s="61" t="n">
        <v>616.99</v>
      </c>
      <c r="I872" s="61" t="n">
        <v>58.6</v>
      </c>
      <c r="J872" s="61" t="n">
        <f aca="false">H872*Resumo!$C$6</f>
        <v>0</v>
      </c>
      <c r="K872" s="61" t="n">
        <f aca="false">H872*Resumo!$C$7</f>
        <v>1.295679</v>
      </c>
      <c r="L872" s="61" t="n">
        <f aca="false">H872*Resumo!$C$8</f>
        <v>1.295679</v>
      </c>
      <c r="M872" s="61" t="n">
        <f aca="false">Resumo!$C$10*CEILING(G872/100,1)</f>
        <v>1.05</v>
      </c>
      <c r="N872" s="61" t="n">
        <f aca="false">Resumo!$C$9</f>
        <v>0</v>
      </c>
      <c r="O872" s="61" t="n">
        <f aca="false">Resumo!$C$13</f>
        <v>13.55</v>
      </c>
      <c r="P872" s="61" t="n">
        <f aca="false">Resumo!$C$14*CEILING(G872,1)</f>
        <v>23.85</v>
      </c>
      <c r="Q872" s="61" t="n">
        <f aca="false">SUM(I872:P872)*Resumo!$C$11</f>
        <v>0</v>
      </c>
      <c r="R872" s="61" t="n">
        <f aca="false">SUM(I872:Q872)</f>
        <v>99.641358</v>
      </c>
      <c r="S872" s="61" t="n">
        <f aca="false">R872/(1-Resumo!$C$5)</f>
        <v>113.228815909091</v>
      </c>
      <c r="T872" s="61" t="n">
        <v>112.3</v>
      </c>
      <c r="U872" s="61" t="n">
        <f aca="false">H872*Resumo!$B$6</f>
        <v>0.61699</v>
      </c>
      <c r="V872" s="61" t="n">
        <f aca="false">H872*Resumo!$B$7</f>
        <v>1.23398</v>
      </c>
      <c r="W872" s="61" t="n">
        <f aca="false">Resumo!$B$9</f>
        <v>1</v>
      </c>
      <c r="X872" s="61" t="n">
        <f aca="false">Resumo!$B$10*CEILING(G872/100,1)</f>
        <v>4.5</v>
      </c>
      <c r="Y872" s="61" t="n">
        <f aca="false">Resumo!$B$12*CEILING(G872,1)</f>
        <v>3.18</v>
      </c>
      <c r="Z872" s="61" t="n">
        <f aca="false">Resumo!$B$14*CEILING(G872,1)</f>
        <v>23.85</v>
      </c>
      <c r="AA872" s="61" t="n">
        <f aca="false">SUM(T872:Z872)</f>
        <v>146.68097</v>
      </c>
      <c r="AB872" s="61" t="n">
        <f aca="false">AA872/(1-Resumo!$B$5)</f>
        <v>166.682920454545</v>
      </c>
      <c r="AC872" s="61" t="n">
        <f aca="false">AB872-S872</f>
        <v>53.4541045454546</v>
      </c>
      <c r="AD872" s="62" t="n">
        <f aca="false">AB872/S872-1</f>
        <v>0.472089230257179</v>
      </c>
      <c r="AE872" s="60" t="str">
        <f aca="false">IF(AB872&lt;S872,"SIM","NÃO")</f>
        <v>NÃO</v>
      </c>
      <c r="AF872" s="60" t="n">
        <v>2</v>
      </c>
      <c r="AG872" s="60" t="n">
        <v>5</v>
      </c>
      <c r="AH872" s="60" t="s">
        <v>382</v>
      </c>
      <c r="AI872" s="61" t="n">
        <f aca="false">(T872*(1-Painel!$C$40)+U872+V872+Painel!$C$41+Painel!$C$42*CEILING(G872/100,1)+Painel!$C$43*CEILING(G872,1)+Z872)/(1-Resumo!$B$5)</f>
        <v>117.036329545455</v>
      </c>
      <c r="AJ872" s="60" t="str">
        <f aca="false">IF(AI872&lt;S872,"SIM","NÃO")</f>
        <v>NÃO</v>
      </c>
    </row>
    <row r="873" customFormat="false" ht="15" hidden="false" customHeight="false" outlineLevel="0" collapsed="false">
      <c r="A873" s="59" t="n">
        <v>46245.6432060185</v>
      </c>
      <c r="B873" s="60" t="s">
        <v>1209</v>
      </c>
      <c r="C873" s="60" t="n">
        <v>23575093</v>
      </c>
      <c r="D873" s="60" t="s">
        <v>46</v>
      </c>
      <c r="E873" s="60" t="s">
        <v>22</v>
      </c>
      <c r="F873" s="60" t="s">
        <v>234</v>
      </c>
      <c r="G873" s="60" t="n">
        <v>37.58</v>
      </c>
      <c r="H873" s="61" t="n">
        <v>427.92</v>
      </c>
      <c r="I873" s="61" t="n">
        <v>48.35</v>
      </c>
      <c r="J873" s="61" t="n">
        <f aca="false">H873*Resumo!$C$6</f>
        <v>0</v>
      </c>
      <c r="K873" s="61" t="n">
        <f aca="false">H873*Resumo!$C$7</f>
        <v>0.898632</v>
      </c>
      <c r="L873" s="61" t="n">
        <f aca="false">H873*Resumo!$C$8</f>
        <v>0.898632</v>
      </c>
      <c r="M873" s="61" t="n">
        <f aca="false">Resumo!$C$10*CEILING(G873/100,1)</f>
        <v>1.05</v>
      </c>
      <c r="N873" s="61" t="n">
        <f aca="false">Resumo!$C$9</f>
        <v>0</v>
      </c>
      <c r="O873" s="61" t="n">
        <f aca="false">Resumo!$C$13</f>
        <v>13.55</v>
      </c>
      <c r="P873" s="61" t="n">
        <f aca="false">Resumo!$C$14*CEILING(G873,1)</f>
        <v>17.1</v>
      </c>
      <c r="Q873" s="61" t="n">
        <f aca="false">SUM(I873:P873)*Resumo!$C$11</f>
        <v>0</v>
      </c>
      <c r="R873" s="61" t="n">
        <f aca="false">SUM(I873:Q873)</f>
        <v>81.847264</v>
      </c>
      <c r="S873" s="61" t="n">
        <f aca="false">R873/(1-Resumo!$C$5)</f>
        <v>93.0082545454545</v>
      </c>
      <c r="T873" s="61" t="n">
        <v>93.97</v>
      </c>
      <c r="U873" s="61" t="n">
        <f aca="false">H873*Resumo!$B$6</f>
        <v>0.42792</v>
      </c>
      <c r="V873" s="61" t="n">
        <f aca="false">H873*Resumo!$B$7</f>
        <v>0.85584</v>
      </c>
      <c r="W873" s="61" t="n">
        <f aca="false">Resumo!$B$9</f>
        <v>1</v>
      </c>
      <c r="X873" s="61" t="n">
        <f aca="false">Resumo!$B$10*CEILING(G873/100,1)</f>
        <v>4.5</v>
      </c>
      <c r="Y873" s="61" t="n">
        <f aca="false">Resumo!$B$12*CEILING(G873,1)</f>
        <v>2.28</v>
      </c>
      <c r="Z873" s="61" t="n">
        <f aca="false">Resumo!$B$14*CEILING(G873,1)</f>
        <v>17.1</v>
      </c>
      <c r="AA873" s="61" t="n">
        <f aca="false">SUM(T873:Z873)</f>
        <v>120.13376</v>
      </c>
      <c r="AB873" s="61" t="n">
        <f aca="false">AA873/(1-Resumo!$B$5)</f>
        <v>136.515636363636</v>
      </c>
      <c r="AC873" s="61" t="n">
        <f aca="false">AB873-S873</f>
        <v>43.5073818181818</v>
      </c>
      <c r="AD873" s="62" t="n">
        <f aca="false">AB873/S873-1</f>
        <v>0.467779790415475</v>
      </c>
      <c r="AE873" s="60" t="str">
        <f aca="false">IF(AB873&lt;S873,"SIM","NÃO")</f>
        <v>NÃO</v>
      </c>
      <c r="AF873" s="60" t="n">
        <v>2</v>
      </c>
      <c r="AG873" s="60" t="n">
        <v>5</v>
      </c>
      <c r="AH873" s="60" t="s">
        <v>382</v>
      </c>
      <c r="AI873" s="61" t="n">
        <f aca="false">(T873*(1-Painel!$C$40)+U873+V873+Painel!$C$41+Painel!$C$42*CEILING(G873/100,1)+Painel!$C$43*CEILING(G873,1)+Z873)/(1-Resumo!$B$5)</f>
        <v>94.7655227272727</v>
      </c>
      <c r="AJ873" s="60" t="str">
        <f aca="false">IF(AI873&lt;S873,"SIM","NÃO")</f>
        <v>NÃO</v>
      </c>
    </row>
    <row r="874" customFormat="false" ht="15" hidden="false" customHeight="false" outlineLevel="0" collapsed="false">
      <c r="A874" s="59" t="n">
        <v>46245.6574189815</v>
      </c>
      <c r="B874" s="60" t="s">
        <v>1210</v>
      </c>
      <c r="C874" s="60" t="n">
        <v>21830005</v>
      </c>
      <c r="D874" s="60" t="s">
        <v>46</v>
      </c>
      <c r="E874" s="60" t="s">
        <v>22</v>
      </c>
      <c r="F874" s="60" t="s">
        <v>235</v>
      </c>
      <c r="G874" s="60" t="n">
        <v>41.69</v>
      </c>
      <c r="H874" s="61" t="n">
        <v>659.99</v>
      </c>
      <c r="I874" s="61" t="n">
        <v>53.55</v>
      </c>
      <c r="J874" s="61" t="n">
        <f aca="false">H874*Resumo!$C$6</f>
        <v>0</v>
      </c>
      <c r="K874" s="61" t="n">
        <f aca="false">H874*Resumo!$C$7</f>
        <v>1.385979</v>
      </c>
      <c r="L874" s="61" t="n">
        <f aca="false">H874*Resumo!$C$8</f>
        <v>1.385979</v>
      </c>
      <c r="M874" s="61" t="n">
        <f aca="false">Resumo!$C$10*CEILING(G874/100,1)</f>
        <v>1.05</v>
      </c>
      <c r="N874" s="61" t="n">
        <f aca="false">Resumo!$C$9</f>
        <v>0</v>
      </c>
      <c r="O874" s="61" t="n">
        <f aca="false">Resumo!$C$13</f>
        <v>13.55</v>
      </c>
      <c r="P874" s="61" t="n">
        <f aca="false">Resumo!$C$14*CEILING(G874,1)</f>
        <v>18.9</v>
      </c>
      <c r="Q874" s="61" t="n">
        <f aca="false">SUM(I874:P874)*Resumo!$C$11</f>
        <v>0</v>
      </c>
      <c r="R874" s="61" t="n">
        <f aca="false">SUM(I874:Q874)</f>
        <v>89.821958</v>
      </c>
      <c r="S874" s="61" t="n">
        <f aca="false">R874/(1-Resumo!$C$5)</f>
        <v>102.070406818182</v>
      </c>
      <c r="T874" s="61" t="n">
        <v>93.97</v>
      </c>
      <c r="U874" s="61" t="n">
        <f aca="false">H874*Resumo!$B$6</f>
        <v>0.65999</v>
      </c>
      <c r="V874" s="61" t="n">
        <f aca="false">H874*Resumo!$B$7</f>
        <v>1.31998</v>
      </c>
      <c r="W874" s="61" t="n">
        <f aca="false">Resumo!$B$9</f>
        <v>1</v>
      </c>
      <c r="X874" s="61" t="n">
        <f aca="false">Resumo!$B$10*CEILING(G874/100,1)</f>
        <v>4.5</v>
      </c>
      <c r="Y874" s="61" t="n">
        <f aca="false">Resumo!$B$12*CEILING(G874,1)</f>
        <v>2.52</v>
      </c>
      <c r="Z874" s="61" t="n">
        <f aca="false">Resumo!$B$14*CEILING(G874,1)</f>
        <v>18.9</v>
      </c>
      <c r="AA874" s="61" t="n">
        <f aca="false">SUM(T874:Z874)</f>
        <v>122.86997</v>
      </c>
      <c r="AB874" s="61" t="n">
        <f aca="false">AA874/(1-Resumo!$B$5)</f>
        <v>139.624965909091</v>
      </c>
      <c r="AC874" s="61" t="n">
        <f aca="false">AB874-S874</f>
        <v>37.5545590909091</v>
      </c>
      <c r="AD874" s="62" t="n">
        <f aca="false">AB874/S874-1</f>
        <v>0.36792798482527</v>
      </c>
      <c r="AE874" s="60" t="str">
        <f aca="false">IF(AB874&lt;S874,"SIM","NÃO")</f>
        <v>NÃO</v>
      </c>
      <c r="AF874" s="60" t="n">
        <v>2</v>
      </c>
      <c r="AG874" s="60" t="n">
        <v>5</v>
      </c>
      <c r="AH874" s="60" t="s">
        <v>382</v>
      </c>
      <c r="AI874" s="61" t="n">
        <f aca="false">(T874*(1-Painel!$C$40)+U874+V874+Painel!$C$41+Painel!$C$42*CEILING(G874/100,1)+Painel!$C$43*CEILING(G874,1)+Z874)/(1-Resumo!$B$5)</f>
        <v>97.602125</v>
      </c>
      <c r="AJ874" s="60" t="str">
        <f aca="false">IF(AI874&lt;S874,"SIM","NÃO")</f>
        <v>SIM</v>
      </c>
    </row>
    <row r="875" customFormat="false" ht="15" hidden="false" customHeight="false" outlineLevel="0" collapsed="false">
      <c r="A875" s="59" t="n">
        <v>46245.6720023148</v>
      </c>
      <c r="B875" s="60" t="s">
        <v>1211</v>
      </c>
      <c r="C875" s="60" t="n">
        <v>25565370</v>
      </c>
      <c r="D875" s="60" t="s">
        <v>216</v>
      </c>
      <c r="E875" s="60" t="s">
        <v>23</v>
      </c>
      <c r="F875" s="60" t="s">
        <v>241</v>
      </c>
      <c r="G875" s="60" t="n">
        <v>124.2</v>
      </c>
      <c r="H875" s="61" t="n">
        <v>1649.99</v>
      </c>
      <c r="I875" s="61" t="n">
        <v>129.62</v>
      </c>
      <c r="J875" s="61" t="n">
        <f aca="false">H875*Resumo!$C$6</f>
        <v>0</v>
      </c>
      <c r="K875" s="61" t="n">
        <f aca="false">H875*Resumo!$C$7</f>
        <v>3.464979</v>
      </c>
      <c r="L875" s="61" t="n">
        <f aca="false">H875*Resumo!$C$8</f>
        <v>3.464979</v>
      </c>
      <c r="M875" s="61" t="n">
        <f aca="false">Resumo!$C$10*CEILING(G875/100,1)</f>
        <v>2.1</v>
      </c>
      <c r="N875" s="61" t="n">
        <f aca="false">Resumo!$C$9</f>
        <v>0</v>
      </c>
      <c r="O875" s="61" t="n">
        <f aca="false">Resumo!$C$13</f>
        <v>13.55</v>
      </c>
      <c r="P875" s="61" t="n">
        <f aca="false">Resumo!$C$14*CEILING(G875,1)</f>
        <v>56.25</v>
      </c>
      <c r="Q875" s="61" t="n">
        <f aca="false">SUM(I875:P875)*Resumo!$C$11</f>
        <v>0</v>
      </c>
      <c r="R875" s="61" t="n">
        <f aca="false">SUM(I875:Q875)</f>
        <v>208.449958</v>
      </c>
      <c r="S875" s="61" t="n">
        <f aca="false">R875/(1-Resumo!$C$5)</f>
        <v>236.874952272727</v>
      </c>
      <c r="T875" s="61" t="n">
        <v>239.25</v>
      </c>
      <c r="U875" s="61" t="n">
        <f aca="false">H875*Resumo!$B$6</f>
        <v>1.64999</v>
      </c>
      <c r="V875" s="61" t="n">
        <f aca="false">H875*Resumo!$B$7</f>
        <v>3.29998</v>
      </c>
      <c r="W875" s="61" t="n">
        <f aca="false">Resumo!$B$9</f>
        <v>1</v>
      </c>
      <c r="X875" s="61" t="n">
        <f aca="false">Resumo!$B$10*CEILING(G875/100,1)</f>
        <v>9</v>
      </c>
      <c r="Y875" s="61" t="n">
        <f aca="false">Resumo!$B$12*CEILING(G875,1)</f>
        <v>7.5</v>
      </c>
      <c r="Z875" s="61" t="n">
        <f aca="false">Resumo!$B$14*CEILING(G875,1)</f>
        <v>56.25</v>
      </c>
      <c r="AA875" s="61" t="n">
        <f aca="false">SUM(T875:Z875)</f>
        <v>317.94997</v>
      </c>
      <c r="AB875" s="61" t="n">
        <f aca="false">AA875/(1-Resumo!$B$5)</f>
        <v>361.306784090909</v>
      </c>
      <c r="AC875" s="61" t="n">
        <f aca="false">AB875-S875</f>
        <v>124.431831818182</v>
      </c>
      <c r="AD875" s="62" t="n">
        <f aca="false">AB875/S875-1</f>
        <v>0.525305992146086</v>
      </c>
      <c r="AE875" s="60" t="str">
        <f aca="false">IF(AB875&lt;S875,"SIM","NÃO")</f>
        <v>NÃO</v>
      </c>
      <c r="AF875" s="60" t="n">
        <v>2</v>
      </c>
      <c r="AG875" s="60" t="n">
        <v>5</v>
      </c>
      <c r="AH875" s="60" t="s">
        <v>382</v>
      </c>
      <c r="AI875" s="61" t="n">
        <f aca="false">(T875*(1-Painel!$C$40)+U875+V875+Painel!$C$41+Painel!$C$42*CEILING(G875/100,1)+Painel!$C$43*CEILING(G875,1)+Z875)/(1-Resumo!$B$5)</f>
        <v>255.224397727273</v>
      </c>
      <c r="AJ875" s="60" t="str">
        <f aca="false">IF(AI875&lt;S875,"SIM","NÃO")</f>
        <v>NÃO</v>
      </c>
    </row>
    <row r="876" customFormat="false" ht="15" hidden="false" customHeight="false" outlineLevel="0" collapsed="false">
      <c r="A876" s="59" t="n">
        <v>46245.6788078704</v>
      </c>
      <c r="B876" s="60" t="s">
        <v>1212</v>
      </c>
      <c r="C876" s="60" t="n">
        <v>25943377</v>
      </c>
      <c r="D876" s="60" t="s">
        <v>280</v>
      </c>
      <c r="E876" s="60" t="s">
        <v>24</v>
      </c>
      <c r="F876" s="60" t="s">
        <v>233</v>
      </c>
      <c r="G876" s="60" t="n">
        <v>31.9</v>
      </c>
      <c r="H876" s="61" t="n">
        <v>578.18</v>
      </c>
      <c r="I876" s="61" t="n">
        <v>65.63</v>
      </c>
      <c r="J876" s="61" t="n">
        <f aca="false">H876*Resumo!$C$6</f>
        <v>0</v>
      </c>
      <c r="K876" s="61" t="n">
        <f aca="false">H876*Resumo!$C$7</f>
        <v>1.214178</v>
      </c>
      <c r="L876" s="61" t="n">
        <f aca="false">H876*Resumo!$C$8</f>
        <v>1.214178</v>
      </c>
      <c r="M876" s="61" t="n">
        <f aca="false">Resumo!$C$10*CEILING(G876/100,1)</f>
        <v>1.05</v>
      </c>
      <c r="N876" s="61" t="n">
        <f aca="false">Resumo!$C$9</f>
        <v>0</v>
      </c>
      <c r="O876" s="61" t="n">
        <f aca="false">Resumo!$C$13</f>
        <v>13.55</v>
      </c>
      <c r="P876" s="61" t="n">
        <f aca="false">Resumo!$C$14*CEILING(G876,1)</f>
        <v>14.4</v>
      </c>
      <c r="Q876" s="61" t="n">
        <f aca="false">SUM(I876:P876)*Resumo!$C$11</f>
        <v>0</v>
      </c>
      <c r="R876" s="61" t="n">
        <f aca="false">SUM(I876:Q876)</f>
        <v>97.058356</v>
      </c>
      <c r="S876" s="61" t="n">
        <f aca="false">R876/(1-Resumo!$C$5)</f>
        <v>110.293586363636</v>
      </c>
      <c r="T876" s="61" t="n">
        <v>103.28</v>
      </c>
      <c r="U876" s="61" t="n">
        <f aca="false">H876*Resumo!$B$6</f>
        <v>0.57818</v>
      </c>
      <c r="V876" s="61" t="n">
        <f aca="false">H876*Resumo!$B$7</f>
        <v>1.15636</v>
      </c>
      <c r="W876" s="61" t="n">
        <f aca="false">Resumo!$B$9</f>
        <v>1</v>
      </c>
      <c r="X876" s="61" t="n">
        <f aca="false">Resumo!$B$10*CEILING(G876/100,1)</f>
        <v>4.5</v>
      </c>
      <c r="Y876" s="61" t="n">
        <f aca="false">Resumo!$B$12*CEILING(G876,1)</f>
        <v>1.92</v>
      </c>
      <c r="Z876" s="61" t="n">
        <f aca="false">Resumo!$B$14*CEILING(G876,1)</f>
        <v>14.4</v>
      </c>
      <c r="AA876" s="61" t="n">
        <f aca="false">SUM(T876:Z876)</f>
        <v>126.83454</v>
      </c>
      <c r="AB876" s="61" t="n">
        <f aca="false">AA876/(1-Resumo!$B$5)</f>
        <v>144.130159090909</v>
      </c>
      <c r="AC876" s="61" t="n">
        <f aca="false">AB876-S876</f>
        <v>33.8365727272727</v>
      </c>
      <c r="AD876" s="62" t="n">
        <f aca="false">AB876/S876-1</f>
        <v>0.306786403841417</v>
      </c>
      <c r="AE876" s="60" t="str">
        <f aca="false">IF(AB876&lt;S876,"SIM","NÃO")</f>
        <v>NÃO</v>
      </c>
      <c r="AF876" s="60" t="n">
        <v>13</v>
      </c>
      <c r="AG876" s="60" t="n">
        <v>6</v>
      </c>
      <c r="AH876" s="60" t="s">
        <v>385</v>
      </c>
      <c r="AI876" s="61" t="n">
        <f aca="false">(T876*(1-Painel!$C$40)+U876+V876+Painel!$C$41+Painel!$C$42*CEILING(G876/100,1)+Painel!$C$43*CEILING(G876,1)+Z876)/(1-Resumo!$B$5)</f>
        <v>99.2978863636364</v>
      </c>
      <c r="AJ876" s="60" t="str">
        <f aca="false">IF(AI876&lt;S876,"SIM","NÃO")</f>
        <v>SIM</v>
      </c>
    </row>
    <row r="877" customFormat="false" ht="15" hidden="false" customHeight="false" outlineLevel="0" collapsed="false">
      <c r="A877" s="59" t="n">
        <v>46245.7019097222</v>
      </c>
      <c r="B877" s="60" t="s">
        <v>1213</v>
      </c>
      <c r="C877" s="60" t="n">
        <v>21043280</v>
      </c>
      <c r="D877" s="60" t="s">
        <v>46</v>
      </c>
      <c r="E877" s="60" t="s">
        <v>22</v>
      </c>
      <c r="F877" s="60" t="s">
        <v>235</v>
      </c>
      <c r="G877" s="60" t="n">
        <v>40.1</v>
      </c>
      <c r="H877" s="61" t="n">
        <v>549.99</v>
      </c>
      <c r="I877" s="61" t="n">
        <v>53.55</v>
      </c>
      <c r="J877" s="61" t="n">
        <f aca="false">H877*Resumo!$C$6</f>
        <v>0</v>
      </c>
      <c r="K877" s="61" t="n">
        <f aca="false">H877*Resumo!$C$7</f>
        <v>1.154979</v>
      </c>
      <c r="L877" s="61" t="n">
        <f aca="false">H877*Resumo!$C$8</f>
        <v>1.154979</v>
      </c>
      <c r="M877" s="61" t="n">
        <f aca="false">Resumo!$C$10*CEILING(G877/100,1)</f>
        <v>1.05</v>
      </c>
      <c r="N877" s="61" t="n">
        <f aca="false">Resumo!$C$9</f>
        <v>0</v>
      </c>
      <c r="O877" s="61" t="n">
        <f aca="false">Resumo!$C$13</f>
        <v>13.55</v>
      </c>
      <c r="P877" s="61" t="n">
        <f aca="false">Resumo!$C$14*CEILING(G877,1)</f>
        <v>18.45</v>
      </c>
      <c r="Q877" s="61" t="n">
        <f aca="false">SUM(I877:P877)*Resumo!$C$11</f>
        <v>0</v>
      </c>
      <c r="R877" s="61" t="n">
        <f aca="false">SUM(I877:Q877)</f>
        <v>88.909958</v>
      </c>
      <c r="S877" s="61" t="n">
        <f aca="false">R877/(1-Resumo!$C$5)</f>
        <v>101.034043181818</v>
      </c>
      <c r="T877" s="61" t="n">
        <v>93.97</v>
      </c>
      <c r="U877" s="61" t="n">
        <f aca="false">H877*Resumo!$B$6</f>
        <v>0.54999</v>
      </c>
      <c r="V877" s="61" t="n">
        <f aca="false">H877*Resumo!$B$7</f>
        <v>1.09998</v>
      </c>
      <c r="W877" s="61" t="n">
        <f aca="false">Resumo!$B$9</f>
        <v>1</v>
      </c>
      <c r="X877" s="61" t="n">
        <f aca="false">Resumo!$B$10*CEILING(G877/100,1)</f>
        <v>4.5</v>
      </c>
      <c r="Y877" s="61" t="n">
        <f aca="false">Resumo!$B$12*CEILING(G877,1)</f>
        <v>2.46</v>
      </c>
      <c r="Z877" s="61" t="n">
        <f aca="false">Resumo!$B$14*CEILING(G877,1)</f>
        <v>18.45</v>
      </c>
      <c r="AA877" s="61" t="n">
        <f aca="false">SUM(T877:Z877)</f>
        <v>122.02997</v>
      </c>
      <c r="AB877" s="61" t="n">
        <f aca="false">AA877/(1-Resumo!$B$5)</f>
        <v>138.670420454545</v>
      </c>
      <c r="AC877" s="61" t="n">
        <f aca="false">AB877-S877</f>
        <v>37.6363772727273</v>
      </c>
      <c r="AD877" s="62" t="n">
        <f aca="false">AB877/S877-1</f>
        <v>0.372511839449975</v>
      </c>
      <c r="AE877" s="60" t="str">
        <f aca="false">IF(AB877&lt;S877,"SIM","NÃO")</f>
        <v>NÃO</v>
      </c>
      <c r="AF877" s="60" t="n">
        <v>2</v>
      </c>
      <c r="AG877" s="60" t="n">
        <v>5</v>
      </c>
      <c r="AH877" s="60" t="s">
        <v>382</v>
      </c>
      <c r="AI877" s="61" t="n">
        <f aca="false">(T877*(1-Painel!$C$40)+U877+V877+Painel!$C$41+Painel!$C$42*CEILING(G877/100,1)+Painel!$C$43*CEILING(G877,1)+Z877)/(1-Resumo!$B$5)</f>
        <v>96.7157613636364</v>
      </c>
      <c r="AJ877" s="60" t="str">
        <f aca="false">IF(AI877&lt;S877,"SIM","NÃO")</f>
        <v>SIM</v>
      </c>
    </row>
    <row r="878" customFormat="false" ht="15" hidden="false" customHeight="false" outlineLevel="0" collapsed="false">
      <c r="A878" s="59" t="n">
        <v>46245.7044675926</v>
      </c>
      <c r="B878" s="60" t="s">
        <v>1214</v>
      </c>
      <c r="C878" s="60" t="n">
        <v>24430460</v>
      </c>
      <c r="D878" s="60" t="s">
        <v>47</v>
      </c>
      <c r="E878" s="60" t="s">
        <v>23</v>
      </c>
      <c r="F878" s="60" t="s">
        <v>237</v>
      </c>
      <c r="G878" s="60" t="n">
        <v>69</v>
      </c>
      <c r="H878" s="61" t="n">
        <v>782.21</v>
      </c>
      <c r="I878" s="61" t="n">
        <v>76.55</v>
      </c>
      <c r="J878" s="61" t="n">
        <f aca="false">H878*Resumo!$C$6</f>
        <v>0</v>
      </c>
      <c r="K878" s="61" t="n">
        <f aca="false">H878*Resumo!$C$7</f>
        <v>1.642641</v>
      </c>
      <c r="L878" s="61" t="n">
        <f aca="false">H878*Resumo!$C$8</f>
        <v>1.642641</v>
      </c>
      <c r="M878" s="61" t="n">
        <f aca="false">Resumo!$C$10*CEILING(G878/100,1)</f>
        <v>1.05</v>
      </c>
      <c r="N878" s="61" t="n">
        <f aca="false">Resumo!$C$9</f>
        <v>0</v>
      </c>
      <c r="O878" s="61" t="n">
        <f aca="false">Resumo!$C$13</f>
        <v>13.55</v>
      </c>
      <c r="P878" s="61" t="n">
        <f aca="false">Resumo!$C$14*CEILING(G878,1)</f>
        <v>31.05</v>
      </c>
      <c r="Q878" s="61" t="n">
        <f aca="false">SUM(I878:P878)*Resumo!$C$11</f>
        <v>0</v>
      </c>
      <c r="R878" s="61" t="n">
        <f aca="false">SUM(I878:Q878)</f>
        <v>125.485282</v>
      </c>
      <c r="S878" s="61" t="n">
        <f aca="false">R878/(1-Resumo!$C$5)</f>
        <v>142.596911363636</v>
      </c>
      <c r="T878" s="61" t="n">
        <v>149.5</v>
      </c>
      <c r="U878" s="61" t="n">
        <f aca="false">H878*Resumo!$B$6</f>
        <v>0.78221</v>
      </c>
      <c r="V878" s="61" t="n">
        <f aca="false">H878*Resumo!$B$7</f>
        <v>1.56442</v>
      </c>
      <c r="W878" s="61" t="n">
        <f aca="false">Resumo!$B$9</f>
        <v>1</v>
      </c>
      <c r="X878" s="61" t="n">
        <f aca="false">Resumo!$B$10*CEILING(G878/100,1)</f>
        <v>4.5</v>
      </c>
      <c r="Y878" s="61" t="n">
        <f aca="false">Resumo!$B$12*CEILING(G878,1)</f>
        <v>4.14</v>
      </c>
      <c r="Z878" s="61" t="n">
        <f aca="false">Resumo!$B$14*CEILING(G878,1)</f>
        <v>31.05</v>
      </c>
      <c r="AA878" s="61" t="n">
        <f aca="false">SUM(T878:Z878)</f>
        <v>192.53663</v>
      </c>
      <c r="AB878" s="61" t="n">
        <f aca="false">AA878/(1-Resumo!$B$5)</f>
        <v>218.791625</v>
      </c>
      <c r="AC878" s="61" t="n">
        <f aca="false">AB878-S878</f>
        <v>76.1947136363636</v>
      </c>
      <c r="AD878" s="62" t="n">
        <f aca="false">AB878/S878-1</f>
        <v>0.534336353485662</v>
      </c>
      <c r="AE878" s="60" t="str">
        <f aca="false">IF(AB878&lt;S878,"SIM","NÃO")</f>
        <v>NÃO</v>
      </c>
      <c r="AF878" s="60" t="n">
        <v>2</v>
      </c>
      <c r="AG878" s="60" t="n">
        <v>7</v>
      </c>
      <c r="AH878" s="60" t="s">
        <v>382</v>
      </c>
      <c r="AI878" s="61" t="n">
        <f aca="false">(T878*(1-Painel!$C$40)+U878+V878+Painel!$C$41+Painel!$C$42*CEILING(G878/100,1)+Painel!$C$43*CEILING(G878,1)+Z878)/(1-Resumo!$B$5)</f>
        <v>154.104125</v>
      </c>
      <c r="AJ878" s="60" t="str">
        <f aca="false">IF(AI878&lt;S878,"SIM","NÃO")</f>
        <v>NÃO</v>
      </c>
    </row>
    <row r="879" customFormat="false" ht="15" hidden="false" customHeight="false" outlineLevel="0" collapsed="false">
      <c r="A879" s="59" t="n">
        <v>46245.7049305556</v>
      </c>
      <c r="B879" s="60" t="s">
        <v>1215</v>
      </c>
      <c r="C879" s="60" t="n">
        <v>23530550</v>
      </c>
      <c r="D879" s="60" t="s">
        <v>46</v>
      </c>
      <c r="E879" s="60" t="s">
        <v>22</v>
      </c>
      <c r="F879" s="60" t="s">
        <v>237</v>
      </c>
      <c r="G879" s="60" t="n">
        <v>69</v>
      </c>
      <c r="H879" s="61" t="n">
        <v>791.99</v>
      </c>
      <c r="I879" s="61" t="n">
        <v>63.21</v>
      </c>
      <c r="J879" s="61" t="n">
        <f aca="false">H879*Resumo!$C$6</f>
        <v>0</v>
      </c>
      <c r="K879" s="61" t="n">
        <f aca="false">H879*Resumo!$C$7</f>
        <v>1.663179</v>
      </c>
      <c r="L879" s="61" t="n">
        <f aca="false">H879*Resumo!$C$8</f>
        <v>1.663179</v>
      </c>
      <c r="M879" s="61" t="n">
        <f aca="false">Resumo!$C$10*CEILING(G879/100,1)</f>
        <v>1.05</v>
      </c>
      <c r="N879" s="61" t="n">
        <f aca="false">Resumo!$C$9</f>
        <v>0</v>
      </c>
      <c r="O879" s="61" t="n">
        <f aca="false">Resumo!$C$13</f>
        <v>13.55</v>
      </c>
      <c r="P879" s="61" t="n">
        <f aca="false">Resumo!$C$14*CEILING(G879,1)</f>
        <v>31.05</v>
      </c>
      <c r="Q879" s="61" t="n">
        <f aca="false">SUM(I879:P879)*Resumo!$C$11</f>
        <v>0</v>
      </c>
      <c r="R879" s="61" t="n">
        <f aca="false">SUM(I879:Q879)</f>
        <v>112.186358</v>
      </c>
      <c r="S879" s="61" t="n">
        <f aca="false">R879/(1-Resumo!$C$5)</f>
        <v>127.484497727273</v>
      </c>
      <c r="T879" s="61" t="n">
        <v>131.02</v>
      </c>
      <c r="U879" s="61" t="n">
        <f aca="false">H879*Resumo!$B$6</f>
        <v>0.79199</v>
      </c>
      <c r="V879" s="61" t="n">
        <f aca="false">H879*Resumo!$B$7</f>
        <v>1.58398</v>
      </c>
      <c r="W879" s="61" t="n">
        <f aca="false">Resumo!$B$9</f>
        <v>1</v>
      </c>
      <c r="X879" s="61" t="n">
        <f aca="false">Resumo!$B$10*CEILING(G879/100,1)</f>
        <v>4.5</v>
      </c>
      <c r="Y879" s="61" t="n">
        <f aca="false">Resumo!$B$12*CEILING(G879,1)</f>
        <v>4.14</v>
      </c>
      <c r="Z879" s="61" t="n">
        <f aca="false">Resumo!$B$14*CEILING(G879,1)</f>
        <v>31.05</v>
      </c>
      <c r="AA879" s="61" t="n">
        <f aca="false">SUM(T879:Z879)</f>
        <v>174.08597</v>
      </c>
      <c r="AB879" s="61" t="n">
        <f aca="false">AA879/(1-Resumo!$B$5)</f>
        <v>197.824965909091</v>
      </c>
      <c r="AC879" s="61" t="n">
        <f aca="false">AB879-S879</f>
        <v>70.3404681818182</v>
      </c>
      <c r="AD879" s="62" t="n">
        <f aca="false">AB879/S879-1</f>
        <v>0.551757032704458</v>
      </c>
      <c r="AE879" s="60" t="str">
        <f aca="false">IF(AB879&lt;S879,"SIM","NÃO")</f>
        <v>NÃO</v>
      </c>
      <c r="AF879" s="60" t="n">
        <v>2</v>
      </c>
      <c r="AG879" s="60" t="n">
        <v>5</v>
      </c>
      <c r="AH879" s="60" t="s">
        <v>382</v>
      </c>
      <c r="AI879" s="61" t="n">
        <f aca="false">(T879*(1-Painel!$C$40)+U879+V879+Painel!$C$41+Painel!$C$42*CEILING(G879/100,1)+Painel!$C$43*CEILING(G879,1)+Z879)/(1-Resumo!$B$5)</f>
        <v>140.067465909091</v>
      </c>
      <c r="AJ879" s="60" t="str">
        <f aca="false">IF(AI879&lt;S879,"SIM","NÃO")</f>
        <v>NÃO</v>
      </c>
    </row>
    <row r="880" customFormat="false" ht="15" hidden="false" customHeight="false" outlineLevel="0" collapsed="false">
      <c r="A880" s="59" t="n">
        <v>46245.7050694445</v>
      </c>
      <c r="B880" s="60" t="s">
        <v>1216</v>
      </c>
      <c r="C880" s="60" t="n">
        <v>21555480</v>
      </c>
      <c r="D880" s="60" t="s">
        <v>46</v>
      </c>
      <c r="E880" s="60" t="s">
        <v>22</v>
      </c>
      <c r="F880" s="60" t="s">
        <v>233</v>
      </c>
      <c r="G880" s="60" t="n">
        <v>27.5</v>
      </c>
      <c r="H880" s="61" t="n">
        <v>369.99</v>
      </c>
      <c r="I880" s="61" t="n">
        <v>42.11</v>
      </c>
      <c r="J880" s="61" t="n">
        <f aca="false">H880*Resumo!$C$6</f>
        <v>0</v>
      </c>
      <c r="K880" s="61" t="n">
        <f aca="false">H880*Resumo!$C$7</f>
        <v>0.776979</v>
      </c>
      <c r="L880" s="61" t="n">
        <f aca="false">H880*Resumo!$C$8</f>
        <v>0.776979</v>
      </c>
      <c r="M880" s="61" t="n">
        <f aca="false">Resumo!$C$10*CEILING(G880/100,1)</f>
        <v>1.05</v>
      </c>
      <c r="N880" s="61" t="n">
        <f aca="false">Resumo!$C$9</f>
        <v>0</v>
      </c>
      <c r="O880" s="61" t="n">
        <f aca="false">Resumo!$C$13</f>
        <v>13.55</v>
      </c>
      <c r="P880" s="61" t="n">
        <f aca="false">Resumo!$C$14*CEILING(G880,1)</f>
        <v>12.6</v>
      </c>
      <c r="Q880" s="61" t="n">
        <f aca="false">SUM(I880:P880)*Resumo!$C$11</f>
        <v>0</v>
      </c>
      <c r="R880" s="61" t="n">
        <f aca="false">SUM(I880:Q880)</f>
        <v>70.863958</v>
      </c>
      <c r="S880" s="61" t="n">
        <f aca="false">R880/(1-Resumo!$C$5)</f>
        <v>80.527225</v>
      </c>
      <c r="T880" s="61" t="n">
        <v>82.21</v>
      </c>
      <c r="U880" s="61" t="n">
        <f aca="false">H880*Resumo!$B$6</f>
        <v>0.36999</v>
      </c>
      <c r="V880" s="61" t="n">
        <f aca="false">H880*Resumo!$B$7</f>
        <v>0.73998</v>
      </c>
      <c r="W880" s="61" t="n">
        <f aca="false">Resumo!$B$9</f>
        <v>1</v>
      </c>
      <c r="X880" s="61" t="n">
        <f aca="false">Resumo!$B$10*CEILING(G880/100,1)</f>
        <v>4.5</v>
      </c>
      <c r="Y880" s="61" t="n">
        <f aca="false">Resumo!$B$12*CEILING(G880,1)</f>
        <v>1.68</v>
      </c>
      <c r="Z880" s="61" t="n">
        <f aca="false">Resumo!$B$14*CEILING(G880,1)</f>
        <v>12.6</v>
      </c>
      <c r="AA880" s="61" t="n">
        <f aca="false">SUM(T880:Z880)</f>
        <v>103.09997</v>
      </c>
      <c r="AB880" s="61" t="n">
        <f aca="false">AA880/(1-Resumo!$B$5)</f>
        <v>117.159056818182</v>
      </c>
      <c r="AC880" s="61" t="n">
        <f aca="false">AB880-S880</f>
        <v>36.6318318181818</v>
      </c>
      <c r="AD880" s="62" t="n">
        <f aca="false">AB880/S880-1</f>
        <v>0.454899964802982</v>
      </c>
      <c r="AE880" s="60" t="str">
        <f aca="false">IF(AB880&lt;S880,"SIM","NÃO")</f>
        <v>NÃO</v>
      </c>
      <c r="AF880" s="60" t="n">
        <v>2</v>
      </c>
      <c r="AG880" s="60" t="n">
        <v>5</v>
      </c>
      <c r="AH880" s="60" t="s">
        <v>382</v>
      </c>
      <c r="AI880" s="61" t="n">
        <f aca="false">(T880*(1-Painel!$C$40)+U880+V880+Painel!$C$41+Painel!$C$42*CEILING(G880/100,1)+Painel!$C$43*CEILING(G880,1)+Z880)/(1-Resumo!$B$5)</f>
        <v>80.5007613636364</v>
      </c>
      <c r="AJ880" s="60" t="str">
        <f aca="false">IF(AI880&lt;S880,"SIM","NÃO")</f>
        <v>SIM</v>
      </c>
    </row>
    <row r="881" customFormat="false" ht="15" hidden="false" customHeight="false" outlineLevel="0" collapsed="false">
      <c r="A881" s="59" t="n">
        <v>46245.7068518519</v>
      </c>
      <c r="B881" s="60" t="s">
        <v>1217</v>
      </c>
      <c r="C881" s="60" t="n">
        <v>22250060</v>
      </c>
      <c r="D881" s="60" t="s">
        <v>46</v>
      </c>
      <c r="E881" s="60" t="s">
        <v>22</v>
      </c>
      <c r="F881" s="60" t="s">
        <v>234</v>
      </c>
      <c r="G881" s="60" t="n">
        <v>37.58</v>
      </c>
      <c r="H881" s="61" t="n">
        <v>499.99</v>
      </c>
      <c r="I881" s="61" t="n">
        <v>48.35</v>
      </c>
      <c r="J881" s="61" t="n">
        <f aca="false">H881*Resumo!$C$6</f>
        <v>0</v>
      </c>
      <c r="K881" s="61" t="n">
        <f aca="false">H881*Resumo!$C$7</f>
        <v>1.049979</v>
      </c>
      <c r="L881" s="61" t="n">
        <f aca="false">H881*Resumo!$C$8</f>
        <v>1.049979</v>
      </c>
      <c r="M881" s="61" t="n">
        <f aca="false">Resumo!$C$10*CEILING(G881/100,1)</f>
        <v>1.05</v>
      </c>
      <c r="N881" s="61" t="n">
        <f aca="false">Resumo!$C$9</f>
        <v>0</v>
      </c>
      <c r="O881" s="61" t="n">
        <f aca="false">Resumo!$C$13</f>
        <v>13.55</v>
      </c>
      <c r="P881" s="61" t="n">
        <f aca="false">Resumo!$C$14*CEILING(G881,1)</f>
        <v>17.1</v>
      </c>
      <c r="Q881" s="61" t="n">
        <f aca="false">SUM(I881:P881)*Resumo!$C$11</f>
        <v>0</v>
      </c>
      <c r="R881" s="61" t="n">
        <f aca="false">SUM(I881:Q881)</f>
        <v>82.149958</v>
      </c>
      <c r="S881" s="61" t="n">
        <f aca="false">R881/(1-Resumo!$C$5)</f>
        <v>93.352225</v>
      </c>
      <c r="T881" s="61" t="n">
        <v>93.97</v>
      </c>
      <c r="U881" s="61" t="n">
        <f aca="false">H881*Resumo!$B$6</f>
        <v>0.49999</v>
      </c>
      <c r="V881" s="61" t="n">
        <f aca="false">H881*Resumo!$B$7</f>
        <v>0.99998</v>
      </c>
      <c r="W881" s="61" t="n">
        <f aca="false">Resumo!$B$9</f>
        <v>1</v>
      </c>
      <c r="X881" s="61" t="n">
        <f aca="false">Resumo!$B$10*CEILING(G881/100,1)</f>
        <v>4.5</v>
      </c>
      <c r="Y881" s="61" t="n">
        <f aca="false">Resumo!$B$12*CEILING(G881,1)</f>
        <v>2.28</v>
      </c>
      <c r="Z881" s="61" t="n">
        <f aca="false">Resumo!$B$14*CEILING(G881,1)</f>
        <v>17.1</v>
      </c>
      <c r="AA881" s="61" t="n">
        <f aca="false">SUM(T881:Z881)</f>
        <v>120.34997</v>
      </c>
      <c r="AB881" s="61" t="n">
        <f aca="false">AA881/(1-Resumo!$B$5)</f>
        <v>136.761329545455</v>
      </c>
      <c r="AC881" s="61" t="n">
        <f aca="false">AB881-S881</f>
        <v>43.4091045454546</v>
      </c>
      <c r="AD881" s="62" t="n">
        <f aca="false">AB881/S881-1</f>
        <v>0.465003427025489</v>
      </c>
      <c r="AE881" s="60" t="str">
        <f aca="false">IF(AB881&lt;S881,"SIM","NÃO")</f>
        <v>NÃO</v>
      </c>
      <c r="AF881" s="60" t="n">
        <v>2</v>
      </c>
      <c r="AG881" s="60" t="n">
        <v>5</v>
      </c>
      <c r="AH881" s="60" t="s">
        <v>382</v>
      </c>
      <c r="AI881" s="61" t="n">
        <f aca="false">(T881*(1-Painel!$C$40)+U881+V881+Painel!$C$41+Painel!$C$42*CEILING(G881/100,1)+Painel!$C$43*CEILING(G881,1)+Z881)/(1-Resumo!$B$5)</f>
        <v>95.0112159090909</v>
      </c>
      <c r="AJ881" s="60" t="str">
        <f aca="false">IF(AI881&lt;S881,"SIM","NÃO")</f>
        <v>NÃO</v>
      </c>
    </row>
    <row r="882" customFormat="false" ht="15" hidden="false" customHeight="false" outlineLevel="0" collapsed="false">
      <c r="A882" s="59" t="n">
        <v>46245.721400463</v>
      </c>
      <c r="B882" s="60" t="s">
        <v>1218</v>
      </c>
      <c r="C882" s="60" t="n">
        <v>23870000</v>
      </c>
      <c r="D882" s="60" t="s">
        <v>265</v>
      </c>
      <c r="E882" s="60" t="s">
        <v>24</v>
      </c>
      <c r="F882" s="60" t="s">
        <v>233</v>
      </c>
      <c r="G882" s="60" t="n">
        <v>33</v>
      </c>
      <c r="H882" s="61" t="n">
        <v>468.7</v>
      </c>
      <c r="I882" s="61" t="n">
        <v>65.63</v>
      </c>
      <c r="J882" s="61" t="n">
        <f aca="false">H882*Resumo!$C$6</f>
        <v>0</v>
      </c>
      <c r="K882" s="61" t="n">
        <f aca="false">H882*Resumo!$C$7</f>
        <v>0.98427</v>
      </c>
      <c r="L882" s="61" t="n">
        <f aca="false">H882*Resumo!$C$8</f>
        <v>0.98427</v>
      </c>
      <c r="M882" s="61" t="n">
        <f aca="false">Resumo!$C$10*CEILING(G882/100,1)</f>
        <v>1.05</v>
      </c>
      <c r="N882" s="61" t="n">
        <f aca="false">Resumo!$C$9</f>
        <v>0</v>
      </c>
      <c r="O882" s="61" t="n">
        <f aca="false">Resumo!$C$13</f>
        <v>13.55</v>
      </c>
      <c r="P882" s="61" t="n">
        <f aca="false">Resumo!$C$14*CEILING(G882,1)</f>
        <v>14.85</v>
      </c>
      <c r="Q882" s="61" t="n">
        <f aca="false">SUM(I882:P882)*Resumo!$C$11</f>
        <v>0</v>
      </c>
      <c r="R882" s="61" t="n">
        <f aca="false">SUM(I882:Q882)</f>
        <v>97.04854</v>
      </c>
      <c r="S882" s="61" t="n">
        <f aca="false">R882/(1-Resumo!$C$5)</f>
        <v>110.282431818182</v>
      </c>
      <c r="T882" s="61" t="n">
        <v>108.83</v>
      </c>
      <c r="U882" s="61" t="n">
        <f aca="false">H882*Resumo!$B$6</f>
        <v>0.4687</v>
      </c>
      <c r="V882" s="61" t="n">
        <f aca="false">H882*Resumo!$B$7</f>
        <v>0.9374</v>
      </c>
      <c r="W882" s="61" t="n">
        <f aca="false">Resumo!$B$9</f>
        <v>1</v>
      </c>
      <c r="X882" s="61" t="n">
        <f aca="false">Resumo!$B$10*CEILING(G882/100,1)</f>
        <v>4.5</v>
      </c>
      <c r="Y882" s="61" t="n">
        <f aca="false">Resumo!$B$12*CEILING(G882,1)</f>
        <v>1.98</v>
      </c>
      <c r="Z882" s="61" t="n">
        <f aca="false">Resumo!$B$14*CEILING(G882,1)</f>
        <v>14.85</v>
      </c>
      <c r="AA882" s="61" t="n">
        <f aca="false">SUM(T882:Z882)</f>
        <v>132.5661</v>
      </c>
      <c r="AB882" s="61" t="n">
        <f aca="false">AA882/(1-Resumo!$B$5)</f>
        <v>150.643295454545</v>
      </c>
      <c r="AC882" s="61" t="n">
        <f aca="false">AB882-S882</f>
        <v>40.3608636363637</v>
      </c>
      <c r="AD882" s="62" t="n">
        <f aca="false">AB882/S882-1</f>
        <v>0.365977272816263</v>
      </c>
      <c r="AE882" s="60" t="str">
        <f aca="false">IF(AB882&lt;S882,"SIM","NÃO")</f>
        <v>NÃO</v>
      </c>
      <c r="AF882" s="60" t="n">
        <v>13</v>
      </c>
      <c r="AG882" s="60" t="n">
        <v>10</v>
      </c>
      <c r="AH882" s="60" t="s">
        <v>385</v>
      </c>
      <c r="AI882" s="61" t="n">
        <f aca="false">(T882*(1-Painel!$C$40)+U882+V882+Painel!$C$41+Painel!$C$42*CEILING(G882/100,1)+Painel!$C$43*CEILING(G882,1)+Z882)/(1-Resumo!$B$5)</f>
        <v>103.661590909091</v>
      </c>
      <c r="AJ882" s="60" t="str">
        <f aca="false">IF(AI882&lt;S882,"SIM","NÃO")</f>
        <v>SIM</v>
      </c>
    </row>
    <row r="883" customFormat="false" ht="15" hidden="false" customHeight="false" outlineLevel="0" collapsed="false">
      <c r="A883" s="59" t="n">
        <v>46245.7228125</v>
      </c>
      <c r="B883" s="60" t="s">
        <v>1219</v>
      </c>
      <c r="C883" s="60" t="n">
        <v>23040550</v>
      </c>
      <c r="D883" s="60" t="s">
        <v>46</v>
      </c>
      <c r="E883" s="60" t="s">
        <v>22</v>
      </c>
      <c r="F883" s="60" t="s">
        <v>232</v>
      </c>
      <c r="G883" s="60" t="n">
        <v>17.2</v>
      </c>
      <c r="H883" s="61" t="n">
        <v>236.28</v>
      </c>
      <c r="I883" s="61" t="n">
        <v>33.42</v>
      </c>
      <c r="J883" s="61" t="n">
        <f aca="false">H883*Resumo!$C$6</f>
        <v>0</v>
      </c>
      <c r="K883" s="61" t="n">
        <f aca="false">H883*Resumo!$C$7</f>
        <v>0.496188</v>
      </c>
      <c r="L883" s="61" t="n">
        <f aca="false">H883*Resumo!$C$8</f>
        <v>0.496188</v>
      </c>
      <c r="M883" s="61" t="n">
        <f aca="false">Resumo!$C$10*CEILING(G883/100,1)</f>
        <v>1.05</v>
      </c>
      <c r="N883" s="61" t="n">
        <f aca="false">Resumo!$C$9</f>
        <v>0</v>
      </c>
      <c r="O883" s="61" t="n">
        <f aca="false">Resumo!$C$13</f>
        <v>13.55</v>
      </c>
      <c r="P883" s="61" t="n">
        <f aca="false">Resumo!$C$14*CEILING(G883,1)</f>
        <v>8.1</v>
      </c>
      <c r="Q883" s="61" t="n">
        <f aca="false">SUM(I883:P883)*Resumo!$C$11</f>
        <v>0</v>
      </c>
      <c r="R883" s="61" t="n">
        <f aca="false">SUM(I883:Q883)</f>
        <v>57.112376</v>
      </c>
      <c r="S883" s="61" t="n">
        <f aca="false">R883/(1-Resumo!$C$5)</f>
        <v>64.9004272727273</v>
      </c>
      <c r="T883" s="61" t="n">
        <v>46.98</v>
      </c>
      <c r="U883" s="61" t="n">
        <f aca="false">H883*Resumo!$B$6</f>
        <v>0.23628</v>
      </c>
      <c r="V883" s="61" t="n">
        <f aca="false">H883*Resumo!$B$7</f>
        <v>0.47256</v>
      </c>
      <c r="W883" s="61" t="n">
        <f aca="false">Resumo!$B$9</f>
        <v>1</v>
      </c>
      <c r="X883" s="61" t="n">
        <f aca="false">Resumo!$B$10*CEILING(G883/100,1)</f>
        <v>4.5</v>
      </c>
      <c r="Y883" s="61" t="n">
        <f aca="false">Resumo!$B$12*CEILING(G883,1)</f>
        <v>1.08</v>
      </c>
      <c r="Z883" s="61" t="n">
        <f aca="false">Resumo!$B$14*CEILING(G883,1)</f>
        <v>8.1</v>
      </c>
      <c r="AA883" s="61" t="n">
        <f aca="false">SUM(T883:Z883)</f>
        <v>62.36884</v>
      </c>
      <c r="AB883" s="61" t="n">
        <f aca="false">AA883/(1-Resumo!$B$5)</f>
        <v>70.8736818181818</v>
      </c>
      <c r="AC883" s="61" t="n">
        <f aca="false">AB883-S883</f>
        <v>5.97325454545455</v>
      </c>
      <c r="AD883" s="62" t="n">
        <f aca="false">AB883/S883-1</f>
        <v>0.0920372144909538</v>
      </c>
      <c r="AE883" s="60" t="str">
        <f aca="false">IF(AB883&lt;S883,"SIM","NÃO")</f>
        <v>NÃO</v>
      </c>
      <c r="AF883" s="60" t="n">
        <v>2</v>
      </c>
      <c r="AG883" s="60" t="n">
        <v>5</v>
      </c>
      <c r="AH883" s="60" t="s">
        <v>382</v>
      </c>
      <c r="AI883" s="61" t="n">
        <f aca="false">(T883*(1-Painel!$C$40)+U883+V883+Painel!$C$41+Painel!$C$42*CEILING(G883/100,1)+Painel!$C$43*CEILING(G883,1)+Z883)/(1-Resumo!$B$5)</f>
        <v>48.1084545454545</v>
      </c>
      <c r="AJ883" s="60" t="str">
        <f aca="false">IF(AI883&lt;S883,"SIM","NÃO")</f>
        <v>SIM</v>
      </c>
    </row>
    <row r="884" customFormat="false" ht="15" hidden="false" customHeight="false" outlineLevel="0" collapsed="false">
      <c r="A884" s="59" t="n">
        <v>46245.7363773148</v>
      </c>
      <c r="B884" s="60" t="s">
        <v>1220</v>
      </c>
      <c r="C884" s="60" t="n">
        <v>28925071</v>
      </c>
      <c r="D884" s="60" t="s">
        <v>221</v>
      </c>
      <c r="E884" s="60" t="s">
        <v>24</v>
      </c>
      <c r="F884" s="60" t="s">
        <v>235</v>
      </c>
      <c r="G884" s="60" t="n">
        <v>46.8</v>
      </c>
      <c r="H884" s="61" t="n">
        <v>559.99</v>
      </c>
      <c r="I884" s="61" t="n">
        <v>77.7</v>
      </c>
      <c r="J884" s="61" t="n">
        <f aca="false">H884*Resumo!$C$6</f>
        <v>0</v>
      </c>
      <c r="K884" s="61" t="n">
        <f aca="false">H884*Resumo!$C$7</f>
        <v>1.175979</v>
      </c>
      <c r="L884" s="61" t="n">
        <f aca="false">H884*Resumo!$C$8</f>
        <v>1.175979</v>
      </c>
      <c r="M884" s="61" t="n">
        <f aca="false">Resumo!$C$10*CEILING(G884/100,1)</f>
        <v>1.05</v>
      </c>
      <c r="N884" s="61" t="n">
        <f aca="false">Resumo!$C$9</f>
        <v>0</v>
      </c>
      <c r="O884" s="61" t="n">
        <f aca="false">Resumo!$C$13</f>
        <v>13.55</v>
      </c>
      <c r="P884" s="61" t="n">
        <f aca="false">Resumo!$C$14*CEILING(G884,1)</f>
        <v>21.15</v>
      </c>
      <c r="Q884" s="61" t="n">
        <f aca="false">SUM(I884:P884)*Resumo!$C$11</f>
        <v>0</v>
      </c>
      <c r="R884" s="61" t="n">
        <f aca="false">SUM(I884:Q884)</f>
        <v>115.801958</v>
      </c>
      <c r="S884" s="61" t="n">
        <f aca="false">R884/(1-Resumo!$C$5)</f>
        <v>131.593134090909</v>
      </c>
      <c r="T884" s="61" t="n">
        <v>129.29</v>
      </c>
      <c r="U884" s="61" t="n">
        <f aca="false">H884*Resumo!$B$6</f>
        <v>0.55999</v>
      </c>
      <c r="V884" s="61" t="n">
        <f aca="false">H884*Resumo!$B$7</f>
        <v>1.11998</v>
      </c>
      <c r="W884" s="61" t="n">
        <f aca="false">Resumo!$B$9</f>
        <v>1</v>
      </c>
      <c r="X884" s="61" t="n">
        <f aca="false">Resumo!$B$10*CEILING(G884/100,1)</f>
        <v>4.5</v>
      </c>
      <c r="Y884" s="61" t="n">
        <f aca="false">Resumo!$B$12*CEILING(G884,1)</f>
        <v>2.82</v>
      </c>
      <c r="Z884" s="61" t="n">
        <f aca="false">Resumo!$B$14*CEILING(G884,1)</f>
        <v>21.15</v>
      </c>
      <c r="AA884" s="61" t="n">
        <f aca="false">SUM(T884:Z884)</f>
        <v>160.43997</v>
      </c>
      <c r="AB884" s="61" t="n">
        <f aca="false">AA884/(1-Resumo!$B$5)</f>
        <v>182.318147727273</v>
      </c>
      <c r="AC884" s="61" t="n">
        <f aca="false">AB884-S884</f>
        <v>50.7250136363636</v>
      </c>
      <c r="AD884" s="62" t="n">
        <f aca="false">AB884/S884-1</f>
        <v>0.385468542768508</v>
      </c>
      <c r="AE884" s="60" t="str">
        <f aca="false">IF(AB884&lt;S884,"SIM","NÃO")</f>
        <v>NÃO</v>
      </c>
      <c r="AF884" s="60" t="n">
        <v>13</v>
      </c>
      <c r="AG884" s="60" t="n">
        <v>10</v>
      </c>
      <c r="AH884" s="60" t="s">
        <v>382</v>
      </c>
      <c r="AI884" s="61" t="n">
        <f aca="false">(T884*(1-Painel!$C$40)+U884+V884+Painel!$C$41+Painel!$C$42*CEILING(G884/100,1)+Painel!$C$43*CEILING(G884,1)+Z884)/(1-Resumo!$B$5)</f>
        <v>126.709397727273</v>
      </c>
      <c r="AJ884" s="60" t="str">
        <f aca="false">IF(AI884&lt;S884,"SIM","NÃO")</f>
        <v>SIM</v>
      </c>
    </row>
    <row r="885" customFormat="false" ht="15" hidden="false" customHeight="false" outlineLevel="0" collapsed="false">
      <c r="A885" s="59" t="n">
        <v>46245.7506712963</v>
      </c>
      <c r="B885" s="60" t="s">
        <v>1221</v>
      </c>
      <c r="C885" s="60" t="n">
        <v>23520241</v>
      </c>
      <c r="D885" s="60" t="s">
        <v>46</v>
      </c>
      <c r="E885" s="60" t="s">
        <v>22</v>
      </c>
      <c r="F885" s="60" t="s">
        <v>235</v>
      </c>
      <c r="G885" s="60" t="n">
        <v>46.8</v>
      </c>
      <c r="H885" s="61" t="n">
        <v>587.49</v>
      </c>
      <c r="I885" s="61" t="n">
        <v>53.55</v>
      </c>
      <c r="J885" s="61" t="n">
        <f aca="false">H885*Resumo!$C$6</f>
        <v>0</v>
      </c>
      <c r="K885" s="61" t="n">
        <f aca="false">H885*Resumo!$C$7</f>
        <v>1.233729</v>
      </c>
      <c r="L885" s="61" t="n">
        <f aca="false">H885*Resumo!$C$8</f>
        <v>1.233729</v>
      </c>
      <c r="M885" s="61" t="n">
        <f aca="false">Resumo!$C$10*CEILING(G885/100,1)</f>
        <v>1.05</v>
      </c>
      <c r="N885" s="61" t="n">
        <f aca="false">Resumo!$C$9</f>
        <v>0</v>
      </c>
      <c r="O885" s="61" t="n">
        <f aca="false">Resumo!$C$13</f>
        <v>13.55</v>
      </c>
      <c r="P885" s="61" t="n">
        <f aca="false">Resumo!$C$14*CEILING(G885,1)</f>
        <v>21.15</v>
      </c>
      <c r="Q885" s="61" t="n">
        <f aca="false">SUM(I885:P885)*Resumo!$C$11</f>
        <v>0</v>
      </c>
      <c r="R885" s="61" t="n">
        <f aca="false">SUM(I885:Q885)</f>
        <v>91.767458</v>
      </c>
      <c r="S885" s="61" t="n">
        <f aca="false">R885/(1-Resumo!$C$5)</f>
        <v>104.281202272727</v>
      </c>
      <c r="T885" s="61" t="n">
        <v>93.97</v>
      </c>
      <c r="U885" s="61" t="n">
        <f aca="false">H885*Resumo!$B$6</f>
        <v>0.58749</v>
      </c>
      <c r="V885" s="61" t="n">
        <f aca="false">H885*Resumo!$B$7</f>
        <v>1.17498</v>
      </c>
      <c r="W885" s="61" t="n">
        <f aca="false">Resumo!$B$9</f>
        <v>1</v>
      </c>
      <c r="X885" s="61" t="n">
        <f aca="false">Resumo!$B$10*CEILING(G885/100,1)</f>
        <v>4.5</v>
      </c>
      <c r="Y885" s="61" t="n">
        <f aca="false">Resumo!$B$12*CEILING(G885,1)</f>
        <v>2.82</v>
      </c>
      <c r="Z885" s="61" t="n">
        <f aca="false">Resumo!$B$14*CEILING(G885,1)</f>
        <v>21.15</v>
      </c>
      <c r="AA885" s="61" t="n">
        <f aca="false">SUM(T885:Z885)</f>
        <v>125.20247</v>
      </c>
      <c r="AB885" s="61" t="n">
        <f aca="false">AA885/(1-Resumo!$B$5)</f>
        <v>142.275534090909</v>
      </c>
      <c r="AC885" s="61" t="n">
        <f aca="false">AB885-S885</f>
        <v>37.9943318181818</v>
      </c>
      <c r="AD885" s="62" t="n">
        <f aca="false">AB885/S885-1</f>
        <v>0.364344972920575</v>
      </c>
      <c r="AE885" s="60" t="str">
        <f aca="false">IF(AB885&lt;S885,"SIM","NÃO")</f>
        <v>NÃO</v>
      </c>
      <c r="AF885" s="60" t="n">
        <v>2</v>
      </c>
      <c r="AG885" s="60" t="n">
        <v>5</v>
      </c>
      <c r="AH885" s="60" t="s">
        <v>382</v>
      </c>
      <c r="AI885" s="61" t="n">
        <f aca="false">(T885*(1-Painel!$C$40)+U885+V885+Painel!$C$41+Painel!$C$42*CEILING(G885/100,1)+Painel!$C$43*CEILING(G885,1)+Z885)/(1-Resumo!$B$5)</f>
        <v>99.9117840909091</v>
      </c>
      <c r="AJ885" s="60" t="str">
        <f aca="false">IF(AI885&lt;S885,"SIM","NÃO")</f>
        <v>SIM</v>
      </c>
    </row>
    <row r="886" customFormat="false" ht="15" hidden="false" customHeight="false" outlineLevel="0" collapsed="false">
      <c r="A886" s="59" t="n">
        <v>46245.7525810185</v>
      </c>
      <c r="B886" s="60" t="s">
        <v>1222</v>
      </c>
      <c r="C886" s="60" t="n">
        <v>22730150</v>
      </c>
      <c r="D886" s="60" t="s">
        <v>46</v>
      </c>
      <c r="E886" s="60" t="s">
        <v>22</v>
      </c>
      <c r="F886" s="60" t="s">
        <v>235</v>
      </c>
      <c r="G886" s="60" t="n">
        <v>48.3</v>
      </c>
      <c r="H886" s="61" t="n">
        <v>449.99</v>
      </c>
      <c r="I886" s="61" t="n">
        <v>53.55</v>
      </c>
      <c r="J886" s="61" t="n">
        <f aca="false">H886*Resumo!$C$6</f>
        <v>0</v>
      </c>
      <c r="K886" s="61" t="n">
        <f aca="false">H886*Resumo!$C$7</f>
        <v>0.944979</v>
      </c>
      <c r="L886" s="61" t="n">
        <f aca="false">H886*Resumo!$C$8</f>
        <v>0.944979</v>
      </c>
      <c r="M886" s="61" t="n">
        <f aca="false">Resumo!$C$10*CEILING(G886/100,1)</f>
        <v>1.05</v>
      </c>
      <c r="N886" s="61" t="n">
        <f aca="false">Resumo!$C$9</f>
        <v>0</v>
      </c>
      <c r="O886" s="61" t="n">
        <f aca="false">Resumo!$C$13</f>
        <v>13.55</v>
      </c>
      <c r="P886" s="61" t="n">
        <f aca="false">Resumo!$C$14*CEILING(G886,1)</f>
        <v>22.05</v>
      </c>
      <c r="Q886" s="61" t="n">
        <f aca="false">SUM(I886:P886)*Resumo!$C$11</f>
        <v>0</v>
      </c>
      <c r="R886" s="61" t="n">
        <f aca="false">SUM(I886:Q886)</f>
        <v>92.089958</v>
      </c>
      <c r="S886" s="61" t="n">
        <f aca="false">R886/(1-Resumo!$C$5)</f>
        <v>104.647679545455</v>
      </c>
      <c r="T886" s="61" t="n">
        <v>93.97</v>
      </c>
      <c r="U886" s="61" t="n">
        <f aca="false">H886*Resumo!$B$6</f>
        <v>0.44999</v>
      </c>
      <c r="V886" s="61" t="n">
        <f aca="false">H886*Resumo!$B$7</f>
        <v>0.89998</v>
      </c>
      <c r="W886" s="61" t="n">
        <f aca="false">Resumo!$B$9</f>
        <v>1</v>
      </c>
      <c r="X886" s="61" t="n">
        <f aca="false">Resumo!$B$10*CEILING(G886/100,1)</f>
        <v>4.5</v>
      </c>
      <c r="Y886" s="61" t="n">
        <f aca="false">Resumo!$B$12*CEILING(G886,1)</f>
        <v>2.94</v>
      </c>
      <c r="Z886" s="61" t="n">
        <f aca="false">Resumo!$B$14*CEILING(G886,1)</f>
        <v>22.05</v>
      </c>
      <c r="AA886" s="61" t="n">
        <f aca="false">SUM(T886:Z886)</f>
        <v>125.80997</v>
      </c>
      <c r="AB886" s="61" t="n">
        <f aca="false">AA886/(1-Resumo!$B$5)</f>
        <v>142.965875</v>
      </c>
      <c r="AC886" s="61" t="n">
        <f aca="false">AB886-S886</f>
        <v>38.3181954545454</v>
      </c>
      <c r="AD886" s="62" t="n">
        <f aca="false">AB886/S886-1</f>
        <v>0.366163832977315</v>
      </c>
      <c r="AE886" s="60" t="str">
        <f aca="false">IF(AB886&lt;S886,"SIM","NÃO")</f>
        <v>NÃO</v>
      </c>
      <c r="AF886" s="60" t="n">
        <v>2</v>
      </c>
      <c r="AG886" s="60" t="n">
        <v>5</v>
      </c>
      <c r="AH886" s="60" t="s">
        <v>382</v>
      </c>
      <c r="AI886" s="61" t="n">
        <f aca="false">(T886*(1-Painel!$C$40)+U886+V886+Painel!$C$41+Painel!$C$42*CEILING(G886/100,1)+Painel!$C$43*CEILING(G886,1)+Z886)/(1-Resumo!$B$5)</f>
        <v>100.465761363636</v>
      </c>
      <c r="AJ886" s="60" t="str">
        <f aca="false">IF(AI886&lt;S886,"SIM","NÃO")</f>
        <v>SIM</v>
      </c>
    </row>
    <row r="887" customFormat="false" ht="15" hidden="false" customHeight="false" outlineLevel="0" collapsed="false">
      <c r="A887" s="59" t="n">
        <v>46245.7574189815</v>
      </c>
      <c r="B887" s="60" t="s">
        <v>1223</v>
      </c>
      <c r="C887" s="60" t="n">
        <v>26087335</v>
      </c>
      <c r="D887" s="60" t="s">
        <v>49</v>
      </c>
      <c r="E887" s="60" t="s">
        <v>23</v>
      </c>
      <c r="F887" s="60" t="s">
        <v>240</v>
      </c>
      <c r="G887" s="60" t="n">
        <v>106.5</v>
      </c>
      <c r="H887" s="61" t="n">
        <v>1249.99</v>
      </c>
      <c r="I887" s="61" t="n">
        <v>101.26</v>
      </c>
      <c r="J887" s="61" t="n">
        <f aca="false">H887*Resumo!$C$6</f>
        <v>0</v>
      </c>
      <c r="K887" s="61" t="n">
        <f aca="false">H887*Resumo!$C$7</f>
        <v>2.624979</v>
      </c>
      <c r="L887" s="61" t="n">
        <f aca="false">H887*Resumo!$C$8</f>
        <v>2.624979</v>
      </c>
      <c r="M887" s="61" t="n">
        <f aca="false">Resumo!$C$10*CEILING(G887/100,1)</f>
        <v>2.1</v>
      </c>
      <c r="N887" s="61" t="n">
        <f aca="false">Resumo!$C$9</f>
        <v>0</v>
      </c>
      <c r="O887" s="61" t="n">
        <f aca="false">Resumo!$C$13</f>
        <v>13.55</v>
      </c>
      <c r="P887" s="61" t="n">
        <f aca="false">Resumo!$C$14*CEILING(G887,1)</f>
        <v>48.15</v>
      </c>
      <c r="Q887" s="61" t="n">
        <f aca="false">SUM(I887:P887)*Resumo!$C$11</f>
        <v>0</v>
      </c>
      <c r="R887" s="61" t="n">
        <f aca="false">SUM(I887:Q887)</f>
        <v>170.309958</v>
      </c>
      <c r="S887" s="61" t="n">
        <f aca="false">R887/(1-Resumo!$C$5)</f>
        <v>193.534043181818</v>
      </c>
      <c r="T887" s="61" t="n">
        <v>201.59</v>
      </c>
      <c r="U887" s="61" t="n">
        <f aca="false">H887*Resumo!$B$6</f>
        <v>1.24999</v>
      </c>
      <c r="V887" s="61" t="n">
        <f aca="false">H887*Resumo!$B$7</f>
        <v>2.49998</v>
      </c>
      <c r="W887" s="61" t="n">
        <f aca="false">Resumo!$B$9</f>
        <v>1</v>
      </c>
      <c r="X887" s="61" t="n">
        <f aca="false">Resumo!$B$10*CEILING(G887/100,1)</f>
        <v>9</v>
      </c>
      <c r="Y887" s="61" t="n">
        <f aca="false">Resumo!$B$12*CEILING(G887,1)</f>
        <v>6.42</v>
      </c>
      <c r="Z887" s="61" t="n">
        <f aca="false">Resumo!$B$14*CEILING(G887,1)</f>
        <v>48.15</v>
      </c>
      <c r="AA887" s="61" t="n">
        <f aca="false">SUM(T887:Z887)</f>
        <v>269.90997</v>
      </c>
      <c r="AB887" s="61" t="n">
        <f aca="false">AA887/(1-Resumo!$B$5)</f>
        <v>306.715875</v>
      </c>
      <c r="AC887" s="61" t="n">
        <f aca="false">AB887-S887</f>
        <v>113.181831818182</v>
      </c>
      <c r="AD887" s="62" t="n">
        <f aca="false">AB887/S887-1</f>
        <v>0.584816138584216</v>
      </c>
      <c r="AE887" s="60" t="str">
        <f aca="false">IF(AB887&lt;S887,"SIM","NÃO")</f>
        <v>NÃO</v>
      </c>
      <c r="AF887" s="60" t="n">
        <v>2</v>
      </c>
      <c r="AG887" s="60" t="n">
        <v>5</v>
      </c>
      <c r="AH887" s="60" t="s">
        <v>382</v>
      </c>
      <c r="AI887" s="61" t="n">
        <f aca="false">(T887*(1-Painel!$C$40)+U887+V887+Painel!$C$41+Painel!$C$42*CEILING(G887/100,1)+Painel!$C$43*CEILING(G887,1)+Z887)/(1-Resumo!$B$5)</f>
        <v>215.983261363636</v>
      </c>
      <c r="AJ887" s="60" t="str">
        <f aca="false">IF(AI887&lt;S887,"SIM","NÃO")</f>
        <v>NÃO</v>
      </c>
    </row>
    <row r="888" customFormat="false" ht="15" hidden="false" customHeight="false" outlineLevel="0" collapsed="false">
      <c r="A888" s="59" t="n">
        <v>46245.780462963</v>
      </c>
      <c r="B888" s="60" t="s">
        <v>1224</v>
      </c>
      <c r="C888" s="60" t="n">
        <v>21815030</v>
      </c>
      <c r="D888" s="60" t="s">
        <v>46</v>
      </c>
      <c r="E888" s="60" t="s">
        <v>22</v>
      </c>
      <c r="F888" s="60" t="s">
        <v>233</v>
      </c>
      <c r="G888" s="60" t="n">
        <v>31.9</v>
      </c>
      <c r="H888" s="61" t="n">
        <v>589</v>
      </c>
      <c r="I888" s="61" t="n">
        <v>42.11</v>
      </c>
      <c r="J888" s="61" t="n">
        <f aca="false">H888*Resumo!$C$6</f>
        <v>0</v>
      </c>
      <c r="K888" s="61" t="n">
        <f aca="false">H888*Resumo!$C$7</f>
        <v>1.2369</v>
      </c>
      <c r="L888" s="61" t="n">
        <f aca="false">H888*Resumo!$C$8</f>
        <v>1.2369</v>
      </c>
      <c r="M888" s="61" t="n">
        <f aca="false">Resumo!$C$10*CEILING(G888/100,1)</f>
        <v>1.05</v>
      </c>
      <c r="N888" s="61" t="n">
        <f aca="false">Resumo!$C$9</f>
        <v>0</v>
      </c>
      <c r="O888" s="61" t="n">
        <f aca="false">Resumo!$C$13</f>
        <v>13.55</v>
      </c>
      <c r="P888" s="61" t="n">
        <f aca="false">Resumo!$C$14*CEILING(G888,1)</f>
        <v>14.4</v>
      </c>
      <c r="Q888" s="61" t="n">
        <f aca="false">SUM(I888:P888)*Resumo!$C$11</f>
        <v>0</v>
      </c>
      <c r="R888" s="61" t="n">
        <f aca="false">SUM(I888:Q888)</f>
        <v>73.5838</v>
      </c>
      <c r="S888" s="61" t="n">
        <f aca="false">R888/(1-Resumo!$C$5)</f>
        <v>83.6179545454545</v>
      </c>
      <c r="T888" s="61" t="n">
        <v>82.21</v>
      </c>
      <c r="U888" s="61" t="n">
        <f aca="false">H888*Resumo!$B$6</f>
        <v>0.589</v>
      </c>
      <c r="V888" s="61" t="n">
        <f aca="false">H888*Resumo!$B$7</f>
        <v>1.178</v>
      </c>
      <c r="W888" s="61" t="n">
        <f aca="false">Resumo!$B$9</f>
        <v>1</v>
      </c>
      <c r="X888" s="61" t="n">
        <f aca="false">Resumo!$B$10*CEILING(G888/100,1)</f>
        <v>4.5</v>
      </c>
      <c r="Y888" s="61" t="n">
        <f aca="false">Resumo!$B$12*CEILING(G888,1)</f>
        <v>1.92</v>
      </c>
      <c r="Z888" s="61" t="n">
        <f aca="false">Resumo!$B$14*CEILING(G888,1)</f>
        <v>14.4</v>
      </c>
      <c r="AA888" s="61" t="n">
        <f aca="false">SUM(T888:Z888)</f>
        <v>105.797</v>
      </c>
      <c r="AB888" s="61" t="n">
        <f aca="false">AA888/(1-Resumo!$B$5)</f>
        <v>120.223863636364</v>
      </c>
      <c r="AC888" s="61" t="n">
        <f aca="false">AB888-S888</f>
        <v>36.6059090909091</v>
      </c>
      <c r="AD888" s="62" t="n">
        <f aca="false">AB888/S888-1</f>
        <v>0.437775706065737</v>
      </c>
      <c r="AE888" s="60" t="str">
        <f aca="false">IF(AB888&lt;S888,"SIM","NÃO")</f>
        <v>NÃO</v>
      </c>
      <c r="AF888" s="60" t="n">
        <v>2</v>
      </c>
      <c r="AG888" s="60" t="n">
        <v>5</v>
      </c>
      <c r="AH888" s="60" t="s">
        <v>382</v>
      </c>
      <c r="AI888" s="61" t="n">
        <f aca="false">(T888*(1-Painel!$C$40)+U888+V888+Painel!$C$41+Painel!$C$42*CEILING(G888/100,1)+Painel!$C$43*CEILING(G888,1)+Z888)/(1-Resumo!$B$5)</f>
        <v>83.2928409090909</v>
      </c>
      <c r="AJ888" s="60" t="str">
        <f aca="false">IF(AI888&lt;S888,"SIM","NÃO")</f>
        <v>SIM</v>
      </c>
    </row>
    <row r="889" customFormat="false" ht="15" hidden="false" customHeight="false" outlineLevel="0" collapsed="false">
      <c r="A889" s="59" t="n">
        <v>46245.787962963</v>
      </c>
      <c r="B889" s="60" t="s">
        <v>1225</v>
      </c>
      <c r="C889" s="60" t="n">
        <v>21755270</v>
      </c>
      <c r="D889" s="60" t="s">
        <v>46</v>
      </c>
      <c r="E889" s="60" t="s">
        <v>22</v>
      </c>
      <c r="F889" s="60" t="s">
        <v>237</v>
      </c>
      <c r="G889" s="60" t="n">
        <v>66</v>
      </c>
      <c r="H889" s="61" t="n">
        <v>901.98</v>
      </c>
      <c r="I889" s="61" t="n">
        <v>63.21</v>
      </c>
      <c r="J889" s="61" t="n">
        <f aca="false">H889*Resumo!$C$6</f>
        <v>0</v>
      </c>
      <c r="K889" s="61" t="n">
        <f aca="false">H889*Resumo!$C$7</f>
        <v>1.894158</v>
      </c>
      <c r="L889" s="61" t="n">
        <f aca="false">H889*Resumo!$C$8</f>
        <v>1.894158</v>
      </c>
      <c r="M889" s="61" t="n">
        <f aca="false">Resumo!$C$10*CEILING(G889/100,1)</f>
        <v>1.05</v>
      </c>
      <c r="N889" s="61" t="n">
        <f aca="false">Resumo!$C$9</f>
        <v>0</v>
      </c>
      <c r="O889" s="61" t="n">
        <f aca="false">Resumo!$C$13</f>
        <v>13.55</v>
      </c>
      <c r="P889" s="61" t="n">
        <f aca="false">Resumo!$C$14*CEILING(G889,1)</f>
        <v>29.7</v>
      </c>
      <c r="Q889" s="61" t="n">
        <f aca="false">SUM(I889:P889)*Resumo!$C$11</f>
        <v>0</v>
      </c>
      <c r="R889" s="61" t="n">
        <f aca="false">SUM(I889:Q889)</f>
        <v>111.298316</v>
      </c>
      <c r="S889" s="61" t="n">
        <f aca="false">R889/(1-Resumo!$C$5)</f>
        <v>126.475359090909</v>
      </c>
      <c r="T889" s="61" t="n">
        <v>131.02</v>
      </c>
      <c r="U889" s="61" t="n">
        <f aca="false">H889*Resumo!$B$6</f>
        <v>0.90198</v>
      </c>
      <c r="V889" s="61" t="n">
        <f aca="false">H889*Resumo!$B$7</f>
        <v>1.80396</v>
      </c>
      <c r="W889" s="61" t="n">
        <f aca="false">Resumo!$B$9</f>
        <v>1</v>
      </c>
      <c r="X889" s="61" t="n">
        <f aca="false">Resumo!$B$10*CEILING(G889/100,1)</f>
        <v>4.5</v>
      </c>
      <c r="Y889" s="61" t="n">
        <f aca="false">Resumo!$B$12*CEILING(G889,1)</f>
        <v>3.96</v>
      </c>
      <c r="Z889" s="61" t="n">
        <f aca="false">Resumo!$B$14*CEILING(G889,1)</f>
        <v>29.7</v>
      </c>
      <c r="AA889" s="61" t="n">
        <f aca="false">SUM(T889:Z889)</f>
        <v>172.88594</v>
      </c>
      <c r="AB889" s="61" t="n">
        <f aca="false">AA889/(1-Resumo!$B$5)</f>
        <v>196.461295454545</v>
      </c>
      <c r="AC889" s="61" t="n">
        <f aca="false">AB889-S889</f>
        <v>69.9859363636364</v>
      </c>
      <c r="AD889" s="62" t="n">
        <f aca="false">AB889/S889-1</f>
        <v>0.553356296963199</v>
      </c>
      <c r="AE889" s="60" t="str">
        <f aca="false">IF(AB889&lt;S889,"SIM","NÃO")</f>
        <v>NÃO</v>
      </c>
      <c r="AF889" s="60" t="n">
        <v>2</v>
      </c>
      <c r="AG889" s="60" t="n">
        <v>5</v>
      </c>
      <c r="AH889" s="60" t="s">
        <v>382</v>
      </c>
      <c r="AI889" s="61" t="n">
        <f aca="false">(T889*(1-Painel!$C$40)+U889+V889+Painel!$C$41+Painel!$C$42*CEILING(G889/100,1)+Painel!$C$43*CEILING(G889,1)+Z889)/(1-Resumo!$B$5)</f>
        <v>138.908340909091</v>
      </c>
      <c r="AJ889" s="60" t="str">
        <f aca="false">IF(AI889&lt;S889,"SIM","NÃO")</f>
        <v>NÃO</v>
      </c>
    </row>
    <row r="890" customFormat="false" ht="15" hidden="false" customHeight="false" outlineLevel="0" collapsed="false">
      <c r="A890" s="59" t="n">
        <v>46245.7890162037</v>
      </c>
      <c r="B890" s="60" t="s">
        <v>1226</v>
      </c>
      <c r="C890" s="60" t="n">
        <v>22765455</v>
      </c>
      <c r="D890" s="60" t="s">
        <v>46</v>
      </c>
      <c r="E890" s="60" t="s">
        <v>22</v>
      </c>
      <c r="F890" s="60" t="s">
        <v>234</v>
      </c>
      <c r="G890" s="60" t="n">
        <v>36.8</v>
      </c>
      <c r="H890" s="61" t="n">
        <v>439.99</v>
      </c>
      <c r="I890" s="61" t="n">
        <v>48.35</v>
      </c>
      <c r="J890" s="61" t="n">
        <f aca="false">H890*Resumo!$C$6</f>
        <v>0</v>
      </c>
      <c r="K890" s="61" t="n">
        <f aca="false">H890*Resumo!$C$7</f>
        <v>0.923979</v>
      </c>
      <c r="L890" s="61" t="n">
        <f aca="false">H890*Resumo!$C$8</f>
        <v>0.923979</v>
      </c>
      <c r="M890" s="61" t="n">
        <f aca="false">Resumo!$C$10*CEILING(G890/100,1)</f>
        <v>1.05</v>
      </c>
      <c r="N890" s="61" t="n">
        <f aca="false">Resumo!$C$9</f>
        <v>0</v>
      </c>
      <c r="O890" s="61" t="n">
        <f aca="false">Resumo!$C$13</f>
        <v>13.55</v>
      </c>
      <c r="P890" s="61" t="n">
        <f aca="false">Resumo!$C$14*CEILING(G890,1)</f>
        <v>16.65</v>
      </c>
      <c r="Q890" s="61" t="n">
        <f aca="false">SUM(I890:P890)*Resumo!$C$11</f>
        <v>0</v>
      </c>
      <c r="R890" s="61" t="n">
        <f aca="false">SUM(I890:Q890)</f>
        <v>81.447958</v>
      </c>
      <c r="S890" s="61" t="n">
        <f aca="false">R890/(1-Resumo!$C$5)</f>
        <v>92.5544977272728</v>
      </c>
      <c r="T890" s="61" t="n">
        <v>93.97</v>
      </c>
      <c r="U890" s="61" t="n">
        <f aca="false">H890*Resumo!$B$6</f>
        <v>0.43999</v>
      </c>
      <c r="V890" s="61" t="n">
        <f aca="false">H890*Resumo!$B$7</f>
        <v>0.87998</v>
      </c>
      <c r="W890" s="61" t="n">
        <f aca="false">Resumo!$B$9</f>
        <v>1</v>
      </c>
      <c r="X890" s="61" t="n">
        <f aca="false">Resumo!$B$10*CEILING(G890/100,1)</f>
        <v>4.5</v>
      </c>
      <c r="Y890" s="61" t="n">
        <f aca="false">Resumo!$B$12*CEILING(G890,1)</f>
        <v>2.22</v>
      </c>
      <c r="Z890" s="61" t="n">
        <f aca="false">Resumo!$B$14*CEILING(G890,1)</f>
        <v>16.65</v>
      </c>
      <c r="AA890" s="61" t="n">
        <f aca="false">SUM(T890:Z890)</f>
        <v>119.65997</v>
      </c>
      <c r="AB890" s="61" t="n">
        <f aca="false">AA890/(1-Resumo!$B$5)</f>
        <v>135.977238636364</v>
      </c>
      <c r="AC890" s="61" t="n">
        <f aca="false">AB890-S890</f>
        <v>43.4227409090909</v>
      </c>
      <c r="AD890" s="62" t="n">
        <f aca="false">AB890/S890-1</f>
        <v>0.469158625192297</v>
      </c>
      <c r="AE890" s="60" t="str">
        <f aca="false">IF(AB890&lt;S890,"SIM","NÃO")</f>
        <v>NÃO</v>
      </c>
      <c r="AF890" s="60" t="n">
        <v>2</v>
      </c>
      <c r="AG890" s="60" t="n">
        <v>5</v>
      </c>
      <c r="AH890" s="60" t="s">
        <v>382</v>
      </c>
      <c r="AI890" s="61" t="n">
        <f aca="false">(T890*(1-Painel!$C$40)+U890+V890+Painel!$C$41+Painel!$C$42*CEILING(G890/100,1)+Painel!$C$43*CEILING(G890,1)+Z890)/(1-Resumo!$B$5)</f>
        <v>94.2953068181818</v>
      </c>
      <c r="AJ890" s="60" t="str">
        <f aca="false">IF(AI890&lt;S890,"SIM","NÃO")</f>
        <v>NÃO</v>
      </c>
    </row>
    <row r="891" customFormat="false" ht="15" hidden="false" customHeight="false" outlineLevel="0" collapsed="false">
      <c r="A891" s="59" t="n">
        <v>46245.8042361111</v>
      </c>
      <c r="B891" s="60" t="s">
        <v>1227</v>
      </c>
      <c r="C891" s="60" t="n">
        <v>21833050</v>
      </c>
      <c r="D891" s="60" t="s">
        <v>46</v>
      </c>
      <c r="E891" s="60" t="s">
        <v>22</v>
      </c>
      <c r="F891" s="60" t="s">
        <v>241</v>
      </c>
      <c r="G891" s="60" t="n">
        <v>127.8</v>
      </c>
      <c r="H891" s="61" t="n">
        <v>1429.99</v>
      </c>
      <c r="I891" s="61" t="n">
        <v>120.59</v>
      </c>
      <c r="J891" s="61" t="n">
        <f aca="false">H891*Resumo!$C$6</f>
        <v>0</v>
      </c>
      <c r="K891" s="61" t="n">
        <f aca="false">H891*Resumo!$C$7</f>
        <v>3.002979</v>
      </c>
      <c r="L891" s="61" t="n">
        <f aca="false">H891*Resumo!$C$8</f>
        <v>3.002979</v>
      </c>
      <c r="M891" s="61" t="n">
        <f aca="false">Resumo!$C$10*CEILING(G891/100,1)</f>
        <v>2.1</v>
      </c>
      <c r="N891" s="61" t="n">
        <f aca="false">Resumo!$C$9</f>
        <v>0</v>
      </c>
      <c r="O891" s="61" t="n">
        <f aca="false">Resumo!$C$13</f>
        <v>13.55</v>
      </c>
      <c r="P891" s="61" t="n">
        <f aca="false">Resumo!$C$14*CEILING(G891,1)</f>
        <v>57.6</v>
      </c>
      <c r="Q891" s="61" t="n">
        <f aca="false">SUM(I891:P891)*Resumo!$C$11</f>
        <v>0</v>
      </c>
      <c r="R891" s="61" t="n">
        <f aca="false">SUM(I891:Q891)</f>
        <v>199.845958</v>
      </c>
      <c r="S891" s="61" t="n">
        <f aca="false">R891/(1-Resumo!$C$5)</f>
        <v>227.097679545455</v>
      </c>
      <c r="T891" s="61" t="n">
        <v>239.25</v>
      </c>
      <c r="U891" s="61" t="n">
        <f aca="false">H891*Resumo!$B$6</f>
        <v>1.42999</v>
      </c>
      <c r="V891" s="61" t="n">
        <f aca="false">H891*Resumo!$B$7</f>
        <v>2.85998</v>
      </c>
      <c r="W891" s="61" t="n">
        <f aca="false">Resumo!$B$9</f>
        <v>1</v>
      </c>
      <c r="X891" s="61" t="n">
        <f aca="false">Resumo!$B$10*CEILING(G891/100,1)</f>
        <v>9</v>
      </c>
      <c r="Y891" s="61" t="n">
        <f aca="false">Resumo!$B$12*CEILING(G891,1)</f>
        <v>7.68</v>
      </c>
      <c r="Z891" s="61" t="n">
        <f aca="false">Resumo!$B$14*CEILING(G891,1)</f>
        <v>57.6</v>
      </c>
      <c r="AA891" s="61" t="n">
        <f aca="false">SUM(T891:Z891)</f>
        <v>318.81997</v>
      </c>
      <c r="AB891" s="61" t="n">
        <f aca="false">AA891/(1-Resumo!$B$5)</f>
        <v>362.295420454546</v>
      </c>
      <c r="AC891" s="61" t="n">
        <f aca="false">AB891-S891</f>
        <v>135.197740909091</v>
      </c>
      <c r="AD891" s="62" t="n">
        <f aca="false">AB891/S891-1</f>
        <v>0.595328588031788</v>
      </c>
      <c r="AE891" s="60" t="str">
        <f aca="false">IF(AB891&lt;S891,"SIM","NÃO")</f>
        <v>NÃO</v>
      </c>
      <c r="AF891" s="60" t="n">
        <v>2</v>
      </c>
      <c r="AG891" s="60" t="n">
        <v>5</v>
      </c>
      <c r="AH891" s="60" t="s">
        <v>382</v>
      </c>
      <c r="AI891" s="61" t="n">
        <f aca="false">(T891*(1-Painel!$C$40)+U891+V891+Painel!$C$41+Painel!$C$42*CEILING(G891/100,1)+Painel!$C$43*CEILING(G891,1)+Z891)/(1-Resumo!$B$5)</f>
        <v>256.008488636364</v>
      </c>
      <c r="AJ891" s="60" t="str">
        <f aca="false">IF(AI891&lt;S891,"SIM","NÃO")</f>
        <v>NÃO</v>
      </c>
    </row>
    <row r="892" customFormat="false" ht="15" hidden="false" customHeight="false" outlineLevel="0" collapsed="false">
      <c r="A892" s="59" t="n">
        <v>46245.8224189815</v>
      </c>
      <c r="B892" s="60" t="s">
        <v>1228</v>
      </c>
      <c r="C892" s="60" t="n">
        <v>22783116</v>
      </c>
      <c r="D892" s="60" t="s">
        <v>46</v>
      </c>
      <c r="E892" s="60" t="s">
        <v>22</v>
      </c>
      <c r="F892" s="60" t="s">
        <v>236</v>
      </c>
      <c r="G892" s="60" t="n">
        <v>56.7</v>
      </c>
      <c r="H892" s="61" t="n">
        <v>698.39</v>
      </c>
      <c r="I892" s="61" t="n">
        <v>58.6</v>
      </c>
      <c r="J892" s="61" t="n">
        <f aca="false">H892*Resumo!$C$6</f>
        <v>0</v>
      </c>
      <c r="K892" s="61" t="n">
        <f aca="false">H892*Resumo!$C$7</f>
        <v>1.466619</v>
      </c>
      <c r="L892" s="61" t="n">
        <f aca="false">H892*Resumo!$C$8</f>
        <v>1.466619</v>
      </c>
      <c r="M892" s="61" t="n">
        <f aca="false">Resumo!$C$10*CEILING(G892/100,1)</f>
        <v>1.05</v>
      </c>
      <c r="N892" s="61" t="n">
        <f aca="false">Resumo!$C$9</f>
        <v>0</v>
      </c>
      <c r="O892" s="61" t="n">
        <f aca="false">Resumo!$C$13</f>
        <v>13.55</v>
      </c>
      <c r="P892" s="61" t="n">
        <f aca="false">Resumo!$C$14*CEILING(G892,1)</f>
        <v>25.65</v>
      </c>
      <c r="Q892" s="61" t="n">
        <f aca="false">SUM(I892:P892)*Resumo!$C$11</f>
        <v>0</v>
      </c>
      <c r="R892" s="61" t="n">
        <f aca="false">SUM(I892:Q892)</f>
        <v>101.783238</v>
      </c>
      <c r="S892" s="61" t="n">
        <f aca="false">R892/(1-Resumo!$C$5)</f>
        <v>115.662770454545</v>
      </c>
      <c r="T892" s="61" t="n">
        <v>112.3</v>
      </c>
      <c r="U892" s="61" t="n">
        <f aca="false">H892*Resumo!$B$6</f>
        <v>0.69839</v>
      </c>
      <c r="V892" s="61" t="n">
        <f aca="false">H892*Resumo!$B$7</f>
        <v>1.39678</v>
      </c>
      <c r="W892" s="61" t="n">
        <f aca="false">Resumo!$B$9</f>
        <v>1</v>
      </c>
      <c r="X892" s="61" t="n">
        <f aca="false">Resumo!$B$10*CEILING(G892/100,1)</f>
        <v>4.5</v>
      </c>
      <c r="Y892" s="61" t="n">
        <f aca="false">Resumo!$B$12*CEILING(G892,1)</f>
        <v>3.42</v>
      </c>
      <c r="Z892" s="61" t="n">
        <f aca="false">Resumo!$B$14*CEILING(G892,1)</f>
        <v>25.65</v>
      </c>
      <c r="AA892" s="61" t="n">
        <f aca="false">SUM(T892:Z892)</f>
        <v>148.96517</v>
      </c>
      <c r="AB892" s="61" t="n">
        <f aca="false">AA892/(1-Resumo!$B$5)</f>
        <v>169.278602272727</v>
      </c>
      <c r="AC892" s="61" t="n">
        <f aca="false">AB892-S892</f>
        <v>53.6158318181818</v>
      </c>
      <c r="AD892" s="62" t="n">
        <f aca="false">AB892/S892-1</f>
        <v>0.463553065584335</v>
      </c>
      <c r="AE892" s="60" t="str">
        <f aca="false">IF(AB892&lt;S892,"SIM","NÃO")</f>
        <v>NÃO</v>
      </c>
      <c r="AF892" s="60" t="n">
        <v>2</v>
      </c>
      <c r="AG892" s="60" t="n">
        <v>5</v>
      </c>
      <c r="AH892" s="60" t="s">
        <v>382</v>
      </c>
      <c r="AI892" s="61" t="n">
        <f aca="false">(T892*(1-Painel!$C$40)+U892+V892+Painel!$C$41+Painel!$C$42*CEILING(G892/100,1)+Painel!$C$43*CEILING(G892,1)+Z892)/(1-Resumo!$B$5)</f>
        <v>119.359284090909</v>
      </c>
      <c r="AJ892" s="60" t="str">
        <f aca="false">IF(AI892&lt;S892,"SIM","NÃO")</f>
        <v>NÃO</v>
      </c>
    </row>
    <row r="893" customFormat="false" ht="15" hidden="false" customHeight="false" outlineLevel="0" collapsed="false">
      <c r="A893" s="59" t="n">
        <v>46245.8471875</v>
      </c>
      <c r="B893" s="60" t="s">
        <v>1229</v>
      </c>
      <c r="C893" s="60" t="n">
        <v>23093146</v>
      </c>
      <c r="D893" s="60" t="s">
        <v>46</v>
      </c>
      <c r="E893" s="60" t="s">
        <v>22</v>
      </c>
      <c r="F893" s="60" t="s">
        <v>234</v>
      </c>
      <c r="G893" s="60" t="n">
        <v>37.6</v>
      </c>
      <c r="H893" s="61" t="n">
        <v>391.05</v>
      </c>
      <c r="I893" s="61" t="n">
        <v>48.35</v>
      </c>
      <c r="J893" s="61" t="n">
        <f aca="false">H893*Resumo!$C$6</f>
        <v>0</v>
      </c>
      <c r="K893" s="61" t="n">
        <f aca="false">H893*Resumo!$C$7</f>
        <v>0.821205</v>
      </c>
      <c r="L893" s="61" t="n">
        <f aca="false">H893*Resumo!$C$8</f>
        <v>0.821205</v>
      </c>
      <c r="M893" s="61" t="n">
        <f aca="false">Resumo!$C$10*CEILING(G893/100,1)</f>
        <v>1.05</v>
      </c>
      <c r="N893" s="61" t="n">
        <f aca="false">Resumo!$C$9</f>
        <v>0</v>
      </c>
      <c r="O893" s="61" t="n">
        <f aca="false">Resumo!$C$13</f>
        <v>13.55</v>
      </c>
      <c r="P893" s="61" t="n">
        <f aca="false">Resumo!$C$14*CEILING(G893,1)</f>
        <v>17.1</v>
      </c>
      <c r="Q893" s="61" t="n">
        <f aca="false">SUM(I893:P893)*Resumo!$C$11</f>
        <v>0</v>
      </c>
      <c r="R893" s="61" t="n">
        <f aca="false">SUM(I893:Q893)</f>
        <v>81.69241</v>
      </c>
      <c r="S893" s="61" t="n">
        <f aca="false">R893/(1-Resumo!$C$5)</f>
        <v>92.8322840909091</v>
      </c>
      <c r="T893" s="61" t="n">
        <v>93.97</v>
      </c>
      <c r="U893" s="61" t="n">
        <f aca="false">H893*Resumo!$B$6</f>
        <v>0.39105</v>
      </c>
      <c r="V893" s="61" t="n">
        <f aca="false">H893*Resumo!$B$7</f>
        <v>0.7821</v>
      </c>
      <c r="W893" s="61" t="n">
        <f aca="false">Resumo!$B$9</f>
        <v>1</v>
      </c>
      <c r="X893" s="61" t="n">
        <f aca="false">Resumo!$B$10*CEILING(G893/100,1)</f>
        <v>4.5</v>
      </c>
      <c r="Y893" s="61" t="n">
        <f aca="false">Resumo!$B$12*CEILING(G893,1)</f>
        <v>2.28</v>
      </c>
      <c r="Z893" s="61" t="n">
        <f aca="false">Resumo!$B$14*CEILING(G893,1)</f>
        <v>17.1</v>
      </c>
      <c r="AA893" s="61" t="n">
        <f aca="false">SUM(T893:Z893)</f>
        <v>120.02315</v>
      </c>
      <c r="AB893" s="61" t="n">
        <f aca="false">AA893/(1-Resumo!$B$5)</f>
        <v>136.389943181818</v>
      </c>
      <c r="AC893" s="61" t="n">
        <f aca="false">AB893-S893</f>
        <v>43.5576590909091</v>
      </c>
      <c r="AD893" s="62" t="n">
        <f aca="false">AB893/S893-1</f>
        <v>0.469208094117923</v>
      </c>
      <c r="AE893" s="60" t="str">
        <f aca="false">IF(AB893&lt;S893,"SIM","NÃO")</f>
        <v>NÃO</v>
      </c>
      <c r="AF893" s="60" t="n">
        <v>2</v>
      </c>
      <c r="AG893" s="60" t="n">
        <v>5</v>
      </c>
      <c r="AH893" s="60" t="s">
        <v>382</v>
      </c>
      <c r="AI893" s="61" t="n">
        <f aca="false">(T893*(1-Painel!$C$40)+U893+V893+Painel!$C$41+Painel!$C$42*CEILING(G893/100,1)+Painel!$C$43*CEILING(G893,1)+Z893)/(1-Resumo!$B$5)</f>
        <v>94.6398295454546</v>
      </c>
      <c r="AJ893" s="60" t="str">
        <f aca="false">IF(AI893&lt;S893,"SIM","NÃO")</f>
        <v>NÃO</v>
      </c>
    </row>
    <row r="894" customFormat="false" ht="15" hidden="false" customHeight="false" outlineLevel="0" collapsed="false">
      <c r="A894" s="59" t="n">
        <v>46245.8625</v>
      </c>
      <c r="B894" s="60" t="s">
        <v>580</v>
      </c>
      <c r="C894" s="60" t="n">
        <v>28540000</v>
      </c>
      <c r="D894" s="60" t="s">
        <v>321</v>
      </c>
      <c r="E894" s="60" t="s">
        <v>24</v>
      </c>
      <c r="F894" s="60" t="s">
        <v>236</v>
      </c>
      <c r="G894" s="60" t="n">
        <v>52.3</v>
      </c>
      <c r="H894" s="61" t="n">
        <v>616.99</v>
      </c>
      <c r="I894" s="61" t="n">
        <v>83.58</v>
      </c>
      <c r="J894" s="61" t="n">
        <f aca="false">H894*Resumo!$C$6</f>
        <v>0</v>
      </c>
      <c r="K894" s="61" t="n">
        <f aca="false">H894*Resumo!$C$7</f>
        <v>1.295679</v>
      </c>
      <c r="L894" s="61" t="n">
        <f aca="false">H894*Resumo!$C$8</f>
        <v>1.295679</v>
      </c>
      <c r="M894" s="61" t="n">
        <f aca="false">Resumo!$C$10*CEILING(G894/100,1)</f>
        <v>1.05</v>
      </c>
      <c r="N894" s="61" t="n">
        <f aca="false">Resumo!$C$9</f>
        <v>0</v>
      </c>
      <c r="O894" s="61" t="n">
        <f aca="false">Resumo!$C$13</f>
        <v>13.55</v>
      </c>
      <c r="P894" s="61" t="n">
        <f aca="false">Resumo!$C$14*CEILING(G894,1)</f>
        <v>23.85</v>
      </c>
      <c r="Q894" s="61" t="n">
        <f aca="false">SUM(I894:P894)*Resumo!$C$11</f>
        <v>0</v>
      </c>
      <c r="R894" s="61" t="n">
        <f aca="false">SUM(I894:Q894)</f>
        <v>124.621358</v>
      </c>
      <c r="S894" s="61" t="n">
        <f aca="false">R894/(1-Resumo!$C$5)</f>
        <v>141.615179545455</v>
      </c>
      <c r="T894" s="61" t="n">
        <v>144.53</v>
      </c>
      <c r="U894" s="61" t="n">
        <f aca="false">H894*Resumo!$B$6</f>
        <v>0.61699</v>
      </c>
      <c r="V894" s="61" t="n">
        <f aca="false">H894*Resumo!$B$7</f>
        <v>1.23398</v>
      </c>
      <c r="W894" s="61" t="n">
        <f aca="false">Resumo!$B$9</f>
        <v>1</v>
      </c>
      <c r="X894" s="61" t="n">
        <f aca="false">Resumo!$B$10*CEILING(G894/100,1)</f>
        <v>4.5</v>
      </c>
      <c r="Y894" s="61" t="n">
        <f aca="false">Resumo!$B$12*CEILING(G894,1)</f>
        <v>3.18</v>
      </c>
      <c r="Z894" s="61" t="n">
        <f aca="false">Resumo!$B$14*CEILING(G894,1)</f>
        <v>23.85</v>
      </c>
      <c r="AA894" s="61" t="n">
        <f aca="false">SUM(T894:Z894)</f>
        <v>178.91097</v>
      </c>
      <c r="AB894" s="61" t="n">
        <f aca="false">AA894/(1-Resumo!$B$5)</f>
        <v>203.307920454545</v>
      </c>
      <c r="AC894" s="61" t="n">
        <f aca="false">AB894-S894</f>
        <v>61.6927409090909</v>
      </c>
      <c r="AD894" s="62" t="n">
        <f aca="false">AB894/S894-1</f>
        <v>0.43563649819961</v>
      </c>
      <c r="AE894" s="60" t="str">
        <f aca="false">IF(AB894&lt;S894,"SIM","NÃO")</f>
        <v>NÃO</v>
      </c>
      <c r="AF894" s="60" t="n">
        <v>13</v>
      </c>
      <c r="AG894" s="60" t="n">
        <v>10</v>
      </c>
      <c r="AH894" s="60" t="s">
        <v>385</v>
      </c>
      <c r="AI894" s="61" t="n">
        <f aca="false">(T894*(1-Painel!$C$40)+U894+V894+Painel!$C$41+Painel!$C$42*CEILING(G894/100,1)+Painel!$C$43*CEILING(G894,1)+Z894)/(1-Resumo!$B$5)</f>
        <v>141.575079545455</v>
      </c>
      <c r="AJ894" s="60" t="str">
        <f aca="false">IF(AI894&lt;S894,"SIM","NÃO")</f>
        <v>SIM</v>
      </c>
    </row>
    <row r="895" customFormat="false" ht="15" hidden="false" customHeight="false" outlineLevel="0" collapsed="false">
      <c r="A895" s="59" t="n">
        <v>46245.8667824074</v>
      </c>
      <c r="B895" s="60" t="s">
        <v>1230</v>
      </c>
      <c r="C895" s="60" t="n">
        <v>22750300</v>
      </c>
      <c r="D895" s="60" t="s">
        <v>46</v>
      </c>
      <c r="E895" s="60" t="s">
        <v>22</v>
      </c>
      <c r="F895" s="60" t="s">
        <v>236</v>
      </c>
      <c r="G895" s="60" t="n">
        <v>52.3</v>
      </c>
      <c r="H895" s="61" t="n">
        <v>643.99</v>
      </c>
      <c r="I895" s="61" t="n">
        <v>58.6</v>
      </c>
      <c r="J895" s="61" t="n">
        <f aca="false">H895*Resumo!$C$6</f>
        <v>0</v>
      </c>
      <c r="K895" s="61" t="n">
        <f aca="false">H895*Resumo!$C$7</f>
        <v>1.352379</v>
      </c>
      <c r="L895" s="61" t="n">
        <f aca="false">H895*Resumo!$C$8</f>
        <v>1.352379</v>
      </c>
      <c r="M895" s="61" t="n">
        <f aca="false">Resumo!$C$10*CEILING(G895/100,1)</f>
        <v>1.05</v>
      </c>
      <c r="N895" s="61" t="n">
        <f aca="false">Resumo!$C$9</f>
        <v>0</v>
      </c>
      <c r="O895" s="61" t="n">
        <f aca="false">Resumo!$C$13</f>
        <v>13.55</v>
      </c>
      <c r="P895" s="61" t="n">
        <f aca="false">Resumo!$C$14*CEILING(G895,1)</f>
        <v>23.85</v>
      </c>
      <c r="Q895" s="61" t="n">
        <f aca="false">SUM(I895:P895)*Resumo!$C$11</f>
        <v>0</v>
      </c>
      <c r="R895" s="61" t="n">
        <f aca="false">SUM(I895:Q895)</f>
        <v>99.754758</v>
      </c>
      <c r="S895" s="61" t="n">
        <f aca="false">R895/(1-Resumo!$C$5)</f>
        <v>113.357679545455</v>
      </c>
      <c r="T895" s="61" t="n">
        <v>112.3</v>
      </c>
      <c r="U895" s="61" t="n">
        <f aca="false">H895*Resumo!$B$6</f>
        <v>0.64399</v>
      </c>
      <c r="V895" s="61" t="n">
        <f aca="false">H895*Resumo!$B$7</f>
        <v>1.28798</v>
      </c>
      <c r="W895" s="61" t="n">
        <f aca="false">Resumo!$B$9</f>
        <v>1</v>
      </c>
      <c r="X895" s="61" t="n">
        <f aca="false">Resumo!$B$10*CEILING(G895/100,1)</f>
        <v>4.5</v>
      </c>
      <c r="Y895" s="61" t="n">
        <f aca="false">Resumo!$B$12*CEILING(G895,1)</f>
        <v>3.18</v>
      </c>
      <c r="Z895" s="61" t="n">
        <f aca="false">Resumo!$B$14*CEILING(G895,1)</f>
        <v>23.85</v>
      </c>
      <c r="AA895" s="61" t="n">
        <f aca="false">SUM(T895:Z895)</f>
        <v>146.76197</v>
      </c>
      <c r="AB895" s="61" t="n">
        <f aca="false">AA895/(1-Resumo!$B$5)</f>
        <v>166.774965909091</v>
      </c>
      <c r="AC895" s="61" t="n">
        <f aca="false">AB895-S895</f>
        <v>53.4172863636363</v>
      </c>
      <c r="AD895" s="62" t="n">
        <f aca="false">AB895/S895-1</f>
        <v>0.471227768403788</v>
      </c>
      <c r="AE895" s="60" t="str">
        <f aca="false">IF(AB895&lt;S895,"SIM","NÃO")</f>
        <v>NÃO</v>
      </c>
      <c r="AF895" s="60" t="n">
        <v>2</v>
      </c>
      <c r="AG895" s="60" t="n">
        <v>5</v>
      </c>
      <c r="AH895" s="60" t="s">
        <v>382</v>
      </c>
      <c r="AI895" s="61" t="n">
        <f aca="false">(T895*(1-Painel!$C$40)+U895+V895+Painel!$C$41+Painel!$C$42*CEILING(G895/100,1)+Painel!$C$43*CEILING(G895,1)+Z895)/(1-Resumo!$B$5)</f>
        <v>117.128375</v>
      </c>
      <c r="AJ895" s="60" t="str">
        <f aca="false">IF(AI895&lt;S895,"SIM","NÃO")</f>
        <v>NÃO</v>
      </c>
    </row>
    <row r="896" customFormat="false" ht="15" hidden="false" customHeight="false" outlineLevel="0" collapsed="false">
      <c r="A896" s="59" t="n">
        <v>46245.8897337963</v>
      </c>
      <c r="B896" s="60" t="s">
        <v>1231</v>
      </c>
      <c r="C896" s="60" t="n">
        <v>21236020</v>
      </c>
      <c r="D896" s="60" t="s">
        <v>46</v>
      </c>
      <c r="E896" s="60" t="s">
        <v>22</v>
      </c>
      <c r="F896" s="60" t="s">
        <v>236</v>
      </c>
      <c r="G896" s="60" t="n">
        <v>52.3</v>
      </c>
      <c r="H896" s="61" t="n">
        <v>640.18</v>
      </c>
      <c r="I896" s="61" t="n">
        <v>58.6</v>
      </c>
      <c r="J896" s="61" t="n">
        <f aca="false">H896*Resumo!$C$6</f>
        <v>0</v>
      </c>
      <c r="K896" s="61" t="n">
        <f aca="false">H896*Resumo!$C$7</f>
        <v>1.344378</v>
      </c>
      <c r="L896" s="61" t="n">
        <f aca="false">H896*Resumo!$C$8</f>
        <v>1.344378</v>
      </c>
      <c r="M896" s="61" t="n">
        <f aca="false">Resumo!$C$10*CEILING(G896/100,1)</f>
        <v>1.05</v>
      </c>
      <c r="N896" s="61" t="n">
        <f aca="false">Resumo!$C$9</f>
        <v>0</v>
      </c>
      <c r="O896" s="61" t="n">
        <f aca="false">Resumo!$C$13</f>
        <v>13.55</v>
      </c>
      <c r="P896" s="61" t="n">
        <f aca="false">Resumo!$C$14*CEILING(G896,1)</f>
        <v>23.85</v>
      </c>
      <c r="Q896" s="61" t="n">
        <f aca="false">SUM(I896:P896)*Resumo!$C$11</f>
        <v>0</v>
      </c>
      <c r="R896" s="61" t="n">
        <f aca="false">SUM(I896:Q896)</f>
        <v>99.738756</v>
      </c>
      <c r="S896" s="61" t="n">
        <f aca="false">R896/(1-Resumo!$C$5)</f>
        <v>113.339495454545</v>
      </c>
      <c r="T896" s="61" t="n">
        <v>112.3</v>
      </c>
      <c r="U896" s="61" t="n">
        <f aca="false">H896*Resumo!$B$6</f>
        <v>0.64018</v>
      </c>
      <c r="V896" s="61" t="n">
        <f aca="false">H896*Resumo!$B$7</f>
        <v>1.28036</v>
      </c>
      <c r="W896" s="61" t="n">
        <f aca="false">Resumo!$B$9</f>
        <v>1</v>
      </c>
      <c r="X896" s="61" t="n">
        <f aca="false">Resumo!$B$10*CEILING(G896/100,1)</f>
        <v>4.5</v>
      </c>
      <c r="Y896" s="61" t="n">
        <f aca="false">Resumo!$B$12*CEILING(G896,1)</f>
        <v>3.18</v>
      </c>
      <c r="Z896" s="61" t="n">
        <f aca="false">Resumo!$B$14*CEILING(G896,1)</f>
        <v>23.85</v>
      </c>
      <c r="AA896" s="61" t="n">
        <f aca="false">SUM(T896:Z896)</f>
        <v>146.75054</v>
      </c>
      <c r="AB896" s="61" t="n">
        <f aca="false">AA896/(1-Resumo!$B$5)</f>
        <v>166.761977272727</v>
      </c>
      <c r="AC896" s="61" t="n">
        <f aca="false">AB896-S896</f>
        <v>53.4224818181818</v>
      </c>
      <c r="AD896" s="62" t="n">
        <f aca="false">AB896/S896-1</f>
        <v>0.471349211534181</v>
      </c>
      <c r="AE896" s="60" t="str">
        <f aca="false">IF(AB896&lt;S896,"SIM","NÃO")</f>
        <v>NÃO</v>
      </c>
      <c r="AF896" s="60" t="n">
        <v>2</v>
      </c>
      <c r="AG896" s="60" t="n">
        <v>5</v>
      </c>
      <c r="AH896" s="60" t="s">
        <v>382</v>
      </c>
      <c r="AI896" s="61" t="n">
        <f aca="false">(T896*(1-Painel!$C$40)+U896+V896+Painel!$C$41+Painel!$C$42*CEILING(G896/100,1)+Painel!$C$43*CEILING(G896,1)+Z896)/(1-Resumo!$B$5)</f>
        <v>117.115386363636</v>
      </c>
      <c r="AJ896" s="60" t="str">
        <f aca="false">IF(AI896&lt;S896,"SIM","NÃO")</f>
        <v>NÃO</v>
      </c>
    </row>
    <row r="897" customFormat="false" ht="15" hidden="false" customHeight="false" outlineLevel="0" collapsed="false">
      <c r="A897" s="59" t="n">
        <v>46245.8984490741</v>
      </c>
      <c r="B897" s="60" t="s">
        <v>1232</v>
      </c>
      <c r="C897" s="60" t="n">
        <v>23032310</v>
      </c>
      <c r="D897" s="60" t="s">
        <v>46</v>
      </c>
      <c r="E897" s="60" t="s">
        <v>22</v>
      </c>
      <c r="F897" s="60" t="s">
        <v>234</v>
      </c>
      <c r="G897" s="60" t="n">
        <v>36.8</v>
      </c>
      <c r="H897" s="61" t="n">
        <v>444.99</v>
      </c>
      <c r="I897" s="61" t="n">
        <v>48.35</v>
      </c>
      <c r="J897" s="61" t="n">
        <f aca="false">H897*Resumo!$C$6</f>
        <v>0</v>
      </c>
      <c r="K897" s="61" t="n">
        <f aca="false">H897*Resumo!$C$7</f>
        <v>0.934479</v>
      </c>
      <c r="L897" s="61" t="n">
        <f aca="false">H897*Resumo!$C$8</f>
        <v>0.934479</v>
      </c>
      <c r="M897" s="61" t="n">
        <f aca="false">Resumo!$C$10*CEILING(G897/100,1)</f>
        <v>1.05</v>
      </c>
      <c r="N897" s="61" t="n">
        <f aca="false">Resumo!$C$9</f>
        <v>0</v>
      </c>
      <c r="O897" s="61" t="n">
        <f aca="false">Resumo!$C$13</f>
        <v>13.55</v>
      </c>
      <c r="P897" s="61" t="n">
        <f aca="false">Resumo!$C$14*CEILING(G897,1)</f>
        <v>16.65</v>
      </c>
      <c r="Q897" s="61" t="n">
        <f aca="false">SUM(I897:P897)*Resumo!$C$11</f>
        <v>0</v>
      </c>
      <c r="R897" s="61" t="n">
        <f aca="false">SUM(I897:Q897)</f>
        <v>81.468958</v>
      </c>
      <c r="S897" s="61" t="n">
        <f aca="false">R897/(1-Resumo!$C$5)</f>
        <v>92.5783613636364</v>
      </c>
      <c r="T897" s="61" t="n">
        <v>93.97</v>
      </c>
      <c r="U897" s="61" t="n">
        <f aca="false">H897*Resumo!$B$6</f>
        <v>0.44499</v>
      </c>
      <c r="V897" s="61" t="n">
        <f aca="false">H897*Resumo!$B$7</f>
        <v>0.88998</v>
      </c>
      <c r="W897" s="61" t="n">
        <f aca="false">Resumo!$B$9</f>
        <v>1</v>
      </c>
      <c r="X897" s="61" t="n">
        <f aca="false">Resumo!$B$10*CEILING(G897/100,1)</f>
        <v>4.5</v>
      </c>
      <c r="Y897" s="61" t="n">
        <f aca="false">Resumo!$B$12*CEILING(G897,1)</f>
        <v>2.22</v>
      </c>
      <c r="Z897" s="61" t="n">
        <f aca="false">Resumo!$B$14*CEILING(G897,1)</f>
        <v>16.65</v>
      </c>
      <c r="AA897" s="61" t="n">
        <f aca="false">SUM(T897:Z897)</f>
        <v>119.67497</v>
      </c>
      <c r="AB897" s="61" t="n">
        <f aca="false">AA897/(1-Resumo!$B$5)</f>
        <v>135.994284090909</v>
      </c>
      <c r="AC897" s="61" t="n">
        <f aca="false">AB897-S897</f>
        <v>43.4159227272727</v>
      </c>
      <c r="AD897" s="62" t="n">
        <f aca="false">AB897/S897-1</f>
        <v>0.468964043949108</v>
      </c>
      <c r="AE897" s="60" t="str">
        <f aca="false">IF(AB897&lt;S897,"SIM","NÃO")</f>
        <v>NÃO</v>
      </c>
      <c r="AF897" s="60" t="n">
        <v>2</v>
      </c>
      <c r="AG897" s="60" t="n">
        <v>5</v>
      </c>
      <c r="AH897" s="60" t="s">
        <v>382</v>
      </c>
      <c r="AI897" s="61" t="n">
        <f aca="false">(T897*(1-Painel!$C$40)+U897+V897+Painel!$C$41+Painel!$C$42*CEILING(G897/100,1)+Painel!$C$43*CEILING(G897,1)+Z897)/(1-Resumo!$B$5)</f>
        <v>94.3123522727273</v>
      </c>
      <c r="AJ897" s="60" t="str">
        <f aca="false">IF(AI897&lt;S897,"SIM","NÃO")</f>
        <v>NÃO</v>
      </c>
    </row>
    <row r="898" customFormat="false" ht="15" hidden="false" customHeight="false" outlineLevel="0" collapsed="false">
      <c r="A898" s="59" t="n">
        <v>46245.8988078704</v>
      </c>
      <c r="B898" s="60" t="s">
        <v>1233</v>
      </c>
      <c r="C898" s="60" t="n">
        <v>26562040</v>
      </c>
      <c r="D898" s="60" t="s">
        <v>224</v>
      </c>
      <c r="E898" s="60" t="s">
        <v>23</v>
      </c>
      <c r="F898" s="60" t="s">
        <v>233</v>
      </c>
      <c r="G898" s="60" t="n">
        <v>33.3</v>
      </c>
      <c r="H898" s="61" t="n">
        <v>389.99</v>
      </c>
      <c r="I898" s="61" t="n">
        <v>58.8</v>
      </c>
      <c r="J898" s="61" t="n">
        <f aca="false">H898*Resumo!$C$6</f>
        <v>0</v>
      </c>
      <c r="K898" s="61" t="n">
        <f aca="false">H898*Resumo!$C$7</f>
        <v>0.818979</v>
      </c>
      <c r="L898" s="61" t="n">
        <f aca="false">H898*Resumo!$C$8</f>
        <v>0.818979</v>
      </c>
      <c r="M898" s="61" t="n">
        <f aca="false">Resumo!$C$10*CEILING(G898/100,1)</f>
        <v>1.05</v>
      </c>
      <c r="N898" s="61" t="n">
        <f aca="false">Resumo!$C$9</f>
        <v>0</v>
      </c>
      <c r="O898" s="61" t="n">
        <f aca="false">Resumo!$C$13</f>
        <v>13.55</v>
      </c>
      <c r="P898" s="61" t="n">
        <f aca="false">Resumo!$C$14*CEILING(G898,1)</f>
        <v>15.3</v>
      </c>
      <c r="Q898" s="61" t="n">
        <f aca="false">SUM(I898:P898)*Resumo!$C$11</f>
        <v>0</v>
      </c>
      <c r="R898" s="61" t="n">
        <f aca="false">SUM(I898:Q898)</f>
        <v>90.337958</v>
      </c>
      <c r="S898" s="61" t="n">
        <f aca="false">R898/(1-Resumo!$C$5)</f>
        <v>102.656770454545</v>
      </c>
      <c r="T898" s="61" t="n">
        <v>82.21</v>
      </c>
      <c r="U898" s="61" t="n">
        <f aca="false">H898*Resumo!$B$6</f>
        <v>0.38999</v>
      </c>
      <c r="V898" s="61" t="n">
        <f aca="false">H898*Resumo!$B$7</f>
        <v>0.77998</v>
      </c>
      <c r="W898" s="61" t="n">
        <f aca="false">Resumo!$B$9</f>
        <v>1</v>
      </c>
      <c r="X898" s="61" t="n">
        <f aca="false">Resumo!$B$10*CEILING(G898/100,1)</f>
        <v>4.5</v>
      </c>
      <c r="Y898" s="61" t="n">
        <f aca="false">Resumo!$B$12*CEILING(G898,1)</f>
        <v>2.04</v>
      </c>
      <c r="Z898" s="61" t="n">
        <f aca="false">Resumo!$B$14*CEILING(G898,1)</f>
        <v>15.3</v>
      </c>
      <c r="AA898" s="61" t="n">
        <f aca="false">SUM(T898:Z898)</f>
        <v>106.21997</v>
      </c>
      <c r="AB898" s="61" t="n">
        <f aca="false">AA898/(1-Resumo!$B$5)</f>
        <v>120.704511363636</v>
      </c>
      <c r="AC898" s="61" t="n">
        <f aca="false">AB898-S898</f>
        <v>18.0477409090909</v>
      </c>
      <c r="AD898" s="62" t="n">
        <f aca="false">AB898/S898-1</f>
        <v>0.175806630475309</v>
      </c>
      <c r="AE898" s="60" t="str">
        <f aca="false">IF(AB898&lt;S898,"SIM","NÃO")</f>
        <v>NÃO</v>
      </c>
      <c r="AF898" s="60" t="n">
        <v>2</v>
      </c>
      <c r="AG898" s="60" t="n">
        <v>5</v>
      </c>
      <c r="AH898" s="60" t="s">
        <v>382</v>
      </c>
      <c r="AI898" s="61" t="n">
        <f aca="false">(T898*(1-Painel!$C$40)+U898+V898+Painel!$C$41+Painel!$C$42*CEILING(G898/100,1)+Painel!$C$43*CEILING(G898,1)+Z898)/(1-Resumo!$B$5)</f>
        <v>83.637125</v>
      </c>
      <c r="AJ898" s="60" t="str">
        <f aca="false">IF(AI898&lt;S898,"SIM","NÃO")</f>
        <v>SIM</v>
      </c>
    </row>
    <row r="899" customFormat="false" ht="15" hidden="false" customHeight="false" outlineLevel="0" collapsed="false">
      <c r="A899" s="59" t="n">
        <v>46245.9190277778</v>
      </c>
      <c r="B899" s="60" t="s">
        <v>1234</v>
      </c>
      <c r="C899" s="60" t="n">
        <v>20785342</v>
      </c>
      <c r="D899" s="60" t="s">
        <v>46</v>
      </c>
      <c r="E899" s="60" t="s">
        <v>22</v>
      </c>
      <c r="F899" s="60" t="s">
        <v>236</v>
      </c>
      <c r="G899" s="60" t="n">
        <v>54.1</v>
      </c>
      <c r="H899" s="61" t="n">
        <v>1023.68</v>
      </c>
      <c r="I899" s="61" t="n">
        <v>58.6</v>
      </c>
      <c r="J899" s="61" t="n">
        <f aca="false">H899*Resumo!$C$6</f>
        <v>0</v>
      </c>
      <c r="K899" s="61" t="n">
        <f aca="false">H899*Resumo!$C$7</f>
        <v>2.149728</v>
      </c>
      <c r="L899" s="61" t="n">
        <f aca="false">H899*Resumo!$C$8</f>
        <v>2.149728</v>
      </c>
      <c r="M899" s="61" t="n">
        <f aca="false">Resumo!$C$10*CEILING(G899/100,1)</f>
        <v>1.05</v>
      </c>
      <c r="N899" s="61" t="n">
        <f aca="false">Resumo!$C$9</f>
        <v>0</v>
      </c>
      <c r="O899" s="61" t="n">
        <f aca="false">Resumo!$C$13</f>
        <v>13.55</v>
      </c>
      <c r="P899" s="61" t="n">
        <f aca="false">Resumo!$C$14*CEILING(G899,1)</f>
        <v>24.75</v>
      </c>
      <c r="Q899" s="61" t="n">
        <f aca="false">SUM(I899:P899)*Resumo!$C$11</f>
        <v>0</v>
      </c>
      <c r="R899" s="61" t="n">
        <f aca="false">SUM(I899:Q899)</f>
        <v>102.249456</v>
      </c>
      <c r="S899" s="61" t="n">
        <f aca="false">R899/(1-Resumo!$C$5)</f>
        <v>116.192563636364</v>
      </c>
      <c r="T899" s="61" t="n">
        <v>112.3</v>
      </c>
      <c r="U899" s="61" t="n">
        <f aca="false">H899*Resumo!$B$6</f>
        <v>1.02368</v>
      </c>
      <c r="V899" s="61" t="n">
        <f aca="false">H899*Resumo!$B$7</f>
        <v>2.04736</v>
      </c>
      <c r="W899" s="61" t="n">
        <f aca="false">Resumo!$B$9</f>
        <v>1</v>
      </c>
      <c r="X899" s="61" t="n">
        <f aca="false">Resumo!$B$10*CEILING(G899/100,1)</f>
        <v>4.5</v>
      </c>
      <c r="Y899" s="61" t="n">
        <f aca="false">Resumo!$B$12*CEILING(G899,1)</f>
        <v>3.3</v>
      </c>
      <c r="Z899" s="61" t="n">
        <f aca="false">Resumo!$B$14*CEILING(G899,1)</f>
        <v>24.75</v>
      </c>
      <c r="AA899" s="61" t="n">
        <f aca="false">SUM(T899:Z899)</f>
        <v>148.92104</v>
      </c>
      <c r="AB899" s="61" t="n">
        <f aca="false">AA899/(1-Resumo!$B$5)</f>
        <v>169.228454545455</v>
      </c>
      <c r="AC899" s="61" t="n">
        <f aca="false">AB899-S899</f>
        <v>53.0358909090909</v>
      </c>
      <c r="AD899" s="62" t="n">
        <f aca="false">AB899/S899-1</f>
        <v>0.4564482377295</v>
      </c>
      <c r="AE899" s="60" t="str">
        <f aca="false">IF(AB899&lt;S899,"SIM","NÃO")</f>
        <v>NÃO</v>
      </c>
      <c r="AF899" s="60" t="n">
        <v>2</v>
      </c>
      <c r="AG899" s="60" t="n">
        <v>5</v>
      </c>
      <c r="AH899" s="60" t="s">
        <v>382</v>
      </c>
      <c r="AI899" s="61" t="n">
        <f aca="false">(T899*(1-Painel!$C$40)+U899+V899+Painel!$C$41+Painel!$C$42*CEILING(G899/100,1)+Painel!$C$43*CEILING(G899,1)+Z899)/(1-Resumo!$B$5)</f>
        <v>119.4455</v>
      </c>
      <c r="AJ899" s="60" t="str">
        <f aca="false">IF(AI899&lt;S899,"SIM","NÃO")</f>
        <v>NÃO</v>
      </c>
    </row>
    <row r="900" customFormat="false" ht="15" hidden="false" customHeight="false" outlineLevel="0" collapsed="false">
      <c r="A900" s="59" t="n">
        <v>46245.9232407407</v>
      </c>
      <c r="B900" s="60" t="s">
        <v>1048</v>
      </c>
      <c r="C900" s="60" t="n">
        <v>23092002</v>
      </c>
      <c r="D900" s="60" t="s">
        <v>46</v>
      </c>
      <c r="E900" s="60" t="s">
        <v>22</v>
      </c>
      <c r="F900" s="60" t="s">
        <v>237</v>
      </c>
      <c r="G900" s="60" t="n">
        <v>63</v>
      </c>
      <c r="H900" s="61" t="n">
        <v>671.99</v>
      </c>
      <c r="I900" s="61" t="n">
        <v>63.21</v>
      </c>
      <c r="J900" s="61" t="n">
        <f aca="false">H900*Resumo!$C$6</f>
        <v>0</v>
      </c>
      <c r="K900" s="61" t="n">
        <f aca="false">H900*Resumo!$C$7</f>
        <v>1.411179</v>
      </c>
      <c r="L900" s="61" t="n">
        <f aca="false">H900*Resumo!$C$8</f>
        <v>1.411179</v>
      </c>
      <c r="M900" s="61" t="n">
        <f aca="false">Resumo!$C$10*CEILING(G900/100,1)</f>
        <v>1.05</v>
      </c>
      <c r="N900" s="61" t="n">
        <f aca="false">Resumo!$C$9</f>
        <v>0</v>
      </c>
      <c r="O900" s="61" t="n">
        <f aca="false">Resumo!$C$13</f>
        <v>13.55</v>
      </c>
      <c r="P900" s="61" t="n">
        <f aca="false">Resumo!$C$14*CEILING(G900,1)</f>
        <v>28.35</v>
      </c>
      <c r="Q900" s="61" t="n">
        <f aca="false">SUM(I900:P900)*Resumo!$C$11</f>
        <v>0</v>
      </c>
      <c r="R900" s="61" t="n">
        <f aca="false">SUM(I900:Q900)</f>
        <v>108.982358</v>
      </c>
      <c r="S900" s="61" t="n">
        <f aca="false">R900/(1-Resumo!$C$5)</f>
        <v>123.843588636364</v>
      </c>
      <c r="T900" s="61" t="n">
        <v>131.02</v>
      </c>
      <c r="U900" s="61" t="n">
        <f aca="false">H900*Resumo!$B$6</f>
        <v>0.67199</v>
      </c>
      <c r="V900" s="61" t="n">
        <f aca="false">H900*Resumo!$B$7</f>
        <v>1.34398</v>
      </c>
      <c r="W900" s="61" t="n">
        <f aca="false">Resumo!$B$9</f>
        <v>1</v>
      </c>
      <c r="X900" s="61" t="n">
        <f aca="false">Resumo!$B$10*CEILING(G900/100,1)</f>
        <v>4.5</v>
      </c>
      <c r="Y900" s="61" t="n">
        <f aca="false">Resumo!$B$12*CEILING(G900,1)</f>
        <v>3.78</v>
      </c>
      <c r="Z900" s="61" t="n">
        <f aca="false">Resumo!$B$14*CEILING(G900,1)</f>
        <v>28.35</v>
      </c>
      <c r="AA900" s="61" t="n">
        <f aca="false">SUM(T900:Z900)</f>
        <v>170.66597</v>
      </c>
      <c r="AB900" s="61" t="n">
        <f aca="false">AA900/(1-Resumo!$B$5)</f>
        <v>193.938602272727</v>
      </c>
      <c r="AC900" s="61" t="n">
        <f aca="false">AB900-S900</f>
        <v>70.0950136363636</v>
      </c>
      <c r="AD900" s="62" t="n">
        <f aca="false">AB900/S900-1</f>
        <v>0.565996305567182</v>
      </c>
      <c r="AE900" s="60" t="str">
        <f aca="false">IF(AB900&lt;S900,"SIM","NÃO")</f>
        <v>NÃO</v>
      </c>
      <c r="AF900" s="60" t="n">
        <v>2</v>
      </c>
      <c r="AG900" s="60" t="n">
        <v>5</v>
      </c>
      <c r="AH900" s="60" t="s">
        <v>382</v>
      </c>
      <c r="AI900" s="61" t="n">
        <f aca="false">(T900*(1-Painel!$C$40)+U900+V900+Painel!$C$41+Painel!$C$42*CEILING(G900/100,1)+Painel!$C$43*CEILING(G900,1)+Z900)/(1-Resumo!$B$5)</f>
        <v>136.590193181818</v>
      </c>
      <c r="AJ900" s="60" t="str">
        <f aca="false">IF(AI900&lt;S900,"SIM","NÃO")</f>
        <v>NÃO</v>
      </c>
    </row>
    <row r="901" customFormat="false" ht="15" hidden="false" customHeight="false" outlineLevel="0" collapsed="false">
      <c r="A901" s="59" t="n">
        <v>46245.9305324074</v>
      </c>
      <c r="B901" s="60" t="s">
        <v>1235</v>
      </c>
      <c r="C901" s="60" t="n">
        <v>23585081</v>
      </c>
      <c r="D901" s="60" t="s">
        <v>46</v>
      </c>
      <c r="E901" s="60" t="s">
        <v>22</v>
      </c>
      <c r="F901" s="60" t="s">
        <v>235</v>
      </c>
      <c r="G901" s="60" t="n">
        <v>48</v>
      </c>
      <c r="H901" s="61" t="n">
        <v>815.51</v>
      </c>
      <c r="I901" s="61" t="n">
        <v>53.55</v>
      </c>
      <c r="J901" s="61" t="n">
        <f aca="false">H901*Resumo!$C$6</f>
        <v>0</v>
      </c>
      <c r="K901" s="61" t="n">
        <f aca="false">H901*Resumo!$C$7</f>
        <v>1.712571</v>
      </c>
      <c r="L901" s="61" t="n">
        <f aca="false">H901*Resumo!$C$8</f>
        <v>1.712571</v>
      </c>
      <c r="M901" s="61" t="n">
        <f aca="false">Resumo!$C$10*CEILING(G901/100,1)</f>
        <v>1.05</v>
      </c>
      <c r="N901" s="61" t="n">
        <f aca="false">Resumo!$C$9</f>
        <v>0</v>
      </c>
      <c r="O901" s="61" t="n">
        <f aca="false">Resumo!$C$13</f>
        <v>13.55</v>
      </c>
      <c r="P901" s="61" t="n">
        <f aca="false">Resumo!$C$14*CEILING(G901,1)</f>
        <v>21.6</v>
      </c>
      <c r="Q901" s="61" t="n">
        <f aca="false">SUM(I901:P901)*Resumo!$C$11</f>
        <v>0</v>
      </c>
      <c r="R901" s="61" t="n">
        <f aca="false">SUM(I901:Q901)</f>
        <v>93.175142</v>
      </c>
      <c r="S901" s="61" t="n">
        <f aca="false">R901/(1-Resumo!$C$5)</f>
        <v>105.880843181818</v>
      </c>
      <c r="T901" s="61" t="n">
        <v>93.97</v>
      </c>
      <c r="U901" s="61" t="n">
        <f aca="false">H901*Resumo!$B$6</f>
        <v>0.81551</v>
      </c>
      <c r="V901" s="61" t="n">
        <f aca="false">H901*Resumo!$B$7</f>
        <v>1.63102</v>
      </c>
      <c r="W901" s="61" t="n">
        <f aca="false">Resumo!$B$9</f>
        <v>1</v>
      </c>
      <c r="X901" s="61" t="n">
        <f aca="false">Resumo!$B$10*CEILING(G901/100,1)</f>
        <v>4.5</v>
      </c>
      <c r="Y901" s="61" t="n">
        <f aca="false">Resumo!$B$12*CEILING(G901,1)</f>
        <v>2.88</v>
      </c>
      <c r="Z901" s="61" t="n">
        <f aca="false">Resumo!$B$14*CEILING(G901,1)</f>
        <v>21.6</v>
      </c>
      <c r="AA901" s="61" t="n">
        <f aca="false">SUM(T901:Z901)</f>
        <v>126.39653</v>
      </c>
      <c r="AB901" s="61" t="n">
        <f aca="false">AA901/(1-Resumo!$B$5)</f>
        <v>143.632420454545</v>
      </c>
      <c r="AC901" s="61" t="n">
        <f aca="false">AB901-S901</f>
        <v>37.7515772727273</v>
      </c>
      <c r="AD901" s="62" t="n">
        <f aca="false">AB901/S901-1</f>
        <v>0.356547758199285</v>
      </c>
      <c r="AE901" s="60" t="str">
        <f aca="false">IF(AB901&lt;S901,"SIM","NÃO")</f>
        <v>NÃO</v>
      </c>
      <c r="AF901" s="60" t="n">
        <v>2</v>
      </c>
      <c r="AG901" s="60" t="n">
        <v>5</v>
      </c>
      <c r="AH901" s="60" t="s">
        <v>382</v>
      </c>
      <c r="AI901" s="61" t="n">
        <f aca="false">(T901*(1-Painel!$C$40)+U901+V901+Painel!$C$41+Painel!$C$42*CEILING(G901/100,1)+Painel!$C$43*CEILING(G901,1)+Z901)/(1-Resumo!$B$5)</f>
        <v>101.200488636364</v>
      </c>
      <c r="AJ901" s="60" t="str">
        <f aca="false">IF(AI901&lt;S901,"SIM","NÃO")</f>
        <v>SIM</v>
      </c>
    </row>
    <row r="902" customFormat="false" ht="15" hidden="false" customHeight="false" outlineLevel="0" collapsed="false">
      <c r="A902" s="59" t="n">
        <v>46245.9332060185</v>
      </c>
      <c r="B902" s="60" t="s">
        <v>1236</v>
      </c>
      <c r="C902" s="60" t="n">
        <v>27525847</v>
      </c>
      <c r="D902" s="60" t="s">
        <v>296</v>
      </c>
      <c r="E902" s="60" t="s">
        <v>24</v>
      </c>
      <c r="F902" s="60" t="s">
        <v>241</v>
      </c>
      <c r="G902" s="60" t="n">
        <v>124.2</v>
      </c>
      <c r="H902" s="61" t="n">
        <v>1589.99</v>
      </c>
      <c r="I902" s="61" t="n">
        <v>144.24</v>
      </c>
      <c r="J902" s="61" t="n">
        <f aca="false">H902*Resumo!$C$6</f>
        <v>0</v>
      </c>
      <c r="K902" s="61" t="n">
        <f aca="false">H902*Resumo!$C$7</f>
        <v>3.338979</v>
      </c>
      <c r="L902" s="61" t="n">
        <f aca="false">H902*Resumo!$C$8</f>
        <v>3.338979</v>
      </c>
      <c r="M902" s="61" t="n">
        <f aca="false">Resumo!$C$10*CEILING(G902/100,1)</f>
        <v>2.1</v>
      </c>
      <c r="N902" s="61" t="n">
        <f aca="false">Resumo!$C$9</f>
        <v>0</v>
      </c>
      <c r="O902" s="61" t="n">
        <f aca="false">Resumo!$C$13</f>
        <v>13.55</v>
      </c>
      <c r="P902" s="61" t="n">
        <f aca="false">Resumo!$C$14*CEILING(G902,1)</f>
        <v>56.25</v>
      </c>
      <c r="Q902" s="61" t="n">
        <f aca="false">SUM(I902:P902)*Resumo!$C$11</f>
        <v>0</v>
      </c>
      <c r="R902" s="61" t="n">
        <f aca="false">SUM(I902:Q902)</f>
        <v>222.817958</v>
      </c>
      <c r="S902" s="61" t="n">
        <f aca="false">R902/(1-Resumo!$C$5)</f>
        <v>253.202225</v>
      </c>
      <c r="T902" s="61" t="n">
        <v>264.84</v>
      </c>
      <c r="U902" s="61" t="n">
        <f aca="false">H902*Resumo!$B$6</f>
        <v>1.58999</v>
      </c>
      <c r="V902" s="61" t="n">
        <f aca="false">H902*Resumo!$B$7</f>
        <v>3.17998</v>
      </c>
      <c r="W902" s="61" t="n">
        <f aca="false">Resumo!$B$9</f>
        <v>1</v>
      </c>
      <c r="X902" s="61" t="n">
        <f aca="false">Resumo!$B$10*CEILING(G902/100,1)</f>
        <v>9</v>
      </c>
      <c r="Y902" s="61" t="n">
        <f aca="false">Resumo!$B$12*CEILING(G902,1)</f>
        <v>7.5</v>
      </c>
      <c r="Z902" s="61" t="n">
        <f aca="false">Resumo!$B$14*CEILING(G902,1)</f>
        <v>56.25</v>
      </c>
      <c r="AA902" s="61" t="n">
        <f aca="false">SUM(T902:Z902)</f>
        <v>343.35997</v>
      </c>
      <c r="AB902" s="61" t="n">
        <f aca="false">AA902/(1-Resumo!$B$5)</f>
        <v>390.181784090909</v>
      </c>
      <c r="AC902" s="61" t="n">
        <f aca="false">AB902-S902</f>
        <v>136.979559090909</v>
      </c>
      <c r="AD902" s="62" t="n">
        <f aca="false">AB902/S902-1</f>
        <v>0.540988765366928</v>
      </c>
      <c r="AE902" s="60" t="str">
        <f aca="false">IF(AB902&lt;S902,"SIM","NÃO")</f>
        <v>NÃO</v>
      </c>
      <c r="AF902" s="60" t="n">
        <v>13</v>
      </c>
      <c r="AG902" s="60" t="n">
        <v>10</v>
      </c>
      <c r="AH902" s="60" t="s">
        <v>385</v>
      </c>
      <c r="AI902" s="61" t="n">
        <f aca="false">(T902*(1-Painel!$C$40)+U902+V902+Painel!$C$41+Painel!$C$42*CEILING(G902/100,1)+Painel!$C$43*CEILING(G902,1)+Z902)/(1-Resumo!$B$5)</f>
        <v>274.503147727273</v>
      </c>
      <c r="AJ902" s="60" t="str">
        <f aca="false">IF(AI902&lt;S902,"SIM","NÃO")</f>
        <v>NÃO</v>
      </c>
    </row>
    <row r="903" customFormat="false" ht="15" hidden="false" customHeight="false" outlineLevel="0" collapsed="false">
      <c r="A903" s="59" t="n">
        <v>46245.9411805556</v>
      </c>
      <c r="B903" s="60" t="s">
        <v>1237</v>
      </c>
      <c r="C903" s="60" t="n">
        <v>23935080</v>
      </c>
      <c r="D903" s="60" t="s">
        <v>218</v>
      </c>
      <c r="E903" s="60" t="s">
        <v>24</v>
      </c>
      <c r="F903" s="60" t="s">
        <v>235</v>
      </c>
      <c r="G903" s="60" t="n">
        <v>44.5</v>
      </c>
      <c r="H903" s="61" t="n">
        <v>726.99</v>
      </c>
      <c r="I903" s="61" t="n">
        <v>77.7</v>
      </c>
      <c r="J903" s="61" t="n">
        <f aca="false">H903*Resumo!$C$6</f>
        <v>0</v>
      </c>
      <c r="K903" s="61" t="n">
        <f aca="false">H903*Resumo!$C$7</f>
        <v>1.526679</v>
      </c>
      <c r="L903" s="61" t="n">
        <f aca="false">H903*Resumo!$C$8</f>
        <v>1.526679</v>
      </c>
      <c r="M903" s="61" t="n">
        <f aca="false">Resumo!$C$10*CEILING(G903/100,1)</f>
        <v>1.05</v>
      </c>
      <c r="N903" s="61" t="n">
        <f aca="false">Resumo!$C$9</f>
        <v>0</v>
      </c>
      <c r="O903" s="61" t="n">
        <f aca="false">Resumo!$C$13</f>
        <v>13.55</v>
      </c>
      <c r="P903" s="61" t="n">
        <f aca="false">Resumo!$C$14*CEILING(G903,1)</f>
        <v>20.25</v>
      </c>
      <c r="Q903" s="61" t="n">
        <f aca="false">SUM(I903:P903)*Resumo!$C$11</f>
        <v>0</v>
      </c>
      <c r="R903" s="61" t="n">
        <f aca="false">SUM(I903:Q903)</f>
        <v>115.603358</v>
      </c>
      <c r="S903" s="61" t="n">
        <f aca="false">R903/(1-Resumo!$C$5)</f>
        <v>131.367452272727</v>
      </c>
      <c r="T903" s="61" t="n">
        <v>124.38</v>
      </c>
      <c r="U903" s="61" t="n">
        <f aca="false">H903*Resumo!$B$6</f>
        <v>0.72699</v>
      </c>
      <c r="V903" s="61" t="n">
        <f aca="false">H903*Resumo!$B$7</f>
        <v>1.45398</v>
      </c>
      <c r="W903" s="61" t="n">
        <f aca="false">Resumo!$B$9</f>
        <v>1</v>
      </c>
      <c r="X903" s="61" t="n">
        <f aca="false">Resumo!$B$10*CEILING(G903/100,1)</f>
        <v>4.5</v>
      </c>
      <c r="Y903" s="61" t="n">
        <f aca="false">Resumo!$B$12*CEILING(G903,1)</f>
        <v>2.7</v>
      </c>
      <c r="Z903" s="61" t="n">
        <f aca="false">Resumo!$B$14*CEILING(G903,1)</f>
        <v>20.25</v>
      </c>
      <c r="AA903" s="61" t="n">
        <f aca="false">SUM(T903:Z903)</f>
        <v>155.01097</v>
      </c>
      <c r="AB903" s="61" t="n">
        <f aca="false">AA903/(1-Resumo!$B$5)</f>
        <v>176.148829545455</v>
      </c>
      <c r="AC903" s="61" t="n">
        <f aca="false">AB903-S903</f>
        <v>44.7813772727273</v>
      </c>
      <c r="AD903" s="62" t="n">
        <f aca="false">AB903/S903-1</f>
        <v>0.340886395358861</v>
      </c>
      <c r="AE903" s="60" t="str">
        <f aca="false">IF(AB903&lt;S903,"SIM","NÃO")</f>
        <v>NÃO</v>
      </c>
      <c r="AF903" s="60" t="n">
        <v>13</v>
      </c>
      <c r="AG903" s="60" t="n">
        <v>10</v>
      </c>
      <c r="AH903" s="60" t="s">
        <v>382</v>
      </c>
      <c r="AI903" s="61" t="n">
        <f aca="false">(T903*(1-Painel!$C$40)+U903+V903+Painel!$C$41+Painel!$C$42*CEILING(G903/100,1)+Painel!$C$43*CEILING(G903,1)+Z903)/(1-Resumo!$B$5)</f>
        <v>122.517693181818</v>
      </c>
      <c r="AJ903" s="60" t="str">
        <f aca="false">IF(AI903&lt;S903,"SIM","NÃO")</f>
        <v>SIM</v>
      </c>
    </row>
    <row r="904" customFormat="false" ht="15" hidden="false" customHeight="false" outlineLevel="0" collapsed="false">
      <c r="A904" s="59" t="n">
        <v>46245.9437847222</v>
      </c>
      <c r="B904" s="60" t="s">
        <v>1238</v>
      </c>
      <c r="C904" s="60" t="n">
        <v>24856232</v>
      </c>
      <c r="D904" s="60" t="s">
        <v>223</v>
      </c>
      <c r="E904" s="60" t="s">
        <v>24</v>
      </c>
      <c r="F904" s="60" t="s">
        <v>235</v>
      </c>
      <c r="G904" s="60" t="n">
        <v>44.5</v>
      </c>
      <c r="H904" s="61" t="n">
        <v>726.99</v>
      </c>
      <c r="I904" s="61" t="n">
        <v>77.7</v>
      </c>
      <c r="J904" s="61" t="n">
        <f aca="false">H904*Resumo!$C$6</f>
        <v>0</v>
      </c>
      <c r="K904" s="61" t="n">
        <f aca="false">H904*Resumo!$C$7</f>
        <v>1.526679</v>
      </c>
      <c r="L904" s="61" t="n">
        <f aca="false">H904*Resumo!$C$8</f>
        <v>1.526679</v>
      </c>
      <c r="M904" s="61" t="n">
        <f aca="false">Resumo!$C$10*CEILING(G904/100,1)</f>
        <v>1.05</v>
      </c>
      <c r="N904" s="61" t="n">
        <f aca="false">Resumo!$C$9</f>
        <v>0</v>
      </c>
      <c r="O904" s="61" t="n">
        <f aca="false">Resumo!$C$13</f>
        <v>13.55</v>
      </c>
      <c r="P904" s="61" t="n">
        <f aca="false">Resumo!$C$14*CEILING(G904,1)</f>
        <v>20.25</v>
      </c>
      <c r="Q904" s="61" t="n">
        <f aca="false">SUM(I904:P904)*Resumo!$C$11</f>
        <v>0</v>
      </c>
      <c r="R904" s="61" t="n">
        <f aca="false">SUM(I904:Q904)</f>
        <v>115.603358</v>
      </c>
      <c r="S904" s="61" t="n">
        <f aca="false">R904/(1-Resumo!$C$5)</f>
        <v>131.367452272727</v>
      </c>
      <c r="T904" s="61" t="n">
        <v>114.95</v>
      </c>
      <c r="U904" s="61" t="n">
        <f aca="false">H904*Resumo!$B$6</f>
        <v>0.72699</v>
      </c>
      <c r="V904" s="61" t="n">
        <f aca="false">H904*Resumo!$B$7</f>
        <v>1.45398</v>
      </c>
      <c r="W904" s="61" t="n">
        <f aca="false">Resumo!$B$9</f>
        <v>1</v>
      </c>
      <c r="X904" s="61" t="n">
        <f aca="false">Resumo!$B$10*CEILING(G904/100,1)</f>
        <v>4.5</v>
      </c>
      <c r="Y904" s="61" t="n">
        <f aca="false">Resumo!$B$12*CEILING(G904,1)</f>
        <v>2.7</v>
      </c>
      <c r="Z904" s="61" t="n">
        <f aca="false">Resumo!$B$14*CEILING(G904,1)</f>
        <v>20.25</v>
      </c>
      <c r="AA904" s="61" t="n">
        <f aca="false">SUM(T904:Z904)</f>
        <v>145.58097</v>
      </c>
      <c r="AB904" s="61" t="n">
        <f aca="false">AA904/(1-Resumo!$B$5)</f>
        <v>165.432920454545</v>
      </c>
      <c r="AC904" s="61" t="n">
        <f aca="false">AB904-S904</f>
        <v>34.0654681818182</v>
      </c>
      <c r="AD904" s="62" t="n">
        <f aca="false">AB904/S904-1</f>
        <v>0.259314370435503</v>
      </c>
      <c r="AE904" s="60" t="str">
        <f aca="false">IF(AB904&lt;S904,"SIM","NÃO")</f>
        <v>NÃO</v>
      </c>
      <c r="AF904" s="60" t="n">
        <v>13</v>
      </c>
      <c r="AG904" s="60" t="n">
        <v>7</v>
      </c>
      <c r="AH904" s="60" t="s">
        <v>382</v>
      </c>
      <c r="AI904" s="61" t="n">
        <f aca="false">(T904*(1-Painel!$C$40)+U904+V904+Painel!$C$41+Painel!$C$42*CEILING(G904/100,1)+Painel!$C$43*CEILING(G904,1)+Z904)/(1-Resumo!$B$5)</f>
        <v>115.338034090909</v>
      </c>
      <c r="AJ904" s="60" t="str">
        <f aca="false">IF(AI904&lt;S904,"SIM","NÃO")</f>
        <v>SIM</v>
      </c>
    </row>
    <row r="905" customFormat="false" ht="15" hidden="false" customHeight="false" outlineLevel="0" collapsed="false">
      <c r="A905" s="59" t="n">
        <v>46245.9862615741</v>
      </c>
      <c r="B905" s="60" t="s">
        <v>1239</v>
      </c>
      <c r="C905" s="60" t="n">
        <v>25620002</v>
      </c>
      <c r="D905" s="60" t="s">
        <v>219</v>
      </c>
      <c r="E905" s="60" t="s">
        <v>24</v>
      </c>
      <c r="F905" s="60" t="s">
        <v>237</v>
      </c>
      <c r="G905" s="60" t="n">
        <v>69</v>
      </c>
      <c r="H905" s="61" t="n">
        <v>779.99</v>
      </c>
      <c r="I905" s="61" t="n">
        <v>90.2</v>
      </c>
      <c r="J905" s="61" t="n">
        <f aca="false">H905*Resumo!$C$6</f>
        <v>0</v>
      </c>
      <c r="K905" s="61" t="n">
        <f aca="false">H905*Resumo!$C$7</f>
        <v>1.637979</v>
      </c>
      <c r="L905" s="61" t="n">
        <f aca="false">H905*Resumo!$C$8</f>
        <v>1.637979</v>
      </c>
      <c r="M905" s="61" t="n">
        <f aca="false">Resumo!$C$10*CEILING(G905/100,1)</f>
        <v>1.05</v>
      </c>
      <c r="N905" s="61" t="n">
        <f aca="false">Resumo!$C$9</f>
        <v>0</v>
      </c>
      <c r="O905" s="61" t="n">
        <f aca="false">Resumo!$C$13</f>
        <v>13.55</v>
      </c>
      <c r="P905" s="61" t="n">
        <f aca="false">Resumo!$C$14*CEILING(G905,1)</f>
        <v>31.05</v>
      </c>
      <c r="Q905" s="61" t="n">
        <f aca="false">SUM(I905:P905)*Resumo!$C$11</f>
        <v>0</v>
      </c>
      <c r="R905" s="61" t="n">
        <f aca="false">SUM(I905:Q905)</f>
        <v>139.125958</v>
      </c>
      <c r="S905" s="61" t="n">
        <f aca="false">R905/(1-Resumo!$C$5)</f>
        <v>158.097679545455</v>
      </c>
      <c r="T905" s="61" t="n">
        <v>166.05</v>
      </c>
      <c r="U905" s="61" t="n">
        <f aca="false">H905*Resumo!$B$6</f>
        <v>0.77999</v>
      </c>
      <c r="V905" s="61" t="n">
        <f aca="false">H905*Resumo!$B$7</f>
        <v>1.55998</v>
      </c>
      <c r="W905" s="61" t="n">
        <f aca="false">Resumo!$B$9</f>
        <v>1</v>
      </c>
      <c r="X905" s="61" t="n">
        <f aca="false">Resumo!$B$10*CEILING(G905/100,1)</f>
        <v>4.5</v>
      </c>
      <c r="Y905" s="61" t="n">
        <f aca="false">Resumo!$B$12*CEILING(G905,1)</f>
        <v>4.14</v>
      </c>
      <c r="Z905" s="61" t="n">
        <f aca="false">Resumo!$B$14*CEILING(G905,1)</f>
        <v>31.05</v>
      </c>
      <c r="AA905" s="61" t="n">
        <f aca="false">SUM(T905:Z905)</f>
        <v>209.07997</v>
      </c>
      <c r="AB905" s="61" t="n">
        <f aca="false">AA905/(1-Resumo!$B$5)</f>
        <v>237.590875</v>
      </c>
      <c r="AC905" s="61" t="n">
        <f aca="false">AB905-S905</f>
        <v>79.4931954545455</v>
      </c>
      <c r="AD905" s="62" t="n">
        <f aca="false">AB905/S905-1</f>
        <v>0.502810640125116</v>
      </c>
      <c r="AE905" s="60" t="str">
        <f aca="false">IF(AB905&lt;S905,"SIM","NÃO")</f>
        <v>NÃO</v>
      </c>
      <c r="AF905" s="60" t="n">
        <v>13</v>
      </c>
      <c r="AG905" s="60" t="n">
        <v>8</v>
      </c>
      <c r="AH905" s="60" t="s">
        <v>382</v>
      </c>
      <c r="AI905" s="61" t="n">
        <f aca="false">(T905*(1-Painel!$C$40)+U905+V905+Painel!$C$41+Painel!$C$42*CEILING(G905/100,1)+Painel!$C$43*CEILING(G905,1)+Z905)/(1-Resumo!$B$5)</f>
        <v>166.697125</v>
      </c>
      <c r="AJ905" s="60" t="str">
        <f aca="false">IF(AI905&lt;S905,"SIM","NÃO")</f>
        <v>NÃO</v>
      </c>
    </row>
    <row r="906" customFormat="false" ht="15" hidden="false" customHeight="false" outlineLevel="0" collapsed="false">
      <c r="A906" s="59" t="n">
        <v>46246.0246296296</v>
      </c>
      <c r="B906" s="60" t="s">
        <v>1240</v>
      </c>
      <c r="C906" s="60" t="n">
        <v>22763550</v>
      </c>
      <c r="D906" s="60" t="s">
        <v>46</v>
      </c>
      <c r="E906" s="60" t="s">
        <v>22</v>
      </c>
      <c r="F906" s="60" t="s">
        <v>232</v>
      </c>
      <c r="G906" s="60" t="n">
        <v>19.5</v>
      </c>
      <c r="H906" s="61" t="n">
        <v>379.99</v>
      </c>
      <c r="I906" s="61" t="n">
        <v>33.42</v>
      </c>
      <c r="J906" s="61" t="n">
        <f aca="false">H906*Resumo!$C$6</f>
        <v>0</v>
      </c>
      <c r="K906" s="61" t="n">
        <f aca="false">H906*Resumo!$C$7</f>
        <v>0.797979</v>
      </c>
      <c r="L906" s="61" t="n">
        <f aca="false">H906*Resumo!$C$8</f>
        <v>0.797979</v>
      </c>
      <c r="M906" s="61" t="n">
        <f aca="false">Resumo!$C$10*CEILING(G906/100,1)</f>
        <v>1.05</v>
      </c>
      <c r="N906" s="61" t="n">
        <f aca="false">Resumo!$C$9</f>
        <v>0</v>
      </c>
      <c r="O906" s="61" t="n">
        <f aca="false">Resumo!$C$13</f>
        <v>13.55</v>
      </c>
      <c r="P906" s="61" t="n">
        <f aca="false">Resumo!$C$14*CEILING(G906,1)</f>
        <v>9</v>
      </c>
      <c r="Q906" s="61" t="n">
        <f aca="false">SUM(I906:P906)*Resumo!$C$11</f>
        <v>0</v>
      </c>
      <c r="R906" s="61" t="n">
        <f aca="false">SUM(I906:Q906)</f>
        <v>58.615958</v>
      </c>
      <c r="S906" s="61" t="n">
        <f aca="false">R906/(1-Resumo!$C$5)</f>
        <v>66.6090431818182</v>
      </c>
      <c r="T906" s="61" t="n">
        <v>46.98</v>
      </c>
      <c r="U906" s="61" t="n">
        <f aca="false">H906*Resumo!$B$6</f>
        <v>0.37999</v>
      </c>
      <c r="V906" s="61" t="n">
        <f aca="false">H906*Resumo!$B$7</f>
        <v>0.75998</v>
      </c>
      <c r="W906" s="61" t="n">
        <f aca="false">Resumo!$B$9</f>
        <v>1</v>
      </c>
      <c r="X906" s="61" t="n">
        <f aca="false">Resumo!$B$10*CEILING(G906/100,1)</f>
        <v>4.5</v>
      </c>
      <c r="Y906" s="61" t="n">
        <f aca="false">Resumo!$B$12*CEILING(G906,1)</f>
        <v>1.2</v>
      </c>
      <c r="Z906" s="61" t="n">
        <f aca="false">Resumo!$B$14*CEILING(G906,1)</f>
        <v>9</v>
      </c>
      <c r="AA906" s="61" t="n">
        <f aca="false">SUM(T906:Z906)</f>
        <v>63.81997</v>
      </c>
      <c r="AB906" s="61" t="n">
        <f aca="false">AA906/(1-Resumo!$B$5)</f>
        <v>72.5226931818182</v>
      </c>
      <c r="AC906" s="61" t="n">
        <f aca="false">AB906-S906</f>
        <v>5.91365</v>
      </c>
      <c r="AD906" s="62" t="n">
        <f aca="false">AB906/S906-1</f>
        <v>0.0887814884813449</v>
      </c>
      <c r="AE906" s="60" t="str">
        <f aca="false">IF(AB906&lt;S906,"SIM","NÃO")</f>
        <v>NÃO</v>
      </c>
      <c r="AF906" s="60" t="n">
        <v>2</v>
      </c>
      <c r="AG906" s="60" t="n">
        <v>5</v>
      </c>
      <c r="AH906" s="60" t="s">
        <v>382</v>
      </c>
      <c r="AI906" s="61" t="n">
        <f aca="false">(T906*(1-Painel!$C$40)+U906+V906+Painel!$C$41+Painel!$C$42*CEILING(G906/100,1)+Painel!$C$43*CEILING(G906,1)+Z906)/(1-Resumo!$B$5)</f>
        <v>49.6211022727273</v>
      </c>
      <c r="AJ906" s="60" t="str">
        <f aca="false">IF(AI906&lt;S906,"SIM","NÃO")</f>
        <v>SIM</v>
      </c>
    </row>
    <row r="907" customFormat="false" ht="15" hidden="false" customHeight="false" outlineLevel="0" collapsed="false">
      <c r="A907" s="59" t="n">
        <v>46246.0421296296</v>
      </c>
      <c r="B907" s="60" t="s">
        <v>1241</v>
      </c>
      <c r="C907" s="60" t="n">
        <v>22753340</v>
      </c>
      <c r="D907" s="60" t="s">
        <v>46</v>
      </c>
      <c r="E907" s="60" t="s">
        <v>22</v>
      </c>
      <c r="F907" s="60" t="s">
        <v>234</v>
      </c>
      <c r="G907" s="60" t="n">
        <v>36.8</v>
      </c>
      <c r="H907" s="61" t="n">
        <v>439.99</v>
      </c>
      <c r="I907" s="61" t="n">
        <v>48.35</v>
      </c>
      <c r="J907" s="61" t="n">
        <f aca="false">H907*Resumo!$C$6</f>
        <v>0</v>
      </c>
      <c r="K907" s="61" t="n">
        <f aca="false">H907*Resumo!$C$7</f>
        <v>0.923979</v>
      </c>
      <c r="L907" s="61" t="n">
        <f aca="false">H907*Resumo!$C$8</f>
        <v>0.923979</v>
      </c>
      <c r="M907" s="61" t="n">
        <f aca="false">Resumo!$C$10*CEILING(G907/100,1)</f>
        <v>1.05</v>
      </c>
      <c r="N907" s="61" t="n">
        <f aca="false">Resumo!$C$9</f>
        <v>0</v>
      </c>
      <c r="O907" s="61" t="n">
        <f aca="false">Resumo!$C$13</f>
        <v>13.55</v>
      </c>
      <c r="P907" s="61" t="n">
        <f aca="false">Resumo!$C$14*CEILING(G907,1)</f>
        <v>16.65</v>
      </c>
      <c r="Q907" s="61" t="n">
        <f aca="false">SUM(I907:P907)*Resumo!$C$11</f>
        <v>0</v>
      </c>
      <c r="R907" s="61" t="n">
        <f aca="false">SUM(I907:Q907)</f>
        <v>81.447958</v>
      </c>
      <c r="S907" s="61" t="n">
        <f aca="false">R907/(1-Resumo!$C$5)</f>
        <v>92.5544977272728</v>
      </c>
      <c r="T907" s="61" t="n">
        <v>93.97</v>
      </c>
      <c r="U907" s="61" t="n">
        <f aca="false">H907*Resumo!$B$6</f>
        <v>0.43999</v>
      </c>
      <c r="V907" s="61" t="n">
        <f aca="false">H907*Resumo!$B$7</f>
        <v>0.87998</v>
      </c>
      <c r="W907" s="61" t="n">
        <f aca="false">Resumo!$B$9</f>
        <v>1</v>
      </c>
      <c r="X907" s="61" t="n">
        <f aca="false">Resumo!$B$10*CEILING(G907/100,1)</f>
        <v>4.5</v>
      </c>
      <c r="Y907" s="61" t="n">
        <f aca="false">Resumo!$B$12*CEILING(G907,1)</f>
        <v>2.22</v>
      </c>
      <c r="Z907" s="61" t="n">
        <f aca="false">Resumo!$B$14*CEILING(G907,1)</f>
        <v>16.65</v>
      </c>
      <c r="AA907" s="61" t="n">
        <f aca="false">SUM(T907:Z907)</f>
        <v>119.65997</v>
      </c>
      <c r="AB907" s="61" t="n">
        <f aca="false">AA907/(1-Resumo!$B$5)</f>
        <v>135.977238636364</v>
      </c>
      <c r="AC907" s="61" t="n">
        <f aca="false">AB907-S907</f>
        <v>43.4227409090909</v>
      </c>
      <c r="AD907" s="62" t="n">
        <f aca="false">AB907/S907-1</f>
        <v>0.469158625192297</v>
      </c>
      <c r="AE907" s="60" t="str">
        <f aca="false">IF(AB907&lt;S907,"SIM","NÃO")</f>
        <v>NÃO</v>
      </c>
      <c r="AF907" s="60" t="n">
        <v>2</v>
      </c>
      <c r="AG907" s="60" t="n">
        <v>5</v>
      </c>
      <c r="AH907" s="60" t="s">
        <v>382</v>
      </c>
      <c r="AI907" s="61" t="n">
        <f aca="false">(T907*(1-Painel!$C$40)+U907+V907+Painel!$C$41+Painel!$C$42*CEILING(G907/100,1)+Painel!$C$43*CEILING(G907,1)+Z907)/(1-Resumo!$B$5)</f>
        <v>94.2953068181818</v>
      </c>
      <c r="AJ907" s="60" t="str">
        <f aca="false">IF(AI907&lt;S907,"SIM","NÃO")</f>
        <v>NÃO</v>
      </c>
    </row>
    <row r="908" customFormat="false" ht="15" hidden="false" customHeight="false" outlineLevel="0" collapsed="false">
      <c r="A908" s="59" t="n">
        <v>46246.3245138889</v>
      </c>
      <c r="B908" s="60" t="s">
        <v>1242</v>
      </c>
      <c r="C908" s="60" t="n">
        <v>21670450</v>
      </c>
      <c r="D908" s="60" t="s">
        <v>46</v>
      </c>
      <c r="E908" s="60" t="s">
        <v>22</v>
      </c>
      <c r="F908" s="60" t="s">
        <v>237</v>
      </c>
      <c r="G908" s="60" t="n">
        <v>66.8</v>
      </c>
      <c r="H908" s="61" t="n">
        <v>699.99</v>
      </c>
      <c r="I908" s="61" t="n">
        <v>63.21</v>
      </c>
      <c r="J908" s="61" t="n">
        <f aca="false">H908*Resumo!$C$6</f>
        <v>0</v>
      </c>
      <c r="K908" s="61" t="n">
        <f aca="false">H908*Resumo!$C$7</f>
        <v>1.469979</v>
      </c>
      <c r="L908" s="61" t="n">
        <f aca="false">H908*Resumo!$C$8</f>
        <v>1.469979</v>
      </c>
      <c r="M908" s="61" t="n">
        <f aca="false">Resumo!$C$10*CEILING(G908/100,1)</f>
        <v>1.05</v>
      </c>
      <c r="N908" s="61" t="n">
        <f aca="false">Resumo!$C$9</f>
        <v>0</v>
      </c>
      <c r="O908" s="61" t="n">
        <f aca="false">Resumo!$C$13</f>
        <v>13.55</v>
      </c>
      <c r="P908" s="61" t="n">
        <f aca="false">Resumo!$C$14*CEILING(G908,1)</f>
        <v>30.15</v>
      </c>
      <c r="Q908" s="61" t="n">
        <f aca="false">SUM(I908:P908)*Resumo!$C$11</f>
        <v>0</v>
      </c>
      <c r="R908" s="61" t="n">
        <f aca="false">SUM(I908:Q908)</f>
        <v>110.899958</v>
      </c>
      <c r="S908" s="61" t="n">
        <f aca="false">R908/(1-Resumo!$C$5)</f>
        <v>126.022679545455</v>
      </c>
      <c r="T908" s="61" t="n">
        <v>131.02</v>
      </c>
      <c r="U908" s="61" t="n">
        <f aca="false">H908*Resumo!$B$6</f>
        <v>0.69999</v>
      </c>
      <c r="V908" s="61" t="n">
        <f aca="false">H908*Resumo!$B$7</f>
        <v>1.39998</v>
      </c>
      <c r="W908" s="61" t="n">
        <f aca="false">Resumo!$B$9</f>
        <v>1</v>
      </c>
      <c r="X908" s="61" t="n">
        <f aca="false">Resumo!$B$10*CEILING(G908/100,1)</f>
        <v>4.5</v>
      </c>
      <c r="Y908" s="61" t="n">
        <f aca="false">Resumo!$B$12*CEILING(G908,1)</f>
        <v>4.02</v>
      </c>
      <c r="Z908" s="61" t="n">
        <f aca="false">Resumo!$B$14*CEILING(G908,1)</f>
        <v>30.15</v>
      </c>
      <c r="AA908" s="61" t="n">
        <f aca="false">SUM(T908:Z908)</f>
        <v>172.78997</v>
      </c>
      <c r="AB908" s="61" t="n">
        <f aca="false">AA908/(1-Resumo!$B$5)</f>
        <v>196.352238636364</v>
      </c>
      <c r="AC908" s="61" t="n">
        <f aca="false">AB908-S908</f>
        <v>70.3295590909091</v>
      </c>
      <c r="AD908" s="62" t="n">
        <f aca="false">AB908/S908-1</f>
        <v>0.558070653191771</v>
      </c>
      <c r="AE908" s="60" t="str">
        <f aca="false">IF(AB908&lt;S908,"SIM","NÃO")</f>
        <v>NÃO</v>
      </c>
      <c r="AF908" s="60" t="n">
        <v>2</v>
      </c>
      <c r="AG908" s="60" t="n">
        <v>5</v>
      </c>
      <c r="AH908" s="60" t="s">
        <v>382</v>
      </c>
      <c r="AI908" s="61" t="n">
        <f aca="false">(T908*(1-Painel!$C$40)+U908+V908+Painel!$C$41+Painel!$C$42*CEILING(G908/100,1)+Painel!$C$43*CEILING(G908,1)+Z908)/(1-Resumo!$B$5)</f>
        <v>138.731102272727</v>
      </c>
      <c r="AJ908" s="60" t="str">
        <f aca="false">IF(AI908&lt;S908,"SIM","NÃO")</f>
        <v>NÃO</v>
      </c>
    </row>
    <row r="909" customFormat="false" ht="15" hidden="false" customHeight="false" outlineLevel="0" collapsed="false">
      <c r="A909" s="59" t="n">
        <v>46246.3423032407</v>
      </c>
      <c r="B909" s="60" t="s">
        <v>1243</v>
      </c>
      <c r="C909" s="60" t="n">
        <v>26587310</v>
      </c>
      <c r="D909" s="60" t="s">
        <v>224</v>
      </c>
      <c r="E909" s="60" t="s">
        <v>23</v>
      </c>
      <c r="F909" s="60" t="s">
        <v>235</v>
      </c>
      <c r="G909" s="60" t="n">
        <v>45</v>
      </c>
      <c r="H909" s="61" t="n">
        <v>531.42</v>
      </c>
      <c r="I909" s="61" t="n">
        <v>65.36</v>
      </c>
      <c r="J909" s="61" t="n">
        <f aca="false">H909*Resumo!$C$6</f>
        <v>0</v>
      </c>
      <c r="K909" s="61" t="n">
        <f aca="false">H909*Resumo!$C$7</f>
        <v>1.115982</v>
      </c>
      <c r="L909" s="61" t="n">
        <f aca="false">H909*Resumo!$C$8</f>
        <v>1.115982</v>
      </c>
      <c r="M909" s="61" t="n">
        <f aca="false">Resumo!$C$10*CEILING(G909/100,1)</f>
        <v>1.05</v>
      </c>
      <c r="N909" s="61" t="n">
        <f aca="false">Resumo!$C$9</f>
        <v>0</v>
      </c>
      <c r="O909" s="61" t="n">
        <f aca="false">Resumo!$C$13</f>
        <v>13.55</v>
      </c>
      <c r="P909" s="61" t="n">
        <f aca="false">Resumo!$C$14*CEILING(G909,1)</f>
        <v>20.25</v>
      </c>
      <c r="Q909" s="61" t="n">
        <f aca="false">SUM(I909:P909)*Resumo!$C$11</f>
        <v>0</v>
      </c>
      <c r="R909" s="61" t="n">
        <f aca="false">SUM(I909:Q909)</f>
        <v>102.441964</v>
      </c>
      <c r="S909" s="61" t="n">
        <f aca="false">R909/(1-Resumo!$C$5)</f>
        <v>116.411322727273</v>
      </c>
      <c r="T909" s="61" t="n">
        <v>93.97</v>
      </c>
      <c r="U909" s="61" t="n">
        <f aca="false">H909*Resumo!$B$6</f>
        <v>0.53142</v>
      </c>
      <c r="V909" s="61" t="n">
        <f aca="false">H909*Resumo!$B$7</f>
        <v>1.06284</v>
      </c>
      <c r="W909" s="61" t="n">
        <f aca="false">Resumo!$B$9</f>
        <v>1</v>
      </c>
      <c r="X909" s="61" t="n">
        <f aca="false">Resumo!$B$10*CEILING(G909/100,1)</f>
        <v>4.5</v>
      </c>
      <c r="Y909" s="61" t="n">
        <f aca="false">Resumo!$B$12*CEILING(G909,1)</f>
        <v>2.7</v>
      </c>
      <c r="Z909" s="61" t="n">
        <f aca="false">Resumo!$B$14*CEILING(G909,1)</f>
        <v>20.25</v>
      </c>
      <c r="AA909" s="61" t="n">
        <f aca="false">SUM(T909:Z909)</f>
        <v>124.01426</v>
      </c>
      <c r="AB909" s="61" t="n">
        <f aca="false">AA909/(1-Resumo!$B$5)</f>
        <v>140.925295454545</v>
      </c>
      <c r="AC909" s="61" t="n">
        <f aca="false">AB909-S909</f>
        <v>24.5139727272727</v>
      </c>
      <c r="AD909" s="62" t="n">
        <f aca="false">AB909/S909-1</f>
        <v>0.210580656184999</v>
      </c>
      <c r="AE909" s="60" t="str">
        <f aca="false">IF(AB909&lt;S909,"SIM","NÃO")</f>
        <v>NÃO</v>
      </c>
      <c r="AF909" s="60" t="n">
        <v>2</v>
      </c>
      <c r="AG909" s="60" t="n">
        <v>5</v>
      </c>
      <c r="AH909" s="60" t="s">
        <v>382</v>
      </c>
      <c r="AI909" s="61" t="n">
        <f aca="false">(T909*(1-Painel!$C$40)+U909+V909+Painel!$C$41+Painel!$C$42*CEILING(G909/100,1)+Painel!$C$43*CEILING(G909,1)+Z909)/(1-Resumo!$B$5)</f>
        <v>98.6979090909091</v>
      </c>
      <c r="AJ909" s="60" t="str">
        <f aca="false">IF(AI909&lt;S909,"SIM","NÃO")</f>
        <v>SIM</v>
      </c>
    </row>
    <row r="910" customFormat="false" ht="15" hidden="false" customHeight="false" outlineLevel="0" collapsed="false">
      <c r="A910" s="59" t="n">
        <v>46246.3446527778</v>
      </c>
      <c r="B910" s="60" t="s">
        <v>1244</v>
      </c>
      <c r="C910" s="60" t="n">
        <v>23058070</v>
      </c>
      <c r="D910" s="60" t="s">
        <v>46</v>
      </c>
      <c r="E910" s="60" t="s">
        <v>22</v>
      </c>
      <c r="F910" s="60" t="s">
        <v>233</v>
      </c>
      <c r="G910" s="60" t="n">
        <v>30.5</v>
      </c>
      <c r="H910" s="61" t="n">
        <v>439.99</v>
      </c>
      <c r="I910" s="61" t="n">
        <v>42.11</v>
      </c>
      <c r="J910" s="61" t="n">
        <f aca="false">H910*Resumo!$C$6</f>
        <v>0</v>
      </c>
      <c r="K910" s="61" t="n">
        <f aca="false">H910*Resumo!$C$7</f>
        <v>0.923979</v>
      </c>
      <c r="L910" s="61" t="n">
        <f aca="false">H910*Resumo!$C$8</f>
        <v>0.923979</v>
      </c>
      <c r="M910" s="61" t="n">
        <f aca="false">Resumo!$C$10*CEILING(G910/100,1)</f>
        <v>1.05</v>
      </c>
      <c r="N910" s="61" t="n">
        <f aca="false">Resumo!$C$9</f>
        <v>0</v>
      </c>
      <c r="O910" s="61" t="n">
        <f aca="false">Resumo!$C$13</f>
        <v>13.55</v>
      </c>
      <c r="P910" s="61" t="n">
        <f aca="false">Resumo!$C$14*CEILING(G910,1)</f>
        <v>13.95</v>
      </c>
      <c r="Q910" s="61" t="n">
        <f aca="false">SUM(I910:P910)*Resumo!$C$11</f>
        <v>0</v>
      </c>
      <c r="R910" s="61" t="n">
        <f aca="false">SUM(I910:Q910)</f>
        <v>72.507958</v>
      </c>
      <c r="S910" s="61" t="n">
        <f aca="false">R910/(1-Resumo!$C$5)</f>
        <v>82.3954068181818</v>
      </c>
      <c r="T910" s="61" t="n">
        <v>82.21</v>
      </c>
      <c r="U910" s="61" t="n">
        <f aca="false">H910*Resumo!$B$6</f>
        <v>0.43999</v>
      </c>
      <c r="V910" s="61" t="n">
        <f aca="false">H910*Resumo!$B$7</f>
        <v>0.87998</v>
      </c>
      <c r="W910" s="61" t="n">
        <f aca="false">Resumo!$B$9</f>
        <v>1</v>
      </c>
      <c r="X910" s="61" t="n">
        <f aca="false">Resumo!$B$10*CEILING(G910/100,1)</f>
        <v>4.5</v>
      </c>
      <c r="Y910" s="61" t="n">
        <f aca="false">Resumo!$B$12*CEILING(G910,1)</f>
        <v>1.86</v>
      </c>
      <c r="Z910" s="61" t="n">
        <f aca="false">Resumo!$B$14*CEILING(G910,1)</f>
        <v>13.95</v>
      </c>
      <c r="AA910" s="61" t="n">
        <f aca="false">SUM(T910:Z910)</f>
        <v>104.83997</v>
      </c>
      <c r="AB910" s="61" t="n">
        <f aca="false">AA910/(1-Resumo!$B$5)</f>
        <v>119.136329545455</v>
      </c>
      <c r="AC910" s="61" t="n">
        <f aca="false">AB910-S910</f>
        <v>36.7409227272727</v>
      </c>
      <c r="AD910" s="62" t="n">
        <f aca="false">AB910/S910-1</f>
        <v>0.445909840682591</v>
      </c>
      <c r="AE910" s="60" t="str">
        <f aca="false">IF(AB910&lt;S910,"SIM","NÃO")</f>
        <v>NÃO</v>
      </c>
      <c r="AF910" s="60" t="n">
        <v>2</v>
      </c>
      <c r="AG910" s="60" t="n">
        <v>5</v>
      </c>
      <c r="AH910" s="60" t="s">
        <v>382</v>
      </c>
      <c r="AI910" s="61" t="n">
        <f aca="false">(T910*(1-Painel!$C$40)+U910+V910+Painel!$C$41+Painel!$C$42*CEILING(G910/100,1)+Painel!$C$43*CEILING(G910,1)+Z910)/(1-Resumo!$B$5)</f>
        <v>82.2734886363636</v>
      </c>
      <c r="AJ910" s="60" t="str">
        <f aca="false">IF(AI910&lt;S910,"SIM","NÃO")</f>
        <v>SIM</v>
      </c>
    </row>
    <row r="911" customFormat="false" ht="15" hidden="false" customHeight="false" outlineLevel="0" collapsed="false">
      <c r="A911" s="59" t="n">
        <v>46246.4223263889</v>
      </c>
      <c r="B911" s="60" t="s">
        <v>1245</v>
      </c>
      <c r="C911" s="60" t="n">
        <v>22793395</v>
      </c>
      <c r="D911" s="60" t="s">
        <v>46</v>
      </c>
      <c r="E911" s="60" t="s">
        <v>22</v>
      </c>
      <c r="F911" s="60" t="s">
        <v>235</v>
      </c>
      <c r="G911" s="60" t="n">
        <v>44.6</v>
      </c>
      <c r="H911" s="61" t="n">
        <v>549.99</v>
      </c>
      <c r="I911" s="61" t="n">
        <v>53.55</v>
      </c>
      <c r="J911" s="61" t="n">
        <f aca="false">H911*Resumo!$C$6</f>
        <v>0</v>
      </c>
      <c r="K911" s="61" t="n">
        <f aca="false">H911*Resumo!$C$7</f>
        <v>1.154979</v>
      </c>
      <c r="L911" s="61" t="n">
        <f aca="false">H911*Resumo!$C$8</f>
        <v>1.154979</v>
      </c>
      <c r="M911" s="61" t="n">
        <f aca="false">Resumo!$C$10*CEILING(G911/100,1)</f>
        <v>1.05</v>
      </c>
      <c r="N911" s="61" t="n">
        <f aca="false">Resumo!$C$9</f>
        <v>0</v>
      </c>
      <c r="O911" s="61" t="n">
        <f aca="false">Resumo!$C$13</f>
        <v>13.55</v>
      </c>
      <c r="P911" s="61" t="n">
        <f aca="false">Resumo!$C$14*CEILING(G911,1)</f>
        <v>20.25</v>
      </c>
      <c r="Q911" s="61" t="n">
        <f aca="false">SUM(I911:P911)*Resumo!$C$11</f>
        <v>0</v>
      </c>
      <c r="R911" s="61" t="n">
        <f aca="false">SUM(I911:Q911)</f>
        <v>90.709958</v>
      </c>
      <c r="S911" s="61" t="n">
        <f aca="false">R911/(1-Resumo!$C$5)</f>
        <v>103.079497727273</v>
      </c>
      <c r="T911" s="61" t="n">
        <v>93.97</v>
      </c>
      <c r="U911" s="61" t="n">
        <f aca="false">H911*Resumo!$B$6</f>
        <v>0.54999</v>
      </c>
      <c r="V911" s="61" t="n">
        <f aca="false">H911*Resumo!$B$7</f>
        <v>1.09998</v>
      </c>
      <c r="W911" s="61" t="n">
        <f aca="false">Resumo!$B$9</f>
        <v>1</v>
      </c>
      <c r="X911" s="61" t="n">
        <f aca="false">Resumo!$B$10*CEILING(G911/100,1)</f>
        <v>4.5</v>
      </c>
      <c r="Y911" s="61" t="n">
        <f aca="false">Resumo!$B$12*CEILING(G911,1)</f>
        <v>2.7</v>
      </c>
      <c r="Z911" s="61" t="n">
        <f aca="false">Resumo!$B$14*CEILING(G911,1)</f>
        <v>20.25</v>
      </c>
      <c r="AA911" s="61" t="n">
        <f aca="false">SUM(T911:Z911)</f>
        <v>124.06997</v>
      </c>
      <c r="AB911" s="61" t="n">
        <f aca="false">AA911/(1-Resumo!$B$5)</f>
        <v>140.988602272727</v>
      </c>
      <c r="AC911" s="61" t="n">
        <f aca="false">AB911-S911</f>
        <v>37.9091045454545</v>
      </c>
      <c r="AD911" s="62" t="n">
        <f aca="false">AB911/S911-1</f>
        <v>0.367765708810051</v>
      </c>
      <c r="AE911" s="60" t="str">
        <f aca="false">IF(AB911&lt;S911,"SIM","NÃO")</f>
        <v>NÃO</v>
      </c>
      <c r="AF911" s="60" t="n">
        <v>2</v>
      </c>
      <c r="AG911" s="60" t="n">
        <v>5</v>
      </c>
      <c r="AH911" s="60" t="s">
        <v>382</v>
      </c>
      <c r="AI911" s="61" t="n">
        <f aca="false">(T911*(1-Painel!$C$40)+U911+V911+Painel!$C$41+Painel!$C$42*CEILING(G911/100,1)+Painel!$C$43*CEILING(G911,1)+Z911)/(1-Resumo!$B$5)</f>
        <v>98.7612159090909</v>
      </c>
      <c r="AJ911" s="60" t="str">
        <f aca="false">IF(AI911&lt;S911,"SIM","NÃO")</f>
        <v>SIM</v>
      </c>
    </row>
    <row r="912" customFormat="false" ht="15" hidden="false" customHeight="false" outlineLevel="0" collapsed="false">
      <c r="A912" s="59" t="n">
        <v>46246.4470717593</v>
      </c>
      <c r="B912" s="60" t="s">
        <v>1246</v>
      </c>
      <c r="C912" s="60" t="n">
        <v>28995211</v>
      </c>
      <c r="D912" s="60" t="s">
        <v>341</v>
      </c>
      <c r="E912" s="60" t="s">
        <v>24</v>
      </c>
      <c r="F912" s="60" t="s">
        <v>234</v>
      </c>
      <c r="G912" s="60" t="n">
        <v>37.2</v>
      </c>
      <c r="H912" s="61" t="n">
        <v>360.99</v>
      </c>
      <c r="I912" s="61" t="n">
        <v>74.97</v>
      </c>
      <c r="J912" s="61" t="n">
        <f aca="false">H912*Resumo!$C$6</f>
        <v>0</v>
      </c>
      <c r="K912" s="61" t="n">
        <f aca="false">H912*Resumo!$C$7</f>
        <v>0.758079</v>
      </c>
      <c r="L912" s="61" t="n">
        <f aca="false">H912*Resumo!$C$8</f>
        <v>0.758079</v>
      </c>
      <c r="M912" s="61" t="n">
        <f aca="false">Resumo!$C$10*CEILING(G912/100,1)</f>
        <v>1.05</v>
      </c>
      <c r="N912" s="61" t="n">
        <f aca="false">Resumo!$C$9</f>
        <v>0</v>
      </c>
      <c r="O912" s="61" t="n">
        <f aca="false">Resumo!$C$13</f>
        <v>13.55</v>
      </c>
      <c r="P912" s="61" t="n">
        <f aca="false">Resumo!$C$14*CEILING(G912,1)</f>
        <v>17.1</v>
      </c>
      <c r="Q912" s="61" t="n">
        <f aca="false">SUM(I912:P912)*Resumo!$C$11</f>
        <v>0</v>
      </c>
      <c r="R912" s="61" t="n">
        <f aca="false">SUM(I912:Q912)</f>
        <v>108.186158</v>
      </c>
      <c r="S912" s="61" t="n">
        <f aca="false">R912/(1-Resumo!$C$5)</f>
        <v>122.938815909091</v>
      </c>
      <c r="T912" s="61" t="n">
        <v>124.38</v>
      </c>
      <c r="U912" s="61" t="n">
        <f aca="false">H912*Resumo!$B$6</f>
        <v>0.36099</v>
      </c>
      <c r="V912" s="61" t="n">
        <f aca="false">H912*Resumo!$B$7</f>
        <v>0.72198</v>
      </c>
      <c r="W912" s="61" t="n">
        <f aca="false">Resumo!$B$9</f>
        <v>1</v>
      </c>
      <c r="X912" s="61" t="n">
        <f aca="false">Resumo!$B$10*CEILING(G912/100,1)</f>
        <v>4.5</v>
      </c>
      <c r="Y912" s="61" t="n">
        <f aca="false">Resumo!$B$12*CEILING(G912,1)</f>
        <v>2.28</v>
      </c>
      <c r="Z912" s="61" t="n">
        <f aca="false">Resumo!$B$14*CEILING(G912,1)</f>
        <v>17.1</v>
      </c>
      <c r="AA912" s="61" t="n">
        <f aca="false">SUM(T912:Z912)</f>
        <v>150.34297</v>
      </c>
      <c r="AB912" s="61" t="n">
        <f aca="false">AA912/(1-Resumo!$B$5)</f>
        <v>170.844284090909</v>
      </c>
      <c r="AC912" s="61" t="n">
        <f aca="false">AB912-S912</f>
        <v>47.9054681818182</v>
      </c>
      <c r="AD912" s="62" t="n">
        <f aca="false">AB912/S912-1</f>
        <v>0.389669184850801</v>
      </c>
      <c r="AE912" s="60" t="str">
        <f aca="false">IF(AB912&lt;S912,"SIM","NÃO")</f>
        <v>NÃO</v>
      </c>
      <c r="AF912" s="60" t="n">
        <v>13</v>
      </c>
      <c r="AG912" s="60" t="n">
        <v>10</v>
      </c>
      <c r="AH912" s="60" t="s">
        <v>385</v>
      </c>
      <c r="AI912" s="61" t="n">
        <f aca="false">(T912*(1-Painel!$C$40)+U912+V912+Painel!$C$41+Painel!$C$42*CEILING(G912/100,1)+Painel!$C$43*CEILING(G912,1)+Z912)/(1-Resumo!$B$5)</f>
        <v>117.690420454545</v>
      </c>
      <c r="AJ912" s="60" t="str">
        <f aca="false">IF(AI912&lt;S912,"SIM","NÃO")</f>
        <v>SIM</v>
      </c>
    </row>
    <row r="913" customFormat="false" ht="15" hidden="false" customHeight="false" outlineLevel="0" collapsed="false">
      <c r="A913" s="59" t="n">
        <v>46246.4704976852</v>
      </c>
      <c r="B913" s="60" t="s">
        <v>1247</v>
      </c>
      <c r="C913" s="60" t="n">
        <v>26535380</v>
      </c>
      <c r="D913" s="60" t="s">
        <v>284</v>
      </c>
      <c r="E913" s="60" t="s">
        <v>23</v>
      </c>
      <c r="F913" s="60" t="s">
        <v>237</v>
      </c>
      <c r="G913" s="60" t="n">
        <v>67.3</v>
      </c>
      <c r="H913" s="61" t="n">
        <v>702.92</v>
      </c>
      <c r="I913" s="61" t="n">
        <v>76.55</v>
      </c>
      <c r="J913" s="61" t="n">
        <f aca="false">H913*Resumo!$C$6</f>
        <v>0</v>
      </c>
      <c r="K913" s="61" t="n">
        <f aca="false">H913*Resumo!$C$7</f>
        <v>1.476132</v>
      </c>
      <c r="L913" s="61" t="n">
        <f aca="false">H913*Resumo!$C$8</f>
        <v>1.476132</v>
      </c>
      <c r="M913" s="61" t="n">
        <f aca="false">Resumo!$C$10*CEILING(G913/100,1)</f>
        <v>1.05</v>
      </c>
      <c r="N913" s="61" t="n">
        <f aca="false">Resumo!$C$9</f>
        <v>0</v>
      </c>
      <c r="O913" s="61" t="n">
        <f aca="false">Resumo!$C$13</f>
        <v>13.55</v>
      </c>
      <c r="P913" s="61" t="n">
        <f aca="false">Resumo!$C$14*CEILING(G913,1)</f>
        <v>30.6</v>
      </c>
      <c r="Q913" s="61" t="n">
        <f aca="false">SUM(I913:P913)*Resumo!$C$11</f>
        <v>0</v>
      </c>
      <c r="R913" s="61" t="n">
        <f aca="false">SUM(I913:Q913)</f>
        <v>124.702264</v>
      </c>
      <c r="S913" s="61" t="n">
        <f aca="false">R913/(1-Resumo!$C$5)</f>
        <v>141.707118181818</v>
      </c>
      <c r="T913" s="61" t="n">
        <v>131.02</v>
      </c>
      <c r="U913" s="61" t="n">
        <f aca="false">H913*Resumo!$B$6</f>
        <v>0.70292</v>
      </c>
      <c r="V913" s="61" t="n">
        <f aca="false">H913*Resumo!$B$7</f>
        <v>1.40584</v>
      </c>
      <c r="W913" s="61" t="n">
        <f aca="false">Resumo!$B$9</f>
        <v>1</v>
      </c>
      <c r="X913" s="61" t="n">
        <f aca="false">Resumo!$B$10*CEILING(G913/100,1)</f>
        <v>4.5</v>
      </c>
      <c r="Y913" s="61" t="n">
        <f aca="false">Resumo!$B$12*CEILING(G913,1)</f>
        <v>4.08</v>
      </c>
      <c r="Z913" s="61" t="n">
        <f aca="false">Resumo!$B$14*CEILING(G913,1)</f>
        <v>30.6</v>
      </c>
      <c r="AA913" s="61" t="n">
        <f aca="false">SUM(T913:Z913)</f>
        <v>173.30876</v>
      </c>
      <c r="AB913" s="61" t="n">
        <f aca="false">AA913/(1-Resumo!$B$5)</f>
        <v>196.941772727273</v>
      </c>
      <c r="AC913" s="61" t="n">
        <f aca="false">AB913-S913</f>
        <v>55.2346545454546</v>
      </c>
      <c r="AD913" s="62" t="n">
        <f aca="false">AB913/S913-1</f>
        <v>0.389780381212646</v>
      </c>
      <c r="AE913" s="60" t="str">
        <f aca="false">IF(AB913&lt;S913,"SIM","NÃO")</f>
        <v>NÃO</v>
      </c>
      <c r="AF913" s="60" t="n">
        <v>2</v>
      </c>
      <c r="AG913" s="60" t="n">
        <v>5</v>
      </c>
      <c r="AH913" s="60" t="s">
        <v>385</v>
      </c>
      <c r="AI913" s="61" t="n">
        <f aca="false">(T913*(1-Painel!$C$40)+U913+V913+Painel!$C$41+Painel!$C$42*CEILING(G913/100,1)+Painel!$C$43*CEILING(G913,1)+Z913)/(1-Resumo!$B$5)</f>
        <v>139.252454545455</v>
      </c>
      <c r="AJ913" s="60" t="str">
        <f aca="false">IF(AI913&lt;S913,"SIM","NÃO")</f>
        <v>SIM</v>
      </c>
    </row>
    <row r="914" customFormat="false" ht="15" hidden="false" customHeight="false" outlineLevel="0" collapsed="false">
      <c r="A914" s="59" t="n">
        <v>46246.5179976852</v>
      </c>
      <c r="B914" s="60" t="s">
        <v>1248</v>
      </c>
      <c r="C914" s="60" t="n">
        <v>24445210</v>
      </c>
      <c r="D914" s="60" t="s">
        <v>47</v>
      </c>
      <c r="E914" s="60" t="s">
        <v>23</v>
      </c>
      <c r="F914" s="60" t="s">
        <v>241</v>
      </c>
      <c r="G914" s="60" t="n">
        <v>124.2</v>
      </c>
      <c r="H914" s="61" t="n">
        <v>1699.99</v>
      </c>
      <c r="I914" s="61" t="n">
        <v>129.62</v>
      </c>
      <c r="J914" s="61" t="n">
        <f aca="false">H914*Resumo!$C$6</f>
        <v>0</v>
      </c>
      <c r="K914" s="61" t="n">
        <f aca="false">H914*Resumo!$C$7</f>
        <v>3.569979</v>
      </c>
      <c r="L914" s="61" t="n">
        <f aca="false">H914*Resumo!$C$8</f>
        <v>3.569979</v>
      </c>
      <c r="M914" s="61" t="n">
        <f aca="false">Resumo!$C$10*CEILING(G914/100,1)</f>
        <v>2.1</v>
      </c>
      <c r="N914" s="61" t="n">
        <f aca="false">Resumo!$C$9</f>
        <v>0</v>
      </c>
      <c r="O914" s="61" t="n">
        <f aca="false">Resumo!$C$13</f>
        <v>13.55</v>
      </c>
      <c r="P914" s="61" t="n">
        <f aca="false">Resumo!$C$14*CEILING(G914,1)</f>
        <v>56.25</v>
      </c>
      <c r="Q914" s="61" t="n">
        <f aca="false">SUM(I914:P914)*Resumo!$C$11</f>
        <v>0</v>
      </c>
      <c r="R914" s="61" t="n">
        <f aca="false">SUM(I914:Q914)</f>
        <v>208.659958</v>
      </c>
      <c r="S914" s="61" t="n">
        <f aca="false">R914/(1-Resumo!$C$5)</f>
        <v>237.113588636364</v>
      </c>
      <c r="T914" s="61" t="n">
        <v>249.03</v>
      </c>
      <c r="U914" s="61" t="n">
        <f aca="false">H914*Resumo!$B$6</f>
        <v>1.69999</v>
      </c>
      <c r="V914" s="61" t="n">
        <f aca="false">H914*Resumo!$B$7</f>
        <v>3.39998</v>
      </c>
      <c r="W914" s="61" t="n">
        <f aca="false">Resumo!$B$9</f>
        <v>1</v>
      </c>
      <c r="X914" s="61" t="n">
        <f aca="false">Resumo!$B$10*CEILING(G914/100,1)</f>
        <v>9</v>
      </c>
      <c r="Y914" s="61" t="n">
        <f aca="false">Resumo!$B$12*CEILING(G914,1)</f>
        <v>7.5</v>
      </c>
      <c r="Z914" s="61" t="n">
        <f aca="false">Resumo!$B$14*CEILING(G914,1)</f>
        <v>56.25</v>
      </c>
      <c r="AA914" s="61" t="n">
        <f aca="false">SUM(T914:Z914)</f>
        <v>327.87997</v>
      </c>
      <c r="AB914" s="61" t="n">
        <f aca="false">AA914/(1-Resumo!$B$5)</f>
        <v>372.590875</v>
      </c>
      <c r="AC914" s="61" t="n">
        <f aca="false">AB914-S914</f>
        <v>135.477286363636</v>
      </c>
      <c r="AD914" s="62" t="n">
        <f aca="false">AB914/S914-1</f>
        <v>0.571360279867401</v>
      </c>
      <c r="AE914" s="60" t="str">
        <f aca="false">IF(AB914&lt;S914,"SIM","NÃO")</f>
        <v>NÃO</v>
      </c>
      <c r="AF914" s="60" t="n">
        <v>2</v>
      </c>
      <c r="AG914" s="60" t="n">
        <v>7</v>
      </c>
      <c r="AH914" s="60" t="s">
        <v>382</v>
      </c>
      <c r="AI914" s="61" t="n">
        <f aca="false">(T914*(1-Painel!$C$40)+U914+V914+Painel!$C$41+Painel!$C$42*CEILING(G914/100,1)+Painel!$C$43*CEILING(G914,1)+Z914)/(1-Resumo!$B$5)</f>
        <v>262.840988636364</v>
      </c>
      <c r="AJ914" s="60" t="str">
        <f aca="false">IF(AI914&lt;S914,"SIM","NÃO")</f>
        <v>NÃO</v>
      </c>
    </row>
    <row r="915" customFormat="false" ht="15" hidden="false" customHeight="false" outlineLevel="0" collapsed="false">
      <c r="A915" s="59" t="n">
        <v>46246.5649421296</v>
      </c>
      <c r="B915" s="60" t="s">
        <v>1249</v>
      </c>
      <c r="C915" s="60" t="n">
        <v>22793366</v>
      </c>
      <c r="D915" s="60" t="s">
        <v>46</v>
      </c>
      <c r="E915" s="60" t="s">
        <v>22</v>
      </c>
      <c r="F915" s="60" t="s">
        <v>239</v>
      </c>
      <c r="G915" s="60" t="n">
        <v>97.2</v>
      </c>
      <c r="H915" s="61" t="n">
        <v>1164.49</v>
      </c>
      <c r="I915" s="61" t="n">
        <v>83.79</v>
      </c>
      <c r="J915" s="61" t="n">
        <f aca="false">H915*Resumo!$C$6</f>
        <v>0</v>
      </c>
      <c r="K915" s="61" t="n">
        <f aca="false">H915*Resumo!$C$7</f>
        <v>2.445429</v>
      </c>
      <c r="L915" s="61" t="n">
        <f aca="false">H915*Resumo!$C$8</f>
        <v>2.445429</v>
      </c>
      <c r="M915" s="61" t="n">
        <f aca="false">Resumo!$C$10*CEILING(G915/100,1)</f>
        <v>1.05</v>
      </c>
      <c r="N915" s="61" t="n">
        <f aca="false">Resumo!$C$9</f>
        <v>0</v>
      </c>
      <c r="O915" s="61" t="n">
        <f aca="false">Resumo!$C$13</f>
        <v>13.55</v>
      </c>
      <c r="P915" s="61" t="n">
        <f aca="false">Resumo!$C$14*CEILING(G915,1)</f>
        <v>44.1</v>
      </c>
      <c r="Q915" s="61" t="n">
        <f aca="false">SUM(I915:P915)*Resumo!$C$11</f>
        <v>0</v>
      </c>
      <c r="R915" s="61" t="n">
        <f aca="false">SUM(I915:Q915)</f>
        <v>147.380858</v>
      </c>
      <c r="S915" s="61" t="n">
        <f aca="false">R915/(1-Resumo!$C$5)</f>
        <v>167.478247727273</v>
      </c>
      <c r="T915" s="61" t="n">
        <v>167.99</v>
      </c>
      <c r="U915" s="61" t="n">
        <f aca="false">H915*Resumo!$B$6</f>
        <v>1.16449</v>
      </c>
      <c r="V915" s="61" t="n">
        <f aca="false">H915*Resumo!$B$7</f>
        <v>2.32898</v>
      </c>
      <c r="W915" s="61" t="n">
        <f aca="false">Resumo!$B$9</f>
        <v>1</v>
      </c>
      <c r="X915" s="61" t="n">
        <f aca="false">Resumo!$B$10*CEILING(G915/100,1)</f>
        <v>4.5</v>
      </c>
      <c r="Y915" s="61" t="n">
        <f aca="false">Resumo!$B$12*CEILING(G915,1)</f>
        <v>5.88</v>
      </c>
      <c r="Z915" s="61" t="n">
        <f aca="false">Resumo!$B$14*CEILING(G915,1)</f>
        <v>44.1</v>
      </c>
      <c r="AA915" s="61" t="n">
        <f aca="false">SUM(T915:Z915)</f>
        <v>226.96347</v>
      </c>
      <c r="AB915" s="61" t="n">
        <f aca="false">AA915/(1-Resumo!$B$5)</f>
        <v>257.913034090909</v>
      </c>
      <c r="AC915" s="61" t="n">
        <f aca="false">AB915-S915</f>
        <v>90.4347863636363</v>
      </c>
      <c r="AD915" s="62" t="n">
        <f aca="false">AB915/S915-1</f>
        <v>0.53997929636154</v>
      </c>
      <c r="AE915" s="60" t="str">
        <f aca="false">IF(AB915&lt;S915,"SIM","NÃO")</f>
        <v>NÃO</v>
      </c>
      <c r="AF915" s="60" t="n">
        <v>2</v>
      </c>
      <c r="AG915" s="60" t="n">
        <v>5</v>
      </c>
      <c r="AH915" s="60" t="s">
        <v>382</v>
      </c>
      <c r="AI915" s="61" t="n">
        <f aca="false">(T915*(1-Painel!$C$40)+U915+V915+Painel!$C$41+Painel!$C$42*CEILING(G915/100,1)+Painel!$C$43*CEILING(G915,1)+Z915)/(1-Resumo!$B$5)</f>
        <v>184.314511363636</v>
      </c>
      <c r="AJ915" s="60" t="str">
        <f aca="false">IF(AI915&lt;S915,"SIM","NÃO")</f>
        <v>NÃO</v>
      </c>
    </row>
    <row r="916" customFormat="false" ht="15" hidden="false" customHeight="false" outlineLevel="0" collapsed="false">
      <c r="A916" s="59" t="n">
        <v>46246.5870138889</v>
      </c>
      <c r="B916" s="60" t="s">
        <v>420</v>
      </c>
      <c r="C916" s="60" t="n">
        <v>21380090</v>
      </c>
      <c r="D916" s="60" t="s">
        <v>46</v>
      </c>
      <c r="E916" s="60" t="s">
        <v>22</v>
      </c>
      <c r="F916" s="60" t="s">
        <v>237</v>
      </c>
      <c r="G916" s="60" t="n">
        <v>63.9</v>
      </c>
      <c r="H916" s="61" t="n">
        <v>785.04</v>
      </c>
      <c r="I916" s="61" t="n">
        <v>63.21</v>
      </c>
      <c r="J916" s="61" t="n">
        <f aca="false">H916*Resumo!$C$6</f>
        <v>0</v>
      </c>
      <c r="K916" s="61" t="n">
        <f aca="false">H916*Resumo!$C$7</f>
        <v>1.648584</v>
      </c>
      <c r="L916" s="61" t="n">
        <f aca="false">H916*Resumo!$C$8</f>
        <v>1.648584</v>
      </c>
      <c r="M916" s="61" t="n">
        <f aca="false">Resumo!$C$10*CEILING(G916/100,1)</f>
        <v>1.05</v>
      </c>
      <c r="N916" s="61" t="n">
        <f aca="false">Resumo!$C$9</f>
        <v>0</v>
      </c>
      <c r="O916" s="61" t="n">
        <f aca="false">Resumo!$C$13</f>
        <v>13.55</v>
      </c>
      <c r="P916" s="61" t="n">
        <f aca="false">Resumo!$C$14*CEILING(G916,1)</f>
        <v>28.8</v>
      </c>
      <c r="Q916" s="61" t="n">
        <f aca="false">SUM(I916:P916)*Resumo!$C$11</f>
        <v>0</v>
      </c>
      <c r="R916" s="61" t="n">
        <f aca="false">SUM(I916:Q916)</f>
        <v>109.907168</v>
      </c>
      <c r="S916" s="61" t="n">
        <f aca="false">R916/(1-Resumo!$C$5)</f>
        <v>124.894509090909</v>
      </c>
      <c r="T916" s="61" t="n">
        <v>131.02</v>
      </c>
      <c r="U916" s="61" t="n">
        <f aca="false">H916*Resumo!$B$6</f>
        <v>0.78504</v>
      </c>
      <c r="V916" s="61" t="n">
        <f aca="false">H916*Resumo!$B$7</f>
        <v>1.57008</v>
      </c>
      <c r="W916" s="61" t="n">
        <f aca="false">Resumo!$B$9</f>
        <v>1</v>
      </c>
      <c r="X916" s="61" t="n">
        <f aca="false">Resumo!$B$10*CEILING(G916/100,1)</f>
        <v>4.5</v>
      </c>
      <c r="Y916" s="61" t="n">
        <f aca="false">Resumo!$B$12*CEILING(G916,1)</f>
        <v>3.84</v>
      </c>
      <c r="Z916" s="61" t="n">
        <f aca="false">Resumo!$B$14*CEILING(G916,1)</f>
        <v>28.8</v>
      </c>
      <c r="AA916" s="61" t="n">
        <f aca="false">SUM(T916:Z916)</f>
        <v>171.51512</v>
      </c>
      <c r="AB916" s="61" t="n">
        <f aca="false">AA916/(1-Resumo!$B$5)</f>
        <v>194.903545454545</v>
      </c>
      <c r="AC916" s="61" t="n">
        <f aca="false">AB916-S916</f>
        <v>70.0090363636364</v>
      </c>
      <c r="AD916" s="62" t="n">
        <f aca="false">AB916/S916-1</f>
        <v>0.560545350417909</v>
      </c>
      <c r="AE916" s="60" t="str">
        <f aca="false">IF(AB916&lt;S916,"SIM","NÃO")</f>
        <v>NÃO</v>
      </c>
      <c r="AF916" s="60" t="n">
        <v>2</v>
      </c>
      <c r="AG916" s="60" t="n">
        <v>5</v>
      </c>
      <c r="AH916" s="60" t="s">
        <v>382</v>
      </c>
      <c r="AI916" s="61" t="n">
        <f aca="false">(T916*(1-Painel!$C$40)+U916+V916+Painel!$C$41+Painel!$C$42*CEILING(G916/100,1)+Painel!$C$43*CEILING(G916,1)+Z916)/(1-Resumo!$B$5)</f>
        <v>137.486954545455</v>
      </c>
      <c r="AJ916" s="60" t="str">
        <f aca="false">IF(AI916&lt;S916,"SIM","NÃO")</f>
        <v>NÃO</v>
      </c>
    </row>
    <row r="917" customFormat="false" ht="15" hidden="false" customHeight="false" outlineLevel="0" collapsed="false">
      <c r="A917" s="59" t="n">
        <v>46246.6023726852</v>
      </c>
      <c r="B917" s="60" t="s">
        <v>1250</v>
      </c>
      <c r="C917" s="60" t="n">
        <v>27213050</v>
      </c>
      <c r="D917" s="60" t="s">
        <v>217</v>
      </c>
      <c r="E917" s="60" t="s">
        <v>24</v>
      </c>
      <c r="F917" s="60" t="s">
        <v>237</v>
      </c>
      <c r="G917" s="60" t="n">
        <v>63.1</v>
      </c>
      <c r="H917" s="61" t="n">
        <v>732</v>
      </c>
      <c r="I917" s="61" t="n">
        <v>90.2</v>
      </c>
      <c r="J917" s="61" t="n">
        <f aca="false">H917*Resumo!$C$6</f>
        <v>0</v>
      </c>
      <c r="K917" s="61" t="n">
        <f aca="false">H917*Resumo!$C$7</f>
        <v>1.5372</v>
      </c>
      <c r="L917" s="61" t="n">
        <f aca="false">H917*Resumo!$C$8</f>
        <v>1.5372</v>
      </c>
      <c r="M917" s="61" t="n">
        <f aca="false">Resumo!$C$10*CEILING(G917/100,1)</f>
        <v>1.05</v>
      </c>
      <c r="N917" s="61" t="n">
        <f aca="false">Resumo!$C$9</f>
        <v>0</v>
      </c>
      <c r="O917" s="61" t="n">
        <f aca="false">Resumo!$C$13</f>
        <v>13.55</v>
      </c>
      <c r="P917" s="61" t="n">
        <f aca="false">Resumo!$C$14*CEILING(G917,1)</f>
        <v>28.8</v>
      </c>
      <c r="Q917" s="61" t="n">
        <f aca="false">SUM(I917:P917)*Resumo!$C$11</f>
        <v>0</v>
      </c>
      <c r="R917" s="61" t="n">
        <f aca="false">SUM(I917:Q917)</f>
        <v>136.6744</v>
      </c>
      <c r="S917" s="61" t="n">
        <f aca="false">R917/(1-Resumo!$C$5)</f>
        <v>155.311818181818</v>
      </c>
      <c r="T917" s="61" t="n">
        <v>166.05</v>
      </c>
      <c r="U917" s="61" t="n">
        <f aca="false">H917*Resumo!$B$6</f>
        <v>0.732</v>
      </c>
      <c r="V917" s="61" t="n">
        <f aca="false">H917*Resumo!$B$7</f>
        <v>1.464</v>
      </c>
      <c r="W917" s="61" t="n">
        <f aca="false">Resumo!$B$9</f>
        <v>1</v>
      </c>
      <c r="X917" s="61" t="n">
        <f aca="false">Resumo!$B$10*CEILING(G917/100,1)</f>
        <v>4.5</v>
      </c>
      <c r="Y917" s="61" t="n">
        <f aca="false">Resumo!$B$12*CEILING(G917,1)</f>
        <v>3.84</v>
      </c>
      <c r="Z917" s="61" t="n">
        <f aca="false">Resumo!$B$14*CEILING(G917,1)</f>
        <v>28.8</v>
      </c>
      <c r="AA917" s="61" t="n">
        <f aca="false">SUM(T917:Z917)</f>
        <v>206.386</v>
      </c>
      <c r="AB917" s="61" t="n">
        <f aca="false">AA917/(1-Resumo!$B$5)</f>
        <v>234.529545454545</v>
      </c>
      <c r="AC917" s="61" t="n">
        <f aca="false">AB917-S917</f>
        <v>79.2177272727273</v>
      </c>
      <c r="AD917" s="62" t="n">
        <f aca="false">AB917/S917-1</f>
        <v>0.51005601634249</v>
      </c>
      <c r="AE917" s="60" t="str">
        <f aca="false">IF(AB917&lt;S917,"SIM","NÃO")</f>
        <v>NÃO</v>
      </c>
      <c r="AF917" s="60" t="n">
        <v>13</v>
      </c>
      <c r="AG917" s="60" t="n">
        <v>10</v>
      </c>
      <c r="AH917" s="60" t="s">
        <v>382</v>
      </c>
      <c r="AI917" s="61" t="n">
        <f aca="false">(T917*(1-Painel!$C$40)+U917+V917+Painel!$C$41+Painel!$C$42*CEILING(G917/100,1)+Painel!$C$43*CEILING(G917,1)+Z917)/(1-Resumo!$B$5)</f>
        <v>163.976704545455</v>
      </c>
      <c r="AJ917" s="60" t="str">
        <f aca="false">IF(AI917&lt;S917,"SIM","NÃO")</f>
        <v>NÃO</v>
      </c>
    </row>
    <row r="918" customFormat="false" ht="15" hidden="false" customHeight="false" outlineLevel="0" collapsed="false">
      <c r="A918" s="59" t="n">
        <v>46246.61</v>
      </c>
      <c r="B918" s="60" t="s">
        <v>1251</v>
      </c>
      <c r="C918" s="60" t="n">
        <v>23061010</v>
      </c>
      <c r="D918" s="60" t="s">
        <v>46</v>
      </c>
      <c r="E918" s="60" t="s">
        <v>22</v>
      </c>
      <c r="F918" s="60" t="s">
        <v>233</v>
      </c>
      <c r="G918" s="60" t="n">
        <v>22.4</v>
      </c>
      <c r="H918" s="61" t="n">
        <v>489.99</v>
      </c>
      <c r="I918" s="61" t="n">
        <v>42.11</v>
      </c>
      <c r="J918" s="61" t="n">
        <f aca="false">H918*Resumo!$C$6</f>
        <v>0</v>
      </c>
      <c r="K918" s="61" t="n">
        <f aca="false">H918*Resumo!$C$7</f>
        <v>1.028979</v>
      </c>
      <c r="L918" s="61" t="n">
        <f aca="false">H918*Resumo!$C$8</f>
        <v>1.028979</v>
      </c>
      <c r="M918" s="61" t="n">
        <f aca="false">Resumo!$C$10*CEILING(G918/100,1)</f>
        <v>1.05</v>
      </c>
      <c r="N918" s="61" t="n">
        <f aca="false">Resumo!$C$9</f>
        <v>0</v>
      </c>
      <c r="O918" s="61" t="n">
        <f aca="false">Resumo!$C$13</f>
        <v>13.55</v>
      </c>
      <c r="P918" s="61" t="n">
        <f aca="false">Resumo!$C$14*CEILING(G918,1)</f>
        <v>10.35</v>
      </c>
      <c r="Q918" s="61" t="n">
        <f aca="false">SUM(I918:P918)*Resumo!$C$11</f>
        <v>0</v>
      </c>
      <c r="R918" s="61" t="n">
        <f aca="false">SUM(I918:Q918)</f>
        <v>69.117958</v>
      </c>
      <c r="S918" s="61" t="n">
        <f aca="false">R918/(1-Resumo!$C$5)</f>
        <v>78.5431340909091</v>
      </c>
      <c r="T918" s="61" t="n">
        <v>82.21</v>
      </c>
      <c r="U918" s="61" t="n">
        <f aca="false">H918*Resumo!$B$6</f>
        <v>0.48999</v>
      </c>
      <c r="V918" s="61" t="n">
        <f aca="false">H918*Resumo!$B$7</f>
        <v>0.97998</v>
      </c>
      <c r="W918" s="61" t="n">
        <f aca="false">Resumo!$B$9</f>
        <v>1</v>
      </c>
      <c r="X918" s="61" t="n">
        <f aca="false">Resumo!$B$10*CEILING(G918/100,1)</f>
        <v>4.5</v>
      </c>
      <c r="Y918" s="61" t="n">
        <f aca="false">Resumo!$B$12*CEILING(G918,1)</f>
        <v>1.38</v>
      </c>
      <c r="Z918" s="61" t="n">
        <f aca="false">Resumo!$B$14*CEILING(G918,1)</f>
        <v>10.35</v>
      </c>
      <c r="AA918" s="61" t="n">
        <f aca="false">SUM(T918:Z918)</f>
        <v>100.90997</v>
      </c>
      <c r="AB918" s="61" t="n">
        <f aca="false">AA918/(1-Resumo!$B$5)</f>
        <v>114.670420454545</v>
      </c>
      <c r="AC918" s="61" t="n">
        <f aca="false">AB918-S918</f>
        <v>36.1272863636363</v>
      </c>
      <c r="AD918" s="62" t="n">
        <f aca="false">AB918/S918-1</f>
        <v>0.459967466052744</v>
      </c>
      <c r="AE918" s="60" t="str">
        <f aca="false">IF(AB918&lt;S918,"SIM","NÃO")</f>
        <v>NÃO</v>
      </c>
      <c r="AF918" s="60" t="n">
        <v>2</v>
      </c>
      <c r="AG918" s="60" t="n">
        <v>5</v>
      </c>
      <c r="AH918" s="60" t="s">
        <v>382</v>
      </c>
      <c r="AI918" s="61" t="n">
        <f aca="false">(T918*(1-Painel!$C$40)+U918+V918+Painel!$C$41+Painel!$C$42*CEILING(G918/100,1)+Painel!$C$43*CEILING(G918,1)+Z918)/(1-Resumo!$B$5)</f>
        <v>78.3530340909091</v>
      </c>
      <c r="AJ918" s="60" t="str">
        <f aca="false">IF(AI918&lt;S918,"SIM","NÃO")</f>
        <v>SIM</v>
      </c>
    </row>
    <row r="919" customFormat="false" ht="15" hidden="false" customHeight="false" outlineLevel="0" collapsed="false">
      <c r="A919" s="59" t="n">
        <v>46246.6116435185</v>
      </c>
      <c r="B919" s="60" t="s">
        <v>1252</v>
      </c>
      <c r="C919" s="60" t="n">
        <v>24474295</v>
      </c>
      <c r="D919" s="60" t="s">
        <v>47</v>
      </c>
      <c r="E919" s="60" t="s">
        <v>23</v>
      </c>
      <c r="F919" s="60" t="s">
        <v>233</v>
      </c>
      <c r="G919" s="60" t="n">
        <v>33</v>
      </c>
      <c r="H919" s="61" t="n">
        <v>450.99</v>
      </c>
      <c r="I919" s="61" t="n">
        <v>58.8</v>
      </c>
      <c r="J919" s="61" t="n">
        <f aca="false">H919*Resumo!$C$6</f>
        <v>0</v>
      </c>
      <c r="K919" s="61" t="n">
        <f aca="false">H919*Resumo!$C$7</f>
        <v>0.947079</v>
      </c>
      <c r="L919" s="61" t="n">
        <f aca="false">H919*Resumo!$C$8</f>
        <v>0.947079</v>
      </c>
      <c r="M919" s="61" t="n">
        <f aca="false">Resumo!$C$10*CEILING(G919/100,1)</f>
        <v>1.05</v>
      </c>
      <c r="N919" s="61" t="n">
        <f aca="false">Resumo!$C$9</f>
        <v>0</v>
      </c>
      <c r="O919" s="61" t="n">
        <f aca="false">Resumo!$C$13</f>
        <v>13.55</v>
      </c>
      <c r="P919" s="61" t="n">
        <f aca="false">Resumo!$C$14*CEILING(G919,1)</f>
        <v>14.85</v>
      </c>
      <c r="Q919" s="61" t="n">
        <f aca="false">SUM(I919:P919)*Resumo!$C$11</f>
        <v>0</v>
      </c>
      <c r="R919" s="61" t="n">
        <f aca="false">SUM(I919:Q919)</f>
        <v>90.144158</v>
      </c>
      <c r="S919" s="61" t="n">
        <f aca="false">R919/(1-Resumo!$C$5)</f>
        <v>102.436543181818</v>
      </c>
      <c r="T919" s="61" t="n">
        <v>100.58</v>
      </c>
      <c r="U919" s="61" t="n">
        <f aca="false">H919*Resumo!$B$6</f>
        <v>0.45099</v>
      </c>
      <c r="V919" s="61" t="n">
        <f aca="false">H919*Resumo!$B$7</f>
        <v>0.90198</v>
      </c>
      <c r="W919" s="61" t="n">
        <f aca="false">Resumo!$B$9</f>
        <v>1</v>
      </c>
      <c r="X919" s="61" t="n">
        <f aca="false">Resumo!$B$10*CEILING(G919/100,1)</f>
        <v>4.5</v>
      </c>
      <c r="Y919" s="61" t="n">
        <f aca="false">Resumo!$B$12*CEILING(G919,1)</f>
        <v>1.98</v>
      </c>
      <c r="Z919" s="61" t="n">
        <f aca="false">Resumo!$B$14*CEILING(G919,1)</f>
        <v>14.85</v>
      </c>
      <c r="AA919" s="61" t="n">
        <f aca="false">SUM(T919:Z919)</f>
        <v>124.26297</v>
      </c>
      <c r="AB919" s="61" t="n">
        <f aca="false">AA919/(1-Resumo!$B$5)</f>
        <v>141.207920454545</v>
      </c>
      <c r="AC919" s="61" t="n">
        <f aca="false">AB919-S919</f>
        <v>38.7713772727273</v>
      </c>
      <c r="AD919" s="62" t="n">
        <f aca="false">AB919/S919-1</f>
        <v>0.378491659991988</v>
      </c>
      <c r="AE919" s="60" t="str">
        <f aca="false">IF(AB919&lt;S919,"SIM","NÃO")</f>
        <v>NÃO</v>
      </c>
      <c r="AF919" s="60" t="n">
        <v>2</v>
      </c>
      <c r="AG919" s="60" t="n">
        <v>7</v>
      </c>
      <c r="AH919" s="60" t="s">
        <v>382</v>
      </c>
      <c r="AI919" s="61" t="n">
        <f aca="false">(T919*(1-Painel!$C$40)+U919+V919+Painel!$C$41+Painel!$C$42*CEILING(G919/100,1)+Painel!$C$43*CEILING(G919,1)+Z919)/(1-Resumo!$B$5)</f>
        <v>97.3199659090909</v>
      </c>
      <c r="AJ919" s="60" t="str">
        <f aca="false">IF(AI919&lt;S919,"SIM","NÃO")</f>
        <v>SIM</v>
      </c>
    </row>
    <row r="920" customFormat="false" ht="15" hidden="false" customHeight="false" outlineLevel="0" collapsed="false">
      <c r="A920" s="59" t="n">
        <v>46246.6279398148</v>
      </c>
      <c r="B920" s="60" t="s">
        <v>1253</v>
      </c>
      <c r="C920" s="60" t="n">
        <v>21210270</v>
      </c>
      <c r="D920" s="60" t="s">
        <v>46</v>
      </c>
      <c r="E920" s="60" t="s">
        <v>22</v>
      </c>
      <c r="F920" s="60" t="s">
        <v>234</v>
      </c>
      <c r="G920" s="60" t="n">
        <v>37.2</v>
      </c>
      <c r="H920" s="61" t="n">
        <v>360.99</v>
      </c>
      <c r="I920" s="61" t="n">
        <v>48.35</v>
      </c>
      <c r="J920" s="61" t="n">
        <f aca="false">H920*Resumo!$C$6</f>
        <v>0</v>
      </c>
      <c r="K920" s="61" t="n">
        <f aca="false">H920*Resumo!$C$7</f>
        <v>0.758079</v>
      </c>
      <c r="L920" s="61" t="n">
        <f aca="false">H920*Resumo!$C$8</f>
        <v>0.758079</v>
      </c>
      <c r="M920" s="61" t="n">
        <f aca="false">Resumo!$C$10*CEILING(G920/100,1)</f>
        <v>1.05</v>
      </c>
      <c r="N920" s="61" t="n">
        <f aca="false">Resumo!$C$9</f>
        <v>0</v>
      </c>
      <c r="O920" s="61" t="n">
        <f aca="false">Resumo!$C$13</f>
        <v>13.55</v>
      </c>
      <c r="P920" s="61" t="n">
        <f aca="false">Resumo!$C$14*CEILING(G920,1)</f>
        <v>17.1</v>
      </c>
      <c r="Q920" s="61" t="n">
        <f aca="false">SUM(I920:P920)*Resumo!$C$11</f>
        <v>0</v>
      </c>
      <c r="R920" s="61" t="n">
        <f aca="false">SUM(I920:Q920)</f>
        <v>81.566158</v>
      </c>
      <c r="S920" s="61" t="n">
        <f aca="false">R920/(1-Resumo!$C$5)</f>
        <v>92.6888159090909</v>
      </c>
      <c r="T920" s="61" t="n">
        <v>93.97</v>
      </c>
      <c r="U920" s="61" t="n">
        <f aca="false">H920*Resumo!$B$6</f>
        <v>0.36099</v>
      </c>
      <c r="V920" s="61" t="n">
        <f aca="false">H920*Resumo!$B$7</f>
        <v>0.72198</v>
      </c>
      <c r="W920" s="61" t="n">
        <f aca="false">Resumo!$B$9</f>
        <v>1</v>
      </c>
      <c r="X920" s="61" t="n">
        <f aca="false">Resumo!$B$10*CEILING(G920/100,1)</f>
        <v>4.5</v>
      </c>
      <c r="Y920" s="61" t="n">
        <f aca="false">Resumo!$B$12*CEILING(G920,1)</f>
        <v>2.28</v>
      </c>
      <c r="Z920" s="61" t="n">
        <f aca="false">Resumo!$B$14*CEILING(G920,1)</f>
        <v>17.1</v>
      </c>
      <c r="AA920" s="61" t="n">
        <f aca="false">SUM(T920:Z920)</f>
        <v>119.93297</v>
      </c>
      <c r="AB920" s="61" t="n">
        <f aca="false">AA920/(1-Resumo!$B$5)</f>
        <v>136.287465909091</v>
      </c>
      <c r="AC920" s="61" t="n">
        <f aca="false">AB920-S920</f>
        <v>43.59865</v>
      </c>
      <c r="AD920" s="62" t="n">
        <f aca="false">AB920/S920-1</f>
        <v>0.470376599079241</v>
      </c>
      <c r="AE920" s="60" t="str">
        <f aca="false">IF(AB920&lt;S920,"SIM","NÃO")</f>
        <v>NÃO</v>
      </c>
      <c r="AF920" s="60" t="n">
        <v>2</v>
      </c>
      <c r="AG920" s="60" t="n">
        <v>5</v>
      </c>
      <c r="AH920" s="60" t="s">
        <v>382</v>
      </c>
      <c r="AI920" s="61" t="n">
        <f aca="false">(T920*(1-Painel!$C$40)+U920+V920+Painel!$C$41+Painel!$C$42*CEILING(G920/100,1)+Painel!$C$43*CEILING(G920,1)+Z920)/(1-Resumo!$B$5)</f>
        <v>94.5373522727273</v>
      </c>
      <c r="AJ920" s="60" t="str">
        <f aca="false">IF(AI920&lt;S920,"SIM","NÃO")</f>
        <v>NÃO</v>
      </c>
    </row>
    <row r="921" customFormat="false" ht="15" hidden="false" customHeight="false" outlineLevel="0" collapsed="false">
      <c r="A921" s="59" t="n">
        <v>46246.6416898148</v>
      </c>
      <c r="B921" s="60" t="s">
        <v>1254</v>
      </c>
      <c r="C921" s="60" t="n">
        <v>23907205</v>
      </c>
      <c r="D921" s="60" t="s">
        <v>218</v>
      </c>
      <c r="E921" s="60" t="s">
        <v>24</v>
      </c>
      <c r="F921" s="60" t="s">
        <v>233</v>
      </c>
      <c r="G921" s="60" t="n">
        <v>34.4</v>
      </c>
      <c r="H921" s="61" t="n">
        <v>539.98</v>
      </c>
      <c r="I921" s="61" t="n">
        <v>65.63</v>
      </c>
      <c r="J921" s="61" t="n">
        <f aca="false">H921*Resumo!$C$6</f>
        <v>0</v>
      </c>
      <c r="K921" s="61" t="n">
        <f aca="false">H921*Resumo!$C$7</f>
        <v>1.133958</v>
      </c>
      <c r="L921" s="61" t="n">
        <f aca="false">H921*Resumo!$C$8</f>
        <v>1.133958</v>
      </c>
      <c r="M921" s="61" t="n">
        <f aca="false">Resumo!$C$10*CEILING(G921/100,1)</f>
        <v>1.05</v>
      </c>
      <c r="N921" s="61" t="n">
        <f aca="false">Resumo!$C$9</f>
        <v>0</v>
      </c>
      <c r="O921" s="61" t="n">
        <f aca="false">Resumo!$C$13</f>
        <v>13.55</v>
      </c>
      <c r="P921" s="61" t="n">
        <f aca="false">Resumo!$C$14*CEILING(G921,1)</f>
        <v>15.75</v>
      </c>
      <c r="Q921" s="61" t="n">
        <f aca="false">SUM(I921:P921)*Resumo!$C$11</f>
        <v>0</v>
      </c>
      <c r="R921" s="61" t="n">
        <f aca="false">SUM(I921:Q921)</f>
        <v>98.247916</v>
      </c>
      <c r="S921" s="61" t="n">
        <f aca="false">R921/(1-Resumo!$C$5)</f>
        <v>111.645359090909</v>
      </c>
      <c r="T921" s="61" t="n">
        <v>108.83</v>
      </c>
      <c r="U921" s="61" t="n">
        <f aca="false">H921*Resumo!$B$6</f>
        <v>0.53998</v>
      </c>
      <c r="V921" s="61" t="n">
        <f aca="false">H921*Resumo!$B$7</f>
        <v>1.07996</v>
      </c>
      <c r="W921" s="61" t="n">
        <f aca="false">Resumo!$B$9</f>
        <v>1</v>
      </c>
      <c r="X921" s="61" t="n">
        <f aca="false">Resumo!$B$10*CEILING(G921/100,1)</f>
        <v>4.5</v>
      </c>
      <c r="Y921" s="61" t="n">
        <f aca="false">Resumo!$B$12*CEILING(G921,1)</f>
        <v>2.1</v>
      </c>
      <c r="Z921" s="61" t="n">
        <f aca="false">Resumo!$B$14*CEILING(G921,1)</f>
        <v>15.75</v>
      </c>
      <c r="AA921" s="61" t="n">
        <f aca="false">SUM(T921:Z921)</f>
        <v>133.79994</v>
      </c>
      <c r="AB921" s="61" t="n">
        <f aca="false">AA921/(1-Resumo!$B$5)</f>
        <v>152.045386363636</v>
      </c>
      <c r="AC921" s="61" t="n">
        <f aca="false">AB921-S921</f>
        <v>40.4000272727273</v>
      </c>
      <c r="AD921" s="62" t="n">
        <f aca="false">AB921/S921-1</f>
        <v>0.361860337068117</v>
      </c>
      <c r="AE921" s="60" t="str">
        <f aca="false">IF(AB921&lt;S921,"SIM","NÃO")</f>
        <v>NÃO</v>
      </c>
      <c r="AF921" s="60" t="n">
        <v>13</v>
      </c>
      <c r="AG921" s="60" t="n">
        <v>10</v>
      </c>
      <c r="AH921" s="60" t="s">
        <v>382</v>
      </c>
      <c r="AI921" s="61" t="n">
        <f aca="false">(T921*(1-Painel!$C$40)+U921+V921+Painel!$C$41+Painel!$C$42*CEILING(G921/100,1)+Painel!$C$43*CEILING(G921,1)+Z921)/(1-Resumo!$B$5)</f>
        <v>104.927318181818</v>
      </c>
      <c r="AJ921" s="60" t="str">
        <f aca="false">IF(AI921&lt;S921,"SIM","NÃO")</f>
        <v>SIM</v>
      </c>
    </row>
    <row r="922" customFormat="false" ht="15" hidden="false" customHeight="false" outlineLevel="0" collapsed="false">
      <c r="A922" s="59" t="n">
        <v>46246.6432407407</v>
      </c>
      <c r="B922" s="60" t="s">
        <v>1255</v>
      </c>
      <c r="C922" s="60" t="n">
        <v>23082410</v>
      </c>
      <c r="D922" s="60" t="s">
        <v>46</v>
      </c>
      <c r="E922" s="60" t="s">
        <v>22</v>
      </c>
      <c r="F922" s="60" t="s">
        <v>240</v>
      </c>
      <c r="G922" s="60" t="n">
        <v>117</v>
      </c>
      <c r="H922" s="61" t="n">
        <v>1167</v>
      </c>
      <c r="I922" s="61" t="n">
        <v>92.34</v>
      </c>
      <c r="J922" s="61" t="n">
        <f aca="false">H922*Resumo!$C$6</f>
        <v>0</v>
      </c>
      <c r="K922" s="61" t="n">
        <f aca="false">H922*Resumo!$C$7</f>
        <v>2.4507</v>
      </c>
      <c r="L922" s="61" t="n">
        <f aca="false">H922*Resumo!$C$8</f>
        <v>2.4507</v>
      </c>
      <c r="M922" s="61" t="n">
        <f aca="false">Resumo!$C$10*CEILING(G922/100,1)</f>
        <v>2.1</v>
      </c>
      <c r="N922" s="61" t="n">
        <f aca="false">Resumo!$C$9</f>
        <v>0</v>
      </c>
      <c r="O922" s="61" t="n">
        <f aca="false">Resumo!$C$13</f>
        <v>13.55</v>
      </c>
      <c r="P922" s="61" t="n">
        <f aca="false">Resumo!$C$14*CEILING(G922,1)</f>
        <v>52.65</v>
      </c>
      <c r="Q922" s="61" t="n">
        <f aca="false">SUM(I922:P922)*Resumo!$C$11</f>
        <v>0</v>
      </c>
      <c r="R922" s="61" t="n">
        <f aca="false">SUM(I922:Q922)</f>
        <v>165.5414</v>
      </c>
      <c r="S922" s="61" t="n">
        <f aca="false">R922/(1-Resumo!$C$5)</f>
        <v>188.115227272727</v>
      </c>
      <c r="T922" s="61" t="n">
        <v>201.59</v>
      </c>
      <c r="U922" s="61" t="n">
        <f aca="false">H922*Resumo!$B$6</f>
        <v>1.167</v>
      </c>
      <c r="V922" s="61" t="n">
        <f aca="false">H922*Resumo!$B$7</f>
        <v>2.334</v>
      </c>
      <c r="W922" s="61" t="n">
        <f aca="false">Resumo!$B$9</f>
        <v>1</v>
      </c>
      <c r="X922" s="61" t="n">
        <f aca="false">Resumo!$B$10*CEILING(G922/100,1)</f>
        <v>9</v>
      </c>
      <c r="Y922" s="61" t="n">
        <f aca="false">Resumo!$B$12*CEILING(G922,1)</f>
        <v>7.02</v>
      </c>
      <c r="Z922" s="61" t="n">
        <f aca="false">Resumo!$B$14*CEILING(G922,1)</f>
        <v>52.65</v>
      </c>
      <c r="AA922" s="61" t="n">
        <f aca="false">SUM(T922:Z922)</f>
        <v>274.761</v>
      </c>
      <c r="AB922" s="61" t="n">
        <f aca="false">AA922/(1-Resumo!$B$5)</f>
        <v>312.228409090909</v>
      </c>
      <c r="AC922" s="61" t="n">
        <f aca="false">AB922-S922</f>
        <v>124.113181818182</v>
      </c>
      <c r="AD922" s="62" t="n">
        <f aca="false">AB922/S922-1</f>
        <v>0.659772117428027</v>
      </c>
      <c r="AE922" s="60" t="str">
        <f aca="false">IF(AB922&lt;S922,"SIM","NÃO")</f>
        <v>NÃO</v>
      </c>
      <c r="AF922" s="60" t="n">
        <v>2</v>
      </c>
      <c r="AG922" s="60" t="n">
        <v>5</v>
      </c>
      <c r="AH922" s="60" t="s">
        <v>382</v>
      </c>
      <c r="AI922" s="61" t="n">
        <f aca="false">(T922*(1-Painel!$C$40)+U922+V922+Painel!$C$41+Painel!$C$42*CEILING(G922/100,1)+Painel!$C$43*CEILING(G922,1)+Z922)/(1-Resumo!$B$5)</f>
        <v>220.813977272727</v>
      </c>
      <c r="AJ922" s="60" t="str">
        <f aca="false">IF(AI922&lt;S922,"SIM","NÃO")</f>
        <v>NÃO</v>
      </c>
    </row>
    <row r="923" customFormat="false" ht="15" hidden="false" customHeight="false" outlineLevel="0" collapsed="false">
      <c r="A923" s="59" t="n">
        <v>46246.6555324074</v>
      </c>
      <c r="B923" s="60" t="s">
        <v>1256</v>
      </c>
      <c r="C923" s="60" t="n">
        <v>25550500</v>
      </c>
      <c r="D923" s="60" t="s">
        <v>216</v>
      </c>
      <c r="E923" s="60" t="s">
        <v>23</v>
      </c>
      <c r="F923" s="60" t="s">
        <v>234</v>
      </c>
      <c r="G923" s="60" t="n">
        <v>36.8</v>
      </c>
      <c r="H923" s="61" t="n">
        <v>439.99</v>
      </c>
      <c r="I923" s="61" t="n">
        <v>66.83</v>
      </c>
      <c r="J923" s="61" t="n">
        <f aca="false">H923*Resumo!$C$6</f>
        <v>0</v>
      </c>
      <c r="K923" s="61" t="n">
        <f aca="false">H923*Resumo!$C$7</f>
        <v>0.923979</v>
      </c>
      <c r="L923" s="61" t="n">
        <f aca="false">H923*Resumo!$C$8</f>
        <v>0.923979</v>
      </c>
      <c r="M923" s="61" t="n">
        <f aca="false">Resumo!$C$10*CEILING(G923/100,1)</f>
        <v>1.05</v>
      </c>
      <c r="N923" s="61" t="n">
        <f aca="false">Resumo!$C$9</f>
        <v>0</v>
      </c>
      <c r="O923" s="61" t="n">
        <f aca="false">Resumo!$C$13</f>
        <v>13.55</v>
      </c>
      <c r="P923" s="61" t="n">
        <f aca="false">Resumo!$C$14*CEILING(G923,1)</f>
        <v>16.65</v>
      </c>
      <c r="Q923" s="61" t="n">
        <f aca="false">SUM(I923:P923)*Resumo!$C$11</f>
        <v>0</v>
      </c>
      <c r="R923" s="61" t="n">
        <f aca="false">SUM(I923:Q923)</f>
        <v>99.927958</v>
      </c>
      <c r="S923" s="61" t="n">
        <f aca="false">R923/(1-Resumo!$C$5)</f>
        <v>113.554497727273</v>
      </c>
      <c r="T923" s="61" t="n">
        <v>93.97</v>
      </c>
      <c r="U923" s="61" t="n">
        <f aca="false">H923*Resumo!$B$6</f>
        <v>0.43999</v>
      </c>
      <c r="V923" s="61" t="n">
        <f aca="false">H923*Resumo!$B$7</f>
        <v>0.87998</v>
      </c>
      <c r="W923" s="61" t="n">
        <f aca="false">Resumo!$B$9</f>
        <v>1</v>
      </c>
      <c r="X923" s="61" t="n">
        <f aca="false">Resumo!$B$10*CEILING(G923/100,1)</f>
        <v>4.5</v>
      </c>
      <c r="Y923" s="61" t="n">
        <f aca="false">Resumo!$B$12*CEILING(G923,1)</f>
        <v>2.22</v>
      </c>
      <c r="Z923" s="61" t="n">
        <f aca="false">Resumo!$B$14*CEILING(G923,1)</f>
        <v>16.65</v>
      </c>
      <c r="AA923" s="61" t="n">
        <f aca="false">SUM(T923:Z923)</f>
        <v>119.65997</v>
      </c>
      <c r="AB923" s="61" t="n">
        <f aca="false">AA923/(1-Resumo!$B$5)</f>
        <v>135.977238636364</v>
      </c>
      <c r="AC923" s="61" t="n">
        <f aca="false">AB923-S923</f>
        <v>22.4227409090909</v>
      </c>
      <c r="AD923" s="62" t="n">
        <f aca="false">AB923/S923-1</f>
        <v>0.197462375844806</v>
      </c>
      <c r="AE923" s="60" t="str">
        <f aca="false">IF(AB923&lt;S923,"SIM","NÃO")</f>
        <v>NÃO</v>
      </c>
      <c r="AF923" s="60" t="n">
        <v>2</v>
      </c>
      <c r="AG923" s="60" t="n">
        <v>5</v>
      </c>
      <c r="AH923" s="60" t="s">
        <v>382</v>
      </c>
      <c r="AI923" s="61" t="n">
        <f aca="false">(T923*(1-Painel!$C$40)+U923+V923+Painel!$C$41+Painel!$C$42*CEILING(G923/100,1)+Painel!$C$43*CEILING(G923,1)+Z923)/(1-Resumo!$B$5)</f>
        <v>94.2953068181818</v>
      </c>
      <c r="AJ923" s="60" t="str">
        <f aca="false">IF(AI923&lt;S923,"SIM","NÃO")</f>
        <v>SIM</v>
      </c>
    </row>
    <row r="924" customFormat="false" ht="15" hidden="false" customHeight="false" outlineLevel="0" collapsed="false">
      <c r="A924" s="59" t="n">
        <v>46246.6626041667</v>
      </c>
      <c r="B924" s="60" t="s">
        <v>1257</v>
      </c>
      <c r="C924" s="60" t="n">
        <v>25555201</v>
      </c>
      <c r="D924" s="60" t="s">
        <v>216</v>
      </c>
      <c r="E924" s="60" t="s">
        <v>23</v>
      </c>
      <c r="F924" s="60" t="s">
        <v>241</v>
      </c>
      <c r="G924" s="60" t="n">
        <v>135</v>
      </c>
      <c r="H924" s="61" t="n">
        <v>1599.99</v>
      </c>
      <c r="I924" s="61" t="n">
        <v>129.62</v>
      </c>
      <c r="J924" s="61" t="n">
        <f aca="false">H924*Resumo!$C$6</f>
        <v>0</v>
      </c>
      <c r="K924" s="61" t="n">
        <f aca="false">H924*Resumo!$C$7</f>
        <v>3.359979</v>
      </c>
      <c r="L924" s="61" t="n">
        <f aca="false">H924*Resumo!$C$8</f>
        <v>3.359979</v>
      </c>
      <c r="M924" s="61" t="n">
        <f aca="false">Resumo!$C$10*CEILING(G924/100,1)</f>
        <v>2.1</v>
      </c>
      <c r="N924" s="61" t="n">
        <f aca="false">Resumo!$C$9</f>
        <v>0</v>
      </c>
      <c r="O924" s="61" t="n">
        <f aca="false">Resumo!$C$13</f>
        <v>13.55</v>
      </c>
      <c r="P924" s="61" t="n">
        <f aca="false">Resumo!$C$14*CEILING(G924,1)</f>
        <v>60.75</v>
      </c>
      <c r="Q924" s="61" t="n">
        <f aca="false">SUM(I924:P924)*Resumo!$C$11</f>
        <v>0</v>
      </c>
      <c r="R924" s="61" t="n">
        <f aca="false">SUM(I924:Q924)</f>
        <v>212.739958</v>
      </c>
      <c r="S924" s="61" t="n">
        <f aca="false">R924/(1-Resumo!$C$5)</f>
        <v>241.749952272727</v>
      </c>
      <c r="T924" s="61" t="n">
        <v>239.25</v>
      </c>
      <c r="U924" s="61" t="n">
        <f aca="false">H924*Resumo!$B$6</f>
        <v>1.59999</v>
      </c>
      <c r="V924" s="61" t="n">
        <f aca="false">H924*Resumo!$B$7</f>
        <v>3.19998</v>
      </c>
      <c r="W924" s="61" t="n">
        <f aca="false">Resumo!$B$9</f>
        <v>1</v>
      </c>
      <c r="X924" s="61" t="n">
        <f aca="false">Resumo!$B$10*CEILING(G924/100,1)</f>
        <v>9</v>
      </c>
      <c r="Y924" s="61" t="n">
        <f aca="false">Resumo!$B$12*CEILING(G924,1)</f>
        <v>8.1</v>
      </c>
      <c r="Z924" s="61" t="n">
        <f aca="false">Resumo!$B$14*CEILING(G924,1)</f>
        <v>60.75</v>
      </c>
      <c r="AA924" s="61" t="n">
        <f aca="false">SUM(T924:Z924)</f>
        <v>322.89997</v>
      </c>
      <c r="AB924" s="61" t="n">
        <f aca="false">AA924/(1-Resumo!$B$5)</f>
        <v>366.931784090909</v>
      </c>
      <c r="AC924" s="61" t="n">
        <f aca="false">AB924-S924</f>
        <v>125.181831818182</v>
      </c>
      <c r="AD924" s="62" t="n">
        <f aca="false">AB924/S924-1</f>
        <v>0.517815332087261</v>
      </c>
      <c r="AE924" s="60" t="str">
        <f aca="false">IF(AB924&lt;S924,"SIM","NÃO")</f>
        <v>NÃO</v>
      </c>
      <c r="AF924" s="60" t="n">
        <v>2</v>
      </c>
      <c r="AG924" s="60" t="n">
        <v>5</v>
      </c>
      <c r="AH924" s="60" t="s">
        <v>382</v>
      </c>
      <c r="AI924" s="61" t="n">
        <f aca="false">(T924*(1-Painel!$C$40)+U924+V924+Painel!$C$41+Painel!$C$42*CEILING(G924/100,1)+Painel!$C$43*CEILING(G924,1)+Z924)/(1-Resumo!$B$5)</f>
        <v>260.167579545455</v>
      </c>
      <c r="AJ924" s="60" t="str">
        <f aca="false">IF(AI924&lt;S924,"SIM","NÃO")</f>
        <v>NÃO</v>
      </c>
    </row>
    <row r="925" customFormat="false" ht="15" hidden="false" customHeight="false" outlineLevel="0" collapsed="false">
      <c r="A925" s="59" t="n">
        <v>46246.7041203704</v>
      </c>
      <c r="B925" s="60" t="s">
        <v>1258</v>
      </c>
      <c r="C925" s="60" t="n">
        <v>24745120</v>
      </c>
      <c r="D925" s="60" t="s">
        <v>47</v>
      </c>
      <c r="E925" s="60" t="s">
        <v>23</v>
      </c>
      <c r="F925" s="60" t="s">
        <v>236</v>
      </c>
      <c r="G925" s="60" t="n">
        <v>60</v>
      </c>
      <c r="H925" s="61" t="n">
        <v>969.99</v>
      </c>
      <c r="I925" s="61" t="n">
        <v>70.98</v>
      </c>
      <c r="J925" s="61" t="n">
        <f aca="false">H925*Resumo!$C$6</f>
        <v>0</v>
      </c>
      <c r="K925" s="61" t="n">
        <f aca="false">H925*Resumo!$C$7</f>
        <v>2.036979</v>
      </c>
      <c r="L925" s="61" t="n">
        <f aca="false">H925*Resumo!$C$8</f>
        <v>2.036979</v>
      </c>
      <c r="M925" s="61" t="n">
        <f aca="false">Resumo!$C$10*CEILING(G925/100,1)</f>
        <v>1.05</v>
      </c>
      <c r="N925" s="61" t="n">
        <f aca="false">Resumo!$C$9</f>
        <v>0</v>
      </c>
      <c r="O925" s="61" t="n">
        <f aca="false">Resumo!$C$13</f>
        <v>13.55</v>
      </c>
      <c r="P925" s="61" t="n">
        <f aca="false">Resumo!$C$14*CEILING(G925,1)</f>
        <v>27</v>
      </c>
      <c r="Q925" s="61" t="n">
        <f aca="false">SUM(I925:P925)*Resumo!$C$11</f>
        <v>0</v>
      </c>
      <c r="R925" s="61" t="n">
        <f aca="false">SUM(I925:Q925)</f>
        <v>116.653958</v>
      </c>
      <c r="S925" s="61" t="n">
        <f aca="false">R925/(1-Resumo!$C$5)</f>
        <v>132.561315909091</v>
      </c>
      <c r="T925" s="61" t="n">
        <v>128.14</v>
      </c>
      <c r="U925" s="61" t="n">
        <f aca="false">H925*Resumo!$B$6</f>
        <v>0.96999</v>
      </c>
      <c r="V925" s="61" t="n">
        <f aca="false">H925*Resumo!$B$7</f>
        <v>1.93998</v>
      </c>
      <c r="W925" s="61" t="n">
        <f aca="false">Resumo!$B$9</f>
        <v>1</v>
      </c>
      <c r="X925" s="61" t="n">
        <f aca="false">Resumo!$B$10*CEILING(G925/100,1)</f>
        <v>4.5</v>
      </c>
      <c r="Y925" s="61" t="n">
        <f aca="false">Resumo!$B$12*CEILING(G925,1)</f>
        <v>3.6</v>
      </c>
      <c r="Z925" s="61" t="n">
        <f aca="false">Resumo!$B$14*CEILING(G925,1)</f>
        <v>27</v>
      </c>
      <c r="AA925" s="61" t="n">
        <f aca="false">SUM(T925:Z925)</f>
        <v>167.14997</v>
      </c>
      <c r="AB925" s="61" t="n">
        <f aca="false">AA925/(1-Resumo!$B$5)</f>
        <v>189.943147727273</v>
      </c>
      <c r="AC925" s="61" t="n">
        <f aca="false">AB925-S925</f>
        <v>57.3818318181818</v>
      </c>
      <c r="AD925" s="62" t="n">
        <f aca="false">AB925/S925-1</f>
        <v>0.432870113159812</v>
      </c>
      <c r="AE925" s="60" t="str">
        <f aca="false">IF(AB925&lt;S925,"SIM","NÃO")</f>
        <v>NÃO</v>
      </c>
      <c r="AF925" s="60" t="n">
        <v>2</v>
      </c>
      <c r="AG925" s="60" t="n">
        <v>7</v>
      </c>
      <c r="AH925" s="60" t="s">
        <v>382</v>
      </c>
      <c r="AI925" s="61" t="n">
        <f aca="false">(T925*(1-Painel!$C$40)+U925+V925+Painel!$C$41+Painel!$C$42*CEILING(G925/100,1)+Painel!$C$43*CEILING(G925,1)+Z925)/(1-Resumo!$B$5)</f>
        <v>133.879284090909</v>
      </c>
      <c r="AJ925" s="60" t="str">
        <f aca="false">IF(AI925&lt;S925,"SIM","NÃO")</f>
        <v>NÃO</v>
      </c>
    </row>
    <row r="926" customFormat="false" ht="15" hidden="false" customHeight="false" outlineLevel="0" collapsed="false">
      <c r="A926" s="59" t="n">
        <v>46246.7088888889</v>
      </c>
      <c r="B926" s="60" t="s">
        <v>1259</v>
      </c>
      <c r="C926" s="60" t="n">
        <v>25272660</v>
      </c>
      <c r="D926" s="60" t="s">
        <v>48</v>
      </c>
      <c r="E926" s="60" t="s">
        <v>23</v>
      </c>
      <c r="F926" s="60" t="s">
        <v>237</v>
      </c>
      <c r="G926" s="60" t="n">
        <v>66.8</v>
      </c>
      <c r="H926" s="61" t="n">
        <v>699.99</v>
      </c>
      <c r="I926" s="61" t="n">
        <v>76.55</v>
      </c>
      <c r="J926" s="61" t="n">
        <f aca="false">H926*Resumo!$C$6</f>
        <v>0</v>
      </c>
      <c r="K926" s="61" t="n">
        <f aca="false">H926*Resumo!$C$7</f>
        <v>1.469979</v>
      </c>
      <c r="L926" s="61" t="n">
        <f aca="false">H926*Resumo!$C$8</f>
        <v>1.469979</v>
      </c>
      <c r="M926" s="61" t="n">
        <f aca="false">Resumo!$C$10*CEILING(G926/100,1)</f>
        <v>1.05</v>
      </c>
      <c r="N926" s="61" t="n">
        <f aca="false">Resumo!$C$9</f>
        <v>0</v>
      </c>
      <c r="O926" s="61" t="n">
        <f aca="false">Resumo!$C$13</f>
        <v>13.55</v>
      </c>
      <c r="P926" s="61" t="n">
        <f aca="false">Resumo!$C$14*CEILING(G926,1)</f>
        <v>30.15</v>
      </c>
      <c r="Q926" s="61" t="n">
        <f aca="false">SUM(I926:P926)*Resumo!$C$11</f>
        <v>0</v>
      </c>
      <c r="R926" s="61" t="n">
        <f aca="false">SUM(I926:Q926)</f>
        <v>124.239958</v>
      </c>
      <c r="S926" s="61" t="n">
        <f aca="false">R926/(1-Resumo!$C$5)</f>
        <v>141.181770454545</v>
      </c>
      <c r="T926" s="61" t="n">
        <v>131.02</v>
      </c>
      <c r="U926" s="61" t="n">
        <f aca="false">H926*Resumo!$B$6</f>
        <v>0.69999</v>
      </c>
      <c r="V926" s="61" t="n">
        <f aca="false">H926*Resumo!$B$7</f>
        <v>1.39998</v>
      </c>
      <c r="W926" s="61" t="n">
        <f aca="false">Resumo!$B$9</f>
        <v>1</v>
      </c>
      <c r="X926" s="61" t="n">
        <f aca="false">Resumo!$B$10*CEILING(G926/100,1)</f>
        <v>4.5</v>
      </c>
      <c r="Y926" s="61" t="n">
        <f aca="false">Resumo!$B$12*CEILING(G926,1)</f>
        <v>4.02</v>
      </c>
      <c r="Z926" s="61" t="n">
        <f aca="false">Resumo!$B$14*CEILING(G926,1)</f>
        <v>30.15</v>
      </c>
      <c r="AA926" s="61" t="n">
        <f aca="false">SUM(T926:Z926)</f>
        <v>172.78997</v>
      </c>
      <c r="AB926" s="61" t="n">
        <f aca="false">AA926/(1-Resumo!$B$5)</f>
        <v>196.352238636364</v>
      </c>
      <c r="AC926" s="61" t="n">
        <f aca="false">AB926-S926</f>
        <v>55.1704681818182</v>
      </c>
      <c r="AD926" s="62" t="n">
        <f aca="false">AB926/S926-1</f>
        <v>0.390776146270108</v>
      </c>
      <c r="AE926" s="60" t="str">
        <f aca="false">IF(AB926&lt;S926,"SIM","NÃO")</f>
        <v>NÃO</v>
      </c>
      <c r="AF926" s="60" t="n">
        <v>2</v>
      </c>
      <c r="AG926" s="60" t="n">
        <v>5</v>
      </c>
      <c r="AH926" s="60" t="s">
        <v>382</v>
      </c>
      <c r="AI926" s="61" t="n">
        <f aca="false">(T926*(1-Painel!$C$40)+U926+V926+Painel!$C$41+Painel!$C$42*CEILING(G926/100,1)+Painel!$C$43*CEILING(G926,1)+Z926)/(1-Resumo!$B$5)</f>
        <v>138.731102272727</v>
      </c>
      <c r="AJ926" s="60" t="str">
        <f aca="false">IF(AI926&lt;S926,"SIM","NÃO")</f>
        <v>SIM</v>
      </c>
    </row>
    <row r="927" customFormat="false" ht="15" hidden="false" customHeight="false" outlineLevel="0" collapsed="false">
      <c r="A927" s="59" t="n">
        <v>46246.7187152778</v>
      </c>
      <c r="B927" s="60" t="s">
        <v>1260</v>
      </c>
      <c r="C927" s="60" t="n">
        <v>24340105</v>
      </c>
      <c r="D927" s="60" t="s">
        <v>50</v>
      </c>
      <c r="E927" s="60" t="s">
        <v>23</v>
      </c>
      <c r="F927" s="60" t="s">
        <v>237</v>
      </c>
      <c r="G927" s="60" t="n">
        <v>69</v>
      </c>
      <c r="H927" s="61" t="n">
        <v>839.99</v>
      </c>
      <c r="I927" s="61" t="n">
        <v>76.55</v>
      </c>
      <c r="J927" s="61" t="n">
        <f aca="false">H927*Resumo!$C$6</f>
        <v>0</v>
      </c>
      <c r="K927" s="61" t="n">
        <f aca="false">H927*Resumo!$C$7</f>
        <v>1.763979</v>
      </c>
      <c r="L927" s="61" t="n">
        <f aca="false">H927*Resumo!$C$8</f>
        <v>1.763979</v>
      </c>
      <c r="M927" s="61" t="n">
        <f aca="false">Resumo!$C$10*CEILING(G927/100,1)</f>
        <v>1.05</v>
      </c>
      <c r="N927" s="61" t="n">
        <f aca="false">Resumo!$C$9</f>
        <v>0</v>
      </c>
      <c r="O927" s="61" t="n">
        <f aca="false">Resumo!$C$13</f>
        <v>13.55</v>
      </c>
      <c r="P927" s="61" t="n">
        <f aca="false">Resumo!$C$14*CEILING(G927,1)</f>
        <v>31.05</v>
      </c>
      <c r="Q927" s="61" t="n">
        <f aca="false">SUM(I927:P927)*Resumo!$C$11</f>
        <v>0</v>
      </c>
      <c r="R927" s="61" t="n">
        <f aca="false">SUM(I927:Q927)</f>
        <v>125.727958</v>
      </c>
      <c r="S927" s="61" t="n">
        <f aca="false">R927/(1-Resumo!$C$5)</f>
        <v>142.872679545455</v>
      </c>
      <c r="T927" s="61" t="n">
        <v>149.5</v>
      </c>
      <c r="U927" s="61" t="n">
        <f aca="false">H927*Resumo!$B$6</f>
        <v>0.83999</v>
      </c>
      <c r="V927" s="61" t="n">
        <f aca="false">H927*Resumo!$B$7</f>
        <v>1.67998</v>
      </c>
      <c r="W927" s="61" t="n">
        <f aca="false">Resumo!$B$9</f>
        <v>1</v>
      </c>
      <c r="X927" s="61" t="n">
        <f aca="false">Resumo!$B$10*CEILING(G927/100,1)</f>
        <v>4.5</v>
      </c>
      <c r="Y927" s="61" t="n">
        <f aca="false">Resumo!$B$12*CEILING(G927,1)</f>
        <v>4.14</v>
      </c>
      <c r="Z927" s="61" t="n">
        <f aca="false">Resumo!$B$14*CEILING(G927,1)</f>
        <v>31.05</v>
      </c>
      <c r="AA927" s="61" t="n">
        <f aca="false">SUM(T927:Z927)</f>
        <v>192.70997</v>
      </c>
      <c r="AB927" s="61" t="n">
        <f aca="false">AA927/(1-Resumo!$B$5)</f>
        <v>218.988602272727</v>
      </c>
      <c r="AC927" s="61" t="n">
        <f aca="false">AB927-S927</f>
        <v>76.1159227272727</v>
      </c>
      <c r="AD927" s="62" t="n">
        <f aca="false">AB927/S927-1</f>
        <v>0.53275351851336</v>
      </c>
      <c r="AE927" s="60" t="str">
        <f aca="false">IF(AB927&lt;S927,"SIM","NÃO")</f>
        <v>NÃO</v>
      </c>
      <c r="AF927" s="60" t="n">
        <v>2</v>
      </c>
      <c r="AG927" s="60" t="n">
        <v>7</v>
      </c>
      <c r="AH927" s="60" t="s">
        <v>382</v>
      </c>
      <c r="AI927" s="61" t="n">
        <f aca="false">(T927*(1-Painel!$C$40)+U927+V927+Painel!$C$41+Painel!$C$42*CEILING(G927/100,1)+Painel!$C$43*CEILING(G927,1)+Z927)/(1-Resumo!$B$5)</f>
        <v>154.301102272727</v>
      </c>
      <c r="AJ927" s="60" t="str">
        <f aca="false">IF(AI927&lt;S927,"SIM","NÃO")</f>
        <v>NÃO</v>
      </c>
    </row>
    <row r="928" customFormat="false" ht="15" hidden="false" customHeight="false" outlineLevel="0" collapsed="false">
      <c r="A928" s="59" t="n">
        <v>46246.7330208333</v>
      </c>
      <c r="B928" s="60" t="s">
        <v>1261</v>
      </c>
      <c r="C928" s="60" t="n">
        <v>28990760</v>
      </c>
      <c r="D928" s="60" t="s">
        <v>341</v>
      </c>
      <c r="E928" s="60" t="s">
        <v>24</v>
      </c>
      <c r="F928" s="60" t="s">
        <v>234</v>
      </c>
      <c r="G928" s="60" t="n">
        <v>37.2</v>
      </c>
      <c r="H928" s="61" t="n">
        <v>360.99</v>
      </c>
      <c r="I928" s="61" t="n">
        <v>74.97</v>
      </c>
      <c r="J928" s="61" t="n">
        <f aca="false">H928*Resumo!$C$6</f>
        <v>0</v>
      </c>
      <c r="K928" s="61" t="n">
        <f aca="false">H928*Resumo!$C$7</f>
        <v>0.758079</v>
      </c>
      <c r="L928" s="61" t="n">
        <f aca="false">H928*Resumo!$C$8</f>
        <v>0.758079</v>
      </c>
      <c r="M928" s="61" t="n">
        <f aca="false">Resumo!$C$10*CEILING(G928/100,1)</f>
        <v>1.05</v>
      </c>
      <c r="N928" s="61" t="n">
        <f aca="false">Resumo!$C$9</f>
        <v>0</v>
      </c>
      <c r="O928" s="61" t="n">
        <f aca="false">Resumo!$C$13</f>
        <v>13.55</v>
      </c>
      <c r="P928" s="61" t="n">
        <f aca="false">Resumo!$C$14*CEILING(G928,1)</f>
        <v>17.1</v>
      </c>
      <c r="Q928" s="61" t="n">
        <f aca="false">SUM(I928:P928)*Resumo!$C$11</f>
        <v>0</v>
      </c>
      <c r="R928" s="61" t="n">
        <f aca="false">SUM(I928:Q928)</f>
        <v>108.186158</v>
      </c>
      <c r="S928" s="61" t="n">
        <f aca="false">R928/(1-Resumo!$C$5)</f>
        <v>122.938815909091</v>
      </c>
      <c r="T928" s="61" t="n">
        <v>124.38</v>
      </c>
      <c r="U928" s="61" t="n">
        <f aca="false">H928*Resumo!$B$6</f>
        <v>0.36099</v>
      </c>
      <c r="V928" s="61" t="n">
        <f aca="false">H928*Resumo!$B$7</f>
        <v>0.72198</v>
      </c>
      <c r="W928" s="61" t="n">
        <f aca="false">Resumo!$B$9</f>
        <v>1</v>
      </c>
      <c r="X928" s="61" t="n">
        <f aca="false">Resumo!$B$10*CEILING(G928/100,1)</f>
        <v>4.5</v>
      </c>
      <c r="Y928" s="61" t="n">
        <f aca="false">Resumo!$B$12*CEILING(G928,1)</f>
        <v>2.28</v>
      </c>
      <c r="Z928" s="61" t="n">
        <f aca="false">Resumo!$B$14*CEILING(G928,1)</f>
        <v>17.1</v>
      </c>
      <c r="AA928" s="61" t="n">
        <f aca="false">SUM(T928:Z928)</f>
        <v>150.34297</v>
      </c>
      <c r="AB928" s="61" t="n">
        <f aca="false">AA928/(1-Resumo!$B$5)</f>
        <v>170.844284090909</v>
      </c>
      <c r="AC928" s="61" t="n">
        <f aca="false">AB928-S928</f>
        <v>47.9054681818182</v>
      </c>
      <c r="AD928" s="62" t="n">
        <f aca="false">AB928/S928-1</f>
        <v>0.389669184850801</v>
      </c>
      <c r="AE928" s="60" t="str">
        <f aca="false">IF(AB928&lt;S928,"SIM","NÃO")</f>
        <v>NÃO</v>
      </c>
      <c r="AF928" s="60" t="n">
        <v>13</v>
      </c>
      <c r="AG928" s="60" t="n">
        <v>10</v>
      </c>
      <c r="AH928" s="60" t="s">
        <v>385</v>
      </c>
      <c r="AI928" s="61" t="n">
        <f aca="false">(T928*(1-Painel!$C$40)+U928+V928+Painel!$C$41+Painel!$C$42*CEILING(G928/100,1)+Painel!$C$43*CEILING(G928,1)+Z928)/(1-Resumo!$B$5)</f>
        <v>117.690420454545</v>
      </c>
      <c r="AJ928" s="60" t="str">
        <f aca="false">IF(AI928&lt;S928,"SIM","NÃO")</f>
        <v>SIM</v>
      </c>
    </row>
    <row r="929" customFormat="false" ht="15" hidden="false" customHeight="false" outlineLevel="0" collapsed="false">
      <c r="A929" s="59" t="n">
        <v>46246.7342013889</v>
      </c>
      <c r="B929" s="60" t="s">
        <v>1253</v>
      </c>
      <c r="C929" s="60" t="n">
        <v>21210270</v>
      </c>
      <c r="D929" s="60" t="s">
        <v>46</v>
      </c>
      <c r="E929" s="60" t="s">
        <v>22</v>
      </c>
      <c r="F929" s="60" t="s">
        <v>233</v>
      </c>
      <c r="G929" s="60" t="n">
        <v>22.04</v>
      </c>
      <c r="H929" s="61" t="n">
        <v>271.43</v>
      </c>
      <c r="I929" s="61" t="n">
        <v>42.11</v>
      </c>
      <c r="J929" s="61" t="n">
        <f aca="false">H929*Resumo!$C$6</f>
        <v>0</v>
      </c>
      <c r="K929" s="61" t="n">
        <f aca="false">H929*Resumo!$C$7</f>
        <v>0.570003</v>
      </c>
      <c r="L929" s="61" t="n">
        <f aca="false">H929*Resumo!$C$8</f>
        <v>0.570003</v>
      </c>
      <c r="M929" s="61" t="n">
        <f aca="false">Resumo!$C$10*CEILING(G929/100,1)</f>
        <v>1.05</v>
      </c>
      <c r="N929" s="61" t="n">
        <f aca="false">Resumo!$C$9</f>
        <v>0</v>
      </c>
      <c r="O929" s="61" t="n">
        <f aca="false">Resumo!$C$13</f>
        <v>13.55</v>
      </c>
      <c r="P929" s="61" t="n">
        <f aca="false">Resumo!$C$14*CEILING(G929,1)</f>
        <v>10.35</v>
      </c>
      <c r="Q929" s="61" t="n">
        <f aca="false">SUM(I929:P929)*Resumo!$C$11</f>
        <v>0</v>
      </c>
      <c r="R929" s="61" t="n">
        <f aca="false">SUM(I929:Q929)</f>
        <v>68.200006</v>
      </c>
      <c r="S929" s="61" t="n">
        <f aca="false">R929/(1-Resumo!$C$5)</f>
        <v>77.5000068181818</v>
      </c>
      <c r="T929" s="61" t="n">
        <v>82.21</v>
      </c>
      <c r="U929" s="61" t="n">
        <f aca="false">H929*Resumo!$B$6</f>
        <v>0.27143</v>
      </c>
      <c r="V929" s="61" t="n">
        <f aca="false">H929*Resumo!$B$7</f>
        <v>0.54286</v>
      </c>
      <c r="W929" s="61" t="n">
        <f aca="false">Resumo!$B$9</f>
        <v>1</v>
      </c>
      <c r="X929" s="61" t="n">
        <f aca="false">Resumo!$B$10*CEILING(G929/100,1)</f>
        <v>4.5</v>
      </c>
      <c r="Y929" s="61" t="n">
        <f aca="false">Resumo!$B$12*CEILING(G929,1)</f>
        <v>1.38</v>
      </c>
      <c r="Z929" s="61" t="n">
        <f aca="false">Resumo!$B$14*CEILING(G929,1)</f>
        <v>10.35</v>
      </c>
      <c r="AA929" s="61" t="n">
        <f aca="false">SUM(T929:Z929)</f>
        <v>100.25429</v>
      </c>
      <c r="AB929" s="61" t="n">
        <f aca="false">AA929/(1-Resumo!$B$5)</f>
        <v>113.925329545455</v>
      </c>
      <c r="AC929" s="61" t="n">
        <f aca="false">AB929-S929</f>
        <v>36.4253227272727</v>
      </c>
      <c r="AD929" s="62" t="n">
        <f aca="false">AB929/S929-1</f>
        <v>0.470004122873537</v>
      </c>
      <c r="AE929" s="60" t="str">
        <f aca="false">IF(AB929&lt;S929,"SIM","NÃO")</f>
        <v>NÃO</v>
      </c>
      <c r="AF929" s="60" t="n">
        <v>2</v>
      </c>
      <c r="AG929" s="60" t="n">
        <v>5</v>
      </c>
      <c r="AH929" s="60" t="s">
        <v>382</v>
      </c>
      <c r="AI929" s="61" t="n">
        <f aca="false">(T929*(1-Painel!$C$40)+U929+V929+Painel!$C$41+Painel!$C$42*CEILING(G929/100,1)+Painel!$C$43*CEILING(G929,1)+Z929)/(1-Resumo!$B$5)</f>
        <v>77.6079431818182</v>
      </c>
      <c r="AJ929" s="60" t="str">
        <f aca="false">IF(AI929&lt;S929,"SIM","NÃO")</f>
        <v>NÃO</v>
      </c>
    </row>
    <row r="930" customFormat="false" ht="15" hidden="false" customHeight="false" outlineLevel="0" collapsed="false">
      <c r="A930" s="59" t="n">
        <v>46246.7470486111</v>
      </c>
      <c r="B930" s="60" t="s">
        <v>1262</v>
      </c>
      <c r="C930" s="60" t="n">
        <v>26475040</v>
      </c>
      <c r="D930" s="60" t="s">
        <v>283</v>
      </c>
      <c r="E930" s="60" t="s">
        <v>24</v>
      </c>
      <c r="F930" s="60" t="s">
        <v>233</v>
      </c>
      <c r="G930" s="60" t="n">
        <v>31.9</v>
      </c>
      <c r="H930" s="61" t="n">
        <v>659.99</v>
      </c>
      <c r="I930" s="61" t="n">
        <v>65.63</v>
      </c>
      <c r="J930" s="61" t="n">
        <f aca="false">H930*Resumo!$C$6</f>
        <v>0</v>
      </c>
      <c r="K930" s="61" t="n">
        <f aca="false">H930*Resumo!$C$7</f>
        <v>1.385979</v>
      </c>
      <c r="L930" s="61" t="n">
        <f aca="false">H930*Resumo!$C$8</f>
        <v>1.385979</v>
      </c>
      <c r="M930" s="61" t="n">
        <f aca="false">Resumo!$C$10*CEILING(G930/100,1)</f>
        <v>1.05</v>
      </c>
      <c r="N930" s="61" t="n">
        <f aca="false">Resumo!$C$9</f>
        <v>0</v>
      </c>
      <c r="O930" s="61" t="n">
        <f aca="false">Resumo!$C$13</f>
        <v>13.55</v>
      </c>
      <c r="P930" s="61" t="n">
        <f aca="false">Resumo!$C$14*CEILING(G930,1)</f>
        <v>14.4</v>
      </c>
      <c r="Q930" s="61" t="n">
        <f aca="false">SUM(I930:P930)*Resumo!$C$11</f>
        <v>0</v>
      </c>
      <c r="R930" s="61" t="n">
        <f aca="false">SUM(I930:Q930)</f>
        <v>97.401958</v>
      </c>
      <c r="S930" s="61" t="n">
        <f aca="false">R930/(1-Resumo!$C$5)</f>
        <v>110.684043181818</v>
      </c>
      <c r="T930" s="61" t="n">
        <v>82.21</v>
      </c>
      <c r="U930" s="61" t="n">
        <f aca="false">H930*Resumo!$B$6</f>
        <v>0.65999</v>
      </c>
      <c r="V930" s="61" t="n">
        <f aca="false">H930*Resumo!$B$7</f>
        <v>1.31998</v>
      </c>
      <c r="W930" s="61" t="n">
        <f aca="false">Resumo!$B$9</f>
        <v>1</v>
      </c>
      <c r="X930" s="61" t="n">
        <f aca="false">Resumo!$B$10*CEILING(G930/100,1)</f>
        <v>4.5</v>
      </c>
      <c r="Y930" s="61" t="n">
        <f aca="false">Resumo!$B$12*CEILING(G930,1)</f>
        <v>1.92</v>
      </c>
      <c r="Z930" s="61" t="n">
        <f aca="false">Resumo!$B$14*CEILING(G930,1)</f>
        <v>14.4</v>
      </c>
      <c r="AA930" s="61" t="n">
        <f aca="false">SUM(T930:Z930)</f>
        <v>106.00997</v>
      </c>
      <c r="AB930" s="61" t="n">
        <f aca="false">AA930/(1-Resumo!$B$5)</f>
        <v>120.465875</v>
      </c>
      <c r="AC930" s="61" t="n">
        <f aca="false">AB930-S930</f>
        <v>9.7818318181818</v>
      </c>
      <c r="AD930" s="62" t="n">
        <f aca="false">AB930/S930-1</f>
        <v>0.0883761700149803</v>
      </c>
      <c r="AE930" s="60" t="str">
        <f aca="false">IF(AB930&lt;S930,"SIM","NÃO")</f>
        <v>NÃO</v>
      </c>
      <c r="AF930" s="60" t="n">
        <v>13</v>
      </c>
      <c r="AG930" s="60" t="n">
        <v>5</v>
      </c>
      <c r="AH930" s="60" t="s">
        <v>385</v>
      </c>
      <c r="AI930" s="61" t="n">
        <f aca="false">(T930*(1-Painel!$C$40)+U930+V930+Painel!$C$41+Painel!$C$42*CEILING(G930/100,1)+Painel!$C$43*CEILING(G930,1)+Z930)/(1-Resumo!$B$5)</f>
        <v>83.5348522727273</v>
      </c>
      <c r="AJ930" s="60" t="str">
        <f aca="false">IF(AI930&lt;S930,"SIM","NÃO")</f>
        <v>SIM</v>
      </c>
    </row>
    <row r="931" customFormat="false" ht="15" hidden="false" customHeight="false" outlineLevel="0" collapsed="false">
      <c r="A931" s="59" t="n">
        <v>46246.7806365741</v>
      </c>
      <c r="B931" s="60" t="s">
        <v>1263</v>
      </c>
      <c r="C931" s="60" t="n">
        <v>26525046</v>
      </c>
      <c r="D931" s="60" t="s">
        <v>284</v>
      </c>
      <c r="E931" s="60" t="s">
        <v>23</v>
      </c>
      <c r="F931" s="60" t="s">
        <v>233</v>
      </c>
      <c r="G931" s="60" t="n">
        <v>33</v>
      </c>
      <c r="H931" s="61" t="n">
        <v>599.99</v>
      </c>
      <c r="I931" s="61" t="n">
        <v>58.8</v>
      </c>
      <c r="J931" s="61" t="n">
        <f aca="false">H931*Resumo!$C$6</f>
        <v>0</v>
      </c>
      <c r="K931" s="61" t="n">
        <f aca="false">H931*Resumo!$C$7</f>
        <v>1.259979</v>
      </c>
      <c r="L931" s="61" t="n">
        <f aca="false">H931*Resumo!$C$8</f>
        <v>1.259979</v>
      </c>
      <c r="M931" s="61" t="n">
        <f aca="false">Resumo!$C$10*CEILING(G931/100,1)</f>
        <v>1.05</v>
      </c>
      <c r="N931" s="61" t="n">
        <f aca="false">Resumo!$C$9</f>
        <v>0</v>
      </c>
      <c r="O931" s="61" t="n">
        <f aca="false">Resumo!$C$13</f>
        <v>13.55</v>
      </c>
      <c r="P931" s="61" t="n">
        <f aca="false">Resumo!$C$14*CEILING(G931,1)</f>
        <v>14.85</v>
      </c>
      <c r="Q931" s="61" t="n">
        <f aca="false">SUM(I931:P931)*Resumo!$C$11</f>
        <v>0</v>
      </c>
      <c r="R931" s="61" t="n">
        <f aca="false">SUM(I931:Q931)</f>
        <v>90.769958</v>
      </c>
      <c r="S931" s="61" t="n">
        <f aca="false">R931/(1-Resumo!$C$5)</f>
        <v>103.147679545455</v>
      </c>
      <c r="T931" s="61" t="n">
        <v>82.21</v>
      </c>
      <c r="U931" s="61" t="n">
        <f aca="false">H931*Resumo!$B$6</f>
        <v>0.59999</v>
      </c>
      <c r="V931" s="61" t="n">
        <f aca="false">H931*Resumo!$B$7</f>
        <v>1.19998</v>
      </c>
      <c r="W931" s="61" t="n">
        <f aca="false">Resumo!$B$9</f>
        <v>1</v>
      </c>
      <c r="X931" s="61" t="n">
        <f aca="false">Resumo!$B$10*CEILING(G931/100,1)</f>
        <v>4.5</v>
      </c>
      <c r="Y931" s="61" t="n">
        <f aca="false">Resumo!$B$12*CEILING(G931,1)</f>
        <v>1.98</v>
      </c>
      <c r="Z931" s="61" t="n">
        <f aca="false">Resumo!$B$14*CEILING(G931,1)</f>
        <v>14.85</v>
      </c>
      <c r="AA931" s="61" t="n">
        <f aca="false">SUM(T931:Z931)</f>
        <v>106.33997</v>
      </c>
      <c r="AB931" s="61" t="n">
        <f aca="false">AA931/(1-Resumo!$B$5)</f>
        <v>120.840875</v>
      </c>
      <c r="AC931" s="61" t="n">
        <f aca="false">AB931-S931</f>
        <v>17.6931954545455</v>
      </c>
      <c r="AD931" s="62" t="n">
        <f aca="false">AB931/S931-1</f>
        <v>0.171532656212092</v>
      </c>
      <c r="AE931" s="60" t="str">
        <f aca="false">IF(AB931&lt;S931,"SIM","NÃO")</f>
        <v>NÃO</v>
      </c>
      <c r="AF931" s="60" t="n">
        <v>2</v>
      </c>
      <c r="AG931" s="60" t="n">
        <v>5</v>
      </c>
      <c r="AH931" s="60" t="s">
        <v>385</v>
      </c>
      <c r="AI931" s="61" t="n">
        <f aca="false">(T931*(1-Painel!$C$40)+U931+V931+Painel!$C$41+Painel!$C$42*CEILING(G931/100,1)+Painel!$C$43*CEILING(G931,1)+Z931)/(1-Resumo!$B$5)</f>
        <v>83.8416704545454</v>
      </c>
      <c r="AJ931" s="60" t="str">
        <f aca="false">IF(AI931&lt;S931,"SIM","NÃO")</f>
        <v>SIM</v>
      </c>
    </row>
    <row r="932" customFormat="false" ht="15" hidden="false" customHeight="false" outlineLevel="0" collapsed="false">
      <c r="A932" s="59" t="n">
        <v>46246.8162384259</v>
      </c>
      <c r="B932" s="60" t="s">
        <v>1264</v>
      </c>
      <c r="C932" s="60" t="n">
        <v>26587390</v>
      </c>
      <c r="D932" s="60" t="s">
        <v>224</v>
      </c>
      <c r="E932" s="60" t="s">
        <v>23</v>
      </c>
      <c r="F932" s="60" t="s">
        <v>237</v>
      </c>
      <c r="G932" s="60" t="n">
        <v>69.15</v>
      </c>
      <c r="H932" s="61" t="n">
        <v>829.99</v>
      </c>
      <c r="I932" s="61" t="n">
        <v>76.55</v>
      </c>
      <c r="J932" s="61" t="n">
        <f aca="false">H932*Resumo!$C$6</f>
        <v>0</v>
      </c>
      <c r="K932" s="61" t="n">
        <f aca="false">H932*Resumo!$C$7</f>
        <v>1.742979</v>
      </c>
      <c r="L932" s="61" t="n">
        <f aca="false">H932*Resumo!$C$8</f>
        <v>1.742979</v>
      </c>
      <c r="M932" s="61" t="n">
        <f aca="false">Resumo!$C$10*CEILING(G932/100,1)</f>
        <v>1.05</v>
      </c>
      <c r="N932" s="61" t="n">
        <f aca="false">Resumo!$C$9</f>
        <v>0</v>
      </c>
      <c r="O932" s="61" t="n">
        <f aca="false">Resumo!$C$13</f>
        <v>13.55</v>
      </c>
      <c r="P932" s="61" t="n">
        <f aca="false">Resumo!$C$14*CEILING(G932,1)</f>
        <v>31.5</v>
      </c>
      <c r="Q932" s="61" t="n">
        <f aca="false">SUM(I932:P932)*Resumo!$C$11</f>
        <v>0</v>
      </c>
      <c r="R932" s="61" t="n">
        <f aca="false">SUM(I932:Q932)</f>
        <v>126.135958</v>
      </c>
      <c r="S932" s="61" t="n">
        <f aca="false">R932/(1-Resumo!$C$5)</f>
        <v>143.336315909091</v>
      </c>
      <c r="T932" s="61" t="n">
        <v>131.02</v>
      </c>
      <c r="U932" s="61" t="n">
        <f aca="false">H932*Resumo!$B$6</f>
        <v>0.82999</v>
      </c>
      <c r="V932" s="61" t="n">
        <f aca="false">H932*Resumo!$B$7</f>
        <v>1.65998</v>
      </c>
      <c r="W932" s="61" t="n">
        <f aca="false">Resumo!$B$9</f>
        <v>1</v>
      </c>
      <c r="X932" s="61" t="n">
        <f aca="false">Resumo!$B$10*CEILING(G932/100,1)</f>
        <v>4.5</v>
      </c>
      <c r="Y932" s="61" t="n">
        <f aca="false">Resumo!$B$12*CEILING(G932,1)</f>
        <v>4.2</v>
      </c>
      <c r="Z932" s="61" t="n">
        <f aca="false">Resumo!$B$14*CEILING(G932,1)</f>
        <v>31.5</v>
      </c>
      <c r="AA932" s="61" t="n">
        <f aca="false">SUM(T932:Z932)</f>
        <v>174.70997</v>
      </c>
      <c r="AB932" s="61" t="n">
        <f aca="false">AA932/(1-Resumo!$B$5)</f>
        <v>198.534056818182</v>
      </c>
      <c r="AC932" s="61" t="n">
        <f aca="false">AB932-S932</f>
        <v>55.1977409090909</v>
      </c>
      <c r="AD932" s="62" t="n">
        <f aca="false">AB932/S932-1</f>
        <v>0.385092504708293</v>
      </c>
      <c r="AE932" s="60" t="str">
        <f aca="false">IF(AB932&lt;S932,"SIM","NÃO")</f>
        <v>NÃO</v>
      </c>
      <c r="AF932" s="60" t="n">
        <v>2</v>
      </c>
      <c r="AG932" s="60" t="n">
        <v>5</v>
      </c>
      <c r="AH932" s="60" t="s">
        <v>382</v>
      </c>
      <c r="AI932" s="61" t="n">
        <f aca="false">(T932*(1-Painel!$C$40)+U932+V932+Painel!$C$41+Painel!$C$42*CEILING(G932/100,1)+Painel!$C$43*CEILING(G932,1)+Z932)/(1-Resumo!$B$5)</f>
        <v>140.708375</v>
      </c>
      <c r="AJ932" s="60" t="str">
        <f aca="false">IF(AI932&lt;S932,"SIM","NÃO")</f>
        <v>SIM</v>
      </c>
    </row>
    <row r="933" customFormat="false" ht="15" hidden="false" customHeight="false" outlineLevel="0" collapsed="false">
      <c r="A933" s="59" t="n">
        <v>46246.8178472222</v>
      </c>
      <c r="B933" s="60" t="s">
        <v>1265</v>
      </c>
      <c r="C933" s="60" t="n">
        <v>24800770</v>
      </c>
      <c r="D933" s="60" t="s">
        <v>223</v>
      </c>
      <c r="E933" s="60" t="s">
        <v>24</v>
      </c>
      <c r="F933" s="60" t="s">
        <v>232</v>
      </c>
      <c r="G933" s="60" t="n">
        <v>17</v>
      </c>
      <c r="H933" s="61" t="n">
        <v>249.99</v>
      </c>
      <c r="I933" s="61" t="n">
        <v>46.95</v>
      </c>
      <c r="J933" s="61" t="n">
        <f aca="false">H933*Resumo!$C$6</f>
        <v>0</v>
      </c>
      <c r="K933" s="61" t="n">
        <f aca="false">H933*Resumo!$C$7</f>
        <v>0.524979</v>
      </c>
      <c r="L933" s="61" t="n">
        <f aca="false">H933*Resumo!$C$8</f>
        <v>0.524979</v>
      </c>
      <c r="M933" s="61" t="n">
        <f aca="false">Resumo!$C$10*CEILING(G933/100,1)</f>
        <v>1.05</v>
      </c>
      <c r="N933" s="61" t="n">
        <f aca="false">Resumo!$C$9</f>
        <v>0</v>
      </c>
      <c r="O933" s="61" t="n">
        <f aca="false">Resumo!$C$13</f>
        <v>13.55</v>
      </c>
      <c r="P933" s="61" t="n">
        <f aca="false">Resumo!$C$14*CEILING(G933,1)</f>
        <v>7.65</v>
      </c>
      <c r="Q933" s="61" t="n">
        <f aca="false">SUM(I933:P933)*Resumo!$C$11</f>
        <v>0</v>
      </c>
      <c r="R933" s="61" t="n">
        <f aca="false">SUM(I933:Q933)</f>
        <v>70.249958</v>
      </c>
      <c r="S933" s="61" t="n">
        <f aca="false">R933/(1-Resumo!$C$5)</f>
        <v>79.8294977272727</v>
      </c>
      <c r="T933" s="61" t="n">
        <v>57.47</v>
      </c>
      <c r="U933" s="61" t="n">
        <f aca="false">H933*Resumo!$B$6</f>
        <v>0.24999</v>
      </c>
      <c r="V933" s="61" t="n">
        <f aca="false">H933*Resumo!$B$7</f>
        <v>0.49998</v>
      </c>
      <c r="W933" s="61" t="n">
        <f aca="false">Resumo!$B$9</f>
        <v>1</v>
      </c>
      <c r="X933" s="61" t="n">
        <f aca="false">Resumo!$B$10*CEILING(G933/100,1)</f>
        <v>4.5</v>
      </c>
      <c r="Y933" s="61" t="n">
        <f aca="false">Resumo!$B$12*CEILING(G933,1)</f>
        <v>1.02</v>
      </c>
      <c r="Z933" s="61" t="n">
        <f aca="false">Resumo!$B$14*CEILING(G933,1)</f>
        <v>7.65</v>
      </c>
      <c r="AA933" s="61" t="n">
        <f aca="false">SUM(T933:Z933)</f>
        <v>72.38997</v>
      </c>
      <c r="AB933" s="61" t="n">
        <f aca="false">AA933/(1-Resumo!$B$5)</f>
        <v>82.2613295454546</v>
      </c>
      <c r="AC933" s="61" t="n">
        <f aca="false">AB933-S933</f>
        <v>2.43183181818182</v>
      </c>
      <c r="AD933" s="62" t="n">
        <f aca="false">AB933/S933-1</f>
        <v>0.0304628224831109</v>
      </c>
      <c r="AE933" s="60" t="str">
        <f aca="false">IF(AB933&lt;S933,"SIM","NÃO")</f>
        <v>NÃO</v>
      </c>
      <c r="AF933" s="60" t="n">
        <v>13</v>
      </c>
      <c r="AG933" s="60" t="n">
        <v>7</v>
      </c>
      <c r="AH933" s="60" t="s">
        <v>382</v>
      </c>
      <c r="AI933" s="61" t="n">
        <f aca="false">(T933*(1-Painel!$C$40)+U933+V933+Painel!$C$41+Painel!$C$42*CEILING(G933/100,1)+Painel!$C$43*CEILING(G933,1)+Z933)/(1-Resumo!$B$5)</f>
        <v>55.6305340909091</v>
      </c>
      <c r="AJ933" s="60" t="str">
        <f aca="false">IF(AI933&lt;S933,"SIM","NÃO")</f>
        <v>SIM</v>
      </c>
    </row>
    <row r="934" customFormat="false" ht="15" hidden="false" customHeight="false" outlineLevel="0" collapsed="false">
      <c r="A934" s="59" t="n">
        <v>46246.8444097222</v>
      </c>
      <c r="B934" s="60" t="s">
        <v>1266</v>
      </c>
      <c r="C934" s="60" t="n">
        <v>28990542</v>
      </c>
      <c r="D934" s="60" t="s">
        <v>341</v>
      </c>
      <c r="E934" s="60" t="s">
        <v>24</v>
      </c>
      <c r="F934" s="60" t="s">
        <v>235</v>
      </c>
      <c r="G934" s="60" t="n">
        <v>44.5</v>
      </c>
      <c r="H934" s="61" t="n">
        <v>726.99</v>
      </c>
      <c r="I934" s="61" t="n">
        <v>77.7</v>
      </c>
      <c r="J934" s="61" t="n">
        <f aca="false">H934*Resumo!$C$6</f>
        <v>0</v>
      </c>
      <c r="K934" s="61" t="n">
        <f aca="false">H934*Resumo!$C$7</f>
        <v>1.526679</v>
      </c>
      <c r="L934" s="61" t="n">
        <f aca="false">H934*Resumo!$C$8</f>
        <v>1.526679</v>
      </c>
      <c r="M934" s="61" t="n">
        <f aca="false">Resumo!$C$10*CEILING(G934/100,1)</f>
        <v>1.05</v>
      </c>
      <c r="N934" s="61" t="n">
        <f aca="false">Resumo!$C$9</f>
        <v>0</v>
      </c>
      <c r="O934" s="61" t="n">
        <f aca="false">Resumo!$C$13</f>
        <v>13.55</v>
      </c>
      <c r="P934" s="61" t="n">
        <f aca="false">Resumo!$C$14*CEILING(G934,1)</f>
        <v>20.25</v>
      </c>
      <c r="Q934" s="61" t="n">
        <f aca="false">SUM(I934:P934)*Resumo!$C$11</f>
        <v>0</v>
      </c>
      <c r="R934" s="61" t="n">
        <f aca="false">SUM(I934:Q934)</f>
        <v>115.603358</v>
      </c>
      <c r="S934" s="61" t="n">
        <f aca="false">R934/(1-Resumo!$C$5)</f>
        <v>131.367452272727</v>
      </c>
      <c r="T934" s="61" t="n">
        <v>129.29</v>
      </c>
      <c r="U934" s="61" t="n">
        <f aca="false">H934*Resumo!$B$6</f>
        <v>0.72699</v>
      </c>
      <c r="V934" s="61" t="n">
        <f aca="false">H934*Resumo!$B$7</f>
        <v>1.45398</v>
      </c>
      <c r="W934" s="61" t="n">
        <f aca="false">Resumo!$B$9</f>
        <v>1</v>
      </c>
      <c r="X934" s="61" t="n">
        <f aca="false">Resumo!$B$10*CEILING(G934/100,1)</f>
        <v>4.5</v>
      </c>
      <c r="Y934" s="61" t="n">
        <f aca="false">Resumo!$B$12*CEILING(G934,1)</f>
        <v>2.7</v>
      </c>
      <c r="Z934" s="61" t="n">
        <f aca="false">Resumo!$B$14*CEILING(G934,1)</f>
        <v>20.25</v>
      </c>
      <c r="AA934" s="61" t="n">
        <f aca="false">SUM(T934:Z934)</f>
        <v>159.92097</v>
      </c>
      <c r="AB934" s="61" t="n">
        <f aca="false">AA934/(1-Resumo!$B$5)</f>
        <v>181.728375</v>
      </c>
      <c r="AC934" s="61" t="n">
        <f aca="false">AB934-S934</f>
        <v>50.3609227272727</v>
      </c>
      <c r="AD934" s="62" t="n">
        <f aca="false">AB934/S934-1</f>
        <v>0.383359210032636</v>
      </c>
      <c r="AE934" s="60" t="str">
        <f aca="false">IF(AB934&lt;S934,"SIM","NÃO")</f>
        <v>NÃO</v>
      </c>
      <c r="AF934" s="60" t="n">
        <v>13</v>
      </c>
      <c r="AG934" s="60" t="n">
        <v>10</v>
      </c>
      <c r="AH934" s="60" t="s">
        <v>385</v>
      </c>
      <c r="AI934" s="61" t="n">
        <f aca="false">(T934*(1-Painel!$C$40)+U934+V934+Painel!$C$41+Painel!$C$42*CEILING(G934/100,1)+Painel!$C$43*CEILING(G934,1)+Z934)/(1-Resumo!$B$5)</f>
        <v>126.255988636364</v>
      </c>
      <c r="AJ934" s="60" t="str">
        <f aca="false">IF(AI934&lt;S934,"SIM","NÃO")</f>
        <v>SIM</v>
      </c>
    </row>
    <row r="935" customFormat="false" ht="15" hidden="false" customHeight="false" outlineLevel="0" collapsed="false">
      <c r="A935" s="59" t="n">
        <v>46246.8766319445</v>
      </c>
      <c r="B935" s="60" t="s">
        <v>1267</v>
      </c>
      <c r="C935" s="60" t="n">
        <v>23040150</v>
      </c>
      <c r="D935" s="60" t="s">
        <v>46</v>
      </c>
      <c r="E935" s="60" t="s">
        <v>22</v>
      </c>
      <c r="F935" s="60" t="s">
        <v>233</v>
      </c>
      <c r="G935" s="60" t="n">
        <v>28.1</v>
      </c>
      <c r="H935" s="61" t="n">
        <v>348.47</v>
      </c>
      <c r="I935" s="61" t="n">
        <v>42.11</v>
      </c>
      <c r="J935" s="61" t="n">
        <f aca="false">H935*Resumo!$C$6</f>
        <v>0</v>
      </c>
      <c r="K935" s="61" t="n">
        <f aca="false">H935*Resumo!$C$7</f>
        <v>0.731787</v>
      </c>
      <c r="L935" s="61" t="n">
        <f aca="false">H935*Resumo!$C$8</f>
        <v>0.731787</v>
      </c>
      <c r="M935" s="61" t="n">
        <f aca="false">Resumo!$C$10*CEILING(G935/100,1)</f>
        <v>1.05</v>
      </c>
      <c r="N935" s="61" t="n">
        <f aca="false">Resumo!$C$9</f>
        <v>0</v>
      </c>
      <c r="O935" s="61" t="n">
        <f aca="false">Resumo!$C$13</f>
        <v>13.55</v>
      </c>
      <c r="P935" s="61" t="n">
        <f aca="false">Resumo!$C$14*CEILING(G935,1)</f>
        <v>13.05</v>
      </c>
      <c r="Q935" s="61" t="n">
        <f aca="false">SUM(I935:P935)*Resumo!$C$11</f>
        <v>0</v>
      </c>
      <c r="R935" s="61" t="n">
        <f aca="false">SUM(I935:Q935)</f>
        <v>71.223574</v>
      </c>
      <c r="S935" s="61" t="n">
        <f aca="false">R935/(1-Resumo!$C$5)</f>
        <v>80.9358795454545</v>
      </c>
      <c r="T935" s="61" t="n">
        <v>82.21</v>
      </c>
      <c r="U935" s="61" t="n">
        <f aca="false">H935*Resumo!$B$6</f>
        <v>0.34847</v>
      </c>
      <c r="V935" s="61" t="n">
        <f aca="false">H935*Resumo!$B$7</f>
        <v>0.69694</v>
      </c>
      <c r="W935" s="61" t="n">
        <f aca="false">Resumo!$B$9</f>
        <v>1</v>
      </c>
      <c r="X935" s="61" t="n">
        <f aca="false">Resumo!$B$10*CEILING(G935/100,1)</f>
        <v>4.5</v>
      </c>
      <c r="Y935" s="61" t="n">
        <f aca="false">Resumo!$B$12*CEILING(G935,1)</f>
        <v>1.74</v>
      </c>
      <c r="Z935" s="61" t="n">
        <f aca="false">Resumo!$B$14*CEILING(G935,1)</f>
        <v>13.05</v>
      </c>
      <c r="AA935" s="61" t="n">
        <f aca="false">SUM(T935:Z935)</f>
        <v>103.54541</v>
      </c>
      <c r="AB935" s="61" t="n">
        <f aca="false">AA935/(1-Resumo!$B$5)</f>
        <v>117.665238636364</v>
      </c>
      <c r="AC935" s="61" t="n">
        <f aca="false">AB935-S935</f>
        <v>36.7293590909091</v>
      </c>
      <c r="AD935" s="62" t="n">
        <f aca="false">AB935/S935-1</f>
        <v>0.453808116958579</v>
      </c>
      <c r="AE935" s="60" t="str">
        <f aca="false">IF(AB935&lt;S935,"SIM","NÃO")</f>
        <v>NÃO</v>
      </c>
      <c r="AF935" s="60" t="n">
        <v>2</v>
      </c>
      <c r="AG935" s="60" t="n">
        <v>5</v>
      </c>
      <c r="AH935" s="60" t="s">
        <v>382</v>
      </c>
      <c r="AI935" s="61" t="n">
        <f aca="false">(T935*(1-Painel!$C$40)+U935+V935+Painel!$C$41+Painel!$C$42*CEILING(G935/100,1)+Painel!$C$43*CEILING(G935,1)+Z935)/(1-Resumo!$B$5)</f>
        <v>80.9387613636364</v>
      </c>
      <c r="AJ935" s="60" t="str">
        <f aca="false">IF(AI935&lt;S935,"SIM","NÃO")</f>
        <v>NÃO</v>
      </c>
    </row>
    <row r="936" customFormat="false" ht="15" hidden="false" customHeight="false" outlineLevel="0" collapsed="false">
      <c r="A936" s="59" t="n">
        <v>46246.8840393519</v>
      </c>
      <c r="B936" s="60" t="s">
        <v>1268</v>
      </c>
      <c r="C936" s="60" t="n">
        <v>26376070</v>
      </c>
      <c r="D936" s="60" t="s">
        <v>282</v>
      </c>
      <c r="E936" s="60" t="s">
        <v>23</v>
      </c>
      <c r="F936" s="60" t="s">
        <v>234</v>
      </c>
      <c r="G936" s="60" t="n">
        <v>37.2</v>
      </c>
      <c r="H936" s="61" t="n">
        <v>360.99</v>
      </c>
      <c r="I936" s="61" t="n">
        <v>66.83</v>
      </c>
      <c r="J936" s="61" t="n">
        <f aca="false">H936*Resumo!$C$6</f>
        <v>0</v>
      </c>
      <c r="K936" s="61" t="n">
        <f aca="false">H936*Resumo!$C$7</f>
        <v>0.758079</v>
      </c>
      <c r="L936" s="61" t="n">
        <f aca="false">H936*Resumo!$C$8</f>
        <v>0.758079</v>
      </c>
      <c r="M936" s="61" t="n">
        <f aca="false">Resumo!$C$10*CEILING(G936/100,1)</f>
        <v>1.05</v>
      </c>
      <c r="N936" s="61" t="n">
        <f aca="false">Resumo!$C$9</f>
        <v>0</v>
      </c>
      <c r="O936" s="61" t="n">
        <f aca="false">Resumo!$C$13</f>
        <v>13.55</v>
      </c>
      <c r="P936" s="61" t="n">
        <f aca="false">Resumo!$C$14*CEILING(G936,1)</f>
        <v>17.1</v>
      </c>
      <c r="Q936" s="61" t="n">
        <f aca="false">SUM(I936:P936)*Resumo!$C$11</f>
        <v>0</v>
      </c>
      <c r="R936" s="61" t="n">
        <f aca="false">SUM(I936:Q936)</f>
        <v>100.046158</v>
      </c>
      <c r="S936" s="61" t="n">
        <f aca="false">R936/(1-Resumo!$C$5)</f>
        <v>113.688815909091</v>
      </c>
      <c r="T936" s="61" t="n">
        <v>93.97</v>
      </c>
      <c r="U936" s="61" t="n">
        <f aca="false">H936*Resumo!$B$6</f>
        <v>0.36099</v>
      </c>
      <c r="V936" s="61" t="n">
        <f aca="false">H936*Resumo!$B$7</f>
        <v>0.72198</v>
      </c>
      <c r="W936" s="61" t="n">
        <f aca="false">Resumo!$B$9</f>
        <v>1</v>
      </c>
      <c r="X936" s="61" t="n">
        <f aca="false">Resumo!$B$10*CEILING(G936/100,1)</f>
        <v>4.5</v>
      </c>
      <c r="Y936" s="61" t="n">
        <f aca="false">Resumo!$B$12*CEILING(G936,1)</f>
        <v>2.28</v>
      </c>
      <c r="Z936" s="61" t="n">
        <f aca="false">Resumo!$B$14*CEILING(G936,1)</f>
        <v>17.1</v>
      </c>
      <c r="AA936" s="61" t="n">
        <f aca="false">SUM(T936:Z936)</f>
        <v>119.93297</v>
      </c>
      <c r="AB936" s="61" t="n">
        <f aca="false">AA936/(1-Resumo!$B$5)</f>
        <v>136.287465909091</v>
      </c>
      <c r="AC936" s="61" t="n">
        <f aca="false">AB936-S936</f>
        <v>22.59865</v>
      </c>
      <c r="AD936" s="62" t="n">
        <f aca="false">AB936/S936-1</f>
        <v>0.198776368803688</v>
      </c>
      <c r="AE936" s="60" t="str">
        <f aca="false">IF(AB936&lt;S936,"SIM","NÃO")</f>
        <v>NÃO</v>
      </c>
      <c r="AF936" s="60" t="n">
        <v>2</v>
      </c>
      <c r="AG936" s="60" t="n">
        <v>5</v>
      </c>
      <c r="AH936" s="60" t="s">
        <v>385</v>
      </c>
      <c r="AI936" s="61" t="n">
        <f aca="false">(T936*(1-Painel!$C$40)+U936+V936+Painel!$C$41+Painel!$C$42*CEILING(G936/100,1)+Painel!$C$43*CEILING(G936,1)+Z936)/(1-Resumo!$B$5)</f>
        <v>94.5373522727273</v>
      </c>
      <c r="AJ936" s="60" t="str">
        <f aca="false">IF(AI936&lt;S936,"SIM","NÃO")</f>
        <v>SIM</v>
      </c>
    </row>
    <row r="937" customFormat="false" ht="15" hidden="false" customHeight="false" outlineLevel="0" collapsed="false">
      <c r="A937" s="59" t="n">
        <v>46246.8916087963</v>
      </c>
      <c r="B937" s="60" t="s">
        <v>1269</v>
      </c>
      <c r="C937" s="60" t="n">
        <v>22753155</v>
      </c>
      <c r="D937" s="60" t="s">
        <v>46</v>
      </c>
      <c r="E937" s="60" t="s">
        <v>22</v>
      </c>
      <c r="F937" s="60" t="s">
        <v>234</v>
      </c>
      <c r="G937" s="60" t="n">
        <v>36.8</v>
      </c>
      <c r="H937" s="61" t="n">
        <v>424.99</v>
      </c>
      <c r="I937" s="61" t="n">
        <v>48.35</v>
      </c>
      <c r="J937" s="61" t="n">
        <f aca="false">H937*Resumo!$C$6</f>
        <v>0</v>
      </c>
      <c r="K937" s="61" t="n">
        <f aca="false">H937*Resumo!$C$7</f>
        <v>0.892479</v>
      </c>
      <c r="L937" s="61" t="n">
        <f aca="false">H937*Resumo!$C$8</f>
        <v>0.892479</v>
      </c>
      <c r="M937" s="61" t="n">
        <f aca="false">Resumo!$C$10*CEILING(G937/100,1)</f>
        <v>1.05</v>
      </c>
      <c r="N937" s="61" t="n">
        <f aca="false">Resumo!$C$9</f>
        <v>0</v>
      </c>
      <c r="O937" s="61" t="n">
        <f aca="false">Resumo!$C$13</f>
        <v>13.55</v>
      </c>
      <c r="P937" s="61" t="n">
        <f aca="false">Resumo!$C$14*CEILING(G937,1)</f>
        <v>16.65</v>
      </c>
      <c r="Q937" s="61" t="n">
        <f aca="false">SUM(I937:P937)*Resumo!$C$11</f>
        <v>0</v>
      </c>
      <c r="R937" s="61" t="n">
        <f aca="false">SUM(I937:Q937)</f>
        <v>81.384958</v>
      </c>
      <c r="S937" s="61" t="n">
        <f aca="false">R937/(1-Resumo!$C$5)</f>
        <v>92.4829068181818</v>
      </c>
      <c r="T937" s="61" t="n">
        <v>93.97</v>
      </c>
      <c r="U937" s="61" t="n">
        <f aca="false">H937*Resumo!$B$6</f>
        <v>0.42499</v>
      </c>
      <c r="V937" s="61" t="n">
        <f aca="false">H937*Resumo!$B$7</f>
        <v>0.84998</v>
      </c>
      <c r="W937" s="61" t="n">
        <f aca="false">Resumo!$B$9</f>
        <v>1</v>
      </c>
      <c r="X937" s="61" t="n">
        <f aca="false">Resumo!$B$10*CEILING(G937/100,1)</f>
        <v>4.5</v>
      </c>
      <c r="Y937" s="61" t="n">
        <f aca="false">Resumo!$B$12*CEILING(G937,1)</f>
        <v>2.22</v>
      </c>
      <c r="Z937" s="61" t="n">
        <f aca="false">Resumo!$B$14*CEILING(G937,1)</f>
        <v>16.65</v>
      </c>
      <c r="AA937" s="61" t="n">
        <f aca="false">SUM(T937:Z937)</f>
        <v>119.61497</v>
      </c>
      <c r="AB937" s="61" t="n">
        <f aca="false">AA937/(1-Resumo!$B$5)</f>
        <v>135.926102272727</v>
      </c>
      <c r="AC937" s="61" t="n">
        <f aca="false">AB937-S937</f>
        <v>43.4431954545454</v>
      </c>
      <c r="AD937" s="62" t="n">
        <f aca="false">AB937/S937-1</f>
        <v>0.469742971422311</v>
      </c>
      <c r="AE937" s="60" t="str">
        <f aca="false">IF(AB937&lt;S937,"SIM","NÃO")</f>
        <v>NÃO</v>
      </c>
      <c r="AF937" s="60" t="n">
        <v>2</v>
      </c>
      <c r="AG937" s="60" t="n">
        <v>5</v>
      </c>
      <c r="AH937" s="60" t="s">
        <v>382</v>
      </c>
      <c r="AI937" s="61" t="n">
        <f aca="false">(T937*(1-Painel!$C$40)+U937+V937+Painel!$C$41+Painel!$C$42*CEILING(G937/100,1)+Painel!$C$43*CEILING(G937,1)+Z937)/(1-Resumo!$B$5)</f>
        <v>94.2441704545454</v>
      </c>
      <c r="AJ937" s="60" t="str">
        <f aca="false">IF(AI937&lt;S937,"SIM","NÃO")</f>
        <v>NÃO</v>
      </c>
    </row>
    <row r="938" customFormat="false" ht="15" hidden="false" customHeight="false" outlineLevel="0" collapsed="false">
      <c r="A938" s="59" t="n">
        <v>46246.943587963</v>
      </c>
      <c r="B938" s="60" t="s">
        <v>1270</v>
      </c>
      <c r="C938" s="60" t="n">
        <v>20550220</v>
      </c>
      <c r="D938" s="60" t="s">
        <v>46</v>
      </c>
      <c r="E938" s="60" t="s">
        <v>22</v>
      </c>
      <c r="F938" s="60" t="s">
        <v>234</v>
      </c>
      <c r="G938" s="60" t="n">
        <v>37.2</v>
      </c>
      <c r="H938" s="61" t="n">
        <v>360.99</v>
      </c>
      <c r="I938" s="61" t="n">
        <v>48.35</v>
      </c>
      <c r="J938" s="61" t="n">
        <f aca="false">H938*Resumo!$C$6</f>
        <v>0</v>
      </c>
      <c r="K938" s="61" t="n">
        <f aca="false">H938*Resumo!$C$7</f>
        <v>0.758079</v>
      </c>
      <c r="L938" s="61" t="n">
        <f aca="false">H938*Resumo!$C$8</f>
        <v>0.758079</v>
      </c>
      <c r="M938" s="61" t="n">
        <f aca="false">Resumo!$C$10*CEILING(G938/100,1)</f>
        <v>1.05</v>
      </c>
      <c r="N938" s="61" t="n">
        <f aca="false">Resumo!$C$9</f>
        <v>0</v>
      </c>
      <c r="O938" s="61" t="n">
        <f aca="false">Resumo!$C$13</f>
        <v>13.55</v>
      </c>
      <c r="P938" s="61" t="n">
        <f aca="false">Resumo!$C$14*CEILING(G938,1)</f>
        <v>17.1</v>
      </c>
      <c r="Q938" s="61" t="n">
        <f aca="false">SUM(I938:P938)*Resumo!$C$11</f>
        <v>0</v>
      </c>
      <c r="R938" s="61" t="n">
        <f aca="false">SUM(I938:Q938)</f>
        <v>81.566158</v>
      </c>
      <c r="S938" s="61" t="n">
        <f aca="false">R938/(1-Resumo!$C$5)</f>
        <v>92.6888159090909</v>
      </c>
      <c r="T938" s="61" t="n">
        <v>93.97</v>
      </c>
      <c r="U938" s="61" t="n">
        <f aca="false">H938*Resumo!$B$6</f>
        <v>0.36099</v>
      </c>
      <c r="V938" s="61" t="n">
        <f aca="false">H938*Resumo!$B$7</f>
        <v>0.72198</v>
      </c>
      <c r="W938" s="61" t="n">
        <f aca="false">Resumo!$B$9</f>
        <v>1</v>
      </c>
      <c r="X938" s="61" t="n">
        <f aca="false">Resumo!$B$10*CEILING(G938/100,1)</f>
        <v>4.5</v>
      </c>
      <c r="Y938" s="61" t="n">
        <f aca="false">Resumo!$B$12*CEILING(G938,1)</f>
        <v>2.28</v>
      </c>
      <c r="Z938" s="61" t="n">
        <f aca="false">Resumo!$B$14*CEILING(G938,1)</f>
        <v>17.1</v>
      </c>
      <c r="AA938" s="61" t="n">
        <f aca="false">SUM(T938:Z938)</f>
        <v>119.93297</v>
      </c>
      <c r="AB938" s="61" t="n">
        <f aca="false">AA938/(1-Resumo!$B$5)</f>
        <v>136.287465909091</v>
      </c>
      <c r="AC938" s="61" t="n">
        <f aca="false">AB938-S938</f>
        <v>43.59865</v>
      </c>
      <c r="AD938" s="62" t="n">
        <f aca="false">AB938/S938-1</f>
        <v>0.470376599079241</v>
      </c>
      <c r="AE938" s="60" t="str">
        <f aca="false">IF(AB938&lt;S938,"SIM","NÃO")</f>
        <v>NÃO</v>
      </c>
      <c r="AF938" s="60" t="n">
        <v>2</v>
      </c>
      <c r="AG938" s="60" t="n">
        <v>5</v>
      </c>
      <c r="AH938" s="60" t="s">
        <v>382</v>
      </c>
      <c r="AI938" s="61" t="n">
        <f aca="false">(T938*(1-Painel!$C$40)+U938+V938+Painel!$C$41+Painel!$C$42*CEILING(G938/100,1)+Painel!$C$43*CEILING(G938,1)+Z938)/(1-Resumo!$B$5)</f>
        <v>94.5373522727273</v>
      </c>
      <c r="AJ938" s="60" t="str">
        <f aca="false">IF(AI938&lt;S938,"SIM","NÃO")</f>
        <v>NÃO</v>
      </c>
    </row>
    <row r="939" customFormat="false" ht="15" hidden="false" customHeight="false" outlineLevel="0" collapsed="false">
      <c r="A939" s="59" t="n">
        <v>46246.9739814815</v>
      </c>
      <c r="B939" s="60" t="s">
        <v>478</v>
      </c>
      <c r="C939" s="60" t="n">
        <v>22790587</v>
      </c>
      <c r="D939" s="60" t="s">
        <v>46</v>
      </c>
      <c r="E939" s="60" t="s">
        <v>22</v>
      </c>
      <c r="F939" s="60" t="s">
        <v>233</v>
      </c>
      <c r="G939" s="60" t="n">
        <v>27</v>
      </c>
      <c r="H939" s="61" t="n">
        <v>316.79</v>
      </c>
      <c r="I939" s="61" t="n">
        <v>42.11</v>
      </c>
      <c r="J939" s="61" t="n">
        <f aca="false">H939*Resumo!$C$6</f>
        <v>0</v>
      </c>
      <c r="K939" s="61" t="n">
        <f aca="false">H939*Resumo!$C$7</f>
        <v>0.665259</v>
      </c>
      <c r="L939" s="61" t="n">
        <f aca="false">H939*Resumo!$C$8</f>
        <v>0.665259</v>
      </c>
      <c r="M939" s="61" t="n">
        <f aca="false">Resumo!$C$10*CEILING(G939/100,1)</f>
        <v>1.05</v>
      </c>
      <c r="N939" s="61" t="n">
        <f aca="false">Resumo!$C$9</f>
        <v>0</v>
      </c>
      <c r="O939" s="61" t="n">
        <f aca="false">Resumo!$C$13</f>
        <v>13.55</v>
      </c>
      <c r="P939" s="61" t="n">
        <f aca="false">Resumo!$C$14*CEILING(G939,1)</f>
        <v>12.15</v>
      </c>
      <c r="Q939" s="61" t="n">
        <f aca="false">SUM(I939:P939)*Resumo!$C$11</f>
        <v>0</v>
      </c>
      <c r="R939" s="61" t="n">
        <f aca="false">SUM(I939:Q939)</f>
        <v>70.190518</v>
      </c>
      <c r="S939" s="61" t="n">
        <f aca="false">R939/(1-Resumo!$C$5)</f>
        <v>79.7619522727273</v>
      </c>
      <c r="T939" s="61" t="n">
        <v>82.21</v>
      </c>
      <c r="U939" s="61" t="n">
        <f aca="false">H939*Resumo!$B$6</f>
        <v>0.31679</v>
      </c>
      <c r="V939" s="61" t="n">
        <f aca="false">H939*Resumo!$B$7</f>
        <v>0.63358</v>
      </c>
      <c r="W939" s="61" t="n">
        <f aca="false">Resumo!$B$9</f>
        <v>1</v>
      </c>
      <c r="X939" s="61" t="n">
        <f aca="false">Resumo!$B$10*CEILING(G939/100,1)</f>
        <v>4.5</v>
      </c>
      <c r="Y939" s="61" t="n">
        <f aca="false">Resumo!$B$12*CEILING(G939,1)</f>
        <v>1.62</v>
      </c>
      <c r="Z939" s="61" t="n">
        <f aca="false">Resumo!$B$14*CEILING(G939,1)</f>
        <v>12.15</v>
      </c>
      <c r="AA939" s="61" t="n">
        <f aca="false">SUM(T939:Z939)</f>
        <v>102.43037</v>
      </c>
      <c r="AB939" s="61" t="n">
        <f aca="false">AA939/(1-Resumo!$B$5)</f>
        <v>116.398147727273</v>
      </c>
      <c r="AC939" s="61" t="n">
        <f aca="false">AB939-S939</f>
        <v>36.6361954545455</v>
      </c>
      <c r="AD939" s="62" t="n">
        <f aca="false">AB939/S939-1</f>
        <v>0.459319191803087</v>
      </c>
      <c r="AE939" s="60" t="str">
        <f aca="false">IF(AB939&lt;S939,"SIM","NÃO")</f>
        <v>NÃO</v>
      </c>
      <c r="AF939" s="60" t="n">
        <v>2</v>
      </c>
      <c r="AG939" s="60" t="n">
        <v>5</v>
      </c>
      <c r="AH939" s="60" t="s">
        <v>382</v>
      </c>
      <c r="AI939" s="61" t="n">
        <f aca="false">(T939*(1-Painel!$C$40)+U939+V939+Painel!$C$41+Painel!$C$42*CEILING(G939/100,1)+Painel!$C$43*CEILING(G939,1)+Z939)/(1-Resumo!$B$5)</f>
        <v>79.8080340909091</v>
      </c>
      <c r="AJ939" s="60" t="str">
        <f aca="false">IF(AI939&lt;S939,"SIM","NÃO")</f>
        <v>NÃO</v>
      </c>
    </row>
    <row r="940" customFormat="false" ht="15" hidden="false" customHeight="false" outlineLevel="0" collapsed="false">
      <c r="A940" s="59" t="n">
        <v>46246.98375</v>
      </c>
      <c r="B940" s="60" t="s">
        <v>1271</v>
      </c>
      <c r="C940" s="60" t="n">
        <v>20211020</v>
      </c>
      <c r="D940" s="60" t="s">
        <v>46</v>
      </c>
      <c r="E940" s="60" t="s">
        <v>22</v>
      </c>
      <c r="F940" s="60" t="s">
        <v>232</v>
      </c>
      <c r="G940" s="60" t="n">
        <v>15</v>
      </c>
      <c r="H940" s="61" t="n">
        <v>216.99</v>
      </c>
      <c r="I940" s="61" t="n">
        <v>33.42</v>
      </c>
      <c r="J940" s="61" t="n">
        <f aca="false">H940*Resumo!$C$6</f>
        <v>0</v>
      </c>
      <c r="K940" s="61" t="n">
        <f aca="false">H940*Resumo!$C$7</f>
        <v>0.455679</v>
      </c>
      <c r="L940" s="61" t="n">
        <f aca="false">H940*Resumo!$C$8</f>
        <v>0.455679</v>
      </c>
      <c r="M940" s="61" t="n">
        <f aca="false">Resumo!$C$10*CEILING(G940/100,1)</f>
        <v>1.05</v>
      </c>
      <c r="N940" s="61" t="n">
        <f aca="false">Resumo!$C$9</f>
        <v>0</v>
      </c>
      <c r="O940" s="61" t="n">
        <f aca="false">Resumo!$C$13</f>
        <v>13.55</v>
      </c>
      <c r="P940" s="61" t="n">
        <f aca="false">Resumo!$C$14*CEILING(G940,1)</f>
        <v>6.75</v>
      </c>
      <c r="Q940" s="61" t="n">
        <f aca="false">SUM(I940:P940)*Resumo!$C$11</f>
        <v>0</v>
      </c>
      <c r="R940" s="61" t="n">
        <f aca="false">SUM(I940:Q940)</f>
        <v>55.681358</v>
      </c>
      <c r="S940" s="61" t="n">
        <f aca="false">R940/(1-Resumo!$C$5)</f>
        <v>63.2742704545455</v>
      </c>
      <c r="T940" s="61" t="n">
        <v>46.98</v>
      </c>
      <c r="U940" s="61" t="n">
        <f aca="false">H940*Resumo!$B$6</f>
        <v>0.21699</v>
      </c>
      <c r="V940" s="61" t="n">
        <f aca="false">H940*Resumo!$B$7</f>
        <v>0.43398</v>
      </c>
      <c r="W940" s="61" t="n">
        <f aca="false">Resumo!$B$9</f>
        <v>1</v>
      </c>
      <c r="X940" s="61" t="n">
        <f aca="false">Resumo!$B$10*CEILING(G940/100,1)</f>
        <v>4.5</v>
      </c>
      <c r="Y940" s="61" t="n">
        <f aca="false">Resumo!$B$12*CEILING(G940,1)</f>
        <v>0.9</v>
      </c>
      <c r="Z940" s="61" t="n">
        <f aca="false">Resumo!$B$14*CEILING(G940,1)</f>
        <v>6.75</v>
      </c>
      <c r="AA940" s="61" t="n">
        <f aca="false">SUM(T940:Z940)</f>
        <v>60.78097</v>
      </c>
      <c r="AB940" s="61" t="n">
        <f aca="false">AA940/(1-Resumo!$B$5)</f>
        <v>69.0692840909091</v>
      </c>
      <c r="AC940" s="61" t="n">
        <f aca="false">AB940-S940</f>
        <v>5.79501363636364</v>
      </c>
      <c r="AD940" s="62" t="n">
        <f aca="false">AB940/S940-1</f>
        <v>0.0915856254798957</v>
      </c>
      <c r="AE940" s="60" t="str">
        <f aca="false">IF(AB940&lt;S940,"SIM","NÃO")</f>
        <v>NÃO</v>
      </c>
      <c r="AF940" s="60" t="n">
        <v>2</v>
      </c>
      <c r="AG940" s="60" t="n">
        <v>5</v>
      </c>
      <c r="AH940" s="60" t="s">
        <v>382</v>
      </c>
      <c r="AI940" s="61" t="n">
        <f aca="false">(T940*(1-Painel!$C$40)+U940+V940+Painel!$C$41+Painel!$C$42*CEILING(G940/100,1)+Painel!$C$43*CEILING(G940,1)+Z940)/(1-Resumo!$B$5)</f>
        <v>46.5086022727273</v>
      </c>
      <c r="AJ940" s="60" t="str">
        <f aca="false">IF(AI940&lt;S940,"SIM","NÃO")</f>
        <v>SIM</v>
      </c>
    </row>
    <row r="941" customFormat="false" ht="15" hidden="false" customHeight="false" outlineLevel="0" collapsed="false">
      <c r="A941" s="59" t="n">
        <v>46247.3481597222</v>
      </c>
      <c r="B941" s="60" t="s">
        <v>1272</v>
      </c>
      <c r="C941" s="60" t="n">
        <v>28013025</v>
      </c>
      <c r="D941" s="60" t="s">
        <v>51</v>
      </c>
      <c r="E941" s="60" t="s">
        <v>24</v>
      </c>
      <c r="F941" s="60" t="s">
        <v>233</v>
      </c>
      <c r="G941" s="60" t="n">
        <v>27</v>
      </c>
      <c r="H941" s="61" t="n">
        <v>297.99</v>
      </c>
      <c r="I941" s="61" t="n">
        <v>65.63</v>
      </c>
      <c r="J941" s="61" t="n">
        <f aca="false">H941*Resumo!$C$6</f>
        <v>0</v>
      </c>
      <c r="K941" s="61" t="n">
        <f aca="false">H941*Resumo!$C$7</f>
        <v>0.625779</v>
      </c>
      <c r="L941" s="61" t="n">
        <f aca="false">H941*Resumo!$C$8</f>
        <v>0.625779</v>
      </c>
      <c r="M941" s="61" t="n">
        <f aca="false">Resumo!$C$10*CEILING(G941/100,1)</f>
        <v>1.05</v>
      </c>
      <c r="N941" s="61" t="n">
        <f aca="false">Resumo!$C$9</f>
        <v>0</v>
      </c>
      <c r="O941" s="61" t="n">
        <f aca="false">Resumo!$C$13</f>
        <v>13.55</v>
      </c>
      <c r="P941" s="61" t="n">
        <f aca="false">Resumo!$C$14*CEILING(G941,1)</f>
        <v>12.15</v>
      </c>
      <c r="Q941" s="61" t="n">
        <f aca="false">SUM(I941:P941)*Resumo!$C$11</f>
        <v>0</v>
      </c>
      <c r="R941" s="61" t="n">
        <f aca="false">SUM(I941:Q941)</f>
        <v>93.631558</v>
      </c>
      <c r="S941" s="61" t="n">
        <f aca="false">R941/(1-Resumo!$C$5)</f>
        <v>106.399497727273</v>
      </c>
      <c r="T941" s="61" t="n">
        <v>138.29</v>
      </c>
      <c r="U941" s="61" t="n">
        <f aca="false">H941*Resumo!$B$6</f>
        <v>0.29799</v>
      </c>
      <c r="V941" s="61" t="n">
        <f aca="false">H941*Resumo!$B$7</f>
        <v>0.59598</v>
      </c>
      <c r="W941" s="61" t="n">
        <f aca="false">Resumo!$B$9</f>
        <v>1</v>
      </c>
      <c r="X941" s="61" t="n">
        <f aca="false">Resumo!$B$10*CEILING(G941/100,1)</f>
        <v>4.5</v>
      </c>
      <c r="Y941" s="61" t="n">
        <f aca="false">Resumo!$B$12*CEILING(G941,1)</f>
        <v>1.62</v>
      </c>
      <c r="Z941" s="61" t="n">
        <f aca="false">Resumo!$B$14*CEILING(G941,1)</f>
        <v>12.15</v>
      </c>
      <c r="AA941" s="61" t="n">
        <f aca="false">SUM(T941:Z941)</f>
        <v>158.45397</v>
      </c>
      <c r="AB941" s="61" t="n">
        <f aca="false">AA941/(1-Resumo!$B$5)</f>
        <v>180.061329545455</v>
      </c>
      <c r="AC941" s="61" t="n">
        <f aca="false">AB941-S941</f>
        <v>73.6618318181818</v>
      </c>
      <c r="AD941" s="62" t="n">
        <f aca="false">AB941/S941-1</f>
        <v>0.69231371756091</v>
      </c>
      <c r="AE941" s="60" t="str">
        <f aca="false">IF(AB941&lt;S941,"SIM","NÃO")</f>
        <v>NÃO</v>
      </c>
      <c r="AF941" s="60" t="n">
        <v>13</v>
      </c>
      <c r="AG941" s="60" t="n">
        <v>11</v>
      </c>
      <c r="AH941" s="60" t="s">
        <v>382</v>
      </c>
      <c r="AI941" s="61" t="n">
        <f aca="false">(T941*(1-Painel!$C$40)+U941+V941+Painel!$C$41+Painel!$C$42*CEILING(G941/100,1)+Painel!$C$43*CEILING(G941,1)+Z941)/(1-Resumo!$B$5)</f>
        <v>122.441215909091</v>
      </c>
      <c r="AJ941" s="60" t="str">
        <f aca="false">IF(AI941&lt;S941,"SIM","NÃO")</f>
        <v>NÃO</v>
      </c>
    </row>
    <row r="942" customFormat="false" ht="15" hidden="false" customHeight="false" outlineLevel="0" collapsed="false">
      <c r="A942" s="59" t="n">
        <v>46247.4041782407</v>
      </c>
      <c r="B942" s="60" t="s">
        <v>1273</v>
      </c>
      <c r="C942" s="60" t="n">
        <v>28890603</v>
      </c>
      <c r="D942" s="60" t="s">
        <v>227</v>
      </c>
      <c r="E942" s="60" t="s">
        <v>24</v>
      </c>
      <c r="F942" s="60" t="s">
        <v>236</v>
      </c>
      <c r="G942" s="60" t="n">
        <v>59.9</v>
      </c>
      <c r="H942" s="61" t="n">
        <v>919.99</v>
      </c>
      <c r="I942" s="61" t="n">
        <v>83.58</v>
      </c>
      <c r="J942" s="61" t="n">
        <f aca="false">H942*Resumo!$C$6</f>
        <v>0</v>
      </c>
      <c r="K942" s="61" t="n">
        <f aca="false">H942*Resumo!$C$7</f>
        <v>1.931979</v>
      </c>
      <c r="L942" s="61" t="n">
        <f aca="false">H942*Resumo!$C$8</f>
        <v>1.931979</v>
      </c>
      <c r="M942" s="61" t="n">
        <f aca="false">Resumo!$C$10*CEILING(G942/100,1)</f>
        <v>1.05</v>
      </c>
      <c r="N942" s="61" t="n">
        <f aca="false">Resumo!$C$9</f>
        <v>0</v>
      </c>
      <c r="O942" s="61" t="n">
        <f aca="false">Resumo!$C$13</f>
        <v>13.55</v>
      </c>
      <c r="P942" s="61" t="n">
        <f aca="false">Resumo!$C$14*CEILING(G942,1)</f>
        <v>27</v>
      </c>
      <c r="Q942" s="61" t="n">
        <f aca="false">SUM(I942:P942)*Resumo!$C$11</f>
        <v>0</v>
      </c>
      <c r="R942" s="61" t="n">
        <f aca="false">SUM(I942:Q942)</f>
        <v>129.043958</v>
      </c>
      <c r="S942" s="61" t="n">
        <f aca="false">R942/(1-Resumo!$C$5)</f>
        <v>146.640861363636</v>
      </c>
      <c r="T942" s="61" t="n">
        <v>142.32</v>
      </c>
      <c r="U942" s="61" t="n">
        <f aca="false">H942*Resumo!$B$6</f>
        <v>0.91999</v>
      </c>
      <c r="V942" s="61" t="n">
        <f aca="false">H942*Resumo!$B$7</f>
        <v>1.83998</v>
      </c>
      <c r="W942" s="61" t="n">
        <f aca="false">Resumo!$B$9</f>
        <v>1</v>
      </c>
      <c r="X942" s="61" t="n">
        <f aca="false">Resumo!$B$10*CEILING(G942/100,1)</f>
        <v>4.5</v>
      </c>
      <c r="Y942" s="61" t="n">
        <f aca="false">Resumo!$B$12*CEILING(G942,1)</f>
        <v>3.6</v>
      </c>
      <c r="Z942" s="61" t="n">
        <f aca="false">Resumo!$B$14*CEILING(G942,1)</f>
        <v>27</v>
      </c>
      <c r="AA942" s="61" t="n">
        <f aca="false">SUM(T942:Z942)</f>
        <v>181.17997</v>
      </c>
      <c r="AB942" s="61" t="n">
        <f aca="false">AA942/(1-Resumo!$B$5)</f>
        <v>205.886329545455</v>
      </c>
      <c r="AC942" s="61" t="n">
        <f aca="false">AB942-S942</f>
        <v>59.2454681818182</v>
      </c>
      <c r="AD942" s="62" t="n">
        <f aca="false">AB942/S942-1</f>
        <v>0.404017458918921</v>
      </c>
      <c r="AE942" s="60" t="str">
        <f aca="false">IF(AB942&lt;S942,"SIM","NÃO")</f>
        <v>NÃO</v>
      </c>
      <c r="AF942" s="60" t="n">
        <v>13</v>
      </c>
      <c r="AG942" s="60" t="n">
        <v>10</v>
      </c>
      <c r="AH942" s="60" t="s">
        <v>382</v>
      </c>
      <c r="AI942" s="61" t="n">
        <f aca="false">(T942*(1-Painel!$C$40)+U942+V942+Painel!$C$41+Painel!$C$42*CEILING(G942/100,1)+Painel!$C$43*CEILING(G942,1)+Z942)/(1-Resumo!$B$5)</f>
        <v>144.504965909091</v>
      </c>
      <c r="AJ942" s="60" t="str">
        <f aca="false">IF(AI942&lt;S942,"SIM","NÃO")</f>
        <v>SIM</v>
      </c>
    </row>
    <row r="943" customFormat="false" ht="15" hidden="false" customHeight="false" outlineLevel="0" collapsed="false">
      <c r="A943" s="59" t="n">
        <v>46247.4541782407</v>
      </c>
      <c r="B943" s="60" t="s">
        <v>1274</v>
      </c>
      <c r="C943" s="60" t="n">
        <v>28024492</v>
      </c>
      <c r="D943" s="60" t="s">
        <v>51</v>
      </c>
      <c r="E943" s="60" t="s">
        <v>24</v>
      </c>
      <c r="F943" s="60" t="s">
        <v>234</v>
      </c>
      <c r="G943" s="60" t="n">
        <v>39.9</v>
      </c>
      <c r="H943" s="61" t="n">
        <v>619.99</v>
      </c>
      <c r="I943" s="61" t="n">
        <v>74.97</v>
      </c>
      <c r="J943" s="61" t="n">
        <f aca="false">H943*Resumo!$C$6</f>
        <v>0</v>
      </c>
      <c r="K943" s="61" t="n">
        <f aca="false">H943*Resumo!$C$7</f>
        <v>1.301979</v>
      </c>
      <c r="L943" s="61" t="n">
        <f aca="false">H943*Resumo!$C$8</f>
        <v>1.301979</v>
      </c>
      <c r="M943" s="61" t="n">
        <f aca="false">Resumo!$C$10*CEILING(G943/100,1)</f>
        <v>1.05</v>
      </c>
      <c r="N943" s="61" t="n">
        <f aca="false">Resumo!$C$9</f>
        <v>0</v>
      </c>
      <c r="O943" s="61" t="n">
        <f aca="false">Resumo!$C$13</f>
        <v>13.55</v>
      </c>
      <c r="P943" s="61" t="n">
        <f aca="false">Resumo!$C$14*CEILING(G943,1)</f>
        <v>18</v>
      </c>
      <c r="Q943" s="61" t="n">
        <f aca="false">SUM(I943:P943)*Resumo!$C$11</f>
        <v>0</v>
      </c>
      <c r="R943" s="61" t="n">
        <f aca="false">SUM(I943:Q943)</f>
        <v>110.173958</v>
      </c>
      <c r="S943" s="61" t="n">
        <f aca="false">R943/(1-Resumo!$C$5)</f>
        <v>125.197679545455</v>
      </c>
      <c r="T943" s="61" t="n">
        <v>143.04</v>
      </c>
      <c r="U943" s="61" t="n">
        <f aca="false">H943*Resumo!$B$6</f>
        <v>0.61999</v>
      </c>
      <c r="V943" s="61" t="n">
        <f aca="false">H943*Resumo!$B$7</f>
        <v>1.23998</v>
      </c>
      <c r="W943" s="61" t="n">
        <f aca="false">Resumo!$B$9</f>
        <v>1</v>
      </c>
      <c r="X943" s="61" t="n">
        <f aca="false">Resumo!$B$10*CEILING(G943/100,1)</f>
        <v>4.5</v>
      </c>
      <c r="Y943" s="61" t="n">
        <f aca="false">Resumo!$B$12*CEILING(G943,1)</f>
        <v>2.4</v>
      </c>
      <c r="Z943" s="61" t="n">
        <f aca="false">Resumo!$B$14*CEILING(G943,1)</f>
        <v>18</v>
      </c>
      <c r="AA943" s="61" t="n">
        <f aca="false">SUM(T943:Z943)</f>
        <v>170.79997</v>
      </c>
      <c r="AB943" s="61" t="n">
        <f aca="false">AA943/(1-Resumo!$B$5)</f>
        <v>194.090875</v>
      </c>
      <c r="AC943" s="61" t="n">
        <f aca="false">AB943-S943</f>
        <v>68.8931954545455</v>
      </c>
      <c r="AD943" s="62" t="n">
        <f aca="false">AB943/S943-1</f>
        <v>0.550275338206512</v>
      </c>
      <c r="AE943" s="60" t="str">
        <f aca="false">IF(AB943&lt;S943,"SIM","NÃO")</f>
        <v>NÃO</v>
      </c>
      <c r="AF943" s="60" t="n">
        <v>13</v>
      </c>
      <c r="AG943" s="60" t="n">
        <v>11</v>
      </c>
      <c r="AH943" s="60" t="s">
        <v>382</v>
      </c>
      <c r="AI943" s="61" t="n">
        <f aca="false">(T943*(1-Painel!$C$40)+U943+V943+Painel!$C$41+Painel!$C$42*CEILING(G943/100,1)+Painel!$C$43*CEILING(G943,1)+Z943)/(1-Resumo!$B$5)</f>
        <v>133.803147727273</v>
      </c>
      <c r="AJ943" s="60" t="str">
        <f aca="false">IF(AI943&lt;S943,"SIM","NÃO")</f>
        <v>NÃO</v>
      </c>
    </row>
    <row r="944" customFormat="false" ht="15" hidden="false" customHeight="false" outlineLevel="0" collapsed="false">
      <c r="A944" s="59" t="n">
        <v>46247.459849537</v>
      </c>
      <c r="B944" s="60" t="s">
        <v>1275</v>
      </c>
      <c r="C944" s="60" t="n">
        <v>25935075</v>
      </c>
      <c r="D944" s="60" t="s">
        <v>225</v>
      </c>
      <c r="E944" s="60" t="s">
        <v>24</v>
      </c>
      <c r="F944" s="60" t="s">
        <v>233</v>
      </c>
      <c r="G944" s="60" t="n">
        <v>31.4</v>
      </c>
      <c r="H944" s="61" t="n">
        <v>369.52</v>
      </c>
      <c r="I944" s="61" t="n">
        <v>65.63</v>
      </c>
      <c r="J944" s="61" t="n">
        <f aca="false">H944*Resumo!$C$6</f>
        <v>0</v>
      </c>
      <c r="K944" s="61" t="n">
        <f aca="false">H944*Resumo!$C$7</f>
        <v>0.775992</v>
      </c>
      <c r="L944" s="61" t="n">
        <f aca="false">H944*Resumo!$C$8</f>
        <v>0.775992</v>
      </c>
      <c r="M944" s="61" t="n">
        <f aca="false">Resumo!$C$10*CEILING(G944/100,1)</f>
        <v>1.05</v>
      </c>
      <c r="N944" s="61" t="n">
        <f aca="false">Resumo!$C$9</f>
        <v>0</v>
      </c>
      <c r="O944" s="61" t="n">
        <f aca="false">Resumo!$C$13</f>
        <v>13.55</v>
      </c>
      <c r="P944" s="61" t="n">
        <f aca="false">Resumo!$C$14*CEILING(G944,1)</f>
        <v>14.4</v>
      </c>
      <c r="Q944" s="61" t="n">
        <f aca="false">SUM(I944:P944)*Resumo!$C$11</f>
        <v>0</v>
      </c>
      <c r="R944" s="61" t="n">
        <f aca="false">SUM(I944:Q944)</f>
        <v>96.181984</v>
      </c>
      <c r="S944" s="61" t="n">
        <f aca="false">R944/(1-Resumo!$C$5)</f>
        <v>109.297709090909</v>
      </c>
      <c r="T944" s="61" t="n">
        <v>103.28</v>
      </c>
      <c r="U944" s="61" t="n">
        <f aca="false">H944*Resumo!$B$6</f>
        <v>0.36952</v>
      </c>
      <c r="V944" s="61" t="n">
        <f aca="false">H944*Resumo!$B$7</f>
        <v>0.73904</v>
      </c>
      <c r="W944" s="61" t="n">
        <f aca="false">Resumo!$B$9</f>
        <v>1</v>
      </c>
      <c r="X944" s="61" t="n">
        <f aca="false">Resumo!$B$10*CEILING(G944/100,1)</f>
        <v>4.5</v>
      </c>
      <c r="Y944" s="61" t="n">
        <f aca="false">Resumo!$B$12*CEILING(G944,1)</f>
        <v>1.92</v>
      </c>
      <c r="Z944" s="61" t="n">
        <f aca="false">Resumo!$B$14*CEILING(G944,1)</f>
        <v>14.4</v>
      </c>
      <c r="AA944" s="61" t="n">
        <f aca="false">SUM(T944:Z944)</f>
        <v>126.20856</v>
      </c>
      <c r="AB944" s="61" t="n">
        <f aca="false">AA944/(1-Resumo!$B$5)</f>
        <v>143.418818181818</v>
      </c>
      <c r="AC944" s="61" t="n">
        <f aca="false">AB944-S944</f>
        <v>34.1211090909091</v>
      </c>
      <c r="AD944" s="62" t="n">
        <f aca="false">AB944/S944-1</f>
        <v>0.312185034569468</v>
      </c>
      <c r="AE944" s="60" t="str">
        <f aca="false">IF(AB944&lt;S944,"SIM","NÃO")</f>
        <v>NÃO</v>
      </c>
      <c r="AF944" s="60" t="n">
        <v>13</v>
      </c>
      <c r="AG944" s="60" t="n">
        <v>6</v>
      </c>
      <c r="AH944" s="60" t="s">
        <v>382</v>
      </c>
      <c r="AI944" s="61" t="n">
        <f aca="false">(T944*(1-Painel!$C$40)+U944+V944+Painel!$C$41+Painel!$C$42*CEILING(G944/100,1)+Painel!$C$43*CEILING(G944,1)+Z944)/(1-Resumo!$B$5)</f>
        <v>98.5865454545454</v>
      </c>
      <c r="AJ944" s="60" t="str">
        <f aca="false">IF(AI944&lt;S944,"SIM","NÃO")</f>
        <v>SIM</v>
      </c>
    </row>
    <row r="945" customFormat="false" ht="15" hidden="false" customHeight="false" outlineLevel="0" collapsed="false">
      <c r="A945" s="59" t="n">
        <v>46247.4607291667</v>
      </c>
      <c r="B945" s="60" t="s">
        <v>1276</v>
      </c>
      <c r="C945" s="60" t="n">
        <v>22753200</v>
      </c>
      <c r="D945" s="60" t="s">
        <v>46</v>
      </c>
      <c r="E945" s="60" t="s">
        <v>22</v>
      </c>
      <c r="F945" s="60" t="s">
        <v>233</v>
      </c>
      <c r="G945" s="60" t="n">
        <v>27.5</v>
      </c>
      <c r="H945" s="61" t="n">
        <v>336.59</v>
      </c>
      <c r="I945" s="61" t="n">
        <v>42.11</v>
      </c>
      <c r="J945" s="61" t="n">
        <f aca="false">H945*Resumo!$C$6</f>
        <v>0</v>
      </c>
      <c r="K945" s="61" t="n">
        <f aca="false">H945*Resumo!$C$7</f>
        <v>0.706839</v>
      </c>
      <c r="L945" s="61" t="n">
        <f aca="false">H945*Resumo!$C$8</f>
        <v>0.706839</v>
      </c>
      <c r="M945" s="61" t="n">
        <f aca="false">Resumo!$C$10*CEILING(G945/100,1)</f>
        <v>1.05</v>
      </c>
      <c r="N945" s="61" t="n">
        <f aca="false">Resumo!$C$9</f>
        <v>0</v>
      </c>
      <c r="O945" s="61" t="n">
        <f aca="false">Resumo!$C$13</f>
        <v>13.55</v>
      </c>
      <c r="P945" s="61" t="n">
        <f aca="false">Resumo!$C$14*CEILING(G945,1)</f>
        <v>12.6</v>
      </c>
      <c r="Q945" s="61" t="n">
        <f aca="false">SUM(I945:P945)*Resumo!$C$11</f>
        <v>0</v>
      </c>
      <c r="R945" s="61" t="n">
        <f aca="false">SUM(I945:Q945)</f>
        <v>70.723678</v>
      </c>
      <c r="S945" s="61" t="n">
        <f aca="false">R945/(1-Resumo!$C$5)</f>
        <v>80.3678159090909</v>
      </c>
      <c r="T945" s="61" t="n">
        <v>82.21</v>
      </c>
      <c r="U945" s="61" t="n">
        <f aca="false">H945*Resumo!$B$6</f>
        <v>0.33659</v>
      </c>
      <c r="V945" s="61" t="n">
        <f aca="false">H945*Resumo!$B$7</f>
        <v>0.67318</v>
      </c>
      <c r="W945" s="61" t="n">
        <f aca="false">Resumo!$B$9</f>
        <v>1</v>
      </c>
      <c r="X945" s="61" t="n">
        <f aca="false">Resumo!$B$10*CEILING(G945/100,1)</f>
        <v>4.5</v>
      </c>
      <c r="Y945" s="61" t="n">
        <f aca="false">Resumo!$B$12*CEILING(G945,1)</f>
        <v>1.68</v>
      </c>
      <c r="Z945" s="61" t="n">
        <f aca="false">Resumo!$B$14*CEILING(G945,1)</f>
        <v>12.6</v>
      </c>
      <c r="AA945" s="61" t="n">
        <f aca="false">SUM(T945:Z945)</f>
        <v>102.99977</v>
      </c>
      <c r="AB945" s="61" t="n">
        <f aca="false">AA945/(1-Resumo!$B$5)</f>
        <v>117.045193181818</v>
      </c>
      <c r="AC945" s="61" t="n">
        <f aca="false">AB945-S945</f>
        <v>36.6773772727273</v>
      </c>
      <c r="AD945" s="62" t="n">
        <f aca="false">AB945/S945-1</f>
        <v>0.456368968819749</v>
      </c>
      <c r="AE945" s="60" t="str">
        <f aca="false">IF(AB945&lt;S945,"SIM","NÃO")</f>
        <v>NÃO</v>
      </c>
      <c r="AF945" s="60" t="n">
        <v>2</v>
      </c>
      <c r="AG945" s="60" t="n">
        <v>5</v>
      </c>
      <c r="AH945" s="60" t="s">
        <v>382</v>
      </c>
      <c r="AI945" s="61" t="n">
        <f aca="false">(T945*(1-Painel!$C$40)+U945+V945+Painel!$C$41+Painel!$C$42*CEILING(G945/100,1)+Painel!$C$43*CEILING(G945,1)+Z945)/(1-Resumo!$B$5)</f>
        <v>80.3868977272727</v>
      </c>
      <c r="AJ945" s="60" t="str">
        <f aca="false">IF(AI945&lt;S945,"SIM","NÃO")</f>
        <v>NÃO</v>
      </c>
    </row>
    <row r="946" customFormat="false" ht="15" hidden="false" customHeight="false" outlineLevel="0" collapsed="false">
      <c r="A946" s="59" t="n">
        <v>46247.4883564815</v>
      </c>
      <c r="B946" s="60" t="s">
        <v>1277</v>
      </c>
      <c r="C946" s="60" t="n">
        <v>20751010</v>
      </c>
      <c r="D946" s="60" t="s">
        <v>46</v>
      </c>
      <c r="E946" s="60" t="s">
        <v>22</v>
      </c>
      <c r="F946" s="60" t="s">
        <v>233</v>
      </c>
      <c r="G946" s="60" t="n">
        <v>35</v>
      </c>
      <c r="H946" s="61" t="n">
        <v>459.99</v>
      </c>
      <c r="I946" s="61" t="n">
        <v>42.11</v>
      </c>
      <c r="J946" s="61" t="n">
        <f aca="false">H946*Resumo!$C$6</f>
        <v>0</v>
      </c>
      <c r="K946" s="61" t="n">
        <f aca="false">H946*Resumo!$C$7</f>
        <v>0.965979</v>
      </c>
      <c r="L946" s="61" t="n">
        <f aca="false">H946*Resumo!$C$8</f>
        <v>0.965979</v>
      </c>
      <c r="M946" s="61" t="n">
        <f aca="false">Resumo!$C$10*CEILING(G946/100,1)</f>
        <v>1.05</v>
      </c>
      <c r="N946" s="61" t="n">
        <f aca="false">Resumo!$C$9</f>
        <v>0</v>
      </c>
      <c r="O946" s="61" t="n">
        <f aca="false">Resumo!$C$13</f>
        <v>13.55</v>
      </c>
      <c r="P946" s="61" t="n">
        <f aca="false">Resumo!$C$14*CEILING(G946,1)</f>
        <v>15.75</v>
      </c>
      <c r="Q946" s="61" t="n">
        <f aca="false">SUM(I946:P946)*Resumo!$C$11</f>
        <v>0</v>
      </c>
      <c r="R946" s="61" t="n">
        <f aca="false">SUM(I946:Q946)</f>
        <v>74.391958</v>
      </c>
      <c r="S946" s="61" t="n">
        <f aca="false">R946/(1-Resumo!$C$5)</f>
        <v>84.5363159090909</v>
      </c>
      <c r="T946" s="61" t="n">
        <v>82.21</v>
      </c>
      <c r="U946" s="61" t="n">
        <f aca="false">H946*Resumo!$B$6</f>
        <v>0.45999</v>
      </c>
      <c r="V946" s="61" t="n">
        <f aca="false">H946*Resumo!$B$7</f>
        <v>0.91998</v>
      </c>
      <c r="W946" s="61" t="n">
        <f aca="false">Resumo!$B$9</f>
        <v>1</v>
      </c>
      <c r="X946" s="61" t="n">
        <f aca="false">Resumo!$B$10*CEILING(G946/100,1)</f>
        <v>4.5</v>
      </c>
      <c r="Y946" s="61" t="n">
        <f aca="false">Resumo!$B$12*CEILING(G946,1)</f>
        <v>2.1</v>
      </c>
      <c r="Z946" s="61" t="n">
        <f aca="false">Resumo!$B$14*CEILING(G946,1)</f>
        <v>15.75</v>
      </c>
      <c r="AA946" s="61" t="n">
        <f aca="false">SUM(T946:Z946)</f>
        <v>106.93997</v>
      </c>
      <c r="AB946" s="61" t="n">
        <f aca="false">AA946/(1-Resumo!$B$5)</f>
        <v>121.522693181818</v>
      </c>
      <c r="AC946" s="61" t="n">
        <f aca="false">AB946-S946</f>
        <v>36.9863772727273</v>
      </c>
      <c r="AD946" s="62" t="n">
        <f aca="false">AB946/S946-1</f>
        <v>0.437520571780084</v>
      </c>
      <c r="AE946" s="60" t="str">
        <f aca="false">IF(AB946&lt;S946,"SIM","NÃO")</f>
        <v>NÃO</v>
      </c>
      <c r="AF946" s="60" t="n">
        <v>2</v>
      </c>
      <c r="AG946" s="60" t="n">
        <v>5</v>
      </c>
      <c r="AH946" s="60" t="s">
        <v>382</v>
      </c>
      <c r="AI946" s="61" t="n">
        <f aca="false">(T946*(1-Painel!$C$40)+U946+V946+Painel!$C$41+Painel!$C$42*CEILING(G946/100,1)+Painel!$C$43*CEILING(G946,1)+Z946)/(1-Resumo!$B$5)</f>
        <v>84.387125</v>
      </c>
      <c r="AJ946" s="60" t="str">
        <f aca="false">IF(AI946&lt;S946,"SIM","NÃO")</f>
        <v>SIM</v>
      </c>
    </row>
    <row r="947" customFormat="false" ht="15" hidden="false" customHeight="false" outlineLevel="0" collapsed="false">
      <c r="A947" s="59" t="n">
        <v>46247.5072453704</v>
      </c>
      <c r="B947" s="60" t="s">
        <v>1278</v>
      </c>
      <c r="C947" s="60" t="n">
        <v>21615410</v>
      </c>
      <c r="D947" s="60" t="s">
        <v>46</v>
      </c>
      <c r="E947" s="60" t="s">
        <v>22</v>
      </c>
      <c r="F947" s="60" t="s">
        <v>234</v>
      </c>
      <c r="G947" s="60" t="n">
        <v>40</v>
      </c>
      <c r="H947" s="61" t="n">
        <v>599.99</v>
      </c>
      <c r="I947" s="61" t="n">
        <v>48.35</v>
      </c>
      <c r="J947" s="61" t="n">
        <f aca="false">H947*Resumo!$C$6</f>
        <v>0</v>
      </c>
      <c r="K947" s="61" t="n">
        <f aca="false">H947*Resumo!$C$7</f>
        <v>1.259979</v>
      </c>
      <c r="L947" s="61" t="n">
        <f aca="false">H947*Resumo!$C$8</f>
        <v>1.259979</v>
      </c>
      <c r="M947" s="61" t="n">
        <f aca="false">Resumo!$C$10*CEILING(G947/100,1)</f>
        <v>1.05</v>
      </c>
      <c r="N947" s="61" t="n">
        <f aca="false">Resumo!$C$9</f>
        <v>0</v>
      </c>
      <c r="O947" s="61" t="n">
        <f aca="false">Resumo!$C$13</f>
        <v>13.55</v>
      </c>
      <c r="P947" s="61" t="n">
        <f aca="false">Resumo!$C$14*CEILING(G947,1)</f>
        <v>18</v>
      </c>
      <c r="Q947" s="61" t="n">
        <f aca="false">SUM(I947:P947)*Resumo!$C$11</f>
        <v>0</v>
      </c>
      <c r="R947" s="61" t="n">
        <f aca="false">SUM(I947:Q947)</f>
        <v>83.469958</v>
      </c>
      <c r="S947" s="61" t="n">
        <f aca="false">R947/(1-Resumo!$C$5)</f>
        <v>94.852225</v>
      </c>
      <c r="T947" s="61" t="n">
        <v>93.97</v>
      </c>
      <c r="U947" s="61" t="n">
        <f aca="false">H947*Resumo!$B$6</f>
        <v>0.59999</v>
      </c>
      <c r="V947" s="61" t="n">
        <f aca="false">H947*Resumo!$B$7</f>
        <v>1.19998</v>
      </c>
      <c r="W947" s="61" t="n">
        <f aca="false">Resumo!$B$9</f>
        <v>1</v>
      </c>
      <c r="X947" s="61" t="n">
        <f aca="false">Resumo!$B$10*CEILING(G947/100,1)</f>
        <v>4.5</v>
      </c>
      <c r="Y947" s="61" t="n">
        <f aca="false">Resumo!$B$12*CEILING(G947,1)</f>
        <v>2.4</v>
      </c>
      <c r="Z947" s="61" t="n">
        <f aca="false">Resumo!$B$14*CEILING(G947,1)</f>
        <v>18</v>
      </c>
      <c r="AA947" s="61" t="n">
        <f aca="false">SUM(T947:Z947)</f>
        <v>121.66997</v>
      </c>
      <c r="AB947" s="61" t="n">
        <f aca="false">AA947/(1-Resumo!$B$5)</f>
        <v>138.261329545455</v>
      </c>
      <c r="AC947" s="61" t="n">
        <f aca="false">AB947-S947</f>
        <v>43.4091045454545</v>
      </c>
      <c r="AD947" s="62" t="n">
        <f aca="false">AB947/S947-1</f>
        <v>0.457649828936059</v>
      </c>
      <c r="AE947" s="60" t="str">
        <f aca="false">IF(AB947&lt;S947,"SIM","NÃO")</f>
        <v>NÃO</v>
      </c>
      <c r="AF947" s="60" t="n">
        <v>2</v>
      </c>
      <c r="AG947" s="60" t="n">
        <v>5</v>
      </c>
      <c r="AH947" s="60" t="s">
        <v>382</v>
      </c>
      <c r="AI947" s="61" t="n">
        <f aca="false">(T947*(1-Painel!$C$40)+U947+V947+Painel!$C$41+Painel!$C$42*CEILING(G947/100,1)+Painel!$C$43*CEILING(G947,1)+Z947)/(1-Resumo!$B$5)</f>
        <v>96.3748522727273</v>
      </c>
      <c r="AJ947" s="60" t="str">
        <f aca="false">IF(AI947&lt;S947,"SIM","NÃO")</f>
        <v>NÃO</v>
      </c>
    </row>
    <row r="948" customFormat="false" ht="15" hidden="false" customHeight="false" outlineLevel="0" collapsed="false">
      <c r="A948" s="59" t="n">
        <v>46247.5566435185</v>
      </c>
      <c r="B948" s="60" t="s">
        <v>1279</v>
      </c>
      <c r="C948" s="60" t="n">
        <v>28925732</v>
      </c>
      <c r="D948" s="60" t="s">
        <v>221</v>
      </c>
      <c r="E948" s="60" t="s">
        <v>24</v>
      </c>
      <c r="F948" s="60" t="s">
        <v>234</v>
      </c>
      <c r="G948" s="60" t="n">
        <v>36.9</v>
      </c>
      <c r="H948" s="61" t="n">
        <v>390.99</v>
      </c>
      <c r="I948" s="61" t="n">
        <v>74.97</v>
      </c>
      <c r="J948" s="61" t="n">
        <f aca="false">H948*Resumo!$C$6</f>
        <v>0</v>
      </c>
      <c r="K948" s="61" t="n">
        <f aca="false">H948*Resumo!$C$7</f>
        <v>0.821079</v>
      </c>
      <c r="L948" s="61" t="n">
        <f aca="false">H948*Resumo!$C$8</f>
        <v>0.821079</v>
      </c>
      <c r="M948" s="61" t="n">
        <f aca="false">Resumo!$C$10*CEILING(G948/100,1)</f>
        <v>1.05</v>
      </c>
      <c r="N948" s="61" t="n">
        <f aca="false">Resumo!$C$9</f>
        <v>0</v>
      </c>
      <c r="O948" s="61" t="n">
        <f aca="false">Resumo!$C$13</f>
        <v>13.55</v>
      </c>
      <c r="P948" s="61" t="n">
        <f aca="false">Resumo!$C$14*CEILING(G948,1)</f>
        <v>16.65</v>
      </c>
      <c r="Q948" s="61" t="n">
        <f aca="false">SUM(I948:P948)*Resumo!$C$11</f>
        <v>0</v>
      </c>
      <c r="R948" s="61" t="n">
        <f aca="false">SUM(I948:Q948)</f>
        <v>107.862158</v>
      </c>
      <c r="S948" s="61" t="n">
        <f aca="false">R948/(1-Resumo!$C$5)</f>
        <v>122.570634090909</v>
      </c>
      <c r="T948" s="61" t="n">
        <v>124.38</v>
      </c>
      <c r="U948" s="61" t="n">
        <f aca="false">H948*Resumo!$B$6</f>
        <v>0.39099</v>
      </c>
      <c r="V948" s="61" t="n">
        <f aca="false">H948*Resumo!$B$7</f>
        <v>0.78198</v>
      </c>
      <c r="W948" s="61" t="n">
        <f aca="false">Resumo!$B$9</f>
        <v>1</v>
      </c>
      <c r="X948" s="61" t="n">
        <f aca="false">Resumo!$B$10*CEILING(G948/100,1)</f>
        <v>4.5</v>
      </c>
      <c r="Y948" s="61" t="n">
        <f aca="false">Resumo!$B$12*CEILING(G948,1)</f>
        <v>2.22</v>
      </c>
      <c r="Z948" s="61" t="n">
        <f aca="false">Resumo!$B$14*CEILING(G948,1)</f>
        <v>16.65</v>
      </c>
      <c r="AA948" s="61" t="n">
        <f aca="false">SUM(T948:Z948)</f>
        <v>149.92297</v>
      </c>
      <c r="AB948" s="61" t="n">
        <f aca="false">AA948/(1-Resumo!$B$5)</f>
        <v>170.367011363636</v>
      </c>
      <c r="AC948" s="61" t="n">
        <f aca="false">AB948-S948</f>
        <v>47.7963772727273</v>
      </c>
      <c r="AD948" s="62" t="n">
        <f aca="false">AB948/S948-1</f>
        <v>0.389949661492958</v>
      </c>
      <c r="AE948" s="60" t="str">
        <f aca="false">IF(AB948&lt;S948,"SIM","NÃO")</f>
        <v>NÃO</v>
      </c>
      <c r="AF948" s="60" t="n">
        <v>13</v>
      </c>
      <c r="AG948" s="60" t="n">
        <v>10</v>
      </c>
      <c r="AH948" s="60" t="s">
        <v>382</v>
      </c>
      <c r="AI948" s="61" t="n">
        <f aca="false">(T948*(1-Painel!$C$40)+U948+V948+Painel!$C$41+Painel!$C$42*CEILING(G948/100,1)+Painel!$C$43*CEILING(G948,1)+Z948)/(1-Resumo!$B$5)</f>
        <v>117.281329545455</v>
      </c>
      <c r="AJ948" s="60" t="str">
        <f aca="false">IF(AI948&lt;S948,"SIM","NÃO")</f>
        <v>SIM</v>
      </c>
    </row>
    <row r="949" customFormat="false" ht="15" hidden="false" customHeight="false" outlineLevel="0" collapsed="false">
      <c r="A949" s="59" t="n">
        <v>46247.5631597222</v>
      </c>
      <c r="B949" s="60" t="s">
        <v>1228</v>
      </c>
      <c r="C949" s="60" t="n">
        <v>22783116</v>
      </c>
      <c r="D949" s="60" t="s">
        <v>46</v>
      </c>
      <c r="E949" s="60" t="s">
        <v>22</v>
      </c>
      <c r="F949" s="60" t="s">
        <v>237</v>
      </c>
      <c r="G949" s="60" t="n">
        <v>66.8</v>
      </c>
      <c r="H949" s="61" t="n">
        <v>629.99</v>
      </c>
      <c r="I949" s="61" t="n">
        <v>63.21</v>
      </c>
      <c r="J949" s="61" t="n">
        <f aca="false">H949*Resumo!$C$6</f>
        <v>0</v>
      </c>
      <c r="K949" s="61" t="n">
        <f aca="false">H949*Resumo!$C$7</f>
        <v>1.322979</v>
      </c>
      <c r="L949" s="61" t="n">
        <f aca="false">H949*Resumo!$C$8</f>
        <v>1.322979</v>
      </c>
      <c r="M949" s="61" t="n">
        <f aca="false">Resumo!$C$10*CEILING(G949/100,1)</f>
        <v>1.05</v>
      </c>
      <c r="N949" s="61" t="n">
        <f aca="false">Resumo!$C$9</f>
        <v>0</v>
      </c>
      <c r="O949" s="61" t="n">
        <f aca="false">Resumo!$C$13</f>
        <v>13.55</v>
      </c>
      <c r="P949" s="61" t="n">
        <f aca="false">Resumo!$C$14*CEILING(G949,1)</f>
        <v>30.15</v>
      </c>
      <c r="Q949" s="61" t="n">
        <f aca="false">SUM(I949:P949)*Resumo!$C$11</f>
        <v>0</v>
      </c>
      <c r="R949" s="61" t="n">
        <f aca="false">SUM(I949:Q949)</f>
        <v>110.605958</v>
      </c>
      <c r="S949" s="61" t="n">
        <f aca="false">R949/(1-Resumo!$C$5)</f>
        <v>125.688588636364</v>
      </c>
      <c r="T949" s="61" t="n">
        <v>131.02</v>
      </c>
      <c r="U949" s="61" t="n">
        <f aca="false">H949*Resumo!$B$6</f>
        <v>0.62999</v>
      </c>
      <c r="V949" s="61" t="n">
        <f aca="false">H949*Resumo!$B$7</f>
        <v>1.25998</v>
      </c>
      <c r="W949" s="61" t="n">
        <f aca="false">Resumo!$B$9</f>
        <v>1</v>
      </c>
      <c r="X949" s="61" t="n">
        <f aca="false">Resumo!$B$10*CEILING(G949/100,1)</f>
        <v>4.5</v>
      </c>
      <c r="Y949" s="61" t="n">
        <f aca="false">Resumo!$B$12*CEILING(G949,1)</f>
        <v>4.02</v>
      </c>
      <c r="Z949" s="61" t="n">
        <f aca="false">Resumo!$B$14*CEILING(G949,1)</f>
        <v>30.15</v>
      </c>
      <c r="AA949" s="61" t="n">
        <f aca="false">SUM(T949:Z949)</f>
        <v>172.57997</v>
      </c>
      <c r="AB949" s="61" t="n">
        <f aca="false">AA949/(1-Resumo!$B$5)</f>
        <v>196.113602272727</v>
      </c>
      <c r="AC949" s="61" t="n">
        <f aca="false">AB949-S949</f>
        <v>70.4250136363636</v>
      </c>
      <c r="AD949" s="62" t="n">
        <f aca="false">AB949/S949-1</f>
        <v>0.5603135049922</v>
      </c>
      <c r="AE949" s="60" t="str">
        <f aca="false">IF(AB949&lt;S949,"SIM","NÃO")</f>
        <v>NÃO</v>
      </c>
      <c r="AF949" s="60" t="n">
        <v>2</v>
      </c>
      <c r="AG949" s="60" t="n">
        <v>5</v>
      </c>
      <c r="AH949" s="60" t="s">
        <v>382</v>
      </c>
      <c r="AI949" s="61" t="n">
        <f aca="false">(T949*(1-Painel!$C$40)+U949+V949+Painel!$C$41+Painel!$C$42*CEILING(G949/100,1)+Painel!$C$43*CEILING(G949,1)+Z949)/(1-Resumo!$B$5)</f>
        <v>138.492465909091</v>
      </c>
      <c r="AJ949" s="60" t="str">
        <f aca="false">IF(AI949&lt;S949,"SIM","NÃO")</f>
        <v>NÃO</v>
      </c>
    </row>
    <row r="950" customFormat="false" ht="15" hidden="false" customHeight="false" outlineLevel="0" collapsed="false">
      <c r="A950" s="59" t="n">
        <v>46247.5811921296</v>
      </c>
      <c r="B950" s="60" t="s">
        <v>1280</v>
      </c>
      <c r="C950" s="60" t="n">
        <v>25071220</v>
      </c>
      <c r="D950" s="60" t="s">
        <v>48</v>
      </c>
      <c r="E950" s="60" t="s">
        <v>23</v>
      </c>
      <c r="F950" s="60" t="s">
        <v>233</v>
      </c>
      <c r="G950" s="60" t="n">
        <v>27</v>
      </c>
      <c r="H950" s="61" t="n">
        <v>329.99</v>
      </c>
      <c r="I950" s="61" t="n">
        <v>58.8</v>
      </c>
      <c r="J950" s="61" t="n">
        <f aca="false">H950*Resumo!$C$6</f>
        <v>0</v>
      </c>
      <c r="K950" s="61" t="n">
        <f aca="false">H950*Resumo!$C$7</f>
        <v>0.692979</v>
      </c>
      <c r="L950" s="61" t="n">
        <f aca="false">H950*Resumo!$C$8</f>
        <v>0.692979</v>
      </c>
      <c r="M950" s="61" t="n">
        <f aca="false">Resumo!$C$10*CEILING(G950/100,1)</f>
        <v>1.05</v>
      </c>
      <c r="N950" s="61" t="n">
        <f aca="false">Resumo!$C$9</f>
        <v>0</v>
      </c>
      <c r="O950" s="61" t="n">
        <f aca="false">Resumo!$C$13</f>
        <v>13.55</v>
      </c>
      <c r="P950" s="61" t="n">
        <f aca="false">Resumo!$C$14*CEILING(G950,1)</f>
        <v>12.15</v>
      </c>
      <c r="Q950" s="61" t="n">
        <f aca="false">SUM(I950:P950)*Resumo!$C$11</f>
        <v>0</v>
      </c>
      <c r="R950" s="61" t="n">
        <f aca="false">SUM(I950:Q950)</f>
        <v>86.935958</v>
      </c>
      <c r="S950" s="61" t="n">
        <f aca="false">R950/(1-Resumo!$C$5)</f>
        <v>98.7908613636364</v>
      </c>
      <c r="T950" s="61" t="n">
        <v>82.21</v>
      </c>
      <c r="U950" s="61" t="n">
        <f aca="false">H950*Resumo!$B$6</f>
        <v>0.32999</v>
      </c>
      <c r="V950" s="61" t="n">
        <f aca="false">H950*Resumo!$B$7</f>
        <v>0.65998</v>
      </c>
      <c r="W950" s="61" t="n">
        <f aca="false">Resumo!$B$9</f>
        <v>1</v>
      </c>
      <c r="X950" s="61" t="n">
        <f aca="false">Resumo!$B$10*CEILING(G950/100,1)</f>
        <v>4.5</v>
      </c>
      <c r="Y950" s="61" t="n">
        <f aca="false">Resumo!$B$12*CEILING(G950,1)</f>
        <v>1.62</v>
      </c>
      <c r="Z950" s="61" t="n">
        <f aca="false">Resumo!$B$14*CEILING(G950,1)</f>
        <v>12.15</v>
      </c>
      <c r="AA950" s="61" t="n">
        <f aca="false">SUM(T950:Z950)</f>
        <v>102.46997</v>
      </c>
      <c r="AB950" s="61" t="n">
        <f aca="false">AA950/(1-Resumo!$B$5)</f>
        <v>116.443147727273</v>
      </c>
      <c r="AC950" s="61" t="n">
        <f aca="false">AB950-S950</f>
        <v>17.6522863636364</v>
      </c>
      <c r="AD950" s="62" t="n">
        <f aca="false">AB950/S950-1</f>
        <v>0.178683393584965</v>
      </c>
      <c r="AE950" s="60" t="str">
        <f aca="false">IF(AB950&lt;S950,"SIM","NÃO")</f>
        <v>NÃO</v>
      </c>
      <c r="AF950" s="60" t="n">
        <v>2</v>
      </c>
      <c r="AG950" s="60" t="n">
        <v>5</v>
      </c>
      <c r="AH950" s="60" t="s">
        <v>382</v>
      </c>
      <c r="AI950" s="61" t="n">
        <f aca="false">(T950*(1-Painel!$C$40)+U950+V950+Painel!$C$41+Painel!$C$42*CEILING(G950/100,1)+Painel!$C$43*CEILING(G950,1)+Z950)/(1-Resumo!$B$5)</f>
        <v>79.8530340909091</v>
      </c>
      <c r="AJ950" s="60" t="str">
        <f aca="false">IF(AI950&lt;S950,"SIM","NÃO")</f>
        <v>SIM</v>
      </c>
    </row>
    <row r="951" customFormat="false" ht="15" hidden="false" customHeight="false" outlineLevel="0" collapsed="false">
      <c r="A951" s="59" t="n">
        <v>46247.5911921296</v>
      </c>
      <c r="B951" s="60" t="s">
        <v>1281</v>
      </c>
      <c r="C951" s="60" t="n">
        <v>24724100</v>
      </c>
      <c r="D951" s="60" t="s">
        <v>47</v>
      </c>
      <c r="E951" s="60" t="s">
        <v>23</v>
      </c>
      <c r="F951" s="60" t="s">
        <v>237</v>
      </c>
      <c r="G951" s="60" t="n">
        <v>66.8</v>
      </c>
      <c r="H951" s="61" t="n">
        <v>629.99</v>
      </c>
      <c r="I951" s="61" t="n">
        <v>76.55</v>
      </c>
      <c r="J951" s="61" t="n">
        <f aca="false">H951*Resumo!$C$6</f>
        <v>0</v>
      </c>
      <c r="K951" s="61" t="n">
        <f aca="false">H951*Resumo!$C$7</f>
        <v>1.322979</v>
      </c>
      <c r="L951" s="61" t="n">
        <f aca="false">H951*Resumo!$C$8</f>
        <v>1.322979</v>
      </c>
      <c r="M951" s="61" t="n">
        <f aca="false">Resumo!$C$10*CEILING(G951/100,1)</f>
        <v>1.05</v>
      </c>
      <c r="N951" s="61" t="n">
        <f aca="false">Resumo!$C$9</f>
        <v>0</v>
      </c>
      <c r="O951" s="61" t="n">
        <f aca="false">Resumo!$C$13</f>
        <v>13.55</v>
      </c>
      <c r="P951" s="61" t="n">
        <f aca="false">Resumo!$C$14*CEILING(G951,1)</f>
        <v>30.15</v>
      </c>
      <c r="Q951" s="61" t="n">
        <f aca="false">SUM(I951:P951)*Resumo!$C$11</f>
        <v>0</v>
      </c>
      <c r="R951" s="61" t="n">
        <f aca="false">SUM(I951:Q951)</f>
        <v>123.945958</v>
      </c>
      <c r="S951" s="61" t="n">
        <f aca="false">R951/(1-Resumo!$C$5)</f>
        <v>140.847679545455</v>
      </c>
      <c r="T951" s="61" t="n">
        <v>149.5</v>
      </c>
      <c r="U951" s="61" t="n">
        <f aca="false">H951*Resumo!$B$6</f>
        <v>0.62999</v>
      </c>
      <c r="V951" s="61" t="n">
        <f aca="false">H951*Resumo!$B$7</f>
        <v>1.25998</v>
      </c>
      <c r="W951" s="61" t="n">
        <f aca="false">Resumo!$B$9</f>
        <v>1</v>
      </c>
      <c r="X951" s="61" t="n">
        <f aca="false">Resumo!$B$10*CEILING(G951/100,1)</f>
        <v>4.5</v>
      </c>
      <c r="Y951" s="61" t="n">
        <f aca="false">Resumo!$B$12*CEILING(G951,1)</f>
        <v>4.02</v>
      </c>
      <c r="Z951" s="61" t="n">
        <f aca="false">Resumo!$B$14*CEILING(G951,1)</f>
        <v>30.15</v>
      </c>
      <c r="AA951" s="61" t="n">
        <f aca="false">SUM(T951:Z951)</f>
        <v>191.05997</v>
      </c>
      <c r="AB951" s="61" t="n">
        <f aca="false">AA951/(1-Resumo!$B$5)</f>
        <v>217.113602272727</v>
      </c>
      <c r="AC951" s="61" t="n">
        <f aca="false">AB951-S951</f>
        <v>76.2659227272727</v>
      </c>
      <c r="AD951" s="62" t="n">
        <f aca="false">AB951/S951-1</f>
        <v>0.541478020606368</v>
      </c>
      <c r="AE951" s="60" t="str">
        <f aca="false">IF(AB951&lt;S951,"SIM","NÃO")</f>
        <v>NÃO</v>
      </c>
      <c r="AF951" s="60" t="n">
        <v>2</v>
      </c>
      <c r="AG951" s="60" t="n">
        <v>7</v>
      </c>
      <c r="AH951" s="60" t="s">
        <v>382</v>
      </c>
      <c r="AI951" s="61" t="n">
        <f aca="false">(T951*(1-Painel!$C$40)+U951+V951+Painel!$C$41+Painel!$C$42*CEILING(G951/100,1)+Painel!$C$43*CEILING(G951,1)+Z951)/(1-Resumo!$B$5)</f>
        <v>152.562465909091</v>
      </c>
      <c r="AJ951" s="60" t="str">
        <f aca="false">IF(AI951&lt;S951,"SIM","NÃO")</f>
        <v>NÃO</v>
      </c>
    </row>
    <row r="952" customFormat="false" ht="15" hidden="false" customHeight="false" outlineLevel="0" collapsed="false">
      <c r="A952" s="59" t="n">
        <v>46247.6115162037</v>
      </c>
      <c r="B952" s="60" t="s">
        <v>1282</v>
      </c>
      <c r="C952" s="60" t="n">
        <v>21050060</v>
      </c>
      <c r="D952" s="60" t="s">
        <v>46</v>
      </c>
      <c r="E952" s="60" t="s">
        <v>22</v>
      </c>
      <c r="F952" s="60" t="s">
        <v>237</v>
      </c>
      <c r="G952" s="60" t="n">
        <v>66.8</v>
      </c>
      <c r="H952" s="61" t="n">
        <v>629.99</v>
      </c>
      <c r="I952" s="61" t="n">
        <v>63.21</v>
      </c>
      <c r="J952" s="61" t="n">
        <f aca="false">H952*Resumo!$C$6</f>
        <v>0</v>
      </c>
      <c r="K952" s="61" t="n">
        <f aca="false">H952*Resumo!$C$7</f>
        <v>1.322979</v>
      </c>
      <c r="L952" s="61" t="n">
        <f aca="false">H952*Resumo!$C$8</f>
        <v>1.322979</v>
      </c>
      <c r="M952" s="61" t="n">
        <f aca="false">Resumo!$C$10*CEILING(G952/100,1)</f>
        <v>1.05</v>
      </c>
      <c r="N952" s="61" t="n">
        <f aca="false">Resumo!$C$9</f>
        <v>0</v>
      </c>
      <c r="O952" s="61" t="n">
        <f aca="false">Resumo!$C$13</f>
        <v>13.55</v>
      </c>
      <c r="P952" s="61" t="n">
        <f aca="false">Resumo!$C$14*CEILING(G952,1)</f>
        <v>30.15</v>
      </c>
      <c r="Q952" s="61" t="n">
        <f aca="false">SUM(I952:P952)*Resumo!$C$11</f>
        <v>0</v>
      </c>
      <c r="R952" s="61" t="n">
        <f aca="false">SUM(I952:Q952)</f>
        <v>110.605958</v>
      </c>
      <c r="S952" s="61" t="n">
        <f aca="false">R952/(1-Resumo!$C$5)</f>
        <v>125.688588636364</v>
      </c>
      <c r="T952" s="61" t="n">
        <v>131.02</v>
      </c>
      <c r="U952" s="61" t="n">
        <f aca="false">H952*Resumo!$B$6</f>
        <v>0.62999</v>
      </c>
      <c r="V952" s="61" t="n">
        <f aca="false">H952*Resumo!$B$7</f>
        <v>1.25998</v>
      </c>
      <c r="W952" s="61" t="n">
        <f aca="false">Resumo!$B$9</f>
        <v>1</v>
      </c>
      <c r="X952" s="61" t="n">
        <f aca="false">Resumo!$B$10*CEILING(G952/100,1)</f>
        <v>4.5</v>
      </c>
      <c r="Y952" s="61" t="n">
        <f aca="false">Resumo!$B$12*CEILING(G952,1)</f>
        <v>4.02</v>
      </c>
      <c r="Z952" s="61" t="n">
        <f aca="false">Resumo!$B$14*CEILING(G952,1)</f>
        <v>30.15</v>
      </c>
      <c r="AA952" s="61" t="n">
        <f aca="false">SUM(T952:Z952)</f>
        <v>172.57997</v>
      </c>
      <c r="AB952" s="61" t="n">
        <f aca="false">AA952/(1-Resumo!$B$5)</f>
        <v>196.113602272727</v>
      </c>
      <c r="AC952" s="61" t="n">
        <f aca="false">AB952-S952</f>
        <v>70.4250136363636</v>
      </c>
      <c r="AD952" s="62" t="n">
        <f aca="false">AB952/S952-1</f>
        <v>0.5603135049922</v>
      </c>
      <c r="AE952" s="60" t="str">
        <f aca="false">IF(AB952&lt;S952,"SIM","NÃO")</f>
        <v>NÃO</v>
      </c>
      <c r="AF952" s="60" t="n">
        <v>2</v>
      </c>
      <c r="AG952" s="60" t="n">
        <v>5</v>
      </c>
      <c r="AH952" s="60" t="s">
        <v>382</v>
      </c>
      <c r="AI952" s="61" t="n">
        <f aca="false">(T952*(1-Painel!$C$40)+U952+V952+Painel!$C$41+Painel!$C$42*CEILING(G952/100,1)+Painel!$C$43*CEILING(G952,1)+Z952)/(1-Resumo!$B$5)</f>
        <v>138.492465909091</v>
      </c>
      <c r="AJ952" s="60" t="str">
        <f aca="false">IF(AI952&lt;S952,"SIM","NÃO")</f>
        <v>NÃO</v>
      </c>
    </row>
    <row r="953" customFormat="false" ht="15" hidden="false" customHeight="false" outlineLevel="0" collapsed="false">
      <c r="A953" s="59" t="n">
        <v>46247.6138078704</v>
      </c>
      <c r="B953" s="60" t="s">
        <v>1283</v>
      </c>
      <c r="C953" s="60" t="n">
        <v>21330430</v>
      </c>
      <c r="D953" s="60" t="s">
        <v>46</v>
      </c>
      <c r="E953" s="60" t="s">
        <v>22</v>
      </c>
      <c r="F953" s="60" t="s">
        <v>232</v>
      </c>
      <c r="G953" s="60" t="n">
        <v>17</v>
      </c>
      <c r="H953" s="61" t="n">
        <v>225.99</v>
      </c>
      <c r="I953" s="61" t="n">
        <v>33.42</v>
      </c>
      <c r="J953" s="61" t="n">
        <f aca="false">H953*Resumo!$C$6</f>
        <v>0</v>
      </c>
      <c r="K953" s="61" t="n">
        <f aca="false">H953*Resumo!$C$7</f>
        <v>0.474579</v>
      </c>
      <c r="L953" s="61" t="n">
        <f aca="false">H953*Resumo!$C$8</f>
        <v>0.474579</v>
      </c>
      <c r="M953" s="61" t="n">
        <f aca="false">Resumo!$C$10*CEILING(G953/100,1)</f>
        <v>1.05</v>
      </c>
      <c r="N953" s="61" t="n">
        <f aca="false">Resumo!$C$9</f>
        <v>0</v>
      </c>
      <c r="O953" s="61" t="n">
        <f aca="false">Resumo!$C$13</f>
        <v>13.55</v>
      </c>
      <c r="P953" s="61" t="n">
        <f aca="false">Resumo!$C$14*CEILING(G953,1)</f>
        <v>7.65</v>
      </c>
      <c r="Q953" s="61" t="n">
        <f aca="false">SUM(I953:P953)*Resumo!$C$11</f>
        <v>0</v>
      </c>
      <c r="R953" s="61" t="n">
        <f aca="false">SUM(I953:Q953)</f>
        <v>56.619158</v>
      </c>
      <c r="S953" s="61" t="n">
        <f aca="false">R953/(1-Resumo!$C$5)</f>
        <v>64.3399522727273</v>
      </c>
      <c r="T953" s="61" t="n">
        <v>46.98</v>
      </c>
      <c r="U953" s="61" t="n">
        <f aca="false">H953*Resumo!$B$6</f>
        <v>0.22599</v>
      </c>
      <c r="V953" s="61" t="n">
        <f aca="false">H953*Resumo!$B$7</f>
        <v>0.45198</v>
      </c>
      <c r="W953" s="61" t="n">
        <f aca="false">Resumo!$B$9</f>
        <v>1</v>
      </c>
      <c r="X953" s="61" t="n">
        <f aca="false">Resumo!$B$10*CEILING(G953/100,1)</f>
        <v>4.5</v>
      </c>
      <c r="Y953" s="61" t="n">
        <f aca="false">Resumo!$B$12*CEILING(G953,1)</f>
        <v>1.02</v>
      </c>
      <c r="Z953" s="61" t="n">
        <f aca="false">Resumo!$B$14*CEILING(G953,1)</f>
        <v>7.65</v>
      </c>
      <c r="AA953" s="61" t="n">
        <f aca="false">SUM(T953:Z953)</f>
        <v>61.82797</v>
      </c>
      <c r="AB953" s="61" t="n">
        <f aca="false">AA953/(1-Resumo!$B$5)</f>
        <v>70.2590568181818</v>
      </c>
      <c r="AC953" s="61" t="n">
        <f aca="false">AB953-S953</f>
        <v>5.91910454545453</v>
      </c>
      <c r="AD953" s="62" t="n">
        <f aca="false">AB953/S953-1</f>
        <v>0.0919973412532908</v>
      </c>
      <c r="AE953" s="60" t="str">
        <f aca="false">IF(AB953&lt;S953,"SIM","NÃO")</f>
        <v>NÃO</v>
      </c>
      <c r="AF953" s="60" t="n">
        <v>2</v>
      </c>
      <c r="AG953" s="60" t="n">
        <v>5</v>
      </c>
      <c r="AH953" s="60" t="s">
        <v>382</v>
      </c>
      <c r="AI953" s="61" t="n">
        <f aca="false">(T953*(1-Painel!$C$40)+U953+V953+Painel!$C$41+Painel!$C$42*CEILING(G953/100,1)+Painel!$C$43*CEILING(G953,1)+Z953)/(1-Resumo!$B$5)</f>
        <v>47.5620113636364</v>
      </c>
      <c r="AJ953" s="60" t="str">
        <f aca="false">IF(AI953&lt;S953,"SIM","NÃO")</f>
        <v>SIM</v>
      </c>
    </row>
    <row r="954" customFormat="false" ht="15" hidden="false" customHeight="false" outlineLevel="0" collapsed="false">
      <c r="A954" s="59" t="n">
        <v>46247.6197685185</v>
      </c>
      <c r="B954" s="60" t="s">
        <v>1284</v>
      </c>
      <c r="C954" s="60" t="n">
        <v>26155070</v>
      </c>
      <c r="D954" s="60" t="s">
        <v>52</v>
      </c>
      <c r="E954" s="60" t="s">
        <v>23</v>
      </c>
      <c r="F954" s="60" t="s">
        <v>235</v>
      </c>
      <c r="G954" s="60" t="n">
        <v>48</v>
      </c>
      <c r="H954" s="61" t="n">
        <v>798</v>
      </c>
      <c r="I954" s="61" t="n">
        <v>65.36</v>
      </c>
      <c r="J954" s="61" t="n">
        <f aca="false">H954*Resumo!$C$6</f>
        <v>0</v>
      </c>
      <c r="K954" s="61" t="n">
        <f aca="false">H954*Resumo!$C$7</f>
        <v>1.6758</v>
      </c>
      <c r="L954" s="61" t="n">
        <f aca="false">H954*Resumo!$C$8</f>
        <v>1.6758</v>
      </c>
      <c r="M954" s="61" t="n">
        <f aca="false">Resumo!$C$10*CEILING(G954/100,1)</f>
        <v>1.05</v>
      </c>
      <c r="N954" s="61" t="n">
        <f aca="false">Resumo!$C$9</f>
        <v>0</v>
      </c>
      <c r="O954" s="61" t="n">
        <f aca="false">Resumo!$C$13</f>
        <v>13.55</v>
      </c>
      <c r="P954" s="61" t="n">
        <f aca="false">Resumo!$C$14*CEILING(G954,1)</f>
        <v>21.6</v>
      </c>
      <c r="Q954" s="61" t="n">
        <f aca="false">SUM(I954:P954)*Resumo!$C$11</f>
        <v>0</v>
      </c>
      <c r="R954" s="61" t="n">
        <f aca="false">SUM(I954:Q954)</f>
        <v>104.9116</v>
      </c>
      <c r="S954" s="61" t="n">
        <f aca="false">R954/(1-Resumo!$C$5)</f>
        <v>119.217727272727</v>
      </c>
      <c r="T954" s="61" t="n">
        <v>93.97</v>
      </c>
      <c r="U954" s="61" t="n">
        <f aca="false">H954*Resumo!$B$6</f>
        <v>0.798</v>
      </c>
      <c r="V954" s="61" t="n">
        <f aca="false">H954*Resumo!$B$7</f>
        <v>1.596</v>
      </c>
      <c r="W954" s="61" t="n">
        <f aca="false">Resumo!$B$9</f>
        <v>1</v>
      </c>
      <c r="X954" s="61" t="n">
        <f aca="false">Resumo!$B$10*CEILING(G954/100,1)</f>
        <v>4.5</v>
      </c>
      <c r="Y954" s="61" t="n">
        <f aca="false">Resumo!$B$12*CEILING(G954,1)</f>
        <v>2.88</v>
      </c>
      <c r="Z954" s="61" t="n">
        <f aca="false">Resumo!$B$14*CEILING(G954,1)</f>
        <v>21.6</v>
      </c>
      <c r="AA954" s="61" t="n">
        <f aca="false">SUM(T954:Z954)</f>
        <v>126.344</v>
      </c>
      <c r="AB954" s="61" t="n">
        <f aca="false">AA954/(1-Resumo!$B$5)</f>
        <v>143.572727272727</v>
      </c>
      <c r="AC954" s="61" t="n">
        <f aca="false">AB954-S954</f>
        <v>24.355</v>
      </c>
      <c r="AD954" s="62" t="n">
        <f aca="false">AB954/S954-1</f>
        <v>0.204290088036023</v>
      </c>
      <c r="AE954" s="60" t="str">
        <f aca="false">IF(AB954&lt;S954,"SIM","NÃO")</f>
        <v>NÃO</v>
      </c>
      <c r="AF954" s="60" t="n">
        <v>2</v>
      </c>
      <c r="AG954" s="60" t="n">
        <v>5</v>
      </c>
      <c r="AH954" s="60" t="s">
        <v>382</v>
      </c>
      <c r="AI954" s="61" t="n">
        <f aca="false">(T954*(1-Painel!$C$40)+U954+V954+Painel!$C$41+Painel!$C$42*CEILING(G954/100,1)+Painel!$C$43*CEILING(G954,1)+Z954)/(1-Resumo!$B$5)</f>
        <v>101.140795454545</v>
      </c>
      <c r="AJ954" s="60" t="str">
        <f aca="false">IF(AI954&lt;S954,"SIM","NÃO")</f>
        <v>SIM</v>
      </c>
    </row>
    <row r="955" customFormat="false" ht="15" hidden="false" customHeight="false" outlineLevel="0" collapsed="false">
      <c r="A955" s="59" t="n">
        <v>46247.6457638889</v>
      </c>
      <c r="B955" s="60" t="s">
        <v>1285</v>
      </c>
      <c r="C955" s="60" t="n">
        <v>24457340</v>
      </c>
      <c r="D955" s="60" t="s">
        <v>47</v>
      </c>
      <c r="E955" s="60" t="s">
        <v>23</v>
      </c>
      <c r="F955" s="60" t="s">
        <v>236</v>
      </c>
      <c r="G955" s="60" t="n">
        <v>59.9</v>
      </c>
      <c r="H955" s="61" t="n">
        <v>919.99</v>
      </c>
      <c r="I955" s="61" t="n">
        <v>70.98</v>
      </c>
      <c r="J955" s="61" t="n">
        <f aca="false">H955*Resumo!$C$6</f>
        <v>0</v>
      </c>
      <c r="K955" s="61" t="n">
        <f aca="false">H955*Resumo!$C$7</f>
        <v>1.931979</v>
      </c>
      <c r="L955" s="61" t="n">
        <f aca="false">H955*Resumo!$C$8</f>
        <v>1.931979</v>
      </c>
      <c r="M955" s="61" t="n">
        <f aca="false">Resumo!$C$10*CEILING(G955/100,1)</f>
        <v>1.05</v>
      </c>
      <c r="N955" s="61" t="n">
        <f aca="false">Resumo!$C$9</f>
        <v>0</v>
      </c>
      <c r="O955" s="61" t="n">
        <f aca="false">Resumo!$C$13</f>
        <v>13.55</v>
      </c>
      <c r="P955" s="61" t="n">
        <f aca="false">Resumo!$C$14*CEILING(G955,1)</f>
        <v>27</v>
      </c>
      <c r="Q955" s="61" t="n">
        <f aca="false">SUM(I955:P955)*Resumo!$C$11</f>
        <v>0</v>
      </c>
      <c r="R955" s="61" t="n">
        <f aca="false">SUM(I955:Q955)</f>
        <v>116.443958</v>
      </c>
      <c r="S955" s="61" t="n">
        <f aca="false">R955/(1-Resumo!$C$5)</f>
        <v>132.322679545455</v>
      </c>
      <c r="T955" s="61" t="n">
        <v>128.14</v>
      </c>
      <c r="U955" s="61" t="n">
        <f aca="false">H955*Resumo!$B$6</f>
        <v>0.91999</v>
      </c>
      <c r="V955" s="61" t="n">
        <f aca="false">H955*Resumo!$B$7</f>
        <v>1.83998</v>
      </c>
      <c r="W955" s="61" t="n">
        <f aca="false">Resumo!$B$9</f>
        <v>1</v>
      </c>
      <c r="X955" s="61" t="n">
        <f aca="false">Resumo!$B$10*CEILING(G955/100,1)</f>
        <v>4.5</v>
      </c>
      <c r="Y955" s="61" t="n">
        <f aca="false">Resumo!$B$12*CEILING(G955,1)</f>
        <v>3.6</v>
      </c>
      <c r="Z955" s="61" t="n">
        <f aca="false">Resumo!$B$14*CEILING(G955,1)</f>
        <v>27</v>
      </c>
      <c r="AA955" s="61" t="n">
        <f aca="false">SUM(T955:Z955)</f>
        <v>166.99997</v>
      </c>
      <c r="AB955" s="61" t="n">
        <f aca="false">AA955/(1-Resumo!$B$5)</f>
        <v>189.772693181818</v>
      </c>
      <c r="AC955" s="61" t="n">
        <f aca="false">AB955-S955</f>
        <v>57.4500136363636</v>
      </c>
      <c r="AD955" s="62" t="n">
        <f aca="false">AB955/S955-1</f>
        <v>0.434166038911181</v>
      </c>
      <c r="AE955" s="60" t="str">
        <f aca="false">IF(AB955&lt;S955,"SIM","NÃO")</f>
        <v>NÃO</v>
      </c>
      <c r="AF955" s="60" t="n">
        <v>2</v>
      </c>
      <c r="AG955" s="60" t="n">
        <v>7</v>
      </c>
      <c r="AH955" s="60" t="s">
        <v>382</v>
      </c>
      <c r="AI955" s="61" t="n">
        <f aca="false">(T955*(1-Painel!$C$40)+U955+V955+Painel!$C$41+Painel!$C$42*CEILING(G955/100,1)+Painel!$C$43*CEILING(G955,1)+Z955)/(1-Resumo!$B$5)</f>
        <v>133.708829545455</v>
      </c>
      <c r="AJ955" s="60" t="str">
        <f aca="false">IF(AI955&lt;S955,"SIM","NÃO")</f>
        <v>NÃO</v>
      </c>
    </row>
    <row r="956" customFormat="false" ht="15" hidden="false" customHeight="false" outlineLevel="0" collapsed="false">
      <c r="A956" s="59" t="n">
        <v>46247.6703356481</v>
      </c>
      <c r="B956" s="60" t="s">
        <v>1286</v>
      </c>
      <c r="C956" s="60" t="n">
        <v>28890868</v>
      </c>
      <c r="D956" s="60" t="s">
        <v>227</v>
      </c>
      <c r="E956" s="60" t="s">
        <v>24</v>
      </c>
      <c r="F956" s="60" t="s">
        <v>236</v>
      </c>
      <c r="G956" s="60" t="n">
        <v>59.9</v>
      </c>
      <c r="H956" s="61" t="n">
        <v>919.99</v>
      </c>
      <c r="I956" s="61" t="n">
        <v>83.58</v>
      </c>
      <c r="J956" s="61" t="n">
        <f aca="false">H956*Resumo!$C$6</f>
        <v>0</v>
      </c>
      <c r="K956" s="61" t="n">
        <f aca="false">H956*Resumo!$C$7</f>
        <v>1.931979</v>
      </c>
      <c r="L956" s="61" t="n">
        <f aca="false">H956*Resumo!$C$8</f>
        <v>1.931979</v>
      </c>
      <c r="M956" s="61" t="n">
        <f aca="false">Resumo!$C$10*CEILING(G956/100,1)</f>
        <v>1.05</v>
      </c>
      <c r="N956" s="61" t="n">
        <f aca="false">Resumo!$C$9</f>
        <v>0</v>
      </c>
      <c r="O956" s="61" t="n">
        <f aca="false">Resumo!$C$13</f>
        <v>13.55</v>
      </c>
      <c r="P956" s="61" t="n">
        <f aca="false">Resumo!$C$14*CEILING(G956,1)</f>
        <v>27</v>
      </c>
      <c r="Q956" s="61" t="n">
        <f aca="false">SUM(I956:P956)*Resumo!$C$11</f>
        <v>0</v>
      </c>
      <c r="R956" s="61" t="n">
        <f aca="false">SUM(I956:Q956)</f>
        <v>129.043958</v>
      </c>
      <c r="S956" s="61" t="n">
        <f aca="false">R956/(1-Resumo!$C$5)</f>
        <v>146.640861363636</v>
      </c>
      <c r="T956" s="61" t="n">
        <v>142.32</v>
      </c>
      <c r="U956" s="61" t="n">
        <f aca="false">H956*Resumo!$B$6</f>
        <v>0.91999</v>
      </c>
      <c r="V956" s="61" t="n">
        <f aca="false">H956*Resumo!$B$7</f>
        <v>1.83998</v>
      </c>
      <c r="W956" s="61" t="n">
        <f aca="false">Resumo!$B$9</f>
        <v>1</v>
      </c>
      <c r="X956" s="61" t="n">
        <f aca="false">Resumo!$B$10*CEILING(G956/100,1)</f>
        <v>4.5</v>
      </c>
      <c r="Y956" s="61" t="n">
        <f aca="false">Resumo!$B$12*CEILING(G956,1)</f>
        <v>3.6</v>
      </c>
      <c r="Z956" s="61" t="n">
        <f aca="false">Resumo!$B$14*CEILING(G956,1)</f>
        <v>27</v>
      </c>
      <c r="AA956" s="61" t="n">
        <f aca="false">SUM(T956:Z956)</f>
        <v>181.17997</v>
      </c>
      <c r="AB956" s="61" t="n">
        <f aca="false">AA956/(1-Resumo!$B$5)</f>
        <v>205.886329545455</v>
      </c>
      <c r="AC956" s="61" t="n">
        <f aca="false">AB956-S956</f>
        <v>59.2454681818182</v>
      </c>
      <c r="AD956" s="62" t="n">
        <f aca="false">AB956/S956-1</f>
        <v>0.404017458918921</v>
      </c>
      <c r="AE956" s="60" t="str">
        <f aca="false">IF(AB956&lt;S956,"SIM","NÃO")</f>
        <v>NÃO</v>
      </c>
      <c r="AF956" s="60" t="n">
        <v>13</v>
      </c>
      <c r="AG956" s="60" t="n">
        <v>10</v>
      </c>
      <c r="AH956" s="60" t="s">
        <v>382</v>
      </c>
      <c r="AI956" s="61" t="n">
        <f aca="false">(T956*(1-Painel!$C$40)+U956+V956+Painel!$C$41+Painel!$C$42*CEILING(G956/100,1)+Painel!$C$43*CEILING(G956,1)+Z956)/(1-Resumo!$B$5)</f>
        <v>144.504965909091</v>
      </c>
      <c r="AJ956" s="60" t="str">
        <f aca="false">IF(AI956&lt;S956,"SIM","NÃO")</f>
        <v>SIM</v>
      </c>
    </row>
    <row r="957" customFormat="false" ht="15" hidden="false" customHeight="false" outlineLevel="0" collapsed="false">
      <c r="A957" s="59" t="n">
        <v>46247.6729050926</v>
      </c>
      <c r="B957" s="60" t="s">
        <v>1021</v>
      </c>
      <c r="C957" s="60" t="n">
        <v>28030350</v>
      </c>
      <c r="D957" s="60" t="s">
        <v>51</v>
      </c>
      <c r="E957" s="60" t="s">
        <v>24</v>
      </c>
      <c r="F957" s="60" t="s">
        <v>236</v>
      </c>
      <c r="G957" s="60" t="n">
        <v>52.3</v>
      </c>
      <c r="H957" s="61" t="n">
        <v>616.99</v>
      </c>
      <c r="I957" s="61" t="n">
        <v>83.58</v>
      </c>
      <c r="J957" s="61" t="n">
        <f aca="false">H957*Resumo!$C$6</f>
        <v>0</v>
      </c>
      <c r="K957" s="61" t="n">
        <f aca="false">H957*Resumo!$C$7</f>
        <v>1.295679</v>
      </c>
      <c r="L957" s="61" t="n">
        <f aca="false">H957*Resumo!$C$8</f>
        <v>1.295679</v>
      </c>
      <c r="M957" s="61" t="n">
        <f aca="false">Resumo!$C$10*CEILING(G957/100,1)</f>
        <v>1.05</v>
      </c>
      <c r="N957" s="61" t="n">
        <f aca="false">Resumo!$C$9</f>
        <v>0</v>
      </c>
      <c r="O957" s="61" t="n">
        <f aca="false">Resumo!$C$13</f>
        <v>13.55</v>
      </c>
      <c r="P957" s="61" t="n">
        <f aca="false">Resumo!$C$14*CEILING(G957,1)</f>
        <v>23.85</v>
      </c>
      <c r="Q957" s="61" t="n">
        <f aca="false">SUM(I957:P957)*Resumo!$C$11</f>
        <v>0</v>
      </c>
      <c r="R957" s="61" t="n">
        <f aca="false">SUM(I957:Q957)</f>
        <v>124.621358</v>
      </c>
      <c r="S957" s="61" t="n">
        <f aca="false">R957/(1-Resumo!$C$5)</f>
        <v>141.615179545455</v>
      </c>
      <c r="T957" s="61" t="n">
        <v>162.04</v>
      </c>
      <c r="U957" s="61" t="n">
        <f aca="false">H957*Resumo!$B$6</f>
        <v>0.61699</v>
      </c>
      <c r="V957" s="61" t="n">
        <f aca="false">H957*Resumo!$B$7</f>
        <v>1.23398</v>
      </c>
      <c r="W957" s="61" t="n">
        <f aca="false">Resumo!$B$9</f>
        <v>1</v>
      </c>
      <c r="X957" s="61" t="n">
        <f aca="false">Resumo!$B$10*CEILING(G957/100,1)</f>
        <v>4.5</v>
      </c>
      <c r="Y957" s="61" t="n">
        <f aca="false">Resumo!$B$12*CEILING(G957,1)</f>
        <v>3.18</v>
      </c>
      <c r="Z957" s="61" t="n">
        <f aca="false">Resumo!$B$14*CEILING(G957,1)</f>
        <v>23.85</v>
      </c>
      <c r="AA957" s="61" t="n">
        <f aca="false">SUM(T957:Z957)</f>
        <v>196.42097</v>
      </c>
      <c r="AB957" s="61" t="n">
        <f aca="false">AA957/(1-Resumo!$B$5)</f>
        <v>223.205647727273</v>
      </c>
      <c r="AC957" s="61" t="n">
        <f aca="false">AB957-S957</f>
        <v>81.5904681818182</v>
      </c>
      <c r="AD957" s="62" t="n">
        <f aca="false">AB957/S957-1</f>
        <v>0.576142108802891</v>
      </c>
      <c r="AE957" s="60" t="str">
        <f aca="false">IF(AB957&lt;S957,"SIM","NÃO")</f>
        <v>NÃO</v>
      </c>
      <c r="AF957" s="60" t="n">
        <v>13</v>
      </c>
      <c r="AG957" s="60" t="n">
        <v>11</v>
      </c>
      <c r="AH957" s="60" t="s">
        <v>382</v>
      </c>
      <c r="AI957" s="61" t="n">
        <f aca="false">(T957*(1-Painel!$C$40)+U957+V957+Painel!$C$41+Painel!$C$42*CEILING(G957/100,1)+Painel!$C$43*CEILING(G957,1)+Z957)/(1-Resumo!$B$5)</f>
        <v>154.906556818182</v>
      </c>
      <c r="AJ957" s="60" t="str">
        <f aca="false">IF(AI957&lt;S957,"SIM","NÃO")</f>
        <v>NÃO</v>
      </c>
    </row>
    <row r="958" customFormat="false" ht="15" hidden="false" customHeight="false" outlineLevel="0" collapsed="false">
      <c r="A958" s="59" t="n">
        <v>46247.7295486111</v>
      </c>
      <c r="B958" s="60" t="s">
        <v>1287</v>
      </c>
      <c r="C958" s="60" t="n">
        <v>23515680</v>
      </c>
      <c r="D958" s="60" t="s">
        <v>46</v>
      </c>
      <c r="E958" s="60" t="s">
        <v>22</v>
      </c>
      <c r="F958" s="60" t="s">
        <v>241</v>
      </c>
      <c r="G958" s="60" t="n">
        <v>134.6</v>
      </c>
      <c r="H958" s="61" t="n">
        <v>1579.98</v>
      </c>
      <c r="I958" s="61" t="n">
        <v>120.59</v>
      </c>
      <c r="J958" s="61" t="n">
        <f aca="false">H958*Resumo!$C$6</f>
        <v>0</v>
      </c>
      <c r="K958" s="61" t="n">
        <f aca="false">H958*Resumo!$C$7</f>
        <v>3.317958</v>
      </c>
      <c r="L958" s="61" t="n">
        <f aca="false">H958*Resumo!$C$8</f>
        <v>3.317958</v>
      </c>
      <c r="M958" s="61" t="n">
        <f aca="false">Resumo!$C$10*CEILING(G958/100,1)</f>
        <v>2.1</v>
      </c>
      <c r="N958" s="61" t="n">
        <f aca="false">Resumo!$C$9</f>
        <v>0</v>
      </c>
      <c r="O958" s="61" t="n">
        <f aca="false">Resumo!$C$13</f>
        <v>13.55</v>
      </c>
      <c r="P958" s="61" t="n">
        <f aca="false">Resumo!$C$14*CEILING(G958,1)</f>
        <v>60.75</v>
      </c>
      <c r="Q958" s="61" t="n">
        <f aca="false">SUM(I958:P958)*Resumo!$C$11</f>
        <v>0</v>
      </c>
      <c r="R958" s="61" t="n">
        <f aca="false">SUM(I958:Q958)</f>
        <v>203.625916</v>
      </c>
      <c r="S958" s="61" t="n">
        <f aca="false">R958/(1-Resumo!$C$5)</f>
        <v>231.393086363636</v>
      </c>
      <c r="T958" s="61" t="n">
        <v>239.25</v>
      </c>
      <c r="U958" s="61" t="n">
        <f aca="false">H958*Resumo!$B$6</f>
        <v>1.57998</v>
      </c>
      <c r="V958" s="61" t="n">
        <f aca="false">H958*Resumo!$B$7</f>
        <v>3.15996</v>
      </c>
      <c r="W958" s="61" t="n">
        <f aca="false">Resumo!$B$9</f>
        <v>1</v>
      </c>
      <c r="X958" s="61" t="n">
        <f aca="false">Resumo!$B$10*CEILING(G958/100,1)</f>
        <v>9</v>
      </c>
      <c r="Y958" s="61" t="n">
        <f aca="false">Resumo!$B$12*CEILING(G958,1)</f>
        <v>8.1</v>
      </c>
      <c r="Z958" s="61" t="n">
        <f aca="false">Resumo!$B$14*CEILING(G958,1)</f>
        <v>60.75</v>
      </c>
      <c r="AA958" s="61" t="n">
        <f aca="false">SUM(T958:Z958)</f>
        <v>322.83994</v>
      </c>
      <c r="AB958" s="61" t="n">
        <f aca="false">AA958/(1-Resumo!$B$5)</f>
        <v>366.863568181818</v>
      </c>
      <c r="AC958" s="61" t="n">
        <f aca="false">AB958-S958</f>
        <v>135.470481818182</v>
      </c>
      <c r="AD958" s="62" t="n">
        <f aca="false">AB958/S958-1</f>
        <v>0.585456047745907</v>
      </c>
      <c r="AE958" s="60" t="str">
        <f aca="false">IF(AB958&lt;S958,"SIM","NÃO")</f>
        <v>NÃO</v>
      </c>
      <c r="AF958" s="60" t="n">
        <v>2</v>
      </c>
      <c r="AG958" s="60" t="n">
        <v>5</v>
      </c>
      <c r="AH958" s="60" t="s">
        <v>382</v>
      </c>
      <c r="AI958" s="61" t="n">
        <f aca="false">(T958*(1-Painel!$C$40)+U958+V958+Painel!$C$41+Painel!$C$42*CEILING(G958/100,1)+Painel!$C$43*CEILING(G958,1)+Z958)/(1-Resumo!$B$5)</f>
        <v>260.099363636364</v>
      </c>
      <c r="AJ958" s="60" t="str">
        <f aca="false">IF(AI958&lt;S958,"SIM","NÃO")</f>
        <v>NÃO</v>
      </c>
    </row>
    <row r="959" customFormat="false" ht="15" hidden="false" customHeight="false" outlineLevel="0" collapsed="false">
      <c r="A959" s="59" t="n">
        <v>46247.7455208333</v>
      </c>
      <c r="B959" s="60" t="s">
        <v>1288</v>
      </c>
      <c r="C959" s="60" t="n">
        <v>26220060</v>
      </c>
      <c r="D959" s="60" t="s">
        <v>49</v>
      </c>
      <c r="E959" s="60" t="s">
        <v>23</v>
      </c>
      <c r="F959" s="60" t="s">
        <v>237</v>
      </c>
      <c r="G959" s="60" t="n">
        <v>69</v>
      </c>
      <c r="H959" s="61" t="n">
        <v>859.99</v>
      </c>
      <c r="I959" s="61" t="n">
        <v>76.55</v>
      </c>
      <c r="J959" s="61" t="n">
        <f aca="false">H959*Resumo!$C$6</f>
        <v>0</v>
      </c>
      <c r="K959" s="61" t="n">
        <f aca="false">H959*Resumo!$C$7</f>
        <v>1.805979</v>
      </c>
      <c r="L959" s="61" t="n">
        <f aca="false">H959*Resumo!$C$8</f>
        <v>1.805979</v>
      </c>
      <c r="M959" s="61" t="n">
        <f aca="false">Resumo!$C$10*CEILING(G959/100,1)</f>
        <v>1.05</v>
      </c>
      <c r="N959" s="61" t="n">
        <f aca="false">Resumo!$C$9</f>
        <v>0</v>
      </c>
      <c r="O959" s="61" t="n">
        <f aca="false">Resumo!$C$13</f>
        <v>13.55</v>
      </c>
      <c r="P959" s="61" t="n">
        <f aca="false">Resumo!$C$14*CEILING(G959,1)</f>
        <v>31.05</v>
      </c>
      <c r="Q959" s="61" t="n">
        <f aca="false">SUM(I959:P959)*Resumo!$C$11</f>
        <v>0</v>
      </c>
      <c r="R959" s="61" t="n">
        <f aca="false">SUM(I959:Q959)</f>
        <v>125.811958</v>
      </c>
      <c r="S959" s="61" t="n">
        <f aca="false">R959/(1-Resumo!$C$5)</f>
        <v>142.968134090909</v>
      </c>
      <c r="T959" s="61" t="n">
        <v>131.02</v>
      </c>
      <c r="U959" s="61" t="n">
        <f aca="false">H959*Resumo!$B$6</f>
        <v>0.85999</v>
      </c>
      <c r="V959" s="61" t="n">
        <f aca="false">H959*Resumo!$B$7</f>
        <v>1.71998</v>
      </c>
      <c r="W959" s="61" t="n">
        <f aca="false">Resumo!$B$9</f>
        <v>1</v>
      </c>
      <c r="X959" s="61" t="n">
        <f aca="false">Resumo!$B$10*CEILING(G959/100,1)</f>
        <v>4.5</v>
      </c>
      <c r="Y959" s="61" t="n">
        <f aca="false">Resumo!$B$12*CEILING(G959,1)</f>
        <v>4.14</v>
      </c>
      <c r="Z959" s="61" t="n">
        <f aca="false">Resumo!$B$14*CEILING(G959,1)</f>
        <v>31.05</v>
      </c>
      <c r="AA959" s="61" t="n">
        <f aca="false">SUM(T959:Z959)</f>
        <v>174.28997</v>
      </c>
      <c r="AB959" s="61" t="n">
        <f aca="false">AA959/(1-Resumo!$B$5)</f>
        <v>198.056784090909</v>
      </c>
      <c r="AC959" s="61" t="n">
        <f aca="false">AB959-S959</f>
        <v>55.08865</v>
      </c>
      <c r="AD959" s="62" t="n">
        <f aca="false">AB959/S959-1</f>
        <v>0.385321179088557</v>
      </c>
      <c r="AE959" s="60" t="str">
        <f aca="false">IF(AB959&lt;S959,"SIM","NÃO")</f>
        <v>NÃO</v>
      </c>
      <c r="AF959" s="60" t="n">
        <v>2</v>
      </c>
      <c r="AG959" s="60" t="n">
        <v>5</v>
      </c>
      <c r="AH959" s="60" t="s">
        <v>382</v>
      </c>
      <c r="AI959" s="61" t="n">
        <f aca="false">(T959*(1-Painel!$C$40)+U959+V959+Painel!$C$41+Painel!$C$42*CEILING(G959/100,1)+Painel!$C$43*CEILING(G959,1)+Z959)/(1-Resumo!$B$5)</f>
        <v>140.299284090909</v>
      </c>
      <c r="AJ959" s="60" t="str">
        <f aca="false">IF(AI959&lt;S959,"SIM","NÃO")</f>
        <v>SIM</v>
      </c>
    </row>
    <row r="960" customFormat="false" ht="15" hidden="false" customHeight="false" outlineLevel="0" collapsed="false">
      <c r="A960" s="59" t="n">
        <v>46247.750162037</v>
      </c>
      <c r="B960" s="60" t="s">
        <v>1289</v>
      </c>
      <c r="C960" s="60" t="n">
        <v>28983332</v>
      </c>
      <c r="D960" s="60" t="s">
        <v>222</v>
      </c>
      <c r="E960" s="60" t="s">
        <v>24</v>
      </c>
      <c r="F960" s="60" t="s">
        <v>234</v>
      </c>
      <c r="G960" s="60" t="n">
        <v>37.6</v>
      </c>
      <c r="H960" s="61" t="n">
        <v>403.94</v>
      </c>
      <c r="I960" s="61" t="n">
        <v>74.97</v>
      </c>
      <c r="J960" s="61" t="n">
        <f aca="false">H960*Resumo!$C$6</f>
        <v>0</v>
      </c>
      <c r="K960" s="61" t="n">
        <f aca="false">H960*Resumo!$C$7</f>
        <v>0.848274</v>
      </c>
      <c r="L960" s="61" t="n">
        <f aca="false">H960*Resumo!$C$8</f>
        <v>0.848274</v>
      </c>
      <c r="M960" s="61" t="n">
        <f aca="false">Resumo!$C$10*CEILING(G960/100,1)</f>
        <v>1.05</v>
      </c>
      <c r="N960" s="61" t="n">
        <f aca="false">Resumo!$C$9</f>
        <v>0</v>
      </c>
      <c r="O960" s="61" t="n">
        <f aca="false">Resumo!$C$13</f>
        <v>13.55</v>
      </c>
      <c r="P960" s="61" t="n">
        <f aca="false">Resumo!$C$14*CEILING(G960,1)</f>
        <v>17.1</v>
      </c>
      <c r="Q960" s="61" t="n">
        <f aca="false">SUM(I960:P960)*Resumo!$C$11</f>
        <v>0</v>
      </c>
      <c r="R960" s="61" t="n">
        <f aca="false">SUM(I960:Q960)</f>
        <v>108.366548</v>
      </c>
      <c r="S960" s="61" t="n">
        <f aca="false">R960/(1-Resumo!$C$5)</f>
        <v>123.143804545455</v>
      </c>
      <c r="T960" s="61" t="n">
        <v>124.38</v>
      </c>
      <c r="U960" s="61" t="n">
        <f aca="false">H960*Resumo!$B$6</f>
        <v>0.40394</v>
      </c>
      <c r="V960" s="61" t="n">
        <f aca="false">H960*Resumo!$B$7</f>
        <v>0.80788</v>
      </c>
      <c r="W960" s="61" t="n">
        <f aca="false">Resumo!$B$9</f>
        <v>1</v>
      </c>
      <c r="X960" s="61" t="n">
        <f aca="false">Resumo!$B$10*CEILING(G960/100,1)</f>
        <v>4.5</v>
      </c>
      <c r="Y960" s="61" t="n">
        <f aca="false">Resumo!$B$12*CEILING(G960,1)</f>
        <v>2.28</v>
      </c>
      <c r="Z960" s="61" t="n">
        <f aca="false">Resumo!$B$14*CEILING(G960,1)</f>
        <v>17.1</v>
      </c>
      <c r="AA960" s="61" t="n">
        <f aca="false">SUM(T960:Z960)</f>
        <v>150.47182</v>
      </c>
      <c r="AB960" s="61" t="n">
        <f aca="false">AA960/(1-Resumo!$B$5)</f>
        <v>170.990704545455</v>
      </c>
      <c r="AC960" s="61" t="n">
        <f aca="false">AB960-S960</f>
        <v>47.8469</v>
      </c>
      <c r="AD960" s="62" t="n">
        <f aca="false">AB960/S960-1</f>
        <v>0.388544922553037</v>
      </c>
      <c r="AE960" s="60" t="str">
        <f aca="false">IF(AB960&lt;S960,"SIM","NÃO")</f>
        <v>NÃO</v>
      </c>
      <c r="AF960" s="60" t="n">
        <v>13</v>
      </c>
      <c r="AG960" s="60" t="n">
        <v>10</v>
      </c>
      <c r="AH960" s="60" t="s">
        <v>382</v>
      </c>
      <c r="AI960" s="61" t="n">
        <f aca="false">(T960*(1-Painel!$C$40)+U960+V960+Painel!$C$41+Painel!$C$42*CEILING(G960/100,1)+Painel!$C$43*CEILING(G960,1)+Z960)/(1-Resumo!$B$5)</f>
        <v>117.836840909091</v>
      </c>
      <c r="AJ960" s="60" t="str">
        <f aca="false">IF(AI960&lt;S960,"SIM","NÃO")</f>
        <v>SIM</v>
      </c>
    </row>
    <row r="961" customFormat="false" ht="15" hidden="false" customHeight="false" outlineLevel="0" collapsed="false">
      <c r="A961" s="59" t="n">
        <v>46247.751400463</v>
      </c>
      <c r="B961" s="60" t="s">
        <v>1290</v>
      </c>
      <c r="C961" s="60" t="n">
        <v>24330180</v>
      </c>
      <c r="D961" s="60" t="s">
        <v>50</v>
      </c>
      <c r="E961" s="60" t="s">
        <v>23</v>
      </c>
      <c r="F961" s="60" t="s">
        <v>234</v>
      </c>
      <c r="G961" s="60" t="n">
        <v>37.2</v>
      </c>
      <c r="H961" s="61" t="n">
        <v>390.99</v>
      </c>
      <c r="I961" s="61" t="n">
        <v>66.83</v>
      </c>
      <c r="J961" s="61" t="n">
        <f aca="false">H961*Resumo!$C$6</f>
        <v>0</v>
      </c>
      <c r="K961" s="61" t="n">
        <f aca="false">H961*Resumo!$C$7</f>
        <v>0.821079</v>
      </c>
      <c r="L961" s="61" t="n">
        <f aca="false">H961*Resumo!$C$8</f>
        <v>0.821079</v>
      </c>
      <c r="M961" s="61" t="n">
        <f aca="false">Resumo!$C$10*CEILING(G961/100,1)</f>
        <v>1.05</v>
      </c>
      <c r="N961" s="61" t="n">
        <f aca="false">Resumo!$C$9</f>
        <v>0</v>
      </c>
      <c r="O961" s="61" t="n">
        <f aca="false">Resumo!$C$13</f>
        <v>13.55</v>
      </c>
      <c r="P961" s="61" t="n">
        <f aca="false">Resumo!$C$14*CEILING(G961,1)</f>
        <v>17.1</v>
      </c>
      <c r="Q961" s="61" t="n">
        <f aca="false">SUM(I961:P961)*Resumo!$C$11</f>
        <v>0</v>
      </c>
      <c r="R961" s="61" t="n">
        <f aca="false">SUM(I961:Q961)</f>
        <v>100.172158</v>
      </c>
      <c r="S961" s="61" t="n">
        <f aca="false">R961/(1-Resumo!$C$5)</f>
        <v>113.831997727273</v>
      </c>
      <c r="T961" s="61" t="n">
        <v>114.95</v>
      </c>
      <c r="U961" s="61" t="n">
        <f aca="false">H961*Resumo!$B$6</f>
        <v>0.39099</v>
      </c>
      <c r="V961" s="61" t="n">
        <f aca="false">H961*Resumo!$B$7</f>
        <v>0.78198</v>
      </c>
      <c r="W961" s="61" t="n">
        <f aca="false">Resumo!$B$9</f>
        <v>1</v>
      </c>
      <c r="X961" s="61" t="n">
        <f aca="false">Resumo!$B$10*CEILING(G961/100,1)</f>
        <v>4.5</v>
      </c>
      <c r="Y961" s="61" t="n">
        <f aca="false">Resumo!$B$12*CEILING(G961,1)</f>
        <v>2.28</v>
      </c>
      <c r="Z961" s="61" t="n">
        <f aca="false">Resumo!$B$14*CEILING(G961,1)</f>
        <v>17.1</v>
      </c>
      <c r="AA961" s="61" t="n">
        <f aca="false">SUM(T961:Z961)</f>
        <v>141.00297</v>
      </c>
      <c r="AB961" s="61" t="n">
        <f aca="false">AA961/(1-Resumo!$B$5)</f>
        <v>160.230647727273</v>
      </c>
      <c r="AC961" s="61" t="n">
        <f aca="false">AB961-S961</f>
        <v>46.39865</v>
      </c>
      <c r="AD961" s="62" t="n">
        <f aca="false">AB961/S961-1</f>
        <v>0.407606392985963</v>
      </c>
      <c r="AE961" s="60" t="str">
        <f aca="false">IF(AB961&lt;S961,"SIM","NÃO")</f>
        <v>NÃO</v>
      </c>
      <c r="AF961" s="60" t="n">
        <v>2</v>
      </c>
      <c r="AG961" s="60" t="n">
        <v>7</v>
      </c>
      <c r="AH961" s="60" t="s">
        <v>382</v>
      </c>
      <c r="AI961" s="61" t="n">
        <f aca="false">(T961*(1-Painel!$C$40)+U961+V961+Painel!$C$41+Painel!$C$42*CEILING(G961/100,1)+Painel!$C$43*CEILING(G961,1)+Z961)/(1-Resumo!$B$5)</f>
        <v>110.613034090909</v>
      </c>
      <c r="AJ961" s="60" t="str">
        <f aca="false">IF(AI961&lt;S961,"SIM","NÃO")</f>
        <v>SIM</v>
      </c>
    </row>
    <row r="962" customFormat="false" ht="15" hidden="false" customHeight="false" outlineLevel="0" collapsed="false">
      <c r="A962" s="59" t="n">
        <v>46247.7818171296</v>
      </c>
      <c r="B962" s="60" t="s">
        <v>1291</v>
      </c>
      <c r="C962" s="60" t="n">
        <v>28699899</v>
      </c>
      <c r="D962" s="60" t="s">
        <v>329</v>
      </c>
      <c r="E962" s="60" t="s">
        <v>24</v>
      </c>
      <c r="F962" s="60" t="s">
        <v>236</v>
      </c>
      <c r="G962" s="60" t="n">
        <v>52.3</v>
      </c>
      <c r="H962" s="61" t="n">
        <v>685.88</v>
      </c>
      <c r="I962" s="61" t="n">
        <v>83.58</v>
      </c>
      <c r="J962" s="61" t="n">
        <f aca="false">H962*Resumo!$C$6</f>
        <v>0</v>
      </c>
      <c r="K962" s="61" t="n">
        <f aca="false">H962*Resumo!$C$7</f>
        <v>1.440348</v>
      </c>
      <c r="L962" s="61" t="n">
        <f aca="false">H962*Resumo!$C$8</f>
        <v>1.440348</v>
      </c>
      <c r="M962" s="61" t="n">
        <f aca="false">Resumo!$C$10*CEILING(G962/100,1)</f>
        <v>1.05</v>
      </c>
      <c r="N962" s="61" t="n">
        <f aca="false">Resumo!$C$9</f>
        <v>0</v>
      </c>
      <c r="O962" s="61" t="n">
        <f aca="false">Resumo!$C$13</f>
        <v>13.55</v>
      </c>
      <c r="P962" s="61" t="n">
        <f aca="false">Resumo!$C$14*CEILING(G962,1)</f>
        <v>23.85</v>
      </c>
      <c r="Q962" s="61" t="n">
        <f aca="false">SUM(I962:P962)*Resumo!$C$11</f>
        <v>0</v>
      </c>
      <c r="R962" s="61" t="n">
        <f aca="false">SUM(I962:Q962)</f>
        <v>124.910696</v>
      </c>
      <c r="S962" s="61" t="n">
        <f aca="false">R962/(1-Resumo!$C$5)</f>
        <v>141.943972727273</v>
      </c>
      <c r="T962" s="61" t="n">
        <v>144.53</v>
      </c>
      <c r="U962" s="61" t="n">
        <f aca="false">H962*Resumo!$B$6</f>
        <v>0.68588</v>
      </c>
      <c r="V962" s="61" t="n">
        <f aca="false">H962*Resumo!$B$7</f>
        <v>1.37176</v>
      </c>
      <c r="W962" s="61" t="n">
        <f aca="false">Resumo!$B$9</f>
        <v>1</v>
      </c>
      <c r="X962" s="61" t="n">
        <f aca="false">Resumo!$B$10*CEILING(G962/100,1)</f>
        <v>4.5</v>
      </c>
      <c r="Y962" s="61" t="n">
        <f aca="false">Resumo!$B$12*CEILING(G962,1)</f>
        <v>3.18</v>
      </c>
      <c r="Z962" s="61" t="n">
        <f aca="false">Resumo!$B$14*CEILING(G962,1)</f>
        <v>23.85</v>
      </c>
      <c r="AA962" s="61" t="n">
        <f aca="false">SUM(T962:Z962)</f>
        <v>179.11764</v>
      </c>
      <c r="AB962" s="61" t="n">
        <f aca="false">AA962/(1-Resumo!$B$5)</f>
        <v>203.542772727273</v>
      </c>
      <c r="AC962" s="61" t="n">
        <f aca="false">AB962-S962</f>
        <v>61.5988</v>
      </c>
      <c r="AD962" s="62" t="n">
        <f aca="false">AB962/S962-1</f>
        <v>0.433965590905042</v>
      </c>
      <c r="AE962" s="60" t="str">
        <f aca="false">IF(AB962&lt;S962,"SIM","NÃO")</f>
        <v>NÃO</v>
      </c>
      <c r="AF962" s="60" t="n">
        <v>13</v>
      </c>
      <c r="AG962" s="60" t="n">
        <v>10</v>
      </c>
      <c r="AH962" s="60" t="s">
        <v>385</v>
      </c>
      <c r="AI962" s="61" t="n">
        <f aca="false">(T962*(1-Painel!$C$40)+U962+V962+Painel!$C$41+Painel!$C$42*CEILING(G962/100,1)+Painel!$C$43*CEILING(G962,1)+Z962)/(1-Resumo!$B$5)</f>
        <v>141.809931818182</v>
      </c>
      <c r="AJ962" s="60" t="str">
        <f aca="false">IF(AI962&lt;S962,"SIM","NÃO")</f>
        <v>SIM</v>
      </c>
    </row>
    <row r="963" customFormat="false" ht="15" hidden="false" customHeight="false" outlineLevel="0" collapsed="false">
      <c r="A963" s="59" t="n">
        <v>46247.8030671296</v>
      </c>
      <c r="B963" s="60" t="s">
        <v>1292</v>
      </c>
      <c r="C963" s="60" t="n">
        <v>26061810</v>
      </c>
      <c r="D963" s="60" t="s">
        <v>49</v>
      </c>
      <c r="E963" s="60" t="s">
        <v>23</v>
      </c>
      <c r="F963" s="60" t="s">
        <v>237</v>
      </c>
      <c r="G963" s="60" t="n">
        <v>66.8</v>
      </c>
      <c r="H963" s="61" t="n">
        <v>629.99</v>
      </c>
      <c r="I963" s="61" t="n">
        <v>76.55</v>
      </c>
      <c r="J963" s="61" t="n">
        <f aca="false">H963*Resumo!$C$6</f>
        <v>0</v>
      </c>
      <c r="K963" s="61" t="n">
        <f aca="false">H963*Resumo!$C$7</f>
        <v>1.322979</v>
      </c>
      <c r="L963" s="61" t="n">
        <f aca="false">H963*Resumo!$C$8</f>
        <v>1.322979</v>
      </c>
      <c r="M963" s="61" t="n">
        <f aca="false">Resumo!$C$10*CEILING(G963/100,1)</f>
        <v>1.05</v>
      </c>
      <c r="N963" s="61" t="n">
        <f aca="false">Resumo!$C$9</f>
        <v>0</v>
      </c>
      <c r="O963" s="61" t="n">
        <f aca="false">Resumo!$C$13</f>
        <v>13.55</v>
      </c>
      <c r="P963" s="61" t="n">
        <f aca="false">Resumo!$C$14*CEILING(G963,1)</f>
        <v>30.15</v>
      </c>
      <c r="Q963" s="61" t="n">
        <f aca="false">SUM(I963:P963)*Resumo!$C$11</f>
        <v>0</v>
      </c>
      <c r="R963" s="61" t="n">
        <f aca="false">SUM(I963:Q963)</f>
        <v>123.945958</v>
      </c>
      <c r="S963" s="61" t="n">
        <f aca="false">R963/(1-Resumo!$C$5)</f>
        <v>140.847679545455</v>
      </c>
      <c r="T963" s="61" t="n">
        <v>131.02</v>
      </c>
      <c r="U963" s="61" t="n">
        <f aca="false">H963*Resumo!$B$6</f>
        <v>0.62999</v>
      </c>
      <c r="V963" s="61" t="n">
        <f aca="false">H963*Resumo!$B$7</f>
        <v>1.25998</v>
      </c>
      <c r="W963" s="61" t="n">
        <f aca="false">Resumo!$B$9</f>
        <v>1</v>
      </c>
      <c r="X963" s="61" t="n">
        <f aca="false">Resumo!$B$10*CEILING(G963/100,1)</f>
        <v>4.5</v>
      </c>
      <c r="Y963" s="61" t="n">
        <f aca="false">Resumo!$B$12*CEILING(G963,1)</f>
        <v>4.02</v>
      </c>
      <c r="Z963" s="61" t="n">
        <f aca="false">Resumo!$B$14*CEILING(G963,1)</f>
        <v>30.15</v>
      </c>
      <c r="AA963" s="61" t="n">
        <f aca="false">SUM(T963:Z963)</f>
        <v>172.57997</v>
      </c>
      <c r="AB963" s="61" t="n">
        <f aca="false">AA963/(1-Resumo!$B$5)</f>
        <v>196.113602272727</v>
      </c>
      <c r="AC963" s="61" t="n">
        <f aca="false">AB963-S963</f>
        <v>55.2659227272727</v>
      </c>
      <c r="AD963" s="62" t="n">
        <f aca="false">AB963/S963-1</f>
        <v>0.392380782598816</v>
      </c>
      <c r="AE963" s="60" t="str">
        <f aca="false">IF(AB963&lt;S963,"SIM","NÃO")</f>
        <v>NÃO</v>
      </c>
      <c r="AF963" s="60" t="n">
        <v>2</v>
      </c>
      <c r="AG963" s="60" t="n">
        <v>5</v>
      </c>
      <c r="AH963" s="60" t="s">
        <v>382</v>
      </c>
      <c r="AI963" s="61" t="n">
        <f aca="false">(T963*(1-Painel!$C$40)+U963+V963+Painel!$C$41+Painel!$C$42*CEILING(G963/100,1)+Painel!$C$43*CEILING(G963,1)+Z963)/(1-Resumo!$B$5)</f>
        <v>138.492465909091</v>
      </c>
      <c r="AJ963" s="60" t="str">
        <f aca="false">IF(AI963&lt;S963,"SIM","NÃO")</f>
        <v>SIM</v>
      </c>
    </row>
    <row r="964" customFormat="false" ht="15" hidden="false" customHeight="false" outlineLevel="0" collapsed="false">
      <c r="A964" s="59" t="n">
        <v>46247.8067361111</v>
      </c>
      <c r="B964" s="60" t="s">
        <v>1293</v>
      </c>
      <c r="C964" s="60" t="n">
        <v>21630250</v>
      </c>
      <c r="D964" s="60" t="s">
        <v>46</v>
      </c>
      <c r="E964" s="60" t="s">
        <v>22</v>
      </c>
      <c r="F964" s="60" t="s">
        <v>235</v>
      </c>
      <c r="G964" s="60" t="n">
        <v>45.3</v>
      </c>
      <c r="H964" s="61" t="n">
        <v>679.99</v>
      </c>
      <c r="I964" s="61" t="n">
        <v>53.55</v>
      </c>
      <c r="J964" s="61" t="n">
        <f aca="false">H964*Resumo!$C$6</f>
        <v>0</v>
      </c>
      <c r="K964" s="61" t="n">
        <f aca="false">H964*Resumo!$C$7</f>
        <v>1.427979</v>
      </c>
      <c r="L964" s="61" t="n">
        <f aca="false">H964*Resumo!$C$8</f>
        <v>1.427979</v>
      </c>
      <c r="M964" s="61" t="n">
        <f aca="false">Resumo!$C$10*CEILING(G964/100,1)</f>
        <v>1.05</v>
      </c>
      <c r="N964" s="61" t="n">
        <f aca="false">Resumo!$C$9</f>
        <v>0</v>
      </c>
      <c r="O964" s="61" t="n">
        <f aca="false">Resumo!$C$13</f>
        <v>13.55</v>
      </c>
      <c r="P964" s="61" t="n">
        <f aca="false">Resumo!$C$14*CEILING(G964,1)</f>
        <v>20.7</v>
      </c>
      <c r="Q964" s="61" t="n">
        <f aca="false">SUM(I964:P964)*Resumo!$C$11</f>
        <v>0</v>
      </c>
      <c r="R964" s="61" t="n">
        <f aca="false">SUM(I964:Q964)</f>
        <v>91.705958</v>
      </c>
      <c r="S964" s="61" t="n">
        <f aca="false">R964/(1-Resumo!$C$5)</f>
        <v>104.211315909091</v>
      </c>
      <c r="T964" s="61" t="n">
        <v>93.97</v>
      </c>
      <c r="U964" s="61" t="n">
        <f aca="false">H964*Resumo!$B$6</f>
        <v>0.67999</v>
      </c>
      <c r="V964" s="61" t="n">
        <f aca="false">H964*Resumo!$B$7</f>
        <v>1.35998</v>
      </c>
      <c r="W964" s="61" t="n">
        <f aca="false">Resumo!$B$9</f>
        <v>1</v>
      </c>
      <c r="X964" s="61" t="n">
        <f aca="false">Resumo!$B$10*CEILING(G964/100,1)</f>
        <v>4.5</v>
      </c>
      <c r="Y964" s="61" t="n">
        <f aca="false">Resumo!$B$12*CEILING(G964,1)</f>
        <v>2.76</v>
      </c>
      <c r="Z964" s="61" t="n">
        <f aca="false">Resumo!$B$14*CEILING(G964,1)</f>
        <v>20.7</v>
      </c>
      <c r="AA964" s="61" t="n">
        <f aca="false">SUM(T964:Z964)</f>
        <v>124.96997</v>
      </c>
      <c r="AB964" s="61" t="n">
        <f aca="false">AA964/(1-Resumo!$B$5)</f>
        <v>142.011329545455</v>
      </c>
      <c r="AC964" s="61" t="n">
        <f aca="false">AB964-S964</f>
        <v>37.8000136363636</v>
      </c>
      <c r="AD964" s="62" t="n">
        <f aca="false">AB964/S964-1</f>
        <v>0.362724655250862</v>
      </c>
      <c r="AE964" s="60" t="str">
        <f aca="false">IF(AB964&lt;S964,"SIM","NÃO")</f>
        <v>NÃO</v>
      </c>
      <c r="AF964" s="60" t="n">
        <v>2</v>
      </c>
      <c r="AG964" s="60" t="n">
        <v>5</v>
      </c>
      <c r="AH964" s="60" t="s">
        <v>382</v>
      </c>
      <c r="AI964" s="61" t="n">
        <f aca="false">(T964*(1-Painel!$C$40)+U964+V964+Painel!$C$41+Painel!$C$42*CEILING(G964/100,1)+Painel!$C$43*CEILING(G964,1)+Z964)/(1-Resumo!$B$5)</f>
        <v>99.7157613636364</v>
      </c>
      <c r="AJ964" s="60" t="str">
        <f aca="false">IF(AI964&lt;S964,"SIM","NÃO")</f>
        <v>SIM</v>
      </c>
    </row>
    <row r="965" customFormat="false" ht="15" hidden="false" customHeight="false" outlineLevel="0" collapsed="false">
      <c r="A965" s="59" t="n">
        <v>46247.8256018519</v>
      </c>
      <c r="B965" s="60" t="s">
        <v>1294</v>
      </c>
      <c r="C965" s="60" t="n">
        <v>22725031</v>
      </c>
      <c r="D965" s="60" t="s">
        <v>46</v>
      </c>
      <c r="E965" s="60" t="s">
        <v>22</v>
      </c>
      <c r="F965" s="60" t="s">
        <v>241</v>
      </c>
      <c r="G965" s="60" t="n">
        <v>137</v>
      </c>
      <c r="H965" s="61" t="n">
        <v>1600.45</v>
      </c>
      <c r="I965" s="61" t="n">
        <v>120.59</v>
      </c>
      <c r="J965" s="61" t="n">
        <f aca="false">H965*Resumo!$C$6</f>
        <v>0</v>
      </c>
      <c r="K965" s="61" t="n">
        <f aca="false">H965*Resumo!$C$7</f>
        <v>3.360945</v>
      </c>
      <c r="L965" s="61" t="n">
        <f aca="false">H965*Resumo!$C$8</f>
        <v>3.360945</v>
      </c>
      <c r="M965" s="61" t="n">
        <f aca="false">Resumo!$C$10*CEILING(G965/100,1)</f>
        <v>2.1</v>
      </c>
      <c r="N965" s="61" t="n">
        <f aca="false">Resumo!$C$9</f>
        <v>0</v>
      </c>
      <c r="O965" s="61" t="n">
        <f aca="false">Resumo!$C$13</f>
        <v>13.55</v>
      </c>
      <c r="P965" s="61" t="n">
        <f aca="false">Resumo!$C$14*CEILING(G965,1)</f>
        <v>61.65</v>
      </c>
      <c r="Q965" s="61" t="n">
        <f aca="false">SUM(I965:P965)*Resumo!$C$11</f>
        <v>0</v>
      </c>
      <c r="R965" s="61" t="n">
        <f aca="false">SUM(I965:Q965)</f>
        <v>204.61189</v>
      </c>
      <c r="S965" s="61" t="n">
        <f aca="false">R965/(1-Resumo!$C$5)</f>
        <v>232.513511363636</v>
      </c>
      <c r="T965" s="61" t="n">
        <v>239.25</v>
      </c>
      <c r="U965" s="61" t="n">
        <f aca="false">H965*Resumo!$B$6</f>
        <v>1.60045</v>
      </c>
      <c r="V965" s="61" t="n">
        <f aca="false">H965*Resumo!$B$7</f>
        <v>3.2009</v>
      </c>
      <c r="W965" s="61" t="n">
        <f aca="false">Resumo!$B$9</f>
        <v>1</v>
      </c>
      <c r="X965" s="61" t="n">
        <f aca="false">Resumo!$B$10*CEILING(G965/100,1)</f>
        <v>9</v>
      </c>
      <c r="Y965" s="61" t="n">
        <f aca="false">Resumo!$B$12*CEILING(G965,1)</f>
        <v>8.22</v>
      </c>
      <c r="Z965" s="61" t="n">
        <f aca="false">Resumo!$B$14*CEILING(G965,1)</f>
        <v>61.65</v>
      </c>
      <c r="AA965" s="61" t="n">
        <f aca="false">SUM(T965:Z965)</f>
        <v>323.92135</v>
      </c>
      <c r="AB965" s="61" t="n">
        <f aca="false">AA965/(1-Resumo!$B$5)</f>
        <v>368.092443181818</v>
      </c>
      <c r="AC965" s="61" t="n">
        <f aca="false">AB965-S965</f>
        <v>135.578931818182</v>
      </c>
      <c r="AD965" s="62" t="n">
        <f aca="false">AB965/S965-1</f>
        <v>0.583101304621153</v>
      </c>
      <c r="AE965" s="60" t="str">
        <f aca="false">IF(AB965&lt;S965,"SIM","NÃO")</f>
        <v>NÃO</v>
      </c>
      <c r="AF965" s="60" t="n">
        <v>2</v>
      </c>
      <c r="AG965" s="60" t="n">
        <v>5</v>
      </c>
      <c r="AH965" s="60" t="s">
        <v>382</v>
      </c>
      <c r="AI965" s="61" t="n">
        <f aca="false">(T965*(1-Painel!$C$40)+U965+V965+Painel!$C$41+Painel!$C$42*CEILING(G965/100,1)+Painel!$C$43*CEILING(G965,1)+Z965)/(1-Resumo!$B$5)</f>
        <v>261.191875</v>
      </c>
      <c r="AJ965" s="60" t="str">
        <f aca="false">IF(AI965&lt;S965,"SIM","NÃO")</f>
        <v>NÃO</v>
      </c>
    </row>
    <row r="966" customFormat="false" ht="15" hidden="false" customHeight="false" outlineLevel="0" collapsed="false">
      <c r="A966" s="59" t="n">
        <v>46247.8397106482</v>
      </c>
      <c r="B966" s="60" t="s">
        <v>1048</v>
      </c>
      <c r="C966" s="60" t="n">
        <v>23092002</v>
      </c>
      <c r="D966" s="60" t="s">
        <v>46</v>
      </c>
      <c r="E966" s="60" t="s">
        <v>22</v>
      </c>
      <c r="F966" s="60" t="s">
        <v>233</v>
      </c>
      <c r="G966" s="60" t="n">
        <v>29.2</v>
      </c>
      <c r="H966" s="61" t="n">
        <v>449.99</v>
      </c>
      <c r="I966" s="61" t="n">
        <v>42.11</v>
      </c>
      <c r="J966" s="61" t="n">
        <f aca="false">H966*Resumo!$C$6</f>
        <v>0</v>
      </c>
      <c r="K966" s="61" t="n">
        <f aca="false">H966*Resumo!$C$7</f>
        <v>0.944979</v>
      </c>
      <c r="L966" s="61" t="n">
        <f aca="false">H966*Resumo!$C$8</f>
        <v>0.944979</v>
      </c>
      <c r="M966" s="61" t="n">
        <f aca="false">Resumo!$C$10*CEILING(G966/100,1)</f>
        <v>1.05</v>
      </c>
      <c r="N966" s="61" t="n">
        <f aca="false">Resumo!$C$9</f>
        <v>0</v>
      </c>
      <c r="O966" s="61" t="n">
        <f aca="false">Resumo!$C$13</f>
        <v>13.55</v>
      </c>
      <c r="P966" s="61" t="n">
        <f aca="false">Resumo!$C$14*CEILING(G966,1)</f>
        <v>13.5</v>
      </c>
      <c r="Q966" s="61" t="n">
        <f aca="false">SUM(I966:P966)*Resumo!$C$11</f>
        <v>0</v>
      </c>
      <c r="R966" s="61" t="n">
        <f aca="false">SUM(I966:Q966)</f>
        <v>72.099958</v>
      </c>
      <c r="S966" s="61" t="n">
        <f aca="false">R966/(1-Resumo!$C$5)</f>
        <v>81.9317704545455</v>
      </c>
      <c r="T966" s="61" t="n">
        <v>82.21</v>
      </c>
      <c r="U966" s="61" t="n">
        <f aca="false">H966*Resumo!$B$6</f>
        <v>0.44999</v>
      </c>
      <c r="V966" s="61" t="n">
        <f aca="false">H966*Resumo!$B$7</f>
        <v>0.89998</v>
      </c>
      <c r="W966" s="61" t="n">
        <f aca="false">Resumo!$B$9</f>
        <v>1</v>
      </c>
      <c r="X966" s="61" t="n">
        <f aca="false">Resumo!$B$10*CEILING(G966/100,1)</f>
        <v>4.5</v>
      </c>
      <c r="Y966" s="61" t="n">
        <f aca="false">Resumo!$B$12*CEILING(G966,1)</f>
        <v>1.8</v>
      </c>
      <c r="Z966" s="61" t="n">
        <f aca="false">Resumo!$B$14*CEILING(G966,1)</f>
        <v>13.5</v>
      </c>
      <c r="AA966" s="61" t="n">
        <f aca="false">SUM(T966:Z966)</f>
        <v>104.35997</v>
      </c>
      <c r="AB966" s="61" t="n">
        <f aca="false">AA966/(1-Resumo!$B$5)</f>
        <v>118.590875</v>
      </c>
      <c r="AC966" s="61" t="n">
        <f aca="false">AB966-S966</f>
        <v>36.6591045454545</v>
      </c>
      <c r="AD966" s="62" t="n">
        <f aca="false">AB966/S966-1</f>
        <v>0.447434546355769</v>
      </c>
      <c r="AE966" s="60" t="str">
        <f aca="false">IF(AB966&lt;S966,"SIM","NÃO")</f>
        <v>NÃO</v>
      </c>
      <c r="AF966" s="60" t="n">
        <v>2</v>
      </c>
      <c r="AG966" s="60" t="n">
        <v>5</v>
      </c>
      <c r="AH966" s="60" t="s">
        <v>382</v>
      </c>
      <c r="AI966" s="61" t="n">
        <f aca="false">(T966*(1-Painel!$C$40)+U966+V966+Painel!$C$41+Painel!$C$42*CEILING(G966/100,1)+Painel!$C$43*CEILING(G966,1)+Z966)/(1-Resumo!$B$5)</f>
        <v>81.7962159090909</v>
      </c>
      <c r="AJ966" s="60" t="str">
        <f aca="false">IF(AI966&lt;S966,"SIM","NÃO")</f>
        <v>SIM</v>
      </c>
    </row>
    <row r="967" customFormat="false" ht="15" hidden="false" customHeight="false" outlineLevel="0" collapsed="false">
      <c r="A967" s="59" t="n">
        <v>46247.8641666667</v>
      </c>
      <c r="B967" s="60" t="s">
        <v>441</v>
      </c>
      <c r="C967" s="60" t="n">
        <v>22733010</v>
      </c>
      <c r="D967" s="60" t="s">
        <v>46</v>
      </c>
      <c r="E967" s="60" t="s">
        <v>22</v>
      </c>
      <c r="F967" s="60" t="s">
        <v>233</v>
      </c>
      <c r="G967" s="60" t="n">
        <v>22.4</v>
      </c>
      <c r="H967" s="61" t="n">
        <v>489.99</v>
      </c>
      <c r="I967" s="61" t="n">
        <v>42.11</v>
      </c>
      <c r="J967" s="61" t="n">
        <f aca="false">H967*Resumo!$C$6</f>
        <v>0</v>
      </c>
      <c r="K967" s="61" t="n">
        <f aca="false">H967*Resumo!$C$7</f>
        <v>1.028979</v>
      </c>
      <c r="L967" s="61" t="n">
        <f aca="false">H967*Resumo!$C$8</f>
        <v>1.028979</v>
      </c>
      <c r="M967" s="61" t="n">
        <f aca="false">Resumo!$C$10*CEILING(G967/100,1)</f>
        <v>1.05</v>
      </c>
      <c r="N967" s="61" t="n">
        <f aca="false">Resumo!$C$9</f>
        <v>0</v>
      </c>
      <c r="O967" s="61" t="n">
        <f aca="false">Resumo!$C$13</f>
        <v>13.55</v>
      </c>
      <c r="P967" s="61" t="n">
        <f aca="false">Resumo!$C$14*CEILING(G967,1)</f>
        <v>10.35</v>
      </c>
      <c r="Q967" s="61" t="n">
        <f aca="false">SUM(I967:P967)*Resumo!$C$11</f>
        <v>0</v>
      </c>
      <c r="R967" s="61" t="n">
        <f aca="false">SUM(I967:Q967)</f>
        <v>69.117958</v>
      </c>
      <c r="S967" s="61" t="n">
        <f aca="false">R967/(1-Resumo!$C$5)</f>
        <v>78.5431340909091</v>
      </c>
      <c r="T967" s="61" t="n">
        <v>82.21</v>
      </c>
      <c r="U967" s="61" t="n">
        <f aca="false">H967*Resumo!$B$6</f>
        <v>0.48999</v>
      </c>
      <c r="V967" s="61" t="n">
        <f aca="false">H967*Resumo!$B$7</f>
        <v>0.97998</v>
      </c>
      <c r="W967" s="61" t="n">
        <f aca="false">Resumo!$B$9</f>
        <v>1</v>
      </c>
      <c r="X967" s="61" t="n">
        <f aca="false">Resumo!$B$10*CEILING(G967/100,1)</f>
        <v>4.5</v>
      </c>
      <c r="Y967" s="61" t="n">
        <f aca="false">Resumo!$B$12*CEILING(G967,1)</f>
        <v>1.38</v>
      </c>
      <c r="Z967" s="61" t="n">
        <f aca="false">Resumo!$B$14*CEILING(G967,1)</f>
        <v>10.35</v>
      </c>
      <c r="AA967" s="61" t="n">
        <f aca="false">SUM(T967:Z967)</f>
        <v>100.90997</v>
      </c>
      <c r="AB967" s="61" t="n">
        <f aca="false">AA967/(1-Resumo!$B$5)</f>
        <v>114.670420454545</v>
      </c>
      <c r="AC967" s="61" t="n">
        <f aca="false">AB967-S967</f>
        <v>36.1272863636363</v>
      </c>
      <c r="AD967" s="62" t="n">
        <f aca="false">AB967/S967-1</f>
        <v>0.459967466052744</v>
      </c>
      <c r="AE967" s="60" t="str">
        <f aca="false">IF(AB967&lt;S967,"SIM","NÃO")</f>
        <v>NÃO</v>
      </c>
      <c r="AF967" s="60" t="n">
        <v>2</v>
      </c>
      <c r="AG967" s="60" t="n">
        <v>5</v>
      </c>
      <c r="AH967" s="60" t="s">
        <v>382</v>
      </c>
      <c r="AI967" s="61" t="n">
        <f aca="false">(T967*(1-Painel!$C$40)+U967+V967+Painel!$C$41+Painel!$C$42*CEILING(G967/100,1)+Painel!$C$43*CEILING(G967,1)+Z967)/(1-Resumo!$B$5)</f>
        <v>78.3530340909091</v>
      </c>
      <c r="AJ967" s="60" t="str">
        <f aca="false">IF(AI967&lt;S967,"SIM","NÃO")</f>
        <v>SIM</v>
      </c>
    </row>
    <row r="968" customFormat="false" ht="15" hidden="false" customHeight="false" outlineLevel="0" collapsed="false">
      <c r="A968" s="59" t="n">
        <v>46247.8751041667</v>
      </c>
      <c r="B968" s="60" t="s">
        <v>1289</v>
      </c>
      <c r="C968" s="60" t="n">
        <v>28983332</v>
      </c>
      <c r="D968" s="60" t="s">
        <v>222</v>
      </c>
      <c r="E968" s="60" t="s">
        <v>24</v>
      </c>
      <c r="F968" s="60" t="s">
        <v>235</v>
      </c>
      <c r="G968" s="60" t="n">
        <v>40.1</v>
      </c>
      <c r="H968" s="61" t="n">
        <v>475.48</v>
      </c>
      <c r="I968" s="61" t="n">
        <v>77.7</v>
      </c>
      <c r="J968" s="61" t="n">
        <f aca="false">H968*Resumo!$C$6</f>
        <v>0</v>
      </c>
      <c r="K968" s="61" t="n">
        <f aca="false">H968*Resumo!$C$7</f>
        <v>0.998508</v>
      </c>
      <c r="L968" s="61" t="n">
        <f aca="false">H968*Resumo!$C$8</f>
        <v>0.998508</v>
      </c>
      <c r="M968" s="61" t="n">
        <f aca="false">Resumo!$C$10*CEILING(G968/100,1)</f>
        <v>1.05</v>
      </c>
      <c r="N968" s="61" t="n">
        <f aca="false">Resumo!$C$9</f>
        <v>0</v>
      </c>
      <c r="O968" s="61" t="n">
        <f aca="false">Resumo!$C$13</f>
        <v>13.55</v>
      </c>
      <c r="P968" s="61" t="n">
        <f aca="false">Resumo!$C$14*CEILING(G968,1)</f>
        <v>18.45</v>
      </c>
      <c r="Q968" s="61" t="n">
        <f aca="false">SUM(I968:P968)*Resumo!$C$11</f>
        <v>0</v>
      </c>
      <c r="R968" s="61" t="n">
        <f aca="false">SUM(I968:Q968)</f>
        <v>112.747016</v>
      </c>
      <c r="S968" s="61" t="n">
        <f aca="false">R968/(1-Resumo!$C$5)</f>
        <v>128.121609090909</v>
      </c>
      <c r="T968" s="61" t="n">
        <v>129.29</v>
      </c>
      <c r="U968" s="61" t="n">
        <f aca="false">H968*Resumo!$B$6</f>
        <v>0.47548</v>
      </c>
      <c r="V968" s="61" t="n">
        <f aca="false">H968*Resumo!$B$7</f>
        <v>0.95096</v>
      </c>
      <c r="W968" s="61" t="n">
        <f aca="false">Resumo!$B$9</f>
        <v>1</v>
      </c>
      <c r="X968" s="61" t="n">
        <f aca="false">Resumo!$B$10*CEILING(G968/100,1)</f>
        <v>4.5</v>
      </c>
      <c r="Y968" s="61" t="n">
        <f aca="false">Resumo!$B$12*CEILING(G968,1)</f>
        <v>2.46</v>
      </c>
      <c r="Z968" s="61" t="n">
        <f aca="false">Resumo!$B$14*CEILING(G968,1)</f>
        <v>18.45</v>
      </c>
      <c r="AA968" s="61" t="n">
        <f aca="false">SUM(T968:Z968)</f>
        <v>157.12644</v>
      </c>
      <c r="AB968" s="61" t="n">
        <f aca="false">AA968/(1-Resumo!$B$5)</f>
        <v>178.552772727273</v>
      </c>
      <c r="AC968" s="61" t="n">
        <f aca="false">AB968-S968</f>
        <v>50.4311636363636</v>
      </c>
      <c r="AD968" s="62" t="n">
        <f aca="false">AB968/S968-1</f>
        <v>0.393619499428703</v>
      </c>
      <c r="AE968" s="60" t="str">
        <f aca="false">IF(AB968&lt;S968,"SIM","NÃO")</f>
        <v>NÃO</v>
      </c>
      <c r="AF968" s="60" t="n">
        <v>13</v>
      </c>
      <c r="AG968" s="60" t="n">
        <v>10</v>
      </c>
      <c r="AH968" s="60" t="s">
        <v>382</v>
      </c>
      <c r="AI968" s="61" t="n">
        <f aca="false">(T968*(1-Painel!$C$40)+U968+V968+Painel!$C$41+Painel!$C$42*CEILING(G968/100,1)+Painel!$C$43*CEILING(G968,1)+Z968)/(1-Resumo!$B$5)</f>
        <v>123.353113636364</v>
      </c>
      <c r="AJ968" s="60" t="str">
        <f aca="false">IF(AI968&lt;S968,"SIM","NÃO")</f>
        <v>SIM</v>
      </c>
    </row>
    <row r="969" customFormat="false" ht="15" hidden="false" customHeight="false" outlineLevel="0" collapsed="false">
      <c r="A969" s="59" t="n">
        <v>46247.9019212963</v>
      </c>
      <c r="B969" s="60" t="s">
        <v>1295</v>
      </c>
      <c r="C969" s="60" t="n">
        <v>23032305</v>
      </c>
      <c r="D969" s="60" t="s">
        <v>46</v>
      </c>
      <c r="E969" s="60" t="s">
        <v>22</v>
      </c>
      <c r="F969" s="60" t="s">
        <v>234</v>
      </c>
      <c r="G969" s="60" t="n">
        <v>36.8</v>
      </c>
      <c r="H969" s="61" t="n">
        <v>439.99</v>
      </c>
      <c r="I969" s="61" t="n">
        <v>48.35</v>
      </c>
      <c r="J969" s="61" t="n">
        <f aca="false">H969*Resumo!$C$6</f>
        <v>0</v>
      </c>
      <c r="K969" s="61" t="n">
        <f aca="false">H969*Resumo!$C$7</f>
        <v>0.923979</v>
      </c>
      <c r="L969" s="61" t="n">
        <f aca="false">H969*Resumo!$C$8</f>
        <v>0.923979</v>
      </c>
      <c r="M969" s="61" t="n">
        <f aca="false">Resumo!$C$10*CEILING(G969/100,1)</f>
        <v>1.05</v>
      </c>
      <c r="N969" s="61" t="n">
        <f aca="false">Resumo!$C$9</f>
        <v>0</v>
      </c>
      <c r="O969" s="61" t="n">
        <f aca="false">Resumo!$C$13</f>
        <v>13.55</v>
      </c>
      <c r="P969" s="61" t="n">
        <f aca="false">Resumo!$C$14*CEILING(G969,1)</f>
        <v>16.65</v>
      </c>
      <c r="Q969" s="61" t="n">
        <f aca="false">SUM(I969:P969)*Resumo!$C$11</f>
        <v>0</v>
      </c>
      <c r="R969" s="61" t="n">
        <f aca="false">SUM(I969:Q969)</f>
        <v>81.447958</v>
      </c>
      <c r="S969" s="61" t="n">
        <f aca="false">R969/(1-Resumo!$C$5)</f>
        <v>92.5544977272728</v>
      </c>
      <c r="T969" s="61" t="n">
        <v>93.97</v>
      </c>
      <c r="U969" s="61" t="n">
        <f aca="false">H969*Resumo!$B$6</f>
        <v>0.43999</v>
      </c>
      <c r="V969" s="61" t="n">
        <f aca="false">H969*Resumo!$B$7</f>
        <v>0.87998</v>
      </c>
      <c r="W969" s="61" t="n">
        <f aca="false">Resumo!$B$9</f>
        <v>1</v>
      </c>
      <c r="X969" s="61" t="n">
        <f aca="false">Resumo!$B$10*CEILING(G969/100,1)</f>
        <v>4.5</v>
      </c>
      <c r="Y969" s="61" t="n">
        <f aca="false">Resumo!$B$12*CEILING(G969,1)</f>
        <v>2.22</v>
      </c>
      <c r="Z969" s="61" t="n">
        <f aca="false">Resumo!$B$14*CEILING(G969,1)</f>
        <v>16.65</v>
      </c>
      <c r="AA969" s="61" t="n">
        <f aca="false">SUM(T969:Z969)</f>
        <v>119.65997</v>
      </c>
      <c r="AB969" s="61" t="n">
        <f aca="false">AA969/(1-Resumo!$B$5)</f>
        <v>135.977238636364</v>
      </c>
      <c r="AC969" s="61" t="n">
        <f aca="false">AB969-S969</f>
        <v>43.4227409090909</v>
      </c>
      <c r="AD969" s="62" t="n">
        <f aca="false">AB969/S969-1</f>
        <v>0.469158625192297</v>
      </c>
      <c r="AE969" s="60" t="str">
        <f aca="false">IF(AB969&lt;S969,"SIM","NÃO")</f>
        <v>NÃO</v>
      </c>
      <c r="AF969" s="60" t="n">
        <v>2</v>
      </c>
      <c r="AG969" s="60" t="n">
        <v>5</v>
      </c>
      <c r="AH969" s="60" t="s">
        <v>382</v>
      </c>
      <c r="AI969" s="61" t="n">
        <f aca="false">(T969*(1-Painel!$C$40)+U969+V969+Painel!$C$41+Painel!$C$42*CEILING(G969/100,1)+Painel!$C$43*CEILING(G969,1)+Z969)/(1-Resumo!$B$5)</f>
        <v>94.2953068181818</v>
      </c>
      <c r="AJ969" s="60" t="str">
        <f aca="false">IF(AI969&lt;S969,"SIM","NÃO")</f>
        <v>NÃO</v>
      </c>
    </row>
    <row r="970" customFormat="false" ht="15" hidden="false" customHeight="false" outlineLevel="0" collapsed="false">
      <c r="A970" s="59" t="n">
        <v>46247.9041666667</v>
      </c>
      <c r="B970" s="60" t="s">
        <v>1296</v>
      </c>
      <c r="C970" s="60" t="n">
        <v>25214300</v>
      </c>
      <c r="D970" s="60" t="s">
        <v>48</v>
      </c>
      <c r="E970" s="60" t="s">
        <v>23</v>
      </c>
      <c r="F970" s="60" t="s">
        <v>234</v>
      </c>
      <c r="G970" s="60" t="n">
        <v>39</v>
      </c>
      <c r="H970" s="61" t="n">
        <v>539.99</v>
      </c>
      <c r="I970" s="61" t="n">
        <v>66.83</v>
      </c>
      <c r="J970" s="61" t="n">
        <f aca="false">H970*Resumo!$C$6</f>
        <v>0</v>
      </c>
      <c r="K970" s="61" t="n">
        <f aca="false">H970*Resumo!$C$7</f>
        <v>1.133979</v>
      </c>
      <c r="L970" s="61" t="n">
        <f aca="false">H970*Resumo!$C$8</f>
        <v>1.133979</v>
      </c>
      <c r="M970" s="61" t="n">
        <f aca="false">Resumo!$C$10*CEILING(G970/100,1)</f>
        <v>1.05</v>
      </c>
      <c r="N970" s="61" t="n">
        <f aca="false">Resumo!$C$9</f>
        <v>0</v>
      </c>
      <c r="O970" s="61" t="n">
        <f aca="false">Resumo!$C$13</f>
        <v>13.55</v>
      </c>
      <c r="P970" s="61" t="n">
        <f aca="false">Resumo!$C$14*CEILING(G970,1)</f>
        <v>17.55</v>
      </c>
      <c r="Q970" s="61" t="n">
        <f aca="false">SUM(I970:P970)*Resumo!$C$11</f>
        <v>0</v>
      </c>
      <c r="R970" s="61" t="n">
        <f aca="false">SUM(I970:Q970)</f>
        <v>101.247958</v>
      </c>
      <c r="S970" s="61" t="n">
        <f aca="false">R970/(1-Resumo!$C$5)</f>
        <v>115.054497727273</v>
      </c>
      <c r="T970" s="61" t="n">
        <v>93.97</v>
      </c>
      <c r="U970" s="61" t="n">
        <f aca="false">H970*Resumo!$B$6</f>
        <v>0.53999</v>
      </c>
      <c r="V970" s="61" t="n">
        <f aca="false">H970*Resumo!$B$7</f>
        <v>1.07998</v>
      </c>
      <c r="W970" s="61" t="n">
        <f aca="false">Resumo!$B$9</f>
        <v>1</v>
      </c>
      <c r="X970" s="61" t="n">
        <f aca="false">Resumo!$B$10*CEILING(G970/100,1)</f>
        <v>4.5</v>
      </c>
      <c r="Y970" s="61" t="n">
        <f aca="false">Resumo!$B$12*CEILING(G970,1)</f>
        <v>2.34</v>
      </c>
      <c r="Z970" s="61" t="n">
        <f aca="false">Resumo!$B$14*CEILING(G970,1)</f>
        <v>17.55</v>
      </c>
      <c r="AA970" s="61" t="n">
        <f aca="false">SUM(T970:Z970)</f>
        <v>120.97997</v>
      </c>
      <c r="AB970" s="61" t="n">
        <f aca="false">AA970/(1-Resumo!$B$5)</f>
        <v>137.477238636364</v>
      </c>
      <c r="AC970" s="61" t="n">
        <f aca="false">AB970-S970</f>
        <v>22.4227409090909</v>
      </c>
      <c r="AD970" s="62" t="n">
        <f aca="false">AB970/S970-1</f>
        <v>0.194887999617731</v>
      </c>
      <c r="AE970" s="60" t="str">
        <f aca="false">IF(AB970&lt;S970,"SIM","NÃO")</f>
        <v>NÃO</v>
      </c>
      <c r="AF970" s="60" t="n">
        <v>2</v>
      </c>
      <c r="AG970" s="60" t="n">
        <v>5</v>
      </c>
      <c r="AH970" s="60" t="s">
        <v>382</v>
      </c>
      <c r="AI970" s="61" t="n">
        <f aca="false">(T970*(1-Painel!$C$40)+U970+V970+Painel!$C$41+Painel!$C$42*CEILING(G970/100,1)+Painel!$C$43*CEILING(G970,1)+Z970)/(1-Resumo!$B$5)</f>
        <v>95.6589431818182</v>
      </c>
      <c r="AJ970" s="60" t="str">
        <f aca="false">IF(AI970&lt;S970,"SIM","NÃO")</f>
        <v>SIM</v>
      </c>
    </row>
    <row r="971" customFormat="false" ht="15" hidden="false" customHeight="false" outlineLevel="0" collapsed="false">
      <c r="A971" s="59" t="n">
        <v>46247.9552430556</v>
      </c>
      <c r="B971" s="60" t="s">
        <v>1297</v>
      </c>
      <c r="C971" s="60" t="n">
        <v>28060480</v>
      </c>
      <c r="D971" s="60" t="s">
        <v>51</v>
      </c>
      <c r="E971" s="60" t="s">
        <v>24</v>
      </c>
      <c r="F971" s="60" t="s">
        <v>234</v>
      </c>
      <c r="G971" s="60" t="n">
        <v>37.6</v>
      </c>
      <c r="H971" s="61" t="n">
        <v>391.05</v>
      </c>
      <c r="I971" s="61" t="n">
        <v>74.97</v>
      </c>
      <c r="J971" s="61" t="n">
        <f aca="false">H971*Resumo!$C$6</f>
        <v>0</v>
      </c>
      <c r="K971" s="61" t="n">
        <f aca="false">H971*Resumo!$C$7</f>
        <v>0.821205</v>
      </c>
      <c r="L971" s="61" t="n">
        <f aca="false">H971*Resumo!$C$8</f>
        <v>0.821205</v>
      </c>
      <c r="M971" s="61" t="n">
        <f aca="false">Resumo!$C$10*CEILING(G971/100,1)</f>
        <v>1.05</v>
      </c>
      <c r="N971" s="61" t="n">
        <f aca="false">Resumo!$C$9</f>
        <v>0</v>
      </c>
      <c r="O971" s="61" t="n">
        <f aca="false">Resumo!$C$13</f>
        <v>13.55</v>
      </c>
      <c r="P971" s="61" t="n">
        <f aca="false">Resumo!$C$14*CEILING(G971,1)</f>
        <v>17.1</v>
      </c>
      <c r="Q971" s="61" t="n">
        <f aca="false">SUM(I971:P971)*Resumo!$C$11</f>
        <v>0</v>
      </c>
      <c r="R971" s="61" t="n">
        <f aca="false">SUM(I971:Q971)</f>
        <v>108.31241</v>
      </c>
      <c r="S971" s="61" t="n">
        <f aca="false">R971/(1-Resumo!$C$5)</f>
        <v>123.082284090909</v>
      </c>
      <c r="T971" s="61" t="n">
        <v>143.04</v>
      </c>
      <c r="U971" s="61" t="n">
        <f aca="false">H971*Resumo!$B$6</f>
        <v>0.39105</v>
      </c>
      <c r="V971" s="61" t="n">
        <f aca="false">H971*Resumo!$B$7</f>
        <v>0.7821</v>
      </c>
      <c r="W971" s="61" t="n">
        <f aca="false">Resumo!$B$9</f>
        <v>1</v>
      </c>
      <c r="X971" s="61" t="n">
        <f aca="false">Resumo!$B$10*CEILING(G971/100,1)</f>
        <v>4.5</v>
      </c>
      <c r="Y971" s="61" t="n">
        <f aca="false">Resumo!$B$12*CEILING(G971,1)</f>
        <v>2.28</v>
      </c>
      <c r="Z971" s="61" t="n">
        <f aca="false">Resumo!$B$14*CEILING(G971,1)</f>
        <v>17.1</v>
      </c>
      <c r="AA971" s="61" t="n">
        <f aca="false">SUM(T971:Z971)</f>
        <v>169.09315</v>
      </c>
      <c r="AB971" s="61" t="n">
        <f aca="false">AA971/(1-Resumo!$B$5)</f>
        <v>192.151306818182</v>
      </c>
      <c r="AC971" s="61" t="n">
        <f aca="false">AB971-S971</f>
        <v>69.0690227272727</v>
      </c>
      <c r="AD971" s="62" t="n">
        <f aca="false">AB971/S971-1</f>
        <v>0.561161366458377</v>
      </c>
      <c r="AE971" s="60" t="str">
        <f aca="false">IF(AB971&lt;S971,"SIM","NÃO")</f>
        <v>NÃO</v>
      </c>
      <c r="AF971" s="60" t="n">
        <v>13</v>
      </c>
      <c r="AG971" s="60" t="n">
        <v>11</v>
      </c>
      <c r="AH971" s="60" t="s">
        <v>382</v>
      </c>
      <c r="AI971" s="61" t="n">
        <f aca="false">(T971*(1-Painel!$C$40)+U971+V971+Painel!$C$41+Painel!$C$42*CEILING(G971/100,1)+Painel!$C$43*CEILING(G971,1)+Z971)/(1-Resumo!$B$5)</f>
        <v>131.999943181818</v>
      </c>
      <c r="AJ971" s="60" t="str">
        <f aca="false">IF(AI971&lt;S971,"SIM","NÃO")</f>
        <v>NÃO</v>
      </c>
    </row>
    <row r="972" customFormat="false" ht="15" hidden="false" customHeight="false" outlineLevel="0" collapsed="false">
      <c r="A972" s="59" t="n">
        <v>46247.9709259259</v>
      </c>
      <c r="B972" s="60" t="s">
        <v>1298</v>
      </c>
      <c r="C972" s="60" t="n">
        <v>24737540</v>
      </c>
      <c r="D972" s="60" t="s">
        <v>47</v>
      </c>
      <c r="E972" s="60" t="s">
        <v>23</v>
      </c>
      <c r="F972" s="60" t="s">
        <v>233</v>
      </c>
      <c r="G972" s="60" t="n">
        <v>30.5</v>
      </c>
      <c r="H972" s="61" t="n">
        <v>439.99</v>
      </c>
      <c r="I972" s="61" t="n">
        <v>58.8</v>
      </c>
      <c r="J972" s="61" t="n">
        <f aca="false">H972*Resumo!$C$6</f>
        <v>0</v>
      </c>
      <c r="K972" s="61" t="n">
        <f aca="false">H972*Resumo!$C$7</f>
        <v>0.923979</v>
      </c>
      <c r="L972" s="61" t="n">
        <f aca="false">H972*Resumo!$C$8</f>
        <v>0.923979</v>
      </c>
      <c r="M972" s="61" t="n">
        <f aca="false">Resumo!$C$10*CEILING(G972/100,1)</f>
        <v>1.05</v>
      </c>
      <c r="N972" s="61" t="n">
        <f aca="false">Resumo!$C$9</f>
        <v>0</v>
      </c>
      <c r="O972" s="61" t="n">
        <f aca="false">Resumo!$C$13</f>
        <v>13.55</v>
      </c>
      <c r="P972" s="61" t="n">
        <f aca="false">Resumo!$C$14*CEILING(G972,1)</f>
        <v>13.95</v>
      </c>
      <c r="Q972" s="61" t="n">
        <f aca="false">SUM(I972:P972)*Resumo!$C$11</f>
        <v>0</v>
      </c>
      <c r="R972" s="61" t="n">
        <f aca="false">SUM(I972:Q972)</f>
        <v>89.197958</v>
      </c>
      <c r="S972" s="61" t="n">
        <f aca="false">R972/(1-Resumo!$C$5)</f>
        <v>101.361315909091</v>
      </c>
      <c r="T972" s="61" t="n">
        <v>100.58</v>
      </c>
      <c r="U972" s="61" t="n">
        <f aca="false">H972*Resumo!$B$6</f>
        <v>0.43999</v>
      </c>
      <c r="V972" s="61" t="n">
        <f aca="false">H972*Resumo!$B$7</f>
        <v>0.87998</v>
      </c>
      <c r="W972" s="61" t="n">
        <f aca="false">Resumo!$B$9</f>
        <v>1</v>
      </c>
      <c r="X972" s="61" t="n">
        <f aca="false">Resumo!$B$10*CEILING(G972/100,1)</f>
        <v>4.5</v>
      </c>
      <c r="Y972" s="61" t="n">
        <f aca="false">Resumo!$B$12*CEILING(G972,1)</f>
        <v>1.86</v>
      </c>
      <c r="Z972" s="61" t="n">
        <f aca="false">Resumo!$B$14*CEILING(G972,1)</f>
        <v>13.95</v>
      </c>
      <c r="AA972" s="61" t="n">
        <f aca="false">SUM(T972:Z972)</f>
        <v>123.20997</v>
      </c>
      <c r="AB972" s="61" t="n">
        <f aca="false">AA972/(1-Resumo!$B$5)</f>
        <v>140.011329545455</v>
      </c>
      <c r="AC972" s="61" t="n">
        <f aca="false">AB972-S972</f>
        <v>38.6500136363636</v>
      </c>
      <c r="AD972" s="62" t="n">
        <f aca="false">AB972/S972-1</f>
        <v>0.381309312036045</v>
      </c>
      <c r="AE972" s="60" t="str">
        <f aca="false">IF(AB972&lt;S972,"SIM","NÃO")</f>
        <v>NÃO</v>
      </c>
      <c r="AF972" s="60" t="n">
        <v>2</v>
      </c>
      <c r="AG972" s="60" t="n">
        <v>7</v>
      </c>
      <c r="AH972" s="60" t="s">
        <v>382</v>
      </c>
      <c r="AI972" s="61" t="n">
        <f aca="false">(T972*(1-Painel!$C$40)+U972+V972+Painel!$C$41+Painel!$C$42*CEILING(G972/100,1)+Painel!$C$43*CEILING(G972,1)+Z972)/(1-Resumo!$B$5)</f>
        <v>96.2597386363636</v>
      </c>
      <c r="AJ972" s="60" t="str">
        <f aca="false">IF(AI972&lt;S972,"SIM","NÃO")</f>
        <v>SIM</v>
      </c>
    </row>
    <row r="973" customFormat="false" ht="15" hidden="false" customHeight="false" outlineLevel="0" collapsed="false">
      <c r="A973" s="59" t="n">
        <v>46247.9777546296</v>
      </c>
      <c r="B973" s="60" t="s">
        <v>1299</v>
      </c>
      <c r="C973" s="60" t="n">
        <v>23898030</v>
      </c>
      <c r="D973" s="60" t="s">
        <v>267</v>
      </c>
      <c r="E973" s="60" t="s">
        <v>24</v>
      </c>
      <c r="F973" s="60" t="s">
        <v>239</v>
      </c>
      <c r="G973" s="60" t="n">
        <v>81.7</v>
      </c>
      <c r="H973" s="61" t="n">
        <v>646.16</v>
      </c>
      <c r="I973" s="61" t="n">
        <v>109.63</v>
      </c>
      <c r="J973" s="61" t="n">
        <f aca="false">H973*Resumo!$C$6</f>
        <v>0</v>
      </c>
      <c r="K973" s="61" t="n">
        <f aca="false">H973*Resumo!$C$7</f>
        <v>1.356936</v>
      </c>
      <c r="L973" s="61" t="n">
        <f aca="false">H973*Resumo!$C$8</f>
        <v>1.356936</v>
      </c>
      <c r="M973" s="61" t="n">
        <f aca="false">Resumo!$C$10*CEILING(G973/100,1)</f>
        <v>1.05</v>
      </c>
      <c r="N973" s="61" t="n">
        <f aca="false">Resumo!$C$9</f>
        <v>0</v>
      </c>
      <c r="O973" s="61" t="n">
        <f aca="false">Resumo!$C$13</f>
        <v>13.55</v>
      </c>
      <c r="P973" s="61" t="n">
        <f aca="false">Resumo!$C$14*CEILING(G973,1)</f>
        <v>36.9</v>
      </c>
      <c r="Q973" s="61" t="n">
        <f aca="false">SUM(I973:P973)*Resumo!$C$11</f>
        <v>0</v>
      </c>
      <c r="R973" s="61" t="n">
        <f aca="false">SUM(I973:Q973)</f>
        <v>163.843872</v>
      </c>
      <c r="S973" s="61" t="n">
        <f aca="false">R973/(1-Resumo!$C$5)</f>
        <v>186.186218181818</v>
      </c>
      <c r="T973" s="61" t="n">
        <v>177.99</v>
      </c>
      <c r="U973" s="61" t="n">
        <f aca="false">H973*Resumo!$B$6</f>
        <v>0.64616</v>
      </c>
      <c r="V973" s="61" t="n">
        <f aca="false">H973*Resumo!$B$7</f>
        <v>1.29232</v>
      </c>
      <c r="W973" s="61" t="n">
        <f aca="false">Resumo!$B$9</f>
        <v>1</v>
      </c>
      <c r="X973" s="61" t="n">
        <f aca="false">Resumo!$B$10*CEILING(G973/100,1)</f>
        <v>4.5</v>
      </c>
      <c r="Y973" s="61" t="n">
        <f aca="false">Resumo!$B$12*CEILING(G973,1)</f>
        <v>4.92</v>
      </c>
      <c r="Z973" s="61" t="n">
        <f aca="false">Resumo!$B$14*CEILING(G973,1)</f>
        <v>36.9</v>
      </c>
      <c r="AA973" s="61" t="n">
        <f aca="false">SUM(T973:Z973)</f>
        <v>227.24848</v>
      </c>
      <c r="AB973" s="61" t="n">
        <f aca="false">AA973/(1-Resumo!$B$5)</f>
        <v>258.236909090909</v>
      </c>
      <c r="AC973" s="61" t="n">
        <f aca="false">AB973-S973</f>
        <v>72.0506909090909</v>
      </c>
      <c r="AD973" s="62" t="n">
        <f aca="false">AB973/S973-1</f>
        <v>0.386981870155022</v>
      </c>
      <c r="AE973" s="60" t="str">
        <f aca="false">IF(AB973&lt;S973,"SIM","NÃO")</f>
        <v>NÃO</v>
      </c>
      <c r="AF973" s="60" t="n">
        <v>13</v>
      </c>
      <c r="AG973" s="60" t="n">
        <v>5</v>
      </c>
      <c r="AH973" s="60" t="s">
        <v>385</v>
      </c>
      <c r="AI973" s="61" t="n">
        <f aca="false">(T973*(1-Painel!$C$40)+U973+V973+Painel!$C$41+Painel!$C$42*CEILING(G973/100,1)+Painel!$C$43*CEILING(G973,1)+Z973)/(1-Resumo!$B$5)</f>
        <v>181.979295454545</v>
      </c>
      <c r="AJ973" s="60" t="str">
        <f aca="false">IF(AI973&lt;S973,"SIM","NÃO")</f>
        <v>SIM</v>
      </c>
    </row>
    <row r="974" customFormat="false" ht="15" hidden="false" customHeight="false" outlineLevel="0" collapsed="false">
      <c r="A974" s="59" t="n">
        <v>46247.9888310185</v>
      </c>
      <c r="B974" s="60" t="s">
        <v>1300</v>
      </c>
      <c r="C974" s="60" t="n">
        <v>20961050</v>
      </c>
      <c r="D974" s="60" t="s">
        <v>46</v>
      </c>
      <c r="E974" s="60" t="s">
        <v>22</v>
      </c>
      <c r="F974" s="60" t="s">
        <v>232</v>
      </c>
      <c r="G974" s="60" t="n">
        <v>19.9</v>
      </c>
      <c r="H974" s="61" t="n">
        <v>279.99</v>
      </c>
      <c r="I974" s="61" t="n">
        <v>33.42</v>
      </c>
      <c r="J974" s="61" t="n">
        <f aca="false">H974*Resumo!$C$6</f>
        <v>0</v>
      </c>
      <c r="K974" s="61" t="n">
        <f aca="false">H974*Resumo!$C$7</f>
        <v>0.587979</v>
      </c>
      <c r="L974" s="61" t="n">
        <f aca="false">H974*Resumo!$C$8</f>
        <v>0.587979</v>
      </c>
      <c r="M974" s="61" t="n">
        <f aca="false">Resumo!$C$10*CEILING(G974/100,1)</f>
        <v>1.05</v>
      </c>
      <c r="N974" s="61" t="n">
        <f aca="false">Resumo!$C$9</f>
        <v>0</v>
      </c>
      <c r="O974" s="61" t="n">
        <f aca="false">Resumo!$C$13</f>
        <v>13.55</v>
      </c>
      <c r="P974" s="61" t="n">
        <f aca="false">Resumo!$C$14*CEILING(G974,1)</f>
        <v>9</v>
      </c>
      <c r="Q974" s="61" t="n">
        <f aca="false">SUM(I974:P974)*Resumo!$C$11</f>
        <v>0</v>
      </c>
      <c r="R974" s="61" t="n">
        <f aca="false">SUM(I974:Q974)</f>
        <v>58.195958</v>
      </c>
      <c r="S974" s="61" t="n">
        <f aca="false">R974/(1-Resumo!$C$5)</f>
        <v>66.1317704545455</v>
      </c>
      <c r="T974" s="61" t="n">
        <v>46.98</v>
      </c>
      <c r="U974" s="61" t="n">
        <f aca="false">H974*Resumo!$B$6</f>
        <v>0.27999</v>
      </c>
      <c r="V974" s="61" t="n">
        <f aca="false">H974*Resumo!$B$7</f>
        <v>0.55998</v>
      </c>
      <c r="W974" s="61" t="n">
        <f aca="false">Resumo!$B$9</f>
        <v>1</v>
      </c>
      <c r="X974" s="61" t="n">
        <f aca="false">Resumo!$B$10*CEILING(G974/100,1)</f>
        <v>4.5</v>
      </c>
      <c r="Y974" s="61" t="n">
        <f aca="false">Resumo!$B$12*CEILING(G974,1)</f>
        <v>1.2</v>
      </c>
      <c r="Z974" s="61" t="n">
        <f aca="false">Resumo!$B$14*CEILING(G974,1)</f>
        <v>9</v>
      </c>
      <c r="AA974" s="61" t="n">
        <f aca="false">SUM(T974:Z974)</f>
        <v>63.51997</v>
      </c>
      <c r="AB974" s="61" t="n">
        <f aca="false">AA974/(1-Resumo!$B$5)</f>
        <v>72.1817840909091</v>
      </c>
      <c r="AC974" s="61" t="n">
        <f aca="false">AB974-S974</f>
        <v>6.05001363636362</v>
      </c>
      <c r="AD974" s="62" t="n">
        <f aca="false">AB974/S974-1</f>
        <v>0.0914842230108144</v>
      </c>
      <c r="AE974" s="60" t="str">
        <f aca="false">IF(AB974&lt;S974,"SIM","NÃO")</f>
        <v>NÃO</v>
      </c>
      <c r="AF974" s="60" t="n">
        <v>2</v>
      </c>
      <c r="AG974" s="60" t="n">
        <v>5</v>
      </c>
      <c r="AH974" s="60" t="s">
        <v>382</v>
      </c>
      <c r="AI974" s="61" t="n">
        <f aca="false">(T974*(1-Painel!$C$40)+U974+V974+Painel!$C$41+Painel!$C$42*CEILING(G974/100,1)+Painel!$C$43*CEILING(G974,1)+Z974)/(1-Resumo!$B$5)</f>
        <v>49.2801931818182</v>
      </c>
      <c r="AJ974" s="60" t="str">
        <f aca="false">IF(AI974&lt;S974,"SIM","NÃO")</f>
        <v>SIM</v>
      </c>
    </row>
    <row r="975" customFormat="false" ht="15" hidden="false" customHeight="false" outlineLevel="0" collapsed="false">
      <c r="A975" s="59" t="n">
        <v>46248.3380324074</v>
      </c>
      <c r="B975" s="60" t="s">
        <v>1301</v>
      </c>
      <c r="C975" s="60" t="n">
        <v>23510570</v>
      </c>
      <c r="D975" s="60" t="s">
        <v>46</v>
      </c>
      <c r="E975" s="60" t="s">
        <v>22</v>
      </c>
      <c r="F975" s="60" t="s">
        <v>233</v>
      </c>
      <c r="G975" s="60" t="n">
        <v>30.5</v>
      </c>
      <c r="H975" s="61" t="n">
        <v>413.55</v>
      </c>
      <c r="I975" s="61" t="n">
        <v>42.11</v>
      </c>
      <c r="J975" s="61" t="n">
        <f aca="false">H975*Resumo!$C$6</f>
        <v>0</v>
      </c>
      <c r="K975" s="61" t="n">
        <f aca="false">H975*Resumo!$C$7</f>
        <v>0.868455</v>
      </c>
      <c r="L975" s="61" t="n">
        <f aca="false">H975*Resumo!$C$8</f>
        <v>0.868455</v>
      </c>
      <c r="M975" s="61" t="n">
        <f aca="false">Resumo!$C$10*CEILING(G975/100,1)</f>
        <v>1.05</v>
      </c>
      <c r="N975" s="61" t="n">
        <f aca="false">Resumo!$C$9</f>
        <v>0</v>
      </c>
      <c r="O975" s="61" t="n">
        <f aca="false">Resumo!$C$13</f>
        <v>13.55</v>
      </c>
      <c r="P975" s="61" t="n">
        <f aca="false">Resumo!$C$14*CEILING(G975,1)</f>
        <v>13.95</v>
      </c>
      <c r="Q975" s="61" t="n">
        <f aca="false">SUM(I975:P975)*Resumo!$C$11</f>
        <v>0</v>
      </c>
      <c r="R975" s="61" t="n">
        <f aca="false">SUM(I975:Q975)</f>
        <v>72.39691</v>
      </c>
      <c r="S975" s="61" t="n">
        <f aca="false">R975/(1-Resumo!$C$5)</f>
        <v>82.2692159090909</v>
      </c>
      <c r="T975" s="61" t="n">
        <v>82.21</v>
      </c>
      <c r="U975" s="61" t="n">
        <f aca="false">H975*Resumo!$B$6</f>
        <v>0.41355</v>
      </c>
      <c r="V975" s="61" t="n">
        <f aca="false">H975*Resumo!$B$7</f>
        <v>0.8271</v>
      </c>
      <c r="W975" s="61" t="n">
        <f aca="false">Resumo!$B$9</f>
        <v>1</v>
      </c>
      <c r="X975" s="61" t="n">
        <f aca="false">Resumo!$B$10*CEILING(G975/100,1)</f>
        <v>4.5</v>
      </c>
      <c r="Y975" s="61" t="n">
        <f aca="false">Resumo!$B$12*CEILING(G975,1)</f>
        <v>1.86</v>
      </c>
      <c r="Z975" s="61" t="n">
        <f aca="false">Resumo!$B$14*CEILING(G975,1)</f>
        <v>13.95</v>
      </c>
      <c r="AA975" s="61" t="n">
        <f aca="false">SUM(T975:Z975)</f>
        <v>104.76065</v>
      </c>
      <c r="AB975" s="61" t="n">
        <f aca="false">AA975/(1-Resumo!$B$5)</f>
        <v>119.046193181818</v>
      </c>
      <c r="AC975" s="61" t="n">
        <f aca="false">AB975-S975</f>
        <v>36.7769772727273</v>
      </c>
      <c r="AD975" s="62" t="n">
        <f aca="false">AB975/S975-1</f>
        <v>0.447032062556261</v>
      </c>
      <c r="AE975" s="60" t="str">
        <f aca="false">IF(AB975&lt;S975,"SIM","NÃO")</f>
        <v>NÃO</v>
      </c>
      <c r="AF975" s="60" t="n">
        <v>2</v>
      </c>
      <c r="AG975" s="60" t="n">
        <v>5</v>
      </c>
      <c r="AH975" s="60" t="s">
        <v>382</v>
      </c>
      <c r="AI975" s="61" t="n">
        <f aca="false">(T975*(1-Painel!$C$40)+U975+V975+Painel!$C$41+Painel!$C$42*CEILING(G975/100,1)+Painel!$C$43*CEILING(G975,1)+Z975)/(1-Resumo!$B$5)</f>
        <v>82.1833522727273</v>
      </c>
      <c r="AJ975" s="60" t="str">
        <f aca="false">IF(AI975&lt;S975,"SIM","NÃO")</f>
        <v>SIM</v>
      </c>
    </row>
    <row r="976" customFormat="false" ht="15" hidden="false" customHeight="false" outlineLevel="0" collapsed="false">
      <c r="A976" s="59" t="n">
        <v>46248.3404050926</v>
      </c>
      <c r="B976" s="60" t="s">
        <v>1302</v>
      </c>
      <c r="C976" s="60" t="n">
        <v>25253554</v>
      </c>
      <c r="D976" s="60" t="s">
        <v>48</v>
      </c>
      <c r="E976" s="60" t="s">
        <v>23</v>
      </c>
      <c r="F976" s="60" t="s">
        <v>232</v>
      </c>
      <c r="G976" s="60" t="n">
        <v>19.5</v>
      </c>
      <c r="H976" s="61" t="n">
        <v>399.99</v>
      </c>
      <c r="I976" s="61" t="n">
        <v>42.72</v>
      </c>
      <c r="J976" s="61" t="n">
        <f aca="false">H976*Resumo!$C$6</f>
        <v>0</v>
      </c>
      <c r="K976" s="61" t="n">
        <f aca="false">H976*Resumo!$C$7</f>
        <v>0.839979</v>
      </c>
      <c r="L976" s="61" t="n">
        <f aca="false">H976*Resumo!$C$8</f>
        <v>0.839979</v>
      </c>
      <c r="M976" s="61" t="n">
        <f aca="false">Resumo!$C$10*CEILING(G976/100,1)</f>
        <v>1.05</v>
      </c>
      <c r="N976" s="61" t="n">
        <f aca="false">Resumo!$C$9</f>
        <v>0</v>
      </c>
      <c r="O976" s="61" t="n">
        <f aca="false">Resumo!$C$13</f>
        <v>13.55</v>
      </c>
      <c r="P976" s="61" t="n">
        <f aca="false">Resumo!$C$14*CEILING(G976,1)</f>
        <v>9</v>
      </c>
      <c r="Q976" s="61" t="n">
        <f aca="false">SUM(I976:P976)*Resumo!$C$11</f>
        <v>0</v>
      </c>
      <c r="R976" s="61" t="n">
        <f aca="false">SUM(I976:Q976)</f>
        <v>67.999958</v>
      </c>
      <c r="S976" s="61" t="n">
        <f aca="false">R976/(1-Resumo!$C$5)</f>
        <v>77.2726795454545</v>
      </c>
      <c r="T976" s="61" t="n">
        <v>46.98</v>
      </c>
      <c r="U976" s="61" t="n">
        <f aca="false">H976*Resumo!$B$6</f>
        <v>0.39999</v>
      </c>
      <c r="V976" s="61" t="n">
        <f aca="false">H976*Resumo!$B$7</f>
        <v>0.79998</v>
      </c>
      <c r="W976" s="61" t="n">
        <f aca="false">Resumo!$B$9</f>
        <v>1</v>
      </c>
      <c r="X976" s="61" t="n">
        <f aca="false">Resumo!$B$10*CEILING(G976/100,1)</f>
        <v>4.5</v>
      </c>
      <c r="Y976" s="61" t="n">
        <f aca="false">Resumo!$B$12*CEILING(G976,1)</f>
        <v>1.2</v>
      </c>
      <c r="Z976" s="61" t="n">
        <f aca="false">Resumo!$B$14*CEILING(G976,1)</f>
        <v>9</v>
      </c>
      <c r="AA976" s="61" t="n">
        <f aca="false">SUM(T976:Z976)</f>
        <v>63.87997</v>
      </c>
      <c r="AB976" s="61" t="n">
        <f aca="false">AA976/(1-Resumo!$B$5)</f>
        <v>72.590875</v>
      </c>
      <c r="AC976" s="61" t="n">
        <f aca="false">AB976-S976</f>
        <v>-4.68180454545454</v>
      </c>
      <c r="AD976" s="62" t="n">
        <f aca="false">AB976/S976-1</f>
        <v>-0.0605880962455888</v>
      </c>
      <c r="AE976" s="60" t="str">
        <f aca="false">IF(AB976&lt;S976,"SIM","NÃO")</f>
        <v>SIM</v>
      </c>
      <c r="AF976" s="60" t="n">
        <v>2</v>
      </c>
      <c r="AG976" s="60" t="n">
        <v>5</v>
      </c>
      <c r="AH976" s="60" t="s">
        <v>382</v>
      </c>
      <c r="AI976" s="61" t="n">
        <f aca="false">(T976*(1-Painel!$C$40)+U976+V976+Painel!$C$41+Painel!$C$42*CEILING(G976/100,1)+Painel!$C$43*CEILING(G976,1)+Z976)/(1-Resumo!$B$5)</f>
        <v>49.6892840909091</v>
      </c>
      <c r="AJ976" s="60" t="str">
        <f aca="false">IF(AI976&lt;S976,"SIM","NÃO")</f>
        <v>SIM</v>
      </c>
    </row>
    <row r="977" customFormat="false" ht="15" hidden="false" customHeight="false" outlineLevel="0" collapsed="false">
      <c r="A977" s="59" t="n">
        <v>46248.3481018519</v>
      </c>
      <c r="B977" s="60" t="s">
        <v>1303</v>
      </c>
      <c r="C977" s="60" t="n">
        <v>25645250</v>
      </c>
      <c r="D977" s="60" t="s">
        <v>219</v>
      </c>
      <c r="E977" s="60" t="s">
        <v>24</v>
      </c>
      <c r="F977" s="60" t="s">
        <v>234</v>
      </c>
      <c r="G977" s="60" t="n">
        <v>36.9</v>
      </c>
      <c r="H977" s="61" t="n">
        <v>391.88</v>
      </c>
      <c r="I977" s="61" t="n">
        <v>74.97</v>
      </c>
      <c r="J977" s="61" t="n">
        <f aca="false">H977*Resumo!$C$6</f>
        <v>0</v>
      </c>
      <c r="K977" s="61" t="n">
        <f aca="false">H977*Resumo!$C$7</f>
        <v>0.822948</v>
      </c>
      <c r="L977" s="61" t="n">
        <f aca="false">H977*Resumo!$C$8</f>
        <v>0.822948</v>
      </c>
      <c r="M977" s="61" t="n">
        <f aca="false">Resumo!$C$10*CEILING(G977/100,1)</f>
        <v>1.05</v>
      </c>
      <c r="N977" s="61" t="n">
        <f aca="false">Resumo!$C$9</f>
        <v>0</v>
      </c>
      <c r="O977" s="61" t="n">
        <f aca="false">Resumo!$C$13</f>
        <v>13.55</v>
      </c>
      <c r="P977" s="61" t="n">
        <f aca="false">Resumo!$C$14*CEILING(G977,1)</f>
        <v>16.65</v>
      </c>
      <c r="Q977" s="61" t="n">
        <f aca="false">SUM(I977:P977)*Resumo!$C$11</f>
        <v>0</v>
      </c>
      <c r="R977" s="61" t="n">
        <f aca="false">SUM(I977:Q977)</f>
        <v>107.865896</v>
      </c>
      <c r="S977" s="61" t="n">
        <f aca="false">R977/(1-Resumo!$C$5)</f>
        <v>122.574881818182</v>
      </c>
      <c r="T977" s="61" t="n">
        <v>124.38</v>
      </c>
      <c r="U977" s="61" t="n">
        <f aca="false">H977*Resumo!$B$6</f>
        <v>0.39188</v>
      </c>
      <c r="V977" s="61" t="n">
        <f aca="false">H977*Resumo!$B$7</f>
        <v>0.78376</v>
      </c>
      <c r="W977" s="61" t="n">
        <f aca="false">Resumo!$B$9</f>
        <v>1</v>
      </c>
      <c r="X977" s="61" t="n">
        <f aca="false">Resumo!$B$10*CEILING(G977/100,1)</f>
        <v>4.5</v>
      </c>
      <c r="Y977" s="61" t="n">
        <f aca="false">Resumo!$B$12*CEILING(G977,1)</f>
        <v>2.22</v>
      </c>
      <c r="Z977" s="61" t="n">
        <f aca="false">Resumo!$B$14*CEILING(G977,1)</f>
        <v>16.65</v>
      </c>
      <c r="AA977" s="61" t="n">
        <f aca="false">SUM(T977:Z977)</f>
        <v>149.92564</v>
      </c>
      <c r="AB977" s="61" t="n">
        <f aca="false">AA977/(1-Resumo!$B$5)</f>
        <v>170.370045454545</v>
      </c>
      <c r="AC977" s="61" t="n">
        <f aca="false">AB977-S977</f>
        <v>47.7951636363636</v>
      </c>
      <c r="AD977" s="62" t="n">
        <f aca="false">AB977/S977-1</f>
        <v>0.389926246939069</v>
      </c>
      <c r="AE977" s="60" t="str">
        <f aca="false">IF(AB977&lt;S977,"SIM","NÃO")</f>
        <v>NÃO</v>
      </c>
      <c r="AF977" s="60" t="n">
        <v>13</v>
      </c>
      <c r="AG977" s="60" t="n">
        <v>8</v>
      </c>
      <c r="AH977" s="60" t="s">
        <v>382</v>
      </c>
      <c r="AI977" s="61" t="n">
        <f aca="false">(T977*(1-Painel!$C$40)+U977+V977+Painel!$C$41+Painel!$C$42*CEILING(G977/100,1)+Painel!$C$43*CEILING(G977,1)+Z977)/(1-Resumo!$B$5)</f>
        <v>117.284363636364</v>
      </c>
      <c r="AJ977" s="60" t="str">
        <f aca="false">IF(AI977&lt;S977,"SIM","NÃO")</f>
        <v>SIM</v>
      </c>
    </row>
    <row r="978" customFormat="false" ht="15" hidden="false" customHeight="false" outlineLevel="0" collapsed="false">
      <c r="A978" s="59" t="n">
        <v>46248.3489583333</v>
      </c>
      <c r="B978" s="60" t="s">
        <v>496</v>
      </c>
      <c r="C978" s="60" t="n">
        <v>21041030</v>
      </c>
      <c r="D978" s="60" t="s">
        <v>46</v>
      </c>
      <c r="E978" s="60" t="s">
        <v>22</v>
      </c>
      <c r="F978" s="60" t="s">
        <v>233</v>
      </c>
      <c r="G978" s="60" t="n">
        <v>22.4</v>
      </c>
      <c r="H978" s="61" t="n">
        <v>489.99</v>
      </c>
      <c r="I978" s="61" t="n">
        <v>42.11</v>
      </c>
      <c r="J978" s="61" t="n">
        <f aca="false">H978*Resumo!$C$6</f>
        <v>0</v>
      </c>
      <c r="K978" s="61" t="n">
        <f aca="false">H978*Resumo!$C$7</f>
        <v>1.028979</v>
      </c>
      <c r="L978" s="61" t="n">
        <f aca="false">H978*Resumo!$C$8</f>
        <v>1.028979</v>
      </c>
      <c r="M978" s="61" t="n">
        <f aca="false">Resumo!$C$10*CEILING(G978/100,1)</f>
        <v>1.05</v>
      </c>
      <c r="N978" s="61" t="n">
        <f aca="false">Resumo!$C$9</f>
        <v>0</v>
      </c>
      <c r="O978" s="61" t="n">
        <f aca="false">Resumo!$C$13</f>
        <v>13.55</v>
      </c>
      <c r="P978" s="61" t="n">
        <f aca="false">Resumo!$C$14*CEILING(G978,1)</f>
        <v>10.35</v>
      </c>
      <c r="Q978" s="61" t="n">
        <f aca="false">SUM(I978:P978)*Resumo!$C$11</f>
        <v>0</v>
      </c>
      <c r="R978" s="61" t="n">
        <f aca="false">SUM(I978:Q978)</f>
        <v>69.117958</v>
      </c>
      <c r="S978" s="61" t="n">
        <f aca="false">R978/(1-Resumo!$C$5)</f>
        <v>78.5431340909091</v>
      </c>
      <c r="T978" s="61" t="n">
        <v>82.21</v>
      </c>
      <c r="U978" s="61" t="n">
        <f aca="false">H978*Resumo!$B$6</f>
        <v>0.48999</v>
      </c>
      <c r="V978" s="61" t="n">
        <f aca="false">H978*Resumo!$B$7</f>
        <v>0.97998</v>
      </c>
      <c r="W978" s="61" t="n">
        <f aca="false">Resumo!$B$9</f>
        <v>1</v>
      </c>
      <c r="X978" s="61" t="n">
        <f aca="false">Resumo!$B$10*CEILING(G978/100,1)</f>
        <v>4.5</v>
      </c>
      <c r="Y978" s="61" t="n">
        <f aca="false">Resumo!$B$12*CEILING(G978,1)</f>
        <v>1.38</v>
      </c>
      <c r="Z978" s="61" t="n">
        <f aca="false">Resumo!$B$14*CEILING(G978,1)</f>
        <v>10.35</v>
      </c>
      <c r="AA978" s="61" t="n">
        <f aca="false">SUM(T978:Z978)</f>
        <v>100.90997</v>
      </c>
      <c r="AB978" s="61" t="n">
        <f aca="false">AA978/(1-Resumo!$B$5)</f>
        <v>114.670420454545</v>
      </c>
      <c r="AC978" s="61" t="n">
        <f aca="false">AB978-S978</f>
        <v>36.1272863636363</v>
      </c>
      <c r="AD978" s="62" t="n">
        <f aca="false">AB978/S978-1</f>
        <v>0.459967466052744</v>
      </c>
      <c r="AE978" s="60" t="str">
        <f aca="false">IF(AB978&lt;S978,"SIM","NÃO")</f>
        <v>NÃO</v>
      </c>
      <c r="AF978" s="60" t="n">
        <v>2</v>
      </c>
      <c r="AG978" s="60" t="n">
        <v>5</v>
      </c>
      <c r="AH978" s="60" t="s">
        <v>382</v>
      </c>
      <c r="AI978" s="61" t="n">
        <f aca="false">(T978*(1-Painel!$C$40)+U978+V978+Painel!$C$41+Painel!$C$42*CEILING(G978/100,1)+Painel!$C$43*CEILING(G978,1)+Z978)/(1-Resumo!$B$5)</f>
        <v>78.3530340909091</v>
      </c>
      <c r="AJ978" s="60" t="str">
        <f aca="false">IF(AI978&lt;S978,"SIM","NÃO")</f>
        <v>SIM</v>
      </c>
    </row>
    <row r="979" customFormat="false" ht="15" hidden="false" customHeight="false" outlineLevel="0" collapsed="false">
      <c r="A979" s="59" t="n">
        <v>46248.3683912037</v>
      </c>
      <c r="B979" s="60" t="s">
        <v>1304</v>
      </c>
      <c r="C979" s="60" t="n">
        <v>28909460</v>
      </c>
      <c r="D979" s="60" t="s">
        <v>221</v>
      </c>
      <c r="E979" s="60" t="s">
        <v>24</v>
      </c>
      <c r="F979" s="60" t="s">
        <v>235</v>
      </c>
      <c r="G979" s="60" t="n">
        <v>41.4</v>
      </c>
      <c r="H979" s="61" t="n">
        <v>449.99</v>
      </c>
      <c r="I979" s="61" t="n">
        <v>77.7</v>
      </c>
      <c r="J979" s="61" t="n">
        <f aca="false">H979*Resumo!$C$6</f>
        <v>0</v>
      </c>
      <c r="K979" s="61" t="n">
        <f aca="false">H979*Resumo!$C$7</f>
        <v>0.944979</v>
      </c>
      <c r="L979" s="61" t="n">
        <f aca="false">H979*Resumo!$C$8</f>
        <v>0.944979</v>
      </c>
      <c r="M979" s="61" t="n">
        <f aca="false">Resumo!$C$10*CEILING(G979/100,1)</f>
        <v>1.05</v>
      </c>
      <c r="N979" s="61" t="n">
        <f aca="false">Resumo!$C$9</f>
        <v>0</v>
      </c>
      <c r="O979" s="61" t="n">
        <f aca="false">Resumo!$C$13</f>
        <v>13.55</v>
      </c>
      <c r="P979" s="61" t="n">
        <f aca="false">Resumo!$C$14*CEILING(G979,1)</f>
        <v>18.9</v>
      </c>
      <c r="Q979" s="61" t="n">
        <f aca="false">SUM(I979:P979)*Resumo!$C$11</f>
        <v>0</v>
      </c>
      <c r="R979" s="61" t="n">
        <f aca="false">SUM(I979:Q979)</f>
        <v>113.089958</v>
      </c>
      <c r="S979" s="61" t="n">
        <f aca="false">R979/(1-Resumo!$C$5)</f>
        <v>128.511315909091</v>
      </c>
      <c r="T979" s="61" t="n">
        <v>129.29</v>
      </c>
      <c r="U979" s="61" t="n">
        <f aca="false">H979*Resumo!$B$6</f>
        <v>0.44999</v>
      </c>
      <c r="V979" s="61" t="n">
        <f aca="false">H979*Resumo!$B$7</f>
        <v>0.89998</v>
      </c>
      <c r="W979" s="61" t="n">
        <f aca="false">Resumo!$B$9</f>
        <v>1</v>
      </c>
      <c r="X979" s="61" t="n">
        <f aca="false">Resumo!$B$10*CEILING(G979/100,1)</f>
        <v>4.5</v>
      </c>
      <c r="Y979" s="61" t="n">
        <f aca="false">Resumo!$B$12*CEILING(G979,1)</f>
        <v>2.52</v>
      </c>
      <c r="Z979" s="61" t="n">
        <f aca="false">Resumo!$B$14*CEILING(G979,1)</f>
        <v>18.9</v>
      </c>
      <c r="AA979" s="61" t="n">
        <f aca="false">SUM(T979:Z979)</f>
        <v>157.55997</v>
      </c>
      <c r="AB979" s="61" t="n">
        <f aca="false">AA979/(1-Resumo!$B$5)</f>
        <v>179.045420454545</v>
      </c>
      <c r="AC979" s="61" t="n">
        <f aca="false">AB979-S979</f>
        <v>50.5341045454545</v>
      </c>
      <c r="AD979" s="62" t="n">
        <f aca="false">AB979/S979-1</f>
        <v>0.393226885803601</v>
      </c>
      <c r="AE979" s="60" t="str">
        <f aca="false">IF(AB979&lt;S979,"SIM","NÃO")</f>
        <v>NÃO</v>
      </c>
      <c r="AF979" s="60" t="n">
        <v>13</v>
      </c>
      <c r="AG979" s="60" t="n">
        <v>10</v>
      </c>
      <c r="AH979" s="60" t="s">
        <v>382</v>
      </c>
      <c r="AI979" s="61" t="n">
        <f aca="false">(T979*(1-Painel!$C$40)+U979+V979+Painel!$C$41+Painel!$C$42*CEILING(G979/100,1)+Painel!$C$43*CEILING(G979,1)+Z979)/(1-Resumo!$B$5)</f>
        <v>123.777579545455</v>
      </c>
      <c r="AJ979" s="60" t="str">
        <f aca="false">IF(AI979&lt;S979,"SIM","NÃO")</f>
        <v>SIM</v>
      </c>
    </row>
    <row r="980" customFormat="false" ht="15" hidden="false" customHeight="false" outlineLevel="0" collapsed="false">
      <c r="A980" s="59" t="n">
        <v>46248.3989467593</v>
      </c>
      <c r="B980" s="60" t="s">
        <v>1305</v>
      </c>
      <c r="C980" s="60" t="n">
        <v>26510040</v>
      </c>
      <c r="D980" s="60" t="s">
        <v>284</v>
      </c>
      <c r="E980" s="60" t="s">
        <v>23</v>
      </c>
      <c r="F980" s="60" t="s">
        <v>234</v>
      </c>
      <c r="G980" s="60" t="n">
        <v>37.6</v>
      </c>
      <c r="H980" s="61" t="n">
        <v>391.05</v>
      </c>
      <c r="I980" s="61" t="n">
        <v>66.83</v>
      </c>
      <c r="J980" s="61" t="n">
        <f aca="false">H980*Resumo!$C$6</f>
        <v>0</v>
      </c>
      <c r="K980" s="61" t="n">
        <f aca="false">H980*Resumo!$C$7</f>
        <v>0.821205</v>
      </c>
      <c r="L980" s="61" t="n">
        <f aca="false">H980*Resumo!$C$8</f>
        <v>0.821205</v>
      </c>
      <c r="M980" s="61" t="n">
        <f aca="false">Resumo!$C$10*CEILING(G980/100,1)</f>
        <v>1.05</v>
      </c>
      <c r="N980" s="61" t="n">
        <f aca="false">Resumo!$C$9</f>
        <v>0</v>
      </c>
      <c r="O980" s="61" t="n">
        <f aca="false">Resumo!$C$13</f>
        <v>13.55</v>
      </c>
      <c r="P980" s="61" t="n">
        <f aca="false">Resumo!$C$14*CEILING(G980,1)</f>
        <v>17.1</v>
      </c>
      <c r="Q980" s="61" t="n">
        <f aca="false">SUM(I980:P980)*Resumo!$C$11</f>
        <v>0</v>
      </c>
      <c r="R980" s="61" t="n">
        <f aca="false">SUM(I980:Q980)</f>
        <v>100.17241</v>
      </c>
      <c r="S980" s="61" t="n">
        <f aca="false">R980/(1-Resumo!$C$5)</f>
        <v>113.832284090909</v>
      </c>
      <c r="T980" s="61" t="n">
        <v>93.97</v>
      </c>
      <c r="U980" s="61" t="n">
        <f aca="false">H980*Resumo!$B$6</f>
        <v>0.39105</v>
      </c>
      <c r="V980" s="61" t="n">
        <f aca="false">H980*Resumo!$B$7</f>
        <v>0.7821</v>
      </c>
      <c r="W980" s="61" t="n">
        <f aca="false">Resumo!$B$9</f>
        <v>1</v>
      </c>
      <c r="X980" s="61" t="n">
        <f aca="false">Resumo!$B$10*CEILING(G980/100,1)</f>
        <v>4.5</v>
      </c>
      <c r="Y980" s="61" t="n">
        <f aca="false">Resumo!$B$12*CEILING(G980,1)</f>
        <v>2.28</v>
      </c>
      <c r="Z980" s="61" t="n">
        <f aca="false">Resumo!$B$14*CEILING(G980,1)</f>
        <v>17.1</v>
      </c>
      <c r="AA980" s="61" t="n">
        <f aca="false">SUM(T980:Z980)</f>
        <v>120.02315</v>
      </c>
      <c r="AB980" s="61" t="n">
        <f aca="false">AA980/(1-Resumo!$B$5)</f>
        <v>136.389943181818</v>
      </c>
      <c r="AC980" s="61" t="n">
        <f aca="false">AB980-S980</f>
        <v>22.557659090909</v>
      </c>
      <c r="AD980" s="62" t="n">
        <f aca="false">AB980/S980-1</f>
        <v>0.198165742443453</v>
      </c>
      <c r="AE980" s="60" t="str">
        <f aca="false">IF(AB980&lt;S980,"SIM","NÃO")</f>
        <v>NÃO</v>
      </c>
      <c r="AF980" s="60" t="n">
        <v>2</v>
      </c>
      <c r="AG980" s="60" t="n">
        <v>5</v>
      </c>
      <c r="AH980" s="60" t="s">
        <v>385</v>
      </c>
      <c r="AI980" s="61" t="n">
        <f aca="false">(T980*(1-Painel!$C$40)+U980+V980+Painel!$C$41+Painel!$C$42*CEILING(G980/100,1)+Painel!$C$43*CEILING(G980,1)+Z980)/(1-Resumo!$B$5)</f>
        <v>94.6398295454546</v>
      </c>
      <c r="AJ980" s="60" t="str">
        <f aca="false">IF(AI980&lt;S980,"SIM","NÃO")</f>
        <v>SIM</v>
      </c>
    </row>
    <row r="981" customFormat="false" ht="15" hidden="false" customHeight="false" outlineLevel="0" collapsed="false">
      <c r="A981" s="59" t="n">
        <v>46248.4164351852</v>
      </c>
      <c r="B981" s="60" t="s">
        <v>1054</v>
      </c>
      <c r="C981" s="60" t="n">
        <v>22783124</v>
      </c>
      <c r="D981" s="60" t="s">
        <v>46</v>
      </c>
      <c r="E981" s="60" t="s">
        <v>22</v>
      </c>
      <c r="F981" s="60" t="s">
        <v>236</v>
      </c>
      <c r="G981" s="60" t="n">
        <v>52.3</v>
      </c>
      <c r="H981" s="61" t="n">
        <v>699.99</v>
      </c>
      <c r="I981" s="61" t="n">
        <v>58.6</v>
      </c>
      <c r="J981" s="61" t="n">
        <f aca="false">H981*Resumo!$C$6</f>
        <v>0</v>
      </c>
      <c r="K981" s="61" t="n">
        <f aca="false">H981*Resumo!$C$7</f>
        <v>1.469979</v>
      </c>
      <c r="L981" s="61" t="n">
        <f aca="false">H981*Resumo!$C$8</f>
        <v>1.469979</v>
      </c>
      <c r="M981" s="61" t="n">
        <f aca="false">Resumo!$C$10*CEILING(G981/100,1)</f>
        <v>1.05</v>
      </c>
      <c r="N981" s="61" t="n">
        <f aca="false">Resumo!$C$9</f>
        <v>0</v>
      </c>
      <c r="O981" s="61" t="n">
        <f aca="false">Resumo!$C$13</f>
        <v>13.55</v>
      </c>
      <c r="P981" s="61" t="n">
        <f aca="false">Resumo!$C$14*CEILING(G981,1)</f>
        <v>23.85</v>
      </c>
      <c r="Q981" s="61" t="n">
        <f aca="false">SUM(I981:P981)*Resumo!$C$11</f>
        <v>0</v>
      </c>
      <c r="R981" s="61" t="n">
        <f aca="false">SUM(I981:Q981)</f>
        <v>99.989958</v>
      </c>
      <c r="S981" s="61" t="n">
        <f aca="false">R981/(1-Resumo!$C$5)</f>
        <v>113.624952272727</v>
      </c>
      <c r="T981" s="61" t="n">
        <v>112.3</v>
      </c>
      <c r="U981" s="61" t="n">
        <f aca="false">H981*Resumo!$B$6</f>
        <v>0.69999</v>
      </c>
      <c r="V981" s="61" t="n">
        <f aca="false">H981*Resumo!$B$7</f>
        <v>1.39998</v>
      </c>
      <c r="W981" s="61" t="n">
        <f aca="false">Resumo!$B$9</f>
        <v>1</v>
      </c>
      <c r="X981" s="61" t="n">
        <f aca="false">Resumo!$B$10*CEILING(G981/100,1)</f>
        <v>4.5</v>
      </c>
      <c r="Y981" s="61" t="n">
        <f aca="false">Resumo!$B$12*CEILING(G981,1)</f>
        <v>3.18</v>
      </c>
      <c r="Z981" s="61" t="n">
        <f aca="false">Resumo!$B$14*CEILING(G981,1)</f>
        <v>23.85</v>
      </c>
      <c r="AA981" s="61" t="n">
        <f aca="false">SUM(T981:Z981)</f>
        <v>146.92997</v>
      </c>
      <c r="AB981" s="61" t="n">
        <f aca="false">AA981/(1-Resumo!$B$5)</f>
        <v>166.965875</v>
      </c>
      <c r="AC981" s="61" t="n">
        <f aca="false">AB981-S981</f>
        <v>53.3409227272727</v>
      </c>
      <c r="AD981" s="62" t="n">
        <f aca="false">AB981/S981-1</f>
        <v>0.469447261894039</v>
      </c>
      <c r="AE981" s="60" t="str">
        <f aca="false">IF(AB981&lt;S981,"SIM","NÃO")</f>
        <v>NÃO</v>
      </c>
      <c r="AF981" s="60" t="n">
        <v>2</v>
      </c>
      <c r="AG981" s="60" t="n">
        <v>5</v>
      </c>
      <c r="AH981" s="60" t="s">
        <v>382</v>
      </c>
      <c r="AI981" s="61" t="n">
        <f aca="false">(T981*(1-Painel!$C$40)+U981+V981+Painel!$C$41+Painel!$C$42*CEILING(G981/100,1)+Painel!$C$43*CEILING(G981,1)+Z981)/(1-Resumo!$B$5)</f>
        <v>117.319284090909</v>
      </c>
      <c r="AJ981" s="60" t="str">
        <f aca="false">IF(AI981&lt;S981,"SIM","NÃO")</f>
        <v>NÃO</v>
      </c>
    </row>
    <row r="982" customFormat="false" ht="15" hidden="false" customHeight="false" outlineLevel="0" collapsed="false">
      <c r="A982" s="59" t="n">
        <v>46248.4182523148</v>
      </c>
      <c r="B982" s="60" t="s">
        <v>1306</v>
      </c>
      <c r="C982" s="60" t="n">
        <v>26087095</v>
      </c>
      <c r="D982" s="60" t="s">
        <v>49</v>
      </c>
      <c r="E982" s="60" t="s">
        <v>23</v>
      </c>
      <c r="F982" s="60" t="s">
        <v>237</v>
      </c>
      <c r="G982" s="60" t="n">
        <v>63.9</v>
      </c>
      <c r="H982" s="61" t="n">
        <v>753.78</v>
      </c>
      <c r="I982" s="61" t="n">
        <v>76.55</v>
      </c>
      <c r="J982" s="61" t="n">
        <f aca="false">H982*Resumo!$C$6</f>
        <v>0</v>
      </c>
      <c r="K982" s="61" t="n">
        <f aca="false">H982*Resumo!$C$7</f>
        <v>1.582938</v>
      </c>
      <c r="L982" s="61" t="n">
        <f aca="false">H982*Resumo!$C$8</f>
        <v>1.582938</v>
      </c>
      <c r="M982" s="61" t="n">
        <f aca="false">Resumo!$C$10*CEILING(G982/100,1)</f>
        <v>1.05</v>
      </c>
      <c r="N982" s="61" t="n">
        <f aca="false">Resumo!$C$9</f>
        <v>0</v>
      </c>
      <c r="O982" s="61" t="n">
        <f aca="false">Resumo!$C$13</f>
        <v>13.55</v>
      </c>
      <c r="P982" s="61" t="n">
        <f aca="false">Resumo!$C$14*CEILING(G982,1)</f>
        <v>28.8</v>
      </c>
      <c r="Q982" s="61" t="n">
        <f aca="false">SUM(I982:P982)*Resumo!$C$11</f>
        <v>0</v>
      </c>
      <c r="R982" s="61" t="n">
        <f aca="false">SUM(I982:Q982)</f>
        <v>123.115876</v>
      </c>
      <c r="S982" s="61" t="n">
        <f aca="false">R982/(1-Resumo!$C$5)</f>
        <v>139.904404545455</v>
      </c>
      <c r="T982" s="61" t="n">
        <v>131.02</v>
      </c>
      <c r="U982" s="61" t="n">
        <f aca="false">H982*Resumo!$B$6</f>
        <v>0.75378</v>
      </c>
      <c r="V982" s="61" t="n">
        <f aca="false">H982*Resumo!$B$7</f>
        <v>1.50756</v>
      </c>
      <c r="W982" s="61" t="n">
        <f aca="false">Resumo!$B$9</f>
        <v>1</v>
      </c>
      <c r="X982" s="61" t="n">
        <f aca="false">Resumo!$B$10*CEILING(G982/100,1)</f>
        <v>4.5</v>
      </c>
      <c r="Y982" s="61" t="n">
        <f aca="false">Resumo!$B$12*CEILING(G982,1)</f>
        <v>3.84</v>
      </c>
      <c r="Z982" s="61" t="n">
        <f aca="false">Resumo!$B$14*CEILING(G982,1)</f>
        <v>28.8</v>
      </c>
      <c r="AA982" s="61" t="n">
        <f aca="false">SUM(T982:Z982)</f>
        <v>171.42134</v>
      </c>
      <c r="AB982" s="61" t="n">
        <f aca="false">AA982/(1-Resumo!$B$5)</f>
        <v>194.796977272727</v>
      </c>
      <c r="AC982" s="61" t="n">
        <f aca="false">AB982-S982</f>
        <v>54.8925727272727</v>
      </c>
      <c r="AD982" s="62" t="n">
        <f aca="false">AB982/S982-1</f>
        <v>0.392357716725339</v>
      </c>
      <c r="AE982" s="60" t="str">
        <f aca="false">IF(AB982&lt;S982,"SIM","NÃO")</f>
        <v>NÃO</v>
      </c>
      <c r="AF982" s="60" t="n">
        <v>2</v>
      </c>
      <c r="AG982" s="60" t="n">
        <v>5</v>
      </c>
      <c r="AH982" s="60" t="s">
        <v>382</v>
      </c>
      <c r="AI982" s="61" t="n">
        <f aca="false">(T982*(1-Painel!$C$40)+U982+V982+Painel!$C$41+Painel!$C$42*CEILING(G982/100,1)+Painel!$C$43*CEILING(G982,1)+Z982)/(1-Resumo!$B$5)</f>
        <v>137.380386363636</v>
      </c>
      <c r="AJ982" s="60" t="str">
        <f aca="false">IF(AI982&lt;S982,"SIM","NÃO")</f>
        <v>SIM</v>
      </c>
    </row>
    <row r="983" customFormat="false" ht="15" hidden="false" customHeight="false" outlineLevel="0" collapsed="false">
      <c r="A983" s="59" t="n">
        <v>46248.4437152778</v>
      </c>
      <c r="B983" s="60" t="s">
        <v>1307</v>
      </c>
      <c r="C983" s="60" t="n">
        <v>23595290</v>
      </c>
      <c r="D983" s="60" t="s">
        <v>46</v>
      </c>
      <c r="E983" s="60" t="s">
        <v>22</v>
      </c>
      <c r="F983" s="60" t="s">
        <v>236</v>
      </c>
      <c r="G983" s="60" t="n">
        <v>52.3</v>
      </c>
      <c r="H983" s="61" t="n">
        <v>699.99</v>
      </c>
      <c r="I983" s="61" t="n">
        <v>58.6</v>
      </c>
      <c r="J983" s="61" t="n">
        <f aca="false">H983*Resumo!$C$6</f>
        <v>0</v>
      </c>
      <c r="K983" s="61" t="n">
        <f aca="false">H983*Resumo!$C$7</f>
        <v>1.469979</v>
      </c>
      <c r="L983" s="61" t="n">
        <f aca="false">H983*Resumo!$C$8</f>
        <v>1.469979</v>
      </c>
      <c r="M983" s="61" t="n">
        <f aca="false">Resumo!$C$10*CEILING(G983/100,1)</f>
        <v>1.05</v>
      </c>
      <c r="N983" s="61" t="n">
        <f aca="false">Resumo!$C$9</f>
        <v>0</v>
      </c>
      <c r="O983" s="61" t="n">
        <f aca="false">Resumo!$C$13</f>
        <v>13.55</v>
      </c>
      <c r="P983" s="61" t="n">
        <f aca="false">Resumo!$C$14*CEILING(G983,1)</f>
        <v>23.85</v>
      </c>
      <c r="Q983" s="61" t="n">
        <f aca="false">SUM(I983:P983)*Resumo!$C$11</f>
        <v>0</v>
      </c>
      <c r="R983" s="61" t="n">
        <f aca="false">SUM(I983:Q983)</f>
        <v>99.989958</v>
      </c>
      <c r="S983" s="61" t="n">
        <f aca="false">R983/(1-Resumo!$C$5)</f>
        <v>113.624952272727</v>
      </c>
      <c r="T983" s="61" t="n">
        <v>112.3</v>
      </c>
      <c r="U983" s="61" t="n">
        <f aca="false">H983*Resumo!$B$6</f>
        <v>0.69999</v>
      </c>
      <c r="V983" s="61" t="n">
        <f aca="false">H983*Resumo!$B$7</f>
        <v>1.39998</v>
      </c>
      <c r="W983" s="61" t="n">
        <f aca="false">Resumo!$B$9</f>
        <v>1</v>
      </c>
      <c r="X983" s="61" t="n">
        <f aca="false">Resumo!$B$10*CEILING(G983/100,1)</f>
        <v>4.5</v>
      </c>
      <c r="Y983" s="61" t="n">
        <f aca="false">Resumo!$B$12*CEILING(G983,1)</f>
        <v>3.18</v>
      </c>
      <c r="Z983" s="61" t="n">
        <f aca="false">Resumo!$B$14*CEILING(G983,1)</f>
        <v>23.85</v>
      </c>
      <c r="AA983" s="61" t="n">
        <f aca="false">SUM(T983:Z983)</f>
        <v>146.92997</v>
      </c>
      <c r="AB983" s="61" t="n">
        <f aca="false">AA983/(1-Resumo!$B$5)</f>
        <v>166.965875</v>
      </c>
      <c r="AC983" s="61" t="n">
        <f aca="false">AB983-S983</f>
        <v>53.3409227272727</v>
      </c>
      <c r="AD983" s="62" t="n">
        <f aca="false">AB983/S983-1</f>
        <v>0.469447261894039</v>
      </c>
      <c r="AE983" s="60" t="str">
        <f aca="false">IF(AB983&lt;S983,"SIM","NÃO")</f>
        <v>NÃO</v>
      </c>
      <c r="AF983" s="60" t="n">
        <v>2</v>
      </c>
      <c r="AG983" s="60" t="n">
        <v>5</v>
      </c>
      <c r="AH983" s="60" t="s">
        <v>382</v>
      </c>
      <c r="AI983" s="61" t="n">
        <f aca="false">(T983*(1-Painel!$C$40)+U983+V983+Painel!$C$41+Painel!$C$42*CEILING(G983/100,1)+Painel!$C$43*CEILING(G983,1)+Z983)/(1-Resumo!$B$5)</f>
        <v>117.319284090909</v>
      </c>
      <c r="AJ983" s="60" t="str">
        <f aca="false">IF(AI983&lt;S983,"SIM","NÃO")</f>
        <v>NÃO</v>
      </c>
    </row>
    <row r="984" customFormat="false" ht="15" hidden="false" customHeight="false" outlineLevel="0" collapsed="false">
      <c r="A984" s="59" t="n">
        <v>46248.4835532407</v>
      </c>
      <c r="B984" s="60" t="s">
        <v>1308</v>
      </c>
      <c r="C984" s="60" t="n">
        <v>21210002</v>
      </c>
      <c r="D984" s="60" t="s">
        <v>46</v>
      </c>
      <c r="E984" s="60" t="s">
        <v>22</v>
      </c>
      <c r="F984" s="60" t="s">
        <v>236</v>
      </c>
      <c r="G984" s="60" t="n">
        <v>53.5</v>
      </c>
      <c r="H984" s="61" t="n">
        <v>582.96</v>
      </c>
      <c r="I984" s="61" t="n">
        <v>58.6</v>
      </c>
      <c r="J984" s="61" t="n">
        <f aca="false">H984*Resumo!$C$6</f>
        <v>0</v>
      </c>
      <c r="K984" s="61" t="n">
        <f aca="false">H984*Resumo!$C$7</f>
        <v>1.224216</v>
      </c>
      <c r="L984" s="61" t="n">
        <f aca="false">H984*Resumo!$C$8</f>
        <v>1.224216</v>
      </c>
      <c r="M984" s="61" t="n">
        <f aca="false">Resumo!$C$10*CEILING(G984/100,1)</f>
        <v>1.05</v>
      </c>
      <c r="N984" s="61" t="n">
        <f aca="false">Resumo!$C$9</f>
        <v>0</v>
      </c>
      <c r="O984" s="61" t="n">
        <f aca="false">Resumo!$C$13</f>
        <v>13.55</v>
      </c>
      <c r="P984" s="61" t="n">
        <f aca="false">Resumo!$C$14*CEILING(G984,1)</f>
        <v>24.3</v>
      </c>
      <c r="Q984" s="61" t="n">
        <f aca="false">SUM(I984:P984)*Resumo!$C$11</f>
        <v>0</v>
      </c>
      <c r="R984" s="61" t="n">
        <f aca="false">SUM(I984:Q984)</f>
        <v>99.948432</v>
      </c>
      <c r="S984" s="61" t="n">
        <f aca="false">R984/(1-Resumo!$C$5)</f>
        <v>113.577763636364</v>
      </c>
      <c r="T984" s="61" t="n">
        <v>112.3</v>
      </c>
      <c r="U984" s="61" t="n">
        <f aca="false">H984*Resumo!$B$6</f>
        <v>0.58296</v>
      </c>
      <c r="V984" s="61" t="n">
        <f aca="false">H984*Resumo!$B$7</f>
        <v>1.16592</v>
      </c>
      <c r="W984" s="61" t="n">
        <f aca="false">Resumo!$B$9</f>
        <v>1</v>
      </c>
      <c r="X984" s="61" t="n">
        <f aca="false">Resumo!$B$10*CEILING(G984/100,1)</f>
        <v>4.5</v>
      </c>
      <c r="Y984" s="61" t="n">
        <f aca="false">Resumo!$B$12*CEILING(G984,1)</f>
        <v>3.24</v>
      </c>
      <c r="Z984" s="61" t="n">
        <f aca="false">Resumo!$B$14*CEILING(G984,1)</f>
        <v>24.3</v>
      </c>
      <c r="AA984" s="61" t="n">
        <f aca="false">SUM(T984:Z984)</f>
        <v>147.08888</v>
      </c>
      <c r="AB984" s="61" t="n">
        <f aca="false">AA984/(1-Resumo!$B$5)</f>
        <v>167.146454545455</v>
      </c>
      <c r="AC984" s="61" t="n">
        <f aca="false">AB984-S984</f>
        <v>53.5686909090909</v>
      </c>
      <c r="AD984" s="62" t="n">
        <f aca="false">AB984/S984-1</f>
        <v>0.471647699285568</v>
      </c>
      <c r="AE984" s="60" t="str">
        <f aca="false">IF(AB984&lt;S984,"SIM","NÃO")</f>
        <v>NÃO</v>
      </c>
      <c r="AF984" s="60" t="n">
        <v>2</v>
      </c>
      <c r="AG984" s="60" t="n">
        <v>5</v>
      </c>
      <c r="AH984" s="60" t="s">
        <v>382</v>
      </c>
      <c r="AI984" s="61" t="n">
        <f aca="false">(T984*(1-Painel!$C$40)+U984+V984+Painel!$C$41+Painel!$C$42*CEILING(G984/100,1)+Painel!$C$43*CEILING(G984,1)+Z984)/(1-Resumo!$B$5)</f>
        <v>117.431681818182</v>
      </c>
      <c r="AJ984" s="60" t="str">
        <f aca="false">IF(AI984&lt;S984,"SIM","NÃO")</f>
        <v>NÃO</v>
      </c>
    </row>
    <row r="985" customFormat="false" ht="15" hidden="false" customHeight="false" outlineLevel="0" collapsed="false">
      <c r="A985" s="59" t="n">
        <v>46248.4919212963</v>
      </c>
      <c r="B985" s="60" t="s">
        <v>1309</v>
      </c>
      <c r="C985" s="60" t="n">
        <v>27580180</v>
      </c>
      <c r="D985" s="60" t="s">
        <v>298</v>
      </c>
      <c r="E985" s="60" t="s">
        <v>24</v>
      </c>
      <c r="F985" s="60" t="s">
        <v>237</v>
      </c>
      <c r="G985" s="60" t="n">
        <v>69.45</v>
      </c>
      <c r="H985" s="61" t="n">
        <v>859.99</v>
      </c>
      <c r="I985" s="61" t="n">
        <v>90.2</v>
      </c>
      <c r="J985" s="61" t="n">
        <f aca="false">H985*Resumo!$C$6</f>
        <v>0</v>
      </c>
      <c r="K985" s="61" t="n">
        <f aca="false">H985*Resumo!$C$7</f>
        <v>1.805979</v>
      </c>
      <c r="L985" s="61" t="n">
        <f aca="false">H985*Resumo!$C$8</f>
        <v>1.805979</v>
      </c>
      <c r="M985" s="61" t="n">
        <f aca="false">Resumo!$C$10*CEILING(G985/100,1)</f>
        <v>1.05</v>
      </c>
      <c r="N985" s="61" t="n">
        <f aca="false">Resumo!$C$9</f>
        <v>0</v>
      </c>
      <c r="O985" s="61" t="n">
        <f aca="false">Resumo!$C$13</f>
        <v>13.55</v>
      </c>
      <c r="P985" s="61" t="n">
        <f aca="false">Resumo!$C$14*CEILING(G985,1)</f>
        <v>31.5</v>
      </c>
      <c r="Q985" s="61" t="n">
        <f aca="false">SUM(I985:P985)*Resumo!$C$11</f>
        <v>0</v>
      </c>
      <c r="R985" s="61" t="n">
        <f aca="false">SUM(I985:Q985)</f>
        <v>139.911958</v>
      </c>
      <c r="S985" s="61" t="n">
        <f aca="false">R985/(1-Resumo!$C$5)</f>
        <v>158.990861363636</v>
      </c>
      <c r="T985" s="61" t="n">
        <v>166.05</v>
      </c>
      <c r="U985" s="61" t="n">
        <f aca="false">H985*Resumo!$B$6</f>
        <v>0.85999</v>
      </c>
      <c r="V985" s="61" t="n">
        <f aca="false">H985*Resumo!$B$7</f>
        <v>1.71998</v>
      </c>
      <c r="W985" s="61" t="n">
        <f aca="false">Resumo!$B$9</f>
        <v>1</v>
      </c>
      <c r="X985" s="61" t="n">
        <f aca="false">Resumo!$B$10*CEILING(G985/100,1)</f>
        <v>4.5</v>
      </c>
      <c r="Y985" s="61" t="n">
        <f aca="false">Resumo!$B$12*CEILING(G985,1)</f>
        <v>4.2</v>
      </c>
      <c r="Z985" s="61" t="n">
        <f aca="false">Resumo!$B$14*CEILING(G985,1)</f>
        <v>31.5</v>
      </c>
      <c r="AA985" s="61" t="n">
        <f aca="false">SUM(T985:Z985)</f>
        <v>209.82997</v>
      </c>
      <c r="AB985" s="61" t="n">
        <f aca="false">AA985/(1-Resumo!$B$5)</f>
        <v>238.443147727273</v>
      </c>
      <c r="AC985" s="61" t="n">
        <f aca="false">AB985-S985</f>
        <v>79.4522863636364</v>
      </c>
      <c r="AD985" s="62" t="n">
        <f aca="false">AB985/S985-1</f>
        <v>0.499728636490099</v>
      </c>
      <c r="AE985" s="60" t="str">
        <f aca="false">IF(AB985&lt;S985,"SIM","NÃO")</f>
        <v>NÃO</v>
      </c>
      <c r="AF985" s="60" t="n">
        <v>13</v>
      </c>
      <c r="AG985" s="60" t="n">
        <v>10</v>
      </c>
      <c r="AH985" s="60" t="s">
        <v>385</v>
      </c>
      <c r="AI985" s="61" t="n">
        <f aca="false">(T985*(1-Painel!$C$40)+U985+V985+Painel!$C$41+Painel!$C$42*CEILING(G985/100,1)+Painel!$C$43*CEILING(G985,1)+Z985)/(1-Resumo!$B$5)</f>
        <v>167.481215909091</v>
      </c>
      <c r="AJ985" s="60" t="str">
        <f aca="false">IF(AI985&lt;S985,"SIM","NÃO")</f>
        <v>NÃO</v>
      </c>
    </row>
    <row r="986" customFormat="false" ht="15" hidden="false" customHeight="false" outlineLevel="0" collapsed="false">
      <c r="A986" s="59" t="n">
        <v>46248.4941319445</v>
      </c>
      <c r="B986" s="60" t="s">
        <v>1310</v>
      </c>
      <c r="C986" s="60" t="n">
        <v>21020160</v>
      </c>
      <c r="D986" s="60" t="s">
        <v>46</v>
      </c>
      <c r="E986" s="60" t="s">
        <v>22</v>
      </c>
      <c r="F986" s="60" t="s">
        <v>233</v>
      </c>
      <c r="G986" s="60" t="n">
        <v>33</v>
      </c>
      <c r="H986" s="61" t="n">
        <v>459.99</v>
      </c>
      <c r="I986" s="61" t="n">
        <v>42.11</v>
      </c>
      <c r="J986" s="61" t="n">
        <f aca="false">H986*Resumo!$C$6</f>
        <v>0</v>
      </c>
      <c r="K986" s="61" t="n">
        <f aca="false">H986*Resumo!$C$7</f>
        <v>0.965979</v>
      </c>
      <c r="L986" s="61" t="n">
        <f aca="false">H986*Resumo!$C$8</f>
        <v>0.965979</v>
      </c>
      <c r="M986" s="61" t="n">
        <f aca="false">Resumo!$C$10*CEILING(G986/100,1)</f>
        <v>1.05</v>
      </c>
      <c r="N986" s="61" t="n">
        <f aca="false">Resumo!$C$9</f>
        <v>0</v>
      </c>
      <c r="O986" s="61" t="n">
        <f aca="false">Resumo!$C$13</f>
        <v>13.55</v>
      </c>
      <c r="P986" s="61" t="n">
        <f aca="false">Resumo!$C$14*CEILING(G986,1)</f>
        <v>14.85</v>
      </c>
      <c r="Q986" s="61" t="n">
        <f aca="false">SUM(I986:P986)*Resumo!$C$11</f>
        <v>0</v>
      </c>
      <c r="R986" s="61" t="n">
        <f aca="false">SUM(I986:Q986)</f>
        <v>73.491958</v>
      </c>
      <c r="S986" s="61" t="n">
        <f aca="false">R986/(1-Resumo!$C$5)</f>
        <v>83.5135886363636</v>
      </c>
      <c r="T986" s="61" t="n">
        <v>82.21</v>
      </c>
      <c r="U986" s="61" t="n">
        <f aca="false">H986*Resumo!$B$6</f>
        <v>0.45999</v>
      </c>
      <c r="V986" s="61" t="n">
        <f aca="false">H986*Resumo!$B$7</f>
        <v>0.91998</v>
      </c>
      <c r="W986" s="61" t="n">
        <f aca="false">Resumo!$B$9</f>
        <v>1</v>
      </c>
      <c r="X986" s="61" t="n">
        <f aca="false">Resumo!$B$10*CEILING(G986/100,1)</f>
        <v>4.5</v>
      </c>
      <c r="Y986" s="61" t="n">
        <f aca="false">Resumo!$B$12*CEILING(G986,1)</f>
        <v>1.98</v>
      </c>
      <c r="Z986" s="61" t="n">
        <f aca="false">Resumo!$B$14*CEILING(G986,1)</f>
        <v>14.85</v>
      </c>
      <c r="AA986" s="61" t="n">
        <f aca="false">SUM(T986:Z986)</f>
        <v>105.91997</v>
      </c>
      <c r="AB986" s="61" t="n">
        <f aca="false">AA986/(1-Resumo!$B$5)</f>
        <v>120.363602272727</v>
      </c>
      <c r="AC986" s="61" t="n">
        <f aca="false">AB986-S986</f>
        <v>36.8500136363636</v>
      </c>
      <c r="AD986" s="62" t="n">
        <f aca="false">AB986/S986-1</f>
        <v>0.441245721062432</v>
      </c>
      <c r="AE986" s="60" t="str">
        <f aca="false">IF(AB986&lt;S986,"SIM","NÃO")</f>
        <v>NÃO</v>
      </c>
      <c r="AF986" s="60" t="n">
        <v>2</v>
      </c>
      <c r="AG986" s="60" t="n">
        <v>5</v>
      </c>
      <c r="AH986" s="60" t="s">
        <v>382</v>
      </c>
      <c r="AI986" s="61" t="n">
        <f aca="false">(T986*(1-Painel!$C$40)+U986+V986+Painel!$C$41+Painel!$C$42*CEILING(G986/100,1)+Painel!$C$43*CEILING(G986,1)+Z986)/(1-Resumo!$B$5)</f>
        <v>83.3643977272727</v>
      </c>
      <c r="AJ986" s="60" t="str">
        <f aca="false">IF(AI986&lt;S986,"SIM","NÃO")</f>
        <v>SIM</v>
      </c>
    </row>
    <row r="987" customFormat="false" ht="15" hidden="false" customHeight="false" outlineLevel="0" collapsed="false">
      <c r="A987" s="59" t="n">
        <v>46248.49875</v>
      </c>
      <c r="B987" s="60" t="s">
        <v>1050</v>
      </c>
      <c r="C987" s="60" t="n">
        <v>23025150</v>
      </c>
      <c r="D987" s="60" t="s">
        <v>46</v>
      </c>
      <c r="E987" s="60" t="s">
        <v>22</v>
      </c>
      <c r="F987" s="60" t="s">
        <v>234</v>
      </c>
      <c r="G987" s="60" t="n">
        <v>38.15</v>
      </c>
      <c r="H987" s="61" t="n">
        <v>459.99</v>
      </c>
      <c r="I987" s="61" t="n">
        <v>48.35</v>
      </c>
      <c r="J987" s="61" t="n">
        <f aca="false">H987*Resumo!$C$6</f>
        <v>0</v>
      </c>
      <c r="K987" s="61" t="n">
        <f aca="false">H987*Resumo!$C$7</f>
        <v>0.965979</v>
      </c>
      <c r="L987" s="61" t="n">
        <f aca="false">H987*Resumo!$C$8</f>
        <v>0.965979</v>
      </c>
      <c r="M987" s="61" t="n">
        <f aca="false">Resumo!$C$10*CEILING(G987/100,1)</f>
        <v>1.05</v>
      </c>
      <c r="N987" s="61" t="n">
        <f aca="false">Resumo!$C$9</f>
        <v>0</v>
      </c>
      <c r="O987" s="61" t="n">
        <f aca="false">Resumo!$C$13</f>
        <v>13.55</v>
      </c>
      <c r="P987" s="61" t="n">
        <f aca="false">Resumo!$C$14*CEILING(G987,1)</f>
        <v>17.55</v>
      </c>
      <c r="Q987" s="61" t="n">
        <f aca="false">SUM(I987:P987)*Resumo!$C$11</f>
        <v>0</v>
      </c>
      <c r="R987" s="61" t="n">
        <f aca="false">SUM(I987:Q987)</f>
        <v>82.431958</v>
      </c>
      <c r="S987" s="61" t="n">
        <f aca="false">R987/(1-Resumo!$C$5)</f>
        <v>93.6726795454545</v>
      </c>
      <c r="T987" s="61" t="n">
        <v>93.97</v>
      </c>
      <c r="U987" s="61" t="n">
        <f aca="false">H987*Resumo!$B$6</f>
        <v>0.45999</v>
      </c>
      <c r="V987" s="61" t="n">
        <f aca="false">H987*Resumo!$B$7</f>
        <v>0.91998</v>
      </c>
      <c r="W987" s="61" t="n">
        <f aca="false">Resumo!$B$9</f>
        <v>1</v>
      </c>
      <c r="X987" s="61" t="n">
        <f aca="false">Resumo!$B$10*CEILING(G987/100,1)</f>
        <v>4.5</v>
      </c>
      <c r="Y987" s="61" t="n">
        <f aca="false">Resumo!$B$12*CEILING(G987,1)</f>
        <v>2.34</v>
      </c>
      <c r="Z987" s="61" t="n">
        <f aca="false">Resumo!$B$14*CEILING(G987,1)</f>
        <v>17.55</v>
      </c>
      <c r="AA987" s="61" t="n">
        <f aca="false">SUM(T987:Z987)</f>
        <v>120.73997</v>
      </c>
      <c r="AB987" s="61" t="n">
        <f aca="false">AA987/(1-Resumo!$B$5)</f>
        <v>137.204511363636</v>
      </c>
      <c r="AC987" s="61" t="n">
        <f aca="false">AB987-S987</f>
        <v>43.5318318181818</v>
      </c>
      <c r="AD987" s="62" t="n">
        <f aca="false">AB987/S987-1</f>
        <v>0.464722820244061</v>
      </c>
      <c r="AE987" s="60" t="str">
        <f aca="false">IF(AB987&lt;S987,"SIM","NÃO")</f>
        <v>NÃO</v>
      </c>
      <c r="AF987" s="60" t="n">
        <v>2</v>
      </c>
      <c r="AG987" s="60" t="n">
        <v>5</v>
      </c>
      <c r="AH987" s="60" t="s">
        <v>382</v>
      </c>
      <c r="AI987" s="61" t="n">
        <f aca="false">(T987*(1-Painel!$C$40)+U987+V987+Painel!$C$41+Painel!$C$42*CEILING(G987/100,1)+Painel!$C$43*CEILING(G987,1)+Z987)/(1-Resumo!$B$5)</f>
        <v>95.3862159090909</v>
      </c>
      <c r="AJ987" s="60" t="str">
        <f aca="false">IF(AI987&lt;S987,"SIM","NÃO")</f>
        <v>NÃO</v>
      </c>
    </row>
    <row r="988" customFormat="false" ht="15" hidden="false" customHeight="false" outlineLevel="0" collapsed="false">
      <c r="A988" s="59" t="n">
        <v>46248.5171064815</v>
      </c>
      <c r="B988" s="60" t="s">
        <v>1311</v>
      </c>
      <c r="C988" s="60" t="n">
        <v>23066550</v>
      </c>
      <c r="D988" s="60" t="s">
        <v>46</v>
      </c>
      <c r="E988" s="60" t="s">
        <v>22</v>
      </c>
      <c r="F988" s="60" t="s">
        <v>237</v>
      </c>
      <c r="G988" s="60" t="n">
        <v>63.9</v>
      </c>
      <c r="H988" s="61" t="n">
        <v>730.98</v>
      </c>
      <c r="I988" s="61" t="n">
        <v>63.21</v>
      </c>
      <c r="J988" s="61" t="n">
        <f aca="false">H988*Resumo!$C$6</f>
        <v>0</v>
      </c>
      <c r="K988" s="61" t="n">
        <f aca="false">H988*Resumo!$C$7</f>
        <v>1.535058</v>
      </c>
      <c r="L988" s="61" t="n">
        <f aca="false">H988*Resumo!$C$8</f>
        <v>1.535058</v>
      </c>
      <c r="M988" s="61" t="n">
        <f aca="false">Resumo!$C$10*CEILING(G988/100,1)</f>
        <v>1.05</v>
      </c>
      <c r="N988" s="61" t="n">
        <f aca="false">Resumo!$C$9</f>
        <v>0</v>
      </c>
      <c r="O988" s="61" t="n">
        <f aca="false">Resumo!$C$13</f>
        <v>13.55</v>
      </c>
      <c r="P988" s="61" t="n">
        <f aca="false">Resumo!$C$14*CEILING(G988,1)</f>
        <v>28.8</v>
      </c>
      <c r="Q988" s="61" t="n">
        <f aca="false">SUM(I988:P988)*Resumo!$C$11</f>
        <v>0</v>
      </c>
      <c r="R988" s="61" t="n">
        <f aca="false">SUM(I988:Q988)</f>
        <v>109.680116</v>
      </c>
      <c r="S988" s="61" t="n">
        <f aca="false">R988/(1-Resumo!$C$5)</f>
        <v>124.636495454545</v>
      </c>
      <c r="T988" s="61" t="n">
        <v>131.02</v>
      </c>
      <c r="U988" s="61" t="n">
        <f aca="false">H988*Resumo!$B$6</f>
        <v>0.73098</v>
      </c>
      <c r="V988" s="61" t="n">
        <f aca="false">H988*Resumo!$B$7</f>
        <v>1.46196</v>
      </c>
      <c r="W988" s="61" t="n">
        <f aca="false">Resumo!$B$9</f>
        <v>1</v>
      </c>
      <c r="X988" s="61" t="n">
        <f aca="false">Resumo!$B$10*CEILING(G988/100,1)</f>
        <v>4.5</v>
      </c>
      <c r="Y988" s="61" t="n">
        <f aca="false">Resumo!$B$12*CEILING(G988,1)</f>
        <v>3.84</v>
      </c>
      <c r="Z988" s="61" t="n">
        <f aca="false">Resumo!$B$14*CEILING(G988,1)</f>
        <v>28.8</v>
      </c>
      <c r="AA988" s="61" t="n">
        <f aca="false">SUM(T988:Z988)</f>
        <v>171.35294</v>
      </c>
      <c r="AB988" s="61" t="n">
        <f aca="false">AA988/(1-Resumo!$B$5)</f>
        <v>194.71925</v>
      </c>
      <c r="AC988" s="61" t="n">
        <f aca="false">AB988-S988</f>
        <v>70.0827545454546</v>
      </c>
      <c r="AD988" s="62" t="n">
        <f aca="false">AB988/S988-1</f>
        <v>0.562297217118188</v>
      </c>
      <c r="AE988" s="60" t="str">
        <f aca="false">IF(AB988&lt;S988,"SIM","NÃO")</f>
        <v>NÃO</v>
      </c>
      <c r="AF988" s="60" t="n">
        <v>2</v>
      </c>
      <c r="AG988" s="60" t="n">
        <v>5</v>
      </c>
      <c r="AH988" s="60" t="s">
        <v>382</v>
      </c>
      <c r="AI988" s="61" t="n">
        <f aca="false">(T988*(1-Painel!$C$40)+U988+V988+Painel!$C$41+Painel!$C$42*CEILING(G988/100,1)+Painel!$C$43*CEILING(G988,1)+Z988)/(1-Resumo!$B$5)</f>
        <v>137.302659090909</v>
      </c>
      <c r="AJ988" s="60" t="str">
        <f aca="false">IF(AI988&lt;S988,"SIM","NÃO")</f>
        <v>NÃO</v>
      </c>
    </row>
    <row r="989" customFormat="false" ht="15" hidden="false" customHeight="false" outlineLevel="0" collapsed="false">
      <c r="A989" s="59" t="n">
        <v>46248.5183449074</v>
      </c>
      <c r="B989" s="60" t="s">
        <v>1312</v>
      </c>
      <c r="C989" s="60" t="n">
        <v>24908780</v>
      </c>
      <c r="D989" s="60" t="s">
        <v>220</v>
      </c>
      <c r="E989" s="60" t="s">
        <v>24</v>
      </c>
      <c r="F989" s="60" t="s">
        <v>236</v>
      </c>
      <c r="G989" s="60" t="n">
        <v>58.5</v>
      </c>
      <c r="H989" s="61" t="n">
        <v>863.2</v>
      </c>
      <c r="I989" s="61" t="n">
        <v>83.58</v>
      </c>
      <c r="J989" s="61" t="n">
        <f aca="false">H989*Resumo!$C$6</f>
        <v>0</v>
      </c>
      <c r="K989" s="61" t="n">
        <f aca="false">H989*Resumo!$C$7</f>
        <v>1.81272</v>
      </c>
      <c r="L989" s="61" t="n">
        <f aca="false">H989*Resumo!$C$8</f>
        <v>1.81272</v>
      </c>
      <c r="M989" s="61" t="n">
        <f aca="false">Resumo!$C$10*CEILING(G989/100,1)</f>
        <v>1.05</v>
      </c>
      <c r="N989" s="61" t="n">
        <f aca="false">Resumo!$C$9</f>
        <v>0</v>
      </c>
      <c r="O989" s="61" t="n">
        <f aca="false">Resumo!$C$13</f>
        <v>13.55</v>
      </c>
      <c r="P989" s="61" t="n">
        <f aca="false">Resumo!$C$14*CEILING(G989,1)</f>
        <v>26.55</v>
      </c>
      <c r="Q989" s="61" t="n">
        <f aca="false">SUM(I989:P989)*Resumo!$C$11</f>
        <v>0</v>
      </c>
      <c r="R989" s="61" t="n">
        <f aca="false">SUM(I989:Q989)</f>
        <v>128.35544</v>
      </c>
      <c r="S989" s="61" t="n">
        <f aca="false">R989/(1-Resumo!$C$5)</f>
        <v>145.858454545455</v>
      </c>
      <c r="T989" s="61" t="n">
        <v>128.14</v>
      </c>
      <c r="U989" s="61" t="n">
        <f aca="false">H989*Resumo!$B$6</f>
        <v>0.8632</v>
      </c>
      <c r="V989" s="61" t="n">
        <f aca="false">H989*Resumo!$B$7</f>
        <v>1.7264</v>
      </c>
      <c r="W989" s="61" t="n">
        <f aca="false">Resumo!$B$9</f>
        <v>1</v>
      </c>
      <c r="X989" s="61" t="n">
        <f aca="false">Resumo!$B$10*CEILING(G989/100,1)</f>
        <v>4.5</v>
      </c>
      <c r="Y989" s="61" t="n">
        <f aca="false">Resumo!$B$12*CEILING(G989,1)</f>
        <v>3.54</v>
      </c>
      <c r="Z989" s="61" t="n">
        <f aca="false">Resumo!$B$14*CEILING(G989,1)</f>
        <v>26.55</v>
      </c>
      <c r="AA989" s="61" t="n">
        <f aca="false">SUM(T989:Z989)</f>
        <v>166.3196</v>
      </c>
      <c r="AB989" s="61" t="n">
        <f aca="false">AA989/(1-Resumo!$B$5)</f>
        <v>188.999545454545</v>
      </c>
      <c r="AC989" s="61" t="n">
        <f aca="false">AB989-S989</f>
        <v>43.1410909090909</v>
      </c>
      <c r="AD989" s="62" t="n">
        <f aca="false">AB989/S989-1</f>
        <v>0.295773673480454</v>
      </c>
      <c r="AE989" s="60" t="str">
        <f aca="false">IF(AB989&lt;S989,"SIM","NÃO")</f>
        <v>NÃO</v>
      </c>
      <c r="AF989" s="60" t="n">
        <v>13</v>
      </c>
      <c r="AG989" s="60" t="n">
        <v>7</v>
      </c>
      <c r="AH989" s="60" t="s">
        <v>382</v>
      </c>
      <c r="AI989" s="61" t="n">
        <f aca="false">(T989*(1-Painel!$C$40)+U989+V989+Painel!$C$41+Painel!$C$42*CEILING(G989/100,1)+Painel!$C$43*CEILING(G989,1)+Z989)/(1-Resumo!$B$5)</f>
        <v>133.003863636364</v>
      </c>
      <c r="AJ989" s="60" t="str">
        <f aca="false">IF(AI989&lt;S989,"SIM","NÃO")</f>
        <v>SIM</v>
      </c>
    </row>
    <row r="990" customFormat="false" ht="15" hidden="false" customHeight="false" outlineLevel="0" collapsed="false">
      <c r="A990" s="59" t="n">
        <v>46248.5362962963</v>
      </c>
      <c r="B990" s="60" t="s">
        <v>1313</v>
      </c>
      <c r="C990" s="60" t="n">
        <v>23098393</v>
      </c>
      <c r="D990" s="60" t="s">
        <v>46</v>
      </c>
      <c r="E990" s="60" t="s">
        <v>22</v>
      </c>
      <c r="F990" s="60" t="s">
        <v>235</v>
      </c>
      <c r="G990" s="60" t="n">
        <v>48.3</v>
      </c>
      <c r="H990" s="61" t="n">
        <v>399.99</v>
      </c>
      <c r="I990" s="61" t="n">
        <v>53.55</v>
      </c>
      <c r="J990" s="61" t="n">
        <f aca="false">H990*Resumo!$C$6</f>
        <v>0</v>
      </c>
      <c r="K990" s="61" t="n">
        <f aca="false">H990*Resumo!$C$7</f>
        <v>0.839979</v>
      </c>
      <c r="L990" s="61" t="n">
        <f aca="false">H990*Resumo!$C$8</f>
        <v>0.839979</v>
      </c>
      <c r="M990" s="61" t="n">
        <f aca="false">Resumo!$C$10*CEILING(G990/100,1)</f>
        <v>1.05</v>
      </c>
      <c r="N990" s="61" t="n">
        <f aca="false">Resumo!$C$9</f>
        <v>0</v>
      </c>
      <c r="O990" s="61" t="n">
        <f aca="false">Resumo!$C$13</f>
        <v>13.55</v>
      </c>
      <c r="P990" s="61" t="n">
        <f aca="false">Resumo!$C$14*CEILING(G990,1)</f>
        <v>22.05</v>
      </c>
      <c r="Q990" s="61" t="n">
        <f aca="false">SUM(I990:P990)*Resumo!$C$11</f>
        <v>0</v>
      </c>
      <c r="R990" s="61" t="n">
        <f aca="false">SUM(I990:Q990)</f>
        <v>91.879958</v>
      </c>
      <c r="S990" s="61" t="n">
        <f aca="false">R990/(1-Resumo!$C$5)</f>
        <v>104.409043181818</v>
      </c>
      <c r="T990" s="61" t="n">
        <v>93.97</v>
      </c>
      <c r="U990" s="61" t="n">
        <f aca="false">H990*Resumo!$B$6</f>
        <v>0.39999</v>
      </c>
      <c r="V990" s="61" t="n">
        <f aca="false">H990*Resumo!$B$7</f>
        <v>0.79998</v>
      </c>
      <c r="W990" s="61" t="n">
        <f aca="false">Resumo!$B$9</f>
        <v>1</v>
      </c>
      <c r="X990" s="61" t="n">
        <f aca="false">Resumo!$B$10*CEILING(G990/100,1)</f>
        <v>4.5</v>
      </c>
      <c r="Y990" s="61" t="n">
        <f aca="false">Resumo!$B$12*CEILING(G990,1)</f>
        <v>2.94</v>
      </c>
      <c r="Z990" s="61" t="n">
        <f aca="false">Resumo!$B$14*CEILING(G990,1)</f>
        <v>22.05</v>
      </c>
      <c r="AA990" s="61" t="n">
        <f aca="false">SUM(T990:Z990)</f>
        <v>125.65997</v>
      </c>
      <c r="AB990" s="61" t="n">
        <f aca="false">AA990/(1-Resumo!$B$5)</f>
        <v>142.795420454545</v>
      </c>
      <c r="AC990" s="61" t="n">
        <f aca="false">AB990-S990</f>
        <v>38.3863772727273</v>
      </c>
      <c r="AD990" s="62" t="n">
        <f aca="false">AB990/S990-1</f>
        <v>0.367653759702415</v>
      </c>
      <c r="AE990" s="60" t="str">
        <f aca="false">IF(AB990&lt;S990,"SIM","NÃO")</f>
        <v>NÃO</v>
      </c>
      <c r="AF990" s="60" t="n">
        <v>2</v>
      </c>
      <c r="AG990" s="60" t="n">
        <v>5</v>
      </c>
      <c r="AH990" s="60" t="s">
        <v>382</v>
      </c>
      <c r="AI990" s="61" t="n">
        <f aca="false">(T990*(1-Painel!$C$40)+U990+V990+Painel!$C$41+Painel!$C$42*CEILING(G990/100,1)+Painel!$C$43*CEILING(G990,1)+Z990)/(1-Resumo!$B$5)</f>
        <v>100.295306818182</v>
      </c>
      <c r="AJ990" s="60" t="str">
        <f aca="false">IF(AI990&lt;S990,"SIM","NÃO")</f>
        <v>SIM</v>
      </c>
    </row>
    <row r="991" customFormat="false" ht="15" hidden="false" customHeight="false" outlineLevel="0" collapsed="false">
      <c r="A991" s="59" t="n">
        <v>46248.5650347222</v>
      </c>
      <c r="B991" s="60" t="s">
        <v>1314</v>
      </c>
      <c r="C991" s="60" t="n">
        <v>22795355</v>
      </c>
      <c r="D991" s="60" t="s">
        <v>46</v>
      </c>
      <c r="E991" s="60" t="s">
        <v>22</v>
      </c>
      <c r="F991" s="60" t="s">
        <v>235</v>
      </c>
      <c r="G991" s="60" t="n">
        <v>41</v>
      </c>
      <c r="H991" s="61" t="n">
        <v>559.99</v>
      </c>
      <c r="I991" s="61" t="n">
        <v>53.55</v>
      </c>
      <c r="J991" s="61" t="n">
        <f aca="false">H991*Resumo!$C$6</f>
        <v>0</v>
      </c>
      <c r="K991" s="61" t="n">
        <f aca="false">H991*Resumo!$C$7</f>
        <v>1.175979</v>
      </c>
      <c r="L991" s="61" t="n">
        <f aca="false">H991*Resumo!$C$8</f>
        <v>1.175979</v>
      </c>
      <c r="M991" s="61" t="n">
        <f aca="false">Resumo!$C$10*CEILING(G991/100,1)</f>
        <v>1.05</v>
      </c>
      <c r="N991" s="61" t="n">
        <f aca="false">Resumo!$C$9</f>
        <v>0</v>
      </c>
      <c r="O991" s="61" t="n">
        <f aca="false">Resumo!$C$13</f>
        <v>13.55</v>
      </c>
      <c r="P991" s="61" t="n">
        <f aca="false">Resumo!$C$14*CEILING(G991,1)</f>
        <v>18.45</v>
      </c>
      <c r="Q991" s="61" t="n">
        <f aca="false">SUM(I991:P991)*Resumo!$C$11</f>
        <v>0</v>
      </c>
      <c r="R991" s="61" t="n">
        <f aca="false">SUM(I991:Q991)</f>
        <v>88.951958</v>
      </c>
      <c r="S991" s="61" t="n">
        <f aca="false">R991/(1-Resumo!$C$5)</f>
        <v>101.081770454545</v>
      </c>
      <c r="T991" s="61" t="n">
        <v>93.97</v>
      </c>
      <c r="U991" s="61" t="n">
        <f aca="false">H991*Resumo!$B$6</f>
        <v>0.55999</v>
      </c>
      <c r="V991" s="61" t="n">
        <f aca="false">H991*Resumo!$B$7</f>
        <v>1.11998</v>
      </c>
      <c r="W991" s="61" t="n">
        <f aca="false">Resumo!$B$9</f>
        <v>1</v>
      </c>
      <c r="X991" s="61" t="n">
        <f aca="false">Resumo!$B$10*CEILING(G991/100,1)</f>
        <v>4.5</v>
      </c>
      <c r="Y991" s="61" t="n">
        <f aca="false">Resumo!$B$12*CEILING(G991,1)</f>
        <v>2.46</v>
      </c>
      <c r="Z991" s="61" t="n">
        <f aca="false">Resumo!$B$14*CEILING(G991,1)</f>
        <v>18.45</v>
      </c>
      <c r="AA991" s="61" t="n">
        <f aca="false">SUM(T991:Z991)</f>
        <v>122.05997</v>
      </c>
      <c r="AB991" s="61" t="n">
        <f aca="false">AA991/(1-Resumo!$B$5)</f>
        <v>138.704511363636</v>
      </c>
      <c r="AC991" s="61" t="n">
        <f aca="false">AB991-S991</f>
        <v>37.6227409090909</v>
      </c>
      <c r="AD991" s="62" t="n">
        <f aca="false">AB991/S991-1</f>
        <v>0.372201048120829</v>
      </c>
      <c r="AE991" s="60" t="str">
        <f aca="false">IF(AB991&lt;S991,"SIM","NÃO")</f>
        <v>NÃO</v>
      </c>
      <c r="AF991" s="60" t="n">
        <v>2</v>
      </c>
      <c r="AG991" s="60" t="n">
        <v>5</v>
      </c>
      <c r="AH991" s="60" t="s">
        <v>382</v>
      </c>
      <c r="AI991" s="61" t="n">
        <f aca="false">(T991*(1-Painel!$C$40)+U991+V991+Painel!$C$41+Painel!$C$42*CEILING(G991/100,1)+Painel!$C$43*CEILING(G991,1)+Z991)/(1-Resumo!$B$5)</f>
        <v>96.7498522727273</v>
      </c>
      <c r="AJ991" s="60" t="str">
        <f aca="false">IF(AI991&lt;S991,"SIM","NÃO")</f>
        <v>SIM</v>
      </c>
    </row>
    <row r="992" customFormat="false" ht="15" hidden="false" customHeight="false" outlineLevel="0" collapsed="false">
      <c r="A992" s="59" t="n">
        <v>46248.5833680556</v>
      </c>
      <c r="B992" s="60" t="s">
        <v>1315</v>
      </c>
      <c r="C992" s="60" t="n">
        <v>21020123</v>
      </c>
      <c r="D992" s="60" t="s">
        <v>46</v>
      </c>
      <c r="E992" s="60" t="s">
        <v>22</v>
      </c>
      <c r="F992" s="60" t="s">
        <v>236</v>
      </c>
      <c r="G992" s="60" t="n">
        <v>52.3</v>
      </c>
      <c r="H992" s="61" t="n">
        <v>577.12</v>
      </c>
      <c r="I992" s="61" t="n">
        <v>58.6</v>
      </c>
      <c r="J992" s="61" t="n">
        <f aca="false">H992*Resumo!$C$6</f>
        <v>0</v>
      </c>
      <c r="K992" s="61" t="n">
        <f aca="false">H992*Resumo!$C$7</f>
        <v>1.211952</v>
      </c>
      <c r="L992" s="61" t="n">
        <f aca="false">H992*Resumo!$C$8</f>
        <v>1.211952</v>
      </c>
      <c r="M992" s="61" t="n">
        <f aca="false">Resumo!$C$10*CEILING(G992/100,1)</f>
        <v>1.05</v>
      </c>
      <c r="N992" s="61" t="n">
        <f aca="false">Resumo!$C$9</f>
        <v>0</v>
      </c>
      <c r="O992" s="61" t="n">
        <f aca="false">Resumo!$C$13</f>
        <v>13.55</v>
      </c>
      <c r="P992" s="61" t="n">
        <f aca="false">Resumo!$C$14*CEILING(G992,1)</f>
        <v>23.85</v>
      </c>
      <c r="Q992" s="61" t="n">
        <f aca="false">SUM(I992:P992)*Resumo!$C$11</f>
        <v>0</v>
      </c>
      <c r="R992" s="61" t="n">
        <f aca="false">SUM(I992:Q992)</f>
        <v>99.473904</v>
      </c>
      <c r="S992" s="61" t="n">
        <f aca="false">R992/(1-Resumo!$C$5)</f>
        <v>113.038527272727</v>
      </c>
      <c r="T992" s="61" t="n">
        <v>112.3</v>
      </c>
      <c r="U992" s="61" t="n">
        <f aca="false">H992*Resumo!$B$6</f>
        <v>0.57712</v>
      </c>
      <c r="V992" s="61" t="n">
        <f aca="false">H992*Resumo!$B$7</f>
        <v>1.15424</v>
      </c>
      <c r="W992" s="61" t="n">
        <f aca="false">Resumo!$B$9</f>
        <v>1</v>
      </c>
      <c r="X992" s="61" t="n">
        <f aca="false">Resumo!$B$10*CEILING(G992/100,1)</f>
        <v>4.5</v>
      </c>
      <c r="Y992" s="61" t="n">
        <f aca="false">Resumo!$B$12*CEILING(G992,1)</f>
        <v>3.18</v>
      </c>
      <c r="Z992" s="61" t="n">
        <f aca="false">Resumo!$B$14*CEILING(G992,1)</f>
        <v>23.85</v>
      </c>
      <c r="AA992" s="61" t="n">
        <f aca="false">SUM(T992:Z992)</f>
        <v>146.56136</v>
      </c>
      <c r="AB992" s="61" t="n">
        <f aca="false">AA992/(1-Resumo!$B$5)</f>
        <v>166.547</v>
      </c>
      <c r="AC992" s="61" t="n">
        <f aca="false">AB992-S992</f>
        <v>53.5084727272727</v>
      </c>
      <c r="AD992" s="62" t="n">
        <f aca="false">AB992/S992-1</f>
        <v>0.473364913877312</v>
      </c>
      <c r="AE992" s="60" t="str">
        <f aca="false">IF(AB992&lt;S992,"SIM","NÃO")</f>
        <v>NÃO</v>
      </c>
      <c r="AF992" s="60" t="n">
        <v>2</v>
      </c>
      <c r="AG992" s="60" t="n">
        <v>5</v>
      </c>
      <c r="AH992" s="60" t="s">
        <v>382</v>
      </c>
      <c r="AI992" s="61" t="n">
        <f aca="false">(T992*(1-Painel!$C$40)+U992+V992+Painel!$C$41+Painel!$C$42*CEILING(G992/100,1)+Painel!$C$43*CEILING(G992,1)+Z992)/(1-Resumo!$B$5)</f>
        <v>116.900409090909</v>
      </c>
      <c r="AJ992" s="60" t="str">
        <f aca="false">IF(AI992&lt;S992,"SIM","NÃO")</f>
        <v>NÃO</v>
      </c>
    </row>
    <row r="993" customFormat="false" ht="15" hidden="false" customHeight="false" outlineLevel="0" collapsed="false">
      <c r="A993" s="59" t="n">
        <v>46248.5839236111</v>
      </c>
      <c r="B993" s="60" t="s">
        <v>1316</v>
      </c>
      <c r="C993" s="60" t="n">
        <v>27522130</v>
      </c>
      <c r="D993" s="60" t="s">
        <v>296</v>
      </c>
      <c r="E993" s="60" t="s">
        <v>24</v>
      </c>
      <c r="F993" s="60" t="s">
        <v>233</v>
      </c>
      <c r="G993" s="60" t="n">
        <v>30.5</v>
      </c>
      <c r="H993" s="61" t="n">
        <v>413.55</v>
      </c>
      <c r="I993" s="61" t="n">
        <v>65.63</v>
      </c>
      <c r="J993" s="61" t="n">
        <f aca="false">H993*Resumo!$C$6</f>
        <v>0</v>
      </c>
      <c r="K993" s="61" t="n">
        <f aca="false">H993*Resumo!$C$7</f>
        <v>0.868455</v>
      </c>
      <c r="L993" s="61" t="n">
        <f aca="false">H993*Resumo!$C$8</f>
        <v>0.868455</v>
      </c>
      <c r="M993" s="61" t="n">
        <f aca="false">Resumo!$C$10*CEILING(G993/100,1)</f>
        <v>1.05</v>
      </c>
      <c r="N993" s="61" t="n">
        <f aca="false">Resumo!$C$9</f>
        <v>0</v>
      </c>
      <c r="O993" s="61" t="n">
        <f aca="false">Resumo!$C$13</f>
        <v>13.55</v>
      </c>
      <c r="P993" s="61" t="n">
        <f aca="false">Resumo!$C$14*CEILING(G993,1)</f>
        <v>13.95</v>
      </c>
      <c r="Q993" s="61" t="n">
        <f aca="false">SUM(I993:P993)*Resumo!$C$11</f>
        <v>0</v>
      </c>
      <c r="R993" s="61" t="n">
        <f aca="false">SUM(I993:Q993)</f>
        <v>95.91691</v>
      </c>
      <c r="S993" s="61" t="n">
        <f aca="false">R993/(1-Resumo!$C$5)</f>
        <v>108.996488636364</v>
      </c>
      <c r="T993" s="61" t="n">
        <v>108.83</v>
      </c>
      <c r="U993" s="61" t="n">
        <f aca="false">H993*Resumo!$B$6</f>
        <v>0.41355</v>
      </c>
      <c r="V993" s="61" t="n">
        <f aca="false">H993*Resumo!$B$7</f>
        <v>0.8271</v>
      </c>
      <c r="W993" s="61" t="n">
        <f aca="false">Resumo!$B$9</f>
        <v>1</v>
      </c>
      <c r="X993" s="61" t="n">
        <f aca="false">Resumo!$B$10*CEILING(G993/100,1)</f>
        <v>4.5</v>
      </c>
      <c r="Y993" s="61" t="n">
        <f aca="false">Resumo!$B$12*CEILING(G993,1)</f>
        <v>1.86</v>
      </c>
      <c r="Z993" s="61" t="n">
        <f aca="false">Resumo!$B$14*CEILING(G993,1)</f>
        <v>13.95</v>
      </c>
      <c r="AA993" s="61" t="n">
        <f aca="false">SUM(T993:Z993)</f>
        <v>131.38065</v>
      </c>
      <c r="AB993" s="61" t="n">
        <f aca="false">AA993/(1-Resumo!$B$5)</f>
        <v>149.296193181818</v>
      </c>
      <c r="AC993" s="61" t="n">
        <f aca="false">AB993-S993</f>
        <v>40.2997045454545</v>
      </c>
      <c r="AD993" s="62" t="n">
        <f aca="false">AB993/S993-1</f>
        <v>0.369733970787841</v>
      </c>
      <c r="AE993" s="60" t="str">
        <f aca="false">IF(AB993&lt;S993,"SIM","NÃO")</f>
        <v>NÃO</v>
      </c>
      <c r="AF993" s="60" t="n">
        <v>13</v>
      </c>
      <c r="AG993" s="60" t="n">
        <v>10</v>
      </c>
      <c r="AH993" s="60" t="s">
        <v>385</v>
      </c>
      <c r="AI993" s="61" t="n">
        <f aca="false">(T993*(1-Painel!$C$40)+U993+V993+Painel!$C$41+Painel!$C$42*CEILING(G993/100,1)+Painel!$C$43*CEILING(G993,1)+Z993)/(1-Resumo!$B$5)</f>
        <v>102.450852272727</v>
      </c>
      <c r="AJ993" s="60" t="str">
        <f aca="false">IF(AI993&lt;S993,"SIM","NÃO")</f>
        <v>SIM</v>
      </c>
    </row>
    <row r="994" customFormat="false" ht="15" hidden="false" customHeight="false" outlineLevel="0" collapsed="false">
      <c r="A994" s="59" t="n">
        <v>46248.5845023148</v>
      </c>
      <c r="B994" s="60" t="s">
        <v>1317</v>
      </c>
      <c r="C994" s="60" t="n">
        <v>25946244</v>
      </c>
      <c r="D994" s="60" t="s">
        <v>280</v>
      </c>
      <c r="E994" s="60" t="s">
        <v>24</v>
      </c>
      <c r="F994" s="60" t="s">
        <v>233</v>
      </c>
      <c r="G994" s="60" t="n">
        <v>27.6</v>
      </c>
      <c r="H994" s="61" t="n">
        <v>579.59</v>
      </c>
      <c r="I994" s="61" t="n">
        <v>65.63</v>
      </c>
      <c r="J994" s="61" t="n">
        <f aca="false">H994*Resumo!$C$6</f>
        <v>0</v>
      </c>
      <c r="K994" s="61" t="n">
        <f aca="false">H994*Resumo!$C$7</f>
        <v>1.217139</v>
      </c>
      <c r="L994" s="61" t="n">
        <f aca="false">H994*Resumo!$C$8</f>
        <v>1.217139</v>
      </c>
      <c r="M994" s="61" t="n">
        <f aca="false">Resumo!$C$10*CEILING(G994/100,1)</f>
        <v>1.05</v>
      </c>
      <c r="N994" s="61" t="n">
        <f aca="false">Resumo!$C$9</f>
        <v>0</v>
      </c>
      <c r="O994" s="61" t="n">
        <f aca="false">Resumo!$C$13</f>
        <v>13.55</v>
      </c>
      <c r="P994" s="61" t="n">
        <f aca="false">Resumo!$C$14*CEILING(G994,1)</f>
        <v>12.6</v>
      </c>
      <c r="Q994" s="61" t="n">
        <f aca="false">SUM(I994:P994)*Resumo!$C$11</f>
        <v>0</v>
      </c>
      <c r="R994" s="61" t="n">
        <f aca="false">SUM(I994:Q994)</f>
        <v>95.264278</v>
      </c>
      <c r="S994" s="61" t="n">
        <f aca="false">R994/(1-Resumo!$C$5)</f>
        <v>108.254861363636</v>
      </c>
      <c r="T994" s="61" t="n">
        <v>103.28</v>
      </c>
      <c r="U994" s="61" t="n">
        <f aca="false">H994*Resumo!$B$6</f>
        <v>0.57959</v>
      </c>
      <c r="V994" s="61" t="n">
        <f aca="false">H994*Resumo!$B$7</f>
        <v>1.15918</v>
      </c>
      <c r="W994" s="61" t="n">
        <f aca="false">Resumo!$B$9</f>
        <v>1</v>
      </c>
      <c r="X994" s="61" t="n">
        <f aca="false">Resumo!$B$10*CEILING(G994/100,1)</f>
        <v>4.5</v>
      </c>
      <c r="Y994" s="61" t="n">
        <f aca="false">Resumo!$B$12*CEILING(G994,1)</f>
        <v>1.68</v>
      </c>
      <c r="Z994" s="61" t="n">
        <f aca="false">Resumo!$B$14*CEILING(G994,1)</f>
        <v>12.6</v>
      </c>
      <c r="AA994" s="61" t="n">
        <f aca="false">SUM(T994:Z994)</f>
        <v>124.79877</v>
      </c>
      <c r="AB994" s="61" t="n">
        <f aca="false">AA994/(1-Resumo!$B$5)</f>
        <v>141.816784090909</v>
      </c>
      <c r="AC994" s="61" t="n">
        <f aca="false">AB994-S994</f>
        <v>33.5619227272727</v>
      </c>
      <c r="AD994" s="62" t="n">
        <f aca="false">AB994/S994-1</f>
        <v>0.310026933705413</v>
      </c>
      <c r="AE994" s="60" t="str">
        <f aca="false">IF(AB994&lt;S994,"SIM","NÃO")</f>
        <v>NÃO</v>
      </c>
      <c r="AF994" s="60" t="n">
        <v>13</v>
      </c>
      <c r="AG994" s="60" t="n">
        <v>6</v>
      </c>
      <c r="AH994" s="60" t="s">
        <v>385</v>
      </c>
      <c r="AI994" s="61" t="n">
        <f aca="false">(T994*(1-Painel!$C$40)+U994+V994+Painel!$C$41+Painel!$C$42*CEILING(G994/100,1)+Painel!$C$43*CEILING(G994,1)+Z994)/(1-Resumo!$B$5)</f>
        <v>97.2572386363636</v>
      </c>
      <c r="AJ994" s="60" t="str">
        <f aca="false">IF(AI994&lt;S994,"SIM","NÃO")</f>
        <v>SIM</v>
      </c>
    </row>
    <row r="995" customFormat="false" ht="15" hidden="false" customHeight="false" outlineLevel="0" collapsed="false">
      <c r="A995" s="59" t="n">
        <v>46248.6290162037</v>
      </c>
      <c r="B995" s="60" t="s">
        <v>1318</v>
      </c>
      <c r="C995" s="60" t="n">
        <v>26510608</v>
      </c>
      <c r="D995" s="60" t="s">
        <v>284</v>
      </c>
      <c r="E995" s="60" t="s">
        <v>23</v>
      </c>
      <c r="F995" s="60" t="s">
        <v>232</v>
      </c>
      <c r="G995" s="60" t="n">
        <v>19.5</v>
      </c>
      <c r="H995" s="61" t="n">
        <v>379.99</v>
      </c>
      <c r="I995" s="61" t="n">
        <v>42.72</v>
      </c>
      <c r="J995" s="61" t="n">
        <f aca="false">H995*Resumo!$C$6</f>
        <v>0</v>
      </c>
      <c r="K995" s="61" t="n">
        <f aca="false">H995*Resumo!$C$7</f>
        <v>0.797979</v>
      </c>
      <c r="L995" s="61" t="n">
        <f aca="false">H995*Resumo!$C$8</f>
        <v>0.797979</v>
      </c>
      <c r="M995" s="61" t="n">
        <f aca="false">Resumo!$C$10*CEILING(G995/100,1)</f>
        <v>1.05</v>
      </c>
      <c r="N995" s="61" t="n">
        <f aca="false">Resumo!$C$9</f>
        <v>0</v>
      </c>
      <c r="O995" s="61" t="n">
        <f aca="false">Resumo!$C$13</f>
        <v>13.55</v>
      </c>
      <c r="P995" s="61" t="n">
        <f aca="false">Resumo!$C$14*CEILING(G995,1)</f>
        <v>9</v>
      </c>
      <c r="Q995" s="61" t="n">
        <f aca="false">SUM(I995:P995)*Resumo!$C$11</f>
        <v>0</v>
      </c>
      <c r="R995" s="61" t="n">
        <f aca="false">SUM(I995:Q995)</f>
        <v>67.915958</v>
      </c>
      <c r="S995" s="61" t="n">
        <f aca="false">R995/(1-Resumo!$C$5)</f>
        <v>77.177225</v>
      </c>
      <c r="T995" s="61" t="n">
        <v>46.98</v>
      </c>
      <c r="U995" s="61" t="n">
        <f aca="false">H995*Resumo!$B$6</f>
        <v>0.37999</v>
      </c>
      <c r="V995" s="61" t="n">
        <f aca="false">H995*Resumo!$B$7</f>
        <v>0.75998</v>
      </c>
      <c r="W995" s="61" t="n">
        <f aca="false">Resumo!$B$9</f>
        <v>1</v>
      </c>
      <c r="X995" s="61" t="n">
        <f aca="false">Resumo!$B$10*CEILING(G995/100,1)</f>
        <v>4.5</v>
      </c>
      <c r="Y995" s="61" t="n">
        <f aca="false">Resumo!$B$12*CEILING(G995,1)</f>
        <v>1.2</v>
      </c>
      <c r="Z995" s="61" t="n">
        <f aca="false">Resumo!$B$14*CEILING(G995,1)</f>
        <v>9</v>
      </c>
      <c r="AA995" s="61" t="n">
        <f aca="false">SUM(T995:Z995)</f>
        <v>63.81997</v>
      </c>
      <c r="AB995" s="61" t="n">
        <f aca="false">AA995/(1-Resumo!$B$5)</f>
        <v>72.5226931818182</v>
      </c>
      <c r="AC995" s="61" t="n">
        <f aca="false">AB995-S995</f>
        <v>-4.65453181818181</v>
      </c>
      <c r="AD995" s="62" t="n">
        <f aca="false">AB995/S995-1</f>
        <v>-0.0603096550592718</v>
      </c>
      <c r="AE995" s="60" t="str">
        <f aca="false">IF(AB995&lt;S995,"SIM","NÃO")</f>
        <v>SIM</v>
      </c>
      <c r="AF995" s="60" t="n">
        <v>2</v>
      </c>
      <c r="AG995" s="60" t="n">
        <v>5</v>
      </c>
      <c r="AH995" s="60" t="s">
        <v>385</v>
      </c>
      <c r="AI995" s="61" t="n">
        <f aca="false">(T995*(1-Painel!$C$40)+U995+V995+Painel!$C$41+Painel!$C$42*CEILING(G995/100,1)+Painel!$C$43*CEILING(G995,1)+Z995)/(1-Resumo!$B$5)</f>
        <v>49.6211022727273</v>
      </c>
      <c r="AJ995" s="60" t="str">
        <f aca="false">IF(AI995&lt;S995,"SIM","NÃO")</f>
        <v>SIM</v>
      </c>
    </row>
    <row r="996" customFormat="false" ht="15" hidden="false" customHeight="false" outlineLevel="0" collapsed="false">
      <c r="A996" s="59" t="n">
        <v>46248.63875</v>
      </c>
      <c r="B996" s="60" t="s">
        <v>1319</v>
      </c>
      <c r="C996" s="60" t="n">
        <v>24425470</v>
      </c>
      <c r="D996" s="60" t="s">
        <v>47</v>
      </c>
      <c r="E996" s="60" t="s">
        <v>23</v>
      </c>
      <c r="F996" s="60" t="s">
        <v>236</v>
      </c>
      <c r="G996" s="60" t="n">
        <v>52.3</v>
      </c>
      <c r="H996" s="61" t="n">
        <v>577.12</v>
      </c>
      <c r="I996" s="61" t="n">
        <v>70.98</v>
      </c>
      <c r="J996" s="61" t="n">
        <f aca="false">H996*Resumo!$C$6</f>
        <v>0</v>
      </c>
      <c r="K996" s="61" t="n">
        <f aca="false">H996*Resumo!$C$7</f>
        <v>1.211952</v>
      </c>
      <c r="L996" s="61" t="n">
        <f aca="false">H996*Resumo!$C$8</f>
        <v>1.211952</v>
      </c>
      <c r="M996" s="61" t="n">
        <f aca="false">Resumo!$C$10*CEILING(G996/100,1)</f>
        <v>1.05</v>
      </c>
      <c r="N996" s="61" t="n">
        <f aca="false">Resumo!$C$9</f>
        <v>0</v>
      </c>
      <c r="O996" s="61" t="n">
        <f aca="false">Resumo!$C$13</f>
        <v>13.55</v>
      </c>
      <c r="P996" s="61" t="n">
        <f aca="false">Resumo!$C$14*CEILING(G996,1)</f>
        <v>23.85</v>
      </c>
      <c r="Q996" s="61" t="n">
        <f aca="false">SUM(I996:P996)*Resumo!$C$11</f>
        <v>0</v>
      </c>
      <c r="R996" s="61" t="n">
        <f aca="false">SUM(I996:Q996)</f>
        <v>111.853904</v>
      </c>
      <c r="S996" s="61" t="n">
        <f aca="false">R996/(1-Resumo!$C$5)</f>
        <v>127.106709090909</v>
      </c>
      <c r="T996" s="61" t="n">
        <v>128.14</v>
      </c>
      <c r="U996" s="61" t="n">
        <f aca="false">H996*Resumo!$B$6</f>
        <v>0.57712</v>
      </c>
      <c r="V996" s="61" t="n">
        <f aca="false">H996*Resumo!$B$7</f>
        <v>1.15424</v>
      </c>
      <c r="W996" s="61" t="n">
        <f aca="false">Resumo!$B$9</f>
        <v>1</v>
      </c>
      <c r="X996" s="61" t="n">
        <f aca="false">Resumo!$B$10*CEILING(G996/100,1)</f>
        <v>4.5</v>
      </c>
      <c r="Y996" s="61" t="n">
        <f aca="false">Resumo!$B$12*CEILING(G996,1)</f>
        <v>3.18</v>
      </c>
      <c r="Z996" s="61" t="n">
        <f aca="false">Resumo!$B$14*CEILING(G996,1)</f>
        <v>23.85</v>
      </c>
      <c r="AA996" s="61" t="n">
        <f aca="false">SUM(T996:Z996)</f>
        <v>162.40136</v>
      </c>
      <c r="AB996" s="61" t="n">
        <f aca="false">AA996/(1-Resumo!$B$5)</f>
        <v>184.547</v>
      </c>
      <c r="AC996" s="61" t="n">
        <f aca="false">AB996-S996</f>
        <v>57.4402909090909</v>
      </c>
      <c r="AD996" s="62" t="n">
        <f aca="false">AB996/S996-1</f>
        <v>0.451906050592566</v>
      </c>
      <c r="AE996" s="60" t="str">
        <f aca="false">IF(AB996&lt;S996,"SIM","NÃO")</f>
        <v>NÃO</v>
      </c>
      <c r="AF996" s="60" t="n">
        <v>2</v>
      </c>
      <c r="AG996" s="60" t="n">
        <v>7</v>
      </c>
      <c r="AH996" s="60" t="s">
        <v>382</v>
      </c>
      <c r="AI996" s="61" t="n">
        <f aca="false">(T996*(1-Painel!$C$40)+U996+V996+Painel!$C$41+Painel!$C$42*CEILING(G996/100,1)+Painel!$C$43*CEILING(G996,1)+Z996)/(1-Resumo!$B$5)</f>
        <v>128.960409090909</v>
      </c>
      <c r="AJ996" s="60" t="str">
        <f aca="false">IF(AI996&lt;S996,"SIM","NÃO")</f>
        <v>NÃO</v>
      </c>
    </row>
    <row r="997" customFormat="false" ht="15" hidden="false" customHeight="false" outlineLevel="0" collapsed="false">
      <c r="A997" s="59" t="n">
        <v>46248.689849537</v>
      </c>
      <c r="B997" s="60" t="s">
        <v>1320</v>
      </c>
      <c r="C997" s="60" t="n">
        <v>24931740</v>
      </c>
      <c r="D997" s="60" t="s">
        <v>220</v>
      </c>
      <c r="E997" s="60" t="s">
        <v>24</v>
      </c>
      <c r="F997" s="60" t="s">
        <v>236</v>
      </c>
      <c r="G997" s="60" t="n">
        <v>52.3</v>
      </c>
      <c r="H997" s="61" t="n">
        <v>699.99</v>
      </c>
      <c r="I997" s="61" t="n">
        <v>83.58</v>
      </c>
      <c r="J997" s="61" t="n">
        <f aca="false">H997*Resumo!$C$6</f>
        <v>0</v>
      </c>
      <c r="K997" s="61" t="n">
        <f aca="false">H997*Resumo!$C$7</f>
        <v>1.469979</v>
      </c>
      <c r="L997" s="61" t="n">
        <f aca="false">H997*Resumo!$C$8</f>
        <v>1.469979</v>
      </c>
      <c r="M997" s="61" t="n">
        <f aca="false">Resumo!$C$10*CEILING(G997/100,1)</f>
        <v>1.05</v>
      </c>
      <c r="N997" s="61" t="n">
        <f aca="false">Resumo!$C$9</f>
        <v>0</v>
      </c>
      <c r="O997" s="61" t="n">
        <f aca="false">Resumo!$C$13</f>
        <v>13.55</v>
      </c>
      <c r="P997" s="61" t="n">
        <f aca="false">Resumo!$C$14*CEILING(G997,1)</f>
        <v>23.85</v>
      </c>
      <c r="Q997" s="61" t="n">
        <f aca="false">SUM(I997:P997)*Resumo!$C$11</f>
        <v>0</v>
      </c>
      <c r="R997" s="61" t="n">
        <f aca="false">SUM(I997:Q997)</f>
        <v>124.969958</v>
      </c>
      <c r="S997" s="61" t="n">
        <f aca="false">R997/(1-Resumo!$C$5)</f>
        <v>142.011315909091</v>
      </c>
      <c r="T997" s="61" t="n">
        <v>128.14</v>
      </c>
      <c r="U997" s="61" t="n">
        <f aca="false">H997*Resumo!$B$6</f>
        <v>0.69999</v>
      </c>
      <c r="V997" s="61" t="n">
        <f aca="false">H997*Resumo!$B$7</f>
        <v>1.39998</v>
      </c>
      <c r="W997" s="61" t="n">
        <f aca="false">Resumo!$B$9</f>
        <v>1</v>
      </c>
      <c r="X997" s="61" t="n">
        <f aca="false">Resumo!$B$10*CEILING(G997/100,1)</f>
        <v>4.5</v>
      </c>
      <c r="Y997" s="61" t="n">
        <f aca="false">Resumo!$B$12*CEILING(G997,1)</f>
        <v>3.18</v>
      </c>
      <c r="Z997" s="61" t="n">
        <f aca="false">Resumo!$B$14*CEILING(G997,1)</f>
        <v>23.85</v>
      </c>
      <c r="AA997" s="61" t="n">
        <f aca="false">SUM(T997:Z997)</f>
        <v>162.76997</v>
      </c>
      <c r="AB997" s="61" t="n">
        <f aca="false">AA997/(1-Resumo!$B$5)</f>
        <v>184.965875</v>
      </c>
      <c r="AC997" s="61" t="n">
        <f aca="false">AB997-S997</f>
        <v>42.954559090909</v>
      </c>
      <c r="AD997" s="62" t="n">
        <f aca="false">AB997/S997-1</f>
        <v>0.302472791100722</v>
      </c>
      <c r="AE997" s="60" t="str">
        <f aca="false">IF(AB997&lt;S997,"SIM","NÃO")</f>
        <v>NÃO</v>
      </c>
      <c r="AF997" s="60" t="n">
        <v>13</v>
      </c>
      <c r="AG997" s="60" t="n">
        <v>7</v>
      </c>
      <c r="AH997" s="60" t="s">
        <v>382</v>
      </c>
      <c r="AI997" s="61" t="n">
        <f aca="false">(T997*(1-Painel!$C$40)+U997+V997+Painel!$C$41+Painel!$C$42*CEILING(G997/100,1)+Painel!$C$43*CEILING(G997,1)+Z997)/(1-Resumo!$B$5)</f>
        <v>129.379284090909</v>
      </c>
      <c r="AJ997" s="60" t="str">
        <f aca="false">IF(AI997&lt;S997,"SIM","NÃO")</f>
        <v>SIM</v>
      </c>
    </row>
    <row r="998" customFormat="false" ht="15" hidden="false" customHeight="false" outlineLevel="0" collapsed="false">
      <c r="A998" s="59" t="n">
        <v>46248.6982523148</v>
      </c>
      <c r="B998" s="60" t="s">
        <v>1321</v>
      </c>
      <c r="C998" s="60" t="n">
        <v>21921730</v>
      </c>
      <c r="D998" s="60" t="s">
        <v>46</v>
      </c>
      <c r="E998" s="60" t="s">
        <v>22</v>
      </c>
      <c r="F998" s="60" t="s">
        <v>233</v>
      </c>
      <c r="G998" s="60" t="n">
        <v>27.6</v>
      </c>
      <c r="H998" s="61" t="n">
        <v>659.99</v>
      </c>
      <c r="I998" s="61" t="n">
        <v>42.11</v>
      </c>
      <c r="J998" s="61" t="n">
        <f aca="false">H998*Resumo!$C$6</f>
        <v>0</v>
      </c>
      <c r="K998" s="61" t="n">
        <f aca="false">H998*Resumo!$C$7</f>
        <v>1.385979</v>
      </c>
      <c r="L998" s="61" t="n">
        <f aca="false">H998*Resumo!$C$8</f>
        <v>1.385979</v>
      </c>
      <c r="M998" s="61" t="n">
        <f aca="false">Resumo!$C$10*CEILING(G998/100,1)</f>
        <v>1.05</v>
      </c>
      <c r="N998" s="61" t="n">
        <f aca="false">Resumo!$C$9</f>
        <v>0</v>
      </c>
      <c r="O998" s="61" t="n">
        <f aca="false">Resumo!$C$13</f>
        <v>13.55</v>
      </c>
      <c r="P998" s="61" t="n">
        <f aca="false">Resumo!$C$14*CEILING(G998,1)</f>
        <v>12.6</v>
      </c>
      <c r="Q998" s="61" t="n">
        <f aca="false">SUM(I998:P998)*Resumo!$C$11</f>
        <v>0</v>
      </c>
      <c r="R998" s="61" t="n">
        <f aca="false">SUM(I998:Q998)</f>
        <v>72.081958</v>
      </c>
      <c r="S998" s="61" t="n">
        <f aca="false">R998/(1-Resumo!$C$5)</f>
        <v>81.9113159090909</v>
      </c>
      <c r="T998" s="61" t="n">
        <v>82.21</v>
      </c>
      <c r="U998" s="61" t="n">
        <f aca="false">H998*Resumo!$B$6</f>
        <v>0.65999</v>
      </c>
      <c r="V998" s="61" t="n">
        <f aca="false">H998*Resumo!$B$7</f>
        <v>1.31998</v>
      </c>
      <c r="W998" s="61" t="n">
        <f aca="false">Resumo!$B$9</f>
        <v>1</v>
      </c>
      <c r="X998" s="61" t="n">
        <f aca="false">Resumo!$B$10*CEILING(G998/100,1)</f>
        <v>4.5</v>
      </c>
      <c r="Y998" s="61" t="n">
        <f aca="false">Resumo!$B$12*CEILING(G998,1)</f>
        <v>1.68</v>
      </c>
      <c r="Z998" s="61" t="n">
        <f aca="false">Resumo!$B$14*CEILING(G998,1)</f>
        <v>12.6</v>
      </c>
      <c r="AA998" s="61" t="n">
        <f aca="false">SUM(T998:Z998)</f>
        <v>103.96997</v>
      </c>
      <c r="AB998" s="61" t="n">
        <f aca="false">AA998/(1-Resumo!$B$5)</f>
        <v>118.147693181818</v>
      </c>
      <c r="AC998" s="61" t="n">
        <f aca="false">AB998-S998</f>
        <v>36.2363772727273</v>
      </c>
      <c r="AD998" s="62" t="n">
        <f aca="false">AB998/S998-1</f>
        <v>0.442385485699487</v>
      </c>
      <c r="AE998" s="60" t="str">
        <f aca="false">IF(AB998&lt;S998,"SIM","NÃO")</f>
        <v>NÃO</v>
      </c>
      <c r="AF998" s="60" t="n">
        <v>2</v>
      </c>
      <c r="AG998" s="60" t="n">
        <v>5</v>
      </c>
      <c r="AH998" s="60" t="s">
        <v>382</v>
      </c>
      <c r="AI998" s="61" t="n">
        <f aca="false">(T998*(1-Painel!$C$40)+U998+V998+Painel!$C$41+Painel!$C$42*CEILING(G998/100,1)+Painel!$C$43*CEILING(G998,1)+Z998)/(1-Resumo!$B$5)</f>
        <v>81.4893977272727</v>
      </c>
      <c r="AJ998" s="60" t="str">
        <f aca="false">IF(AI998&lt;S998,"SIM","NÃO")</f>
        <v>SIM</v>
      </c>
    </row>
    <row r="999" customFormat="false" ht="15" hidden="false" customHeight="false" outlineLevel="0" collapsed="false">
      <c r="A999" s="59" t="n">
        <v>46248.7050694445</v>
      </c>
      <c r="B999" s="60" t="s">
        <v>1322</v>
      </c>
      <c r="C999" s="60" t="n">
        <v>21920001</v>
      </c>
      <c r="D999" s="60" t="s">
        <v>46</v>
      </c>
      <c r="E999" s="60" t="s">
        <v>22</v>
      </c>
      <c r="F999" s="60" t="s">
        <v>236</v>
      </c>
      <c r="G999" s="60" t="n">
        <v>52.3</v>
      </c>
      <c r="H999" s="61" t="n">
        <v>577.12</v>
      </c>
      <c r="I999" s="61" t="n">
        <v>58.6</v>
      </c>
      <c r="J999" s="61" t="n">
        <f aca="false">H999*Resumo!$C$6</f>
        <v>0</v>
      </c>
      <c r="K999" s="61" t="n">
        <f aca="false">H999*Resumo!$C$7</f>
        <v>1.211952</v>
      </c>
      <c r="L999" s="61" t="n">
        <f aca="false">H999*Resumo!$C$8</f>
        <v>1.211952</v>
      </c>
      <c r="M999" s="61" t="n">
        <f aca="false">Resumo!$C$10*CEILING(G999/100,1)</f>
        <v>1.05</v>
      </c>
      <c r="N999" s="61" t="n">
        <f aca="false">Resumo!$C$9</f>
        <v>0</v>
      </c>
      <c r="O999" s="61" t="n">
        <f aca="false">Resumo!$C$13</f>
        <v>13.55</v>
      </c>
      <c r="P999" s="61" t="n">
        <f aca="false">Resumo!$C$14*CEILING(G999,1)</f>
        <v>23.85</v>
      </c>
      <c r="Q999" s="61" t="n">
        <f aca="false">SUM(I999:P999)*Resumo!$C$11</f>
        <v>0</v>
      </c>
      <c r="R999" s="61" t="n">
        <f aca="false">SUM(I999:Q999)</f>
        <v>99.473904</v>
      </c>
      <c r="S999" s="61" t="n">
        <f aca="false">R999/(1-Resumo!$C$5)</f>
        <v>113.038527272727</v>
      </c>
      <c r="T999" s="61" t="n">
        <v>112.3</v>
      </c>
      <c r="U999" s="61" t="n">
        <f aca="false">H999*Resumo!$B$6</f>
        <v>0.57712</v>
      </c>
      <c r="V999" s="61" t="n">
        <f aca="false">H999*Resumo!$B$7</f>
        <v>1.15424</v>
      </c>
      <c r="W999" s="61" t="n">
        <f aca="false">Resumo!$B$9</f>
        <v>1</v>
      </c>
      <c r="X999" s="61" t="n">
        <f aca="false">Resumo!$B$10*CEILING(G999/100,1)</f>
        <v>4.5</v>
      </c>
      <c r="Y999" s="61" t="n">
        <f aca="false">Resumo!$B$12*CEILING(G999,1)</f>
        <v>3.18</v>
      </c>
      <c r="Z999" s="61" t="n">
        <f aca="false">Resumo!$B$14*CEILING(G999,1)</f>
        <v>23.85</v>
      </c>
      <c r="AA999" s="61" t="n">
        <f aca="false">SUM(T999:Z999)</f>
        <v>146.56136</v>
      </c>
      <c r="AB999" s="61" t="n">
        <f aca="false">AA999/(1-Resumo!$B$5)</f>
        <v>166.547</v>
      </c>
      <c r="AC999" s="61" t="n">
        <f aca="false">AB999-S999</f>
        <v>53.5084727272727</v>
      </c>
      <c r="AD999" s="62" t="n">
        <f aca="false">AB999/S999-1</f>
        <v>0.473364913877312</v>
      </c>
      <c r="AE999" s="60" t="str">
        <f aca="false">IF(AB999&lt;S999,"SIM","NÃO")</f>
        <v>NÃO</v>
      </c>
      <c r="AF999" s="60" t="n">
        <v>2</v>
      </c>
      <c r="AG999" s="60" t="n">
        <v>5</v>
      </c>
      <c r="AH999" s="60" t="s">
        <v>382</v>
      </c>
      <c r="AI999" s="61" t="n">
        <f aca="false">(T999*(1-Painel!$C$40)+U999+V999+Painel!$C$41+Painel!$C$42*CEILING(G999/100,1)+Painel!$C$43*CEILING(G999,1)+Z999)/(1-Resumo!$B$5)</f>
        <v>116.900409090909</v>
      </c>
      <c r="AJ999" s="60" t="str">
        <f aca="false">IF(AI999&lt;S999,"SIM","NÃO")</f>
        <v>NÃO</v>
      </c>
    </row>
    <row r="1000" customFormat="false" ht="15" hidden="false" customHeight="false" outlineLevel="0" collapsed="false">
      <c r="A1000" s="59" t="n">
        <v>46248.7369328704</v>
      </c>
      <c r="B1000" s="60" t="s">
        <v>1323</v>
      </c>
      <c r="C1000" s="60" t="n">
        <v>28040630</v>
      </c>
      <c r="D1000" s="60" t="s">
        <v>51</v>
      </c>
      <c r="E1000" s="60" t="s">
        <v>24</v>
      </c>
      <c r="F1000" s="60" t="s">
        <v>236</v>
      </c>
      <c r="G1000" s="60" t="n">
        <v>56.7</v>
      </c>
      <c r="H1000" s="61" t="n">
        <v>783.99</v>
      </c>
      <c r="I1000" s="61" t="n">
        <v>83.58</v>
      </c>
      <c r="J1000" s="61" t="n">
        <f aca="false">H1000*Resumo!$C$6</f>
        <v>0</v>
      </c>
      <c r="K1000" s="61" t="n">
        <f aca="false">H1000*Resumo!$C$7</f>
        <v>1.646379</v>
      </c>
      <c r="L1000" s="61" t="n">
        <f aca="false">H1000*Resumo!$C$8</f>
        <v>1.646379</v>
      </c>
      <c r="M1000" s="61" t="n">
        <f aca="false">Resumo!$C$10*CEILING(G1000/100,1)</f>
        <v>1.05</v>
      </c>
      <c r="N1000" s="61" t="n">
        <f aca="false">Resumo!$C$9</f>
        <v>0</v>
      </c>
      <c r="O1000" s="61" t="n">
        <f aca="false">Resumo!$C$13</f>
        <v>13.55</v>
      </c>
      <c r="P1000" s="61" t="n">
        <f aca="false">Resumo!$C$14*CEILING(G1000,1)</f>
        <v>25.65</v>
      </c>
      <c r="Q1000" s="61" t="n">
        <f aca="false">SUM(I1000:P1000)*Resumo!$C$11</f>
        <v>0</v>
      </c>
      <c r="R1000" s="61" t="n">
        <f aca="false">SUM(I1000:Q1000)</f>
        <v>127.122758</v>
      </c>
      <c r="S1000" s="61" t="n">
        <f aca="false">R1000/(1-Resumo!$C$5)</f>
        <v>144.457679545455</v>
      </c>
      <c r="T1000" s="61" t="n">
        <v>162.04</v>
      </c>
      <c r="U1000" s="61" t="n">
        <f aca="false">H1000*Resumo!$B$6</f>
        <v>0.78399</v>
      </c>
      <c r="V1000" s="61" t="n">
        <f aca="false">H1000*Resumo!$B$7</f>
        <v>1.56798</v>
      </c>
      <c r="W1000" s="61" t="n">
        <f aca="false">Resumo!$B$9</f>
        <v>1</v>
      </c>
      <c r="X1000" s="61" t="n">
        <f aca="false">Resumo!$B$10*CEILING(G1000/100,1)</f>
        <v>4.5</v>
      </c>
      <c r="Y1000" s="61" t="n">
        <f aca="false">Resumo!$B$12*CEILING(G1000,1)</f>
        <v>3.42</v>
      </c>
      <c r="Z1000" s="61" t="n">
        <f aca="false">Resumo!$B$14*CEILING(G1000,1)</f>
        <v>25.65</v>
      </c>
      <c r="AA1000" s="61" t="n">
        <f aca="false">SUM(T1000:Z1000)</f>
        <v>198.96197</v>
      </c>
      <c r="AB1000" s="61" t="n">
        <f aca="false">AA1000/(1-Resumo!$B$5)</f>
        <v>226.093147727273</v>
      </c>
      <c r="AC1000" s="61" t="n">
        <f aca="false">AB1000-S1000</f>
        <v>81.6354681818182</v>
      </c>
      <c r="AD1000" s="62" t="n">
        <f aca="false">AB1000/S1000-1</f>
        <v>0.565116845561202</v>
      </c>
      <c r="AE1000" s="60" t="str">
        <f aca="false">IF(AB1000&lt;S1000,"SIM","NÃO")</f>
        <v>NÃO</v>
      </c>
      <c r="AF1000" s="60" t="n">
        <v>13</v>
      </c>
      <c r="AG1000" s="60" t="n">
        <v>11</v>
      </c>
      <c r="AH1000" s="60" t="s">
        <v>382</v>
      </c>
      <c r="AI1000" s="61" t="n">
        <f aca="false">(T1000*(1-Painel!$C$40)+U1000+V1000+Painel!$C$41+Painel!$C$42*CEILING(G1000/100,1)+Painel!$C$43*CEILING(G1000,1)+Z1000)/(1-Resumo!$B$5)</f>
        <v>157.521329545455</v>
      </c>
      <c r="AJ1000" s="60" t="str">
        <f aca="false">IF(AI1000&lt;S1000,"SIM","NÃO")</f>
        <v>NÃO</v>
      </c>
    </row>
    <row r="1001" customFormat="false" ht="15" hidden="false" customHeight="false" outlineLevel="0" collapsed="false">
      <c r="A1001" s="59" t="n">
        <v>46248.7449768519</v>
      </c>
      <c r="B1001" s="60" t="s">
        <v>1324</v>
      </c>
      <c r="C1001" s="60" t="n">
        <v>24944232</v>
      </c>
      <c r="D1001" s="60" t="s">
        <v>220</v>
      </c>
      <c r="E1001" s="60" t="s">
        <v>24</v>
      </c>
      <c r="F1001" s="60" t="s">
        <v>237</v>
      </c>
      <c r="G1001" s="60" t="n">
        <v>66.8</v>
      </c>
      <c r="H1001" s="61" t="n">
        <v>719.99</v>
      </c>
      <c r="I1001" s="61" t="n">
        <v>90.2</v>
      </c>
      <c r="J1001" s="61" t="n">
        <f aca="false">H1001*Resumo!$C$6</f>
        <v>0</v>
      </c>
      <c r="K1001" s="61" t="n">
        <f aca="false">H1001*Resumo!$C$7</f>
        <v>1.511979</v>
      </c>
      <c r="L1001" s="61" t="n">
        <f aca="false">H1001*Resumo!$C$8</f>
        <v>1.511979</v>
      </c>
      <c r="M1001" s="61" t="n">
        <f aca="false">Resumo!$C$10*CEILING(G1001/100,1)</f>
        <v>1.05</v>
      </c>
      <c r="N1001" s="61" t="n">
        <f aca="false">Resumo!$C$9</f>
        <v>0</v>
      </c>
      <c r="O1001" s="61" t="n">
        <f aca="false">Resumo!$C$13</f>
        <v>13.55</v>
      </c>
      <c r="P1001" s="61" t="n">
        <f aca="false">Resumo!$C$14*CEILING(G1001,1)</f>
        <v>30.15</v>
      </c>
      <c r="Q1001" s="61" t="n">
        <f aca="false">SUM(I1001:P1001)*Resumo!$C$11</f>
        <v>0</v>
      </c>
      <c r="R1001" s="61" t="n">
        <f aca="false">SUM(I1001:Q1001)</f>
        <v>137.973958</v>
      </c>
      <c r="S1001" s="61" t="n">
        <f aca="false">R1001/(1-Resumo!$C$5)</f>
        <v>156.788588636364</v>
      </c>
      <c r="T1001" s="61" t="n">
        <v>149.5</v>
      </c>
      <c r="U1001" s="61" t="n">
        <f aca="false">H1001*Resumo!$B$6</f>
        <v>0.71999</v>
      </c>
      <c r="V1001" s="61" t="n">
        <f aca="false">H1001*Resumo!$B$7</f>
        <v>1.43998</v>
      </c>
      <c r="W1001" s="61" t="n">
        <f aca="false">Resumo!$B$9</f>
        <v>1</v>
      </c>
      <c r="X1001" s="61" t="n">
        <f aca="false">Resumo!$B$10*CEILING(G1001/100,1)</f>
        <v>4.5</v>
      </c>
      <c r="Y1001" s="61" t="n">
        <f aca="false">Resumo!$B$12*CEILING(G1001,1)</f>
        <v>4.02</v>
      </c>
      <c r="Z1001" s="61" t="n">
        <f aca="false">Resumo!$B$14*CEILING(G1001,1)</f>
        <v>30.15</v>
      </c>
      <c r="AA1001" s="61" t="n">
        <f aca="false">SUM(T1001:Z1001)</f>
        <v>191.32997</v>
      </c>
      <c r="AB1001" s="61" t="n">
        <f aca="false">AA1001/(1-Resumo!$B$5)</f>
        <v>217.420420454545</v>
      </c>
      <c r="AC1001" s="61" t="n">
        <f aca="false">AB1001-S1001</f>
        <v>60.6318318181818</v>
      </c>
      <c r="AD1001" s="62" t="n">
        <f aca="false">AB1001/S1001-1</f>
        <v>0.386710744356555</v>
      </c>
      <c r="AE1001" s="60" t="str">
        <f aca="false">IF(AB1001&lt;S1001,"SIM","NÃO")</f>
        <v>NÃO</v>
      </c>
      <c r="AF1001" s="60" t="n">
        <v>13</v>
      </c>
      <c r="AG1001" s="60" t="n">
        <v>7</v>
      </c>
      <c r="AH1001" s="60" t="s">
        <v>382</v>
      </c>
      <c r="AI1001" s="61" t="n">
        <f aca="false">(T1001*(1-Painel!$C$40)+U1001+V1001+Painel!$C$41+Painel!$C$42*CEILING(G1001/100,1)+Painel!$C$43*CEILING(G1001,1)+Z1001)/(1-Resumo!$B$5)</f>
        <v>152.869284090909</v>
      </c>
      <c r="AJ1001" s="60" t="str">
        <f aca="false">IF(AI1001&lt;S1001,"SIM","NÃO")</f>
        <v>SIM</v>
      </c>
    </row>
    <row r="1002" customFormat="false" ht="15" hidden="false" customHeight="false" outlineLevel="0" collapsed="false">
      <c r="A1002" s="59" t="n">
        <v>46248.7605092593</v>
      </c>
      <c r="B1002" s="60" t="s">
        <v>1325</v>
      </c>
      <c r="C1002" s="60" t="n">
        <v>21720070</v>
      </c>
      <c r="D1002" s="60" t="s">
        <v>46</v>
      </c>
      <c r="E1002" s="60" t="s">
        <v>22</v>
      </c>
      <c r="F1002" s="60" t="s">
        <v>235</v>
      </c>
      <c r="G1002" s="60" t="n">
        <v>41</v>
      </c>
      <c r="H1002" s="61" t="n">
        <v>559.99</v>
      </c>
      <c r="I1002" s="61" t="n">
        <v>53.55</v>
      </c>
      <c r="J1002" s="61" t="n">
        <f aca="false">H1002*Resumo!$C$6</f>
        <v>0</v>
      </c>
      <c r="K1002" s="61" t="n">
        <f aca="false">H1002*Resumo!$C$7</f>
        <v>1.175979</v>
      </c>
      <c r="L1002" s="61" t="n">
        <f aca="false">H1002*Resumo!$C$8</f>
        <v>1.175979</v>
      </c>
      <c r="M1002" s="61" t="n">
        <f aca="false">Resumo!$C$10*CEILING(G1002/100,1)</f>
        <v>1.05</v>
      </c>
      <c r="N1002" s="61" t="n">
        <f aca="false">Resumo!$C$9</f>
        <v>0</v>
      </c>
      <c r="O1002" s="61" t="n">
        <f aca="false">Resumo!$C$13</f>
        <v>13.55</v>
      </c>
      <c r="P1002" s="61" t="n">
        <f aca="false">Resumo!$C$14*CEILING(G1002,1)</f>
        <v>18.45</v>
      </c>
      <c r="Q1002" s="61" t="n">
        <f aca="false">SUM(I1002:P1002)*Resumo!$C$11</f>
        <v>0</v>
      </c>
      <c r="R1002" s="61" t="n">
        <f aca="false">SUM(I1002:Q1002)</f>
        <v>88.951958</v>
      </c>
      <c r="S1002" s="61" t="n">
        <f aca="false">R1002/(1-Resumo!$C$5)</f>
        <v>101.081770454545</v>
      </c>
      <c r="T1002" s="61" t="n">
        <v>93.97</v>
      </c>
      <c r="U1002" s="61" t="n">
        <f aca="false">H1002*Resumo!$B$6</f>
        <v>0.55999</v>
      </c>
      <c r="V1002" s="61" t="n">
        <f aca="false">H1002*Resumo!$B$7</f>
        <v>1.11998</v>
      </c>
      <c r="W1002" s="61" t="n">
        <f aca="false">Resumo!$B$9</f>
        <v>1</v>
      </c>
      <c r="X1002" s="61" t="n">
        <f aca="false">Resumo!$B$10*CEILING(G1002/100,1)</f>
        <v>4.5</v>
      </c>
      <c r="Y1002" s="61" t="n">
        <f aca="false">Resumo!$B$12*CEILING(G1002,1)</f>
        <v>2.46</v>
      </c>
      <c r="Z1002" s="61" t="n">
        <f aca="false">Resumo!$B$14*CEILING(G1002,1)</f>
        <v>18.45</v>
      </c>
      <c r="AA1002" s="61" t="n">
        <f aca="false">SUM(T1002:Z1002)</f>
        <v>122.05997</v>
      </c>
      <c r="AB1002" s="61" t="n">
        <f aca="false">AA1002/(1-Resumo!$B$5)</f>
        <v>138.704511363636</v>
      </c>
      <c r="AC1002" s="61" t="n">
        <f aca="false">AB1002-S1002</f>
        <v>37.6227409090909</v>
      </c>
      <c r="AD1002" s="62" t="n">
        <f aca="false">AB1002/S1002-1</f>
        <v>0.372201048120829</v>
      </c>
      <c r="AE1002" s="60" t="str">
        <f aca="false">IF(AB1002&lt;S1002,"SIM","NÃO")</f>
        <v>NÃO</v>
      </c>
      <c r="AF1002" s="60" t="n">
        <v>2</v>
      </c>
      <c r="AG1002" s="60" t="n">
        <v>5</v>
      </c>
      <c r="AH1002" s="60" t="s">
        <v>382</v>
      </c>
      <c r="AI1002" s="61" t="n">
        <f aca="false">(T1002*(1-Painel!$C$40)+U1002+V1002+Painel!$C$41+Painel!$C$42*CEILING(G1002/100,1)+Painel!$C$43*CEILING(G1002,1)+Z1002)/(1-Resumo!$B$5)</f>
        <v>96.7498522727273</v>
      </c>
      <c r="AJ1002" s="60" t="str">
        <f aca="false">IF(AI1002&lt;S1002,"SIM","NÃO")</f>
        <v>SIM</v>
      </c>
    </row>
    <row r="1003" customFormat="false" ht="15" hidden="false" customHeight="false" outlineLevel="0" collapsed="false">
      <c r="A1003" s="59" t="n">
        <v>46248.7758796296</v>
      </c>
      <c r="B1003" s="60" t="s">
        <v>1326</v>
      </c>
      <c r="C1003" s="60" t="n">
        <v>21920115</v>
      </c>
      <c r="D1003" s="60" t="s">
        <v>46</v>
      </c>
      <c r="E1003" s="60" t="s">
        <v>22</v>
      </c>
      <c r="F1003" s="60" t="s">
        <v>236</v>
      </c>
      <c r="G1003" s="60" t="n">
        <v>52.3</v>
      </c>
      <c r="H1003" s="61" t="n">
        <v>604.56</v>
      </c>
      <c r="I1003" s="61" t="n">
        <v>58.6</v>
      </c>
      <c r="J1003" s="61" t="n">
        <f aca="false">H1003*Resumo!$C$6</f>
        <v>0</v>
      </c>
      <c r="K1003" s="61" t="n">
        <f aca="false">H1003*Resumo!$C$7</f>
        <v>1.269576</v>
      </c>
      <c r="L1003" s="61" t="n">
        <f aca="false">H1003*Resumo!$C$8</f>
        <v>1.269576</v>
      </c>
      <c r="M1003" s="61" t="n">
        <f aca="false">Resumo!$C$10*CEILING(G1003/100,1)</f>
        <v>1.05</v>
      </c>
      <c r="N1003" s="61" t="n">
        <f aca="false">Resumo!$C$9</f>
        <v>0</v>
      </c>
      <c r="O1003" s="61" t="n">
        <f aca="false">Resumo!$C$13</f>
        <v>13.55</v>
      </c>
      <c r="P1003" s="61" t="n">
        <f aca="false">Resumo!$C$14*CEILING(G1003,1)</f>
        <v>23.85</v>
      </c>
      <c r="Q1003" s="61" t="n">
        <f aca="false">SUM(I1003:P1003)*Resumo!$C$11</f>
        <v>0</v>
      </c>
      <c r="R1003" s="61" t="n">
        <f aca="false">SUM(I1003:Q1003)</f>
        <v>99.589152</v>
      </c>
      <c r="S1003" s="61" t="n">
        <f aca="false">R1003/(1-Resumo!$C$5)</f>
        <v>113.169490909091</v>
      </c>
      <c r="T1003" s="61" t="n">
        <v>112.3</v>
      </c>
      <c r="U1003" s="61" t="n">
        <f aca="false">H1003*Resumo!$B$6</f>
        <v>0.60456</v>
      </c>
      <c r="V1003" s="61" t="n">
        <f aca="false">H1003*Resumo!$B$7</f>
        <v>1.20912</v>
      </c>
      <c r="W1003" s="61" t="n">
        <f aca="false">Resumo!$B$9</f>
        <v>1</v>
      </c>
      <c r="X1003" s="61" t="n">
        <f aca="false">Resumo!$B$10*CEILING(G1003/100,1)</f>
        <v>4.5</v>
      </c>
      <c r="Y1003" s="61" t="n">
        <f aca="false">Resumo!$B$12*CEILING(G1003,1)</f>
        <v>3.18</v>
      </c>
      <c r="Z1003" s="61" t="n">
        <f aca="false">Resumo!$B$14*CEILING(G1003,1)</f>
        <v>23.85</v>
      </c>
      <c r="AA1003" s="61" t="n">
        <f aca="false">SUM(T1003:Z1003)</f>
        <v>146.64368</v>
      </c>
      <c r="AB1003" s="61" t="n">
        <f aca="false">AA1003/(1-Resumo!$B$5)</f>
        <v>166.640545454545</v>
      </c>
      <c r="AC1003" s="61" t="n">
        <f aca="false">AB1003-S1003</f>
        <v>53.4710545454545</v>
      </c>
      <c r="AD1003" s="62" t="n">
        <f aca="false">AB1003/S1003-1</f>
        <v>0.472486481258521</v>
      </c>
      <c r="AE1003" s="60" t="str">
        <f aca="false">IF(AB1003&lt;S1003,"SIM","NÃO")</f>
        <v>NÃO</v>
      </c>
      <c r="AF1003" s="60" t="n">
        <v>2</v>
      </c>
      <c r="AG1003" s="60" t="n">
        <v>5</v>
      </c>
      <c r="AH1003" s="60" t="s">
        <v>382</v>
      </c>
      <c r="AI1003" s="61" t="n">
        <f aca="false">(T1003*(1-Painel!$C$40)+U1003+V1003+Painel!$C$41+Painel!$C$42*CEILING(G1003/100,1)+Painel!$C$43*CEILING(G1003,1)+Z1003)/(1-Resumo!$B$5)</f>
        <v>116.993954545455</v>
      </c>
      <c r="AJ1003" s="60" t="str">
        <f aca="false">IF(AI1003&lt;S1003,"SIM","NÃO")</f>
        <v>NÃO</v>
      </c>
    </row>
    <row r="1004" customFormat="false" ht="15" hidden="false" customHeight="false" outlineLevel="0" collapsed="false">
      <c r="A1004" s="59" t="n">
        <v>46248.7759606482</v>
      </c>
      <c r="B1004" s="60" t="s">
        <v>1327</v>
      </c>
      <c r="C1004" s="60" t="n">
        <v>28090115</v>
      </c>
      <c r="D1004" s="60" t="s">
        <v>51</v>
      </c>
      <c r="E1004" s="60" t="s">
        <v>24</v>
      </c>
      <c r="F1004" s="60" t="s">
        <v>235</v>
      </c>
      <c r="G1004" s="60" t="n">
        <v>46.8</v>
      </c>
      <c r="H1004" s="61" t="n">
        <v>506.56</v>
      </c>
      <c r="I1004" s="61" t="n">
        <v>77.7</v>
      </c>
      <c r="J1004" s="61" t="n">
        <f aca="false">H1004*Resumo!$C$6</f>
        <v>0</v>
      </c>
      <c r="K1004" s="61" t="n">
        <f aca="false">H1004*Resumo!$C$7</f>
        <v>1.063776</v>
      </c>
      <c r="L1004" s="61" t="n">
        <f aca="false">H1004*Resumo!$C$8</f>
        <v>1.063776</v>
      </c>
      <c r="M1004" s="61" t="n">
        <f aca="false">Resumo!$C$10*CEILING(G1004/100,1)</f>
        <v>1.05</v>
      </c>
      <c r="N1004" s="61" t="n">
        <f aca="false">Resumo!$C$9</f>
        <v>0</v>
      </c>
      <c r="O1004" s="61" t="n">
        <f aca="false">Resumo!$C$13</f>
        <v>13.55</v>
      </c>
      <c r="P1004" s="61" t="n">
        <f aca="false">Resumo!$C$14*CEILING(G1004,1)</f>
        <v>21.15</v>
      </c>
      <c r="Q1004" s="61" t="n">
        <f aca="false">SUM(I1004:P1004)*Resumo!$C$11</f>
        <v>0</v>
      </c>
      <c r="R1004" s="61" t="n">
        <f aca="false">SUM(I1004:Q1004)</f>
        <v>115.577552</v>
      </c>
      <c r="S1004" s="61" t="n">
        <f aca="false">R1004/(1-Resumo!$C$5)</f>
        <v>131.338127272727</v>
      </c>
      <c r="T1004" s="61" t="n">
        <v>152.54</v>
      </c>
      <c r="U1004" s="61" t="n">
        <f aca="false">H1004*Resumo!$B$6</f>
        <v>0.50656</v>
      </c>
      <c r="V1004" s="61" t="n">
        <f aca="false">H1004*Resumo!$B$7</f>
        <v>1.01312</v>
      </c>
      <c r="W1004" s="61" t="n">
        <f aca="false">Resumo!$B$9</f>
        <v>1</v>
      </c>
      <c r="X1004" s="61" t="n">
        <f aca="false">Resumo!$B$10*CEILING(G1004/100,1)</f>
        <v>4.5</v>
      </c>
      <c r="Y1004" s="61" t="n">
        <f aca="false">Resumo!$B$12*CEILING(G1004,1)</f>
        <v>2.82</v>
      </c>
      <c r="Z1004" s="61" t="n">
        <f aca="false">Resumo!$B$14*CEILING(G1004,1)</f>
        <v>21.15</v>
      </c>
      <c r="AA1004" s="61" t="n">
        <f aca="false">SUM(T1004:Z1004)</f>
        <v>183.52968</v>
      </c>
      <c r="AB1004" s="61" t="n">
        <f aca="false">AA1004/(1-Resumo!$B$5)</f>
        <v>208.556454545455</v>
      </c>
      <c r="AC1004" s="61" t="n">
        <f aca="false">AB1004-S1004</f>
        <v>77.2183272727272</v>
      </c>
      <c r="AD1004" s="62" t="n">
        <f aca="false">AB1004/S1004-1</f>
        <v>0.587935345784101</v>
      </c>
      <c r="AE1004" s="60" t="str">
        <f aca="false">IF(AB1004&lt;S1004,"SIM","NÃO")</f>
        <v>NÃO</v>
      </c>
      <c r="AF1004" s="60" t="n">
        <v>13</v>
      </c>
      <c r="AG1004" s="60" t="n">
        <v>11</v>
      </c>
      <c r="AH1004" s="60" t="s">
        <v>382</v>
      </c>
      <c r="AI1004" s="61" t="n">
        <f aca="false">(T1004*(1-Painel!$C$40)+U1004+V1004+Painel!$C$41+Painel!$C$42*CEILING(G1004/100,1)+Painel!$C$43*CEILING(G1004,1)+Z1004)/(1-Resumo!$B$5)</f>
        <v>144.228954545455</v>
      </c>
      <c r="AJ1004" s="60" t="str">
        <f aca="false">IF(AI1004&lt;S1004,"SIM","NÃO")</f>
        <v>NÃO</v>
      </c>
    </row>
    <row r="1005" customFormat="false" ht="15" hidden="false" customHeight="false" outlineLevel="0" collapsed="false">
      <c r="A1005" s="59" t="n">
        <v>46248.8066898148</v>
      </c>
      <c r="B1005" s="60" t="s">
        <v>1328</v>
      </c>
      <c r="C1005" s="60" t="n">
        <v>22470230</v>
      </c>
      <c r="D1005" s="60" t="s">
        <v>46</v>
      </c>
      <c r="E1005" s="60" t="s">
        <v>22</v>
      </c>
      <c r="F1005" s="60" t="s">
        <v>232</v>
      </c>
      <c r="G1005" s="60" t="n">
        <v>17.2</v>
      </c>
      <c r="H1005" s="61" t="n">
        <v>228</v>
      </c>
      <c r="I1005" s="61" t="n">
        <v>33.42</v>
      </c>
      <c r="J1005" s="61" t="n">
        <f aca="false">H1005*Resumo!$C$6</f>
        <v>0</v>
      </c>
      <c r="K1005" s="61" t="n">
        <f aca="false">H1005*Resumo!$C$7</f>
        <v>0.4788</v>
      </c>
      <c r="L1005" s="61" t="n">
        <f aca="false">H1005*Resumo!$C$8</f>
        <v>0.4788</v>
      </c>
      <c r="M1005" s="61" t="n">
        <f aca="false">Resumo!$C$10*CEILING(G1005/100,1)</f>
        <v>1.05</v>
      </c>
      <c r="N1005" s="61" t="n">
        <f aca="false">Resumo!$C$9</f>
        <v>0</v>
      </c>
      <c r="O1005" s="61" t="n">
        <f aca="false">Resumo!$C$13</f>
        <v>13.55</v>
      </c>
      <c r="P1005" s="61" t="n">
        <f aca="false">Resumo!$C$14*CEILING(G1005,1)</f>
        <v>8.1</v>
      </c>
      <c r="Q1005" s="61" t="n">
        <f aca="false">SUM(I1005:P1005)*Resumo!$C$11</f>
        <v>0</v>
      </c>
      <c r="R1005" s="61" t="n">
        <f aca="false">SUM(I1005:Q1005)</f>
        <v>57.0776</v>
      </c>
      <c r="S1005" s="61" t="n">
        <f aca="false">R1005/(1-Resumo!$C$5)</f>
        <v>64.8609090909091</v>
      </c>
      <c r="T1005" s="61" t="n">
        <v>46.98</v>
      </c>
      <c r="U1005" s="61" t="n">
        <f aca="false">H1005*Resumo!$B$6</f>
        <v>0.228</v>
      </c>
      <c r="V1005" s="61" t="n">
        <f aca="false">H1005*Resumo!$B$7</f>
        <v>0.456</v>
      </c>
      <c r="W1005" s="61" t="n">
        <f aca="false">Resumo!$B$9</f>
        <v>1</v>
      </c>
      <c r="X1005" s="61" t="n">
        <f aca="false">Resumo!$B$10*CEILING(G1005/100,1)</f>
        <v>4.5</v>
      </c>
      <c r="Y1005" s="61" t="n">
        <f aca="false">Resumo!$B$12*CEILING(G1005,1)</f>
        <v>1.08</v>
      </c>
      <c r="Z1005" s="61" t="n">
        <f aca="false">Resumo!$B$14*CEILING(G1005,1)</f>
        <v>8.1</v>
      </c>
      <c r="AA1005" s="61" t="n">
        <f aca="false">SUM(T1005:Z1005)</f>
        <v>62.344</v>
      </c>
      <c r="AB1005" s="61" t="n">
        <f aca="false">AA1005/(1-Resumo!$B$5)</f>
        <v>70.8454545454545</v>
      </c>
      <c r="AC1005" s="61" t="n">
        <f aca="false">AB1005-S1005</f>
        <v>5.98454545454545</v>
      </c>
      <c r="AD1005" s="62" t="n">
        <f aca="false">AB1005/S1005-1</f>
        <v>0.0922673693357814</v>
      </c>
      <c r="AE1005" s="60" t="str">
        <f aca="false">IF(AB1005&lt;S1005,"SIM","NÃO")</f>
        <v>NÃO</v>
      </c>
      <c r="AF1005" s="60" t="n">
        <v>2</v>
      </c>
      <c r="AG1005" s="60" t="n">
        <v>5</v>
      </c>
      <c r="AH1005" s="60" t="s">
        <v>382</v>
      </c>
      <c r="AI1005" s="61" t="n">
        <f aca="false">(T1005*(1-Painel!$C$40)+U1005+V1005+Painel!$C$41+Painel!$C$42*CEILING(G1005/100,1)+Painel!$C$43*CEILING(G1005,1)+Z1005)/(1-Resumo!$B$5)</f>
        <v>48.0802272727273</v>
      </c>
      <c r="AJ1005" s="60" t="str">
        <f aca="false">IF(AI1005&lt;S1005,"SIM","NÃO")</f>
        <v>SIM</v>
      </c>
    </row>
    <row r="1006" customFormat="false" ht="15" hidden="false" customHeight="false" outlineLevel="0" collapsed="false">
      <c r="A1006" s="59" t="n">
        <v>46248.8166550926</v>
      </c>
      <c r="B1006" s="60" t="s">
        <v>446</v>
      </c>
      <c r="C1006" s="60" t="n">
        <v>24110310</v>
      </c>
      <c r="D1006" s="60" t="s">
        <v>50</v>
      </c>
      <c r="E1006" s="60" t="s">
        <v>23</v>
      </c>
      <c r="F1006" s="60" t="s">
        <v>236</v>
      </c>
      <c r="G1006" s="60" t="n">
        <v>52.3</v>
      </c>
      <c r="H1006" s="61" t="n">
        <v>604.56</v>
      </c>
      <c r="I1006" s="61" t="n">
        <v>70.98</v>
      </c>
      <c r="J1006" s="61" t="n">
        <f aca="false">H1006*Resumo!$C$6</f>
        <v>0</v>
      </c>
      <c r="K1006" s="61" t="n">
        <f aca="false">H1006*Resumo!$C$7</f>
        <v>1.269576</v>
      </c>
      <c r="L1006" s="61" t="n">
        <f aca="false">H1006*Resumo!$C$8</f>
        <v>1.269576</v>
      </c>
      <c r="M1006" s="61" t="n">
        <f aca="false">Resumo!$C$10*CEILING(G1006/100,1)</f>
        <v>1.05</v>
      </c>
      <c r="N1006" s="61" t="n">
        <f aca="false">Resumo!$C$9</f>
        <v>0</v>
      </c>
      <c r="O1006" s="61" t="n">
        <f aca="false">Resumo!$C$13</f>
        <v>13.55</v>
      </c>
      <c r="P1006" s="61" t="n">
        <f aca="false">Resumo!$C$14*CEILING(G1006,1)</f>
        <v>23.85</v>
      </c>
      <c r="Q1006" s="61" t="n">
        <f aca="false">SUM(I1006:P1006)*Resumo!$C$11</f>
        <v>0</v>
      </c>
      <c r="R1006" s="61" t="n">
        <f aca="false">SUM(I1006:Q1006)</f>
        <v>111.969152</v>
      </c>
      <c r="S1006" s="61" t="n">
        <f aca="false">R1006/(1-Resumo!$C$5)</f>
        <v>127.237672727273</v>
      </c>
      <c r="T1006" s="61" t="n">
        <v>128.14</v>
      </c>
      <c r="U1006" s="61" t="n">
        <f aca="false">H1006*Resumo!$B$6</f>
        <v>0.60456</v>
      </c>
      <c r="V1006" s="61" t="n">
        <f aca="false">H1006*Resumo!$B$7</f>
        <v>1.20912</v>
      </c>
      <c r="W1006" s="61" t="n">
        <f aca="false">Resumo!$B$9</f>
        <v>1</v>
      </c>
      <c r="X1006" s="61" t="n">
        <f aca="false">Resumo!$B$10*CEILING(G1006/100,1)</f>
        <v>4.5</v>
      </c>
      <c r="Y1006" s="61" t="n">
        <f aca="false">Resumo!$B$12*CEILING(G1006,1)</f>
        <v>3.18</v>
      </c>
      <c r="Z1006" s="61" t="n">
        <f aca="false">Resumo!$B$14*CEILING(G1006,1)</f>
        <v>23.85</v>
      </c>
      <c r="AA1006" s="61" t="n">
        <f aca="false">SUM(T1006:Z1006)</f>
        <v>162.48368</v>
      </c>
      <c r="AB1006" s="61" t="n">
        <f aca="false">AA1006/(1-Resumo!$B$5)</f>
        <v>184.640545454545</v>
      </c>
      <c r="AC1006" s="61" t="n">
        <f aca="false">AB1006-S1006</f>
        <v>57.4028727272727</v>
      </c>
      <c r="AD1006" s="62" t="n">
        <f aca="false">AB1006/S1006-1</f>
        <v>0.451146830155506</v>
      </c>
      <c r="AE1006" s="60" t="str">
        <f aca="false">IF(AB1006&lt;S1006,"SIM","NÃO")</f>
        <v>NÃO</v>
      </c>
      <c r="AF1006" s="60" t="n">
        <v>2</v>
      </c>
      <c r="AG1006" s="60" t="n">
        <v>7</v>
      </c>
      <c r="AH1006" s="60" t="s">
        <v>382</v>
      </c>
      <c r="AI1006" s="61" t="n">
        <f aca="false">(T1006*(1-Painel!$C$40)+U1006+V1006+Painel!$C$41+Painel!$C$42*CEILING(G1006/100,1)+Painel!$C$43*CEILING(G1006,1)+Z1006)/(1-Resumo!$B$5)</f>
        <v>129.053954545455</v>
      </c>
      <c r="AJ1006" s="60" t="str">
        <f aca="false">IF(AI1006&lt;S1006,"SIM","NÃO")</f>
        <v>NÃO</v>
      </c>
    </row>
    <row r="1007" customFormat="false" ht="15" hidden="false" customHeight="false" outlineLevel="0" collapsed="false">
      <c r="A1007" s="59" t="n">
        <v>46248.8289467593</v>
      </c>
      <c r="B1007" s="60" t="s">
        <v>1087</v>
      </c>
      <c r="C1007" s="60" t="n">
        <v>28080095</v>
      </c>
      <c r="D1007" s="60" t="s">
        <v>51</v>
      </c>
      <c r="E1007" s="60" t="s">
        <v>24</v>
      </c>
      <c r="F1007" s="60" t="s">
        <v>235</v>
      </c>
      <c r="G1007" s="60" t="n">
        <v>46.8</v>
      </c>
      <c r="H1007" s="61" t="n">
        <v>506.56</v>
      </c>
      <c r="I1007" s="61" t="n">
        <v>77.7</v>
      </c>
      <c r="J1007" s="61" t="n">
        <f aca="false">H1007*Resumo!$C$6</f>
        <v>0</v>
      </c>
      <c r="K1007" s="61" t="n">
        <f aca="false">H1007*Resumo!$C$7</f>
        <v>1.063776</v>
      </c>
      <c r="L1007" s="61" t="n">
        <f aca="false">H1007*Resumo!$C$8</f>
        <v>1.063776</v>
      </c>
      <c r="M1007" s="61" t="n">
        <f aca="false">Resumo!$C$10*CEILING(G1007/100,1)</f>
        <v>1.05</v>
      </c>
      <c r="N1007" s="61" t="n">
        <f aca="false">Resumo!$C$9</f>
        <v>0</v>
      </c>
      <c r="O1007" s="61" t="n">
        <f aca="false">Resumo!$C$13</f>
        <v>13.55</v>
      </c>
      <c r="P1007" s="61" t="n">
        <f aca="false">Resumo!$C$14*CEILING(G1007,1)</f>
        <v>21.15</v>
      </c>
      <c r="Q1007" s="61" t="n">
        <f aca="false">SUM(I1007:P1007)*Resumo!$C$11</f>
        <v>0</v>
      </c>
      <c r="R1007" s="61" t="n">
        <f aca="false">SUM(I1007:Q1007)</f>
        <v>115.577552</v>
      </c>
      <c r="S1007" s="61" t="n">
        <f aca="false">R1007/(1-Resumo!$C$5)</f>
        <v>131.338127272727</v>
      </c>
      <c r="T1007" s="61" t="n">
        <v>152.54</v>
      </c>
      <c r="U1007" s="61" t="n">
        <f aca="false">H1007*Resumo!$B$6</f>
        <v>0.50656</v>
      </c>
      <c r="V1007" s="61" t="n">
        <f aca="false">H1007*Resumo!$B$7</f>
        <v>1.01312</v>
      </c>
      <c r="W1007" s="61" t="n">
        <f aca="false">Resumo!$B$9</f>
        <v>1</v>
      </c>
      <c r="X1007" s="61" t="n">
        <f aca="false">Resumo!$B$10*CEILING(G1007/100,1)</f>
        <v>4.5</v>
      </c>
      <c r="Y1007" s="61" t="n">
        <f aca="false">Resumo!$B$12*CEILING(G1007,1)</f>
        <v>2.82</v>
      </c>
      <c r="Z1007" s="61" t="n">
        <f aca="false">Resumo!$B$14*CEILING(G1007,1)</f>
        <v>21.15</v>
      </c>
      <c r="AA1007" s="61" t="n">
        <f aca="false">SUM(T1007:Z1007)</f>
        <v>183.52968</v>
      </c>
      <c r="AB1007" s="61" t="n">
        <f aca="false">AA1007/(1-Resumo!$B$5)</f>
        <v>208.556454545455</v>
      </c>
      <c r="AC1007" s="61" t="n">
        <f aca="false">AB1007-S1007</f>
        <v>77.2183272727272</v>
      </c>
      <c r="AD1007" s="62" t="n">
        <f aca="false">AB1007/S1007-1</f>
        <v>0.587935345784101</v>
      </c>
      <c r="AE1007" s="60" t="str">
        <f aca="false">IF(AB1007&lt;S1007,"SIM","NÃO")</f>
        <v>NÃO</v>
      </c>
      <c r="AF1007" s="60" t="n">
        <v>13</v>
      </c>
      <c r="AG1007" s="60" t="n">
        <v>11</v>
      </c>
      <c r="AH1007" s="60" t="s">
        <v>382</v>
      </c>
      <c r="AI1007" s="61" t="n">
        <f aca="false">(T1007*(1-Painel!$C$40)+U1007+V1007+Painel!$C$41+Painel!$C$42*CEILING(G1007/100,1)+Painel!$C$43*CEILING(G1007,1)+Z1007)/(1-Resumo!$B$5)</f>
        <v>144.228954545455</v>
      </c>
      <c r="AJ1007" s="60" t="str">
        <f aca="false">IF(AI1007&lt;S1007,"SIM","NÃO")</f>
        <v>NÃO</v>
      </c>
    </row>
    <row r="1008" customFormat="false" ht="15" hidden="false" customHeight="false" outlineLevel="0" collapsed="false">
      <c r="A1008" s="59" t="n">
        <v>46248.8427662037</v>
      </c>
      <c r="B1008" s="60" t="s">
        <v>1329</v>
      </c>
      <c r="C1008" s="60" t="n">
        <v>20761120</v>
      </c>
      <c r="D1008" s="60" t="s">
        <v>46</v>
      </c>
      <c r="E1008" s="60" t="s">
        <v>22</v>
      </c>
      <c r="F1008" s="60" t="s">
        <v>233</v>
      </c>
      <c r="G1008" s="60" t="n">
        <v>27.5</v>
      </c>
      <c r="H1008" s="61" t="n">
        <v>369.99</v>
      </c>
      <c r="I1008" s="61" t="n">
        <v>42.11</v>
      </c>
      <c r="J1008" s="61" t="n">
        <f aca="false">H1008*Resumo!$C$6</f>
        <v>0</v>
      </c>
      <c r="K1008" s="61" t="n">
        <f aca="false">H1008*Resumo!$C$7</f>
        <v>0.776979</v>
      </c>
      <c r="L1008" s="61" t="n">
        <f aca="false">H1008*Resumo!$C$8</f>
        <v>0.776979</v>
      </c>
      <c r="M1008" s="61" t="n">
        <f aca="false">Resumo!$C$10*CEILING(G1008/100,1)</f>
        <v>1.05</v>
      </c>
      <c r="N1008" s="61" t="n">
        <f aca="false">Resumo!$C$9</f>
        <v>0</v>
      </c>
      <c r="O1008" s="61" t="n">
        <f aca="false">Resumo!$C$13</f>
        <v>13.55</v>
      </c>
      <c r="P1008" s="61" t="n">
        <f aca="false">Resumo!$C$14*CEILING(G1008,1)</f>
        <v>12.6</v>
      </c>
      <c r="Q1008" s="61" t="n">
        <f aca="false">SUM(I1008:P1008)*Resumo!$C$11</f>
        <v>0</v>
      </c>
      <c r="R1008" s="61" t="n">
        <f aca="false">SUM(I1008:Q1008)</f>
        <v>70.863958</v>
      </c>
      <c r="S1008" s="61" t="n">
        <f aca="false">R1008/(1-Resumo!$C$5)</f>
        <v>80.527225</v>
      </c>
      <c r="T1008" s="61" t="n">
        <v>82.21</v>
      </c>
      <c r="U1008" s="61" t="n">
        <f aca="false">H1008*Resumo!$B$6</f>
        <v>0.36999</v>
      </c>
      <c r="V1008" s="61" t="n">
        <f aca="false">H1008*Resumo!$B$7</f>
        <v>0.73998</v>
      </c>
      <c r="W1008" s="61" t="n">
        <f aca="false">Resumo!$B$9</f>
        <v>1</v>
      </c>
      <c r="X1008" s="61" t="n">
        <f aca="false">Resumo!$B$10*CEILING(G1008/100,1)</f>
        <v>4.5</v>
      </c>
      <c r="Y1008" s="61" t="n">
        <f aca="false">Resumo!$B$12*CEILING(G1008,1)</f>
        <v>1.68</v>
      </c>
      <c r="Z1008" s="61" t="n">
        <f aca="false">Resumo!$B$14*CEILING(G1008,1)</f>
        <v>12.6</v>
      </c>
      <c r="AA1008" s="61" t="n">
        <f aca="false">SUM(T1008:Z1008)</f>
        <v>103.09997</v>
      </c>
      <c r="AB1008" s="61" t="n">
        <f aca="false">AA1008/(1-Resumo!$B$5)</f>
        <v>117.159056818182</v>
      </c>
      <c r="AC1008" s="61" t="n">
        <f aca="false">AB1008-S1008</f>
        <v>36.6318318181818</v>
      </c>
      <c r="AD1008" s="62" t="n">
        <f aca="false">AB1008/S1008-1</f>
        <v>0.454899964802982</v>
      </c>
      <c r="AE1008" s="60" t="str">
        <f aca="false">IF(AB1008&lt;S1008,"SIM","NÃO")</f>
        <v>NÃO</v>
      </c>
      <c r="AF1008" s="60" t="n">
        <v>2</v>
      </c>
      <c r="AG1008" s="60" t="n">
        <v>5</v>
      </c>
      <c r="AH1008" s="60" t="s">
        <v>382</v>
      </c>
      <c r="AI1008" s="61" t="n">
        <f aca="false">(T1008*(1-Painel!$C$40)+U1008+V1008+Painel!$C$41+Painel!$C$42*CEILING(G1008/100,1)+Painel!$C$43*CEILING(G1008,1)+Z1008)/(1-Resumo!$B$5)</f>
        <v>80.5007613636364</v>
      </c>
      <c r="AJ1008" s="60" t="str">
        <f aca="false">IF(AI1008&lt;S1008,"SIM","NÃO")</f>
        <v>SIM</v>
      </c>
    </row>
    <row r="1009" customFormat="false" ht="15" hidden="false" customHeight="false" outlineLevel="0" collapsed="false">
      <c r="A1009" s="59" t="n">
        <v>46248.8745949074</v>
      </c>
      <c r="B1009" s="60" t="s">
        <v>1330</v>
      </c>
      <c r="C1009" s="60" t="n">
        <v>28635360</v>
      </c>
      <c r="D1009" s="60" t="s">
        <v>226</v>
      </c>
      <c r="E1009" s="60" t="s">
        <v>24</v>
      </c>
      <c r="F1009" s="60" t="s">
        <v>233</v>
      </c>
      <c r="G1009" s="60" t="n">
        <v>31.9</v>
      </c>
      <c r="H1009" s="61" t="n">
        <v>518.79</v>
      </c>
      <c r="I1009" s="61" t="n">
        <v>65.63</v>
      </c>
      <c r="J1009" s="61" t="n">
        <f aca="false">H1009*Resumo!$C$6</f>
        <v>0</v>
      </c>
      <c r="K1009" s="61" t="n">
        <f aca="false">H1009*Resumo!$C$7</f>
        <v>1.089459</v>
      </c>
      <c r="L1009" s="61" t="n">
        <f aca="false">H1009*Resumo!$C$8</f>
        <v>1.089459</v>
      </c>
      <c r="M1009" s="61" t="n">
        <f aca="false">Resumo!$C$10*CEILING(G1009/100,1)</f>
        <v>1.05</v>
      </c>
      <c r="N1009" s="61" t="n">
        <f aca="false">Resumo!$C$9</f>
        <v>0</v>
      </c>
      <c r="O1009" s="61" t="n">
        <f aca="false">Resumo!$C$13</f>
        <v>13.55</v>
      </c>
      <c r="P1009" s="61" t="n">
        <f aca="false">Resumo!$C$14*CEILING(G1009,1)</f>
        <v>14.4</v>
      </c>
      <c r="Q1009" s="61" t="n">
        <f aca="false">SUM(I1009:P1009)*Resumo!$C$11</f>
        <v>0</v>
      </c>
      <c r="R1009" s="61" t="n">
        <f aca="false">SUM(I1009:Q1009)</f>
        <v>96.808918</v>
      </c>
      <c r="S1009" s="61" t="n">
        <f aca="false">R1009/(1-Resumo!$C$5)</f>
        <v>110.010134090909</v>
      </c>
      <c r="T1009" s="61" t="n">
        <v>120.78</v>
      </c>
      <c r="U1009" s="61" t="n">
        <f aca="false">H1009*Resumo!$B$6</f>
        <v>0.51879</v>
      </c>
      <c r="V1009" s="61" t="n">
        <f aca="false">H1009*Resumo!$B$7</f>
        <v>1.03758</v>
      </c>
      <c r="W1009" s="61" t="n">
        <f aca="false">Resumo!$B$9</f>
        <v>1</v>
      </c>
      <c r="X1009" s="61" t="n">
        <f aca="false">Resumo!$B$10*CEILING(G1009/100,1)</f>
        <v>4.5</v>
      </c>
      <c r="Y1009" s="61" t="n">
        <f aca="false">Resumo!$B$12*CEILING(G1009,1)</f>
        <v>1.92</v>
      </c>
      <c r="Z1009" s="61" t="n">
        <f aca="false">Resumo!$B$14*CEILING(G1009,1)</f>
        <v>14.4</v>
      </c>
      <c r="AA1009" s="61" t="n">
        <f aca="false">SUM(T1009:Z1009)</f>
        <v>144.15637</v>
      </c>
      <c r="AB1009" s="61" t="n">
        <f aca="false">AA1009/(1-Resumo!$B$5)</f>
        <v>163.814056818182</v>
      </c>
      <c r="AC1009" s="61" t="n">
        <f aca="false">AB1009-S1009</f>
        <v>53.8039227272727</v>
      </c>
      <c r="AD1009" s="62" t="n">
        <f aca="false">AB1009/S1009-1</f>
        <v>0.489081512097884</v>
      </c>
      <c r="AE1009" s="60" t="str">
        <f aca="false">IF(AB1009&lt;S1009,"SIM","NÃO")</f>
        <v>NÃO</v>
      </c>
      <c r="AF1009" s="60" t="n">
        <v>13</v>
      </c>
      <c r="AG1009" s="60" t="n">
        <v>10</v>
      </c>
      <c r="AH1009" s="60" t="s">
        <v>382</v>
      </c>
      <c r="AI1009" s="61" t="n">
        <f aca="false">(T1009*(1-Painel!$C$40)+U1009+V1009+Painel!$C$41+Painel!$C$42*CEILING(G1009/100,1)+Painel!$C$43*CEILING(G1009,1)+Z1009)/(1-Resumo!$B$5)</f>
        <v>112.419284090909</v>
      </c>
      <c r="AJ1009" s="60" t="str">
        <f aca="false">IF(AI1009&lt;S1009,"SIM","NÃO")</f>
        <v>NÃO</v>
      </c>
    </row>
    <row r="1010" customFormat="false" ht="15" hidden="false" customHeight="false" outlineLevel="0" collapsed="false">
      <c r="A1010" s="59" t="n">
        <v>46248.8852199074</v>
      </c>
      <c r="B1010" s="60" t="s">
        <v>1331</v>
      </c>
      <c r="C1010" s="60" t="n">
        <v>26554300</v>
      </c>
      <c r="D1010" s="60" t="s">
        <v>224</v>
      </c>
      <c r="E1010" s="60" t="s">
        <v>23</v>
      </c>
      <c r="F1010" s="60" t="s">
        <v>236</v>
      </c>
      <c r="G1010" s="60" t="n">
        <v>59.9</v>
      </c>
      <c r="H1010" s="61" t="n">
        <v>901.58</v>
      </c>
      <c r="I1010" s="61" t="n">
        <v>70.98</v>
      </c>
      <c r="J1010" s="61" t="n">
        <f aca="false">H1010*Resumo!$C$6</f>
        <v>0</v>
      </c>
      <c r="K1010" s="61" t="n">
        <f aca="false">H1010*Resumo!$C$7</f>
        <v>1.893318</v>
      </c>
      <c r="L1010" s="61" t="n">
        <f aca="false">H1010*Resumo!$C$8</f>
        <v>1.893318</v>
      </c>
      <c r="M1010" s="61" t="n">
        <f aca="false">Resumo!$C$10*CEILING(G1010/100,1)</f>
        <v>1.05</v>
      </c>
      <c r="N1010" s="61" t="n">
        <f aca="false">Resumo!$C$9</f>
        <v>0</v>
      </c>
      <c r="O1010" s="61" t="n">
        <f aca="false">Resumo!$C$13</f>
        <v>13.55</v>
      </c>
      <c r="P1010" s="61" t="n">
        <f aca="false">Resumo!$C$14*CEILING(G1010,1)</f>
        <v>27</v>
      </c>
      <c r="Q1010" s="61" t="n">
        <f aca="false">SUM(I1010:P1010)*Resumo!$C$11</f>
        <v>0</v>
      </c>
      <c r="R1010" s="61" t="n">
        <f aca="false">SUM(I1010:Q1010)</f>
        <v>116.366636</v>
      </c>
      <c r="S1010" s="61" t="n">
        <f aca="false">R1010/(1-Resumo!$C$5)</f>
        <v>132.234813636364</v>
      </c>
      <c r="T1010" s="61" t="n">
        <v>112.3</v>
      </c>
      <c r="U1010" s="61" t="n">
        <f aca="false">H1010*Resumo!$B$6</f>
        <v>0.90158</v>
      </c>
      <c r="V1010" s="61" t="n">
        <f aca="false">H1010*Resumo!$B$7</f>
        <v>1.80316</v>
      </c>
      <c r="W1010" s="61" t="n">
        <f aca="false">Resumo!$B$9</f>
        <v>1</v>
      </c>
      <c r="X1010" s="61" t="n">
        <f aca="false">Resumo!$B$10*CEILING(G1010/100,1)</f>
        <v>4.5</v>
      </c>
      <c r="Y1010" s="61" t="n">
        <f aca="false">Resumo!$B$12*CEILING(G1010,1)</f>
        <v>3.6</v>
      </c>
      <c r="Z1010" s="61" t="n">
        <f aca="false">Resumo!$B$14*CEILING(G1010,1)</f>
        <v>27</v>
      </c>
      <c r="AA1010" s="61" t="n">
        <f aca="false">SUM(T1010:Z1010)</f>
        <v>151.10474</v>
      </c>
      <c r="AB1010" s="61" t="n">
        <f aca="false">AA1010/(1-Resumo!$B$5)</f>
        <v>171.709931818182</v>
      </c>
      <c r="AC1010" s="61" t="n">
        <f aca="false">AB1010-S1010</f>
        <v>39.4751181818182</v>
      </c>
      <c r="AD1010" s="62" t="n">
        <f aca="false">AB1010/S1010-1</f>
        <v>0.298522885889732</v>
      </c>
      <c r="AE1010" s="60" t="str">
        <f aca="false">IF(AB1010&lt;S1010,"SIM","NÃO")</f>
        <v>NÃO</v>
      </c>
      <c r="AF1010" s="60" t="n">
        <v>2</v>
      </c>
      <c r="AG1010" s="60" t="n">
        <v>5</v>
      </c>
      <c r="AH1010" s="60" t="s">
        <v>382</v>
      </c>
      <c r="AI1010" s="61" t="n">
        <f aca="false">(T1010*(1-Painel!$C$40)+U1010+V1010+Painel!$C$41+Painel!$C$42*CEILING(G1010/100,1)+Painel!$C$43*CEILING(G1010,1)+Z1010)/(1-Resumo!$B$5)</f>
        <v>121.586068181818</v>
      </c>
      <c r="AJ1010" s="60" t="str">
        <f aca="false">IF(AI1010&lt;S1010,"SIM","NÃO")</f>
        <v>SIM</v>
      </c>
    </row>
    <row r="1011" customFormat="false" ht="15" hidden="false" customHeight="false" outlineLevel="0" collapsed="false">
      <c r="A1011" s="59" t="n">
        <v>46248.8966203704</v>
      </c>
      <c r="B1011" s="60" t="s">
        <v>1332</v>
      </c>
      <c r="C1011" s="60" t="n">
        <v>27250005</v>
      </c>
      <c r="D1011" s="60" t="s">
        <v>217</v>
      </c>
      <c r="E1011" s="60" t="s">
        <v>24</v>
      </c>
      <c r="F1011" s="60" t="s">
        <v>236</v>
      </c>
      <c r="G1011" s="60" t="n">
        <v>52.3</v>
      </c>
      <c r="H1011" s="61" t="n">
        <v>577.12</v>
      </c>
      <c r="I1011" s="61" t="n">
        <v>83.58</v>
      </c>
      <c r="J1011" s="61" t="n">
        <f aca="false">H1011*Resumo!$C$6</f>
        <v>0</v>
      </c>
      <c r="K1011" s="61" t="n">
        <f aca="false">H1011*Resumo!$C$7</f>
        <v>1.211952</v>
      </c>
      <c r="L1011" s="61" t="n">
        <f aca="false">H1011*Resumo!$C$8</f>
        <v>1.211952</v>
      </c>
      <c r="M1011" s="61" t="n">
        <f aca="false">Resumo!$C$10*CEILING(G1011/100,1)</f>
        <v>1.05</v>
      </c>
      <c r="N1011" s="61" t="n">
        <f aca="false">Resumo!$C$9</f>
        <v>0</v>
      </c>
      <c r="O1011" s="61" t="n">
        <f aca="false">Resumo!$C$13</f>
        <v>13.55</v>
      </c>
      <c r="P1011" s="61" t="n">
        <f aca="false">Resumo!$C$14*CEILING(G1011,1)</f>
        <v>23.85</v>
      </c>
      <c r="Q1011" s="61" t="n">
        <f aca="false">SUM(I1011:P1011)*Resumo!$C$11</f>
        <v>0</v>
      </c>
      <c r="R1011" s="61" t="n">
        <f aca="false">SUM(I1011:Q1011)</f>
        <v>124.453904</v>
      </c>
      <c r="S1011" s="61" t="n">
        <f aca="false">R1011/(1-Resumo!$C$5)</f>
        <v>141.424890909091</v>
      </c>
      <c r="T1011" s="61" t="n">
        <v>142.32</v>
      </c>
      <c r="U1011" s="61" t="n">
        <f aca="false">H1011*Resumo!$B$6</f>
        <v>0.57712</v>
      </c>
      <c r="V1011" s="61" t="n">
        <f aca="false">H1011*Resumo!$B$7</f>
        <v>1.15424</v>
      </c>
      <c r="W1011" s="61" t="n">
        <f aca="false">Resumo!$B$9</f>
        <v>1</v>
      </c>
      <c r="X1011" s="61" t="n">
        <f aca="false">Resumo!$B$10*CEILING(G1011/100,1)</f>
        <v>4.5</v>
      </c>
      <c r="Y1011" s="61" t="n">
        <f aca="false">Resumo!$B$12*CEILING(G1011,1)</f>
        <v>3.18</v>
      </c>
      <c r="Z1011" s="61" t="n">
        <f aca="false">Resumo!$B$14*CEILING(G1011,1)</f>
        <v>23.85</v>
      </c>
      <c r="AA1011" s="61" t="n">
        <f aca="false">SUM(T1011:Z1011)</f>
        <v>176.58136</v>
      </c>
      <c r="AB1011" s="61" t="n">
        <f aca="false">AA1011/(1-Resumo!$B$5)</f>
        <v>200.660636363636</v>
      </c>
      <c r="AC1011" s="61" t="n">
        <f aca="false">AB1011-S1011</f>
        <v>59.2357454545455</v>
      </c>
      <c r="AD1011" s="62" t="n">
        <f aca="false">AB1011/S1011-1</f>
        <v>0.418849504311251</v>
      </c>
      <c r="AE1011" s="60" t="str">
        <f aca="false">IF(AB1011&lt;S1011,"SIM","NÃO")</f>
        <v>NÃO</v>
      </c>
      <c r="AF1011" s="60" t="n">
        <v>13</v>
      </c>
      <c r="AG1011" s="60" t="n">
        <v>10</v>
      </c>
      <c r="AH1011" s="60" t="s">
        <v>382</v>
      </c>
      <c r="AI1011" s="61" t="n">
        <f aca="false">(T1011*(1-Painel!$C$40)+U1011+V1011+Painel!$C$41+Painel!$C$42*CEILING(G1011/100,1)+Painel!$C$43*CEILING(G1011,1)+Z1011)/(1-Resumo!$B$5)</f>
        <v>139.756545454545</v>
      </c>
      <c r="AJ1011" s="60" t="str">
        <f aca="false">IF(AI1011&lt;S1011,"SIM","NÃO")</f>
        <v>SIM</v>
      </c>
    </row>
    <row r="1012" customFormat="false" ht="15" hidden="false" customHeight="false" outlineLevel="0" collapsed="false">
      <c r="A1012" s="59" t="n">
        <v>46248.909224537</v>
      </c>
      <c r="B1012" s="60" t="s">
        <v>1333</v>
      </c>
      <c r="C1012" s="60" t="n">
        <v>26215210</v>
      </c>
      <c r="D1012" s="60" t="s">
        <v>49</v>
      </c>
      <c r="E1012" s="60" t="s">
        <v>23</v>
      </c>
      <c r="F1012" s="60" t="s">
        <v>236</v>
      </c>
      <c r="G1012" s="60" t="n">
        <v>52.3</v>
      </c>
      <c r="H1012" s="61" t="n">
        <v>616.99</v>
      </c>
      <c r="I1012" s="61" t="n">
        <v>70.98</v>
      </c>
      <c r="J1012" s="61" t="n">
        <f aca="false">H1012*Resumo!$C$6</f>
        <v>0</v>
      </c>
      <c r="K1012" s="61" t="n">
        <f aca="false">H1012*Resumo!$C$7</f>
        <v>1.295679</v>
      </c>
      <c r="L1012" s="61" t="n">
        <f aca="false">H1012*Resumo!$C$8</f>
        <v>1.295679</v>
      </c>
      <c r="M1012" s="61" t="n">
        <f aca="false">Resumo!$C$10*CEILING(G1012/100,1)</f>
        <v>1.05</v>
      </c>
      <c r="N1012" s="61" t="n">
        <f aca="false">Resumo!$C$9</f>
        <v>0</v>
      </c>
      <c r="O1012" s="61" t="n">
        <f aca="false">Resumo!$C$13</f>
        <v>13.55</v>
      </c>
      <c r="P1012" s="61" t="n">
        <f aca="false">Resumo!$C$14*CEILING(G1012,1)</f>
        <v>23.85</v>
      </c>
      <c r="Q1012" s="61" t="n">
        <f aca="false">SUM(I1012:P1012)*Resumo!$C$11</f>
        <v>0</v>
      </c>
      <c r="R1012" s="61" t="n">
        <f aca="false">SUM(I1012:Q1012)</f>
        <v>112.021358</v>
      </c>
      <c r="S1012" s="61" t="n">
        <f aca="false">R1012/(1-Resumo!$C$5)</f>
        <v>127.296997727273</v>
      </c>
      <c r="T1012" s="61" t="n">
        <v>112.3</v>
      </c>
      <c r="U1012" s="61" t="n">
        <f aca="false">H1012*Resumo!$B$6</f>
        <v>0.61699</v>
      </c>
      <c r="V1012" s="61" t="n">
        <f aca="false">H1012*Resumo!$B$7</f>
        <v>1.23398</v>
      </c>
      <c r="W1012" s="61" t="n">
        <f aca="false">Resumo!$B$9</f>
        <v>1</v>
      </c>
      <c r="X1012" s="61" t="n">
        <f aca="false">Resumo!$B$10*CEILING(G1012/100,1)</f>
        <v>4.5</v>
      </c>
      <c r="Y1012" s="61" t="n">
        <f aca="false">Resumo!$B$12*CEILING(G1012,1)</f>
        <v>3.18</v>
      </c>
      <c r="Z1012" s="61" t="n">
        <f aca="false">Resumo!$B$14*CEILING(G1012,1)</f>
        <v>23.85</v>
      </c>
      <c r="AA1012" s="61" t="n">
        <f aca="false">SUM(T1012:Z1012)</f>
        <v>146.68097</v>
      </c>
      <c r="AB1012" s="61" t="n">
        <f aca="false">AA1012/(1-Resumo!$B$5)</f>
        <v>166.682920454545</v>
      </c>
      <c r="AC1012" s="61" t="n">
        <f aca="false">AB1012-S1012</f>
        <v>39.3859227272727</v>
      </c>
      <c r="AD1012" s="62" t="n">
        <f aca="false">AB1012/S1012-1</f>
        <v>0.309401819606579</v>
      </c>
      <c r="AE1012" s="60" t="str">
        <f aca="false">IF(AB1012&lt;S1012,"SIM","NÃO")</f>
        <v>NÃO</v>
      </c>
      <c r="AF1012" s="60" t="n">
        <v>2</v>
      </c>
      <c r="AG1012" s="60" t="n">
        <v>5</v>
      </c>
      <c r="AH1012" s="60" t="s">
        <v>382</v>
      </c>
      <c r="AI1012" s="61" t="n">
        <f aca="false">(T1012*(1-Painel!$C$40)+U1012+V1012+Painel!$C$41+Painel!$C$42*CEILING(G1012/100,1)+Painel!$C$43*CEILING(G1012,1)+Z1012)/(1-Resumo!$B$5)</f>
        <v>117.036329545455</v>
      </c>
      <c r="AJ1012" s="60" t="str">
        <f aca="false">IF(AI1012&lt;S1012,"SIM","NÃO")</f>
        <v>SIM</v>
      </c>
    </row>
    <row r="1013" customFormat="false" ht="15" hidden="false" customHeight="false" outlineLevel="0" collapsed="false">
      <c r="A1013" s="59" t="n">
        <v>46248.9093171296</v>
      </c>
      <c r="B1013" s="60" t="s">
        <v>1334</v>
      </c>
      <c r="C1013" s="60" t="n">
        <v>23575275</v>
      </c>
      <c r="D1013" s="60" t="s">
        <v>46</v>
      </c>
      <c r="E1013" s="60" t="s">
        <v>22</v>
      </c>
      <c r="F1013" s="60" t="s">
        <v>234</v>
      </c>
      <c r="G1013" s="60" t="n">
        <v>36</v>
      </c>
      <c r="H1013" s="61" t="n">
        <v>449.99</v>
      </c>
      <c r="I1013" s="61" t="n">
        <v>48.35</v>
      </c>
      <c r="J1013" s="61" t="n">
        <f aca="false">H1013*Resumo!$C$6</f>
        <v>0</v>
      </c>
      <c r="K1013" s="61" t="n">
        <f aca="false">H1013*Resumo!$C$7</f>
        <v>0.944979</v>
      </c>
      <c r="L1013" s="61" t="n">
        <f aca="false">H1013*Resumo!$C$8</f>
        <v>0.944979</v>
      </c>
      <c r="M1013" s="61" t="n">
        <f aca="false">Resumo!$C$10*CEILING(G1013/100,1)</f>
        <v>1.05</v>
      </c>
      <c r="N1013" s="61" t="n">
        <f aca="false">Resumo!$C$9</f>
        <v>0</v>
      </c>
      <c r="O1013" s="61" t="n">
        <f aca="false">Resumo!$C$13</f>
        <v>13.55</v>
      </c>
      <c r="P1013" s="61" t="n">
        <f aca="false">Resumo!$C$14*CEILING(G1013,1)</f>
        <v>16.2</v>
      </c>
      <c r="Q1013" s="61" t="n">
        <f aca="false">SUM(I1013:P1013)*Resumo!$C$11</f>
        <v>0</v>
      </c>
      <c r="R1013" s="61" t="n">
        <f aca="false">SUM(I1013:Q1013)</f>
        <v>81.039958</v>
      </c>
      <c r="S1013" s="61" t="n">
        <f aca="false">R1013/(1-Resumo!$C$5)</f>
        <v>92.0908613636364</v>
      </c>
      <c r="T1013" s="61" t="n">
        <v>93.97</v>
      </c>
      <c r="U1013" s="61" t="n">
        <f aca="false">H1013*Resumo!$B$6</f>
        <v>0.44999</v>
      </c>
      <c r="V1013" s="61" t="n">
        <f aca="false">H1013*Resumo!$B$7</f>
        <v>0.89998</v>
      </c>
      <c r="W1013" s="61" t="n">
        <f aca="false">Resumo!$B$9</f>
        <v>1</v>
      </c>
      <c r="X1013" s="61" t="n">
        <f aca="false">Resumo!$B$10*CEILING(G1013/100,1)</f>
        <v>4.5</v>
      </c>
      <c r="Y1013" s="61" t="n">
        <f aca="false">Resumo!$B$12*CEILING(G1013,1)</f>
        <v>2.16</v>
      </c>
      <c r="Z1013" s="61" t="n">
        <f aca="false">Resumo!$B$14*CEILING(G1013,1)</f>
        <v>16.2</v>
      </c>
      <c r="AA1013" s="61" t="n">
        <f aca="false">SUM(T1013:Z1013)</f>
        <v>119.17997</v>
      </c>
      <c r="AB1013" s="61" t="n">
        <f aca="false">AA1013/(1-Resumo!$B$5)</f>
        <v>135.431784090909</v>
      </c>
      <c r="AC1013" s="61" t="n">
        <f aca="false">AB1013-S1013</f>
        <v>43.3409227272727</v>
      </c>
      <c r="AD1013" s="62" t="n">
        <f aca="false">AB1013/S1013-1</f>
        <v>0.470632178758039</v>
      </c>
      <c r="AE1013" s="60" t="str">
        <f aca="false">IF(AB1013&lt;S1013,"SIM","NÃO")</f>
        <v>NÃO</v>
      </c>
      <c r="AF1013" s="60" t="n">
        <v>2</v>
      </c>
      <c r="AG1013" s="60" t="n">
        <v>5</v>
      </c>
      <c r="AH1013" s="60" t="s">
        <v>382</v>
      </c>
      <c r="AI1013" s="61" t="n">
        <f aca="false">(T1013*(1-Painel!$C$40)+U1013+V1013+Painel!$C$41+Painel!$C$42*CEILING(G1013/100,1)+Painel!$C$43*CEILING(G1013,1)+Z1013)/(1-Resumo!$B$5)</f>
        <v>93.8180340909091</v>
      </c>
      <c r="AJ1013" s="60" t="str">
        <f aca="false">IF(AI1013&lt;S1013,"SIM","NÃO")</f>
        <v>NÃO</v>
      </c>
    </row>
    <row r="1014" customFormat="false" ht="15" hidden="false" customHeight="false" outlineLevel="0" collapsed="false">
      <c r="A1014" s="59" t="n">
        <v>46248.9150925926</v>
      </c>
      <c r="B1014" s="60" t="s">
        <v>1335</v>
      </c>
      <c r="C1014" s="60" t="n">
        <v>21745350</v>
      </c>
      <c r="D1014" s="60" t="s">
        <v>46</v>
      </c>
      <c r="E1014" s="60" t="s">
        <v>22</v>
      </c>
      <c r="F1014" s="60" t="s">
        <v>233</v>
      </c>
      <c r="G1014" s="60" t="n">
        <v>27.6</v>
      </c>
      <c r="H1014" s="61" t="n">
        <v>579.59</v>
      </c>
      <c r="I1014" s="61" t="n">
        <v>42.11</v>
      </c>
      <c r="J1014" s="61" t="n">
        <f aca="false">H1014*Resumo!$C$6</f>
        <v>0</v>
      </c>
      <c r="K1014" s="61" t="n">
        <f aca="false">H1014*Resumo!$C$7</f>
        <v>1.217139</v>
      </c>
      <c r="L1014" s="61" t="n">
        <f aca="false">H1014*Resumo!$C$8</f>
        <v>1.217139</v>
      </c>
      <c r="M1014" s="61" t="n">
        <f aca="false">Resumo!$C$10*CEILING(G1014/100,1)</f>
        <v>1.05</v>
      </c>
      <c r="N1014" s="61" t="n">
        <f aca="false">Resumo!$C$9</f>
        <v>0</v>
      </c>
      <c r="O1014" s="61" t="n">
        <f aca="false">Resumo!$C$13</f>
        <v>13.55</v>
      </c>
      <c r="P1014" s="61" t="n">
        <f aca="false">Resumo!$C$14*CEILING(G1014,1)</f>
        <v>12.6</v>
      </c>
      <c r="Q1014" s="61" t="n">
        <f aca="false">SUM(I1014:P1014)*Resumo!$C$11</f>
        <v>0</v>
      </c>
      <c r="R1014" s="61" t="n">
        <f aca="false">SUM(I1014:Q1014)</f>
        <v>71.744278</v>
      </c>
      <c r="S1014" s="61" t="n">
        <f aca="false">R1014/(1-Resumo!$C$5)</f>
        <v>81.5275886363636</v>
      </c>
      <c r="T1014" s="61" t="n">
        <v>82.21</v>
      </c>
      <c r="U1014" s="61" t="n">
        <f aca="false">H1014*Resumo!$B$6</f>
        <v>0.57959</v>
      </c>
      <c r="V1014" s="61" t="n">
        <f aca="false">H1014*Resumo!$B$7</f>
        <v>1.15918</v>
      </c>
      <c r="W1014" s="61" t="n">
        <f aca="false">Resumo!$B$9</f>
        <v>1</v>
      </c>
      <c r="X1014" s="61" t="n">
        <f aca="false">Resumo!$B$10*CEILING(G1014/100,1)</f>
        <v>4.5</v>
      </c>
      <c r="Y1014" s="61" t="n">
        <f aca="false">Resumo!$B$12*CEILING(G1014,1)</f>
        <v>1.68</v>
      </c>
      <c r="Z1014" s="61" t="n">
        <f aca="false">Resumo!$B$14*CEILING(G1014,1)</f>
        <v>12.6</v>
      </c>
      <c r="AA1014" s="61" t="n">
        <f aca="false">SUM(T1014:Z1014)</f>
        <v>103.72877</v>
      </c>
      <c r="AB1014" s="61" t="n">
        <f aca="false">AA1014/(1-Resumo!$B$5)</f>
        <v>117.873602272727</v>
      </c>
      <c r="AC1014" s="61" t="n">
        <f aca="false">AB1014-S1014</f>
        <v>36.3460136363636</v>
      </c>
      <c r="AD1014" s="62" t="n">
        <f aca="false">AB1014/S1014-1</f>
        <v>0.445812445140224</v>
      </c>
      <c r="AE1014" s="60" t="str">
        <f aca="false">IF(AB1014&lt;S1014,"SIM","NÃO")</f>
        <v>NÃO</v>
      </c>
      <c r="AF1014" s="60" t="n">
        <v>2</v>
      </c>
      <c r="AG1014" s="60" t="n">
        <v>5</v>
      </c>
      <c r="AH1014" s="60" t="s">
        <v>382</v>
      </c>
      <c r="AI1014" s="61" t="n">
        <f aca="false">(T1014*(1-Painel!$C$40)+U1014+V1014+Painel!$C$41+Painel!$C$42*CEILING(G1014/100,1)+Painel!$C$43*CEILING(G1014,1)+Z1014)/(1-Resumo!$B$5)</f>
        <v>81.2153068181818</v>
      </c>
      <c r="AJ1014" s="60" t="str">
        <f aca="false">IF(AI1014&lt;S1014,"SIM","NÃO")</f>
        <v>SIM</v>
      </c>
    </row>
    <row r="1015" customFormat="false" ht="15" hidden="false" customHeight="false" outlineLevel="0" collapsed="false">
      <c r="A1015" s="59" t="n">
        <v>46248.9294328704</v>
      </c>
      <c r="B1015" s="60" t="s">
        <v>952</v>
      </c>
      <c r="C1015" s="60" t="n">
        <v>22753053</v>
      </c>
      <c r="D1015" s="60" t="s">
        <v>46</v>
      </c>
      <c r="E1015" s="60" t="s">
        <v>22</v>
      </c>
      <c r="F1015" s="60" t="s">
        <v>235</v>
      </c>
      <c r="G1015" s="60" t="n">
        <v>45</v>
      </c>
      <c r="H1015" s="61" t="n">
        <v>659.99</v>
      </c>
      <c r="I1015" s="61" t="n">
        <v>53.55</v>
      </c>
      <c r="J1015" s="61" t="n">
        <f aca="false">H1015*Resumo!$C$6</f>
        <v>0</v>
      </c>
      <c r="K1015" s="61" t="n">
        <f aca="false">H1015*Resumo!$C$7</f>
        <v>1.385979</v>
      </c>
      <c r="L1015" s="61" t="n">
        <f aca="false">H1015*Resumo!$C$8</f>
        <v>1.385979</v>
      </c>
      <c r="M1015" s="61" t="n">
        <f aca="false">Resumo!$C$10*CEILING(G1015/100,1)</f>
        <v>1.05</v>
      </c>
      <c r="N1015" s="61" t="n">
        <f aca="false">Resumo!$C$9</f>
        <v>0</v>
      </c>
      <c r="O1015" s="61" t="n">
        <f aca="false">Resumo!$C$13</f>
        <v>13.55</v>
      </c>
      <c r="P1015" s="61" t="n">
        <f aca="false">Resumo!$C$14*CEILING(G1015,1)</f>
        <v>20.25</v>
      </c>
      <c r="Q1015" s="61" t="n">
        <f aca="false">SUM(I1015:P1015)*Resumo!$C$11</f>
        <v>0</v>
      </c>
      <c r="R1015" s="61" t="n">
        <f aca="false">SUM(I1015:Q1015)</f>
        <v>91.171958</v>
      </c>
      <c r="S1015" s="61" t="n">
        <f aca="false">R1015/(1-Resumo!$C$5)</f>
        <v>103.604497727273</v>
      </c>
      <c r="T1015" s="61" t="n">
        <v>93.97</v>
      </c>
      <c r="U1015" s="61" t="n">
        <f aca="false">H1015*Resumo!$B$6</f>
        <v>0.65999</v>
      </c>
      <c r="V1015" s="61" t="n">
        <f aca="false">H1015*Resumo!$B$7</f>
        <v>1.31998</v>
      </c>
      <c r="W1015" s="61" t="n">
        <f aca="false">Resumo!$B$9</f>
        <v>1</v>
      </c>
      <c r="X1015" s="61" t="n">
        <f aca="false">Resumo!$B$10*CEILING(G1015/100,1)</f>
        <v>4.5</v>
      </c>
      <c r="Y1015" s="61" t="n">
        <f aca="false">Resumo!$B$12*CEILING(G1015,1)</f>
        <v>2.7</v>
      </c>
      <c r="Z1015" s="61" t="n">
        <f aca="false">Resumo!$B$14*CEILING(G1015,1)</f>
        <v>20.25</v>
      </c>
      <c r="AA1015" s="61" t="n">
        <f aca="false">SUM(T1015:Z1015)</f>
        <v>124.39997</v>
      </c>
      <c r="AB1015" s="61" t="n">
        <f aca="false">AA1015/(1-Resumo!$B$5)</f>
        <v>141.363602272727</v>
      </c>
      <c r="AC1015" s="61" t="n">
        <f aca="false">AB1015-S1015</f>
        <v>37.7591045454545</v>
      </c>
      <c r="AD1015" s="62" t="n">
        <f aca="false">AB1015/S1015-1</f>
        <v>0.364454298546489</v>
      </c>
      <c r="AE1015" s="60" t="str">
        <f aca="false">IF(AB1015&lt;S1015,"SIM","NÃO")</f>
        <v>NÃO</v>
      </c>
      <c r="AF1015" s="60" t="n">
        <v>2</v>
      </c>
      <c r="AG1015" s="60" t="n">
        <v>5</v>
      </c>
      <c r="AH1015" s="60" t="s">
        <v>382</v>
      </c>
      <c r="AI1015" s="61" t="n">
        <f aca="false">(T1015*(1-Painel!$C$40)+U1015+V1015+Painel!$C$41+Painel!$C$42*CEILING(G1015/100,1)+Painel!$C$43*CEILING(G1015,1)+Z1015)/(1-Resumo!$B$5)</f>
        <v>99.1362159090909</v>
      </c>
      <c r="AJ1015" s="60" t="str">
        <f aca="false">IF(AI1015&lt;S1015,"SIM","NÃO")</f>
        <v>SIM</v>
      </c>
    </row>
    <row r="1016" customFormat="false" ht="15" hidden="false" customHeight="false" outlineLevel="0" collapsed="false">
      <c r="A1016" s="59" t="n">
        <v>46248.9441666667</v>
      </c>
      <c r="B1016" s="60" t="s">
        <v>1336</v>
      </c>
      <c r="C1016" s="60" t="n">
        <v>21725020</v>
      </c>
      <c r="D1016" s="60" t="s">
        <v>46</v>
      </c>
      <c r="E1016" s="60" t="s">
        <v>22</v>
      </c>
      <c r="F1016" s="60" t="s">
        <v>234</v>
      </c>
      <c r="G1016" s="60" t="n">
        <v>37.2</v>
      </c>
      <c r="H1016" s="61" t="n">
        <v>419.99</v>
      </c>
      <c r="I1016" s="61" t="n">
        <v>48.35</v>
      </c>
      <c r="J1016" s="61" t="n">
        <f aca="false">H1016*Resumo!$C$6</f>
        <v>0</v>
      </c>
      <c r="K1016" s="61" t="n">
        <f aca="false">H1016*Resumo!$C$7</f>
        <v>0.881979</v>
      </c>
      <c r="L1016" s="61" t="n">
        <f aca="false">H1016*Resumo!$C$8</f>
        <v>0.881979</v>
      </c>
      <c r="M1016" s="61" t="n">
        <f aca="false">Resumo!$C$10*CEILING(G1016/100,1)</f>
        <v>1.05</v>
      </c>
      <c r="N1016" s="61" t="n">
        <f aca="false">Resumo!$C$9</f>
        <v>0</v>
      </c>
      <c r="O1016" s="61" t="n">
        <f aca="false">Resumo!$C$13</f>
        <v>13.55</v>
      </c>
      <c r="P1016" s="61" t="n">
        <f aca="false">Resumo!$C$14*CEILING(G1016,1)</f>
        <v>17.1</v>
      </c>
      <c r="Q1016" s="61" t="n">
        <f aca="false">SUM(I1016:P1016)*Resumo!$C$11</f>
        <v>0</v>
      </c>
      <c r="R1016" s="61" t="n">
        <f aca="false">SUM(I1016:Q1016)</f>
        <v>81.813958</v>
      </c>
      <c r="S1016" s="61" t="n">
        <f aca="false">R1016/(1-Resumo!$C$5)</f>
        <v>92.9704068181818</v>
      </c>
      <c r="T1016" s="61" t="n">
        <v>93.97</v>
      </c>
      <c r="U1016" s="61" t="n">
        <f aca="false">H1016*Resumo!$B$6</f>
        <v>0.41999</v>
      </c>
      <c r="V1016" s="61" t="n">
        <f aca="false">H1016*Resumo!$B$7</f>
        <v>0.83998</v>
      </c>
      <c r="W1016" s="61" t="n">
        <f aca="false">Resumo!$B$9</f>
        <v>1</v>
      </c>
      <c r="X1016" s="61" t="n">
        <f aca="false">Resumo!$B$10*CEILING(G1016/100,1)</f>
        <v>4.5</v>
      </c>
      <c r="Y1016" s="61" t="n">
        <f aca="false">Resumo!$B$12*CEILING(G1016,1)</f>
        <v>2.28</v>
      </c>
      <c r="Z1016" s="61" t="n">
        <f aca="false">Resumo!$B$14*CEILING(G1016,1)</f>
        <v>17.1</v>
      </c>
      <c r="AA1016" s="61" t="n">
        <f aca="false">SUM(T1016:Z1016)</f>
        <v>120.10997</v>
      </c>
      <c r="AB1016" s="61" t="n">
        <f aca="false">AA1016/(1-Resumo!$B$5)</f>
        <v>136.488602272727</v>
      </c>
      <c r="AC1016" s="61" t="n">
        <f aca="false">AB1016-S1016</f>
        <v>43.5181954545454</v>
      </c>
      <c r="AD1016" s="62" t="n">
        <f aca="false">AB1016/S1016-1</f>
        <v>0.468086533596138</v>
      </c>
      <c r="AE1016" s="60" t="str">
        <f aca="false">IF(AB1016&lt;S1016,"SIM","NÃO")</f>
        <v>NÃO</v>
      </c>
      <c r="AF1016" s="60" t="n">
        <v>2</v>
      </c>
      <c r="AG1016" s="60" t="n">
        <v>5</v>
      </c>
      <c r="AH1016" s="60" t="s">
        <v>382</v>
      </c>
      <c r="AI1016" s="61" t="n">
        <f aca="false">(T1016*(1-Painel!$C$40)+U1016+V1016+Painel!$C$41+Painel!$C$42*CEILING(G1016/100,1)+Painel!$C$43*CEILING(G1016,1)+Z1016)/(1-Resumo!$B$5)</f>
        <v>94.7384886363636</v>
      </c>
      <c r="AJ1016" s="60" t="str">
        <f aca="false">IF(AI1016&lt;S1016,"SIM","NÃO")</f>
        <v>NÃO</v>
      </c>
    </row>
    <row r="1017" customFormat="false" ht="15" hidden="false" customHeight="false" outlineLevel="0" collapsed="false">
      <c r="A1017" s="59" t="n">
        <v>46248.9483564815</v>
      </c>
      <c r="B1017" s="60" t="s">
        <v>923</v>
      </c>
      <c r="C1017" s="60" t="n">
        <v>26265090</v>
      </c>
      <c r="D1017" s="60" t="s">
        <v>49</v>
      </c>
      <c r="E1017" s="60" t="s">
        <v>23</v>
      </c>
      <c r="F1017" s="60" t="s">
        <v>233</v>
      </c>
      <c r="G1017" s="60" t="n">
        <v>31.9</v>
      </c>
      <c r="H1017" s="61" t="n">
        <v>518.79</v>
      </c>
      <c r="I1017" s="61" t="n">
        <v>58.8</v>
      </c>
      <c r="J1017" s="61" t="n">
        <f aca="false">H1017*Resumo!$C$6</f>
        <v>0</v>
      </c>
      <c r="K1017" s="61" t="n">
        <f aca="false">H1017*Resumo!$C$7</f>
        <v>1.089459</v>
      </c>
      <c r="L1017" s="61" t="n">
        <f aca="false">H1017*Resumo!$C$8</f>
        <v>1.089459</v>
      </c>
      <c r="M1017" s="61" t="n">
        <f aca="false">Resumo!$C$10*CEILING(G1017/100,1)</f>
        <v>1.05</v>
      </c>
      <c r="N1017" s="61" t="n">
        <f aca="false">Resumo!$C$9</f>
        <v>0</v>
      </c>
      <c r="O1017" s="61" t="n">
        <f aca="false">Resumo!$C$13</f>
        <v>13.55</v>
      </c>
      <c r="P1017" s="61" t="n">
        <f aca="false">Resumo!$C$14*CEILING(G1017,1)</f>
        <v>14.4</v>
      </c>
      <c r="Q1017" s="61" t="n">
        <f aca="false">SUM(I1017:P1017)*Resumo!$C$11</f>
        <v>0</v>
      </c>
      <c r="R1017" s="61" t="n">
        <f aca="false">SUM(I1017:Q1017)</f>
        <v>89.978918</v>
      </c>
      <c r="S1017" s="61" t="n">
        <f aca="false">R1017/(1-Resumo!$C$5)</f>
        <v>102.248770454545</v>
      </c>
      <c r="T1017" s="61" t="n">
        <v>82.21</v>
      </c>
      <c r="U1017" s="61" t="n">
        <f aca="false">H1017*Resumo!$B$6</f>
        <v>0.51879</v>
      </c>
      <c r="V1017" s="61" t="n">
        <f aca="false">H1017*Resumo!$B$7</f>
        <v>1.03758</v>
      </c>
      <c r="W1017" s="61" t="n">
        <f aca="false">Resumo!$B$9</f>
        <v>1</v>
      </c>
      <c r="X1017" s="61" t="n">
        <f aca="false">Resumo!$B$10*CEILING(G1017/100,1)</f>
        <v>4.5</v>
      </c>
      <c r="Y1017" s="61" t="n">
        <f aca="false">Resumo!$B$12*CEILING(G1017,1)</f>
        <v>1.92</v>
      </c>
      <c r="Z1017" s="61" t="n">
        <f aca="false">Resumo!$B$14*CEILING(G1017,1)</f>
        <v>14.4</v>
      </c>
      <c r="AA1017" s="61" t="n">
        <f aca="false">SUM(T1017:Z1017)</f>
        <v>105.58637</v>
      </c>
      <c r="AB1017" s="61" t="n">
        <f aca="false">AA1017/(1-Resumo!$B$5)</f>
        <v>119.984511363636</v>
      </c>
      <c r="AC1017" s="61" t="n">
        <f aca="false">AB1017-S1017</f>
        <v>17.7357409090909</v>
      </c>
      <c r="AD1017" s="62" t="n">
        <f aca="false">AB1017/S1017-1</f>
        <v>0.173456764616796</v>
      </c>
      <c r="AE1017" s="60" t="str">
        <f aca="false">IF(AB1017&lt;S1017,"SIM","NÃO")</f>
        <v>NÃO</v>
      </c>
      <c r="AF1017" s="60" t="n">
        <v>2</v>
      </c>
      <c r="AG1017" s="60" t="n">
        <v>5</v>
      </c>
      <c r="AH1017" s="60" t="s">
        <v>382</v>
      </c>
      <c r="AI1017" s="61" t="n">
        <f aca="false">(T1017*(1-Painel!$C$40)+U1017+V1017+Painel!$C$41+Painel!$C$42*CEILING(G1017/100,1)+Painel!$C$43*CEILING(G1017,1)+Z1017)/(1-Resumo!$B$5)</f>
        <v>83.0534886363636</v>
      </c>
      <c r="AJ1017" s="60" t="str">
        <f aca="false">IF(AI1017&lt;S1017,"SIM","NÃO")</f>
        <v>SIM</v>
      </c>
    </row>
    <row r="1018" customFormat="false" ht="15" hidden="false" customHeight="false" outlineLevel="0" collapsed="false">
      <c r="A1018" s="59" t="n">
        <v>46248.9656944444</v>
      </c>
      <c r="B1018" s="60" t="s">
        <v>1337</v>
      </c>
      <c r="C1018" s="60" t="n">
        <v>25071070</v>
      </c>
      <c r="D1018" s="60" t="s">
        <v>48</v>
      </c>
      <c r="E1018" s="60" t="s">
        <v>23</v>
      </c>
      <c r="F1018" s="60" t="s">
        <v>241</v>
      </c>
      <c r="G1018" s="60" t="n">
        <v>145.8</v>
      </c>
      <c r="H1018" s="61" t="n">
        <v>1670.33</v>
      </c>
      <c r="I1018" s="61" t="n">
        <v>129.62</v>
      </c>
      <c r="J1018" s="61" t="n">
        <f aca="false">H1018*Resumo!$C$6</f>
        <v>0</v>
      </c>
      <c r="K1018" s="61" t="n">
        <f aca="false">H1018*Resumo!$C$7</f>
        <v>3.507693</v>
      </c>
      <c r="L1018" s="61" t="n">
        <f aca="false">H1018*Resumo!$C$8</f>
        <v>3.507693</v>
      </c>
      <c r="M1018" s="61" t="n">
        <f aca="false">Resumo!$C$10*CEILING(G1018/100,1)</f>
        <v>2.1</v>
      </c>
      <c r="N1018" s="61" t="n">
        <f aca="false">Resumo!$C$9</f>
        <v>0</v>
      </c>
      <c r="O1018" s="61" t="n">
        <f aca="false">Resumo!$C$13</f>
        <v>13.55</v>
      </c>
      <c r="P1018" s="61" t="n">
        <f aca="false">Resumo!$C$14*CEILING(G1018,1)</f>
        <v>65.7</v>
      </c>
      <c r="Q1018" s="61" t="n">
        <f aca="false">SUM(I1018:P1018)*Resumo!$C$11</f>
        <v>0</v>
      </c>
      <c r="R1018" s="61" t="n">
        <f aca="false">SUM(I1018:Q1018)</f>
        <v>217.985386</v>
      </c>
      <c r="S1018" s="61" t="n">
        <f aca="false">R1018/(1-Resumo!$C$5)</f>
        <v>247.710665909091</v>
      </c>
      <c r="T1018" s="61" t="n">
        <v>239.25</v>
      </c>
      <c r="U1018" s="61" t="n">
        <f aca="false">H1018*Resumo!$B$6</f>
        <v>1.67033</v>
      </c>
      <c r="V1018" s="61" t="n">
        <f aca="false">H1018*Resumo!$B$7</f>
        <v>3.34066</v>
      </c>
      <c r="W1018" s="61" t="n">
        <f aca="false">Resumo!$B$9</f>
        <v>1</v>
      </c>
      <c r="X1018" s="61" t="n">
        <f aca="false">Resumo!$B$10*CEILING(G1018/100,1)</f>
        <v>9</v>
      </c>
      <c r="Y1018" s="61" t="n">
        <f aca="false">Resumo!$B$12*CEILING(G1018,1)</f>
        <v>8.76</v>
      </c>
      <c r="Z1018" s="61" t="n">
        <f aca="false">Resumo!$B$14*CEILING(G1018,1)</f>
        <v>65.7</v>
      </c>
      <c r="AA1018" s="61" t="n">
        <f aca="false">SUM(T1018:Z1018)</f>
        <v>328.72099</v>
      </c>
      <c r="AB1018" s="61" t="n">
        <f aca="false">AA1018/(1-Resumo!$B$5)</f>
        <v>373.546579545455</v>
      </c>
      <c r="AC1018" s="61" t="n">
        <f aca="false">AB1018-S1018</f>
        <v>125.835913636364</v>
      </c>
      <c r="AD1018" s="62" t="n">
        <f aca="false">AB1018/S1018-1</f>
        <v>0.507995540581789</v>
      </c>
      <c r="AE1018" s="60" t="str">
        <f aca="false">IF(AB1018&lt;S1018,"SIM","NÃO")</f>
        <v>NÃO</v>
      </c>
      <c r="AF1018" s="60" t="n">
        <v>2</v>
      </c>
      <c r="AG1018" s="60" t="n">
        <v>5</v>
      </c>
      <c r="AH1018" s="60" t="s">
        <v>382</v>
      </c>
      <c r="AI1018" s="61" t="n">
        <f aca="false">(T1018*(1-Painel!$C$40)+U1018+V1018+Painel!$C$41+Painel!$C$42*CEILING(G1018/100,1)+Painel!$C$43*CEILING(G1018,1)+Z1018)/(1-Resumo!$B$5)</f>
        <v>266.032375</v>
      </c>
      <c r="AJ1018" s="60" t="str">
        <f aca="false">IF(AI1018&lt;S1018,"SIM","NÃO")</f>
        <v>NÃO</v>
      </c>
    </row>
    <row r="1019" customFormat="false" ht="15" hidden="false" customHeight="false" outlineLevel="0" collapsed="false">
      <c r="A1019" s="59" t="n">
        <v>46249.0234953704</v>
      </c>
      <c r="B1019" s="60" t="s">
        <v>1338</v>
      </c>
      <c r="C1019" s="60" t="n">
        <v>23065004</v>
      </c>
      <c r="D1019" s="60" t="s">
        <v>46</v>
      </c>
      <c r="E1019" s="60" t="s">
        <v>22</v>
      </c>
      <c r="F1019" s="60" t="s">
        <v>233</v>
      </c>
      <c r="G1019" s="60" t="n">
        <v>24.4</v>
      </c>
      <c r="H1019" s="61" t="n">
        <v>329.99</v>
      </c>
      <c r="I1019" s="61" t="n">
        <v>42.11</v>
      </c>
      <c r="J1019" s="61" t="n">
        <f aca="false">H1019*Resumo!$C$6</f>
        <v>0</v>
      </c>
      <c r="K1019" s="61" t="n">
        <f aca="false">H1019*Resumo!$C$7</f>
        <v>0.692979</v>
      </c>
      <c r="L1019" s="61" t="n">
        <f aca="false">H1019*Resumo!$C$8</f>
        <v>0.692979</v>
      </c>
      <c r="M1019" s="61" t="n">
        <f aca="false">Resumo!$C$10*CEILING(G1019/100,1)</f>
        <v>1.05</v>
      </c>
      <c r="N1019" s="61" t="n">
        <f aca="false">Resumo!$C$9</f>
        <v>0</v>
      </c>
      <c r="O1019" s="61" t="n">
        <f aca="false">Resumo!$C$13</f>
        <v>13.55</v>
      </c>
      <c r="P1019" s="61" t="n">
        <f aca="false">Resumo!$C$14*CEILING(G1019,1)</f>
        <v>11.25</v>
      </c>
      <c r="Q1019" s="61" t="n">
        <f aca="false">SUM(I1019:P1019)*Resumo!$C$11</f>
        <v>0</v>
      </c>
      <c r="R1019" s="61" t="n">
        <f aca="false">SUM(I1019:Q1019)</f>
        <v>69.345958</v>
      </c>
      <c r="S1019" s="61" t="n">
        <f aca="false">R1019/(1-Resumo!$C$5)</f>
        <v>78.802225</v>
      </c>
      <c r="T1019" s="61" t="n">
        <v>82.21</v>
      </c>
      <c r="U1019" s="61" t="n">
        <f aca="false">H1019*Resumo!$B$6</f>
        <v>0.32999</v>
      </c>
      <c r="V1019" s="61" t="n">
        <f aca="false">H1019*Resumo!$B$7</f>
        <v>0.65998</v>
      </c>
      <c r="W1019" s="61" t="n">
        <f aca="false">Resumo!$B$9</f>
        <v>1</v>
      </c>
      <c r="X1019" s="61" t="n">
        <f aca="false">Resumo!$B$10*CEILING(G1019/100,1)</f>
        <v>4.5</v>
      </c>
      <c r="Y1019" s="61" t="n">
        <f aca="false">Resumo!$B$12*CEILING(G1019,1)</f>
        <v>1.5</v>
      </c>
      <c r="Z1019" s="61" t="n">
        <f aca="false">Resumo!$B$14*CEILING(G1019,1)</f>
        <v>11.25</v>
      </c>
      <c r="AA1019" s="61" t="n">
        <f aca="false">SUM(T1019:Z1019)</f>
        <v>101.44997</v>
      </c>
      <c r="AB1019" s="61" t="n">
        <f aca="false">AA1019/(1-Resumo!$B$5)</f>
        <v>115.284056818182</v>
      </c>
      <c r="AC1019" s="61" t="n">
        <f aca="false">AB1019-S1019</f>
        <v>36.4818318181818</v>
      </c>
      <c r="AD1019" s="62" t="n">
        <f aca="false">AB1019/S1019-1</f>
        <v>0.46295433686272</v>
      </c>
      <c r="AE1019" s="60" t="str">
        <f aca="false">IF(AB1019&lt;S1019,"SIM","NÃO")</f>
        <v>NÃO</v>
      </c>
      <c r="AF1019" s="60" t="n">
        <v>2</v>
      </c>
      <c r="AG1019" s="60" t="n">
        <v>5</v>
      </c>
      <c r="AH1019" s="60" t="s">
        <v>382</v>
      </c>
      <c r="AI1019" s="61" t="n">
        <f aca="false">(T1019*(1-Painel!$C$40)+U1019+V1019+Painel!$C$41+Painel!$C$42*CEILING(G1019/100,1)+Painel!$C$43*CEILING(G1019,1)+Z1019)/(1-Resumo!$B$5)</f>
        <v>78.8303068181818</v>
      </c>
      <c r="AJ1019" s="60" t="str">
        <f aca="false">IF(AI1019&lt;S1019,"SIM","NÃO")</f>
        <v>NÃO</v>
      </c>
    </row>
    <row r="1020" customFormat="false" ht="15" hidden="false" customHeight="false" outlineLevel="0" collapsed="false">
      <c r="A1020" s="59" t="n">
        <v>46249.3598032407</v>
      </c>
      <c r="B1020" s="60" t="s">
        <v>1339</v>
      </c>
      <c r="C1020" s="60" t="n">
        <v>25935546</v>
      </c>
      <c r="D1020" s="60" t="s">
        <v>225</v>
      </c>
      <c r="E1020" s="60" t="s">
        <v>24</v>
      </c>
      <c r="F1020" s="60" t="s">
        <v>239</v>
      </c>
      <c r="G1020" s="60" t="n">
        <v>90.8</v>
      </c>
      <c r="H1020" s="61" t="n">
        <v>1163.98</v>
      </c>
      <c r="I1020" s="61" t="n">
        <v>109.63</v>
      </c>
      <c r="J1020" s="61" t="n">
        <f aca="false">H1020*Resumo!$C$6</f>
        <v>0</v>
      </c>
      <c r="K1020" s="61" t="n">
        <f aca="false">H1020*Resumo!$C$7</f>
        <v>2.444358</v>
      </c>
      <c r="L1020" s="61" t="n">
        <f aca="false">H1020*Resumo!$C$8</f>
        <v>2.444358</v>
      </c>
      <c r="M1020" s="61" t="n">
        <f aca="false">Resumo!$C$10*CEILING(G1020/100,1)</f>
        <v>1.05</v>
      </c>
      <c r="N1020" s="61" t="n">
        <f aca="false">Resumo!$C$9</f>
        <v>0</v>
      </c>
      <c r="O1020" s="61" t="n">
        <f aca="false">Resumo!$C$13</f>
        <v>13.55</v>
      </c>
      <c r="P1020" s="61" t="n">
        <f aca="false">Resumo!$C$14*CEILING(G1020,1)</f>
        <v>40.95</v>
      </c>
      <c r="Q1020" s="61" t="n">
        <f aca="false">SUM(I1020:P1020)*Resumo!$C$11</f>
        <v>0</v>
      </c>
      <c r="R1020" s="61" t="n">
        <f aca="false">SUM(I1020:Q1020)</f>
        <v>170.068716</v>
      </c>
      <c r="S1020" s="61" t="n">
        <f aca="false">R1020/(1-Resumo!$C$5)</f>
        <v>193.259904545455</v>
      </c>
      <c r="T1020" s="61" t="n">
        <v>167.99</v>
      </c>
      <c r="U1020" s="61" t="n">
        <f aca="false">H1020*Resumo!$B$6</f>
        <v>1.16398</v>
      </c>
      <c r="V1020" s="61" t="n">
        <f aca="false">H1020*Resumo!$B$7</f>
        <v>2.32796</v>
      </c>
      <c r="W1020" s="61" t="n">
        <f aca="false">Resumo!$B$9</f>
        <v>1</v>
      </c>
      <c r="X1020" s="61" t="n">
        <f aca="false">Resumo!$B$10*CEILING(G1020/100,1)</f>
        <v>4.5</v>
      </c>
      <c r="Y1020" s="61" t="n">
        <f aca="false">Resumo!$B$12*CEILING(G1020,1)</f>
        <v>5.46</v>
      </c>
      <c r="Z1020" s="61" t="n">
        <f aca="false">Resumo!$B$14*CEILING(G1020,1)</f>
        <v>40.95</v>
      </c>
      <c r="AA1020" s="61" t="n">
        <f aca="false">SUM(T1020:Z1020)</f>
        <v>223.39194</v>
      </c>
      <c r="AB1020" s="61" t="n">
        <f aca="false">AA1020/(1-Resumo!$B$5)</f>
        <v>253.854477272727</v>
      </c>
      <c r="AC1020" s="61" t="n">
        <f aca="false">AB1020-S1020</f>
        <v>60.5945727272728</v>
      </c>
      <c r="AD1020" s="62" t="n">
        <f aca="false">AB1020/S1020-1</f>
        <v>0.313539287260804</v>
      </c>
      <c r="AE1020" s="60" t="str">
        <f aca="false">IF(AB1020&lt;S1020,"SIM","NÃO")</f>
        <v>NÃO</v>
      </c>
      <c r="AF1020" s="60" t="n">
        <v>13</v>
      </c>
      <c r="AG1020" s="60" t="n">
        <v>6</v>
      </c>
      <c r="AH1020" s="60" t="s">
        <v>382</v>
      </c>
      <c r="AI1020" s="61" t="n">
        <f aca="false">(T1020*(1-Painel!$C$40)+U1020+V1020+Painel!$C$41+Painel!$C$42*CEILING(G1020/100,1)+Painel!$C$43*CEILING(G1020,1)+Z1020)/(1-Resumo!$B$5)</f>
        <v>180.733227272727</v>
      </c>
      <c r="AJ1020" s="60" t="str">
        <f aca="false">IF(AI1020&lt;S1020,"SIM","NÃO")</f>
        <v>SIM</v>
      </c>
    </row>
    <row r="1021" customFormat="false" ht="15" hidden="false" customHeight="false" outlineLevel="0" collapsed="false">
      <c r="A1021" s="59" t="n">
        <v>46249.381712963</v>
      </c>
      <c r="B1021" s="60" t="s">
        <v>1340</v>
      </c>
      <c r="C1021" s="60" t="n">
        <v>24431720</v>
      </c>
      <c r="D1021" s="60" t="s">
        <v>47</v>
      </c>
      <c r="E1021" s="60" t="s">
        <v>23</v>
      </c>
      <c r="F1021" s="60" t="s">
        <v>235</v>
      </c>
      <c r="G1021" s="60" t="n">
        <v>41</v>
      </c>
      <c r="H1021" s="61" t="n">
        <v>559.99</v>
      </c>
      <c r="I1021" s="61" t="n">
        <v>65.36</v>
      </c>
      <c r="J1021" s="61" t="n">
        <f aca="false">H1021*Resumo!$C$6</f>
        <v>0</v>
      </c>
      <c r="K1021" s="61" t="n">
        <f aca="false">H1021*Resumo!$C$7</f>
        <v>1.175979</v>
      </c>
      <c r="L1021" s="61" t="n">
        <f aca="false">H1021*Resumo!$C$8</f>
        <v>1.175979</v>
      </c>
      <c r="M1021" s="61" t="n">
        <f aca="false">Resumo!$C$10*CEILING(G1021/100,1)</f>
        <v>1.05</v>
      </c>
      <c r="N1021" s="61" t="n">
        <f aca="false">Resumo!$C$9</f>
        <v>0</v>
      </c>
      <c r="O1021" s="61" t="n">
        <f aca="false">Resumo!$C$13</f>
        <v>13.55</v>
      </c>
      <c r="P1021" s="61" t="n">
        <f aca="false">Resumo!$C$14*CEILING(G1021,1)</f>
        <v>18.45</v>
      </c>
      <c r="Q1021" s="61" t="n">
        <f aca="false">SUM(I1021:P1021)*Resumo!$C$11</f>
        <v>0</v>
      </c>
      <c r="R1021" s="61" t="n">
        <f aca="false">SUM(I1021:Q1021)</f>
        <v>100.761958</v>
      </c>
      <c r="S1021" s="61" t="n">
        <f aca="false">R1021/(1-Resumo!$C$5)</f>
        <v>114.502225</v>
      </c>
      <c r="T1021" s="61" t="n">
        <v>114.95</v>
      </c>
      <c r="U1021" s="61" t="n">
        <f aca="false">H1021*Resumo!$B$6</f>
        <v>0.55999</v>
      </c>
      <c r="V1021" s="61" t="n">
        <f aca="false">H1021*Resumo!$B$7</f>
        <v>1.11998</v>
      </c>
      <c r="W1021" s="61" t="n">
        <f aca="false">Resumo!$B$9</f>
        <v>1</v>
      </c>
      <c r="X1021" s="61" t="n">
        <f aca="false">Resumo!$B$10*CEILING(G1021/100,1)</f>
        <v>4.5</v>
      </c>
      <c r="Y1021" s="61" t="n">
        <f aca="false">Resumo!$B$12*CEILING(G1021,1)</f>
        <v>2.46</v>
      </c>
      <c r="Z1021" s="61" t="n">
        <f aca="false">Resumo!$B$14*CEILING(G1021,1)</f>
        <v>18.45</v>
      </c>
      <c r="AA1021" s="61" t="n">
        <f aca="false">SUM(T1021:Z1021)</f>
        <v>143.03997</v>
      </c>
      <c r="AB1021" s="61" t="n">
        <f aca="false">AA1021/(1-Resumo!$B$5)</f>
        <v>162.545420454545</v>
      </c>
      <c r="AC1021" s="61" t="n">
        <f aca="false">AB1021-S1021</f>
        <v>48.0431954545455</v>
      </c>
      <c r="AD1021" s="62" t="n">
        <f aca="false">AB1021/S1021-1</f>
        <v>0.419583073207053</v>
      </c>
      <c r="AE1021" s="60" t="str">
        <f aca="false">IF(AB1021&lt;S1021,"SIM","NÃO")</f>
        <v>NÃO</v>
      </c>
      <c r="AF1021" s="60" t="n">
        <v>2</v>
      </c>
      <c r="AG1021" s="60" t="n">
        <v>7</v>
      </c>
      <c r="AH1021" s="60" t="s">
        <v>382</v>
      </c>
      <c r="AI1021" s="61" t="n">
        <f aca="false">(T1021*(1-Painel!$C$40)+U1021+V1021+Painel!$C$41+Painel!$C$42*CEILING(G1021/100,1)+Painel!$C$43*CEILING(G1021,1)+Z1021)/(1-Resumo!$B$5)</f>
        <v>112.723261363636</v>
      </c>
      <c r="AJ1021" s="60" t="str">
        <f aca="false">IF(AI1021&lt;S1021,"SIM","NÃO")</f>
        <v>SIM</v>
      </c>
    </row>
    <row r="1022" customFormat="false" ht="15" hidden="false" customHeight="false" outlineLevel="0" collapsed="false">
      <c r="A1022" s="59" t="n">
        <v>46249.3846759259</v>
      </c>
      <c r="B1022" s="60" t="s">
        <v>1341</v>
      </c>
      <c r="C1022" s="60" t="n">
        <v>21540690</v>
      </c>
      <c r="D1022" s="60" t="s">
        <v>46</v>
      </c>
      <c r="E1022" s="60" t="s">
        <v>22</v>
      </c>
      <c r="F1022" s="60" t="s">
        <v>233</v>
      </c>
      <c r="G1022" s="60" t="n">
        <v>33.3</v>
      </c>
      <c r="H1022" s="61" t="n">
        <v>433.49</v>
      </c>
      <c r="I1022" s="61" t="n">
        <v>42.11</v>
      </c>
      <c r="J1022" s="61" t="n">
        <f aca="false">H1022*Resumo!$C$6</f>
        <v>0</v>
      </c>
      <c r="K1022" s="61" t="n">
        <f aca="false">H1022*Resumo!$C$7</f>
        <v>0.910329</v>
      </c>
      <c r="L1022" s="61" t="n">
        <f aca="false">H1022*Resumo!$C$8</f>
        <v>0.910329</v>
      </c>
      <c r="M1022" s="61" t="n">
        <f aca="false">Resumo!$C$10*CEILING(G1022/100,1)</f>
        <v>1.05</v>
      </c>
      <c r="N1022" s="61" t="n">
        <f aca="false">Resumo!$C$9</f>
        <v>0</v>
      </c>
      <c r="O1022" s="61" t="n">
        <f aca="false">Resumo!$C$13</f>
        <v>13.55</v>
      </c>
      <c r="P1022" s="61" t="n">
        <f aca="false">Resumo!$C$14*CEILING(G1022,1)</f>
        <v>15.3</v>
      </c>
      <c r="Q1022" s="61" t="n">
        <f aca="false">SUM(I1022:P1022)*Resumo!$C$11</f>
        <v>0</v>
      </c>
      <c r="R1022" s="61" t="n">
        <f aca="false">SUM(I1022:Q1022)</f>
        <v>73.830658</v>
      </c>
      <c r="S1022" s="61" t="n">
        <f aca="false">R1022/(1-Resumo!$C$5)</f>
        <v>83.898475</v>
      </c>
      <c r="T1022" s="61" t="n">
        <v>82.21</v>
      </c>
      <c r="U1022" s="61" t="n">
        <f aca="false">H1022*Resumo!$B$6</f>
        <v>0.43349</v>
      </c>
      <c r="V1022" s="61" t="n">
        <f aca="false">H1022*Resumo!$B$7</f>
        <v>0.86698</v>
      </c>
      <c r="W1022" s="61" t="n">
        <f aca="false">Resumo!$B$9</f>
        <v>1</v>
      </c>
      <c r="X1022" s="61" t="n">
        <f aca="false">Resumo!$B$10*CEILING(G1022/100,1)</f>
        <v>4.5</v>
      </c>
      <c r="Y1022" s="61" t="n">
        <f aca="false">Resumo!$B$12*CEILING(G1022,1)</f>
        <v>2.04</v>
      </c>
      <c r="Z1022" s="61" t="n">
        <f aca="false">Resumo!$B$14*CEILING(G1022,1)</f>
        <v>15.3</v>
      </c>
      <c r="AA1022" s="61" t="n">
        <f aca="false">SUM(T1022:Z1022)</f>
        <v>106.35047</v>
      </c>
      <c r="AB1022" s="61" t="n">
        <f aca="false">AA1022/(1-Resumo!$B$5)</f>
        <v>120.852806818182</v>
      </c>
      <c r="AC1022" s="61" t="n">
        <f aca="false">AB1022-S1022</f>
        <v>36.9543318181818</v>
      </c>
      <c r="AD1022" s="62" t="n">
        <f aca="false">AB1022/S1022-1</f>
        <v>0.440464881133797</v>
      </c>
      <c r="AE1022" s="60" t="str">
        <f aca="false">IF(AB1022&lt;S1022,"SIM","NÃO")</f>
        <v>NÃO</v>
      </c>
      <c r="AF1022" s="60" t="n">
        <v>2</v>
      </c>
      <c r="AG1022" s="60" t="n">
        <v>5</v>
      </c>
      <c r="AH1022" s="60" t="s">
        <v>382</v>
      </c>
      <c r="AI1022" s="61" t="n">
        <f aca="false">(T1022*(1-Painel!$C$40)+U1022+V1022+Painel!$C$41+Painel!$C$42*CEILING(G1022/100,1)+Painel!$C$43*CEILING(G1022,1)+Z1022)/(1-Resumo!$B$5)</f>
        <v>83.7854204545455</v>
      </c>
      <c r="AJ1022" s="60" t="str">
        <f aca="false">IF(AI1022&lt;S1022,"SIM","NÃO")</f>
        <v>SIM</v>
      </c>
    </row>
    <row r="1023" customFormat="false" ht="15" hidden="false" customHeight="false" outlineLevel="0" collapsed="false">
      <c r="A1023" s="59" t="n">
        <v>46249.3971527778</v>
      </c>
      <c r="B1023" s="60" t="s">
        <v>1342</v>
      </c>
      <c r="C1023" s="60" t="n">
        <v>23067438</v>
      </c>
      <c r="D1023" s="60" t="s">
        <v>46</v>
      </c>
      <c r="E1023" s="60" t="s">
        <v>22</v>
      </c>
      <c r="F1023" s="60" t="s">
        <v>236</v>
      </c>
      <c r="G1023" s="60" t="n">
        <v>52.3</v>
      </c>
      <c r="H1023" s="61" t="n">
        <v>699.99</v>
      </c>
      <c r="I1023" s="61" t="n">
        <v>58.6</v>
      </c>
      <c r="J1023" s="61" t="n">
        <f aca="false">H1023*Resumo!$C$6</f>
        <v>0</v>
      </c>
      <c r="K1023" s="61" t="n">
        <f aca="false">H1023*Resumo!$C$7</f>
        <v>1.469979</v>
      </c>
      <c r="L1023" s="61" t="n">
        <f aca="false">H1023*Resumo!$C$8</f>
        <v>1.469979</v>
      </c>
      <c r="M1023" s="61" t="n">
        <f aca="false">Resumo!$C$10*CEILING(G1023/100,1)</f>
        <v>1.05</v>
      </c>
      <c r="N1023" s="61" t="n">
        <f aca="false">Resumo!$C$9</f>
        <v>0</v>
      </c>
      <c r="O1023" s="61" t="n">
        <f aca="false">Resumo!$C$13</f>
        <v>13.55</v>
      </c>
      <c r="P1023" s="61" t="n">
        <f aca="false">Resumo!$C$14*CEILING(G1023,1)</f>
        <v>23.85</v>
      </c>
      <c r="Q1023" s="61" t="n">
        <f aca="false">SUM(I1023:P1023)*Resumo!$C$11</f>
        <v>0</v>
      </c>
      <c r="R1023" s="61" t="n">
        <f aca="false">SUM(I1023:Q1023)</f>
        <v>99.989958</v>
      </c>
      <c r="S1023" s="61" t="n">
        <f aca="false">R1023/(1-Resumo!$C$5)</f>
        <v>113.624952272727</v>
      </c>
      <c r="T1023" s="61" t="n">
        <v>112.3</v>
      </c>
      <c r="U1023" s="61" t="n">
        <f aca="false">H1023*Resumo!$B$6</f>
        <v>0.69999</v>
      </c>
      <c r="V1023" s="61" t="n">
        <f aca="false">H1023*Resumo!$B$7</f>
        <v>1.39998</v>
      </c>
      <c r="W1023" s="61" t="n">
        <f aca="false">Resumo!$B$9</f>
        <v>1</v>
      </c>
      <c r="X1023" s="61" t="n">
        <f aca="false">Resumo!$B$10*CEILING(G1023/100,1)</f>
        <v>4.5</v>
      </c>
      <c r="Y1023" s="61" t="n">
        <f aca="false">Resumo!$B$12*CEILING(G1023,1)</f>
        <v>3.18</v>
      </c>
      <c r="Z1023" s="61" t="n">
        <f aca="false">Resumo!$B$14*CEILING(G1023,1)</f>
        <v>23.85</v>
      </c>
      <c r="AA1023" s="61" t="n">
        <f aca="false">SUM(T1023:Z1023)</f>
        <v>146.92997</v>
      </c>
      <c r="AB1023" s="61" t="n">
        <f aca="false">AA1023/(1-Resumo!$B$5)</f>
        <v>166.965875</v>
      </c>
      <c r="AC1023" s="61" t="n">
        <f aca="false">AB1023-S1023</f>
        <v>53.3409227272727</v>
      </c>
      <c r="AD1023" s="62" t="n">
        <f aca="false">AB1023/S1023-1</f>
        <v>0.469447261894039</v>
      </c>
      <c r="AE1023" s="60" t="str">
        <f aca="false">IF(AB1023&lt;S1023,"SIM","NÃO")</f>
        <v>NÃO</v>
      </c>
      <c r="AF1023" s="60" t="n">
        <v>2</v>
      </c>
      <c r="AG1023" s="60" t="n">
        <v>5</v>
      </c>
      <c r="AH1023" s="60" t="s">
        <v>382</v>
      </c>
      <c r="AI1023" s="61" t="n">
        <f aca="false">(T1023*(1-Painel!$C$40)+U1023+V1023+Painel!$C$41+Painel!$C$42*CEILING(G1023/100,1)+Painel!$C$43*CEILING(G1023,1)+Z1023)/(1-Resumo!$B$5)</f>
        <v>117.319284090909</v>
      </c>
      <c r="AJ1023" s="60" t="str">
        <f aca="false">IF(AI1023&lt;S1023,"SIM","NÃO")</f>
        <v>NÃO</v>
      </c>
    </row>
    <row r="1024" customFormat="false" ht="15" hidden="false" customHeight="false" outlineLevel="0" collapsed="false">
      <c r="A1024" s="59" t="n">
        <v>46249.4142708333</v>
      </c>
      <c r="B1024" s="60" t="s">
        <v>1343</v>
      </c>
      <c r="C1024" s="60" t="n">
        <v>24310260</v>
      </c>
      <c r="D1024" s="60" t="s">
        <v>50</v>
      </c>
      <c r="E1024" s="60" t="s">
        <v>23</v>
      </c>
      <c r="F1024" s="60" t="s">
        <v>233</v>
      </c>
      <c r="G1024" s="60" t="n">
        <v>33.3</v>
      </c>
      <c r="H1024" s="61" t="n">
        <v>433.49</v>
      </c>
      <c r="I1024" s="61" t="n">
        <v>58.8</v>
      </c>
      <c r="J1024" s="61" t="n">
        <f aca="false">H1024*Resumo!$C$6</f>
        <v>0</v>
      </c>
      <c r="K1024" s="61" t="n">
        <f aca="false">H1024*Resumo!$C$7</f>
        <v>0.910329</v>
      </c>
      <c r="L1024" s="61" t="n">
        <f aca="false">H1024*Resumo!$C$8</f>
        <v>0.910329</v>
      </c>
      <c r="M1024" s="61" t="n">
        <f aca="false">Resumo!$C$10*CEILING(G1024/100,1)</f>
        <v>1.05</v>
      </c>
      <c r="N1024" s="61" t="n">
        <f aca="false">Resumo!$C$9</f>
        <v>0</v>
      </c>
      <c r="O1024" s="61" t="n">
        <f aca="false">Resumo!$C$13</f>
        <v>13.55</v>
      </c>
      <c r="P1024" s="61" t="n">
        <f aca="false">Resumo!$C$14*CEILING(G1024,1)</f>
        <v>15.3</v>
      </c>
      <c r="Q1024" s="61" t="n">
        <f aca="false">SUM(I1024:P1024)*Resumo!$C$11</f>
        <v>0</v>
      </c>
      <c r="R1024" s="61" t="n">
        <f aca="false">SUM(I1024:Q1024)</f>
        <v>90.520658</v>
      </c>
      <c r="S1024" s="61" t="n">
        <f aca="false">R1024/(1-Resumo!$C$5)</f>
        <v>102.864384090909</v>
      </c>
      <c r="T1024" s="61" t="n">
        <v>100.58</v>
      </c>
      <c r="U1024" s="61" t="n">
        <f aca="false">H1024*Resumo!$B$6</f>
        <v>0.43349</v>
      </c>
      <c r="V1024" s="61" t="n">
        <f aca="false">H1024*Resumo!$B$7</f>
        <v>0.86698</v>
      </c>
      <c r="W1024" s="61" t="n">
        <f aca="false">Resumo!$B$9</f>
        <v>1</v>
      </c>
      <c r="X1024" s="61" t="n">
        <f aca="false">Resumo!$B$10*CEILING(G1024/100,1)</f>
        <v>4.5</v>
      </c>
      <c r="Y1024" s="61" t="n">
        <f aca="false">Resumo!$B$12*CEILING(G1024,1)</f>
        <v>2.04</v>
      </c>
      <c r="Z1024" s="61" t="n">
        <f aca="false">Resumo!$B$14*CEILING(G1024,1)</f>
        <v>15.3</v>
      </c>
      <c r="AA1024" s="61" t="n">
        <f aca="false">SUM(T1024:Z1024)</f>
        <v>124.72047</v>
      </c>
      <c r="AB1024" s="61" t="n">
        <f aca="false">AA1024/(1-Resumo!$B$5)</f>
        <v>141.727806818182</v>
      </c>
      <c r="AC1024" s="61" t="n">
        <f aca="false">AB1024-S1024</f>
        <v>38.8634227272727</v>
      </c>
      <c r="AD1024" s="62" t="n">
        <f aca="false">AB1024/S1024-1</f>
        <v>0.377812233755526</v>
      </c>
      <c r="AE1024" s="60" t="str">
        <f aca="false">IF(AB1024&lt;S1024,"SIM","NÃO")</f>
        <v>NÃO</v>
      </c>
      <c r="AF1024" s="60" t="n">
        <v>2</v>
      </c>
      <c r="AG1024" s="60" t="n">
        <v>7</v>
      </c>
      <c r="AH1024" s="60" t="s">
        <v>382</v>
      </c>
      <c r="AI1024" s="61" t="n">
        <f aca="false">(T1024*(1-Painel!$C$40)+U1024+V1024+Painel!$C$41+Painel!$C$42*CEILING(G1024/100,1)+Painel!$C$43*CEILING(G1024,1)+Z1024)/(1-Resumo!$B$5)</f>
        <v>97.7716704545454</v>
      </c>
      <c r="AJ1024" s="60" t="str">
        <f aca="false">IF(AI1024&lt;S1024,"SIM","NÃO")</f>
        <v>SIM</v>
      </c>
    </row>
    <row r="1025" customFormat="false" ht="15" hidden="false" customHeight="false" outlineLevel="0" collapsed="false">
      <c r="A1025" s="59" t="n">
        <v>46249.4172222222</v>
      </c>
      <c r="B1025" s="60" t="s">
        <v>1344</v>
      </c>
      <c r="C1025" s="60" t="n">
        <v>22785276</v>
      </c>
      <c r="D1025" s="60" t="s">
        <v>46</v>
      </c>
      <c r="E1025" s="60" t="s">
        <v>22</v>
      </c>
      <c r="F1025" s="60" t="s">
        <v>236</v>
      </c>
      <c r="G1025" s="60" t="n">
        <v>52.3</v>
      </c>
      <c r="H1025" s="61" t="n">
        <v>699.99</v>
      </c>
      <c r="I1025" s="61" t="n">
        <v>58.6</v>
      </c>
      <c r="J1025" s="61" t="n">
        <f aca="false">H1025*Resumo!$C$6</f>
        <v>0</v>
      </c>
      <c r="K1025" s="61" t="n">
        <f aca="false">H1025*Resumo!$C$7</f>
        <v>1.469979</v>
      </c>
      <c r="L1025" s="61" t="n">
        <f aca="false">H1025*Resumo!$C$8</f>
        <v>1.469979</v>
      </c>
      <c r="M1025" s="61" t="n">
        <f aca="false">Resumo!$C$10*CEILING(G1025/100,1)</f>
        <v>1.05</v>
      </c>
      <c r="N1025" s="61" t="n">
        <f aca="false">Resumo!$C$9</f>
        <v>0</v>
      </c>
      <c r="O1025" s="61" t="n">
        <f aca="false">Resumo!$C$13</f>
        <v>13.55</v>
      </c>
      <c r="P1025" s="61" t="n">
        <f aca="false">Resumo!$C$14*CEILING(G1025,1)</f>
        <v>23.85</v>
      </c>
      <c r="Q1025" s="61" t="n">
        <f aca="false">SUM(I1025:P1025)*Resumo!$C$11</f>
        <v>0</v>
      </c>
      <c r="R1025" s="61" t="n">
        <f aca="false">SUM(I1025:Q1025)</f>
        <v>99.989958</v>
      </c>
      <c r="S1025" s="61" t="n">
        <f aca="false">R1025/(1-Resumo!$C$5)</f>
        <v>113.624952272727</v>
      </c>
      <c r="T1025" s="61" t="n">
        <v>112.3</v>
      </c>
      <c r="U1025" s="61" t="n">
        <f aca="false">H1025*Resumo!$B$6</f>
        <v>0.69999</v>
      </c>
      <c r="V1025" s="61" t="n">
        <f aca="false">H1025*Resumo!$B$7</f>
        <v>1.39998</v>
      </c>
      <c r="W1025" s="61" t="n">
        <f aca="false">Resumo!$B$9</f>
        <v>1</v>
      </c>
      <c r="X1025" s="61" t="n">
        <f aca="false">Resumo!$B$10*CEILING(G1025/100,1)</f>
        <v>4.5</v>
      </c>
      <c r="Y1025" s="61" t="n">
        <f aca="false">Resumo!$B$12*CEILING(G1025,1)</f>
        <v>3.18</v>
      </c>
      <c r="Z1025" s="61" t="n">
        <f aca="false">Resumo!$B$14*CEILING(G1025,1)</f>
        <v>23.85</v>
      </c>
      <c r="AA1025" s="61" t="n">
        <f aca="false">SUM(T1025:Z1025)</f>
        <v>146.92997</v>
      </c>
      <c r="AB1025" s="61" t="n">
        <f aca="false">AA1025/(1-Resumo!$B$5)</f>
        <v>166.965875</v>
      </c>
      <c r="AC1025" s="61" t="n">
        <f aca="false">AB1025-S1025</f>
        <v>53.3409227272727</v>
      </c>
      <c r="AD1025" s="62" t="n">
        <f aca="false">AB1025/S1025-1</f>
        <v>0.469447261894039</v>
      </c>
      <c r="AE1025" s="60" t="str">
        <f aca="false">IF(AB1025&lt;S1025,"SIM","NÃO")</f>
        <v>NÃO</v>
      </c>
      <c r="AF1025" s="60" t="n">
        <v>2</v>
      </c>
      <c r="AG1025" s="60" t="n">
        <v>5</v>
      </c>
      <c r="AH1025" s="60" t="s">
        <v>382</v>
      </c>
      <c r="AI1025" s="61" t="n">
        <f aca="false">(T1025*(1-Painel!$C$40)+U1025+V1025+Painel!$C$41+Painel!$C$42*CEILING(G1025/100,1)+Painel!$C$43*CEILING(G1025,1)+Z1025)/(1-Resumo!$B$5)</f>
        <v>117.319284090909</v>
      </c>
      <c r="AJ1025" s="60" t="str">
        <f aca="false">IF(AI1025&lt;S1025,"SIM","NÃO")</f>
        <v>NÃO</v>
      </c>
    </row>
    <row r="1026" customFormat="false" ht="15" hidden="false" customHeight="false" outlineLevel="0" collapsed="false">
      <c r="A1026" s="59" t="n">
        <v>46249.4446412037</v>
      </c>
      <c r="B1026" s="60" t="s">
        <v>1345</v>
      </c>
      <c r="C1026" s="60" t="n">
        <v>21710510</v>
      </c>
      <c r="D1026" s="60" t="s">
        <v>46</v>
      </c>
      <c r="E1026" s="60" t="s">
        <v>22</v>
      </c>
      <c r="F1026" s="60" t="s">
        <v>237</v>
      </c>
      <c r="G1026" s="60" t="n">
        <v>66.8</v>
      </c>
      <c r="H1026" s="61" t="n">
        <v>578</v>
      </c>
      <c r="I1026" s="61" t="n">
        <v>63.21</v>
      </c>
      <c r="J1026" s="61" t="n">
        <f aca="false">H1026*Resumo!$C$6</f>
        <v>0</v>
      </c>
      <c r="K1026" s="61" t="n">
        <f aca="false">H1026*Resumo!$C$7</f>
        <v>1.2138</v>
      </c>
      <c r="L1026" s="61" t="n">
        <f aca="false">H1026*Resumo!$C$8</f>
        <v>1.2138</v>
      </c>
      <c r="M1026" s="61" t="n">
        <f aca="false">Resumo!$C$10*CEILING(G1026/100,1)</f>
        <v>1.05</v>
      </c>
      <c r="N1026" s="61" t="n">
        <f aca="false">Resumo!$C$9</f>
        <v>0</v>
      </c>
      <c r="O1026" s="61" t="n">
        <f aca="false">Resumo!$C$13</f>
        <v>13.55</v>
      </c>
      <c r="P1026" s="61" t="n">
        <f aca="false">Resumo!$C$14*CEILING(G1026,1)</f>
        <v>30.15</v>
      </c>
      <c r="Q1026" s="61" t="n">
        <f aca="false">SUM(I1026:P1026)*Resumo!$C$11</f>
        <v>0</v>
      </c>
      <c r="R1026" s="61" t="n">
        <f aca="false">SUM(I1026:Q1026)</f>
        <v>110.3876</v>
      </c>
      <c r="S1026" s="61" t="n">
        <f aca="false">R1026/(1-Resumo!$C$5)</f>
        <v>125.440454545455</v>
      </c>
      <c r="T1026" s="61" t="n">
        <v>131.02</v>
      </c>
      <c r="U1026" s="61" t="n">
        <f aca="false">H1026*Resumo!$B$6</f>
        <v>0.578</v>
      </c>
      <c r="V1026" s="61" t="n">
        <f aca="false">H1026*Resumo!$B$7</f>
        <v>1.156</v>
      </c>
      <c r="W1026" s="61" t="n">
        <f aca="false">Resumo!$B$9</f>
        <v>1</v>
      </c>
      <c r="X1026" s="61" t="n">
        <f aca="false">Resumo!$B$10*CEILING(G1026/100,1)</f>
        <v>4.5</v>
      </c>
      <c r="Y1026" s="61" t="n">
        <f aca="false">Resumo!$B$12*CEILING(G1026,1)</f>
        <v>4.02</v>
      </c>
      <c r="Z1026" s="61" t="n">
        <f aca="false">Resumo!$B$14*CEILING(G1026,1)</f>
        <v>30.15</v>
      </c>
      <c r="AA1026" s="61" t="n">
        <f aca="false">SUM(T1026:Z1026)</f>
        <v>172.424</v>
      </c>
      <c r="AB1026" s="61" t="n">
        <f aca="false">AA1026/(1-Resumo!$B$5)</f>
        <v>195.936363636364</v>
      </c>
      <c r="AC1026" s="61" t="n">
        <f aca="false">AB1026-S1026</f>
        <v>70.4959090909091</v>
      </c>
      <c r="AD1026" s="62" t="n">
        <f aca="false">AB1026/S1026-1</f>
        <v>0.561987034775645</v>
      </c>
      <c r="AE1026" s="60" t="str">
        <f aca="false">IF(AB1026&lt;S1026,"SIM","NÃO")</f>
        <v>NÃO</v>
      </c>
      <c r="AF1026" s="60" t="n">
        <v>2</v>
      </c>
      <c r="AG1026" s="60" t="n">
        <v>5</v>
      </c>
      <c r="AH1026" s="60" t="s">
        <v>382</v>
      </c>
      <c r="AI1026" s="61" t="n">
        <f aca="false">(T1026*(1-Painel!$C$40)+U1026+V1026+Painel!$C$41+Painel!$C$42*CEILING(G1026/100,1)+Painel!$C$43*CEILING(G1026,1)+Z1026)/(1-Resumo!$B$5)</f>
        <v>138.315227272727</v>
      </c>
      <c r="AJ1026" s="60" t="str">
        <f aca="false">IF(AI1026&lt;S1026,"SIM","NÃO")</f>
        <v>NÃO</v>
      </c>
    </row>
    <row r="1027" customFormat="false" ht="15" hidden="false" customHeight="false" outlineLevel="0" collapsed="false">
      <c r="A1027" s="59" t="n">
        <v>46249.4536111111</v>
      </c>
      <c r="B1027" s="60" t="s">
        <v>1346</v>
      </c>
      <c r="C1027" s="60" t="n">
        <v>26445270</v>
      </c>
      <c r="D1027" s="60" t="s">
        <v>283</v>
      </c>
      <c r="E1027" s="60" t="s">
        <v>24</v>
      </c>
      <c r="F1027" s="60" t="s">
        <v>233</v>
      </c>
      <c r="G1027" s="60" t="n">
        <v>24.4</v>
      </c>
      <c r="H1027" s="61" t="n">
        <v>307.68</v>
      </c>
      <c r="I1027" s="61" t="n">
        <v>65.63</v>
      </c>
      <c r="J1027" s="61" t="n">
        <f aca="false">H1027*Resumo!$C$6</f>
        <v>0</v>
      </c>
      <c r="K1027" s="61" t="n">
        <f aca="false">H1027*Resumo!$C$7</f>
        <v>0.646128</v>
      </c>
      <c r="L1027" s="61" t="n">
        <f aca="false">H1027*Resumo!$C$8</f>
        <v>0.646128</v>
      </c>
      <c r="M1027" s="61" t="n">
        <f aca="false">Resumo!$C$10*CEILING(G1027/100,1)</f>
        <v>1.05</v>
      </c>
      <c r="N1027" s="61" t="n">
        <f aca="false">Resumo!$C$9</f>
        <v>0</v>
      </c>
      <c r="O1027" s="61" t="n">
        <f aca="false">Resumo!$C$13</f>
        <v>13.55</v>
      </c>
      <c r="P1027" s="61" t="n">
        <f aca="false">Resumo!$C$14*CEILING(G1027,1)</f>
        <v>11.25</v>
      </c>
      <c r="Q1027" s="61" t="n">
        <f aca="false">SUM(I1027:P1027)*Resumo!$C$11</f>
        <v>0</v>
      </c>
      <c r="R1027" s="61" t="n">
        <f aca="false">SUM(I1027:Q1027)</f>
        <v>92.772256</v>
      </c>
      <c r="S1027" s="61" t="n">
        <f aca="false">R1027/(1-Resumo!$C$5)</f>
        <v>105.423018181818</v>
      </c>
      <c r="T1027" s="61" t="n">
        <v>82.21</v>
      </c>
      <c r="U1027" s="61" t="n">
        <f aca="false">H1027*Resumo!$B$6</f>
        <v>0.30768</v>
      </c>
      <c r="V1027" s="61" t="n">
        <f aca="false">H1027*Resumo!$B$7</f>
        <v>0.61536</v>
      </c>
      <c r="W1027" s="61" t="n">
        <f aca="false">Resumo!$B$9</f>
        <v>1</v>
      </c>
      <c r="X1027" s="61" t="n">
        <f aca="false">Resumo!$B$10*CEILING(G1027/100,1)</f>
        <v>4.5</v>
      </c>
      <c r="Y1027" s="61" t="n">
        <f aca="false">Resumo!$B$12*CEILING(G1027,1)</f>
        <v>1.5</v>
      </c>
      <c r="Z1027" s="61" t="n">
        <f aca="false">Resumo!$B$14*CEILING(G1027,1)</f>
        <v>11.25</v>
      </c>
      <c r="AA1027" s="61" t="n">
        <f aca="false">SUM(T1027:Z1027)</f>
        <v>101.38304</v>
      </c>
      <c r="AB1027" s="61" t="n">
        <f aca="false">AA1027/(1-Resumo!$B$5)</f>
        <v>115.208</v>
      </c>
      <c r="AC1027" s="61" t="n">
        <f aca="false">AB1027-S1027</f>
        <v>9.78498181818182</v>
      </c>
      <c r="AD1027" s="62" t="n">
        <f aca="false">AB1027/S1027-1</f>
        <v>0.0928163695835962</v>
      </c>
      <c r="AE1027" s="60" t="str">
        <f aca="false">IF(AB1027&lt;S1027,"SIM","NÃO")</f>
        <v>NÃO</v>
      </c>
      <c r="AF1027" s="60" t="n">
        <v>13</v>
      </c>
      <c r="AG1027" s="60" t="n">
        <v>5</v>
      </c>
      <c r="AH1027" s="60" t="s">
        <v>385</v>
      </c>
      <c r="AI1027" s="61" t="n">
        <f aca="false">(T1027*(1-Painel!$C$40)+U1027+V1027+Painel!$C$41+Painel!$C$42*CEILING(G1027/100,1)+Painel!$C$43*CEILING(G1027,1)+Z1027)/(1-Resumo!$B$5)</f>
        <v>78.75425</v>
      </c>
      <c r="AJ1027" s="60" t="str">
        <f aca="false">IF(AI1027&lt;S1027,"SIM","NÃO")</f>
        <v>SIM</v>
      </c>
    </row>
    <row r="1028" customFormat="false" ht="15" hidden="false" customHeight="false" outlineLevel="0" collapsed="false">
      <c r="A1028" s="59" t="n">
        <v>46249.454224537</v>
      </c>
      <c r="B1028" s="60" t="s">
        <v>1347</v>
      </c>
      <c r="C1028" s="60" t="n">
        <v>22795200</v>
      </c>
      <c r="D1028" s="60" t="s">
        <v>46</v>
      </c>
      <c r="E1028" s="60" t="s">
        <v>22</v>
      </c>
      <c r="F1028" s="60" t="s">
        <v>235</v>
      </c>
      <c r="G1028" s="60" t="n">
        <v>43.5</v>
      </c>
      <c r="H1028" s="61" t="n">
        <v>699.99</v>
      </c>
      <c r="I1028" s="61" t="n">
        <v>53.55</v>
      </c>
      <c r="J1028" s="61" t="n">
        <f aca="false">H1028*Resumo!$C$6</f>
        <v>0</v>
      </c>
      <c r="K1028" s="61" t="n">
        <f aca="false">H1028*Resumo!$C$7</f>
        <v>1.469979</v>
      </c>
      <c r="L1028" s="61" t="n">
        <f aca="false">H1028*Resumo!$C$8</f>
        <v>1.469979</v>
      </c>
      <c r="M1028" s="61" t="n">
        <f aca="false">Resumo!$C$10*CEILING(G1028/100,1)</f>
        <v>1.05</v>
      </c>
      <c r="N1028" s="61" t="n">
        <f aca="false">Resumo!$C$9</f>
        <v>0</v>
      </c>
      <c r="O1028" s="61" t="n">
        <f aca="false">Resumo!$C$13</f>
        <v>13.55</v>
      </c>
      <c r="P1028" s="61" t="n">
        <f aca="false">Resumo!$C$14*CEILING(G1028,1)</f>
        <v>19.8</v>
      </c>
      <c r="Q1028" s="61" t="n">
        <f aca="false">SUM(I1028:P1028)*Resumo!$C$11</f>
        <v>0</v>
      </c>
      <c r="R1028" s="61" t="n">
        <f aca="false">SUM(I1028:Q1028)</f>
        <v>90.889958</v>
      </c>
      <c r="S1028" s="61" t="n">
        <f aca="false">R1028/(1-Resumo!$C$5)</f>
        <v>103.284043181818</v>
      </c>
      <c r="T1028" s="61" t="n">
        <v>93.97</v>
      </c>
      <c r="U1028" s="61" t="n">
        <f aca="false">H1028*Resumo!$B$6</f>
        <v>0.69999</v>
      </c>
      <c r="V1028" s="61" t="n">
        <f aca="false">H1028*Resumo!$B$7</f>
        <v>1.39998</v>
      </c>
      <c r="W1028" s="61" t="n">
        <f aca="false">Resumo!$B$9</f>
        <v>1</v>
      </c>
      <c r="X1028" s="61" t="n">
        <f aca="false">Resumo!$B$10*CEILING(G1028/100,1)</f>
        <v>4.5</v>
      </c>
      <c r="Y1028" s="61" t="n">
        <f aca="false">Resumo!$B$12*CEILING(G1028,1)</f>
        <v>2.64</v>
      </c>
      <c r="Z1028" s="61" t="n">
        <f aca="false">Resumo!$B$14*CEILING(G1028,1)</f>
        <v>19.8</v>
      </c>
      <c r="AA1028" s="61" t="n">
        <f aca="false">SUM(T1028:Z1028)</f>
        <v>124.00997</v>
      </c>
      <c r="AB1028" s="61" t="n">
        <f aca="false">AA1028/(1-Resumo!$B$5)</f>
        <v>140.920420454545</v>
      </c>
      <c r="AC1028" s="61" t="n">
        <f aca="false">AB1028-S1028</f>
        <v>37.6363772727273</v>
      </c>
      <c r="AD1028" s="62" t="n">
        <f aca="false">AB1028/S1028-1</f>
        <v>0.364396823684306</v>
      </c>
      <c r="AE1028" s="60" t="str">
        <f aca="false">IF(AB1028&lt;S1028,"SIM","NÃO")</f>
        <v>NÃO</v>
      </c>
      <c r="AF1028" s="60" t="n">
        <v>2</v>
      </c>
      <c r="AG1028" s="60" t="n">
        <v>5</v>
      </c>
      <c r="AH1028" s="60" t="s">
        <v>382</v>
      </c>
      <c r="AI1028" s="61" t="n">
        <f aca="false">(T1028*(1-Painel!$C$40)+U1028+V1028+Painel!$C$41+Painel!$C$42*CEILING(G1028/100,1)+Painel!$C$43*CEILING(G1028,1)+Z1028)/(1-Resumo!$B$5)</f>
        <v>98.7612159090909</v>
      </c>
      <c r="AJ1028" s="60" t="str">
        <f aca="false">IF(AI1028&lt;S1028,"SIM","NÃO")</f>
        <v>SIM</v>
      </c>
    </row>
    <row r="1029" customFormat="false" ht="15" hidden="false" customHeight="false" outlineLevel="0" collapsed="false">
      <c r="A1029" s="59" t="n">
        <v>46249.4939236111</v>
      </c>
      <c r="B1029" s="60" t="s">
        <v>1348</v>
      </c>
      <c r="C1029" s="60" t="n">
        <v>21715075</v>
      </c>
      <c r="D1029" s="60" t="s">
        <v>46</v>
      </c>
      <c r="E1029" s="60" t="s">
        <v>22</v>
      </c>
      <c r="F1029" s="60" t="s">
        <v>241</v>
      </c>
      <c r="G1029" s="60" t="n">
        <v>124.2</v>
      </c>
      <c r="H1029" s="61" t="n">
        <v>1597.99</v>
      </c>
      <c r="I1029" s="61" t="n">
        <v>120.59</v>
      </c>
      <c r="J1029" s="61" t="n">
        <f aca="false">H1029*Resumo!$C$6</f>
        <v>0</v>
      </c>
      <c r="K1029" s="61" t="n">
        <f aca="false">H1029*Resumo!$C$7</f>
        <v>3.355779</v>
      </c>
      <c r="L1029" s="61" t="n">
        <f aca="false">H1029*Resumo!$C$8</f>
        <v>3.355779</v>
      </c>
      <c r="M1029" s="61" t="n">
        <f aca="false">Resumo!$C$10*CEILING(G1029/100,1)</f>
        <v>2.1</v>
      </c>
      <c r="N1029" s="61" t="n">
        <f aca="false">Resumo!$C$9</f>
        <v>0</v>
      </c>
      <c r="O1029" s="61" t="n">
        <f aca="false">Resumo!$C$13</f>
        <v>13.55</v>
      </c>
      <c r="P1029" s="61" t="n">
        <f aca="false">Resumo!$C$14*CEILING(G1029,1)</f>
        <v>56.25</v>
      </c>
      <c r="Q1029" s="61" t="n">
        <f aca="false">SUM(I1029:P1029)*Resumo!$C$11</f>
        <v>0</v>
      </c>
      <c r="R1029" s="61" t="n">
        <f aca="false">SUM(I1029:Q1029)</f>
        <v>199.201558</v>
      </c>
      <c r="S1029" s="61" t="n">
        <f aca="false">R1029/(1-Resumo!$C$5)</f>
        <v>226.365406818182</v>
      </c>
      <c r="T1029" s="61" t="n">
        <v>239.25</v>
      </c>
      <c r="U1029" s="61" t="n">
        <f aca="false">H1029*Resumo!$B$6</f>
        <v>1.59799</v>
      </c>
      <c r="V1029" s="61" t="n">
        <f aca="false">H1029*Resumo!$B$7</f>
        <v>3.19598</v>
      </c>
      <c r="W1029" s="61" t="n">
        <f aca="false">Resumo!$B$9</f>
        <v>1</v>
      </c>
      <c r="X1029" s="61" t="n">
        <f aca="false">Resumo!$B$10*CEILING(G1029/100,1)</f>
        <v>9</v>
      </c>
      <c r="Y1029" s="61" t="n">
        <f aca="false">Resumo!$B$12*CEILING(G1029,1)</f>
        <v>7.5</v>
      </c>
      <c r="Z1029" s="61" t="n">
        <f aca="false">Resumo!$B$14*CEILING(G1029,1)</f>
        <v>56.25</v>
      </c>
      <c r="AA1029" s="61" t="n">
        <f aca="false">SUM(T1029:Z1029)</f>
        <v>317.79397</v>
      </c>
      <c r="AB1029" s="61" t="n">
        <f aca="false">AA1029/(1-Resumo!$B$5)</f>
        <v>361.129511363636</v>
      </c>
      <c r="AC1029" s="61" t="n">
        <f aca="false">AB1029-S1029</f>
        <v>134.764104545455</v>
      </c>
      <c r="AD1029" s="62" t="n">
        <f aca="false">AB1029/S1029-1</f>
        <v>0.595338777420607</v>
      </c>
      <c r="AE1029" s="60" t="str">
        <f aca="false">IF(AB1029&lt;S1029,"SIM","NÃO")</f>
        <v>NÃO</v>
      </c>
      <c r="AF1029" s="60" t="n">
        <v>2</v>
      </c>
      <c r="AG1029" s="60" t="n">
        <v>5</v>
      </c>
      <c r="AH1029" s="60" t="s">
        <v>382</v>
      </c>
      <c r="AI1029" s="61" t="n">
        <f aca="false">(T1029*(1-Painel!$C$40)+U1029+V1029+Painel!$C$41+Painel!$C$42*CEILING(G1029/100,1)+Painel!$C$43*CEILING(G1029,1)+Z1029)/(1-Resumo!$B$5)</f>
        <v>255.047125</v>
      </c>
      <c r="AJ1029" s="60" t="str">
        <f aca="false">IF(AI1029&lt;S1029,"SIM","NÃO")</f>
        <v>NÃO</v>
      </c>
    </row>
    <row r="1030" customFormat="false" ht="15" hidden="false" customHeight="false" outlineLevel="0" collapsed="false">
      <c r="A1030" s="59" t="n">
        <v>46249.4974189815</v>
      </c>
      <c r="B1030" s="60" t="s">
        <v>1349</v>
      </c>
      <c r="C1030" s="60" t="n">
        <v>22770280</v>
      </c>
      <c r="D1030" s="60" t="s">
        <v>46</v>
      </c>
      <c r="E1030" s="60" t="s">
        <v>22</v>
      </c>
      <c r="F1030" s="60" t="s">
        <v>236</v>
      </c>
      <c r="G1030" s="60" t="n">
        <v>52.3</v>
      </c>
      <c r="H1030" s="61" t="n">
        <v>699.99</v>
      </c>
      <c r="I1030" s="61" t="n">
        <v>58.6</v>
      </c>
      <c r="J1030" s="61" t="n">
        <f aca="false">H1030*Resumo!$C$6</f>
        <v>0</v>
      </c>
      <c r="K1030" s="61" t="n">
        <f aca="false">H1030*Resumo!$C$7</f>
        <v>1.469979</v>
      </c>
      <c r="L1030" s="61" t="n">
        <f aca="false">H1030*Resumo!$C$8</f>
        <v>1.469979</v>
      </c>
      <c r="M1030" s="61" t="n">
        <f aca="false">Resumo!$C$10*CEILING(G1030/100,1)</f>
        <v>1.05</v>
      </c>
      <c r="N1030" s="61" t="n">
        <f aca="false">Resumo!$C$9</f>
        <v>0</v>
      </c>
      <c r="O1030" s="61" t="n">
        <f aca="false">Resumo!$C$13</f>
        <v>13.55</v>
      </c>
      <c r="P1030" s="61" t="n">
        <f aca="false">Resumo!$C$14*CEILING(G1030,1)</f>
        <v>23.85</v>
      </c>
      <c r="Q1030" s="61" t="n">
        <f aca="false">SUM(I1030:P1030)*Resumo!$C$11</f>
        <v>0</v>
      </c>
      <c r="R1030" s="61" t="n">
        <f aca="false">SUM(I1030:Q1030)</f>
        <v>99.989958</v>
      </c>
      <c r="S1030" s="61" t="n">
        <f aca="false">R1030/(1-Resumo!$C$5)</f>
        <v>113.624952272727</v>
      </c>
      <c r="T1030" s="61" t="n">
        <v>112.3</v>
      </c>
      <c r="U1030" s="61" t="n">
        <f aca="false">H1030*Resumo!$B$6</f>
        <v>0.69999</v>
      </c>
      <c r="V1030" s="61" t="n">
        <f aca="false">H1030*Resumo!$B$7</f>
        <v>1.39998</v>
      </c>
      <c r="W1030" s="61" t="n">
        <f aca="false">Resumo!$B$9</f>
        <v>1</v>
      </c>
      <c r="X1030" s="61" t="n">
        <f aca="false">Resumo!$B$10*CEILING(G1030/100,1)</f>
        <v>4.5</v>
      </c>
      <c r="Y1030" s="61" t="n">
        <f aca="false">Resumo!$B$12*CEILING(G1030,1)</f>
        <v>3.18</v>
      </c>
      <c r="Z1030" s="61" t="n">
        <f aca="false">Resumo!$B$14*CEILING(G1030,1)</f>
        <v>23.85</v>
      </c>
      <c r="AA1030" s="61" t="n">
        <f aca="false">SUM(T1030:Z1030)</f>
        <v>146.92997</v>
      </c>
      <c r="AB1030" s="61" t="n">
        <f aca="false">AA1030/(1-Resumo!$B$5)</f>
        <v>166.965875</v>
      </c>
      <c r="AC1030" s="61" t="n">
        <f aca="false">AB1030-S1030</f>
        <v>53.3409227272727</v>
      </c>
      <c r="AD1030" s="62" t="n">
        <f aca="false">AB1030/S1030-1</f>
        <v>0.469447261894039</v>
      </c>
      <c r="AE1030" s="60" t="str">
        <f aca="false">IF(AB1030&lt;S1030,"SIM","NÃO")</f>
        <v>NÃO</v>
      </c>
      <c r="AF1030" s="60" t="n">
        <v>2</v>
      </c>
      <c r="AG1030" s="60" t="n">
        <v>5</v>
      </c>
      <c r="AH1030" s="60" t="s">
        <v>382</v>
      </c>
      <c r="AI1030" s="61" t="n">
        <f aca="false">(T1030*(1-Painel!$C$40)+U1030+V1030+Painel!$C$41+Painel!$C$42*CEILING(G1030/100,1)+Painel!$C$43*CEILING(G1030,1)+Z1030)/(1-Resumo!$B$5)</f>
        <v>117.319284090909</v>
      </c>
      <c r="AJ1030" s="60" t="str">
        <f aca="false">IF(AI1030&lt;S1030,"SIM","NÃO")</f>
        <v>NÃO</v>
      </c>
    </row>
    <row r="1031" customFormat="false" ht="15" hidden="false" customHeight="false" outlineLevel="0" collapsed="false">
      <c r="A1031" s="59" t="n">
        <v>46249.5002314815</v>
      </c>
      <c r="B1031" s="60" t="s">
        <v>1350</v>
      </c>
      <c r="C1031" s="60" t="n">
        <v>26135300</v>
      </c>
      <c r="D1031" s="60" t="s">
        <v>52</v>
      </c>
      <c r="E1031" s="60" t="s">
        <v>23</v>
      </c>
      <c r="F1031" s="60" t="s">
        <v>237</v>
      </c>
      <c r="G1031" s="60" t="n">
        <v>63.9</v>
      </c>
      <c r="H1031" s="61" t="n">
        <v>730.98</v>
      </c>
      <c r="I1031" s="61" t="n">
        <v>76.55</v>
      </c>
      <c r="J1031" s="61" t="n">
        <f aca="false">H1031*Resumo!$C$6</f>
        <v>0</v>
      </c>
      <c r="K1031" s="61" t="n">
        <f aca="false">H1031*Resumo!$C$7</f>
        <v>1.535058</v>
      </c>
      <c r="L1031" s="61" t="n">
        <f aca="false">H1031*Resumo!$C$8</f>
        <v>1.535058</v>
      </c>
      <c r="M1031" s="61" t="n">
        <f aca="false">Resumo!$C$10*CEILING(G1031/100,1)</f>
        <v>1.05</v>
      </c>
      <c r="N1031" s="61" t="n">
        <f aca="false">Resumo!$C$9</f>
        <v>0</v>
      </c>
      <c r="O1031" s="61" t="n">
        <f aca="false">Resumo!$C$13</f>
        <v>13.55</v>
      </c>
      <c r="P1031" s="61" t="n">
        <f aca="false">Resumo!$C$14*CEILING(G1031,1)</f>
        <v>28.8</v>
      </c>
      <c r="Q1031" s="61" t="n">
        <f aca="false">SUM(I1031:P1031)*Resumo!$C$11</f>
        <v>0</v>
      </c>
      <c r="R1031" s="61" t="n">
        <f aca="false">SUM(I1031:Q1031)</f>
        <v>123.020116</v>
      </c>
      <c r="S1031" s="61" t="n">
        <f aca="false">R1031/(1-Resumo!$C$5)</f>
        <v>139.795586363636</v>
      </c>
      <c r="T1031" s="61" t="n">
        <v>131.02</v>
      </c>
      <c r="U1031" s="61" t="n">
        <f aca="false">H1031*Resumo!$B$6</f>
        <v>0.73098</v>
      </c>
      <c r="V1031" s="61" t="n">
        <f aca="false">H1031*Resumo!$B$7</f>
        <v>1.46196</v>
      </c>
      <c r="W1031" s="61" t="n">
        <f aca="false">Resumo!$B$9</f>
        <v>1</v>
      </c>
      <c r="X1031" s="61" t="n">
        <f aca="false">Resumo!$B$10*CEILING(G1031/100,1)</f>
        <v>4.5</v>
      </c>
      <c r="Y1031" s="61" t="n">
        <f aca="false">Resumo!$B$12*CEILING(G1031,1)</f>
        <v>3.84</v>
      </c>
      <c r="Z1031" s="61" t="n">
        <f aca="false">Resumo!$B$14*CEILING(G1031,1)</f>
        <v>28.8</v>
      </c>
      <c r="AA1031" s="61" t="n">
        <f aca="false">SUM(T1031:Z1031)</f>
        <v>171.35294</v>
      </c>
      <c r="AB1031" s="61" t="n">
        <f aca="false">AA1031/(1-Resumo!$B$5)</f>
        <v>194.71925</v>
      </c>
      <c r="AC1031" s="61" t="n">
        <f aca="false">AB1031-S1031</f>
        <v>54.9236636363636</v>
      </c>
      <c r="AD1031" s="62" t="n">
        <f aca="false">AB1031/S1031-1</f>
        <v>0.392885534264982</v>
      </c>
      <c r="AE1031" s="60" t="str">
        <f aca="false">IF(AB1031&lt;S1031,"SIM","NÃO")</f>
        <v>NÃO</v>
      </c>
      <c r="AF1031" s="60" t="n">
        <v>2</v>
      </c>
      <c r="AG1031" s="60" t="n">
        <v>5</v>
      </c>
      <c r="AH1031" s="60" t="s">
        <v>382</v>
      </c>
      <c r="AI1031" s="61" t="n">
        <f aca="false">(T1031*(1-Painel!$C$40)+U1031+V1031+Painel!$C$41+Painel!$C$42*CEILING(G1031/100,1)+Painel!$C$43*CEILING(G1031,1)+Z1031)/(1-Resumo!$B$5)</f>
        <v>137.302659090909</v>
      </c>
      <c r="AJ1031" s="60" t="str">
        <f aca="false">IF(AI1031&lt;S1031,"SIM","NÃO")</f>
        <v>SIM</v>
      </c>
    </row>
    <row r="1032" customFormat="false" ht="15" hidden="false" customHeight="false" outlineLevel="0" collapsed="false">
      <c r="A1032" s="59" t="n">
        <v>46249.5013310185</v>
      </c>
      <c r="B1032" s="60" t="s">
        <v>1351</v>
      </c>
      <c r="C1032" s="60" t="n">
        <v>23898093</v>
      </c>
      <c r="D1032" s="60" t="s">
        <v>267</v>
      </c>
      <c r="E1032" s="60" t="s">
        <v>24</v>
      </c>
      <c r="F1032" s="60" t="s">
        <v>236</v>
      </c>
      <c r="G1032" s="60" t="n">
        <v>52.3</v>
      </c>
      <c r="H1032" s="61" t="n">
        <v>699.99</v>
      </c>
      <c r="I1032" s="61" t="n">
        <v>83.58</v>
      </c>
      <c r="J1032" s="61" t="n">
        <f aca="false">H1032*Resumo!$C$6</f>
        <v>0</v>
      </c>
      <c r="K1032" s="61" t="n">
        <f aca="false">H1032*Resumo!$C$7</f>
        <v>1.469979</v>
      </c>
      <c r="L1032" s="61" t="n">
        <f aca="false">H1032*Resumo!$C$8</f>
        <v>1.469979</v>
      </c>
      <c r="M1032" s="61" t="n">
        <f aca="false">Resumo!$C$10*CEILING(G1032/100,1)</f>
        <v>1.05</v>
      </c>
      <c r="N1032" s="61" t="n">
        <f aca="false">Resumo!$C$9</f>
        <v>0</v>
      </c>
      <c r="O1032" s="61" t="n">
        <f aca="false">Resumo!$C$13</f>
        <v>13.55</v>
      </c>
      <c r="P1032" s="61" t="n">
        <f aca="false">Resumo!$C$14*CEILING(G1032,1)</f>
        <v>23.85</v>
      </c>
      <c r="Q1032" s="61" t="n">
        <f aca="false">SUM(I1032:P1032)*Resumo!$C$11</f>
        <v>0</v>
      </c>
      <c r="R1032" s="61" t="n">
        <f aca="false">SUM(I1032:Q1032)</f>
        <v>124.969958</v>
      </c>
      <c r="S1032" s="61" t="n">
        <f aca="false">R1032/(1-Resumo!$C$5)</f>
        <v>142.011315909091</v>
      </c>
      <c r="T1032" s="61" t="n">
        <v>122.3</v>
      </c>
      <c r="U1032" s="61" t="n">
        <f aca="false">H1032*Resumo!$B$6</f>
        <v>0.69999</v>
      </c>
      <c r="V1032" s="61" t="n">
        <f aca="false">H1032*Resumo!$B$7</f>
        <v>1.39998</v>
      </c>
      <c r="W1032" s="61" t="n">
        <f aca="false">Resumo!$B$9</f>
        <v>1</v>
      </c>
      <c r="X1032" s="61" t="n">
        <f aca="false">Resumo!$B$10*CEILING(G1032/100,1)</f>
        <v>4.5</v>
      </c>
      <c r="Y1032" s="61" t="n">
        <f aca="false">Resumo!$B$12*CEILING(G1032,1)</f>
        <v>3.18</v>
      </c>
      <c r="Z1032" s="61" t="n">
        <f aca="false">Resumo!$B$14*CEILING(G1032,1)</f>
        <v>23.85</v>
      </c>
      <c r="AA1032" s="61" t="n">
        <f aca="false">SUM(T1032:Z1032)</f>
        <v>156.92997</v>
      </c>
      <c r="AB1032" s="61" t="n">
        <f aca="false">AA1032/(1-Resumo!$B$5)</f>
        <v>178.329511363636</v>
      </c>
      <c r="AC1032" s="61" t="n">
        <f aca="false">AB1032-S1032</f>
        <v>36.3181954545454</v>
      </c>
      <c r="AD1032" s="62" t="n">
        <f aca="false">AB1032/S1032-1</f>
        <v>0.255741559903541</v>
      </c>
      <c r="AE1032" s="60" t="str">
        <f aca="false">IF(AB1032&lt;S1032,"SIM","NÃO")</f>
        <v>NÃO</v>
      </c>
      <c r="AF1032" s="60" t="n">
        <v>13</v>
      </c>
      <c r="AG1032" s="60" t="n">
        <v>5</v>
      </c>
      <c r="AH1032" s="60" t="s">
        <v>385</v>
      </c>
      <c r="AI1032" s="61" t="n">
        <f aca="false">(T1032*(1-Painel!$C$40)+U1032+V1032+Painel!$C$41+Painel!$C$42*CEILING(G1032/100,1)+Painel!$C$43*CEILING(G1032,1)+Z1032)/(1-Resumo!$B$5)</f>
        <v>124.932920454545</v>
      </c>
      <c r="AJ1032" s="60" t="str">
        <f aca="false">IF(AI1032&lt;S1032,"SIM","NÃO")</f>
        <v>SIM</v>
      </c>
    </row>
    <row r="1033" customFormat="false" ht="15" hidden="false" customHeight="false" outlineLevel="0" collapsed="false">
      <c r="A1033" s="59" t="n">
        <v>46249.5027199074</v>
      </c>
      <c r="B1033" s="60" t="s">
        <v>1352</v>
      </c>
      <c r="C1033" s="60" t="n">
        <v>25640550</v>
      </c>
      <c r="D1033" s="60" t="s">
        <v>219</v>
      </c>
      <c r="E1033" s="60" t="s">
        <v>24</v>
      </c>
      <c r="F1033" s="60" t="s">
        <v>241</v>
      </c>
      <c r="G1033" s="60" t="n">
        <v>124.2</v>
      </c>
      <c r="H1033" s="61" t="n">
        <v>1526.91</v>
      </c>
      <c r="I1033" s="61" t="n">
        <v>144.24</v>
      </c>
      <c r="J1033" s="61" t="n">
        <f aca="false">H1033*Resumo!$C$6</f>
        <v>0</v>
      </c>
      <c r="K1033" s="61" t="n">
        <f aca="false">H1033*Resumo!$C$7</f>
        <v>3.206511</v>
      </c>
      <c r="L1033" s="61" t="n">
        <f aca="false">H1033*Resumo!$C$8</f>
        <v>3.206511</v>
      </c>
      <c r="M1033" s="61" t="n">
        <f aca="false">Resumo!$C$10*CEILING(G1033/100,1)</f>
        <v>2.1</v>
      </c>
      <c r="N1033" s="61" t="n">
        <f aca="false">Resumo!$C$9</f>
        <v>0</v>
      </c>
      <c r="O1033" s="61" t="n">
        <f aca="false">Resumo!$C$13</f>
        <v>13.55</v>
      </c>
      <c r="P1033" s="61" t="n">
        <f aca="false">Resumo!$C$14*CEILING(G1033,1)</f>
        <v>56.25</v>
      </c>
      <c r="Q1033" s="61" t="n">
        <f aca="false">SUM(I1033:P1033)*Resumo!$C$11</f>
        <v>0</v>
      </c>
      <c r="R1033" s="61" t="n">
        <f aca="false">SUM(I1033:Q1033)</f>
        <v>222.553022</v>
      </c>
      <c r="S1033" s="61" t="n">
        <f aca="false">R1033/(1-Resumo!$C$5)</f>
        <v>252.901161363636</v>
      </c>
      <c r="T1033" s="61" t="n">
        <v>264.84</v>
      </c>
      <c r="U1033" s="61" t="n">
        <f aca="false">H1033*Resumo!$B$6</f>
        <v>1.52691</v>
      </c>
      <c r="V1033" s="61" t="n">
        <f aca="false">H1033*Resumo!$B$7</f>
        <v>3.05382</v>
      </c>
      <c r="W1033" s="61" t="n">
        <f aca="false">Resumo!$B$9</f>
        <v>1</v>
      </c>
      <c r="X1033" s="61" t="n">
        <f aca="false">Resumo!$B$10*CEILING(G1033/100,1)</f>
        <v>9</v>
      </c>
      <c r="Y1033" s="61" t="n">
        <f aca="false">Resumo!$B$12*CEILING(G1033,1)</f>
        <v>7.5</v>
      </c>
      <c r="Z1033" s="61" t="n">
        <f aca="false">Resumo!$B$14*CEILING(G1033,1)</f>
        <v>56.25</v>
      </c>
      <c r="AA1033" s="61" t="n">
        <f aca="false">SUM(T1033:Z1033)</f>
        <v>343.17073</v>
      </c>
      <c r="AB1033" s="61" t="n">
        <f aca="false">AA1033/(1-Resumo!$B$5)</f>
        <v>389.966738636364</v>
      </c>
      <c r="AC1033" s="61" t="n">
        <f aca="false">AB1033-S1033</f>
        <v>137.065577272727</v>
      </c>
      <c r="AD1033" s="62" t="n">
        <f aca="false">AB1033/S1033-1</f>
        <v>0.541972905674586</v>
      </c>
      <c r="AE1033" s="60" t="str">
        <f aca="false">IF(AB1033&lt;S1033,"SIM","NÃO")</f>
        <v>NÃO</v>
      </c>
      <c r="AF1033" s="60" t="n">
        <v>13</v>
      </c>
      <c r="AG1033" s="60" t="n">
        <v>8</v>
      </c>
      <c r="AH1033" s="60" t="s">
        <v>382</v>
      </c>
      <c r="AI1033" s="61" t="n">
        <f aca="false">(T1033*(1-Painel!$C$40)+U1033+V1033+Painel!$C$41+Painel!$C$42*CEILING(G1033/100,1)+Painel!$C$43*CEILING(G1033,1)+Z1033)/(1-Resumo!$B$5)</f>
        <v>274.288102272727</v>
      </c>
      <c r="AJ1033" s="60" t="str">
        <f aca="false">IF(AI1033&lt;S1033,"SIM","NÃO")</f>
        <v>NÃO</v>
      </c>
    </row>
    <row r="1034" customFormat="false" ht="15" hidden="false" customHeight="false" outlineLevel="0" collapsed="false">
      <c r="A1034" s="59" t="n">
        <v>46249.5034490741</v>
      </c>
      <c r="B1034" s="60" t="s">
        <v>1353</v>
      </c>
      <c r="C1034" s="60" t="n">
        <v>21046160</v>
      </c>
      <c r="D1034" s="60" t="s">
        <v>46</v>
      </c>
      <c r="E1034" s="60" t="s">
        <v>22</v>
      </c>
      <c r="F1034" s="60" t="s">
        <v>236</v>
      </c>
      <c r="G1034" s="60" t="n">
        <v>52.2</v>
      </c>
      <c r="H1034" s="61" t="n">
        <v>719.99</v>
      </c>
      <c r="I1034" s="61" t="n">
        <v>58.6</v>
      </c>
      <c r="J1034" s="61" t="n">
        <f aca="false">H1034*Resumo!$C$6</f>
        <v>0</v>
      </c>
      <c r="K1034" s="61" t="n">
        <f aca="false">H1034*Resumo!$C$7</f>
        <v>1.511979</v>
      </c>
      <c r="L1034" s="61" t="n">
        <f aca="false">H1034*Resumo!$C$8</f>
        <v>1.511979</v>
      </c>
      <c r="M1034" s="61" t="n">
        <f aca="false">Resumo!$C$10*CEILING(G1034/100,1)</f>
        <v>1.05</v>
      </c>
      <c r="N1034" s="61" t="n">
        <f aca="false">Resumo!$C$9</f>
        <v>0</v>
      </c>
      <c r="O1034" s="61" t="n">
        <f aca="false">Resumo!$C$13</f>
        <v>13.55</v>
      </c>
      <c r="P1034" s="61" t="n">
        <f aca="false">Resumo!$C$14*CEILING(G1034,1)</f>
        <v>23.85</v>
      </c>
      <c r="Q1034" s="61" t="n">
        <f aca="false">SUM(I1034:P1034)*Resumo!$C$11</f>
        <v>0</v>
      </c>
      <c r="R1034" s="61" t="n">
        <f aca="false">SUM(I1034:Q1034)</f>
        <v>100.073958</v>
      </c>
      <c r="S1034" s="61" t="n">
        <f aca="false">R1034/(1-Resumo!$C$5)</f>
        <v>113.720406818182</v>
      </c>
      <c r="T1034" s="61" t="n">
        <v>112.3</v>
      </c>
      <c r="U1034" s="61" t="n">
        <f aca="false">H1034*Resumo!$B$6</f>
        <v>0.71999</v>
      </c>
      <c r="V1034" s="61" t="n">
        <f aca="false">H1034*Resumo!$B$7</f>
        <v>1.43998</v>
      </c>
      <c r="W1034" s="61" t="n">
        <f aca="false">Resumo!$B$9</f>
        <v>1</v>
      </c>
      <c r="X1034" s="61" t="n">
        <f aca="false">Resumo!$B$10*CEILING(G1034/100,1)</f>
        <v>4.5</v>
      </c>
      <c r="Y1034" s="61" t="n">
        <f aca="false">Resumo!$B$12*CEILING(G1034,1)</f>
        <v>3.18</v>
      </c>
      <c r="Z1034" s="61" t="n">
        <f aca="false">Resumo!$B$14*CEILING(G1034,1)</f>
        <v>23.85</v>
      </c>
      <c r="AA1034" s="61" t="n">
        <f aca="false">SUM(T1034:Z1034)</f>
        <v>146.98997</v>
      </c>
      <c r="AB1034" s="61" t="n">
        <f aca="false">AA1034/(1-Resumo!$B$5)</f>
        <v>167.034056818182</v>
      </c>
      <c r="AC1034" s="61" t="n">
        <f aca="false">AB1034-S1034</f>
        <v>53.31365</v>
      </c>
      <c r="AD1034" s="62" t="n">
        <f aca="false">AB1034/S1034-1</f>
        <v>0.468813394989334</v>
      </c>
      <c r="AE1034" s="60" t="str">
        <f aca="false">IF(AB1034&lt;S1034,"SIM","NÃO")</f>
        <v>NÃO</v>
      </c>
      <c r="AF1034" s="60" t="n">
        <v>2</v>
      </c>
      <c r="AG1034" s="60" t="n">
        <v>5</v>
      </c>
      <c r="AH1034" s="60" t="s">
        <v>382</v>
      </c>
      <c r="AI1034" s="61" t="n">
        <f aca="false">(T1034*(1-Painel!$C$40)+U1034+V1034+Painel!$C$41+Painel!$C$42*CEILING(G1034/100,1)+Painel!$C$43*CEILING(G1034,1)+Z1034)/(1-Resumo!$B$5)</f>
        <v>117.387465909091</v>
      </c>
      <c r="AJ1034" s="60" t="str">
        <f aca="false">IF(AI1034&lt;S1034,"SIM","NÃO")</f>
        <v>NÃO</v>
      </c>
    </row>
    <row r="1035" customFormat="false" ht="15" hidden="false" customHeight="false" outlineLevel="0" collapsed="false">
      <c r="A1035" s="59" t="n">
        <v>46249.5113078704</v>
      </c>
      <c r="B1035" s="60" t="s">
        <v>1354</v>
      </c>
      <c r="C1035" s="60" t="n">
        <v>21051020</v>
      </c>
      <c r="D1035" s="60" t="s">
        <v>46</v>
      </c>
      <c r="E1035" s="60" t="s">
        <v>22</v>
      </c>
      <c r="F1035" s="60" t="s">
        <v>234</v>
      </c>
      <c r="G1035" s="60" t="n">
        <v>37.5</v>
      </c>
      <c r="H1035" s="61" t="n">
        <v>399.99</v>
      </c>
      <c r="I1035" s="61" t="n">
        <v>48.35</v>
      </c>
      <c r="J1035" s="61" t="n">
        <f aca="false">H1035*Resumo!$C$6</f>
        <v>0</v>
      </c>
      <c r="K1035" s="61" t="n">
        <f aca="false">H1035*Resumo!$C$7</f>
        <v>0.839979</v>
      </c>
      <c r="L1035" s="61" t="n">
        <f aca="false">H1035*Resumo!$C$8</f>
        <v>0.839979</v>
      </c>
      <c r="M1035" s="61" t="n">
        <f aca="false">Resumo!$C$10*CEILING(G1035/100,1)</f>
        <v>1.05</v>
      </c>
      <c r="N1035" s="61" t="n">
        <f aca="false">Resumo!$C$9</f>
        <v>0</v>
      </c>
      <c r="O1035" s="61" t="n">
        <f aca="false">Resumo!$C$13</f>
        <v>13.55</v>
      </c>
      <c r="P1035" s="61" t="n">
        <f aca="false">Resumo!$C$14*CEILING(G1035,1)</f>
        <v>17.1</v>
      </c>
      <c r="Q1035" s="61" t="n">
        <f aca="false">SUM(I1035:P1035)*Resumo!$C$11</f>
        <v>0</v>
      </c>
      <c r="R1035" s="61" t="n">
        <f aca="false">SUM(I1035:Q1035)</f>
        <v>81.729958</v>
      </c>
      <c r="S1035" s="61" t="n">
        <f aca="false">R1035/(1-Resumo!$C$5)</f>
        <v>92.8749522727273</v>
      </c>
      <c r="T1035" s="61" t="n">
        <v>93.97</v>
      </c>
      <c r="U1035" s="61" t="n">
        <f aca="false">H1035*Resumo!$B$6</f>
        <v>0.39999</v>
      </c>
      <c r="V1035" s="61" t="n">
        <f aca="false">H1035*Resumo!$B$7</f>
        <v>0.79998</v>
      </c>
      <c r="W1035" s="61" t="n">
        <f aca="false">Resumo!$B$9</f>
        <v>1</v>
      </c>
      <c r="X1035" s="61" t="n">
        <f aca="false">Resumo!$B$10*CEILING(G1035/100,1)</f>
        <v>4.5</v>
      </c>
      <c r="Y1035" s="61" t="n">
        <f aca="false">Resumo!$B$12*CEILING(G1035,1)</f>
        <v>2.28</v>
      </c>
      <c r="Z1035" s="61" t="n">
        <f aca="false">Resumo!$B$14*CEILING(G1035,1)</f>
        <v>17.1</v>
      </c>
      <c r="AA1035" s="61" t="n">
        <f aca="false">SUM(T1035:Z1035)</f>
        <v>120.04997</v>
      </c>
      <c r="AB1035" s="61" t="n">
        <f aca="false">AA1035/(1-Resumo!$B$5)</f>
        <v>136.420420454545</v>
      </c>
      <c r="AC1035" s="61" t="n">
        <f aca="false">AB1035-S1035</f>
        <v>43.5454681818182</v>
      </c>
      <c r="AD1035" s="62" t="n">
        <f aca="false">AB1035/S1035-1</f>
        <v>0.468861271163262</v>
      </c>
      <c r="AE1035" s="60" t="str">
        <f aca="false">IF(AB1035&lt;S1035,"SIM","NÃO")</f>
        <v>NÃO</v>
      </c>
      <c r="AF1035" s="60" t="n">
        <v>2</v>
      </c>
      <c r="AG1035" s="60" t="n">
        <v>5</v>
      </c>
      <c r="AH1035" s="60" t="s">
        <v>382</v>
      </c>
      <c r="AI1035" s="61" t="n">
        <f aca="false">(T1035*(1-Painel!$C$40)+U1035+V1035+Painel!$C$41+Painel!$C$42*CEILING(G1035/100,1)+Painel!$C$43*CEILING(G1035,1)+Z1035)/(1-Resumo!$B$5)</f>
        <v>94.6703068181818</v>
      </c>
      <c r="AJ1035" s="60" t="str">
        <f aca="false">IF(AI1035&lt;S1035,"SIM","NÃO")</f>
        <v>NÃO</v>
      </c>
    </row>
    <row r="1036" customFormat="false" ht="15" hidden="false" customHeight="false" outlineLevel="0" collapsed="false">
      <c r="A1036" s="59" t="n">
        <v>46249.5120023148</v>
      </c>
      <c r="B1036" s="60" t="s">
        <v>1355</v>
      </c>
      <c r="C1036" s="60" t="n">
        <v>28961777</v>
      </c>
      <c r="D1036" s="60" t="s">
        <v>340</v>
      </c>
      <c r="E1036" s="60" t="s">
        <v>24</v>
      </c>
      <c r="F1036" s="60" t="s">
        <v>235</v>
      </c>
      <c r="G1036" s="60" t="n">
        <v>41.4</v>
      </c>
      <c r="H1036" s="61" t="n">
        <v>418.29</v>
      </c>
      <c r="I1036" s="61" t="n">
        <v>77.7</v>
      </c>
      <c r="J1036" s="61" t="n">
        <f aca="false">H1036*Resumo!$C$6</f>
        <v>0</v>
      </c>
      <c r="K1036" s="61" t="n">
        <f aca="false">H1036*Resumo!$C$7</f>
        <v>0.878409</v>
      </c>
      <c r="L1036" s="61" t="n">
        <f aca="false">H1036*Resumo!$C$8</f>
        <v>0.878409</v>
      </c>
      <c r="M1036" s="61" t="n">
        <f aca="false">Resumo!$C$10*CEILING(G1036/100,1)</f>
        <v>1.05</v>
      </c>
      <c r="N1036" s="61" t="n">
        <f aca="false">Resumo!$C$9</f>
        <v>0</v>
      </c>
      <c r="O1036" s="61" t="n">
        <f aca="false">Resumo!$C$13</f>
        <v>13.55</v>
      </c>
      <c r="P1036" s="61" t="n">
        <f aca="false">Resumo!$C$14*CEILING(G1036,1)</f>
        <v>18.9</v>
      </c>
      <c r="Q1036" s="61" t="n">
        <f aca="false">SUM(I1036:P1036)*Resumo!$C$11</f>
        <v>0</v>
      </c>
      <c r="R1036" s="61" t="n">
        <f aca="false">SUM(I1036:Q1036)</f>
        <v>112.956818</v>
      </c>
      <c r="S1036" s="61" t="n">
        <f aca="false">R1036/(1-Resumo!$C$5)</f>
        <v>128.360020454545</v>
      </c>
      <c r="T1036" s="61" t="n">
        <v>129.29</v>
      </c>
      <c r="U1036" s="61" t="n">
        <f aca="false">H1036*Resumo!$B$6</f>
        <v>0.41829</v>
      </c>
      <c r="V1036" s="61" t="n">
        <f aca="false">H1036*Resumo!$B$7</f>
        <v>0.83658</v>
      </c>
      <c r="W1036" s="61" t="n">
        <f aca="false">Resumo!$B$9</f>
        <v>1</v>
      </c>
      <c r="X1036" s="61" t="n">
        <f aca="false">Resumo!$B$10*CEILING(G1036/100,1)</f>
        <v>4.5</v>
      </c>
      <c r="Y1036" s="61" t="n">
        <f aca="false">Resumo!$B$12*CEILING(G1036,1)</f>
        <v>2.52</v>
      </c>
      <c r="Z1036" s="61" t="n">
        <f aca="false">Resumo!$B$14*CEILING(G1036,1)</f>
        <v>18.9</v>
      </c>
      <c r="AA1036" s="61" t="n">
        <f aca="false">SUM(T1036:Z1036)</f>
        <v>157.46487</v>
      </c>
      <c r="AB1036" s="61" t="n">
        <f aca="false">AA1036/(1-Resumo!$B$5)</f>
        <v>178.937352272727</v>
      </c>
      <c r="AC1036" s="61" t="n">
        <f aca="false">AB1036-S1036</f>
        <v>50.5773318181818</v>
      </c>
      <c r="AD1036" s="62" t="n">
        <f aca="false">AB1036/S1036-1</f>
        <v>0.394027140530818</v>
      </c>
      <c r="AE1036" s="60" t="str">
        <f aca="false">IF(AB1036&lt;S1036,"SIM","NÃO")</f>
        <v>NÃO</v>
      </c>
      <c r="AF1036" s="60" t="n">
        <v>13</v>
      </c>
      <c r="AG1036" s="60" t="n">
        <v>10</v>
      </c>
      <c r="AH1036" s="60" t="s">
        <v>385</v>
      </c>
      <c r="AI1036" s="61" t="n">
        <f aca="false">(T1036*(1-Painel!$C$40)+U1036+V1036+Painel!$C$41+Painel!$C$42*CEILING(G1036/100,1)+Painel!$C$43*CEILING(G1036,1)+Z1036)/(1-Resumo!$B$5)</f>
        <v>123.669511363636</v>
      </c>
      <c r="AJ1036" s="60" t="str">
        <f aca="false">IF(AI1036&lt;S1036,"SIM","NÃO")</f>
        <v>SIM</v>
      </c>
    </row>
    <row r="1037" customFormat="false" ht="15" hidden="false" customHeight="false" outlineLevel="0" collapsed="false">
      <c r="A1037" s="59" t="n">
        <v>46249.5358449074</v>
      </c>
      <c r="B1037" s="60" t="s">
        <v>1356</v>
      </c>
      <c r="C1037" s="60" t="n">
        <v>26190281</v>
      </c>
      <c r="D1037" s="60" t="s">
        <v>52</v>
      </c>
      <c r="E1037" s="60" t="s">
        <v>23</v>
      </c>
      <c r="F1037" s="60" t="s">
        <v>238</v>
      </c>
      <c r="G1037" s="60" t="n">
        <v>72.7</v>
      </c>
      <c r="H1037" s="61" t="n">
        <v>1109.99</v>
      </c>
      <c r="I1037" s="61" t="n">
        <v>82.48</v>
      </c>
      <c r="J1037" s="61" t="n">
        <f aca="false">H1037*Resumo!$C$6</f>
        <v>0</v>
      </c>
      <c r="K1037" s="61" t="n">
        <f aca="false">H1037*Resumo!$C$7</f>
        <v>2.330979</v>
      </c>
      <c r="L1037" s="61" t="n">
        <f aca="false">H1037*Resumo!$C$8</f>
        <v>2.330979</v>
      </c>
      <c r="M1037" s="61" t="n">
        <f aca="false">Resumo!$C$10*CEILING(G1037/100,1)</f>
        <v>1.05</v>
      </c>
      <c r="N1037" s="61" t="n">
        <f aca="false">Resumo!$C$9</f>
        <v>0</v>
      </c>
      <c r="O1037" s="61" t="n">
        <f aca="false">Resumo!$C$13</f>
        <v>13.55</v>
      </c>
      <c r="P1037" s="61" t="n">
        <f aca="false">Resumo!$C$14*CEILING(G1037,1)</f>
        <v>32.85</v>
      </c>
      <c r="Q1037" s="61" t="n">
        <f aca="false">SUM(I1037:P1037)*Resumo!$C$11</f>
        <v>0</v>
      </c>
      <c r="R1037" s="61" t="n">
        <f aca="false">SUM(I1037:Q1037)</f>
        <v>134.591958</v>
      </c>
      <c r="S1037" s="61" t="n">
        <f aca="false">R1037/(1-Resumo!$C$5)</f>
        <v>152.945406818182</v>
      </c>
      <c r="T1037" s="61" t="n">
        <v>134.39</v>
      </c>
      <c r="U1037" s="61" t="n">
        <f aca="false">H1037*Resumo!$B$6</f>
        <v>1.10999</v>
      </c>
      <c r="V1037" s="61" t="n">
        <f aca="false">H1037*Resumo!$B$7</f>
        <v>2.21998</v>
      </c>
      <c r="W1037" s="61" t="n">
        <f aca="false">Resumo!$B$9</f>
        <v>1</v>
      </c>
      <c r="X1037" s="61" t="n">
        <f aca="false">Resumo!$B$10*CEILING(G1037/100,1)</f>
        <v>4.5</v>
      </c>
      <c r="Y1037" s="61" t="n">
        <f aca="false">Resumo!$B$12*CEILING(G1037,1)</f>
        <v>4.38</v>
      </c>
      <c r="Z1037" s="61" t="n">
        <f aca="false">Resumo!$B$14*CEILING(G1037,1)</f>
        <v>32.85</v>
      </c>
      <c r="AA1037" s="61" t="n">
        <f aca="false">SUM(T1037:Z1037)</f>
        <v>180.44997</v>
      </c>
      <c r="AB1037" s="61" t="n">
        <f aca="false">AA1037/(1-Resumo!$B$5)</f>
        <v>205.056784090909</v>
      </c>
      <c r="AC1037" s="61" t="n">
        <f aca="false">AB1037-S1037</f>
        <v>52.1113772727273</v>
      </c>
      <c r="AD1037" s="62" t="n">
        <f aca="false">AB1037/S1037-1</f>
        <v>0.340718811743566</v>
      </c>
      <c r="AE1037" s="60" t="str">
        <f aca="false">IF(AB1037&lt;S1037,"SIM","NÃO")</f>
        <v>NÃO</v>
      </c>
      <c r="AF1037" s="60" t="n">
        <v>2</v>
      </c>
      <c r="AG1037" s="60" t="n">
        <v>5</v>
      </c>
      <c r="AH1037" s="60" t="s">
        <v>382</v>
      </c>
      <c r="AI1037" s="61" t="n">
        <f aca="false">(T1037*(1-Painel!$C$40)+U1037+V1037+Painel!$C$41+Painel!$C$42*CEILING(G1037/100,1)+Painel!$C$43*CEILING(G1037,1)+Z1037)/(1-Resumo!$B$5)</f>
        <v>145.762806818182</v>
      </c>
      <c r="AJ1037" s="60" t="str">
        <f aca="false">IF(AI1037&lt;S1037,"SIM","NÃO")</f>
        <v>SIM</v>
      </c>
    </row>
    <row r="1038" customFormat="false" ht="15" hidden="false" customHeight="false" outlineLevel="0" collapsed="false">
      <c r="A1038" s="59" t="n">
        <v>46249.5430092593</v>
      </c>
      <c r="B1038" s="60" t="s">
        <v>1357</v>
      </c>
      <c r="C1038" s="60" t="n">
        <v>22713581</v>
      </c>
      <c r="D1038" s="60" t="s">
        <v>46</v>
      </c>
      <c r="E1038" s="60" t="s">
        <v>22</v>
      </c>
      <c r="F1038" s="60" t="s">
        <v>237</v>
      </c>
      <c r="G1038" s="60" t="n">
        <v>63</v>
      </c>
      <c r="H1038" s="61" t="n">
        <v>985.99</v>
      </c>
      <c r="I1038" s="61" t="n">
        <v>63.21</v>
      </c>
      <c r="J1038" s="61" t="n">
        <f aca="false">H1038*Resumo!$C$6</f>
        <v>0</v>
      </c>
      <c r="K1038" s="61" t="n">
        <f aca="false">H1038*Resumo!$C$7</f>
        <v>2.070579</v>
      </c>
      <c r="L1038" s="61" t="n">
        <f aca="false">H1038*Resumo!$C$8</f>
        <v>2.070579</v>
      </c>
      <c r="M1038" s="61" t="n">
        <f aca="false">Resumo!$C$10*CEILING(G1038/100,1)</f>
        <v>1.05</v>
      </c>
      <c r="N1038" s="61" t="n">
        <f aca="false">Resumo!$C$9</f>
        <v>0</v>
      </c>
      <c r="O1038" s="61" t="n">
        <f aca="false">Resumo!$C$13</f>
        <v>13.55</v>
      </c>
      <c r="P1038" s="61" t="n">
        <f aca="false">Resumo!$C$14*CEILING(G1038,1)</f>
        <v>28.35</v>
      </c>
      <c r="Q1038" s="61" t="n">
        <f aca="false">SUM(I1038:P1038)*Resumo!$C$11</f>
        <v>0</v>
      </c>
      <c r="R1038" s="61" t="n">
        <f aca="false">SUM(I1038:Q1038)</f>
        <v>110.301158</v>
      </c>
      <c r="S1038" s="61" t="n">
        <f aca="false">R1038/(1-Resumo!$C$5)</f>
        <v>125.342225</v>
      </c>
      <c r="T1038" s="61" t="n">
        <v>131.02</v>
      </c>
      <c r="U1038" s="61" t="n">
        <f aca="false">H1038*Resumo!$B$6</f>
        <v>0.98599</v>
      </c>
      <c r="V1038" s="61" t="n">
        <f aca="false">H1038*Resumo!$B$7</f>
        <v>1.97198</v>
      </c>
      <c r="W1038" s="61" t="n">
        <f aca="false">Resumo!$B$9</f>
        <v>1</v>
      </c>
      <c r="X1038" s="61" t="n">
        <f aca="false">Resumo!$B$10*CEILING(G1038/100,1)</f>
        <v>4.5</v>
      </c>
      <c r="Y1038" s="61" t="n">
        <f aca="false">Resumo!$B$12*CEILING(G1038,1)</f>
        <v>3.78</v>
      </c>
      <c r="Z1038" s="61" t="n">
        <f aca="false">Resumo!$B$14*CEILING(G1038,1)</f>
        <v>28.35</v>
      </c>
      <c r="AA1038" s="61" t="n">
        <f aca="false">SUM(T1038:Z1038)</f>
        <v>171.60797</v>
      </c>
      <c r="AB1038" s="61" t="n">
        <f aca="false">AA1038/(1-Resumo!$B$5)</f>
        <v>195.009056818182</v>
      </c>
      <c r="AC1038" s="61" t="n">
        <f aca="false">AB1038-S1038</f>
        <v>69.6668318181818</v>
      </c>
      <c r="AD1038" s="62" t="n">
        <f aca="false">AB1038/S1038-1</f>
        <v>0.555812949851351</v>
      </c>
      <c r="AE1038" s="60" t="str">
        <f aca="false">IF(AB1038&lt;S1038,"SIM","NÃO")</f>
        <v>NÃO</v>
      </c>
      <c r="AF1038" s="60" t="n">
        <v>2</v>
      </c>
      <c r="AG1038" s="60" t="n">
        <v>5</v>
      </c>
      <c r="AH1038" s="60" t="s">
        <v>382</v>
      </c>
      <c r="AI1038" s="61" t="n">
        <f aca="false">(T1038*(1-Painel!$C$40)+U1038+V1038+Painel!$C$41+Painel!$C$42*CEILING(G1038/100,1)+Painel!$C$43*CEILING(G1038,1)+Z1038)/(1-Resumo!$B$5)</f>
        <v>137.660647727273</v>
      </c>
      <c r="AJ1038" s="60" t="str">
        <f aca="false">IF(AI1038&lt;S1038,"SIM","NÃO")</f>
        <v>NÃO</v>
      </c>
    </row>
    <row r="1039" customFormat="false" ht="15" hidden="false" customHeight="false" outlineLevel="0" collapsed="false">
      <c r="A1039" s="59" t="n">
        <v>46249.5549537037</v>
      </c>
      <c r="B1039" s="60" t="s">
        <v>1358</v>
      </c>
      <c r="C1039" s="60" t="n">
        <v>23025500</v>
      </c>
      <c r="D1039" s="60" t="s">
        <v>46</v>
      </c>
      <c r="E1039" s="60" t="s">
        <v>22</v>
      </c>
      <c r="F1039" s="60" t="s">
        <v>235</v>
      </c>
      <c r="G1039" s="60" t="n">
        <v>48.6</v>
      </c>
      <c r="H1039" s="61" t="n">
        <v>604.3</v>
      </c>
      <c r="I1039" s="61" t="n">
        <v>53.55</v>
      </c>
      <c r="J1039" s="61" t="n">
        <f aca="false">H1039*Resumo!$C$6</f>
        <v>0</v>
      </c>
      <c r="K1039" s="61" t="n">
        <f aca="false">H1039*Resumo!$C$7</f>
        <v>1.26903</v>
      </c>
      <c r="L1039" s="61" t="n">
        <f aca="false">H1039*Resumo!$C$8</f>
        <v>1.26903</v>
      </c>
      <c r="M1039" s="61" t="n">
        <f aca="false">Resumo!$C$10*CEILING(G1039/100,1)</f>
        <v>1.05</v>
      </c>
      <c r="N1039" s="61" t="n">
        <f aca="false">Resumo!$C$9</f>
        <v>0</v>
      </c>
      <c r="O1039" s="61" t="n">
        <f aca="false">Resumo!$C$13</f>
        <v>13.55</v>
      </c>
      <c r="P1039" s="61" t="n">
        <f aca="false">Resumo!$C$14*CEILING(G1039,1)</f>
        <v>22.05</v>
      </c>
      <c r="Q1039" s="61" t="n">
        <f aca="false">SUM(I1039:P1039)*Resumo!$C$11</f>
        <v>0</v>
      </c>
      <c r="R1039" s="61" t="n">
        <f aca="false">SUM(I1039:Q1039)</f>
        <v>92.73806</v>
      </c>
      <c r="S1039" s="61" t="n">
        <f aca="false">R1039/(1-Resumo!$C$5)</f>
        <v>105.384159090909</v>
      </c>
      <c r="T1039" s="61" t="n">
        <v>93.97</v>
      </c>
      <c r="U1039" s="61" t="n">
        <f aca="false">H1039*Resumo!$B$6</f>
        <v>0.6043</v>
      </c>
      <c r="V1039" s="61" t="n">
        <f aca="false">H1039*Resumo!$B$7</f>
        <v>1.2086</v>
      </c>
      <c r="W1039" s="61" t="n">
        <f aca="false">Resumo!$B$9</f>
        <v>1</v>
      </c>
      <c r="X1039" s="61" t="n">
        <f aca="false">Resumo!$B$10*CEILING(G1039/100,1)</f>
        <v>4.5</v>
      </c>
      <c r="Y1039" s="61" t="n">
        <f aca="false">Resumo!$B$12*CEILING(G1039,1)</f>
        <v>2.94</v>
      </c>
      <c r="Z1039" s="61" t="n">
        <f aca="false">Resumo!$B$14*CEILING(G1039,1)</f>
        <v>22.05</v>
      </c>
      <c r="AA1039" s="61" t="n">
        <f aca="false">SUM(T1039:Z1039)</f>
        <v>126.2729</v>
      </c>
      <c r="AB1039" s="61" t="n">
        <f aca="false">AA1039/(1-Resumo!$B$5)</f>
        <v>143.491931818182</v>
      </c>
      <c r="AC1039" s="61" t="n">
        <f aca="false">AB1039-S1039</f>
        <v>38.1077727272727</v>
      </c>
      <c r="AD1039" s="62" t="n">
        <f aca="false">AB1039/S1039-1</f>
        <v>0.361608168210549</v>
      </c>
      <c r="AE1039" s="60" t="str">
        <f aca="false">IF(AB1039&lt;S1039,"SIM","NÃO")</f>
        <v>NÃO</v>
      </c>
      <c r="AF1039" s="60" t="n">
        <v>2</v>
      </c>
      <c r="AG1039" s="60" t="n">
        <v>5</v>
      </c>
      <c r="AH1039" s="60" t="s">
        <v>382</v>
      </c>
      <c r="AI1039" s="61" t="n">
        <f aca="false">(T1039*(1-Painel!$C$40)+U1039+V1039+Painel!$C$41+Painel!$C$42*CEILING(G1039/100,1)+Painel!$C$43*CEILING(G1039,1)+Z1039)/(1-Resumo!$B$5)</f>
        <v>100.991818181818</v>
      </c>
      <c r="AJ1039" s="60" t="str">
        <f aca="false">IF(AI1039&lt;S1039,"SIM","NÃO")</f>
        <v>SIM</v>
      </c>
    </row>
    <row r="1040" customFormat="false" ht="15" hidden="false" customHeight="false" outlineLevel="0" collapsed="false">
      <c r="A1040" s="59" t="n">
        <v>46249.5652430556</v>
      </c>
      <c r="B1040" s="60" t="s">
        <v>1359</v>
      </c>
      <c r="C1040" s="60" t="n">
        <v>23040580</v>
      </c>
      <c r="D1040" s="60" t="s">
        <v>46</v>
      </c>
      <c r="E1040" s="60" t="s">
        <v>22</v>
      </c>
      <c r="F1040" s="60" t="s">
        <v>233</v>
      </c>
      <c r="G1040" s="60" t="n">
        <v>27.6</v>
      </c>
      <c r="H1040" s="61" t="n">
        <v>537.45</v>
      </c>
      <c r="I1040" s="61" t="n">
        <v>42.11</v>
      </c>
      <c r="J1040" s="61" t="n">
        <f aca="false">H1040*Resumo!$C$6</f>
        <v>0</v>
      </c>
      <c r="K1040" s="61" t="n">
        <f aca="false">H1040*Resumo!$C$7</f>
        <v>1.128645</v>
      </c>
      <c r="L1040" s="61" t="n">
        <f aca="false">H1040*Resumo!$C$8</f>
        <v>1.128645</v>
      </c>
      <c r="M1040" s="61" t="n">
        <f aca="false">Resumo!$C$10*CEILING(G1040/100,1)</f>
        <v>1.05</v>
      </c>
      <c r="N1040" s="61" t="n">
        <f aca="false">Resumo!$C$9</f>
        <v>0</v>
      </c>
      <c r="O1040" s="61" t="n">
        <f aca="false">Resumo!$C$13</f>
        <v>13.55</v>
      </c>
      <c r="P1040" s="61" t="n">
        <f aca="false">Resumo!$C$14*CEILING(G1040,1)</f>
        <v>12.6</v>
      </c>
      <c r="Q1040" s="61" t="n">
        <f aca="false">SUM(I1040:P1040)*Resumo!$C$11</f>
        <v>0</v>
      </c>
      <c r="R1040" s="61" t="n">
        <f aca="false">SUM(I1040:Q1040)</f>
        <v>71.56729</v>
      </c>
      <c r="S1040" s="61" t="n">
        <f aca="false">R1040/(1-Resumo!$C$5)</f>
        <v>81.3264659090909</v>
      </c>
      <c r="T1040" s="61" t="n">
        <v>82.21</v>
      </c>
      <c r="U1040" s="61" t="n">
        <f aca="false">H1040*Resumo!$B$6</f>
        <v>0.53745</v>
      </c>
      <c r="V1040" s="61" t="n">
        <f aca="false">H1040*Resumo!$B$7</f>
        <v>1.0749</v>
      </c>
      <c r="W1040" s="61" t="n">
        <f aca="false">Resumo!$B$9</f>
        <v>1</v>
      </c>
      <c r="X1040" s="61" t="n">
        <f aca="false">Resumo!$B$10*CEILING(G1040/100,1)</f>
        <v>4.5</v>
      </c>
      <c r="Y1040" s="61" t="n">
        <f aca="false">Resumo!$B$12*CEILING(G1040,1)</f>
        <v>1.68</v>
      </c>
      <c r="Z1040" s="61" t="n">
        <f aca="false">Resumo!$B$14*CEILING(G1040,1)</f>
        <v>12.6</v>
      </c>
      <c r="AA1040" s="61" t="n">
        <f aca="false">SUM(T1040:Z1040)</f>
        <v>103.60235</v>
      </c>
      <c r="AB1040" s="61" t="n">
        <f aca="false">AA1040/(1-Resumo!$B$5)</f>
        <v>117.729943181818</v>
      </c>
      <c r="AC1040" s="61" t="n">
        <f aca="false">AB1040-S1040</f>
        <v>36.4034772727273</v>
      </c>
      <c r="AD1040" s="62" t="n">
        <f aca="false">AB1040/S1040-1</f>
        <v>0.447621532127317</v>
      </c>
      <c r="AE1040" s="60" t="str">
        <f aca="false">IF(AB1040&lt;S1040,"SIM","NÃO")</f>
        <v>NÃO</v>
      </c>
      <c r="AF1040" s="60" t="n">
        <v>2</v>
      </c>
      <c r="AG1040" s="60" t="n">
        <v>5</v>
      </c>
      <c r="AH1040" s="60" t="s">
        <v>382</v>
      </c>
      <c r="AI1040" s="61" t="n">
        <f aca="false">(T1040*(1-Painel!$C$40)+U1040+V1040+Painel!$C$41+Painel!$C$42*CEILING(G1040/100,1)+Painel!$C$43*CEILING(G1040,1)+Z1040)/(1-Resumo!$B$5)</f>
        <v>81.0716477272727</v>
      </c>
      <c r="AJ1040" s="60" t="str">
        <f aca="false">IF(AI1040&lt;S1040,"SIM","NÃO")</f>
        <v>SIM</v>
      </c>
    </row>
    <row r="1041" customFormat="false" ht="15" hidden="false" customHeight="false" outlineLevel="0" collapsed="false">
      <c r="A1041" s="59" t="n">
        <v>46249.5696296296</v>
      </c>
      <c r="B1041" s="60" t="s">
        <v>1360</v>
      </c>
      <c r="C1041" s="60" t="n">
        <v>24020240</v>
      </c>
      <c r="D1041" s="60" t="s">
        <v>50</v>
      </c>
      <c r="E1041" s="60" t="s">
        <v>23</v>
      </c>
      <c r="F1041" s="60" t="s">
        <v>237</v>
      </c>
      <c r="G1041" s="60" t="n">
        <v>69.15</v>
      </c>
      <c r="H1041" s="61" t="n">
        <v>707</v>
      </c>
      <c r="I1041" s="61" t="n">
        <v>76.55</v>
      </c>
      <c r="J1041" s="61" t="n">
        <f aca="false">H1041*Resumo!$C$6</f>
        <v>0</v>
      </c>
      <c r="K1041" s="61" t="n">
        <f aca="false">H1041*Resumo!$C$7</f>
        <v>1.4847</v>
      </c>
      <c r="L1041" s="61" t="n">
        <f aca="false">H1041*Resumo!$C$8</f>
        <v>1.4847</v>
      </c>
      <c r="M1041" s="61" t="n">
        <f aca="false">Resumo!$C$10*CEILING(G1041/100,1)</f>
        <v>1.05</v>
      </c>
      <c r="N1041" s="61" t="n">
        <f aca="false">Resumo!$C$9</f>
        <v>0</v>
      </c>
      <c r="O1041" s="61" t="n">
        <f aca="false">Resumo!$C$13</f>
        <v>13.55</v>
      </c>
      <c r="P1041" s="61" t="n">
        <f aca="false">Resumo!$C$14*CEILING(G1041,1)</f>
        <v>31.5</v>
      </c>
      <c r="Q1041" s="61" t="n">
        <f aca="false">SUM(I1041:P1041)*Resumo!$C$11</f>
        <v>0</v>
      </c>
      <c r="R1041" s="61" t="n">
        <f aca="false">SUM(I1041:Q1041)</f>
        <v>125.6194</v>
      </c>
      <c r="S1041" s="61" t="n">
        <f aca="false">R1041/(1-Resumo!$C$5)</f>
        <v>142.749318181818</v>
      </c>
      <c r="T1041" s="61" t="n">
        <v>149.5</v>
      </c>
      <c r="U1041" s="61" t="n">
        <f aca="false">H1041*Resumo!$B$6</f>
        <v>0.707</v>
      </c>
      <c r="V1041" s="61" t="n">
        <f aca="false">H1041*Resumo!$B$7</f>
        <v>1.414</v>
      </c>
      <c r="W1041" s="61" t="n">
        <f aca="false">Resumo!$B$9</f>
        <v>1</v>
      </c>
      <c r="X1041" s="61" t="n">
        <f aca="false">Resumo!$B$10*CEILING(G1041/100,1)</f>
        <v>4.5</v>
      </c>
      <c r="Y1041" s="61" t="n">
        <f aca="false">Resumo!$B$12*CEILING(G1041,1)</f>
        <v>4.2</v>
      </c>
      <c r="Z1041" s="61" t="n">
        <f aca="false">Resumo!$B$14*CEILING(G1041,1)</f>
        <v>31.5</v>
      </c>
      <c r="AA1041" s="61" t="n">
        <f aca="false">SUM(T1041:Z1041)</f>
        <v>192.821</v>
      </c>
      <c r="AB1041" s="61" t="n">
        <f aca="false">AA1041/(1-Resumo!$B$5)</f>
        <v>219.114772727273</v>
      </c>
      <c r="AC1041" s="61" t="n">
        <f aca="false">AB1041-S1041</f>
        <v>76.3654545454546</v>
      </c>
      <c r="AD1041" s="62" t="n">
        <f aca="false">AB1041/S1041-1</f>
        <v>0.534961956513086</v>
      </c>
      <c r="AE1041" s="60" t="str">
        <f aca="false">IF(AB1041&lt;S1041,"SIM","NÃO")</f>
        <v>NÃO</v>
      </c>
      <c r="AF1041" s="60" t="n">
        <v>2</v>
      </c>
      <c r="AG1041" s="60" t="n">
        <v>7</v>
      </c>
      <c r="AH1041" s="60" t="s">
        <v>382</v>
      </c>
      <c r="AI1041" s="61" t="n">
        <f aca="false">(T1041*(1-Painel!$C$40)+U1041+V1041+Painel!$C$41+Painel!$C$42*CEILING(G1041/100,1)+Painel!$C$43*CEILING(G1041,1)+Z1041)/(1-Resumo!$B$5)</f>
        <v>154.359090909091</v>
      </c>
      <c r="AJ1041" s="60" t="str">
        <f aca="false">IF(AI1041&lt;S1041,"SIM","NÃO")</f>
        <v>NÃO</v>
      </c>
    </row>
    <row r="1042" customFormat="false" ht="15" hidden="false" customHeight="false" outlineLevel="0" collapsed="false">
      <c r="A1042" s="59" t="n">
        <v>46249.6006134259</v>
      </c>
      <c r="B1042" s="60" t="s">
        <v>1361</v>
      </c>
      <c r="C1042" s="60" t="n">
        <v>26112100</v>
      </c>
      <c r="D1042" s="60" t="s">
        <v>52</v>
      </c>
      <c r="E1042" s="60" t="s">
        <v>23</v>
      </c>
      <c r="F1042" s="60" t="s">
        <v>236</v>
      </c>
      <c r="G1042" s="60" t="n">
        <v>51.06</v>
      </c>
      <c r="H1042" s="61" t="n">
        <v>659.55</v>
      </c>
      <c r="I1042" s="61" t="n">
        <v>70.98</v>
      </c>
      <c r="J1042" s="61" t="n">
        <f aca="false">H1042*Resumo!$C$6</f>
        <v>0</v>
      </c>
      <c r="K1042" s="61" t="n">
        <f aca="false">H1042*Resumo!$C$7</f>
        <v>1.385055</v>
      </c>
      <c r="L1042" s="61" t="n">
        <f aca="false">H1042*Resumo!$C$8</f>
        <v>1.385055</v>
      </c>
      <c r="M1042" s="61" t="n">
        <f aca="false">Resumo!$C$10*CEILING(G1042/100,1)</f>
        <v>1.05</v>
      </c>
      <c r="N1042" s="61" t="n">
        <f aca="false">Resumo!$C$9</f>
        <v>0</v>
      </c>
      <c r="O1042" s="61" t="n">
        <f aca="false">Resumo!$C$13</f>
        <v>13.55</v>
      </c>
      <c r="P1042" s="61" t="n">
        <f aca="false">Resumo!$C$14*CEILING(G1042,1)</f>
        <v>23.4</v>
      </c>
      <c r="Q1042" s="61" t="n">
        <f aca="false">SUM(I1042:P1042)*Resumo!$C$11</f>
        <v>0</v>
      </c>
      <c r="R1042" s="61" t="n">
        <f aca="false">SUM(I1042:Q1042)</f>
        <v>111.75011</v>
      </c>
      <c r="S1042" s="61" t="n">
        <f aca="false">R1042/(1-Resumo!$C$5)</f>
        <v>126.988761363636</v>
      </c>
      <c r="T1042" s="61" t="n">
        <v>112.3</v>
      </c>
      <c r="U1042" s="61" t="n">
        <f aca="false">H1042*Resumo!$B$6</f>
        <v>0.65955</v>
      </c>
      <c r="V1042" s="61" t="n">
        <f aca="false">H1042*Resumo!$B$7</f>
        <v>1.3191</v>
      </c>
      <c r="W1042" s="61" t="n">
        <f aca="false">Resumo!$B$9</f>
        <v>1</v>
      </c>
      <c r="X1042" s="61" t="n">
        <f aca="false">Resumo!$B$10*CEILING(G1042/100,1)</f>
        <v>4.5</v>
      </c>
      <c r="Y1042" s="61" t="n">
        <f aca="false">Resumo!$B$12*CEILING(G1042,1)</f>
        <v>3.12</v>
      </c>
      <c r="Z1042" s="61" t="n">
        <f aca="false">Resumo!$B$14*CEILING(G1042,1)</f>
        <v>23.4</v>
      </c>
      <c r="AA1042" s="61" t="n">
        <f aca="false">SUM(T1042:Z1042)</f>
        <v>146.29865</v>
      </c>
      <c r="AB1042" s="61" t="n">
        <f aca="false">AA1042/(1-Resumo!$B$5)</f>
        <v>166.248465909091</v>
      </c>
      <c r="AC1042" s="61" t="n">
        <f aca="false">AB1042-S1042</f>
        <v>39.2597045454546</v>
      </c>
      <c r="AD1042" s="62" t="n">
        <f aca="false">AB1042/S1042-1</f>
        <v>0.309158890313397</v>
      </c>
      <c r="AE1042" s="60" t="str">
        <f aca="false">IF(AB1042&lt;S1042,"SIM","NÃO")</f>
        <v>NÃO</v>
      </c>
      <c r="AF1042" s="60" t="n">
        <v>2</v>
      </c>
      <c r="AG1042" s="60" t="n">
        <v>5</v>
      </c>
      <c r="AH1042" s="60" t="s">
        <v>382</v>
      </c>
      <c r="AI1042" s="61" t="n">
        <f aca="false">(T1042*(1-Painel!$C$40)+U1042+V1042+Painel!$C$41+Painel!$C$42*CEILING(G1042/100,1)+Painel!$C$43*CEILING(G1042,1)+Z1042)/(1-Resumo!$B$5)</f>
        <v>116.670056818182</v>
      </c>
      <c r="AJ1042" s="60" t="str">
        <f aca="false">IF(AI1042&lt;S1042,"SIM","NÃO")</f>
        <v>SIM</v>
      </c>
    </row>
    <row r="1043" customFormat="false" ht="15" hidden="false" customHeight="false" outlineLevel="0" collapsed="false">
      <c r="A1043" s="59" t="n">
        <v>46249.603900463</v>
      </c>
      <c r="B1043" s="60" t="s">
        <v>1362</v>
      </c>
      <c r="C1043" s="60" t="n">
        <v>23560050</v>
      </c>
      <c r="D1043" s="60" t="s">
        <v>46</v>
      </c>
      <c r="E1043" s="60" t="s">
        <v>22</v>
      </c>
      <c r="F1043" s="60" t="s">
        <v>233</v>
      </c>
      <c r="G1043" s="60" t="n">
        <v>22.9</v>
      </c>
      <c r="H1043" s="61" t="n">
        <v>369.99</v>
      </c>
      <c r="I1043" s="61" t="n">
        <v>42.11</v>
      </c>
      <c r="J1043" s="61" t="n">
        <f aca="false">H1043*Resumo!$C$6</f>
        <v>0</v>
      </c>
      <c r="K1043" s="61" t="n">
        <f aca="false">H1043*Resumo!$C$7</f>
        <v>0.776979</v>
      </c>
      <c r="L1043" s="61" t="n">
        <f aca="false">H1043*Resumo!$C$8</f>
        <v>0.776979</v>
      </c>
      <c r="M1043" s="61" t="n">
        <f aca="false">Resumo!$C$10*CEILING(G1043/100,1)</f>
        <v>1.05</v>
      </c>
      <c r="N1043" s="61" t="n">
        <f aca="false">Resumo!$C$9</f>
        <v>0</v>
      </c>
      <c r="O1043" s="61" t="n">
        <f aca="false">Resumo!$C$13</f>
        <v>13.55</v>
      </c>
      <c r="P1043" s="61" t="n">
        <f aca="false">Resumo!$C$14*CEILING(G1043,1)</f>
        <v>10.35</v>
      </c>
      <c r="Q1043" s="61" t="n">
        <f aca="false">SUM(I1043:P1043)*Resumo!$C$11</f>
        <v>0</v>
      </c>
      <c r="R1043" s="61" t="n">
        <f aca="false">SUM(I1043:Q1043)</f>
        <v>68.613958</v>
      </c>
      <c r="S1043" s="61" t="n">
        <f aca="false">R1043/(1-Resumo!$C$5)</f>
        <v>77.9704068181818</v>
      </c>
      <c r="T1043" s="61" t="n">
        <v>82.21</v>
      </c>
      <c r="U1043" s="61" t="n">
        <f aca="false">H1043*Resumo!$B$6</f>
        <v>0.36999</v>
      </c>
      <c r="V1043" s="61" t="n">
        <f aca="false">H1043*Resumo!$B$7</f>
        <v>0.73998</v>
      </c>
      <c r="W1043" s="61" t="n">
        <f aca="false">Resumo!$B$9</f>
        <v>1</v>
      </c>
      <c r="X1043" s="61" t="n">
        <f aca="false">Resumo!$B$10*CEILING(G1043/100,1)</f>
        <v>4.5</v>
      </c>
      <c r="Y1043" s="61" t="n">
        <f aca="false">Resumo!$B$12*CEILING(G1043,1)</f>
        <v>1.38</v>
      </c>
      <c r="Z1043" s="61" t="n">
        <f aca="false">Resumo!$B$14*CEILING(G1043,1)</f>
        <v>10.35</v>
      </c>
      <c r="AA1043" s="61" t="n">
        <f aca="false">SUM(T1043:Z1043)</f>
        <v>100.54997</v>
      </c>
      <c r="AB1043" s="61" t="n">
        <f aca="false">AA1043/(1-Resumo!$B$5)</f>
        <v>114.261329545455</v>
      </c>
      <c r="AC1043" s="61" t="n">
        <f aca="false">AB1043-S1043</f>
        <v>36.2909227272727</v>
      </c>
      <c r="AD1043" s="62" t="n">
        <f aca="false">AB1043/S1043-1</f>
        <v>0.465444829753153</v>
      </c>
      <c r="AE1043" s="60" t="str">
        <f aca="false">IF(AB1043&lt;S1043,"SIM","NÃO")</f>
        <v>NÃO</v>
      </c>
      <c r="AF1043" s="60" t="n">
        <v>2</v>
      </c>
      <c r="AG1043" s="60" t="n">
        <v>5</v>
      </c>
      <c r="AH1043" s="60" t="s">
        <v>382</v>
      </c>
      <c r="AI1043" s="61" t="n">
        <f aca="false">(T1043*(1-Painel!$C$40)+U1043+V1043+Painel!$C$41+Painel!$C$42*CEILING(G1043/100,1)+Painel!$C$43*CEILING(G1043,1)+Z1043)/(1-Resumo!$B$5)</f>
        <v>77.9439431818182</v>
      </c>
      <c r="AJ1043" s="60" t="str">
        <f aca="false">IF(AI1043&lt;S1043,"SIM","NÃO")</f>
        <v>SIM</v>
      </c>
    </row>
    <row r="1044" customFormat="false" ht="15" hidden="false" customHeight="false" outlineLevel="0" collapsed="false">
      <c r="A1044" s="59" t="n">
        <v>46249.611724537</v>
      </c>
      <c r="B1044" s="60" t="s">
        <v>1363</v>
      </c>
      <c r="C1044" s="60" t="n">
        <v>25235160</v>
      </c>
      <c r="D1044" s="60" t="s">
        <v>48</v>
      </c>
      <c r="E1044" s="60" t="s">
        <v>23</v>
      </c>
      <c r="F1044" s="60" t="s">
        <v>233</v>
      </c>
      <c r="G1044" s="60" t="n">
        <v>22.4</v>
      </c>
      <c r="H1044" s="61" t="n">
        <v>489.88</v>
      </c>
      <c r="I1044" s="61" t="n">
        <v>58.8</v>
      </c>
      <c r="J1044" s="61" t="n">
        <f aca="false">H1044*Resumo!$C$6</f>
        <v>0</v>
      </c>
      <c r="K1044" s="61" t="n">
        <f aca="false">H1044*Resumo!$C$7</f>
        <v>1.028748</v>
      </c>
      <c r="L1044" s="61" t="n">
        <f aca="false">H1044*Resumo!$C$8</f>
        <v>1.028748</v>
      </c>
      <c r="M1044" s="61" t="n">
        <f aca="false">Resumo!$C$10*CEILING(G1044/100,1)</f>
        <v>1.05</v>
      </c>
      <c r="N1044" s="61" t="n">
        <f aca="false">Resumo!$C$9</f>
        <v>0</v>
      </c>
      <c r="O1044" s="61" t="n">
        <f aca="false">Resumo!$C$13</f>
        <v>13.55</v>
      </c>
      <c r="P1044" s="61" t="n">
        <f aca="false">Resumo!$C$14*CEILING(G1044,1)</f>
        <v>10.35</v>
      </c>
      <c r="Q1044" s="61" t="n">
        <f aca="false">SUM(I1044:P1044)*Resumo!$C$11</f>
        <v>0</v>
      </c>
      <c r="R1044" s="61" t="n">
        <f aca="false">SUM(I1044:Q1044)</f>
        <v>85.807496</v>
      </c>
      <c r="S1044" s="61" t="n">
        <f aca="false">R1044/(1-Resumo!$C$5)</f>
        <v>97.5085181818182</v>
      </c>
      <c r="T1044" s="61" t="n">
        <v>82.21</v>
      </c>
      <c r="U1044" s="61" t="n">
        <f aca="false">H1044*Resumo!$B$6</f>
        <v>0.48988</v>
      </c>
      <c r="V1044" s="61" t="n">
        <f aca="false">H1044*Resumo!$B$7</f>
        <v>0.97976</v>
      </c>
      <c r="W1044" s="61" t="n">
        <f aca="false">Resumo!$B$9</f>
        <v>1</v>
      </c>
      <c r="X1044" s="61" t="n">
        <f aca="false">Resumo!$B$10*CEILING(G1044/100,1)</f>
        <v>4.5</v>
      </c>
      <c r="Y1044" s="61" t="n">
        <f aca="false">Resumo!$B$12*CEILING(G1044,1)</f>
        <v>1.38</v>
      </c>
      <c r="Z1044" s="61" t="n">
        <f aca="false">Resumo!$B$14*CEILING(G1044,1)</f>
        <v>10.35</v>
      </c>
      <c r="AA1044" s="61" t="n">
        <f aca="false">SUM(T1044:Z1044)</f>
        <v>100.90964</v>
      </c>
      <c r="AB1044" s="61" t="n">
        <f aca="false">AA1044/(1-Resumo!$B$5)</f>
        <v>114.670045454545</v>
      </c>
      <c r="AC1044" s="61" t="n">
        <f aca="false">AB1044-S1044</f>
        <v>17.1615272727273</v>
      </c>
      <c r="AD1044" s="62" t="n">
        <f aca="false">AB1044/S1044-1</f>
        <v>0.176000287900255</v>
      </c>
      <c r="AE1044" s="60" t="str">
        <f aca="false">IF(AB1044&lt;S1044,"SIM","NÃO")</f>
        <v>NÃO</v>
      </c>
      <c r="AF1044" s="60" t="n">
        <v>2</v>
      </c>
      <c r="AG1044" s="60" t="n">
        <v>5</v>
      </c>
      <c r="AH1044" s="60" t="s">
        <v>382</v>
      </c>
      <c r="AI1044" s="61" t="n">
        <f aca="false">(T1044*(1-Painel!$C$40)+U1044+V1044+Painel!$C$41+Painel!$C$42*CEILING(G1044/100,1)+Painel!$C$43*CEILING(G1044,1)+Z1044)/(1-Resumo!$B$5)</f>
        <v>78.3526590909091</v>
      </c>
      <c r="AJ1044" s="60" t="str">
        <f aca="false">IF(AI1044&lt;S1044,"SIM","NÃO")</f>
        <v>SIM</v>
      </c>
    </row>
    <row r="1045" customFormat="false" ht="15" hidden="false" customHeight="false" outlineLevel="0" collapsed="false">
      <c r="A1045" s="59" t="n">
        <v>46249.6269675926</v>
      </c>
      <c r="B1045" s="60" t="s">
        <v>1364</v>
      </c>
      <c r="C1045" s="60" t="n">
        <v>24732660</v>
      </c>
      <c r="D1045" s="60" t="s">
        <v>47</v>
      </c>
      <c r="E1045" s="60" t="s">
        <v>23</v>
      </c>
      <c r="F1045" s="60" t="s">
        <v>237</v>
      </c>
      <c r="G1045" s="60" t="n">
        <v>69.15</v>
      </c>
      <c r="H1045" s="61" t="n">
        <v>707</v>
      </c>
      <c r="I1045" s="61" t="n">
        <v>76.55</v>
      </c>
      <c r="J1045" s="61" t="n">
        <f aca="false">H1045*Resumo!$C$6</f>
        <v>0</v>
      </c>
      <c r="K1045" s="61" t="n">
        <f aca="false">H1045*Resumo!$C$7</f>
        <v>1.4847</v>
      </c>
      <c r="L1045" s="61" t="n">
        <f aca="false">H1045*Resumo!$C$8</f>
        <v>1.4847</v>
      </c>
      <c r="M1045" s="61" t="n">
        <f aca="false">Resumo!$C$10*CEILING(G1045/100,1)</f>
        <v>1.05</v>
      </c>
      <c r="N1045" s="61" t="n">
        <f aca="false">Resumo!$C$9</f>
        <v>0</v>
      </c>
      <c r="O1045" s="61" t="n">
        <f aca="false">Resumo!$C$13</f>
        <v>13.55</v>
      </c>
      <c r="P1045" s="61" t="n">
        <f aca="false">Resumo!$C$14*CEILING(G1045,1)</f>
        <v>31.5</v>
      </c>
      <c r="Q1045" s="61" t="n">
        <f aca="false">SUM(I1045:P1045)*Resumo!$C$11</f>
        <v>0</v>
      </c>
      <c r="R1045" s="61" t="n">
        <f aca="false">SUM(I1045:Q1045)</f>
        <v>125.6194</v>
      </c>
      <c r="S1045" s="61" t="n">
        <f aca="false">R1045/(1-Resumo!$C$5)</f>
        <v>142.749318181818</v>
      </c>
      <c r="T1045" s="61" t="n">
        <v>149.5</v>
      </c>
      <c r="U1045" s="61" t="n">
        <f aca="false">H1045*Resumo!$B$6</f>
        <v>0.707</v>
      </c>
      <c r="V1045" s="61" t="n">
        <f aca="false">H1045*Resumo!$B$7</f>
        <v>1.414</v>
      </c>
      <c r="W1045" s="61" t="n">
        <f aca="false">Resumo!$B$9</f>
        <v>1</v>
      </c>
      <c r="X1045" s="61" t="n">
        <f aca="false">Resumo!$B$10*CEILING(G1045/100,1)</f>
        <v>4.5</v>
      </c>
      <c r="Y1045" s="61" t="n">
        <f aca="false">Resumo!$B$12*CEILING(G1045,1)</f>
        <v>4.2</v>
      </c>
      <c r="Z1045" s="61" t="n">
        <f aca="false">Resumo!$B$14*CEILING(G1045,1)</f>
        <v>31.5</v>
      </c>
      <c r="AA1045" s="61" t="n">
        <f aca="false">SUM(T1045:Z1045)</f>
        <v>192.821</v>
      </c>
      <c r="AB1045" s="61" t="n">
        <f aca="false">AA1045/(1-Resumo!$B$5)</f>
        <v>219.114772727273</v>
      </c>
      <c r="AC1045" s="61" t="n">
        <f aca="false">AB1045-S1045</f>
        <v>76.3654545454546</v>
      </c>
      <c r="AD1045" s="62" t="n">
        <f aca="false">AB1045/S1045-1</f>
        <v>0.534961956513086</v>
      </c>
      <c r="AE1045" s="60" t="str">
        <f aca="false">IF(AB1045&lt;S1045,"SIM","NÃO")</f>
        <v>NÃO</v>
      </c>
      <c r="AF1045" s="60" t="n">
        <v>2</v>
      </c>
      <c r="AG1045" s="60" t="n">
        <v>7</v>
      </c>
      <c r="AH1045" s="60" t="s">
        <v>382</v>
      </c>
      <c r="AI1045" s="61" t="n">
        <f aca="false">(T1045*(1-Painel!$C$40)+U1045+V1045+Painel!$C$41+Painel!$C$42*CEILING(G1045/100,1)+Painel!$C$43*CEILING(G1045,1)+Z1045)/(1-Resumo!$B$5)</f>
        <v>154.359090909091</v>
      </c>
      <c r="AJ1045" s="60" t="str">
        <f aca="false">IF(AI1045&lt;S1045,"SIM","NÃO")</f>
        <v>NÃO</v>
      </c>
    </row>
    <row r="1046" customFormat="false" ht="15" hidden="false" customHeight="false" outlineLevel="0" collapsed="false">
      <c r="A1046" s="59" t="n">
        <v>46249.628912037</v>
      </c>
      <c r="B1046" s="60" t="s">
        <v>991</v>
      </c>
      <c r="C1046" s="60" t="n">
        <v>21775410</v>
      </c>
      <c r="D1046" s="60" t="s">
        <v>46</v>
      </c>
      <c r="E1046" s="60" t="s">
        <v>22</v>
      </c>
      <c r="F1046" s="60" t="s">
        <v>234</v>
      </c>
      <c r="G1046" s="60" t="n">
        <v>36.8</v>
      </c>
      <c r="H1046" s="61" t="n">
        <v>439.99</v>
      </c>
      <c r="I1046" s="61" t="n">
        <v>48.35</v>
      </c>
      <c r="J1046" s="61" t="n">
        <f aca="false">H1046*Resumo!$C$6</f>
        <v>0</v>
      </c>
      <c r="K1046" s="61" t="n">
        <f aca="false">H1046*Resumo!$C$7</f>
        <v>0.923979</v>
      </c>
      <c r="L1046" s="61" t="n">
        <f aca="false">H1046*Resumo!$C$8</f>
        <v>0.923979</v>
      </c>
      <c r="M1046" s="61" t="n">
        <f aca="false">Resumo!$C$10*CEILING(G1046/100,1)</f>
        <v>1.05</v>
      </c>
      <c r="N1046" s="61" t="n">
        <f aca="false">Resumo!$C$9</f>
        <v>0</v>
      </c>
      <c r="O1046" s="61" t="n">
        <f aca="false">Resumo!$C$13</f>
        <v>13.55</v>
      </c>
      <c r="P1046" s="61" t="n">
        <f aca="false">Resumo!$C$14*CEILING(G1046,1)</f>
        <v>16.65</v>
      </c>
      <c r="Q1046" s="61" t="n">
        <f aca="false">SUM(I1046:P1046)*Resumo!$C$11</f>
        <v>0</v>
      </c>
      <c r="R1046" s="61" t="n">
        <f aca="false">SUM(I1046:Q1046)</f>
        <v>81.447958</v>
      </c>
      <c r="S1046" s="61" t="n">
        <f aca="false">R1046/(1-Resumo!$C$5)</f>
        <v>92.5544977272728</v>
      </c>
      <c r="T1046" s="61" t="n">
        <v>93.97</v>
      </c>
      <c r="U1046" s="61" t="n">
        <f aca="false">H1046*Resumo!$B$6</f>
        <v>0.43999</v>
      </c>
      <c r="V1046" s="61" t="n">
        <f aca="false">H1046*Resumo!$B$7</f>
        <v>0.87998</v>
      </c>
      <c r="W1046" s="61" t="n">
        <f aca="false">Resumo!$B$9</f>
        <v>1</v>
      </c>
      <c r="X1046" s="61" t="n">
        <f aca="false">Resumo!$B$10*CEILING(G1046/100,1)</f>
        <v>4.5</v>
      </c>
      <c r="Y1046" s="61" t="n">
        <f aca="false">Resumo!$B$12*CEILING(G1046,1)</f>
        <v>2.22</v>
      </c>
      <c r="Z1046" s="61" t="n">
        <f aca="false">Resumo!$B$14*CEILING(G1046,1)</f>
        <v>16.65</v>
      </c>
      <c r="AA1046" s="61" t="n">
        <f aca="false">SUM(T1046:Z1046)</f>
        <v>119.65997</v>
      </c>
      <c r="AB1046" s="61" t="n">
        <f aca="false">AA1046/(1-Resumo!$B$5)</f>
        <v>135.977238636364</v>
      </c>
      <c r="AC1046" s="61" t="n">
        <f aca="false">AB1046-S1046</f>
        <v>43.4227409090909</v>
      </c>
      <c r="AD1046" s="62" t="n">
        <f aca="false">AB1046/S1046-1</f>
        <v>0.469158625192297</v>
      </c>
      <c r="AE1046" s="60" t="str">
        <f aca="false">IF(AB1046&lt;S1046,"SIM","NÃO")</f>
        <v>NÃO</v>
      </c>
      <c r="AF1046" s="60" t="n">
        <v>2</v>
      </c>
      <c r="AG1046" s="60" t="n">
        <v>5</v>
      </c>
      <c r="AH1046" s="60" t="s">
        <v>382</v>
      </c>
      <c r="AI1046" s="61" t="n">
        <f aca="false">(T1046*(1-Painel!$C$40)+U1046+V1046+Painel!$C$41+Painel!$C$42*CEILING(G1046/100,1)+Painel!$C$43*CEILING(G1046,1)+Z1046)/(1-Resumo!$B$5)</f>
        <v>94.2953068181818</v>
      </c>
      <c r="AJ1046" s="60" t="str">
        <f aca="false">IF(AI1046&lt;S1046,"SIM","NÃO")</f>
        <v>NÃO</v>
      </c>
    </row>
    <row r="1047" customFormat="false" ht="15" hidden="false" customHeight="false" outlineLevel="0" collapsed="false">
      <c r="A1047" s="59" t="n">
        <v>46249.6289814815</v>
      </c>
      <c r="B1047" s="60" t="s">
        <v>1365</v>
      </c>
      <c r="C1047" s="60" t="n">
        <v>28899404</v>
      </c>
      <c r="D1047" s="60" t="s">
        <v>227</v>
      </c>
      <c r="E1047" s="60" t="s">
        <v>24</v>
      </c>
      <c r="F1047" s="60" t="s">
        <v>237</v>
      </c>
      <c r="G1047" s="60" t="n">
        <v>63.9</v>
      </c>
      <c r="H1047" s="61" t="n">
        <v>730.98</v>
      </c>
      <c r="I1047" s="61" t="n">
        <v>90.2</v>
      </c>
      <c r="J1047" s="61" t="n">
        <f aca="false">H1047*Resumo!$C$6</f>
        <v>0</v>
      </c>
      <c r="K1047" s="61" t="n">
        <f aca="false">H1047*Resumo!$C$7</f>
        <v>1.535058</v>
      </c>
      <c r="L1047" s="61" t="n">
        <f aca="false">H1047*Resumo!$C$8</f>
        <v>1.535058</v>
      </c>
      <c r="M1047" s="61" t="n">
        <f aca="false">Resumo!$C$10*CEILING(G1047/100,1)</f>
        <v>1.05</v>
      </c>
      <c r="N1047" s="61" t="n">
        <f aca="false">Resumo!$C$9</f>
        <v>0</v>
      </c>
      <c r="O1047" s="61" t="n">
        <f aca="false">Resumo!$C$13</f>
        <v>13.55</v>
      </c>
      <c r="P1047" s="61" t="n">
        <f aca="false">Resumo!$C$14*CEILING(G1047,1)</f>
        <v>28.8</v>
      </c>
      <c r="Q1047" s="61" t="n">
        <f aca="false">SUM(I1047:P1047)*Resumo!$C$11</f>
        <v>0</v>
      </c>
      <c r="R1047" s="61" t="n">
        <f aca="false">SUM(I1047:Q1047)</f>
        <v>136.670116</v>
      </c>
      <c r="S1047" s="61" t="n">
        <f aca="false">R1047/(1-Resumo!$C$5)</f>
        <v>155.30695</v>
      </c>
      <c r="T1047" s="61" t="n">
        <v>166.05</v>
      </c>
      <c r="U1047" s="61" t="n">
        <f aca="false">H1047*Resumo!$B$6</f>
        <v>0.73098</v>
      </c>
      <c r="V1047" s="61" t="n">
        <f aca="false">H1047*Resumo!$B$7</f>
        <v>1.46196</v>
      </c>
      <c r="W1047" s="61" t="n">
        <f aca="false">Resumo!$B$9</f>
        <v>1</v>
      </c>
      <c r="X1047" s="61" t="n">
        <f aca="false">Resumo!$B$10*CEILING(G1047/100,1)</f>
        <v>4.5</v>
      </c>
      <c r="Y1047" s="61" t="n">
        <f aca="false">Resumo!$B$12*CEILING(G1047,1)</f>
        <v>3.84</v>
      </c>
      <c r="Z1047" s="61" t="n">
        <f aca="false">Resumo!$B$14*CEILING(G1047,1)</f>
        <v>28.8</v>
      </c>
      <c r="AA1047" s="61" t="n">
        <f aca="false">SUM(T1047:Z1047)</f>
        <v>206.38294</v>
      </c>
      <c r="AB1047" s="61" t="n">
        <f aca="false">AA1047/(1-Resumo!$B$5)</f>
        <v>234.526068181818</v>
      </c>
      <c r="AC1047" s="61" t="n">
        <f aca="false">AB1047-S1047</f>
        <v>79.2191181818182</v>
      </c>
      <c r="AD1047" s="62" t="n">
        <f aca="false">AB1047/S1047-1</f>
        <v>0.510080960200546</v>
      </c>
      <c r="AE1047" s="60" t="str">
        <f aca="false">IF(AB1047&lt;S1047,"SIM","NÃO")</f>
        <v>NÃO</v>
      </c>
      <c r="AF1047" s="60" t="n">
        <v>13</v>
      </c>
      <c r="AG1047" s="60" t="n">
        <v>10</v>
      </c>
      <c r="AH1047" s="60" t="s">
        <v>382</v>
      </c>
      <c r="AI1047" s="61" t="n">
        <f aca="false">(T1047*(1-Painel!$C$40)+U1047+V1047+Painel!$C$41+Painel!$C$42*CEILING(G1047/100,1)+Painel!$C$43*CEILING(G1047,1)+Z1047)/(1-Resumo!$B$5)</f>
        <v>163.973227272727</v>
      </c>
      <c r="AJ1047" s="60" t="str">
        <f aca="false">IF(AI1047&lt;S1047,"SIM","NÃO")</f>
        <v>NÃO</v>
      </c>
    </row>
    <row r="1048" customFormat="false" ht="15" hidden="false" customHeight="false" outlineLevel="0" collapsed="false">
      <c r="A1048" s="59" t="n">
        <v>46249.6528240741</v>
      </c>
      <c r="B1048" s="60" t="s">
        <v>1366</v>
      </c>
      <c r="C1048" s="60" t="n">
        <v>27963812</v>
      </c>
      <c r="D1048" s="60" t="s">
        <v>53</v>
      </c>
      <c r="E1048" s="60" t="s">
        <v>24</v>
      </c>
      <c r="F1048" s="60" t="s">
        <v>239</v>
      </c>
      <c r="G1048" s="60" t="n">
        <v>81.7</v>
      </c>
      <c r="H1048" s="61" t="n">
        <v>580</v>
      </c>
      <c r="I1048" s="61" t="n">
        <v>109.63</v>
      </c>
      <c r="J1048" s="61" t="n">
        <f aca="false">H1048*Resumo!$C$6</f>
        <v>0</v>
      </c>
      <c r="K1048" s="61" t="n">
        <f aca="false">H1048*Resumo!$C$7</f>
        <v>1.218</v>
      </c>
      <c r="L1048" s="61" t="n">
        <f aca="false">H1048*Resumo!$C$8</f>
        <v>1.218</v>
      </c>
      <c r="M1048" s="61" t="n">
        <f aca="false">Resumo!$C$10*CEILING(G1048/100,1)</f>
        <v>1.05</v>
      </c>
      <c r="N1048" s="61" t="n">
        <f aca="false">Resumo!$C$9</f>
        <v>0</v>
      </c>
      <c r="O1048" s="61" t="n">
        <f aca="false">Resumo!$C$13</f>
        <v>13.55</v>
      </c>
      <c r="P1048" s="61" t="n">
        <f aca="false">Resumo!$C$14*CEILING(G1048,1)</f>
        <v>36.9</v>
      </c>
      <c r="Q1048" s="61" t="n">
        <f aca="false">SUM(I1048:P1048)*Resumo!$C$11</f>
        <v>0</v>
      </c>
      <c r="R1048" s="61" t="n">
        <f aca="false">SUM(I1048:Q1048)</f>
        <v>163.566</v>
      </c>
      <c r="S1048" s="61" t="n">
        <f aca="false">R1048/(1-Resumo!$C$5)</f>
        <v>185.870454545455</v>
      </c>
      <c r="T1048" s="61" t="n">
        <v>200.04</v>
      </c>
      <c r="U1048" s="61" t="n">
        <f aca="false">H1048*Resumo!$B$6</f>
        <v>0.58</v>
      </c>
      <c r="V1048" s="61" t="n">
        <f aca="false">H1048*Resumo!$B$7</f>
        <v>1.16</v>
      </c>
      <c r="W1048" s="61" t="n">
        <f aca="false">Resumo!$B$9</f>
        <v>1</v>
      </c>
      <c r="X1048" s="61" t="n">
        <f aca="false">Resumo!$B$10*CEILING(G1048/100,1)</f>
        <v>4.5</v>
      </c>
      <c r="Y1048" s="61" t="n">
        <f aca="false">Resumo!$B$12*CEILING(G1048,1)</f>
        <v>4.92</v>
      </c>
      <c r="Z1048" s="61" t="n">
        <f aca="false">Resumo!$B$14*CEILING(G1048,1)</f>
        <v>36.9</v>
      </c>
      <c r="AA1048" s="61" t="n">
        <f aca="false">SUM(T1048:Z1048)</f>
        <v>249.1</v>
      </c>
      <c r="AB1048" s="61" t="n">
        <f aca="false">AA1048/(1-Resumo!$B$5)</f>
        <v>283.068181818182</v>
      </c>
      <c r="AC1048" s="61" t="n">
        <f aca="false">AB1048-S1048</f>
        <v>97.1977272727273</v>
      </c>
      <c r="AD1048" s="62" t="n">
        <f aca="false">AB1048/S1048-1</f>
        <v>0.522932638812467</v>
      </c>
      <c r="AE1048" s="60" t="str">
        <f aca="false">IF(AB1048&lt;S1048,"SIM","NÃO")</f>
        <v>NÃO</v>
      </c>
      <c r="AF1048" s="60" t="n">
        <v>13</v>
      </c>
      <c r="AG1048" s="60" t="n">
        <v>11</v>
      </c>
      <c r="AH1048" s="60" t="s">
        <v>382</v>
      </c>
      <c r="AI1048" s="61" t="n">
        <f aca="false">(T1048*(1-Painel!$C$40)+U1048+V1048+Painel!$C$41+Painel!$C$42*CEILING(G1048/100,1)+Painel!$C$43*CEILING(G1048,1)+Z1048)/(1-Resumo!$B$5)</f>
        <v>198.541818181818</v>
      </c>
      <c r="AJ1048" s="60" t="str">
        <f aca="false">IF(AI1048&lt;S1048,"SIM","NÃO")</f>
        <v>NÃO</v>
      </c>
    </row>
    <row r="1049" customFormat="false" ht="15" hidden="false" customHeight="false" outlineLevel="0" collapsed="false">
      <c r="A1049" s="59" t="n">
        <v>46249.6542708333</v>
      </c>
      <c r="B1049" s="60" t="s">
        <v>1367</v>
      </c>
      <c r="C1049" s="60" t="n">
        <v>26271090</v>
      </c>
      <c r="D1049" s="60" t="s">
        <v>49</v>
      </c>
      <c r="E1049" s="60" t="s">
        <v>23</v>
      </c>
      <c r="F1049" s="60" t="s">
        <v>237</v>
      </c>
      <c r="G1049" s="60" t="n">
        <v>66.8</v>
      </c>
      <c r="H1049" s="61" t="n">
        <v>578</v>
      </c>
      <c r="I1049" s="61" t="n">
        <v>76.55</v>
      </c>
      <c r="J1049" s="61" t="n">
        <f aca="false">H1049*Resumo!$C$6</f>
        <v>0</v>
      </c>
      <c r="K1049" s="61" t="n">
        <f aca="false">H1049*Resumo!$C$7</f>
        <v>1.2138</v>
      </c>
      <c r="L1049" s="61" t="n">
        <f aca="false">H1049*Resumo!$C$8</f>
        <v>1.2138</v>
      </c>
      <c r="M1049" s="61" t="n">
        <f aca="false">Resumo!$C$10*CEILING(G1049/100,1)</f>
        <v>1.05</v>
      </c>
      <c r="N1049" s="61" t="n">
        <f aca="false">Resumo!$C$9</f>
        <v>0</v>
      </c>
      <c r="O1049" s="61" t="n">
        <f aca="false">Resumo!$C$13</f>
        <v>13.55</v>
      </c>
      <c r="P1049" s="61" t="n">
        <f aca="false">Resumo!$C$14*CEILING(G1049,1)</f>
        <v>30.15</v>
      </c>
      <c r="Q1049" s="61" t="n">
        <f aca="false">SUM(I1049:P1049)*Resumo!$C$11</f>
        <v>0</v>
      </c>
      <c r="R1049" s="61" t="n">
        <f aca="false">SUM(I1049:Q1049)</f>
        <v>123.7276</v>
      </c>
      <c r="S1049" s="61" t="n">
        <f aca="false">R1049/(1-Resumo!$C$5)</f>
        <v>140.599545454545</v>
      </c>
      <c r="T1049" s="61" t="n">
        <v>131.02</v>
      </c>
      <c r="U1049" s="61" t="n">
        <f aca="false">H1049*Resumo!$B$6</f>
        <v>0.578</v>
      </c>
      <c r="V1049" s="61" t="n">
        <f aca="false">H1049*Resumo!$B$7</f>
        <v>1.156</v>
      </c>
      <c r="W1049" s="61" t="n">
        <f aca="false">Resumo!$B$9</f>
        <v>1</v>
      </c>
      <c r="X1049" s="61" t="n">
        <f aca="false">Resumo!$B$10*CEILING(G1049/100,1)</f>
        <v>4.5</v>
      </c>
      <c r="Y1049" s="61" t="n">
        <f aca="false">Resumo!$B$12*CEILING(G1049,1)</f>
        <v>4.02</v>
      </c>
      <c r="Z1049" s="61" t="n">
        <f aca="false">Resumo!$B$14*CEILING(G1049,1)</f>
        <v>30.15</v>
      </c>
      <c r="AA1049" s="61" t="n">
        <f aca="false">SUM(T1049:Z1049)</f>
        <v>172.424</v>
      </c>
      <c r="AB1049" s="61" t="n">
        <f aca="false">AA1049/(1-Resumo!$B$5)</f>
        <v>195.936363636364</v>
      </c>
      <c r="AC1049" s="61" t="n">
        <f aca="false">AB1049-S1049</f>
        <v>55.3368181818182</v>
      </c>
      <c r="AD1049" s="62" t="n">
        <f aca="false">AB1049/S1049-1</f>
        <v>0.39357750413004</v>
      </c>
      <c r="AE1049" s="60" t="str">
        <f aca="false">IF(AB1049&lt;S1049,"SIM","NÃO")</f>
        <v>NÃO</v>
      </c>
      <c r="AF1049" s="60" t="n">
        <v>2</v>
      </c>
      <c r="AG1049" s="60" t="n">
        <v>5</v>
      </c>
      <c r="AH1049" s="60" t="s">
        <v>382</v>
      </c>
      <c r="AI1049" s="61" t="n">
        <f aca="false">(T1049*(1-Painel!$C$40)+U1049+V1049+Painel!$C$41+Painel!$C$42*CEILING(G1049/100,1)+Painel!$C$43*CEILING(G1049,1)+Z1049)/(1-Resumo!$B$5)</f>
        <v>138.315227272727</v>
      </c>
      <c r="AJ1049" s="60" t="str">
        <f aca="false">IF(AI1049&lt;S1049,"SIM","NÃO")</f>
        <v>SIM</v>
      </c>
    </row>
    <row r="1050" customFormat="false" ht="15" hidden="false" customHeight="false" outlineLevel="0" collapsed="false">
      <c r="A1050" s="59" t="n">
        <v>46249.6546527778</v>
      </c>
      <c r="B1050" s="60" t="s">
        <v>1368</v>
      </c>
      <c r="C1050" s="60" t="n">
        <v>26113660</v>
      </c>
      <c r="D1050" s="60" t="s">
        <v>52</v>
      </c>
      <c r="E1050" s="60" t="s">
        <v>23</v>
      </c>
      <c r="F1050" s="60" t="s">
        <v>234</v>
      </c>
      <c r="G1050" s="60" t="n">
        <v>37.5</v>
      </c>
      <c r="H1050" s="61" t="n">
        <v>429.99</v>
      </c>
      <c r="I1050" s="61" t="n">
        <v>66.83</v>
      </c>
      <c r="J1050" s="61" t="n">
        <f aca="false">H1050*Resumo!$C$6</f>
        <v>0</v>
      </c>
      <c r="K1050" s="61" t="n">
        <f aca="false">H1050*Resumo!$C$7</f>
        <v>0.902979</v>
      </c>
      <c r="L1050" s="61" t="n">
        <f aca="false">H1050*Resumo!$C$8</f>
        <v>0.902979</v>
      </c>
      <c r="M1050" s="61" t="n">
        <f aca="false">Resumo!$C$10*CEILING(G1050/100,1)</f>
        <v>1.05</v>
      </c>
      <c r="N1050" s="61" t="n">
        <f aca="false">Resumo!$C$9</f>
        <v>0</v>
      </c>
      <c r="O1050" s="61" t="n">
        <f aca="false">Resumo!$C$13</f>
        <v>13.55</v>
      </c>
      <c r="P1050" s="61" t="n">
        <f aca="false">Resumo!$C$14*CEILING(G1050,1)</f>
        <v>17.1</v>
      </c>
      <c r="Q1050" s="61" t="n">
        <f aca="false">SUM(I1050:P1050)*Resumo!$C$11</f>
        <v>0</v>
      </c>
      <c r="R1050" s="61" t="n">
        <f aca="false">SUM(I1050:Q1050)</f>
        <v>100.335958</v>
      </c>
      <c r="S1050" s="61" t="n">
        <f aca="false">R1050/(1-Resumo!$C$5)</f>
        <v>114.018134090909</v>
      </c>
      <c r="T1050" s="61" t="n">
        <v>93.97</v>
      </c>
      <c r="U1050" s="61" t="n">
        <f aca="false">H1050*Resumo!$B$6</f>
        <v>0.42999</v>
      </c>
      <c r="V1050" s="61" t="n">
        <f aca="false">H1050*Resumo!$B$7</f>
        <v>0.85998</v>
      </c>
      <c r="W1050" s="61" t="n">
        <f aca="false">Resumo!$B$9</f>
        <v>1</v>
      </c>
      <c r="X1050" s="61" t="n">
        <f aca="false">Resumo!$B$10*CEILING(G1050/100,1)</f>
        <v>4.5</v>
      </c>
      <c r="Y1050" s="61" t="n">
        <f aca="false">Resumo!$B$12*CEILING(G1050,1)</f>
        <v>2.28</v>
      </c>
      <c r="Z1050" s="61" t="n">
        <f aca="false">Resumo!$B$14*CEILING(G1050,1)</f>
        <v>17.1</v>
      </c>
      <c r="AA1050" s="61" t="n">
        <f aca="false">SUM(T1050:Z1050)</f>
        <v>120.13997</v>
      </c>
      <c r="AB1050" s="61" t="n">
        <f aca="false">AA1050/(1-Resumo!$B$5)</f>
        <v>136.522693181818</v>
      </c>
      <c r="AC1050" s="61" t="n">
        <f aca="false">AB1050-S1050</f>
        <v>22.5045590909091</v>
      </c>
      <c r="AD1050" s="62" t="n">
        <f aca="false">AB1050/S1050-1</f>
        <v>0.19737701612417</v>
      </c>
      <c r="AE1050" s="60" t="str">
        <f aca="false">IF(AB1050&lt;S1050,"SIM","NÃO")</f>
        <v>NÃO</v>
      </c>
      <c r="AF1050" s="60" t="n">
        <v>2</v>
      </c>
      <c r="AG1050" s="60" t="n">
        <v>5</v>
      </c>
      <c r="AH1050" s="60" t="s">
        <v>382</v>
      </c>
      <c r="AI1050" s="61" t="n">
        <f aca="false">(T1050*(1-Painel!$C$40)+U1050+V1050+Painel!$C$41+Painel!$C$42*CEILING(G1050/100,1)+Painel!$C$43*CEILING(G1050,1)+Z1050)/(1-Resumo!$B$5)</f>
        <v>94.7725795454545</v>
      </c>
      <c r="AJ1050" s="60" t="str">
        <f aca="false">IF(AI1050&lt;S1050,"SIM","NÃO")</f>
        <v>SIM</v>
      </c>
    </row>
    <row r="1051" customFormat="false" ht="15" hidden="false" customHeight="false" outlineLevel="0" collapsed="false">
      <c r="A1051" s="59" t="n">
        <v>46249.6877314815</v>
      </c>
      <c r="B1051" s="60" t="s">
        <v>1369</v>
      </c>
      <c r="C1051" s="60" t="n">
        <v>22460300</v>
      </c>
      <c r="D1051" s="60" t="s">
        <v>46</v>
      </c>
      <c r="E1051" s="60" t="s">
        <v>22</v>
      </c>
      <c r="F1051" s="60" t="s">
        <v>240</v>
      </c>
      <c r="G1051" s="60" t="n">
        <v>106.5</v>
      </c>
      <c r="H1051" s="61" t="n">
        <v>1132.29</v>
      </c>
      <c r="I1051" s="61" t="n">
        <v>92.34</v>
      </c>
      <c r="J1051" s="61" t="n">
        <f aca="false">H1051*Resumo!$C$6</f>
        <v>0</v>
      </c>
      <c r="K1051" s="61" t="n">
        <f aca="false">H1051*Resumo!$C$7</f>
        <v>2.377809</v>
      </c>
      <c r="L1051" s="61" t="n">
        <f aca="false">H1051*Resumo!$C$8</f>
        <v>2.377809</v>
      </c>
      <c r="M1051" s="61" t="n">
        <f aca="false">Resumo!$C$10*CEILING(G1051/100,1)</f>
        <v>2.1</v>
      </c>
      <c r="N1051" s="61" t="n">
        <f aca="false">Resumo!$C$9</f>
        <v>0</v>
      </c>
      <c r="O1051" s="61" t="n">
        <f aca="false">Resumo!$C$13</f>
        <v>13.55</v>
      </c>
      <c r="P1051" s="61" t="n">
        <f aca="false">Resumo!$C$14*CEILING(G1051,1)</f>
        <v>48.15</v>
      </c>
      <c r="Q1051" s="61" t="n">
        <f aca="false">SUM(I1051:P1051)*Resumo!$C$11</f>
        <v>0</v>
      </c>
      <c r="R1051" s="61" t="n">
        <f aca="false">SUM(I1051:Q1051)</f>
        <v>160.895618</v>
      </c>
      <c r="S1051" s="61" t="n">
        <f aca="false">R1051/(1-Resumo!$C$5)</f>
        <v>182.835929545455</v>
      </c>
      <c r="T1051" s="61" t="n">
        <v>201.59</v>
      </c>
      <c r="U1051" s="61" t="n">
        <f aca="false">H1051*Resumo!$B$6</f>
        <v>1.13229</v>
      </c>
      <c r="V1051" s="61" t="n">
        <f aca="false">H1051*Resumo!$B$7</f>
        <v>2.26458</v>
      </c>
      <c r="W1051" s="61" t="n">
        <f aca="false">Resumo!$B$9</f>
        <v>1</v>
      </c>
      <c r="X1051" s="61" t="n">
        <f aca="false">Resumo!$B$10*CEILING(G1051/100,1)</f>
        <v>9</v>
      </c>
      <c r="Y1051" s="61" t="n">
        <f aca="false">Resumo!$B$12*CEILING(G1051,1)</f>
        <v>6.42</v>
      </c>
      <c r="Z1051" s="61" t="n">
        <f aca="false">Resumo!$B$14*CEILING(G1051,1)</f>
        <v>48.15</v>
      </c>
      <c r="AA1051" s="61" t="n">
        <f aca="false">SUM(T1051:Z1051)</f>
        <v>269.55687</v>
      </c>
      <c r="AB1051" s="61" t="n">
        <f aca="false">AA1051/(1-Resumo!$B$5)</f>
        <v>306.314625</v>
      </c>
      <c r="AC1051" s="61" t="n">
        <f aca="false">AB1051-S1051</f>
        <v>123.478695454545</v>
      </c>
      <c r="AD1051" s="62" t="n">
        <f aca="false">AB1051/S1051-1</f>
        <v>0.675352463607803</v>
      </c>
      <c r="AE1051" s="60" t="str">
        <f aca="false">IF(AB1051&lt;S1051,"SIM","NÃO")</f>
        <v>NÃO</v>
      </c>
      <c r="AF1051" s="60" t="n">
        <v>2</v>
      </c>
      <c r="AG1051" s="60" t="n">
        <v>5</v>
      </c>
      <c r="AH1051" s="60" t="s">
        <v>382</v>
      </c>
      <c r="AI1051" s="61" t="n">
        <f aca="false">(T1051*(1-Painel!$C$40)+U1051+V1051+Painel!$C$41+Painel!$C$42*CEILING(G1051/100,1)+Painel!$C$43*CEILING(G1051,1)+Z1051)/(1-Resumo!$B$5)</f>
        <v>215.582011363636</v>
      </c>
      <c r="AJ1051" s="60" t="str">
        <f aca="false">IF(AI1051&lt;S1051,"SIM","NÃO")</f>
        <v>NÃO</v>
      </c>
    </row>
    <row r="1052" customFormat="false" ht="15" hidden="false" customHeight="false" outlineLevel="0" collapsed="false">
      <c r="A1052" s="59" t="n">
        <v>46249.6902314815</v>
      </c>
      <c r="B1052" s="60" t="s">
        <v>1370</v>
      </c>
      <c r="C1052" s="60" t="n">
        <v>21825183</v>
      </c>
      <c r="D1052" s="60" t="s">
        <v>46</v>
      </c>
      <c r="E1052" s="60" t="s">
        <v>22</v>
      </c>
      <c r="F1052" s="60" t="s">
        <v>237</v>
      </c>
      <c r="G1052" s="60" t="n">
        <v>63.9</v>
      </c>
      <c r="H1052" s="61" t="n">
        <v>730.98</v>
      </c>
      <c r="I1052" s="61" t="n">
        <v>63.21</v>
      </c>
      <c r="J1052" s="61" t="n">
        <f aca="false">H1052*Resumo!$C$6</f>
        <v>0</v>
      </c>
      <c r="K1052" s="61" t="n">
        <f aca="false">H1052*Resumo!$C$7</f>
        <v>1.535058</v>
      </c>
      <c r="L1052" s="61" t="n">
        <f aca="false">H1052*Resumo!$C$8</f>
        <v>1.535058</v>
      </c>
      <c r="M1052" s="61" t="n">
        <f aca="false">Resumo!$C$10*CEILING(G1052/100,1)</f>
        <v>1.05</v>
      </c>
      <c r="N1052" s="61" t="n">
        <f aca="false">Resumo!$C$9</f>
        <v>0</v>
      </c>
      <c r="O1052" s="61" t="n">
        <f aca="false">Resumo!$C$13</f>
        <v>13.55</v>
      </c>
      <c r="P1052" s="61" t="n">
        <f aca="false">Resumo!$C$14*CEILING(G1052,1)</f>
        <v>28.8</v>
      </c>
      <c r="Q1052" s="61" t="n">
        <f aca="false">SUM(I1052:P1052)*Resumo!$C$11</f>
        <v>0</v>
      </c>
      <c r="R1052" s="61" t="n">
        <f aca="false">SUM(I1052:Q1052)</f>
        <v>109.680116</v>
      </c>
      <c r="S1052" s="61" t="n">
        <f aca="false">R1052/(1-Resumo!$C$5)</f>
        <v>124.636495454545</v>
      </c>
      <c r="T1052" s="61" t="n">
        <v>131.02</v>
      </c>
      <c r="U1052" s="61" t="n">
        <f aca="false">H1052*Resumo!$B$6</f>
        <v>0.73098</v>
      </c>
      <c r="V1052" s="61" t="n">
        <f aca="false">H1052*Resumo!$B$7</f>
        <v>1.46196</v>
      </c>
      <c r="W1052" s="61" t="n">
        <f aca="false">Resumo!$B$9</f>
        <v>1</v>
      </c>
      <c r="X1052" s="61" t="n">
        <f aca="false">Resumo!$B$10*CEILING(G1052/100,1)</f>
        <v>4.5</v>
      </c>
      <c r="Y1052" s="61" t="n">
        <f aca="false">Resumo!$B$12*CEILING(G1052,1)</f>
        <v>3.84</v>
      </c>
      <c r="Z1052" s="61" t="n">
        <f aca="false">Resumo!$B$14*CEILING(G1052,1)</f>
        <v>28.8</v>
      </c>
      <c r="AA1052" s="61" t="n">
        <f aca="false">SUM(T1052:Z1052)</f>
        <v>171.35294</v>
      </c>
      <c r="AB1052" s="61" t="n">
        <f aca="false">AA1052/(1-Resumo!$B$5)</f>
        <v>194.71925</v>
      </c>
      <c r="AC1052" s="61" t="n">
        <f aca="false">AB1052-S1052</f>
        <v>70.0827545454546</v>
      </c>
      <c r="AD1052" s="62" t="n">
        <f aca="false">AB1052/S1052-1</f>
        <v>0.562297217118188</v>
      </c>
      <c r="AE1052" s="60" t="str">
        <f aca="false">IF(AB1052&lt;S1052,"SIM","NÃO")</f>
        <v>NÃO</v>
      </c>
      <c r="AF1052" s="60" t="n">
        <v>2</v>
      </c>
      <c r="AG1052" s="60" t="n">
        <v>5</v>
      </c>
      <c r="AH1052" s="60" t="s">
        <v>382</v>
      </c>
      <c r="AI1052" s="61" t="n">
        <f aca="false">(T1052*(1-Painel!$C$40)+U1052+V1052+Painel!$C$41+Painel!$C$42*CEILING(G1052/100,1)+Painel!$C$43*CEILING(G1052,1)+Z1052)/(1-Resumo!$B$5)</f>
        <v>137.302659090909</v>
      </c>
      <c r="AJ1052" s="60" t="str">
        <f aca="false">IF(AI1052&lt;S1052,"SIM","NÃO")</f>
        <v>NÃO</v>
      </c>
    </row>
    <row r="1053" customFormat="false" ht="15" hidden="false" customHeight="false" outlineLevel="0" collapsed="false">
      <c r="A1053" s="59" t="n">
        <v>46249.7032060185</v>
      </c>
      <c r="B1053" s="60" t="s">
        <v>1371</v>
      </c>
      <c r="C1053" s="60" t="n">
        <v>27532328</v>
      </c>
      <c r="D1053" s="60" t="s">
        <v>296</v>
      </c>
      <c r="E1053" s="60" t="s">
        <v>24</v>
      </c>
      <c r="F1053" s="60" t="s">
        <v>236</v>
      </c>
      <c r="G1053" s="60" t="n">
        <v>52.3</v>
      </c>
      <c r="H1053" s="61" t="n">
        <v>699.99</v>
      </c>
      <c r="I1053" s="61" t="n">
        <v>83.58</v>
      </c>
      <c r="J1053" s="61" t="n">
        <f aca="false">H1053*Resumo!$C$6</f>
        <v>0</v>
      </c>
      <c r="K1053" s="61" t="n">
        <f aca="false">H1053*Resumo!$C$7</f>
        <v>1.469979</v>
      </c>
      <c r="L1053" s="61" t="n">
        <f aca="false">H1053*Resumo!$C$8</f>
        <v>1.469979</v>
      </c>
      <c r="M1053" s="61" t="n">
        <f aca="false">Resumo!$C$10*CEILING(G1053/100,1)</f>
        <v>1.05</v>
      </c>
      <c r="N1053" s="61" t="n">
        <f aca="false">Resumo!$C$9</f>
        <v>0</v>
      </c>
      <c r="O1053" s="61" t="n">
        <f aca="false">Resumo!$C$13</f>
        <v>13.55</v>
      </c>
      <c r="P1053" s="61" t="n">
        <f aca="false">Resumo!$C$14*CEILING(G1053,1)</f>
        <v>23.85</v>
      </c>
      <c r="Q1053" s="61" t="n">
        <f aca="false">SUM(I1053:P1053)*Resumo!$C$11</f>
        <v>0</v>
      </c>
      <c r="R1053" s="61" t="n">
        <f aca="false">SUM(I1053:Q1053)</f>
        <v>124.969958</v>
      </c>
      <c r="S1053" s="61" t="n">
        <f aca="false">R1053/(1-Resumo!$C$5)</f>
        <v>142.011315909091</v>
      </c>
      <c r="T1053" s="61" t="n">
        <v>142.32</v>
      </c>
      <c r="U1053" s="61" t="n">
        <f aca="false">H1053*Resumo!$B$6</f>
        <v>0.69999</v>
      </c>
      <c r="V1053" s="61" t="n">
        <f aca="false">H1053*Resumo!$B$7</f>
        <v>1.39998</v>
      </c>
      <c r="W1053" s="61" t="n">
        <f aca="false">Resumo!$B$9</f>
        <v>1</v>
      </c>
      <c r="X1053" s="61" t="n">
        <f aca="false">Resumo!$B$10*CEILING(G1053/100,1)</f>
        <v>4.5</v>
      </c>
      <c r="Y1053" s="61" t="n">
        <f aca="false">Resumo!$B$12*CEILING(G1053,1)</f>
        <v>3.18</v>
      </c>
      <c r="Z1053" s="61" t="n">
        <f aca="false">Resumo!$B$14*CEILING(G1053,1)</f>
        <v>23.85</v>
      </c>
      <c r="AA1053" s="61" t="n">
        <f aca="false">SUM(T1053:Z1053)</f>
        <v>176.94997</v>
      </c>
      <c r="AB1053" s="61" t="n">
        <f aca="false">AA1053/(1-Resumo!$B$5)</f>
        <v>201.079511363636</v>
      </c>
      <c r="AC1053" s="61" t="n">
        <f aca="false">AB1053-S1053</f>
        <v>59.0681954545454</v>
      </c>
      <c r="AD1053" s="62" t="n">
        <f aca="false">AB1053/S1053-1</f>
        <v>0.415940061370589</v>
      </c>
      <c r="AE1053" s="60" t="str">
        <f aca="false">IF(AB1053&lt;S1053,"SIM","NÃO")</f>
        <v>NÃO</v>
      </c>
      <c r="AF1053" s="60" t="n">
        <v>13</v>
      </c>
      <c r="AG1053" s="60" t="n">
        <v>10</v>
      </c>
      <c r="AH1053" s="60" t="s">
        <v>385</v>
      </c>
      <c r="AI1053" s="61" t="n">
        <f aca="false">(T1053*(1-Painel!$C$40)+U1053+V1053+Painel!$C$41+Painel!$C$42*CEILING(G1053/100,1)+Painel!$C$43*CEILING(G1053,1)+Z1053)/(1-Resumo!$B$5)</f>
        <v>140.175420454545</v>
      </c>
      <c r="AJ1053" s="60" t="str">
        <f aca="false">IF(AI1053&lt;S1053,"SIM","NÃO")</f>
        <v>SIM</v>
      </c>
    </row>
    <row r="1054" customFormat="false" ht="15" hidden="false" customHeight="false" outlineLevel="0" collapsed="false">
      <c r="A1054" s="59" t="n">
        <v>46249.7165625</v>
      </c>
      <c r="B1054" s="60" t="s">
        <v>1372</v>
      </c>
      <c r="C1054" s="60" t="n">
        <v>26160165</v>
      </c>
      <c r="D1054" s="60" t="s">
        <v>52</v>
      </c>
      <c r="E1054" s="60" t="s">
        <v>23</v>
      </c>
      <c r="F1054" s="60" t="s">
        <v>232</v>
      </c>
      <c r="G1054" s="60" t="n">
        <v>19.9</v>
      </c>
      <c r="H1054" s="61" t="n">
        <v>279.99</v>
      </c>
      <c r="I1054" s="61" t="n">
        <v>42.72</v>
      </c>
      <c r="J1054" s="61" t="n">
        <f aca="false">H1054*Resumo!$C$6</f>
        <v>0</v>
      </c>
      <c r="K1054" s="61" t="n">
        <f aca="false">H1054*Resumo!$C$7</f>
        <v>0.587979</v>
      </c>
      <c r="L1054" s="61" t="n">
        <f aca="false">H1054*Resumo!$C$8</f>
        <v>0.587979</v>
      </c>
      <c r="M1054" s="61" t="n">
        <f aca="false">Resumo!$C$10*CEILING(G1054/100,1)</f>
        <v>1.05</v>
      </c>
      <c r="N1054" s="61" t="n">
        <f aca="false">Resumo!$C$9</f>
        <v>0</v>
      </c>
      <c r="O1054" s="61" t="n">
        <f aca="false">Resumo!$C$13</f>
        <v>13.55</v>
      </c>
      <c r="P1054" s="61" t="n">
        <f aca="false">Resumo!$C$14*CEILING(G1054,1)</f>
        <v>9</v>
      </c>
      <c r="Q1054" s="61" t="n">
        <f aca="false">SUM(I1054:P1054)*Resumo!$C$11</f>
        <v>0</v>
      </c>
      <c r="R1054" s="61" t="n">
        <f aca="false">SUM(I1054:Q1054)</f>
        <v>67.495958</v>
      </c>
      <c r="S1054" s="61" t="n">
        <f aca="false">R1054/(1-Resumo!$C$5)</f>
        <v>76.6999522727273</v>
      </c>
      <c r="T1054" s="61" t="n">
        <v>46.98</v>
      </c>
      <c r="U1054" s="61" t="n">
        <f aca="false">H1054*Resumo!$B$6</f>
        <v>0.27999</v>
      </c>
      <c r="V1054" s="61" t="n">
        <f aca="false">H1054*Resumo!$B$7</f>
        <v>0.55998</v>
      </c>
      <c r="W1054" s="61" t="n">
        <f aca="false">Resumo!$B$9</f>
        <v>1</v>
      </c>
      <c r="X1054" s="61" t="n">
        <f aca="false">Resumo!$B$10*CEILING(G1054/100,1)</f>
        <v>4.5</v>
      </c>
      <c r="Y1054" s="61" t="n">
        <f aca="false">Resumo!$B$12*CEILING(G1054,1)</f>
        <v>1.2</v>
      </c>
      <c r="Z1054" s="61" t="n">
        <f aca="false">Resumo!$B$14*CEILING(G1054,1)</f>
        <v>9</v>
      </c>
      <c r="AA1054" s="61" t="n">
        <f aca="false">SUM(T1054:Z1054)</f>
        <v>63.51997</v>
      </c>
      <c r="AB1054" s="61" t="n">
        <f aca="false">AA1054/(1-Resumo!$B$5)</f>
        <v>72.1817840909091</v>
      </c>
      <c r="AC1054" s="61" t="n">
        <f aca="false">AB1054-S1054</f>
        <v>-4.5181681818182</v>
      </c>
      <c r="AD1054" s="62" t="n">
        <f aca="false">AB1054/S1054-1</f>
        <v>-0.0589070533675515</v>
      </c>
      <c r="AE1054" s="60" t="str">
        <f aca="false">IF(AB1054&lt;S1054,"SIM","NÃO")</f>
        <v>SIM</v>
      </c>
      <c r="AF1054" s="60" t="n">
        <v>2</v>
      </c>
      <c r="AG1054" s="60" t="n">
        <v>5</v>
      </c>
      <c r="AH1054" s="60" t="s">
        <v>382</v>
      </c>
      <c r="AI1054" s="61" t="n">
        <f aca="false">(T1054*(1-Painel!$C$40)+U1054+V1054+Painel!$C$41+Painel!$C$42*CEILING(G1054/100,1)+Painel!$C$43*CEILING(G1054,1)+Z1054)/(1-Resumo!$B$5)</f>
        <v>49.2801931818182</v>
      </c>
      <c r="AJ1054" s="60" t="str">
        <f aca="false">IF(AI1054&lt;S1054,"SIM","NÃO")</f>
        <v>SIM</v>
      </c>
    </row>
    <row r="1055" customFormat="false" ht="15" hidden="false" customHeight="false" outlineLevel="0" collapsed="false">
      <c r="A1055" s="59" t="n">
        <v>46249.7238657407</v>
      </c>
      <c r="B1055" s="60" t="s">
        <v>1373</v>
      </c>
      <c r="C1055" s="60" t="n">
        <v>24130307</v>
      </c>
      <c r="D1055" s="60" t="s">
        <v>50</v>
      </c>
      <c r="E1055" s="60" t="s">
        <v>23</v>
      </c>
      <c r="F1055" s="60" t="s">
        <v>235</v>
      </c>
      <c r="G1055" s="60" t="n">
        <v>45</v>
      </c>
      <c r="H1055" s="61" t="n">
        <v>519.29</v>
      </c>
      <c r="I1055" s="61" t="n">
        <v>65.36</v>
      </c>
      <c r="J1055" s="61" t="n">
        <f aca="false">H1055*Resumo!$C$6</f>
        <v>0</v>
      </c>
      <c r="K1055" s="61" t="n">
        <f aca="false">H1055*Resumo!$C$7</f>
        <v>1.090509</v>
      </c>
      <c r="L1055" s="61" t="n">
        <f aca="false">H1055*Resumo!$C$8</f>
        <v>1.090509</v>
      </c>
      <c r="M1055" s="61" t="n">
        <f aca="false">Resumo!$C$10*CEILING(G1055/100,1)</f>
        <v>1.05</v>
      </c>
      <c r="N1055" s="61" t="n">
        <f aca="false">Resumo!$C$9</f>
        <v>0</v>
      </c>
      <c r="O1055" s="61" t="n">
        <f aca="false">Resumo!$C$13</f>
        <v>13.55</v>
      </c>
      <c r="P1055" s="61" t="n">
        <f aca="false">Resumo!$C$14*CEILING(G1055,1)</f>
        <v>20.25</v>
      </c>
      <c r="Q1055" s="61" t="n">
        <f aca="false">SUM(I1055:P1055)*Resumo!$C$11</f>
        <v>0</v>
      </c>
      <c r="R1055" s="61" t="n">
        <f aca="false">SUM(I1055:Q1055)</f>
        <v>102.391018</v>
      </c>
      <c r="S1055" s="61" t="n">
        <f aca="false">R1055/(1-Resumo!$C$5)</f>
        <v>116.353429545455</v>
      </c>
      <c r="T1055" s="61" t="n">
        <v>114.95</v>
      </c>
      <c r="U1055" s="61" t="n">
        <f aca="false">H1055*Resumo!$B$6</f>
        <v>0.51929</v>
      </c>
      <c r="V1055" s="61" t="n">
        <f aca="false">H1055*Resumo!$B$7</f>
        <v>1.03858</v>
      </c>
      <c r="W1055" s="61" t="n">
        <f aca="false">Resumo!$B$9</f>
        <v>1</v>
      </c>
      <c r="X1055" s="61" t="n">
        <f aca="false">Resumo!$B$10*CEILING(G1055/100,1)</f>
        <v>4.5</v>
      </c>
      <c r="Y1055" s="61" t="n">
        <f aca="false">Resumo!$B$12*CEILING(G1055,1)</f>
        <v>2.7</v>
      </c>
      <c r="Z1055" s="61" t="n">
        <f aca="false">Resumo!$B$14*CEILING(G1055,1)</f>
        <v>20.25</v>
      </c>
      <c r="AA1055" s="61" t="n">
        <f aca="false">SUM(T1055:Z1055)</f>
        <v>144.95787</v>
      </c>
      <c r="AB1055" s="61" t="n">
        <f aca="false">AA1055/(1-Resumo!$B$5)</f>
        <v>164.724852272727</v>
      </c>
      <c r="AC1055" s="61" t="n">
        <f aca="false">AB1055-S1055</f>
        <v>48.3714227272727</v>
      </c>
      <c r="AD1055" s="62" t="n">
        <f aca="false">AB1055/S1055-1</f>
        <v>0.41572837961236</v>
      </c>
      <c r="AE1055" s="60" t="str">
        <f aca="false">IF(AB1055&lt;S1055,"SIM","NÃO")</f>
        <v>NÃO</v>
      </c>
      <c r="AF1055" s="60" t="n">
        <v>2</v>
      </c>
      <c r="AG1055" s="60" t="n">
        <v>7</v>
      </c>
      <c r="AH1055" s="60" t="s">
        <v>382</v>
      </c>
      <c r="AI1055" s="61" t="n">
        <f aca="false">(T1055*(1-Painel!$C$40)+U1055+V1055+Painel!$C$41+Painel!$C$42*CEILING(G1055/100,1)+Painel!$C$43*CEILING(G1055,1)+Z1055)/(1-Resumo!$B$5)</f>
        <v>114.629965909091</v>
      </c>
      <c r="AJ1055" s="60" t="str">
        <f aca="false">IF(AI1055&lt;S1055,"SIM","NÃO")</f>
        <v>SIM</v>
      </c>
    </row>
    <row r="1056" customFormat="false" ht="15" hidden="false" customHeight="false" outlineLevel="0" collapsed="false">
      <c r="A1056" s="59" t="n">
        <v>46249.7259953704</v>
      </c>
      <c r="B1056" s="60" t="s">
        <v>1374</v>
      </c>
      <c r="C1056" s="60" t="n">
        <v>25221424</v>
      </c>
      <c r="D1056" s="60" t="s">
        <v>48</v>
      </c>
      <c r="E1056" s="60" t="s">
        <v>23</v>
      </c>
      <c r="F1056" s="60" t="s">
        <v>235</v>
      </c>
      <c r="G1056" s="60" t="n">
        <v>48</v>
      </c>
      <c r="H1056" s="61" t="n">
        <v>929.99</v>
      </c>
      <c r="I1056" s="61" t="n">
        <v>65.36</v>
      </c>
      <c r="J1056" s="61" t="n">
        <f aca="false">H1056*Resumo!$C$6</f>
        <v>0</v>
      </c>
      <c r="K1056" s="61" t="n">
        <f aca="false">H1056*Resumo!$C$7</f>
        <v>1.952979</v>
      </c>
      <c r="L1056" s="61" t="n">
        <f aca="false">H1056*Resumo!$C$8</f>
        <v>1.952979</v>
      </c>
      <c r="M1056" s="61" t="n">
        <f aca="false">Resumo!$C$10*CEILING(G1056/100,1)</f>
        <v>1.05</v>
      </c>
      <c r="N1056" s="61" t="n">
        <f aca="false">Resumo!$C$9</f>
        <v>0</v>
      </c>
      <c r="O1056" s="61" t="n">
        <f aca="false">Resumo!$C$13</f>
        <v>13.55</v>
      </c>
      <c r="P1056" s="61" t="n">
        <f aca="false">Resumo!$C$14*CEILING(G1056,1)</f>
        <v>21.6</v>
      </c>
      <c r="Q1056" s="61" t="n">
        <f aca="false">SUM(I1056:P1056)*Resumo!$C$11</f>
        <v>0</v>
      </c>
      <c r="R1056" s="61" t="n">
        <f aca="false">SUM(I1056:Q1056)</f>
        <v>105.465958</v>
      </c>
      <c r="S1056" s="61" t="n">
        <f aca="false">R1056/(1-Resumo!$C$5)</f>
        <v>119.847679545455</v>
      </c>
      <c r="T1056" s="61" t="n">
        <v>93.97</v>
      </c>
      <c r="U1056" s="61" t="n">
        <f aca="false">H1056*Resumo!$B$6</f>
        <v>0.92999</v>
      </c>
      <c r="V1056" s="61" t="n">
        <f aca="false">H1056*Resumo!$B$7</f>
        <v>1.85998</v>
      </c>
      <c r="W1056" s="61" t="n">
        <f aca="false">Resumo!$B$9</f>
        <v>1</v>
      </c>
      <c r="X1056" s="61" t="n">
        <f aca="false">Resumo!$B$10*CEILING(G1056/100,1)</f>
        <v>4.5</v>
      </c>
      <c r="Y1056" s="61" t="n">
        <f aca="false">Resumo!$B$12*CEILING(G1056,1)</f>
        <v>2.88</v>
      </c>
      <c r="Z1056" s="61" t="n">
        <f aca="false">Resumo!$B$14*CEILING(G1056,1)</f>
        <v>21.6</v>
      </c>
      <c r="AA1056" s="61" t="n">
        <f aca="false">SUM(T1056:Z1056)</f>
        <v>126.73997</v>
      </c>
      <c r="AB1056" s="61" t="n">
        <f aca="false">AA1056/(1-Resumo!$B$5)</f>
        <v>144.022693181818</v>
      </c>
      <c r="AC1056" s="61" t="n">
        <f aca="false">AB1056-S1056</f>
        <v>24.1750136363636</v>
      </c>
      <c r="AD1056" s="62" t="n">
        <f aca="false">AB1056/S1056-1</f>
        <v>0.201714490660579</v>
      </c>
      <c r="AE1056" s="60" t="str">
        <f aca="false">IF(AB1056&lt;S1056,"SIM","NÃO")</f>
        <v>NÃO</v>
      </c>
      <c r="AF1056" s="60" t="n">
        <v>2</v>
      </c>
      <c r="AG1056" s="60" t="n">
        <v>5</v>
      </c>
      <c r="AH1056" s="60" t="s">
        <v>382</v>
      </c>
      <c r="AI1056" s="61" t="n">
        <f aca="false">(T1056*(1-Painel!$C$40)+U1056+V1056+Painel!$C$41+Painel!$C$42*CEILING(G1056/100,1)+Painel!$C$43*CEILING(G1056,1)+Z1056)/(1-Resumo!$B$5)</f>
        <v>101.590761363636</v>
      </c>
      <c r="AJ1056" s="60" t="str">
        <f aca="false">IF(AI1056&lt;S1056,"SIM","NÃO")</f>
        <v>SIM</v>
      </c>
    </row>
    <row r="1057" customFormat="false" ht="15" hidden="false" customHeight="false" outlineLevel="0" collapsed="false">
      <c r="A1057" s="59" t="n">
        <v>46249.7301851852</v>
      </c>
      <c r="B1057" s="60" t="s">
        <v>1375</v>
      </c>
      <c r="C1057" s="60" t="n">
        <v>26032830</v>
      </c>
      <c r="D1057" s="60" t="s">
        <v>49</v>
      </c>
      <c r="E1057" s="60" t="s">
        <v>23</v>
      </c>
      <c r="F1057" s="60" t="s">
        <v>234</v>
      </c>
      <c r="G1057" s="60" t="n">
        <v>37.6</v>
      </c>
      <c r="H1057" s="61" t="n">
        <v>419.99</v>
      </c>
      <c r="I1057" s="61" t="n">
        <v>66.83</v>
      </c>
      <c r="J1057" s="61" t="n">
        <f aca="false">H1057*Resumo!$C$6</f>
        <v>0</v>
      </c>
      <c r="K1057" s="61" t="n">
        <f aca="false">H1057*Resumo!$C$7</f>
        <v>0.881979</v>
      </c>
      <c r="L1057" s="61" t="n">
        <f aca="false">H1057*Resumo!$C$8</f>
        <v>0.881979</v>
      </c>
      <c r="M1057" s="61" t="n">
        <f aca="false">Resumo!$C$10*CEILING(G1057/100,1)</f>
        <v>1.05</v>
      </c>
      <c r="N1057" s="61" t="n">
        <f aca="false">Resumo!$C$9</f>
        <v>0</v>
      </c>
      <c r="O1057" s="61" t="n">
        <f aca="false">Resumo!$C$13</f>
        <v>13.55</v>
      </c>
      <c r="P1057" s="61" t="n">
        <f aca="false">Resumo!$C$14*CEILING(G1057,1)</f>
        <v>17.1</v>
      </c>
      <c r="Q1057" s="61" t="n">
        <f aca="false">SUM(I1057:P1057)*Resumo!$C$11</f>
        <v>0</v>
      </c>
      <c r="R1057" s="61" t="n">
        <f aca="false">SUM(I1057:Q1057)</f>
        <v>100.293958</v>
      </c>
      <c r="S1057" s="61" t="n">
        <f aca="false">R1057/(1-Resumo!$C$5)</f>
        <v>113.970406818182</v>
      </c>
      <c r="T1057" s="61" t="n">
        <v>93.97</v>
      </c>
      <c r="U1057" s="61" t="n">
        <f aca="false">H1057*Resumo!$B$6</f>
        <v>0.41999</v>
      </c>
      <c r="V1057" s="61" t="n">
        <f aca="false">H1057*Resumo!$B$7</f>
        <v>0.83998</v>
      </c>
      <c r="W1057" s="61" t="n">
        <f aca="false">Resumo!$B$9</f>
        <v>1</v>
      </c>
      <c r="X1057" s="61" t="n">
        <f aca="false">Resumo!$B$10*CEILING(G1057/100,1)</f>
        <v>4.5</v>
      </c>
      <c r="Y1057" s="61" t="n">
        <f aca="false">Resumo!$B$12*CEILING(G1057,1)</f>
        <v>2.28</v>
      </c>
      <c r="Z1057" s="61" t="n">
        <f aca="false">Resumo!$B$14*CEILING(G1057,1)</f>
        <v>17.1</v>
      </c>
      <c r="AA1057" s="61" t="n">
        <f aca="false">SUM(T1057:Z1057)</f>
        <v>120.10997</v>
      </c>
      <c r="AB1057" s="61" t="n">
        <f aca="false">AA1057/(1-Resumo!$B$5)</f>
        <v>136.488602272727</v>
      </c>
      <c r="AC1057" s="61" t="n">
        <f aca="false">AB1057-S1057</f>
        <v>22.5181954545454</v>
      </c>
      <c r="AD1057" s="62" t="n">
        <f aca="false">AB1057/S1057-1</f>
        <v>0.197579319783152</v>
      </c>
      <c r="AE1057" s="60" t="str">
        <f aca="false">IF(AB1057&lt;S1057,"SIM","NÃO")</f>
        <v>NÃO</v>
      </c>
      <c r="AF1057" s="60" t="n">
        <v>2</v>
      </c>
      <c r="AG1057" s="60" t="n">
        <v>5</v>
      </c>
      <c r="AH1057" s="60" t="s">
        <v>382</v>
      </c>
      <c r="AI1057" s="61" t="n">
        <f aca="false">(T1057*(1-Painel!$C$40)+U1057+V1057+Painel!$C$41+Painel!$C$42*CEILING(G1057/100,1)+Painel!$C$43*CEILING(G1057,1)+Z1057)/(1-Resumo!$B$5)</f>
        <v>94.7384886363636</v>
      </c>
      <c r="AJ1057" s="60" t="str">
        <f aca="false">IF(AI1057&lt;S1057,"SIM","NÃO")</f>
        <v>SIM</v>
      </c>
    </row>
    <row r="1058" customFormat="false" ht="15" hidden="false" customHeight="false" outlineLevel="0" collapsed="false">
      <c r="A1058" s="59" t="n">
        <v>46249.731412037</v>
      </c>
      <c r="B1058" s="60" t="s">
        <v>1376</v>
      </c>
      <c r="C1058" s="60" t="n">
        <v>25540540</v>
      </c>
      <c r="D1058" s="60" t="s">
        <v>216</v>
      </c>
      <c r="E1058" s="60" t="s">
        <v>23</v>
      </c>
      <c r="F1058" s="60" t="s">
        <v>233</v>
      </c>
      <c r="G1058" s="60" t="n">
        <v>20.9</v>
      </c>
      <c r="H1058" s="61" t="n">
        <v>465.69</v>
      </c>
      <c r="I1058" s="61" t="n">
        <v>58.8</v>
      </c>
      <c r="J1058" s="61" t="n">
        <f aca="false">H1058*Resumo!$C$6</f>
        <v>0</v>
      </c>
      <c r="K1058" s="61" t="n">
        <f aca="false">H1058*Resumo!$C$7</f>
        <v>0.977949</v>
      </c>
      <c r="L1058" s="61" t="n">
        <f aca="false">H1058*Resumo!$C$8</f>
        <v>0.977949</v>
      </c>
      <c r="M1058" s="61" t="n">
        <f aca="false">Resumo!$C$10*CEILING(G1058/100,1)</f>
        <v>1.05</v>
      </c>
      <c r="N1058" s="61" t="n">
        <f aca="false">Resumo!$C$9</f>
        <v>0</v>
      </c>
      <c r="O1058" s="61" t="n">
        <f aca="false">Resumo!$C$13</f>
        <v>13.55</v>
      </c>
      <c r="P1058" s="61" t="n">
        <f aca="false">Resumo!$C$14*CEILING(G1058,1)</f>
        <v>9.45</v>
      </c>
      <c r="Q1058" s="61" t="n">
        <f aca="false">SUM(I1058:P1058)*Resumo!$C$11</f>
        <v>0</v>
      </c>
      <c r="R1058" s="61" t="n">
        <f aca="false">SUM(I1058:Q1058)</f>
        <v>84.805898</v>
      </c>
      <c r="S1058" s="61" t="n">
        <f aca="false">R1058/(1-Resumo!$C$5)</f>
        <v>96.3703386363636</v>
      </c>
      <c r="T1058" s="61" t="n">
        <v>82.21</v>
      </c>
      <c r="U1058" s="61" t="n">
        <f aca="false">H1058*Resumo!$B$6</f>
        <v>0.46569</v>
      </c>
      <c r="V1058" s="61" t="n">
        <f aca="false">H1058*Resumo!$B$7</f>
        <v>0.93138</v>
      </c>
      <c r="W1058" s="61" t="n">
        <f aca="false">Resumo!$B$9</f>
        <v>1</v>
      </c>
      <c r="X1058" s="61" t="n">
        <f aca="false">Resumo!$B$10*CEILING(G1058/100,1)</f>
        <v>4.5</v>
      </c>
      <c r="Y1058" s="61" t="n">
        <f aca="false">Resumo!$B$12*CEILING(G1058,1)</f>
        <v>1.26</v>
      </c>
      <c r="Z1058" s="61" t="n">
        <f aca="false">Resumo!$B$14*CEILING(G1058,1)</f>
        <v>9.45</v>
      </c>
      <c r="AA1058" s="61" t="n">
        <f aca="false">SUM(T1058:Z1058)</f>
        <v>99.81707</v>
      </c>
      <c r="AB1058" s="61" t="n">
        <f aca="false">AA1058/(1-Resumo!$B$5)</f>
        <v>113.428488636364</v>
      </c>
      <c r="AC1058" s="61" t="n">
        <f aca="false">AB1058-S1058</f>
        <v>17.05815</v>
      </c>
      <c r="AD1058" s="62" t="n">
        <f aca="false">AB1058/S1058-1</f>
        <v>0.177006226618814</v>
      </c>
      <c r="AE1058" s="60" t="str">
        <f aca="false">IF(AB1058&lt;S1058,"SIM","NÃO")</f>
        <v>NÃO</v>
      </c>
      <c r="AF1058" s="60" t="n">
        <v>2</v>
      </c>
      <c r="AG1058" s="60" t="n">
        <v>5</v>
      </c>
      <c r="AH1058" s="60" t="s">
        <v>382</v>
      </c>
      <c r="AI1058" s="61" t="n">
        <f aca="false">(T1058*(1-Painel!$C$40)+U1058+V1058+Painel!$C$41+Painel!$C$42*CEILING(G1058/100,1)+Painel!$C$43*CEILING(G1058,1)+Z1058)/(1-Resumo!$B$5)</f>
        <v>77.2474659090909</v>
      </c>
      <c r="AJ1058" s="60" t="str">
        <f aca="false">IF(AI1058&lt;S1058,"SIM","NÃO")</f>
        <v>SIM</v>
      </c>
    </row>
    <row r="1059" customFormat="false" ht="15" hidden="false" customHeight="false" outlineLevel="0" collapsed="false">
      <c r="A1059" s="59" t="n">
        <v>46249.7416319445</v>
      </c>
      <c r="B1059" s="60" t="s">
        <v>1377</v>
      </c>
      <c r="C1059" s="60" t="n">
        <v>26553190</v>
      </c>
      <c r="D1059" s="60" t="s">
        <v>224</v>
      </c>
      <c r="E1059" s="60" t="s">
        <v>23</v>
      </c>
      <c r="F1059" s="60" t="s">
        <v>237</v>
      </c>
      <c r="G1059" s="60" t="n">
        <v>66.8</v>
      </c>
      <c r="H1059" s="61" t="n">
        <v>574.1</v>
      </c>
      <c r="I1059" s="61" t="n">
        <v>76.55</v>
      </c>
      <c r="J1059" s="61" t="n">
        <f aca="false">H1059*Resumo!$C$6</f>
        <v>0</v>
      </c>
      <c r="K1059" s="61" t="n">
        <f aca="false">H1059*Resumo!$C$7</f>
        <v>1.20561</v>
      </c>
      <c r="L1059" s="61" t="n">
        <f aca="false">H1059*Resumo!$C$8</f>
        <v>1.20561</v>
      </c>
      <c r="M1059" s="61" t="n">
        <f aca="false">Resumo!$C$10*CEILING(G1059/100,1)</f>
        <v>1.05</v>
      </c>
      <c r="N1059" s="61" t="n">
        <f aca="false">Resumo!$C$9</f>
        <v>0</v>
      </c>
      <c r="O1059" s="61" t="n">
        <f aca="false">Resumo!$C$13</f>
        <v>13.55</v>
      </c>
      <c r="P1059" s="61" t="n">
        <f aca="false">Resumo!$C$14*CEILING(G1059,1)</f>
        <v>30.15</v>
      </c>
      <c r="Q1059" s="61" t="n">
        <f aca="false">SUM(I1059:P1059)*Resumo!$C$11</f>
        <v>0</v>
      </c>
      <c r="R1059" s="61" t="n">
        <f aca="false">SUM(I1059:Q1059)</f>
        <v>123.71122</v>
      </c>
      <c r="S1059" s="61" t="n">
        <f aca="false">R1059/(1-Resumo!$C$5)</f>
        <v>140.580931818182</v>
      </c>
      <c r="T1059" s="61" t="n">
        <v>131.02</v>
      </c>
      <c r="U1059" s="61" t="n">
        <f aca="false">H1059*Resumo!$B$6</f>
        <v>0.5741</v>
      </c>
      <c r="V1059" s="61" t="n">
        <f aca="false">H1059*Resumo!$B$7</f>
        <v>1.1482</v>
      </c>
      <c r="W1059" s="61" t="n">
        <f aca="false">Resumo!$B$9</f>
        <v>1</v>
      </c>
      <c r="X1059" s="61" t="n">
        <f aca="false">Resumo!$B$10*CEILING(G1059/100,1)</f>
        <v>4.5</v>
      </c>
      <c r="Y1059" s="61" t="n">
        <f aca="false">Resumo!$B$12*CEILING(G1059,1)</f>
        <v>4.02</v>
      </c>
      <c r="Z1059" s="61" t="n">
        <f aca="false">Resumo!$B$14*CEILING(G1059,1)</f>
        <v>30.15</v>
      </c>
      <c r="AA1059" s="61" t="n">
        <f aca="false">SUM(T1059:Z1059)</f>
        <v>172.4123</v>
      </c>
      <c r="AB1059" s="61" t="n">
        <f aca="false">AA1059/(1-Resumo!$B$5)</f>
        <v>195.923068181818</v>
      </c>
      <c r="AC1059" s="61" t="n">
        <f aca="false">AB1059-S1059</f>
        <v>55.3421363636364</v>
      </c>
      <c r="AD1059" s="62" t="n">
        <f aca="false">AB1059/S1059-1</f>
        <v>0.393667445846868</v>
      </c>
      <c r="AE1059" s="60" t="str">
        <f aca="false">IF(AB1059&lt;S1059,"SIM","NÃO")</f>
        <v>NÃO</v>
      </c>
      <c r="AF1059" s="60" t="n">
        <v>2</v>
      </c>
      <c r="AG1059" s="60" t="n">
        <v>5</v>
      </c>
      <c r="AH1059" s="60" t="s">
        <v>382</v>
      </c>
      <c r="AI1059" s="61" t="n">
        <f aca="false">(T1059*(1-Painel!$C$40)+U1059+V1059+Painel!$C$41+Painel!$C$42*CEILING(G1059/100,1)+Painel!$C$43*CEILING(G1059,1)+Z1059)/(1-Resumo!$B$5)</f>
        <v>138.301931818182</v>
      </c>
      <c r="AJ1059" s="60" t="str">
        <f aca="false">IF(AI1059&lt;S1059,"SIM","NÃO")</f>
        <v>SIM</v>
      </c>
    </row>
    <row r="1060" customFormat="false" ht="15" hidden="false" customHeight="false" outlineLevel="0" collapsed="false">
      <c r="A1060" s="59" t="n">
        <v>46249.7427199074</v>
      </c>
      <c r="B1060" s="60" t="s">
        <v>592</v>
      </c>
      <c r="C1060" s="60" t="n">
        <v>22451265</v>
      </c>
      <c r="D1060" s="60" t="s">
        <v>46</v>
      </c>
      <c r="E1060" s="60" t="s">
        <v>22</v>
      </c>
      <c r="F1060" s="60" t="s">
        <v>234</v>
      </c>
      <c r="G1060" s="60" t="n">
        <v>37.2</v>
      </c>
      <c r="H1060" s="61" t="n">
        <v>509.99</v>
      </c>
      <c r="I1060" s="61" t="n">
        <v>48.35</v>
      </c>
      <c r="J1060" s="61" t="n">
        <f aca="false">H1060*Resumo!$C$6</f>
        <v>0</v>
      </c>
      <c r="K1060" s="61" t="n">
        <f aca="false">H1060*Resumo!$C$7</f>
        <v>1.070979</v>
      </c>
      <c r="L1060" s="61" t="n">
        <f aca="false">H1060*Resumo!$C$8</f>
        <v>1.070979</v>
      </c>
      <c r="M1060" s="61" t="n">
        <f aca="false">Resumo!$C$10*CEILING(G1060/100,1)</f>
        <v>1.05</v>
      </c>
      <c r="N1060" s="61" t="n">
        <f aca="false">Resumo!$C$9</f>
        <v>0</v>
      </c>
      <c r="O1060" s="61" t="n">
        <f aca="false">Resumo!$C$13</f>
        <v>13.55</v>
      </c>
      <c r="P1060" s="61" t="n">
        <f aca="false">Resumo!$C$14*CEILING(G1060,1)</f>
        <v>17.1</v>
      </c>
      <c r="Q1060" s="61" t="n">
        <f aca="false">SUM(I1060:P1060)*Resumo!$C$11</f>
        <v>0</v>
      </c>
      <c r="R1060" s="61" t="n">
        <f aca="false">SUM(I1060:Q1060)</f>
        <v>82.191958</v>
      </c>
      <c r="S1060" s="61" t="n">
        <f aca="false">R1060/(1-Resumo!$C$5)</f>
        <v>93.3999522727273</v>
      </c>
      <c r="T1060" s="61" t="n">
        <v>93.97</v>
      </c>
      <c r="U1060" s="61" t="n">
        <f aca="false">H1060*Resumo!$B$6</f>
        <v>0.50999</v>
      </c>
      <c r="V1060" s="61" t="n">
        <f aca="false">H1060*Resumo!$B$7</f>
        <v>1.01998</v>
      </c>
      <c r="W1060" s="61" t="n">
        <f aca="false">Resumo!$B$9</f>
        <v>1</v>
      </c>
      <c r="X1060" s="61" t="n">
        <f aca="false">Resumo!$B$10*CEILING(G1060/100,1)</f>
        <v>4.5</v>
      </c>
      <c r="Y1060" s="61" t="n">
        <f aca="false">Resumo!$B$12*CEILING(G1060,1)</f>
        <v>2.28</v>
      </c>
      <c r="Z1060" s="61" t="n">
        <f aca="false">Resumo!$B$14*CEILING(G1060,1)</f>
        <v>17.1</v>
      </c>
      <c r="AA1060" s="61" t="n">
        <f aca="false">SUM(T1060:Z1060)</f>
        <v>120.37997</v>
      </c>
      <c r="AB1060" s="61" t="n">
        <f aca="false">AA1060/(1-Resumo!$B$5)</f>
        <v>136.795420454545</v>
      </c>
      <c r="AC1060" s="61" t="n">
        <f aca="false">AB1060-S1060</f>
        <v>43.3954681818182</v>
      </c>
      <c r="AD1060" s="62" t="n">
        <f aca="false">AB1060/S1060-1</f>
        <v>0.464619811101227</v>
      </c>
      <c r="AE1060" s="60" t="str">
        <f aca="false">IF(AB1060&lt;S1060,"SIM","NÃO")</f>
        <v>NÃO</v>
      </c>
      <c r="AF1060" s="60" t="n">
        <v>2</v>
      </c>
      <c r="AG1060" s="60" t="n">
        <v>5</v>
      </c>
      <c r="AH1060" s="60" t="s">
        <v>382</v>
      </c>
      <c r="AI1060" s="61" t="n">
        <f aca="false">(T1060*(1-Painel!$C$40)+U1060+V1060+Painel!$C$41+Painel!$C$42*CEILING(G1060/100,1)+Painel!$C$43*CEILING(G1060,1)+Z1060)/(1-Resumo!$B$5)</f>
        <v>95.0453068181818</v>
      </c>
      <c r="AJ1060" s="60" t="str">
        <f aca="false">IF(AI1060&lt;S1060,"SIM","NÃO")</f>
        <v>NÃO</v>
      </c>
    </row>
    <row r="1061" customFormat="false" ht="15" hidden="false" customHeight="false" outlineLevel="0" collapsed="false">
      <c r="A1061" s="59" t="n">
        <v>46249.7430208333</v>
      </c>
      <c r="B1061" s="60" t="s">
        <v>1378</v>
      </c>
      <c r="C1061" s="60" t="n">
        <v>28968485</v>
      </c>
      <c r="D1061" s="60" t="s">
        <v>340</v>
      </c>
      <c r="E1061" s="60" t="s">
        <v>24</v>
      </c>
      <c r="F1061" s="60" t="s">
        <v>239</v>
      </c>
      <c r="G1061" s="60" t="n">
        <v>81.7</v>
      </c>
      <c r="H1061" s="61" t="n">
        <v>623</v>
      </c>
      <c r="I1061" s="61" t="n">
        <v>109.63</v>
      </c>
      <c r="J1061" s="61" t="n">
        <f aca="false">H1061*Resumo!$C$6</f>
        <v>0</v>
      </c>
      <c r="K1061" s="61" t="n">
        <f aca="false">H1061*Resumo!$C$7</f>
        <v>1.3083</v>
      </c>
      <c r="L1061" s="61" t="n">
        <f aca="false">H1061*Resumo!$C$8</f>
        <v>1.3083</v>
      </c>
      <c r="M1061" s="61" t="n">
        <f aca="false">Resumo!$C$10*CEILING(G1061/100,1)</f>
        <v>1.05</v>
      </c>
      <c r="N1061" s="61" t="n">
        <f aca="false">Resumo!$C$9</f>
        <v>0</v>
      </c>
      <c r="O1061" s="61" t="n">
        <f aca="false">Resumo!$C$13</f>
        <v>13.55</v>
      </c>
      <c r="P1061" s="61" t="n">
        <f aca="false">Resumo!$C$14*CEILING(G1061,1)</f>
        <v>36.9</v>
      </c>
      <c r="Q1061" s="61" t="n">
        <f aca="false">SUM(I1061:P1061)*Resumo!$C$11</f>
        <v>0</v>
      </c>
      <c r="R1061" s="61" t="n">
        <f aca="false">SUM(I1061:Q1061)</f>
        <v>163.7466</v>
      </c>
      <c r="S1061" s="61" t="n">
        <f aca="false">R1061/(1-Resumo!$C$5)</f>
        <v>186.075681818182</v>
      </c>
      <c r="T1061" s="61" t="n">
        <v>197.35</v>
      </c>
      <c r="U1061" s="61" t="n">
        <f aca="false">H1061*Resumo!$B$6</f>
        <v>0.623</v>
      </c>
      <c r="V1061" s="61" t="n">
        <f aca="false">H1061*Resumo!$B$7</f>
        <v>1.246</v>
      </c>
      <c r="W1061" s="61" t="n">
        <f aca="false">Resumo!$B$9</f>
        <v>1</v>
      </c>
      <c r="X1061" s="61" t="n">
        <f aca="false">Resumo!$B$10*CEILING(G1061/100,1)</f>
        <v>4.5</v>
      </c>
      <c r="Y1061" s="61" t="n">
        <f aca="false">Resumo!$B$12*CEILING(G1061,1)</f>
        <v>4.92</v>
      </c>
      <c r="Z1061" s="61" t="n">
        <f aca="false">Resumo!$B$14*CEILING(G1061,1)</f>
        <v>36.9</v>
      </c>
      <c r="AA1061" s="61" t="n">
        <f aca="false">SUM(T1061:Z1061)</f>
        <v>246.539</v>
      </c>
      <c r="AB1061" s="61" t="n">
        <f aca="false">AA1061/(1-Resumo!$B$5)</f>
        <v>280.157954545455</v>
      </c>
      <c r="AC1061" s="61" t="n">
        <f aca="false">AB1061-S1061</f>
        <v>94.0822727272727</v>
      </c>
      <c r="AD1061" s="62" t="n">
        <f aca="false">AB1061/S1061-1</f>
        <v>0.505612940970988</v>
      </c>
      <c r="AE1061" s="60" t="str">
        <f aca="false">IF(AB1061&lt;S1061,"SIM","NÃO")</f>
        <v>NÃO</v>
      </c>
      <c r="AF1061" s="60" t="n">
        <v>13</v>
      </c>
      <c r="AG1061" s="60" t="n">
        <v>10</v>
      </c>
      <c r="AH1061" s="60" t="s">
        <v>385</v>
      </c>
      <c r="AI1061" s="61" t="n">
        <f aca="false">(T1061*(1-Painel!$C$40)+U1061+V1061+Painel!$C$41+Painel!$C$42*CEILING(G1061/100,1)+Painel!$C$43*CEILING(G1061,1)+Z1061)/(1-Resumo!$B$5)</f>
        <v>196.640340909091</v>
      </c>
      <c r="AJ1061" s="60" t="str">
        <f aca="false">IF(AI1061&lt;S1061,"SIM","NÃO")</f>
        <v>NÃO</v>
      </c>
    </row>
    <row r="1062" customFormat="false" ht="15" hidden="false" customHeight="false" outlineLevel="0" collapsed="false">
      <c r="A1062" s="59" t="n">
        <v>46249.7478587963</v>
      </c>
      <c r="B1062" s="60" t="s">
        <v>1379</v>
      </c>
      <c r="C1062" s="60" t="n">
        <v>23075440</v>
      </c>
      <c r="D1062" s="60" t="s">
        <v>46</v>
      </c>
      <c r="E1062" s="60" t="s">
        <v>22</v>
      </c>
      <c r="F1062" s="60" t="s">
        <v>237</v>
      </c>
      <c r="G1062" s="60" t="n">
        <v>66.8</v>
      </c>
      <c r="H1062" s="61" t="n">
        <v>574.1</v>
      </c>
      <c r="I1062" s="61" t="n">
        <v>63.21</v>
      </c>
      <c r="J1062" s="61" t="n">
        <f aca="false">H1062*Resumo!$C$6</f>
        <v>0</v>
      </c>
      <c r="K1062" s="61" t="n">
        <f aca="false">H1062*Resumo!$C$7</f>
        <v>1.20561</v>
      </c>
      <c r="L1062" s="61" t="n">
        <f aca="false">H1062*Resumo!$C$8</f>
        <v>1.20561</v>
      </c>
      <c r="M1062" s="61" t="n">
        <f aca="false">Resumo!$C$10*CEILING(G1062/100,1)</f>
        <v>1.05</v>
      </c>
      <c r="N1062" s="61" t="n">
        <f aca="false">Resumo!$C$9</f>
        <v>0</v>
      </c>
      <c r="O1062" s="61" t="n">
        <f aca="false">Resumo!$C$13</f>
        <v>13.55</v>
      </c>
      <c r="P1062" s="61" t="n">
        <f aca="false">Resumo!$C$14*CEILING(G1062,1)</f>
        <v>30.15</v>
      </c>
      <c r="Q1062" s="61" t="n">
        <f aca="false">SUM(I1062:P1062)*Resumo!$C$11</f>
        <v>0</v>
      </c>
      <c r="R1062" s="61" t="n">
        <f aca="false">SUM(I1062:Q1062)</f>
        <v>110.37122</v>
      </c>
      <c r="S1062" s="61" t="n">
        <f aca="false">R1062/(1-Resumo!$C$5)</f>
        <v>125.421840909091</v>
      </c>
      <c r="T1062" s="61" t="n">
        <v>131.02</v>
      </c>
      <c r="U1062" s="61" t="n">
        <f aca="false">H1062*Resumo!$B$6</f>
        <v>0.5741</v>
      </c>
      <c r="V1062" s="61" t="n">
        <f aca="false">H1062*Resumo!$B$7</f>
        <v>1.1482</v>
      </c>
      <c r="W1062" s="61" t="n">
        <f aca="false">Resumo!$B$9</f>
        <v>1</v>
      </c>
      <c r="X1062" s="61" t="n">
        <f aca="false">Resumo!$B$10*CEILING(G1062/100,1)</f>
        <v>4.5</v>
      </c>
      <c r="Y1062" s="61" t="n">
        <f aca="false">Resumo!$B$12*CEILING(G1062,1)</f>
        <v>4.02</v>
      </c>
      <c r="Z1062" s="61" t="n">
        <f aca="false">Resumo!$B$14*CEILING(G1062,1)</f>
        <v>30.15</v>
      </c>
      <c r="AA1062" s="61" t="n">
        <f aca="false">SUM(T1062:Z1062)</f>
        <v>172.4123</v>
      </c>
      <c r="AB1062" s="61" t="n">
        <f aca="false">AA1062/(1-Resumo!$B$5)</f>
        <v>195.923068181818</v>
      </c>
      <c r="AC1062" s="61" t="n">
        <f aca="false">AB1062-S1062</f>
        <v>70.5012272727273</v>
      </c>
      <c r="AD1062" s="62" t="n">
        <f aca="false">AB1062/S1062-1</f>
        <v>0.562112840648133</v>
      </c>
      <c r="AE1062" s="60" t="str">
        <f aca="false">IF(AB1062&lt;S1062,"SIM","NÃO")</f>
        <v>NÃO</v>
      </c>
      <c r="AF1062" s="60" t="n">
        <v>2</v>
      </c>
      <c r="AG1062" s="60" t="n">
        <v>5</v>
      </c>
      <c r="AH1062" s="60" t="s">
        <v>382</v>
      </c>
      <c r="AI1062" s="61" t="n">
        <f aca="false">(T1062*(1-Painel!$C$40)+U1062+V1062+Painel!$C$41+Painel!$C$42*CEILING(G1062/100,1)+Painel!$C$43*CEILING(G1062,1)+Z1062)/(1-Resumo!$B$5)</f>
        <v>138.301931818182</v>
      </c>
      <c r="AJ1062" s="60" t="str">
        <f aca="false">IF(AI1062&lt;S1062,"SIM","NÃO")</f>
        <v>NÃO</v>
      </c>
    </row>
    <row r="1063" customFormat="false" ht="15" hidden="false" customHeight="false" outlineLevel="0" collapsed="false">
      <c r="A1063" s="59" t="n">
        <v>46249.7538310185</v>
      </c>
      <c r="B1063" s="60" t="s">
        <v>1380</v>
      </c>
      <c r="C1063" s="60" t="n">
        <v>24812022</v>
      </c>
      <c r="D1063" s="60" t="s">
        <v>223</v>
      </c>
      <c r="E1063" s="60" t="s">
        <v>24</v>
      </c>
      <c r="F1063" s="60" t="s">
        <v>235</v>
      </c>
      <c r="G1063" s="60" t="n">
        <v>48.3</v>
      </c>
      <c r="H1063" s="61" t="n">
        <v>539.99</v>
      </c>
      <c r="I1063" s="61" t="n">
        <v>77.7</v>
      </c>
      <c r="J1063" s="61" t="n">
        <f aca="false">H1063*Resumo!$C$6</f>
        <v>0</v>
      </c>
      <c r="K1063" s="61" t="n">
        <f aca="false">H1063*Resumo!$C$7</f>
        <v>1.133979</v>
      </c>
      <c r="L1063" s="61" t="n">
        <f aca="false">H1063*Resumo!$C$8</f>
        <v>1.133979</v>
      </c>
      <c r="M1063" s="61" t="n">
        <f aca="false">Resumo!$C$10*CEILING(G1063/100,1)</f>
        <v>1.05</v>
      </c>
      <c r="N1063" s="61" t="n">
        <f aca="false">Resumo!$C$9</f>
        <v>0</v>
      </c>
      <c r="O1063" s="61" t="n">
        <f aca="false">Resumo!$C$13</f>
        <v>13.55</v>
      </c>
      <c r="P1063" s="61" t="n">
        <f aca="false">Resumo!$C$14*CEILING(G1063,1)</f>
        <v>22.05</v>
      </c>
      <c r="Q1063" s="61" t="n">
        <f aca="false">SUM(I1063:P1063)*Resumo!$C$11</f>
        <v>0</v>
      </c>
      <c r="R1063" s="61" t="n">
        <f aca="false">SUM(I1063:Q1063)</f>
        <v>116.617958</v>
      </c>
      <c r="S1063" s="61" t="n">
        <f aca="false">R1063/(1-Resumo!$C$5)</f>
        <v>132.520406818182</v>
      </c>
      <c r="T1063" s="61" t="n">
        <v>114.95</v>
      </c>
      <c r="U1063" s="61" t="n">
        <f aca="false">H1063*Resumo!$B$6</f>
        <v>0.53999</v>
      </c>
      <c r="V1063" s="61" t="n">
        <f aca="false">H1063*Resumo!$B$7</f>
        <v>1.07998</v>
      </c>
      <c r="W1063" s="61" t="n">
        <f aca="false">Resumo!$B$9</f>
        <v>1</v>
      </c>
      <c r="X1063" s="61" t="n">
        <f aca="false">Resumo!$B$10*CEILING(G1063/100,1)</f>
        <v>4.5</v>
      </c>
      <c r="Y1063" s="61" t="n">
        <f aca="false">Resumo!$B$12*CEILING(G1063,1)</f>
        <v>2.94</v>
      </c>
      <c r="Z1063" s="61" t="n">
        <f aca="false">Resumo!$B$14*CEILING(G1063,1)</f>
        <v>22.05</v>
      </c>
      <c r="AA1063" s="61" t="n">
        <f aca="false">SUM(T1063:Z1063)</f>
        <v>147.05997</v>
      </c>
      <c r="AB1063" s="61" t="n">
        <f aca="false">AA1063/(1-Resumo!$B$5)</f>
        <v>167.113602272727</v>
      </c>
      <c r="AC1063" s="61" t="n">
        <f aca="false">AB1063-S1063</f>
        <v>34.5931954545455</v>
      </c>
      <c r="AD1063" s="62" t="n">
        <f aca="false">AB1063/S1063-1</f>
        <v>0.261040516590078</v>
      </c>
      <c r="AE1063" s="60" t="str">
        <f aca="false">IF(AB1063&lt;S1063,"SIM","NÃO")</f>
        <v>NÃO</v>
      </c>
      <c r="AF1063" s="60" t="n">
        <v>13</v>
      </c>
      <c r="AG1063" s="60" t="n">
        <v>7</v>
      </c>
      <c r="AH1063" s="60" t="s">
        <v>382</v>
      </c>
      <c r="AI1063" s="61" t="n">
        <f aca="false">(T1063*(1-Painel!$C$40)+U1063+V1063+Painel!$C$41+Painel!$C$42*CEILING(G1063/100,1)+Painel!$C$43*CEILING(G1063,1)+Z1063)/(1-Resumo!$B$5)</f>
        <v>116.745988636364</v>
      </c>
      <c r="AJ1063" s="60" t="str">
        <f aca="false">IF(AI1063&lt;S1063,"SIM","NÃO")</f>
        <v>SIM</v>
      </c>
    </row>
    <row r="1064" customFormat="false" ht="15" hidden="false" customHeight="false" outlineLevel="0" collapsed="false">
      <c r="A1064" s="59" t="n">
        <v>46249.7563888889</v>
      </c>
      <c r="B1064" s="60" t="s">
        <v>1381</v>
      </c>
      <c r="C1064" s="60" t="n">
        <v>25780000</v>
      </c>
      <c r="D1064" s="60" t="s">
        <v>273</v>
      </c>
      <c r="E1064" s="60" t="s">
        <v>24</v>
      </c>
      <c r="F1064" s="60" t="s">
        <v>232</v>
      </c>
      <c r="G1064" s="60" t="n">
        <v>19.5</v>
      </c>
      <c r="H1064" s="61" t="n">
        <v>379.99</v>
      </c>
      <c r="I1064" s="61" t="n">
        <v>46.95</v>
      </c>
      <c r="J1064" s="61" t="n">
        <f aca="false">H1064*Resumo!$C$6</f>
        <v>0</v>
      </c>
      <c r="K1064" s="61" t="n">
        <f aca="false">H1064*Resumo!$C$7</f>
        <v>0.797979</v>
      </c>
      <c r="L1064" s="61" t="n">
        <f aca="false">H1064*Resumo!$C$8</f>
        <v>0.797979</v>
      </c>
      <c r="M1064" s="61" t="n">
        <f aca="false">Resumo!$C$10*CEILING(G1064/100,1)</f>
        <v>1.05</v>
      </c>
      <c r="N1064" s="61" t="n">
        <f aca="false">Resumo!$C$9</f>
        <v>0</v>
      </c>
      <c r="O1064" s="61" t="n">
        <f aca="false">Resumo!$C$13</f>
        <v>13.55</v>
      </c>
      <c r="P1064" s="61" t="n">
        <f aca="false">Resumo!$C$14*CEILING(G1064,1)</f>
        <v>9</v>
      </c>
      <c r="Q1064" s="61" t="n">
        <f aca="false">SUM(I1064:P1064)*Resumo!$C$11</f>
        <v>0</v>
      </c>
      <c r="R1064" s="61" t="n">
        <f aca="false">SUM(I1064:Q1064)</f>
        <v>72.145958</v>
      </c>
      <c r="S1064" s="61" t="n">
        <f aca="false">R1064/(1-Resumo!$C$5)</f>
        <v>81.9840431818182</v>
      </c>
      <c r="T1064" s="61" t="n">
        <v>106.53</v>
      </c>
      <c r="U1064" s="61" t="n">
        <f aca="false">H1064*Resumo!$B$6</f>
        <v>0.37999</v>
      </c>
      <c r="V1064" s="61" t="n">
        <f aca="false">H1064*Resumo!$B$7</f>
        <v>0.75998</v>
      </c>
      <c r="W1064" s="61" t="n">
        <f aca="false">Resumo!$B$9</f>
        <v>1</v>
      </c>
      <c r="X1064" s="61" t="n">
        <f aca="false">Resumo!$B$10*CEILING(G1064/100,1)</f>
        <v>4.5</v>
      </c>
      <c r="Y1064" s="61" t="n">
        <f aca="false">Resumo!$B$12*CEILING(G1064,1)</f>
        <v>1.2</v>
      </c>
      <c r="Z1064" s="61" t="n">
        <f aca="false">Resumo!$B$14*CEILING(G1064,1)</f>
        <v>9</v>
      </c>
      <c r="AA1064" s="61" t="n">
        <f aca="false">SUM(T1064:Z1064)</f>
        <v>123.36997</v>
      </c>
      <c r="AB1064" s="61" t="n">
        <f aca="false">AA1064/(1-Resumo!$B$5)</f>
        <v>140.193147727273</v>
      </c>
      <c r="AC1064" s="61" t="n">
        <f aca="false">AB1064-S1064</f>
        <v>58.2091045454545</v>
      </c>
      <c r="AD1064" s="62" t="n">
        <f aca="false">AB1064/S1064-1</f>
        <v>0.71000529232698</v>
      </c>
      <c r="AE1064" s="60" t="str">
        <f aca="false">IF(AB1064&lt;S1064,"SIM","NÃO")</f>
        <v>NÃO</v>
      </c>
      <c r="AF1064" s="60" t="n">
        <v>13</v>
      </c>
      <c r="AG1064" s="60" t="n">
        <v>10</v>
      </c>
      <c r="AH1064" s="60" t="s">
        <v>385</v>
      </c>
      <c r="AI1064" s="61" t="n">
        <f aca="false">(T1064*(1-Painel!$C$40)+U1064+V1064+Painel!$C$41+Painel!$C$42*CEILING(G1064/100,1)+Painel!$C$43*CEILING(G1064,1)+Z1064)/(1-Resumo!$B$5)</f>
        <v>94.9603068181818</v>
      </c>
      <c r="AJ1064" s="60" t="str">
        <f aca="false">IF(AI1064&lt;S1064,"SIM","NÃO")</f>
        <v>NÃO</v>
      </c>
    </row>
    <row r="1065" customFormat="false" ht="15" hidden="false" customHeight="false" outlineLevel="0" collapsed="false">
      <c r="A1065" s="59" t="n">
        <v>46249.7598032407</v>
      </c>
      <c r="B1065" s="60" t="s">
        <v>1382</v>
      </c>
      <c r="C1065" s="60" t="n">
        <v>26176050</v>
      </c>
      <c r="D1065" s="60" t="s">
        <v>52</v>
      </c>
      <c r="E1065" s="60" t="s">
        <v>23</v>
      </c>
      <c r="F1065" s="60" t="s">
        <v>235</v>
      </c>
      <c r="G1065" s="60" t="n">
        <v>48</v>
      </c>
      <c r="H1065" s="61" t="n">
        <v>806.69</v>
      </c>
      <c r="I1065" s="61" t="n">
        <v>65.36</v>
      </c>
      <c r="J1065" s="61" t="n">
        <f aca="false">H1065*Resumo!$C$6</f>
        <v>0</v>
      </c>
      <c r="K1065" s="61" t="n">
        <f aca="false">H1065*Resumo!$C$7</f>
        <v>1.694049</v>
      </c>
      <c r="L1065" s="61" t="n">
        <f aca="false">H1065*Resumo!$C$8</f>
        <v>1.694049</v>
      </c>
      <c r="M1065" s="61" t="n">
        <f aca="false">Resumo!$C$10*CEILING(G1065/100,1)</f>
        <v>1.05</v>
      </c>
      <c r="N1065" s="61" t="n">
        <f aca="false">Resumo!$C$9</f>
        <v>0</v>
      </c>
      <c r="O1065" s="61" t="n">
        <f aca="false">Resumo!$C$13</f>
        <v>13.55</v>
      </c>
      <c r="P1065" s="61" t="n">
        <f aca="false">Resumo!$C$14*CEILING(G1065,1)</f>
        <v>21.6</v>
      </c>
      <c r="Q1065" s="61" t="n">
        <f aca="false">SUM(I1065:P1065)*Resumo!$C$11</f>
        <v>0</v>
      </c>
      <c r="R1065" s="61" t="n">
        <f aca="false">SUM(I1065:Q1065)</f>
        <v>104.948098</v>
      </c>
      <c r="S1065" s="61" t="n">
        <f aca="false">R1065/(1-Resumo!$C$5)</f>
        <v>119.259202272727</v>
      </c>
      <c r="T1065" s="61" t="n">
        <v>93.97</v>
      </c>
      <c r="U1065" s="61" t="n">
        <f aca="false">H1065*Resumo!$B$6</f>
        <v>0.80669</v>
      </c>
      <c r="V1065" s="61" t="n">
        <f aca="false">H1065*Resumo!$B$7</f>
        <v>1.61338</v>
      </c>
      <c r="W1065" s="61" t="n">
        <f aca="false">Resumo!$B$9</f>
        <v>1</v>
      </c>
      <c r="X1065" s="61" t="n">
        <f aca="false">Resumo!$B$10*CEILING(G1065/100,1)</f>
        <v>4.5</v>
      </c>
      <c r="Y1065" s="61" t="n">
        <f aca="false">Resumo!$B$12*CEILING(G1065,1)</f>
        <v>2.88</v>
      </c>
      <c r="Z1065" s="61" t="n">
        <f aca="false">Resumo!$B$14*CEILING(G1065,1)</f>
        <v>21.6</v>
      </c>
      <c r="AA1065" s="61" t="n">
        <f aca="false">SUM(T1065:Z1065)</f>
        <v>126.37007</v>
      </c>
      <c r="AB1065" s="61" t="n">
        <f aca="false">AA1065/(1-Resumo!$B$5)</f>
        <v>143.602352272727</v>
      </c>
      <c r="AC1065" s="61" t="n">
        <f aca="false">AB1065-S1065</f>
        <v>24.34315</v>
      </c>
      <c r="AD1065" s="62" t="n">
        <f aca="false">AB1065/S1065-1</f>
        <v>0.204119678281354</v>
      </c>
      <c r="AE1065" s="60" t="str">
        <f aca="false">IF(AB1065&lt;S1065,"SIM","NÃO")</f>
        <v>NÃO</v>
      </c>
      <c r="AF1065" s="60" t="n">
        <v>2</v>
      </c>
      <c r="AG1065" s="60" t="n">
        <v>5</v>
      </c>
      <c r="AH1065" s="60" t="s">
        <v>382</v>
      </c>
      <c r="AI1065" s="61" t="n">
        <f aca="false">(T1065*(1-Painel!$C$40)+U1065+V1065+Painel!$C$41+Painel!$C$42*CEILING(G1065/100,1)+Painel!$C$43*CEILING(G1065,1)+Z1065)/(1-Resumo!$B$5)</f>
        <v>101.170420454545</v>
      </c>
      <c r="AJ1065" s="60" t="str">
        <f aca="false">IF(AI1065&lt;S1065,"SIM","NÃO")</f>
        <v>SIM</v>
      </c>
    </row>
    <row r="1066" customFormat="false" ht="15" hidden="false" customHeight="false" outlineLevel="0" collapsed="false">
      <c r="A1066" s="59" t="n">
        <v>46249.8114930556</v>
      </c>
      <c r="B1066" s="60" t="s">
        <v>1383</v>
      </c>
      <c r="C1066" s="60" t="n">
        <v>23027290</v>
      </c>
      <c r="D1066" s="60" t="s">
        <v>46</v>
      </c>
      <c r="E1066" s="60" t="s">
        <v>22</v>
      </c>
      <c r="F1066" s="60" t="s">
        <v>235</v>
      </c>
      <c r="G1066" s="60" t="n">
        <v>46.8</v>
      </c>
      <c r="H1066" s="61" t="n">
        <v>506.56</v>
      </c>
      <c r="I1066" s="61" t="n">
        <v>53.55</v>
      </c>
      <c r="J1066" s="61" t="n">
        <f aca="false">H1066*Resumo!$C$6</f>
        <v>0</v>
      </c>
      <c r="K1066" s="61" t="n">
        <f aca="false">H1066*Resumo!$C$7</f>
        <v>1.063776</v>
      </c>
      <c r="L1066" s="61" t="n">
        <f aca="false">H1066*Resumo!$C$8</f>
        <v>1.063776</v>
      </c>
      <c r="M1066" s="61" t="n">
        <f aca="false">Resumo!$C$10*CEILING(G1066/100,1)</f>
        <v>1.05</v>
      </c>
      <c r="N1066" s="61" t="n">
        <f aca="false">Resumo!$C$9</f>
        <v>0</v>
      </c>
      <c r="O1066" s="61" t="n">
        <f aca="false">Resumo!$C$13</f>
        <v>13.55</v>
      </c>
      <c r="P1066" s="61" t="n">
        <f aca="false">Resumo!$C$14*CEILING(G1066,1)</f>
        <v>21.15</v>
      </c>
      <c r="Q1066" s="61" t="n">
        <f aca="false">SUM(I1066:P1066)*Resumo!$C$11</f>
        <v>0</v>
      </c>
      <c r="R1066" s="61" t="n">
        <f aca="false">SUM(I1066:Q1066)</f>
        <v>91.427552</v>
      </c>
      <c r="S1066" s="61" t="n">
        <f aca="false">R1066/(1-Resumo!$C$5)</f>
        <v>103.894945454545</v>
      </c>
      <c r="T1066" s="61" t="n">
        <v>93.97</v>
      </c>
      <c r="U1066" s="61" t="n">
        <f aca="false">H1066*Resumo!$B$6</f>
        <v>0.50656</v>
      </c>
      <c r="V1066" s="61" t="n">
        <f aca="false">H1066*Resumo!$B$7</f>
        <v>1.01312</v>
      </c>
      <c r="W1066" s="61" t="n">
        <f aca="false">Resumo!$B$9</f>
        <v>1</v>
      </c>
      <c r="X1066" s="61" t="n">
        <f aca="false">Resumo!$B$10*CEILING(G1066/100,1)</f>
        <v>4.5</v>
      </c>
      <c r="Y1066" s="61" t="n">
        <f aca="false">Resumo!$B$12*CEILING(G1066,1)</f>
        <v>2.82</v>
      </c>
      <c r="Z1066" s="61" t="n">
        <f aca="false">Resumo!$B$14*CEILING(G1066,1)</f>
        <v>21.15</v>
      </c>
      <c r="AA1066" s="61" t="n">
        <f aca="false">SUM(T1066:Z1066)</f>
        <v>124.95968</v>
      </c>
      <c r="AB1066" s="61" t="n">
        <f aca="false">AA1066/(1-Resumo!$B$5)</f>
        <v>141.999636363636</v>
      </c>
      <c r="AC1066" s="61" t="n">
        <f aca="false">AB1066-S1066</f>
        <v>38.1046909090909</v>
      </c>
      <c r="AD1066" s="62" t="n">
        <f aca="false">AB1066/S1066-1</f>
        <v>0.366761739393394</v>
      </c>
      <c r="AE1066" s="60" t="str">
        <f aca="false">IF(AB1066&lt;S1066,"SIM","NÃO")</f>
        <v>NÃO</v>
      </c>
      <c r="AF1066" s="60" t="n">
        <v>2</v>
      </c>
      <c r="AG1066" s="60" t="n">
        <v>5</v>
      </c>
      <c r="AH1066" s="60" t="s">
        <v>382</v>
      </c>
      <c r="AI1066" s="61" t="n">
        <f aca="false">(T1066*(1-Painel!$C$40)+U1066+V1066+Painel!$C$41+Painel!$C$42*CEILING(G1066/100,1)+Painel!$C$43*CEILING(G1066,1)+Z1066)/(1-Resumo!$B$5)</f>
        <v>99.6358863636364</v>
      </c>
      <c r="AJ1066" s="60" t="str">
        <f aca="false">IF(AI1066&lt;S1066,"SIM","NÃO")</f>
        <v>SIM</v>
      </c>
    </row>
    <row r="1067" customFormat="false" ht="15" hidden="false" customHeight="false" outlineLevel="0" collapsed="false">
      <c r="A1067" s="59" t="n">
        <v>46249.817962963</v>
      </c>
      <c r="B1067" s="60" t="s">
        <v>1384</v>
      </c>
      <c r="C1067" s="60" t="n">
        <v>20261063</v>
      </c>
      <c r="D1067" s="60" t="s">
        <v>46</v>
      </c>
      <c r="E1067" s="60" t="s">
        <v>22</v>
      </c>
      <c r="F1067" s="60" t="s">
        <v>240</v>
      </c>
      <c r="G1067" s="60" t="n">
        <v>116.6</v>
      </c>
      <c r="H1067" s="61" t="n">
        <v>1899.99</v>
      </c>
      <c r="I1067" s="61" t="n">
        <v>92.34</v>
      </c>
      <c r="J1067" s="61" t="n">
        <f aca="false">H1067*Resumo!$C$6</f>
        <v>0</v>
      </c>
      <c r="K1067" s="61" t="n">
        <f aca="false">H1067*Resumo!$C$7</f>
        <v>3.989979</v>
      </c>
      <c r="L1067" s="61" t="n">
        <f aca="false">H1067*Resumo!$C$8</f>
        <v>3.989979</v>
      </c>
      <c r="M1067" s="61" t="n">
        <f aca="false">Resumo!$C$10*CEILING(G1067/100,1)</f>
        <v>2.1</v>
      </c>
      <c r="N1067" s="61" t="n">
        <f aca="false">Resumo!$C$9</f>
        <v>0</v>
      </c>
      <c r="O1067" s="61" t="n">
        <f aca="false">Resumo!$C$13</f>
        <v>13.55</v>
      </c>
      <c r="P1067" s="61" t="n">
        <f aca="false">Resumo!$C$14*CEILING(G1067,1)</f>
        <v>52.65</v>
      </c>
      <c r="Q1067" s="61" t="n">
        <f aca="false">SUM(I1067:P1067)*Resumo!$C$11</f>
        <v>0</v>
      </c>
      <c r="R1067" s="61" t="n">
        <f aca="false">SUM(I1067:Q1067)</f>
        <v>168.619958</v>
      </c>
      <c r="S1067" s="61" t="n">
        <f aca="false">R1067/(1-Resumo!$C$5)</f>
        <v>191.613588636364</v>
      </c>
      <c r="T1067" s="61" t="n">
        <v>201.59</v>
      </c>
      <c r="U1067" s="61" t="n">
        <f aca="false">H1067*Resumo!$B$6</f>
        <v>1.89999</v>
      </c>
      <c r="V1067" s="61" t="n">
        <f aca="false">H1067*Resumo!$B$7</f>
        <v>3.79998</v>
      </c>
      <c r="W1067" s="61" t="n">
        <f aca="false">Resumo!$B$9</f>
        <v>1</v>
      </c>
      <c r="X1067" s="61" t="n">
        <f aca="false">Resumo!$B$10*CEILING(G1067/100,1)</f>
        <v>9</v>
      </c>
      <c r="Y1067" s="61" t="n">
        <f aca="false">Resumo!$B$12*CEILING(G1067,1)</f>
        <v>7.02</v>
      </c>
      <c r="Z1067" s="61" t="n">
        <f aca="false">Resumo!$B$14*CEILING(G1067,1)</f>
        <v>52.65</v>
      </c>
      <c r="AA1067" s="61" t="n">
        <f aca="false">SUM(T1067:Z1067)</f>
        <v>276.95997</v>
      </c>
      <c r="AB1067" s="61" t="n">
        <f aca="false">AA1067/(1-Resumo!$B$5)</f>
        <v>314.727238636364</v>
      </c>
      <c r="AC1067" s="61" t="n">
        <f aca="false">AB1067-S1067</f>
        <v>123.11365</v>
      </c>
      <c r="AD1067" s="62" t="n">
        <f aca="false">AB1067/S1067-1</f>
        <v>0.642510016518922</v>
      </c>
      <c r="AE1067" s="60" t="str">
        <f aca="false">IF(AB1067&lt;S1067,"SIM","NÃO")</f>
        <v>NÃO</v>
      </c>
      <c r="AF1067" s="60" t="n">
        <v>2</v>
      </c>
      <c r="AG1067" s="60" t="n">
        <v>5</v>
      </c>
      <c r="AH1067" s="60" t="s">
        <v>382</v>
      </c>
      <c r="AI1067" s="61" t="n">
        <f aca="false">(T1067*(1-Painel!$C$40)+U1067+V1067+Painel!$C$41+Painel!$C$42*CEILING(G1067/100,1)+Painel!$C$43*CEILING(G1067,1)+Z1067)/(1-Resumo!$B$5)</f>
        <v>223.312806818182</v>
      </c>
      <c r="AJ1067" s="60" t="str">
        <f aca="false">IF(AI1067&lt;S1067,"SIM","NÃO")</f>
        <v>NÃO</v>
      </c>
    </row>
    <row r="1068" customFormat="false" ht="15" hidden="false" customHeight="false" outlineLevel="0" collapsed="false">
      <c r="A1068" s="59" t="n">
        <v>46249.821099537</v>
      </c>
      <c r="B1068" s="60" t="s">
        <v>1385</v>
      </c>
      <c r="C1068" s="60" t="n">
        <v>26050610</v>
      </c>
      <c r="D1068" s="60" t="s">
        <v>49</v>
      </c>
      <c r="E1068" s="60" t="s">
        <v>23</v>
      </c>
      <c r="F1068" s="60" t="s">
        <v>235</v>
      </c>
      <c r="G1068" s="60" t="n">
        <v>46.8</v>
      </c>
      <c r="H1068" s="61" t="n">
        <v>506.56</v>
      </c>
      <c r="I1068" s="61" t="n">
        <v>65.36</v>
      </c>
      <c r="J1068" s="61" t="n">
        <f aca="false">H1068*Resumo!$C$6</f>
        <v>0</v>
      </c>
      <c r="K1068" s="61" t="n">
        <f aca="false">H1068*Resumo!$C$7</f>
        <v>1.063776</v>
      </c>
      <c r="L1068" s="61" t="n">
        <f aca="false">H1068*Resumo!$C$8</f>
        <v>1.063776</v>
      </c>
      <c r="M1068" s="61" t="n">
        <f aca="false">Resumo!$C$10*CEILING(G1068/100,1)</f>
        <v>1.05</v>
      </c>
      <c r="N1068" s="61" t="n">
        <f aca="false">Resumo!$C$9</f>
        <v>0</v>
      </c>
      <c r="O1068" s="61" t="n">
        <f aca="false">Resumo!$C$13</f>
        <v>13.55</v>
      </c>
      <c r="P1068" s="61" t="n">
        <f aca="false">Resumo!$C$14*CEILING(G1068,1)</f>
        <v>21.15</v>
      </c>
      <c r="Q1068" s="61" t="n">
        <f aca="false">SUM(I1068:P1068)*Resumo!$C$11</f>
        <v>0</v>
      </c>
      <c r="R1068" s="61" t="n">
        <f aca="false">SUM(I1068:Q1068)</f>
        <v>103.237552</v>
      </c>
      <c r="S1068" s="61" t="n">
        <f aca="false">R1068/(1-Resumo!$C$5)</f>
        <v>117.3154</v>
      </c>
      <c r="T1068" s="61" t="n">
        <v>93.97</v>
      </c>
      <c r="U1068" s="61" t="n">
        <f aca="false">H1068*Resumo!$B$6</f>
        <v>0.50656</v>
      </c>
      <c r="V1068" s="61" t="n">
        <f aca="false">H1068*Resumo!$B$7</f>
        <v>1.01312</v>
      </c>
      <c r="W1068" s="61" t="n">
        <f aca="false">Resumo!$B$9</f>
        <v>1</v>
      </c>
      <c r="X1068" s="61" t="n">
        <f aca="false">Resumo!$B$10*CEILING(G1068/100,1)</f>
        <v>4.5</v>
      </c>
      <c r="Y1068" s="61" t="n">
        <f aca="false">Resumo!$B$12*CEILING(G1068,1)</f>
        <v>2.82</v>
      </c>
      <c r="Z1068" s="61" t="n">
        <f aca="false">Resumo!$B$14*CEILING(G1068,1)</f>
        <v>21.15</v>
      </c>
      <c r="AA1068" s="61" t="n">
        <f aca="false">SUM(T1068:Z1068)</f>
        <v>124.95968</v>
      </c>
      <c r="AB1068" s="61" t="n">
        <f aca="false">AA1068/(1-Resumo!$B$5)</f>
        <v>141.999636363636</v>
      </c>
      <c r="AC1068" s="61" t="n">
        <f aca="false">AB1068-S1068</f>
        <v>24.6842363636364</v>
      </c>
      <c r="AD1068" s="62" t="n">
        <f aca="false">AB1068/S1068-1</f>
        <v>0.210409173592183</v>
      </c>
      <c r="AE1068" s="60" t="str">
        <f aca="false">IF(AB1068&lt;S1068,"SIM","NÃO")</f>
        <v>NÃO</v>
      </c>
      <c r="AF1068" s="60" t="n">
        <v>2</v>
      </c>
      <c r="AG1068" s="60" t="n">
        <v>5</v>
      </c>
      <c r="AH1068" s="60" t="s">
        <v>382</v>
      </c>
      <c r="AI1068" s="61" t="n">
        <f aca="false">(T1068*(1-Painel!$C$40)+U1068+V1068+Painel!$C$41+Painel!$C$42*CEILING(G1068/100,1)+Painel!$C$43*CEILING(G1068,1)+Z1068)/(1-Resumo!$B$5)</f>
        <v>99.6358863636364</v>
      </c>
      <c r="AJ1068" s="60" t="str">
        <f aca="false">IF(AI1068&lt;S1068,"SIM","NÃO")</f>
        <v>SIM</v>
      </c>
    </row>
    <row r="1069" customFormat="false" ht="15" hidden="false" customHeight="false" outlineLevel="0" collapsed="false">
      <c r="A1069" s="59" t="n">
        <v>46249.8334259259</v>
      </c>
      <c r="B1069" s="60" t="s">
        <v>1270</v>
      </c>
      <c r="C1069" s="60" t="n">
        <v>20550220</v>
      </c>
      <c r="D1069" s="60" t="s">
        <v>46</v>
      </c>
      <c r="E1069" s="60" t="s">
        <v>22</v>
      </c>
      <c r="F1069" s="60" t="s">
        <v>235</v>
      </c>
      <c r="G1069" s="60" t="n">
        <v>49.6</v>
      </c>
      <c r="H1069" s="61" t="n">
        <v>649.78</v>
      </c>
      <c r="I1069" s="61" t="n">
        <v>53.55</v>
      </c>
      <c r="J1069" s="61" t="n">
        <f aca="false">H1069*Resumo!$C$6</f>
        <v>0</v>
      </c>
      <c r="K1069" s="61" t="n">
        <f aca="false">H1069*Resumo!$C$7</f>
        <v>1.364538</v>
      </c>
      <c r="L1069" s="61" t="n">
        <f aca="false">H1069*Resumo!$C$8</f>
        <v>1.364538</v>
      </c>
      <c r="M1069" s="61" t="n">
        <f aca="false">Resumo!$C$10*CEILING(G1069/100,1)</f>
        <v>1.05</v>
      </c>
      <c r="N1069" s="61" t="n">
        <f aca="false">Resumo!$C$9</f>
        <v>0</v>
      </c>
      <c r="O1069" s="61" t="n">
        <f aca="false">Resumo!$C$13</f>
        <v>13.55</v>
      </c>
      <c r="P1069" s="61" t="n">
        <f aca="false">Resumo!$C$14*CEILING(G1069,1)</f>
        <v>22.5</v>
      </c>
      <c r="Q1069" s="61" t="n">
        <f aca="false">SUM(I1069:P1069)*Resumo!$C$11</f>
        <v>0</v>
      </c>
      <c r="R1069" s="61" t="n">
        <f aca="false">SUM(I1069:Q1069)</f>
        <v>93.379076</v>
      </c>
      <c r="S1069" s="61" t="n">
        <f aca="false">R1069/(1-Resumo!$C$5)</f>
        <v>106.112586363636</v>
      </c>
      <c r="T1069" s="61" t="n">
        <v>93.97</v>
      </c>
      <c r="U1069" s="61" t="n">
        <f aca="false">H1069*Resumo!$B$6</f>
        <v>0.64978</v>
      </c>
      <c r="V1069" s="61" t="n">
        <f aca="false">H1069*Resumo!$B$7</f>
        <v>1.29956</v>
      </c>
      <c r="W1069" s="61" t="n">
        <f aca="false">Resumo!$B$9</f>
        <v>1</v>
      </c>
      <c r="X1069" s="61" t="n">
        <f aca="false">Resumo!$B$10*CEILING(G1069/100,1)</f>
        <v>4.5</v>
      </c>
      <c r="Y1069" s="61" t="n">
        <f aca="false">Resumo!$B$12*CEILING(G1069,1)</f>
        <v>3</v>
      </c>
      <c r="Z1069" s="61" t="n">
        <f aca="false">Resumo!$B$14*CEILING(G1069,1)</f>
        <v>22.5</v>
      </c>
      <c r="AA1069" s="61" t="n">
        <f aca="false">SUM(T1069:Z1069)</f>
        <v>126.91934</v>
      </c>
      <c r="AB1069" s="61" t="n">
        <f aca="false">AA1069/(1-Resumo!$B$5)</f>
        <v>144.226522727273</v>
      </c>
      <c r="AC1069" s="61" t="n">
        <f aca="false">AB1069-S1069</f>
        <v>38.1139363636364</v>
      </c>
      <c r="AD1069" s="62" t="n">
        <f aca="false">AB1069/S1069-1</f>
        <v>0.359183935381841</v>
      </c>
      <c r="AE1069" s="60" t="str">
        <f aca="false">IF(AB1069&lt;S1069,"SIM","NÃO")</f>
        <v>NÃO</v>
      </c>
      <c r="AF1069" s="60" t="n">
        <v>2</v>
      </c>
      <c r="AG1069" s="60" t="n">
        <v>5</v>
      </c>
      <c r="AH1069" s="60" t="s">
        <v>382</v>
      </c>
      <c r="AI1069" s="61" t="n">
        <f aca="false">(T1069*(1-Painel!$C$40)+U1069+V1069+Painel!$C$41+Painel!$C$42*CEILING(G1069/100,1)+Painel!$C$43*CEILING(G1069,1)+Z1069)/(1-Resumo!$B$5)</f>
        <v>101.658227272727</v>
      </c>
      <c r="AJ1069" s="60" t="str">
        <f aca="false">IF(AI1069&lt;S1069,"SIM","NÃO")</f>
        <v>SIM</v>
      </c>
    </row>
    <row r="1070" customFormat="false" ht="15" hidden="false" customHeight="false" outlineLevel="0" collapsed="false">
      <c r="A1070" s="59" t="n">
        <v>46249.8506828704</v>
      </c>
      <c r="B1070" s="60" t="s">
        <v>1386</v>
      </c>
      <c r="C1070" s="60" t="n">
        <v>25650490</v>
      </c>
      <c r="D1070" s="60" t="s">
        <v>219</v>
      </c>
      <c r="E1070" s="60" t="s">
        <v>24</v>
      </c>
      <c r="F1070" s="60" t="s">
        <v>233</v>
      </c>
      <c r="G1070" s="60" t="n">
        <v>33.21</v>
      </c>
      <c r="H1070" s="61" t="n">
        <v>377.97</v>
      </c>
      <c r="I1070" s="61" t="n">
        <v>65.63</v>
      </c>
      <c r="J1070" s="61" t="n">
        <f aca="false">H1070*Resumo!$C$6</f>
        <v>0</v>
      </c>
      <c r="K1070" s="61" t="n">
        <f aca="false">H1070*Resumo!$C$7</f>
        <v>0.793737</v>
      </c>
      <c r="L1070" s="61" t="n">
        <f aca="false">H1070*Resumo!$C$8</f>
        <v>0.793737</v>
      </c>
      <c r="M1070" s="61" t="n">
        <f aca="false">Resumo!$C$10*CEILING(G1070/100,1)</f>
        <v>1.05</v>
      </c>
      <c r="N1070" s="61" t="n">
        <f aca="false">Resumo!$C$9</f>
        <v>0</v>
      </c>
      <c r="O1070" s="61" t="n">
        <f aca="false">Resumo!$C$13</f>
        <v>13.55</v>
      </c>
      <c r="P1070" s="61" t="n">
        <f aca="false">Resumo!$C$14*CEILING(G1070,1)</f>
        <v>15.3</v>
      </c>
      <c r="Q1070" s="61" t="n">
        <f aca="false">SUM(I1070:P1070)*Resumo!$C$11</f>
        <v>0</v>
      </c>
      <c r="R1070" s="61" t="n">
        <f aca="false">SUM(I1070:Q1070)</f>
        <v>97.117474</v>
      </c>
      <c r="S1070" s="61" t="n">
        <f aca="false">R1070/(1-Resumo!$C$5)</f>
        <v>110.360765909091</v>
      </c>
      <c r="T1070" s="61" t="n">
        <v>108.83</v>
      </c>
      <c r="U1070" s="61" t="n">
        <f aca="false">H1070*Resumo!$B$6</f>
        <v>0.37797</v>
      </c>
      <c r="V1070" s="61" t="n">
        <f aca="false">H1070*Resumo!$B$7</f>
        <v>0.75594</v>
      </c>
      <c r="W1070" s="61" t="n">
        <f aca="false">Resumo!$B$9</f>
        <v>1</v>
      </c>
      <c r="X1070" s="61" t="n">
        <f aca="false">Resumo!$B$10*CEILING(G1070/100,1)</f>
        <v>4.5</v>
      </c>
      <c r="Y1070" s="61" t="n">
        <f aca="false">Resumo!$B$12*CEILING(G1070,1)</f>
        <v>2.04</v>
      </c>
      <c r="Z1070" s="61" t="n">
        <f aca="false">Resumo!$B$14*CEILING(G1070,1)</f>
        <v>15.3</v>
      </c>
      <c r="AA1070" s="61" t="n">
        <f aca="false">SUM(T1070:Z1070)</f>
        <v>132.80391</v>
      </c>
      <c r="AB1070" s="61" t="n">
        <f aca="false">AA1070/(1-Resumo!$B$5)</f>
        <v>150.913534090909</v>
      </c>
      <c r="AC1070" s="61" t="n">
        <f aca="false">AB1070-S1070</f>
        <v>40.5527681818182</v>
      </c>
      <c r="AD1070" s="62" t="n">
        <f aca="false">AB1070/S1070-1</f>
        <v>0.367456385861107</v>
      </c>
      <c r="AE1070" s="60" t="str">
        <f aca="false">IF(AB1070&lt;S1070,"SIM","NÃO")</f>
        <v>NÃO</v>
      </c>
      <c r="AF1070" s="60" t="n">
        <v>13</v>
      </c>
      <c r="AG1070" s="60" t="n">
        <v>8</v>
      </c>
      <c r="AH1070" s="60" t="s">
        <v>382</v>
      </c>
      <c r="AI1070" s="61" t="n">
        <f aca="false">(T1070*(1-Painel!$C$40)+U1070+V1070+Painel!$C$41+Painel!$C$42*CEILING(G1070/100,1)+Painel!$C$43*CEILING(G1070,1)+Z1070)/(1-Resumo!$B$5)</f>
        <v>103.863647727273</v>
      </c>
      <c r="AJ1070" s="60" t="str">
        <f aca="false">IF(AI1070&lt;S1070,"SIM","NÃO")</f>
        <v>SIM</v>
      </c>
    </row>
    <row r="1071" customFormat="false" ht="15" hidden="false" customHeight="false" outlineLevel="0" collapsed="false">
      <c r="A1071" s="59" t="n">
        <v>46249.8873032407</v>
      </c>
      <c r="B1071" s="60" t="s">
        <v>1387</v>
      </c>
      <c r="C1071" s="60" t="n">
        <v>22713570</v>
      </c>
      <c r="D1071" s="60" t="s">
        <v>46</v>
      </c>
      <c r="E1071" s="60" t="s">
        <v>22</v>
      </c>
      <c r="F1071" s="60" t="s">
        <v>241</v>
      </c>
      <c r="G1071" s="60" t="n">
        <v>124.2</v>
      </c>
      <c r="H1071" s="61" t="n">
        <v>1749.98</v>
      </c>
      <c r="I1071" s="61" t="n">
        <v>120.59</v>
      </c>
      <c r="J1071" s="61" t="n">
        <f aca="false">H1071*Resumo!$C$6</f>
        <v>0</v>
      </c>
      <c r="K1071" s="61" t="n">
        <f aca="false">H1071*Resumo!$C$7</f>
        <v>3.674958</v>
      </c>
      <c r="L1071" s="61" t="n">
        <f aca="false">H1071*Resumo!$C$8</f>
        <v>3.674958</v>
      </c>
      <c r="M1071" s="61" t="n">
        <f aca="false">Resumo!$C$10*CEILING(G1071/100,1)</f>
        <v>2.1</v>
      </c>
      <c r="N1071" s="61" t="n">
        <f aca="false">Resumo!$C$9</f>
        <v>0</v>
      </c>
      <c r="O1071" s="61" t="n">
        <f aca="false">Resumo!$C$13</f>
        <v>13.55</v>
      </c>
      <c r="P1071" s="61" t="n">
        <f aca="false">Resumo!$C$14*CEILING(G1071,1)</f>
        <v>56.25</v>
      </c>
      <c r="Q1071" s="61" t="n">
        <f aca="false">SUM(I1071:P1071)*Resumo!$C$11</f>
        <v>0</v>
      </c>
      <c r="R1071" s="61" t="n">
        <f aca="false">SUM(I1071:Q1071)</f>
        <v>199.839916</v>
      </c>
      <c r="S1071" s="61" t="n">
        <f aca="false">R1071/(1-Resumo!$C$5)</f>
        <v>227.090813636364</v>
      </c>
      <c r="T1071" s="61" t="n">
        <v>239.25</v>
      </c>
      <c r="U1071" s="61" t="n">
        <f aca="false">H1071*Resumo!$B$6</f>
        <v>1.74998</v>
      </c>
      <c r="V1071" s="61" t="n">
        <f aca="false">H1071*Resumo!$B$7</f>
        <v>3.49996</v>
      </c>
      <c r="W1071" s="61" t="n">
        <f aca="false">Resumo!$B$9</f>
        <v>1</v>
      </c>
      <c r="X1071" s="61" t="n">
        <f aca="false">Resumo!$B$10*CEILING(G1071/100,1)</f>
        <v>9</v>
      </c>
      <c r="Y1071" s="61" t="n">
        <f aca="false">Resumo!$B$12*CEILING(G1071,1)</f>
        <v>7.5</v>
      </c>
      <c r="Z1071" s="61" t="n">
        <f aca="false">Resumo!$B$14*CEILING(G1071,1)</f>
        <v>56.25</v>
      </c>
      <c r="AA1071" s="61" t="n">
        <f aca="false">SUM(T1071:Z1071)</f>
        <v>318.24994</v>
      </c>
      <c r="AB1071" s="61" t="n">
        <f aca="false">AA1071/(1-Resumo!$B$5)</f>
        <v>361.647659090909</v>
      </c>
      <c r="AC1071" s="61" t="n">
        <f aca="false">AB1071-S1071</f>
        <v>134.556845454545</v>
      </c>
      <c r="AD1071" s="62" t="n">
        <f aca="false">AB1071/S1071-1</f>
        <v>0.59252438837094</v>
      </c>
      <c r="AE1071" s="60" t="str">
        <f aca="false">IF(AB1071&lt;S1071,"SIM","NÃO")</f>
        <v>NÃO</v>
      </c>
      <c r="AF1071" s="60" t="n">
        <v>2</v>
      </c>
      <c r="AG1071" s="60" t="n">
        <v>5</v>
      </c>
      <c r="AH1071" s="60" t="s">
        <v>382</v>
      </c>
      <c r="AI1071" s="61" t="n">
        <f aca="false">(T1071*(1-Painel!$C$40)+U1071+V1071+Painel!$C$41+Painel!$C$42*CEILING(G1071/100,1)+Painel!$C$43*CEILING(G1071,1)+Z1071)/(1-Resumo!$B$5)</f>
        <v>255.565272727273</v>
      </c>
      <c r="AJ1071" s="60" t="str">
        <f aca="false">IF(AI1071&lt;S1071,"SIM","NÃO")</f>
        <v>NÃO</v>
      </c>
    </row>
    <row r="1072" customFormat="false" ht="15" hidden="false" customHeight="false" outlineLevel="0" collapsed="false">
      <c r="A1072" s="59" t="n">
        <v>46249.8963657407</v>
      </c>
      <c r="B1072" s="60" t="s">
        <v>1388</v>
      </c>
      <c r="C1072" s="60" t="n">
        <v>26130230</v>
      </c>
      <c r="D1072" s="60" t="s">
        <v>52</v>
      </c>
      <c r="E1072" s="60" t="s">
        <v>23</v>
      </c>
      <c r="F1072" s="60" t="s">
        <v>236</v>
      </c>
      <c r="G1072" s="60" t="n">
        <v>52.3</v>
      </c>
      <c r="H1072" s="61" t="n">
        <v>630</v>
      </c>
      <c r="I1072" s="61" t="n">
        <v>70.98</v>
      </c>
      <c r="J1072" s="61" t="n">
        <f aca="false">H1072*Resumo!$C$6</f>
        <v>0</v>
      </c>
      <c r="K1072" s="61" t="n">
        <f aca="false">H1072*Resumo!$C$7</f>
        <v>1.323</v>
      </c>
      <c r="L1072" s="61" t="n">
        <f aca="false">H1072*Resumo!$C$8</f>
        <v>1.323</v>
      </c>
      <c r="M1072" s="61" t="n">
        <f aca="false">Resumo!$C$10*CEILING(G1072/100,1)</f>
        <v>1.05</v>
      </c>
      <c r="N1072" s="61" t="n">
        <f aca="false">Resumo!$C$9</f>
        <v>0</v>
      </c>
      <c r="O1072" s="61" t="n">
        <f aca="false">Resumo!$C$13</f>
        <v>13.55</v>
      </c>
      <c r="P1072" s="61" t="n">
        <f aca="false">Resumo!$C$14*CEILING(G1072,1)</f>
        <v>23.85</v>
      </c>
      <c r="Q1072" s="61" t="n">
        <f aca="false">SUM(I1072:P1072)*Resumo!$C$11</f>
        <v>0</v>
      </c>
      <c r="R1072" s="61" t="n">
        <f aca="false">SUM(I1072:Q1072)</f>
        <v>112.076</v>
      </c>
      <c r="S1072" s="61" t="n">
        <f aca="false">R1072/(1-Resumo!$C$5)</f>
        <v>127.359090909091</v>
      </c>
      <c r="T1072" s="61" t="n">
        <v>112.3</v>
      </c>
      <c r="U1072" s="61" t="n">
        <f aca="false">H1072*Resumo!$B$6</f>
        <v>0.63</v>
      </c>
      <c r="V1072" s="61" t="n">
        <f aca="false">H1072*Resumo!$B$7</f>
        <v>1.26</v>
      </c>
      <c r="W1072" s="61" t="n">
        <f aca="false">Resumo!$B$9</f>
        <v>1</v>
      </c>
      <c r="X1072" s="61" t="n">
        <f aca="false">Resumo!$B$10*CEILING(G1072/100,1)</f>
        <v>4.5</v>
      </c>
      <c r="Y1072" s="61" t="n">
        <f aca="false">Resumo!$B$12*CEILING(G1072,1)</f>
        <v>3.18</v>
      </c>
      <c r="Z1072" s="61" t="n">
        <f aca="false">Resumo!$B$14*CEILING(G1072,1)</f>
        <v>23.85</v>
      </c>
      <c r="AA1072" s="61" t="n">
        <f aca="false">SUM(T1072:Z1072)</f>
        <v>146.72</v>
      </c>
      <c r="AB1072" s="61" t="n">
        <f aca="false">AA1072/(1-Resumo!$B$5)</f>
        <v>166.727272727273</v>
      </c>
      <c r="AC1072" s="61" t="n">
        <f aca="false">AB1072-S1072</f>
        <v>39.3681818181818</v>
      </c>
      <c r="AD1072" s="62" t="n">
        <f aca="false">AB1072/S1072-1</f>
        <v>0.309111674221064</v>
      </c>
      <c r="AE1072" s="60" t="str">
        <f aca="false">IF(AB1072&lt;S1072,"SIM","NÃO")</f>
        <v>NÃO</v>
      </c>
      <c r="AF1072" s="60" t="n">
        <v>2</v>
      </c>
      <c r="AG1072" s="60" t="n">
        <v>5</v>
      </c>
      <c r="AH1072" s="60" t="s">
        <v>382</v>
      </c>
      <c r="AI1072" s="61" t="n">
        <f aca="false">(T1072*(1-Painel!$C$40)+U1072+V1072+Painel!$C$41+Painel!$C$42*CEILING(G1072/100,1)+Painel!$C$43*CEILING(G1072,1)+Z1072)/(1-Resumo!$B$5)</f>
        <v>117.080681818182</v>
      </c>
      <c r="AJ1072" s="60" t="str">
        <f aca="false">IF(AI1072&lt;S1072,"SIM","NÃO")</f>
        <v>SIM</v>
      </c>
    </row>
    <row r="1073" customFormat="false" ht="15" hidden="false" customHeight="false" outlineLevel="0" collapsed="false">
      <c r="A1073" s="59" t="n">
        <v>46249.9426273148</v>
      </c>
      <c r="B1073" s="60" t="s">
        <v>1389</v>
      </c>
      <c r="C1073" s="60" t="n">
        <v>25565430</v>
      </c>
      <c r="D1073" s="60" t="s">
        <v>216</v>
      </c>
      <c r="E1073" s="60" t="s">
        <v>23</v>
      </c>
      <c r="F1073" s="60" t="s">
        <v>237</v>
      </c>
      <c r="G1073" s="60" t="n">
        <v>63.9</v>
      </c>
      <c r="H1073" s="61" t="n">
        <v>730.98</v>
      </c>
      <c r="I1073" s="61" t="n">
        <v>76.55</v>
      </c>
      <c r="J1073" s="61" t="n">
        <f aca="false">H1073*Resumo!$C$6</f>
        <v>0</v>
      </c>
      <c r="K1073" s="61" t="n">
        <f aca="false">H1073*Resumo!$C$7</f>
        <v>1.535058</v>
      </c>
      <c r="L1073" s="61" t="n">
        <f aca="false">H1073*Resumo!$C$8</f>
        <v>1.535058</v>
      </c>
      <c r="M1073" s="61" t="n">
        <f aca="false">Resumo!$C$10*CEILING(G1073/100,1)</f>
        <v>1.05</v>
      </c>
      <c r="N1073" s="61" t="n">
        <f aca="false">Resumo!$C$9</f>
        <v>0</v>
      </c>
      <c r="O1073" s="61" t="n">
        <f aca="false">Resumo!$C$13</f>
        <v>13.55</v>
      </c>
      <c r="P1073" s="61" t="n">
        <f aca="false">Resumo!$C$14*CEILING(G1073,1)</f>
        <v>28.8</v>
      </c>
      <c r="Q1073" s="61" t="n">
        <f aca="false">SUM(I1073:P1073)*Resumo!$C$11</f>
        <v>0</v>
      </c>
      <c r="R1073" s="61" t="n">
        <f aca="false">SUM(I1073:Q1073)</f>
        <v>123.020116</v>
      </c>
      <c r="S1073" s="61" t="n">
        <f aca="false">R1073/(1-Resumo!$C$5)</f>
        <v>139.795586363636</v>
      </c>
      <c r="T1073" s="61" t="n">
        <v>131.02</v>
      </c>
      <c r="U1073" s="61" t="n">
        <f aca="false">H1073*Resumo!$B$6</f>
        <v>0.73098</v>
      </c>
      <c r="V1073" s="61" t="n">
        <f aca="false">H1073*Resumo!$B$7</f>
        <v>1.46196</v>
      </c>
      <c r="W1073" s="61" t="n">
        <f aca="false">Resumo!$B$9</f>
        <v>1</v>
      </c>
      <c r="X1073" s="61" t="n">
        <f aca="false">Resumo!$B$10*CEILING(G1073/100,1)</f>
        <v>4.5</v>
      </c>
      <c r="Y1073" s="61" t="n">
        <f aca="false">Resumo!$B$12*CEILING(G1073,1)</f>
        <v>3.84</v>
      </c>
      <c r="Z1073" s="61" t="n">
        <f aca="false">Resumo!$B$14*CEILING(G1073,1)</f>
        <v>28.8</v>
      </c>
      <c r="AA1073" s="61" t="n">
        <f aca="false">SUM(T1073:Z1073)</f>
        <v>171.35294</v>
      </c>
      <c r="AB1073" s="61" t="n">
        <f aca="false">AA1073/(1-Resumo!$B$5)</f>
        <v>194.71925</v>
      </c>
      <c r="AC1073" s="61" t="n">
        <f aca="false">AB1073-S1073</f>
        <v>54.9236636363636</v>
      </c>
      <c r="AD1073" s="62" t="n">
        <f aca="false">AB1073/S1073-1</f>
        <v>0.392885534264982</v>
      </c>
      <c r="AE1073" s="60" t="str">
        <f aca="false">IF(AB1073&lt;S1073,"SIM","NÃO")</f>
        <v>NÃO</v>
      </c>
      <c r="AF1073" s="60" t="n">
        <v>2</v>
      </c>
      <c r="AG1073" s="60" t="n">
        <v>5</v>
      </c>
      <c r="AH1073" s="60" t="s">
        <v>382</v>
      </c>
      <c r="AI1073" s="61" t="n">
        <f aca="false">(T1073*(1-Painel!$C$40)+U1073+V1073+Painel!$C$41+Painel!$C$42*CEILING(G1073/100,1)+Painel!$C$43*CEILING(G1073,1)+Z1073)/(1-Resumo!$B$5)</f>
        <v>137.302659090909</v>
      </c>
      <c r="AJ1073" s="60" t="str">
        <f aca="false">IF(AI1073&lt;S1073,"SIM","NÃO")</f>
        <v>SIM</v>
      </c>
    </row>
    <row r="1074" customFormat="false" ht="15" hidden="false" customHeight="false" outlineLevel="0" collapsed="false">
      <c r="A1074" s="59" t="n">
        <v>46250.0084259259</v>
      </c>
      <c r="B1074" s="60" t="s">
        <v>1390</v>
      </c>
      <c r="C1074" s="60" t="n">
        <v>22743040</v>
      </c>
      <c r="D1074" s="60" t="s">
        <v>46</v>
      </c>
      <c r="E1074" s="60" t="s">
        <v>22</v>
      </c>
      <c r="F1074" s="60" t="s">
        <v>236</v>
      </c>
      <c r="G1074" s="60" t="n">
        <v>52.3</v>
      </c>
      <c r="H1074" s="61" t="n">
        <v>699.99</v>
      </c>
      <c r="I1074" s="61" t="n">
        <v>58.6</v>
      </c>
      <c r="J1074" s="61" t="n">
        <f aca="false">H1074*Resumo!$C$6</f>
        <v>0</v>
      </c>
      <c r="K1074" s="61" t="n">
        <f aca="false">H1074*Resumo!$C$7</f>
        <v>1.469979</v>
      </c>
      <c r="L1074" s="61" t="n">
        <f aca="false">H1074*Resumo!$C$8</f>
        <v>1.469979</v>
      </c>
      <c r="M1074" s="61" t="n">
        <f aca="false">Resumo!$C$10*CEILING(G1074/100,1)</f>
        <v>1.05</v>
      </c>
      <c r="N1074" s="61" t="n">
        <f aca="false">Resumo!$C$9</f>
        <v>0</v>
      </c>
      <c r="O1074" s="61" t="n">
        <f aca="false">Resumo!$C$13</f>
        <v>13.55</v>
      </c>
      <c r="P1074" s="61" t="n">
        <f aca="false">Resumo!$C$14*CEILING(G1074,1)</f>
        <v>23.85</v>
      </c>
      <c r="Q1074" s="61" t="n">
        <f aca="false">SUM(I1074:P1074)*Resumo!$C$11</f>
        <v>0</v>
      </c>
      <c r="R1074" s="61" t="n">
        <f aca="false">SUM(I1074:Q1074)</f>
        <v>99.989958</v>
      </c>
      <c r="S1074" s="61" t="n">
        <f aca="false">R1074/(1-Resumo!$C$5)</f>
        <v>113.624952272727</v>
      </c>
      <c r="T1074" s="61" t="n">
        <v>112.3</v>
      </c>
      <c r="U1074" s="61" t="n">
        <f aca="false">H1074*Resumo!$B$6</f>
        <v>0.69999</v>
      </c>
      <c r="V1074" s="61" t="n">
        <f aca="false">H1074*Resumo!$B$7</f>
        <v>1.39998</v>
      </c>
      <c r="W1074" s="61" t="n">
        <f aca="false">Resumo!$B$9</f>
        <v>1</v>
      </c>
      <c r="X1074" s="61" t="n">
        <f aca="false">Resumo!$B$10*CEILING(G1074/100,1)</f>
        <v>4.5</v>
      </c>
      <c r="Y1074" s="61" t="n">
        <f aca="false">Resumo!$B$12*CEILING(G1074,1)</f>
        <v>3.18</v>
      </c>
      <c r="Z1074" s="61" t="n">
        <f aca="false">Resumo!$B$14*CEILING(G1074,1)</f>
        <v>23.85</v>
      </c>
      <c r="AA1074" s="61" t="n">
        <f aca="false">SUM(T1074:Z1074)</f>
        <v>146.92997</v>
      </c>
      <c r="AB1074" s="61" t="n">
        <f aca="false">AA1074/(1-Resumo!$B$5)</f>
        <v>166.965875</v>
      </c>
      <c r="AC1074" s="61" t="n">
        <f aca="false">AB1074-S1074</f>
        <v>53.3409227272727</v>
      </c>
      <c r="AD1074" s="62" t="n">
        <f aca="false">AB1074/S1074-1</f>
        <v>0.469447261894039</v>
      </c>
      <c r="AE1074" s="60" t="str">
        <f aca="false">IF(AB1074&lt;S1074,"SIM","NÃO")</f>
        <v>NÃO</v>
      </c>
      <c r="AF1074" s="60" t="n">
        <v>2</v>
      </c>
      <c r="AG1074" s="60" t="n">
        <v>5</v>
      </c>
      <c r="AH1074" s="60" t="s">
        <v>382</v>
      </c>
      <c r="AI1074" s="61" t="n">
        <f aca="false">(T1074*(1-Painel!$C$40)+U1074+V1074+Painel!$C$41+Painel!$C$42*CEILING(G1074/100,1)+Painel!$C$43*CEILING(G1074,1)+Z1074)/(1-Resumo!$B$5)</f>
        <v>117.319284090909</v>
      </c>
      <c r="AJ1074" s="60" t="str">
        <f aca="false">IF(AI1074&lt;S1074,"SIM","NÃO")</f>
        <v>NÃO</v>
      </c>
    </row>
    <row r="1075" customFormat="false" ht="15" hidden="false" customHeight="false" outlineLevel="0" collapsed="false">
      <c r="A1075" s="59" t="n">
        <v>46250.0137037037</v>
      </c>
      <c r="B1075" s="60" t="s">
        <v>1391</v>
      </c>
      <c r="C1075" s="60" t="n">
        <v>23097692</v>
      </c>
      <c r="D1075" s="60" t="s">
        <v>46</v>
      </c>
      <c r="E1075" s="60" t="s">
        <v>22</v>
      </c>
      <c r="F1075" s="60" t="s">
        <v>232</v>
      </c>
      <c r="G1075" s="60" t="n">
        <v>17.2</v>
      </c>
      <c r="H1075" s="61" t="n">
        <v>223.34</v>
      </c>
      <c r="I1075" s="61" t="n">
        <v>33.42</v>
      </c>
      <c r="J1075" s="61" t="n">
        <f aca="false">H1075*Resumo!$C$6</f>
        <v>0</v>
      </c>
      <c r="K1075" s="61" t="n">
        <f aca="false">H1075*Resumo!$C$7</f>
        <v>0.469014</v>
      </c>
      <c r="L1075" s="61" t="n">
        <f aca="false">H1075*Resumo!$C$8</f>
        <v>0.469014</v>
      </c>
      <c r="M1075" s="61" t="n">
        <f aca="false">Resumo!$C$10*CEILING(G1075/100,1)</f>
        <v>1.05</v>
      </c>
      <c r="N1075" s="61" t="n">
        <f aca="false">Resumo!$C$9</f>
        <v>0</v>
      </c>
      <c r="O1075" s="61" t="n">
        <f aca="false">Resumo!$C$13</f>
        <v>13.55</v>
      </c>
      <c r="P1075" s="61" t="n">
        <f aca="false">Resumo!$C$14*CEILING(G1075,1)</f>
        <v>8.1</v>
      </c>
      <c r="Q1075" s="61" t="n">
        <f aca="false">SUM(I1075:P1075)*Resumo!$C$11</f>
        <v>0</v>
      </c>
      <c r="R1075" s="61" t="n">
        <f aca="false">SUM(I1075:Q1075)</f>
        <v>57.058028</v>
      </c>
      <c r="S1075" s="61" t="n">
        <f aca="false">R1075/(1-Resumo!$C$5)</f>
        <v>64.8386681818182</v>
      </c>
      <c r="T1075" s="61" t="n">
        <v>46.98</v>
      </c>
      <c r="U1075" s="61" t="n">
        <f aca="false">H1075*Resumo!$B$6</f>
        <v>0.22334</v>
      </c>
      <c r="V1075" s="61" t="n">
        <f aca="false">H1075*Resumo!$B$7</f>
        <v>0.44668</v>
      </c>
      <c r="W1075" s="61" t="n">
        <f aca="false">Resumo!$B$9</f>
        <v>1</v>
      </c>
      <c r="X1075" s="61" t="n">
        <f aca="false">Resumo!$B$10*CEILING(G1075/100,1)</f>
        <v>4.5</v>
      </c>
      <c r="Y1075" s="61" t="n">
        <f aca="false">Resumo!$B$12*CEILING(G1075,1)</f>
        <v>1.08</v>
      </c>
      <c r="Z1075" s="61" t="n">
        <f aca="false">Resumo!$B$14*CEILING(G1075,1)</f>
        <v>8.1</v>
      </c>
      <c r="AA1075" s="61" t="n">
        <f aca="false">SUM(T1075:Z1075)</f>
        <v>62.33002</v>
      </c>
      <c r="AB1075" s="61" t="n">
        <f aca="false">AA1075/(1-Resumo!$B$5)</f>
        <v>70.8295681818182</v>
      </c>
      <c r="AC1075" s="61" t="n">
        <f aca="false">AB1075-S1075</f>
        <v>5.99089999999998</v>
      </c>
      <c r="AD1075" s="62" t="n">
        <f aca="false">AB1075/S1075-1</f>
        <v>0.0923970243065531</v>
      </c>
      <c r="AE1075" s="60" t="str">
        <f aca="false">IF(AB1075&lt;S1075,"SIM","NÃO")</f>
        <v>NÃO</v>
      </c>
      <c r="AF1075" s="60" t="n">
        <v>2</v>
      </c>
      <c r="AG1075" s="60" t="n">
        <v>5</v>
      </c>
      <c r="AH1075" s="60" t="s">
        <v>382</v>
      </c>
      <c r="AI1075" s="61" t="n">
        <f aca="false">(T1075*(1-Painel!$C$40)+U1075+V1075+Painel!$C$41+Painel!$C$42*CEILING(G1075/100,1)+Painel!$C$43*CEILING(G1075,1)+Z1075)/(1-Resumo!$B$5)</f>
        <v>48.0643409090909</v>
      </c>
      <c r="AJ1075" s="60" t="str">
        <f aca="false">IF(AI1075&lt;S1075,"SIM","NÃO")</f>
        <v>SIM</v>
      </c>
    </row>
    <row r="1076" customFormat="false" ht="15" hidden="false" customHeight="false" outlineLevel="0" collapsed="false">
      <c r="A1076" s="59" t="n">
        <v>46250.0447569444</v>
      </c>
      <c r="B1076" s="60" t="s">
        <v>1392</v>
      </c>
      <c r="C1076" s="60" t="n">
        <v>21230330</v>
      </c>
      <c r="D1076" s="60" t="s">
        <v>46</v>
      </c>
      <c r="E1076" s="60" t="s">
        <v>22</v>
      </c>
      <c r="F1076" s="60" t="s">
        <v>234</v>
      </c>
      <c r="G1076" s="60" t="n">
        <v>37.6</v>
      </c>
      <c r="H1076" s="61" t="n">
        <v>383.12</v>
      </c>
      <c r="I1076" s="61" t="n">
        <v>48.35</v>
      </c>
      <c r="J1076" s="61" t="n">
        <f aca="false">H1076*Resumo!$C$6</f>
        <v>0</v>
      </c>
      <c r="K1076" s="61" t="n">
        <f aca="false">H1076*Resumo!$C$7</f>
        <v>0.804552</v>
      </c>
      <c r="L1076" s="61" t="n">
        <f aca="false">H1076*Resumo!$C$8</f>
        <v>0.804552</v>
      </c>
      <c r="M1076" s="61" t="n">
        <f aca="false">Resumo!$C$10*CEILING(G1076/100,1)</f>
        <v>1.05</v>
      </c>
      <c r="N1076" s="61" t="n">
        <f aca="false">Resumo!$C$9</f>
        <v>0</v>
      </c>
      <c r="O1076" s="61" t="n">
        <f aca="false">Resumo!$C$13</f>
        <v>13.55</v>
      </c>
      <c r="P1076" s="61" t="n">
        <f aca="false">Resumo!$C$14*CEILING(G1076,1)</f>
        <v>17.1</v>
      </c>
      <c r="Q1076" s="61" t="n">
        <f aca="false">SUM(I1076:P1076)*Resumo!$C$11</f>
        <v>0</v>
      </c>
      <c r="R1076" s="61" t="n">
        <f aca="false">SUM(I1076:Q1076)</f>
        <v>81.659104</v>
      </c>
      <c r="S1076" s="61" t="n">
        <f aca="false">R1076/(1-Resumo!$C$5)</f>
        <v>92.7944363636364</v>
      </c>
      <c r="T1076" s="61" t="n">
        <v>93.97</v>
      </c>
      <c r="U1076" s="61" t="n">
        <f aca="false">H1076*Resumo!$B$6</f>
        <v>0.38312</v>
      </c>
      <c r="V1076" s="61" t="n">
        <f aca="false">H1076*Resumo!$B$7</f>
        <v>0.76624</v>
      </c>
      <c r="W1076" s="61" t="n">
        <f aca="false">Resumo!$B$9</f>
        <v>1</v>
      </c>
      <c r="X1076" s="61" t="n">
        <f aca="false">Resumo!$B$10*CEILING(G1076/100,1)</f>
        <v>4.5</v>
      </c>
      <c r="Y1076" s="61" t="n">
        <f aca="false">Resumo!$B$12*CEILING(G1076,1)</f>
        <v>2.28</v>
      </c>
      <c r="Z1076" s="61" t="n">
        <f aca="false">Resumo!$B$14*CEILING(G1076,1)</f>
        <v>17.1</v>
      </c>
      <c r="AA1076" s="61" t="n">
        <f aca="false">SUM(T1076:Z1076)</f>
        <v>119.99936</v>
      </c>
      <c r="AB1076" s="61" t="n">
        <f aca="false">AA1076/(1-Resumo!$B$5)</f>
        <v>136.362909090909</v>
      </c>
      <c r="AC1076" s="61" t="n">
        <f aca="false">AB1076-S1076</f>
        <v>43.5684727272727</v>
      </c>
      <c r="AD1076" s="62" t="n">
        <f aca="false">AB1076/S1076-1</f>
        <v>0.469516001547115</v>
      </c>
      <c r="AE1076" s="60" t="str">
        <f aca="false">IF(AB1076&lt;S1076,"SIM","NÃO")</f>
        <v>NÃO</v>
      </c>
      <c r="AF1076" s="60" t="n">
        <v>2</v>
      </c>
      <c r="AG1076" s="60" t="n">
        <v>5</v>
      </c>
      <c r="AH1076" s="60" t="s">
        <v>382</v>
      </c>
      <c r="AI1076" s="61" t="n">
        <f aca="false">(T1076*(1-Painel!$C$40)+U1076+V1076+Painel!$C$41+Painel!$C$42*CEILING(G1076/100,1)+Painel!$C$43*CEILING(G1076,1)+Z1076)/(1-Resumo!$B$5)</f>
        <v>94.6127954545454</v>
      </c>
      <c r="AJ1076" s="60" t="str">
        <f aca="false">IF(AI1076&lt;S1076,"SIM","NÃO")</f>
        <v>NÃO</v>
      </c>
    </row>
    <row r="1077" customFormat="false" ht="15" hidden="false" customHeight="false" outlineLevel="0" collapsed="false">
      <c r="A1077" s="59" t="n">
        <v>46250.2839583333</v>
      </c>
      <c r="B1077" s="60" t="s">
        <v>1393</v>
      </c>
      <c r="C1077" s="60" t="n">
        <v>23033020</v>
      </c>
      <c r="D1077" s="60" t="s">
        <v>46</v>
      </c>
      <c r="E1077" s="60" t="s">
        <v>22</v>
      </c>
      <c r="F1077" s="60" t="s">
        <v>235</v>
      </c>
      <c r="G1077" s="60" t="n">
        <v>46.8</v>
      </c>
      <c r="H1077" s="61" t="n">
        <v>506.56</v>
      </c>
      <c r="I1077" s="61" t="n">
        <v>53.55</v>
      </c>
      <c r="J1077" s="61" t="n">
        <f aca="false">H1077*Resumo!$C$6</f>
        <v>0</v>
      </c>
      <c r="K1077" s="61" t="n">
        <f aca="false">H1077*Resumo!$C$7</f>
        <v>1.063776</v>
      </c>
      <c r="L1077" s="61" t="n">
        <f aca="false">H1077*Resumo!$C$8</f>
        <v>1.063776</v>
      </c>
      <c r="M1077" s="61" t="n">
        <f aca="false">Resumo!$C$10*CEILING(G1077/100,1)</f>
        <v>1.05</v>
      </c>
      <c r="N1077" s="61" t="n">
        <f aca="false">Resumo!$C$9</f>
        <v>0</v>
      </c>
      <c r="O1077" s="61" t="n">
        <f aca="false">Resumo!$C$13</f>
        <v>13.55</v>
      </c>
      <c r="P1077" s="61" t="n">
        <f aca="false">Resumo!$C$14*CEILING(G1077,1)</f>
        <v>21.15</v>
      </c>
      <c r="Q1077" s="61" t="n">
        <f aca="false">SUM(I1077:P1077)*Resumo!$C$11</f>
        <v>0</v>
      </c>
      <c r="R1077" s="61" t="n">
        <f aca="false">SUM(I1077:Q1077)</f>
        <v>91.427552</v>
      </c>
      <c r="S1077" s="61" t="n">
        <f aca="false">R1077/(1-Resumo!$C$5)</f>
        <v>103.894945454545</v>
      </c>
      <c r="T1077" s="61" t="n">
        <v>93.97</v>
      </c>
      <c r="U1077" s="61" t="n">
        <f aca="false">H1077*Resumo!$B$6</f>
        <v>0.50656</v>
      </c>
      <c r="V1077" s="61" t="n">
        <f aca="false">H1077*Resumo!$B$7</f>
        <v>1.01312</v>
      </c>
      <c r="W1077" s="61" t="n">
        <f aca="false">Resumo!$B$9</f>
        <v>1</v>
      </c>
      <c r="X1077" s="61" t="n">
        <f aca="false">Resumo!$B$10*CEILING(G1077/100,1)</f>
        <v>4.5</v>
      </c>
      <c r="Y1077" s="61" t="n">
        <f aca="false">Resumo!$B$12*CEILING(G1077,1)</f>
        <v>2.82</v>
      </c>
      <c r="Z1077" s="61" t="n">
        <f aca="false">Resumo!$B$14*CEILING(G1077,1)</f>
        <v>21.15</v>
      </c>
      <c r="AA1077" s="61" t="n">
        <f aca="false">SUM(T1077:Z1077)</f>
        <v>124.95968</v>
      </c>
      <c r="AB1077" s="61" t="n">
        <f aca="false">AA1077/(1-Resumo!$B$5)</f>
        <v>141.999636363636</v>
      </c>
      <c r="AC1077" s="61" t="n">
        <f aca="false">AB1077-S1077</f>
        <v>38.1046909090909</v>
      </c>
      <c r="AD1077" s="62" t="n">
        <f aca="false">AB1077/S1077-1</f>
        <v>0.366761739393394</v>
      </c>
      <c r="AE1077" s="60" t="str">
        <f aca="false">IF(AB1077&lt;S1077,"SIM","NÃO")</f>
        <v>NÃO</v>
      </c>
      <c r="AF1077" s="60" t="n">
        <v>2</v>
      </c>
      <c r="AG1077" s="60" t="n">
        <v>5</v>
      </c>
      <c r="AH1077" s="60" t="s">
        <v>382</v>
      </c>
      <c r="AI1077" s="61" t="n">
        <f aca="false">(T1077*(1-Painel!$C$40)+U1077+V1077+Painel!$C$41+Painel!$C$42*CEILING(G1077/100,1)+Painel!$C$43*CEILING(G1077,1)+Z1077)/(1-Resumo!$B$5)</f>
        <v>99.6358863636364</v>
      </c>
      <c r="AJ1077" s="60" t="str">
        <f aca="false">IF(AI1077&lt;S1077,"SIM","NÃO")</f>
        <v>SIM</v>
      </c>
    </row>
    <row r="1078" customFormat="false" ht="15" hidden="false" customHeight="false" outlineLevel="0" collapsed="false">
      <c r="A1078" s="59" t="n">
        <v>46250.2933449074</v>
      </c>
      <c r="B1078" s="60" t="s">
        <v>1394</v>
      </c>
      <c r="C1078" s="60" t="n">
        <v>27135280</v>
      </c>
      <c r="D1078" s="60" t="s">
        <v>290</v>
      </c>
      <c r="E1078" s="60" t="s">
        <v>24</v>
      </c>
      <c r="F1078" s="60" t="s">
        <v>234</v>
      </c>
      <c r="G1078" s="60" t="n">
        <v>36.8</v>
      </c>
      <c r="H1078" s="61" t="n">
        <v>439.99</v>
      </c>
      <c r="I1078" s="61" t="n">
        <v>74.97</v>
      </c>
      <c r="J1078" s="61" t="n">
        <f aca="false">H1078*Resumo!$C$6</f>
        <v>0</v>
      </c>
      <c r="K1078" s="61" t="n">
        <f aca="false">H1078*Resumo!$C$7</f>
        <v>0.923979</v>
      </c>
      <c r="L1078" s="61" t="n">
        <f aca="false">H1078*Resumo!$C$8</f>
        <v>0.923979</v>
      </c>
      <c r="M1078" s="61" t="n">
        <f aca="false">Resumo!$C$10*CEILING(G1078/100,1)</f>
        <v>1.05</v>
      </c>
      <c r="N1078" s="61" t="n">
        <f aca="false">Resumo!$C$9</f>
        <v>0</v>
      </c>
      <c r="O1078" s="61" t="n">
        <f aca="false">Resumo!$C$13</f>
        <v>13.55</v>
      </c>
      <c r="P1078" s="61" t="n">
        <f aca="false">Resumo!$C$14*CEILING(G1078,1)</f>
        <v>16.65</v>
      </c>
      <c r="Q1078" s="61" t="n">
        <f aca="false">SUM(I1078:P1078)*Resumo!$C$11</f>
        <v>0</v>
      </c>
      <c r="R1078" s="61" t="n">
        <f aca="false">SUM(I1078:Q1078)</f>
        <v>108.067958</v>
      </c>
      <c r="S1078" s="61" t="n">
        <f aca="false">R1078/(1-Resumo!$C$5)</f>
        <v>122.804497727273</v>
      </c>
      <c r="T1078" s="61" t="n">
        <v>124.38</v>
      </c>
      <c r="U1078" s="61" t="n">
        <f aca="false">H1078*Resumo!$B$6</f>
        <v>0.43999</v>
      </c>
      <c r="V1078" s="61" t="n">
        <f aca="false">H1078*Resumo!$B$7</f>
        <v>0.87998</v>
      </c>
      <c r="W1078" s="61" t="n">
        <f aca="false">Resumo!$B$9</f>
        <v>1</v>
      </c>
      <c r="X1078" s="61" t="n">
        <f aca="false">Resumo!$B$10*CEILING(G1078/100,1)</f>
        <v>4.5</v>
      </c>
      <c r="Y1078" s="61" t="n">
        <f aca="false">Resumo!$B$12*CEILING(G1078,1)</f>
        <v>2.22</v>
      </c>
      <c r="Z1078" s="61" t="n">
        <f aca="false">Resumo!$B$14*CEILING(G1078,1)</f>
        <v>16.65</v>
      </c>
      <c r="AA1078" s="61" t="n">
        <f aca="false">SUM(T1078:Z1078)</f>
        <v>150.06997</v>
      </c>
      <c r="AB1078" s="61" t="n">
        <f aca="false">AA1078/(1-Resumo!$B$5)</f>
        <v>170.534056818182</v>
      </c>
      <c r="AC1078" s="61" t="n">
        <f aca="false">AB1078-S1078</f>
        <v>47.7295590909091</v>
      </c>
      <c r="AD1078" s="62" t="n">
        <f aca="false">AB1078/S1078-1</f>
        <v>0.388662955952217</v>
      </c>
      <c r="AE1078" s="60" t="str">
        <f aca="false">IF(AB1078&lt;S1078,"SIM","NÃO")</f>
        <v>NÃO</v>
      </c>
      <c r="AF1078" s="60" t="n">
        <v>13</v>
      </c>
      <c r="AG1078" s="60" t="n">
        <v>10</v>
      </c>
      <c r="AH1078" s="60" t="s">
        <v>385</v>
      </c>
      <c r="AI1078" s="61" t="n">
        <f aca="false">(T1078*(1-Painel!$C$40)+U1078+V1078+Painel!$C$41+Painel!$C$42*CEILING(G1078/100,1)+Painel!$C$43*CEILING(G1078,1)+Z1078)/(1-Resumo!$B$5)</f>
        <v>117.448375</v>
      </c>
      <c r="AJ1078" s="60" t="str">
        <f aca="false">IF(AI1078&lt;S1078,"SIM","NÃO")</f>
        <v>SIM</v>
      </c>
    </row>
    <row r="1079" customFormat="false" ht="15" hidden="false" customHeight="false" outlineLevel="0" collapsed="false">
      <c r="A1079" s="59" t="n">
        <v>46250.3071296296</v>
      </c>
      <c r="B1079" s="60" t="s">
        <v>1395</v>
      </c>
      <c r="C1079" s="60" t="n">
        <v>27277210</v>
      </c>
      <c r="D1079" s="60" t="s">
        <v>217</v>
      </c>
      <c r="E1079" s="60" t="s">
        <v>24</v>
      </c>
      <c r="F1079" s="60" t="s">
        <v>237</v>
      </c>
      <c r="G1079" s="60" t="n">
        <v>63.9</v>
      </c>
      <c r="H1079" s="61" t="n">
        <v>799.99</v>
      </c>
      <c r="I1079" s="61" t="n">
        <v>90.2</v>
      </c>
      <c r="J1079" s="61" t="n">
        <f aca="false">H1079*Resumo!$C$6</f>
        <v>0</v>
      </c>
      <c r="K1079" s="61" t="n">
        <f aca="false">H1079*Resumo!$C$7</f>
        <v>1.679979</v>
      </c>
      <c r="L1079" s="61" t="n">
        <f aca="false">H1079*Resumo!$C$8</f>
        <v>1.679979</v>
      </c>
      <c r="M1079" s="61" t="n">
        <f aca="false">Resumo!$C$10*CEILING(G1079/100,1)</f>
        <v>1.05</v>
      </c>
      <c r="N1079" s="61" t="n">
        <f aca="false">Resumo!$C$9</f>
        <v>0</v>
      </c>
      <c r="O1079" s="61" t="n">
        <f aca="false">Resumo!$C$13</f>
        <v>13.55</v>
      </c>
      <c r="P1079" s="61" t="n">
        <f aca="false">Resumo!$C$14*CEILING(G1079,1)</f>
        <v>28.8</v>
      </c>
      <c r="Q1079" s="61" t="n">
        <f aca="false">SUM(I1079:P1079)*Resumo!$C$11</f>
        <v>0</v>
      </c>
      <c r="R1079" s="61" t="n">
        <f aca="false">SUM(I1079:Q1079)</f>
        <v>136.959958</v>
      </c>
      <c r="S1079" s="61" t="n">
        <f aca="false">R1079/(1-Resumo!$C$5)</f>
        <v>155.636315909091</v>
      </c>
      <c r="T1079" s="61" t="n">
        <v>166.05</v>
      </c>
      <c r="U1079" s="61" t="n">
        <f aca="false">H1079*Resumo!$B$6</f>
        <v>0.79999</v>
      </c>
      <c r="V1079" s="61" t="n">
        <f aca="false">H1079*Resumo!$B$7</f>
        <v>1.59998</v>
      </c>
      <c r="W1079" s="61" t="n">
        <f aca="false">Resumo!$B$9</f>
        <v>1</v>
      </c>
      <c r="X1079" s="61" t="n">
        <f aca="false">Resumo!$B$10*CEILING(G1079/100,1)</f>
        <v>4.5</v>
      </c>
      <c r="Y1079" s="61" t="n">
        <f aca="false">Resumo!$B$12*CEILING(G1079,1)</f>
        <v>3.84</v>
      </c>
      <c r="Z1079" s="61" t="n">
        <f aca="false">Resumo!$B$14*CEILING(G1079,1)</f>
        <v>28.8</v>
      </c>
      <c r="AA1079" s="61" t="n">
        <f aca="false">SUM(T1079:Z1079)</f>
        <v>206.58997</v>
      </c>
      <c r="AB1079" s="61" t="n">
        <f aca="false">AA1079/(1-Resumo!$B$5)</f>
        <v>234.761329545455</v>
      </c>
      <c r="AC1079" s="61" t="n">
        <f aca="false">AB1079-S1079</f>
        <v>79.1250136363637</v>
      </c>
      <c r="AD1079" s="62" t="n">
        <f aca="false">AB1079/S1079-1</f>
        <v>0.508396855670765</v>
      </c>
      <c r="AE1079" s="60" t="str">
        <f aca="false">IF(AB1079&lt;S1079,"SIM","NÃO")</f>
        <v>NÃO</v>
      </c>
      <c r="AF1079" s="60" t="n">
        <v>13</v>
      </c>
      <c r="AG1079" s="60" t="n">
        <v>10</v>
      </c>
      <c r="AH1079" s="60" t="s">
        <v>382</v>
      </c>
      <c r="AI1079" s="61" t="n">
        <f aca="false">(T1079*(1-Painel!$C$40)+U1079+V1079+Painel!$C$41+Painel!$C$42*CEILING(G1079/100,1)+Painel!$C$43*CEILING(G1079,1)+Z1079)/(1-Resumo!$B$5)</f>
        <v>164.208488636364</v>
      </c>
      <c r="AJ1079" s="60" t="str">
        <f aca="false">IF(AI1079&lt;S1079,"SIM","NÃO")</f>
        <v>NÃO</v>
      </c>
    </row>
    <row r="1080" customFormat="false" ht="15" hidden="false" customHeight="false" outlineLevel="0" collapsed="false">
      <c r="A1080" s="59" t="n">
        <v>46250.3098032407</v>
      </c>
      <c r="B1080" s="60" t="s">
        <v>1396</v>
      </c>
      <c r="C1080" s="60" t="n">
        <v>20960008</v>
      </c>
      <c r="D1080" s="60" t="s">
        <v>46</v>
      </c>
      <c r="E1080" s="60" t="s">
        <v>22</v>
      </c>
      <c r="F1080" s="60" t="s">
        <v>234</v>
      </c>
      <c r="G1080" s="60" t="n">
        <v>39</v>
      </c>
      <c r="H1080" s="61" t="n">
        <v>550.99</v>
      </c>
      <c r="I1080" s="61" t="n">
        <v>48.35</v>
      </c>
      <c r="J1080" s="61" t="n">
        <f aca="false">H1080*Resumo!$C$6</f>
        <v>0</v>
      </c>
      <c r="K1080" s="61" t="n">
        <f aca="false">H1080*Resumo!$C$7</f>
        <v>1.157079</v>
      </c>
      <c r="L1080" s="61" t="n">
        <f aca="false">H1080*Resumo!$C$8</f>
        <v>1.157079</v>
      </c>
      <c r="M1080" s="61" t="n">
        <f aca="false">Resumo!$C$10*CEILING(G1080/100,1)</f>
        <v>1.05</v>
      </c>
      <c r="N1080" s="61" t="n">
        <f aca="false">Resumo!$C$9</f>
        <v>0</v>
      </c>
      <c r="O1080" s="61" t="n">
        <f aca="false">Resumo!$C$13</f>
        <v>13.55</v>
      </c>
      <c r="P1080" s="61" t="n">
        <f aca="false">Resumo!$C$14*CEILING(G1080,1)</f>
        <v>17.55</v>
      </c>
      <c r="Q1080" s="61" t="n">
        <f aca="false">SUM(I1080:P1080)*Resumo!$C$11</f>
        <v>0</v>
      </c>
      <c r="R1080" s="61" t="n">
        <f aca="false">SUM(I1080:Q1080)</f>
        <v>82.814158</v>
      </c>
      <c r="S1080" s="61" t="n">
        <f aca="false">R1080/(1-Resumo!$C$5)</f>
        <v>94.1069977272727</v>
      </c>
      <c r="T1080" s="61" t="n">
        <v>93.97</v>
      </c>
      <c r="U1080" s="61" t="n">
        <f aca="false">H1080*Resumo!$B$6</f>
        <v>0.55099</v>
      </c>
      <c r="V1080" s="61" t="n">
        <f aca="false">H1080*Resumo!$B$7</f>
        <v>1.10198</v>
      </c>
      <c r="W1080" s="61" t="n">
        <f aca="false">Resumo!$B$9</f>
        <v>1</v>
      </c>
      <c r="X1080" s="61" t="n">
        <f aca="false">Resumo!$B$10*CEILING(G1080/100,1)</f>
        <v>4.5</v>
      </c>
      <c r="Y1080" s="61" t="n">
        <f aca="false">Resumo!$B$12*CEILING(G1080,1)</f>
        <v>2.34</v>
      </c>
      <c r="Z1080" s="61" t="n">
        <f aca="false">Resumo!$B$14*CEILING(G1080,1)</f>
        <v>17.55</v>
      </c>
      <c r="AA1080" s="61" t="n">
        <f aca="false">SUM(T1080:Z1080)</f>
        <v>121.01297</v>
      </c>
      <c r="AB1080" s="61" t="n">
        <f aca="false">AA1080/(1-Resumo!$B$5)</f>
        <v>137.514738636364</v>
      </c>
      <c r="AC1080" s="61" t="n">
        <f aca="false">AB1080-S1080</f>
        <v>43.4077409090909</v>
      </c>
      <c r="AD1080" s="62" t="n">
        <f aca="false">AB1080/S1080-1</f>
        <v>0.461259438271412</v>
      </c>
      <c r="AE1080" s="60" t="str">
        <f aca="false">IF(AB1080&lt;S1080,"SIM","NÃO")</f>
        <v>NÃO</v>
      </c>
      <c r="AF1080" s="60" t="n">
        <v>2</v>
      </c>
      <c r="AG1080" s="60" t="n">
        <v>5</v>
      </c>
      <c r="AH1080" s="60" t="s">
        <v>382</v>
      </c>
      <c r="AI1080" s="61" t="n">
        <f aca="false">(T1080*(1-Painel!$C$40)+U1080+V1080+Painel!$C$41+Painel!$C$42*CEILING(G1080/100,1)+Painel!$C$43*CEILING(G1080,1)+Z1080)/(1-Resumo!$B$5)</f>
        <v>95.6964431818182</v>
      </c>
      <c r="AJ1080" s="60" t="str">
        <f aca="false">IF(AI1080&lt;S1080,"SIM","NÃO")</f>
        <v>NÃO</v>
      </c>
    </row>
    <row r="1081" customFormat="false" ht="15" hidden="false" customHeight="false" outlineLevel="0" collapsed="false">
      <c r="A1081" s="59" t="n">
        <v>46250.3422222222</v>
      </c>
      <c r="B1081" s="60" t="s">
        <v>1397</v>
      </c>
      <c r="C1081" s="60" t="n">
        <v>21760360</v>
      </c>
      <c r="D1081" s="60" t="s">
        <v>46</v>
      </c>
      <c r="E1081" s="60" t="s">
        <v>22</v>
      </c>
      <c r="F1081" s="60" t="s">
        <v>232</v>
      </c>
      <c r="G1081" s="60" t="n">
        <v>19.5</v>
      </c>
      <c r="H1081" s="61" t="n">
        <v>379.99</v>
      </c>
      <c r="I1081" s="61" t="n">
        <v>33.42</v>
      </c>
      <c r="J1081" s="61" t="n">
        <f aca="false">H1081*Resumo!$C$6</f>
        <v>0</v>
      </c>
      <c r="K1081" s="61" t="n">
        <f aca="false">H1081*Resumo!$C$7</f>
        <v>0.797979</v>
      </c>
      <c r="L1081" s="61" t="n">
        <f aca="false">H1081*Resumo!$C$8</f>
        <v>0.797979</v>
      </c>
      <c r="M1081" s="61" t="n">
        <f aca="false">Resumo!$C$10*CEILING(G1081/100,1)</f>
        <v>1.05</v>
      </c>
      <c r="N1081" s="61" t="n">
        <f aca="false">Resumo!$C$9</f>
        <v>0</v>
      </c>
      <c r="O1081" s="61" t="n">
        <f aca="false">Resumo!$C$13</f>
        <v>13.55</v>
      </c>
      <c r="P1081" s="61" t="n">
        <f aca="false">Resumo!$C$14*CEILING(G1081,1)</f>
        <v>9</v>
      </c>
      <c r="Q1081" s="61" t="n">
        <f aca="false">SUM(I1081:P1081)*Resumo!$C$11</f>
        <v>0</v>
      </c>
      <c r="R1081" s="61" t="n">
        <f aca="false">SUM(I1081:Q1081)</f>
        <v>58.615958</v>
      </c>
      <c r="S1081" s="61" t="n">
        <f aca="false">R1081/(1-Resumo!$C$5)</f>
        <v>66.6090431818182</v>
      </c>
      <c r="T1081" s="61" t="n">
        <v>46.98</v>
      </c>
      <c r="U1081" s="61" t="n">
        <f aca="false">H1081*Resumo!$B$6</f>
        <v>0.37999</v>
      </c>
      <c r="V1081" s="61" t="n">
        <f aca="false">H1081*Resumo!$B$7</f>
        <v>0.75998</v>
      </c>
      <c r="W1081" s="61" t="n">
        <f aca="false">Resumo!$B$9</f>
        <v>1</v>
      </c>
      <c r="X1081" s="61" t="n">
        <f aca="false">Resumo!$B$10*CEILING(G1081/100,1)</f>
        <v>4.5</v>
      </c>
      <c r="Y1081" s="61" t="n">
        <f aca="false">Resumo!$B$12*CEILING(G1081,1)</f>
        <v>1.2</v>
      </c>
      <c r="Z1081" s="61" t="n">
        <f aca="false">Resumo!$B$14*CEILING(G1081,1)</f>
        <v>9</v>
      </c>
      <c r="AA1081" s="61" t="n">
        <f aca="false">SUM(T1081:Z1081)</f>
        <v>63.81997</v>
      </c>
      <c r="AB1081" s="61" t="n">
        <f aca="false">AA1081/(1-Resumo!$B$5)</f>
        <v>72.5226931818182</v>
      </c>
      <c r="AC1081" s="61" t="n">
        <f aca="false">AB1081-S1081</f>
        <v>5.91365</v>
      </c>
      <c r="AD1081" s="62" t="n">
        <f aca="false">AB1081/S1081-1</f>
        <v>0.0887814884813449</v>
      </c>
      <c r="AE1081" s="60" t="str">
        <f aca="false">IF(AB1081&lt;S1081,"SIM","NÃO")</f>
        <v>NÃO</v>
      </c>
      <c r="AF1081" s="60" t="n">
        <v>2</v>
      </c>
      <c r="AG1081" s="60" t="n">
        <v>5</v>
      </c>
      <c r="AH1081" s="60" t="s">
        <v>382</v>
      </c>
      <c r="AI1081" s="61" t="n">
        <f aca="false">(T1081*(1-Painel!$C$40)+U1081+V1081+Painel!$C$41+Painel!$C$42*CEILING(G1081/100,1)+Painel!$C$43*CEILING(G1081,1)+Z1081)/(1-Resumo!$B$5)</f>
        <v>49.6211022727273</v>
      </c>
      <c r="AJ1081" s="60" t="str">
        <f aca="false">IF(AI1081&lt;S1081,"SIM","NÃO")</f>
        <v>SIM</v>
      </c>
    </row>
    <row r="1082" customFormat="false" ht="15" hidden="false" customHeight="false" outlineLevel="0" collapsed="false">
      <c r="A1082" s="59" t="n">
        <v>46250.4865162037</v>
      </c>
      <c r="B1082" s="60" t="s">
        <v>1398</v>
      </c>
      <c r="C1082" s="60" t="n">
        <v>20071002</v>
      </c>
      <c r="D1082" s="60" t="s">
        <v>46</v>
      </c>
      <c r="E1082" s="60" t="s">
        <v>22</v>
      </c>
      <c r="F1082" s="60" t="s">
        <v>233</v>
      </c>
      <c r="G1082" s="60" t="n">
        <v>28.6</v>
      </c>
      <c r="H1082" s="61" t="n">
        <v>529.99</v>
      </c>
      <c r="I1082" s="61" t="n">
        <v>42.11</v>
      </c>
      <c r="J1082" s="61" t="n">
        <f aca="false">H1082*Resumo!$C$6</f>
        <v>0</v>
      </c>
      <c r="K1082" s="61" t="n">
        <f aca="false">H1082*Resumo!$C$7</f>
        <v>1.112979</v>
      </c>
      <c r="L1082" s="61" t="n">
        <f aca="false">H1082*Resumo!$C$8</f>
        <v>1.112979</v>
      </c>
      <c r="M1082" s="61" t="n">
        <f aca="false">Resumo!$C$10*CEILING(G1082/100,1)</f>
        <v>1.05</v>
      </c>
      <c r="N1082" s="61" t="n">
        <f aca="false">Resumo!$C$9</f>
        <v>0</v>
      </c>
      <c r="O1082" s="61" t="n">
        <f aca="false">Resumo!$C$13</f>
        <v>13.55</v>
      </c>
      <c r="P1082" s="61" t="n">
        <f aca="false">Resumo!$C$14*CEILING(G1082,1)</f>
        <v>13.05</v>
      </c>
      <c r="Q1082" s="61" t="n">
        <f aca="false">SUM(I1082:P1082)*Resumo!$C$11</f>
        <v>0</v>
      </c>
      <c r="R1082" s="61" t="n">
        <f aca="false">SUM(I1082:Q1082)</f>
        <v>71.985958</v>
      </c>
      <c r="S1082" s="61" t="n">
        <f aca="false">R1082/(1-Resumo!$C$5)</f>
        <v>81.802225</v>
      </c>
      <c r="T1082" s="61" t="n">
        <v>82.21</v>
      </c>
      <c r="U1082" s="61" t="n">
        <f aca="false">H1082*Resumo!$B$6</f>
        <v>0.52999</v>
      </c>
      <c r="V1082" s="61" t="n">
        <f aca="false">H1082*Resumo!$B$7</f>
        <v>1.05998</v>
      </c>
      <c r="W1082" s="61" t="n">
        <f aca="false">Resumo!$B$9</f>
        <v>1</v>
      </c>
      <c r="X1082" s="61" t="n">
        <f aca="false">Resumo!$B$10*CEILING(G1082/100,1)</f>
        <v>4.5</v>
      </c>
      <c r="Y1082" s="61" t="n">
        <f aca="false">Resumo!$B$12*CEILING(G1082,1)</f>
        <v>1.74</v>
      </c>
      <c r="Z1082" s="61" t="n">
        <f aca="false">Resumo!$B$14*CEILING(G1082,1)</f>
        <v>13.05</v>
      </c>
      <c r="AA1082" s="61" t="n">
        <f aca="false">SUM(T1082:Z1082)</f>
        <v>104.08997</v>
      </c>
      <c r="AB1082" s="61" t="n">
        <f aca="false">AA1082/(1-Resumo!$B$5)</f>
        <v>118.284056818182</v>
      </c>
      <c r="AC1082" s="61" t="n">
        <f aca="false">AB1082-S1082</f>
        <v>36.4818318181818</v>
      </c>
      <c r="AD1082" s="62" t="n">
        <f aca="false">AB1082/S1082-1</f>
        <v>0.445976033270266</v>
      </c>
      <c r="AE1082" s="60" t="str">
        <f aca="false">IF(AB1082&lt;S1082,"SIM","NÃO")</f>
        <v>NÃO</v>
      </c>
      <c r="AF1082" s="60" t="n">
        <v>2</v>
      </c>
      <c r="AG1082" s="60" t="n">
        <v>5</v>
      </c>
      <c r="AH1082" s="60" t="s">
        <v>382</v>
      </c>
      <c r="AI1082" s="61" t="n">
        <f aca="false">(T1082*(1-Painel!$C$40)+U1082+V1082+Painel!$C$41+Painel!$C$42*CEILING(G1082/100,1)+Painel!$C$43*CEILING(G1082,1)+Z1082)/(1-Resumo!$B$5)</f>
        <v>81.5575795454545</v>
      </c>
      <c r="AJ1082" s="60" t="str">
        <f aca="false">IF(AI1082&lt;S1082,"SIM","NÃO")</f>
        <v>SIM</v>
      </c>
    </row>
    <row r="1083" customFormat="false" ht="15" hidden="false" customHeight="false" outlineLevel="0" collapsed="false">
      <c r="A1083" s="59" t="n">
        <v>46250.4984490741</v>
      </c>
      <c r="B1083" s="60" t="s">
        <v>1399</v>
      </c>
      <c r="C1083" s="60" t="n">
        <v>25271755</v>
      </c>
      <c r="D1083" s="60" t="s">
        <v>48</v>
      </c>
      <c r="E1083" s="60" t="s">
        <v>23</v>
      </c>
      <c r="F1083" s="60" t="s">
        <v>235</v>
      </c>
      <c r="G1083" s="60" t="n">
        <v>46.8</v>
      </c>
      <c r="H1083" s="61" t="n">
        <v>506.56</v>
      </c>
      <c r="I1083" s="61" t="n">
        <v>65.36</v>
      </c>
      <c r="J1083" s="61" t="n">
        <f aca="false">H1083*Resumo!$C$6</f>
        <v>0</v>
      </c>
      <c r="K1083" s="61" t="n">
        <f aca="false">H1083*Resumo!$C$7</f>
        <v>1.063776</v>
      </c>
      <c r="L1083" s="61" t="n">
        <f aca="false">H1083*Resumo!$C$8</f>
        <v>1.063776</v>
      </c>
      <c r="M1083" s="61" t="n">
        <f aca="false">Resumo!$C$10*CEILING(G1083/100,1)</f>
        <v>1.05</v>
      </c>
      <c r="N1083" s="61" t="n">
        <f aca="false">Resumo!$C$9</f>
        <v>0</v>
      </c>
      <c r="O1083" s="61" t="n">
        <f aca="false">Resumo!$C$13</f>
        <v>13.55</v>
      </c>
      <c r="P1083" s="61" t="n">
        <f aca="false">Resumo!$C$14*CEILING(G1083,1)</f>
        <v>21.15</v>
      </c>
      <c r="Q1083" s="61" t="n">
        <f aca="false">SUM(I1083:P1083)*Resumo!$C$11</f>
        <v>0</v>
      </c>
      <c r="R1083" s="61" t="n">
        <f aca="false">SUM(I1083:Q1083)</f>
        <v>103.237552</v>
      </c>
      <c r="S1083" s="61" t="n">
        <f aca="false">R1083/(1-Resumo!$C$5)</f>
        <v>117.3154</v>
      </c>
      <c r="T1083" s="61" t="n">
        <v>93.97</v>
      </c>
      <c r="U1083" s="61" t="n">
        <f aca="false">H1083*Resumo!$B$6</f>
        <v>0.50656</v>
      </c>
      <c r="V1083" s="61" t="n">
        <f aca="false">H1083*Resumo!$B$7</f>
        <v>1.01312</v>
      </c>
      <c r="W1083" s="61" t="n">
        <f aca="false">Resumo!$B$9</f>
        <v>1</v>
      </c>
      <c r="X1083" s="61" t="n">
        <f aca="false">Resumo!$B$10*CEILING(G1083/100,1)</f>
        <v>4.5</v>
      </c>
      <c r="Y1083" s="61" t="n">
        <f aca="false">Resumo!$B$12*CEILING(G1083,1)</f>
        <v>2.82</v>
      </c>
      <c r="Z1083" s="61" t="n">
        <f aca="false">Resumo!$B$14*CEILING(G1083,1)</f>
        <v>21.15</v>
      </c>
      <c r="AA1083" s="61" t="n">
        <f aca="false">SUM(T1083:Z1083)</f>
        <v>124.95968</v>
      </c>
      <c r="AB1083" s="61" t="n">
        <f aca="false">AA1083/(1-Resumo!$B$5)</f>
        <v>141.999636363636</v>
      </c>
      <c r="AC1083" s="61" t="n">
        <f aca="false">AB1083-S1083</f>
        <v>24.6842363636364</v>
      </c>
      <c r="AD1083" s="62" t="n">
        <f aca="false">AB1083/S1083-1</f>
        <v>0.210409173592183</v>
      </c>
      <c r="AE1083" s="60" t="str">
        <f aca="false">IF(AB1083&lt;S1083,"SIM","NÃO")</f>
        <v>NÃO</v>
      </c>
      <c r="AF1083" s="60" t="n">
        <v>2</v>
      </c>
      <c r="AG1083" s="60" t="n">
        <v>5</v>
      </c>
      <c r="AH1083" s="60" t="s">
        <v>382</v>
      </c>
      <c r="AI1083" s="61" t="n">
        <f aca="false">(T1083*(1-Painel!$C$40)+U1083+V1083+Painel!$C$41+Painel!$C$42*CEILING(G1083/100,1)+Painel!$C$43*CEILING(G1083,1)+Z1083)/(1-Resumo!$B$5)</f>
        <v>99.6358863636364</v>
      </c>
      <c r="AJ1083" s="60" t="str">
        <f aca="false">IF(AI1083&lt;S1083,"SIM","NÃO")</f>
        <v>SIM</v>
      </c>
    </row>
    <row r="1084" customFormat="false" ht="15" hidden="false" customHeight="false" outlineLevel="0" collapsed="false">
      <c r="A1084" s="59" t="n">
        <v>46250.5019328704</v>
      </c>
      <c r="B1084" s="60" t="s">
        <v>1400</v>
      </c>
      <c r="C1084" s="60" t="n">
        <v>21660620</v>
      </c>
      <c r="D1084" s="60" t="s">
        <v>46</v>
      </c>
      <c r="E1084" s="60" t="s">
        <v>22</v>
      </c>
      <c r="F1084" s="60" t="s">
        <v>241</v>
      </c>
      <c r="G1084" s="60" t="n">
        <v>124.2</v>
      </c>
      <c r="H1084" s="61" t="n">
        <v>1597.99</v>
      </c>
      <c r="I1084" s="61" t="n">
        <v>120.59</v>
      </c>
      <c r="J1084" s="61" t="n">
        <f aca="false">H1084*Resumo!$C$6</f>
        <v>0</v>
      </c>
      <c r="K1084" s="61" t="n">
        <f aca="false">H1084*Resumo!$C$7</f>
        <v>3.355779</v>
      </c>
      <c r="L1084" s="61" t="n">
        <f aca="false">H1084*Resumo!$C$8</f>
        <v>3.355779</v>
      </c>
      <c r="M1084" s="61" t="n">
        <f aca="false">Resumo!$C$10*CEILING(G1084/100,1)</f>
        <v>2.1</v>
      </c>
      <c r="N1084" s="61" t="n">
        <f aca="false">Resumo!$C$9</f>
        <v>0</v>
      </c>
      <c r="O1084" s="61" t="n">
        <f aca="false">Resumo!$C$13</f>
        <v>13.55</v>
      </c>
      <c r="P1084" s="61" t="n">
        <f aca="false">Resumo!$C$14*CEILING(G1084,1)</f>
        <v>56.25</v>
      </c>
      <c r="Q1084" s="61" t="n">
        <f aca="false">SUM(I1084:P1084)*Resumo!$C$11</f>
        <v>0</v>
      </c>
      <c r="R1084" s="61" t="n">
        <f aca="false">SUM(I1084:Q1084)</f>
        <v>199.201558</v>
      </c>
      <c r="S1084" s="61" t="n">
        <f aca="false">R1084/(1-Resumo!$C$5)</f>
        <v>226.365406818182</v>
      </c>
      <c r="T1084" s="61" t="n">
        <v>239.25</v>
      </c>
      <c r="U1084" s="61" t="n">
        <f aca="false">H1084*Resumo!$B$6</f>
        <v>1.59799</v>
      </c>
      <c r="V1084" s="61" t="n">
        <f aca="false">H1084*Resumo!$B$7</f>
        <v>3.19598</v>
      </c>
      <c r="W1084" s="61" t="n">
        <f aca="false">Resumo!$B$9</f>
        <v>1</v>
      </c>
      <c r="X1084" s="61" t="n">
        <f aca="false">Resumo!$B$10*CEILING(G1084/100,1)</f>
        <v>9</v>
      </c>
      <c r="Y1084" s="61" t="n">
        <f aca="false">Resumo!$B$12*CEILING(G1084,1)</f>
        <v>7.5</v>
      </c>
      <c r="Z1084" s="61" t="n">
        <f aca="false">Resumo!$B$14*CEILING(G1084,1)</f>
        <v>56.25</v>
      </c>
      <c r="AA1084" s="61" t="n">
        <f aca="false">SUM(T1084:Z1084)</f>
        <v>317.79397</v>
      </c>
      <c r="AB1084" s="61" t="n">
        <f aca="false">AA1084/(1-Resumo!$B$5)</f>
        <v>361.129511363636</v>
      </c>
      <c r="AC1084" s="61" t="n">
        <f aca="false">AB1084-S1084</f>
        <v>134.764104545455</v>
      </c>
      <c r="AD1084" s="62" t="n">
        <f aca="false">AB1084/S1084-1</f>
        <v>0.595338777420607</v>
      </c>
      <c r="AE1084" s="60" t="str">
        <f aca="false">IF(AB1084&lt;S1084,"SIM","NÃO")</f>
        <v>NÃO</v>
      </c>
      <c r="AF1084" s="60" t="n">
        <v>2</v>
      </c>
      <c r="AG1084" s="60" t="n">
        <v>5</v>
      </c>
      <c r="AH1084" s="60" t="s">
        <v>382</v>
      </c>
      <c r="AI1084" s="61" t="n">
        <f aca="false">(T1084*(1-Painel!$C$40)+U1084+V1084+Painel!$C$41+Painel!$C$42*CEILING(G1084/100,1)+Painel!$C$43*CEILING(G1084,1)+Z1084)/(1-Resumo!$B$5)</f>
        <v>255.047125</v>
      </c>
      <c r="AJ1084" s="60" t="str">
        <f aca="false">IF(AI1084&lt;S1084,"SIM","NÃO")</f>
        <v>NÃO</v>
      </c>
    </row>
    <row r="1085" customFormat="false" ht="15" hidden="false" customHeight="false" outlineLevel="0" collapsed="false">
      <c r="A1085" s="59" t="n">
        <v>46250.5063425926</v>
      </c>
      <c r="B1085" s="60" t="s">
        <v>1401</v>
      </c>
      <c r="C1085" s="60" t="n">
        <v>24422400</v>
      </c>
      <c r="D1085" s="60" t="s">
        <v>47</v>
      </c>
      <c r="E1085" s="60" t="s">
        <v>23</v>
      </c>
      <c r="F1085" s="60" t="s">
        <v>240</v>
      </c>
      <c r="G1085" s="60" t="n">
        <v>106.5</v>
      </c>
      <c r="H1085" s="61" t="n">
        <v>1289.99</v>
      </c>
      <c r="I1085" s="61" t="n">
        <v>101.26</v>
      </c>
      <c r="J1085" s="61" t="n">
        <f aca="false">H1085*Resumo!$C$6</f>
        <v>0</v>
      </c>
      <c r="K1085" s="61" t="n">
        <f aca="false">H1085*Resumo!$C$7</f>
        <v>2.708979</v>
      </c>
      <c r="L1085" s="61" t="n">
        <f aca="false">H1085*Resumo!$C$8</f>
        <v>2.708979</v>
      </c>
      <c r="M1085" s="61" t="n">
        <f aca="false">Resumo!$C$10*CEILING(G1085/100,1)</f>
        <v>2.1</v>
      </c>
      <c r="N1085" s="61" t="n">
        <f aca="false">Resumo!$C$9</f>
        <v>0</v>
      </c>
      <c r="O1085" s="61" t="n">
        <f aca="false">Resumo!$C$13</f>
        <v>13.55</v>
      </c>
      <c r="P1085" s="61" t="n">
        <f aca="false">Resumo!$C$14*CEILING(G1085,1)</f>
        <v>48.15</v>
      </c>
      <c r="Q1085" s="61" t="n">
        <f aca="false">SUM(I1085:P1085)*Resumo!$C$11</f>
        <v>0</v>
      </c>
      <c r="R1085" s="61" t="n">
        <f aca="false">SUM(I1085:Q1085)</f>
        <v>170.477958</v>
      </c>
      <c r="S1085" s="61" t="n">
        <f aca="false">R1085/(1-Resumo!$C$5)</f>
        <v>193.724952272727</v>
      </c>
      <c r="T1085" s="61" t="n">
        <v>214.11</v>
      </c>
      <c r="U1085" s="61" t="n">
        <f aca="false">H1085*Resumo!$B$6</f>
        <v>1.28999</v>
      </c>
      <c r="V1085" s="61" t="n">
        <f aca="false">H1085*Resumo!$B$7</f>
        <v>2.57998</v>
      </c>
      <c r="W1085" s="61" t="n">
        <f aca="false">Resumo!$B$9</f>
        <v>1</v>
      </c>
      <c r="X1085" s="61" t="n">
        <f aca="false">Resumo!$B$10*CEILING(G1085/100,1)</f>
        <v>9</v>
      </c>
      <c r="Y1085" s="61" t="n">
        <f aca="false">Resumo!$B$12*CEILING(G1085,1)</f>
        <v>6.42</v>
      </c>
      <c r="Z1085" s="61" t="n">
        <f aca="false">Resumo!$B$14*CEILING(G1085,1)</f>
        <v>48.15</v>
      </c>
      <c r="AA1085" s="61" t="n">
        <f aca="false">SUM(T1085:Z1085)</f>
        <v>282.54997</v>
      </c>
      <c r="AB1085" s="61" t="n">
        <f aca="false">AA1085/(1-Resumo!$B$5)</f>
        <v>321.079511363636</v>
      </c>
      <c r="AC1085" s="61" t="n">
        <f aca="false">AB1085-S1085</f>
        <v>127.354559090909</v>
      </c>
      <c r="AD1085" s="62" t="n">
        <f aca="false">AB1085/S1085-1</f>
        <v>0.657398840969224</v>
      </c>
      <c r="AE1085" s="60" t="str">
        <f aca="false">IF(AB1085&lt;S1085,"SIM","NÃO")</f>
        <v>NÃO</v>
      </c>
      <c r="AF1085" s="60" t="n">
        <v>2</v>
      </c>
      <c r="AG1085" s="60" t="n">
        <v>7</v>
      </c>
      <c r="AH1085" s="60" t="s">
        <v>382</v>
      </c>
      <c r="AI1085" s="61" t="n">
        <f aca="false">(T1085*(1-Painel!$C$40)+U1085+V1085+Painel!$C$41+Painel!$C$42*CEILING(G1085/100,1)+Painel!$C$43*CEILING(G1085,1)+Z1085)/(1-Resumo!$B$5)</f>
        <v>225.651897727273</v>
      </c>
      <c r="AJ1085" s="60" t="str">
        <f aca="false">IF(AI1085&lt;S1085,"SIM","NÃO")</f>
        <v>NÃO</v>
      </c>
    </row>
    <row r="1086" customFormat="false" ht="15" hidden="false" customHeight="false" outlineLevel="0" collapsed="false">
      <c r="A1086" s="59" t="n">
        <v>46250.5084143519</v>
      </c>
      <c r="B1086" s="60" t="s">
        <v>1402</v>
      </c>
      <c r="C1086" s="60" t="n">
        <v>20961020</v>
      </c>
      <c r="D1086" s="60" t="s">
        <v>46</v>
      </c>
      <c r="E1086" s="60" t="s">
        <v>22</v>
      </c>
      <c r="F1086" s="60" t="s">
        <v>236</v>
      </c>
      <c r="G1086" s="60" t="n">
        <v>51.7</v>
      </c>
      <c r="H1086" s="61" t="n">
        <v>659.99</v>
      </c>
      <c r="I1086" s="61" t="n">
        <v>58.6</v>
      </c>
      <c r="J1086" s="61" t="n">
        <f aca="false">H1086*Resumo!$C$6</f>
        <v>0</v>
      </c>
      <c r="K1086" s="61" t="n">
        <f aca="false">H1086*Resumo!$C$7</f>
        <v>1.385979</v>
      </c>
      <c r="L1086" s="61" t="n">
        <f aca="false">H1086*Resumo!$C$8</f>
        <v>1.385979</v>
      </c>
      <c r="M1086" s="61" t="n">
        <f aca="false">Resumo!$C$10*CEILING(G1086/100,1)</f>
        <v>1.05</v>
      </c>
      <c r="N1086" s="61" t="n">
        <f aca="false">Resumo!$C$9</f>
        <v>0</v>
      </c>
      <c r="O1086" s="61" t="n">
        <f aca="false">Resumo!$C$13</f>
        <v>13.55</v>
      </c>
      <c r="P1086" s="61" t="n">
        <f aca="false">Resumo!$C$14*CEILING(G1086,1)</f>
        <v>23.4</v>
      </c>
      <c r="Q1086" s="61" t="n">
        <f aca="false">SUM(I1086:P1086)*Resumo!$C$11</f>
        <v>0</v>
      </c>
      <c r="R1086" s="61" t="n">
        <f aca="false">SUM(I1086:Q1086)</f>
        <v>99.371958</v>
      </c>
      <c r="S1086" s="61" t="n">
        <f aca="false">R1086/(1-Resumo!$C$5)</f>
        <v>112.922679545455</v>
      </c>
      <c r="T1086" s="61" t="n">
        <v>112.3</v>
      </c>
      <c r="U1086" s="61" t="n">
        <f aca="false">H1086*Resumo!$B$6</f>
        <v>0.65999</v>
      </c>
      <c r="V1086" s="61" t="n">
        <f aca="false">H1086*Resumo!$B$7</f>
        <v>1.31998</v>
      </c>
      <c r="W1086" s="61" t="n">
        <f aca="false">Resumo!$B$9</f>
        <v>1</v>
      </c>
      <c r="X1086" s="61" t="n">
        <f aca="false">Resumo!$B$10*CEILING(G1086/100,1)</f>
        <v>4.5</v>
      </c>
      <c r="Y1086" s="61" t="n">
        <f aca="false">Resumo!$B$12*CEILING(G1086,1)</f>
        <v>3.12</v>
      </c>
      <c r="Z1086" s="61" t="n">
        <f aca="false">Resumo!$B$14*CEILING(G1086,1)</f>
        <v>23.4</v>
      </c>
      <c r="AA1086" s="61" t="n">
        <f aca="false">SUM(T1086:Z1086)</f>
        <v>146.29997</v>
      </c>
      <c r="AB1086" s="61" t="n">
        <f aca="false">AA1086/(1-Resumo!$B$5)</f>
        <v>166.249965909091</v>
      </c>
      <c r="AC1086" s="61" t="n">
        <f aca="false">AB1086-S1086</f>
        <v>53.3272863636364</v>
      </c>
      <c r="AD1086" s="62" t="n">
        <f aca="false">AB1086/S1086-1</f>
        <v>0.472246023370094</v>
      </c>
      <c r="AE1086" s="60" t="str">
        <f aca="false">IF(AB1086&lt;S1086,"SIM","NÃO")</f>
        <v>NÃO</v>
      </c>
      <c r="AF1086" s="60" t="n">
        <v>2</v>
      </c>
      <c r="AG1086" s="60" t="n">
        <v>5</v>
      </c>
      <c r="AH1086" s="60" t="s">
        <v>382</v>
      </c>
      <c r="AI1086" s="61" t="n">
        <f aca="false">(T1086*(1-Painel!$C$40)+U1086+V1086+Painel!$C$41+Painel!$C$42*CEILING(G1086/100,1)+Painel!$C$43*CEILING(G1086,1)+Z1086)/(1-Resumo!$B$5)</f>
        <v>116.671556818182</v>
      </c>
      <c r="AJ1086" s="60" t="str">
        <f aca="false">IF(AI1086&lt;S1086,"SIM","NÃO")</f>
        <v>NÃO</v>
      </c>
    </row>
    <row r="1087" customFormat="false" ht="15" hidden="false" customHeight="false" outlineLevel="0" collapsed="false">
      <c r="A1087" s="59" t="n">
        <v>46250.5298611111</v>
      </c>
      <c r="B1087" s="60" t="s">
        <v>1403</v>
      </c>
      <c r="C1087" s="60" t="n">
        <v>21852540</v>
      </c>
      <c r="D1087" s="60" t="s">
        <v>46</v>
      </c>
      <c r="E1087" s="60" t="s">
        <v>22</v>
      </c>
      <c r="F1087" s="60" t="s">
        <v>238</v>
      </c>
      <c r="G1087" s="60" t="n">
        <v>78.7</v>
      </c>
      <c r="H1087" s="61" t="n">
        <v>1442.46</v>
      </c>
      <c r="I1087" s="61" t="n">
        <v>68.88</v>
      </c>
      <c r="J1087" s="61" t="n">
        <f aca="false">H1087*Resumo!$C$6</f>
        <v>0</v>
      </c>
      <c r="K1087" s="61" t="n">
        <f aca="false">H1087*Resumo!$C$7</f>
        <v>3.029166</v>
      </c>
      <c r="L1087" s="61" t="n">
        <f aca="false">H1087*Resumo!$C$8</f>
        <v>3.029166</v>
      </c>
      <c r="M1087" s="61" t="n">
        <f aca="false">Resumo!$C$10*CEILING(G1087/100,1)</f>
        <v>1.05</v>
      </c>
      <c r="N1087" s="61" t="n">
        <f aca="false">Resumo!$C$9</f>
        <v>0</v>
      </c>
      <c r="O1087" s="61" t="n">
        <f aca="false">Resumo!$C$13</f>
        <v>13.55</v>
      </c>
      <c r="P1087" s="61" t="n">
        <f aca="false">Resumo!$C$14*CEILING(G1087,1)</f>
        <v>35.55</v>
      </c>
      <c r="Q1087" s="61" t="n">
        <f aca="false">SUM(I1087:P1087)*Resumo!$C$11</f>
        <v>0</v>
      </c>
      <c r="R1087" s="61" t="n">
        <f aca="false">SUM(I1087:Q1087)</f>
        <v>125.088332</v>
      </c>
      <c r="S1087" s="61" t="n">
        <f aca="false">R1087/(1-Resumo!$C$5)</f>
        <v>142.145831818182</v>
      </c>
      <c r="T1087" s="61" t="n">
        <v>134.39</v>
      </c>
      <c r="U1087" s="61" t="n">
        <f aca="false">H1087*Resumo!$B$6</f>
        <v>1.44246</v>
      </c>
      <c r="V1087" s="61" t="n">
        <f aca="false">H1087*Resumo!$B$7</f>
        <v>2.88492</v>
      </c>
      <c r="W1087" s="61" t="n">
        <f aca="false">Resumo!$B$9</f>
        <v>1</v>
      </c>
      <c r="X1087" s="61" t="n">
        <f aca="false">Resumo!$B$10*CEILING(G1087/100,1)</f>
        <v>4.5</v>
      </c>
      <c r="Y1087" s="61" t="n">
        <f aca="false">Resumo!$B$12*CEILING(G1087,1)</f>
        <v>4.74</v>
      </c>
      <c r="Z1087" s="61" t="n">
        <f aca="false">Resumo!$B$14*CEILING(G1087,1)</f>
        <v>35.55</v>
      </c>
      <c r="AA1087" s="61" t="n">
        <f aca="false">SUM(T1087:Z1087)</f>
        <v>184.50738</v>
      </c>
      <c r="AB1087" s="61" t="n">
        <f aca="false">AA1087/(1-Resumo!$B$5)</f>
        <v>209.667477272727</v>
      </c>
      <c r="AC1087" s="61" t="n">
        <f aca="false">AB1087-S1087</f>
        <v>67.5216454545455</v>
      </c>
      <c r="AD1087" s="62" t="n">
        <f aca="false">AB1087/S1087-1</f>
        <v>0.475016710591361</v>
      </c>
      <c r="AE1087" s="60" t="str">
        <f aca="false">IF(AB1087&lt;S1087,"SIM","NÃO")</f>
        <v>NÃO</v>
      </c>
      <c r="AF1087" s="60" t="n">
        <v>2</v>
      </c>
      <c r="AG1087" s="60" t="n">
        <v>5</v>
      </c>
      <c r="AH1087" s="60" t="s">
        <v>382</v>
      </c>
      <c r="AI1087" s="61" t="n">
        <f aca="false">(T1087*(1-Painel!$C$40)+U1087+V1087+Painel!$C$41+Painel!$C$42*CEILING(G1087/100,1)+Painel!$C$43*CEILING(G1087,1)+Z1087)/(1-Resumo!$B$5)</f>
        <v>149.964409090909</v>
      </c>
      <c r="AJ1087" s="60" t="str">
        <f aca="false">IF(AI1087&lt;S1087,"SIM","NÃO")</f>
        <v>NÃO</v>
      </c>
    </row>
    <row r="1088" customFormat="false" ht="15" hidden="false" customHeight="false" outlineLevel="0" collapsed="false">
      <c r="A1088" s="59" t="n">
        <v>46250.5355439815</v>
      </c>
      <c r="B1088" s="60" t="s">
        <v>1404</v>
      </c>
      <c r="C1088" s="60" t="n">
        <v>22270012</v>
      </c>
      <c r="D1088" s="60" t="s">
        <v>46</v>
      </c>
      <c r="E1088" s="60" t="s">
        <v>22</v>
      </c>
      <c r="F1088" s="60" t="s">
        <v>236</v>
      </c>
      <c r="G1088" s="60" t="n">
        <v>52.3</v>
      </c>
      <c r="H1088" s="61" t="n">
        <v>620</v>
      </c>
      <c r="I1088" s="61" t="n">
        <v>58.6</v>
      </c>
      <c r="J1088" s="61" t="n">
        <f aca="false">H1088*Resumo!$C$6</f>
        <v>0</v>
      </c>
      <c r="K1088" s="61" t="n">
        <f aca="false">H1088*Resumo!$C$7</f>
        <v>1.302</v>
      </c>
      <c r="L1088" s="61" t="n">
        <f aca="false">H1088*Resumo!$C$8</f>
        <v>1.302</v>
      </c>
      <c r="M1088" s="61" t="n">
        <f aca="false">Resumo!$C$10*CEILING(G1088/100,1)</f>
        <v>1.05</v>
      </c>
      <c r="N1088" s="61" t="n">
        <f aca="false">Resumo!$C$9</f>
        <v>0</v>
      </c>
      <c r="O1088" s="61" t="n">
        <f aca="false">Resumo!$C$13</f>
        <v>13.55</v>
      </c>
      <c r="P1088" s="61" t="n">
        <f aca="false">Resumo!$C$14*CEILING(G1088,1)</f>
        <v>23.85</v>
      </c>
      <c r="Q1088" s="61" t="n">
        <f aca="false">SUM(I1088:P1088)*Resumo!$C$11</f>
        <v>0</v>
      </c>
      <c r="R1088" s="61" t="n">
        <f aca="false">SUM(I1088:Q1088)</f>
        <v>99.654</v>
      </c>
      <c r="S1088" s="61" t="n">
        <f aca="false">R1088/(1-Resumo!$C$5)</f>
        <v>113.243181818182</v>
      </c>
      <c r="T1088" s="61" t="n">
        <v>112.3</v>
      </c>
      <c r="U1088" s="61" t="n">
        <f aca="false">H1088*Resumo!$B$6</f>
        <v>0.62</v>
      </c>
      <c r="V1088" s="61" t="n">
        <f aca="false">H1088*Resumo!$B$7</f>
        <v>1.24</v>
      </c>
      <c r="W1088" s="61" t="n">
        <f aca="false">Resumo!$B$9</f>
        <v>1</v>
      </c>
      <c r="X1088" s="61" t="n">
        <f aca="false">Resumo!$B$10*CEILING(G1088/100,1)</f>
        <v>4.5</v>
      </c>
      <c r="Y1088" s="61" t="n">
        <f aca="false">Resumo!$B$12*CEILING(G1088,1)</f>
        <v>3.18</v>
      </c>
      <c r="Z1088" s="61" t="n">
        <f aca="false">Resumo!$B$14*CEILING(G1088,1)</f>
        <v>23.85</v>
      </c>
      <c r="AA1088" s="61" t="n">
        <f aca="false">SUM(T1088:Z1088)</f>
        <v>146.69</v>
      </c>
      <c r="AB1088" s="61" t="n">
        <f aca="false">AA1088/(1-Resumo!$B$5)</f>
        <v>166.693181818182</v>
      </c>
      <c r="AC1088" s="61" t="n">
        <f aca="false">AB1088-S1088</f>
        <v>53.45</v>
      </c>
      <c r="AD1088" s="62" t="n">
        <f aca="false">AB1088/S1088-1</f>
        <v>0.47199309611255</v>
      </c>
      <c r="AE1088" s="60" t="str">
        <f aca="false">IF(AB1088&lt;S1088,"SIM","NÃO")</f>
        <v>NÃO</v>
      </c>
      <c r="AF1088" s="60" t="n">
        <v>2</v>
      </c>
      <c r="AG1088" s="60" t="n">
        <v>5</v>
      </c>
      <c r="AH1088" s="60" t="s">
        <v>382</v>
      </c>
      <c r="AI1088" s="61" t="n">
        <f aca="false">(T1088*(1-Painel!$C$40)+U1088+V1088+Painel!$C$41+Painel!$C$42*CEILING(G1088/100,1)+Painel!$C$43*CEILING(G1088,1)+Z1088)/(1-Resumo!$B$5)</f>
        <v>117.046590909091</v>
      </c>
      <c r="AJ1088" s="60" t="str">
        <f aca="false">IF(AI1088&lt;S1088,"SIM","NÃO")</f>
        <v>NÃO</v>
      </c>
    </row>
    <row r="1089" customFormat="false" ht="15" hidden="false" customHeight="false" outlineLevel="0" collapsed="false">
      <c r="A1089" s="59" t="n">
        <v>46250.5373726852</v>
      </c>
      <c r="B1089" s="60" t="s">
        <v>1405</v>
      </c>
      <c r="C1089" s="60" t="n">
        <v>22260040</v>
      </c>
      <c r="D1089" s="60" t="s">
        <v>46</v>
      </c>
      <c r="E1089" s="60" t="s">
        <v>22</v>
      </c>
      <c r="F1089" s="60" t="s">
        <v>240</v>
      </c>
      <c r="G1089" s="60" t="n">
        <v>104.6</v>
      </c>
      <c r="H1089" s="61" t="n">
        <v>1280.36</v>
      </c>
      <c r="I1089" s="61" t="n">
        <v>92.34</v>
      </c>
      <c r="J1089" s="61" t="n">
        <f aca="false">H1089*Resumo!$C$6</f>
        <v>0</v>
      </c>
      <c r="K1089" s="61" t="n">
        <f aca="false">H1089*Resumo!$C$7</f>
        <v>2.688756</v>
      </c>
      <c r="L1089" s="61" t="n">
        <f aca="false">H1089*Resumo!$C$8</f>
        <v>2.688756</v>
      </c>
      <c r="M1089" s="61" t="n">
        <f aca="false">Resumo!$C$10*CEILING(G1089/100,1)</f>
        <v>2.1</v>
      </c>
      <c r="N1089" s="61" t="n">
        <f aca="false">Resumo!$C$9</f>
        <v>0</v>
      </c>
      <c r="O1089" s="61" t="n">
        <f aca="false">Resumo!$C$13</f>
        <v>13.55</v>
      </c>
      <c r="P1089" s="61" t="n">
        <f aca="false">Resumo!$C$14*CEILING(G1089,1)</f>
        <v>47.25</v>
      </c>
      <c r="Q1089" s="61" t="n">
        <f aca="false">SUM(I1089:P1089)*Resumo!$C$11</f>
        <v>0</v>
      </c>
      <c r="R1089" s="61" t="n">
        <f aca="false">SUM(I1089:Q1089)</f>
        <v>160.617512</v>
      </c>
      <c r="S1089" s="61" t="n">
        <f aca="false">R1089/(1-Resumo!$C$5)</f>
        <v>182.5199</v>
      </c>
      <c r="T1089" s="61" t="n">
        <v>201.59</v>
      </c>
      <c r="U1089" s="61" t="n">
        <f aca="false">H1089*Resumo!$B$6</f>
        <v>1.28036</v>
      </c>
      <c r="V1089" s="61" t="n">
        <f aca="false">H1089*Resumo!$B$7</f>
        <v>2.56072</v>
      </c>
      <c r="W1089" s="61" t="n">
        <f aca="false">Resumo!$B$9</f>
        <v>1</v>
      </c>
      <c r="X1089" s="61" t="n">
        <f aca="false">Resumo!$B$10*CEILING(G1089/100,1)</f>
        <v>9</v>
      </c>
      <c r="Y1089" s="61" t="n">
        <f aca="false">Resumo!$B$12*CEILING(G1089,1)</f>
        <v>6.3</v>
      </c>
      <c r="Z1089" s="61" t="n">
        <f aca="false">Resumo!$B$14*CEILING(G1089,1)</f>
        <v>47.25</v>
      </c>
      <c r="AA1089" s="61" t="n">
        <f aca="false">SUM(T1089:Z1089)</f>
        <v>268.98108</v>
      </c>
      <c r="AB1089" s="61" t="n">
        <f aca="false">AA1089/(1-Resumo!$B$5)</f>
        <v>305.660318181818</v>
      </c>
      <c r="AC1089" s="61" t="n">
        <f aca="false">AB1089-S1089</f>
        <v>123.140418181818</v>
      </c>
      <c r="AD1089" s="62" t="n">
        <f aca="false">AB1089/S1089-1</f>
        <v>0.674668450847377</v>
      </c>
      <c r="AE1089" s="60" t="str">
        <f aca="false">IF(AB1089&lt;S1089,"SIM","NÃO")</f>
        <v>NÃO</v>
      </c>
      <c r="AF1089" s="60" t="n">
        <v>2</v>
      </c>
      <c r="AG1089" s="60" t="n">
        <v>5</v>
      </c>
      <c r="AH1089" s="60" t="s">
        <v>382</v>
      </c>
      <c r="AI1089" s="61" t="n">
        <f aca="false">(T1089*(1-Painel!$C$40)+U1089+V1089+Painel!$C$41+Painel!$C$42*CEILING(G1089/100,1)+Painel!$C$43*CEILING(G1089,1)+Z1089)/(1-Resumo!$B$5)</f>
        <v>215.064068181818</v>
      </c>
      <c r="AJ1089" s="60" t="str">
        <f aca="false">IF(AI1089&lt;S1089,"SIM","NÃO")</f>
        <v>NÃO</v>
      </c>
    </row>
    <row r="1090" customFormat="false" ht="15" hidden="false" customHeight="false" outlineLevel="0" collapsed="false">
      <c r="A1090" s="59" t="n">
        <v>46250.5784837963</v>
      </c>
      <c r="B1090" s="60" t="s">
        <v>1406</v>
      </c>
      <c r="C1090" s="60" t="n">
        <v>21380400</v>
      </c>
      <c r="D1090" s="60" t="s">
        <v>46</v>
      </c>
      <c r="E1090" s="60" t="s">
        <v>22</v>
      </c>
      <c r="F1090" s="60" t="s">
        <v>237</v>
      </c>
      <c r="G1090" s="60" t="n">
        <v>69.15</v>
      </c>
      <c r="H1090" s="61" t="n">
        <v>684</v>
      </c>
      <c r="I1090" s="61" t="n">
        <v>63.21</v>
      </c>
      <c r="J1090" s="61" t="n">
        <f aca="false">H1090*Resumo!$C$6</f>
        <v>0</v>
      </c>
      <c r="K1090" s="61" t="n">
        <f aca="false">H1090*Resumo!$C$7</f>
        <v>1.4364</v>
      </c>
      <c r="L1090" s="61" t="n">
        <f aca="false">H1090*Resumo!$C$8</f>
        <v>1.4364</v>
      </c>
      <c r="M1090" s="61" t="n">
        <f aca="false">Resumo!$C$10*CEILING(G1090/100,1)</f>
        <v>1.05</v>
      </c>
      <c r="N1090" s="61" t="n">
        <f aca="false">Resumo!$C$9</f>
        <v>0</v>
      </c>
      <c r="O1090" s="61" t="n">
        <f aca="false">Resumo!$C$13</f>
        <v>13.55</v>
      </c>
      <c r="P1090" s="61" t="n">
        <f aca="false">Resumo!$C$14*CEILING(G1090,1)</f>
        <v>31.5</v>
      </c>
      <c r="Q1090" s="61" t="n">
        <f aca="false">SUM(I1090:P1090)*Resumo!$C$11</f>
        <v>0</v>
      </c>
      <c r="R1090" s="61" t="n">
        <f aca="false">SUM(I1090:Q1090)</f>
        <v>112.1828</v>
      </c>
      <c r="S1090" s="61" t="n">
        <f aca="false">R1090/(1-Resumo!$C$5)</f>
        <v>127.480454545455</v>
      </c>
      <c r="T1090" s="61" t="n">
        <v>131.02</v>
      </c>
      <c r="U1090" s="61" t="n">
        <f aca="false">H1090*Resumo!$B$6</f>
        <v>0.684</v>
      </c>
      <c r="V1090" s="61" t="n">
        <f aca="false">H1090*Resumo!$B$7</f>
        <v>1.368</v>
      </c>
      <c r="W1090" s="61" t="n">
        <f aca="false">Resumo!$B$9</f>
        <v>1</v>
      </c>
      <c r="X1090" s="61" t="n">
        <f aca="false">Resumo!$B$10*CEILING(G1090/100,1)</f>
        <v>4.5</v>
      </c>
      <c r="Y1090" s="61" t="n">
        <f aca="false">Resumo!$B$12*CEILING(G1090,1)</f>
        <v>4.2</v>
      </c>
      <c r="Z1090" s="61" t="n">
        <f aca="false">Resumo!$B$14*CEILING(G1090,1)</f>
        <v>31.5</v>
      </c>
      <c r="AA1090" s="61" t="n">
        <f aca="false">SUM(T1090:Z1090)</f>
        <v>174.272</v>
      </c>
      <c r="AB1090" s="61" t="n">
        <f aca="false">AA1090/(1-Resumo!$B$5)</f>
        <v>198.036363636364</v>
      </c>
      <c r="AC1090" s="61" t="n">
        <f aca="false">AB1090-S1090</f>
        <v>70.5559090909091</v>
      </c>
      <c r="AD1090" s="62" t="n">
        <f aca="false">AB1090/S1090-1</f>
        <v>0.553464523973372</v>
      </c>
      <c r="AE1090" s="60" t="str">
        <f aca="false">IF(AB1090&lt;S1090,"SIM","NÃO")</f>
        <v>NÃO</v>
      </c>
      <c r="AF1090" s="60" t="n">
        <v>2</v>
      </c>
      <c r="AG1090" s="60" t="n">
        <v>5</v>
      </c>
      <c r="AH1090" s="60" t="s">
        <v>382</v>
      </c>
      <c r="AI1090" s="61" t="n">
        <f aca="false">(T1090*(1-Painel!$C$40)+U1090+V1090+Painel!$C$41+Painel!$C$42*CEILING(G1090/100,1)+Painel!$C$43*CEILING(G1090,1)+Z1090)/(1-Resumo!$B$5)</f>
        <v>140.210681818182</v>
      </c>
      <c r="AJ1090" s="60" t="str">
        <f aca="false">IF(AI1090&lt;S1090,"SIM","NÃO")</f>
        <v>NÃO</v>
      </c>
    </row>
    <row r="1091" customFormat="false" ht="15" hidden="false" customHeight="false" outlineLevel="0" collapsed="false">
      <c r="A1091" s="59" t="n">
        <v>46250.5955092593</v>
      </c>
      <c r="B1091" s="60" t="s">
        <v>1407</v>
      </c>
      <c r="C1091" s="60" t="n">
        <v>21042120</v>
      </c>
      <c r="D1091" s="60" t="s">
        <v>46</v>
      </c>
      <c r="E1091" s="60" t="s">
        <v>22</v>
      </c>
      <c r="F1091" s="60" t="s">
        <v>237</v>
      </c>
      <c r="G1091" s="60" t="n">
        <v>66.8</v>
      </c>
      <c r="H1091" s="61" t="n">
        <v>574.1</v>
      </c>
      <c r="I1091" s="61" t="n">
        <v>63.21</v>
      </c>
      <c r="J1091" s="61" t="n">
        <f aca="false">H1091*Resumo!$C$6</f>
        <v>0</v>
      </c>
      <c r="K1091" s="61" t="n">
        <f aca="false">H1091*Resumo!$C$7</f>
        <v>1.20561</v>
      </c>
      <c r="L1091" s="61" t="n">
        <f aca="false">H1091*Resumo!$C$8</f>
        <v>1.20561</v>
      </c>
      <c r="M1091" s="61" t="n">
        <f aca="false">Resumo!$C$10*CEILING(G1091/100,1)</f>
        <v>1.05</v>
      </c>
      <c r="N1091" s="61" t="n">
        <f aca="false">Resumo!$C$9</f>
        <v>0</v>
      </c>
      <c r="O1091" s="61" t="n">
        <f aca="false">Resumo!$C$13</f>
        <v>13.55</v>
      </c>
      <c r="P1091" s="61" t="n">
        <f aca="false">Resumo!$C$14*CEILING(G1091,1)</f>
        <v>30.15</v>
      </c>
      <c r="Q1091" s="61" t="n">
        <f aca="false">SUM(I1091:P1091)*Resumo!$C$11</f>
        <v>0</v>
      </c>
      <c r="R1091" s="61" t="n">
        <f aca="false">SUM(I1091:Q1091)</f>
        <v>110.37122</v>
      </c>
      <c r="S1091" s="61" t="n">
        <f aca="false">R1091/(1-Resumo!$C$5)</f>
        <v>125.421840909091</v>
      </c>
      <c r="T1091" s="61" t="n">
        <v>131.02</v>
      </c>
      <c r="U1091" s="61" t="n">
        <f aca="false">H1091*Resumo!$B$6</f>
        <v>0.5741</v>
      </c>
      <c r="V1091" s="61" t="n">
        <f aca="false">H1091*Resumo!$B$7</f>
        <v>1.1482</v>
      </c>
      <c r="W1091" s="61" t="n">
        <f aca="false">Resumo!$B$9</f>
        <v>1</v>
      </c>
      <c r="X1091" s="61" t="n">
        <f aca="false">Resumo!$B$10*CEILING(G1091/100,1)</f>
        <v>4.5</v>
      </c>
      <c r="Y1091" s="61" t="n">
        <f aca="false">Resumo!$B$12*CEILING(G1091,1)</f>
        <v>4.02</v>
      </c>
      <c r="Z1091" s="61" t="n">
        <f aca="false">Resumo!$B$14*CEILING(G1091,1)</f>
        <v>30.15</v>
      </c>
      <c r="AA1091" s="61" t="n">
        <f aca="false">SUM(T1091:Z1091)</f>
        <v>172.4123</v>
      </c>
      <c r="AB1091" s="61" t="n">
        <f aca="false">AA1091/(1-Resumo!$B$5)</f>
        <v>195.923068181818</v>
      </c>
      <c r="AC1091" s="61" t="n">
        <f aca="false">AB1091-S1091</f>
        <v>70.5012272727273</v>
      </c>
      <c r="AD1091" s="62" t="n">
        <f aca="false">AB1091/S1091-1</f>
        <v>0.562112840648133</v>
      </c>
      <c r="AE1091" s="60" t="str">
        <f aca="false">IF(AB1091&lt;S1091,"SIM","NÃO")</f>
        <v>NÃO</v>
      </c>
      <c r="AF1091" s="60" t="n">
        <v>2</v>
      </c>
      <c r="AG1091" s="60" t="n">
        <v>5</v>
      </c>
      <c r="AH1091" s="60" t="s">
        <v>382</v>
      </c>
      <c r="AI1091" s="61" t="n">
        <f aca="false">(T1091*(1-Painel!$C$40)+U1091+V1091+Painel!$C$41+Painel!$C$42*CEILING(G1091/100,1)+Painel!$C$43*CEILING(G1091,1)+Z1091)/(1-Resumo!$B$5)</f>
        <v>138.301931818182</v>
      </c>
      <c r="AJ1091" s="60" t="str">
        <f aca="false">IF(AI1091&lt;S1091,"SIM","NÃO")</f>
        <v>NÃO</v>
      </c>
    </row>
    <row r="1092" customFormat="false" ht="15" hidden="false" customHeight="false" outlineLevel="0" collapsed="false">
      <c r="A1092" s="59" t="n">
        <v>46250.6007986111</v>
      </c>
      <c r="B1092" s="60" t="s">
        <v>1408</v>
      </c>
      <c r="C1092" s="60" t="n">
        <v>23535230</v>
      </c>
      <c r="D1092" s="60" t="s">
        <v>46</v>
      </c>
      <c r="E1092" s="60" t="s">
        <v>22</v>
      </c>
      <c r="F1092" s="60" t="s">
        <v>233</v>
      </c>
      <c r="G1092" s="60" t="n">
        <v>27.5</v>
      </c>
      <c r="H1092" s="61" t="n">
        <v>342.07</v>
      </c>
      <c r="I1092" s="61" t="n">
        <v>42.11</v>
      </c>
      <c r="J1092" s="61" t="n">
        <f aca="false">H1092*Resumo!$C$6</f>
        <v>0</v>
      </c>
      <c r="K1092" s="61" t="n">
        <f aca="false">H1092*Resumo!$C$7</f>
        <v>0.718347</v>
      </c>
      <c r="L1092" s="61" t="n">
        <f aca="false">H1092*Resumo!$C$8</f>
        <v>0.718347</v>
      </c>
      <c r="M1092" s="61" t="n">
        <f aca="false">Resumo!$C$10*CEILING(G1092/100,1)</f>
        <v>1.05</v>
      </c>
      <c r="N1092" s="61" t="n">
        <f aca="false">Resumo!$C$9</f>
        <v>0</v>
      </c>
      <c r="O1092" s="61" t="n">
        <f aca="false">Resumo!$C$13</f>
        <v>13.55</v>
      </c>
      <c r="P1092" s="61" t="n">
        <f aca="false">Resumo!$C$14*CEILING(G1092,1)</f>
        <v>12.6</v>
      </c>
      <c r="Q1092" s="61" t="n">
        <f aca="false">SUM(I1092:P1092)*Resumo!$C$11</f>
        <v>0</v>
      </c>
      <c r="R1092" s="61" t="n">
        <f aca="false">SUM(I1092:Q1092)</f>
        <v>70.746694</v>
      </c>
      <c r="S1092" s="61" t="n">
        <f aca="false">R1092/(1-Resumo!$C$5)</f>
        <v>80.3939704545454</v>
      </c>
      <c r="T1092" s="61" t="n">
        <v>82.21</v>
      </c>
      <c r="U1092" s="61" t="n">
        <f aca="false">H1092*Resumo!$B$6</f>
        <v>0.34207</v>
      </c>
      <c r="V1092" s="61" t="n">
        <f aca="false">H1092*Resumo!$B$7</f>
        <v>0.68414</v>
      </c>
      <c r="W1092" s="61" t="n">
        <f aca="false">Resumo!$B$9</f>
        <v>1</v>
      </c>
      <c r="X1092" s="61" t="n">
        <f aca="false">Resumo!$B$10*CEILING(G1092/100,1)</f>
        <v>4.5</v>
      </c>
      <c r="Y1092" s="61" t="n">
        <f aca="false">Resumo!$B$12*CEILING(G1092,1)</f>
        <v>1.68</v>
      </c>
      <c r="Z1092" s="61" t="n">
        <f aca="false">Resumo!$B$14*CEILING(G1092,1)</f>
        <v>12.6</v>
      </c>
      <c r="AA1092" s="61" t="n">
        <f aca="false">SUM(T1092:Z1092)</f>
        <v>103.01621</v>
      </c>
      <c r="AB1092" s="61" t="n">
        <f aca="false">AA1092/(1-Resumo!$B$5)</f>
        <v>117.063875</v>
      </c>
      <c r="AC1092" s="61" t="n">
        <f aca="false">AB1092-S1092</f>
        <v>36.6699045454545</v>
      </c>
      <c r="AD1092" s="62" t="n">
        <f aca="false">AB1092/S1092-1</f>
        <v>0.456127547104887</v>
      </c>
      <c r="AE1092" s="60" t="str">
        <f aca="false">IF(AB1092&lt;S1092,"SIM","NÃO")</f>
        <v>NÃO</v>
      </c>
      <c r="AF1092" s="60" t="n">
        <v>2</v>
      </c>
      <c r="AG1092" s="60" t="n">
        <v>5</v>
      </c>
      <c r="AH1092" s="60" t="s">
        <v>382</v>
      </c>
      <c r="AI1092" s="61" t="n">
        <f aca="false">(T1092*(1-Painel!$C$40)+U1092+V1092+Painel!$C$41+Painel!$C$42*CEILING(G1092/100,1)+Painel!$C$43*CEILING(G1092,1)+Z1092)/(1-Resumo!$B$5)</f>
        <v>80.4055795454545</v>
      </c>
      <c r="AJ1092" s="60" t="str">
        <f aca="false">IF(AI1092&lt;S1092,"SIM","NÃO")</f>
        <v>NÃO</v>
      </c>
    </row>
    <row r="1093" customFormat="false" ht="15" hidden="false" customHeight="false" outlineLevel="0" collapsed="false">
      <c r="A1093" s="59" t="n">
        <v>46250.6123032407</v>
      </c>
      <c r="B1093" s="60" t="s">
        <v>1409</v>
      </c>
      <c r="C1093" s="60" t="n">
        <v>24726460</v>
      </c>
      <c r="D1093" s="60" t="s">
        <v>47</v>
      </c>
      <c r="E1093" s="60" t="s">
        <v>23</v>
      </c>
      <c r="F1093" s="60" t="s">
        <v>235</v>
      </c>
      <c r="G1093" s="60" t="n">
        <v>48.6</v>
      </c>
      <c r="H1093" s="61" t="n">
        <v>699.99</v>
      </c>
      <c r="I1093" s="61" t="n">
        <v>65.36</v>
      </c>
      <c r="J1093" s="61" t="n">
        <f aca="false">H1093*Resumo!$C$6</f>
        <v>0</v>
      </c>
      <c r="K1093" s="61" t="n">
        <f aca="false">H1093*Resumo!$C$7</f>
        <v>1.469979</v>
      </c>
      <c r="L1093" s="61" t="n">
        <f aca="false">H1093*Resumo!$C$8</f>
        <v>1.469979</v>
      </c>
      <c r="M1093" s="61" t="n">
        <f aca="false">Resumo!$C$10*CEILING(G1093/100,1)</f>
        <v>1.05</v>
      </c>
      <c r="N1093" s="61" t="n">
        <f aca="false">Resumo!$C$9</f>
        <v>0</v>
      </c>
      <c r="O1093" s="61" t="n">
        <f aca="false">Resumo!$C$13</f>
        <v>13.55</v>
      </c>
      <c r="P1093" s="61" t="n">
        <f aca="false">Resumo!$C$14*CEILING(G1093,1)</f>
        <v>22.05</v>
      </c>
      <c r="Q1093" s="61" t="n">
        <f aca="false">SUM(I1093:P1093)*Resumo!$C$11</f>
        <v>0</v>
      </c>
      <c r="R1093" s="61" t="n">
        <f aca="false">SUM(I1093:Q1093)</f>
        <v>104.949958</v>
      </c>
      <c r="S1093" s="61" t="n">
        <f aca="false">R1093/(1-Resumo!$C$5)</f>
        <v>119.261315909091</v>
      </c>
      <c r="T1093" s="61" t="n">
        <v>114.95</v>
      </c>
      <c r="U1093" s="61" t="n">
        <f aca="false">H1093*Resumo!$B$6</f>
        <v>0.69999</v>
      </c>
      <c r="V1093" s="61" t="n">
        <f aca="false">H1093*Resumo!$B$7</f>
        <v>1.39998</v>
      </c>
      <c r="W1093" s="61" t="n">
        <f aca="false">Resumo!$B$9</f>
        <v>1</v>
      </c>
      <c r="X1093" s="61" t="n">
        <f aca="false">Resumo!$B$10*CEILING(G1093/100,1)</f>
        <v>4.5</v>
      </c>
      <c r="Y1093" s="61" t="n">
        <f aca="false">Resumo!$B$12*CEILING(G1093,1)</f>
        <v>2.94</v>
      </c>
      <c r="Z1093" s="61" t="n">
        <f aca="false">Resumo!$B$14*CEILING(G1093,1)</f>
        <v>22.05</v>
      </c>
      <c r="AA1093" s="61" t="n">
        <f aca="false">SUM(T1093:Z1093)</f>
        <v>147.53997</v>
      </c>
      <c r="AB1093" s="61" t="n">
        <f aca="false">AA1093/(1-Resumo!$B$5)</f>
        <v>167.659056818182</v>
      </c>
      <c r="AC1093" s="61" t="n">
        <f aca="false">AB1093-S1093</f>
        <v>48.3977409090909</v>
      </c>
      <c r="AD1093" s="62" t="n">
        <f aca="false">AB1093/S1093-1</f>
        <v>0.405812568309937</v>
      </c>
      <c r="AE1093" s="60" t="str">
        <f aca="false">IF(AB1093&lt;S1093,"SIM","NÃO")</f>
        <v>NÃO</v>
      </c>
      <c r="AF1093" s="60" t="n">
        <v>2</v>
      </c>
      <c r="AG1093" s="60" t="n">
        <v>7</v>
      </c>
      <c r="AH1093" s="60" t="s">
        <v>382</v>
      </c>
      <c r="AI1093" s="61" t="n">
        <f aca="false">(T1093*(1-Painel!$C$40)+U1093+V1093+Painel!$C$41+Painel!$C$42*CEILING(G1093/100,1)+Painel!$C$43*CEILING(G1093,1)+Z1093)/(1-Resumo!$B$5)</f>
        <v>117.291443181818</v>
      </c>
      <c r="AJ1093" s="60" t="str">
        <f aca="false">IF(AI1093&lt;S1093,"SIM","NÃO")</f>
        <v>SIM</v>
      </c>
    </row>
    <row r="1094" customFormat="false" ht="15" hidden="false" customHeight="false" outlineLevel="0" collapsed="false">
      <c r="A1094" s="59" t="n">
        <v>46250.6146412037</v>
      </c>
      <c r="B1094" s="60" t="s">
        <v>1410</v>
      </c>
      <c r="C1094" s="60" t="n">
        <v>27343270</v>
      </c>
      <c r="D1094" s="60" t="s">
        <v>293</v>
      </c>
      <c r="E1094" s="60" t="s">
        <v>24</v>
      </c>
      <c r="F1094" s="60" t="s">
        <v>235</v>
      </c>
      <c r="G1094" s="60" t="n">
        <v>48.3</v>
      </c>
      <c r="H1094" s="61" t="n">
        <v>449.99</v>
      </c>
      <c r="I1094" s="61" t="n">
        <v>77.7</v>
      </c>
      <c r="J1094" s="61" t="n">
        <f aca="false">H1094*Resumo!$C$6</f>
        <v>0</v>
      </c>
      <c r="K1094" s="61" t="n">
        <f aca="false">H1094*Resumo!$C$7</f>
        <v>0.944979</v>
      </c>
      <c r="L1094" s="61" t="n">
        <f aca="false">H1094*Resumo!$C$8</f>
        <v>0.944979</v>
      </c>
      <c r="M1094" s="61" t="n">
        <f aca="false">Resumo!$C$10*CEILING(G1094/100,1)</f>
        <v>1.05</v>
      </c>
      <c r="N1094" s="61" t="n">
        <f aca="false">Resumo!$C$9</f>
        <v>0</v>
      </c>
      <c r="O1094" s="61" t="n">
        <f aca="false">Resumo!$C$13</f>
        <v>13.55</v>
      </c>
      <c r="P1094" s="61" t="n">
        <f aca="false">Resumo!$C$14*CEILING(G1094,1)</f>
        <v>22.05</v>
      </c>
      <c r="Q1094" s="61" t="n">
        <f aca="false">SUM(I1094:P1094)*Resumo!$C$11</f>
        <v>0</v>
      </c>
      <c r="R1094" s="61" t="n">
        <f aca="false">SUM(I1094:Q1094)</f>
        <v>116.239958</v>
      </c>
      <c r="S1094" s="61" t="n">
        <f aca="false">R1094/(1-Resumo!$C$5)</f>
        <v>132.090861363636</v>
      </c>
      <c r="T1094" s="61" t="n">
        <v>124.38</v>
      </c>
      <c r="U1094" s="61" t="n">
        <f aca="false">H1094*Resumo!$B$6</f>
        <v>0.44999</v>
      </c>
      <c r="V1094" s="61" t="n">
        <f aca="false">H1094*Resumo!$B$7</f>
        <v>0.89998</v>
      </c>
      <c r="W1094" s="61" t="n">
        <f aca="false">Resumo!$B$9</f>
        <v>1</v>
      </c>
      <c r="X1094" s="61" t="n">
        <f aca="false">Resumo!$B$10*CEILING(G1094/100,1)</f>
        <v>4.5</v>
      </c>
      <c r="Y1094" s="61" t="n">
        <f aca="false">Resumo!$B$12*CEILING(G1094,1)</f>
        <v>2.94</v>
      </c>
      <c r="Z1094" s="61" t="n">
        <f aca="false">Resumo!$B$14*CEILING(G1094,1)</f>
        <v>22.05</v>
      </c>
      <c r="AA1094" s="61" t="n">
        <f aca="false">SUM(T1094:Z1094)</f>
        <v>156.21997</v>
      </c>
      <c r="AB1094" s="61" t="n">
        <f aca="false">AA1094/(1-Resumo!$B$5)</f>
        <v>177.522693181818</v>
      </c>
      <c r="AC1094" s="61" t="n">
        <f aca="false">AB1094-S1094</f>
        <v>45.4318318181818</v>
      </c>
      <c r="AD1094" s="62" t="n">
        <f aca="false">AB1094/S1094-1</f>
        <v>0.343943792546794</v>
      </c>
      <c r="AE1094" s="60" t="str">
        <f aca="false">IF(AB1094&lt;S1094,"SIM","NÃO")</f>
        <v>NÃO</v>
      </c>
      <c r="AF1094" s="60" t="n">
        <v>13</v>
      </c>
      <c r="AG1094" s="60" t="n">
        <v>10</v>
      </c>
      <c r="AH1094" s="60" t="s">
        <v>385</v>
      </c>
      <c r="AI1094" s="61" t="n">
        <f aca="false">(T1094*(1-Painel!$C$40)+U1094+V1094+Painel!$C$41+Painel!$C$42*CEILING(G1094/100,1)+Painel!$C$43*CEILING(G1094,1)+Z1094)/(1-Resumo!$B$5)</f>
        <v>123.618829545455</v>
      </c>
      <c r="AJ1094" s="60" t="str">
        <f aca="false">IF(AI1094&lt;S1094,"SIM","NÃO")</f>
        <v>SIM</v>
      </c>
    </row>
    <row r="1095" customFormat="false" ht="15" hidden="false" customHeight="false" outlineLevel="0" collapsed="false">
      <c r="A1095" s="59" t="n">
        <v>46250.6302199074</v>
      </c>
      <c r="B1095" s="60" t="s">
        <v>1411</v>
      </c>
      <c r="C1095" s="60" t="n">
        <v>24804141</v>
      </c>
      <c r="D1095" s="60" t="s">
        <v>223</v>
      </c>
      <c r="E1095" s="60" t="s">
        <v>24</v>
      </c>
      <c r="F1095" s="60" t="s">
        <v>237</v>
      </c>
      <c r="G1095" s="60" t="n">
        <v>69.15</v>
      </c>
      <c r="H1095" s="61" t="n">
        <v>707</v>
      </c>
      <c r="I1095" s="61" t="n">
        <v>90.2</v>
      </c>
      <c r="J1095" s="61" t="n">
        <f aca="false">H1095*Resumo!$C$6</f>
        <v>0</v>
      </c>
      <c r="K1095" s="61" t="n">
        <f aca="false">H1095*Resumo!$C$7</f>
        <v>1.4847</v>
      </c>
      <c r="L1095" s="61" t="n">
        <f aca="false">H1095*Resumo!$C$8</f>
        <v>1.4847</v>
      </c>
      <c r="M1095" s="61" t="n">
        <f aca="false">Resumo!$C$10*CEILING(G1095/100,1)</f>
        <v>1.05</v>
      </c>
      <c r="N1095" s="61" t="n">
        <f aca="false">Resumo!$C$9</f>
        <v>0</v>
      </c>
      <c r="O1095" s="61" t="n">
        <f aca="false">Resumo!$C$13</f>
        <v>13.55</v>
      </c>
      <c r="P1095" s="61" t="n">
        <f aca="false">Resumo!$C$14*CEILING(G1095,1)</f>
        <v>31.5</v>
      </c>
      <c r="Q1095" s="61" t="n">
        <f aca="false">SUM(I1095:P1095)*Resumo!$C$11</f>
        <v>0</v>
      </c>
      <c r="R1095" s="61" t="n">
        <f aca="false">SUM(I1095:Q1095)</f>
        <v>139.2694</v>
      </c>
      <c r="S1095" s="61" t="n">
        <f aca="false">R1095/(1-Resumo!$C$5)</f>
        <v>158.260681818182</v>
      </c>
      <c r="T1095" s="61" t="n">
        <v>149.5</v>
      </c>
      <c r="U1095" s="61" t="n">
        <f aca="false">H1095*Resumo!$B$6</f>
        <v>0.707</v>
      </c>
      <c r="V1095" s="61" t="n">
        <f aca="false">H1095*Resumo!$B$7</f>
        <v>1.414</v>
      </c>
      <c r="W1095" s="61" t="n">
        <f aca="false">Resumo!$B$9</f>
        <v>1</v>
      </c>
      <c r="X1095" s="61" t="n">
        <f aca="false">Resumo!$B$10*CEILING(G1095/100,1)</f>
        <v>4.5</v>
      </c>
      <c r="Y1095" s="61" t="n">
        <f aca="false">Resumo!$B$12*CEILING(G1095,1)</f>
        <v>4.2</v>
      </c>
      <c r="Z1095" s="61" t="n">
        <f aca="false">Resumo!$B$14*CEILING(G1095,1)</f>
        <v>31.5</v>
      </c>
      <c r="AA1095" s="61" t="n">
        <f aca="false">SUM(T1095:Z1095)</f>
        <v>192.821</v>
      </c>
      <c r="AB1095" s="61" t="n">
        <f aca="false">AA1095/(1-Resumo!$B$5)</f>
        <v>219.114772727273</v>
      </c>
      <c r="AC1095" s="61" t="n">
        <f aca="false">AB1095-S1095</f>
        <v>60.8540909090909</v>
      </c>
      <c r="AD1095" s="62" t="n">
        <f aca="false">AB1095/S1095-1</f>
        <v>0.384518063551649</v>
      </c>
      <c r="AE1095" s="60" t="str">
        <f aca="false">IF(AB1095&lt;S1095,"SIM","NÃO")</f>
        <v>NÃO</v>
      </c>
      <c r="AF1095" s="60" t="n">
        <v>13</v>
      </c>
      <c r="AG1095" s="60" t="n">
        <v>7</v>
      </c>
      <c r="AH1095" s="60" t="s">
        <v>382</v>
      </c>
      <c r="AI1095" s="61" t="n">
        <f aca="false">(T1095*(1-Painel!$C$40)+U1095+V1095+Painel!$C$41+Painel!$C$42*CEILING(G1095/100,1)+Painel!$C$43*CEILING(G1095,1)+Z1095)/(1-Resumo!$B$5)</f>
        <v>154.359090909091</v>
      </c>
      <c r="AJ1095" s="60" t="str">
        <f aca="false">IF(AI1095&lt;S1095,"SIM","NÃO")</f>
        <v>SIM</v>
      </c>
    </row>
    <row r="1096" customFormat="false" ht="15" hidden="false" customHeight="false" outlineLevel="0" collapsed="false">
      <c r="A1096" s="59" t="n">
        <v>46250.6592592593</v>
      </c>
      <c r="B1096" s="60" t="s">
        <v>1412</v>
      </c>
      <c r="C1096" s="60" t="n">
        <v>26041070</v>
      </c>
      <c r="D1096" s="60" t="s">
        <v>49</v>
      </c>
      <c r="E1096" s="60" t="s">
        <v>23</v>
      </c>
      <c r="F1096" s="60" t="s">
        <v>234</v>
      </c>
      <c r="G1096" s="60" t="n">
        <v>37.2</v>
      </c>
      <c r="H1096" s="61" t="n">
        <v>429.99</v>
      </c>
      <c r="I1096" s="61" t="n">
        <v>66.83</v>
      </c>
      <c r="J1096" s="61" t="n">
        <f aca="false">H1096*Resumo!$C$6</f>
        <v>0</v>
      </c>
      <c r="K1096" s="61" t="n">
        <f aca="false">H1096*Resumo!$C$7</f>
        <v>0.902979</v>
      </c>
      <c r="L1096" s="61" t="n">
        <f aca="false">H1096*Resumo!$C$8</f>
        <v>0.902979</v>
      </c>
      <c r="M1096" s="61" t="n">
        <f aca="false">Resumo!$C$10*CEILING(G1096/100,1)</f>
        <v>1.05</v>
      </c>
      <c r="N1096" s="61" t="n">
        <f aca="false">Resumo!$C$9</f>
        <v>0</v>
      </c>
      <c r="O1096" s="61" t="n">
        <f aca="false">Resumo!$C$13</f>
        <v>13.55</v>
      </c>
      <c r="P1096" s="61" t="n">
        <f aca="false">Resumo!$C$14*CEILING(G1096,1)</f>
        <v>17.1</v>
      </c>
      <c r="Q1096" s="61" t="n">
        <f aca="false">SUM(I1096:P1096)*Resumo!$C$11</f>
        <v>0</v>
      </c>
      <c r="R1096" s="61" t="n">
        <f aca="false">SUM(I1096:Q1096)</f>
        <v>100.335958</v>
      </c>
      <c r="S1096" s="61" t="n">
        <f aca="false">R1096/(1-Resumo!$C$5)</f>
        <v>114.018134090909</v>
      </c>
      <c r="T1096" s="61" t="n">
        <v>93.97</v>
      </c>
      <c r="U1096" s="61" t="n">
        <f aca="false">H1096*Resumo!$B$6</f>
        <v>0.42999</v>
      </c>
      <c r="V1096" s="61" t="n">
        <f aca="false">H1096*Resumo!$B$7</f>
        <v>0.85998</v>
      </c>
      <c r="W1096" s="61" t="n">
        <f aca="false">Resumo!$B$9</f>
        <v>1</v>
      </c>
      <c r="X1096" s="61" t="n">
        <f aca="false">Resumo!$B$10*CEILING(G1096/100,1)</f>
        <v>4.5</v>
      </c>
      <c r="Y1096" s="61" t="n">
        <f aca="false">Resumo!$B$12*CEILING(G1096,1)</f>
        <v>2.28</v>
      </c>
      <c r="Z1096" s="61" t="n">
        <f aca="false">Resumo!$B$14*CEILING(G1096,1)</f>
        <v>17.1</v>
      </c>
      <c r="AA1096" s="61" t="n">
        <f aca="false">SUM(T1096:Z1096)</f>
        <v>120.13997</v>
      </c>
      <c r="AB1096" s="61" t="n">
        <f aca="false">AA1096/(1-Resumo!$B$5)</f>
        <v>136.522693181818</v>
      </c>
      <c r="AC1096" s="61" t="n">
        <f aca="false">AB1096-S1096</f>
        <v>22.5045590909091</v>
      </c>
      <c r="AD1096" s="62" t="n">
        <f aca="false">AB1096/S1096-1</f>
        <v>0.19737701612417</v>
      </c>
      <c r="AE1096" s="60" t="str">
        <f aca="false">IF(AB1096&lt;S1096,"SIM","NÃO")</f>
        <v>NÃO</v>
      </c>
      <c r="AF1096" s="60" t="n">
        <v>2</v>
      </c>
      <c r="AG1096" s="60" t="n">
        <v>5</v>
      </c>
      <c r="AH1096" s="60" t="s">
        <v>382</v>
      </c>
      <c r="AI1096" s="61" t="n">
        <f aca="false">(T1096*(1-Painel!$C$40)+U1096+V1096+Painel!$C$41+Painel!$C$42*CEILING(G1096/100,1)+Painel!$C$43*CEILING(G1096,1)+Z1096)/(1-Resumo!$B$5)</f>
        <v>94.7725795454545</v>
      </c>
      <c r="AJ1096" s="60" t="str">
        <f aca="false">IF(AI1096&lt;S1096,"SIM","NÃO")</f>
        <v>SIM</v>
      </c>
    </row>
    <row r="1097" customFormat="false" ht="15" hidden="false" customHeight="false" outlineLevel="0" collapsed="false">
      <c r="A1097" s="59" t="n">
        <v>46250.6696643519</v>
      </c>
      <c r="B1097" s="60" t="s">
        <v>1413</v>
      </c>
      <c r="C1097" s="60" t="n">
        <v>26010390</v>
      </c>
      <c r="D1097" s="60" t="s">
        <v>49</v>
      </c>
      <c r="E1097" s="60" t="s">
        <v>23</v>
      </c>
      <c r="F1097" s="60" t="s">
        <v>234</v>
      </c>
      <c r="G1097" s="60" t="n">
        <v>36.8</v>
      </c>
      <c r="H1097" s="61" t="n">
        <v>444.99</v>
      </c>
      <c r="I1097" s="61" t="n">
        <v>66.83</v>
      </c>
      <c r="J1097" s="61" t="n">
        <f aca="false">H1097*Resumo!$C$6</f>
        <v>0</v>
      </c>
      <c r="K1097" s="61" t="n">
        <f aca="false">H1097*Resumo!$C$7</f>
        <v>0.934479</v>
      </c>
      <c r="L1097" s="61" t="n">
        <f aca="false">H1097*Resumo!$C$8</f>
        <v>0.934479</v>
      </c>
      <c r="M1097" s="61" t="n">
        <f aca="false">Resumo!$C$10*CEILING(G1097/100,1)</f>
        <v>1.05</v>
      </c>
      <c r="N1097" s="61" t="n">
        <f aca="false">Resumo!$C$9</f>
        <v>0</v>
      </c>
      <c r="O1097" s="61" t="n">
        <f aca="false">Resumo!$C$13</f>
        <v>13.55</v>
      </c>
      <c r="P1097" s="61" t="n">
        <f aca="false">Resumo!$C$14*CEILING(G1097,1)</f>
        <v>16.65</v>
      </c>
      <c r="Q1097" s="61" t="n">
        <f aca="false">SUM(I1097:P1097)*Resumo!$C$11</f>
        <v>0</v>
      </c>
      <c r="R1097" s="61" t="n">
        <f aca="false">SUM(I1097:Q1097)</f>
        <v>99.948958</v>
      </c>
      <c r="S1097" s="61" t="n">
        <f aca="false">R1097/(1-Resumo!$C$5)</f>
        <v>113.578361363636</v>
      </c>
      <c r="T1097" s="61" t="n">
        <v>93.97</v>
      </c>
      <c r="U1097" s="61" t="n">
        <f aca="false">H1097*Resumo!$B$6</f>
        <v>0.44499</v>
      </c>
      <c r="V1097" s="61" t="n">
        <f aca="false">H1097*Resumo!$B$7</f>
        <v>0.88998</v>
      </c>
      <c r="W1097" s="61" t="n">
        <f aca="false">Resumo!$B$9</f>
        <v>1</v>
      </c>
      <c r="X1097" s="61" t="n">
        <f aca="false">Resumo!$B$10*CEILING(G1097/100,1)</f>
        <v>4.5</v>
      </c>
      <c r="Y1097" s="61" t="n">
        <f aca="false">Resumo!$B$12*CEILING(G1097,1)</f>
        <v>2.22</v>
      </c>
      <c r="Z1097" s="61" t="n">
        <f aca="false">Resumo!$B$14*CEILING(G1097,1)</f>
        <v>16.65</v>
      </c>
      <c r="AA1097" s="61" t="n">
        <f aca="false">SUM(T1097:Z1097)</f>
        <v>119.67497</v>
      </c>
      <c r="AB1097" s="61" t="n">
        <f aca="false">AA1097/(1-Resumo!$B$5)</f>
        <v>135.994284090909</v>
      </c>
      <c r="AC1097" s="61" t="n">
        <f aca="false">AB1097-S1097</f>
        <v>22.4159227272727</v>
      </c>
      <c r="AD1097" s="62" t="n">
        <f aca="false">AB1097/S1097-1</f>
        <v>0.197360856928593</v>
      </c>
      <c r="AE1097" s="60" t="str">
        <f aca="false">IF(AB1097&lt;S1097,"SIM","NÃO")</f>
        <v>NÃO</v>
      </c>
      <c r="AF1097" s="60" t="n">
        <v>2</v>
      </c>
      <c r="AG1097" s="60" t="n">
        <v>5</v>
      </c>
      <c r="AH1097" s="60" t="s">
        <v>382</v>
      </c>
      <c r="AI1097" s="61" t="n">
        <f aca="false">(T1097*(1-Painel!$C$40)+U1097+V1097+Painel!$C$41+Painel!$C$42*CEILING(G1097/100,1)+Painel!$C$43*CEILING(G1097,1)+Z1097)/(1-Resumo!$B$5)</f>
        <v>94.3123522727273</v>
      </c>
      <c r="AJ1097" s="60" t="str">
        <f aca="false">IF(AI1097&lt;S1097,"SIM","NÃO")</f>
        <v>SIM</v>
      </c>
    </row>
    <row r="1098" customFormat="false" ht="15" hidden="false" customHeight="false" outlineLevel="0" collapsed="false">
      <c r="A1098" s="59" t="n">
        <v>46250.6697222222</v>
      </c>
      <c r="B1098" s="60" t="s">
        <v>1414</v>
      </c>
      <c r="C1098" s="60" t="n">
        <v>22730170</v>
      </c>
      <c r="D1098" s="60" t="s">
        <v>46</v>
      </c>
      <c r="E1098" s="60" t="s">
        <v>22</v>
      </c>
      <c r="F1098" s="60" t="s">
        <v>239</v>
      </c>
      <c r="G1098" s="60" t="n">
        <v>81.7</v>
      </c>
      <c r="H1098" s="61" t="n">
        <v>563</v>
      </c>
      <c r="I1098" s="61" t="n">
        <v>83.79</v>
      </c>
      <c r="J1098" s="61" t="n">
        <f aca="false">H1098*Resumo!$C$6</f>
        <v>0</v>
      </c>
      <c r="K1098" s="61" t="n">
        <f aca="false">H1098*Resumo!$C$7</f>
        <v>1.1823</v>
      </c>
      <c r="L1098" s="61" t="n">
        <f aca="false">H1098*Resumo!$C$8</f>
        <v>1.1823</v>
      </c>
      <c r="M1098" s="61" t="n">
        <f aca="false">Resumo!$C$10*CEILING(G1098/100,1)</f>
        <v>1.05</v>
      </c>
      <c r="N1098" s="61" t="n">
        <f aca="false">Resumo!$C$9</f>
        <v>0</v>
      </c>
      <c r="O1098" s="61" t="n">
        <f aca="false">Resumo!$C$13</f>
        <v>13.55</v>
      </c>
      <c r="P1098" s="61" t="n">
        <f aca="false">Resumo!$C$14*CEILING(G1098,1)</f>
        <v>36.9</v>
      </c>
      <c r="Q1098" s="61" t="n">
        <f aca="false">SUM(I1098:P1098)*Resumo!$C$11</f>
        <v>0</v>
      </c>
      <c r="R1098" s="61" t="n">
        <f aca="false">SUM(I1098:Q1098)</f>
        <v>137.6546</v>
      </c>
      <c r="S1098" s="61" t="n">
        <f aca="false">R1098/(1-Resumo!$C$5)</f>
        <v>156.425681818182</v>
      </c>
      <c r="T1098" s="61" t="n">
        <v>167.99</v>
      </c>
      <c r="U1098" s="61" t="n">
        <f aca="false">H1098*Resumo!$B$6</f>
        <v>0.563</v>
      </c>
      <c r="V1098" s="61" t="n">
        <f aca="false">H1098*Resumo!$B$7</f>
        <v>1.126</v>
      </c>
      <c r="W1098" s="61" t="n">
        <f aca="false">Resumo!$B$9</f>
        <v>1</v>
      </c>
      <c r="X1098" s="61" t="n">
        <f aca="false">Resumo!$B$10*CEILING(G1098/100,1)</f>
        <v>4.5</v>
      </c>
      <c r="Y1098" s="61" t="n">
        <f aca="false">Resumo!$B$12*CEILING(G1098,1)</f>
        <v>4.92</v>
      </c>
      <c r="Z1098" s="61" t="n">
        <f aca="false">Resumo!$B$14*CEILING(G1098,1)</f>
        <v>36.9</v>
      </c>
      <c r="AA1098" s="61" t="n">
        <f aca="false">SUM(T1098:Z1098)</f>
        <v>216.999</v>
      </c>
      <c r="AB1098" s="61" t="n">
        <f aca="false">AA1098/(1-Resumo!$B$5)</f>
        <v>246.589772727273</v>
      </c>
      <c r="AC1098" s="61" t="n">
        <f aca="false">AB1098-S1098</f>
        <v>90.1640909090909</v>
      </c>
      <c r="AD1098" s="62" t="n">
        <f aca="false">AB1098/S1098-1</f>
        <v>0.576402096261222</v>
      </c>
      <c r="AE1098" s="60" t="str">
        <f aca="false">IF(AB1098&lt;S1098,"SIM","NÃO")</f>
        <v>NÃO</v>
      </c>
      <c r="AF1098" s="60" t="n">
        <v>2</v>
      </c>
      <c r="AG1098" s="60" t="n">
        <v>5</v>
      </c>
      <c r="AH1098" s="60" t="s">
        <v>382</v>
      </c>
      <c r="AI1098" s="61" t="n">
        <f aca="false">(T1098*(1-Painel!$C$40)+U1098+V1098+Painel!$C$41+Painel!$C$42*CEILING(G1098/100,1)+Painel!$C$43*CEILING(G1098,1)+Z1098)/(1-Resumo!$B$5)</f>
        <v>174.082159090909</v>
      </c>
      <c r="AJ1098" s="60" t="str">
        <f aca="false">IF(AI1098&lt;S1098,"SIM","NÃO")</f>
        <v>NÃO</v>
      </c>
    </row>
    <row r="1099" customFormat="false" ht="15" hidden="false" customHeight="false" outlineLevel="0" collapsed="false">
      <c r="A1099" s="59" t="n">
        <v>46250.6702662037</v>
      </c>
      <c r="B1099" s="60" t="s">
        <v>1415</v>
      </c>
      <c r="C1099" s="60" t="n">
        <v>22450130</v>
      </c>
      <c r="D1099" s="60" t="s">
        <v>46</v>
      </c>
      <c r="E1099" s="60" t="s">
        <v>22</v>
      </c>
      <c r="F1099" s="60" t="s">
        <v>232</v>
      </c>
      <c r="G1099" s="60" t="n">
        <v>15.05</v>
      </c>
      <c r="H1099" s="61" t="n">
        <v>228.79</v>
      </c>
      <c r="I1099" s="61" t="n">
        <v>33.42</v>
      </c>
      <c r="J1099" s="61" t="n">
        <f aca="false">H1099*Resumo!$C$6</f>
        <v>0</v>
      </c>
      <c r="K1099" s="61" t="n">
        <f aca="false">H1099*Resumo!$C$7</f>
        <v>0.480459</v>
      </c>
      <c r="L1099" s="61" t="n">
        <f aca="false">H1099*Resumo!$C$8</f>
        <v>0.480459</v>
      </c>
      <c r="M1099" s="61" t="n">
        <f aca="false">Resumo!$C$10*CEILING(G1099/100,1)</f>
        <v>1.05</v>
      </c>
      <c r="N1099" s="61" t="n">
        <f aca="false">Resumo!$C$9</f>
        <v>0</v>
      </c>
      <c r="O1099" s="61" t="n">
        <f aca="false">Resumo!$C$13</f>
        <v>13.55</v>
      </c>
      <c r="P1099" s="61" t="n">
        <f aca="false">Resumo!$C$14*CEILING(G1099,1)</f>
        <v>7.2</v>
      </c>
      <c r="Q1099" s="61" t="n">
        <f aca="false">SUM(I1099:P1099)*Resumo!$C$11</f>
        <v>0</v>
      </c>
      <c r="R1099" s="61" t="n">
        <f aca="false">SUM(I1099:Q1099)</f>
        <v>56.180918</v>
      </c>
      <c r="S1099" s="61" t="n">
        <f aca="false">R1099/(1-Resumo!$C$5)</f>
        <v>63.8419522727273</v>
      </c>
      <c r="T1099" s="61" t="n">
        <v>46.98</v>
      </c>
      <c r="U1099" s="61" t="n">
        <f aca="false">H1099*Resumo!$B$6</f>
        <v>0.22879</v>
      </c>
      <c r="V1099" s="61" t="n">
        <f aca="false">H1099*Resumo!$B$7</f>
        <v>0.45758</v>
      </c>
      <c r="W1099" s="61" t="n">
        <f aca="false">Resumo!$B$9</f>
        <v>1</v>
      </c>
      <c r="X1099" s="61" t="n">
        <f aca="false">Resumo!$B$10*CEILING(G1099/100,1)</f>
        <v>4.5</v>
      </c>
      <c r="Y1099" s="61" t="n">
        <f aca="false">Resumo!$B$12*CEILING(G1099,1)</f>
        <v>0.96</v>
      </c>
      <c r="Z1099" s="61" t="n">
        <f aca="false">Resumo!$B$14*CEILING(G1099,1)</f>
        <v>7.2</v>
      </c>
      <c r="AA1099" s="61" t="n">
        <f aca="false">SUM(T1099:Z1099)</f>
        <v>61.32637</v>
      </c>
      <c r="AB1099" s="61" t="n">
        <f aca="false">AA1099/(1-Resumo!$B$5)</f>
        <v>69.6890568181818</v>
      </c>
      <c r="AC1099" s="61" t="n">
        <f aca="false">AB1099-S1099</f>
        <v>5.84710454545454</v>
      </c>
      <c r="AD1099" s="62" t="n">
        <f aca="false">AB1099/S1099-1</f>
        <v>0.0915871826800692</v>
      </c>
      <c r="AE1099" s="60" t="str">
        <f aca="false">IF(AB1099&lt;S1099,"SIM","NÃO")</f>
        <v>NÃO</v>
      </c>
      <c r="AF1099" s="60" t="n">
        <v>2</v>
      </c>
      <c r="AG1099" s="60" t="n">
        <v>5</v>
      </c>
      <c r="AH1099" s="60" t="s">
        <v>382</v>
      </c>
      <c r="AI1099" s="61" t="n">
        <f aca="false">(T1099*(1-Painel!$C$40)+U1099+V1099+Painel!$C$41+Painel!$C$42*CEILING(G1099/100,1)+Painel!$C$43*CEILING(G1099,1)+Z1099)/(1-Resumo!$B$5)</f>
        <v>47.0601931818182</v>
      </c>
      <c r="AJ1099" s="60" t="str">
        <f aca="false">IF(AI1099&lt;S1099,"SIM","NÃO")</f>
        <v>SIM</v>
      </c>
    </row>
    <row r="1100" customFormat="false" ht="15" hidden="false" customHeight="false" outlineLevel="0" collapsed="false">
      <c r="A1100" s="59" t="n">
        <v>46250.6785069444</v>
      </c>
      <c r="B1100" s="60" t="s">
        <v>1416</v>
      </c>
      <c r="C1100" s="60" t="n">
        <v>28942820</v>
      </c>
      <c r="D1100" s="60" t="s">
        <v>338</v>
      </c>
      <c r="E1100" s="60" t="s">
        <v>24</v>
      </c>
      <c r="F1100" s="60" t="s">
        <v>233</v>
      </c>
      <c r="G1100" s="60" t="n">
        <v>30.5</v>
      </c>
      <c r="H1100" s="61" t="n">
        <v>499.99</v>
      </c>
      <c r="I1100" s="61" t="n">
        <v>65.63</v>
      </c>
      <c r="J1100" s="61" t="n">
        <f aca="false">H1100*Resumo!$C$6</f>
        <v>0</v>
      </c>
      <c r="K1100" s="61" t="n">
        <f aca="false">H1100*Resumo!$C$7</f>
        <v>1.049979</v>
      </c>
      <c r="L1100" s="61" t="n">
        <f aca="false">H1100*Resumo!$C$8</f>
        <v>1.049979</v>
      </c>
      <c r="M1100" s="61" t="n">
        <f aca="false">Resumo!$C$10*CEILING(G1100/100,1)</f>
        <v>1.05</v>
      </c>
      <c r="N1100" s="61" t="n">
        <f aca="false">Resumo!$C$9</f>
        <v>0</v>
      </c>
      <c r="O1100" s="61" t="n">
        <f aca="false">Resumo!$C$13</f>
        <v>13.55</v>
      </c>
      <c r="P1100" s="61" t="n">
        <f aca="false">Resumo!$C$14*CEILING(G1100,1)</f>
        <v>13.95</v>
      </c>
      <c r="Q1100" s="61" t="n">
        <f aca="false">SUM(I1100:P1100)*Resumo!$C$11</f>
        <v>0</v>
      </c>
      <c r="R1100" s="61" t="n">
        <f aca="false">SUM(I1100:Q1100)</f>
        <v>96.279958</v>
      </c>
      <c r="S1100" s="61" t="n">
        <f aca="false">R1100/(1-Resumo!$C$5)</f>
        <v>109.409043181818</v>
      </c>
      <c r="T1100" s="61" t="n">
        <v>114.95</v>
      </c>
      <c r="U1100" s="61" t="n">
        <f aca="false">H1100*Resumo!$B$6</f>
        <v>0.49999</v>
      </c>
      <c r="V1100" s="61" t="n">
        <f aca="false">H1100*Resumo!$B$7</f>
        <v>0.99998</v>
      </c>
      <c r="W1100" s="61" t="n">
        <f aca="false">Resumo!$B$9</f>
        <v>1</v>
      </c>
      <c r="X1100" s="61" t="n">
        <f aca="false">Resumo!$B$10*CEILING(G1100/100,1)</f>
        <v>4.5</v>
      </c>
      <c r="Y1100" s="61" t="n">
        <f aca="false">Resumo!$B$12*CEILING(G1100,1)</f>
        <v>1.86</v>
      </c>
      <c r="Z1100" s="61" t="n">
        <f aca="false">Resumo!$B$14*CEILING(G1100,1)</f>
        <v>13.95</v>
      </c>
      <c r="AA1100" s="61" t="n">
        <f aca="false">SUM(T1100:Z1100)</f>
        <v>137.75997</v>
      </c>
      <c r="AB1100" s="61" t="n">
        <f aca="false">AA1100/(1-Resumo!$B$5)</f>
        <v>156.545420454545</v>
      </c>
      <c r="AC1100" s="61" t="n">
        <f aca="false">AB1100-S1100</f>
        <v>47.1363772727273</v>
      </c>
      <c r="AD1100" s="62" t="n">
        <f aca="false">AB1100/S1100-1</f>
        <v>0.430827067872215</v>
      </c>
      <c r="AE1100" s="60" t="str">
        <f aca="false">IF(AB1100&lt;S1100,"SIM","NÃO")</f>
        <v>NÃO</v>
      </c>
      <c r="AF1100" s="60" t="n">
        <v>13</v>
      </c>
      <c r="AG1100" s="60" t="n">
        <v>10</v>
      </c>
      <c r="AH1100" s="60" t="s">
        <v>385</v>
      </c>
      <c r="AI1100" s="61" t="n">
        <f aca="false">(T1100*(1-Painel!$C$40)+U1100+V1100+Painel!$C$41+Painel!$C$42*CEILING(G1100/100,1)+Painel!$C$43*CEILING(G1100,1)+Z1100)/(1-Resumo!$B$5)</f>
        <v>107.405079545455</v>
      </c>
      <c r="AJ1100" s="60" t="str">
        <f aca="false">IF(AI1100&lt;S1100,"SIM","NÃO")</f>
        <v>SIM</v>
      </c>
    </row>
    <row r="1101" customFormat="false" ht="15" hidden="false" customHeight="false" outlineLevel="0" collapsed="false">
      <c r="A1101" s="59" t="n">
        <v>46250.6811111111</v>
      </c>
      <c r="B1101" s="60" t="s">
        <v>1417</v>
      </c>
      <c r="C1101" s="60" t="n">
        <v>22610001</v>
      </c>
      <c r="D1101" s="60" t="s">
        <v>46</v>
      </c>
      <c r="E1101" s="60" t="s">
        <v>22</v>
      </c>
      <c r="F1101" s="60" t="s">
        <v>235</v>
      </c>
      <c r="G1101" s="60" t="n">
        <v>41</v>
      </c>
      <c r="H1101" s="61" t="n">
        <v>509.99</v>
      </c>
      <c r="I1101" s="61" t="n">
        <v>53.55</v>
      </c>
      <c r="J1101" s="61" t="n">
        <f aca="false">H1101*Resumo!$C$6</f>
        <v>0</v>
      </c>
      <c r="K1101" s="61" t="n">
        <f aca="false">H1101*Resumo!$C$7</f>
        <v>1.070979</v>
      </c>
      <c r="L1101" s="61" t="n">
        <f aca="false">H1101*Resumo!$C$8</f>
        <v>1.070979</v>
      </c>
      <c r="M1101" s="61" t="n">
        <f aca="false">Resumo!$C$10*CEILING(G1101/100,1)</f>
        <v>1.05</v>
      </c>
      <c r="N1101" s="61" t="n">
        <f aca="false">Resumo!$C$9</f>
        <v>0</v>
      </c>
      <c r="O1101" s="61" t="n">
        <f aca="false">Resumo!$C$13</f>
        <v>13.55</v>
      </c>
      <c r="P1101" s="61" t="n">
        <f aca="false">Resumo!$C$14*CEILING(G1101,1)</f>
        <v>18.45</v>
      </c>
      <c r="Q1101" s="61" t="n">
        <f aca="false">SUM(I1101:P1101)*Resumo!$C$11</f>
        <v>0</v>
      </c>
      <c r="R1101" s="61" t="n">
        <f aca="false">SUM(I1101:Q1101)</f>
        <v>88.741958</v>
      </c>
      <c r="S1101" s="61" t="n">
        <f aca="false">R1101/(1-Resumo!$C$5)</f>
        <v>100.843134090909</v>
      </c>
      <c r="T1101" s="61" t="n">
        <v>93.97</v>
      </c>
      <c r="U1101" s="61" t="n">
        <f aca="false">H1101*Resumo!$B$6</f>
        <v>0.50999</v>
      </c>
      <c r="V1101" s="61" t="n">
        <f aca="false">H1101*Resumo!$B$7</f>
        <v>1.01998</v>
      </c>
      <c r="W1101" s="61" t="n">
        <f aca="false">Resumo!$B$9</f>
        <v>1</v>
      </c>
      <c r="X1101" s="61" t="n">
        <f aca="false">Resumo!$B$10*CEILING(G1101/100,1)</f>
        <v>4.5</v>
      </c>
      <c r="Y1101" s="61" t="n">
        <f aca="false">Resumo!$B$12*CEILING(G1101,1)</f>
        <v>2.46</v>
      </c>
      <c r="Z1101" s="61" t="n">
        <f aca="false">Resumo!$B$14*CEILING(G1101,1)</f>
        <v>18.45</v>
      </c>
      <c r="AA1101" s="61" t="n">
        <f aca="false">SUM(T1101:Z1101)</f>
        <v>121.90997</v>
      </c>
      <c r="AB1101" s="61" t="n">
        <f aca="false">AA1101/(1-Resumo!$B$5)</f>
        <v>138.534056818182</v>
      </c>
      <c r="AC1101" s="61" t="n">
        <f aca="false">AB1101-S1101</f>
        <v>37.6909227272727</v>
      </c>
      <c r="AD1101" s="62" t="n">
        <f aca="false">AB1101/S1101-1</f>
        <v>0.373757946607399</v>
      </c>
      <c r="AE1101" s="60" t="str">
        <f aca="false">IF(AB1101&lt;S1101,"SIM","NÃO")</f>
        <v>NÃO</v>
      </c>
      <c r="AF1101" s="60" t="n">
        <v>2</v>
      </c>
      <c r="AG1101" s="60" t="n">
        <v>5</v>
      </c>
      <c r="AH1101" s="60" t="s">
        <v>382</v>
      </c>
      <c r="AI1101" s="61" t="n">
        <f aca="false">(T1101*(1-Painel!$C$40)+U1101+V1101+Painel!$C$41+Painel!$C$42*CEILING(G1101/100,1)+Painel!$C$43*CEILING(G1101,1)+Z1101)/(1-Resumo!$B$5)</f>
        <v>96.5793977272727</v>
      </c>
      <c r="AJ1101" s="60" t="str">
        <f aca="false">IF(AI1101&lt;S1101,"SIM","NÃO")</f>
        <v>SIM</v>
      </c>
    </row>
    <row r="1102" customFormat="false" ht="15" hidden="false" customHeight="false" outlineLevel="0" collapsed="false">
      <c r="A1102" s="59" t="n">
        <v>46250.7134143519</v>
      </c>
      <c r="B1102" s="60" t="s">
        <v>1418</v>
      </c>
      <c r="C1102" s="60" t="n">
        <v>21862560</v>
      </c>
      <c r="D1102" s="60" t="s">
        <v>46</v>
      </c>
      <c r="E1102" s="60" t="s">
        <v>22</v>
      </c>
      <c r="F1102" s="60" t="s">
        <v>233</v>
      </c>
      <c r="G1102" s="60" t="n">
        <v>30.5</v>
      </c>
      <c r="H1102" s="61" t="n">
        <v>413.55</v>
      </c>
      <c r="I1102" s="61" t="n">
        <v>42.11</v>
      </c>
      <c r="J1102" s="61" t="n">
        <f aca="false">H1102*Resumo!$C$6</f>
        <v>0</v>
      </c>
      <c r="K1102" s="61" t="n">
        <f aca="false">H1102*Resumo!$C$7</f>
        <v>0.868455</v>
      </c>
      <c r="L1102" s="61" t="n">
        <f aca="false">H1102*Resumo!$C$8</f>
        <v>0.868455</v>
      </c>
      <c r="M1102" s="61" t="n">
        <f aca="false">Resumo!$C$10*CEILING(G1102/100,1)</f>
        <v>1.05</v>
      </c>
      <c r="N1102" s="61" t="n">
        <f aca="false">Resumo!$C$9</f>
        <v>0</v>
      </c>
      <c r="O1102" s="61" t="n">
        <f aca="false">Resumo!$C$13</f>
        <v>13.55</v>
      </c>
      <c r="P1102" s="61" t="n">
        <f aca="false">Resumo!$C$14*CEILING(G1102,1)</f>
        <v>13.95</v>
      </c>
      <c r="Q1102" s="61" t="n">
        <f aca="false">SUM(I1102:P1102)*Resumo!$C$11</f>
        <v>0</v>
      </c>
      <c r="R1102" s="61" t="n">
        <f aca="false">SUM(I1102:Q1102)</f>
        <v>72.39691</v>
      </c>
      <c r="S1102" s="61" t="n">
        <f aca="false">R1102/(1-Resumo!$C$5)</f>
        <v>82.2692159090909</v>
      </c>
      <c r="T1102" s="61" t="n">
        <v>82.21</v>
      </c>
      <c r="U1102" s="61" t="n">
        <f aca="false">H1102*Resumo!$B$6</f>
        <v>0.41355</v>
      </c>
      <c r="V1102" s="61" t="n">
        <f aca="false">H1102*Resumo!$B$7</f>
        <v>0.8271</v>
      </c>
      <c r="W1102" s="61" t="n">
        <f aca="false">Resumo!$B$9</f>
        <v>1</v>
      </c>
      <c r="X1102" s="61" t="n">
        <f aca="false">Resumo!$B$10*CEILING(G1102/100,1)</f>
        <v>4.5</v>
      </c>
      <c r="Y1102" s="61" t="n">
        <f aca="false">Resumo!$B$12*CEILING(G1102,1)</f>
        <v>1.86</v>
      </c>
      <c r="Z1102" s="61" t="n">
        <f aca="false">Resumo!$B$14*CEILING(G1102,1)</f>
        <v>13.95</v>
      </c>
      <c r="AA1102" s="61" t="n">
        <f aca="false">SUM(T1102:Z1102)</f>
        <v>104.76065</v>
      </c>
      <c r="AB1102" s="61" t="n">
        <f aca="false">AA1102/(1-Resumo!$B$5)</f>
        <v>119.046193181818</v>
      </c>
      <c r="AC1102" s="61" t="n">
        <f aca="false">AB1102-S1102</f>
        <v>36.7769772727273</v>
      </c>
      <c r="AD1102" s="62" t="n">
        <f aca="false">AB1102/S1102-1</f>
        <v>0.447032062556261</v>
      </c>
      <c r="AE1102" s="60" t="str">
        <f aca="false">IF(AB1102&lt;S1102,"SIM","NÃO")</f>
        <v>NÃO</v>
      </c>
      <c r="AF1102" s="60" t="n">
        <v>2</v>
      </c>
      <c r="AG1102" s="60" t="n">
        <v>5</v>
      </c>
      <c r="AH1102" s="60" t="s">
        <v>382</v>
      </c>
      <c r="AI1102" s="61" t="n">
        <f aca="false">(T1102*(1-Painel!$C$40)+U1102+V1102+Painel!$C$41+Painel!$C$42*CEILING(G1102/100,1)+Painel!$C$43*CEILING(G1102,1)+Z1102)/(1-Resumo!$B$5)</f>
        <v>82.1833522727273</v>
      </c>
      <c r="AJ1102" s="60" t="str">
        <f aca="false">IF(AI1102&lt;S1102,"SIM","NÃO")</f>
        <v>SIM</v>
      </c>
    </row>
    <row r="1103" customFormat="false" ht="15" hidden="false" customHeight="false" outlineLevel="0" collapsed="false">
      <c r="A1103" s="59" t="n">
        <v>46250.7393402778</v>
      </c>
      <c r="B1103" s="60" t="s">
        <v>1419</v>
      </c>
      <c r="C1103" s="60" t="n">
        <v>25212672</v>
      </c>
      <c r="D1103" s="60" t="s">
        <v>48</v>
      </c>
      <c r="E1103" s="60" t="s">
        <v>23</v>
      </c>
      <c r="F1103" s="60" t="s">
        <v>236</v>
      </c>
      <c r="G1103" s="60" t="n">
        <v>59.9</v>
      </c>
      <c r="H1103" s="61" t="n">
        <v>901.58</v>
      </c>
      <c r="I1103" s="61" t="n">
        <v>70.98</v>
      </c>
      <c r="J1103" s="61" t="n">
        <f aca="false">H1103*Resumo!$C$6</f>
        <v>0</v>
      </c>
      <c r="K1103" s="61" t="n">
        <f aca="false">H1103*Resumo!$C$7</f>
        <v>1.893318</v>
      </c>
      <c r="L1103" s="61" t="n">
        <f aca="false">H1103*Resumo!$C$8</f>
        <v>1.893318</v>
      </c>
      <c r="M1103" s="61" t="n">
        <f aca="false">Resumo!$C$10*CEILING(G1103/100,1)</f>
        <v>1.05</v>
      </c>
      <c r="N1103" s="61" t="n">
        <f aca="false">Resumo!$C$9</f>
        <v>0</v>
      </c>
      <c r="O1103" s="61" t="n">
        <f aca="false">Resumo!$C$13</f>
        <v>13.55</v>
      </c>
      <c r="P1103" s="61" t="n">
        <f aca="false">Resumo!$C$14*CEILING(G1103,1)</f>
        <v>27</v>
      </c>
      <c r="Q1103" s="61" t="n">
        <f aca="false">SUM(I1103:P1103)*Resumo!$C$11</f>
        <v>0</v>
      </c>
      <c r="R1103" s="61" t="n">
        <f aca="false">SUM(I1103:Q1103)</f>
        <v>116.366636</v>
      </c>
      <c r="S1103" s="61" t="n">
        <f aca="false">R1103/(1-Resumo!$C$5)</f>
        <v>132.234813636364</v>
      </c>
      <c r="T1103" s="61" t="n">
        <v>112.3</v>
      </c>
      <c r="U1103" s="61" t="n">
        <f aca="false">H1103*Resumo!$B$6</f>
        <v>0.90158</v>
      </c>
      <c r="V1103" s="61" t="n">
        <f aca="false">H1103*Resumo!$B$7</f>
        <v>1.80316</v>
      </c>
      <c r="W1103" s="61" t="n">
        <f aca="false">Resumo!$B$9</f>
        <v>1</v>
      </c>
      <c r="X1103" s="61" t="n">
        <f aca="false">Resumo!$B$10*CEILING(G1103/100,1)</f>
        <v>4.5</v>
      </c>
      <c r="Y1103" s="61" t="n">
        <f aca="false">Resumo!$B$12*CEILING(G1103,1)</f>
        <v>3.6</v>
      </c>
      <c r="Z1103" s="61" t="n">
        <f aca="false">Resumo!$B$14*CEILING(G1103,1)</f>
        <v>27</v>
      </c>
      <c r="AA1103" s="61" t="n">
        <f aca="false">SUM(T1103:Z1103)</f>
        <v>151.10474</v>
      </c>
      <c r="AB1103" s="61" t="n">
        <f aca="false">AA1103/(1-Resumo!$B$5)</f>
        <v>171.709931818182</v>
      </c>
      <c r="AC1103" s="61" t="n">
        <f aca="false">AB1103-S1103</f>
        <v>39.4751181818182</v>
      </c>
      <c r="AD1103" s="62" t="n">
        <f aca="false">AB1103/S1103-1</f>
        <v>0.298522885889732</v>
      </c>
      <c r="AE1103" s="60" t="str">
        <f aca="false">IF(AB1103&lt;S1103,"SIM","NÃO")</f>
        <v>NÃO</v>
      </c>
      <c r="AF1103" s="60" t="n">
        <v>2</v>
      </c>
      <c r="AG1103" s="60" t="n">
        <v>5</v>
      </c>
      <c r="AH1103" s="60" t="s">
        <v>382</v>
      </c>
      <c r="AI1103" s="61" t="n">
        <f aca="false">(T1103*(1-Painel!$C$40)+U1103+V1103+Painel!$C$41+Painel!$C$42*CEILING(G1103/100,1)+Painel!$C$43*CEILING(G1103,1)+Z1103)/(1-Resumo!$B$5)</f>
        <v>121.586068181818</v>
      </c>
      <c r="AJ1103" s="60" t="str">
        <f aca="false">IF(AI1103&lt;S1103,"SIM","NÃO")</f>
        <v>SIM</v>
      </c>
    </row>
    <row r="1104" customFormat="false" ht="15" hidden="false" customHeight="false" outlineLevel="0" collapsed="false">
      <c r="A1104" s="59" t="n">
        <v>46250.749375</v>
      </c>
      <c r="B1104" s="60" t="s">
        <v>1420</v>
      </c>
      <c r="C1104" s="60" t="n">
        <v>24430500</v>
      </c>
      <c r="D1104" s="60" t="s">
        <v>47</v>
      </c>
      <c r="E1104" s="60" t="s">
        <v>23</v>
      </c>
      <c r="F1104" s="60" t="s">
        <v>236</v>
      </c>
      <c r="G1104" s="60" t="n">
        <v>52.3</v>
      </c>
      <c r="H1104" s="61" t="n">
        <v>640.18</v>
      </c>
      <c r="I1104" s="61" t="n">
        <v>70.98</v>
      </c>
      <c r="J1104" s="61" t="n">
        <f aca="false">H1104*Resumo!$C$6</f>
        <v>0</v>
      </c>
      <c r="K1104" s="61" t="n">
        <f aca="false">H1104*Resumo!$C$7</f>
        <v>1.344378</v>
      </c>
      <c r="L1104" s="61" t="n">
        <f aca="false">H1104*Resumo!$C$8</f>
        <v>1.344378</v>
      </c>
      <c r="M1104" s="61" t="n">
        <f aca="false">Resumo!$C$10*CEILING(G1104/100,1)</f>
        <v>1.05</v>
      </c>
      <c r="N1104" s="61" t="n">
        <f aca="false">Resumo!$C$9</f>
        <v>0</v>
      </c>
      <c r="O1104" s="61" t="n">
        <f aca="false">Resumo!$C$13</f>
        <v>13.55</v>
      </c>
      <c r="P1104" s="61" t="n">
        <f aca="false">Resumo!$C$14*CEILING(G1104,1)</f>
        <v>23.85</v>
      </c>
      <c r="Q1104" s="61" t="n">
        <f aca="false">SUM(I1104:P1104)*Resumo!$C$11</f>
        <v>0</v>
      </c>
      <c r="R1104" s="61" t="n">
        <f aca="false">SUM(I1104:Q1104)</f>
        <v>112.118756</v>
      </c>
      <c r="S1104" s="61" t="n">
        <f aca="false">R1104/(1-Resumo!$C$5)</f>
        <v>127.407677272727</v>
      </c>
      <c r="T1104" s="61" t="n">
        <v>128.14</v>
      </c>
      <c r="U1104" s="61" t="n">
        <f aca="false">H1104*Resumo!$B$6</f>
        <v>0.64018</v>
      </c>
      <c r="V1104" s="61" t="n">
        <f aca="false">H1104*Resumo!$B$7</f>
        <v>1.28036</v>
      </c>
      <c r="W1104" s="61" t="n">
        <f aca="false">Resumo!$B$9</f>
        <v>1</v>
      </c>
      <c r="X1104" s="61" t="n">
        <f aca="false">Resumo!$B$10*CEILING(G1104/100,1)</f>
        <v>4.5</v>
      </c>
      <c r="Y1104" s="61" t="n">
        <f aca="false">Resumo!$B$12*CEILING(G1104,1)</f>
        <v>3.18</v>
      </c>
      <c r="Z1104" s="61" t="n">
        <f aca="false">Resumo!$B$14*CEILING(G1104,1)</f>
        <v>23.85</v>
      </c>
      <c r="AA1104" s="61" t="n">
        <f aca="false">SUM(T1104:Z1104)</f>
        <v>162.59054</v>
      </c>
      <c r="AB1104" s="61" t="n">
        <f aca="false">AA1104/(1-Resumo!$B$5)</f>
        <v>184.761977272727</v>
      </c>
      <c r="AC1104" s="61" t="n">
        <f aca="false">AB1104-S1104</f>
        <v>57.3543</v>
      </c>
      <c r="AD1104" s="62" t="n">
        <f aca="false">AB1104/S1104-1</f>
        <v>0.450163610448906</v>
      </c>
      <c r="AE1104" s="60" t="str">
        <f aca="false">IF(AB1104&lt;S1104,"SIM","NÃO")</f>
        <v>NÃO</v>
      </c>
      <c r="AF1104" s="60" t="n">
        <v>2</v>
      </c>
      <c r="AG1104" s="60" t="n">
        <v>7</v>
      </c>
      <c r="AH1104" s="60" t="s">
        <v>382</v>
      </c>
      <c r="AI1104" s="61" t="n">
        <f aca="false">(T1104*(1-Painel!$C$40)+U1104+V1104+Painel!$C$41+Painel!$C$42*CEILING(G1104/100,1)+Painel!$C$43*CEILING(G1104,1)+Z1104)/(1-Resumo!$B$5)</f>
        <v>129.175386363636</v>
      </c>
      <c r="AJ1104" s="60" t="str">
        <f aca="false">IF(AI1104&lt;S1104,"SIM","NÃO")</f>
        <v>NÃO</v>
      </c>
    </row>
    <row r="1105" customFormat="false" ht="15" hidden="false" customHeight="false" outlineLevel="0" collapsed="false">
      <c r="A1105" s="59" t="n">
        <v>46250.7569328704</v>
      </c>
      <c r="B1105" s="60" t="s">
        <v>680</v>
      </c>
      <c r="C1105" s="60" t="n">
        <v>23860000</v>
      </c>
      <c r="D1105" s="60" t="s">
        <v>265</v>
      </c>
      <c r="E1105" s="60" t="s">
        <v>24</v>
      </c>
      <c r="F1105" s="60" t="s">
        <v>233</v>
      </c>
      <c r="G1105" s="60" t="n">
        <v>27</v>
      </c>
      <c r="H1105" s="61" t="n">
        <v>329.99</v>
      </c>
      <c r="I1105" s="61" t="n">
        <v>65.63</v>
      </c>
      <c r="J1105" s="61" t="n">
        <f aca="false">H1105*Resumo!$C$6</f>
        <v>0</v>
      </c>
      <c r="K1105" s="61" t="n">
        <f aca="false">H1105*Resumo!$C$7</f>
        <v>0.692979</v>
      </c>
      <c r="L1105" s="61" t="n">
        <f aca="false">H1105*Resumo!$C$8</f>
        <v>0.692979</v>
      </c>
      <c r="M1105" s="61" t="n">
        <f aca="false">Resumo!$C$10*CEILING(G1105/100,1)</f>
        <v>1.05</v>
      </c>
      <c r="N1105" s="61" t="n">
        <f aca="false">Resumo!$C$9</f>
        <v>0</v>
      </c>
      <c r="O1105" s="61" t="n">
        <f aca="false">Resumo!$C$13</f>
        <v>13.55</v>
      </c>
      <c r="P1105" s="61" t="n">
        <f aca="false">Resumo!$C$14*CEILING(G1105,1)</f>
        <v>12.15</v>
      </c>
      <c r="Q1105" s="61" t="n">
        <f aca="false">SUM(I1105:P1105)*Resumo!$C$11</f>
        <v>0</v>
      </c>
      <c r="R1105" s="61" t="n">
        <f aca="false">SUM(I1105:Q1105)</f>
        <v>93.765958</v>
      </c>
      <c r="S1105" s="61" t="n">
        <f aca="false">R1105/(1-Resumo!$C$5)</f>
        <v>106.552225</v>
      </c>
      <c r="T1105" s="61" t="n">
        <v>108.83</v>
      </c>
      <c r="U1105" s="61" t="n">
        <f aca="false">H1105*Resumo!$B$6</f>
        <v>0.32999</v>
      </c>
      <c r="V1105" s="61" t="n">
        <f aca="false">H1105*Resumo!$B$7</f>
        <v>0.65998</v>
      </c>
      <c r="W1105" s="61" t="n">
        <f aca="false">Resumo!$B$9</f>
        <v>1</v>
      </c>
      <c r="X1105" s="61" t="n">
        <f aca="false">Resumo!$B$10*CEILING(G1105/100,1)</f>
        <v>4.5</v>
      </c>
      <c r="Y1105" s="61" t="n">
        <f aca="false">Resumo!$B$12*CEILING(G1105,1)</f>
        <v>1.62</v>
      </c>
      <c r="Z1105" s="61" t="n">
        <f aca="false">Resumo!$B$14*CEILING(G1105,1)</f>
        <v>12.15</v>
      </c>
      <c r="AA1105" s="61" t="n">
        <f aca="false">SUM(T1105:Z1105)</f>
        <v>129.08997</v>
      </c>
      <c r="AB1105" s="61" t="n">
        <f aca="false">AA1105/(1-Resumo!$B$5)</f>
        <v>146.693147727273</v>
      </c>
      <c r="AC1105" s="61" t="n">
        <f aca="false">AB1105-S1105</f>
        <v>40.1409227272727</v>
      </c>
      <c r="AD1105" s="62" t="n">
        <f aca="false">AB1105/S1105-1</f>
        <v>0.376725335649</v>
      </c>
      <c r="AE1105" s="60" t="str">
        <f aca="false">IF(AB1105&lt;S1105,"SIM","NÃO")</f>
        <v>NÃO</v>
      </c>
      <c r="AF1105" s="60" t="n">
        <v>13</v>
      </c>
      <c r="AG1105" s="60" t="n">
        <v>10</v>
      </c>
      <c r="AH1105" s="60" t="s">
        <v>385</v>
      </c>
      <c r="AI1105" s="61" t="n">
        <f aca="false">(T1105*(1-Painel!$C$40)+U1105+V1105+Painel!$C$41+Painel!$C$42*CEILING(G1105/100,1)+Painel!$C$43*CEILING(G1105,1)+Z1105)/(1-Resumo!$B$5)</f>
        <v>100.120534090909</v>
      </c>
      <c r="AJ1105" s="60" t="str">
        <f aca="false">IF(AI1105&lt;S1105,"SIM","NÃO")</f>
        <v>SIM</v>
      </c>
    </row>
    <row r="1106" customFormat="false" ht="15" hidden="false" customHeight="false" outlineLevel="0" collapsed="false">
      <c r="A1106" s="59" t="n">
        <v>46250.7797106481</v>
      </c>
      <c r="B1106" s="60" t="s">
        <v>1421</v>
      </c>
      <c r="C1106" s="60" t="n">
        <v>21625060</v>
      </c>
      <c r="D1106" s="60" t="s">
        <v>46</v>
      </c>
      <c r="E1106" s="60" t="s">
        <v>22</v>
      </c>
      <c r="F1106" s="60" t="s">
        <v>236</v>
      </c>
      <c r="G1106" s="60" t="n">
        <v>52.3</v>
      </c>
      <c r="H1106" s="61" t="n">
        <v>577.12</v>
      </c>
      <c r="I1106" s="61" t="n">
        <v>58.6</v>
      </c>
      <c r="J1106" s="61" t="n">
        <f aca="false">H1106*Resumo!$C$6</f>
        <v>0</v>
      </c>
      <c r="K1106" s="61" t="n">
        <f aca="false">H1106*Resumo!$C$7</f>
        <v>1.211952</v>
      </c>
      <c r="L1106" s="61" t="n">
        <f aca="false">H1106*Resumo!$C$8</f>
        <v>1.211952</v>
      </c>
      <c r="M1106" s="61" t="n">
        <f aca="false">Resumo!$C$10*CEILING(G1106/100,1)</f>
        <v>1.05</v>
      </c>
      <c r="N1106" s="61" t="n">
        <f aca="false">Resumo!$C$9</f>
        <v>0</v>
      </c>
      <c r="O1106" s="61" t="n">
        <f aca="false">Resumo!$C$13</f>
        <v>13.55</v>
      </c>
      <c r="P1106" s="61" t="n">
        <f aca="false">Resumo!$C$14*CEILING(G1106,1)</f>
        <v>23.85</v>
      </c>
      <c r="Q1106" s="61" t="n">
        <f aca="false">SUM(I1106:P1106)*Resumo!$C$11</f>
        <v>0</v>
      </c>
      <c r="R1106" s="61" t="n">
        <f aca="false">SUM(I1106:Q1106)</f>
        <v>99.473904</v>
      </c>
      <c r="S1106" s="61" t="n">
        <f aca="false">R1106/(1-Resumo!$C$5)</f>
        <v>113.038527272727</v>
      </c>
      <c r="T1106" s="61" t="n">
        <v>112.3</v>
      </c>
      <c r="U1106" s="61" t="n">
        <f aca="false">H1106*Resumo!$B$6</f>
        <v>0.57712</v>
      </c>
      <c r="V1106" s="61" t="n">
        <f aca="false">H1106*Resumo!$B$7</f>
        <v>1.15424</v>
      </c>
      <c r="W1106" s="61" t="n">
        <f aca="false">Resumo!$B$9</f>
        <v>1</v>
      </c>
      <c r="X1106" s="61" t="n">
        <f aca="false">Resumo!$B$10*CEILING(G1106/100,1)</f>
        <v>4.5</v>
      </c>
      <c r="Y1106" s="61" t="n">
        <f aca="false">Resumo!$B$12*CEILING(G1106,1)</f>
        <v>3.18</v>
      </c>
      <c r="Z1106" s="61" t="n">
        <f aca="false">Resumo!$B$14*CEILING(G1106,1)</f>
        <v>23.85</v>
      </c>
      <c r="AA1106" s="61" t="n">
        <f aca="false">SUM(T1106:Z1106)</f>
        <v>146.56136</v>
      </c>
      <c r="AB1106" s="61" t="n">
        <f aca="false">AA1106/(1-Resumo!$B$5)</f>
        <v>166.547</v>
      </c>
      <c r="AC1106" s="61" t="n">
        <f aca="false">AB1106-S1106</f>
        <v>53.5084727272727</v>
      </c>
      <c r="AD1106" s="62" t="n">
        <f aca="false">AB1106/S1106-1</f>
        <v>0.473364913877312</v>
      </c>
      <c r="AE1106" s="60" t="str">
        <f aca="false">IF(AB1106&lt;S1106,"SIM","NÃO")</f>
        <v>NÃO</v>
      </c>
      <c r="AF1106" s="60" t="n">
        <v>2</v>
      </c>
      <c r="AG1106" s="60" t="n">
        <v>5</v>
      </c>
      <c r="AH1106" s="60" t="s">
        <v>382</v>
      </c>
      <c r="AI1106" s="61" t="n">
        <f aca="false">(T1106*(1-Painel!$C$40)+U1106+V1106+Painel!$C$41+Painel!$C$42*CEILING(G1106/100,1)+Painel!$C$43*CEILING(G1106,1)+Z1106)/(1-Resumo!$B$5)</f>
        <v>116.900409090909</v>
      </c>
      <c r="AJ1106" s="60" t="str">
        <f aca="false">IF(AI1106&lt;S1106,"SIM","NÃO")</f>
        <v>NÃO</v>
      </c>
    </row>
    <row r="1107" customFormat="false" ht="15" hidden="false" customHeight="false" outlineLevel="0" collapsed="false">
      <c r="A1107" s="59" t="n">
        <v>46250.8038078704</v>
      </c>
      <c r="B1107" s="60" t="s">
        <v>1422</v>
      </c>
      <c r="C1107" s="60" t="n">
        <v>23933115</v>
      </c>
      <c r="D1107" s="60" t="s">
        <v>218</v>
      </c>
      <c r="E1107" s="60" t="s">
        <v>24</v>
      </c>
      <c r="F1107" s="60" t="s">
        <v>236</v>
      </c>
      <c r="G1107" s="60" t="n">
        <v>59.9</v>
      </c>
      <c r="H1107" s="61" t="n">
        <v>901.58</v>
      </c>
      <c r="I1107" s="61" t="n">
        <v>83.58</v>
      </c>
      <c r="J1107" s="61" t="n">
        <f aca="false">H1107*Resumo!$C$6</f>
        <v>0</v>
      </c>
      <c r="K1107" s="61" t="n">
        <f aca="false">H1107*Resumo!$C$7</f>
        <v>1.893318</v>
      </c>
      <c r="L1107" s="61" t="n">
        <f aca="false">H1107*Resumo!$C$8</f>
        <v>1.893318</v>
      </c>
      <c r="M1107" s="61" t="n">
        <f aca="false">Resumo!$C$10*CEILING(G1107/100,1)</f>
        <v>1.05</v>
      </c>
      <c r="N1107" s="61" t="n">
        <f aca="false">Resumo!$C$9</f>
        <v>0</v>
      </c>
      <c r="O1107" s="61" t="n">
        <f aca="false">Resumo!$C$13</f>
        <v>13.55</v>
      </c>
      <c r="P1107" s="61" t="n">
        <f aca="false">Resumo!$C$14*CEILING(G1107,1)</f>
        <v>27</v>
      </c>
      <c r="Q1107" s="61" t="n">
        <f aca="false">SUM(I1107:P1107)*Resumo!$C$11</f>
        <v>0</v>
      </c>
      <c r="R1107" s="61" t="n">
        <f aca="false">SUM(I1107:Q1107)</f>
        <v>128.966636</v>
      </c>
      <c r="S1107" s="61" t="n">
        <f aca="false">R1107/(1-Resumo!$C$5)</f>
        <v>146.552995454545</v>
      </c>
      <c r="T1107" s="61" t="n">
        <v>142.32</v>
      </c>
      <c r="U1107" s="61" t="n">
        <f aca="false">H1107*Resumo!$B$6</f>
        <v>0.90158</v>
      </c>
      <c r="V1107" s="61" t="n">
        <f aca="false">H1107*Resumo!$B$7</f>
        <v>1.80316</v>
      </c>
      <c r="W1107" s="61" t="n">
        <f aca="false">Resumo!$B$9</f>
        <v>1</v>
      </c>
      <c r="X1107" s="61" t="n">
        <f aca="false">Resumo!$B$10*CEILING(G1107/100,1)</f>
        <v>4.5</v>
      </c>
      <c r="Y1107" s="61" t="n">
        <f aca="false">Resumo!$B$12*CEILING(G1107,1)</f>
        <v>3.6</v>
      </c>
      <c r="Z1107" s="61" t="n">
        <f aca="false">Resumo!$B$14*CEILING(G1107,1)</f>
        <v>27</v>
      </c>
      <c r="AA1107" s="61" t="n">
        <f aca="false">SUM(T1107:Z1107)</f>
        <v>181.12474</v>
      </c>
      <c r="AB1107" s="61" t="n">
        <f aca="false">AA1107/(1-Resumo!$B$5)</f>
        <v>205.823568181818</v>
      </c>
      <c r="AC1107" s="61" t="n">
        <f aca="false">AB1107-S1107</f>
        <v>59.2705727272727</v>
      </c>
      <c r="AD1107" s="62" t="n">
        <f aca="false">AB1107/S1107-1</f>
        <v>0.404430987871933</v>
      </c>
      <c r="AE1107" s="60" t="str">
        <f aca="false">IF(AB1107&lt;S1107,"SIM","NÃO")</f>
        <v>NÃO</v>
      </c>
      <c r="AF1107" s="60" t="n">
        <v>13</v>
      </c>
      <c r="AG1107" s="60" t="n">
        <v>10</v>
      </c>
      <c r="AH1107" s="60" t="s">
        <v>382</v>
      </c>
      <c r="AI1107" s="61" t="n">
        <f aca="false">(T1107*(1-Painel!$C$40)+U1107+V1107+Painel!$C$41+Painel!$C$42*CEILING(G1107/100,1)+Painel!$C$43*CEILING(G1107,1)+Z1107)/(1-Resumo!$B$5)</f>
        <v>144.442204545455</v>
      </c>
      <c r="AJ1107" s="60" t="str">
        <f aca="false">IF(AI1107&lt;S1107,"SIM","NÃO")</f>
        <v>SIM</v>
      </c>
    </row>
    <row r="1108" customFormat="false" ht="15" hidden="false" customHeight="false" outlineLevel="0" collapsed="false">
      <c r="A1108" s="59" t="n">
        <v>46250.8123726852</v>
      </c>
      <c r="B1108" s="60" t="s">
        <v>989</v>
      </c>
      <c r="C1108" s="60" t="n">
        <v>21230354</v>
      </c>
      <c r="D1108" s="60" t="s">
        <v>46</v>
      </c>
      <c r="E1108" s="60" t="s">
        <v>22</v>
      </c>
      <c r="F1108" s="60" t="s">
        <v>233</v>
      </c>
      <c r="G1108" s="60" t="n">
        <v>27.5</v>
      </c>
      <c r="H1108" s="61" t="n">
        <v>342.07</v>
      </c>
      <c r="I1108" s="61" t="n">
        <v>42.11</v>
      </c>
      <c r="J1108" s="61" t="n">
        <f aca="false">H1108*Resumo!$C$6</f>
        <v>0</v>
      </c>
      <c r="K1108" s="61" t="n">
        <f aca="false">H1108*Resumo!$C$7</f>
        <v>0.718347</v>
      </c>
      <c r="L1108" s="61" t="n">
        <f aca="false">H1108*Resumo!$C$8</f>
        <v>0.718347</v>
      </c>
      <c r="M1108" s="61" t="n">
        <f aca="false">Resumo!$C$10*CEILING(G1108/100,1)</f>
        <v>1.05</v>
      </c>
      <c r="N1108" s="61" t="n">
        <f aca="false">Resumo!$C$9</f>
        <v>0</v>
      </c>
      <c r="O1108" s="61" t="n">
        <f aca="false">Resumo!$C$13</f>
        <v>13.55</v>
      </c>
      <c r="P1108" s="61" t="n">
        <f aca="false">Resumo!$C$14*CEILING(G1108,1)</f>
        <v>12.6</v>
      </c>
      <c r="Q1108" s="61" t="n">
        <f aca="false">SUM(I1108:P1108)*Resumo!$C$11</f>
        <v>0</v>
      </c>
      <c r="R1108" s="61" t="n">
        <f aca="false">SUM(I1108:Q1108)</f>
        <v>70.746694</v>
      </c>
      <c r="S1108" s="61" t="n">
        <f aca="false">R1108/(1-Resumo!$C$5)</f>
        <v>80.3939704545454</v>
      </c>
      <c r="T1108" s="61" t="n">
        <v>82.21</v>
      </c>
      <c r="U1108" s="61" t="n">
        <f aca="false">H1108*Resumo!$B$6</f>
        <v>0.34207</v>
      </c>
      <c r="V1108" s="61" t="n">
        <f aca="false">H1108*Resumo!$B$7</f>
        <v>0.68414</v>
      </c>
      <c r="W1108" s="61" t="n">
        <f aca="false">Resumo!$B$9</f>
        <v>1</v>
      </c>
      <c r="X1108" s="61" t="n">
        <f aca="false">Resumo!$B$10*CEILING(G1108/100,1)</f>
        <v>4.5</v>
      </c>
      <c r="Y1108" s="61" t="n">
        <f aca="false">Resumo!$B$12*CEILING(G1108,1)</f>
        <v>1.68</v>
      </c>
      <c r="Z1108" s="61" t="n">
        <f aca="false">Resumo!$B$14*CEILING(G1108,1)</f>
        <v>12.6</v>
      </c>
      <c r="AA1108" s="61" t="n">
        <f aca="false">SUM(T1108:Z1108)</f>
        <v>103.01621</v>
      </c>
      <c r="AB1108" s="61" t="n">
        <f aca="false">AA1108/(1-Resumo!$B$5)</f>
        <v>117.063875</v>
      </c>
      <c r="AC1108" s="61" t="n">
        <f aca="false">AB1108-S1108</f>
        <v>36.6699045454545</v>
      </c>
      <c r="AD1108" s="62" t="n">
        <f aca="false">AB1108/S1108-1</f>
        <v>0.456127547104887</v>
      </c>
      <c r="AE1108" s="60" t="str">
        <f aca="false">IF(AB1108&lt;S1108,"SIM","NÃO")</f>
        <v>NÃO</v>
      </c>
      <c r="AF1108" s="60" t="n">
        <v>2</v>
      </c>
      <c r="AG1108" s="60" t="n">
        <v>5</v>
      </c>
      <c r="AH1108" s="60" t="s">
        <v>382</v>
      </c>
      <c r="AI1108" s="61" t="n">
        <f aca="false">(T1108*(1-Painel!$C$40)+U1108+V1108+Painel!$C$41+Painel!$C$42*CEILING(G1108/100,1)+Painel!$C$43*CEILING(G1108,1)+Z1108)/(1-Resumo!$B$5)</f>
        <v>80.4055795454545</v>
      </c>
      <c r="AJ1108" s="60" t="str">
        <f aca="false">IF(AI1108&lt;S1108,"SIM","NÃO")</f>
        <v>NÃO</v>
      </c>
    </row>
    <row r="1109" customFormat="false" ht="15" hidden="false" customHeight="false" outlineLevel="0" collapsed="false">
      <c r="A1109" s="59" t="n">
        <v>46250.8284953704</v>
      </c>
      <c r="B1109" s="60" t="s">
        <v>1423</v>
      </c>
      <c r="C1109" s="60" t="n">
        <v>21073160</v>
      </c>
      <c r="D1109" s="60" t="s">
        <v>46</v>
      </c>
      <c r="E1109" s="60" t="s">
        <v>22</v>
      </c>
      <c r="F1109" s="60" t="s">
        <v>234</v>
      </c>
      <c r="G1109" s="60" t="n">
        <v>39.8</v>
      </c>
      <c r="H1109" s="61" t="n">
        <v>449.99</v>
      </c>
      <c r="I1109" s="61" t="n">
        <v>48.35</v>
      </c>
      <c r="J1109" s="61" t="n">
        <f aca="false">H1109*Resumo!$C$6</f>
        <v>0</v>
      </c>
      <c r="K1109" s="61" t="n">
        <f aca="false">H1109*Resumo!$C$7</f>
        <v>0.944979</v>
      </c>
      <c r="L1109" s="61" t="n">
        <f aca="false">H1109*Resumo!$C$8</f>
        <v>0.944979</v>
      </c>
      <c r="M1109" s="61" t="n">
        <f aca="false">Resumo!$C$10*CEILING(G1109/100,1)</f>
        <v>1.05</v>
      </c>
      <c r="N1109" s="61" t="n">
        <f aca="false">Resumo!$C$9</f>
        <v>0</v>
      </c>
      <c r="O1109" s="61" t="n">
        <f aca="false">Resumo!$C$13</f>
        <v>13.55</v>
      </c>
      <c r="P1109" s="61" t="n">
        <f aca="false">Resumo!$C$14*CEILING(G1109,1)</f>
        <v>18</v>
      </c>
      <c r="Q1109" s="61" t="n">
        <f aca="false">SUM(I1109:P1109)*Resumo!$C$11</f>
        <v>0</v>
      </c>
      <c r="R1109" s="61" t="n">
        <f aca="false">SUM(I1109:Q1109)</f>
        <v>82.839958</v>
      </c>
      <c r="S1109" s="61" t="n">
        <f aca="false">R1109/(1-Resumo!$C$5)</f>
        <v>94.1363159090909</v>
      </c>
      <c r="T1109" s="61" t="n">
        <v>93.97</v>
      </c>
      <c r="U1109" s="61" t="n">
        <f aca="false">H1109*Resumo!$B$6</f>
        <v>0.44999</v>
      </c>
      <c r="V1109" s="61" t="n">
        <f aca="false">H1109*Resumo!$B$7</f>
        <v>0.89998</v>
      </c>
      <c r="W1109" s="61" t="n">
        <f aca="false">Resumo!$B$9</f>
        <v>1</v>
      </c>
      <c r="X1109" s="61" t="n">
        <f aca="false">Resumo!$B$10*CEILING(G1109/100,1)</f>
        <v>4.5</v>
      </c>
      <c r="Y1109" s="61" t="n">
        <f aca="false">Resumo!$B$12*CEILING(G1109,1)</f>
        <v>2.4</v>
      </c>
      <c r="Z1109" s="61" t="n">
        <f aca="false">Resumo!$B$14*CEILING(G1109,1)</f>
        <v>18</v>
      </c>
      <c r="AA1109" s="61" t="n">
        <f aca="false">SUM(T1109:Z1109)</f>
        <v>121.21997</v>
      </c>
      <c r="AB1109" s="61" t="n">
        <f aca="false">AA1109/(1-Resumo!$B$5)</f>
        <v>137.749965909091</v>
      </c>
      <c r="AC1109" s="61" t="n">
        <f aca="false">AB1109-S1109</f>
        <v>43.61365</v>
      </c>
      <c r="AD1109" s="62" t="n">
        <f aca="false">AB1109/S1109-1</f>
        <v>0.463303132046494</v>
      </c>
      <c r="AE1109" s="60" t="str">
        <f aca="false">IF(AB1109&lt;S1109,"SIM","NÃO")</f>
        <v>NÃO</v>
      </c>
      <c r="AF1109" s="60" t="n">
        <v>2</v>
      </c>
      <c r="AG1109" s="60" t="n">
        <v>5</v>
      </c>
      <c r="AH1109" s="60" t="s">
        <v>382</v>
      </c>
      <c r="AI1109" s="61" t="n">
        <f aca="false">(T1109*(1-Painel!$C$40)+U1109+V1109+Painel!$C$41+Painel!$C$42*CEILING(G1109/100,1)+Painel!$C$43*CEILING(G1109,1)+Z1109)/(1-Resumo!$B$5)</f>
        <v>95.8634886363636</v>
      </c>
      <c r="AJ1109" s="60" t="str">
        <f aca="false">IF(AI1109&lt;S1109,"SIM","NÃO")</f>
        <v>NÃO</v>
      </c>
    </row>
    <row r="1110" customFormat="false" ht="15" hidden="false" customHeight="false" outlineLevel="0" collapsed="false">
      <c r="A1110" s="59" t="n">
        <v>46250.8415856482</v>
      </c>
      <c r="B1110" s="60" t="s">
        <v>1424</v>
      </c>
      <c r="C1110" s="60" t="n">
        <v>26296528</v>
      </c>
      <c r="D1110" s="60" t="s">
        <v>49</v>
      </c>
      <c r="E1110" s="60" t="s">
        <v>23</v>
      </c>
      <c r="F1110" s="60" t="s">
        <v>233</v>
      </c>
      <c r="G1110" s="60" t="n">
        <v>30.5</v>
      </c>
      <c r="H1110" s="61" t="n">
        <v>413.55</v>
      </c>
      <c r="I1110" s="61" t="n">
        <v>58.8</v>
      </c>
      <c r="J1110" s="61" t="n">
        <f aca="false">H1110*Resumo!$C$6</f>
        <v>0</v>
      </c>
      <c r="K1110" s="61" t="n">
        <f aca="false">H1110*Resumo!$C$7</f>
        <v>0.868455</v>
      </c>
      <c r="L1110" s="61" t="n">
        <f aca="false">H1110*Resumo!$C$8</f>
        <v>0.868455</v>
      </c>
      <c r="M1110" s="61" t="n">
        <f aca="false">Resumo!$C$10*CEILING(G1110/100,1)</f>
        <v>1.05</v>
      </c>
      <c r="N1110" s="61" t="n">
        <f aca="false">Resumo!$C$9</f>
        <v>0</v>
      </c>
      <c r="O1110" s="61" t="n">
        <f aca="false">Resumo!$C$13</f>
        <v>13.55</v>
      </c>
      <c r="P1110" s="61" t="n">
        <f aca="false">Resumo!$C$14*CEILING(G1110,1)</f>
        <v>13.95</v>
      </c>
      <c r="Q1110" s="61" t="n">
        <f aca="false">SUM(I1110:P1110)*Resumo!$C$11</f>
        <v>0</v>
      </c>
      <c r="R1110" s="61" t="n">
        <f aca="false">SUM(I1110:Q1110)</f>
        <v>89.08691</v>
      </c>
      <c r="S1110" s="61" t="n">
        <f aca="false">R1110/(1-Resumo!$C$5)</f>
        <v>101.235125</v>
      </c>
      <c r="T1110" s="61" t="n">
        <v>82.21</v>
      </c>
      <c r="U1110" s="61" t="n">
        <f aca="false">H1110*Resumo!$B$6</f>
        <v>0.41355</v>
      </c>
      <c r="V1110" s="61" t="n">
        <f aca="false">H1110*Resumo!$B$7</f>
        <v>0.8271</v>
      </c>
      <c r="W1110" s="61" t="n">
        <f aca="false">Resumo!$B$9</f>
        <v>1</v>
      </c>
      <c r="X1110" s="61" t="n">
        <f aca="false">Resumo!$B$10*CEILING(G1110/100,1)</f>
        <v>4.5</v>
      </c>
      <c r="Y1110" s="61" t="n">
        <f aca="false">Resumo!$B$12*CEILING(G1110,1)</f>
        <v>1.86</v>
      </c>
      <c r="Z1110" s="61" t="n">
        <f aca="false">Resumo!$B$14*CEILING(G1110,1)</f>
        <v>13.95</v>
      </c>
      <c r="AA1110" s="61" t="n">
        <f aca="false">SUM(T1110:Z1110)</f>
        <v>104.76065</v>
      </c>
      <c r="AB1110" s="61" t="n">
        <f aca="false">AA1110/(1-Resumo!$B$5)</f>
        <v>119.046193181818</v>
      </c>
      <c r="AC1110" s="61" t="n">
        <f aca="false">AB1110-S1110</f>
        <v>17.8110681818182</v>
      </c>
      <c r="AD1110" s="62" t="n">
        <f aca="false">AB1110/S1110-1</f>
        <v>0.175937632139222</v>
      </c>
      <c r="AE1110" s="60" t="str">
        <f aca="false">IF(AB1110&lt;S1110,"SIM","NÃO")</f>
        <v>NÃO</v>
      </c>
      <c r="AF1110" s="60" t="n">
        <v>2</v>
      </c>
      <c r="AG1110" s="60" t="n">
        <v>5</v>
      </c>
      <c r="AH1110" s="60" t="s">
        <v>382</v>
      </c>
      <c r="AI1110" s="61" t="n">
        <f aca="false">(T1110*(1-Painel!$C$40)+U1110+V1110+Painel!$C$41+Painel!$C$42*CEILING(G1110/100,1)+Painel!$C$43*CEILING(G1110,1)+Z1110)/(1-Resumo!$B$5)</f>
        <v>82.1833522727273</v>
      </c>
      <c r="AJ1110" s="60" t="str">
        <f aca="false">IF(AI1110&lt;S1110,"SIM","NÃO")</f>
        <v>SIM</v>
      </c>
    </row>
    <row r="1111" customFormat="false" ht="15" hidden="false" customHeight="false" outlineLevel="0" collapsed="false">
      <c r="A1111" s="59" t="n">
        <v>46250.8458101852</v>
      </c>
      <c r="B1111" s="60" t="s">
        <v>1425</v>
      </c>
      <c r="C1111" s="60" t="n">
        <v>25812742</v>
      </c>
      <c r="D1111" s="60" t="s">
        <v>274</v>
      </c>
      <c r="E1111" s="60" t="s">
        <v>24</v>
      </c>
      <c r="F1111" s="60" t="s">
        <v>237</v>
      </c>
      <c r="G1111" s="60" t="n">
        <v>68.74</v>
      </c>
      <c r="H1111" s="61" t="n">
        <v>999.99</v>
      </c>
      <c r="I1111" s="61" t="n">
        <v>90.2</v>
      </c>
      <c r="J1111" s="61" t="n">
        <f aca="false">H1111*Resumo!$C$6</f>
        <v>0</v>
      </c>
      <c r="K1111" s="61" t="n">
        <f aca="false">H1111*Resumo!$C$7</f>
        <v>2.099979</v>
      </c>
      <c r="L1111" s="61" t="n">
        <f aca="false">H1111*Resumo!$C$8</f>
        <v>2.099979</v>
      </c>
      <c r="M1111" s="61" t="n">
        <f aca="false">Resumo!$C$10*CEILING(G1111/100,1)</f>
        <v>1.05</v>
      </c>
      <c r="N1111" s="61" t="n">
        <f aca="false">Resumo!$C$9</f>
        <v>0</v>
      </c>
      <c r="O1111" s="61" t="n">
        <f aca="false">Resumo!$C$13</f>
        <v>13.55</v>
      </c>
      <c r="P1111" s="61" t="n">
        <f aca="false">Resumo!$C$14*CEILING(G1111,1)</f>
        <v>31.05</v>
      </c>
      <c r="Q1111" s="61" t="n">
        <f aca="false">SUM(I1111:P1111)*Resumo!$C$11</f>
        <v>0</v>
      </c>
      <c r="R1111" s="61" t="n">
        <f aca="false">SUM(I1111:Q1111)</f>
        <v>140.049958</v>
      </c>
      <c r="S1111" s="61" t="n">
        <f aca="false">R1111/(1-Resumo!$C$5)</f>
        <v>159.147679545455</v>
      </c>
      <c r="T1111" s="61" t="n">
        <v>166.05</v>
      </c>
      <c r="U1111" s="61" t="n">
        <f aca="false">H1111*Resumo!$B$6</f>
        <v>0.99999</v>
      </c>
      <c r="V1111" s="61" t="n">
        <f aca="false">H1111*Resumo!$B$7</f>
        <v>1.99998</v>
      </c>
      <c r="W1111" s="61" t="n">
        <f aca="false">Resumo!$B$9</f>
        <v>1</v>
      </c>
      <c r="X1111" s="61" t="n">
        <f aca="false">Resumo!$B$10*CEILING(G1111/100,1)</f>
        <v>4.5</v>
      </c>
      <c r="Y1111" s="61" t="n">
        <f aca="false">Resumo!$B$12*CEILING(G1111,1)</f>
        <v>4.14</v>
      </c>
      <c r="Z1111" s="61" t="n">
        <f aca="false">Resumo!$B$14*CEILING(G1111,1)</f>
        <v>31.05</v>
      </c>
      <c r="AA1111" s="61" t="n">
        <f aca="false">SUM(T1111:Z1111)</f>
        <v>209.73997</v>
      </c>
      <c r="AB1111" s="61" t="n">
        <f aca="false">AA1111/(1-Resumo!$B$5)</f>
        <v>238.340875</v>
      </c>
      <c r="AC1111" s="61" t="n">
        <f aca="false">AB1111-S1111</f>
        <v>79.1931954545455</v>
      </c>
      <c r="AD1111" s="62" t="n">
        <f aca="false">AB1111/S1111-1</f>
        <v>0.497608232056735</v>
      </c>
      <c r="AE1111" s="60" t="str">
        <f aca="false">IF(AB1111&lt;S1111,"SIM","NÃO")</f>
        <v>NÃO</v>
      </c>
      <c r="AF1111" s="60" t="n">
        <v>13</v>
      </c>
      <c r="AG1111" s="60" t="n">
        <v>8</v>
      </c>
      <c r="AH1111" s="60" t="s">
        <v>385</v>
      </c>
      <c r="AI1111" s="61" t="n">
        <f aca="false">(T1111*(1-Painel!$C$40)+U1111+V1111+Painel!$C$41+Painel!$C$42*CEILING(G1111/100,1)+Painel!$C$43*CEILING(G1111,1)+Z1111)/(1-Resumo!$B$5)</f>
        <v>167.447125</v>
      </c>
      <c r="AJ1111" s="60" t="str">
        <f aca="false">IF(AI1111&lt;S1111,"SIM","NÃO")</f>
        <v>NÃO</v>
      </c>
    </row>
    <row r="1112" customFormat="false" ht="15" hidden="false" customHeight="false" outlineLevel="0" collapsed="false">
      <c r="A1112" s="59" t="n">
        <v>46250.8520717593</v>
      </c>
      <c r="B1112" s="60" t="s">
        <v>1426</v>
      </c>
      <c r="C1112" s="60" t="n">
        <v>20920050</v>
      </c>
      <c r="D1112" s="60" t="s">
        <v>46</v>
      </c>
      <c r="E1112" s="60" t="s">
        <v>22</v>
      </c>
      <c r="F1112" s="60" t="s">
        <v>236</v>
      </c>
      <c r="G1112" s="60" t="n">
        <v>52.3</v>
      </c>
      <c r="H1112" s="61" t="n">
        <v>699.99</v>
      </c>
      <c r="I1112" s="61" t="n">
        <v>58.6</v>
      </c>
      <c r="J1112" s="61" t="n">
        <f aca="false">H1112*Resumo!$C$6</f>
        <v>0</v>
      </c>
      <c r="K1112" s="61" t="n">
        <f aca="false">H1112*Resumo!$C$7</f>
        <v>1.469979</v>
      </c>
      <c r="L1112" s="61" t="n">
        <f aca="false">H1112*Resumo!$C$8</f>
        <v>1.469979</v>
      </c>
      <c r="M1112" s="61" t="n">
        <f aca="false">Resumo!$C$10*CEILING(G1112/100,1)</f>
        <v>1.05</v>
      </c>
      <c r="N1112" s="61" t="n">
        <f aca="false">Resumo!$C$9</f>
        <v>0</v>
      </c>
      <c r="O1112" s="61" t="n">
        <f aca="false">Resumo!$C$13</f>
        <v>13.55</v>
      </c>
      <c r="P1112" s="61" t="n">
        <f aca="false">Resumo!$C$14*CEILING(G1112,1)</f>
        <v>23.85</v>
      </c>
      <c r="Q1112" s="61" t="n">
        <f aca="false">SUM(I1112:P1112)*Resumo!$C$11</f>
        <v>0</v>
      </c>
      <c r="R1112" s="61" t="n">
        <f aca="false">SUM(I1112:Q1112)</f>
        <v>99.989958</v>
      </c>
      <c r="S1112" s="61" t="n">
        <f aca="false">R1112/(1-Resumo!$C$5)</f>
        <v>113.624952272727</v>
      </c>
      <c r="T1112" s="61" t="n">
        <v>112.3</v>
      </c>
      <c r="U1112" s="61" t="n">
        <f aca="false">H1112*Resumo!$B$6</f>
        <v>0.69999</v>
      </c>
      <c r="V1112" s="61" t="n">
        <f aca="false">H1112*Resumo!$B$7</f>
        <v>1.39998</v>
      </c>
      <c r="W1112" s="61" t="n">
        <f aca="false">Resumo!$B$9</f>
        <v>1</v>
      </c>
      <c r="X1112" s="61" t="n">
        <f aca="false">Resumo!$B$10*CEILING(G1112/100,1)</f>
        <v>4.5</v>
      </c>
      <c r="Y1112" s="61" t="n">
        <f aca="false">Resumo!$B$12*CEILING(G1112,1)</f>
        <v>3.18</v>
      </c>
      <c r="Z1112" s="61" t="n">
        <f aca="false">Resumo!$B$14*CEILING(G1112,1)</f>
        <v>23.85</v>
      </c>
      <c r="AA1112" s="61" t="n">
        <f aca="false">SUM(T1112:Z1112)</f>
        <v>146.92997</v>
      </c>
      <c r="AB1112" s="61" t="n">
        <f aca="false">AA1112/(1-Resumo!$B$5)</f>
        <v>166.965875</v>
      </c>
      <c r="AC1112" s="61" t="n">
        <f aca="false">AB1112-S1112</f>
        <v>53.3409227272727</v>
      </c>
      <c r="AD1112" s="62" t="n">
        <f aca="false">AB1112/S1112-1</f>
        <v>0.469447261894039</v>
      </c>
      <c r="AE1112" s="60" t="str">
        <f aca="false">IF(AB1112&lt;S1112,"SIM","NÃO")</f>
        <v>NÃO</v>
      </c>
      <c r="AF1112" s="60" t="n">
        <v>2</v>
      </c>
      <c r="AG1112" s="60" t="n">
        <v>5</v>
      </c>
      <c r="AH1112" s="60" t="s">
        <v>382</v>
      </c>
      <c r="AI1112" s="61" t="n">
        <f aca="false">(T1112*(1-Painel!$C$40)+U1112+V1112+Painel!$C$41+Painel!$C$42*CEILING(G1112/100,1)+Painel!$C$43*CEILING(G1112,1)+Z1112)/(1-Resumo!$B$5)</f>
        <v>117.319284090909</v>
      </c>
      <c r="AJ1112" s="60" t="str">
        <f aca="false">IF(AI1112&lt;S1112,"SIM","NÃO")</f>
        <v>NÃO</v>
      </c>
    </row>
    <row r="1113" customFormat="false" ht="15" hidden="false" customHeight="false" outlineLevel="0" collapsed="false">
      <c r="A1113" s="59" t="n">
        <v>46250.8632291667</v>
      </c>
      <c r="B1113" s="60" t="s">
        <v>1427</v>
      </c>
      <c r="C1113" s="60" t="n">
        <v>26115460</v>
      </c>
      <c r="D1113" s="60" t="s">
        <v>52</v>
      </c>
      <c r="E1113" s="60" t="s">
        <v>23</v>
      </c>
      <c r="F1113" s="60" t="s">
        <v>237</v>
      </c>
      <c r="G1113" s="60" t="n">
        <v>66.8</v>
      </c>
      <c r="H1113" s="61" t="n">
        <v>749.99</v>
      </c>
      <c r="I1113" s="61" t="n">
        <v>76.55</v>
      </c>
      <c r="J1113" s="61" t="n">
        <f aca="false">H1113*Resumo!$C$6</f>
        <v>0</v>
      </c>
      <c r="K1113" s="61" t="n">
        <f aca="false">H1113*Resumo!$C$7</f>
        <v>1.574979</v>
      </c>
      <c r="L1113" s="61" t="n">
        <f aca="false">H1113*Resumo!$C$8</f>
        <v>1.574979</v>
      </c>
      <c r="M1113" s="61" t="n">
        <f aca="false">Resumo!$C$10*CEILING(G1113/100,1)</f>
        <v>1.05</v>
      </c>
      <c r="N1113" s="61" t="n">
        <f aca="false">Resumo!$C$9</f>
        <v>0</v>
      </c>
      <c r="O1113" s="61" t="n">
        <f aca="false">Resumo!$C$13</f>
        <v>13.55</v>
      </c>
      <c r="P1113" s="61" t="n">
        <f aca="false">Resumo!$C$14*CEILING(G1113,1)</f>
        <v>30.15</v>
      </c>
      <c r="Q1113" s="61" t="n">
        <f aca="false">SUM(I1113:P1113)*Resumo!$C$11</f>
        <v>0</v>
      </c>
      <c r="R1113" s="61" t="n">
        <f aca="false">SUM(I1113:Q1113)</f>
        <v>124.449958</v>
      </c>
      <c r="S1113" s="61" t="n">
        <f aca="false">R1113/(1-Resumo!$C$5)</f>
        <v>141.420406818182</v>
      </c>
      <c r="T1113" s="61" t="n">
        <v>131.02</v>
      </c>
      <c r="U1113" s="61" t="n">
        <f aca="false">H1113*Resumo!$B$6</f>
        <v>0.74999</v>
      </c>
      <c r="V1113" s="61" t="n">
        <f aca="false">H1113*Resumo!$B$7</f>
        <v>1.49998</v>
      </c>
      <c r="W1113" s="61" t="n">
        <f aca="false">Resumo!$B$9</f>
        <v>1</v>
      </c>
      <c r="X1113" s="61" t="n">
        <f aca="false">Resumo!$B$10*CEILING(G1113/100,1)</f>
        <v>4.5</v>
      </c>
      <c r="Y1113" s="61" t="n">
        <f aca="false">Resumo!$B$12*CEILING(G1113,1)</f>
        <v>4.02</v>
      </c>
      <c r="Z1113" s="61" t="n">
        <f aca="false">Resumo!$B$14*CEILING(G1113,1)</f>
        <v>30.15</v>
      </c>
      <c r="AA1113" s="61" t="n">
        <f aca="false">SUM(T1113:Z1113)</f>
        <v>172.93997</v>
      </c>
      <c r="AB1113" s="61" t="n">
        <f aca="false">AA1113/(1-Resumo!$B$5)</f>
        <v>196.522693181818</v>
      </c>
      <c r="AC1113" s="61" t="n">
        <f aca="false">AB1113-S1113</f>
        <v>55.1022863636364</v>
      </c>
      <c r="AD1113" s="62" t="n">
        <f aca="false">AB1113/S1113-1</f>
        <v>0.389634619241896</v>
      </c>
      <c r="AE1113" s="60" t="str">
        <f aca="false">IF(AB1113&lt;S1113,"SIM","NÃO")</f>
        <v>NÃO</v>
      </c>
      <c r="AF1113" s="60" t="n">
        <v>2</v>
      </c>
      <c r="AG1113" s="60" t="n">
        <v>5</v>
      </c>
      <c r="AH1113" s="60" t="s">
        <v>382</v>
      </c>
      <c r="AI1113" s="61" t="n">
        <f aca="false">(T1113*(1-Painel!$C$40)+U1113+V1113+Painel!$C$41+Painel!$C$42*CEILING(G1113/100,1)+Painel!$C$43*CEILING(G1113,1)+Z1113)/(1-Resumo!$B$5)</f>
        <v>138.901556818182</v>
      </c>
      <c r="AJ1113" s="60" t="str">
        <f aca="false">IF(AI1113&lt;S1113,"SIM","NÃO")</f>
        <v>SIM</v>
      </c>
    </row>
    <row r="1114" customFormat="false" ht="15" hidden="false" customHeight="false" outlineLevel="0" collapsed="false">
      <c r="A1114" s="59" t="n">
        <v>46250.8693055556</v>
      </c>
      <c r="B1114" s="60" t="s">
        <v>586</v>
      </c>
      <c r="C1114" s="60" t="n">
        <v>22725441</v>
      </c>
      <c r="D1114" s="60" t="s">
        <v>46</v>
      </c>
      <c r="E1114" s="60" t="s">
        <v>22</v>
      </c>
      <c r="F1114" s="60" t="s">
        <v>232</v>
      </c>
      <c r="G1114" s="60" t="n">
        <v>17.2</v>
      </c>
      <c r="H1114" s="61" t="n">
        <v>269.99</v>
      </c>
      <c r="I1114" s="61" t="n">
        <v>33.42</v>
      </c>
      <c r="J1114" s="61" t="n">
        <f aca="false">H1114*Resumo!$C$6</f>
        <v>0</v>
      </c>
      <c r="K1114" s="61" t="n">
        <f aca="false">H1114*Resumo!$C$7</f>
        <v>0.566979</v>
      </c>
      <c r="L1114" s="61" t="n">
        <f aca="false">H1114*Resumo!$C$8</f>
        <v>0.566979</v>
      </c>
      <c r="M1114" s="61" t="n">
        <f aca="false">Resumo!$C$10*CEILING(G1114/100,1)</f>
        <v>1.05</v>
      </c>
      <c r="N1114" s="61" t="n">
        <f aca="false">Resumo!$C$9</f>
        <v>0</v>
      </c>
      <c r="O1114" s="61" t="n">
        <f aca="false">Resumo!$C$13</f>
        <v>13.55</v>
      </c>
      <c r="P1114" s="61" t="n">
        <f aca="false">Resumo!$C$14*CEILING(G1114,1)</f>
        <v>8.1</v>
      </c>
      <c r="Q1114" s="61" t="n">
        <f aca="false">SUM(I1114:P1114)*Resumo!$C$11</f>
        <v>0</v>
      </c>
      <c r="R1114" s="61" t="n">
        <f aca="false">SUM(I1114:Q1114)</f>
        <v>57.253958</v>
      </c>
      <c r="S1114" s="61" t="n">
        <f aca="false">R1114/(1-Resumo!$C$5)</f>
        <v>65.0613159090909</v>
      </c>
      <c r="T1114" s="61" t="n">
        <v>46.98</v>
      </c>
      <c r="U1114" s="61" t="n">
        <f aca="false">H1114*Resumo!$B$6</f>
        <v>0.26999</v>
      </c>
      <c r="V1114" s="61" t="n">
        <f aca="false">H1114*Resumo!$B$7</f>
        <v>0.53998</v>
      </c>
      <c r="W1114" s="61" t="n">
        <f aca="false">Resumo!$B$9</f>
        <v>1</v>
      </c>
      <c r="X1114" s="61" t="n">
        <f aca="false">Resumo!$B$10*CEILING(G1114/100,1)</f>
        <v>4.5</v>
      </c>
      <c r="Y1114" s="61" t="n">
        <f aca="false">Resumo!$B$12*CEILING(G1114,1)</f>
        <v>1.08</v>
      </c>
      <c r="Z1114" s="61" t="n">
        <f aca="false">Resumo!$B$14*CEILING(G1114,1)</f>
        <v>8.1</v>
      </c>
      <c r="AA1114" s="61" t="n">
        <f aca="false">SUM(T1114:Z1114)</f>
        <v>62.46997</v>
      </c>
      <c r="AB1114" s="61" t="n">
        <f aca="false">AA1114/(1-Resumo!$B$5)</f>
        <v>70.9886022727273</v>
      </c>
      <c r="AC1114" s="61" t="n">
        <f aca="false">AB1114-S1114</f>
        <v>5.92728636363636</v>
      </c>
      <c r="AD1114" s="62" t="n">
        <f aca="false">AB1114/S1114-1</f>
        <v>0.0911030814673108</v>
      </c>
      <c r="AE1114" s="60" t="str">
        <f aca="false">IF(AB1114&lt;S1114,"SIM","NÃO")</f>
        <v>NÃO</v>
      </c>
      <c r="AF1114" s="60" t="n">
        <v>2</v>
      </c>
      <c r="AG1114" s="60" t="n">
        <v>5</v>
      </c>
      <c r="AH1114" s="60" t="s">
        <v>382</v>
      </c>
      <c r="AI1114" s="61" t="n">
        <f aca="false">(T1114*(1-Painel!$C$40)+U1114+V1114+Painel!$C$41+Painel!$C$42*CEILING(G1114/100,1)+Painel!$C$43*CEILING(G1114,1)+Z1114)/(1-Resumo!$B$5)</f>
        <v>48.223375</v>
      </c>
      <c r="AJ1114" s="60" t="str">
        <f aca="false">IF(AI1114&lt;S1114,"SIM","NÃO")</f>
        <v>SIM</v>
      </c>
    </row>
    <row r="1115" customFormat="false" ht="15" hidden="false" customHeight="false" outlineLevel="0" collapsed="false">
      <c r="A1115" s="59" t="n">
        <v>46250.8774537037</v>
      </c>
      <c r="B1115" s="60" t="s">
        <v>1428</v>
      </c>
      <c r="C1115" s="60" t="n">
        <v>21330650</v>
      </c>
      <c r="D1115" s="60" t="s">
        <v>46</v>
      </c>
      <c r="E1115" s="60" t="s">
        <v>22</v>
      </c>
      <c r="F1115" s="60" t="s">
        <v>234</v>
      </c>
      <c r="G1115" s="60" t="n">
        <v>39.8</v>
      </c>
      <c r="H1115" s="61" t="n">
        <v>629.99</v>
      </c>
      <c r="I1115" s="61" t="n">
        <v>48.35</v>
      </c>
      <c r="J1115" s="61" t="n">
        <f aca="false">H1115*Resumo!$C$6</f>
        <v>0</v>
      </c>
      <c r="K1115" s="61" t="n">
        <f aca="false">H1115*Resumo!$C$7</f>
        <v>1.322979</v>
      </c>
      <c r="L1115" s="61" t="n">
        <f aca="false">H1115*Resumo!$C$8</f>
        <v>1.322979</v>
      </c>
      <c r="M1115" s="61" t="n">
        <f aca="false">Resumo!$C$10*CEILING(G1115/100,1)</f>
        <v>1.05</v>
      </c>
      <c r="N1115" s="61" t="n">
        <f aca="false">Resumo!$C$9</f>
        <v>0</v>
      </c>
      <c r="O1115" s="61" t="n">
        <f aca="false">Resumo!$C$13</f>
        <v>13.55</v>
      </c>
      <c r="P1115" s="61" t="n">
        <f aca="false">Resumo!$C$14*CEILING(G1115,1)</f>
        <v>18</v>
      </c>
      <c r="Q1115" s="61" t="n">
        <f aca="false">SUM(I1115:P1115)*Resumo!$C$11</f>
        <v>0</v>
      </c>
      <c r="R1115" s="61" t="n">
        <f aca="false">SUM(I1115:Q1115)</f>
        <v>83.595958</v>
      </c>
      <c r="S1115" s="61" t="n">
        <f aca="false">R1115/(1-Resumo!$C$5)</f>
        <v>94.9954068181818</v>
      </c>
      <c r="T1115" s="61" t="n">
        <v>93.97</v>
      </c>
      <c r="U1115" s="61" t="n">
        <f aca="false">H1115*Resumo!$B$6</f>
        <v>0.62999</v>
      </c>
      <c r="V1115" s="61" t="n">
        <f aca="false">H1115*Resumo!$B$7</f>
        <v>1.25998</v>
      </c>
      <c r="W1115" s="61" t="n">
        <f aca="false">Resumo!$B$9</f>
        <v>1</v>
      </c>
      <c r="X1115" s="61" t="n">
        <f aca="false">Resumo!$B$10*CEILING(G1115/100,1)</f>
        <v>4.5</v>
      </c>
      <c r="Y1115" s="61" t="n">
        <f aca="false">Resumo!$B$12*CEILING(G1115,1)</f>
        <v>2.4</v>
      </c>
      <c r="Z1115" s="61" t="n">
        <f aca="false">Resumo!$B$14*CEILING(G1115,1)</f>
        <v>18</v>
      </c>
      <c r="AA1115" s="61" t="n">
        <f aca="false">SUM(T1115:Z1115)</f>
        <v>121.75997</v>
      </c>
      <c r="AB1115" s="61" t="n">
        <f aca="false">AA1115/(1-Resumo!$B$5)</f>
        <v>138.363602272727</v>
      </c>
      <c r="AC1115" s="61" t="n">
        <f aca="false">AB1115-S1115</f>
        <v>43.3681954545454</v>
      </c>
      <c r="AD1115" s="62" t="n">
        <f aca="false">AB1115/S1115-1</f>
        <v>0.456529393442683</v>
      </c>
      <c r="AE1115" s="60" t="str">
        <f aca="false">IF(AB1115&lt;S1115,"SIM","NÃO")</f>
        <v>NÃO</v>
      </c>
      <c r="AF1115" s="60" t="n">
        <v>2</v>
      </c>
      <c r="AG1115" s="60" t="n">
        <v>5</v>
      </c>
      <c r="AH1115" s="60" t="s">
        <v>382</v>
      </c>
      <c r="AI1115" s="61" t="n">
        <f aca="false">(T1115*(1-Painel!$C$40)+U1115+V1115+Painel!$C$41+Painel!$C$42*CEILING(G1115/100,1)+Painel!$C$43*CEILING(G1115,1)+Z1115)/(1-Resumo!$B$5)</f>
        <v>96.477125</v>
      </c>
      <c r="AJ1115" s="60" t="str">
        <f aca="false">IF(AI1115&lt;S1115,"SIM","NÃO")</f>
        <v>NÃO</v>
      </c>
    </row>
    <row r="1116" customFormat="false" ht="15" hidden="false" customHeight="false" outlineLevel="0" collapsed="false">
      <c r="A1116" s="59" t="n">
        <v>46250.9013541667</v>
      </c>
      <c r="B1116" s="60" t="s">
        <v>1429</v>
      </c>
      <c r="C1116" s="60" t="n">
        <v>24715330</v>
      </c>
      <c r="D1116" s="60" t="s">
        <v>47</v>
      </c>
      <c r="E1116" s="60" t="s">
        <v>23</v>
      </c>
      <c r="F1116" s="60" t="s">
        <v>236</v>
      </c>
      <c r="G1116" s="60" t="n">
        <v>56.7</v>
      </c>
      <c r="H1116" s="61" t="n">
        <v>613</v>
      </c>
      <c r="I1116" s="61" t="n">
        <v>70.98</v>
      </c>
      <c r="J1116" s="61" t="n">
        <f aca="false">H1116*Resumo!$C$6</f>
        <v>0</v>
      </c>
      <c r="K1116" s="61" t="n">
        <f aca="false">H1116*Resumo!$C$7</f>
        <v>1.2873</v>
      </c>
      <c r="L1116" s="61" t="n">
        <f aca="false">H1116*Resumo!$C$8</f>
        <v>1.2873</v>
      </c>
      <c r="M1116" s="61" t="n">
        <f aca="false">Resumo!$C$10*CEILING(G1116/100,1)</f>
        <v>1.05</v>
      </c>
      <c r="N1116" s="61" t="n">
        <f aca="false">Resumo!$C$9</f>
        <v>0</v>
      </c>
      <c r="O1116" s="61" t="n">
        <f aca="false">Resumo!$C$13</f>
        <v>13.55</v>
      </c>
      <c r="P1116" s="61" t="n">
        <f aca="false">Resumo!$C$14*CEILING(G1116,1)</f>
        <v>25.65</v>
      </c>
      <c r="Q1116" s="61" t="n">
        <f aca="false">SUM(I1116:P1116)*Resumo!$C$11</f>
        <v>0</v>
      </c>
      <c r="R1116" s="61" t="n">
        <f aca="false">SUM(I1116:Q1116)</f>
        <v>113.8046</v>
      </c>
      <c r="S1116" s="61" t="n">
        <f aca="false">R1116/(1-Resumo!$C$5)</f>
        <v>129.323409090909</v>
      </c>
      <c r="T1116" s="61" t="n">
        <v>128.14</v>
      </c>
      <c r="U1116" s="61" t="n">
        <f aca="false">H1116*Resumo!$B$6</f>
        <v>0.613</v>
      </c>
      <c r="V1116" s="61" t="n">
        <f aca="false">H1116*Resumo!$B$7</f>
        <v>1.226</v>
      </c>
      <c r="W1116" s="61" t="n">
        <f aca="false">Resumo!$B$9</f>
        <v>1</v>
      </c>
      <c r="X1116" s="61" t="n">
        <f aca="false">Resumo!$B$10*CEILING(G1116/100,1)</f>
        <v>4.5</v>
      </c>
      <c r="Y1116" s="61" t="n">
        <f aca="false">Resumo!$B$12*CEILING(G1116,1)</f>
        <v>3.42</v>
      </c>
      <c r="Z1116" s="61" t="n">
        <f aca="false">Resumo!$B$14*CEILING(G1116,1)</f>
        <v>25.65</v>
      </c>
      <c r="AA1116" s="61" t="n">
        <f aca="false">SUM(T1116:Z1116)</f>
        <v>164.549</v>
      </c>
      <c r="AB1116" s="61" t="n">
        <f aca="false">AA1116/(1-Resumo!$B$5)</f>
        <v>186.9875</v>
      </c>
      <c r="AC1116" s="61" t="n">
        <f aca="false">AB1116-S1116</f>
        <v>57.6640909090909</v>
      </c>
      <c r="AD1116" s="62" t="n">
        <f aca="false">AB1116/S1116-1</f>
        <v>0.445890587902422</v>
      </c>
      <c r="AE1116" s="60" t="str">
        <f aca="false">IF(AB1116&lt;S1116,"SIM","NÃO")</f>
        <v>NÃO</v>
      </c>
      <c r="AF1116" s="60" t="n">
        <v>2</v>
      </c>
      <c r="AG1116" s="60" t="n">
        <v>7</v>
      </c>
      <c r="AH1116" s="60" t="s">
        <v>382</v>
      </c>
      <c r="AI1116" s="61" t="n">
        <f aca="false">(T1116*(1-Painel!$C$40)+U1116+V1116+Painel!$C$41+Painel!$C$42*CEILING(G1116/100,1)+Painel!$C$43*CEILING(G1116,1)+Z1116)/(1-Resumo!$B$5)</f>
        <v>131.128181818182</v>
      </c>
      <c r="AJ1116" s="60" t="str">
        <f aca="false">IF(AI1116&lt;S1116,"SIM","NÃO")</f>
        <v>NÃO</v>
      </c>
    </row>
    <row r="1117" customFormat="false" ht="15" hidden="false" customHeight="false" outlineLevel="0" collapsed="false">
      <c r="A1117" s="59" t="n">
        <v>46250.916724537</v>
      </c>
      <c r="B1117" s="60" t="s">
        <v>1430</v>
      </c>
      <c r="C1117" s="60" t="n">
        <v>22753315</v>
      </c>
      <c r="D1117" s="60" t="s">
        <v>46</v>
      </c>
      <c r="E1117" s="60" t="s">
        <v>22</v>
      </c>
      <c r="F1117" s="60" t="s">
        <v>240</v>
      </c>
      <c r="G1117" s="60" t="n">
        <v>106.5</v>
      </c>
      <c r="H1117" s="61" t="n">
        <v>1132.29</v>
      </c>
      <c r="I1117" s="61" t="n">
        <v>92.34</v>
      </c>
      <c r="J1117" s="61" t="n">
        <f aca="false">H1117*Resumo!$C$6</f>
        <v>0</v>
      </c>
      <c r="K1117" s="61" t="n">
        <f aca="false">H1117*Resumo!$C$7</f>
        <v>2.377809</v>
      </c>
      <c r="L1117" s="61" t="n">
        <f aca="false">H1117*Resumo!$C$8</f>
        <v>2.377809</v>
      </c>
      <c r="M1117" s="61" t="n">
        <f aca="false">Resumo!$C$10*CEILING(G1117/100,1)</f>
        <v>2.1</v>
      </c>
      <c r="N1117" s="61" t="n">
        <f aca="false">Resumo!$C$9</f>
        <v>0</v>
      </c>
      <c r="O1117" s="61" t="n">
        <f aca="false">Resumo!$C$13</f>
        <v>13.55</v>
      </c>
      <c r="P1117" s="61" t="n">
        <f aca="false">Resumo!$C$14*CEILING(G1117,1)</f>
        <v>48.15</v>
      </c>
      <c r="Q1117" s="61" t="n">
        <f aca="false">SUM(I1117:P1117)*Resumo!$C$11</f>
        <v>0</v>
      </c>
      <c r="R1117" s="61" t="n">
        <f aca="false">SUM(I1117:Q1117)</f>
        <v>160.895618</v>
      </c>
      <c r="S1117" s="61" t="n">
        <f aca="false">R1117/(1-Resumo!$C$5)</f>
        <v>182.835929545455</v>
      </c>
      <c r="T1117" s="61" t="n">
        <v>201.59</v>
      </c>
      <c r="U1117" s="61" t="n">
        <f aca="false">H1117*Resumo!$B$6</f>
        <v>1.13229</v>
      </c>
      <c r="V1117" s="61" t="n">
        <f aca="false">H1117*Resumo!$B$7</f>
        <v>2.26458</v>
      </c>
      <c r="W1117" s="61" t="n">
        <f aca="false">Resumo!$B$9</f>
        <v>1</v>
      </c>
      <c r="X1117" s="61" t="n">
        <f aca="false">Resumo!$B$10*CEILING(G1117/100,1)</f>
        <v>9</v>
      </c>
      <c r="Y1117" s="61" t="n">
        <f aca="false">Resumo!$B$12*CEILING(G1117,1)</f>
        <v>6.42</v>
      </c>
      <c r="Z1117" s="61" t="n">
        <f aca="false">Resumo!$B$14*CEILING(G1117,1)</f>
        <v>48.15</v>
      </c>
      <c r="AA1117" s="61" t="n">
        <f aca="false">SUM(T1117:Z1117)</f>
        <v>269.55687</v>
      </c>
      <c r="AB1117" s="61" t="n">
        <f aca="false">AA1117/(1-Resumo!$B$5)</f>
        <v>306.314625</v>
      </c>
      <c r="AC1117" s="61" t="n">
        <f aca="false">AB1117-S1117</f>
        <v>123.478695454545</v>
      </c>
      <c r="AD1117" s="62" t="n">
        <f aca="false">AB1117/S1117-1</f>
        <v>0.675352463607803</v>
      </c>
      <c r="AE1117" s="60" t="str">
        <f aca="false">IF(AB1117&lt;S1117,"SIM","NÃO")</f>
        <v>NÃO</v>
      </c>
      <c r="AF1117" s="60" t="n">
        <v>2</v>
      </c>
      <c r="AG1117" s="60" t="n">
        <v>5</v>
      </c>
      <c r="AH1117" s="60" t="s">
        <v>382</v>
      </c>
      <c r="AI1117" s="61" t="n">
        <f aca="false">(T1117*(1-Painel!$C$40)+U1117+V1117+Painel!$C$41+Painel!$C$42*CEILING(G1117/100,1)+Painel!$C$43*CEILING(G1117,1)+Z1117)/(1-Resumo!$B$5)</f>
        <v>215.582011363636</v>
      </c>
      <c r="AJ1117" s="60" t="str">
        <f aca="false">IF(AI1117&lt;S1117,"SIM","NÃO")</f>
        <v>NÃO</v>
      </c>
    </row>
    <row r="1118" customFormat="false" ht="15" hidden="false" customHeight="false" outlineLevel="0" collapsed="false">
      <c r="A1118" s="59" t="n">
        <v>46250.9296643519</v>
      </c>
      <c r="B1118" s="60" t="s">
        <v>625</v>
      </c>
      <c r="C1118" s="60" t="n">
        <v>23970000</v>
      </c>
      <c r="D1118" s="60" t="s">
        <v>268</v>
      </c>
      <c r="E1118" s="60" t="s">
        <v>24</v>
      </c>
      <c r="F1118" s="60" t="s">
        <v>237</v>
      </c>
      <c r="G1118" s="60" t="n">
        <v>66.8</v>
      </c>
      <c r="H1118" s="61" t="n">
        <v>719.99</v>
      </c>
      <c r="I1118" s="61" t="n">
        <v>90.2</v>
      </c>
      <c r="J1118" s="61" t="n">
        <f aca="false">H1118*Resumo!$C$6</f>
        <v>0</v>
      </c>
      <c r="K1118" s="61" t="n">
        <f aca="false">H1118*Resumo!$C$7</f>
        <v>1.511979</v>
      </c>
      <c r="L1118" s="61" t="n">
        <f aca="false">H1118*Resumo!$C$8</f>
        <v>1.511979</v>
      </c>
      <c r="M1118" s="61" t="n">
        <f aca="false">Resumo!$C$10*CEILING(G1118/100,1)</f>
        <v>1.05</v>
      </c>
      <c r="N1118" s="61" t="n">
        <f aca="false">Resumo!$C$9</f>
        <v>0</v>
      </c>
      <c r="O1118" s="61" t="n">
        <f aca="false">Resumo!$C$13</f>
        <v>13.55</v>
      </c>
      <c r="P1118" s="61" t="n">
        <f aca="false">Resumo!$C$14*CEILING(G1118,1)</f>
        <v>30.15</v>
      </c>
      <c r="Q1118" s="61" t="n">
        <f aca="false">SUM(I1118:P1118)*Resumo!$C$11</f>
        <v>0</v>
      </c>
      <c r="R1118" s="61" t="n">
        <f aca="false">SUM(I1118:Q1118)</f>
        <v>137.973958</v>
      </c>
      <c r="S1118" s="61" t="n">
        <f aca="false">R1118/(1-Resumo!$C$5)</f>
        <v>156.788588636364</v>
      </c>
      <c r="T1118" s="61" t="n">
        <v>166.05</v>
      </c>
      <c r="U1118" s="61" t="n">
        <f aca="false">H1118*Resumo!$B$6</f>
        <v>0.71999</v>
      </c>
      <c r="V1118" s="61" t="n">
        <f aca="false">H1118*Resumo!$B$7</f>
        <v>1.43998</v>
      </c>
      <c r="W1118" s="61" t="n">
        <f aca="false">Resumo!$B$9</f>
        <v>1</v>
      </c>
      <c r="X1118" s="61" t="n">
        <f aca="false">Resumo!$B$10*CEILING(G1118/100,1)</f>
        <v>4.5</v>
      </c>
      <c r="Y1118" s="61" t="n">
        <f aca="false">Resumo!$B$12*CEILING(G1118,1)</f>
        <v>4.02</v>
      </c>
      <c r="Z1118" s="61" t="n">
        <f aca="false">Resumo!$B$14*CEILING(G1118,1)</f>
        <v>30.15</v>
      </c>
      <c r="AA1118" s="61" t="n">
        <f aca="false">SUM(T1118:Z1118)</f>
        <v>207.87997</v>
      </c>
      <c r="AB1118" s="61" t="n">
        <f aca="false">AA1118/(1-Resumo!$B$5)</f>
        <v>236.227238636364</v>
      </c>
      <c r="AC1118" s="61" t="n">
        <f aca="false">AB1118-S1118</f>
        <v>79.43865</v>
      </c>
      <c r="AD1118" s="62" t="n">
        <f aca="false">AB1118/S1118-1</f>
        <v>0.50666091640279</v>
      </c>
      <c r="AE1118" s="60" t="str">
        <f aca="false">IF(AB1118&lt;S1118,"SIM","NÃO")</f>
        <v>NÃO</v>
      </c>
      <c r="AF1118" s="60" t="n">
        <v>13</v>
      </c>
      <c r="AG1118" s="60" t="n">
        <v>10</v>
      </c>
      <c r="AH1118" s="60" t="s">
        <v>385</v>
      </c>
      <c r="AI1118" s="61" t="n">
        <f aca="false">(T1118*(1-Painel!$C$40)+U1118+V1118+Painel!$C$41+Painel!$C$42*CEILING(G1118/100,1)+Painel!$C$43*CEILING(G1118,1)+Z1118)/(1-Resumo!$B$5)</f>
        <v>165.469852272727</v>
      </c>
      <c r="AJ1118" s="60" t="str">
        <f aca="false">IF(AI1118&lt;S1118,"SIM","NÃO")</f>
        <v>NÃO</v>
      </c>
    </row>
    <row r="1119" customFormat="false" ht="15" hidden="false" customHeight="false" outlineLevel="0" collapsed="false">
      <c r="A1119" s="59" t="n">
        <v>46250.953587963</v>
      </c>
      <c r="B1119" s="60" t="s">
        <v>1431</v>
      </c>
      <c r="C1119" s="60" t="n">
        <v>25555150</v>
      </c>
      <c r="D1119" s="60" t="s">
        <v>216</v>
      </c>
      <c r="E1119" s="60" t="s">
        <v>23</v>
      </c>
      <c r="F1119" s="60" t="s">
        <v>234</v>
      </c>
      <c r="G1119" s="60" t="n">
        <v>36.8</v>
      </c>
      <c r="H1119" s="61" t="n">
        <v>419</v>
      </c>
      <c r="I1119" s="61" t="n">
        <v>66.83</v>
      </c>
      <c r="J1119" s="61" t="n">
        <f aca="false">H1119*Resumo!$C$6</f>
        <v>0</v>
      </c>
      <c r="K1119" s="61" t="n">
        <f aca="false">H1119*Resumo!$C$7</f>
        <v>0.8799</v>
      </c>
      <c r="L1119" s="61" t="n">
        <f aca="false">H1119*Resumo!$C$8</f>
        <v>0.8799</v>
      </c>
      <c r="M1119" s="61" t="n">
        <f aca="false">Resumo!$C$10*CEILING(G1119/100,1)</f>
        <v>1.05</v>
      </c>
      <c r="N1119" s="61" t="n">
        <f aca="false">Resumo!$C$9</f>
        <v>0</v>
      </c>
      <c r="O1119" s="61" t="n">
        <f aca="false">Resumo!$C$13</f>
        <v>13.55</v>
      </c>
      <c r="P1119" s="61" t="n">
        <f aca="false">Resumo!$C$14*CEILING(G1119,1)</f>
        <v>16.65</v>
      </c>
      <c r="Q1119" s="61" t="n">
        <f aca="false">SUM(I1119:P1119)*Resumo!$C$11</f>
        <v>0</v>
      </c>
      <c r="R1119" s="61" t="n">
        <f aca="false">SUM(I1119:Q1119)</f>
        <v>99.8398</v>
      </c>
      <c r="S1119" s="61" t="n">
        <f aca="false">R1119/(1-Resumo!$C$5)</f>
        <v>113.454318181818</v>
      </c>
      <c r="T1119" s="61" t="n">
        <v>93.97</v>
      </c>
      <c r="U1119" s="61" t="n">
        <f aca="false">H1119*Resumo!$B$6</f>
        <v>0.419</v>
      </c>
      <c r="V1119" s="61" t="n">
        <f aca="false">H1119*Resumo!$B$7</f>
        <v>0.838</v>
      </c>
      <c r="W1119" s="61" t="n">
        <f aca="false">Resumo!$B$9</f>
        <v>1</v>
      </c>
      <c r="X1119" s="61" t="n">
        <f aca="false">Resumo!$B$10*CEILING(G1119/100,1)</f>
        <v>4.5</v>
      </c>
      <c r="Y1119" s="61" t="n">
        <f aca="false">Resumo!$B$12*CEILING(G1119,1)</f>
        <v>2.22</v>
      </c>
      <c r="Z1119" s="61" t="n">
        <f aca="false">Resumo!$B$14*CEILING(G1119,1)</f>
        <v>16.65</v>
      </c>
      <c r="AA1119" s="61" t="n">
        <f aca="false">SUM(T1119:Z1119)</f>
        <v>119.597</v>
      </c>
      <c r="AB1119" s="61" t="n">
        <f aca="false">AA1119/(1-Resumo!$B$5)</f>
        <v>135.905681818182</v>
      </c>
      <c r="AC1119" s="61" t="n">
        <f aca="false">AB1119-S1119</f>
        <v>22.4513636363636</v>
      </c>
      <c r="AD1119" s="62" t="n">
        <f aca="false">AB1119/S1119-1</f>
        <v>0.197889018207168</v>
      </c>
      <c r="AE1119" s="60" t="str">
        <f aca="false">IF(AB1119&lt;S1119,"SIM","NÃO")</f>
        <v>NÃO</v>
      </c>
      <c r="AF1119" s="60" t="n">
        <v>2</v>
      </c>
      <c r="AG1119" s="60" t="n">
        <v>5</v>
      </c>
      <c r="AH1119" s="60" t="s">
        <v>382</v>
      </c>
      <c r="AI1119" s="61" t="n">
        <f aca="false">(T1119*(1-Painel!$C$40)+U1119+V1119+Painel!$C$41+Painel!$C$42*CEILING(G1119/100,1)+Painel!$C$43*CEILING(G1119,1)+Z1119)/(1-Resumo!$B$5)</f>
        <v>94.22375</v>
      </c>
      <c r="AJ1119" s="60" t="str">
        <f aca="false">IF(AI1119&lt;S1119,"SIM","NÃO")</f>
        <v>SIM</v>
      </c>
    </row>
    <row r="1120" customFormat="false" ht="15" hidden="false" customHeight="false" outlineLevel="0" collapsed="false">
      <c r="A1120" s="59" t="n">
        <v>46250.9542592593</v>
      </c>
      <c r="B1120" s="60" t="s">
        <v>1432</v>
      </c>
      <c r="C1120" s="60" t="n">
        <v>21620590</v>
      </c>
      <c r="D1120" s="60" t="s">
        <v>46</v>
      </c>
      <c r="E1120" s="60" t="s">
        <v>22</v>
      </c>
      <c r="F1120" s="60" t="s">
        <v>233</v>
      </c>
      <c r="G1120" s="60" t="n">
        <v>34.4</v>
      </c>
      <c r="H1120" s="61" t="n">
        <v>439.69</v>
      </c>
      <c r="I1120" s="61" t="n">
        <v>42.11</v>
      </c>
      <c r="J1120" s="61" t="n">
        <f aca="false">H1120*Resumo!$C$6</f>
        <v>0</v>
      </c>
      <c r="K1120" s="61" t="n">
        <f aca="false">H1120*Resumo!$C$7</f>
        <v>0.923349</v>
      </c>
      <c r="L1120" s="61" t="n">
        <f aca="false">H1120*Resumo!$C$8</f>
        <v>0.923349</v>
      </c>
      <c r="M1120" s="61" t="n">
        <f aca="false">Resumo!$C$10*CEILING(G1120/100,1)</f>
        <v>1.05</v>
      </c>
      <c r="N1120" s="61" t="n">
        <f aca="false">Resumo!$C$9</f>
        <v>0</v>
      </c>
      <c r="O1120" s="61" t="n">
        <f aca="false">Resumo!$C$13</f>
        <v>13.55</v>
      </c>
      <c r="P1120" s="61" t="n">
        <f aca="false">Resumo!$C$14*CEILING(G1120,1)</f>
        <v>15.75</v>
      </c>
      <c r="Q1120" s="61" t="n">
        <f aca="false">SUM(I1120:P1120)*Resumo!$C$11</f>
        <v>0</v>
      </c>
      <c r="R1120" s="61" t="n">
        <f aca="false">SUM(I1120:Q1120)</f>
        <v>74.306698</v>
      </c>
      <c r="S1120" s="61" t="n">
        <f aca="false">R1120/(1-Resumo!$C$5)</f>
        <v>84.4394295454545</v>
      </c>
      <c r="T1120" s="61" t="n">
        <v>82.21</v>
      </c>
      <c r="U1120" s="61" t="n">
        <f aca="false">H1120*Resumo!$B$6</f>
        <v>0.43969</v>
      </c>
      <c r="V1120" s="61" t="n">
        <f aca="false">H1120*Resumo!$B$7</f>
        <v>0.87938</v>
      </c>
      <c r="W1120" s="61" t="n">
        <f aca="false">Resumo!$B$9</f>
        <v>1</v>
      </c>
      <c r="X1120" s="61" t="n">
        <f aca="false">Resumo!$B$10*CEILING(G1120/100,1)</f>
        <v>4.5</v>
      </c>
      <c r="Y1120" s="61" t="n">
        <f aca="false">Resumo!$B$12*CEILING(G1120,1)</f>
        <v>2.1</v>
      </c>
      <c r="Z1120" s="61" t="n">
        <f aca="false">Resumo!$B$14*CEILING(G1120,1)</f>
        <v>15.75</v>
      </c>
      <c r="AA1120" s="61" t="n">
        <f aca="false">SUM(T1120:Z1120)</f>
        <v>106.87907</v>
      </c>
      <c r="AB1120" s="61" t="n">
        <f aca="false">AA1120/(1-Resumo!$B$5)</f>
        <v>121.453488636364</v>
      </c>
      <c r="AC1120" s="61" t="n">
        <f aca="false">AB1120-S1120</f>
        <v>37.0140590909091</v>
      </c>
      <c r="AD1120" s="62" t="n">
        <f aca="false">AB1120/S1120-1</f>
        <v>0.438350416270684</v>
      </c>
      <c r="AE1120" s="60" t="str">
        <f aca="false">IF(AB1120&lt;S1120,"SIM","NÃO")</f>
        <v>NÃO</v>
      </c>
      <c r="AF1120" s="60" t="n">
        <v>2</v>
      </c>
      <c r="AG1120" s="60" t="n">
        <v>5</v>
      </c>
      <c r="AH1120" s="60" t="s">
        <v>382</v>
      </c>
      <c r="AI1120" s="61" t="n">
        <f aca="false">(T1120*(1-Painel!$C$40)+U1120+V1120+Painel!$C$41+Painel!$C$42*CEILING(G1120/100,1)+Painel!$C$43*CEILING(G1120,1)+Z1120)/(1-Resumo!$B$5)</f>
        <v>84.3179204545454</v>
      </c>
      <c r="AJ1120" s="60" t="str">
        <f aca="false">IF(AI1120&lt;S1120,"SIM","NÃO")</f>
        <v>SIM</v>
      </c>
    </row>
    <row r="1121" customFormat="false" ht="15" hidden="false" customHeight="false" outlineLevel="0" collapsed="false">
      <c r="A1121" s="59" t="n">
        <v>46250.9854976852</v>
      </c>
      <c r="B1121" s="60" t="s">
        <v>867</v>
      </c>
      <c r="C1121" s="60" t="n">
        <v>23098006</v>
      </c>
      <c r="D1121" s="60" t="s">
        <v>46</v>
      </c>
      <c r="E1121" s="60" t="s">
        <v>22</v>
      </c>
      <c r="F1121" s="60" t="s">
        <v>233</v>
      </c>
      <c r="G1121" s="60" t="n">
        <v>31.4</v>
      </c>
      <c r="H1121" s="61" t="n">
        <v>368.32</v>
      </c>
      <c r="I1121" s="61" t="n">
        <v>42.11</v>
      </c>
      <c r="J1121" s="61" t="n">
        <f aca="false">H1121*Resumo!$C$6</f>
        <v>0</v>
      </c>
      <c r="K1121" s="61" t="n">
        <f aca="false">H1121*Resumo!$C$7</f>
        <v>0.773472</v>
      </c>
      <c r="L1121" s="61" t="n">
        <f aca="false">H1121*Resumo!$C$8</f>
        <v>0.773472</v>
      </c>
      <c r="M1121" s="61" t="n">
        <f aca="false">Resumo!$C$10*CEILING(G1121/100,1)</f>
        <v>1.05</v>
      </c>
      <c r="N1121" s="61" t="n">
        <f aca="false">Resumo!$C$9</f>
        <v>0</v>
      </c>
      <c r="O1121" s="61" t="n">
        <f aca="false">Resumo!$C$13</f>
        <v>13.55</v>
      </c>
      <c r="P1121" s="61" t="n">
        <f aca="false">Resumo!$C$14*CEILING(G1121,1)</f>
        <v>14.4</v>
      </c>
      <c r="Q1121" s="61" t="n">
        <f aca="false">SUM(I1121:P1121)*Resumo!$C$11</f>
        <v>0</v>
      </c>
      <c r="R1121" s="61" t="n">
        <f aca="false">SUM(I1121:Q1121)</f>
        <v>72.656944</v>
      </c>
      <c r="S1121" s="61" t="n">
        <f aca="false">R1121/(1-Resumo!$C$5)</f>
        <v>82.5647090909091</v>
      </c>
      <c r="T1121" s="61" t="n">
        <v>82.21</v>
      </c>
      <c r="U1121" s="61" t="n">
        <f aca="false">H1121*Resumo!$B$6</f>
        <v>0.36832</v>
      </c>
      <c r="V1121" s="61" t="n">
        <f aca="false">H1121*Resumo!$B$7</f>
        <v>0.73664</v>
      </c>
      <c r="W1121" s="61" t="n">
        <f aca="false">Resumo!$B$9</f>
        <v>1</v>
      </c>
      <c r="X1121" s="61" t="n">
        <f aca="false">Resumo!$B$10*CEILING(G1121/100,1)</f>
        <v>4.5</v>
      </c>
      <c r="Y1121" s="61" t="n">
        <f aca="false">Resumo!$B$12*CEILING(G1121,1)</f>
        <v>1.92</v>
      </c>
      <c r="Z1121" s="61" t="n">
        <f aca="false">Resumo!$B$14*CEILING(G1121,1)</f>
        <v>14.4</v>
      </c>
      <c r="AA1121" s="61" t="n">
        <f aca="false">SUM(T1121:Z1121)</f>
        <v>105.13496</v>
      </c>
      <c r="AB1121" s="61" t="n">
        <f aca="false">AA1121/(1-Resumo!$B$5)</f>
        <v>119.471545454545</v>
      </c>
      <c r="AC1121" s="61" t="n">
        <f aca="false">AB1121-S1121</f>
        <v>36.9068363636364</v>
      </c>
      <c r="AD1121" s="62" t="n">
        <f aca="false">AB1121/S1121-1</f>
        <v>0.447004982758427</v>
      </c>
      <c r="AE1121" s="60" t="str">
        <f aca="false">IF(AB1121&lt;S1121,"SIM","NÃO")</f>
        <v>NÃO</v>
      </c>
      <c r="AF1121" s="60" t="n">
        <v>2</v>
      </c>
      <c r="AG1121" s="60" t="n">
        <v>5</v>
      </c>
      <c r="AH1121" s="60" t="s">
        <v>382</v>
      </c>
      <c r="AI1121" s="61" t="n">
        <f aca="false">(T1121*(1-Painel!$C$40)+U1121+V1121+Painel!$C$41+Painel!$C$42*CEILING(G1121/100,1)+Painel!$C$43*CEILING(G1121,1)+Z1121)/(1-Resumo!$B$5)</f>
        <v>82.5405227272727</v>
      </c>
      <c r="AJ1121" s="60" t="str">
        <f aca="false">IF(AI1121&lt;S1121,"SIM","NÃO")</f>
        <v>SIM</v>
      </c>
    </row>
    <row r="1122" customFormat="false" ht="15" hidden="false" customHeight="false" outlineLevel="0" collapsed="false">
      <c r="A1122" s="59" t="n">
        <v>46251.0041319444</v>
      </c>
      <c r="B1122" s="60" t="s">
        <v>1433</v>
      </c>
      <c r="C1122" s="60" t="n">
        <v>22785200</v>
      </c>
      <c r="D1122" s="60" t="s">
        <v>46</v>
      </c>
      <c r="E1122" s="60" t="s">
        <v>22</v>
      </c>
      <c r="F1122" s="60" t="s">
        <v>233</v>
      </c>
      <c r="G1122" s="60" t="n">
        <v>34.4</v>
      </c>
      <c r="H1122" s="61" t="n">
        <v>499.98</v>
      </c>
      <c r="I1122" s="61" t="n">
        <v>42.11</v>
      </c>
      <c r="J1122" s="61" t="n">
        <f aca="false">H1122*Resumo!$C$6</f>
        <v>0</v>
      </c>
      <c r="K1122" s="61" t="n">
        <f aca="false">H1122*Resumo!$C$7</f>
        <v>1.049958</v>
      </c>
      <c r="L1122" s="61" t="n">
        <f aca="false">H1122*Resumo!$C$8</f>
        <v>1.049958</v>
      </c>
      <c r="M1122" s="61" t="n">
        <f aca="false">Resumo!$C$10*CEILING(G1122/100,1)</f>
        <v>1.05</v>
      </c>
      <c r="N1122" s="61" t="n">
        <f aca="false">Resumo!$C$9</f>
        <v>0</v>
      </c>
      <c r="O1122" s="61" t="n">
        <f aca="false">Resumo!$C$13</f>
        <v>13.55</v>
      </c>
      <c r="P1122" s="61" t="n">
        <f aca="false">Resumo!$C$14*CEILING(G1122,1)</f>
        <v>15.75</v>
      </c>
      <c r="Q1122" s="61" t="n">
        <f aca="false">SUM(I1122:P1122)*Resumo!$C$11</f>
        <v>0</v>
      </c>
      <c r="R1122" s="61" t="n">
        <f aca="false">SUM(I1122:Q1122)</f>
        <v>74.559916</v>
      </c>
      <c r="S1122" s="61" t="n">
        <f aca="false">R1122/(1-Resumo!$C$5)</f>
        <v>84.7271772727273</v>
      </c>
      <c r="T1122" s="61" t="n">
        <v>82.21</v>
      </c>
      <c r="U1122" s="61" t="n">
        <f aca="false">H1122*Resumo!$B$6</f>
        <v>0.49998</v>
      </c>
      <c r="V1122" s="61" t="n">
        <f aca="false">H1122*Resumo!$B$7</f>
        <v>0.99996</v>
      </c>
      <c r="W1122" s="61" t="n">
        <f aca="false">Resumo!$B$9</f>
        <v>1</v>
      </c>
      <c r="X1122" s="61" t="n">
        <f aca="false">Resumo!$B$10*CEILING(G1122/100,1)</f>
        <v>4.5</v>
      </c>
      <c r="Y1122" s="61" t="n">
        <f aca="false">Resumo!$B$12*CEILING(G1122,1)</f>
        <v>2.1</v>
      </c>
      <c r="Z1122" s="61" t="n">
        <f aca="false">Resumo!$B$14*CEILING(G1122,1)</f>
        <v>15.75</v>
      </c>
      <c r="AA1122" s="61" t="n">
        <f aca="false">SUM(T1122:Z1122)</f>
        <v>107.05994</v>
      </c>
      <c r="AB1122" s="61" t="n">
        <f aca="false">AA1122/(1-Resumo!$B$5)</f>
        <v>121.659022727273</v>
      </c>
      <c r="AC1122" s="61" t="n">
        <f aca="false">AB1122-S1122</f>
        <v>36.9318454545455</v>
      </c>
      <c r="AD1122" s="62" t="n">
        <f aca="false">AB1122/S1122-1</f>
        <v>0.43589137090766</v>
      </c>
      <c r="AE1122" s="60" t="str">
        <f aca="false">IF(AB1122&lt;S1122,"SIM","NÃO")</f>
        <v>NÃO</v>
      </c>
      <c r="AF1122" s="60" t="n">
        <v>2</v>
      </c>
      <c r="AG1122" s="60" t="n">
        <v>5</v>
      </c>
      <c r="AH1122" s="60" t="s">
        <v>382</v>
      </c>
      <c r="AI1122" s="61" t="n">
        <f aca="false">(T1122*(1-Painel!$C$40)+U1122+V1122+Painel!$C$41+Painel!$C$42*CEILING(G1122/100,1)+Painel!$C$43*CEILING(G1122,1)+Z1122)/(1-Resumo!$B$5)</f>
        <v>84.5234545454545</v>
      </c>
      <c r="AJ1122" s="60" t="str">
        <f aca="false">IF(AI1122&lt;S1122,"SIM","NÃO")</f>
        <v>SIM</v>
      </c>
    </row>
    <row r="1123" customFormat="false" ht="15" hidden="false" customHeight="false" outlineLevel="0" collapsed="false">
      <c r="A1123" s="59" t="n">
        <v>46251.2829861111</v>
      </c>
      <c r="B1123" s="60" t="s">
        <v>1434</v>
      </c>
      <c r="C1123" s="60" t="n">
        <v>23555100</v>
      </c>
      <c r="D1123" s="60" t="s">
        <v>46</v>
      </c>
      <c r="E1123" s="60" t="s">
        <v>22</v>
      </c>
      <c r="F1123" s="60" t="s">
        <v>235</v>
      </c>
      <c r="G1123" s="60" t="n">
        <v>45.3</v>
      </c>
      <c r="H1123" s="61" t="n">
        <v>630.04</v>
      </c>
      <c r="I1123" s="61" t="n">
        <v>53.55</v>
      </c>
      <c r="J1123" s="61" t="n">
        <f aca="false">H1123*Resumo!$C$6</f>
        <v>0</v>
      </c>
      <c r="K1123" s="61" t="n">
        <f aca="false">H1123*Resumo!$C$7</f>
        <v>1.323084</v>
      </c>
      <c r="L1123" s="61" t="n">
        <f aca="false">H1123*Resumo!$C$8</f>
        <v>1.323084</v>
      </c>
      <c r="M1123" s="61" t="n">
        <f aca="false">Resumo!$C$10*CEILING(G1123/100,1)</f>
        <v>1.05</v>
      </c>
      <c r="N1123" s="61" t="n">
        <f aca="false">Resumo!$C$9</f>
        <v>0</v>
      </c>
      <c r="O1123" s="61" t="n">
        <f aca="false">Resumo!$C$13</f>
        <v>13.55</v>
      </c>
      <c r="P1123" s="61" t="n">
        <f aca="false">Resumo!$C$14*CEILING(G1123,1)</f>
        <v>20.7</v>
      </c>
      <c r="Q1123" s="61" t="n">
        <f aca="false">SUM(I1123:P1123)*Resumo!$C$11</f>
        <v>0</v>
      </c>
      <c r="R1123" s="61" t="n">
        <f aca="false">SUM(I1123:Q1123)</f>
        <v>91.496168</v>
      </c>
      <c r="S1123" s="61" t="n">
        <f aca="false">R1123/(1-Resumo!$C$5)</f>
        <v>103.972918181818</v>
      </c>
      <c r="T1123" s="61" t="n">
        <v>93.97</v>
      </c>
      <c r="U1123" s="61" t="n">
        <f aca="false">H1123*Resumo!$B$6</f>
        <v>0.63004</v>
      </c>
      <c r="V1123" s="61" t="n">
        <f aca="false">H1123*Resumo!$B$7</f>
        <v>1.26008</v>
      </c>
      <c r="W1123" s="61" t="n">
        <f aca="false">Resumo!$B$9</f>
        <v>1</v>
      </c>
      <c r="X1123" s="61" t="n">
        <f aca="false">Resumo!$B$10*CEILING(G1123/100,1)</f>
        <v>4.5</v>
      </c>
      <c r="Y1123" s="61" t="n">
        <f aca="false">Resumo!$B$12*CEILING(G1123,1)</f>
        <v>2.76</v>
      </c>
      <c r="Z1123" s="61" t="n">
        <f aca="false">Resumo!$B$14*CEILING(G1123,1)</f>
        <v>20.7</v>
      </c>
      <c r="AA1123" s="61" t="n">
        <f aca="false">SUM(T1123:Z1123)</f>
        <v>124.82012</v>
      </c>
      <c r="AB1123" s="61" t="n">
        <f aca="false">AA1123/(1-Resumo!$B$5)</f>
        <v>141.841045454545</v>
      </c>
      <c r="AC1123" s="61" t="n">
        <f aca="false">AB1123-S1123</f>
        <v>37.8681272727273</v>
      </c>
      <c r="AD1123" s="62" t="n">
        <f aca="false">AB1123/S1123-1</f>
        <v>0.364211449817221</v>
      </c>
      <c r="AE1123" s="60" t="str">
        <f aca="false">IF(AB1123&lt;S1123,"SIM","NÃO")</f>
        <v>NÃO</v>
      </c>
      <c r="AF1123" s="60" t="n">
        <v>2</v>
      </c>
      <c r="AG1123" s="60" t="n">
        <v>5</v>
      </c>
      <c r="AH1123" s="60" t="s">
        <v>382</v>
      </c>
      <c r="AI1123" s="61" t="n">
        <f aca="false">(T1123*(1-Painel!$C$40)+U1123+V1123+Painel!$C$41+Painel!$C$42*CEILING(G1123/100,1)+Painel!$C$43*CEILING(G1123,1)+Z1123)/(1-Resumo!$B$5)</f>
        <v>99.5454772727273</v>
      </c>
      <c r="AJ1123" s="60" t="str">
        <f aca="false">IF(AI1123&lt;S1123,"SIM","NÃO")</f>
        <v>SIM</v>
      </c>
    </row>
    <row r="1124" customFormat="false" ht="15" hidden="false" customHeight="false" outlineLevel="0" collapsed="false">
      <c r="A1124" s="59" t="n">
        <v>46251.3209375</v>
      </c>
      <c r="B1124" s="60" t="s">
        <v>1435</v>
      </c>
      <c r="C1124" s="60" t="n">
        <v>25212310</v>
      </c>
      <c r="D1124" s="60" t="s">
        <v>48</v>
      </c>
      <c r="E1124" s="60" t="s">
        <v>23</v>
      </c>
      <c r="F1124" s="60" t="s">
        <v>236</v>
      </c>
      <c r="G1124" s="60" t="n">
        <v>52.3</v>
      </c>
      <c r="H1124" s="61" t="n">
        <v>577.12</v>
      </c>
      <c r="I1124" s="61" t="n">
        <v>70.98</v>
      </c>
      <c r="J1124" s="61" t="n">
        <f aca="false">H1124*Resumo!$C$6</f>
        <v>0</v>
      </c>
      <c r="K1124" s="61" t="n">
        <f aca="false">H1124*Resumo!$C$7</f>
        <v>1.211952</v>
      </c>
      <c r="L1124" s="61" t="n">
        <f aca="false">H1124*Resumo!$C$8</f>
        <v>1.211952</v>
      </c>
      <c r="M1124" s="61" t="n">
        <f aca="false">Resumo!$C$10*CEILING(G1124/100,1)</f>
        <v>1.05</v>
      </c>
      <c r="N1124" s="61" t="n">
        <f aca="false">Resumo!$C$9</f>
        <v>0</v>
      </c>
      <c r="O1124" s="61" t="n">
        <f aca="false">Resumo!$C$13</f>
        <v>13.55</v>
      </c>
      <c r="P1124" s="61" t="n">
        <f aca="false">Resumo!$C$14*CEILING(G1124,1)</f>
        <v>23.85</v>
      </c>
      <c r="Q1124" s="61" t="n">
        <f aca="false">SUM(I1124:P1124)*Resumo!$C$11</f>
        <v>0</v>
      </c>
      <c r="R1124" s="61" t="n">
        <f aca="false">SUM(I1124:Q1124)</f>
        <v>111.853904</v>
      </c>
      <c r="S1124" s="61" t="n">
        <f aca="false">R1124/(1-Resumo!$C$5)</f>
        <v>127.106709090909</v>
      </c>
      <c r="T1124" s="61" t="n">
        <v>112.3</v>
      </c>
      <c r="U1124" s="61" t="n">
        <f aca="false">H1124*Resumo!$B$6</f>
        <v>0.57712</v>
      </c>
      <c r="V1124" s="61" t="n">
        <f aca="false">H1124*Resumo!$B$7</f>
        <v>1.15424</v>
      </c>
      <c r="W1124" s="61" t="n">
        <f aca="false">Resumo!$B$9</f>
        <v>1</v>
      </c>
      <c r="X1124" s="61" t="n">
        <f aca="false">Resumo!$B$10*CEILING(G1124/100,1)</f>
        <v>4.5</v>
      </c>
      <c r="Y1124" s="61" t="n">
        <f aca="false">Resumo!$B$12*CEILING(G1124,1)</f>
        <v>3.18</v>
      </c>
      <c r="Z1124" s="61" t="n">
        <f aca="false">Resumo!$B$14*CEILING(G1124,1)</f>
        <v>23.85</v>
      </c>
      <c r="AA1124" s="61" t="n">
        <f aca="false">SUM(T1124:Z1124)</f>
        <v>146.56136</v>
      </c>
      <c r="AB1124" s="61" t="n">
        <f aca="false">AA1124/(1-Resumo!$B$5)</f>
        <v>166.547</v>
      </c>
      <c r="AC1124" s="61" t="n">
        <f aca="false">AB1124-S1124</f>
        <v>39.4402909090909</v>
      </c>
      <c r="AD1124" s="62" t="n">
        <f aca="false">AB1124/S1124-1</f>
        <v>0.310292754734783</v>
      </c>
      <c r="AE1124" s="60" t="str">
        <f aca="false">IF(AB1124&lt;S1124,"SIM","NÃO")</f>
        <v>NÃO</v>
      </c>
      <c r="AF1124" s="60" t="n">
        <v>2</v>
      </c>
      <c r="AG1124" s="60" t="n">
        <v>5</v>
      </c>
      <c r="AH1124" s="60" t="s">
        <v>382</v>
      </c>
      <c r="AI1124" s="61" t="n">
        <f aca="false">(T1124*(1-Painel!$C$40)+U1124+V1124+Painel!$C$41+Painel!$C$42*CEILING(G1124/100,1)+Painel!$C$43*CEILING(G1124,1)+Z1124)/(1-Resumo!$B$5)</f>
        <v>116.900409090909</v>
      </c>
      <c r="AJ1124" s="60" t="str">
        <f aca="false">IF(AI1124&lt;S1124,"SIM","NÃO")</f>
        <v>SIM</v>
      </c>
    </row>
    <row r="1125" customFormat="false" ht="15" hidden="false" customHeight="false" outlineLevel="0" collapsed="false">
      <c r="A1125" s="59" t="n">
        <v>46251.3739699074</v>
      </c>
      <c r="B1125" s="60" t="s">
        <v>1436</v>
      </c>
      <c r="C1125" s="60" t="n">
        <v>21311281</v>
      </c>
      <c r="D1125" s="60" t="s">
        <v>46</v>
      </c>
      <c r="E1125" s="60" t="s">
        <v>22</v>
      </c>
      <c r="F1125" s="60" t="s">
        <v>236</v>
      </c>
      <c r="G1125" s="60" t="n">
        <v>52.3</v>
      </c>
      <c r="H1125" s="61" t="n">
        <v>699.99</v>
      </c>
      <c r="I1125" s="61" t="n">
        <v>58.6</v>
      </c>
      <c r="J1125" s="61" t="n">
        <f aca="false">H1125*Resumo!$C$6</f>
        <v>0</v>
      </c>
      <c r="K1125" s="61" t="n">
        <f aca="false">H1125*Resumo!$C$7</f>
        <v>1.469979</v>
      </c>
      <c r="L1125" s="61" t="n">
        <f aca="false">H1125*Resumo!$C$8</f>
        <v>1.469979</v>
      </c>
      <c r="M1125" s="61" t="n">
        <f aca="false">Resumo!$C$10*CEILING(G1125/100,1)</f>
        <v>1.05</v>
      </c>
      <c r="N1125" s="61" t="n">
        <f aca="false">Resumo!$C$9</f>
        <v>0</v>
      </c>
      <c r="O1125" s="61" t="n">
        <f aca="false">Resumo!$C$13</f>
        <v>13.55</v>
      </c>
      <c r="P1125" s="61" t="n">
        <f aca="false">Resumo!$C$14*CEILING(G1125,1)</f>
        <v>23.85</v>
      </c>
      <c r="Q1125" s="61" t="n">
        <f aca="false">SUM(I1125:P1125)*Resumo!$C$11</f>
        <v>0</v>
      </c>
      <c r="R1125" s="61" t="n">
        <f aca="false">SUM(I1125:Q1125)</f>
        <v>99.989958</v>
      </c>
      <c r="S1125" s="61" t="n">
        <f aca="false">R1125/(1-Resumo!$C$5)</f>
        <v>113.624952272727</v>
      </c>
      <c r="T1125" s="61" t="n">
        <v>112.3</v>
      </c>
      <c r="U1125" s="61" t="n">
        <f aca="false">H1125*Resumo!$B$6</f>
        <v>0.69999</v>
      </c>
      <c r="V1125" s="61" t="n">
        <f aca="false">H1125*Resumo!$B$7</f>
        <v>1.39998</v>
      </c>
      <c r="W1125" s="61" t="n">
        <f aca="false">Resumo!$B$9</f>
        <v>1</v>
      </c>
      <c r="X1125" s="61" t="n">
        <f aca="false">Resumo!$B$10*CEILING(G1125/100,1)</f>
        <v>4.5</v>
      </c>
      <c r="Y1125" s="61" t="n">
        <f aca="false">Resumo!$B$12*CEILING(G1125,1)</f>
        <v>3.18</v>
      </c>
      <c r="Z1125" s="61" t="n">
        <f aca="false">Resumo!$B$14*CEILING(G1125,1)</f>
        <v>23.85</v>
      </c>
      <c r="AA1125" s="61" t="n">
        <f aca="false">SUM(T1125:Z1125)</f>
        <v>146.92997</v>
      </c>
      <c r="AB1125" s="61" t="n">
        <f aca="false">AA1125/(1-Resumo!$B$5)</f>
        <v>166.965875</v>
      </c>
      <c r="AC1125" s="61" t="n">
        <f aca="false">AB1125-S1125</f>
        <v>53.3409227272727</v>
      </c>
      <c r="AD1125" s="62" t="n">
        <f aca="false">AB1125/S1125-1</f>
        <v>0.469447261894039</v>
      </c>
      <c r="AE1125" s="60" t="str">
        <f aca="false">IF(AB1125&lt;S1125,"SIM","NÃO")</f>
        <v>NÃO</v>
      </c>
      <c r="AF1125" s="60" t="n">
        <v>2</v>
      </c>
      <c r="AG1125" s="60" t="n">
        <v>5</v>
      </c>
      <c r="AH1125" s="60" t="s">
        <v>382</v>
      </c>
      <c r="AI1125" s="61" t="n">
        <f aca="false">(T1125*(1-Painel!$C$40)+U1125+V1125+Painel!$C$41+Painel!$C$42*CEILING(G1125/100,1)+Painel!$C$43*CEILING(G1125,1)+Z1125)/(1-Resumo!$B$5)</f>
        <v>117.319284090909</v>
      </c>
      <c r="AJ1125" s="60" t="str">
        <f aca="false">IF(AI1125&lt;S1125,"SIM","NÃO")</f>
        <v>NÃO</v>
      </c>
    </row>
    <row r="1126" customFormat="false" ht="15" hidden="false" customHeight="false" outlineLevel="0" collapsed="false">
      <c r="A1126" s="59" t="n">
        <v>46251.4180671296</v>
      </c>
      <c r="B1126" s="60" t="s">
        <v>1437</v>
      </c>
      <c r="C1126" s="60" t="n">
        <v>23092370</v>
      </c>
      <c r="D1126" s="60" t="s">
        <v>46</v>
      </c>
      <c r="E1126" s="60" t="s">
        <v>22</v>
      </c>
      <c r="F1126" s="60" t="s">
        <v>233</v>
      </c>
      <c r="G1126" s="60" t="n">
        <v>27.6</v>
      </c>
      <c r="H1126" s="61" t="n">
        <v>599.99</v>
      </c>
      <c r="I1126" s="61" t="n">
        <v>42.11</v>
      </c>
      <c r="J1126" s="61" t="n">
        <f aca="false">H1126*Resumo!$C$6</f>
        <v>0</v>
      </c>
      <c r="K1126" s="61" t="n">
        <f aca="false">H1126*Resumo!$C$7</f>
        <v>1.259979</v>
      </c>
      <c r="L1126" s="61" t="n">
        <f aca="false">H1126*Resumo!$C$8</f>
        <v>1.259979</v>
      </c>
      <c r="M1126" s="61" t="n">
        <f aca="false">Resumo!$C$10*CEILING(G1126/100,1)</f>
        <v>1.05</v>
      </c>
      <c r="N1126" s="61" t="n">
        <f aca="false">Resumo!$C$9</f>
        <v>0</v>
      </c>
      <c r="O1126" s="61" t="n">
        <f aca="false">Resumo!$C$13</f>
        <v>13.55</v>
      </c>
      <c r="P1126" s="61" t="n">
        <f aca="false">Resumo!$C$14*CEILING(G1126,1)</f>
        <v>12.6</v>
      </c>
      <c r="Q1126" s="61" t="n">
        <f aca="false">SUM(I1126:P1126)*Resumo!$C$11</f>
        <v>0</v>
      </c>
      <c r="R1126" s="61" t="n">
        <f aca="false">SUM(I1126:Q1126)</f>
        <v>71.829958</v>
      </c>
      <c r="S1126" s="61" t="n">
        <f aca="false">R1126/(1-Resumo!$C$5)</f>
        <v>81.6249522727273</v>
      </c>
      <c r="T1126" s="61" t="n">
        <v>82.21</v>
      </c>
      <c r="U1126" s="61" t="n">
        <f aca="false">H1126*Resumo!$B$6</f>
        <v>0.59999</v>
      </c>
      <c r="V1126" s="61" t="n">
        <f aca="false">H1126*Resumo!$B$7</f>
        <v>1.19998</v>
      </c>
      <c r="W1126" s="61" t="n">
        <f aca="false">Resumo!$B$9</f>
        <v>1</v>
      </c>
      <c r="X1126" s="61" t="n">
        <f aca="false">Resumo!$B$10*CEILING(G1126/100,1)</f>
        <v>4.5</v>
      </c>
      <c r="Y1126" s="61" t="n">
        <f aca="false">Resumo!$B$12*CEILING(G1126,1)</f>
        <v>1.68</v>
      </c>
      <c r="Z1126" s="61" t="n">
        <f aca="false">Resumo!$B$14*CEILING(G1126,1)</f>
        <v>12.6</v>
      </c>
      <c r="AA1126" s="61" t="n">
        <f aca="false">SUM(T1126:Z1126)</f>
        <v>103.78997</v>
      </c>
      <c r="AB1126" s="61" t="n">
        <f aca="false">AA1126/(1-Resumo!$B$5)</f>
        <v>117.943147727273</v>
      </c>
      <c r="AC1126" s="61" t="n">
        <f aca="false">AB1126-S1126</f>
        <v>36.3181954545454</v>
      </c>
      <c r="AD1126" s="62" t="n">
        <f aca="false">AB1126/S1126-1</f>
        <v>0.444939867568904</v>
      </c>
      <c r="AE1126" s="60" t="str">
        <f aca="false">IF(AB1126&lt;S1126,"SIM","NÃO")</f>
        <v>NÃO</v>
      </c>
      <c r="AF1126" s="60" t="n">
        <v>2</v>
      </c>
      <c r="AG1126" s="60" t="n">
        <v>5</v>
      </c>
      <c r="AH1126" s="60" t="s">
        <v>382</v>
      </c>
      <c r="AI1126" s="61" t="n">
        <f aca="false">(T1126*(1-Painel!$C$40)+U1126+V1126+Painel!$C$41+Painel!$C$42*CEILING(G1126/100,1)+Painel!$C$43*CEILING(G1126,1)+Z1126)/(1-Resumo!$B$5)</f>
        <v>81.2848522727273</v>
      </c>
      <c r="AJ1126" s="60" t="str">
        <f aca="false">IF(AI1126&lt;S1126,"SIM","NÃO")</f>
        <v>SIM</v>
      </c>
    </row>
    <row r="1127" customFormat="false" ht="15" hidden="false" customHeight="false" outlineLevel="0" collapsed="false">
      <c r="A1127" s="59" t="n">
        <v>46251.4285648148</v>
      </c>
      <c r="B1127" s="60" t="s">
        <v>1438</v>
      </c>
      <c r="C1127" s="60" t="n">
        <v>28024731</v>
      </c>
      <c r="D1127" s="60" t="s">
        <v>51</v>
      </c>
      <c r="E1127" s="60" t="s">
        <v>24</v>
      </c>
      <c r="F1127" s="60" t="s">
        <v>240</v>
      </c>
      <c r="G1127" s="60" t="n">
        <v>117</v>
      </c>
      <c r="H1127" s="61" t="n">
        <v>1300.8</v>
      </c>
      <c r="I1127" s="61" t="n">
        <v>119.5</v>
      </c>
      <c r="J1127" s="61" t="n">
        <f aca="false">H1127*Resumo!$C$6</f>
        <v>0</v>
      </c>
      <c r="K1127" s="61" t="n">
        <f aca="false">H1127*Resumo!$C$7</f>
        <v>2.73168</v>
      </c>
      <c r="L1127" s="61" t="n">
        <f aca="false">H1127*Resumo!$C$8</f>
        <v>2.73168</v>
      </c>
      <c r="M1127" s="61" t="n">
        <f aca="false">Resumo!$C$10*CEILING(G1127/100,1)</f>
        <v>2.1</v>
      </c>
      <c r="N1127" s="61" t="n">
        <f aca="false">Resumo!$C$9</f>
        <v>0</v>
      </c>
      <c r="O1127" s="61" t="n">
        <f aca="false">Resumo!$C$13</f>
        <v>13.55</v>
      </c>
      <c r="P1127" s="61" t="n">
        <f aca="false">Resumo!$C$14*CEILING(G1127,1)</f>
        <v>52.65</v>
      </c>
      <c r="Q1127" s="61" t="n">
        <f aca="false">SUM(I1127:P1127)*Resumo!$C$11</f>
        <v>0</v>
      </c>
      <c r="R1127" s="61" t="n">
        <f aca="false">SUM(I1127:Q1127)</f>
        <v>193.26336</v>
      </c>
      <c r="S1127" s="61" t="n">
        <f aca="false">R1127/(1-Resumo!$C$5)</f>
        <v>219.617454545455</v>
      </c>
      <c r="T1127" s="61" t="n">
        <v>236.82</v>
      </c>
      <c r="U1127" s="61" t="n">
        <f aca="false">H1127*Resumo!$B$6</f>
        <v>1.3008</v>
      </c>
      <c r="V1127" s="61" t="n">
        <f aca="false">H1127*Resumo!$B$7</f>
        <v>2.6016</v>
      </c>
      <c r="W1127" s="61" t="n">
        <f aca="false">Resumo!$B$9</f>
        <v>1</v>
      </c>
      <c r="X1127" s="61" t="n">
        <f aca="false">Resumo!$B$10*CEILING(G1127/100,1)</f>
        <v>9</v>
      </c>
      <c r="Y1127" s="61" t="n">
        <f aca="false">Resumo!$B$12*CEILING(G1127,1)</f>
        <v>7.02</v>
      </c>
      <c r="Z1127" s="61" t="n">
        <f aca="false">Resumo!$B$14*CEILING(G1127,1)</f>
        <v>52.65</v>
      </c>
      <c r="AA1127" s="61" t="n">
        <f aca="false">SUM(T1127:Z1127)</f>
        <v>310.3924</v>
      </c>
      <c r="AB1127" s="61" t="n">
        <f aca="false">AA1127/(1-Resumo!$B$5)</f>
        <v>352.718636363636</v>
      </c>
      <c r="AC1127" s="61" t="n">
        <f aca="false">AB1127-S1127</f>
        <v>133.101181818182</v>
      </c>
      <c r="AD1127" s="62" t="n">
        <f aca="false">AB1127/S1127-1</f>
        <v>0.60605921370714</v>
      </c>
      <c r="AE1127" s="60" t="str">
        <f aca="false">IF(AB1127&lt;S1127,"SIM","NÃO")</f>
        <v>NÃO</v>
      </c>
      <c r="AF1127" s="60" t="n">
        <v>13</v>
      </c>
      <c r="AG1127" s="60" t="n">
        <v>11</v>
      </c>
      <c r="AH1127" s="60" t="s">
        <v>382</v>
      </c>
      <c r="AI1127" s="61" t="n">
        <f aca="false">(T1127*(1-Painel!$C$40)+U1127+V1127+Painel!$C$41+Painel!$C$42*CEILING(G1127/100,1)+Painel!$C$43*CEILING(G1127,1)+Z1127)/(1-Resumo!$B$5)</f>
        <v>248.092954545455</v>
      </c>
      <c r="AJ1127" s="60" t="str">
        <f aca="false">IF(AI1127&lt;S1127,"SIM","NÃO")</f>
        <v>NÃO</v>
      </c>
    </row>
    <row r="1128" customFormat="false" ht="15" hidden="false" customHeight="false" outlineLevel="0" collapsed="false">
      <c r="A1128" s="59" t="n">
        <v>46251.4525231482</v>
      </c>
      <c r="B1128" s="60" t="s">
        <v>1439</v>
      </c>
      <c r="C1128" s="60" t="n">
        <v>24725170</v>
      </c>
      <c r="D1128" s="60" t="s">
        <v>47</v>
      </c>
      <c r="E1128" s="60" t="s">
        <v>23</v>
      </c>
      <c r="F1128" s="60" t="s">
        <v>234</v>
      </c>
      <c r="G1128" s="60" t="n">
        <v>35.9</v>
      </c>
      <c r="H1128" s="61" t="n">
        <v>619.99</v>
      </c>
      <c r="I1128" s="61" t="n">
        <v>66.83</v>
      </c>
      <c r="J1128" s="61" t="n">
        <f aca="false">H1128*Resumo!$C$6</f>
        <v>0</v>
      </c>
      <c r="K1128" s="61" t="n">
        <f aca="false">H1128*Resumo!$C$7</f>
        <v>1.301979</v>
      </c>
      <c r="L1128" s="61" t="n">
        <f aca="false">H1128*Resumo!$C$8</f>
        <v>1.301979</v>
      </c>
      <c r="M1128" s="61" t="n">
        <f aca="false">Resumo!$C$10*CEILING(G1128/100,1)</f>
        <v>1.05</v>
      </c>
      <c r="N1128" s="61" t="n">
        <f aca="false">Resumo!$C$9</f>
        <v>0</v>
      </c>
      <c r="O1128" s="61" t="n">
        <f aca="false">Resumo!$C$13</f>
        <v>13.55</v>
      </c>
      <c r="P1128" s="61" t="n">
        <f aca="false">Resumo!$C$14*CEILING(G1128,1)</f>
        <v>16.2</v>
      </c>
      <c r="Q1128" s="61" t="n">
        <f aca="false">SUM(I1128:P1128)*Resumo!$C$11</f>
        <v>0</v>
      </c>
      <c r="R1128" s="61" t="n">
        <f aca="false">SUM(I1128:Q1128)</f>
        <v>100.233958</v>
      </c>
      <c r="S1128" s="61" t="n">
        <f aca="false">R1128/(1-Resumo!$C$5)</f>
        <v>113.902225</v>
      </c>
      <c r="T1128" s="61" t="n">
        <v>114.95</v>
      </c>
      <c r="U1128" s="61" t="n">
        <f aca="false">H1128*Resumo!$B$6</f>
        <v>0.61999</v>
      </c>
      <c r="V1128" s="61" t="n">
        <f aca="false">H1128*Resumo!$B$7</f>
        <v>1.23998</v>
      </c>
      <c r="W1128" s="61" t="n">
        <f aca="false">Resumo!$B$9</f>
        <v>1</v>
      </c>
      <c r="X1128" s="61" t="n">
        <f aca="false">Resumo!$B$10*CEILING(G1128/100,1)</f>
        <v>4.5</v>
      </c>
      <c r="Y1128" s="61" t="n">
        <f aca="false">Resumo!$B$12*CEILING(G1128,1)</f>
        <v>2.16</v>
      </c>
      <c r="Z1128" s="61" t="n">
        <f aca="false">Resumo!$B$14*CEILING(G1128,1)</f>
        <v>16.2</v>
      </c>
      <c r="AA1128" s="61" t="n">
        <f aca="false">SUM(T1128:Z1128)</f>
        <v>140.66997</v>
      </c>
      <c r="AB1128" s="61" t="n">
        <f aca="false">AA1128/(1-Resumo!$B$5)</f>
        <v>159.852238636364</v>
      </c>
      <c r="AC1128" s="61" t="n">
        <f aca="false">AB1128-S1128</f>
        <v>45.9500136363636</v>
      </c>
      <c r="AD1128" s="62" t="n">
        <f aca="false">AB1128/S1128-1</f>
        <v>0.403416295303833</v>
      </c>
      <c r="AE1128" s="60" t="str">
        <f aca="false">IF(AB1128&lt;S1128,"SIM","NÃO")</f>
        <v>NÃO</v>
      </c>
      <c r="AF1128" s="60" t="n">
        <v>2</v>
      </c>
      <c r="AG1128" s="60" t="n">
        <v>7</v>
      </c>
      <c r="AH1128" s="60" t="s">
        <v>382</v>
      </c>
      <c r="AI1128" s="61" t="n">
        <f aca="false">(T1128*(1-Painel!$C$40)+U1128+V1128+Painel!$C$41+Painel!$C$42*CEILING(G1128/100,1)+Painel!$C$43*CEILING(G1128,1)+Z1128)/(1-Resumo!$B$5)</f>
        <v>110.370988636364</v>
      </c>
      <c r="AJ1128" s="60" t="str">
        <f aca="false">IF(AI1128&lt;S1128,"SIM","NÃO")</f>
        <v>SIM</v>
      </c>
    </row>
    <row r="1129" customFormat="false" ht="15" hidden="false" customHeight="false" outlineLevel="0" collapsed="false">
      <c r="A1129" s="59" t="n">
        <v>46251.4942939815</v>
      </c>
      <c r="B1129" s="60" t="s">
        <v>461</v>
      </c>
      <c r="C1129" s="60" t="n">
        <v>28880000</v>
      </c>
      <c r="D1129" s="60" t="s">
        <v>336</v>
      </c>
      <c r="E1129" s="60" t="s">
        <v>24</v>
      </c>
      <c r="F1129" s="60" t="s">
        <v>236</v>
      </c>
      <c r="G1129" s="60" t="n">
        <v>52.3</v>
      </c>
      <c r="H1129" s="61" t="n">
        <v>699.99</v>
      </c>
      <c r="I1129" s="61" t="n">
        <v>83.58</v>
      </c>
      <c r="J1129" s="61" t="n">
        <f aca="false">H1129*Resumo!$C$6</f>
        <v>0</v>
      </c>
      <c r="K1129" s="61" t="n">
        <f aca="false">H1129*Resumo!$C$7</f>
        <v>1.469979</v>
      </c>
      <c r="L1129" s="61" t="n">
        <f aca="false">H1129*Resumo!$C$8</f>
        <v>1.469979</v>
      </c>
      <c r="M1129" s="61" t="n">
        <f aca="false">Resumo!$C$10*CEILING(G1129/100,1)</f>
        <v>1.05</v>
      </c>
      <c r="N1129" s="61" t="n">
        <f aca="false">Resumo!$C$9</f>
        <v>0</v>
      </c>
      <c r="O1129" s="61" t="n">
        <f aca="false">Resumo!$C$13</f>
        <v>13.55</v>
      </c>
      <c r="P1129" s="61" t="n">
        <f aca="false">Resumo!$C$14*CEILING(G1129,1)</f>
        <v>23.85</v>
      </c>
      <c r="Q1129" s="61" t="n">
        <f aca="false">SUM(I1129:P1129)*Resumo!$C$11</f>
        <v>0</v>
      </c>
      <c r="R1129" s="61" t="n">
        <f aca="false">SUM(I1129:Q1129)</f>
        <v>124.969958</v>
      </c>
      <c r="S1129" s="61" t="n">
        <f aca="false">R1129/(1-Resumo!$C$5)</f>
        <v>142.011315909091</v>
      </c>
      <c r="T1129" s="61" t="n">
        <v>142.32</v>
      </c>
      <c r="U1129" s="61" t="n">
        <f aca="false">H1129*Resumo!$B$6</f>
        <v>0.69999</v>
      </c>
      <c r="V1129" s="61" t="n">
        <f aca="false">H1129*Resumo!$B$7</f>
        <v>1.39998</v>
      </c>
      <c r="W1129" s="61" t="n">
        <f aca="false">Resumo!$B$9</f>
        <v>1</v>
      </c>
      <c r="X1129" s="61" t="n">
        <f aca="false">Resumo!$B$10*CEILING(G1129/100,1)</f>
        <v>4.5</v>
      </c>
      <c r="Y1129" s="61" t="n">
        <f aca="false">Resumo!$B$12*CEILING(G1129,1)</f>
        <v>3.18</v>
      </c>
      <c r="Z1129" s="61" t="n">
        <f aca="false">Resumo!$B$14*CEILING(G1129,1)</f>
        <v>23.85</v>
      </c>
      <c r="AA1129" s="61" t="n">
        <f aca="false">SUM(T1129:Z1129)</f>
        <v>176.94997</v>
      </c>
      <c r="AB1129" s="61" t="n">
        <f aca="false">AA1129/(1-Resumo!$B$5)</f>
        <v>201.079511363636</v>
      </c>
      <c r="AC1129" s="61" t="n">
        <f aca="false">AB1129-S1129</f>
        <v>59.0681954545454</v>
      </c>
      <c r="AD1129" s="62" t="n">
        <f aca="false">AB1129/S1129-1</f>
        <v>0.415940061370589</v>
      </c>
      <c r="AE1129" s="60" t="str">
        <f aca="false">IF(AB1129&lt;S1129,"SIM","NÃO")</f>
        <v>NÃO</v>
      </c>
      <c r="AF1129" s="60" t="n">
        <v>13</v>
      </c>
      <c r="AG1129" s="60" t="n">
        <v>10</v>
      </c>
      <c r="AH1129" s="60" t="s">
        <v>385</v>
      </c>
      <c r="AI1129" s="61" t="n">
        <f aca="false">(T1129*(1-Painel!$C$40)+U1129+V1129+Painel!$C$41+Painel!$C$42*CEILING(G1129/100,1)+Painel!$C$43*CEILING(G1129,1)+Z1129)/(1-Resumo!$B$5)</f>
        <v>140.175420454545</v>
      </c>
      <c r="AJ1129" s="60" t="str">
        <f aca="false">IF(AI1129&lt;S1129,"SIM","NÃO")</f>
        <v>SIM</v>
      </c>
    </row>
    <row r="1130" customFormat="false" ht="15" hidden="false" customHeight="false" outlineLevel="0" collapsed="false">
      <c r="A1130" s="59" t="n">
        <v>46251.5200462963</v>
      </c>
      <c r="B1130" s="60" t="s">
        <v>1440</v>
      </c>
      <c r="C1130" s="60" t="n">
        <v>21220410</v>
      </c>
      <c r="D1130" s="60" t="s">
        <v>46</v>
      </c>
      <c r="E1130" s="60" t="s">
        <v>22</v>
      </c>
      <c r="F1130" s="60" t="s">
        <v>240</v>
      </c>
      <c r="G1130" s="60" t="n">
        <v>106.5</v>
      </c>
      <c r="H1130" s="61" t="n">
        <v>1099.99</v>
      </c>
      <c r="I1130" s="61" t="n">
        <v>92.34</v>
      </c>
      <c r="J1130" s="61" t="n">
        <f aca="false">H1130*Resumo!$C$6</f>
        <v>0</v>
      </c>
      <c r="K1130" s="61" t="n">
        <f aca="false">H1130*Resumo!$C$7</f>
        <v>2.309979</v>
      </c>
      <c r="L1130" s="61" t="n">
        <f aca="false">H1130*Resumo!$C$8</f>
        <v>2.309979</v>
      </c>
      <c r="M1130" s="61" t="n">
        <f aca="false">Resumo!$C$10*CEILING(G1130/100,1)</f>
        <v>2.1</v>
      </c>
      <c r="N1130" s="61" t="n">
        <f aca="false">Resumo!$C$9</f>
        <v>0</v>
      </c>
      <c r="O1130" s="61" t="n">
        <f aca="false">Resumo!$C$13</f>
        <v>13.55</v>
      </c>
      <c r="P1130" s="61" t="n">
        <f aca="false">Resumo!$C$14*CEILING(G1130,1)</f>
        <v>48.15</v>
      </c>
      <c r="Q1130" s="61" t="n">
        <f aca="false">SUM(I1130:P1130)*Resumo!$C$11</f>
        <v>0</v>
      </c>
      <c r="R1130" s="61" t="n">
        <f aca="false">SUM(I1130:Q1130)</f>
        <v>160.759958</v>
      </c>
      <c r="S1130" s="61" t="n">
        <f aca="false">R1130/(1-Resumo!$C$5)</f>
        <v>182.681770454545</v>
      </c>
      <c r="T1130" s="61" t="n">
        <v>201.59</v>
      </c>
      <c r="U1130" s="61" t="n">
        <f aca="false">H1130*Resumo!$B$6</f>
        <v>1.09999</v>
      </c>
      <c r="V1130" s="61" t="n">
        <f aca="false">H1130*Resumo!$B$7</f>
        <v>2.19998</v>
      </c>
      <c r="W1130" s="61" t="n">
        <f aca="false">Resumo!$B$9</f>
        <v>1</v>
      </c>
      <c r="X1130" s="61" t="n">
        <f aca="false">Resumo!$B$10*CEILING(G1130/100,1)</f>
        <v>9</v>
      </c>
      <c r="Y1130" s="61" t="n">
        <f aca="false">Resumo!$B$12*CEILING(G1130,1)</f>
        <v>6.42</v>
      </c>
      <c r="Z1130" s="61" t="n">
        <f aca="false">Resumo!$B$14*CEILING(G1130,1)</f>
        <v>48.15</v>
      </c>
      <c r="AA1130" s="61" t="n">
        <f aca="false">SUM(T1130:Z1130)</f>
        <v>269.45997</v>
      </c>
      <c r="AB1130" s="61" t="n">
        <f aca="false">AA1130/(1-Resumo!$B$5)</f>
        <v>306.204511363636</v>
      </c>
      <c r="AC1130" s="61" t="n">
        <f aca="false">AB1130-S1130</f>
        <v>123.522740909091</v>
      </c>
      <c r="AD1130" s="62" t="n">
        <f aca="false">AB1130/S1130-1</f>
        <v>0.676163475981998</v>
      </c>
      <c r="AE1130" s="60" t="str">
        <f aca="false">IF(AB1130&lt;S1130,"SIM","NÃO")</f>
        <v>NÃO</v>
      </c>
      <c r="AF1130" s="60" t="n">
        <v>2</v>
      </c>
      <c r="AG1130" s="60" t="n">
        <v>5</v>
      </c>
      <c r="AH1130" s="60" t="s">
        <v>382</v>
      </c>
      <c r="AI1130" s="61" t="n">
        <f aca="false">(T1130*(1-Painel!$C$40)+U1130+V1130+Painel!$C$41+Painel!$C$42*CEILING(G1130/100,1)+Painel!$C$43*CEILING(G1130,1)+Z1130)/(1-Resumo!$B$5)</f>
        <v>215.471897727273</v>
      </c>
      <c r="AJ1130" s="60" t="str">
        <f aca="false">IF(AI1130&lt;S1130,"SIM","NÃO")</f>
        <v>NÃO</v>
      </c>
    </row>
    <row r="1131" customFormat="false" ht="15" hidden="false" customHeight="false" outlineLevel="0" collapsed="false">
      <c r="A1131" s="59" t="n">
        <v>46251.5360069444</v>
      </c>
      <c r="B1131" s="60" t="s">
        <v>1155</v>
      </c>
      <c r="C1131" s="60" t="n">
        <v>21520050</v>
      </c>
      <c r="D1131" s="60" t="s">
        <v>46</v>
      </c>
      <c r="E1131" s="60" t="s">
        <v>22</v>
      </c>
      <c r="F1131" s="60" t="s">
        <v>242</v>
      </c>
      <c r="G1131" s="60" t="n">
        <v>158.8</v>
      </c>
      <c r="H1131" s="61" t="n">
        <v>1746.98</v>
      </c>
      <c r="I1131" s="61" t="n">
        <v>130.31</v>
      </c>
      <c r="J1131" s="61" t="n">
        <f aca="false">H1131*Resumo!$C$6</f>
        <v>0</v>
      </c>
      <c r="K1131" s="61" t="n">
        <f aca="false">H1131*Resumo!$C$7</f>
        <v>3.668658</v>
      </c>
      <c r="L1131" s="61" t="n">
        <f aca="false">H1131*Resumo!$C$8</f>
        <v>3.668658</v>
      </c>
      <c r="M1131" s="61" t="n">
        <f aca="false">Resumo!$C$10*CEILING(G1131/100,1)</f>
        <v>2.1</v>
      </c>
      <c r="N1131" s="61" t="n">
        <f aca="false">Resumo!$C$9</f>
        <v>0</v>
      </c>
      <c r="O1131" s="61" t="n">
        <f aca="false">Resumo!$C$13</f>
        <v>13.55</v>
      </c>
      <c r="P1131" s="61" t="n">
        <f aca="false">Resumo!$C$14*CEILING(G1131,1)</f>
        <v>71.55</v>
      </c>
      <c r="Q1131" s="61" t="n">
        <f aca="false">SUM(I1131:P1131)*Resumo!$C$11</f>
        <v>0</v>
      </c>
      <c r="R1131" s="61" t="n">
        <f aca="false">SUM(I1131:Q1131)</f>
        <v>224.847316</v>
      </c>
      <c r="S1131" s="61" t="n">
        <f aca="false">R1131/(1-Resumo!$C$5)</f>
        <v>255.508313636364</v>
      </c>
      <c r="T1131" s="61" t="n">
        <v>271.15</v>
      </c>
      <c r="U1131" s="61" t="n">
        <f aca="false">H1131*Resumo!$B$6</f>
        <v>1.74698</v>
      </c>
      <c r="V1131" s="61" t="n">
        <f aca="false">H1131*Resumo!$B$7</f>
        <v>3.49396</v>
      </c>
      <c r="W1131" s="61" t="n">
        <f aca="false">Resumo!$B$9</f>
        <v>1</v>
      </c>
      <c r="X1131" s="61" t="n">
        <f aca="false">Resumo!$B$10*CEILING(G1131/100,1)</f>
        <v>9</v>
      </c>
      <c r="Y1131" s="61" t="n">
        <f aca="false">Resumo!$B$12*CEILING(G1131,1)</f>
        <v>9.54</v>
      </c>
      <c r="Z1131" s="61" t="n">
        <f aca="false">Resumo!$B$14*CEILING(G1131,1)</f>
        <v>71.55</v>
      </c>
      <c r="AA1131" s="61" t="n">
        <f aca="false">SUM(T1131:Z1131)</f>
        <v>367.48094</v>
      </c>
      <c r="AB1131" s="61" t="n">
        <f aca="false">AA1131/(1-Resumo!$B$5)</f>
        <v>417.591977272727</v>
      </c>
      <c r="AC1131" s="61" t="n">
        <f aca="false">AB1131-S1131</f>
        <v>162.083663636364</v>
      </c>
      <c r="AD1131" s="62" t="n">
        <f aca="false">AB1131/S1131-1</f>
        <v>0.634357690086903</v>
      </c>
      <c r="AE1131" s="60" t="str">
        <f aca="false">IF(AB1131&lt;S1131,"SIM","NÃO")</f>
        <v>NÃO</v>
      </c>
      <c r="AF1131" s="60" t="n">
        <v>2</v>
      </c>
      <c r="AG1131" s="60" t="n">
        <v>5</v>
      </c>
      <c r="AH1131" s="60" t="s">
        <v>382</v>
      </c>
      <c r="AI1131" s="61" t="n">
        <f aca="false">(T1131*(1-Painel!$C$40)+U1131+V1131+Painel!$C$41+Painel!$C$42*CEILING(G1131/100,1)+Painel!$C$43*CEILING(G1131,1)+Z1131)/(1-Resumo!$B$5)</f>
        <v>297.228909090909</v>
      </c>
      <c r="AJ1131" s="60" t="str">
        <f aca="false">IF(AI1131&lt;S1131,"SIM","NÃO")</f>
        <v>NÃO</v>
      </c>
    </row>
    <row r="1132" customFormat="false" ht="15" hidden="false" customHeight="false" outlineLevel="0" collapsed="false">
      <c r="A1132" s="59" t="n">
        <v>46251.5399884259</v>
      </c>
      <c r="B1132" s="60" t="s">
        <v>1441</v>
      </c>
      <c r="C1132" s="60" t="n">
        <v>27971791</v>
      </c>
      <c r="D1132" s="60" t="s">
        <v>53</v>
      </c>
      <c r="E1132" s="60" t="s">
        <v>24</v>
      </c>
      <c r="F1132" s="60" t="s">
        <v>236</v>
      </c>
      <c r="G1132" s="60" t="n">
        <v>60</v>
      </c>
      <c r="H1132" s="61" t="n">
        <v>793.39</v>
      </c>
      <c r="I1132" s="61" t="n">
        <v>83.58</v>
      </c>
      <c r="J1132" s="61" t="n">
        <f aca="false">H1132*Resumo!$C$6</f>
        <v>0</v>
      </c>
      <c r="K1132" s="61" t="n">
        <f aca="false">H1132*Resumo!$C$7</f>
        <v>1.666119</v>
      </c>
      <c r="L1132" s="61" t="n">
        <f aca="false">H1132*Resumo!$C$8</f>
        <v>1.666119</v>
      </c>
      <c r="M1132" s="61" t="n">
        <f aca="false">Resumo!$C$10*CEILING(G1132/100,1)</f>
        <v>1.05</v>
      </c>
      <c r="N1132" s="61" t="n">
        <f aca="false">Resumo!$C$9</f>
        <v>0</v>
      </c>
      <c r="O1132" s="61" t="n">
        <f aca="false">Resumo!$C$13</f>
        <v>13.55</v>
      </c>
      <c r="P1132" s="61" t="n">
        <f aca="false">Resumo!$C$14*CEILING(G1132,1)</f>
        <v>27</v>
      </c>
      <c r="Q1132" s="61" t="n">
        <f aca="false">SUM(I1132:P1132)*Resumo!$C$11</f>
        <v>0</v>
      </c>
      <c r="R1132" s="61" t="n">
        <f aca="false">SUM(I1132:Q1132)</f>
        <v>128.512238</v>
      </c>
      <c r="S1132" s="61" t="n">
        <f aca="false">R1132/(1-Resumo!$C$5)</f>
        <v>146.036634090909</v>
      </c>
      <c r="T1132" s="61" t="n">
        <v>162.04</v>
      </c>
      <c r="U1132" s="61" t="n">
        <f aca="false">H1132*Resumo!$B$6</f>
        <v>0.79339</v>
      </c>
      <c r="V1132" s="61" t="n">
        <f aca="false">H1132*Resumo!$B$7</f>
        <v>1.58678</v>
      </c>
      <c r="W1132" s="61" t="n">
        <f aca="false">Resumo!$B$9</f>
        <v>1</v>
      </c>
      <c r="X1132" s="61" t="n">
        <f aca="false">Resumo!$B$10*CEILING(G1132/100,1)</f>
        <v>4.5</v>
      </c>
      <c r="Y1132" s="61" t="n">
        <f aca="false">Resumo!$B$12*CEILING(G1132,1)</f>
        <v>3.6</v>
      </c>
      <c r="Z1132" s="61" t="n">
        <f aca="false">Resumo!$B$14*CEILING(G1132,1)</f>
        <v>27</v>
      </c>
      <c r="AA1132" s="61" t="n">
        <f aca="false">SUM(T1132:Z1132)</f>
        <v>200.52017</v>
      </c>
      <c r="AB1132" s="61" t="n">
        <f aca="false">AA1132/(1-Resumo!$B$5)</f>
        <v>227.863829545455</v>
      </c>
      <c r="AC1132" s="61" t="n">
        <f aca="false">AB1132-S1132</f>
        <v>81.8271954545454</v>
      </c>
      <c r="AD1132" s="62" t="n">
        <f aca="false">AB1132/S1132-1</f>
        <v>0.560319648312404</v>
      </c>
      <c r="AE1132" s="60" t="str">
        <f aca="false">IF(AB1132&lt;S1132,"SIM","NÃO")</f>
        <v>NÃO</v>
      </c>
      <c r="AF1132" s="60" t="n">
        <v>13</v>
      </c>
      <c r="AG1132" s="60" t="n">
        <v>11</v>
      </c>
      <c r="AH1132" s="60" t="s">
        <v>382</v>
      </c>
      <c r="AI1132" s="61" t="n">
        <f aca="false">(T1132*(1-Painel!$C$40)+U1132+V1132+Painel!$C$41+Painel!$C$42*CEILING(G1132/100,1)+Painel!$C$43*CEILING(G1132,1)+Z1132)/(1-Resumo!$B$5)</f>
        <v>159.087465909091</v>
      </c>
      <c r="AJ1132" s="60" t="str">
        <f aca="false">IF(AI1132&lt;S1132,"SIM","NÃO")</f>
        <v>NÃO</v>
      </c>
    </row>
    <row r="1133" customFormat="false" ht="15" hidden="false" customHeight="false" outlineLevel="0" collapsed="false">
      <c r="A1133" s="59" t="n">
        <v>46251.5596990741</v>
      </c>
      <c r="B1133" s="60" t="s">
        <v>1442</v>
      </c>
      <c r="C1133" s="60" t="n">
        <v>21220220</v>
      </c>
      <c r="D1133" s="60" t="s">
        <v>46</v>
      </c>
      <c r="E1133" s="60" t="s">
        <v>22</v>
      </c>
      <c r="F1133" s="60" t="s">
        <v>233</v>
      </c>
      <c r="G1133" s="60" t="n">
        <v>33.3</v>
      </c>
      <c r="H1133" s="61" t="n">
        <v>509.99</v>
      </c>
      <c r="I1133" s="61" t="n">
        <v>42.11</v>
      </c>
      <c r="J1133" s="61" t="n">
        <f aca="false">H1133*Resumo!$C$6</f>
        <v>0</v>
      </c>
      <c r="K1133" s="61" t="n">
        <f aca="false">H1133*Resumo!$C$7</f>
        <v>1.070979</v>
      </c>
      <c r="L1133" s="61" t="n">
        <f aca="false">H1133*Resumo!$C$8</f>
        <v>1.070979</v>
      </c>
      <c r="M1133" s="61" t="n">
        <f aca="false">Resumo!$C$10*CEILING(G1133/100,1)</f>
        <v>1.05</v>
      </c>
      <c r="N1133" s="61" t="n">
        <f aca="false">Resumo!$C$9</f>
        <v>0</v>
      </c>
      <c r="O1133" s="61" t="n">
        <f aca="false">Resumo!$C$13</f>
        <v>13.55</v>
      </c>
      <c r="P1133" s="61" t="n">
        <f aca="false">Resumo!$C$14*CEILING(G1133,1)</f>
        <v>15.3</v>
      </c>
      <c r="Q1133" s="61" t="n">
        <f aca="false">SUM(I1133:P1133)*Resumo!$C$11</f>
        <v>0</v>
      </c>
      <c r="R1133" s="61" t="n">
        <f aca="false">SUM(I1133:Q1133)</f>
        <v>74.151958</v>
      </c>
      <c r="S1133" s="61" t="n">
        <f aca="false">R1133/(1-Resumo!$C$5)</f>
        <v>84.2635886363637</v>
      </c>
      <c r="T1133" s="61" t="n">
        <v>82.21</v>
      </c>
      <c r="U1133" s="61" t="n">
        <f aca="false">H1133*Resumo!$B$6</f>
        <v>0.50999</v>
      </c>
      <c r="V1133" s="61" t="n">
        <f aca="false">H1133*Resumo!$B$7</f>
        <v>1.01998</v>
      </c>
      <c r="W1133" s="61" t="n">
        <f aca="false">Resumo!$B$9</f>
        <v>1</v>
      </c>
      <c r="X1133" s="61" t="n">
        <f aca="false">Resumo!$B$10*CEILING(G1133/100,1)</f>
        <v>4.5</v>
      </c>
      <c r="Y1133" s="61" t="n">
        <f aca="false">Resumo!$B$12*CEILING(G1133,1)</f>
        <v>2.04</v>
      </c>
      <c r="Z1133" s="61" t="n">
        <f aca="false">Resumo!$B$14*CEILING(G1133,1)</f>
        <v>15.3</v>
      </c>
      <c r="AA1133" s="61" t="n">
        <f aca="false">SUM(T1133:Z1133)</f>
        <v>106.57997</v>
      </c>
      <c r="AB1133" s="61" t="n">
        <f aca="false">AA1133/(1-Resumo!$B$5)</f>
        <v>121.113602272727</v>
      </c>
      <c r="AC1133" s="61" t="n">
        <f aca="false">AB1133-S1133</f>
        <v>36.8500136363636</v>
      </c>
      <c r="AD1133" s="62" t="n">
        <f aca="false">AB1133/S1133-1</f>
        <v>0.437318351054196</v>
      </c>
      <c r="AE1133" s="60" t="str">
        <f aca="false">IF(AB1133&lt;S1133,"SIM","NÃO")</f>
        <v>NÃO</v>
      </c>
      <c r="AF1133" s="60" t="n">
        <v>2</v>
      </c>
      <c r="AG1133" s="60" t="n">
        <v>5</v>
      </c>
      <c r="AH1133" s="60" t="s">
        <v>382</v>
      </c>
      <c r="AI1133" s="61" t="n">
        <f aca="false">(T1133*(1-Painel!$C$40)+U1133+V1133+Painel!$C$41+Painel!$C$42*CEILING(G1133/100,1)+Painel!$C$43*CEILING(G1133,1)+Z1133)/(1-Resumo!$B$5)</f>
        <v>84.0462159090909</v>
      </c>
      <c r="AJ1133" s="60" t="str">
        <f aca="false">IF(AI1133&lt;S1133,"SIM","NÃO")</f>
        <v>SIM</v>
      </c>
    </row>
    <row r="1134" customFormat="false" ht="15" hidden="false" customHeight="false" outlineLevel="0" collapsed="false">
      <c r="A1134" s="59" t="n">
        <v>46251.5732175926</v>
      </c>
      <c r="B1134" s="60" t="s">
        <v>1443</v>
      </c>
      <c r="C1134" s="60" t="n">
        <v>28908050</v>
      </c>
      <c r="D1134" s="60" t="s">
        <v>221</v>
      </c>
      <c r="E1134" s="60" t="s">
        <v>24</v>
      </c>
      <c r="F1134" s="60" t="s">
        <v>233</v>
      </c>
      <c r="G1134" s="60" t="n">
        <v>27.6</v>
      </c>
      <c r="H1134" s="61" t="n">
        <v>379.98</v>
      </c>
      <c r="I1134" s="61" t="n">
        <v>65.63</v>
      </c>
      <c r="J1134" s="61" t="n">
        <f aca="false">H1134*Resumo!$C$6</f>
        <v>0</v>
      </c>
      <c r="K1134" s="61" t="n">
        <f aca="false">H1134*Resumo!$C$7</f>
        <v>0.797958</v>
      </c>
      <c r="L1134" s="61" t="n">
        <f aca="false">H1134*Resumo!$C$8</f>
        <v>0.797958</v>
      </c>
      <c r="M1134" s="61" t="n">
        <f aca="false">Resumo!$C$10*CEILING(G1134/100,1)</f>
        <v>1.05</v>
      </c>
      <c r="N1134" s="61" t="n">
        <f aca="false">Resumo!$C$9</f>
        <v>0</v>
      </c>
      <c r="O1134" s="61" t="n">
        <f aca="false">Resumo!$C$13</f>
        <v>13.55</v>
      </c>
      <c r="P1134" s="61" t="n">
        <f aca="false">Resumo!$C$14*CEILING(G1134,1)</f>
        <v>12.6</v>
      </c>
      <c r="Q1134" s="61" t="n">
        <f aca="false">SUM(I1134:P1134)*Resumo!$C$11</f>
        <v>0</v>
      </c>
      <c r="R1134" s="61" t="n">
        <f aca="false">SUM(I1134:Q1134)</f>
        <v>94.425916</v>
      </c>
      <c r="S1134" s="61" t="n">
        <f aca="false">R1134/(1-Resumo!$C$5)</f>
        <v>107.302177272727</v>
      </c>
      <c r="T1134" s="61" t="n">
        <v>114.95</v>
      </c>
      <c r="U1134" s="61" t="n">
        <f aca="false">H1134*Resumo!$B$6</f>
        <v>0.37998</v>
      </c>
      <c r="V1134" s="61" t="n">
        <f aca="false">H1134*Resumo!$B$7</f>
        <v>0.75996</v>
      </c>
      <c r="W1134" s="61" t="n">
        <f aca="false">Resumo!$B$9</f>
        <v>1</v>
      </c>
      <c r="X1134" s="61" t="n">
        <f aca="false">Resumo!$B$10*CEILING(G1134/100,1)</f>
        <v>4.5</v>
      </c>
      <c r="Y1134" s="61" t="n">
        <f aca="false">Resumo!$B$12*CEILING(G1134,1)</f>
        <v>1.68</v>
      </c>
      <c r="Z1134" s="61" t="n">
        <f aca="false">Resumo!$B$14*CEILING(G1134,1)</f>
        <v>12.6</v>
      </c>
      <c r="AA1134" s="61" t="n">
        <f aca="false">SUM(T1134:Z1134)</f>
        <v>135.86994</v>
      </c>
      <c r="AB1134" s="61" t="n">
        <f aca="false">AA1134/(1-Resumo!$B$5)</f>
        <v>154.397659090909</v>
      </c>
      <c r="AC1134" s="61" t="n">
        <f aca="false">AB1134-S1134</f>
        <v>47.0954818181819</v>
      </c>
      <c r="AD1134" s="62" t="n">
        <f aca="false">AB1134/S1134-1</f>
        <v>0.438905183615058</v>
      </c>
      <c r="AE1134" s="60" t="str">
        <f aca="false">IF(AB1134&lt;S1134,"SIM","NÃO")</f>
        <v>NÃO</v>
      </c>
      <c r="AF1134" s="60" t="n">
        <v>13</v>
      </c>
      <c r="AG1134" s="60" t="n">
        <v>10</v>
      </c>
      <c r="AH1134" s="60" t="s">
        <v>382</v>
      </c>
      <c r="AI1134" s="61" t="n">
        <f aca="false">(T1134*(1-Painel!$C$40)+U1134+V1134+Painel!$C$41+Painel!$C$42*CEILING(G1134/100,1)+Painel!$C$43*CEILING(G1134,1)+Z1134)/(1-Resumo!$B$5)</f>
        <v>105.461863636364</v>
      </c>
      <c r="AJ1134" s="60" t="str">
        <f aca="false">IF(AI1134&lt;S1134,"SIM","NÃO")</f>
        <v>SIM</v>
      </c>
    </row>
    <row r="1135" customFormat="false" ht="15" hidden="false" customHeight="false" outlineLevel="0" collapsed="false">
      <c r="A1135" s="59" t="n">
        <v>46251.5751851852</v>
      </c>
      <c r="B1135" s="60" t="s">
        <v>1444</v>
      </c>
      <c r="C1135" s="60" t="n">
        <v>24417180</v>
      </c>
      <c r="D1135" s="60" t="s">
        <v>47</v>
      </c>
      <c r="E1135" s="60" t="s">
        <v>23</v>
      </c>
      <c r="F1135" s="60" t="s">
        <v>237</v>
      </c>
      <c r="G1135" s="60" t="n">
        <v>67.3</v>
      </c>
      <c r="H1135" s="61" t="n">
        <v>622.49</v>
      </c>
      <c r="I1135" s="61" t="n">
        <v>76.55</v>
      </c>
      <c r="J1135" s="61" t="n">
        <f aca="false">H1135*Resumo!$C$6</f>
        <v>0</v>
      </c>
      <c r="K1135" s="61" t="n">
        <f aca="false">H1135*Resumo!$C$7</f>
        <v>1.307229</v>
      </c>
      <c r="L1135" s="61" t="n">
        <f aca="false">H1135*Resumo!$C$8</f>
        <v>1.307229</v>
      </c>
      <c r="M1135" s="61" t="n">
        <f aca="false">Resumo!$C$10*CEILING(G1135/100,1)</f>
        <v>1.05</v>
      </c>
      <c r="N1135" s="61" t="n">
        <f aca="false">Resumo!$C$9</f>
        <v>0</v>
      </c>
      <c r="O1135" s="61" t="n">
        <f aca="false">Resumo!$C$13</f>
        <v>13.55</v>
      </c>
      <c r="P1135" s="61" t="n">
        <f aca="false">Resumo!$C$14*CEILING(G1135,1)</f>
        <v>30.6</v>
      </c>
      <c r="Q1135" s="61" t="n">
        <f aca="false">SUM(I1135:P1135)*Resumo!$C$11</f>
        <v>0</v>
      </c>
      <c r="R1135" s="61" t="n">
        <f aca="false">SUM(I1135:Q1135)</f>
        <v>124.364458</v>
      </c>
      <c r="S1135" s="61" t="n">
        <f aca="false">R1135/(1-Resumo!$C$5)</f>
        <v>141.323247727273</v>
      </c>
      <c r="T1135" s="61" t="n">
        <v>149.5</v>
      </c>
      <c r="U1135" s="61" t="n">
        <f aca="false">H1135*Resumo!$B$6</f>
        <v>0.62249</v>
      </c>
      <c r="V1135" s="61" t="n">
        <f aca="false">H1135*Resumo!$B$7</f>
        <v>1.24498</v>
      </c>
      <c r="W1135" s="61" t="n">
        <f aca="false">Resumo!$B$9</f>
        <v>1</v>
      </c>
      <c r="X1135" s="61" t="n">
        <f aca="false">Resumo!$B$10*CEILING(G1135/100,1)</f>
        <v>4.5</v>
      </c>
      <c r="Y1135" s="61" t="n">
        <f aca="false">Resumo!$B$12*CEILING(G1135,1)</f>
        <v>4.08</v>
      </c>
      <c r="Z1135" s="61" t="n">
        <f aca="false">Resumo!$B$14*CEILING(G1135,1)</f>
        <v>30.6</v>
      </c>
      <c r="AA1135" s="61" t="n">
        <f aca="false">SUM(T1135:Z1135)</f>
        <v>191.54747</v>
      </c>
      <c r="AB1135" s="61" t="n">
        <f aca="false">AA1135/(1-Resumo!$B$5)</f>
        <v>217.667579545455</v>
      </c>
      <c r="AC1135" s="61" t="n">
        <f aca="false">AB1135-S1135</f>
        <v>76.3443318181818</v>
      </c>
      <c r="AD1135" s="62" t="n">
        <f aca="false">AB1135/S1135-1</f>
        <v>0.540210708754104</v>
      </c>
      <c r="AE1135" s="60" t="str">
        <f aca="false">IF(AB1135&lt;S1135,"SIM","NÃO")</f>
        <v>NÃO</v>
      </c>
      <c r="AF1135" s="60" t="n">
        <v>2</v>
      </c>
      <c r="AG1135" s="60" t="n">
        <v>7</v>
      </c>
      <c r="AH1135" s="60" t="s">
        <v>382</v>
      </c>
      <c r="AI1135" s="61" t="n">
        <f aca="false">(T1135*(1-Painel!$C$40)+U1135+V1135+Painel!$C$41+Painel!$C$42*CEILING(G1135/100,1)+Painel!$C$43*CEILING(G1135,1)+Z1135)/(1-Resumo!$B$5)</f>
        <v>153.048261363636</v>
      </c>
      <c r="AJ1135" s="60" t="str">
        <f aca="false">IF(AI1135&lt;S1135,"SIM","NÃO")</f>
        <v>NÃO</v>
      </c>
    </row>
    <row r="1136" customFormat="false" ht="15" hidden="false" customHeight="false" outlineLevel="0" collapsed="false">
      <c r="A1136" s="59" t="n">
        <v>46251.580625</v>
      </c>
      <c r="B1136" s="60" t="s">
        <v>1445</v>
      </c>
      <c r="C1136" s="60" t="n">
        <v>20251370</v>
      </c>
      <c r="D1136" s="60" t="s">
        <v>46</v>
      </c>
      <c r="E1136" s="60" t="s">
        <v>22</v>
      </c>
      <c r="F1136" s="60" t="s">
        <v>234</v>
      </c>
      <c r="G1136" s="60" t="n">
        <v>39</v>
      </c>
      <c r="H1136" s="61" t="n">
        <v>539.99</v>
      </c>
      <c r="I1136" s="61" t="n">
        <v>48.35</v>
      </c>
      <c r="J1136" s="61" t="n">
        <f aca="false">H1136*Resumo!$C$6</f>
        <v>0</v>
      </c>
      <c r="K1136" s="61" t="n">
        <f aca="false">H1136*Resumo!$C$7</f>
        <v>1.133979</v>
      </c>
      <c r="L1136" s="61" t="n">
        <f aca="false">H1136*Resumo!$C$8</f>
        <v>1.133979</v>
      </c>
      <c r="M1136" s="61" t="n">
        <f aca="false">Resumo!$C$10*CEILING(G1136/100,1)</f>
        <v>1.05</v>
      </c>
      <c r="N1136" s="61" t="n">
        <f aca="false">Resumo!$C$9</f>
        <v>0</v>
      </c>
      <c r="O1136" s="61" t="n">
        <f aca="false">Resumo!$C$13</f>
        <v>13.55</v>
      </c>
      <c r="P1136" s="61" t="n">
        <f aca="false">Resumo!$C$14*CEILING(G1136,1)</f>
        <v>17.55</v>
      </c>
      <c r="Q1136" s="61" t="n">
        <f aca="false">SUM(I1136:P1136)*Resumo!$C$11</f>
        <v>0</v>
      </c>
      <c r="R1136" s="61" t="n">
        <f aca="false">SUM(I1136:Q1136)</f>
        <v>82.767958</v>
      </c>
      <c r="S1136" s="61" t="n">
        <f aca="false">R1136/(1-Resumo!$C$5)</f>
        <v>94.0544977272727</v>
      </c>
      <c r="T1136" s="61" t="n">
        <v>93.97</v>
      </c>
      <c r="U1136" s="61" t="n">
        <f aca="false">H1136*Resumo!$B$6</f>
        <v>0.53999</v>
      </c>
      <c r="V1136" s="61" t="n">
        <f aca="false">H1136*Resumo!$B$7</f>
        <v>1.07998</v>
      </c>
      <c r="W1136" s="61" t="n">
        <f aca="false">Resumo!$B$9</f>
        <v>1</v>
      </c>
      <c r="X1136" s="61" t="n">
        <f aca="false">Resumo!$B$10*CEILING(G1136/100,1)</f>
        <v>4.5</v>
      </c>
      <c r="Y1136" s="61" t="n">
        <f aca="false">Resumo!$B$12*CEILING(G1136,1)</f>
        <v>2.34</v>
      </c>
      <c r="Z1136" s="61" t="n">
        <f aca="false">Resumo!$B$14*CEILING(G1136,1)</f>
        <v>17.55</v>
      </c>
      <c r="AA1136" s="61" t="n">
        <f aca="false">SUM(T1136:Z1136)</f>
        <v>120.97997</v>
      </c>
      <c r="AB1136" s="61" t="n">
        <f aca="false">AA1136/(1-Resumo!$B$5)</f>
        <v>137.477238636364</v>
      </c>
      <c r="AC1136" s="61" t="n">
        <f aca="false">AB1136-S1136</f>
        <v>43.4227409090909</v>
      </c>
      <c r="AD1136" s="62" t="n">
        <f aca="false">AB1136/S1136-1</f>
        <v>0.461676389309979</v>
      </c>
      <c r="AE1136" s="60" t="str">
        <f aca="false">IF(AB1136&lt;S1136,"SIM","NÃO")</f>
        <v>NÃO</v>
      </c>
      <c r="AF1136" s="60" t="n">
        <v>2</v>
      </c>
      <c r="AG1136" s="60" t="n">
        <v>5</v>
      </c>
      <c r="AH1136" s="60" t="s">
        <v>382</v>
      </c>
      <c r="AI1136" s="61" t="n">
        <f aca="false">(T1136*(1-Painel!$C$40)+U1136+V1136+Painel!$C$41+Painel!$C$42*CEILING(G1136/100,1)+Painel!$C$43*CEILING(G1136,1)+Z1136)/(1-Resumo!$B$5)</f>
        <v>95.6589431818182</v>
      </c>
      <c r="AJ1136" s="60" t="str">
        <f aca="false">IF(AI1136&lt;S1136,"SIM","NÃO")</f>
        <v>NÃO</v>
      </c>
    </row>
    <row r="1137" customFormat="false" ht="15" hidden="false" customHeight="false" outlineLevel="0" collapsed="false">
      <c r="A1137" s="59" t="n">
        <v>46251.5839351852</v>
      </c>
      <c r="B1137" s="60" t="s">
        <v>1446</v>
      </c>
      <c r="C1137" s="60" t="n">
        <v>28994172</v>
      </c>
      <c r="D1137" s="60" t="s">
        <v>341</v>
      </c>
      <c r="E1137" s="60" t="s">
        <v>24</v>
      </c>
      <c r="F1137" s="60" t="s">
        <v>233</v>
      </c>
      <c r="G1137" s="60" t="n">
        <v>27.5</v>
      </c>
      <c r="H1137" s="61" t="n">
        <v>399.98</v>
      </c>
      <c r="I1137" s="61" t="n">
        <v>65.63</v>
      </c>
      <c r="J1137" s="61" t="n">
        <f aca="false">H1137*Resumo!$C$6</f>
        <v>0</v>
      </c>
      <c r="K1137" s="61" t="n">
        <f aca="false">H1137*Resumo!$C$7</f>
        <v>0.839958</v>
      </c>
      <c r="L1137" s="61" t="n">
        <f aca="false">H1137*Resumo!$C$8</f>
        <v>0.839958</v>
      </c>
      <c r="M1137" s="61" t="n">
        <f aca="false">Resumo!$C$10*CEILING(G1137/100,1)</f>
        <v>1.05</v>
      </c>
      <c r="N1137" s="61" t="n">
        <f aca="false">Resumo!$C$9</f>
        <v>0</v>
      </c>
      <c r="O1137" s="61" t="n">
        <f aca="false">Resumo!$C$13</f>
        <v>13.55</v>
      </c>
      <c r="P1137" s="61" t="n">
        <f aca="false">Resumo!$C$14*CEILING(G1137,1)</f>
        <v>12.6</v>
      </c>
      <c r="Q1137" s="61" t="n">
        <f aca="false">SUM(I1137:P1137)*Resumo!$C$11</f>
        <v>0</v>
      </c>
      <c r="R1137" s="61" t="n">
        <f aca="false">SUM(I1137:Q1137)</f>
        <v>94.509916</v>
      </c>
      <c r="S1137" s="61" t="n">
        <f aca="false">R1137/(1-Resumo!$C$5)</f>
        <v>107.397631818182</v>
      </c>
      <c r="T1137" s="61" t="n">
        <v>114.95</v>
      </c>
      <c r="U1137" s="61" t="n">
        <f aca="false">H1137*Resumo!$B$6</f>
        <v>0.39998</v>
      </c>
      <c r="V1137" s="61" t="n">
        <f aca="false">H1137*Resumo!$B$7</f>
        <v>0.79996</v>
      </c>
      <c r="W1137" s="61" t="n">
        <f aca="false">Resumo!$B$9</f>
        <v>1</v>
      </c>
      <c r="X1137" s="61" t="n">
        <f aca="false">Resumo!$B$10*CEILING(G1137/100,1)</f>
        <v>4.5</v>
      </c>
      <c r="Y1137" s="61" t="n">
        <f aca="false">Resumo!$B$12*CEILING(G1137,1)</f>
        <v>1.68</v>
      </c>
      <c r="Z1137" s="61" t="n">
        <f aca="false">Resumo!$B$14*CEILING(G1137,1)</f>
        <v>12.6</v>
      </c>
      <c r="AA1137" s="61" t="n">
        <f aca="false">SUM(T1137:Z1137)</f>
        <v>135.92994</v>
      </c>
      <c r="AB1137" s="61" t="n">
        <f aca="false">AA1137/(1-Resumo!$B$5)</f>
        <v>154.465840909091</v>
      </c>
      <c r="AC1137" s="61" t="n">
        <f aca="false">AB1137-S1137</f>
        <v>47.0682090909091</v>
      </c>
      <c r="AD1137" s="62" t="n">
        <f aca="false">AB1137/S1137-1</f>
        <v>0.438261144999854</v>
      </c>
      <c r="AE1137" s="60" t="str">
        <f aca="false">IF(AB1137&lt;S1137,"SIM","NÃO")</f>
        <v>NÃO</v>
      </c>
      <c r="AF1137" s="60" t="n">
        <v>13</v>
      </c>
      <c r="AG1137" s="60" t="n">
        <v>10</v>
      </c>
      <c r="AH1137" s="60" t="s">
        <v>385</v>
      </c>
      <c r="AI1137" s="61" t="n">
        <f aca="false">(T1137*(1-Painel!$C$40)+U1137+V1137+Painel!$C$41+Painel!$C$42*CEILING(G1137/100,1)+Painel!$C$43*CEILING(G1137,1)+Z1137)/(1-Resumo!$B$5)</f>
        <v>105.530045454545</v>
      </c>
      <c r="AJ1137" s="60" t="str">
        <f aca="false">IF(AI1137&lt;S1137,"SIM","NÃO")</f>
        <v>SIM</v>
      </c>
    </row>
    <row r="1138" customFormat="false" ht="15" hidden="false" customHeight="false" outlineLevel="0" collapsed="false">
      <c r="A1138" s="59" t="n">
        <v>46251.5846643519</v>
      </c>
      <c r="B1138" s="60" t="s">
        <v>592</v>
      </c>
      <c r="C1138" s="60" t="n">
        <v>22451265</v>
      </c>
      <c r="D1138" s="60" t="s">
        <v>46</v>
      </c>
      <c r="E1138" s="60" t="s">
        <v>22</v>
      </c>
      <c r="F1138" s="60" t="s">
        <v>233</v>
      </c>
      <c r="G1138" s="60" t="n">
        <v>22.4</v>
      </c>
      <c r="H1138" s="61" t="n">
        <v>559.99</v>
      </c>
      <c r="I1138" s="61" t="n">
        <v>42.11</v>
      </c>
      <c r="J1138" s="61" t="n">
        <f aca="false">H1138*Resumo!$C$6</f>
        <v>0</v>
      </c>
      <c r="K1138" s="61" t="n">
        <f aca="false">H1138*Resumo!$C$7</f>
        <v>1.175979</v>
      </c>
      <c r="L1138" s="61" t="n">
        <f aca="false">H1138*Resumo!$C$8</f>
        <v>1.175979</v>
      </c>
      <c r="M1138" s="61" t="n">
        <f aca="false">Resumo!$C$10*CEILING(G1138/100,1)</f>
        <v>1.05</v>
      </c>
      <c r="N1138" s="61" t="n">
        <f aca="false">Resumo!$C$9</f>
        <v>0</v>
      </c>
      <c r="O1138" s="61" t="n">
        <f aca="false">Resumo!$C$13</f>
        <v>13.55</v>
      </c>
      <c r="P1138" s="61" t="n">
        <f aca="false">Resumo!$C$14*CEILING(G1138,1)</f>
        <v>10.35</v>
      </c>
      <c r="Q1138" s="61" t="n">
        <f aca="false">SUM(I1138:P1138)*Resumo!$C$11</f>
        <v>0</v>
      </c>
      <c r="R1138" s="61" t="n">
        <f aca="false">SUM(I1138:Q1138)</f>
        <v>69.411958</v>
      </c>
      <c r="S1138" s="61" t="n">
        <f aca="false">R1138/(1-Resumo!$C$5)</f>
        <v>78.877225</v>
      </c>
      <c r="T1138" s="61" t="n">
        <v>82.21</v>
      </c>
      <c r="U1138" s="61" t="n">
        <f aca="false">H1138*Resumo!$B$6</f>
        <v>0.55999</v>
      </c>
      <c r="V1138" s="61" t="n">
        <f aca="false">H1138*Resumo!$B$7</f>
        <v>1.11998</v>
      </c>
      <c r="W1138" s="61" t="n">
        <f aca="false">Resumo!$B$9</f>
        <v>1</v>
      </c>
      <c r="X1138" s="61" t="n">
        <f aca="false">Resumo!$B$10*CEILING(G1138/100,1)</f>
        <v>4.5</v>
      </c>
      <c r="Y1138" s="61" t="n">
        <f aca="false">Resumo!$B$12*CEILING(G1138,1)</f>
        <v>1.38</v>
      </c>
      <c r="Z1138" s="61" t="n">
        <f aca="false">Resumo!$B$14*CEILING(G1138,1)</f>
        <v>10.35</v>
      </c>
      <c r="AA1138" s="61" t="n">
        <f aca="false">SUM(T1138:Z1138)</f>
        <v>101.11997</v>
      </c>
      <c r="AB1138" s="61" t="n">
        <f aca="false">AA1138/(1-Resumo!$B$5)</f>
        <v>114.909056818182</v>
      </c>
      <c r="AC1138" s="61" t="n">
        <f aca="false">AB1138-S1138</f>
        <v>36.0318318181818</v>
      </c>
      <c r="AD1138" s="62" t="n">
        <f aca="false">AB1138/S1138-1</f>
        <v>0.456809070275759</v>
      </c>
      <c r="AE1138" s="60" t="str">
        <f aca="false">IF(AB1138&lt;S1138,"SIM","NÃO")</f>
        <v>NÃO</v>
      </c>
      <c r="AF1138" s="60" t="n">
        <v>2</v>
      </c>
      <c r="AG1138" s="60" t="n">
        <v>5</v>
      </c>
      <c r="AH1138" s="60" t="s">
        <v>382</v>
      </c>
      <c r="AI1138" s="61" t="n">
        <f aca="false">(T1138*(1-Painel!$C$40)+U1138+V1138+Painel!$C$41+Painel!$C$42*CEILING(G1138/100,1)+Painel!$C$43*CEILING(G1138,1)+Z1138)/(1-Resumo!$B$5)</f>
        <v>78.5916704545454</v>
      </c>
      <c r="AJ1138" s="60" t="str">
        <f aca="false">IF(AI1138&lt;S1138,"SIM","NÃO")</f>
        <v>SIM</v>
      </c>
    </row>
    <row r="1139" customFormat="false" ht="15" hidden="false" customHeight="false" outlineLevel="0" collapsed="false">
      <c r="A1139" s="59" t="n">
        <v>46251.6241203704</v>
      </c>
      <c r="B1139" s="60" t="s">
        <v>1447</v>
      </c>
      <c r="C1139" s="60" t="n">
        <v>25884000</v>
      </c>
      <c r="D1139" s="60" t="s">
        <v>278</v>
      </c>
      <c r="E1139" s="60" t="s">
        <v>24</v>
      </c>
      <c r="F1139" s="60" t="s">
        <v>240</v>
      </c>
      <c r="G1139" s="60" t="n">
        <v>105.65</v>
      </c>
      <c r="H1139" s="61" t="n">
        <v>1279.99</v>
      </c>
      <c r="I1139" s="61" t="n">
        <v>119.5</v>
      </c>
      <c r="J1139" s="61" t="n">
        <f aca="false">H1139*Resumo!$C$6</f>
        <v>0</v>
      </c>
      <c r="K1139" s="61" t="n">
        <f aca="false">H1139*Resumo!$C$7</f>
        <v>2.687979</v>
      </c>
      <c r="L1139" s="61" t="n">
        <f aca="false">H1139*Resumo!$C$8</f>
        <v>2.687979</v>
      </c>
      <c r="M1139" s="61" t="n">
        <f aca="false">Resumo!$C$10*CEILING(G1139/100,1)</f>
        <v>2.1</v>
      </c>
      <c r="N1139" s="61" t="n">
        <f aca="false">Resumo!$C$9</f>
        <v>0</v>
      </c>
      <c r="O1139" s="61" t="n">
        <f aca="false">Resumo!$C$13</f>
        <v>13.55</v>
      </c>
      <c r="P1139" s="61" t="n">
        <f aca="false">Resumo!$C$14*CEILING(G1139,1)</f>
        <v>47.7</v>
      </c>
      <c r="Q1139" s="61" t="n">
        <f aca="false">SUM(I1139:P1139)*Resumo!$C$11</f>
        <v>0</v>
      </c>
      <c r="R1139" s="61" t="n">
        <f aca="false">SUM(I1139:Q1139)</f>
        <v>188.225958</v>
      </c>
      <c r="S1139" s="61" t="n">
        <f aca="false">R1139/(1-Resumo!$C$5)</f>
        <v>213.893134090909</v>
      </c>
      <c r="T1139" s="61" t="n">
        <v>236.82</v>
      </c>
      <c r="U1139" s="61" t="n">
        <f aca="false">H1139*Resumo!$B$6</f>
        <v>1.27999</v>
      </c>
      <c r="V1139" s="61" t="n">
        <f aca="false">H1139*Resumo!$B$7</f>
        <v>2.55998</v>
      </c>
      <c r="W1139" s="61" t="n">
        <f aca="false">Resumo!$B$9</f>
        <v>1</v>
      </c>
      <c r="X1139" s="61" t="n">
        <f aca="false">Resumo!$B$10*CEILING(G1139/100,1)</f>
        <v>9</v>
      </c>
      <c r="Y1139" s="61" t="n">
        <f aca="false">Resumo!$B$12*CEILING(G1139,1)</f>
        <v>6.36</v>
      </c>
      <c r="Z1139" s="61" t="n">
        <f aca="false">Resumo!$B$14*CEILING(G1139,1)</f>
        <v>47.7</v>
      </c>
      <c r="AA1139" s="61" t="n">
        <f aca="false">SUM(T1139:Z1139)</f>
        <v>304.71997</v>
      </c>
      <c r="AB1139" s="61" t="n">
        <f aca="false">AA1139/(1-Resumo!$B$5)</f>
        <v>346.272693181818</v>
      </c>
      <c r="AC1139" s="61" t="n">
        <f aca="false">AB1139-S1139</f>
        <v>132.379559090909</v>
      </c>
      <c r="AD1139" s="62" t="n">
        <f aca="false">AB1139/S1139-1</f>
        <v>0.618905135284263</v>
      </c>
      <c r="AE1139" s="60" t="str">
        <f aca="false">IF(AB1139&lt;S1139,"SIM","NÃO")</f>
        <v>NÃO</v>
      </c>
      <c r="AF1139" s="60" t="n">
        <v>13</v>
      </c>
      <c r="AG1139" s="60" t="n">
        <v>10</v>
      </c>
      <c r="AH1139" s="60" t="s">
        <v>385</v>
      </c>
      <c r="AI1139" s="61" t="n">
        <f aca="false">(T1139*(1-Painel!$C$40)+U1139+V1139+Painel!$C$41+Painel!$C$42*CEILING(G1139/100,1)+Painel!$C$43*CEILING(G1139,1)+Z1139)/(1-Resumo!$B$5)</f>
        <v>242.397011363636</v>
      </c>
      <c r="AJ1139" s="60" t="str">
        <f aca="false">IF(AI1139&lt;S1139,"SIM","NÃO")</f>
        <v>NÃO</v>
      </c>
    </row>
    <row r="1140" customFormat="false" ht="15" hidden="false" customHeight="false" outlineLevel="0" collapsed="false">
      <c r="A1140" s="59" t="n">
        <v>46251.6386574074</v>
      </c>
      <c r="B1140" s="60" t="s">
        <v>1448</v>
      </c>
      <c r="C1140" s="60" t="n">
        <v>24315571</v>
      </c>
      <c r="D1140" s="60" t="s">
        <v>50</v>
      </c>
      <c r="E1140" s="60" t="s">
        <v>23</v>
      </c>
      <c r="F1140" s="60" t="s">
        <v>232</v>
      </c>
      <c r="G1140" s="60" t="n">
        <v>17.2</v>
      </c>
      <c r="H1140" s="61" t="n">
        <v>223.34</v>
      </c>
      <c r="I1140" s="61" t="n">
        <v>42.72</v>
      </c>
      <c r="J1140" s="61" t="n">
        <f aca="false">H1140*Resumo!$C$6</f>
        <v>0</v>
      </c>
      <c r="K1140" s="61" t="n">
        <f aca="false">H1140*Resumo!$C$7</f>
        <v>0.469014</v>
      </c>
      <c r="L1140" s="61" t="n">
        <f aca="false">H1140*Resumo!$C$8</f>
        <v>0.469014</v>
      </c>
      <c r="M1140" s="61" t="n">
        <f aca="false">Resumo!$C$10*CEILING(G1140/100,1)</f>
        <v>1.05</v>
      </c>
      <c r="N1140" s="61" t="n">
        <f aca="false">Resumo!$C$9</f>
        <v>0</v>
      </c>
      <c r="O1140" s="61" t="n">
        <f aca="false">Resumo!$C$13</f>
        <v>13.55</v>
      </c>
      <c r="P1140" s="61" t="n">
        <f aca="false">Resumo!$C$14*CEILING(G1140,1)</f>
        <v>8.1</v>
      </c>
      <c r="Q1140" s="61" t="n">
        <f aca="false">SUM(I1140:P1140)*Resumo!$C$11</f>
        <v>0</v>
      </c>
      <c r="R1140" s="61" t="n">
        <f aca="false">SUM(I1140:Q1140)</f>
        <v>66.358028</v>
      </c>
      <c r="S1140" s="61" t="n">
        <f aca="false">R1140/(1-Resumo!$C$5)</f>
        <v>75.40685</v>
      </c>
      <c r="T1140" s="61" t="n">
        <v>57.47</v>
      </c>
      <c r="U1140" s="61" t="n">
        <f aca="false">H1140*Resumo!$B$6</f>
        <v>0.22334</v>
      </c>
      <c r="V1140" s="61" t="n">
        <f aca="false">H1140*Resumo!$B$7</f>
        <v>0.44668</v>
      </c>
      <c r="W1140" s="61" t="n">
        <f aca="false">Resumo!$B$9</f>
        <v>1</v>
      </c>
      <c r="X1140" s="61" t="n">
        <f aca="false">Resumo!$B$10*CEILING(G1140/100,1)</f>
        <v>4.5</v>
      </c>
      <c r="Y1140" s="61" t="n">
        <f aca="false">Resumo!$B$12*CEILING(G1140,1)</f>
        <v>1.08</v>
      </c>
      <c r="Z1140" s="61" t="n">
        <f aca="false">Resumo!$B$14*CEILING(G1140,1)</f>
        <v>8.1</v>
      </c>
      <c r="AA1140" s="61" t="n">
        <f aca="false">SUM(T1140:Z1140)</f>
        <v>72.82002</v>
      </c>
      <c r="AB1140" s="61" t="n">
        <f aca="false">AA1140/(1-Resumo!$B$5)</f>
        <v>82.7500227272727</v>
      </c>
      <c r="AC1140" s="61" t="n">
        <f aca="false">AB1140-S1140</f>
        <v>7.34317272727272</v>
      </c>
      <c r="AD1140" s="62" t="n">
        <f aca="false">AB1140/S1140-1</f>
        <v>0.0973807117957151</v>
      </c>
      <c r="AE1140" s="60" t="str">
        <f aca="false">IF(AB1140&lt;S1140,"SIM","NÃO")</f>
        <v>NÃO</v>
      </c>
      <c r="AF1140" s="60" t="n">
        <v>2</v>
      </c>
      <c r="AG1140" s="60" t="n">
        <v>7</v>
      </c>
      <c r="AH1140" s="60" t="s">
        <v>382</v>
      </c>
      <c r="AI1140" s="61" t="n">
        <f aca="false">(T1140*(1-Painel!$C$40)+U1140+V1140+Painel!$C$41+Painel!$C$42*CEILING(G1140/100,1)+Painel!$C$43*CEILING(G1140,1)+Z1140)/(1-Resumo!$B$5)</f>
        <v>56.0510454545454</v>
      </c>
      <c r="AJ1140" s="60" t="str">
        <f aca="false">IF(AI1140&lt;S1140,"SIM","NÃO")</f>
        <v>SIM</v>
      </c>
    </row>
    <row r="1141" customFormat="false" ht="15" hidden="false" customHeight="false" outlineLevel="0" collapsed="false">
      <c r="A1141" s="59" t="n">
        <v>46251.6394097222</v>
      </c>
      <c r="B1141" s="60" t="s">
        <v>1449</v>
      </c>
      <c r="C1141" s="60" t="n">
        <v>24456595</v>
      </c>
      <c r="D1141" s="60" t="s">
        <v>47</v>
      </c>
      <c r="E1141" s="60" t="s">
        <v>23</v>
      </c>
      <c r="F1141" s="60" t="s">
        <v>236</v>
      </c>
      <c r="G1141" s="60" t="n">
        <v>52.3</v>
      </c>
      <c r="H1141" s="61" t="n">
        <v>637.43</v>
      </c>
      <c r="I1141" s="61" t="n">
        <v>70.98</v>
      </c>
      <c r="J1141" s="61" t="n">
        <f aca="false">H1141*Resumo!$C$6</f>
        <v>0</v>
      </c>
      <c r="K1141" s="61" t="n">
        <f aca="false">H1141*Resumo!$C$7</f>
        <v>1.338603</v>
      </c>
      <c r="L1141" s="61" t="n">
        <f aca="false">H1141*Resumo!$C$8</f>
        <v>1.338603</v>
      </c>
      <c r="M1141" s="61" t="n">
        <f aca="false">Resumo!$C$10*CEILING(G1141/100,1)</f>
        <v>1.05</v>
      </c>
      <c r="N1141" s="61" t="n">
        <f aca="false">Resumo!$C$9</f>
        <v>0</v>
      </c>
      <c r="O1141" s="61" t="n">
        <f aca="false">Resumo!$C$13</f>
        <v>13.55</v>
      </c>
      <c r="P1141" s="61" t="n">
        <f aca="false">Resumo!$C$14*CEILING(G1141,1)</f>
        <v>23.85</v>
      </c>
      <c r="Q1141" s="61" t="n">
        <f aca="false">SUM(I1141:P1141)*Resumo!$C$11</f>
        <v>0</v>
      </c>
      <c r="R1141" s="61" t="n">
        <f aca="false">SUM(I1141:Q1141)</f>
        <v>112.107206</v>
      </c>
      <c r="S1141" s="61" t="n">
        <f aca="false">R1141/(1-Resumo!$C$5)</f>
        <v>127.394552272727</v>
      </c>
      <c r="T1141" s="61" t="n">
        <v>128.14</v>
      </c>
      <c r="U1141" s="61" t="n">
        <f aca="false">H1141*Resumo!$B$6</f>
        <v>0.63743</v>
      </c>
      <c r="V1141" s="61" t="n">
        <f aca="false">H1141*Resumo!$B$7</f>
        <v>1.27486</v>
      </c>
      <c r="W1141" s="61" t="n">
        <f aca="false">Resumo!$B$9</f>
        <v>1</v>
      </c>
      <c r="X1141" s="61" t="n">
        <f aca="false">Resumo!$B$10*CEILING(G1141/100,1)</f>
        <v>4.5</v>
      </c>
      <c r="Y1141" s="61" t="n">
        <f aca="false">Resumo!$B$12*CEILING(G1141,1)</f>
        <v>3.18</v>
      </c>
      <c r="Z1141" s="61" t="n">
        <f aca="false">Resumo!$B$14*CEILING(G1141,1)</f>
        <v>23.85</v>
      </c>
      <c r="AA1141" s="61" t="n">
        <f aca="false">SUM(T1141:Z1141)</f>
        <v>162.58229</v>
      </c>
      <c r="AB1141" s="61" t="n">
        <f aca="false">AA1141/(1-Resumo!$B$5)</f>
        <v>184.752602272727</v>
      </c>
      <c r="AC1141" s="61" t="n">
        <f aca="false">AB1141-S1141</f>
        <v>57.35805</v>
      </c>
      <c r="AD1141" s="62" t="n">
        <f aca="false">AB1141/S1141-1</f>
        <v>0.450239425287255</v>
      </c>
      <c r="AE1141" s="60" t="str">
        <f aca="false">IF(AB1141&lt;S1141,"SIM","NÃO")</f>
        <v>NÃO</v>
      </c>
      <c r="AF1141" s="60" t="n">
        <v>2</v>
      </c>
      <c r="AG1141" s="60" t="n">
        <v>7</v>
      </c>
      <c r="AH1141" s="60" t="s">
        <v>382</v>
      </c>
      <c r="AI1141" s="61" t="n">
        <f aca="false">(T1141*(1-Painel!$C$40)+U1141+V1141+Painel!$C$41+Painel!$C$42*CEILING(G1141/100,1)+Painel!$C$43*CEILING(G1141,1)+Z1141)/(1-Resumo!$B$5)</f>
        <v>129.166011363636</v>
      </c>
      <c r="AJ1141" s="60" t="str">
        <f aca="false">IF(AI1141&lt;S1141,"SIM","NÃO")</f>
        <v>NÃO</v>
      </c>
    </row>
    <row r="1142" customFormat="false" ht="15" hidden="false" customHeight="false" outlineLevel="0" collapsed="false">
      <c r="A1142" s="59" t="n">
        <v>46251.6402199074</v>
      </c>
      <c r="B1142" s="60" t="s">
        <v>1450</v>
      </c>
      <c r="C1142" s="60" t="n">
        <v>22610020</v>
      </c>
      <c r="D1142" s="60" t="s">
        <v>46</v>
      </c>
      <c r="E1142" s="60" t="s">
        <v>22</v>
      </c>
      <c r="F1142" s="60" t="s">
        <v>235</v>
      </c>
      <c r="G1142" s="60" t="n">
        <v>41</v>
      </c>
      <c r="H1142" s="61" t="n">
        <v>559.99</v>
      </c>
      <c r="I1142" s="61" t="n">
        <v>53.55</v>
      </c>
      <c r="J1142" s="61" t="n">
        <f aca="false">H1142*Resumo!$C$6</f>
        <v>0</v>
      </c>
      <c r="K1142" s="61" t="n">
        <f aca="false">H1142*Resumo!$C$7</f>
        <v>1.175979</v>
      </c>
      <c r="L1142" s="61" t="n">
        <f aca="false">H1142*Resumo!$C$8</f>
        <v>1.175979</v>
      </c>
      <c r="M1142" s="61" t="n">
        <f aca="false">Resumo!$C$10*CEILING(G1142/100,1)</f>
        <v>1.05</v>
      </c>
      <c r="N1142" s="61" t="n">
        <f aca="false">Resumo!$C$9</f>
        <v>0</v>
      </c>
      <c r="O1142" s="61" t="n">
        <f aca="false">Resumo!$C$13</f>
        <v>13.55</v>
      </c>
      <c r="P1142" s="61" t="n">
        <f aca="false">Resumo!$C$14*CEILING(G1142,1)</f>
        <v>18.45</v>
      </c>
      <c r="Q1142" s="61" t="n">
        <f aca="false">SUM(I1142:P1142)*Resumo!$C$11</f>
        <v>0</v>
      </c>
      <c r="R1142" s="61" t="n">
        <f aca="false">SUM(I1142:Q1142)</f>
        <v>88.951958</v>
      </c>
      <c r="S1142" s="61" t="n">
        <f aca="false">R1142/(1-Resumo!$C$5)</f>
        <v>101.081770454545</v>
      </c>
      <c r="T1142" s="61" t="n">
        <v>93.97</v>
      </c>
      <c r="U1142" s="61" t="n">
        <f aca="false">H1142*Resumo!$B$6</f>
        <v>0.55999</v>
      </c>
      <c r="V1142" s="61" t="n">
        <f aca="false">H1142*Resumo!$B$7</f>
        <v>1.11998</v>
      </c>
      <c r="W1142" s="61" t="n">
        <f aca="false">Resumo!$B$9</f>
        <v>1</v>
      </c>
      <c r="X1142" s="61" t="n">
        <f aca="false">Resumo!$B$10*CEILING(G1142/100,1)</f>
        <v>4.5</v>
      </c>
      <c r="Y1142" s="61" t="n">
        <f aca="false">Resumo!$B$12*CEILING(G1142,1)</f>
        <v>2.46</v>
      </c>
      <c r="Z1142" s="61" t="n">
        <f aca="false">Resumo!$B$14*CEILING(G1142,1)</f>
        <v>18.45</v>
      </c>
      <c r="AA1142" s="61" t="n">
        <f aca="false">SUM(T1142:Z1142)</f>
        <v>122.05997</v>
      </c>
      <c r="AB1142" s="61" t="n">
        <f aca="false">AA1142/(1-Resumo!$B$5)</f>
        <v>138.704511363636</v>
      </c>
      <c r="AC1142" s="61" t="n">
        <f aca="false">AB1142-S1142</f>
        <v>37.6227409090909</v>
      </c>
      <c r="AD1142" s="62" t="n">
        <f aca="false">AB1142/S1142-1</f>
        <v>0.372201048120829</v>
      </c>
      <c r="AE1142" s="60" t="str">
        <f aca="false">IF(AB1142&lt;S1142,"SIM","NÃO")</f>
        <v>NÃO</v>
      </c>
      <c r="AF1142" s="60" t="n">
        <v>2</v>
      </c>
      <c r="AG1142" s="60" t="n">
        <v>5</v>
      </c>
      <c r="AH1142" s="60" t="s">
        <v>382</v>
      </c>
      <c r="AI1142" s="61" t="n">
        <f aca="false">(T1142*(1-Painel!$C$40)+U1142+V1142+Painel!$C$41+Painel!$C$42*CEILING(G1142/100,1)+Painel!$C$43*CEILING(G1142,1)+Z1142)/(1-Resumo!$B$5)</f>
        <v>96.7498522727273</v>
      </c>
      <c r="AJ1142" s="60" t="str">
        <f aca="false">IF(AI1142&lt;S1142,"SIM","NÃO")</f>
        <v>SIM</v>
      </c>
    </row>
    <row r="1143" customFormat="false" ht="15" hidden="false" customHeight="false" outlineLevel="0" collapsed="false">
      <c r="A1143" s="59" t="n">
        <v>46251.6427199074</v>
      </c>
      <c r="B1143" s="60" t="s">
        <v>1451</v>
      </c>
      <c r="C1143" s="60" t="n">
        <v>26275010</v>
      </c>
      <c r="D1143" s="60" t="s">
        <v>49</v>
      </c>
      <c r="E1143" s="60" t="s">
        <v>23</v>
      </c>
      <c r="F1143" s="60" t="s">
        <v>236</v>
      </c>
      <c r="G1143" s="60" t="n">
        <v>52.3</v>
      </c>
      <c r="H1143" s="61" t="n">
        <v>640.44</v>
      </c>
      <c r="I1143" s="61" t="n">
        <v>70.98</v>
      </c>
      <c r="J1143" s="61" t="n">
        <f aca="false">H1143*Resumo!$C$6</f>
        <v>0</v>
      </c>
      <c r="K1143" s="61" t="n">
        <f aca="false">H1143*Resumo!$C$7</f>
        <v>1.344924</v>
      </c>
      <c r="L1143" s="61" t="n">
        <f aca="false">H1143*Resumo!$C$8</f>
        <v>1.344924</v>
      </c>
      <c r="M1143" s="61" t="n">
        <f aca="false">Resumo!$C$10*CEILING(G1143/100,1)</f>
        <v>1.05</v>
      </c>
      <c r="N1143" s="61" t="n">
        <f aca="false">Resumo!$C$9</f>
        <v>0</v>
      </c>
      <c r="O1143" s="61" t="n">
        <f aca="false">Resumo!$C$13</f>
        <v>13.55</v>
      </c>
      <c r="P1143" s="61" t="n">
        <f aca="false">Resumo!$C$14*CEILING(G1143,1)</f>
        <v>23.85</v>
      </c>
      <c r="Q1143" s="61" t="n">
        <f aca="false">SUM(I1143:P1143)*Resumo!$C$11</f>
        <v>0</v>
      </c>
      <c r="R1143" s="61" t="n">
        <f aca="false">SUM(I1143:Q1143)</f>
        <v>112.119848</v>
      </c>
      <c r="S1143" s="61" t="n">
        <f aca="false">R1143/(1-Resumo!$C$5)</f>
        <v>127.408918181818</v>
      </c>
      <c r="T1143" s="61" t="n">
        <v>112.3</v>
      </c>
      <c r="U1143" s="61" t="n">
        <f aca="false">H1143*Resumo!$B$6</f>
        <v>0.64044</v>
      </c>
      <c r="V1143" s="61" t="n">
        <f aca="false">H1143*Resumo!$B$7</f>
        <v>1.28088</v>
      </c>
      <c r="W1143" s="61" t="n">
        <f aca="false">Resumo!$B$9</f>
        <v>1</v>
      </c>
      <c r="X1143" s="61" t="n">
        <f aca="false">Resumo!$B$10*CEILING(G1143/100,1)</f>
        <v>4.5</v>
      </c>
      <c r="Y1143" s="61" t="n">
        <f aca="false">Resumo!$B$12*CEILING(G1143,1)</f>
        <v>3.18</v>
      </c>
      <c r="Z1143" s="61" t="n">
        <f aca="false">Resumo!$B$14*CEILING(G1143,1)</f>
        <v>23.85</v>
      </c>
      <c r="AA1143" s="61" t="n">
        <f aca="false">SUM(T1143:Z1143)</f>
        <v>146.75132</v>
      </c>
      <c r="AB1143" s="61" t="n">
        <f aca="false">AA1143/(1-Resumo!$B$5)</f>
        <v>166.762863636364</v>
      </c>
      <c r="AC1143" s="61" t="n">
        <f aca="false">AB1143-S1143</f>
        <v>39.3539454545454</v>
      </c>
      <c r="AD1143" s="62" t="n">
        <f aca="false">AB1143/S1143-1</f>
        <v>0.308879048783583</v>
      </c>
      <c r="AE1143" s="60" t="str">
        <f aca="false">IF(AB1143&lt;S1143,"SIM","NÃO")</f>
        <v>NÃO</v>
      </c>
      <c r="AF1143" s="60" t="n">
        <v>2</v>
      </c>
      <c r="AG1143" s="60" t="n">
        <v>5</v>
      </c>
      <c r="AH1143" s="60" t="s">
        <v>382</v>
      </c>
      <c r="AI1143" s="61" t="n">
        <f aca="false">(T1143*(1-Painel!$C$40)+U1143+V1143+Painel!$C$41+Painel!$C$42*CEILING(G1143/100,1)+Painel!$C$43*CEILING(G1143,1)+Z1143)/(1-Resumo!$B$5)</f>
        <v>117.116272727273</v>
      </c>
      <c r="AJ1143" s="60" t="str">
        <f aca="false">IF(AI1143&lt;S1143,"SIM","NÃO")</f>
        <v>SIM</v>
      </c>
    </row>
    <row r="1144" customFormat="false" ht="15" hidden="false" customHeight="false" outlineLevel="0" collapsed="false">
      <c r="A1144" s="59" t="n">
        <v>46251.6428935185</v>
      </c>
      <c r="B1144" s="60" t="s">
        <v>1452</v>
      </c>
      <c r="C1144" s="60" t="n">
        <v>21911430</v>
      </c>
      <c r="D1144" s="60" t="s">
        <v>46</v>
      </c>
      <c r="E1144" s="60" t="s">
        <v>22</v>
      </c>
      <c r="F1144" s="60" t="s">
        <v>236</v>
      </c>
      <c r="G1144" s="60" t="n">
        <v>57</v>
      </c>
      <c r="H1144" s="61" t="n">
        <v>692.99</v>
      </c>
      <c r="I1144" s="61" t="n">
        <v>58.6</v>
      </c>
      <c r="J1144" s="61" t="n">
        <f aca="false">H1144*Resumo!$C$6</f>
        <v>0</v>
      </c>
      <c r="K1144" s="61" t="n">
        <f aca="false">H1144*Resumo!$C$7</f>
        <v>1.455279</v>
      </c>
      <c r="L1144" s="61" t="n">
        <f aca="false">H1144*Resumo!$C$8</f>
        <v>1.455279</v>
      </c>
      <c r="M1144" s="61" t="n">
        <f aca="false">Resumo!$C$10*CEILING(G1144/100,1)</f>
        <v>1.05</v>
      </c>
      <c r="N1144" s="61" t="n">
        <f aca="false">Resumo!$C$9</f>
        <v>0</v>
      </c>
      <c r="O1144" s="61" t="n">
        <f aca="false">Resumo!$C$13</f>
        <v>13.55</v>
      </c>
      <c r="P1144" s="61" t="n">
        <f aca="false">Resumo!$C$14*CEILING(G1144,1)</f>
        <v>25.65</v>
      </c>
      <c r="Q1144" s="61" t="n">
        <f aca="false">SUM(I1144:P1144)*Resumo!$C$11</f>
        <v>0</v>
      </c>
      <c r="R1144" s="61" t="n">
        <f aca="false">SUM(I1144:Q1144)</f>
        <v>101.760558</v>
      </c>
      <c r="S1144" s="61" t="n">
        <f aca="false">R1144/(1-Resumo!$C$5)</f>
        <v>115.636997727273</v>
      </c>
      <c r="T1144" s="61" t="n">
        <v>112.3</v>
      </c>
      <c r="U1144" s="61" t="n">
        <f aca="false">H1144*Resumo!$B$6</f>
        <v>0.69299</v>
      </c>
      <c r="V1144" s="61" t="n">
        <f aca="false">H1144*Resumo!$B$7</f>
        <v>1.38598</v>
      </c>
      <c r="W1144" s="61" t="n">
        <f aca="false">Resumo!$B$9</f>
        <v>1</v>
      </c>
      <c r="X1144" s="61" t="n">
        <f aca="false">Resumo!$B$10*CEILING(G1144/100,1)</f>
        <v>4.5</v>
      </c>
      <c r="Y1144" s="61" t="n">
        <f aca="false">Resumo!$B$12*CEILING(G1144,1)</f>
        <v>3.42</v>
      </c>
      <c r="Z1144" s="61" t="n">
        <f aca="false">Resumo!$B$14*CEILING(G1144,1)</f>
        <v>25.65</v>
      </c>
      <c r="AA1144" s="61" t="n">
        <f aca="false">SUM(T1144:Z1144)</f>
        <v>148.94897</v>
      </c>
      <c r="AB1144" s="61" t="n">
        <f aca="false">AA1144/(1-Resumo!$B$5)</f>
        <v>169.260193181818</v>
      </c>
      <c r="AC1144" s="61" t="n">
        <f aca="false">AB1144-S1144</f>
        <v>53.6231954545455</v>
      </c>
      <c r="AD1144" s="62" t="n">
        <f aca="false">AB1144/S1144-1</f>
        <v>0.463720059396687</v>
      </c>
      <c r="AE1144" s="60" t="str">
        <f aca="false">IF(AB1144&lt;S1144,"SIM","NÃO")</f>
        <v>NÃO</v>
      </c>
      <c r="AF1144" s="60" t="n">
        <v>2</v>
      </c>
      <c r="AG1144" s="60" t="n">
        <v>5</v>
      </c>
      <c r="AH1144" s="60" t="s">
        <v>382</v>
      </c>
      <c r="AI1144" s="61" t="n">
        <f aca="false">(T1144*(1-Painel!$C$40)+U1144+V1144+Painel!$C$41+Painel!$C$42*CEILING(G1144/100,1)+Painel!$C$43*CEILING(G1144,1)+Z1144)/(1-Resumo!$B$5)</f>
        <v>119.340875</v>
      </c>
      <c r="AJ1144" s="60" t="str">
        <f aca="false">IF(AI1144&lt;S1144,"SIM","NÃO")</f>
        <v>NÃO</v>
      </c>
    </row>
    <row r="1145" customFormat="false" ht="15" hidden="false" customHeight="false" outlineLevel="0" collapsed="false">
      <c r="A1145" s="59" t="n">
        <v>46251.6640856482</v>
      </c>
      <c r="B1145" s="60" t="s">
        <v>1453</v>
      </c>
      <c r="C1145" s="60" t="n">
        <v>25956120</v>
      </c>
      <c r="D1145" s="60" t="s">
        <v>281</v>
      </c>
      <c r="E1145" s="60" t="s">
        <v>24</v>
      </c>
      <c r="F1145" s="60" t="s">
        <v>233</v>
      </c>
      <c r="G1145" s="60" t="n">
        <v>31.9</v>
      </c>
      <c r="H1145" s="61" t="n">
        <v>518.79</v>
      </c>
      <c r="I1145" s="61" t="n">
        <v>65.63</v>
      </c>
      <c r="J1145" s="61" t="n">
        <f aca="false">H1145*Resumo!$C$6</f>
        <v>0</v>
      </c>
      <c r="K1145" s="61" t="n">
        <f aca="false">H1145*Resumo!$C$7</f>
        <v>1.089459</v>
      </c>
      <c r="L1145" s="61" t="n">
        <f aca="false">H1145*Resumo!$C$8</f>
        <v>1.089459</v>
      </c>
      <c r="M1145" s="61" t="n">
        <f aca="false">Resumo!$C$10*CEILING(G1145/100,1)</f>
        <v>1.05</v>
      </c>
      <c r="N1145" s="61" t="n">
        <f aca="false">Resumo!$C$9</f>
        <v>0</v>
      </c>
      <c r="O1145" s="61" t="n">
        <f aca="false">Resumo!$C$13</f>
        <v>13.55</v>
      </c>
      <c r="P1145" s="61" t="n">
        <f aca="false">Resumo!$C$14*CEILING(G1145,1)</f>
        <v>14.4</v>
      </c>
      <c r="Q1145" s="61" t="n">
        <f aca="false">SUM(I1145:P1145)*Resumo!$C$11</f>
        <v>0</v>
      </c>
      <c r="R1145" s="61" t="n">
        <f aca="false">SUM(I1145:Q1145)</f>
        <v>96.808918</v>
      </c>
      <c r="S1145" s="61" t="n">
        <f aca="false">R1145/(1-Resumo!$C$5)</f>
        <v>110.010134090909</v>
      </c>
      <c r="T1145" s="61" t="n">
        <v>120.78</v>
      </c>
      <c r="U1145" s="61" t="n">
        <f aca="false">H1145*Resumo!$B$6</f>
        <v>0.51879</v>
      </c>
      <c r="V1145" s="61" t="n">
        <f aca="false">H1145*Resumo!$B$7</f>
        <v>1.03758</v>
      </c>
      <c r="W1145" s="61" t="n">
        <f aca="false">Resumo!$B$9</f>
        <v>1</v>
      </c>
      <c r="X1145" s="61" t="n">
        <f aca="false">Resumo!$B$10*CEILING(G1145/100,1)</f>
        <v>4.5</v>
      </c>
      <c r="Y1145" s="61" t="n">
        <f aca="false">Resumo!$B$12*CEILING(G1145,1)</f>
        <v>1.92</v>
      </c>
      <c r="Z1145" s="61" t="n">
        <f aca="false">Resumo!$B$14*CEILING(G1145,1)</f>
        <v>14.4</v>
      </c>
      <c r="AA1145" s="61" t="n">
        <f aca="false">SUM(T1145:Z1145)</f>
        <v>144.15637</v>
      </c>
      <c r="AB1145" s="61" t="n">
        <f aca="false">AA1145/(1-Resumo!$B$5)</f>
        <v>163.814056818182</v>
      </c>
      <c r="AC1145" s="61" t="n">
        <f aca="false">AB1145-S1145</f>
        <v>53.8039227272727</v>
      </c>
      <c r="AD1145" s="62" t="n">
        <f aca="false">AB1145/S1145-1</f>
        <v>0.489081512097884</v>
      </c>
      <c r="AE1145" s="60" t="str">
        <f aca="false">IF(AB1145&lt;S1145,"SIM","NÃO")</f>
        <v>NÃO</v>
      </c>
      <c r="AF1145" s="60" t="n">
        <v>13</v>
      </c>
      <c r="AG1145" s="60" t="n">
        <v>10</v>
      </c>
      <c r="AH1145" s="60" t="s">
        <v>385</v>
      </c>
      <c r="AI1145" s="61" t="n">
        <f aca="false">(T1145*(1-Painel!$C$40)+U1145+V1145+Painel!$C$41+Painel!$C$42*CEILING(G1145/100,1)+Painel!$C$43*CEILING(G1145,1)+Z1145)/(1-Resumo!$B$5)</f>
        <v>112.419284090909</v>
      </c>
      <c r="AJ1145" s="60" t="str">
        <f aca="false">IF(AI1145&lt;S1145,"SIM","NÃO")</f>
        <v>NÃO</v>
      </c>
    </row>
    <row r="1146" customFormat="false" ht="15" hidden="false" customHeight="false" outlineLevel="0" collapsed="false">
      <c r="A1146" s="59" t="n">
        <v>46251.6833101852</v>
      </c>
      <c r="B1146" s="60" t="s">
        <v>711</v>
      </c>
      <c r="C1146" s="60" t="n">
        <v>28300000</v>
      </c>
      <c r="D1146" s="60" t="s">
        <v>308</v>
      </c>
      <c r="E1146" s="60" t="s">
        <v>24</v>
      </c>
      <c r="F1146" s="60" t="s">
        <v>233</v>
      </c>
      <c r="G1146" s="60" t="n">
        <v>28.8</v>
      </c>
      <c r="H1146" s="61" t="n">
        <v>929.99</v>
      </c>
      <c r="I1146" s="61" t="n">
        <v>65.63</v>
      </c>
      <c r="J1146" s="61" t="n">
        <f aca="false">H1146*Resumo!$C$6</f>
        <v>0</v>
      </c>
      <c r="K1146" s="61" t="n">
        <f aca="false">H1146*Resumo!$C$7</f>
        <v>1.952979</v>
      </c>
      <c r="L1146" s="61" t="n">
        <f aca="false">H1146*Resumo!$C$8</f>
        <v>1.952979</v>
      </c>
      <c r="M1146" s="61" t="n">
        <f aca="false">Resumo!$C$10*CEILING(G1146/100,1)</f>
        <v>1.05</v>
      </c>
      <c r="N1146" s="61" t="n">
        <f aca="false">Resumo!$C$9</f>
        <v>0</v>
      </c>
      <c r="O1146" s="61" t="n">
        <f aca="false">Resumo!$C$13</f>
        <v>13.55</v>
      </c>
      <c r="P1146" s="61" t="n">
        <f aca="false">Resumo!$C$14*CEILING(G1146,1)</f>
        <v>13.05</v>
      </c>
      <c r="Q1146" s="61" t="n">
        <f aca="false">SUM(I1146:P1146)*Resumo!$C$11</f>
        <v>0</v>
      </c>
      <c r="R1146" s="61" t="n">
        <f aca="false">SUM(I1146:Q1146)</f>
        <v>97.185958</v>
      </c>
      <c r="S1146" s="61" t="n">
        <f aca="false">R1146/(1-Resumo!$C$5)</f>
        <v>110.438588636364</v>
      </c>
      <c r="T1146" s="61" t="n">
        <v>138.29</v>
      </c>
      <c r="U1146" s="61" t="n">
        <f aca="false">H1146*Resumo!$B$6</f>
        <v>0.92999</v>
      </c>
      <c r="V1146" s="61" t="n">
        <f aca="false">H1146*Resumo!$B$7</f>
        <v>1.85998</v>
      </c>
      <c r="W1146" s="61" t="n">
        <f aca="false">Resumo!$B$9</f>
        <v>1</v>
      </c>
      <c r="X1146" s="61" t="n">
        <f aca="false">Resumo!$B$10*CEILING(G1146/100,1)</f>
        <v>4.5</v>
      </c>
      <c r="Y1146" s="61" t="n">
        <f aca="false">Resumo!$B$12*CEILING(G1146,1)</f>
        <v>1.74</v>
      </c>
      <c r="Z1146" s="61" t="n">
        <f aca="false">Resumo!$B$14*CEILING(G1146,1)</f>
        <v>13.05</v>
      </c>
      <c r="AA1146" s="61" t="n">
        <f aca="false">SUM(T1146:Z1146)</f>
        <v>161.36997</v>
      </c>
      <c r="AB1146" s="61" t="n">
        <f aca="false">AA1146/(1-Resumo!$B$5)</f>
        <v>183.374965909091</v>
      </c>
      <c r="AC1146" s="61" t="n">
        <f aca="false">AB1146-S1146</f>
        <v>72.9363772727273</v>
      </c>
      <c r="AD1146" s="62" t="n">
        <f aca="false">AB1146/S1146-1</f>
        <v>0.66042474983886</v>
      </c>
      <c r="AE1146" s="60" t="str">
        <f aca="false">IF(AB1146&lt;S1146,"SIM","NÃO")</f>
        <v>NÃO</v>
      </c>
      <c r="AF1146" s="60" t="n">
        <v>13</v>
      </c>
      <c r="AG1146" s="60" t="n">
        <v>11</v>
      </c>
      <c r="AH1146" s="60" t="s">
        <v>385</v>
      </c>
      <c r="AI1146" s="61" t="n">
        <f aca="false">(T1146*(1-Painel!$C$40)+U1146+V1146+Painel!$C$41+Painel!$C$42*CEILING(G1146/100,1)+Painel!$C$43*CEILING(G1146,1)+Z1146)/(1-Resumo!$B$5)</f>
        <v>125.618488636364</v>
      </c>
      <c r="AJ1146" s="60" t="str">
        <f aca="false">IF(AI1146&lt;S1146,"SIM","NÃO")</f>
        <v>NÃO</v>
      </c>
    </row>
    <row r="1147" customFormat="false" ht="15" hidden="false" customHeight="false" outlineLevel="0" collapsed="false">
      <c r="A1147" s="59" t="n">
        <v>46251.6934375</v>
      </c>
      <c r="B1147" s="60" t="s">
        <v>1454</v>
      </c>
      <c r="C1147" s="60" t="n">
        <v>28981446</v>
      </c>
      <c r="D1147" s="60" t="s">
        <v>222</v>
      </c>
      <c r="E1147" s="60" t="s">
        <v>24</v>
      </c>
      <c r="F1147" s="60" t="s">
        <v>233</v>
      </c>
      <c r="G1147" s="60" t="n">
        <v>27</v>
      </c>
      <c r="H1147" s="61" t="n">
        <v>349.99</v>
      </c>
      <c r="I1147" s="61" t="n">
        <v>65.63</v>
      </c>
      <c r="J1147" s="61" t="n">
        <f aca="false">H1147*Resumo!$C$6</f>
        <v>0</v>
      </c>
      <c r="K1147" s="61" t="n">
        <f aca="false">H1147*Resumo!$C$7</f>
        <v>0.734979</v>
      </c>
      <c r="L1147" s="61" t="n">
        <f aca="false">H1147*Resumo!$C$8</f>
        <v>0.734979</v>
      </c>
      <c r="M1147" s="61" t="n">
        <f aca="false">Resumo!$C$10*CEILING(G1147/100,1)</f>
        <v>1.05</v>
      </c>
      <c r="N1147" s="61" t="n">
        <f aca="false">Resumo!$C$9</f>
        <v>0</v>
      </c>
      <c r="O1147" s="61" t="n">
        <f aca="false">Resumo!$C$13</f>
        <v>13.55</v>
      </c>
      <c r="P1147" s="61" t="n">
        <f aca="false">Resumo!$C$14*CEILING(G1147,1)</f>
        <v>12.15</v>
      </c>
      <c r="Q1147" s="61" t="n">
        <f aca="false">SUM(I1147:P1147)*Resumo!$C$11</f>
        <v>0</v>
      </c>
      <c r="R1147" s="61" t="n">
        <f aca="false">SUM(I1147:Q1147)</f>
        <v>93.849958</v>
      </c>
      <c r="S1147" s="61" t="n">
        <f aca="false">R1147/(1-Resumo!$C$5)</f>
        <v>106.647679545455</v>
      </c>
      <c r="T1147" s="61" t="n">
        <v>114.95</v>
      </c>
      <c r="U1147" s="61" t="n">
        <f aca="false">H1147*Resumo!$B$6</f>
        <v>0.34999</v>
      </c>
      <c r="V1147" s="61" t="n">
        <f aca="false">H1147*Resumo!$B$7</f>
        <v>0.69998</v>
      </c>
      <c r="W1147" s="61" t="n">
        <f aca="false">Resumo!$B$9</f>
        <v>1</v>
      </c>
      <c r="X1147" s="61" t="n">
        <f aca="false">Resumo!$B$10*CEILING(G1147/100,1)</f>
        <v>4.5</v>
      </c>
      <c r="Y1147" s="61" t="n">
        <f aca="false">Resumo!$B$12*CEILING(G1147,1)</f>
        <v>1.62</v>
      </c>
      <c r="Z1147" s="61" t="n">
        <f aca="false">Resumo!$B$14*CEILING(G1147,1)</f>
        <v>12.15</v>
      </c>
      <c r="AA1147" s="61" t="n">
        <f aca="false">SUM(T1147:Z1147)</f>
        <v>135.26997</v>
      </c>
      <c r="AB1147" s="61" t="n">
        <f aca="false">AA1147/(1-Resumo!$B$5)</f>
        <v>153.715875</v>
      </c>
      <c r="AC1147" s="61" t="n">
        <f aca="false">AB1147-S1147</f>
        <v>47.0681954545455</v>
      </c>
      <c r="AD1147" s="62" t="n">
        <f aca="false">AB1147/S1147-1</f>
        <v>0.441342893302094</v>
      </c>
      <c r="AE1147" s="60" t="str">
        <f aca="false">IF(AB1147&lt;S1147,"SIM","NÃO")</f>
        <v>NÃO</v>
      </c>
      <c r="AF1147" s="60" t="n">
        <v>13</v>
      </c>
      <c r="AG1147" s="60" t="n">
        <v>10</v>
      </c>
      <c r="AH1147" s="60" t="s">
        <v>382</v>
      </c>
      <c r="AI1147" s="61" t="n">
        <f aca="false">(T1147*(1-Painel!$C$40)+U1147+V1147+Painel!$C$41+Painel!$C$42*CEILING(G1147/100,1)+Painel!$C$43*CEILING(G1147,1)+Z1147)/(1-Resumo!$B$5)</f>
        <v>104.848261363636</v>
      </c>
      <c r="AJ1147" s="60" t="str">
        <f aca="false">IF(AI1147&lt;S1147,"SIM","NÃO")</f>
        <v>SIM</v>
      </c>
    </row>
    <row r="1148" customFormat="false" ht="15" hidden="false" customHeight="false" outlineLevel="0" collapsed="false">
      <c r="A1148" s="59" t="n">
        <v>46251.6972222222</v>
      </c>
      <c r="B1148" s="60" t="s">
        <v>1455</v>
      </c>
      <c r="C1148" s="60" t="n">
        <v>25571210</v>
      </c>
      <c r="D1148" s="60" t="s">
        <v>216</v>
      </c>
      <c r="E1148" s="60" t="s">
        <v>23</v>
      </c>
      <c r="F1148" s="60" t="s">
        <v>235</v>
      </c>
      <c r="G1148" s="60" t="n">
        <v>46.8</v>
      </c>
      <c r="H1148" s="61" t="n">
        <v>587.49</v>
      </c>
      <c r="I1148" s="61" t="n">
        <v>65.36</v>
      </c>
      <c r="J1148" s="61" t="n">
        <f aca="false">H1148*Resumo!$C$6</f>
        <v>0</v>
      </c>
      <c r="K1148" s="61" t="n">
        <f aca="false">H1148*Resumo!$C$7</f>
        <v>1.233729</v>
      </c>
      <c r="L1148" s="61" t="n">
        <f aca="false">H1148*Resumo!$C$8</f>
        <v>1.233729</v>
      </c>
      <c r="M1148" s="61" t="n">
        <f aca="false">Resumo!$C$10*CEILING(G1148/100,1)</f>
        <v>1.05</v>
      </c>
      <c r="N1148" s="61" t="n">
        <f aca="false">Resumo!$C$9</f>
        <v>0</v>
      </c>
      <c r="O1148" s="61" t="n">
        <f aca="false">Resumo!$C$13</f>
        <v>13.55</v>
      </c>
      <c r="P1148" s="61" t="n">
        <f aca="false">Resumo!$C$14*CEILING(G1148,1)</f>
        <v>21.15</v>
      </c>
      <c r="Q1148" s="61" t="n">
        <f aca="false">SUM(I1148:P1148)*Resumo!$C$11</f>
        <v>0</v>
      </c>
      <c r="R1148" s="61" t="n">
        <f aca="false">SUM(I1148:Q1148)</f>
        <v>103.577458</v>
      </c>
      <c r="S1148" s="61" t="n">
        <f aca="false">R1148/(1-Resumo!$C$5)</f>
        <v>117.701656818182</v>
      </c>
      <c r="T1148" s="61" t="n">
        <v>93.97</v>
      </c>
      <c r="U1148" s="61" t="n">
        <f aca="false">H1148*Resumo!$B$6</f>
        <v>0.58749</v>
      </c>
      <c r="V1148" s="61" t="n">
        <f aca="false">H1148*Resumo!$B$7</f>
        <v>1.17498</v>
      </c>
      <c r="W1148" s="61" t="n">
        <f aca="false">Resumo!$B$9</f>
        <v>1</v>
      </c>
      <c r="X1148" s="61" t="n">
        <f aca="false">Resumo!$B$10*CEILING(G1148/100,1)</f>
        <v>4.5</v>
      </c>
      <c r="Y1148" s="61" t="n">
        <f aca="false">Resumo!$B$12*CEILING(G1148,1)</f>
        <v>2.82</v>
      </c>
      <c r="Z1148" s="61" t="n">
        <f aca="false">Resumo!$B$14*CEILING(G1148,1)</f>
        <v>21.15</v>
      </c>
      <c r="AA1148" s="61" t="n">
        <f aca="false">SUM(T1148:Z1148)</f>
        <v>125.20247</v>
      </c>
      <c r="AB1148" s="61" t="n">
        <f aca="false">AA1148/(1-Resumo!$B$5)</f>
        <v>142.275534090909</v>
      </c>
      <c r="AC1148" s="61" t="n">
        <f aca="false">AB1148-S1148</f>
        <v>24.5738772727273</v>
      </c>
      <c r="AD1148" s="62" t="n">
        <f aca="false">AB1148/S1148-1</f>
        <v>0.208781065084644</v>
      </c>
      <c r="AE1148" s="60" t="str">
        <f aca="false">IF(AB1148&lt;S1148,"SIM","NÃO")</f>
        <v>NÃO</v>
      </c>
      <c r="AF1148" s="60" t="n">
        <v>2</v>
      </c>
      <c r="AG1148" s="60" t="n">
        <v>5</v>
      </c>
      <c r="AH1148" s="60" t="s">
        <v>382</v>
      </c>
      <c r="AI1148" s="61" t="n">
        <f aca="false">(T1148*(1-Painel!$C$40)+U1148+V1148+Painel!$C$41+Painel!$C$42*CEILING(G1148/100,1)+Painel!$C$43*CEILING(G1148,1)+Z1148)/(1-Resumo!$B$5)</f>
        <v>99.9117840909091</v>
      </c>
      <c r="AJ1148" s="60" t="str">
        <f aca="false">IF(AI1148&lt;S1148,"SIM","NÃO")</f>
        <v>SIM</v>
      </c>
    </row>
    <row r="1149" customFormat="false" ht="15" hidden="false" customHeight="false" outlineLevel="0" collapsed="false">
      <c r="A1149" s="59" t="n">
        <v>46251.7174652778</v>
      </c>
      <c r="B1149" s="60" t="s">
        <v>1456</v>
      </c>
      <c r="C1149" s="60" t="n">
        <v>20760120</v>
      </c>
      <c r="D1149" s="60" t="s">
        <v>46</v>
      </c>
      <c r="E1149" s="60" t="s">
        <v>22</v>
      </c>
      <c r="F1149" s="60" t="s">
        <v>234</v>
      </c>
      <c r="G1149" s="60" t="n">
        <v>35.3</v>
      </c>
      <c r="H1149" s="61" t="n">
        <v>441.87</v>
      </c>
      <c r="I1149" s="61" t="n">
        <v>48.35</v>
      </c>
      <c r="J1149" s="61" t="n">
        <f aca="false">H1149*Resumo!$C$6</f>
        <v>0</v>
      </c>
      <c r="K1149" s="61" t="n">
        <f aca="false">H1149*Resumo!$C$7</f>
        <v>0.927927</v>
      </c>
      <c r="L1149" s="61" t="n">
        <f aca="false">H1149*Resumo!$C$8</f>
        <v>0.927927</v>
      </c>
      <c r="M1149" s="61" t="n">
        <f aca="false">Resumo!$C$10*CEILING(G1149/100,1)</f>
        <v>1.05</v>
      </c>
      <c r="N1149" s="61" t="n">
        <f aca="false">Resumo!$C$9</f>
        <v>0</v>
      </c>
      <c r="O1149" s="61" t="n">
        <f aca="false">Resumo!$C$13</f>
        <v>13.55</v>
      </c>
      <c r="P1149" s="61" t="n">
        <f aca="false">Resumo!$C$14*CEILING(G1149,1)</f>
        <v>16.2</v>
      </c>
      <c r="Q1149" s="61" t="n">
        <f aca="false">SUM(I1149:P1149)*Resumo!$C$11</f>
        <v>0</v>
      </c>
      <c r="R1149" s="61" t="n">
        <f aca="false">SUM(I1149:Q1149)</f>
        <v>81.005854</v>
      </c>
      <c r="S1149" s="61" t="n">
        <f aca="false">R1149/(1-Resumo!$C$5)</f>
        <v>92.0521068181818</v>
      </c>
      <c r="T1149" s="61" t="n">
        <v>93.97</v>
      </c>
      <c r="U1149" s="61" t="n">
        <f aca="false">H1149*Resumo!$B$6</f>
        <v>0.44187</v>
      </c>
      <c r="V1149" s="61" t="n">
        <f aca="false">H1149*Resumo!$B$7</f>
        <v>0.88374</v>
      </c>
      <c r="W1149" s="61" t="n">
        <f aca="false">Resumo!$B$9</f>
        <v>1</v>
      </c>
      <c r="X1149" s="61" t="n">
        <f aca="false">Resumo!$B$10*CEILING(G1149/100,1)</f>
        <v>4.5</v>
      </c>
      <c r="Y1149" s="61" t="n">
        <f aca="false">Resumo!$B$12*CEILING(G1149,1)</f>
        <v>2.16</v>
      </c>
      <c r="Z1149" s="61" t="n">
        <f aca="false">Resumo!$B$14*CEILING(G1149,1)</f>
        <v>16.2</v>
      </c>
      <c r="AA1149" s="61" t="n">
        <f aca="false">SUM(T1149:Z1149)</f>
        <v>119.15561</v>
      </c>
      <c r="AB1149" s="61" t="n">
        <f aca="false">AA1149/(1-Resumo!$B$5)</f>
        <v>135.404102272727</v>
      </c>
      <c r="AC1149" s="61" t="n">
        <f aca="false">AB1149-S1149</f>
        <v>43.3519954545455</v>
      </c>
      <c r="AD1149" s="62" t="n">
        <f aca="false">AB1149/S1149-1</f>
        <v>0.470950605619194</v>
      </c>
      <c r="AE1149" s="60" t="str">
        <f aca="false">IF(AB1149&lt;S1149,"SIM","NÃO")</f>
        <v>NÃO</v>
      </c>
      <c r="AF1149" s="60" t="n">
        <v>2</v>
      </c>
      <c r="AG1149" s="60" t="n">
        <v>5</v>
      </c>
      <c r="AH1149" s="60" t="s">
        <v>382</v>
      </c>
      <c r="AI1149" s="61" t="n">
        <f aca="false">(T1149*(1-Painel!$C$40)+U1149+V1149+Painel!$C$41+Painel!$C$42*CEILING(G1149/100,1)+Painel!$C$43*CEILING(G1149,1)+Z1149)/(1-Resumo!$B$5)</f>
        <v>93.7903522727273</v>
      </c>
      <c r="AJ1149" s="60" t="str">
        <f aca="false">IF(AI1149&lt;S1149,"SIM","NÃO")</f>
        <v>NÃO</v>
      </c>
    </row>
    <row r="1150" customFormat="false" ht="15" hidden="false" customHeight="false" outlineLevel="0" collapsed="false">
      <c r="A1150" s="59" t="n">
        <v>46251.719212963</v>
      </c>
      <c r="B1150" s="60" t="s">
        <v>935</v>
      </c>
      <c r="C1150" s="60" t="n">
        <v>22740362</v>
      </c>
      <c r="D1150" s="60" t="s">
        <v>46</v>
      </c>
      <c r="E1150" s="60" t="s">
        <v>22</v>
      </c>
      <c r="F1150" s="60" t="s">
        <v>232</v>
      </c>
      <c r="G1150" s="60" t="n">
        <v>17.2</v>
      </c>
      <c r="H1150" s="61" t="n">
        <v>223.34</v>
      </c>
      <c r="I1150" s="61" t="n">
        <v>33.42</v>
      </c>
      <c r="J1150" s="61" t="n">
        <f aca="false">H1150*Resumo!$C$6</f>
        <v>0</v>
      </c>
      <c r="K1150" s="61" t="n">
        <f aca="false">H1150*Resumo!$C$7</f>
        <v>0.469014</v>
      </c>
      <c r="L1150" s="61" t="n">
        <f aca="false">H1150*Resumo!$C$8</f>
        <v>0.469014</v>
      </c>
      <c r="M1150" s="61" t="n">
        <f aca="false">Resumo!$C$10*CEILING(G1150/100,1)</f>
        <v>1.05</v>
      </c>
      <c r="N1150" s="61" t="n">
        <f aca="false">Resumo!$C$9</f>
        <v>0</v>
      </c>
      <c r="O1150" s="61" t="n">
        <f aca="false">Resumo!$C$13</f>
        <v>13.55</v>
      </c>
      <c r="P1150" s="61" t="n">
        <f aca="false">Resumo!$C$14*CEILING(G1150,1)</f>
        <v>8.1</v>
      </c>
      <c r="Q1150" s="61" t="n">
        <f aca="false">SUM(I1150:P1150)*Resumo!$C$11</f>
        <v>0</v>
      </c>
      <c r="R1150" s="61" t="n">
        <f aca="false">SUM(I1150:Q1150)</f>
        <v>57.058028</v>
      </c>
      <c r="S1150" s="61" t="n">
        <f aca="false">R1150/(1-Resumo!$C$5)</f>
        <v>64.8386681818182</v>
      </c>
      <c r="T1150" s="61" t="n">
        <v>46.98</v>
      </c>
      <c r="U1150" s="61" t="n">
        <f aca="false">H1150*Resumo!$B$6</f>
        <v>0.22334</v>
      </c>
      <c r="V1150" s="61" t="n">
        <f aca="false">H1150*Resumo!$B$7</f>
        <v>0.44668</v>
      </c>
      <c r="W1150" s="61" t="n">
        <f aca="false">Resumo!$B$9</f>
        <v>1</v>
      </c>
      <c r="X1150" s="61" t="n">
        <f aca="false">Resumo!$B$10*CEILING(G1150/100,1)</f>
        <v>4.5</v>
      </c>
      <c r="Y1150" s="61" t="n">
        <f aca="false">Resumo!$B$12*CEILING(G1150,1)</f>
        <v>1.08</v>
      </c>
      <c r="Z1150" s="61" t="n">
        <f aca="false">Resumo!$B$14*CEILING(G1150,1)</f>
        <v>8.1</v>
      </c>
      <c r="AA1150" s="61" t="n">
        <f aca="false">SUM(T1150:Z1150)</f>
        <v>62.33002</v>
      </c>
      <c r="AB1150" s="61" t="n">
        <f aca="false">AA1150/(1-Resumo!$B$5)</f>
        <v>70.8295681818182</v>
      </c>
      <c r="AC1150" s="61" t="n">
        <f aca="false">AB1150-S1150</f>
        <v>5.99089999999998</v>
      </c>
      <c r="AD1150" s="62" t="n">
        <f aca="false">AB1150/S1150-1</f>
        <v>0.0923970243065531</v>
      </c>
      <c r="AE1150" s="60" t="str">
        <f aca="false">IF(AB1150&lt;S1150,"SIM","NÃO")</f>
        <v>NÃO</v>
      </c>
      <c r="AF1150" s="60" t="n">
        <v>2</v>
      </c>
      <c r="AG1150" s="60" t="n">
        <v>5</v>
      </c>
      <c r="AH1150" s="60" t="s">
        <v>382</v>
      </c>
      <c r="AI1150" s="61" t="n">
        <f aca="false">(T1150*(1-Painel!$C$40)+U1150+V1150+Painel!$C$41+Painel!$C$42*CEILING(G1150/100,1)+Painel!$C$43*CEILING(G1150,1)+Z1150)/(1-Resumo!$B$5)</f>
        <v>48.0643409090909</v>
      </c>
      <c r="AJ1150" s="60" t="str">
        <f aca="false">IF(AI1150&lt;S1150,"SIM","NÃO")</f>
        <v>SIM</v>
      </c>
    </row>
    <row r="1151" customFormat="false" ht="15" hidden="false" customHeight="false" outlineLevel="0" collapsed="false">
      <c r="A1151" s="59" t="n">
        <v>46251.7431018519</v>
      </c>
      <c r="B1151" s="60" t="s">
        <v>1457</v>
      </c>
      <c r="C1151" s="60" t="n">
        <v>26435160</v>
      </c>
      <c r="D1151" s="60" t="s">
        <v>283</v>
      </c>
      <c r="E1151" s="60" t="s">
        <v>24</v>
      </c>
      <c r="F1151" s="60" t="s">
        <v>238</v>
      </c>
      <c r="G1151" s="60" t="n">
        <v>79.26</v>
      </c>
      <c r="H1151" s="61" t="n">
        <v>746</v>
      </c>
      <c r="I1151" s="61" t="n">
        <v>96.77</v>
      </c>
      <c r="J1151" s="61" t="n">
        <f aca="false">H1151*Resumo!$C$6</f>
        <v>0</v>
      </c>
      <c r="K1151" s="61" t="n">
        <f aca="false">H1151*Resumo!$C$7</f>
        <v>1.5666</v>
      </c>
      <c r="L1151" s="61" t="n">
        <f aca="false">H1151*Resumo!$C$8</f>
        <v>1.5666</v>
      </c>
      <c r="M1151" s="61" t="n">
        <f aca="false">Resumo!$C$10*CEILING(G1151/100,1)</f>
        <v>1.05</v>
      </c>
      <c r="N1151" s="61" t="n">
        <f aca="false">Resumo!$C$9</f>
        <v>0</v>
      </c>
      <c r="O1151" s="61" t="n">
        <f aca="false">Resumo!$C$13</f>
        <v>13.55</v>
      </c>
      <c r="P1151" s="61" t="n">
        <f aca="false">Resumo!$C$14*CEILING(G1151,1)</f>
        <v>36</v>
      </c>
      <c r="Q1151" s="61" t="n">
        <f aca="false">SUM(I1151:P1151)*Resumo!$C$11</f>
        <v>0</v>
      </c>
      <c r="R1151" s="61" t="n">
        <f aca="false">SUM(I1151:Q1151)</f>
        <v>150.5032</v>
      </c>
      <c r="S1151" s="61" t="n">
        <f aca="false">R1151/(1-Resumo!$C$5)</f>
        <v>171.026363636364</v>
      </c>
      <c r="T1151" s="61" t="n">
        <v>134.39</v>
      </c>
      <c r="U1151" s="61" t="n">
        <f aca="false">H1151*Resumo!$B$6</f>
        <v>0.746</v>
      </c>
      <c r="V1151" s="61" t="n">
        <f aca="false">H1151*Resumo!$B$7</f>
        <v>1.492</v>
      </c>
      <c r="W1151" s="61" t="n">
        <f aca="false">Resumo!$B$9</f>
        <v>1</v>
      </c>
      <c r="X1151" s="61" t="n">
        <f aca="false">Resumo!$B$10*CEILING(G1151/100,1)</f>
        <v>4.5</v>
      </c>
      <c r="Y1151" s="61" t="n">
        <f aca="false">Resumo!$B$12*CEILING(G1151,1)</f>
        <v>4.8</v>
      </c>
      <c r="Z1151" s="61" t="n">
        <f aca="false">Resumo!$B$14*CEILING(G1151,1)</f>
        <v>36</v>
      </c>
      <c r="AA1151" s="61" t="n">
        <f aca="false">SUM(T1151:Z1151)</f>
        <v>182.928</v>
      </c>
      <c r="AB1151" s="61" t="n">
        <f aca="false">AA1151/(1-Resumo!$B$5)</f>
        <v>207.872727272727</v>
      </c>
      <c r="AC1151" s="61" t="n">
        <f aca="false">AB1151-S1151</f>
        <v>36.8463636363636</v>
      </c>
      <c r="AD1151" s="62" t="n">
        <f aca="false">AB1151/S1151-1</f>
        <v>0.2154425952405</v>
      </c>
      <c r="AE1151" s="60" t="str">
        <f aca="false">IF(AB1151&lt;S1151,"SIM","NÃO")</f>
        <v>NÃO</v>
      </c>
      <c r="AF1151" s="60" t="n">
        <v>13</v>
      </c>
      <c r="AG1151" s="60" t="n">
        <v>5</v>
      </c>
      <c r="AH1151" s="60" t="s">
        <v>385</v>
      </c>
      <c r="AI1151" s="61" t="n">
        <f aca="false">(T1151*(1-Painel!$C$40)+U1151+V1151+Painel!$C$41+Painel!$C$42*CEILING(G1151/100,1)+Painel!$C$43*CEILING(G1151,1)+Z1151)/(1-Resumo!$B$5)</f>
        <v>148.101477272727</v>
      </c>
      <c r="AJ1151" s="60" t="str">
        <f aca="false">IF(AI1151&lt;S1151,"SIM","NÃO")</f>
        <v>SIM</v>
      </c>
    </row>
    <row r="1152" customFormat="false" ht="15" hidden="false" customHeight="false" outlineLevel="0" collapsed="false">
      <c r="A1152" s="59" t="n">
        <v>46251.759849537</v>
      </c>
      <c r="B1152" s="60" t="s">
        <v>1458</v>
      </c>
      <c r="C1152" s="60" t="n">
        <v>23515162</v>
      </c>
      <c r="D1152" s="60" t="s">
        <v>46</v>
      </c>
      <c r="E1152" s="60" t="s">
        <v>22</v>
      </c>
      <c r="F1152" s="60" t="s">
        <v>233</v>
      </c>
      <c r="G1152" s="60" t="n">
        <v>22.6</v>
      </c>
      <c r="H1152" s="61" t="n">
        <v>474</v>
      </c>
      <c r="I1152" s="61" t="n">
        <v>42.11</v>
      </c>
      <c r="J1152" s="61" t="n">
        <f aca="false">H1152*Resumo!$C$6</f>
        <v>0</v>
      </c>
      <c r="K1152" s="61" t="n">
        <f aca="false">H1152*Resumo!$C$7</f>
        <v>0.9954</v>
      </c>
      <c r="L1152" s="61" t="n">
        <f aca="false">H1152*Resumo!$C$8</f>
        <v>0.9954</v>
      </c>
      <c r="M1152" s="61" t="n">
        <f aca="false">Resumo!$C$10*CEILING(G1152/100,1)</f>
        <v>1.05</v>
      </c>
      <c r="N1152" s="61" t="n">
        <f aca="false">Resumo!$C$9</f>
        <v>0</v>
      </c>
      <c r="O1152" s="61" t="n">
        <f aca="false">Resumo!$C$13</f>
        <v>13.55</v>
      </c>
      <c r="P1152" s="61" t="n">
        <f aca="false">Resumo!$C$14*CEILING(G1152,1)</f>
        <v>10.35</v>
      </c>
      <c r="Q1152" s="61" t="n">
        <f aca="false">SUM(I1152:P1152)*Resumo!$C$11</f>
        <v>0</v>
      </c>
      <c r="R1152" s="61" t="n">
        <f aca="false">SUM(I1152:Q1152)</f>
        <v>69.0508</v>
      </c>
      <c r="S1152" s="61" t="n">
        <f aca="false">R1152/(1-Resumo!$C$5)</f>
        <v>78.4668181818182</v>
      </c>
      <c r="T1152" s="61" t="n">
        <v>82.21</v>
      </c>
      <c r="U1152" s="61" t="n">
        <f aca="false">H1152*Resumo!$B$6</f>
        <v>0.474</v>
      </c>
      <c r="V1152" s="61" t="n">
        <f aca="false">H1152*Resumo!$B$7</f>
        <v>0.948</v>
      </c>
      <c r="W1152" s="61" t="n">
        <f aca="false">Resumo!$B$9</f>
        <v>1</v>
      </c>
      <c r="X1152" s="61" t="n">
        <f aca="false">Resumo!$B$10*CEILING(G1152/100,1)</f>
        <v>4.5</v>
      </c>
      <c r="Y1152" s="61" t="n">
        <f aca="false">Resumo!$B$12*CEILING(G1152,1)</f>
        <v>1.38</v>
      </c>
      <c r="Z1152" s="61" t="n">
        <f aca="false">Resumo!$B$14*CEILING(G1152,1)</f>
        <v>10.35</v>
      </c>
      <c r="AA1152" s="61" t="n">
        <f aca="false">SUM(T1152:Z1152)</f>
        <v>100.862</v>
      </c>
      <c r="AB1152" s="61" t="n">
        <f aca="false">AA1152/(1-Resumo!$B$5)</f>
        <v>114.615909090909</v>
      </c>
      <c r="AC1152" s="61" t="n">
        <f aca="false">AB1152-S1152</f>
        <v>36.1490909090909</v>
      </c>
      <c r="AD1152" s="62" t="n">
        <f aca="false">AB1152/S1152-1</f>
        <v>0.460692707398032</v>
      </c>
      <c r="AE1152" s="60" t="str">
        <f aca="false">IF(AB1152&lt;S1152,"SIM","NÃO")</f>
        <v>NÃO</v>
      </c>
      <c r="AF1152" s="60" t="n">
        <v>2</v>
      </c>
      <c r="AG1152" s="60" t="n">
        <v>5</v>
      </c>
      <c r="AH1152" s="60" t="s">
        <v>382</v>
      </c>
      <c r="AI1152" s="61" t="n">
        <f aca="false">(T1152*(1-Painel!$C$40)+U1152+V1152+Painel!$C$41+Painel!$C$42*CEILING(G1152/100,1)+Painel!$C$43*CEILING(G1152,1)+Z1152)/(1-Resumo!$B$5)</f>
        <v>78.2985227272727</v>
      </c>
      <c r="AJ1152" s="60" t="str">
        <f aca="false">IF(AI1152&lt;S1152,"SIM","NÃO")</f>
        <v>SIM</v>
      </c>
    </row>
    <row r="1153" customFormat="false" ht="15" hidden="false" customHeight="false" outlineLevel="0" collapsed="false">
      <c r="A1153" s="59" t="n">
        <v>46251.7599537037</v>
      </c>
      <c r="B1153" s="60" t="s">
        <v>1459</v>
      </c>
      <c r="C1153" s="60" t="n">
        <v>25245640</v>
      </c>
      <c r="D1153" s="60" t="s">
        <v>48</v>
      </c>
      <c r="E1153" s="60" t="s">
        <v>23</v>
      </c>
      <c r="F1153" s="60" t="s">
        <v>236</v>
      </c>
      <c r="G1153" s="60" t="n">
        <v>51.3</v>
      </c>
      <c r="H1153" s="61" t="n">
        <v>993.71</v>
      </c>
      <c r="I1153" s="61" t="n">
        <v>70.98</v>
      </c>
      <c r="J1153" s="61" t="n">
        <f aca="false">H1153*Resumo!$C$6</f>
        <v>0</v>
      </c>
      <c r="K1153" s="61" t="n">
        <f aca="false">H1153*Resumo!$C$7</f>
        <v>2.086791</v>
      </c>
      <c r="L1153" s="61" t="n">
        <f aca="false">H1153*Resumo!$C$8</f>
        <v>2.086791</v>
      </c>
      <c r="M1153" s="61" t="n">
        <f aca="false">Resumo!$C$10*CEILING(G1153/100,1)</f>
        <v>1.05</v>
      </c>
      <c r="N1153" s="61" t="n">
        <f aca="false">Resumo!$C$9</f>
        <v>0</v>
      </c>
      <c r="O1153" s="61" t="n">
        <f aca="false">Resumo!$C$13</f>
        <v>13.55</v>
      </c>
      <c r="P1153" s="61" t="n">
        <f aca="false">Resumo!$C$14*CEILING(G1153,1)</f>
        <v>23.4</v>
      </c>
      <c r="Q1153" s="61" t="n">
        <f aca="false">SUM(I1153:P1153)*Resumo!$C$11</f>
        <v>0</v>
      </c>
      <c r="R1153" s="61" t="n">
        <f aca="false">SUM(I1153:Q1153)</f>
        <v>113.153582</v>
      </c>
      <c r="S1153" s="61" t="n">
        <f aca="false">R1153/(1-Resumo!$C$5)</f>
        <v>128.583615909091</v>
      </c>
      <c r="T1153" s="61" t="n">
        <v>112.3</v>
      </c>
      <c r="U1153" s="61" t="n">
        <f aca="false">H1153*Resumo!$B$6</f>
        <v>0.99371</v>
      </c>
      <c r="V1153" s="61" t="n">
        <f aca="false">H1153*Resumo!$B$7</f>
        <v>1.98742</v>
      </c>
      <c r="W1153" s="61" t="n">
        <f aca="false">Resumo!$B$9</f>
        <v>1</v>
      </c>
      <c r="X1153" s="61" t="n">
        <f aca="false">Resumo!$B$10*CEILING(G1153/100,1)</f>
        <v>4.5</v>
      </c>
      <c r="Y1153" s="61" t="n">
        <f aca="false">Resumo!$B$12*CEILING(G1153,1)</f>
        <v>3.12</v>
      </c>
      <c r="Z1153" s="61" t="n">
        <f aca="false">Resumo!$B$14*CEILING(G1153,1)</f>
        <v>23.4</v>
      </c>
      <c r="AA1153" s="61" t="n">
        <f aca="false">SUM(T1153:Z1153)</f>
        <v>147.30113</v>
      </c>
      <c r="AB1153" s="61" t="n">
        <f aca="false">AA1153/(1-Resumo!$B$5)</f>
        <v>167.387647727273</v>
      </c>
      <c r="AC1153" s="61" t="n">
        <f aca="false">AB1153-S1153</f>
        <v>38.8040318181818</v>
      </c>
      <c r="AD1153" s="62" t="n">
        <f aca="false">AB1153/S1153-1</f>
        <v>0.301780530465222</v>
      </c>
      <c r="AE1153" s="60" t="str">
        <f aca="false">IF(AB1153&lt;S1153,"SIM","NÃO")</f>
        <v>NÃO</v>
      </c>
      <c r="AF1153" s="60" t="n">
        <v>2</v>
      </c>
      <c r="AG1153" s="60" t="n">
        <v>5</v>
      </c>
      <c r="AH1153" s="60" t="s">
        <v>382</v>
      </c>
      <c r="AI1153" s="61" t="n">
        <f aca="false">(T1153*(1-Painel!$C$40)+U1153+V1153+Painel!$C$41+Painel!$C$42*CEILING(G1153/100,1)+Painel!$C$43*CEILING(G1153,1)+Z1153)/(1-Resumo!$B$5)</f>
        <v>117.809238636364</v>
      </c>
      <c r="AJ1153" s="60" t="str">
        <f aca="false">IF(AI1153&lt;S1153,"SIM","NÃO")</f>
        <v>SIM</v>
      </c>
    </row>
    <row r="1154" customFormat="false" ht="15" hidden="false" customHeight="false" outlineLevel="0" collapsed="false">
      <c r="A1154" s="59" t="n">
        <v>46251.7650231482</v>
      </c>
      <c r="B1154" s="60" t="s">
        <v>1460</v>
      </c>
      <c r="C1154" s="60" t="n">
        <v>28895622</v>
      </c>
      <c r="D1154" s="60" t="s">
        <v>227</v>
      </c>
      <c r="E1154" s="60" t="s">
        <v>24</v>
      </c>
      <c r="F1154" s="60" t="s">
        <v>235</v>
      </c>
      <c r="G1154" s="60" t="n">
        <v>41</v>
      </c>
      <c r="H1154" s="61" t="n">
        <v>559.99</v>
      </c>
      <c r="I1154" s="61" t="n">
        <v>77.7</v>
      </c>
      <c r="J1154" s="61" t="n">
        <f aca="false">H1154*Resumo!$C$6</f>
        <v>0</v>
      </c>
      <c r="K1154" s="61" t="n">
        <f aca="false">H1154*Resumo!$C$7</f>
        <v>1.175979</v>
      </c>
      <c r="L1154" s="61" t="n">
        <f aca="false">H1154*Resumo!$C$8</f>
        <v>1.175979</v>
      </c>
      <c r="M1154" s="61" t="n">
        <f aca="false">Resumo!$C$10*CEILING(G1154/100,1)</f>
        <v>1.05</v>
      </c>
      <c r="N1154" s="61" t="n">
        <f aca="false">Resumo!$C$9</f>
        <v>0</v>
      </c>
      <c r="O1154" s="61" t="n">
        <f aca="false">Resumo!$C$13</f>
        <v>13.55</v>
      </c>
      <c r="P1154" s="61" t="n">
        <f aca="false">Resumo!$C$14*CEILING(G1154,1)</f>
        <v>18.45</v>
      </c>
      <c r="Q1154" s="61" t="n">
        <f aca="false">SUM(I1154:P1154)*Resumo!$C$11</f>
        <v>0</v>
      </c>
      <c r="R1154" s="61" t="n">
        <f aca="false">SUM(I1154:Q1154)</f>
        <v>113.101958</v>
      </c>
      <c r="S1154" s="61" t="n">
        <f aca="false">R1154/(1-Resumo!$C$5)</f>
        <v>128.524952272727</v>
      </c>
      <c r="T1154" s="61" t="n">
        <v>129.29</v>
      </c>
      <c r="U1154" s="61" t="n">
        <f aca="false">H1154*Resumo!$B$6</f>
        <v>0.55999</v>
      </c>
      <c r="V1154" s="61" t="n">
        <f aca="false">H1154*Resumo!$B$7</f>
        <v>1.11998</v>
      </c>
      <c r="W1154" s="61" t="n">
        <f aca="false">Resumo!$B$9</f>
        <v>1</v>
      </c>
      <c r="X1154" s="61" t="n">
        <f aca="false">Resumo!$B$10*CEILING(G1154/100,1)</f>
        <v>4.5</v>
      </c>
      <c r="Y1154" s="61" t="n">
        <f aca="false">Resumo!$B$12*CEILING(G1154,1)</f>
        <v>2.46</v>
      </c>
      <c r="Z1154" s="61" t="n">
        <f aca="false">Resumo!$B$14*CEILING(G1154,1)</f>
        <v>18.45</v>
      </c>
      <c r="AA1154" s="61" t="n">
        <f aca="false">SUM(T1154:Z1154)</f>
        <v>157.37997</v>
      </c>
      <c r="AB1154" s="61" t="n">
        <f aca="false">AA1154/(1-Resumo!$B$5)</f>
        <v>178.840875</v>
      </c>
      <c r="AC1154" s="61" t="n">
        <f aca="false">AB1154-S1154</f>
        <v>50.3159227272727</v>
      </c>
      <c r="AD1154" s="62" t="n">
        <f aca="false">AB1154/S1154-1</f>
        <v>0.391487581497042</v>
      </c>
      <c r="AE1154" s="60" t="str">
        <f aca="false">IF(AB1154&lt;S1154,"SIM","NÃO")</f>
        <v>NÃO</v>
      </c>
      <c r="AF1154" s="60" t="n">
        <v>13</v>
      </c>
      <c r="AG1154" s="60" t="n">
        <v>10</v>
      </c>
      <c r="AH1154" s="60" t="s">
        <v>382</v>
      </c>
      <c r="AI1154" s="61" t="n">
        <f aca="false">(T1154*(1-Painel!$C$40)+U1154+V1154+Painel!$C$41+Painel!$C$42*CEILING(G1154/100,1)+Painel!$C$43*CEILING(G1154,1)+Z1154)/(1-Resumo!$B$5)</f>
        <v>123.641215909091</v>
      </c>
      <c r="AJ1154" s="60" t="str">
        <f aca="false">IF(AI1154&lt;S1154,"SIM","NÃO")</f>
        <v>SIM</v>
      </c>
    </row>
    <row r="1155" customFormat="false" ht="15" hidden="false" customHeight="false" outlineLevel="0" collapsed="false">
      <c r="A1155" s="59" t="n">
        <v>46251.7744328704</v>
      </c>
      <c r="B1155" s="60" t="s">
        <v>1461</v>
      </c>
      <c r="C1155" s="60" t="n">
        <v>26510110</v>
      </c>
      <c r="D1155" s="60" t="s">
        <v>284</v>
      </c>
      <c r="E1155" s="60" t="s">
        <v>23</v>
      </c>
      <c r="F1155" s="60" t="s">
        <v>241</v>
      </c>
      <c r="G1155" s="60" t="n">
        <v>124.2</v>
      </c>
      <c r="H1155" s="61" t="n">
        <v>1567.98</v>
      </c>
      <c r="I1155" s="61" t="n">
        <v>129.62</v>
      </c>
      <c r="J1155" s="61" t="n">
        <f aca="false">H1155*Resumo!$C$6</f>
        <v>0</v>
      </c>
      <c r="K1155" s="61" t="n">
        <f aca="false">H1155*Resumo!$C$7</f>
        <v>3.292758</v>
      </c>
      <c r="L1155" s="61" t="n">
        <f aca="false">H1155*Resumo!$C$8</f>
        <v>3.292758</v>
      </c>
      <c r="M1155" s="61" t="n">
        <f aca="false">Resumo!$C$10*CEILING(G1155/100,1)</f>
        <v>2.1</v>
      </c>
      <c r="N1155" s="61" t="n">
        <f aca="false">Resumo!$C$9</f>
        <v>0</v>
      </c>
      <c r="O1155" s="61" t="n">
        <f aca="false">Resumo!$C$13</f>
        <v>13.55</v>
      </c>
      <c r="P1155" s="61" t="n">
        <f aca="false">Resumo!$C$14*CEILING(G1155,1)</f>
        <v>56.25</v>
      </c>
      <c r="Q1155" s="61" t="n">
        <f aca="false">SUM(I1155:P1155)*Resumo!$C$11</f>
        <v>0</v>
      </c>
      <c r="R1155" s="61" t="n">
        <f aca="false">SUM(I1155:Q1155)</f>
        <v>208.105516</v>
      </c>
      <c r="S1155" s="61" t="n">
        <f aca="false">R1155/(1-Resumo!$C$5)</f>
        <v>236.483540909091</v>
      </c>
      <c r="T1155" s="61" t="n">
        <v>239.25</v>
      </c>
      <c r="U1155" s="61" t="n">
        <f aca="false">H1155*Resumo!$B$6</f>
        <v>1.56798</v>
      </c>
      <c r="V1155" s="61" t="n">
        <f aca="false">H1155*Resumo!$B$7</f>
        <v>3.13596</v>
      </c>
      <c r="W1155" s="61" t="n">
        <f aca="false">Resumo!$B$9</f>
        <v>1</v>
      </c>
      <c r="X1155" s="61" t="n">
        <f aca="false">Resumo!$B$10*CEILING(G1155/100,1)</f>
        <v>9</v>
      </c>
      <c r="Y1155" s="61" t="n">
        <f aca="false">Resumo!$B$12*CEILING(G1155,1)</f>
        <v>7.5</v>
      </c>
      <c r="Z1155" s="61" t="n">
        <f aca="false">Resumo!$B$14*CEILING(G1155,1)</f>
        <v>56.25</v>
      </c>
      <c r="AA1155" s="61" t="n">
        <f aca="false">SUM(T1155:Z1155)</f>
        <v>317.70394</v>
      </c>
      <c r="AB1155" s="61" t="n">
        <f aca="false">AA1155/(1-Resumo!$B$5)</f>
        <v>361.027204545455</v>
      </c>
      <c r="AC1155" s="61" t="n">
        <f aca="false">AB1155-S1155</f>
        <v>124.543663636364</v>
      </c>
      <c r="AD1155" s="62" t="n">
        <f aca="false">AB1155/S1155-1</f>
        <v>0.526648337375161</v>
      </c>
      <c r="AE1155" s="60" t="str">
        <f aca="false">IF(AB1155&lt;S1155,"SIM","NÃO")</f>
        <v>NÃO</v>
      </c>
      <c r="AF1155" s="60" t="n">
        <v>2</v>
      </c>
      <c r="AG1155" s="60" t="n">
        <v>5</v>
      </c>
      <c r="AH1155" s="60" t="s">
        <v>385</v>
      </c>
      <c r="AI1155" s="61" t="n">
        <f aca="false">(T1155*(1-Painel!$C$40)+U1155+V1155+Painel!$C$41+Painel!$C$42*CEILING(G1155/100,1)+Painel!$C$43*CEILING(G1155,1)+Z1155)/(1-Resumo!$B$5)</f>
        <v>254.944818181818</v>
      </c>
      <c r="AJ1155" s="60" t="str">
        <f aca="false">IF(AI1155&lt;S1155,"SIM","NÃO")</f>
        <v>NÃO</v>
      </c>
    </row>
    <row r="1156" customFormat="false" ht="15" hidden="false" customHeight="false" outlineLevel="0" collapsed="false">
      <c r="A1156" s="59" t="n">
        <v>46251.7840277778</v>
      </c>
      <c r="B1156" s="60" t="s">
        <v>1462</v>
      </c>
      <c r="C1156" s="60" t="n">
        <v>25615061</v>
      </c>
      <c r="D1156" s="60" t="s">
        <v>219</v>
      </c>
      <c r="E1156" s="60" t="s">
        <v>24</v>
      </c>
      <c r="F1156" s="60" t="s">
        <v>234</v>
      </c>
      <c r="G1156" s="60" t="n">
        <v>37.6</v>
      </c>
      <c r="H1156" s="61" t="n">
        <v>459.99</v>
      </c>
      <c r="I1156" s="61" t="n">
        <v>74.97</v>
      </c>
      <c r="J1156" s="61" t="n">
        <f aca="false">H1156*Resumo!$C$6</f>
        <v>0</v>
      </c>
      <c r="K1156" s="61" t="n">
        <f aca="false">H1156*Resumo!$C$7</f>
        <v>0.965979</v>
      </c>
      <c r="L1156" s="61" t="n">
        <f aca="false">H1156*Resumo!$C$8</f>
        <v>0.965979</v>
      </c>
      <c r="M1156" s="61" t="n">
        <f aca="false">Resumo!$C$10*CEILING(G1156/100,1)</f>
        <v>1.05</v>
      </c>
      <c r="N1156" s="61" t="n">
        <f aca="false">Resumo!$C$9</f>
        <v>0</v>
      </c>
      <c r="O1156" s="61" t="n">
        <f aca="false">Resumo!$C$13</f>
        <v>13.55</v>
      </c>
      <c r="P1156" s="61" t="n">
        <f aca="false">Resumo!$C$14*CEILING(G1156,1)</f>
        <v>17.1</v>
      </c>
      <c r="Q1156" s="61" t="n">
        <f aca="false">SUM(I1156:P1156)*Resumo!$C$11</f>
        <v>0</v>
      </c>
      <c r="R1156" s="61" t="n">
        <f aca="false">SUM(I1156:Q1156)</f>
        <v>108.601958</v>
      </c>
      <c r="S1156" s="61" t="n">
        <f aca="false">R1156/(1-Resumo!$C$5)</f>
        <v>123.411315909091</v>
      </c>
      <c r="T1156" s="61" t="n">
        <v>124.38</v>
      </c>
      <c r="U1156" s="61" t="n">
        <f aca="false">H1156*Resumo!$B$6</f>
        <v>0.45999</v>
      </c>
      <c r="V1156" s="61" t="n">
        <f aca="false">H1156*Resumo!$B$7</f>
        <v>0.91998</v>
      </c>
      <c r="W1156" s="61" t="n">
        <f aca="false">Resumo!$B$9</f>
        <v>1</v>
      </c>
      <c r="X1156" s="61" t="n">
        <f aca="false">Resumo!$B$10*CEILING(G1156/100,1)</f>
        <v>4.5</v>
      </c>
      <c r="Y1156" s="61" t="n">
        <f aca="false">Resumo!$B$12*CEILING(G1156,1)</f>
        <v>2.28</v>
      </c>
      <c r="Z1156" s="61" t="n">
        <f aca="false">Resumo!$B$14*CEILING(G1156,1)</f>
        <v>17.1</v>
      </c>
      <c r="AA1156" s="61" t="n">
        <f aca="false">SUM(T1156:Z1156)</f>
        <v>150.63997</v>
      </c>
      <c r="AB1156" s="61" t="n">
        <f aca="false">AA1156/(1-Resumo!$B$5)</f>
        <v>171.181784090909</v>
      </c>
      <c r="AC1156" s="61" t="n">
        <f aca="false">AB1156-S1156</f>
        <v>47.7704681818182</v>
      </c>
      <c r="AD1156" s="62" t="n">
        <f aca="false">AB1156/S1156-1</f>
        <v>0.387083371001469</v>
      </c>
      <c r="AE1156" s="60" t="str">
        <f aca="false">IF(AB1156&lt;S1156,"SIM","NÃO")</f>
        <v>NÃO</v>
      </c>
      <c r="AF1156" s="60" t="n">
        <v>13</v>
      </c>
      <c r="AG1156" s="60" t="n">
        <v>8</v>
      </c>
      <c r="AH1156" s="60" t="s">
        <v>382</v>
      </c>
      <c r="AI1156" s="61" t="n">
        <f aca="false">(T1156*(1-Painel!$C$40)+U1156+V1156+Painel!$C$41+Painel!$C$42*CEILING(G1156/100,1)+Painel!$C$43*CEILING(G1156,1)+Z1156)/(1-Resumo!$B$5)</f>
        <v>118.027920454545</v>
      </c>
      <c r="AJ1156" s="60" t="str">
        <f aca="false">IF(AI1156&lt;S1156,"SIM","NÃO")</f>
        <v>SIM</v>
      </c>
    </row>
    <row r="1157" customFormat="false" ht="15" hidden="false" customHeight="false" outlineLevel="0" collapsed="false">
      <c r="A1157" s="59" t="n">
        <v>46251.7923148148</v>
      </c>
      <c r="B1157" s="60" t="s">
        <v>1463</v>
      </c>
      <c r="C1157" s="60" t="n">
        <v>21853031</v>
      </c>
      <c r="D1157" s="60" t="s">
        <v>46</v>
      </c>
      <c r="E1157" s="60" t="s">
        <v>22</v>
      </c>
      <c r="F1157" s="60" t="s">
        <v>241</v>
      </c>
      <c r="G1157" s="60" t="n">
        <v>124.2</v>
      </c>
      <c r="H1157" s="61" t="n">
        <v>1567.98</v>
      </c>
      <c r="I1157" s="61" t="n">
        <v>120.59</v>
      </c>
      <c r="J1157" s="61" t="n">
        <f aca="false">H1157*Resumo!$C$6</f>
        <v>0</v>
      </c>
      <c r="K1157" s="61" t="n">
        <f aca="false">H1157*Resumo!$C$7</f>
        <v>3.292758</v>
      </c>
      <c r="L1157" s="61" t="n">
        <f aca="false">H1157*Resumo!$C$8</f>
        <v>3.292758</v>
      </c>
      <c r="M1157" s="61" t="n">
        <f aca="false">Resumo!$C$10*CEILING(G1157/100,1)</f>
        <v>2.1</v>
      </c>
      <c r="N1157" s="61" t="n">
        <f aca="false">Resumo!$C$9</f>
        <v>0</v>
      </c>
      <c r="O1157" s="61" t="n">
        <f aca="false">Resumo!$C$13</f>
        <v>13.55</v>
      </c>
      <c r="P1157" s="61" t="n">
        <f aca="false">Resumo!$C$14*CEILING(G1157,1)</f>
        <v>56.25</v>
      </c>
      <c r="Q1157" s="61" t="n">
        <f aca="false">SUM(I1157:P1157)*Resumo!$C$11</f>
        <v>0</v>
      </c>
      <c r="R1157" s="61" t="n">
        <f aca="false">SUM(I1157:Q1157)</f>
        <v>199.075516</v>
      </c>
      <c r="S1157" s="61" t="n">
        <f aca="false">R1157/(1-Resumo!$C$5)</f>
        <v>226.222177272727</v>
      </c>
      <c r="T1157" s="61" t="n">
        <v>239.25</v>
      </c>
      <c r="U1157" s="61" t="n">
        <f aca="false">H1157*Resumo!$B$6</f>
        <v>1.56798</v>
      </c>
      <c r="V1157" s="61" t="n">
        <f aca="false">H1157*Resumo!$B$7</f>
        <v>3.13596</v>
      </c>
      <c r="W1157" s="61" t="n">
        <f aca="false">Resumo!$B$9</f>
        <v>1</v>
      </c>
      <c r="X1157" s="61" t="n">
        <f aca="false">Resumo!$B$10*CEILING(G1157/100,1)</f>
        <v>9</v>
      </c>
      <c r="Y1157" s="61" t="n">
        <f aca="false">Resumo!$B$12*CEILING(G1157,1)</f>
        <v>7.5</v>
      </c>
      <c r="Z1157" s="61" t="n">
        <f aca="false">Resumo!$B$14*CEILING(G1157,1)</f>
        <v>56.25</v>
      </c>
      <c r="AA1157" s="61" t="n">
        <f aca="false">SUM(T1157:Z1157)</f>
        <v>317.70394</v>
      </c>
      <c r="AB1157" s="61" t="n">
        <f aca="false">AA1157/(1-Resumo!$B$5)</f>
        <v>361.027204545455</v>
      </c>
      <c r="AC1157" s="61" t="n">
        <f aca="false">AB1157-S1157</f>
        <v>134.805027272727</v>
      </c>
      <c r="AD1157" s="62" t="n">
        <f aca="false">AB1157/S1157-1</f>
        <v>0.595896604382028</v>
      </c>
      <c r="AE1157" s="60" t="str">
        <f aca="false">IF(AB1157&lt;S1157,"SIM","NÃO")</f>
        <v>NÃO</v>
      </c>
      <c r="AF1157" s="60" t="n">
        <v>2</v>
      </c>
      <c r="AG1157" s="60" t="n">
        <v>5</v>
      </c>
      <c r="AH1157" s="60" t="s">
        <v>382</v>
      </c>
      <c r="AI1157" s="61" t="n">
        <f aca="false">(T1157*(1-Painel!$C$40)+U1157+V1157+Painel!$C$41+Painel!$C$42*CEILING(G1157/100,1)+Painel!$C$43*CEILING(G1157,1)+Z1157)/(1-Resumo!$B$5)</f>
        <v>254.944818181818</v>
      </c>
      <c r="AJ1157" s="60" t="str">
        <f aca="false">IF(AI1157&lt;S1157,"SIM","NÃO")</f>
        <v>NÃO</v>
      </c>
    </row>
    <row r="1158" customFormat="false" ht="15" hidden="false" customHeight="false" outlineLevel="0" collapsed="false">
      <c r="A1158" s="59" t="n">
        <v>46251.794537037</v>
      </c>
      <c r="B1158" s="60" t="s">
        <v>1464</v>
      </c>
      <c r="C1158" s="60" t="n">
        <v>28949460</v>
      </c>
      <c r="D1158" s="60" t="s">
        <v>338</v>
      </c>
      <c r="E1158" s="60" t="s">
        <v>24</v>
      </c>
      <c r="F1158" s="60" t="s">
        <v>236</v>
      </c>
      <c r="G1158" s="60" t="n">
        <v>52.3</v>
      </c>
      <c r="H1158" s="61" t="n">
        <v>577.12</v>
      </c>
      <c r="I1158" s="61" t="n">
        <v>83.58</v>
      </c>
      <c r="J1158" s="61" t="n">
        <f aca="false">H1158*Resumo!$C$6</f>
        <v>0</v>
      </c>
      <c r="K1158" s="61" t="n">
        <f aca="false">H1158*Resumo!$C$7</f>
        <v>1.211952</v>
      </c>
      <c r="L1158" s="61" t="n">
        <f aca="false">H1158*Resumo!$C$8</f>
        <v>1.211952</v>
      </c>
      <c r="M1158" s="61" t="n">
        <f aca="false">Resumo!$C$10*CEILING(G1158/100,1)</f>
        <v>1.05</v>
      </c>
      <c r="N1158" s="61" t="n">
        <f aca="false">Resumo!$C$9</f>
        <v>0</v>
      </c>
      <c r="O1158" s="61" t="n">
        <f aca="false">Resumo!$C$13</f>
        <v>13.55</v>
      </c>
      <c r="P1158" s="61" t="n">
        <f aca="false">Resumo!$C$14*CEILING(G1158,1)</f>
        <v>23.85</v>
      </c>
      <c r="Q1158" s="61" t="n">
        <f aca="false">SUM(I1158:P1158)*Resumo!$C$11</f>
        <v>0</v>
      </c>
      <c r="R1158" s="61" t="n">
        <f aca="false">SUM(I1158:Q1158)</f>
        <v>124.453904</v>
      </c>
      <c r="S1158" s="61" t="n">
        <f aca="false">R1158/(1-Resumo!$C$5)</f>
        <v>141.424890909091</v>
      </c>
      <c r="T1158" s="61" t="n">
        <v>142.32</v>
      </c>
      <c r="U1158" s="61" t="n">
        <f aca="false">H1158*Resumo!$B$6</f>
        <v>0.57712</v>
      </c>
      <c r="V1158" s="61" t="n">
        <f aca="false">H1158*Resumo!$B$7</f>
        <v>1.15424</v>
      </c>
      <c r="W1158" s="61" t="n">
        <f aca="false">Resumo!$B$9</f>
        <v>1</v>
      </c>
      <c r="X1158" s="61" t="n">
        <f aca="false">Resumo!$B$10*CEILING(G1158/100,1)</f>
        <v>4.5</v>
      </c>
      <c r="Y1158" s="61" t="n">
        <f aca="false">Resumo!$B$12*CEILING(G1158,1)</f>
        <v>3.18</v>
      </c>
      <c r="Z1158" s="61" t="n">
        <f aca="false">Resumo!$B$14*CEILING(G1158,1)</f>
        <v>23.85</v>
      </c>
      <c r="AA1158" s="61" t="n">
        <f aca="false">SUM(T1158:Z1158)</f>
        <v>176.58136</v>
      </c>
      <c r="AB1158" s="61" t="n">
        <f aca="false">AA1158/(1-Resumo!$B$5)</f>
        <v>200.660636363636</v>
      </c>
      <c r="AC1158" s="61" t="n">
        <f aca="false">AB1158-S1158</f>
        <v>59.2357454545455</v>
      </c>
      <c r="AD1158" s="62" t="n">
        <f aca="false">AB1158/S1158-1</f>
        <v>0.418849504311251</v>
      </c>
      <c r="AE1158" s="60" t="str">
        <f aca="false">IF(AB1158&lt;S1158,"SIM","NÃO")</f>
        <v>NÃO</v>
      </c>
      <c r="AF1158" s="60" t="n">
        <v>13</v>
      </c>
      <c r="AG1158" s="60" t="n">
        <v>10</v>
      </c>
      <c r="AH1158" s="60" t="s">
        <v>385</v>
      </c>
      <c r="AI1158" s="61" t="n">
        <f aca="false">(T1158*(1-Painel!$C$40)+U1158+V1158+Painel!$C$41+Painel!$C$42*CEILING(G1158/100,1)+Painel!$C$43*CEILING(G1158,1)+Z1158)/(1-Resumo!$B$5)</f>
        <v>139.756545454545</v>
      </c>
      <c r="AJ1158" s="60" t="str">
        <f aca="false">IF(AI1158&lt;S1158,"SIM","NÃO")</f>
        <v>SIM</v>
      </c>
    </row>
    <row r="1159" customFormat="false" ht="15" hidden="false" customHeight="false" outlineLevel="0" collapsed="false">
      <c r="A1159" s="59" t="n">
        <v>46251.8034606482</v>
      </c>
      <c r="B1159" s="60" t="s">
        <v>1465</v>
      </c>
      <c r="C1159" s="60" t="n">
        <v>27995000</v>
      </c>
      <c r="D1159" s="60"/>
      <c r="E1159" s="60" t="s">
        <v>24</v>
      </c>
      <c r="F1159" s="60" t="s">
        <v>235</v>
      </c>
      <c r="G1159" s="60" t="n">
        <v>44.6</v>
      </c>
      <c r="H1159" s="61" t="n">
        <v>579.99</v>
      </c>
      <c r="I1159" s="61" t="n">
        <v>77.7</v>
      </c>
      <c r="J1159" s="61" t="n">
        <f aca="false">H1159*Resumo!$C$6</f>
        <v>0</v>
      </c>
      <c r="K1159" s="61" t="n">
        <f aca="false">H1159*Resumo!$C$7</f>
        <v>1.217979</v>
      </c>
      <c r="L1159" s="61" t="n">
        <f aca="false">H1159*Resumo!$C$8</f>
        <v>1.217979</v>
      </c>
      <c r="M1159" s="61" t="n">
        <f aca="false">Resumo!$C$10*CEILING(G1159/100,1)</f>
        <v>1.05</v>
      </c>
      <c r="N1159" s="61" t="n">
        <f aca="false">Resumo!$C$9</f>
        <v>0</v>
      </c>
      <c r="O1159" s="61" t="n">
        <f aca="false">Resumo!$C$13</f>
        <v>13.55</v>
      </c>
      <c r="P1159" s="61" t="n">
        <f aca="false">Resumo!$C$14*CEILING(G1159,1)</f>
        <v>20.25</v>
      </c>
      <c r="Q1159" s="61" t="n">
        <f aca="false">SUM(I1159:P1159)*Resumo!$C$11</f>
        <v>0</v>
      </c>
      <c r="R1159" s="61" t="n">
        <f aca="false">SUM(I1159:Q1159)</f>
        <v>114.985958</v>
      </c>
      <c r="S1159" s="61" t="n">
        <f aca="false">R1159/(1-Resumo!$C$5)</f>
        <v>130.665861363636</v>
      </c>
      <c r="T1159" s="61" t="n">
        <v>152.54</v>
      </c>
      <c r="U1159" s="61" t="n">
        <f aca="false">H1159*Resumo!$B$6</f>
        <v>0.57999</v>
      </c>
      <c r="V1159" s="61" t="n">
        <f aca="false">H1159*Resumo!$B$7</f>
        <v>1.15998</v>
      </c>
      <c r="W1159" s="61" t="n">
        <f aca="false">Resumo!$B$9</f>
        <v>1</v>
      </c>
      <c r="X1159" s="61" t="n">
        <f aca="false">Resumo!$B$10*CEILING(G1159/100,1)</f>
        <v>4.5</v>
      </c>
      <c r="Y1159" s="61" t="n">
        <f aca="false">Resumo!$B$12*CEILING(G1159,1)</f>
        <v>2.7</v>
      </c>
      <c r="Z1159" s="61" t="n">
        <f aca="false">Resumo!$B$14*CEILING(G1159,1)</f>
        <v>20.25</v>
      </c>
      <c r="AA1159" s="61" t="n">
        <f aca="false">SUM(T1159:Z1159)</f>
        <v>182.72997</v>
      </c>
      <c r="AB1159" s="61" t="n">
        <f aca="false">AA1159/(1-Resumo!$B$5)</f>
        <v>207.647693181818</v>
      </c>
      <c r="AC1159" s="61" t="n">
        <f aca="false">AB1159-S1159</f>
        <v>76.9818318181818</v>
      </c>
      <c r="AD1159" s="62" t="n">
        <f aca="false">AB1159/S1159-1</f>
        <v>0.589150303030914</v>
      </c>
      <c r="AE1159" s="60" t="str">
        <f aca="false">IF(AB1159&lt;S1159,"SIM","NÃO")</f>
        <v>NÃO</v>
      </c>
      <c r="AF1159" s="60" t="n">
        <v>13</v>
      </c>
      <c r="AG1159" s="60" t="n">
        <v>11</v>
      </c>
      <c r="AH1159" s="60" t="s">
        <v>385</v>
      </c>
      <c r="AI1159" s="61" t="n">
        <f aca="false">(T1159*(1-Painel!$C$40)+U1159+V1159+Painel!$C$41+Painel!$C$42*CEILING(G1159/100,1)+Painel!$C$43*CEILING(G1159,1)+Z1159)/(1-Resumo!$B$5)</f>
        <v>143.456556818182</v>
      </c>
      <c r="AJ1159" s="60" t="str">
        <f aca="false">IF(AI1159&lt;S1159,"SIM","NÃO")</f>
        <v>NÃO</v>
      </c>
    </row>
    <row r="1160" customFormat="false" ht="15" hidden="false" customHeight="false" outlineLevel="0" collapsed="false">
      <c r="A1160" s="59" t="n">
        <v>46251.8103587963</v>
      </c>
      <c r="B1160" s="60" t="s">
        <v>1466</v>
      </c>
      <c r="C1160" s="60" t="n">
        <v>23595200</v>
      </c>
      <c r="D1160" s="60" t="s">
        <v>46</v>
      </c>
      <c r="E1160" s="60" t="s">
        <v>22</v>
      </c>
      <c r="F1160" s="60" t="s">
        <v>234</v>
      </c>
      <c r="G1160" s="60" t="n">
        <v>37.6</v>
      </c>
      <c r="H1160" s="61" t="n">
        <v>399.59</v>
      </c>
      <c r="I1160" s="61" t="n">
        <v>48.35</v>
      </c>
      <c r="J1160" s="61" t="n">
        <f aca="false">H1160*Resumo!$C$6</f>
        <v>0</v>
      </c>
      <c r="K1160" s="61" t="n">
        <f aca="false">H1160*Resumo!$C$7</f>
        <v>0.839139</v>
      </c>
      <c r="L1160" s="61" t="n">
        <f aca="false">H1160*Resumo!$C$8</f>
        <v>0.839139</v>
      </c>
      <c r="M1160" s="61" t="n">
        <f aca="false">Resumo!$C$10*CEILING(G1160/100,1)</f>
        <v>1.05</v>
      </c>
      <c r="N1160" s="61" t="n">
        <f aca="false">Resumo!$C$9</f>
        <v>0</v>
      </c>
      <c r="O1160" s="61" t="n">
        <f aca="false">Resumo!$C$13</f>
        <v>13.55</v>
      </c>
      <c r="P1160" s="61" t="n">
        <f aca="false">Resumo!$C$14*CEILING(G1160,1)</f>
        <v>17.1</v>
      </c>
      <c r="Q1160" s="61" t="n">
        <f aca="false">SUM(I1160:P1160)*Resumo!$C$11</f>
        <v>0</v>
      </c>
      <c r="R1160" s="61" t="n">
        <f aca="false">SUM(I1160:Q1160)</f>
        <v>81.728278</v>
      </c>
      <c r="S1160" s="61" t="n">
        <f aca="false">R1160/(1-Resumo!$C$5)</f>
        <v>92.8730431818182</v>
      </c>
      <c r="T1160" s="61" t="n">
        <v>93.97</v>
      </c>
      <c r="U1160" s="61" t="n">
        <f aca="false">H1160*Resumo!$B$6</f>
        <v>0.39959</v>
      </c>
      <c r="V1160" s="61" t="n">
        <f aca="false">H1160*Resumo!$B$7</f>
        <v>0.79918</v>
      </c>
      <c r="W1160" s="61" t="n">
        <f aca="false">Resumo!$B$9</f>
        <v>1</v>
      </c>
      <c r="X1160" s="61" t="n">
        <f aca="false">Resumo!$B$10*CEILING(G1160/100,1)</f>
        <v>4.5</v>
      </c>
      <c r="Y1160" s="61" t="n">
        <f aca="false">Resumo!$B$12*CEILING(G1160,1)</f>
        <v>2.28</v>
      </c>
      <c r="Z1160" s="61" t="n">
        <f aca="false">Resumo!$B$14*CEILING(G1160,1)</f>
        <v>17.1</v>
      </c>
      <c r="AA1160" s="61" t="n">
        <f aca="false">SUM(T1160:Z1160)</f>
        <v>120.04877</v>
      </c>
      <c r="AB1160" s="61" t="n">
        <f aca="false">AA1160/(1-Resumo!$B$5)</f>
        <v>136.419056818182</v>
      </c>
      <c r="AC1160" s="61" t="n">
        <f aca="false">AB1160-S1160</f>
        <v>43.5460136363636</v>
      </c>
      <c r="AD1160" s="62" t="n">
        <f aca="false">AB1160/S1160-1</f>
        <v>0.468876782158557</v>
      </c>
      <c r="AE1160" s="60" t="str">
        <f aca="false">IF(AB1160&lt;S1160,"SIM","NÃO")</f>
        <v>NÃO</v>
      </c>
      <c r="AF1160" s="60" t="n">
        <v>2</v>
      </c>
      <c r="AG1160" s="60" t="n">
        <v>5</v>
      </c>
      <c r="AH1160" s="60" t="s">
        <v>382</v>
      </c>
      <c r="AI1160" s="61" t="n">
        <f aca="false">(T1160*(1-Painel!$C$40)+U1160+V1160+Painel!$C$41+Painel!$C$42*CEILING(G1160/100,1)+Painel!$C$43*CEILING(G1160,1)+Z1160)/(1-Resumo!$B$5)</f>
        <v>94.6689431818182</v>
      </c>
      <c r="AJ1160" s="60" t="str">
        <f aca="false">IF(AI1160&lt;S1160,"SIM","NÃO")</f>
        <v>NÃO</v>
      </c>
    </row>
    <row r="1161" customFormat="false" ht="15" hidden="false" customHeight="false" outlineLevel="0" collapsed="false">
      <c r="A1161" s="59" t="n">
        <v>46251.8245717593</v>
      </c>
      <c r="B1161" s="60" t="s">
        <v>1467</v>
      </c>
      <c r="C1161" s="60" t="n">
        <v>28634110</v>
      </c>
      <c r="D1161" s="60" t="s">
        <v>226</v>
      </c>
      <c r="E1161" s="60" t="s">
        <v>24</v>
      </c>
      <c r="F1161" s="60" t="s">
        <v>241</v>
      </c>
      <c r="G1161" s="60" t="n">
        <v>141.5</v>
      </c>
      <c r="H1161" s="61" t="n">
        <v>1599.99</v>
      </c>
      <c r="I1161" s="61" t="n">
        <v>144.24</v>
      </c>
      <c r="J1161" s="61" t="n">
        <f aca="false">H1161*Resumo!$C$6</f>
        <v>0</v>
      </c>
      <c r="K1161" s="61" t="n">
        <f aca="false">H1161*Resumo!$C$7</f>
        <v>3.359979</v>
      </c>
      <c r="L1161" s="61" t="n">
        <f aca="false">H1161*Resumo!$C$8</f>
        <v>3.359979</v>
      </c>
      <c r="M1161" s="61" t="n">
        <f aca="false">Resumo!$C$10*CEILING(G1161/100,1)</f>
        <v>2.1</v>
      </c>
      <c r="N1161" s="61" t="n">
        <f aca="false">Resumo!$C$9</f>
        <v>0</v>
      </c>
      <c r="O1161" s="61" t="n">
        <f aca="false">Resumo!$C$13</f>
        <v>13.55</v>
      </c>
      <c r="P1161" s="61" t="n">
        <f aca="false">Resumo!$C$14*CEILING(G1161,1)</f>
        <v>63.9</v>
      </c>
      <c r="Q1161" s="61" t="n">
        <f aca="false">SUM(I1161:P1161)*Resumo!$C$11</f>
        <v>0</v>
      </c>
      <c r="R1161" s="61" t="n">
        <f aca="false">SUM(I1161:Q1161)</f>
        <v>230.509958</v>
      </c>
      <c r="S1161" s="61" t="n">
        <f aca="false">R1161/(1-Resumo!$C$5)</f>
        <v>261.943134090909</v>
      </c>
      <c r="T1161" s="61" t="n">
        <v>264.84</v>
      </c>
      <c r="U1161" s="61" t="n">
        <f aca="false">H1161*Resumo!$B$6</f>
        <v>1.59999</v>
      </c>
      <c r="V1161" s="61" t="n">
        <f aca="false">H1161*Resumo!$B$7</f>
        <v>3.19998</v>
      </c>
      <c r="W1161" s="61" t="n">
        <f aca="false">Resumo!$B$9</f>
        <v>1</v>
      </c>
      <c r="X1161" s="61" t="n">
        <f aca="false">Resumo!$B$10*CEILING(G1161/100,1)</f>
        <v>9</v>
      </c>
      <c r="Y1161" s="61" t="n">
        <f aca="false">Resumo!$B$12*CEILING(G1161,1)</f>
        <v>8.52</v>
      </c>
      <c r="Z1161" s="61" t="n">
        <f aca="false">Resumo!$B$14*CEILING(G1161,1)</f>
        <v>63.9</v>
      </c>
      <c r="AA1161" s="61" t="n">
        <f aca="false">SUM(T1161:Z1161)</f>
        <v>352.05997</v>
      </c>
      <c r="AB1161" s="61" t="n">
        <f aca="false">AA1161/(1-Resumo!$B$5)</f>
        <v>400.068147727273</v>
      </c>
      <c r="AC1161" s="61" t="n">
        <f aca="false">AB1161-S1161</f>
        <v>138.125013636364</v>
      </c>
      <c r="AD1161" s="62" t="n">
        <f aca="false">AB1161/S1161-1</f>
        <v>0.527309158591751</v>
      </c>
      <c r="AE1161" s="60" t="str">
        <f aca="false">IF(AB1161&lt;S1161,"SIM","NÃO")</f>
        <v>NÃO</v>
      </c>
      <c r="AF1161" s="60" t="n">
        <v>13</v>
      </c>
      <c r="AG1161" s="60" t="n">
        <v>10</v>
      </c>
      <c r="AH1161" s="60" t="s">
        <v>382</v>
      </c>
      <c r="AI1161" s="61" t="n">
        <f aca="false">(T1161*(1-Painel!$C$40)+U1161+V1161+Painel!$C$41+Painel!$C$42*CEILING(G1161/100,1)+Painel!$C$43*CEILING(G1161,1)+Z1161)/(1-Resumo!$B$5)</f>
        <v>283.230420454545</v>
      </c>
      <c r="AJ1161" s="60" t="str">
        <f aca="false">IF(AI1161&lt;S1161,"SIM","NÃO")</f>
        <v>NÃO</v>
      </c>
    </row>
    <row r="1162" customFormat="false" ht="15" hidden="false" customHeight="false" outlineLevel="0" collapsed="false">
      <c r="A1162" s="59" t="n">
        <v>46251.8458101852</v>
      </c>
      <c r="B1162" s="60" t="s">
        <v>1468</v>
      </c>
      <c r="C1162" s="60" t="n">
        <v>24751000</v>
      </c>
      <c r="D1162" s="60" t="s">
        <v>47</v>
      </c>
      <c r="E1162" s="60" t="s">
        <v>23</v>
      </c>
      <c r="F1162" s="60" t="s">
        <v>236</v>
      </c>
      <c r="G1162" s="60" t="n">
        <v>52.3</v>
      </c>
      <c r="H1162" s="61" t="n">
        <v>637.3</v>
      </c>
      <c r="I1162" s="61" t="n">
        <v>70.98</v>
      </c>
      <c r="J1162" s="61" t="n">
        <f aca="false">H1162*Resumo!$C$6</f>
        <v>0</v>
      </c>
      <c r="K1162" s="61" t="n">
        <f aca="false">H1162*Resumo!$C$7</f>
        <v>1.33833</v>
      </c>
      <c r="L1162" s="61" t="n">
        <f aca="false">H1162*Resumo!$C$8</f>
        <v>1.33833</v>
      </c>
      <c r="M1162" s="61" t="n">
        <f aca="false">Resumo!$C$10*CEILING(G1162/100,1)</f>
        <v>1.05</v>
      </c>
      <c r="N1162" s="61" t="n">
        <f aca="false">Resumo!$C$9</f>
        <v>0</v>
      </c>
      <c r="O1162" s="61" t="n">
        <f aca="false">Resumo!$C$13</f>
        <v>13.55</v>
      </c>
      <c r="P1162" s="61" t="n">
        <f aca="false">Resumo!$C$14*CEILING(G1162,1)</f>
        <v>23.85</v>
      </c>
      <c r="Q1162" s="61" t="n">
        <f aca="false">SUM(I1162:P1162)*Resumo!$C$11</f>
        <v>0</v>
      </c>
      <c r="R1162" s="61" t="n">
        <f aca="false">SUM(I1162:Q1162)</f>
        <v>112.10666</v>
      </c>
      <c r="S1162" s="61" t="n">
        <f aca="false">R1162/(1-Resumo!$C$5)</f>
        <v>127.393931818182</v>
      </c>
      <c r="T1162" s="61" t="n">
        <v>128.14</v>
      </c>
      <c r="U1162" s="61" t="n">
        <f aca="false">H1162*Resumo!$B$6</f>
        <v>0.6373</v>
      </c>
      <c r="V1162" s="61" t="n">
        <f aca="false">H1162*Resumo!$B$7</f>
        <v>1.2746</v>
      </c>
      <c r="W1162" s="61" t="n">
        <f aca="false">Resumo!$B$9</f>
        <v>1</v>
      </c>
      <c r="X1162" s="61" t="n">
        <f aca="false">Resumo!$B$10*CEILING(G1162/100,1)</f>
        <v>4.5</v>
      </c>
      <c r="Y1162" s="61" t="n">
        <f aca="false">Resumo!$B$12*CEILING(G1162,1)</f>
        <v>3.18</v>
      </c>
      <c r="Z1162" s="61" t="n">
        <f aca="false">Resumo!$B$14*CEILING(G1162,1)</f>
        <v>23.85</v>
      </c>
      <c r="AA1162" s="61" t="n">
        <f aca="false">SUM(T1162:Z1162)</f>
        <v>162.5819</v>
      </c>
      <c r="AB1162" s="61" t="n">
        <f aca="false">AA1162/(1-Resumo!$B$5)</f>
        <v>184.752159090909</v>
      </c>
      <c r="AC1162" s="61" t="n">
        <f aca="false">AB1162-S1162</f>
        <v>57.3582272727273</v>
      </c>
      <c r="AD1162" s="62" t="n">
        <f aca="false">AB1162/S1162-1</f>
        <v>0.450243009648133</v>
      </c>
      <c r="AE1162" s="60" t="str">
        <f aca="false">IF(AB1162&lt;S1162,"SIM","NÃO")</f>
        <v>NÃO</v>
      </c>
      <c r="AF1162" s="60" t="n">
        <v>2</v>
      </c>
      <c r="AG1162" s="60" t="n">
        <v>7</v>
      </c>
      <c r="AH1162" s="60" t="s">
        <v>382</v>
      </c>
      <c r="AI1162" s="61" t="n">
        <f aca="false">(T1162*(1-Painel!$C$40)+U1162+V1162+Painel!$C$41+Painel!$C$42*CEILING(G1162/100,1)+Painel!$C$43*CEILING(G1162,1)+Z1162)/(1-Resumo!$B$5)</f>
        <v>129.165568181818</v>
      </c>
      <c r="AJ1162" s="60" t="str">
        <f aca="false">IF(AI1162&lt;S1162,"SIM","NÃO")</f>
        <v>NÃO</v>
      </c>
    </row>
    <row r="1163" customFormat="false" ht="15" hidden="false" customHeight="false" outlineLevel="0" collapsed="false">
      <c r="A1163" s="59" t="n">
        <v>46251.8638541667</v>
      </c>
      <c r="B1163" s="60" t="s">
        <v>1469</v>
      </c>
      <c r="C1163" s="60" t="n">
        <v>27240559</v>
      </c>
      <c r="D1163" s="60" t="s">
        <v>217</v>
      </c>
      <c r="E1163" s="60" t="s">
        <v>24</v>
      </c>
      <c r="F1163" s="60" t="s">
        <v>236</v>
      </c>
      <c r="G1163" s="60" t="n">
        <v>51.3</v>
      </c>
      <c r="H1163" s="61" t="n">
        <v>649.99</v>
      </c>
      <c r="I1163" s="61" t="n">
        <v>83.58</v>
      </c>
      <c r="J1163" s="61" t="n">
        <f aca="false">H1163*Resumo!$C$6</f>
        <v>0</v>
      </c>
      <c r="K1163" s="61" t="n">
        <f aca="false">H1163*Resumo!$C$7</f>
        <v>1.364979</v>
      </c>
      <c r="L1163" s="61" t="n">
        <f aca="false">H1163*Resumo!$C$8</f>
        <v>1.364979</v>
      </c>
      <c r="M1163" s="61" t="n">
        <f aca="false">Resumo!$C$10*CEILING(G1163/100,1)</f>
        <v>1.05</v>
      </c>
      <c r="N1163" s="61" t="n">
        <f aca="false">Resumo!$C$9</f>
        <v>0</v>
      </c>
      <c r="O1163" s="61" t="n">
        <f aca="false">Resumo!$C$13</f>
        <v>13.55</v>
      </c>
      <c r="P1163" s="61" t="n">
        <f aca="false">Resumo!$C$14*CEILING(G1163,1)</f>
        <v>23.4</v>
      </c>
      <c r="Q1163" s="61" t="n">
        <f aca="false">SUM(I1163:P1163)*Resumo!$C$11</f>
        <v>0</v>
      </c>
      <c r="R1163" s="61" t="n">
        <f aca="false">SUM(I1163:Q1163)</f>
        <v>124.309958</v>
      </c>
      <c r="S1163" s="61" t="n">
        <f aca="false">R1163/(1-Resumo!$C$5)</f>
        <v>141.261315909091</v>
      </c>
      <c r="T1163" s="61" t="n">
        <v>142.32</v>
      </c>
      <c r="U1163" s="61" t="n">
        <f aca="false">H1163*Resumo!$B$6</f>
        <v>0.64999</v>
      </c>
      <c r="V1163" s="61" t="n">
        <f aca="false">H1163*Resumo!$B$7</f>
        <v>1.29998</v>
      </c>
      <c r="W1163" s="61" t="n">
        <f aca="false">Resumo!$B$9</f>
        <v>1</v>
      </c>
      <c r="X1163" s="61" t="n">
        <f aca="false">Resumo!$B$10*CEILING(G1163/100,1)</f>
        <v>4.5</v>
      </c>
      <c r="Y1163" s="61" t="n">
        <f aca="false">Resumo!$B$12*CEILING(G1163,1)</f>
        <v>3.12</v>
      </c>
      <c r="Z1163" s="61" t="n">
        <f aca="false">Resumo!$B$14*CEILING(G1163,1)</f>
        <v>23.4</v>
      </c>
      <c r="AA1163" s="61" t="n">
        <f aca="false">SUM(T1163:Z1163)</f>
        <v>176.28997</v>
      </c>
      <c r="AB1163" s="61" t="n">
        <f aca="false">AA1163/(1-Resumo!$B$5)</f>
        <v>200.329511363636</v>
      </c>
      <c r="AC1163" s="61" t="n">
        <f aca="false">AB1163-S1163</f>
        <v>59.0681954545455</v>
      </c>
      <c r="AD1163" s="62" t="n">
        <f aca="false">AB1163/S1163-1</f>
        <v>0.418148415752823</v>
      </c>
      <c r="AE1163" s="60" t="str">
        <f aca="false">IF(AB1163&lt;S1163,"SIM","NÃO")</f>
        <v>NÃO</v>
      </c>
      <c r="AF1163" s="60" t="n">
        <v>13</v>
      </c>
      <c r="AG1163" s="60" t="n">
        <v>10</v>
      </c>
      <c r="AH1163" s="60" t="s">
        <v>382</v>
      </c>
      <c r="AI1163" s="61" t="n">
        <f aca="false">(T1163*(1-Painel!$C$40)+U1163+V1163+Painel!$C$41+Painel!$C$42*CEILING(G1163/100,1)+Painel!$C$43*CEILING(G1163,1)+Z1163)/(1-Resumo!$B$5)</f>
        <v>139.493602272727</v>
      </c>
      <c r="AJ1163" s="60" t="str">
        <f aca="false">IF(AI1163&lt;S1163,"SIM","NÃO")</f>
        <v>SIM</v>
      </c>
    </row>
    <row r="1164" customFormat="false" ht="15" hidden="false" customHeight="false" outlineLevel="0" collapsed="false">
      <c r="A1164" s="59" t="n">
        <v>46251.8667939815</v>
      </c>
      <c r="B1164" s="60" t="s">
        <v>1470</v>
      </c>
      <c r="C1164" s="60" t="n">
        <v>24934275</v>
      </c>
      <c r="D1164" s="60" t="s">
        <v>220</v>
      </c>
      <c r="E1164" s="60" t="s">
        <v>24</v>
      </c>
      <c r="F1164" s="60" t="s">
        <v>236</v>
      </c>
      <c r="G1164" s="60" t="n">
        <v>52.3</v>
      </c>
      <c r="H1164" s="61" t="n">
        <v>699.99</v>
      </c>
      <c r="I1164" s="61" t="n">
        <v>83.58</v>
      </c>
      <c r="J1164" s="61" t="n">
        <f aca="false">H1164*Resumo!$C$6</f>
        <v>0</v>
      </c>
      <c r="K1164" s="61" t="n">
        <f aca="false">H1164*Resumo!$C$7</f>
        <v>1.469979</v>
      </c>
      <c r="L1164" s="61" t="n">
        <f aca="false">H1164*Resumo!$C$8</f>
        <v>1.469979</v>
      </c>
      <c r="M1164" s="61" t="n">
        <f aca="false">Resumo!$C$10*CEILING(G1164/100,1)</f>
        <v>1.05</v>
      </c>
      <c r="N1164" s="61" t="n">
        <f aca="false">Resumo!$C$9</f>
        <v>0</v>
      </c>
      <c r="O1164" s="61" t="n">
        <f aca="false">Resumo!$C$13</f>
        <v>13.55</v>
      </c>
      <c r="P1164" s="61" t="n">
        <f aca="false">Resumo!$C$14*CEILING(G1164,1)</f>
        <v>23.85</v>
      </c>
      <c r="Q1164" s="61" t="n">
        <f aca="false">SUM(I1164:P1164)*Resumo!$C$11</f>
        <v>0</v>
      </c>
      <c r="R1164" s="61" t="n">
        <f aca="false">SUM(I1164:Q1164)</f>
        <v>124.969958</v>
      </c>
      <c r="S1164" s="61" t="n">
        <f aca="false">R1164/(1-Resumo!$C$5)</f>
        <v>142.011315909091</v>
      </c>
      <c r="T1164" s="61" t="n">
        <v>128.14</v>
      </c>
      <c r="U1164" s="61" t="n">
        <f aca="false">H1164*Resumo!$B$6</f>
        <v>0.69999</v>
      </c>
      <c r="V1164" s="61" t="n">
        <f aca="false">H1164*Resumo!$B$7</f>
        <v>1.39998</v>
      </c>
      <c r="W1164" s="61" t="n">
        <f aca="false">Resumo!$B$9</f>
        <v>1</v>
      </c>
      <c r="X1164" s="61" t="n">
        <f aca="false">Resumo!$B$10*CEILING(G1164/100,1)</f>
        <v>4.5</v>
      </c>
      <c r="Y1164" s="61" t="n">
        <f aca="false">Resumo!$B$12*CEILING(G1164,1)</f>
        <v>3.18</v>
      </c>
      <c r="Z1164" s="61" t="n">
        <f aca="false">Resumo!$B$14*CEILING(G1164,1)</f>
        <v>23.85</v>
      </c>
      <c r="AA1164" s="61" t="n">
        <f aca="false">SUM(T1164:Z1164)</f>
        <v>162.76997</v>
      </c>
      <c r="AB1164" s="61" t="n">
        <f aca="false">AA1164/(1-Resumo!$B$5)</f>
        <v>184.965875</v>
      </c>
      <c r="AC1164" s="61" t="n">
        <f aca="false">AB1164-S1164</f>
        <v>42.954559090909</v>
      </c>
      <c r="AD1164" s="62" t="n">
        <f aca="false">AB1164/S1164-1</f>
        <v>0.302472791100722</v>
      </c>
      <c r="AE1164" s="60" t="str">
        <f aca="false">IF(AB1164&lt;S1164,"SIM","NÃO")</f>
        <v>NÃO</v>
      </c>
      <c r="AF1164" s="60" t="n">
        <v>13</v>
      </c>
      <c r="AG1164" s="60" t="n">
        <v>7</v>
      </c>
      <c r="AH1164" s="60" t="s">
        <v>382</v>
      </c>
      <c r="AI1164" s="61" t="n">
        <f aca="false">(T1164*(1-Painel!$C$40)+U1164+V1164+Painel!$C$41+Painel!$C$42*CEILING(G1164/100,1)+Painel!$C$43*CEILING(G1164,1)+Z1164)/(1-Resumo!$B$5)</f>
        <v>129.379284090909</v>
      </c>
      <c r="AJ1164" s="60" t="str">
        <f aca="false">IF(AI1164&lt;S1164,"SIM","NÃO")</f>
        <v>SIM</v>
      </c>
    </row>
    <row r="1165" customFormat="false" ht="15" hidden="false" customHeight="false" outlineLevel="0" collapsed="false">
      <c r="A1165" s="59" t="n">
        <v>46251.8783564815</v>
      </c>
      <c r="B1165" s="60" t="s">
        <v>1471</v>
      </c>
      <c r="C1165" s="60" t="n">
        <v>21875240</v>
      </c>
      <c r="D1165" s="60" t="s">
        <v>46</v>
      </c>
      <c r="E1165" s="60" t="s">
        <v>22</v>
      </c>
      <c r="F1165" s="60" t="s">
        <v>235</v>
      </c>
      <c r="G1165" s="60" t="n">
        <v>46.8</v>
      </c>
      <c r="H1165" s="61" t="n">
        <v>506.56</v>
      </c>
      <c r="I1165" s="61" t="n">
        <v>53.55</v>
      </c>
      <c r="J1165" s="61" t="n">
        <f aca="false">H1165*Resumo!$C$6</f>
        <v>0</v>
      </c>
      <c r="K1165" s="61" t="n">
        <f aca="false">H1165*Resumo!$C$7</f>
        <v>1.063776</v>
      </c>
      <c r="L1165" s="61" t="n">
        <f aca="false">H1165*Resumo!$C$8</f>
        <v>1.063776</v>
      </c>
      <c r="M1165" s="61" t="n">
        <f aca="false">Resumo!$C$10*CEILING(G1165/100,1)</f>
        <v>1.05</v>
      </c>
      <c r="N1165" s="61" t="n">
        <f aca="false">Resumo!$C$9</f>
        <v>0</v>
      </c>
      <c r="O1165" s="61" t="n">
        <f aca="false">Resumo!$C$13</f>
        <v>13.55</v>
      </c>
      <c r="P1165" s="61" t="n">
        <f aca="false">Resumo!$C$14*CEILING(G1165,1)</f>
        <v>21.15</v>
      </c>
      <c r="Q1165" s="61" t="n">
        <f aca="false">SUM(I1165:P1165)*Resumo!$C$11</f>
        <v>0</v>
      </c>
      <c r="R1165" s="61" t="n">
        <f aca="false">SUM(I1165:Q1165)</f>
        <v>91.427552</v>
      </c>
      <c r="S1165" s="61" t="n">
        <f aca="false">R1165/(1-Resumo!$C$5)</f>
        <v>103.894945454545</v>
      </c>
      <c r="T1165" s="61" t="n">
        <v>93.97</v>
      </c>
      <c r="U1165" s="61" t="n">
        <f aca="false">H1165*Resumo!$B$6</f>
        <v>0.50656</v>
      </c>
      <c r="V1165" s="61" t="n">
        <f aca="false">H1165*Resumo!$B$7</f>
        <v>1.01312</v>
      </c>
      <c r="W1165" s="61" t="n">
        <f aca="false">Resumo!$B$9</f>
        <v>1</v>
      </c>
      <c r="X1165" s="61" t="n">
        <f aca="false">Resumo!$B$10*CEILING(G1165/100,1)</f>
        <v>4.5</v>
      </c>
      <c r="Y1165" s="61" t="n">
        <f aca="false">Resumo!$B$12*CEILING(G1165,1)</f>
        <v>2.82</v>
      </c>
      <c r="Z1165" s="61" t="n">
        <f aca="false">Resumo!$B$14*CEILING(G1165,1)</f>
        <v>21.15</v>
      </c>
      <c r="AA1165" s="61" t="n">
        <f aca="false">SUM(T1165:Z1165)</f>
        <v>124.95968</v>
      </c>
      <c r="AB1165" s="61" t="n">
        <f aca="false">AA1165/(1-Resumo!$B$5)</f>
        <v>141.999636363636</v>
      </c>
      <c r="AC1165" s="61" t="n">
        <f aca="false">AB1165-S1165</f>
        <v>38.1046909090909</v>
      </c>
      <c r="AD1165" s="62" t="n">
        <f aca="false">AB1165/S1165-1</f>
        <v>0.366761739393394</v>
      </c>
      <c r="AE1165" s="60" t="str">
        <f aca="false">IF(AB1165&lt;S1165,"SIM","NÃO")</f>
        <v>NÃO</v>
      </c>
      <c r="AF1165" s="60" t="n">
        <v>2</v>
      </c>
      <c r="AG1165" s="60" t="n">
        <v>5</v>
      </c>
      <c r="AH1165" s="60" t="s">
        <v>382</v>
      </c>
      <c r="AI1165" s="61" t="n">
        <f aca="false">(T1165*(1-Painel!$C$40)+U1165+V1165+Painel!$C$41+Painel!$C$42*CEILING(G1165/100,1)+Painel!$C$43*CEILING(G1165,1)+Z1165)/(1-Resumo!$B$5)</f>
        <v>99.6358863636364</v>
      </c>
      <c r="AJ1165" s="60" t="str">
        <f aca="false">IF(AI1165&lt;S1165,"SIM","NÃO")</f>
        <v>SIM</v>
      </c>
    </row>
    <row r="1166" customFormat="false" ht="15" hidden="false" customHeight="false" outlineLevel="0" collapsed="false">
      <c r="A1166" s="59" t="n">
        <v>46251.8824652778</v>
      </c>
      <c r="B1166" s="60" t="s">
        <v>1472</v>
      </c>
      <c r="C1166" s="60" t="n">
        <v>25268376</v>
      </c>
      <c r="D1166" s="60" t="s">
        <v>48</v>
      </c>
      <c r="E1166" s="60" t="s">
        <v>23</v>
      </c>
      <c r="F1166" s="60" t="s">
        <v>237</v>
      </c>
      <c r="G1166" s="60" t="n">
        <v>66.8</v>
      </c>
      <c r="H1166" s="61" t="n">
        <v>719.99</v>
      </c>
      <c r="I1166" s="61" t="n">
        <v>76.55</v>
      </c>
      <c r="J1166" s="61" t="n">
        <f aca="false">H1166*Resumo!$C$6</f>
        <v>0</v>
      </c>
      <c r="K1166" s="61" t="n">
        <f aca="false">H1166*Resumo!$C$7</f>
        <v>1.511979</v>
      </c>
      <c r="L1166" s="61" t="n">
        <f aca="false">H1166*Resumo!$C$8</f>
        <v>1.511979</v>
      </c>
      <c r="M1166" s="61" t="n">
        <f aca="false">Resumo!$C$10*CEILING(G1166/100,1)</f>
        <v>1.05</v>
      </c>
      <c r="N1166" s="61" t="n">
        <f aca="false">Resumo!$C$9</f>
        <v>0</v>
      </c>
      <c r="O1166" s="61" t="n">
        <f aca="false">Resumo!$C$13</f>
        <v>13.55</v>
      </c>
      <c r="P1166" s="61" t="n">
        <f aca="false">Resumo!$C$14*CEILING(G1166,1)</f>
        <v>30.15</v>
      </c>
      <c r="Q1166" s="61" t="n">
        <f aca="false">SUM(I1166:P1166)*Resumo!$C$11</f>
        <v>0</v>
      </c>
      <c r="R1166" s="61" t="n">
        <f aca="false">SUM(I1166:Q1166)</f>
        <v>124.323958</v>
      </c>
      <c r="S1166" s="61" t="n">
        <f aca="false">R1166/(1-Resumo!$C$5)</f>
        <v>141.277225</v>
      </c>
      <c r="T1166" s="61" t="n">
        <v>131.02</v>
      </c>
      <c r="U1166" s="61" t="n">
        <f aca="false">H1166*Resumo!$B$6</f>
        <v>0.71999</v>
      </c>
      <c r="V1166" s="61" t="n">
        <f aca="false">H1166*Resumo!$B$7</f>
        <v>1.43998</v>
      </c>
      <c r="W1166" s="61" t="n">
        <f aca="false">Resumo!$B$9</f>
        <v>1</v>
      </c>
      <c r="X1166" s="61" t="n">
        <f aca="false">Resumo!$B$10*CEILING(G1166/100,1)</f>
        <v>4.5</v>
      </c>
      <c r="Y1166" s="61" t="n">
        <f aca="false">Resumo!$B$12*CEILING(G1166,1)</f>
        <v>4.02</v>
      </c>
      <c r="Z1166" s="61" t="n">
        <f aca="false">Resumo!$B$14*CEILING(G1166,1)</f>
        <v>30.15</v>
      </c>
      <c r="AA1166" s="61" t="n">
        <f aca="false">SUM(T1166:Z1166)</f>
        <v>172.84997</v>
      </c>
      <c r="AB1166" s="61" t="n">
        <f aca="false">AA1166/(1-Resumo!$B$5)</f>
        <v>196.420420454545</v>
      </c>
      <c r="AC1166" s="61" t="n">
        <f aca="false">AB1166-S1166</f>
        <v>55.1431954545455</v>
      </c>
      <c r="AD1166" s="62" t="n">
        <f aca="false">AB1166/S1166-1</f>
        <v>0.390319072692328</v>
      </c>
      <c r="AE1166" s="60" t="str">
        <f aca="false">IF(AB1166&lt;S1166,"SIM","NÃO")</f>
        <v>NÃO</v>
      </c>
      <c r="AF1166" s="60" t="n">
        <v>2</v>
      </c>
      <c r="AG1166" s="60" t="n">
        <v>5</v>
      </c>
      <c r="AH1166" s="60" t="s">
        <v>382</v>
      </c>
      <c r="AI1166" s="61" t="n">
        <f aca="false">(T1166*(1-Painel!$C$40)+U1166+V1166+Painel!$C$41+Painel!$C$42*CEILING(G1166/100,1)+Painel!$C$43*CEILING(G1166,1)+Z1166)/(1-Resumo!$B$5)</f>
        <v>138.799284090909</v>
      </c>
      <c r="AJ1166" s="60" t="str">
        <f aca="false">IF(AI1166&lt;S1166,"SIM","NÃO")</f>
        <v>SIM</v>
      </c>
    </row>
    <row r="1167" customFormat="false" ht="15" hidden="false" customHeight="false" outlineLevel="0" collapsed="false">
      <c r="A1167" s="59" t="n">
        <v>46251.8836111111</v>
      </c>
      <c r="B1167" s="60" t="s">
        <v>1473</v>
      </c>
      <c r="C1167" s="60" t="n">
        <v>25268370</v>
      </c>
      <c r="D1167" s="60" t="s">
        <v>48</v>
      </c>
      <c r="E1167" s="60" t="s">
        <v>23</v>
      </c>
      <c r="F1167" s="60" t="s">
        <v>236</v>
      </c>
      <c r="G1167" s="60" t="n">
        <v>56.7</v>
      </c>
      <c r="H1167" s="61" t="n">
        <v>673.1</v>
      </c>
      <c r="I1167" s="61" t="n">
        <v>70.98</v>
      </c>
      <c r="J1167" s="61" t="n">
        <f aca="false">H1167*Resumo!$C$6</f>
        <v>0</v>
      </c>
      <c r="K1167" s="61" t="n">
        <f aca="false">H1167*Resumo!$C$7</f>
        <v>1.41351</v>
      </c>
      <c r="L1167" s="61" t="n">
        <f aca="false">H1167*Resumo!$C$8</f>
        <v>1.41351</v>
      </c>
      <c r="M1167" s="61" t="n">
        <f aca="false">Resumo!$C$10*CEILING(G1167/100,1)</f>
        <v>1.05</v>
      </c>
      <c r="N1167" s="61" t="n">
        <f aca="false">Resumo!$C$9</f>
        <v>0</v>
      </c>
      <c r="O1167" s="61" t="n">
        <f aca="false">Resumo!$C$13</f>
        <v>13.55</v>
      </c>
      <c r="P1167" s="61" t="n">
        <f aca="false">Resumo!$C$14*CEILING(G1167,1)</f>
        <v>25.65</v>
      </c>
      <c r="Q1167" s="61" t="n">
        <f aca="false">SUM(I1167:P1167)*Resumo!$C$11</f>
        <v>0</v>
      </c>
      <c r="R1167" s="61" t="n">
        <f aca="false">SUM(I1167:Q1167)</f>
        <v>114.05702</v>
      </c>
      <c r="S1167" s="61" t="n">
        <f aca="false">R1167/(1-Resumo!$C$5)</f>
        <v>129.61025</v>
      </c>
      <c r="T1167" s="61" t="n">
        <v>112.3</v>
      </c>
      <c r="U1167" s="61" t="n">
        <f aca="false">H1167*Resumo!$B$6</f>
        <v>0.6731</v>
      </c>
      <c r="V1167" s="61" t="n">
        <f aca="false">H1167*Resumo!$B$7</f>
        <v>1.3462</v>
      </c>
      <c r="W1167" s="61" t="n">
        <f aca="false">Resumo!$B$9</f>
        <v>1</v>
      </c>
      <c r="X1167" s="61" t="n">
        <f aca="false">Resumo!$B$10*CEILING(G1167/100,1)</f>
        <v>4.5</v>
      </c>
      <c r="Y1167" s="61" t="n">
        <f aca="false">Resumo!$B$12*CEILING(G1167,1)</f>
        <v>3.42</v>
      </c>
      <c r="Z1167" s="61" t="n">
        <f aca="false">Resumo!$B$14*CEILING(G1167,1)</f>
        <v>25.65</v>
      </c>
      <c r="AA1167" s="61" t="n">
        <f aca="false">SUM(T1167:Z1167)</f>
        <v>148.8893</v>
      </c>
      <c r="AB1167" s="61" t="n">
        <f aca="false">AA1167/(1-Resumo!$B$5)</f>
        <v>169.192386363636</v>
      </c>
      <c r="AC1167" s="61" t="n">
        <f aca="false">AB1167-S1167</f>
        <v>39.5821363636364</v>
      </c>
      <c r="AD1167" s="62" t="n">
        <f aca="false">AB1167/S1167-1</f>
        <v>0.305393565428941</v>
      </c>
      <c r="AE1167" s="60" t="str">
        <f aca="false">IF(AB1167&lt;S1167,"SIM","NÃO")</f>
        <v>NÃO</v>
      </c>
      <c r="AF1167" s="60" t="n">
        <v>2</v>
      </c>
      <c r="AG1167" s="60" t="n">
        <v>5</v>
      </c>
      <c r="AH1167" s="60" t="s">
        <v>382</v>
      </c>
      <c r="AI1167" s="61" t="n">
        <f aca="false">(T1167*(1-Painel!$C$40)+U1167+V1167+Painel!$C$41+Painel!$C$42*CEILING(G1167/100,1)+Painel!$C$43*CEILING(G1167,1)+Z1167)/(1-Resumo!$B$5)</f>
        <v>119.273068181818</v>
      </c>
      <c r="AJ1167" s="60" t="str">
        <f aca="false">IF(AI1167&lt;S1167,"SIM","NÃO")</f>
        <v>SIM</v>
      </c>
    </row>
    <row r="1168" customFormat="false" ht="15" hidden="false" customHeight="false" outlineLevel="0" collapsed="false">
      <c r="A1168" s="59" t="n">
        <v>46251.9265277778</v>
      </c>
      <c r="B1168" s="60" t="s">
        <v>1474</v>
      </c>
      <c r="C1168" s="60" t="n">
        <v>22451264</v>
      </c>
      <c r="D1168" s="60" t="s">
        <v>46</v>
      </c>
      <c r="E1168" s="60" t="s">
        <v>22</v>
      </c>
      <c r="F1168" s="60" t="s">
        <v>237</v>
      </c>
      <c r="G1168" s="60" t="n">
        <v>66.8</v>
      </c>
      <c r="H1168" s="61" t="n">
        <v>592</v>
      </c>
      <c r="I1168" s="61" t="n">
        <v>63.21</v>
      </c>
      <c r="J1168" s="61" t="n">
        <f aca="false">H1168*Resumo!$C$6</f>
        <v>0</v>
      </c>
      <c r="K1168" s="61" t="n">
        <f aca="false">H1168*Resumo!$C$7</f>
        <v>1.2432</v>
      </c>
      <c r="L1168" s="61" t="n">
        <f aca="false">H1168*Resumo!$C$8</f>
        <v>1.2432</v>
      </c>
      <c r="M1168" s="61" t="n">
        <f aca="false">Resumo!$C$10*CEILING(G1168/100,1)</f>
        <v>1.05</v>
      </c>
      <c r="N1168" s="61" t="n">
        <f aca="false">Resumo!$C$9</f>
        <v>0</v>
      </c>
      <c r="O1168" s="61" t="n">
        <f aca="false">Resumo!$C$13</f>
        <v>13.55</v>
      </c>
      <c r="P1168" s="61" t="n">
        <f aca="false">Resumo!$C$14*CEILING(G1168,1)</f>
        <v>30.15</v>
      </c>
      <c r="Q1168" s="61" t="n">
        <f aca="false">SUM(I1168:P1168)*Resumo!$C$11</f>
        <v>0</v>
      </c>
      <c r="R1168" s="61" t="n">
        <f aca="false">SUM(I1168:Q1168)</f>
        <v>110.4464</v>
      </c>
      <c r="S1168" s="61" t="n">
        <f aca="false">R1168/(1-Resumo!$C$5)</f>
        <v>125.507272727273</v>
      </c>
      <c r="T1168" s="61" t="n">
        <v>131.02</v>
      </c>
      <c r="U1168" s="61" t="n">
        <f aca="false">H1168*Resumo!$B$6</f>
        <v>0.592</v>
      </c>
      <c r="V1168" s="61" t="n">
        <f aca="false">H1168*Resumo!$B$7</f>
        <v>1.184</v>
      </c>
      <c r="W1168" s="61" t="n">
        <f aca="false">Resumo!$B$9</f>
        <v>1</v>
      </c>
      <c r="X1168" s="61" t="n">
        <f aca="false">Resumo!$B$10*CEILING(G1168/100,1)</f>
        <v>4.5</v>
      </c>
      <c r="Y1168" s="61" t="n">
        <f aca="false">Resumo!$B$12*CEILING(G1168,1)</f>
        <v>4.02</v>
      </c>
      <c r="Z1168" s="61" t="n">
        <f aca="false">Resumo!$B$14*CEILING(G1168,1)</f>
        <v>30.15</v>
      </c>
      <c r="AA1168" s="61" t="n">
        <f aca="false">SUM(T1168:Z1168)</f>
        <v>172.466</v>
      </c>
      <c r="AB1168" s="61" t="n">
        <f aca="false">AA1168/(1-Resumo!$B$5)</f>
        <v>195.984090909091</v>
      </c>
      <c r="AC1168" s="61" t="n">
        <f aca="false">AB1168-S1168</f>
        <v>70.4768181818182</v>
      </c>
      <c r="AD1168" s="62" t="n">
        <f aca="false">AB1168/S1168-1</f>
        <v>0.561535731359284</v>
      </c>
      <c r="AE1168" s="60" t="str">
        <f aca="false">IF(AB1168&lt;S1168,"SIM","NÃO")</f>
        <v>NÃO</v>
      </c>
      <c r="AF1168" s="60" t="n">
        <v>2</v>
      </c>
      <c r="AG1168" s="60" t="n">
        <v>5</v>
      </c>
      <c r="AH1168" s="60" t="s">
        <v>382</v>
      </c>
      <c r="AI1168" s="61" t="n">
        <f aca="false">(T1168*(1-Painel!$C$40)+U1168+V1168+Painel!$C$41+Painel!$C$42*CEILING(G1168/100,1)+Painel!$C$43*CEILING(G1168,1)+Z1168)/(1-Resumo!$B$5)</f>
        <v>138.362954545455</v>
      </c>
      <c r="AJ1168" s="60" t="str">
        <f aca="false">IF(AI1168&lt;S1168,"SIM","NÃO")</f>
        <v>NÃO</v>
      </c>
    </row>
    <row r="1169" customFormat="false" ht="15" hidden="false" customHeight="false" outlineLevel="0" collapsed="false">
      <c r="A1169" s="59" t="n">
        <v>46251.9455208333</v>
      </c>
      <c r="B1169" s="60" t="s">
        <v>1475</v>
      </c>
      <c r="C1169" s="60" t="n">
        <v>21720140</v>
      </c>
      <c r="D1169" s="60" t="s">
        <v>46</v>
      </c>
      <c r="E1169" s="60" t="s">
        <v>22</v>
      </c>
      <c r="F1169" s="60" t="s">
        <v>241</v>
      </c>
      <c r="G1169" s="60" t="n">
        <v>134.4</v>
      </c>
      <c r="H1169" s="61" t="n">
        <v>1632.55</v>
      </c>
      <c r="I1169" s="61" t="n">
        <v>120.59</v>
      </c>
      <c r="J1169" s="61" t="n">
        <f aca="false">H1169*Resumo!$C$6</f>
        <v>0</v>
      </c>
      <c r="K1169" s="61" t="n">
        <f aca="false">H1169*Resumo!$C$7</f>
        <v>3.428355</v>
      </c>
      <c r="L1169" s="61" t="n">
        <f aca="false">H1169*Resumo!$C$8</f>
        <v>3.428355</v>
      </c>
      <c r="M1169" s="61" t="n">
        <f aca="false">Resumo!$C$10*CEILING(G1169/100,1)</f>
        <v>2.1</v>
      </c>
      <c r="N1169" s="61" t="n">
        <f aca="false">Resumo!$C$9</f>
        <v>0</v>
      </c>
      <c r="O1169" s="61" t="n">
        <f aca="false">Resumo!$C$13</f>
        <v>13.55</v>
      </c>
      <c r="P1169" s="61" t="n">
        <f aca="false">Resumo!$C$14*CEILING(G1169,1)</f>
        <v>60.75</v>
      </c>
      <c r="Q1169" s="61" t="n">
        <f aca="false">SUM(I1169:P1169)*Resumo!$C$11</f>
        <v>0</v>
      </c>
      <c r="R1169" s="61" t="n">
        <f aca="false">SUM(I1169:Q1169)</f>
        <v>203.84671</v>
      </c>
      <c r="S1169" s="61" t="n">
        <f aca="false">R1169/(1-Resumo!$C$5)</f>
        <v>231.643988636364</v>
      </c>
      <c r="T1169" s="61" t="n">
        <v>239.25</v>
      </c>
      <c r="U1169" s="61" t="n">
        <f aca="false">H1169*Resumo!$B$6</f>
        <v>1.63255</v>
      </c>
      <c r="V1169" s="61" t="n">
        <f aca="false">H1169*Resumo!$B$7</f>
        <v>3.2651</v>
      </c>
      <c r="W1169" s="61" t="n">
        <f aca="false">Resumo!$B$9</f>
        <v>1</v>
      </c>
      <c r="X1169" s="61" t="n">
        <f aca="false">Resumo!$B$10*CEILING(G1169/100,1)</f>
        <v>9</v>
      </c>
      <c r="Y1169" s="61" t="n">
        <f aca="false">Resumo!$B$12*CEILING(G1169,1)</f>
        <v>8.1</v>
      </c>
      <c r="Z1169" s="61" t="n">
        <f aca="false">Resumo!$B$14*CEILING(G1169,1)</f>
        <v>60.75</v>
      </c>
      <c r="AA1169" s="61" t="n">
        <f aca="false">SUM(T1169:Z1169)</f>
        <v>322.99765</v>
      </c>
      <c r="AB1169" s="61" t="n">
        <f aca="false">AA1169/(1-Resumo!$B$5)</f>
        <v>367.042784090909</v>
      </c>
      <c r="AC1169" s="61" t="n">
        <f aca="false">AB1169-S1169</f>
        <v>135.398795454545</v>
      </c>
      <c r="AD1169" s="62" t="n">
        <f aca="false">AB1169/S1169-1</f>
        <v>0.584512450556597</v>
      </c>
      <c r="AE1169" s="60" t="str">
        <f aca="false">IF(AB1169&lt;S1169,"SIM","NÃO")</f>
        <v>NÃO</v>
      </c>
      <c r="AF1169" s="60" t="n">
        <v>2</v>
      </c>
      <c r="AG1169" s="60" t="n">
        <v>5</v>
      </c>
      <c r="AH1169" s="60" t="s">
        <v>382</v>
      </c>
      <c r="AI1169" s="61" t="n">
        <f aca="false">(T1169*(1-Painel!$C$40)+U1169+V1169+Painel!$C$41+Painel!$C$42*CEILING(G1169/100,1)+Painel!$C$43*CEILING(G1169,1)+Z1169)/(1-Resumo!$B$5)</f>
        <v>260.278579545455</v>
      </c>
      <c r="AJ1169" s="60" t="str">
        <f aca="false">IF(AI1169&lt;S1169,"SIM","NÃO")</f>
        <v>NÃO</v>
      </c>
    </row>
    <row r="1170" customFormat="false" ht="15" hidden="false" customHeight="false" outlineLevel="0" collapsed="false">
      <c r="A1170" s="59" t="n">
        <v>46251.9557523148</v>
      </c>
      <c r="B1170" s="60" t="s">
        <v>1476</v>
      </c>
      <c r="C1170" s="60" t="n">
        <v>23936170</v>
      </c>
      <c r="D1170" s="60" t="s">
        <v>218</v>
      </c>
      <c r="E1170" s="60" t="s">
        <v>24</v>
      </c>
      <c r="F1170" s="60" t="s">
        <v>235</v>
      </c>
      <c r="G1170" s="60" t="n">
        <v>44.6</v>
      </c>
      <c r="H1170" s="61" t="n">
        <v>579.99</v>
      </c>
      <c r="I1170" s="61" t="n">
        <v>77.7</v>
      </c>
      <c r="J1170" s="61" t="n">
        <f aca="false">H1170*Resumo!$C$6</f>
        <v>0</v>
      </c>
      <c r="K1170" s="61" t="n">
        <f aca="false">H1170*Resumo!$C$7</f>
        <v>1.217979</v>
      </c>
      <c r="L1170" s="61" t="n">
        <f aca="false">H1170*Resumo!$C$8</f>
        <v>1.217979</v>
      </c>
      <c r="M1170" s="61" t="n">
        <f aca="false">Resumo!$C$10*CEILING(G1170/100,1)</f>
        <v>1.05</v>
      </c>
      <c r="N1170" s="61" t="n">
        <f aca="false">Resumo!$C$9</f>
        <v>0</v>
      </c>
      <c r="O1170" s="61" t="n">
        <f aca="false">Resumo!$C$13</f>
        <v>13.55</v>
      </c>
      <c r="P1170" s="61" t="n">
        <f aca="false">Resumo!$C$14*CEILING(G1170,1)</f>
        <v>20.25</v>
      </c>
      <c r="Q1170" s="61" t="n">
        <f aca="false">SUM(I1170:P1170)*Resumo!$C$11</f>
        <v>0</v>
      </c>
      <c r="R1170" s="61" t="n">
        <f aca="false">SUM(I1170:Q1170)</f>
        <v>114.985958</v>
      </c>
      <c r="S1170" s="61" t="n">
        <f aca="false">R1170/(1-Resumo!$C$5)</f>
        <v>130.665861363636</v>
      </c>
      <c r="T1170" s="61" t="n">
        <v>124.38</v>
      </c>
      <c r="U1170" s="61" t="n">
        <f aca="false">H1170*Resumo!$B$6</f>
        <v>0.57999</v>
      </c>
      <c r="V1170" s="61" t="n">
        <f aca="false">H1170*Resumo!$B$7</f>
        <v>1.15998</v>
      </c>
      <c r="W1170" s="61" t="n">
        <f aca="false">Resumo!$B$9</f>
        <v>1</v>
      </c>
      <c r="X1170" s="61" t="n">
        <f aca="false">Resumo!$B$10*CEILING(G1170/100,1)</f>
        <v>4.5</v>
      </c>
      <c r="Y1170" s="61" t="n">
        <f aca="false">Resumo!$B$12*CEILING(G1170,1)</f>
        <v>2.7</v>
      </c>
      <c r="Z1170" s="61" t="n">
        <f aca="false">Resumo!$B$14*CEILING(G1170,1)</f>
        <v>20.25</v>
      </c>
      <c r="AA1170" s="61" t="n">
        <f aca="false">SUM(T1170:Z1170)</f>
        <v>154.56997</v>
      </c>
      <c r="AB1170" s="61" t="n">
        <f aca="false">AA1170/(1-Resumo!$B$5)</f>
        <v>175.647693181818</v>
      </c>
      <c r="AC1170" s="61" t="n">
        <f aca="false">AB1170-S1170</f>
        <v>44.9818318181818</v>
      </c>
      <c r="AD1170" s="62" t="n">
        <f aca="false">AB1170/S1170-1</f>
        <v>0.344250834523638</v>
      </c>
      <c r="AE1170" s="60" t="str">
        <f aca="false">IF(AB1170&lt;S1170,"SIM","NÃO")</f>
        <v>NÃO</v>
      </c>
      <c r="AF1170" s="60" t="n">
        <v>13</v>
      </c>
      <c r="AG1170" s="60" t="n">
        <v>10</v>
      </c>
      <c r="AH1170" s="60" t="s">
        <v>382</v>
      </c>
      <c r="AI1170" s="61" t="n">
        <f aca="false">(T1170*(1-Painel!$C$40)+U1170+V1170+Painel!$C$41+Painel!$C$42*CEILING(G1170/100,1)+Painel!$C$43*CEILING(G1170,1)+Z1170)/(1-Resumo!$B$5)</f>
        <v>122.016556818182</v>
      </c>
      <c r="AJ1170" s="60" t="str">
        <f aca="false">IF(AI1170&lt;S1170,"SIM","NÃO")</f>
        <v>SIM</v>
      </c>
    </row>
    <row r="1171" customFormat="false" ht="15" hidden="false" customHeight="false" outlineLevel="0" collapsed="false">
      <c r="A1171" s="59" t="n">
        <v>46251.9904166667</v>
      </c>
      <c r="B1171" s="60" t="s">
        <v>1477</v>
      </c>
      <c r="C1171" s="60" t="n">
        <v>26115729</v>
      </c>
      <c r="D1171" s="60" t="s">
        <v>52</v>
      </c>
      <c r="E1171" s="60" t="s">
        <v>23</v>
      </c>
      <c r="F1171" s="60" t="s">
        <v>240</v>
      </c>
      <c r="G1171" s="60" t="n">
        <v>109.7</v>
      </c>
      <c r="H1171" s="61" t="n">
        <v>1091</v>
      </c>
      <c r="I1171" s="61" t="n">
        <v>101.26</v>
      </c>
      <c r="J1171" s="61" t="n">
        <f aca="false">H1171*Resumo!$C$6</f>
        <v>0</v>
      </c>
      <c r="K1171" s="61" t="n">
        <f aca="false">H1171*Resumo!$C$7</f>
        <v>2.2911</v>
      </c>
      <c r="L1171" s="61" t="n">
        <f aca="false">H1171*Resumo!$C$8</f>
        <v>2.2911</v>
      </c>
      <c r="M1171" s="61" t="n">
        <f aca="false">Resumo!$C$10*CEILING(G1171/100,1)</f>
        <v>2.1</v>
      </c>
      <c r="N1171" s="61" t="n">
        <f aca="false">Resumo!$C$9</f>
        <v>0</v>
      </c>
      <c r="O1171" s="61" t="n">
        <f aca="false">Resumo!$C$13</f>
        <v>13.55</v>
      </c>
      <c r="P1171" s="61" t="n">
        <f aca="false">Resumo!$C$14*CEILING(G1171,1)</f>
        <v>49.5</v>
      </c>
      <c r="Q1171" s="61" t="n">
        <f aca="false">SUM(I1171:P1171)*Resumo!$C$11</f>
        <v>0</v>
      </c>
      <c r="R1171" s="61" t="n">
        <f aca="false">SUM(I1171:Q1171)</f>
        <v>170.9922</v>
      </c>
      <c r="S1171" s="61" t="n">
        <f aca="false">R1171/(1-Resumo!$C$5)</f>
        <v>194.309318181818</v>
      </c>
      <c r="T1171" s="61" t="n">
        <v>201.59</v>
      </c>
      <c r="U1171" s="61" t="n">
        <f aca="false">H1171*Resumo!$B$6</f>
        <v>1.091</v>
      </c>
      <c r="V1171" s="61" t="n">
        <f aca="false">H1171*Resumo!$B$7</f>
        <v>2.182</v>
      </c>
      <c r="W1171" s="61" t="n">
        <f aca="false">Resumo!$B$9</f>
        <v>1</v>
      </c>
      <c r="X1171" s="61" t="n">
        <f aca="false">Resumo!$B$10*CEILING(G1171/100,1)</f>
        <v>9</v>
      </c>
      <c r="Y1171" s="61" t="n">
        <f aca="false">Resumo!$B$12*CEILING(G1171,1)</f>
        <v>6.6</v>
      </c>
      <c r="Z1171" s="61" t="n">
        <f aca="false">Resumo!$B$14*CEILING(G1171,1)</f>
        <v>49.5</v>
      </c>
      <c r="AA1171" s="61" t="n">
        <f aca="false">SUM(T1171:Z1171)</f>
        <v>270.963</v>
      </c>
      <c r="AB1171" s="61" t="n">
        <f aca="false">AA1171/(1-Resumo!$B$5)</f>
        <v>307.9125</v>
      </c>
      <c r="AC1171" s="61" t="n">
        <f aca="false">AB1171-S1171</f>
        <v>113.603181818182</v>
      </c>
      <c r="AD1171" s="62" t="n">
        <f aca="false">AB1171/S1171-1</f>
        <v>0.584651229705214</v>
      </c>
      <c r="AE1171" s="60" t="str">
        <f aca="false">IF(AB1171&lt;S1171,"SIM","NÃO")</f>
        <v>NÃO</v>
      </c>
      <c r="AF1171" s="60" t="n">
        <v>2</v>
      </c>
      <c r="AG1171" s="60" t="n">
        <v>5</v>
      </c>
      <c r="AH1171" s="60" t="s">
        <v>382</v>
      </c>
      <c r="AI1171" s="61" t="n">
        <f aca="false">(T1171*(1-Painel!$C$40)+U1171+V1171+Painel!$C$41+Painel!$C$42*CEILING(G1171/100,1)+Painel!$C$43*CEILING(G1171,1)+Z1171)/(1-Resumo!$B$5)</f>
        <v>216.975340909091</v>
      </c>
      <c r="AJ1171" s="60" t="str">
        <f aca="false">IF(AI1171&lt;S1171,"SIM","NÃO")</f>
        <v>NÃO</v>
      </c>
    </row>
    <row r="1172" customFormat="false" ht="15" hidden="false" customHeight="false" outlineLevel="0" collapsed="false">
      <c r="A1172" s="59" t="n">
        <v>46252.0706597222</v>
      </c>
      <c r="B1172" s="60" t="s">
        <v>1478</v>
      </c>
      <c r="C1172" s="60" t="n">
        <v>23070221</v>
      </c>
      <c r="D1172" s="60" t="s">
        <v>46</v>
      </c>
      <c r="E1172" s="60" t="s">
        <v>22</v>
      </c>
      <c r="F1172" s="60" t="s">
        <v>236</v>
      </c>
      <c r="G1172" s="60" t="n">
        <v>52.3</v>
      </c>
      <c r="H1172" s="61" t="n">
        <v>616.39</v>
      </c>
      <c r="I1172" s="61" t="n">
        <v>58.6</v>
      </c>
      <c r="J1172" s="61" t="n">
        <f aca="false">H1172*Resumo!$C$6</f>
        <v>0</v>
      </c>
      <c r="K1172" s="61" t="n">
        <f aca="false">H1172*Resumo!$C$7</f>
        <v>1.294419</v>
      </c>
      <c r="L1172" s="61" t="n">
        <f aca="false">H1172*Resumo!$C$8</f>
        <v>1.294419</v>
      </c>
      <c r="M1172" s="61" t="n">
        <f aca="false">Resumo!$C$10*CEILING(G1172/100,1)</f>
        <v>1.05</v>
      </c>
      <c r="N1172" s="61" t="n">
        <f aca="false">Resumo!$C$9</f>
        <v>0</v>
      </c>
      <c r="O1172" s="61" t="n">
        <f aca="false">Resumo!$C$13</f>
        <v>13.55</v>
      </c>
      <c r="P1172" s="61" t="n">
        <f aca="false">Resumo!$C$14*CEILING(G1172,1)</f>
        <v>23.85</v>
      </c>
      <c r="Q1172" s="61" t="n">
        <f aca="false">SUM(I1172:P1172)*Resumo!$C$11</f>
        <v>0</v>
      </c>
      <c r="R1172" s="61" t="n">
        <f aca="false">SUM(I1172:Q1172)</f>
        <v>99.638838</v>
      </c>
      <c r="S1172" s="61" t="n">
        <f aca="false">R1172/(1-Resumo!$C$5)</f>
        <v>113.225952272727</v>
      </c>
      <c r="T1172" s="61" t="n">
        <v>112.3</v>
      </c>
      <c r="U1172" s="61" t="n">
        <f aca="false">H1172*Resumo!$B$6</f>
        <v>0.61639</v>
      </c>
      <c r="V1172" s="61" t="n">
        <f aca="false">H1172*Resumo!$B$7</f>
        <v>1.23278</v>
      </c>
      <c r="W1172" s="61" t="n">
        <f aca="false">Resumo!$B$9</f>
        <v>1</v>
      </c>
      <c r="X1172" s="61" t="n">
        <f aca="false">Resumo!$B$10*CEILING(G1172/100,1)</f>
        <v>4.5</v>
      </c>
      <c r="Y1172" s="61" t="n">
        <f aca="false">Resumo!$B$12*CEILING(G1172,1)</f>
        <v>3.18</v>
      </c>
      <c r="Z1172" s="61" t="n">
        <f aca="false">Resumo!$B$14*CEILING(G1172,1)</f>
        <v>23.85</v>
      </c>
      <c r="AA1172" s="61" t="n">
        <f aca="false">SUM(T1172:Z1172)</f>
        <v>146.67917</v>
      </c>
      <c r="AB1172" s="61" t="n">
        <f aca="false">AA1172/(1-Resumo!$B$5)</f>
        <v>166.680875</v>
      </c>
      <c r="AC1172" s="61" t="n">
        <f aca="false">AB1172-S1172</f>
        <v>53.4549227272727</v>
      </c>
      <c r="AD1172" s="62" t="n">
        <f aca="false">AB1172/S1172-1</f>
        <v>0.472108396125615</v>
      </c>
      <c r="AE1172" s="60" t="str">
        <f aca="false">IF(AB1172&lt;S1172,"SIM","NÃO")</f>
        <v>NÃO</v>
      </c>
      <c r="AF1172" s="60" t="n">
        <v>2</v>
      </c>
      <c r="AG1172" s="60" t="n">
        <v>5</v>
      </c>
      <c r="AH1172" s="60" t="s">
        <v>382</v>
      </c>
      <c r="AI1172" s="61" t="n">
        <f aca="false">(T1172*(1-Painel!$C$40)+U1172+V1172+Painel!$C$41+Painel!$C$42*CEILING(G1172/100,1)+Painel!$C$43*CEILING(G1172,1)+Z1172)/(1-Resumo!$B$5)</f>
        <v>117.034284090909</v>
      </c>
      <c r="AJ1172" s="60" t="str">
        <f aca="false">IF(AI1172&lt;S1172,"SIM","NÃO")</f>
        <v>NÃO</v>
      </c>
    </row>
    <row r="1173" customFormat="false" ht="15" hidden="false" customHeight="false" outlineLevel="0" collapsed="false">
      <c r="A1173" s="59" t="n">
        <v>46252.109849537</v>
      </c>
      <c r="B1173" s="60" t="s">
        <v>1479</v>
      </c>
      <c r="C1173" s="60" t="n">
        <v>23025110</v>
      </c>
      <c r="D1173" s="60" t="s">
        <v>46</v>
      </c>
      <c r="E1173" s="60" t="s">
        <v>22</v>
      </c>
      <c r="F1173" s="60" t="s">
        <v>234</v>
      </c>
      <c r="G1173" s="60" t="n">
        <v>37.5</v>
      </c>
      <c r="H1173" s="61" t="n">
        <v>399.99</v>
      </c>
      <c r="I1173" s="61" t="n">
        <v>48.35</v>
      </c>
      <c r="J1173" s="61" t="n">
        <f aca="false">H1173*Resumo!$C$6</f>
        <v>0</v>
      </c>
      <c r="K1173" s="61" t="n">
        <f aca="false">H1173*Resumo!$C$7</f>
        <v>0.839979</v>
      </c>
      <c r="L1173" s="61" t="n">
        <f aca="false">H1173*Resumo!$C$8</f>
        <v>0.839979</v>
      </c>
      <c r="M1173" s="61" t="n">
        <f aca="false">Resumo!$C$10*CEILING(G1173/100,1)</f>
        <v>1.05</v>
      </c>
      <c r="N1173" s="61" t="n">
        <f aca="false">Resumo!$C$9</f>
        <v>0</v>
      </c>
      <c r="O1173" s="61" t="n">
        <f aca="false">Resumo!$C$13</f>
        <v>13.55</v>
      </c>
      <c r="P1173" s="61" t="n">
        <f aca="false">Resumo!$C$14*CEILING(G1173,1)</f>
        <v>17.1</v>
      </c>
      <c r="Q1173" s="61" t="n">
        <f aca="false">SUM(I1173:P1173)*Resumo!$C$11</f>
        <v>0</v>
      </c>
      <c r="R1173" s="61" t="n">
        <f aca="false">SUM(I1173:Q1173)</f>
        <v>81.729958</v>
      </c>
      <c r="S1173" s="61" t="n">
        <f aca="false">R1173/(1-Resumo!$C$5)</f>
        <v>92.8749522727273</v>
      </c>
      <c r="T1173" s="61" t="n">
        <v>93.97</v>
      </c>
      <c r="U1173" s="61" t="n">
        <f aca="false">H1173*Resumo!$B$6</f>
        <v>0.39999</v>
      </c>
      <c r="V1173" s="61" t="n">
        <f aca="false">H1173*Resumo!$B$7</f>
        <v>0.79998</v>
      </c>
      <c r="W1173" s="61" t="n">
        <f aca="false">Resumo!$B$9</f>
        <v>1</v>
      </c>
      <c r="X1173" s="61" t="n">
        <f aca="false">Resumo!$B$10*CEILING(G1173/100,1)</f>
        <v>4.5</v>
      </c>
      <c r="Y1173" s="61" t="n">
        <f aca="false">Resumo!$B$12*CEILING(G1173,1)</f>
        <v>2.28</v>
      </c>
      <c r="Z1173" s="61" t="n">
        <f aca="false">Resumo!$B$14*CEILING(G1173,1)</f>
        <v>17.1</v>
      </c>
      <c r="AA1173" s="61" t="n">
        <f aca="false">SUM(T1173:Z1173)</f>
        <v>120.04997</v>
      </c>
      <c r="AB1173" s="61" t="n">
        <f aca="false">AA1173/(1-Resumo!$B$5)</f>
        <v>136.420420454545</v>
      </c>
      <c r="AC1173" s="61" t="n">
        <f aca="false">AB1173-S1173</f>
        <v>43.5454681818182</v>
      </c>
      <c r="AD1173" s="62" t="n">
        <f aca="false">AB1173/S1173-1</f>
        <v>0.468861271163262</v>
      </c>
      <c r="AE1173" s="60" t="str">
        <f aca="false">IF(AB1173&lt;S1173,"SIM","NÃO")</f>
        <v>NÃO</v>
      </c>
      <c r="AF1173" s="60" t="n">
        <v>2</v>
      </c>
      <c r="AG1173" s="60" t="n">
        <v>5</v>
      </c>
      <c r="AH1173" s="60" t="s">
        <v>382</v>
      </c>
      <c r="AI1173" s="61" t="n">
        <f aca="false">(T1173*(1-Painel!$C$40)+U1173+V1173+Painel!$C$41+Painel!$C$42*CEILING(G1173/100,1)+Painel!$C$43*CEILING(G1173,1)+Z1173)/(1-Resumo!$B$5)</f>
        <v>94.6703068181818</v>
      </c>
      <c r="AJ1173" s="60" t="str">
        <f aca="false">IF(AI1173&lt;S1173,"SIM","NÃO")</f>
        <v>NÃO</v>
      </c>
    </row>
    <row r="1174" customFormat="false" ht="15" hidden="false" customHeight="false" outlineLevel="0" collapsed="false">
      <c r="A1174" s="59" t="n">
        <v>46252.2446180556</v>
      </c>
      <c r="B1174" s="60" t="s">
        <v>1480</v>
      </c>
      <c r="C1174" s="60" t="n">
        <v>21540440</v>
      </c>
      <c r="D1174" s="60" t="s">
        <v>46</v>
      </c>
      <c r="E1174" s="60" t="s">
        <v>22</v>
      </c>
      <c r="F1174" s="60" t="s">
        <v>235</v>
      </c>
      <c r="G1174" s="60" t="n">
        <v>48</v>
      </c>
      <c r="H1174" s="61" t="n">
        <v>806.69</v>
      </c>
      <c r="I1174" s="61" t="n">
        <v>53.55</v>
      </c>
      <c r="J1174" s="61" t="n">
        <f aca="false">H1174*Resumo!$C$6</f>
        <v>0</v>
      </c>
      <c r="K1174" s="61" t="n">
        <f aca="false">H1174*Resumo!$C$7</f>
        <v>1.694049</v>
      </c>
      <c r="L1174" s="61" t="n">
        <f aca="false">H1174*Resumo!$C$8</f>
        <v>1.694049</v>
      </c>
      <c r="M1174" s="61" t="n">
        <f aca="false">Resumo!$C$10*CEILING(G1174/100,1)</f>
        <v>1.05</v>
      </c>
      <c r="N1174" s="61" t="n">
        <f aca="false">Resumo!$C$9</f>
        <v>0</v>
      </c>
      <c r="O1174" s="61" t="n">
        <f aca="false">Resumo!$C$13</f>
        <v>13.55</v>
      </c>
      <c r="P1174" s="61" t="n">
        <f aca="false">Resumo!$C$14*CEILING(G1174,1)</f>
        <v>21.6</v>
      </c>
      <c r="Q1174" s="61" t="n">
        <f aca="false">SUM(I1174:P1174)*Resumo!$C$11</f>
        <v>0</v>
      </c>
      <c r="R1174" s="61" t="n">
        <f aca="false">SUM(I1174:Q1174)</f>
        <v>93.138098</v>
      </c>
      <c r="S1174" s="61" t="n">
        <f aca="false">R1174/(1-Resumo!$C$5)</f>
        <v>105.838747727273</v>
      </c>
      <c r="T1174" s="61" t="n">
        <v>93.97</v>
      </c>
      <c r="U1174" s="61" t="n">
        <f aca="false">H1174*Resumo!$B$6</f>
        <v>0.80669</v>
      </c>
      <c r="V1174" s="61" t="n">
        <f aca="false">H1174*Resumo!$B$7</f>
        <v>1.61338</v>
      </c>
      <c r="W1174" s="61" t="n">
        <f aca="false">Resumo!$B$9</f>
        <v>1</v>
      </c>
      <c r="X1174" s="61" t="n">
        <f aca="false">Resumo!$B$10*CEILING(G1174/100,1)</f>
        <v>4.5</v>
      </c>
      <c r="Y1174" s="61" t="n">
        <f aca="false">Resumo!$B$12*CEILING(G1174,1)</f>
        <v>2.88</v>
      </c>
      <c r="Z1174" s="61" t="n">
        <f aca="false">Resumo!$B$14*CEILING(G1174,1)</f>
        <v>21.6</v>
      </c>
      <c r="AA1174" s="61" t="n">
        <f aca="false">SUM(T1174:Z1174)</f>
        <v>126.37007</v>
      </c>
      <c r="AB1174" s="61" t="n">
        <f aca="false">AA1174/(1-Resumo!$B$5)</f>
        <v>143.602352272727</v>
      </c>
      <c r="AC1174" s="61" t="n">
        <f aca="false">AB1174-S1174</f>
        <v>37.7636045454546</v>
      </c>
      <c r="AD1174" s="62" t="n">
        <f aca="false">AB1174/S1174-1</f>
        <v>0.356803206352786</v>
      </c>
      <c r="AE1174" s="60" t="str">
        <f aca="false">IF(AB1174&lt;S1174,"SIM","NÃO")</f>
        <v>NÃO</v>
      </c>
      <c r="AF1174" s="60" t="n">
        <v>2</v>
      </c>
      <c r="AG1174" s="60" t="n">
        <v>5</v>
      </c>
      <c r="AH1174" s="60" t="s">
        <v>382</v>
      </c>
      <c r="AI1174" s="61" t="n">
        <f aca="false">(T1174*(1-Painel!$C$40)+U1174+V1174+Painel!$C$41+Painel!$C$42*CEILING(G1174/100,1)+Painel!$C$43*CEILING(G1174,1)+Z1174)/(1-Resumo!$B$5)</f>
        <v>101.170420454545</v>
      </c>
      <c r="AJ1174" s="60" t="str">
        <f aca="false">IF(AI1174&lt;S1174,"SIM","NÃO")</f>
        <v>SIM</v>
      </c>
    </row>
    <row r="1175" customFormat="false" ht="15" hidden="false" customHeight="false" outlineLevel="0" collapsed="false">
      <c r="A1175" s="59" t="n">
        <v>46252.2835185185</v>
      </c>
      <c r="B1175" s="60" t="s">
        <v>1481</v>
      </c>
      <c r="C1175" s="60" t="n">
        <v>26298629</v>
      </c>
      <c r="D1175" s="60" t="s">
        <v>49</v>
      </c>
      <c r="E1175" s="60" t="s">
        <v>23</v>
      </c>
      <c r="F1175" s="60" t="s">
        <v>237</v>
      </c>
      <c r="G1175" s="60" t="n">
        <v>63.9</v>
      </c>
      <c r="H1175" s="61" t="n">
        <v>730.98</v>
      </c>
      <c r="I1175" s="61" t="n">
        <v>76.55</v>
      </c>
      <c r="J1175" s="61" t="n">
        <f aca="false">H1175*Resumo!$C$6</f>
        <v>0</v>
      </c>
      <c r="K1175" s="61" t="n">
        <f aca="false">H1175*Resumo!$C$7</f>
        <v>1.535058</v>
      </c>
      <c r="L1175" s="61" t="n">
        <f aca="false">H1175*Resumo!$C$8</f>
        <v>1.535058</v>
      </c>
      <c r="M1175" s="61" t="n">
        <f aca="false">Resumo!$C$10*CEILING(G1175/100,1)</f>
        <v>1.05</v>
      </c>
      <c r="N1175" s="61" t="n">
        <f aca="false">Resumo!$C$9</f>
        <v>0</v>
      </c>
      <c r="O1175" s="61" t="n">
        <f aca="false">Resumo!$C$13</f>
        <v>13.55</v>
      </c>
      <c r="P1175" s="61" t="n">
        <f aca="false">Resumo!$C$14*CEILING(G1175,1)</f>
        <v>28.8</v>
      </c>
      <c r="Q1175" s="61" t="n">
        <f aca="false">SUM(I1175:P1175)*Resumo!$C$11</f>
        <v>0</v>
      </c>
      <c r="R1175" s="61" t="n">
        <f aca="false">SUM(I1175:Q1175)</f>
        <v>123.020116</v>
      </c>
      <c r="S1175" s="61" t="n">
        <f aca="false">R1175/(1-Resumo!$C$5)</f>
        <v>139.795586363636</v>
      </c>
      <c r="T1175" s="61" t="n">
        <v>131.02</v>
      </c>
      <c r="U1175" s="61" t="n">
        <f aca="false">H1175*Resumo!$B$6</f>
        <v>0.73098</v>
      </c>
      <c r="V1175" s="61" t="n">
        <f aca="false">H1175*Resumo!$B$7</f>
        <v>1.46196</v>
      </c>
      <c r="W1175" s="61" t="n">
        <f aca="false">Resumo!$B$9</f>
        <v>1</v>
      </c>
      <c r="X1175" s="61" t="n">
        <f aca="false">Resumo!$B$10*CEILING(G1175/100,1)</f>
        <v>4.5</v>
      </c>
      <c r="Y1175" s="61" t="n">
        <f aca="false">Resumo!$B$12*CEILING(G1175,1)</f>
        <v>3.84</v>
      </c>
      <c r="Z1175" s="61" t="n">
        <f aca="false">Resumo!$B$14*CEILING(G1175,1)</f>
        <v>28.8</v>
      </c>
      <c r="AA1175" s="61" t="n">
        <f aca="false">SUM(T1175:Z1175)</f>
        <v>171.35294</v>
      </c>
      <c r="AB1175" s="61" t="n">
        <f aca="false">AA1175/(1-Resumo!$B$5)</f>
        <v>194.71925</v>
      </c>
      <c r="AC1175" s="61" t="n">
        <f aca="false">AB1175-S1175</f>
        <v>54.9236636363636</v>
      </c>
      <c r="AD1175" s="62" t="n">
        <f aca="false">AB1175/S1175-1</f>
        <v>0.392885534264982</v>
      </c>
      <c r="AE1175" s="60" t="str">
        <f aca="false">IF(AB1175&lt;S1175,"SIM","NÃO")</f>
        <v>NÃO</v>
      </c>
      <c r="AF1175" s="60" t="n">
        <v>2</v>
      </c>
      <c r="AG1175" s="60" t="n">
        <v>5</v>
      </c>
      <c r="AH1175" s="60" t="s">
        <v>382</v>
      </c>
      <c r="AI1175" s="61" t="n">
        <f aca="false">(T1175*(1-Painel!$C$40)+U1175+V1175+Painel!$C$41+Painel!$C$42*CEILING(G1175/100,1)+Painel!$C$43*CEILING(G1175,1)+Z1175)/(1-Resumo!$B$5)</f>
        <v>137.302659090909</v>
      </c>
      <c r="AJ1175" s="60" t="str">
        <f aca="false">IF(AI1175&lt;S1175,"SIM","NÃO")</f>
        <v>SIM</v>
      </c>
    </row>
    <row r="1176" customFormat="false" ht="15" hidden="false" customHeight="false" outlineLevel="0" collapsed="false">
      <c r="A1176" s="59" t="n">
        <v>46252.2859027778</v>
      </c>
      <c r="B1176" s="60" t="s">
        <v>856</v>
      </c>
      <c r="C1176" s="60" t="n">
        <v>21040005</v>
      </c>
      <c r="D1176" s="60" t="s">
        <v>46</v>
      </c>
      <c r="E1176" s="60" t="s">
        <v>22</v>
      </c>
      <c r="F1176" s="60" t="s">
        <v>233</v>
      </c>
      <c r="G1176" s="60" t="n">
        <v>33</v>
      </c>
      <c r="H1176" s="61" t="n">
        <v>589.99</v>
      </c>
      <c r="I1176" s="61" t="n">
        <v>42.11</v>
      </c>
      <c r="J1176" s="61" t="n">
        <f aca="false">H1176*Resumo!$C$6</f>
        <v>0</v>
      </c>
      <c r="K1176" s="61" t="n">
        <f aca="false">H1176*Resumo!$C$7</f>
        <v>1.238979</v>
      </c>
      <c r="L1176" s="61" t="n">
        <f aca="false">H1176*Resumo!$C$8</f>
        <v>1.238979</v>
      </c>
      <c r="M1176" s="61" t="n">
        <f aca="false">Resumo!$C$10*CEILING(G1176/100,1)</f>
        <v>1.05</v>
      </c>
      <c r="N1176" s="61" t="n">
        <f aca="false">Resumo!$C$9</f>
        <v>0</v>
      </c>
      <c r="O1176" s="61" t="n">
        <f aca="false">Resumo!$C$13</f>
        <v>13.55</v>
      </c>
      <c r="P1176" s="61" t="n">
        <f aca="false">Resumo!$C$14*CEILING(G1176,1)</f>
        <v>14.85</v>
      </c>
      <c r="Q1176" s="61" t="n">
        <f aca="false">SUM(I1176:P1176)*Resumo!$C$11</f>
        <v>0</v>
      </c>
      <c r="R1176" s="61" t="n">
        <f aca="false">SUM(I1176:Q1176)</f>
        <v>74.037958</v>
      </c>
      <c r="S1176" s="61" t="n">
        <f aca="false">R1176/(1-Resumo!$C$5)</f>
        <v>84.1340431818182</v>
      </c>
      <c r="T1176" s="61" t="n">
        <v>82.21</v>
      </c>
      <c r="U1176" s="61" t="n">
        <f aca="false">H1176*Resumo!$B$6</f>
        <v>0.58999</v>
      </c>
      <c r="V1176" s="61" t="n">
        <f aca="false">H1176*Resumo!$B$7</f>
        <v>1.17998</v>
      </c>
      <c r="W1176" s="61" t="n">
        <f aca="false">Resumo!$B$9</f>
        <v>1</v>
      </c>
      <c r="X1176" s="61" t="n">
        <f aca="false">Resumo!$B$10*CEILING(G1176/100,1)</f>
        <v>4.5</v>
      </c>
      <c r="Y1176" s="61" t="n">
        <f aca="false">Resumo!$B$12*CEILING(G1176,1)</f>
        <v>1.98</v>
      </c>
      <c r="Z1176" s="61" t="n">
        <f aca="false">Resumo!$B$14*CEILING(G1176,1)</f>
        <v>14.85</v>
      </c>
      <c r="AA1176" s="61" t="n">
        <f aca="false">SUM(T1176:Z1176)</f>
        <v>106.30997</v>
      </c>
      <c r="AB1176" s="61" t="n">
        <f aca="false">AA1176/(1-Resumo!$B$5)</f>
        <v>120.806784090909</v>
      </c>
      <c r="AC1176" s="61" t="n">
        <f aca="false">AB1176-S1176</f>
        <v>36.6727409090909</v>
      </c>
      <c r="AD1176" s="62" t="n">
        <f aca="false">AB1176/S1176-1</f>
        <v>0.435884684988205</v>
      </c>
      <c r="AE1176" s="60" t="str">
        <f aca="false">IF(AB1176&lt;S1176,"SIM","NÃO")</f>
        <v>NÃO</v>
      </c>
      <c r="AF1176" s="60" t="n">
        <v>2</v>
      </c>
      <c r="AG1176" s="60" t="n">
        <v>5</v>
      </c>
      <c r="AH1176" s="60" t="s">
        <v>382</v>
      </c>
      <c r="AI1176" s="61" t="n">
        <f aca="false">(T1176*(1-Painel!$C$40)+U1176+V1176+Painel!$C$41+Painel!$C$42*CEILING(G1176/100,1)+Painel!$C$43*CEILING(G1176,1)+Z1176)/(1-Resumo!$B$5)</f>
        <v>83.8075795454545</v>
      </c>
      <c r="AJ1176" s="60" t="str">
        <f aca="false">IF(AI1176&lt;S1176,"SIM","NÃO")</f>
        <v>SIM</v>
      </c>
    </row>
    <row r="1177" customFormat="false" ht="15" hidden="false" customHeight="false" outlineLevel="0" collapsed="false">
      <c r="A1177" s="59" t="n">
        <v>46252.3464351852</v>
      </c>
      <c r="B1177" s="60" t="s">
        <v>1482</v>
      </c>
      <c r="C1177" s="60" t="n">
        <v>28500000</v>
      </c>
      <c r="D1177" s="60" t="s">
        <v>320</v>
      </c>
      <c r="E1177" s="60" t="s">
        <v>24</v>
      </c>
      <c r="F1177" s="60" t="s">
        <v>236</v>
      </c>
      <c r="G1177" s="60" t="n">
        <v>58.6</v>
      </c>
      <c r="H1177" s="61" t="n">
        <v>769.99</v>
      </c>
      <c r="I1177" s="61" t="n">
        <v>83.58</v>
      </c>
      <c r="J1177" s="61" t="n">
        <f aca="false">H1177*Resumo!$C$6</f>
        <v>0</v>
      </c>
      <c r="K1177" s="61" t="n">
        <f aca="false">H1177*Resumo!$C$7</f>
        <v>1.616979</v>
      </c>
      <c r="L1177" s="61" t="n">
        <f aca="false">H1177*Resumo!$C$8</f>
        <v>1.616979</v>
      </c>
      <c r="M1177" s="61" t="n">
        <f aca="false">Resumo!$C$10*CEILING(G1177/100,1)</f>
        <v>1.05</v>
      </c>
      <c r="N1177" s="61" t="n">
        <f aca="false">Resumo!$C$9</f>
        <v>0</v>
      </c>
      <c r="O1177" s="61" t="n">
        <f aca="false">Resumo!$C$13</f>
        <v>13.55</v>
      </c>
      <c r="P1177" s="61" t="n">
        <f aca="false">Resumo!$C$14*CEILING(G1177,1)</f>
        <v>26.55</v>
      </c>
      <c r="Q1177" s="61" t="n">
        <f aca="false">SUM(I1177:P1177)*Resumo!$C$11</f>
        <v>0</v>
      </c>
      <c r="R1177" s="61" t="n">
        <f aca="false">SUM(I1177:Q1177)</f>
        <v>127.963958</v>
      </c>
      <c r="S1177" s="61" t="n">
        <f aca="false">R1177/(1-Resumo!$C$5)</f>
        <v>145.413588636364</v>
      </c>
      <c r="T1177" s="61" t="n">
        <v>162.04</v>
      </c>
      <c r="U1177" s="61" t="n">
        <f aca="false">H1177*Resumo!$B$6</f>
        <v>0.76999</v>
      </c>
      <c r="V1177" s="61" t="n">
        <f aca="false">H1177*Resumo!$B$7</f>
        <v>1.53998</v>
      </c>
      <c r="W1177" s="61" t="n">
        <f aca="false">Resumo!$B$9</f>
        <v>1</v>
      </c>
      <c r="X1177" s="61" t="n">
        <f aca="false">Resumo!$B$10*CEILING(G1177/100,1)</f>
        <v>4.5</v>
      </c>
      <c r="Y1177" s="61" t="n">
        <f aca="false">Resumo!$B$12*CEILING(G1177,1)</f>
        <v>3.54</v>
      </c>
      <c r="Z1177" s="61" t="n">
        <f aca="false">Resumo!$B$14*CEILING(G1177,1)</f>
        <v>26.55</v>
      </c>
      <c r="AA1177" s="61" t="n">
        <f aca="false">SUM(T1177:Z1177)</f>
        <v>199.93997</v>
      </c>
      <c r="AB1177" s="61" t="n">
        <f aca="false">AA1177/(1-Resumo!$B$5)</f>
        <v>227.204511363636</v>
      </c>
      <c r="AC1177" s="61" t="n">
        <f aca="false">AB1177-S1177</f>
        <v>81.7909227272728</v>
      </c>
      <c r="AD1177" s="62" t="n">
        <f aca="false">AB1177/S1177-1</f>
        <v>0.562470973272021</v>
      </c>
      <c r="AE1177" s="60" t="str">
        <f aca="false">IF(AB1177&lt;S1177,"SIM","NÃO")</f>
        <v>NÃO</v>
      </c>
      <c r="AF1177" s="60" t="n">
        <v>13</v>
      </c>
      <c r="AG1177" s="60" t="n">
        <v>11</v>
      </c>
      <c r="AH1177" s="60" t="s">
        <v>385</v>
      </c>
      <c r="AI1177" s="61" t="n">
        <f aca="false">(T1177*(1-Painel!$C$40)+U1177+V1177+Painel!$C$41+Painel!$C$42*CEILING(G1177/100,1)+Painel!$C$43*CEILING(G1177,1)+Z1177)/(1-Resumo!$B$5)</f>
        <v>158.496329545455</v>
      </c>
      <c r="AJ1177" s="60" t="str">
        <f aca="false">IF(AI1177&lt;S1177,"SIM","NÃO")</f>
        <v>NÃO</v>
      </c>
    </row>
    <row r="1178" customFormat="false" ht="15" hidden="false" customHeight="false" outlineLevel="0" collapsed="false">
      <c r="A1178" s="59" t="n">
        <v>46252.3469444444</v>
      </c>
      <c r="B1178" s="60" t="s">
        <v>461</v>
      </c>
      <c r="C1178" s="60" t="n">
        <v>28880000</v>
      </c>
      <c r="D1178" s="60" t="s">
        <v>336</v>
      </c>
      <c r="E1178" s="60" t="s">
        <v>24</v>
      </c>
      <c r="F1178" s="60" t="s">
        <v>234</v>
      </c>
      <c r="G1178" s="60" t="n">
        <v>37.2</v>
      </c>
      <c r="H1178" s="61" t="n">
        <v>433.49</v>
      </c>
      <c r="I1178" s="61" t="n">
        <v>74.97</v>
      </c>
      <c r="J1178" s="61" t="n">
        <f aca="false">H1178*Resumo!$C$6</f>
        <v>0</v>
      </c>
      <c r="K1178" s="61" t="n">
        <f aca="false">H1178*Resumo!$C$7</f>
        <v>0.910329</v>
      </c>
      <c r="L1178" s="61" t="n">
        <f aca="false">H1178*Resumo!$C$8</f>
        <v>0.910329</v>
      </c>
      <c r="M1178" s="61" t="n">
        <f aca="false">Resumo!$C$10*CEILING(G1178/100,1)</f>
        <v>1.05</v>
      </c>
      <c r="N1178" s="61" t="n">
        <f aca="false">Resumo!$C$9</f>
        <v>0</v>
      </c>
      <c r="O1178" s="61" t="n">
        <f aca="false">Resumo!$C$13</f>
        <v>13.55</v>
      </c>
      <c r="P1178" s="61" t="n">
        <f aca="false">Resumo!$C$14*CEILING(G1178,1)</f>
        <v>17.1</v>
      </c>
      <c r="Q1178" s="61" t="n">
        <f aca="false">SUM(I1178:P1178)*Resumo!$C$11</f>
        <v>0</v>
      </c>
      <c r="R1178" s="61" t="n">
        <f aca="false">SUM(I1178:Q1178)</f>
        <v>108.490658</v>
      </c>
      <c r="S1178" s="61" t="n">
        <f aca="false">R1178/(1-Resumo!$C$5)</f>
        <v>123.284838636364</v>
      </c>
      <c r="T1178" s="61" t="n">
        <v>124.38</v>
      </c>
      <c r="U1178" s="61" t="n">
        <f aca="false">H1178*Resumo!$B$6</f>
        <v>0.43349</v>
      </c>
      <c r="V1178" s="61" t="n">
        <f aca="false">H1178*Resumo!$B$7</f>
        <v>0.86698</v>
      </c>
      <c r="W1178" s="61" t="n">
        <f aca="false">Resumo!$B$9</f>
        <v>1</v>
      </c>
      <c r="X1178" s="61" t="n">
        <f aca="false">Resumo!$B$10*CEILING(G1178/100,1)</f>
        <v>4.5</v>
      </c>
      <c r="Y1178" s="61" t="n">
        <f aca="false">Resumo!$B$12*CEILING(G1178,1)</f>
        <v>2.28</v>
      </c>
      <c r="Z1178" s="61" t="n">
        <f aca="false">Resumo!$B$14*CEILING(G1178,1)</f>
        <v>17.1</v>
      </c>
      <c r="AA1178" s="61" t="n">
        <f aca="false">SUM(T1178:Z1178)</f>
        <v>150.56047</v>
      </c>
      <c r="AB1178" s="61" t="n">
        <f aca="false">AA1178/(1-Resumo!$B$5)</f>
        <v>171.091443181818</v>
      </c>
      <c r="AC1178" s="61" t="n">
        <f aca="false">AB1178-S1178</f>
        <v>47.8066045454545</v>
      </c>
      <c r="AD1178" s="62" t="n">
        <f aca="false">AB1178/S1178-1</f>
        <v>0.387773590607221</v>
      </c>
      <c r="AE1178" s="60" t="str">
        <f aca="false">IF(AB1178&lt;S1178,"SIM","NÃO")</f>
        <v>NÃO</v>
      </c>
      <c r="AF1178" s="60" t="n">
        <v>13</v>
      </c>
      <c r="AG1178" s="60" t="n">
        <v>10</v>
      </c>
      <c r="AH1178" s="60" t="s">
        <v>385</v>
      </c>
      <c r="AI1178" s="61" t="n">
        <f aca="false">(T1178*(1-Painel!$C$40)+U1178+V1178+Painel!$C$41+Painel!$C$42*CEILING(G1178/100,1)+Painel!$C$43*CEILING(G1178,1)+Z1178)/(1-Resumo!$B$5)</f>
        <v>117.937579545455</v>
      </c>
      <c r="AJ1178" s="60" t="str">
        <f aca="false">IF(AI1178&lt;S1178,"SIM","NÃO")</f>
        <v>SIM</v>
      </c>
    </row>
    <row r="1179" customFormat="false" ht="15" hidden="false" customHeight="false" outlineLevel="0" collapsed="false">
      <c r="A1179" s="59" t="n">
        <v>46252.3548148148</v>
      </c>
      <c r="B1179" s="60" t="s">
        <v>1483</v>
      </c>
      <c r="C1179" s="60" t="n">
        <v>28634450</v>
      </c>
      <c r="D1179" s="60" t="s">
        <v>226</v>
      </c>
      <c r="E1179" s="60" t="s">
        <v>24</v>
      </c>
      <c r="F1179" s="60" t="s">
        <v>236</v>
      </c>
      <c r="G1179" s="60" t="n">
        <v>52.3</v>
      </c>
      <c r="H1179" s="61" t="n">
        <v>699.99</v>
      </c>
      <c r="I1179" s="61" t="n">
        <v>83.58</v>
      </c>
      <c r="J1179" s="61" t="n">
        <f aca="false">H1179*Resumo!$C$6</f>
        <v>0</v>
      </c>
      <c r="K1179" s="61" t="n">
        <f aca="false">H1179*Resumo!$C$7</f>
        <v>1.469979</v>
      </c>
      <c r="L1179" s="61" t="n">
        <f aca="false">H1179*Resumo!$C$8</f>
        <v>1.469979</v>
      </c>
      <c r="M1179" s="61" t="n">
        <f aca="false">Resumo!$C$10*CEILING(G1179/100,1)</f>
        <v>1.05</v>
      </c>
      <c r="N1179" s="61" t="n">
        <f aca="false">Resumo!$C$9</f>
        <v>0</v>
      </c>
      <c r="O1179" s="61" t="n">
        <f aca="false">Resumo!$C$13</f>
        <v>13.55</v>
      </c>
      <c r="P1179" s="61" t="n">
        <f aca="false">Resumo!$C$14*CEILING(G1179,1)</f>
        <v>23.85</v>
      </c>
      <c r="Q1179" s="61" t="n">
        <f aca="false">SUM(I1179:P1179)*Resumo!$C$11</f>
        <v>0</v>
      </c>
      <c r="R1179" s="61" t="n">
        <f aca="false">SUM(I1179:Q1179)</f>
        <v>124.969958</v>
      </c>
      <c r="S1179" s="61" t="n">
        <f aca="false">R1179/(1-Resumo!$C$5)</f>
        <v>142.011315909091</v>
      </c>
      <c r="T1179" s="61" t="n">
        <v>144.53</v>
      </c>
      <c r="U1179" s="61" t="n">
        <f aca="false">H1179*Resumo!$B$6</f>
        <v>0.69999</v>
      </c>
      <c r="V1179" s="61" t="n">
        <f aca="false">H1179*Resumo!$B$7</f>
        <v>1.39998</v>
      </c>
      <c r="W1179" s="61" t="n">
        <f aca="false">Resumo!$B$9</f>
        <v>1</v>
      </c>
      <c r="X1179" s="61" t="n">
        <f aca="false">Resumo!$B$10*CEILING(G1179/100,1)</f>
        <v>4.5</v>
      </c>
      <c r="Y1179" s="61" t="n">
        <f aca="false">Resumo!$B$12*CEILING(G1179,1)</f>
        <v>3.18</v>
      </c>
      <c r="Z1179" s="61" t="n">
        <f aca="false">Resumo!$B$14*CEILING(G1179,1)</f>
        <v>23.85</v>
      </c>
      <c r="AA1179" s="61" t="n">
        <f aca="false">SUM(T1179:Z1179)</f>
        <v>179.15997</v>
      </c>
      <c r="AB1179" s="61" t="n">
        <f aca="false">AA1179/(1-Resumo!$B$5)</f>
        <v>203.590875</v>
      </c>
      <c r="AC1179" s="61" t="n">
        <f aca="false">AB1179-S1179</f>
        <v>61.5795590909091</v>
      </c>
      <c r="AD1179" s="62" t="n">
        <f aca="false">AB1179/S1179-1</f>
        <v>0.433624311532536</v>
      </c>
      <c r="AE1179" s="60" t="str">
        <f aca="false">IF(AB1179&lt;S1179,"SIM","NÃO")</f>
        <v>NÃO</v>
      </c>
      <c r="AF1179" s="60" t="n">
        <v>13</v>
      </c>
      <c r="AG1179" s="60" t="n">
        <v>10</v>
      </c>
      <c r="AH1179" s="60" t="s">
        <v>382</v>
      </c>
      <c r="AI1179" s="61" t="n">
        <f aca="false">(T1179*(1-Painel!$C$40)+U1179+V1179+Painel!$C$41+Painel!$C$42*CEILING(G1179/100,1)+Painel!$C$43*CEILING(G1179,1)+Z1179)/(1-Resumo!$B$5)</f>
        <v>141.858034090909</v>
      </c>
      <c r="AJ1179" s="60" t="str">
        <f aca="false">IF(AI1179&lt;S1179,"SIM","NÃO")</f>
        <v>SIM</v>
      </c>
    </row>
    <row r="1180" customFormat="false" ht="15" hidden="false" customHeight="false" outlineLevel="0" collapsed="false">
      <c r="A1180" s="59" t="n">
        <v>46252.3785069444</v>
      </c>
      <c r="B1180" s="60" t="s">
        <v>1484</v>
      </c>
      <c r="C1180" s="60" t="n">
        <v>24900485</v>
      </c>
      <c r="D1180" s="60" t="s">
        <v>220</v>
      </c>
      <c r="E1180" s="60" t="s">
        <v>24</v>
      </c>
      <c r="F1180" s="60" t="s">
        <v>234</v>
      </c>
      <c r="G1180" s="60" t="n">
        <v>36.8</v>
      </c>
      <c r="H1180" s="61" t="n">
        <v>479.99</v>
      </c>
      <c r="I1180" s="61" t="n">
        <v>74.97</v>
      </c>
      <c r="J1180" s="61" t="n">
        <f aca="false">H1180*Resumo!$C$6</f>
        <v>0</v>
      </c>
      <c r="K1180" s="61" t="n">
        <f aca="false">H1180*Resumo!$C$7</f>
        <v>1.007979</v>
      </c>
      <c r="L1180" s="61" t="n">
        <f aca="false">H1180*Resumo!$C$8</f>
        <v>1.007979</v>
      </c>
      <c r="M1180" s="61" t="n">
        <f aca="false">Resumo!$C$10*CEILING(G1180/100,1)</f>
        <v>1.05</v>
      </c>
      <c r="N1180" s="61" t="n">
        <f aca="false">Resumo!$C$9</f>
        <v>0</v>
      </c>
      <c r="O1180" s="61" t="n">
        <f aca="false">Resumo!$C$13</f>
        <v>13.55</v>
      </c>
      <c r="P1180" s="61" t="n">
        <f aca="false">Resumo!$C$14*CEILING(G1180,1)</f>
        <v>16.65</v>
      </c>
      <c r="Q1180" s="61" t="n">
        <f aca="false">SUM(I1180:P1180)*Resumo!$C$11</f>
        <v>0</v>
      </c>
      <c r="R1180" s="61" t="n">
        <f aca="false">SUM(I1180:Q1180)</f>
        <v>108.235958</v>
      </c>
      <c r="S1180" s="61" t="n">
        <f aca="false">R1180/(1-Resumo!$C$5)</f>
        <v>122.995406818182</v>
      </c>
      <c r="T1180" s="61" t="n">
        <v>114.95</v>
      </c>
      <c r="U1180" s="61" t="n">
        <f aca="false">H1180*Resumo!$B$6</f>
        <v>0.47999</v>
      </c>
      <c r="V1180" s="61" t="n">
        <f aca="false">H1180*Resumo!$B$7</f>
        <v>0.95998</v>
      </c>
      <c r="W1180" s="61" t="n">
        <f aca="false">Resumo!$B$9</f>
        <v>1</v>
      </c>
      <c r="X1180" s="61" t="n">
        <f aca="false">Resumo!$B$10*CEILING(G1180/100,1)</f>
        <v>4.5</v>
      </c>
      <c r="Y1180" s="61" t="n">
        <f aca="false">Resumo!$B$12*CEILING(G1180,1)</f>
        <v>2.22</v>
      </c>
      <c r="Z1180" s="61" t="n">
        <f aca="false">Resumo!$B$14*CEILING(G1180,1)</f>
        <v>16.65</v>
      </c>
      <c r="AA1180" s="61" t="n">
        <f aca="false">SUM(T1180:Z1180)</f>
        <v>140.75997</v>
      </c>
      <c r="AB1180" s="61" t="n">
        <f aca="false">AA1180/(1-Resumo!$B$5)</f>
        <v>159.954511363636</v>
      </c>
      <c r="AC1180" s="61" t="n">
        <f aca="false">AB1180-S1180</f>
        <v>36.9591045454546</v>
      </c>
      <c r="AD1180" s="62" t="n">
        <f aca="false">AB1180/S1180-1</f>
        <v>0.300491746005519</v>
      </c>
      <c r="AE1180" s="60" t="str">
        <f aca="false">IF(AB1180&lt;S1180,"SIM","NÃO")</f>
        <v>NÃO</v>
      </c>
      <c r="AF1180" s="60" t="n">
        <v>13</v>
      </c>
      <c r="AG1180" s="60" t="n">
        <v>7</v>
      </c>
      <c r="AH1180" s="60" t="s">
        <v>382</v>
      </c>
      <c r="AI1180" s="61" t="n">
        <f aca="false">(T1180*(1-Painel!$C$40)+U1180+V1180+Painel!$C$41+Painel!$C$42*CEILING(G1180/100,1)+Painel!$C$43*CEILING(G1180,1)+Z1180)/(1-Resumo!$B$5)</f>
        <v>110.405079545455</v>
      </c>
      <c r="AJ1180" s="60" t="str">
        <f aca="false">IF(AI1180&lt;S1180,"SIM","NÃO")</f>
        <v>SIM</v>
      </c>
    </row>
    <row r="1181" customFormat="false" ht="15" hidden="false" customHeight="false" outlineLevel="0" collapsed="false">
      <c r="A1181" s="59" t="n">
        <v>46252.4573611111</v>
      </c>
      <c r="B1181" s="60" t="s">
        <v>1485</v>
      </c>
      <c r="C1181" s="60" t="n">
        <v>21735210</v>
      </c>
      <c r="D1181" s="60" t="s">
        <v>46</v>
      </c>
      <c r="E1181" s="60" t="s">
        <v>22</v>
      </c>
      <c r="F1181" s="60" t="s">
        <v>233</v>
      </c>
      <c r="G1181" s="60" t="n">
        <v>31.9</v>
      </c>
      <c r="H1181" s="61" t="n">
        <v>466.39</v>
      </c>
      <c r="I1181" s="61" t="n">
        <v>42.11</v>
      </c>
      <c r="J1181" s="61" t="n">
        <f aca="false">H1181*Resumo!$C$6</f>
        <v>0</v>
      </c>
      <c r="K1181" s="61" t="n">
        <f aca="false">H1181*Resumo!$C$7</f>
        <v>0.979419</v>
      </c>
      <c r="L1181" s="61" t="n">
        <f aca="false">H1181*Resumo!$C$8</f>
        <v>0.979419</v>
      </c>
      <c r="M1181" s="61" t="n">
        <f aca="false">Resumo!$C$10*CEILING(G1181/100,1)</f>
        <v>1.05</v>
      </c>
      <c r="N1181" s="61" t="n">
        <f aca="false">Resumo!$C$9</f>
        <v>0</v>
      </c>
      <c r="O1181" s="61" t="n">
        <f aca="false">Resumo!$C$13</f>
        <v>13.55</v>
      </c>
      <c r="P1181" s="61" t="n">
        <f aca="false">Resumo!$C$14*CEILING(G1181,1)</f>
        <v>14.4</v>
      </c>
      <c r="Q1181" s="61" t="n">
        <f aca="false">SUM(I1181:P1181)*Resumo!$C$11</f>
        <v>0</v>
      </c>
      <c r="R1181" s="61" t="n">
        <f aca="false">SUM(I1181:Q1181)</f>
        <v>73.068838</v>
      </c>
      <c r="S1181" s="61" t="n">
        <f aca="false">R1181/(1-Resumo!$C$5)</f>
        <v>83.0327704545455</v>
      </c>
      <c r="T1181" s="61" t="n">
        <v>82.21</v>
      </c>
      <c r="U1181" s="61" t="n">
        <f aca="false">H1181*Resumo!$B$6</f>
        <v>0.46639</v>
      </c>
      <c r="V1181" s="61" t="n">
        <f aca="false">H1181*Resumo!$B$7</f>
        <v>0.93278</v>
      </c>
      <c r="W1181" s="61" t="n">
        <f aca="false">Resumo!$B$9</f>
        <v>1</v>
      </c>
      <c r="X1181" s="61" t="n">
        <f aca="false">Resumo!$B$10*CEILING(G1181/100,1)</f>
        <v>4.5</v>
      </c>
      <c r="Y1181" s="61" t="n">
        <f aca="false">Resumo!$B$12*CEILING(G1181,1)</f>
        <v>1.92</v>
      </c>
      <c r="Z1181" s="61" t="n">
        <f aca="false">Resumo!$B$14*CEILING(G1181,1)</f>
        <v>14.4</v>
      </c>
      <c r="AA1181" s="61" t="n">
        <f aca="false">SUM(T1181:Z1181)</f>
        <v>105.42917</v>
      </c>
      <c r="AB1181" s="61" t="n">
        <f aca="false">AA1181/(1-Resumo!$B$5)</f>
        <v>119.805875</v>
      </c>
      <c r="AC1181" s="61" t="n">
        <f aca="false">AB1181-S1181</f>
        <v>36.7731045454545</v>
      </c>
      <c r="AD1181" s="62" t="n">
        <f aca="false">AB1181/S1181-1</f>
        <v>0.442874594502242</v>
      </c>
      <c r="AE1181" s="60" t="str">
        <f aca="false">IF(AB1181&lt;S1181,"SIM","NÃO")</f>
        <v>NÃO</v>
      </c>
      <c r="AF1181" s="60" t="n">
        <v>2</v>
      </c>
      <c r="AG1181" s="60" t="n">
        <v>5</v>
      </c>
      <c r="AH1181" s="60" t="s">
        <v>382</v>
      </c>
      <c r="AI1181" s="61" t="n">
        <f aca="false">(T1181*(1-Painel!$C$40)+U1181+V1181+Painel!$C$41+Painel!$C$42*CEILING(G1181/100,1)+Painel!$C$43*CEILING(G1181,1)+Z1181)/(1-Resumo!$B$5)</f>
        <v>82.8748522727273</v>
      </c>
      <c r="AJ1181" s="60" t="str">
        <f aca="false">IF(AI1181&lt;S1181,"SIM","NÃO")</f>
        <v>SIM</v>
      </c>
    </row>
    <row r="1182" customFormat="false" ht="15" hidden="false" customHeight="false" outlineLevel="0" collapsed="false">
      <c r="A1182" s="59" t="n">
        <v>46252.4615625</v>
      </c>
      <c r="B1182" s="60" t="s">
        <v>1486</v>
      </c>
      <c r="C1182" s="60" t="n">
        <v>22723535</v>
      </c>
      <c r="D1182" s="60" t="s">
        <v>46</v>
      </c>
      <c r="E1182" s="60" t="s">
        <v>22</v>
      </c>
      <c r="F1182" s="60" t="s">
        <v>234</v>
      </c>
      <c r="G1182" s="60" t="n">
        <v>36.8</v>
      </c>
      <c r="H1182" s="61" t="n">
        <v>479.99</v>
      </c>
      <c r="I1182" s="61" t="n">
        <v>48.35</v>
      </c>
      <c r="J1182" s="61" t="n">
        <f aca="false">H1182*Resumo!$C$6</f>
        <v>0</v>
      </c>
      <c r="K1182" s="61" t="n">
        <f aca="false">H1182*Resumo!$C$7</f>
        <v>1.007979</v>
      </c>
      <c r="L1182" s="61" t="n">
        <f aca="false">H1182*Resumo!$C$8</f>
        <v>1.007979</v>
      </c>
      <c r="M1182" s="61" t="n">
        <f aca="false">Resumo!$C$10*CEILING(G1182/100,1)</f>
        <v>1.05</v>
      </c>
      <c r="N1182" s="61" t="n">
        <f aca="false">Resumo!$C$9</f>
        <v>0</v>
      </c>
      <c r="O1182" s="61" t="n">
        <f aca="false">Resumo!$C$13</f>
        <v>13.55</v>
      </c>
      <c r="P1182" s="61" t="n">
        <f aca="false">Resumo!$C$14*CEILING(G1182,1)</f>
        <v>16.65</v>
      </c>
      <c r="Q1182" s="61" t="n">
        <f aca="false">SUM(I1182:P1182)*Resumo!$C$11</f>
        <v>0</v>
      </c>
      <c r="R1182" s="61" t="n">
        <f aca="false">SUM(I1182:Q1182)</f>
        <v>81.615958</v>
      </c>
      <c r="S1182" s="61" t="n">
        <f aca="false">R1182/(1-Resumo!$C$5)</f>
        <v>92.7454068181818</v>
      </c>
      <c r="T1182" s="61" t="n">
        <v>93.97</v>
      </c>
      <c r="U1182" s="61" t="n">
        <f aca="false">H1182*Resumo!$B$6</f>
        <v>0.47999</v>
      </c>
      <c r="V1182" s="61" t="n">
        <f aca="false">H1182*Resumo!$B$7</f>
        <v>0.95998</v>
      </c>
      <c r="W1182" s="61" t="n">
        <f aca="false">Resumo!$B$9</f>
        <v>1</v>
      </c>
      <c r="X1182" s="61" t="n">
        <f aca="false">Resumo!$B$10*CEILING(G1182/100,1)</f>
        <v>4.5</v>
      </c>
      <c r="Y1182" s="61" t="n">
        <f aca="false">Resumo!$B$12*CEILING(G1182,1)</f>
        <v>2.22</v>
      </c>
      <c r="Z1182" s="61" t="n">
        <f aca="false">Resumo!$B$14*CEILING(G1182,1)</f>
        <v>16.65</v>
      </c>
      <c r="AA1182" s="61" t="n">
        <f aca="false">SUM(T1182:Z1182)</f>
        <v>119.77997</v>
      </c>
      <c r="AB1182" s="61" t="n">
        <f aca="false">AA1182/(1-Resumo!$B$5)</f>
        <v>136.113602272727</v>
      </c>
      <c r="AC1182" s="61" t="n">
        <f aca="false">AB1182-S1182</f>
        <v>43.3681954545455</v>
      </c>
      <c r="AD1182" s="62" t="n">
        <f aca="false">AB1182/S1182-1</f>
        <v>0.467604778957566</v>
      </c>
      <c r="AE1182" s="60" t="str">
        <f aca="false">IF(AB1182&lt;S1182,"SIM","NÃO")</f>
        <v>NÃO</v>
      </c>
      <c r="AF1182" s="60" t="n">
        <v>2</v>
      </c>
      <c r="AG1182" s="60" t="n">
        <v>5</v>
      </c>
      <c r="AH1182" s="60" t="s">
        <v>382</v>
      </c>
      <c r="AI1182" s="61" t="n">
        <f aca="false">(T1182*(1-Painel!$C$40)+U1182+V1182+Painel!$C$41+Painel!$C$42*CEILING(G1182/100,1)+Painel!$C$43*CEILING(G1182,1)+Z1182)/(1-Resumo!$B$5)</f>
        <v>94.4316704545455</v>
      </c>
      <c r="AJ1182" s="60" t="str">
        <f aca="false">IF(AI1182&lt;S1182,"SIM","NÃO")</f>
        <v>NÃO</v>
      </c>
    </row>
    <row r="1183" customFormat="false" ht="15" hidden="false" customHeight="false" outlineLevel="0" collapsed="false">
      <c r="A1183" s="59" t="n">
        <v>46252.5057638889</v>
      </c>
      <c r="B1183" s="60" t="s">
        <v>1487</v>
      </c>
      <c r="C1183" s="60" t="n">
        <v>26215090</v>
      </c>
      <c r="D1183" s="60" t="s">
        <v>49</v>
      </c>
      <c r="E1183" s="60" t="s">
        <v>23</v>
      </c>
      <c r="F1183" s="60" t="s">
        <v>237</v>
      </c>
      <c r="G1183" s="60" t="n">
        <v>69.15</v>
      </c>
      <c r="H1183" s="61" t="n">
        <v>829.99</v>
      </c>
      <c r="I1183" s="61" t="n">
        <v>76.55</v>
      </c>
      <c r="J1183" s="61" t="n">
        <f aca="false">H1183*Resumo!$C$6</f>
        <v>0</v>
      </c>
      <c r="K1183" s="61" t="n">
        <f aca="false">H1183*Resumo!$C$7</f>
        <v>1.742979</v>
      </c>
      <c r="L1183" s="61" t="n">
        <f aca="false">H1183*Resumo!$C$8</f>
        <v>1.742979</v>
      </c>
      <c r="M1183" s="61" t="n">
        <f aca="false">Resumo!$C$10*CEILING(G1183/100,1)</f>
        <v>1.05</v>
      </c>
      <c r="N1183" s="61" t="n">
        <f aca="false">Resumo!$C$9</f>
        <v>0</v>
      </c>
      <c r="O1183" s="61" t="n">
        <f aca="false">Resumo!$C$13</f>
        <v>13.55</v>
      </c>
      <c r="P1183" s="61" t="n">
        <f aca="false">Resumo!$C$14*CEILING(G1183,1)</f>
        <v>31.5</v>
      </c>
      <c r="Q1183" s="61" t="n">
        <f aca="false">SUM(I1183:P1183)*Resumo!$C$11</f>
        <v>0</v>
      </c>
      <c r="R1183" s="61" t="n">
        <f aca="false">SUM(I1183:Q1183)</f>
        <v>126.135958</v>
      </c>
      <c r="S1183" s="61" t="n">
        <f aca="false">R1183/(1-Resumo!$C$5)</f>
        <v>143.336315909091</v>
      </c>
      <c r="T1183" s="61" t="n">
        <v>131.02</v>
      </c>
      <c r="U1183" s="61" t="n">
        <f aca="false">H1183*Resumo!$B$6</f>
        <v>0.82999</v>
      </c>
      <c r="V1183" s="61" t="n">
        <f aca="false">H1183*Resumo!$B$7</f>
        <v>1.65998</v>
      </c>
      <c r="W1183" s="61" t="n">
        <f aca="false">Resumo!$B$9</f>
        <v>1</v>
      </c>
      <c r="X1183" s="61" t="n">
        <f aca="false">Resumo!$B$10*CEILING(G1183/100,1)</f>
        <v>4.5</v>
      </c>
      <c r="Y1183" s="61" t="n">
        <f aca="false">Resumo!$B$12*CEILING(G1183,1)</f>
        <v>4.2</v>
      </c>
      <c r="Z1183" s="61" t="n">
        <f aca="false">Resumo!$B$14*CEILING(G1183,1)</f>
        <v>31.5</v>
      </c>
      <c r="AA1183" s="61" t="n">
        <f aca="false">SUM(T1183:Z1183)</f>
        <v>174.70997</v>
      </c>
      <c r="AB1183" s="61" t="n">
        <f aca="false">AA1183/(1-Resumo!$B$5)</f>
        <v>198.534056818182</v>
      </c>
      <c r="AC1183" s="61" t="n">
        <f aca="false">AB1183-S1183</f>
        <v>55.1977409090909</v>
      </c>
      <c r="AD1183" s="62" t="n">
        <f aca="false">AB1183/S1183-1</f>
        <v>0.385092504708293</v>
      </c>
      <c r="AE1183" s="60" t="str">
        <f aca="false">IF(AB1183&lt;S1183,"SIM","NÃO")</f>
        <v>NÃO</v>
      </c>
      <c r="AF1183" s="60" t="n">
        <v>2</v>
      </c>
      <c r="AG1183" s="60" t="n">
        <v>5</v>
      </c>
      <c r="AH1183" s="60" t="s">
        <v>382</v>
      </c>
      <c r="AI1183" s="61" t="n">
        <f aca="false">(T1183*(1-Painel!$C$40)+U1183+V1183+Painel!$C$41+Painel!$C$42*CEILING(G1183/100,1)+Painel!$C$43*CEILING(G1183,1)+Z1183)/(1-Resumo!$B$5)</f>
        <v>140.708375</v>
      </c>
      <c r="AJ1183" s="60" t="str">
        <f aca="false">IF(AI1183&lt;S1183,"SIM","NÃO")</f>
        <v>SIM</v>
      </c>
    </row>
    <row r="1184" customFormat="false" ht="15" hidden="false" customHeight="false" outlineLevel="0" collapsed="false">
      <c r="A1184" s="59" t="n">
        <v>46252.5139583333</v>
      </c>
      <c r="B1184" s="60" t="s">
        <v>1488</v>
      </c>
      <c r="C1184" s="60" t="n">
        <v>25056130</v>
      </c>
      <c r="D1184" s="60" t="s">
        <v>48</v>
      </c>
      <c r="E1184" s="60" t="s">
        <v>23</v>
      </c>
      <c r="F1184" s="60" t="s">
        <v>233</v>
      </c>
      <c r="G1184" s="60" t="n">
        <v>26</v>
      </c>
      <c r="H1184" s="61" t="n">
        <v>483.83</v>
      </c>
      <c r="I1184" s="61" t="n">
        <v>58.8</v>
      </c>
      <c r="J1184" s="61" t="n">
        <f aca="false">H1184*Resumo!$C$6</f>
        <v>0</v>
      </c>
      <c r="K1184" s="61" t="n">
        <f aca="false">H1184*Resumo!$C$7</f>
        <v>1.016043</v>
      </c>
      <c r="L1184" s="61" t="n">
        <f aca="false">H1184*Resumo!$C$8</f>
        <v>1.016043</v>
      </c>
      <c r="M1184" s="61" t="n">
        <f aca="false">Resumo!$C$10*CEILING(G1184/100,1)</f>
        <v>1.05</v>
      </c>
      <c r="N1184" s="61" t="n">
        <f aca="false">Resumo!$C$9</f>
        <v>0</v>
      </c>
      <c r="O1184" s="61" t="n">
        <f aca="false">Resumo!$C$13</f>
        <v>13.55</v>
      </c>
      <c r="P1184" s="61" t="n">
        <f aca="false">Resumo!$C$14*CEILING(G1184,1)</f>
        <v>11.7</v>
      </c>
      <c r="Q1184" s="61" t="n">
        <f aca="false">SUM(I1184:P1184)*Resumo!$C$11</f>
        <v>0</v>
      </c>
      <c r="R1184" s="61" t="n">
        <f aca="false">SUM(I1184:Q1184)</f>
        <v>87.132086</v>
      </c>
      <c r="S1184" s="61" t="n">
        <f aca="false">R1184/(1-Resumo!$C$5)</f>
        <v>99.0137340909091</v>
      </c>
      <c r="T1184" s="61" t="n">
        <v>82.21</v>
      </c>
      <c r="U1184" s="61" t="n">
        <f aca="false">H1184*Resumo!$B$6</f>
        <v>0.48383</v>
      </c>
      <c r="V1184" s="61" t="n">
        <f aca="false">H1184*Resumo!$B$7</f>
        <v>0.96766</v>
      </c>
      <c r="W1184" s="61" t="n">
        <f aca="false">Resumo!$B$9</f>
        <v>1</v>
      </c>
      <c r="X1184" s="61" t="n">
        <f aca="false">Resumo!$B$10*CEILING(G1184/100,1)</f>
        <v>4.5</v>
      </c>
      <c r="Y1184" s="61" t="n">
        <f aca="false">Resumo!$B$12*CEILING(G1184,1)</f>
        <v>1.56</v>
      </c>
      <c r="Z1184" s="61" t="n">
        <f aca="false">Resumo!$B$14*CEILING(G1184,1)</f>
        <v>11.7</v>
      </c>
      <c r="AA1184" s="61" t="n">
        <f aca="false">SUM(T1184:Z1184)</f>
        <v>102.42149</v>
      </c>
      <c r="AB1184" s="61" t="n">
        <f aca="false">AA1184/(1-Resumo!$B$5)</f>
        <v>116.388056818182</v>
      </c>
      <c r="AC1184" s="61" t="n">
        <f aca="false">AB1184-S1184</f>
        <v>17.3743227272727</v>
      </c>
      <c r="AD1184" s="62" t="n">
        <f aca="false">AB1184/S1184-1</f>
        <v>0.175473866194366</v>
      </c>
      <c r="AE1184" s="60" t="str">
        <f aca="false">IF(AB1184&lt;S1184,"SIM","NÃO")</f>
        <v>NÃO</v>
      </c>
      <c r="AF1184" s="60" t="n">
        <v>2</v>
      </c>
      <c r="AG1184" s="60" t="n">
        <v>5</v>
      </c>
      <c r="AH1184" s="60" t="s">
        <v>382</v>
      </c>
      <c r="AI1184" s="61" t="n">
        <f aca="false">(T1184*(1-Painel!$C$40)+U1184+V1184+Painel!$C$41+Painel!$C$42*CEILING(G1184/100,1)+Painel!$C$43*CEILING(G1184,1)+Z1184)/(1-Resumo!$B$5)</f>
        <v>79.866125</v>
      </c>
      <c r="AJ1184" s="60" t="str">
        <f aca="false">IF(AI1184&lt;S1184,"SIM","NÃO")</f>
        <v>SIM</v>
      </c>
    </row>
    <row r="1185" customFormat="false" ht="15" hidden="false" customHeight="false" outlineLevel="0" collapsed="false">
      <c r="A1185" s="59" t="n">
        <v>46252.5142592593</v>
      </c>
      <c r="B1185" s="60" t="s">
        <v>526</v>
      </c>
      <c r="C1185" s="60" t="n">
        <v>23520132</v>
      </c>
      <c r="D1185" s="60" t="s">
        <v>46</v>
      </c>
      <c r="E1185" s="60" t="s">
        <v>22</v>
      </c>
      <c r="F1185" s="60" t="s">
        <v>233</v>
      </c>
      <c r="G1185" s="60" t="n">
        <v>27.5</v>
      </c>
      <c r="H1185" s="61" t="n">
        <v>379.99</v>
      </c>
      <c r="I1185" s="61" t="n">
        <v>42.11</v>
      </c>
      <c r="J1185" s="61" t="n">
        <f aca="false">H1185*Resumo!$C$6</f>
        <v>0</v>
      </c>
      <c r="K1185" s="61" t="n">
        <f aca="false">H1185*Resumo!$C$7</f>
        <v>0.797979</v>
      </c>
      <c r="L1185" s="61" t="n">
        <f aca="false">H1185*Resumo!$C$8</f>
        <v>0.797979</v>
      </c>
      <c r="M1185" s="61" t="n">
        <f aca="false">Resumo!$C$10*CEILING(G1185/100,1)</f>
        <v>1.05</v>
      </c>
      <c r="N1185" s="61" t="n">
        <f aca="false">Resumo!$C$9</f>
        <v>0</v>
      </c>
      <c r="O1185" s="61" t="n">
        <f aca="false">Resumo!$C$13</f>
        <v>13.55</v>
      </c>
      <c r="P1185" s="61" t="n">
        <f aca="false">Resumo!$C$14*CEILING(G1185,1)</f>
        <v>12.6</v>
      </c>
      <c r="Q1185" s="61" t="n">
        <f aca="false">SUM(I1185:P1185)*Resumo!$C$11</f>
        <v>0</v>
      </c>
      <c r="R1185" s="61" t="n">
        <f aca="false">SUM(I1185:Q1185)</f>
        <v>70.905958</v>
      </c>
      <c r="S1185" s="61" t="n">
        <f aca="false">R1185/(1-Resumo!$C$5)</f>
        <v>80.5749522727273</v>
      </c>
      <c r="T1185" s="61" t="n">
        <v>82.21</v>
      </c>
      <c r="U1185" s="61" t="n">
        <f aca="false">H1185*Resumo!$B$6</f>
        <v>0.37999</v>
      </c>
      <c r="V1185" s="61" t="n">
        <f aca="false">H1185*Resumo!$B$7</f>
        <v>0.75998</v>
      </c>
      <c r="W1185" s="61" t="n">
        <f aca="false">Resumo!$B$9</f>
        <v>1</v>
      </c>
      <c r="X1185" s="61" t="n">
        <f aca="false">Resumo!$B$10*CEILING(G1185/100,1)</f>
        <v>4.5</v>
      </c>
      <c r="Y1185" s="61" t="n">
        <f aca="false">Resumo!$B$12*CEILING(G1185,1)</f>
        <v>1.68</v>
      </c>
      <c r="Z1185" s="61" t="n">
        <f aca="false">Resumo!$B$14*CEILING(G1185,1)</f>
        <v>12.6</v>
      </c>
      <c r="AA1185" s="61" t="n">
        <f aca="false">SUM(T1185:Z1185)</f>
        <v>103.12997</v>
      </c>
      <c r="AB1185" s="61" t="n">
        <f aca="false">AA1185/(1-Resumo!$B$5)</f>
        <v>117.193147727273</v>
      </c>
      <c r="AC1185" s="61" t="n">
        <f aca="false">AB1185-S1185</f>
        <v>36.6181954545454</v>
      </c>
      <c r="AD1185" s="62" t="n">
        <f aca="false">AB1185/S1185-1</f>
        <v>0.454461273903104</v>
      </c>
      <c r="AE1185" s="60" t="str">
        <f aca="false">IF(AB1185&lt;S1185,"SIM","NÃO")</f>
        <v>NÃO</v>
      </c>
      <c r="AF1185" s="60" t="n">
        <v>2</v>
      </c>
      <c r="AG1185" s="60" t="n">
        <v>5</v>
      </c>
      <c r="AH1185" s="60" t="s">
        <v>382</v>
      </c>
      <c r="AI1185" s="61" t="n">
        <f aca="false">(T1185*(1-Painel!$C$40)+U1185+V1185+Painel!$C$41+Painel!$C$42*CEILING(G1185/100,1)+Painel!$C$43*CEILING(G1185,1)+Z1185)/(1-Resumo!$B$5)</f>
        <v>80.5348522727273</v>
      </c>
      <c r="AJ1185" s="60" t="str">
        <f aca="false">IF(AI1185&lt;S1185,"SIM","NÃO")</f>
        <v>SIM</v>
      </c>
    </row>
    <row r="1186" customFormat="false" ht="15" hidden="false" customHeight="false" outlineLevel="0" collapsed="false">
      <c r="A1186" s="59" t="n">
        <v>46252.5229976852</v>
      </c>
      <c r="B1186" s="60" t="s">
        <v>784</v>
      </c>
      <c r="C1186" s="60" t="n">
        <v>28650000</v>
      </c>
      <c r="D1186" s="60" t="s">
        <v>327</v>
      </c>
      <c r="E1186" s="60" t="s">
        <v>24</v>
      </c>
      <c r="F1186" s="60" t="s">
        <v>240</v>
      </c>
      <c r="G1186" s="60" t="n">
        <v>107</v>
      </c>
      <c r="H1186" s="61" t="n">
        <v>3059.98</v>
      </c>
      <c r="I1186" s="61" t="n">
        <v>119.5</v>
      </c>
      <c r="J1186" s="61" t="n">
        <f aca="false">H1186*Resumo!$C$6</f>
        <v>0</v>
      </c>
      <c r="K1186" s="61" t="n">
        <f aca="false">H1186*Resumo!$C$7</f>
        <v>6.425958</v>
      </c>
      <c r="L1186" s="61" t="n">
        <f aca="false">H1186*Resumo!$C$8</f>
        <v>6.425958</v>
      </c>
      <c r="M1186" s="61" t="n">
        <f aca="false">Resumo!$C$10*CEILING(G1186/100,1)</f>
        <v>2.1</v>
      </c>
      <c r="N1186" s="61" t="n">
        <f aca="false">Resumo!$C$9</f>
        <v>0</v>
      </c>
      <c r="O1186" s="61" t="n">
        <f aca="false">Resumo!$C$13</f>
        <v>13.55</v>
      </c>
      <c r="P1186" s="61" t="n">
        <f aca="false">Resumo!$C$14*CEILING(G1186,1)</f>
        <v>48.15</v>
      </c>
      <c r="Q1186" s="61" t="n">
        <f aca="false">SUM(I1186:P1186)*Resumo!$C$11</f>
        <v>0</v>
      </c>
      <c r="R1186" s="61" t="n">
        <f aca="false">SUM(I1186:Q1186)</f>
        <v>196.151916</v>
      </c>
      <c r="S1186" s="61" t="n">
        <f aca="false">R1186/(1-Resumo!$C$5)</f>
        <v>222.899904545455</v>
      </c>
      <c r="T1186" s="61" t="n">
        <v>236.82</v>
      </c>
      <c r="U1186" s="61" t="n">
        <f aca="false">H1186*Resumo!$B$6</f>
        <v>3.05998</v>
      </c>
      <c r="V1186" s="61" t="n">
        <f aca="false">H1186*Resumo!$B$7</f>
        <v>6.11996</v>
      </c>
      <c r="W1186" s="61" t="n">
        <f aca="false">Resumo!$B$9</f>
        <v>1</v>
      </c>
      <c r="X1186" s="61" t="n">
        <f aca="false">Resumo!$B$10*CEILING(G1186/100,1)</f>
        <v>9</v>
      </c>
      <c r="Y1186" s="61" t="n">
        <f aca="false">Resumo!$B$12*CEILING(G1186,1)</f>
        <v>6.42</v>
      </c>
      <c r="Z1186" s="61" t="n">
        <f aca="false">Resumo!$B$14*CEILING(G1186,1)</f>
        <v>48.15</v>
      </c>
      <c r="AA1186" s="61" t="n">
        <f aca="false">SUM(T1186:Z1186)</f>
        <v>310.56994</v>
      </c>
      <c r="AB1186" s="61" t="n">
        <f aca="false">AA1186/(1-Resumo!$B$5)</f>
        <v>352.920386363636</v>
      </c>
      <c r="AC1186" s="61" t="n">
        <f aca="false">AB1186-S1186</f>
        <v>130.020481818182</v>
      </c>
      <c r="AD1186" s="62" t="n">
        <f aca="false">AB1186/S1186-1</f>
        <v>0.583313313136334</v>
      </c>
      <c r="AE1186" s="60" t="str">
        <f aca="false">IF(AB1186&lt;S1186,"SIM","NÃO")</f>
        <v>NÃO</v>
      </c>
      <c r="AF1186" s="60" t="n">
        <v>13</v>
      </c>
      <c r="AG1186" s="60" t="n">
        <v>10</v>
      </c>
      <c r="AH1186" s="60" t="s">
        <v>385</v>
      </c>
      <c r="AI1186" s="61" t="n">
        <f aca="false">(T1186*(1-Painel!$C$40)+U1186+V1186+Painel!$C$41+Painel!$C$42*CEILING(G1186/100,1)+Painel!$C$43*CEILING(G1186,1)+Z1186)/(1-Resumo!$B$5)</f>
        <v>248.976522727273</v>
      </c>
      <c r="AJ1186" s="60" t="str">
        <f aca="false">IF(AI1186&lt;S1186,"SIM","NÃO")</f>
        <v>NÃO</v>
      </c>
    </row>
    <row r="1187" customFormat="false" ht="15" hidden="false" customHeight="false" outlineLevel="0" collapsed="false">
      <c r="A1187" s="59" t="n">
        <v>46252.5720601852</v>
      </c>
      <c r="B1187" s="60" t="s">
        <v>1489</v>
      </c>
      <c r="C1187" s="60" t="n">
        <v>25555050</v>
      </c>
      <c r="D1187" s="60" t="s">
        <v>216</v>
      </c>
      <c r="E1187" s="60" t="s">
        <v>23</v>
      </c>
      <c r="F1187" s="60" t="s">
        <v>235</v>
      </c>
      <c r="G1187" s="60" t="n">
        <v>46.8</v>
      </c>
      <c r="H1187" s="61" t="n">
        <v>506.56</v>
      </c>
      <c r="I1187" s="61" t="n">
        <v>65.36</v>
      </c>
      <c r="J1187" s="61" t="n">
        <f aca="false">H1187*Resumo!$C$6</f>
        <v>0</v>
      </c>
      <c r="K1187" s="61" t="n">
        <f aca="false">H1187*Resumo!$C$7</f>
        <v>1.063776</v>
      </c>
      <c r="L1187" s="61" t="n">
        <f aca="false">H1187*Resumo!$C$8</f>
        <v>1.063776</v>
      </c>
      <c r="M1187" s="61" t="n">
        <f aca="false">Resumo!$C$10*CEILING(G1187/100,1)</f>
        <v>1.05</v>
      </c>
      <c r="N1187" s="61" t="n">
        <f aca="false">Resumo!$C$9</f>
        <v>0</v>
      </c>
      <c r="O1187" s="61" t="n">
        <f aca="false">Resumo!$C$13</f>
        <v>13.55</v>
      </c>
      <c r="P1187" s="61" t="n">
        <f aca="false">Resumo!$C$14*CEILING(G1187,1)</f>
        <v>21.15</v>
      </c>
      <c r="Q1187" s="61" t="n">
        <f aca="false">SUM(I1187:P1187)*Resumo!$C$11</f>
        <v>0</v>
      </c>
      <c r="R1187" s="61" t="n">
        <f aca="false">SUM(I1187:Q1187)</f>
        <v>103.237552</v>
      </c>
      <c r="S1187" s="61" t="n">
        <f aca="false">R1187/(1-Resumo!$C$5)</f>
        <v>117.3154</v>
      </c>
      <c r="T1187" s="61" t="n">
        <v>93.97</v>
      </c>
      <c r="U1187" s="61" t="n">
        <f aca="false">H1187*Resumo!$B$6</f>
        <v>0.50656</v>
      </c>
      <c r="V1187" s="61" t="n">
        <f aca="false">H1187*Resumo!$B$7</f>
        <v>1.01312</v>
      </c>
      <c r="W1187" s="61" t="n">
        <f aca="false">Resumo!$B$9</f>
        <v>1</v>
      </c>
      <c r="X1187" s="61" t="n">
        <f aca="false">Resumo!$B$10*CEILING(G1187/100,1)</f>
        <v>4.5</v>
      </c>
      <c r="Y1187" s="61" t="n">
        <f aca="false">Resumo!$B$12*CEILING(G1187,1)</f>
        <v>2.82</v>
      </c>
      <c r="Z1187" s="61" t="n">
        <f aca="false">Resumo!$B$14*CEILING(G1187,1)</f>
        <v>21.15</v>
      </c>
      <c r="AA1187" s="61" t="n">
        <f aca="false">SUM(T1187:Z1187)</f>
        <v>124.95968</v>
      </c>
      <c r="AB1187" s="61" t="n">
        <f aca="false">AA1187/(1-Resumo!$B$5)</f>
        <v>141.999636363636</v>
      </c>
      <c r="AC1187" s="61" t="n">
        <f aca="false">AB1187-S1187</f>
        <v>24.6842363636364</v>
      </c>
      <c r="AD1187" s="62" t="n">
        <f aca="false">AB1187/S1187-1</f>
        <v>0.210409173592183</v>
      </c>
      <c r="AE1187" s="60" t="str">
        <f aca="false">IF(AB1187&lt;S1187,"SIM","NÃO")</f>
        <v>NÃO</v>
      </c>
      <c r="AF1187" s="60" t="n">
        <v>2</v>
      </c>
      <c r="AG1187" s="60" t="n">
        <v>5</v>
      </c>
      <c r="AH1187" s="60" t="s">
        <v>382</v>
      </c>
      <c r="AI1187" s="61" t="n">
        <f aca="false">(T1187*(1-Painel!$C$40)+U1187+V1187+Painel!$C$41+Painel!$C$42*CEILING(G1187/100,1)+Painel!$C$43*CEILING(G1187,1)+Z1187)/(1-Resumo!$B$5)</f>
        <v>99.6358863636364</v>
      </c>
      <c r="AJ1187" s="60" t="str">
        <f aca="false">IF(AI1187&lt;S1187,"SIM","NÃO")</f>
        <v>SIM</v>
      </c>
    </row>
    <row r="1188" customFormat="false" ht="15" hidden="false" customHeight="false" outlineLevel="0" collapsed="false">
      <c r="A1188" s="59" t="n">
        <v>46252.5786921296</v>
      </c>
      <c r="B1188" s="60" t="s">
        <v>1490</v>
      </c>
      <c r="C1188" s="60" t="n">
        <v>26298611</v>
      </c>
      <c r="D1188" s="60" t="s">
        <v>49</v>
      </c>
      <c r="E1188" s="60" t="s">
        <v>23</v>
      </c>
      <c r="F1188" s="60" t="s">
        <v>237</v>
      </c>
      <c r="G1188" s="60" t="n">
        <v>63.9</v>
      </c>
      <c r="H1188" s="61" t="n">
        <v>730.98</v>
      </c>
      <c r="I1188" s="61" t="n">
        <v>76.55</v>
      </c>
      <c r="J1188" s="61" t="n">
        <f aca="false">H1188*Resumo!$C$6</f>
        <v>0</v>
      </c>
      <c r="K1188" s="61" t="n">
        <f aca="false">H1188*Resumo!$C$7</f>
        <v>1.535058</v>
      </c>
      <c r="L1188" s="61" t="n">
        <f aca="false">H1188*Resumo!$C$8</f>
        <v>1.535058</v>
      </c>
      <c r="M1188" s="61" t="n">
        <f aca="false">Resumo!$C$10*CEILING(G1188/100,1)</f>
        <v>1.05</v>
      </c>
      <c r="N1188" s="61" t="n">
        <f aca="false">Resumo!$C$9</f>
        <v>0</v>
      </c>
      <c r="O1188" s="61" t="n">
        <f aca="false">Resumo!$C$13</f>
        <v>13.55</v>
      </c>
      <c r="P1188" s="61" t="n">
        <f aca="false">Resumo!$C$14*CEILING(G1188,1)</f>
        <v>28.8</v>
      </c>
      <c r="Q1188" s="61" t="n">
        <f aca="false">SUM(I1188:P1188)*Resumo!$C$11</f>
        <v>0</v>
      </c>
      <c r="R1188" s="61" t="n">
        <f aca="false">SUM(I1188:Q1188)</f>
        <v>123.020116</v>
      </c>
      <c r="S1188" s="61" t="n">
        <f aca="false">R1188/(1-Resumo!$C$5)</f>
        <v>139.795586363636</v>
      </c>
      <c r="T1188" s="61" t="n">
        <v>131.02</v>
      </c>
      <c r="U1188" s="61" t="n">
        <f aca="false">H1188*Resumo!$B$6</f>
        <v>0.73098</v>
      </c>
      <c r="V1188" s="61" t="n">
        <f aca="false">H1188*Resumo!$B$7</f>
        <v>1.46196</v>
      </c>
      <c r="W1188" s="61" t="n">
        <f aca="false">Resumo!$B$9</f>
        <v>1</v>
      </c>
      <c r="X1188" s="61" t="n">
        <f aca="false">Resumo!$B$10*CEILING(G1188/100,1)</f>
        <v>4.5</v>
      </c>
      <c r="Y1188" s="61" t="n">
        <f aca="false">Resumo!$B$12*CEILING(G1188,1)</f>
        <v>3.84</v>
      </c>
      <c r="Z1188" s="61" t="n">
        <f aca="false">Resumo!$B$14*CEILING(G1188,1)</f>
        <v>28.8</v>
      </c>
      <c r="AA1188" s="61" t="n">
        <f aca="false">SUM(T1188:Z1188)</f>
        <v>171.35294</v>
      </c>
      <c r="AB1188" s="61" t="n">
        <f aca="false">AA1188/(1-Resumo!$B$5)</f>
        <v>194.71925</v>
      </c>
      <c r="AC1188" s="61" t="n">
        <f aca="false">AB1188-S1188</f>
        <v>54.9236636363636</v>
      </c>
      <c r="AD1188" s="62" t="n">
        <f aca="false">AB1188/S1188-1</f>
        <v>0.392885534264982</v>
      </c>
      <c r="AE1188" s="60" t="str">
        <f aca="false">IF(AB1188&lt;S1188,"SIM","NÃO")</f>
        <v>NÃO</v>
      </c>
      <c r="AF1188" s="60" t="n">
        <v>2</v>
      </c>
      <c r="AG1188" s="60" t="n">
        <v>5</v>
      </c>
      <c r="AH1188" s="60" t="s">
        <v>382</v>
      </c>
      <c r="AI1188" s="61" t="n">
        <f aca="false">(T1188*(1-Painel!$C$40)+U1188+V1188+Painel!$C$41+Painel!$C$42*CEILING(G1188/100,1)+Painel!$C$43*CEILING(G1188,1)+Z1188)/(1-Resumo!$B$5)</f>
        <v>137.302659090909</v>
      </c>
      <c r="AJ1188" s="60" t="str">
        <f aca="false">IF(AI1188&lt;S1188,"SIM","NÃO")</f>
        <v>SIM</v>
      </c>
    </row>
    <row r="1189" customFormat="false" ht="15" hidden="false" customHeight="false" outlineLevel="0" collapsed="false">
      <c r="A1189" s="59" t="n">
        <v>46252.6090277778</v>
      </c>
      <c r="B1189" s="60" t="s">
        <v>1491</v>
      </c>
      <c r="C1189" s="60" t="n">
        <v>22211230</v>
      </c>
      <c r="D1189" s="60" t="s">
        <v>46</v>
      </c>
      <c r="E1189" s="60" t="s">
        <v>22</v>
      </c>
      <c r="F1189" s="60" t="s">
        <v>236</v>
      </c>
      <c r="G1189" s="60" t="n">
        <v>52.3</v>
      </c>
      <c r="H1189" s="61" t="n">
        <v>699.99</v>
      </c>
      <c r="I1189" s="61" t="n">
        <v>58.6</v>
      </c>
      <c r="J1189" s="61" t="n">
        <f aca="false">H1189*Resumo!$C$6</f>
        <v>0</v>
      </c>
      <c r="K1189" s="61" t="n">
        <f aca="false">H1189*Resumo!$C$7</f>
        <v>1.469979</v>
      </c>
      <c r="L1189" s="61" t="n">
        <f aca="false">H1189*Resumo!$C$8</f>
        <v>1.469979</v>
      </c>
      <c r="M1189" s="61" t="n">
        <f aca="false">Resumo!$C$10*CEILING(G1189/100,1)</f>
        <v>1.05</v>
      </c>
      <c r="N1189" s="61" t="n">
        <f aca="false">Resumo!$C$9</f>
        <v>0</v>
      </c>
      <c r="O1189" s="61" t="n">
        <f aca="false">Resumo!$C$13</f>
        <v>13.55</v>
      </c>
      <c r="P1189" s="61" t="n">
        <f aca="false">Resumo!$C$14*CEILING(G1189,1)</f>
        <v>23.85</v>
      </c>
      <c r="Q1189" s="61" t="n">
        <f aca="false">SUM(I1189:P1189)*Resumo!$C$11</f>
        <v>0</v>
      </c>
      <c r="R1189" s="61" t="n">
        <f aca="false">SUM(I1189:Q1189)</f>
        <v>99.989958</v>
      </c>
      <c r="S1189" s="61" t="n">
        <f aca="false">R1189/(1-Resumo!$C$5)</f>
        <v>113.624952272727</v>
      </c>
      <c r="T1189" s="61" t="n">
        <v>112.3</v>
      </c>
      <c r="U1189" s="61" t="n">
        <f aca="false">H1189*Resumo!$B$6</f>
        <v>0.69999</v>
      </c>
      <c r="V1189" s="61" t="n">
        <f aca="false">H1189*Resumo!$B$7</f>
        <v>1.39998</v>
      </c>
      <c r="W1189" s="61" t="n">
        <f aca="false">Resumo!$B$9</f>
        <v>1</v>
      </c>
      <c r="X1189" s="61" t="n">
        <f aca="false">Resumo!$B$10*CEILING(G1189/100,1)</f>
        <v>4.5</v>
      </c>
      <c r="Y1189" s="61" t="n">
        <f aca="false">Resumo!$B$12*CEILING(G1189,1)</f>
        <v>3.18</v>
      </c>
      <c r="Z1189" s="61" t="n">
        <f aca="false">Resumo!$B$14*CEILING(G1189,1)</f>
        <v>23.85</v>
      </c>
      <c r="AA1189" s="61" t="n">
        <f aca="false">SUM(T1189:Z1189)</f>
        <v>146.92997</v>
      </c>
      <c r="AB1189" s="61" t="n">
        <f aca="false">AA1189/(1-Resumo!$B$5)</f>
        <v>166.965875</v>
      </c>
      <c r="AC1189" s="61" t="n">
        <f aca="false">AB1189-S1189</f>
        <v>53.3409227272727</v>
      </c>
      <c r="AD1189" s="62" t="n">
        <f aca="false">AB1189/S1189-1</f>
        <v>0.469447261894039</v>
      </c>
      <c r="AE1189" s="60" t="str">
        <f aca="false">IF(AB1189&lt;S1189,"SIM","NÃO")</f>
        <v>NÃO</v>
      </c>
      <c r="AF1189" s="60" t="n">
        <v>2</v>
      </c>
      <c r="AG1189" s="60" t="n">
        <v>5</v>
      </c>
      <c r="AH1189" s="60" t="s">
        <v>382</v>
      </c>
      <c r="AI1189" s="61" t="n">
        <f aca="false">(T1189*(1-Painel!$C$40)+U1189+V1189+Painel!$C$41+Painel!$C$42*CEILING(G1189/100,1)+Painel!$C$43*CEILING(G1189,1)+Z1189)/(1-Resumo!$B$5)</f>
        <v>117.319284090909</v>
      </c>
      <c r="AJ1189" s="60" t="str">
        <f aca="false">IF(AI1189&lt;S1189,"SIM","NÃO")</f>
        <v>NÃO</v>
      </c>
    </row>
    <row r="1190" customFormat="false" ht="15" hidden="false" customHeight="false" outlineLevel="0" collapsed="false">
      <c r="A1190" s="59" t="n">
        <v>46252.620162037</v>
      </c>
      <c r="B1190" s="60" t="s">
        <v>1492</v>
      </c>
      <c r="C1190" s="60" t="n">
        <v>27536220</v>
      </c>
      <c r="D1190" s="60" t="s">
        <v>296</v>
      </c>
      <c r="E1190" s="60" t="s">
        <v>24</v>
      </c>
      <c r="F1190" s="60" t="s">
        <v>237</v>
      </c>
      <c r="G1190" s="60" t="n">
        <v>66.8</v>
      </c>
      <c r="H1190" s="61" t="n">
        <v>631.66</v>
      </c>
      <c r="I1190" s="61" t="n">
        <v>90.2</v>
      </c>
      <c r="J1190" s="61" t="n">
        <f aca="false">H1190*Resumo!$C$6</f>
        <v>0</v>
      </c>
      <c r="K1190" s="61" t="n">
        <f aca="false">H1190*Resumo!$C$7</f>
        <v>1.326486</v>
      </c>
      <c r="L1190" s="61" t="n">
        <f aca="false">H1190*Resumo!$C$8</f>
        <v>1.326486</v>
      </c>
      <c r="M1190" s="61" t="n">
        <f aca="false">Resumo!$C$10*CEILING(G1190/100,1)</f>
        <v>1.05</v>
      </c>
      <c r="N1190" s="61" t="n">
        <f aca="false">Resumo!$C$9</f>
        <v>0</v>
      </c>
      <c r="O1190" s="61" t="n">
        <f aca="false">Resumo!$C$13</f>
        <v>13.55</v>
      </c>
      <c r="P1190" s="61" t="n">
        <f aca="false">Resumo!$C$14*CEILING(G1190,1)</f>
        <v>30.15</v>
      </c>
      <c r="Q1190" s="61" t="n">
        <f aca="false">SUM(I1190:P1190)*Resumo!$C$11</f>
        <v>0</v>
      </c>
      <c r="R1190" s="61" t="n">
        <f aca="false">SUM(I1190:Q1190)</f>
        <v>137.602972</v>
      </c>
      <c r="S1190" s="61" t="n">
        <f aca="false">R1190/(1-Resumo!$C$5)</f>
        <v>156.367013636364</v>
      </c>
      <c r="T1190" s="61" t="n">
        <v>166.05</v>
      </c>
      <c r="U1190" s="61" t="n">
        <f aca="false">H1190*Resumo!$B$6</f>
        <v>0.63166</v>
      </c>
      <c r="V1190" s="61" t="n">
        <f aca="false">H1190*Resumo!$B$7</f>
        <v>1.26332</v>
      </c>
      <c r="W1190" s="61" t="n">
        <f aca="false">Resumo!$B$9</f>
        <v>1</v>
      </c>
      <c r="X1190" s="61" t="n">
        <f aca="false">Resumo!$B$10*CEILING(G1190/100,1)</f>
        <v>4.5</v>
      </c>
      <c r="Y1190" s="61" t="n">
        <f aca="false">Resumo!$B$12*CEILING(G1190,1)</f>
        <v>4.02</v>
      </c>
      <c r="Z1190" s="61" t="n">
        <f aca="false">Resumo!$B$14*CEILING(G1190,1)</f>
        <v>30.15</v>
      </c>
      <c r="AA1190" s="61" t="n">
        <f aca="false">SUM(T1190:Z1190)</f>
        <v>207.61498</v>
      </c>
      <c r="AB1190" s="61" t="n">
        <f aca="false">AA1190/(1-Resumo!$B$5)</f>
        <v>235.926113636364</v>
      </c>
      <c r="AC1190" s="61" t="n">
        <f aca="false">AB1190-S1190</f>
        <v>79.5591</v>
      </c>
      <c r="AD1190" s="62" t="n">
        <f aca="false">AB1190/S1190-1</f>
        <v>0.508797208246345</v>
      </c>
      <c r="AE1190" s="60" t="str">
        <f aca="false">IF(AB1190&lt;S1190,"SIM","NÃO")</f>
        <v>NÃO</v>
      </c>
      <c r="AF1190" s="60" t="n">
        <v>13</v>
      </c>
      <c r="AG1190" s="60" t="n">
        <v>10</v>
      </c>
      <c r="AH1190" s="60" t="s">
        <v>385</v>
      </c>
      <c r="AI1190" s="61" t="n">
        <f aca="false">(T1190*(1-Painel!$C$40)+U1190+V1190+Painel!$C$41+Painel!$C$42*CEILING(G1190/100,1)+Painel!$C$43*CEILING(G1190,1)+Z1190)/(1-Resumo!$B$5)</f>
        <v>165.168727272727</v>
      </c>
      <c r="AJ1190" s="60" t="str">
        <f aca="false">IF(AI1190&lt;S1190,"SIM","NÃO")</f>
        <v>NÃO</v>
      </c>
    </row>
    <row r="1191" customFormat="false" ht="15" hidden="false" customHeight="false" outlineLevel="0" collapsed="false">
      <c r="A1191" s="59" t="n">
        <v>46252.6272106482</v>
      </c>
      <c r="B1191" s="60" t="s">
        <v>1493</v>
      </c>
      <c r="C1191" s="60" t="n">
        <v>20250450</v>
      </c>
      <c r="D1191" s="60" t="s">
        <v>46</v>
      </c>
      <c r="E1191" s="60" t="s">
        <v>22</v>
      </c>
      <c r="F1191" s="60" t="s">
        <v>235</v>
      </c>
      <c r="G1191" s="60" t="n">
        <v>41.4</v>
      </c>
      <c r="H1191" s="61" t="n">
        <v>449.99</v>
      </c>
      <c r="I1191" s="61" t="n">
        <v>53.55</v>
      </c>
      <c r="J1191" s="61" t="n">
        <f aca="false">H1191*Resumo!$C$6</f>
        <v>0</v>
      </c>
      <c r="K1191" s="61" t="n">
        <f aca="false">H1191*Resumo!$C$7</f>
        <v>0.944979</v>
      </c>
      <c r="L1191" s="61" t="n">
        <f aca="false">H1191*Resumo!$C$8</f>
        <v>0.944979</v>
      </c>
      <c r="M1191" s="61" t="n">
        <f aca="false">Resumo!$C$10*CEILING(G1191/100,1)</f>
        <v>1.05</v>
      </c>
      <c r="N1191" s="61" t="n">
        <f aca="false">Resumo!$C$9</f>
        <v>0</v>
      </c>
      <c r="O1191" s="61" t="n">
        <f aca="false">Resumo!$C$13</f>
        <v>13.55</v>
      </c>
      <c r="P1191" s="61" t="n">
        <f aca="false">Resumo!$C$14*CEILING(G1191,1)</f>
        <v>18.9</v>
      </c>
      <c r="Q1191" s="61" t="n">
        <f aca="false">SUM(I1191:P1191)*Resumo!$C$11</f>
        <v>0</v>
      </c>
      <c r="R1191" s="61" t="n">
        <f aca="false">SUM(I1191:Q1191)</f>
        <v>88.939958</v>
      </c>
      <c r="S1191" s="61" t="n">
        <f aca="false">R1191/(1-Resumo!$C$5)</f>
        <v>101.068134090909</v>
      </c>
      <c r="T1191" s="61" t="n">
        <v>93.97</v>
      </c>
      <c r="U1191" s="61" t="n">
        <f aca="false">H1191*Resumo!$B$6</f>
        <v>0.44999</v>
      </c>
      <c r="V1191" s="61" t="n">
        <f aca="false">H1191*Resumo!$B$7</f>
        <v>0.89998</v>
      </c>
      <c r="W1191" s="61" t="n">
        <f aca="false">Resumo!$B$9</f>
        <v>1</v>
      </c>
      <c r="X1191" s="61" t="n">
        <f aca="false">Resumo!$B$10*CEILING(G1191/100,1)</f>
        <v>4.5</v>
      </c>
      <c r="Y1191" s="61" t="n">
        <f aca="false">Resumo!$B$12*CEILING(G1191,1)</f>
        <v>2.52</v>
      </c>
      <c r="Z1191" s="61" t="n">
        <f aca="false">Resumo!$B$14*CEILING(G1191,1)</f>
        <v>18.9</v>
      </c>
      <c r="AA1191" s="61" t="n">
        <f aca="false">SUM(T1191:Z1191)</f>
        <v>122.23997</v>
      </c>
      <c r="AB1191" s="61" t="n">
        <f aca="false">AA1191/(1-Resumo!$B$5)</f>
        <v>138.909056818182</v>
      </c>
      <c r="AC1191" s="61" t="n">
        <f aca="false">AB1191-S1191</f>
        <v>37.8409227272727</v>
      </c>
      <c r="AD1191" s="62" t="n">
        <f aca="false">AB1191/S1191-1</f>
        <v>0.374410026143705</v>
      </c>
      <c r="AE1191" s="60" t="str">
        <f aca="false">IF(AB1191&lt;S1191,"SIM","NÃO")</f>
        <v>NÃO</v>
      </c>
      <c r="AF1191" s="60" t="n">
        <v>2</v>
      </c>
      <c r="AG1191" s="60" t="n">
        <v>5</v>
      </c>
      <c r="AH1191" s="60" t="s">
        <v>382</v>
      </c>
      <c r="AI1191" s="61" t="n">
        <f aca="false">(T1191*(1-Painel!$C$40)+U1191+V1191+Painel!$C$41+Painel!$C$42*CEILING(G1191/100,1)+Painel!$C$43*CEILING(G1191,1)+Z1191)/(1-Resumo!$B$5)</f>
        <v>96.8862159090909</v>
      </c>
      <c r="AJ1191" s="60" t="str">
        <f aca="false">IF(AI1191&lt;S1191,"SIM","NÃO")</f>
        <v>SIM</v>
      </c>
    </row>
    <row r="1192" customFormat="false" ht="15" hidden="false" customHeight="false" outlineLevel="0" collapsed="false">
      <c r="A1192" s="59" t="n">
        <v>46252.6396412037</v>
      </c>
      <c r="B1192" s="60" t="s">
        <v>1494</v>
      </c>
      <c r="C1192" s="60" t="n">
        <v>28985445</v>
      </c>
      <c r="D1192" s="60" t="s">
        <v>222</v>
      </c>
      <c r="E1192" s="60" t="s">
        <v>24</v>
      </c>
      <c r="F1192" s="60" t="s">
        <v>234</v>
      </c>
      <c r="G1192" s="60" t="n">
        <v>39.8</v>
      </c>
      <c r="H1192" s="61" t="n">
        <v>559.98</v>
      </c>
      <c r="I1192" s="61" t="n">
        <v>74.97</v>
      </c>
      <c r="J1192" s="61" t="n">
        <f aca="false">H1192*Resumo!$C$6</f>
        <v>0</v>
      </c>
      <c r="K1192" s="61" t="n">
        <f aca="false">H1192*Resumo!$C$7</f>
        <v>1.175958</v>
      </c>
      <c r="L1192" s="61" t="n">
        <f aca="false">H1192*Resumo!$C$8</f>
        <v>1.175958</v>
      </c>
      <c r="M1192" s="61" t="n">
        <f aca="false">Resumo!$C$10*CEILING(G1192/100,1)</f>
        <v>1.05</v>
      </c>
      <c r="N1192" s="61" t="n">
        <f aca="false">Resumo!$C$9</f>
        <v>0</v>
      </c>
      <c r="O1192" s="61" t="n">
        <f aca="false">Resumo!$C$13</f>
        <v>13.55</v>
      </c>
      <c r="P1192" s="61" t="n">
        <f aca="false">Resumo!$C$14*CEILING(G1192,1)</f>
        <v>18</v>
      </c>
      <c r="Q1192" s="61" t="n">
        <f aca="false">SUM(I1192:P1192)*Resumo!$C$11</f>
        <v>0</v>
      </c>
      <c r="R1192" s="61" t="n">
        <f aca="false">SUM(I1192:Q1192)</f>
        <v>109.921916</v>
      </c>
      <c r="S1192" s="61" t="n">
        <f aca="false">R1192/(1-Resumo!$C$5)</f>
        <v>124.911268181818</v>
      </c>
      <c r="T1192" s="61" t="n">
        <v>124.38</v>
      </c>
      <c r="U1192" s="61" t="n">
        <f aca="false">H1192*Resumo!$B$6</f>
        <v>0.55998</v>
      </c>
      <c r="V1192" s="61" t="n">
        <f aca="false">H1192*Resumo!$B$7</f>
        <v>1.11996</v>
      </c>
      <c r="W1192" s="61" t="n">
        <f aca="false">Resumo!$B$9</f>
        <v>1</v>
      </c>
      <c r="X1192" s="61" t="n">
        <f aca="false">Resumo!$B$10*CEILING(G1192/100,1)</f>
        <v>4.5</v>
      </c>
      <c r="Y1192" s="61" t="n">
        <f aca="false">Resumo!$B$12*CEILING(G1192,1)</f>
        <v>2.4</v>
      </c>
      <c r="Z1192" s="61" t="n">
        <f aca="false">Resumo!$B$14*CEILING(G1192,1)</f>
        <v>18</v>
      </c>
      <c r="AA1192" s="61" t="n">
        <f aca="false">SUM(T1192:Z1192)</f>
        <v>151.95994</v>
      </c>
      <c r="AB1192" s="61" t="n">
        <f aca="false">AA1192/(1-Resumo!$B$5)</f>
        <v>172.68175</v>
      </c>
      <c r="AC1192" s="61" t="n">
        <f aca="false">AB1192-S1192</f>
        <v>47.7704818181818</v>
      </c>
      <c r="AD1192" s="62" t="n">
        <f aca="false">AB1192/S1192-1</f>
        <v>0.382435328001379</v>
      </c>
      <c r="AE1192" s="60" t="str">
        <f aca="false">IF(AB1192&lt;S1192,"SIM","NÃO")</f>
        <v>NÃO</v>
      </c>
      <c r="AF1192" s="60" t="n">
        <v>13</v>
      </c>
      <c r="AG1192" s="60" t="n">
        <v>10</v>
      </c>
      <c r="AH1192" s="60" t="s">
        <v>382</v>
      </c>
      <c r="AI1192" s="61" t="n">
        <f aca="false">(T1192*(1-Painel!$C$40)+U1192+V1192+Painel!$C$41+Painel!$C$42*CEILING(G1192/100,1)+Painel!$C$43*CEILING(G1192,1)+Z1192)/(1-Resumo!$B$5)</f>
        <v>119.391522727273</v>
      </c>
      <c r="AJ1192" s="60" t="str">
        <f aca="false">IF(AI1192&lt;S1192,"SIM","NÃO")</f>
        <v>SIM</v>
      </c>
    </row>
    <row r="1193" customFormat="false" ht="15" hidden="false" customHeight="false" outlineLevel="0" collapsed="false">
      <c r="A1193" s="59" t="n">
        <v>46252.6521064815</v>
      </c>
      <c r="B1193" s="60" t="s">
        <v>1495</v>
      </c>
      <c r="C1193" s="60" t="n">
        <v>23085600</v>
      </c>
      <c r="D1193" s="60" t="s">
        <v>46</v>
      </c>
      <c r="E1193" s="60" t="s">
        <v>22</v>
      </c>
      <c r="F1193" s="60" t="s">
        <v>238</v>
      </c>
      <c r="G1193" s="60" t="n">
        <v>74.4</v>
      </c>
      <c r="H1193" s="61" t="n">
        <v>879.99</v>
      </c>
      <c r="I1193" s="61" t="n">
        <v>68.88</v>
      </c>
      <c r="J1193" s="61" t="n">
        <f aca="false">H1193*Resumo!$C$6</f>
        <v>0</v>
      </c>
      <c r="K1193" s="61" t="n">
        <f aca="false">H1193*Resumo!$C$7</f>
        <v>1.847979</v>
      </c>
      <c r="L1193" s="61" t="n">
        <f aca="false">H1193*Resumo!$C$8</f>
        <v>1.847979</v>
      </c>
      <c r="M1193" s="61" t="n">
        <f aca="false">Resumo!$C$10*CEILING(G1193/100,1)</f>
        <v>1.05</v>
      </c>
      <c r="N1193" s="61" t="n">
        <f aca="false">Resumo!$C$9</f>
        <v>0</v>
      </c>
      <c r="O1193" s="61" t="n">
        <f aca="false">Resumo!$C$13</f>
        <v>13.55</v>
      </c>
      <c r="P1193" s="61" t="n">
        <f aca="false">Resumo!$C$14*CEILING(G1193,1)</f>
        <v>33.75</v>
      </c>
      <c r="Q1193" s="61" t="n">
        <f aca="false">SUM(I1193:P1193)*Resumo!$C$11</f>
        <v>0</v>
      </c>
      <c r="R1193" s="61" t="n">
        <f aca="false">SUM(I1193:Q1193)</f>
        <v>120.925958</v>
      </c>
      <c r="S1193" s="61" t="n">
        <f aca="false">R1193/(1-Resumo!$C$5)</f>
        <v>137.415861363636</v>
      </c>
      <c r="T1193" s="61" t="n">
        <v>134.39</v>
      </c>
      <c r="U1193" s="61" t="n">
        <f aca="false">H1193*Resumo!$B$6</f>
        <v>0.87999</v>
      </c>
      <c r="V1193" s="61" t="n">
        <f aca="false">H1193*Resumo!$B$7</f>
        <v>1.75998</v>
      </c>
      <c r="W1193" s="61" t="n">
        <f aca="false">Resumo!$B$9</f>
        <v>1</v>
      </c>
      <c r="X1193" s="61" t="n">
        <f aca="false">Resumo!$B$10*CEILING(G1193/100,1)</f>
        <v>4.5</v>
      </c>
      <c r="Y1193" s="61" t="n">
        <f aca="false">Resumo!$B$12*CEILING(G1193,1)</f>
        <v>4.5</v>
      </c>
      <c r="Z1193" s="61" t="n">
        <f aca="false">Resumo!$B$14*CEILING(G1193,1)</f>
        <v>33.75</v>
      </c>
      <c r="AA1193" s="61" t="n">
        <f aca="false">SUM(T1193:Z1193)</f>
        <v>180.77997</v>
      </c>
      <c r="AB1193" s="61" t="n">
        <f aca="false">AA1193/(1-Resumo!$B$5)</f>
        <v>205.431784090909</v>
      </c>
      <c r="AC1193" s="61" t="n">
        <f aca="false">AB1193-S1193</f>
        <v>68.0159227272727</v>
      </c>
      <c r="AD1193" s="62" t="n">
        <f aca="false">AB1193/S1193-1</f>
        <v>0.494964133341826</v>
      </c>
      <c r="AE1193" s="60" t="str">
        <f aca="false">IF(AB1193&lt;S1193,"SIM","NÃO")</f>
        <v>NÃO</v>
      </c>
      <c r="AF1193" s="60" t="n">
        <v>2</v>
      </c>
      <c r="AG1193" s="60" t="n">
        <v>5</v>
      </c>
      <c r="AH1193" s="60" t="s">
        <v>382</v>
      </c>
      <c r="AI1193" s="61" t="n">
        <f aca="false">(T1193*(1-Painel!$C$40)+U1193+V1193+Painel!$C$41+Painel!$C$42*CEILING(G1193/100,1)+Painel!$C$43*CEILING(G1193,1)+Z1193)/(1-Resumo!$B$5)</f>
        <v>146.001443181818</v>
      </c>
      <c r="AJ1193" s="60" t="str">
        <f aca="false">IF(AI1193&lt;S1193,"SIM","NÃO")</f>
        <v>NÃO</v>
      </c>
    </row>
    <row r="1194" customFormat="false" ht="15" hidden="false" customHeight="false" outlineLevel="0" collapsed="false">
      <c r="A1194" s="59" t="n">
        <v>46252.7386921296</v>
      </c>
      <c r="B1194" s="60" t="s">
        <v>1496</v>
      </c>
      <c r="C1194" s="60" t="n">
        <v>24934510</v>
      </c>
      <c r="D1194" s="60" t="s">
        <v>220</v>
      </c>
      <c r="E1194" s="60" t="s">
        <v>24</v>
      </c>
      <c r="F1194" s="60" t="s">
        <v>237</v>
      </c>
      <c r="G1194" s="60" t="n">
        <v>61.4</v>
      </c>
      <c r="H1194" s="61" t="n">
        <v>999.99</v>
      </c>
      <c r="I1194" s="61" t="n">
        <v>90.2</v>
      </c>
      <c r="J1194" s="61" t="n">
        <f aca="false">H1194*Resumo!$C$6</f>
        <v>0</v>
      </c>
      <c r="K1194" s="61" t="n">
        <f aca="false">H1194*Resumo!$C$7</f>
        <v>2.099979</v>
      </c>
      <c r="L1194" s="61" t="n">
        <f aca="false">H1194*Resumo!$C$8</f>
        <v>2.099979</v>
      </c>
      <c r="M1194" s="61" t="n">
        <f aca="false">Resumo!$C$10*CEILING(G1194/100,1)</f>
        <v>1.05</v>
      </c>
      <c r="N1194" s="61" t="n">
        <f aca="false">Resumo!$C$9</f>
        <v>0</v>
      </c>
      <c r="O1194" s="61" t="n">
        <f aca="false">Resumo!$C$13</f>
        <v>13.55</v>
      </c>
      <c r="P1194" s="61" t="n">
        <f aca="false">Resumo!$C$14*CEILING(G1194,1)</f>
        <v>27.9</v>
      </c>
      <c r="Q1194" s="61" t="n">
        <f aca="false">SUM(I1194:P1194)*Resumo!$C$11</f>
        <v>0</v>
      </c>
      <c r="R1194" s="61" t="n">
        <f aca="false">SUM(I1194:Q1194)</f>
        <v>136.899958</v>
      </c>
      <c r="S1194" s="61" t="n">
        <f aca="false">R1194/(1-Resumo!$C$5)</f>
        <v>155.568134090909</v>
      </c>
      <c r="T1194" s="61" t="n">
        <v>149.5</v>
      </c>
      <c r="U1194" s="61" t="n">
        <f aca="false">H1194*Resumo!$B$6</f>
        <v>0.99999</v>
      </c>
      <c r="V1194" s="61" t="n">
        <f aca="false">H1194*Resumo!$B$7</f>
        <v>1.99998</v>
      </c>
      <c r="W1194" s="61" t="n">
        <f aca="false">Resumo!$B$9</f>
        <v>1</v>
      </c>
      <c r="X1194" s="61" t="n">
        <f aca="false">Resumo!$B$10*CEILING(G1194/100,1)</f>
        <v>4.5</v>
      </c>
      <c r="Y1194" s="61" t="n">
        <f aca="false">Resumo!$B$12*CEILING(G1194,1)</f>
        <v>3.72</v>
      </c>
      <c r="Z1194" s="61" t="n">
        <f aca="false">Resumo!$B$14*CEILING(G1194,1)</f>
        <v>27.9</v>
      </c>
      <c r="AA1194" s="61" t="n">
        <f aca="false">SUM(T1194:Z1194)</f>
        <v>189.61997</v>
      </c>
      <c r="AB1194" s="61" t="n">
        <f aca="false">AA1194/(1-Resumo!$B$5)</f>
        <v>215.477238636364</v>
      </c>
      <c r="AC1194" s="61" t="n">
        <f aca="false">AB1194-S1194</f>
        <v>59.9091045454545</v>
      </c>
      <c r="AD1194" s="62" t="n">
        <f aca="false">AB1194/S1194-1</f>
        <v>0.385098817926591</v>
      </c>
      <c r="AE1194" s="60" t="str">
        <f aca="false">IF(AB1194&lt;S1194,"SIM","NÃO")</f>
        <v>NÃO</v>
      </c>
      <c r="AF1194" s="60" t="n">
        <v>13</v>
      </c>
      <c r="AG1194" s="60" t="n">
        <v>7</v>
      </c>
      <c r="AH1194" s="60" t="s">
        <v>382</v>
      </c>
      <c r="AI1194" s="61" t="n">
        <f aca="false">(T1194*(1-Painel!$C$40)+U1194+V1194+Painel!$C$41+Painel!$C$42*CEILING(G1194/100,1)+Painel!$C$43*CEILING(G1194,1)+Z1194)/(1-Resumo!$B$5)</f>
        <v>151.267011363636</v>
      </c>
      <c r="AJ1194" s="60" t="str">
        <f aca="false">IF(AI1194&lt;S1194,"SIM","NÃO")</f>
        <v>SIM</v>
      </c>
    </row>
    <row r="1195" customFormat="false" ht="15" hidden="false" customHeight="false" outlineLevel="0" collapsed="false">
      <c r="A1195" s="59" t="n">
        <v>46252.7437268519</v>
      </c>
      <c r="B1195" s="60" t="s">
        <v>755</v>
      </c>
      <c r="C1195" s="60" t="n">
        <v>24310340</v>
      </c>
      <c r="D1195" s="60" t="s">
        <v>50</v>
      </c>
      <c r="E1195" s="60" t="s">
        <v>23</v>
      </c>
      <c r="F1195" s="60" t="s">
        <v>235</v>
      </c>
      <c r="G1195" s="60" t="n">
        <v>48</v>
      </c>
      <c r="H1195" s="61" t="n">
        <v>806.69</v>
      </c>
      <c r="I1195" s="61" t="n">
        <v>65.36</v>
      </c>
      <c r="J1195" s="61" t="n">
        <f aca="false">H1195*Resumo!$C$6</f>
        <v>0</v>
      </c>
      <c r="K1195" s="61" t="n">
        <f aca="false">H1195*Resumo!$C$7</f>
        <v>1.694049</v>
      </c>
      <c r="L1195" s="61" t="n">
        <f aca="false">H1195*Resumo!$C$8</f>
        <v>1.694049</v>
      </c>
      <c r="M1195" s="61" t="n">
        <f aca="false">Resumo!$C$10*CEILING(G1195/100,1)</f>
        <v>1.05</v>
      </c>
      <c r="N1195" s="61" t="n">
        <f aca="false">Resumo!$C$9</f>
        <v>0</v>
      </c>
      <c r="O1195" s="61" t="n">
        <f aca="false">Resumo!$C$13</f>
        <v>13.55</v>
      </c>
      <c r="P1195" s="61" t="n">
        <f aca="false">Resumo!$C$14*CEILING(G1195,1)</f>
        <v>21.6</v>
      </c>
      <c r="Q1195" s="61" t="n">
        <f aca="false">SUM(I1195:P1195)*Resumo!$C$11</f>
        <v>0</v>
      </c>
      <c r="R1195" s="61" t="n">
        <f aca="false">SUM(I1195:Q1195)</f>
        <v>104.948098</v>
      </c>
      <c r="S1195" s="61" t="n">
        <f aca="false">R1195/(1-Resumo!$C$5)</f>
        <v>119.259202272727</v>
      </c>
      <c r="T1195" s="61" t="n">
        <v>114.95</v>
      </c>
      <c r="U1195" s="61" t="n">
        <f aca="false">H1195*Resumo!$B$6</f>
        <v>0.80669</v>
      </c>
      <c r="V1195" s="61" t="n">
        <f aca="false">H1195*Resumo!$B$7</f>
        <v>1.61338</v>
      </c>
      <c r="W1195" s="61" t="n">
        <f aca="false">Resumo!$B$9</f>
        <v>1</v>
      </c>
      <c r="X1195" s="61" t="n">
        <f aca="false">Resumo!$B$10*CEILING(G1195/100,1)</f>
        <v>4.5</v>
      </c>
      <c r="Y1195" s="61" t="n">
        <f aca="false">Resumo!$B$12*CEILING(G1195,1)</f>
        <v>2.88</v>
      </c>
      <c r="Z1195" s="61" t="n">
        <f aca="false">Resumo!$B$14*CEILING(G1195,1)</f>
        <v>21.6</v>
      </c>
      <c r="AA1195" s="61" t="n">
        <f aca="false">SUM(T1195:Z1195)</f>
        <v>147.35007</v>
      </c>
      <c r="AB1195" s="61" t="n">
        <f aca="false">AA1195/(1-Resumo!$B$5)</f>
        <v>167.443261363636</v>
      </c>
      <c r="AC1195" s="61" t="n">
        <f aca="false">AB1195-S1195</f>
        <v>48.1840590909091</v>
      </c>
      <c r="AD1195" s="62" t="n">
        <f aca="false">AB1195/S1195-1</f>
        <v>0.404028017735014</v>
      </c>
      <c r="AE1195" s="60" t="str">
        <f aca="false">IF(AB1195&lt;S1195,"SIM","NÃO")</f>
        <v>NÃO</v>
      </c>
      <c r="AF1195" s="60" t="n">
        <v>2</v>
      </c>
      <c r="AG1195" s="60" t="n">
        <v>7</v>
      </c>
      <c r="AH1195" s="60" t="s">
        <v>382</v>
      </c>
      <c r="AI1195" s="61" t="n">
        <f aca="false">(T1195*(1-Painel!$C$40)+U1195+V1195+Painel!$C$41+Painel!$C$42*CEILING(G1195/100,1)+Painel!$C$43*CEILING(G1195,1)+Z1195)/(1-Resumo!$B$5)</f>
        <v>117.143829545455</v>
      </c>
      <c r="AJ1195" s="60" t="str">
        <f aca="false">IF(AI1195&lt;S1195,"SIM","NÃO")</f>
        <v>SIM</v>
      </c>
    </row>
    <row r="1196" customFormat="false" ht="15" hidden="false" customHeight="false" outlineLevel="0" collapsed="false">
      <c r="A1196" s="59" t="n">
        <v>46252.7577083333</v>
      </c>
      <c r="B1196" s="60" t="s">
        <v>1497</v>
      </c>
      <c r="C1196" s="60" t="n">
        <v>21540400</v>
      </c>
      <c r="D1196" s="60" t="s">
        <v>46</v>
      </c>
      <c r="E1196" s="60" t="s">
        <v>22</v>
      </c>
      <c r="F1196" s="60" t="s">
        <v>236</v>
      </c>
      <c r="G1196" s="60" t="n">
        <v>59.9</v>
      </c>
      <c r="H1196" s="61" t="n">
        <v>959.31</v>
      </c>
      <c r="I1196" s="61" t="n">
        <v>58.6</v>
      </c>
      <c r="J1196" s="61" t="n">
        <f aca="false">H1196*Resumo!$C$6</f>
        <v>0</v>
      </c>
      <c r="K1196" s="61" t="n">
        <f aca="false">H1196*Resumo!$C$7</f>
        <v>2.014551</v>
      </c>
      <c r="L1196" s="61" t="n">
        <f aca="false">H1196*Resumo!$C$8</f>
        <v>2.014551</v>
      </c>
      <c r="M1196" s="61" t="n">
        <f aca="false">Resumo!$C$10*CEILING(G1196/100,1)</f>
        <v>1.05</v>
      </c>
      <c r="N1196" s="61" t="n">
        <f aca="false">Resumo!$C$9</f>
        <v>0</v>
      </c>
      <c r="O1196" s="61" t="n">
        <f aca="false">Resumo!$C$13</f>
        <v>13.55</v>
      </c>
      <c r="P1196" s="61" t="n">
        <f aca="false">Resumo!$C$14*CEILING(G1196,1)</f>
        <v>27</v>
      </c>
      <c r="Q1196" s="61" t="n">
        <f aca="false">SUM(I1196:P1196)*Resumo!$C$11</f>
        <v>0</v>
      </c>
      <c r="R1196" s="61" t="n">
        <f aca="false">SUM(I1196:Q1196)</f>
        <v>104.229102</v>
      </c>
      <c r="S1196" s="61" t="n">
        <f aca="false">R1196/(1-Resumo!$C$5)</f>
        <v>118.442161363636</v>
      </c>
      <c r="T1196" s="61" t="n">
        <v>112.3</v>
      </c>
      <c r="U1196" s="61" t="n">
        <f aca="false">H1196*Resumo!$B$6</f>
        <v>0.95931</v>
      </c>
      <c r="V1196" s="61" t="n">
        <f aca="false">H1196*Resumo!$B$7</f>
        <v>1.91862</v>
      </c>
      <c r="W1196" s="61" t="n">
        <f aca="false">Resumo!$B$9</f>
        <v>1</v>
      </c>
      <c r="X1196" s="61" t="n">
        <f aca="false">Resumo!$B$10*CEILING(G1196/100,1)</f>
        <v>4.5</v>
      </c>
      <c r="Y1196" s="61" t="n">
        <f aca="false">Resumo!$B$12*CEILING(G1196,1)</f>
        <v>3.6</v>
      </c>
      <c r="Z1196" s="61" t="n">
        <f aca="false">Resumo!$B$14*CEILING(G1196,1)</f>
        <v>27</v>
      </c>
      <c r="AA1196" s="61" t="n">
        <f aca="false">SUM(T1196:Z1196)</f>
        <v>151.27793</v>
      </c>
      <c r="AB1196" s="61" t="n">
        <f aca="false">AA1196/(1-Resumo!$B$5)</f>
        <v>171.906738636364</v>
      </c>
      <c r="AC1196" s="61" t="n">
        <f aca="false">AB1196-S1196</f>
        <v>53.4645772727273</v>
      </c>
      <c r="AD1196" s="62" t="n">
        <f aca="false">AB1196/S1196-1</f>
        <v>0.451398190113928</v>
      </c>
      <c r="AE1196" s="60" t="str">
        <f aca="false">IF(AB1196&lt;S1196,"SIM","NÃO")</f>
        <v>NÃO</v>
      </c>
      <c r="AF1196" s="60" t="n">
        <v>2</v>
      </c>
      <c r="AG1196" s="60" t="n">
        <v>5</v>
      </c>
      <c r="AH1196" s="60" t="s">
        <v>382</v>
      </c>
      <c r="AI1196" s="61" t="n">
        <f aca="false">(T1196*(1-Painel!$C$40)+U1196+V1196+Painel!$C$41+Painel!$C$42*CEILING(G1196/100,1)+Painel!$C$43*CEILING(G1196,1)+Z1196)/(1-Resumo!$B$5)</f>
        <v>121.782875</v>
      </c>
      <c r="AJ1196" s="60" t="str">
        <f aca="false">IF(AI1196&lt;S1196,"SIM","NÃO")</f>
        <v>NÃO</v>
      </c>
    </row>
    <row r="1197" customFormat="false" ht="15" hidden="false" customHeight="false" outlineLevel="0" collapsed="false">
      <c r="A1197" s="59" t="n">
        <v>46252.7765277778</v>
      </c>
      <c r="B1197" s="60" t="s">
        <v>1498</v>
      </c>
      <c r="C1197" s="60" t="n">
        <v>27580001</v>
      </c>
      <c r="D1197" s="60" t="s">
        <v>298</v>
      </c>
      <c r="E1197" s="60" t="s">
        <v>24</v>
      </c>
      <c r="F1197" s="60" t="s">
        <v>233</v>
      </c>
      <c r="G1197" s="60" t="n">
        <v>30.5</v>
      </c>
      <c r="H1197" s="61" t="n">
        <v>439.99</v>
      </c>
      <c r="I1197" s="61" t="n">
        <v>65.63</v>
      </c>
      <c r="J1197" s="61" t="n">
        <f aca="false">H1197*Resumo!$C$6</f>
        <v>0</v>
      </c>
      <c r="K1197" s="61" t="n">
        <f aca="false">H1197*Resumo!$C$7</f>
        <v>0.923979</v>
      </c>
      <c r="L1197" s="61" t="n">
        <f aca="false">H1197*Resumo!$C$8</f>
        <v>0.923979</v>
      </c>
      <c r="M1197" s="61" t="n">
        <f aca="false">Resumo!$C$10*CEILING(G1197/100,1)</f>
        <v>1.05</v>
      </c>
      <c r="N1197" s="61" t="n">
        <f aca="false">Resumo!$C$9</f>
        <v>0</v>
      </c>
      <c r="O1197" s="61" t="n">
        <f aca="false">Resumo!$C$13</f>
        <v>13.55</v>
      </c>
      <c r="P1197" s="61" t="n">
        <f aca="false">Resumo!$C$14*CEILING(G1197,1)</f>
        <v>13.95</v>
      </c>
      <c r="Q1197" s="61" t="n">
        <f aca="false">SUM(I1197:P1197)*Resumo!$C$11</f>
        <v>0</v>
      </c>
      <c r="R1197" s="61" t="n">
        <f aca="false">SUM(I1197:Q1197)</f>
        <v>96.027958</v>
      </c>
      <c r="S1197" s="61" t="n">
        <f aca="false">R1197/(1-Resumo!$C$5)</f>
        <v>109.122679545455</v>
      </c>
      <c r="T1197" s="61" t="n">
        <v>108.83</v>
      </c>
      <c r="U1197" s="61" t="n">
        <f aca="false">H1197*Resumo!$B$6</f>
        <v>0.43999</v>
      </c>
      <c r="V1197" s="61" t="n">
        <f aca="false">H1197*Resumo!$B$7</f>
        <v>0.87998</v>
      </c>
      <c r="W1197" s="61" t="n">
        <f aca="false">Resumo!$B$9</f>
        <v>1</v>
      </c>
      <c r="X1197" s="61" t="n">
        <f aca="false">Resumo!$B$10*CEILING(G1197/100,1)</f>
        <v>4.5</v>
      </c>
      <c r="Y1197" s="61" t="n">
        <f aca="false">Resumo!$B$12*CEILING(G1197,1)</f>
        <v>1.86</v>
      </c>
      <c r="Z1197" s="61" t="n">
        <f aca="false">Resumo!$B$14*CEILING(G1197,1)</f>
        <v>13.95</v>
      </c>
      <c r="AA1197" s="61" t="n">
        <f aca="false">SUM(T1197:Z1197)</f>
        <v>131.45997</v>
      </c>
      <c r="AB1197" s="61" t="n">
        <f aca="false">AA1197/(1-Resumo!$B$5)</f>
        <v>149.386329545455</v>
      </c>
      <c r="AC1197" s="61" t="n">
        <f aca="false">AB1197-S1197</f>
        <v>40.26365</v>
      </c>
      <c r="AD1197" s="62" t="n">
        <f aca="false">AB1197/S1197-1</f>
        <v>0.368976001759821</v>
      </c>
      <c r="AE1197" s="60" t="str">
        <f aca="false">IF(AB1197&lt;S1197,"SIM","NÃO")</f>
        <v>NÃO</v>
      </c>
      <c r="AF1197" s="60" t="n">
        <v>13</v>
      </c>
      <c r="AG1197" s="60" t="n">
        <v>10</v>
      </c>
      <c r="AH1197" s="60" t="s">
        <v>385</v>
      </c>
      <c r="AI1197" s="61" t="n">
        <f aca="false">(T1197*(1-Painel!$C$40)+U1197+V1197+Painel!$C$41+Painel!$C$42*CEILING(G1197/100,1)+Painel!$C$43*CEILING(G1197,1)+Z1197)/(1-Resumo!$B$5)</f>
        <v>102.540988636364</v>
      </c>
      <c r="AJ1197" s="60" t="str">
        <f aca="false">IF(AI1197&lt;S1197,"SIM","NÃO")</f>
        <v>SIM</v>
      </c>
    </row>
    <row r="1198" customFormat="false" ht="15" hidden="false" customHeight="false" outlineLevel="0" collapsed="false">
      <c r="A1198" s="59" t="n">
        <v>46252.7908564815</v>
      </c>
      <c r="B1198" s="60" t="s">
        <v>1499</v>
      </c>
      <c r="C1198" s="60" t="n">
        <v>27943120</v>
      </c>
      <c r="D1198" s="60" t="s">
        <v>53</v>
      </c>
      <c r="E1198" s="60" t="s">
        <v>24</v>
      </c>
      <c r="F1198" s="60" t="s">
        <v>236</v>
      </c>
      <c r="G1198" s="60" t="n">
        <v>52.3</v>
      </c>
      <c r="H1198" s="61" t="n">
        <v>616.39</v>
      </c>
      <c r="I1198" s="61" t="n">
        <v>83.58</v>
      </c>
      <c r="J1198" s="61" t="n">
        <f aca="false">H1198*Resumo!$C$6</f>
        <v>0</v>
      </c>
      <c r="K1198" s="61" t="n">
        <f aca="false">H1198*Resumo!$C$7</f>
        <v>1.294419</v>
      </c>
      <c r="L1198" s="61" t="n">
        <f aca="false">H1198*Resumo!$C$8</f>
        <v>1.294419</v>
      </c>
      <c r="M1198" s="61" t="n">
        <f aca="false">Resumo!$C$10*CEILING(G1198/100,1)</f>
        <v>1.05</v>
      </c>
      <c r="N1198" s="61" t="n">
        <f aca="false">Resumo!$C$9</f>
        <v>0</v>
      </c>
      <c r="O1198" s="61" t="n">
        <f aca="false">Resumo!$C$13</f>
        <v>13.55</v>
      </c>
      <c r="P1198" s="61" t="n">
        <f aca="false">Resumo!$C$14*CEILING(G1198,1)</f>
        <v>23.85</v>
      </c>
      <c r="Q1198" s="61" t="n">
        <f aca="false">SUM(I1198:P1198)*Resumo!$C$11</f>
        <v>0</v>
      </c>
      <c r="R1198" s="61" t="n">
        <f aca="false">SUM(I1198:Q1198)</f>
        <v>124.618838</v>
      </c>
      <c r="S1198" s="61" t="n">
        <f aca="false">R1198/(1-Resumo!$C$5)</f>
        <v>141.612315909091</v>
      </c>
      <c r="T1198" s="61" t="n">
        <v>162.04</v>
      </c>
      <c r="U1198" s="61" t="n">
        <f aca="false">H1198*Resumo!$B$6</f>
        <v>0.61639</v>
      </c>
      <c r="V1198" s="61" t="n">
        <f aca="false">H1198*Resumo!$B$7</f>
        <v>1.23278</v>
      </c>
      <c r="W1198" s="61" t="n">
        <f aca="false">Resumo!$B$9</f>
        <v>1</v>
      </c>
      <c r="X1198" s="61" t="n">
        <f aca="false">Resumo!$B$10*CEILING(G1198/100,1)</f>
        <v>4.5</v>
      </c>
      <c r="Y1198" s="61" t="n">
        <f aca="false">Resumo!$B$12*CEILING(G1198,1)</f>
        <v>3.18</v>
      </c>
      <c r="Z1198" s="61" t="n">
        <f aca="false">Resumo!$B$14*CEILING(G1198,1)</f>
        <v>23.85</v>
      </c>
      <c r="AA1198" s="61" t="n">
        <f aca="false">SUM(T1198:Z1198)</f>
        <v>196.41917</v>
      </c>
      <c r="AB1198" s="61" t="n">
        <f aca="false">AA1198/(1-Resumo!$B$5)</f>
        <v>223.203602272727</v>
      </c>
      <c r="AC1198" s="61" t="n">
        <f aca="false">AB1198-S1198</f>
        <v>81.5912863636363</v>
      </c>
      <c r="AD1198" s="62" t="n">
        <f aca="false">AB1198/S1198-1</f>
        <v>0.576159536971449</v>
      </c>
      <c r="AE1198" s="60" t="str">
        <f aca="false">IF(AB1198&lt;S1198,"SIM","NÃO")</f>
        <v>NÃO</v>
      </c>
      <c r="AF1198" s="60" t="n">
        <v>13</v>
      </c>
      <c r="AG1198" s="60" t="n">
        <v>11</v>
      </c>
      <c r="AH1198" s="60" t="s">
        <v>382</v>
      </c>
      <c r="AI1198" s="61" t="n">
        <f aca="false">(T1198*(1-Painel!$C$40)+U1198+V1198+Painel!$C$41+Painel!$C$42*CEILING(G1198/100,1)+Painel!$C$43*CEILING(G1198,1)+Z1198)/(1-Resumo!$B$5)</f>
        <v>154.904511363636</v>
      </c>
      <c r="AJ1198" s="60" t="str">
        <f aca="false">IF(AI1198&lt;S1198,"SIM","NÃO")</f>
        <v>NÃO</v>
      </c>
    </row>
    <row r="1199" customFormat="false" ht="15" hidden="false" customHeight="false" outlineLevel="0" collapsed="false">
      <c r="A1199" s="59" t="n">
        <v>46252.8006481482</v>
      </c>
      <c r="B1199" s="60" t="s">
        <v>922</v>
      </c>
      <c r="C1199" s="60" t="n">
        <v>26291320</v>
      </c>
      <c r="D1199" s="60" t="s">
        <v>49</v>
      </c>
      <c r="E1199" s="60" t="s">
        <v>23</v>
      </c>
      <c r="F1199" s="60" t="s">
        <v>235</v>
      </c>
      <c r="G1199" s="60" t="n">
        <v>48</v>
      </c>
      <c r="H1199" s="61" t="n">
        <v>929.99</v>
      </c>
      <c r="I1199" s="61" t="n">
        <v>65.36</v>
      </c>
      <c r="J1199" s="61" t="n">
        <f aca="false">H1199*Resumo!$C$6</f>
        <v>0</v>
      </c>
      <c r="K1199" s="61" t="n">
        <f aca="false">H1199*Resumo!$C$7</f>
        <v>1.952979</v>
      </c>
      <c r="L1199" s="61" t="n">
        <f aca="false">H1199*Resumo!$C$8</f>
        <v>1.952979</v>
      </c>
      <c r="M1199" s="61" t="n">
        <f aca="false">Resumo!$C$10*CEILING(G1199/100,1)</f>
        <v>1.05</v>
      </c>
      <c r="N1199" s="61" t="n">
        <f aca="false">Resumo!$C$9</f>
        <v>0</v>
      </c>
      <c r="O1199" s="61" t="n">
        <f aca="false">Resumo!$C$13</f>
        <v>13.55</v>
      </c>
      <c r="P1199" s="61" t="n">
        <f aca="false">Resumo!$C$14*CEILING(G1199,1)</f>
        <v>21.6</v>
      </c>
      <c r="Q1199" s="61" t="n">
        <f aca="false">SUM(I1199:P1199)*Resumo!$C$11</f>
        <v>0</v>
      </c>
      <c r="R1199" s="61" t="n">
        <f aca="false">SUM(I1199:Q1199)</f>
        <v>105.465958</v>
      </c>
      <c r="S1199" s="61" t="n">
        <f aca="false">R1199/(1-Resumo!$C$5)</f>
        <v>119.847679545455</v>
      </c>
      <c r="T1199" s="61" t="n">
        <v>93.97</v>
      </c>
      <c r="U1199" s="61" t="n">
        <f aca="false">H1199*Resumo!$B$6</f>
        <v>0.92999</v>
      </c>
      <c r="V1199" s="61" t="n">
        <f aca="false">H1199*Resumo!$B$7</f>
        <v>1.85998</v>
      </c>
      <c r="W1199" s="61" t="n">
        <f aca="false">Resumo!$B$9</f>
        <v>1</v>
      </c>
      <c r="X1199" s="61" t="n">
        <f aca="false">Resumo!$B$10*CEILING(G1199/100,1)</f>
        <v>4.5</v>
      </c>
      <c r="Y1199" s="61" t="n">
        <f aca="false">Resumo!$B$12*CEILING(G1199,1)</f>
        <v>2.88</v>
      </c>
      <c r="Z1199" s="61" t="n">
        <f aca="false">Resumo!$B$14*CEILING(G1199,1)</f>
        <v>21.6</v>
      </c>
      <c r="AA1199" s="61" t="n">
        <f aca="false">SUM(T1199:Z1199)</f>
        <v>126.73997</v>
      </c>
      <c r="AB1199" s="61" t="n">
        <f aca="false">AA1199/(1-Resumo!$B$5)</f>
        <v>144.022693181818</v>
      </c>
      <c r="AC1199" s="61" t="n">
        <f aca="false">AB1199-S1199</f>
        <v>24.1750136363636</v>
      </c>
      <c r="AD1199" s="62" t="n">
        <f aca="false">AB1199/S1199-1</f>
        <v>0.201714490660579</v>
      </c>
      <c r="AE1199" s="60" t="str">
        <f aca="false">IF(AB1199&lt;S1199,"SIM","NÃO")</f>
        <v>NÃO</v>
      </c>
      <c r="AF1199" s="60" t="n">
        <v>2</v>
      </c>
      <c r="AG1199" s="60" t="n">
        <v>5</v>
      </c>
      <c r="AH1199" s="60" t="s">
        <v>382</v>
      </c>
      <c r="AI1199" s="61" t="n">
        <f aca="false">(T1199*(1-Painel!$C$40)+U1199+V1199+Painel!$C$41+Painel!$C$42*CEILING(G1199/100,1)+Painel!$C$43*CEILING(G1199,1)+Z1199)/(1-Resumo!$B$5)</f>
        <v>101.590761363636</v>
      </c>
      <c r="AJ1199" s="60" t="str">
        <f aca="false">IF(AI1199&lt;S1199,"SIM","NÃO")</f>
        <v>SIM</v>
      </c>
    </row>
    <row r="1200" customFormat="false" ht="15" hidden="false" customHeight="false" outlineLevel="0" collapsed="false">
      <c r="A1200" s="59" t="n">
        <v>46252.8498032407</v>
      </c>
      <c r="B1200" s="60" t="s">
        <v>1500</v>
      </c>
      <c r="C1200" s="60" t="n">
        <v>24736120</v>
      </c>
      <c r="D1200" s="60" t="s">
        <v>47</v>
      </c>
      <c r="E1200" s="60" t="s">
        <v>23</v>
      </c>
      <c r="F1200" s="60" t="s">
        <v>242</v>
      </c>
      <c r="G1200" s="60" t="n">
        <v>165.2</v>
      </c>
      <c r="H1200" s="61" t="n">
        <v>2059.99</v>
      </c>
      <c r="I1200" s="61" t="n">
        <v>139.81</v>
      </c>
      <c r="J1200" s="61" t="n">
        <f aca="false">H1200*Resumo!$C$6</f>
        <v>0</v>
      </c>
      <c r="K1200" s="61" t="n">
        <f aca="false">H1200*Resumo!$C$7</f>
        <v>4.325979</v>
      </c>
      <c r="L1200" s="61" t="n">
        <f aca="false">H1200*Resumo!$C$8</f>
        <v>4.325979</v>
      </c>
      <c r="M1200" s="61" t="n">
        <f aca="false">Resumo!$C$10*CEILING(G1200/100,1)</f>
        <v>2.1</v>
      </c>
      <c r="N1200" s="61" t="n">
        <f aca="false">Resumo!$C$9</f>
        <v>0</v>
      </c>
      <c r="O1200" s="61" t="n">
        <f aca="false">Resumo!$C$13</f>
        <v>13.55</v>
      </c>
      <c r="P1200" s="61" t="n">
        <f aca="false">Resumo!$C$14*CEILING(G1200,1)</f>
        <v>74.7</v>
      </c>
      <c r="Q1200" s="61" t="n">
        <f aca="false">SUM(I1200:P1200)*Resumo!$C$11</f>
        <v>0</v>
      </c>
      <c r="R1200" s="61" t="n">
        <f aca="false">SUM(I1200:Q1200)</f>
        <v>238.811958</v>
      </c>
      <c r="S1200" s="61" t="n">
        <f aca="false">R1200/(1-Resumo!$C$5)</f>
        <v>271.377225</v>
      </c>
      <c r="T1200" s="61" t="n">
        <v>282.23</v>
      </c>
      <c r="U1200" s="61" t="n">
        <f aca="false">H1200*Resumo!$B$6</f>
        <v>2.05999</v>
      </c>
      <c r="V1200" s="61" t="n">
        <f aca="false">H1200*Resumo!$B$7</f>
        <v>4.11998</v>
      </c>
      <c r="W1200" s="61" t="n">
        <f aca="false">Resumo!$B$9</f>
        <v>1</v>
      </c>
      <c r="X1200" s="61" t="n">
        <f aca="false">Resumo!$B$10*CEILING(G1200/100,1)</f>
        <v>9</v>
      </c>
      <c r="Y1200" s="61" t="n">
        <f aca="false">Resumo!$B$12*CEILING(G1200,1)</f>
        <v>9.96</v>
      </c>
      <c r="Z1200" s="61" t="n">
        <f aca="false">Resumo!$B$14*CEILING(G1200,1)</f>
        <v>74.7</v>
      </c>
      <c r="AA1200" s="61" t="n">
        <f aca="false">SUM(T1200:Z1200)</f>
        <v>383.06997</v>
      </c>
      <c r="AB1200" s="61" t="n">
        <f aca="false">AA1200/(1-Resumo!$B$5)</f>
        <v>435.306784090909</v>
      </c>
      <c r="AC1200" s="61" t="n">
        <f aca="false">AB1200-S1200</f>
        <v>163.929559090909</v>
      </c>
      <c r="AD1200" s="62" t="n">
        <f aca="false">AB1200/S1200-1</f>
        <v>0.60406527884169</v>
      </c>
      <c r="AE1200" s="60" t="str">
        <f aca="false">IF(AB1200&lt;S1200,"SIM","NÃO")</f>
        <v>NÃO</v>
      </c>
      <c r="AF1200" s="60" t="n">
        <v>2</v>
      </c>
      <c r="AG1200" s="60" t="n">
        <v>7</v>
      </c>
      <c r="AH1200" s="60" t="s">
        <v>382</v>
      </c>
      <c r="AI1200" s="61" t="n">
        <f aca="false">(T1200*(1-Painel!$C$40)+U1200+V1200+Painel!$C$41+Painel!$C$42*CEILING(G1200/100,1)+Painel!$C$43*CEILING(G1200,1)+Z1200)/(1-Resumo!$B$5)</f>
        <v>310.311443181818</v>
      </c>
      <c r="AJ1200" s="60" t="str">
        <f aca="false">IF(AI1200&lt;S1200,"SIM","NÃO")</f>
        <v>NÃO</v>
      </c>
    </row>
    <row r="1201" customFormat="false" ht="15" hidden="false" customHeight="false" outlineLevel="0" collapsed="false">
      <c r="A1201" s="59" t="n">
        <v>46252.8602662037</v>
      </c>
      <c r="B1201" s="60" t="s">
        <v>1501</v>
      </c>
      <c r="C1201" s="60" t="n">
        <v>24860100</v>
      </c>
      <c r="D1201" s="60" t="s">
        <v>223</v>
      </c>
      <c r="E1201" s="60" t="s">
        <v>24</v>
      </c>
      <c r="F1201" s="60" t="s">
        <v>233</v>
      </c>
      <c r="G1201" s="60" t="n">
        <v>27.6</v>
      </c>
      <c r="H1201" s="61" t="n">
        <v>629.99</v>
      </c>
      <c r="I1201" s="61" t="n">
        <v>65.63</v>
      </c>
      <c r="J1201" s="61" t="n">
        <f aca="false">H1201*Resumo!$C$6</f>
        <v>0</v>
      </c>
      <c r="K1201" s="61" t="n">
        <f aca="false">H1201*Resumo!$C$7</f>
        <v>1.322979</v>
      </c>
      <c r="L1201" s="61" t="n">
        <f aca="false">H1201*Resumo!$C$8</f>
        <v>1.322979</v>
      </c>
      <c r="M1201" s="61" t="n">
        <f aca="false">Resumo!$C$10*CEILING(G1201/100,1)</f>
        <v>1.05</v>
      </c>
      <c r="N1201" s="61" t="n">
        <f aca="false">Resumo!$C$9</f>
        <v>0</v>
      </c>
      <c r="O1201" s="61" t="n">
        <f aca="false">Resumo!$C$13</f>
        <v>13.55</v>
      </c>
      <c r="P1201" s="61" t="n">
        <f aca="false">Resumo!$C$14*CEILING(G1201,1)</f>
        <v>12.6</v>
      </c>
      <c r="Q1201" s="61" t="n">
        <f aca="false">SUM(I1201:P1201)*Resumo!$C$11</f>
        <v>0</v>
      </c>
      <c r="R1201" s="61" t="n">
        <f aca="false">SUM(I1201:Q1201)</f>
        <v>95.475958</v>
      </c>
      <c r="S1201" s="61" t="n">
        <f aca="false">R1201/(1-Resumo!$C$5)</f>
        <v>108.495406818182</v>
      </c>
      <c r="T1201" s="61" t="n">
        <v>100.58</v>
      </c>
      <c r="U1201" s="61" t="n">
        <f aca="false">H1201*Resumo!$B$6</f>
        <v>0.62999</v>
      </c>
      <c r="V1201" s="61" t="n">
        <f aca="false">H1201*Resumo!$B$7</f>
        <v>1.25998</v>
      </c>
      <c r="W1201" s="61" t="n">
        <f aca="false">Resumo!$B$9</f>
        <v>1</v>
      </c>
      <c r="X1201" s="61" t="n">
        <f aca="false">Resumo!$B$10*CEILING(G1201/100,1)</f>
        <v>4.5</v>
      </c>
      <c r="Y1201" s="61" t="n">
        <f aca="false">Resumo!$B$12*CEILING(G1201,1)</f>
        <v>1.68</v>
      </c>
      <c r="Z1201" s="61" t="n">
        <f aca="false">Resumo!$B$14*CEILING(G1201,1)</f>
        <v>12.6</v>
      </c>
      <c r="AA1201" s="61" t="n">
        <f aca="false">SUM(T1201:Z1201)</f>
        <v>122.24997</v>
      </c>
      <c r="AB1201" s="61" t="n">
        <f aca="false">AA1201/(1-Resumo!$B$5)</f>
        <v>138.920420454545</v>
      </c>
      <c r="AC1201" s="61" t="n">
        <f aca="false">AB1201-S1201</f>
        <v>30.4250136363636</v>
      </c>
      <c r="AD1201" s="62" t="n">
        <f aca="false">AB1201/S1201-1</f>
        <v>0.280426743662525</v>
      </c>
      <c r="AE1201" s="60" t="str">
        <f aca="false">IF(AB1201&lt;S1201,"SIM","NÃO")</f>
        <v>NÃO</v>
      </c>
      <c r="AF1201" s="60" t="n">
        <v>13</v>
      </c>
      <c r="AG1201" s="60" t="n">
        <v>7</v>
      </c>
      <c r="AH1201" s="60" t="s">
        <v>382</v>
      </c>
      <c r="AI1201" s="61" t="n">
        <f aca="false">(T1201*(1-Painel!$C$40)+U1201+V1201+Painel!$C$41+Painel!$C$42*CEILING(G1201/100,1)+Painel!$C$43*CEILING(G1201,1)+Z1201)/(1-Resumo!$B$5)</f>
        <v>95.373375</v>
      </c>
      <c r="AJ1201" s="60" t="str">
        <f aca="false">IF(AI1201&lt;S1201,"SIM","NÃO")</f>
        <v>SIM</v>
      </c>
    </row>
    <row r="1202" customFormat="false" ht="15" hidden="false" customHeight="false" outlineLevel="0" collapsed="false">
      <c r="A1202" s="59" t="n">
        <v>46252.8788310185</v>
      </c>
      <c r="B1202" s="60" t="s">
        <v>1502</v>
      </c>
      <c r="C1202" s="60" t="n">
        <v>21341332</v>
      </c>
      <c r="D1202" s="60" t="s">
        <v>46</v>
      </c>
      <c r="E1202" s="60" t="s">
        <v>22</v>
      </c>
      <c r="F1202" s="60" t="s">
        <v>235</v>
      </c>
      <c r="G1202" s="60" t="n">
        <v>41.4</v>
      </c>
      <c r="H1202" s="61" t="n">
        <v>387</v>
      </c>
      <c r="I1202" s="61" t="n">
        <v>53.55</v>
      </c>
      <c r="J1202" s="61" t="n">
        <f aca="false">H1202*Resumo!$C$6</f>
        <v>0</v>
      </c>
      <c r="K1202" s="61" t="n">
        <f aca="false">H1202*Resumo!$C$7</f>
        <v>0.8127</v>
      </c>
      <c r="L1202" s="61" t="n">
        <f aca="false">H1202*Resumo!$C$8</f>
        <v>0.8127</v>
      </c>
      <c r="M1202" s="61" t="n">
        <f aca="false">Resumo!$C$10*CEILING(G1202/100,1)</f>
        <v>1.05</v>
      </c>
      <c r="N1202" s="61" t="n">
        <f aca="false">Resumo!$C$9</f>
        <v>0</v>
      </c>
      <c r="O1202" s="61" t="n">
        <f aca="false">Resumo!$C$13</f>
        <v>13.55</v>
      </c>
      <c r="P1202" s="61" t="n">
        <f aca="false">Resumo!$C$14*CEILING(G1202,1)</f>
        <v>18.9</v>
      </c>
      <c r="Q1202" s="61" t="n">
        <f aca="false">SUM(I1202:P1202)*Resumo!$C$11</f>
        <v>0</v>
      </c>
      <c r="R1202" s="61" t="n">
        <f aca="false">SUM(I1202:Q1202)</f>
        <v>88.6754</v>
      </c>
      <c r="S1202" s="61" t="n">
        <f aca="false">R1202/(1-Resumo!$C$5)</f>
        <v>100.7675</v>
      </c>
      <c r="T1202" s="61" t="n">
        <v>93.97</v>
      </c>
      <c r="U1202" s="61" t="n">
        <f aca="false">H1202*Resumo!$B$6</f>
        <v>0.387</v>
      </c>
      <c r="V1202" s="61" t="n">
        <f aca="false">H1202*Resumo!$B$7</f>
        <v>0.774</v>
      </c>
      <c r="W1202" s="61" t="n">
        <f aca="false">Resumo!$B$9</f>
        <v>1</v>
      </c>
      <c r="X1202" s="61" t="n">
        <f aca="false">Resumo!$B$10*CEILING(G1202/100,1)</f>
        <v>4.5</v>
      </c>
      <c r="Y1202" s="61" t="n">
        <f aca="false">Resumo!$B$12*CEILING(G1202,1)</f>
        <v>2.52</v>
      </c>
      <c r="Z1202" s="61" t="n">
        <f aca="false">Resumo!$B$14*CEILING(G1202,1)</f>
        <v>18.9</v>
      </c>
      <c r="AA1202" s="61" t="n">
        <f aca="false">SUM(T1202:Z1202)</f>
        <v>122.051</v>
      </c>
      <c r="AB1202" s="61" t="n">
        <f aca="false">AA1202/(1-Resumo!$B$5)</f>
        <v>138.694318181818</v>
      </c>
      <c r="AC1202" s="61" t="n">
        <f aca="false">AB1202-S1202</f>
        <v>37.9268181818182</v>
      </c>
      <c r="AD1202" s="62" t="n">
        <f aca="false">AB1202/S1202-1</f>
        <v>0.376379469390609</v>
      </c>
      <c r="AE1202" s="60" t="str">
        <f aca="false">IF(AB1202&lt;S1202,"SIM","NÃO")</f>
        <v>NÃO</v>
      </c>
      <c r="AF1202" s="60" t="n">
        <v>2</v>
      </c>
      <c r="AG1202" s="60" t="n">
        <v>5</v>
      </c>
      <c r="AH1202" s="60" t="s">
        <v>382</v>
      </c>
      <c r="AI1202" s="61" t="n">
        <f aca="false">(T1202*(1-Painel!$C$40)+U1202+V1202+Painel!$C$41+Painel!$C$42*CEILING(G1202/100,1)+Painel!$C$43*CEILING(G1202,1)+Z1202)/(1-Resumo!$B$5)</f>
        <v>96.6714772727273</v>
      </c>
      <c r="AJ1202" s="60" t="str">
        <f aca="false">IF(AI1202&lt;S1202,"SIM","NÃO")</f>
        <v>SIM</v>
      </c>
    </row>
    <row r="1203" customFormat="false" ht="15" hidden="false" customHeight="false" outlineLevel="0" collapsed="false">
      <c r="A1203" s="59" t="n">
        <v>46252.8999768519</v>
      </c>
      <c r="B1203" s="60" t="s">
        <v>1503</v>
      </c>
      <c r="C1203" s="60" t="n">
        <v>26175007</v>
      </c>
      <c r="D1203" s="60" t="s">
        <v>52</v>
      </c>
      <c r="E1203" s="60" t="s">
        <v>23</v>
      </c>
      <c r="F1203" s="60" t="s">
        <v>236</v>
      </c>
      <c r="G1203" s="60" t="n">
        <v>52.3</v>
      </c>
      <c r="H1203" s="61" t="n">
        <v>669.99</v>
      </c>
      <c r="I1203" s="61" t="n">
        <v>70.98</v>
      </c>
      <c r="J1203" s="61" t="n">
        <f aca="false">H1203*Resumo!$C$6</f>
        <v>0</v>
      </c>
      <c r="K1203" s="61" t="n">
        <f aca="false">H1203*Resumo!$C$7</f>
        <v>1.406979</v>
      </c>
      <c r="L1203" s="61" t="n">
        <f aca="false">H1203*Resumo!$C$8</f>
        <v>1.406979</v>
      </c>
      <c r="M1203" s="61" t="n">
        <f aca="false">Resumo!$C$10*CEILING(G1203/100,1)</f>
        <v>1.05</v>
      </c>
      <c r="N1203" s="61" t="n">
        <f aca="false">Resumo!$C$9</f>
        <v>0</v>
      </c>
      <c r="O1203" s="61" t="n">
        <f aca="false">Resumo!$C$13</f>
        <v>13.55</v>
      </c>
      <c r="P1203" s="61" t="n">
        <f aca="false">Resumo!$C$14*CEILING(G1203,1)</f>
        <v>23.85</v>
      </c>
      <c r="Q1203" s="61" t="n">
        <f aca="false">SUM(I1203:P1203)*Resumo!$C$11</f>
        <v>0</v>
      </c>
      <c r="R1203" s="61" t="n">
        <f aca="false">SUM(I1203:Q1203)</f>
        <v>112.243958</v>
      </c>
      <c r="S1203" s="61" t="n">
        <f aca="false">R1203/(1-Resumo!$C$5)</f>
        <v>127.549952272727</v>
      </c>
      <c r="T1203" s="61" t="n">
        <v>112.3</v>
      </c>
      <c r="U1203" s="61" t="n">
        <f aca="false">H1203*Resumo!$B$6</f>
        <v>0.66999</v>
      </c>
      <c r="V1203" s="61" t="n">
        <f aca="false">H1203*Resumo!$B$7</f>
        <v>1.33998</v>
      </c>
      <c r="W1203" s="61" t="n">
        <f aca="false">Resumo!$B$9</f>
        <v>1</v>
      </c>
      <c r="X1203" s="61" t="n">
        <f aca="false">Resumo!$B$10*CEILING(G1203/100,1)</f>
        <v>4.5</v>
      </c>
      <c r="Y1203" s="61" t="n">
        <f aca="false">Resumo!$B$12*CEILING(G1203,1)</f>
        <v>3.18</v>
      </c>
      <c r="Z1203" s="61" t="n">
        <f aca="false">Resumo!$B$14*CEILING(G1203,1)</f>
        <v>23.85</v>
      </c>
      <c r="AA1203" s="61" t="n">
        <f aca="false">SUM(T1203:Z1203)</f>
        <v>146.83997</v>
      </c>
      <c r="AB1203" s="61" t="n">
        <f aca="false">AA1203/(1-Resumo!$B$5)</f>
        <v>166.863602272727</v>
      </c>
      <c r="AC1203" s="61" t="n">
        <f aca="false">AB1203-S1203</f>
        <v>39.31365</v>
      </c>
      <c r="AD1203" s="62" t="n">
        <f aca="false">AB1203/S1203-1</f>
        <v>0.308221597103694</v>
      </c>
      <c r="AE1203" s="60" t="str">
        <f aca="false">IF(AB1203&lt;S1203,"SIM","NÃO")</f>
        <v>NÃO</v>
      </c>
      <c r="AF1203" s="60" t="n">
        <v>2</v>
      </c>
      <c r="AG1203" s="60" t="n">
        <v>5</v>
      </c>
      <c r="AH1203" s="60" t="s">
        <v>382</v>
      </c>
      <c r="AI1203" s="61" t="n">
        <f aca="false">(T1203*(1-Painel!$C$40)+U1203+V1203+Painel!$C$41+Painel!$C$42*CEILING(G1203/100,1)+Painel!$C$43*CEILING(G1203,1)+Z1203)/(1-Resumo!$B$5)</f>
        <v>117.217011363636</v>
      </c>
      <c r="AJ1203" s="60" t="str">
        <f aca="false">IF(AI1203&lt;S1203,"SIM","NÃO")</f>
        <v>SIM</v>
      </c>
    </row>
    <row r="1204" customFormat="false" ht="15" hidden="false" customHeight="false" outlineLevel="0" collapsed="false">
      <c r="A1204" s="59" t="n">
        <v>46252.9142824074</v>
      </c>
      <c r="B1204" s="60" t="s">
        <v>1504</v>
      </c>
      <c r="C1204" s="60" t="n">
        <v>24440670</v>
      </c>
      <c r="D1204" s="60" t="s">
        <v>47</v>
      </c>
      <c r="E1204" s="60" t="s">
        <v>23</v>
      </c>
      <c r="F1204" s="60" t="s">
        <v>237</v>
      </c>
      <c r="G1204" s="60" t="n">
        <v>66.8</v>
      </c>
      <c r="H1204" s="61" t="n">
        <v>649.99</v>
      </c>
      <c r="I1204" s="61" t="n">
        <v>76.55</v>
      </c>
      <c r="J1204" s="61" t="n">
        <f aca="false">H1204*Resumo!$C$6</f>
        <v>0</v>
      </c>
      <c r="K1204" s="61" t="n">
        <f aca="false">H1204*Resumo!$C$7</f>
        <v>1.364979</v>
      </c>
      <c r="L1204" s="61" t="n">
        <f aca="false">H1204*Resumo!$C$8</f>
        <v>1.364979</v>
      </c>
      <c r="M1204" s="61" t="n">
        <f aca="false">Resumo!$C$10*CEILING(G1204/100,1)</f>
        <v>1.05</v>
      </c>
      <c r="N1204" s="61" t="n">
        <f aca="false">Resumo!$C$9</f>
        <v>0</v>
      </c>
      <c r="O1204" s="61" t="n">
        <f aca="false">Resumo!$C$13</f>
        <v>13.55</v>
      </c>
      <c r="P1204" s="61" t="n">
        <f aca="false">Resumo!$C$14*CEILING(G1204,1)</f>
        <v>30.15</v>
      </c>
      <c r="Q1204" s="61" t="n">
        <f aca="false">SUM(I1204:P1204)*Resumo!$C$11</f>
        <v>0</v>
      </c>
      <c r="R1204" s="61" t="n">
        <f aca="false">SUM(I1204:Q1204)</f>
        <v>124.029958</v>
      </c>
      <c r="S1204" s="61" t="n">
        <f aca="false">R1204/(1-Resumo!$C$5)</f>
        <v>140.943134090909</v>
      </c>
      <c r="T1204" s="61" t="n">
        <v>149.5</v>
      </c>
      <c r="U1204" s="61" t="n">
        <f aca="false">H1204*Resumo!$B$6</f>
        <v>0.64999</v>
      </c>
      <c r="V1204" s="61" t="n">
        <f aca="false">H1204*Resumo!$B$7</f>
        <v>1.29998</v>
      </c>
      <c r="W1204" s="61" t="n">
        <f aca="false">Resumo!$B$9</f>
        <v>1</v>
      </c>
      <c r="X1204" s="61" t="n">
        <f aca="false">Resumo!$B$10*CEILING(G1204/100,1)</f>
        <v>4.5</v>
      </c>
      <c r="Y1204" s="61" t="n">
        <f aca="false">Resumo!$B$12*CEILING(G1204,1)</f>
        <v>4.02</v>
      </c>
      <c r="Z1204" s="61" t="n">
        <f aca="false">Resumo!$B$14*CEILING(G1204,1)</f>
        <v>30.15</v>
      </c>
      <c r="AA1204" s="61" t="n">
        <f aca="false">SUM(T1204:Z1204)</f>
        <v>191.11997</v>
      </c>
      <c r="AB1204" s="61" t="n">
        <f aca="false">AA1204/(1-Resumo!$B$5)</f>
        <v>217.181784090909</v>
      </c>
      <c r="AC1204" s="61" t="n">
        <f aca="false">AB1204-S1204</f>
        <v>76.23865</v>
      </c>
      <c r="AD1204" s="62" t="n">
        <f aca="false">AB1204/S1204-1</f>
        <v>0.540917799875414</v>
      </c>
      <c r="AE1204" s="60" t="str">
        <f aca="false">IF(AB1204&lt;S1204,"SIM","NÃO")</f>
        <v>NÃO</v>
      </c>
      <c r="AF1204" s="60" t="n">
        <v>2</v>
      </c>
      <c r="AG1204" s="60" t="n">
        <v>7</v>
      </c>
      <c r="AH1204" s="60" t="s">
        <v>382</v>
      </c>
      <c r="AI1204" s="61" t="n">
        <f aca="false">(T1204*(1-Painel!$C$40)+U1204+V1204+Painel!$C$41+Painel!$C$42*CEILING(G1204/100,1)+Painel!$C$43*CEILING(G1204,1)+Z1204)/(1-Resumo!$B$5)</f>
        <v>152.630647727273</v>
      </c>
      <c r="AJ1204" s="60" t="str">
        <f aca="false">IF(AI1204&lt;S1204,"SIM","NÃO")</f>
        <v>NÃO</v>
      </c>
    </row>
    <row r="1205" customFormat="false" ht="15" hidden="false" customHeight="false" outlineLevel="0" collapsed="false">
      <c r="A1205" s="59" t="n">
        <v>46252.9506134259</v>
      </c>
      <c r="B1205" s="60" t="s">
        <v>1505</v>
      </c>
      <c r="C1205" s="60" t="n">
        <v>21675090</v>
      </c>
      <c r="D1205" s="60" t="s">
        <v>46</v>
      </c>
      <c r="E1205" s="60" t="s">
        <v>22</v>
      </c>
      <c r="F1205" s="60" t="s">
        <v>233</v>
      </c>
      <c r="G1205" s="60" t="n">
        <v>31.9</v>
      </c>
      <c r="H1205" s="61" t="n">
        <v>510.17</v>
      </c>
      <c r="I1205" s="61" t="n">
        <v>42.11</v>
      </c>
      <c r="J1205" s="61" t="n">
        <f aca="false">H1205*Resumo!$C$6</f>
        <v>0</v>
      </c>
      <c r="K1205" s="61" t="n">
        <f aca="false">H1205*Resumo!$C$7</f>
        <v>1.071357</v>
      </c>
      <c r="L1205" s="61" t="n">
        <f aca="false">H1205*Resumo!$C$8</f>
        <v>1.071357</v>
      </c>
      <c r="M1205" s="61" t="n">
        <f aca="false">Resumo!$C$10*CEILING(G1205/100,1)</f>
        <v>1.05</v>
      </c>
      <c r="N1205" s="61" t="n">
        <f aca="false">Resumo!$C$9</f>
        <v>0</v>
      </c>
      <c r="O1205" s="61" t="n">
        <f aca="false">Resumo!$C$13</f>
        <v>13.55</v>
      </c>
      <c r="P1205" s="61" t="n">
        <f aca="false">Resumo!$C$14*CEILING(G1205,1)</f>
        <v>14.4</v>
      </c>
      <c r="Q1205" s="61" t="n">
        <f aca="false">SUM(I1205:P1205)*Resumo!$C$11</f>
        <v>0</v>
      </c>
      <c r="R1205" s="61" t="n">
        <f aca="false">SUM(I1205:Q1205)</f>
        <v>73.252714</v>
      </c>
      <c r="S1205" s="61" t="n">
        <f aca="false">R1205/(1-Resumo!$C$5)</f>
        <v>83.2417204545455</v>
      </c>
      <c r="T1205" s="61" t="n">
        <v>82.21</v>
      </c>
      <c r="U1205" s="61" t="n">
        <f aca="false">H1205*Resumo!$B$6</f>
        <v>0.51017</v>
      </c>
      <c r="V1205" s="61" t="n">
        <f aca="false">H1205*Resumo!$B$7</f>
        <v>1.02034</v>
      </c>
      <c r="W1205" s="61" t="n">
        <f aca="false">Resumo!$B$9</f>
        <v>1</v>
      </c>
      <c r="X1205" s="61" t="n">
        <f aca="false">Resumo!$B$10*CEILING(G1205/100,1)</f>
        <v>4.5</v>
      </c>
      <c r="Y1205" s="61" t="n">
        <f aca="false">Resumo!$B$12*CEILING(G1205,1)</f>
        <v>1.92</v>
      </c>
      <c r="Z1205" s="61" t="n">
        <f aca="false">Resumo!$B$14*CEILING(G1205,1)</f>
        <v>14.4</v>
      </c>
      <c r="AA1205" s="61" t="n">
        <f aca="false">SUM(T1205:Z1205)</f>
        <v>105.56051</v>
      </c>
      <c r="AB1205" s="61" t="n">
        <f aca="false">AA1205/(1-Resumo!$B$5)</f>
        <v>119.955125</v>
      </c>
      <c r="AC1205" s="61" t="n">
        <f aca="false">AB1205-S1205</f>
        <v>36.7134045454545</v>
      </c>
      <c r="AD1205" s="62" t="n">
        <f aca="false">AB1205/S1205-1</f>
        <v>0.441045720162669</v>
      </c>
      <c r="AE1205" s="60" t="str">
        <f aca="false">IF(AB1205&lt;S1205,"SIM","NÃO")</f>
        <v>NÃO</v>
      </c>
      <c r="AF1205" s="60" t="n">
        <v>2</v>
      </c>
      <c r="AG1205" s="60" t="n">
        <v>5</v>
      </c>
      <c r="AH1205" s="60" t="s">
        <v>382</v>
      </c>
      <c r="AI1205" s="61" t="n">
        <f aca="false">(T1205*(1-Painel!$C$40)+U1205+V1205+Painel!$C$41+Painel!$C$42*CEILING(G1205/100,1)+Painel!$C$43*CEILING(G1205,1)+Z1205)/(1-Resumo!$B$5)</f>
        <v>83.0241022727273</v>
      </c>
      <c r="AJ1205" s="60" t="str">
        <f aca="false">IF(AI1205&lt;S1205,"SIM","NÃO")</f>
        <v>SIM</v>
      </c>
    </row>
    <row r="1206" customFormat="false" ht="15" hidden="false" customHeight="false" outlineLevel="0" collapsed="false">
      <c r="A1206" s="59" t="n">
        <v>46252.9605555556</v>
      </c>
      <c r="B1206" s="60" t="s">
        <v>1506</v>
      </c>
      <c r="C1206" s="60" t="n">
        <v>21044340</v>
      </c>
      <c r="D1206" s="60" t="s">
        <v>46</v>
      </c>
      <c r="E1206" s="60" t="s">
        <v>22</v>
      </c>
      <c r="F1206" s="60" t="s">
        <v>234</v>
      </c>
      <c r="G1206" s="60" t="n">
        <v>37.2</v>
      </c>
      <c r="H1206" s="61" t="n">
        <v>399.99</v>
      </c>
      <c r="I1206" s="61" t="n">
        <v>48.35</v>
      </c>
      <c r="J1206" s="61" t="n">
        <f aca="false">H1206*Resumo!$C$6</f>
        <v>0</v>
      </c>
      <c r="K1206" s="61" t="n">
        <f aca="false">H1206*Resumo!$C$7</f>
        <v>0.839979</v>
      </c>
      <c r="L1206" s="61" t="n">
        <f aca="false">H1206*Resumo!$C$8</f>
        <v>0.839979</v>
      </c>
      <c r="M1206" s="61" t="n">
        <f aca="false">Resumo!$C$10*CEILING(G1206/100,1)</f>
        <v>1.05</v>
      </c>
      <c r="N1206" s="61" t="n">
        <f aca="false">Resumo!$C$9</f>
        <v>0</v>
      </c>
      <c r="O1206" s="61" t="n">
        <f aca="false">Resumo!$C$13</f>
        <v>13.55</v>
      </c>
      <c r="P1206" s="61" t="n">
        <f aca="false">Resumo!$C$14*CEILING(G1206,1)</f>
        <v>17.1</v>
      </c>
      <c r="Q1206" s="61" t="n">
        <f aca="false">SUM(I1206:P1206)*Resumo!$C$11</f>
        <v>0</v>
      </c>
      <c r="R1206" s="61" t="n">
        <f aca="false">SUM(I1206:Q1206)</f>
        <v>81.729958</v>
      </c>
      <c r="S1206" s="61" t="n">
        <f aca="false">R1206/(1-Resumo!$C$5)</f>
        <v>92.8749522727273</v>
      </c>
      <c r="T1206" s="61" t="n">
        <v>93.97</v>
      </c>
      <c r="U1206" s="61" t="n">
        <f aca="false">H1206*Resumo!$B$6</f>
        <v>0.39999</v>
      </c>
      <c r="V1206" s="61" t="n">
        <f aca="false">H1206*Resumo!$B$7</f>
        <v>0.79998</v>
      </c>
      <c r="W1206" s="61" t="n">
        <f aca="false">Resumo!$B$9</f>
        <v>1</v>
      </c>
      <c r="X1206" s="61" t="n">
        <f aca="false">Resumo!$B$10*CEILING(G1206/100,1)</f>
        <v>4.5</v>
      </c>
      <c r="Y1206" s="61" t="n">
        <f aca="false">Resumo!$B$12*CEILING(G1206,1)</f>
        <v>2.28</v>
      </c>
      <c r="Z1206" s="61" t="n">
        <f aca="false">Resumo!$B$14*CEILING(G1206,1)</f>
        <v>17.1</v>
      </c>
      <c r="AA1206" s="61" t="n">
        <f aca="false">SUM(T1206:Z1206)</f>
        <v>120.04997</v>
      </c>
      <c r="AB1206" s="61" t="n">
        <f aca="false">AA1206/(1-Resumo!$B$5)</f>
        <v>136.420420454545</v>
      </c>
      <c r="AC1206" s="61" t="n">
        <f aca="false">AB1206-S1206</f>
        <v>43.5454681818182</v>
      </c>
      <c r="AD1206" s="62" t="n">
        <f aca="false">AB1206/S1206-1</f>
        <v>0.468861271163262</v>
      </c>
      <c r="AE1206" s="60" t="str">
        <f aca="false">IF(AB1206&lt;S1206,"SIM","NÃO")</f>
        <v>NÃO</v>
      </c>
      <c r="AF1206" s="60" t="n">
        <v>2</v>
      </c>
      <c r="AG1206" s="60" t="n">
        <v>5</v>
      </c>
      <c r="AH1206" s="60" t="s">
        <v>382</v>
      </c>
      <c r="AI1206" s="61" t="n">
        <f aca="false">(T1206*(1-Painel!$C$40)+U1206+V1206+Painel!$C$41+Painel!$C$42*CEILING(G1206/100,1)+Painel!$C$43*CEILING(G1206,1)+Z1206)/(1-Resumo!$B$5)</f>
        <v>94.6703068181818</v>
      </c>
      <c r="AJ1206" s="60" t="str">
        <f aca="false">IF(AI1206&lt;S1206,"SIM","NÃO")</f>
        <v>NÃO</v>
      </c>
    </row>
    <row r="1207" customFormat="false" ht="15" hidden="false" customHeight="false" outlineLevel="0" collapsed="false">
      <c r="A1207" s="59" t="n">
        <v>46253.004837963</v>
      </c>
      <c r="B1207" s="60" t="s">
        <v>1507</v>
      </c>
      <c r="C1207" s="60" t="n">
        <v>24813006</v>
      </c>
      <c r="D1207" s="60" t="s">
        <v>223</v>
      </c>
      <c r="E1207" s="60" t="s">
        <v>24</v>
      </c>
      <c r="F1207" s="60" t="s">
        <v>233</v>
      </c>
      <c r="G1207" s="60" t="n">
        <v>31.9</v>
      </c>
      <c r="H1207" s="61" t="n">
        <v>599.99</v>
      </c>
      <c r="I1207" s="61" t="n">
        <v>65.63</v>
      </c>
      <c r="J1207" s="61" t="n">
        <f aca="false">H1207*Resumo!$C$6</f>
        <v>0</v>
      </c>
      <c r="K1207" s="61" t="n">
        <f aca="false">H1207*Resumo!$C$7</f>
        <v>1.259979</v>
      </c>
      <c r="L1207" s="61" t="n">
        <f aca="false">H1207*Resumo!$C$8</f>
        <v>1.259979</v>
      </c>
      <c r="M1207" s="61" t="n">
        <f aca="false">Resumo!$C$10*CEILING(G1207/100,1)</f>
        <v>1.05</v>
      </c>
      <c r="N1207" s="61" t="n">
        <f aca="false">Resumo!$C$9</f>
        <v>0</v>
      </c>
      <c r="O1207" s="61" t="n">
        <f aca="false">Resumo!$C$13</f>
        <v>13.55</v>
      </c>
      <c r="P1207" s="61" t="n">
        <f aca="false">Resumo!$C$14*CEILING(G1207,1)</f>
        <v>14.4</v>
      </c>
      <c r="Q1207" s="61" t="n">
        <f aca="false">SUM(I1207:P1207)*Resumo!$C$11</f>
        <v>0</v>
      </c>
      <c r="R1207" s="61" t="n">
        <f aca="false">SUM(I1207:Q1207)</f>
        <v>97.149958</v>
      </c>
      <c r="S1207" s="61" t="n">
        <f aca="false">R1207/(1-Resumo!$C$5)</f>
        <v>110.397679545455</v>
      </c>
      <c r="T1207" s="61" t="n">
        <v>100.58</v>
      </c>
      <c r="U1207" s="61" t="n">
        <f aca="false">H1207*Resumo!$B$6</f>
        <v>0.59999</v>
      </c>
      <c r="V1207" s="61" t="n">
        <f aca="false">H1207*Resumo!$B$7</f>
        <v>1.19998</v>
      </c>
      <c r="W1207" s="61" t="n">
        <f aca="false">Resumo!$B$9</f>
        <v>1</v>
      </c>
      <c r="X1207" s="61" t="n">
        <f aca="false">Resumo!$B$10*CEILING(G1207/100,1)</f>
        <v>4.5</v>
      </c>
      <c r="Y1207" s="61" t="n">
        <f aca="false">Resumo!$B$12*CEILING(G1207,1)</f>
        <v>1.92</v>
      </c>
      <c r="Z1207" s="61" t="n">
        <f aca="false">Resumo!$B$14*CEILING(G1207,1)</f>
        <v>14.4</v>
      </c>
      <c r="AA1207" s="61" t="n">
        <f aca="false">SUM(T1207:Z1207)</f>
        <v>124.19997</v>
      </c>
      <c r="AB1207" s="61" t="n">
        <f aca="false">AA1207/(1-Resumo!$B$5)</f>
        <v>141.136329545455</v>
      </c>
      <c r="AC1207" s="61" t="n">
        <f aca="false">AB1207-S1207</f>
        <v>30.73865</v>
      </c>
      <c r="AD1207" s="62" t="n">
        <f aca="false">AB1207/S1207-1</f>
        <v>0.278435653055043</v>
      </c>
      <c r="AE1207" s="60" t="str">
        <f aca="false">IF(AB1207&lt;S1207,"SIM","NÃO")</f>
        <v>NÃO</v>
      </c>
      <c r="AF1207" s="60" t="n">
        <v>13</v>
      </c>
      <c r="AG1207" s="60" t="n">
        <v>7</v>
      </c>
      <c r="AH1207" s="60" t="s">
        <v>382</v>
      </c>
      <c r="AI1207" s="61" t="n">
        <f aca="false">(T1207*(1-Painel!$C$40)+U1207+V1207+Painel!$C$41+Painel!$C$42*CEILING(G1207/100,1)+Painel!$C$43*CEILING(G1207,1)+Z1207)/(1-Resumo!$B$5)</f>
        <v>97.3165568181818</v>
      </c>
      <c r="AJ1207" s="60" t="str">
        <f aca="false">IF(AI1207&lt;S1207,"SIM","NÃO")</f>
        <v>SIM</v>
      </c>
    </row>
    <row r="1208" customFormat="false" ht="15" hidden="false" customHeight="false" outlineLevel="0" collapsed="false">
      <c r="A1208" s="59" t="n">
        <v>46253.0251157407</v>
      </c>
      <c r="B1208" s="60" t="s">
        <v>761</v>
      </c>
      <c r="C1208" s="60" t="n">
        <v>21250150</v>
      </c>
      <c r="D1208" s="60" t="s">
        <v>46</v>
      </c>
      <c r="E1208" s="60" t="s">
        <v>22</v>
      </c>
      <c r="F1208" s="60" t="s">
        <v>234</v>
      </c>
      <c r="G1208" s="60" t="n">
        <v>37.6</v>
      </c>
      <c r="H1208" s="61" t="n">
        <v>383.12</v>
      </c>
      <c r="I1208" s="61" t="n">
        <v>48.35</v>
      </c>
      <c r="J1208" s="61" t="n">
        <f aca="false">H1208*Resumo!$C$6</f>
        <v>0</v>
      </c>
      <c r="K1208" s="61" t="n">
        <f aca="false">H1208*Resumo!$C$7</f>
        <v>0.804552</v>
      </c>
      <c r="L1208" s="61" t="n">
        <f aca="false">H1208*Resumo!$C$8</f>
        <v>0.804552</v>
      </c>
      <c r="M1208" s="61" t="n">
        <f aca="false">Resumo!$C$10*CEILING(G1208/100,1)</f>
        <v>1.05</v>
      </c>
      <c r="N1208" s="61" t="n">
        <f aca="false">Resumo!$C$9</f>
        <v>0</v>
      </c>
      <c r="O1208" s="61" t="n">
        <f aca="false">Resumo!$C$13</f>
        <v>13.55</v>
      </c>
      <c r="P1208" s="61" t="n">
        <f aca="false">Resumo!$C$14*CEILING(G1208,1)</f>
        <v>17.1</v>
      </c>
      <c r="Q1208" s="61" t="n">
        <f aca="false">SUM(I1208:P1208)*Resumo!$C$11</f>
        <v>0</v>
      </c>
      <c r="R1208" s="61" t="n">
        <f aca="false">SUM(I1208:Q1208)</f>
        <v>81.659104</v>
      </c>
      <c r="S1208" s="61" t="n">
        <f aca="false">R1208/(1-Resumo!$C$5)</f>
        <v>92.7944363636364</v>
      </c>
      <c r="T1208" s="61" t="n">
        <v>93.97</v>
      </c>
      <c r="U1208" s="61" t="n">
        <f aca="false">H1208*Resumo!$B$6</f>
        <v>0.38312</v>
      </c>
      <c r="V1208" s="61" t="n">
        <f aca="false">H1208*Resumo!$B$7</f>
        <v>0.76624</v>
      </c>
      <c r="W1208" s="61" t="n">
        <f aca="false">Resumo!$B$9</f>
        <v>1</v>
      </c>
      <c r="X1208" s="61" t="n">
        <f aca="false">Resumo!$B$10*CEILING(G1208/100,1)</f>
        <v>4.5</v>
      </c>
      <c r="Y1208" s="61" t="n">
        <f aca="false">Resumo!$B$12*CEILING(G1208,1)</f>
        <v>2.28</v>
      </c>
      <c r="Z1208" s="61" t="n">
        <f aca="false">Resumo!$B$14*CEILING(G1208,1)</f>
        <v>17.1</v>
      </c>
      <c r="AA1208" s="61" t="n">
        <f aca="false">SUM(T1208:Z1208)</f>
        <v>119.99936</v>
      </c>
      <c r="AB1208" s="61" t="n">
        <f aca="false">AA1208/(1-Resumo!$B$5)</f>
        <v>136.362909090909</v>
      </c>
      <c r="AC1208" s="61" t="n">
        <f aca="false">AB1208-S1208</f>
        <v>43.5684727272727</v>
      </c>
      <c r="AD1208" s="62" t="n">
        <f aca="false">AB1208/S1208-1</f>
        <v>0.469516001547115</v>
      </c>
      <c r="AE1208" s="60" t="str">
        <f aca="false">IF(AB1208&lt;S1208,"SIM","NÃO")</f>
        <v>NÃO</v>
      </c>
      <c r="AF1208" s="60" t="n">
        <v>2</v>
      </c>
      <c r="AG1208" s="60" t="n">
        <v>5</v>
      </c>
      <c r="AH1208" s="60" t="s">
        <v>382</v>
      </c>
      <c r="AI1208" s="61" t="n">
        <f aca="false">(T1208*(1-Painel!$C$40)+U1208+V1208+Painel!$C$41+Painel!$C$42*CEILING(G1208/100,1)+Painel!$C$43*CEILING(G1208,1)+Z1208)/(1-Resumo!$B$5)</f>
        <v>94.6127954545454</v>
      </c>
      <c r="AJ1208" s="60" t="str">
        <f aca="false">IF(AI1208&lt;S1208,"SIM","NÃO")</f>
        <v>NÃO</v>
      </c>
    </row>
    <row r="1209" customFormat="false" ht="15" hidden="false" customHeight="false" outlineLevel="0" collapsed="false">
      <c r="A1209" s="59" t="n">
        <v>46253.0837847222</v>
      </c>
      <c r="B1209" s="60" t="s">
        <v>1508</v>
      </c>
      <c r="C1209" s="60" t="n">
        <v>21815340</v>
      </c>
      <c r="D1209" s="60" t="s">
        <v>46</v>
      </c>
      <c r="E1209" s="60" t="s">
        <v>22</v>
      </c>
      <c r="F1209" s="60" t="s">
        <v>236</v>
      </c>
      <c r="G1209" s="60" t="n">
        <v>52.3</v>
      </c>
      <c r="H1209" s="61" t="n">
        <v>616.99</v>
      </c>
      <c r="I1209" s="61" t="n">
        <v>58.6</v>
      </c>
      <c r="J1209" s="61" t="n">
        <f aca="false">H1209*Resumo!$C$6</f>
        <v>0</v>
      </c>
      <c r="K1209" s="61" t="n">
        <f aca="false">H1209*Resumo!$C$7</f>
        <v>1.295679</v>
      </c>
      <c r="L1209" s="61" t="n">
        <f aca="false">H1209*Resumo!$C$8</f>
        <v>1.295679</v>
      </c>
      <c r="M1209" s="61" t="n">
        <f aca="false">Resumo!$C$10*CEILING(G1209/100,1)</f>
        <v>1.05</v>
      </c>
      <c r="N1209" s="61" t="n">
        <f aca="false">Resumo!$C$9</f>
        <v>0</v>
      </c>
      <c r="O1209" s="61" t="n">
        <f aca="false">Resumo!$C$13</f>
        <v>13.55</v>
      </c>
      <c r="P1209" s="61" t="n">
        <f aca="false">Resumo!$C$14*CEILING(G1209,1)</f>
        <v>23.85</v>
      </c>
      <c r="Q1209" s="61" t="n">
        <f aca="false">SUM(I1209:P1209)*Resumo!$C$11</f>
        <v>0</v>
      </c>
      <c r="R1209" s="61" t="n">
        <f aca="false">SUM(I1209:Q1209)</f>
        <v>99.641358</v>
      </c>
      <c r="S1209" s="61" t="n">
        <f aca="false">R1209/(1-Resumo!$C$5)</f>
        <v>113.228815909091</v>
      </c>
      <c r="T1209" s="61" t="n">
        <v>112.3</v>
      </c>
      <c r="U1209" s="61" t="n">
        <f aca="false">H1209*Resumo!$B$6</f>
        <v>0.61699</v>
      </c>
      <c r="V1209" s="61" t="n">
        <f aca="false">H1209*Resumo!$B$7</f>
        <v>1.23398</v>
      </c>
      <c r="W1209" s="61" t="n">
        <f aca="false">Resumo!$B$9</f>
        <v>1</v>
      </c>
      <c r="X1209" s="61" t="n">
        <f aca="false">Resumo!$B$10*CEILING(G1209/100,1)</f>
        <v>4.5</v>
      </c>
      <c r="Y1209" s="61" t="n">
        <f aca="false">Resumo!$B$12*CEILING(G1209,1)</f>
        <v>3.18</v>
      </c>
      <c r="Z1209" s="61" t="n">
        <f aca="false">Resumo!$B$14*CEILING(G1209,1)</f>
        <v>23.85</v>
      </c>
      <c r="AA1209" s="61" t="n">
        <f aca="false">SUM(T1209:Z1209)</f>
        <v>146.68097</v>
      </c>
      <c r="AB1209" s="61" t="n">
        <f aca="false">AA1209/(1-Resumo!$B$5)</f>
        <v>166.682920454545</v>
      </c>
      <c r="AC1209" s="61" t="n">
        <f aca="false">AB1209-S1209</f>
        <v>53.4541045454546</v>
      </c>
      <c r="AD1209" s="62" t="n">
        <f aca="false">AB1209/S1209-1</f>
        <v>0.472089230257179</v>
      </c>
      <c r="AE1209" s="60" t="str">
        <f aca="false">IF(AB1209&lt;S1209,"SIM","NÃO")</f>
        <v>NÃO</v>
      </c>
      <c r="AF1209" s="60" t="n">
        <v>2</v>
      </c>
      <c r="AG1209" s="60" t="n">
        <v>5</v>
      </c>
      <c r="AH1209" s="60" t="s">
        <v>382</v>
      </c>
      <c r="AI1209" s="61" t="n">
        <f aca="false">(T1209*(1-Painel!$C$40)+U1209+V1209+Painel!$C$41+Painel!$C$42*CEILING(G1209/100,1)+Painel!$C$43*CEILING(G1209,1)+Z1209)/(1-Resumo!$B$5)</f>
        <v>117.036329545455</v>
      </c>
      <c r="AJ1209" s="60" t="str">
        <f aca="false">IF(AI1209&lt;S1209,"SIM","NÃO")</f>
        <v>NÃO</v>
      </c>
    </row>
    <row r="1210" customFormat="false" ht="15" hidden="false" customHeight="false" outlineLevel="0" collapsed="false">
      <c r="A1210" s="59" t="n">
        <v>46253.2136111111</v>
      </c>
      <c r="B1210" s="60" t="s">
        <v>1509</v>
      </c>
      <c r="C1210" s="60" t="n">
        <v>25015301</v>
      </c>
      <c r="D1210" s="60" t="s">
        <v>48</v>
      </c>
      <c r="E1210" s="60" t="s">
        <v>23</v>
      </c>
      <c r="F1210" s="60" t="s">
        <v>233</v>
      </c>
      <c r="G1210" s="60" t="n">
        <v>22.4</v>
      </c>
      <c r="H1210" s="61" t="n">
        <v>475.99</v>
      </c>
      <c r="I1210" s="61" t="n">
        <v>58.8</v>
      </c>
      <c r="J1210" s="61" t="n">
        <f aca="false">H1210*Resumo!$C$6</f>
        <v>0</v>
      </c>
      <c r="K1210" s="61" t="n">
        <f aca="false">H1210*Resumo!$C$7</f>
        <v>0.999579</v>
      </c>
      <c r="L1210" s="61" t="n">
        <f aca="false">H1210*Resumo!$C$8</f>
        <v>0.999579</v>
      </c>
      <c r="M1210" s="61" t="n">
        <f aca="false">Resumo!$C$10*CEILING(G1210/100,1)</f>
        <v>1.05</v>
      </c>
      <c r="N1210" s="61" t="n">
        <f aca="false">Resumo!$C$9</f>
        <v>0</v>
      </c>
      <c r="O1210" s="61" t="n">
        <f aca="false">Resumo!$C$13</f>
        <v>13.55</v>
      </c>
      <c r="P1210" s="61" t="n">
        <f aca="false">Resumo!$C$14*CEILING(G1210,1)</f>
        <v>10.35</v>
      </c>
      <c r="Q1210" s="61" t="n">
        <f aca="false">SUM(I1210:P1210)*Resumo!$C$11</f>
        <v>0</v>
      </c>
      <c r="R1210" s="61" t="n">
        <f aca="false">SUM(I1210:Q1210)</f>
        <v>85.749158</v>
      </c>
      <c r="S1210" s="61" t="n">
        <f aca="false">R1210/(1-Resumo!$C$5)</f>
        <v>97.442225</v>
      </c>
      <c r="T1210" s="61" t="n">
        <v>82.21</v>
      </c>
      <c r="U1210" s="61" t="n">
        <f aca="false">H1210*Resumo!$B$6</f>
        <v>0.47599</v>
      </c>
      <c r="V1210" s="61" t="n">
        <f aca="false">H1210*Resumo!$B$7</f>
        <v>0.95198</v>
      </c>
      <c r="W1210" s="61" t="n">
        <f aca="false">Resumo!$B$9</f>
        <v>1</v>
      </c>
      <c r="X1210" s="61" t="n">
        <f aca="false">Resumo!$B$10*CEILING(G1210/100,1)</f>
        <v>4.5</v>
      </c>
      <c r="Y1210" s="61" t="n">
        <f aca="false">Resumo!$B$12*CEILING(G1210,1)</f>
        <v>1.38</v>
      </c>
      <c r="Z1210" s="61" t="n">
        <f aca="false">Resumo!$B$14*CEILING(G1210,1)</f>
        <v>10.35</v>
      </c>
      <c r="AA1210" s="61" t="n">
        <f aca="false">SUM(T1210:Z1210)</f>
        <v>100.86797</v>
      </c>
      <c r="AB1210" s="61" t="n">
        <f aca="false">AA1210/(1-Resumo!$B$5)</f>
        <v>114.622693181818</v>
      </c>
      <c r="AC1210" s="61" t="n">
        <f aca="false">AB1210-S1210</f>
        <v>17.1804681818182</v>
      </c>
      <c r="AD1210" s="62" t="n">
        <f aca="false">AB1210/S1210-1</f>
        <v>0.176314407658673</v>
      </c>
      <c r="AE1210" s="60" t="str">
        <f aca="false">IF(AB1210&lt;S1210,"SIM","NÃO")</f>
        <v>NÃO</v>
      </c>
      <c r="AF1210" s="60" t="n">
        <v>2</v>
      </c>
      <c r="AG1210" s="60" t="n">
        <v>5</v>
      </c>
      <c r="AH1210" s="60" t="s">
        <v>382</v>
      </c>
      <c r="AI1210" s="61" t="n">
        <f aca="false">(T1210*(1-Painel!$C$40)+U1210+V1210+Painel!$C$41+Painel!$C$42*CEILING(G1210/100,1)+Painel!$C$43*CEILING(G1210,1)+Z1210)/(1-Resumo!$B$5)</f>
        <v>78.3053068181818</v>
      </c>
      <c r="AJ1210" s="60" t="str">
        <f aca="false">IF(AI1210&lt;S1210,"SIM","NÃO")</f>
        <v>SIM</v>
      </c>
    </row>
    <row r="1211" customFormat="false" ht="15" hidden="false" customHeight="false" outlineLevel="0" collapsed="false">
      <c r="A1211" s="59" t="n">
        <v>46253.2766435185</v>
      </c>
      <c r="B1211" s="60" t="s">
        <v>1510</v>
      </c>
      <c r="C1211" s="60" t="n">
        <v>28948878</v>
      </c>
      <c r="D1211" s="60" t="s">
        <v>338</v>
      </c>
      <c r="E1211" s="60" t="s">
        <v>24</v>
      </c>
      <c r="F1211" s="60" t="s">
        <v>234</v>
      </c>
      <c r="G1211" s="60" t="n">
        <v>37.5</v>
      </c>
      <c r="H1211" s="61" t="n">
        <v>439.99</v>
      </c>
      <c r="I1211" s="61" t="n">
        <v>74.97</v>
      </c>
      <c r="J1211" s="61" t="n">
        <f aca="false">H1211*Resumo!$C$6</f>
        <v>0</v>
      </c>
      <c r="K1211" s="61" t="n">
        <f aca="false">H1211*Resumo!$C$7</f>
        <v>0.923979</v>
      </c>
      <c r="L1211" s="61" t="n">
        <f aca="false">H1211*Resumo!$C$8</f>
        <v>0.923979</v>
      </c>
      <c r="M1211" s="61" t="n">
        <f aca="false">Resumo!$C$10*CEILING(G1211/100,1)</f>
        <v>1.05</v>
      </c>
      <c r="N1211" s="61" t="n">
        <f aca="false">Resumo!$C$9</f>
        <v>0</v>
      </c>
      <c r="O1211" s="61" t="n">
        <f aca="false">Resumo!$C$13</f>
        <v>13.55</v>
      </c>
      <c r="P1211" s="61" t="n">
        <f aca="false">Resumo!$C$14*CEILING(G1211,1)</f>
        <v>17.1</v>
      </c>
      <c r="Q1211" s="61" t="n">
        <f aca="false">SUM(I1211:P1211)*Resumo!$C$11</f>
        <v>0</v>
      </c>
      <c r="R1211" s="61" t="n">
        <f aca="false">SUM(I1211:Q1211)</f>
        <v>108.517958</v>
      </c>
      <c r="S1211" s="61" t="n">
        <f aca="false">R1211/(1-Resumo!$C$5)</f>
        <v>123.315861363636</v>
      </c>
      <c r="T1211" s="61" t="n">
        <v>124.38</v>
      </c>
      <c r="U1211" s="61" t="n">
        <f aca="false">H1211*Resumo!$B$6</f>
        <v>0.43999</v>
      </c>
      <c r="V1211" s="61" t="n">
        <f aca="false">H1211*Resumo!$B$7</f>
        <v>0.87998</v>
      </c>
      <c r="W1211" s="61" t="n">
        <f aca="false">Resumo!$B$9</f>
        <v>1</v>
      </c>
      <c r="X1211" s="61" t="n">
        <f aca="false">Resumo!$B$10*CEILING(G1211/100,1)</f>
        <v>4.5</v>
      </c>
      <c r="Y1211" s="61" t="n">
        <f aca="false">Resumo!$B$12*CEILING(G1211,1)</f>
        <v>2.28</v>
      </c>
      <c r="Z1211" s="61" t="n">
        <f aca="false">Resumo!$B$14*CEILING(G1211,1)</f>
        <v>17.1</v>
      </c>
      <c r="AA1211" s="61" t="n">
        <f aca="false">SUM(T1211:Z1211)</f>
        <v>150.57997</v>
      </c>
      <c r="AB1211" s="61" t="n">
        <f aca="false">AA1211/(1-Resumo!$B$5)</f>
        <v>171.113602272727</v>
      </c>
      <c r="AC1211" s="61" t="n">
        <f aca="false">AB1211-S1211</f>
        <v>47.7977409090909</v>
      </c>
      <c r="AD1211" s="62" t="n">
        <f aca="false">AB1211/S1211-1</f>
        <v>0.387604160410022</v>
      </c>
      <c r="AE1211" s="60" t="str">
        <f aca="false">IF(AB1211&lt;S1211,"SIM","NÃO")</f>
        <v>NÃO</v>
      </c>
      <c r="AF1211" s="60" t="n">
        <v>13</v>
      </c>
      <c r="AG1211" s="60" t="n">
        <v>10</v>
      </c>
      <c r="AH1211" s="60" t="s">
        <v>385</v>
      </c>
      <c r="AI1211" s="61" t="n">
        <f aca="false">(T1211*(1-Painel!$C$40)+U1211+V1211+Painel!$C$41+Painel!$C$42*CEILING(G1211/100,1)+Painel!$C$43*CEILING(G1211,1)+Z1211)/(1-Resumo!$B$5)</f>
        <v>117.959738636364</v>
      </c>
      <c r="AJ1211" s="60" t="str">
        <f aca="false">IF(AI1211&lt;S1211,"SIM","NÃO")</f>
        <v>SIM</v>
      </c>
    </row>
    <row r="1212" customFormat="false" ht="15" hidden="false" customHeight="false" outlineLevel="0" collapsed="false">
      <c r="A1212" s="59" t="n">
        <v>46253.375150463</v>
      </c>
      <c r="B1212" s="60" t="s">
        <v>1511</v>
      </c>
      <c r="C1212" s="60" t="n">
        <v>25223500</v>
      </c>
      <c r="D1212" s="60" t="s">
        <v>48</v>
      </c>
      <c r="E1212" s="60" t="s">
        <v>23</v>
      </c>
      <c r="F1212" s="60" t="s">
        <v>233</v>
      </c>
      <c r="G1212" s="60" t="n">
        <v>27.6</v>
      </c>
      <c r="H1212" s="61" t="n">
        <v>551.99</v>
      </c>
      <c r="I1212" s="61" t="n">
        <v>58.8</v>
      </c>
      <c r="J1212" s="61" t="n">
        <f aca="false">H1212*Resumo!$C$6</f>
        <v>0</v>
      </c>
      <c r="K1212" s="61" t="n">
        <f aca="false">H1212*Resumo!$C$7</f>
        <v>1.159179</v>
      </c>
      <c r="L1212" s="61" t="n">
        <f aca="false">H1212*Resumo!$C$8</f>
        <v>1.159179</v>
      </c>
      <c r="M1212" s="61" t="n">
        <f aca="false">Resumo!$C$10*CEILING(G1212/100,1)</f>
        <v>1.05</v>
      </c>
      <c r="N1212" s="61" t="n">
        <f aca="false">Resumo!$C$9</f>
        <v>0</v>
      </c>
      <c r="O1212" s="61" t="n">
        <f aca="false">Resumo!$C$13</f>
        <v>13.55</v>
      </c>
      <c r="P1212" s="61" t="n">
        <f aca="false">Resumo!$C$14*CEILING(G1212,1)</f>
        <v>12.6</v>
      </c>
      <c r="Q1212" s="61" t="n">
        <f aca="false">SUM(I1212:P1212)*Resumo!$C$11</f>
        <v>0</v>
      </c>
      <c r="R1212" s="61" t="n">
        <f aca="false">SUM(I1212:Q1212)</f>
        <v>88.318358</v>
      </c>
      <c r="S1212" s="61" t="n">
        <f aca="false">R1212/(1-Resumo!$C$5)</f>
        <v>100.361770454545</v>
      </c>
      <c r="T1212" s="61" t="n">
        <v>82.21</v>
      </c>
      <c r="U1212" s="61" t="n">
        <f aca="false">H1212*Resumo!$B$6</f>
        <v>0.55199</v>
      </c>
      <c r="V1212" s="61" t="n">
        <f aca="false">H1212*Resumo!$B$7</f>
        <v>1.10398</v>
      </c>
      <c r="W1212" s="61" t="n">
        <f aca="false">Resumo!$B$9</f>
        <v>1</v>
      </c>
      <c r="X1212" s="61" t="n">
        <f aca="false">Resumo!$B$10*CEILING(G1212/100,1)</f>
        <v>4.5</v>
      </c>
      <c r="Y1212" s="61" t="n">
        <f aca="false">Resumo!$B$12*CEILING(G1212,1)</f>
        <v>1.68</v>
      </c>
      <c r="Z1212" s="61" t="n">
        <f aca="false">Resumo!$B$14*CEILING(G1212,1)</f>
        <v>12.6</v>
      </c>
      <c r="AA1212" s="61" t="n">
        <f aca="false">SUM(T1212:Z1212)</f>
        <v>103.64597</v>
      </c>
      <c r="AB1212" s="61" t="n">
        <f aca="false">AA1212/(1-Resumo!$B$5)</f>
        <v>117.779511363636</v>
      </c>
      <c r="AC1212" s="61" t="n">
        <f aca="false">AB1212-S1212</f>
        <v>17.4177409090909</v>
      </c>
      <c r="AD1212" s="62" t="n">
        <f aca="false">AB1212/S1212-1</f>
        <v>0.173549558065833</v>
      </c>
      <c r="AE1212" s="60" t="str">
        <f aca="false">IF(AB1212&lt;S1212,"SIM","NÃO")</f>
        <v>NÃO</v>
      </c>
      <c r="AF1212" s="60" t="n">
        <v>2</v>
      </c>
      <c r="AG1212" s="60" t="n">
        <v>5</v>
      </c>
      <c r="AH1212" s="60" t="s">
        <v>382</v>
      </c>
      <c r="AI1212" s="61" t="n">
        <f aca="false">(T1212*(1-Painel!$C$40)+U1212+V1212+Painel!$C$41+Painel!$C$42*CEILING(G1212/100,1)+Painel!$C$43*CEILING(G1212,1)+Z1212)/(1-Resumo!$B$5)</f>
        <v>81.1212159090909</v>
      </c>
      <c r="AJ1212" s="60" t="str">
        <f aca="false">IF(AI1212&lt;S1212,"SIM","NÃO")</f>
        <v>SIM</v>
      </c>
    </row>
    <row r="1213" customFormat="false" ht="15" hidden="false" customHeight="false" outlineLevel="0" collapsed="false">
      <c r="A1213" s="59" t="n">
        <v>46253.4211111111</v>
      </c>
      <c r="B1213" s="60" t="s">
        <v>1512</v>
      </c>
      <c r="C1213" s="60" t="n">
        <v>28692600</v>
      </c>
      <c r="D1213" s="60" t="s">
        <v>329</v>
      </c>
      <c r="E1213" s="60" t="s">
        <v>24</v>
      </c>
      <c r="F1213" s="60" t="s">
        <v>237</v>
      </c>
      <c r="G1213" s="60" t="n">
        <v>63.9</v>
      </c>
      <c r="H1213" s="61" t="n">
        <v>717.59</v>
      </c>
      <c r="I1213" s="61" t="n">
        <v>90.2</v>
      </c>
      <c r="J1213" s="61" t="n">
        <f aca="false">H1213*Resumo!$C$6</f>
        <v>0</v>
      </c>
      <c r="K1213" s="61" t="n">
        <f aca="false">H1213*Resumo!$C$7</f>
        <v>1.506939</v>
      </c>
      <c r="L1213" s="61" t="n">
        <f aca="false">H1213*Resumo!$C$8</f>
        <v>1.506939</v>
      </c>
      <c r="M1213" s="61" t="n">
        <f aca="false">Resumo!$C$10*CEILING(G1213/100,1)</f>
        <v>1.05</v>
      </c>
      <c r="N1213" s="61" t="n">
        <f aca="false">Resumo!$C$9</f>
        <v>0</v>
      </c>
      <c r="O1213" s="61" t="n">
        <f aca="false">Resumo!$C$13</f>
        <v>13.55</v>
      </c>
      <c r="P1213" s="61" t="n">
        <f aca="false">Resumo!$C$14*CEILING(G1213,1)</f>
        <v>28.8</v>
      </c>
      <c r="Q1213" s="61" t="n">
        <f aca="false">SUM(I1213:P1213)*Resumo!$C$11</f>
        <v>0</v>
      </c>
      <c r="R1213" s="61" t="n">
        <f aca="false">SUM(I1213:Q1213)</f>
        <v>136.613878</v>
      </c>
      <c r="S1213" s="61" t="n">
        <f aca="false">R1213/(1-Resumo!$C$5)</f>
        <v>155.243043181818</v>
      </c>
      <c r="T1213" s="61" t="n">
        <v>166.05</v>
      </c>
      <c r="U1213" s="61" t="n">
        <f aca="false">H1213*Resumo!$B$6</f>
        <v>0.71759</v>
      </c>
      <c r="V1213" s="61" t="n">
        <f aca="false">H1213*Resumo!$B$7</f>
        <v>1.43518</v>
      </c>
      <c r="W1213" s="61" t="n">
        <f aca="false">Resumo!$B$9</f>
        <v>1</v>
      </c>
      <c r="X1213" s="61" t="n">
        <f aca="false">Resumo!$B$10*CEILING(G1213/100,1)</f>
        <v>4.5</v>
      </c>
      <c r="Y1213" s="61" t="n">
        <f aca="false">Resumo!$B$12*CEILING(G1213,1)</f>
        <v>3.84</v>
      </c>
      <c r="Z1213" s="61" t="n">
        <f aca="false">Resumo!$B$14*CEILING(G1213,1)</f>
        <v>28.8</v>
      </c>
      <c r="AA1213" s="61" t="n">
        <f aca="false">SUM(T1213:Z1213)</f>
        <v>206.34277</v>
      </c>
      <c r="AB1213" s="61" t="n">
        <f aca="false">AA1213/(1-Resumo!$B$5)</f>
        <v>234.480420454545</v>
      </c>
      <c r="AC1213" s="61" t="n">
        <f aca="false">AB1213-S1213</f>
        <v>79.2373772727273</v>
      </c>
      <c r="AD1213" s="62" t="n">
        <f aca="false">AB1213/S1213-1</f>
        <v>0.510408554539386</v>
      </c>
      <c r="AE1213" s="60" t="str">
        <f aca="false">IF(AB1213&lt;S1213,"SIM","NÃO")</f>
        <v>NÃO</v>
      </c>
      <c r="AF1213" s="60" t="n">
        <v>13</v>
      </c>
      <c r="AG1213" s="60" t="n">
        <v>10</v>
      </c>
      <c r="AH1213" s="60" t="s">
        <v>385</v>
      </c>
      <c r="AI1213" s="61" t="n">
        <f aca="false">(T1213*(1-Painel!$C$40)+U1213+V1213+Painel!$C$41+Painel!$C$42*CEILING(G1213/100,1)+Painel!$C$43*CEILING(G1213,1)+Z1213)/(1-Resumo!$B$5)</f>
        <v>163.927579545455</v>
      </c>
      <c r="AJ1213" s="60" t="str">
        <f aca="false">IF(AI1213&lt;S1213,"SIM","NÃO")</f>
        <v>NÃO</v>
      </c>
    </row>
    <row r="1214" customFormat="false" ht="15" hidden="false" customHeight="false" outlineLevel="0" collapsed="false">
      <c r="A1214" s="59" t="n">
        <v>46253.4362384259</v>
      </c>
      <c r="B1214" s="60" t="s">
        <v>1336</v>
      </c>
      <c r="C1214" s="60" t="n">
        <v>21725020</v>
      </c>
      <c r="D1214" s="60" t="s">
        <v>46</v>
      </c>
      <c r="E1214" s="60" t="s">
        <v>22</v>
      </c>
      <c r="F1214" s="60" t="s">
        <v>233</v>
      </c>
      <c r="G1214" s="60" t="n">
        <v>20.8</v>
      </c>
      <c r="H1214" s="61" t="n">
        <v>289.24</v>
      </c>
      <c r="I1214" s="61" t="n">
        <v>42.11</v>
      </c>
      <c r="J1214" s="61" t="n">
        <f aca="false">H1214*Resumo!$C$6</f>
        <v>0</v>
      </c>
      <c r="K1214" s="61" t="n">
        <f aca="false">H1214*Resumo!$C$7</f>
        <v>0.607404</v>
      </c>
      <c r="L1214" s="61" t="n">
        <f aca="false">H1214*Resumo!$C$8</f>
        <v>0.607404</v>
      </c>
      <c r="M1214" s="61" t="n">
        <f aca="false">Resumo!$C$10*CEILING(G1214/100,1)</f>
        <v>1.05</v>
      </c>
      <c r="N1214" s="61" t="n">
        <f aca="false">Resumo!$C$9</f>
        <v>0</v>
      </c>
      <c r="O1214" s="61" t="n">
        <f aca="false">Resumo!$C$13</f>
        <v>13.55</v>
      </c>
      <c r="P1214" s="61" t="n">
        <f aca="false">Resumo!$C$14*CEILING(G1214,1)</f>
        <v>9.45</v>
      </c>
      <c r="Q1214" s="61" t="n">
        <f aca="false">SUM(I1214:P1214)*Resumo!$C$11</f>
        <v>0</v>
      </c>
      <c r="R1214" s="61" t="n">
        <f aca="false">SUM(I1214:Q1214)</f>
        <v>67.374808</v>
      </c>
      <c r="S1214" s="61" t="n">
        <f aca="false">R1214/(1-Resumo!$C$5)</f>
        <v>76.5622818181818</v>
      </c>
      <c r="T1214" s="61" t="n">
        <v>82.21</v>
      </c>
      <c r="U1214" s="61" t="n">
        <f aca="false">H1214*Resumo!$B$6</f>
        <v>0.28924</v>
      </c>
      <c r="V1214" s="61" t="n">
        <f aca="false">H1214*Resumo!$B$7</f>
        <v>0.57848</v>
      </c>
      <c r="W1214" s="61" t="n">
        <f aca="false">Resumo!$B$9</f>
        <v>1</v>
      </c>
      <c r="X1214" s="61" t="n">
        <f aca="false">Resumo!$B$10*CEILING(G1214/100,1)</f>
        <v>4.5</v>
      </c>
      <c r="Y1214" s="61" t="n">
        <f aca="false">Resumo!$B$12*CEILING(G1214,1)</f>
        <v>1.26</v>
      </c>
      <c r="Z1214" s="61" t="n">
        <f aca="false">Resumo!$B$14*CEILING(G1214,1)</f>
        <v>9.45</v>
      </c>
      <c r="AA1214" s="61" t="n">
        <f aca="false">SUM(T1214:Z1214)</f>
        <v>99.28772</v>
      </c>
      <c r="AB1214" s="61" t="n">
        <f aca="false">AA1214/(1-Resumo!$B$5)</f>
        <v>112.826954545455</v>
      </c>
      <c r="AC1214" s="61" t="n">
        <f aca="false">AB1214-S1214</f>
        <v>36.2646727272727</v>
      </c>
      <c r="AD1214" s="62" t="n">
        <f aca="false">AB1214/S1214-1</f>
        <v>0.473662381345859</v>
      </c>
      <c r="AE1214" s="60" t="str">
        <f aca="false">IF(AB1214&lt;S1214,"SIM","NÃO")</f>
        <v>NÃO</v>
      </c>
      <c r="AF1214" s="60" t="n">
        <v>2</v>
      </c>
      <c r="AG1214" s="60" t="n">
        <v>5</v>
      </c>
      <c r="AH1214" s="60" t="s">
        <v>382</v>
      </c>
      <c r="AI1214" s="61" t="n">
        <f aca="false">(T1214*(1-Painel!$C$40)+U1214+V1214+Painel!$C$41+Painel!$C$42*CEILING(G1214/100,1)+Painel!$C$43*CEILING(G1214,1)+Z1214)/(1-Resumo!$B$5)</f>
        <v>76.6459318181818</v>
      </c>
      <c r="AJ1214" s="60" t="str">
        <f aca="false">IF(AI1214&lt;S1214,"SIM","NÃO")</f>
        <v>NÃO</v>
      </c>
    </row>
    <row r="1215" customFormat="false" ht="15" hidden="false" customHeight="false" outlineLevel="0" collapsed="false">
      <c r="A1215" s="59" t="n">
        <v>46253.510787037</v>
      </c>
      <c r="B1215" s="60" t="s">
        <v>1513</v>
      </c>
      <c r="C1215" s="60" t="n">
        <v>22221000</v>
      </c>
      <c r="D1215" s="60" t="s">
        <v>46</v>
      </c>
      <c r="E1215" s="60" t="s">
        <v>22</v>
      </c>
      <c r="F1215" s="60" t="s">
        <v>236</v>
      </c>
      <c r="G1215" s="60" t="n">
        <v>52.3</v>
      </c>
      <c r="H1215" s="61" t="n">
        <v>616.39</v>
      </c>
      <c r="I1215" s="61" t="n">
        <v>58.6</v>
      </c>
      <c r="J1215" s="61" t="n">
        <f aca="false">H1215*Resumo!$C$6</f>
        <v>0</v>
      </c>
      <c r="K1215" s="61" t="n">
        <f aca="false">H1215*Resumo!$C$7</f>
        <v>1.294419</v>
      </c>
      <c r="L1215" s="61" t="n">
        <f aca="false">H1215*Resumo!$C$8</f>
        <v>1.294419</v>
      </c>
      <c r="M1215" s="61" t="n">
        <f aca="false">Resumo!$C$10*CEILING(G1215/100,1)</f>
        <v>1.05</v>
      </c>
      <c r="N1215" s="61" t="n">
        <f aca="false">Resumo!$C$9</f>
        <v>0</v>
      </c>
      <c r="O1215" s="61" t="n">
        <f aca="false">Resumo!$C$13</f>
        <v>13.55</v>
      </c>
      <c r="P1215" s="61" t="n">
        <f aca="false">Resumo!$C$14*CEILING(G1215,1)</f>
        <v>23.85</v>
      </c>
      <c r="Q1215" s="61" t="n">
        <f aca="false">SUM(I1215:P1215)*Resumo!$C$11</f>
        <v>0</v>
      </c>
      <c r="R1215" s="61" t="n">
        <f aca="false">SUM(I1215:Q1215)</f>
        <v>99.638838</v>
      </c>
      <c r="S1215" s="61" t="n">
        <f aca="false">R1215/(1-Resumo!$C$5)</f>
        <v>113.225952272727</v>
      </c>
      <c r="T1215" s="61" t="n">
        <v>112.3</v>
      </c>
      <c r="U1215" s="61" t="n">
        <f aca="false">H1215*Resumo!$B$6</f>
        <v>0.61639</v>
      </c>
      <c r="V1215" s="61" t="n">
        <f aca="false">H1215*Resumo!$B$7</f>
        <v>1.23278</v>
      </c>
      <c r="W1215" s="61" t="n">
        <f aca="false">Resumo!$B$9</f>
        <v>1</v>
      </c>
      <c r="X1215" s="61" t="n">
        <f aca="false">Resumo!$B$10*CEILING(G1215/100,1)</f>
        <v>4.5</v>
      </c>
      <c r="Y1215" s="61" t="n">
        <f aca="false">Resumo!$B$12*CEILING(G1215,1)</f>
        <v>3.18</v>
      </c>
      <c r="Z1215" s="61" t="n">
        <f aca="false">Resumo!$B$14*CEILING(G1215,1)</f>
        <v>23.85</v>
      </c>
      <c r="AA1215" s="61" t="n">
        <f aca="false">SUM(T1215:Z1215)</f>
        <v>146.67917</v>
      </c>
      <c r="AB1215" s="61" t="n">
        <f aca="false">AA1215/(1-Resumo!$B$5)</f>
        <v>166.680875</v>
      </c>
      <c r="AC1215" s="61" t="n">
        <f aca="false">AB1215-S1215</f>
        <v>53.4549227272727</v>
      </c>
      <c r="AD1215" s="62" t="n">
        <f aca="false">AB1215/S1215-1</f>
        <v>0.472108396125615</v>
      </c>
      <c r="AE1215" s="60" t="str">
        <f aca="false">IF(AB1215&lt;S1215,"SIM","NÃO")</f>
        <v>NÃO</v>
      </c>
      <c r="AF1215" s="60" t="n">
        <v>2</v>
      </c>
      <c r="AG1215" s="60" t="n">
        <v>5</v>
      </c>
      <c r="AH1215" s="60" t="s">
        <v>382</v>
      </c>
      <c r="AI1215" s="61" t="n">
        <f aca="false">(T1215*(1-Painel!$C$40)+U1215+V1215+Painel!$C$41+Painel!$C$42*CEILING(G1215/100,1)+Painel!$C$43*CEILING(G1215,1)+Z1215)/(1-Resumo!$B$5)</f>
        <v>117.034284090909</v>
      </c>
      <c r="AJ1215" s="60" t="str">
        <f aca="false">IF(AI1215&lt;S1215,"SIM","NÃO")</f>
        <v>NÃO</v>
      </c>
    </row>
    <row r="1216" customFormat="false" ht="15" hidden="false" customHeight="false" outlineLevel="0" collapsed="false">
      <c r="A1216" s="59" t="n">
        <v>46253.5123148148</v>
      </c>
      <c r="B1216" s="60" t="s">
        <v>1514</v>
      </c>
      <c r="C1216" s="60" t="n">
        <v>27913260</v>
      </c>
      <c r="D1216" s="60" t="s">
        <v>53</v>
      </c>
      <c r="E1216" s="60" t="s">
        <v>24</v>
      </c>
      <c r="F1216" s="60" t="s">
        <v>235</v>
      </c>
      <c r="G1216" s="60" t="n">
        <v>44.7</v>
      </c>
      <c r="H1216" s="61" t="n">
        <v>511.57</v>
      </c>
      <c r="I1216" s="61" t="n">
        <v>77.7</v>
      </c>
      <c r="J1216" s="61" t="n">
        <f aca="false">H1216*Resumo!$C$6</f>
        <v>0</v>
      </c>
      <c r="K1216" s="61" t="n">
        <f aca="false">H1216*Resumo!$C$7</f>
        <v>1.074297</v>
      </c>
      <c r="L1216" s="61" t="n">
        <f aca="false">H1216*Resumo!$C$8</f>
        <v>1.074297</v>
      </c>
      <c r="M1216" s="61" t="n">
        <f aca="false">Resumo!$C$10*CEILING(G1216/100,1)</f>
        <v>1.05</v>
      </c>
      <c r="N1216" s="61" t="n">
        <f aca="false">Resumo!$C$9</f>
        <v>0</v>
      </c>
      <c r="O1216" s="61" t="n">
        <f aca="false">Resumo!$C$13</f>
        <v>13.55</v>
      </c>
      <c r="P1216" s="61" t="n">
        <f aca="false">Resumo!$C$14*CEILING(G1216,1)</f>
        <v>20.25</v>
      </c>
      <c r="Q1216" s="61" t="n">
        <f aca="false">SUM(I1216:P1216)*Resumo!$C$11</f>
        <v>0</v>
      </c>
      <c r="R1216" s="61" t="n">
        <f aca="false">SUM(I1216:Q1216)</f>
        <v>114.698594</v>
      </c>
      <c r="S1216" s="61" t="n">
        <f aca="false">R1216/(1-Resumo!$C$5)</f>
        <v>130.339311363636</v>
      </c>
      <c r="T1216" s="61" t="n">
        <v>152.54</v>
      </c>
      <c r="U1216" s="61" t="n">
        <f aca="false">H1216*Resumo!$B$6</f>
        <v>0.51157</v>
      </c>
      <c r="V1216" s="61" t="n">
        <f aca="false">H1216*Resumo!$B$7</f>
        <v>1.02314</v>
      </c>
      <c r="W1216" s="61" t="n">
        <f aca="false">Resumo!$B$9</f>
        <v>1</v>
      </c>
      <c r="X1216" s="61" t="n">
        <f aca="false">Resumo!$B$10*CEILING(G1216/100,1)</f>
        <v>4.5</v>
      </c>
      <c r="Y1216" s="61" t="n">
        <f aca="false">Resumo!$B$12*CEILING(G1216,1)</f>
        <v>2.7</v>
      </c>
      <c r="Z1216" s="61" t="n">
        <f aca="false">Resumo!$B$14*CEILING(G1216,1)</f>
        <v>20.25</v>
      </c>
      <c r="AA1216" s="61" t="n">
        <f aca="false">SUM(T1216:Z1216)</f>
        <v>182.52471</v>
      </c>
      <c r="AB1216" s="61" t="n">
        <f aca="false">AA1216/(1-Resumo!$B$5)</f>
        <v>207.414443181818</v>
      </c>
      <c r="AC1216" s="61" t="n">
        <f aca="false">AB1216-S1216</f>
        <v>77.0751318181818</v>
      </c>
      <c r="AD1216" s="62" t="n">
        <f aca="false">AB1216/S1216-1</f>
        <v>0.591342174604163</v>
      </c>
      <c r="AE1216" s="60" t="str">
        <f aca="false">IF(AB1216&lt;S1216,"SIM","NÃO")</f>
        <v>NÃO</v>
      </c>
      <c r="AF1216" s="60" t="n">
        <v>13</v>
      </c>
      <c r="AG1216" s="60" t="n">
        <v>11</v>
      </c>
      <c r="AH1216" s="60" t="s">
        <v>382</v>
      </c>
      <c r="AI1216" s="61" t="n">
        <f aca="false">(T1216*(1-Painel!$C$40)+U1216+V1216+Painel!$C$41+Painel!$C$42*CEILING(G1216/100,1)+Painel!$C$43*CEILING(G1216,1)+Z1216)/(1-Resumo!$B$5)</f>
        <v>143.223306818182</v>
      </c>
      <c r="AJ1216" s="60" t="str">
        <f aca="false">IF(AI1216&lt;S1216,"SIM","NÃO")</f>
        <v>NÃO</v>
      </c>
    </row>
    <row r="1217" customFormat="false" ht="15" hidden="false" customHeight="false" outlineLevel="0" collapsed="false">
      <c r="A1217" s="59" t="n">
        <v>46253.5539814815</v>
      </c>
      <c r="B1217" s="60" t="s">
        <v>1515</v>
      </c>
      <c r="C1217" s="60" t="n">
        <v>20740570</v>
      </c>
      <c r="D1217" s="60" t="s">
        <v>46</v>
      </c>
      <c r="E1217" s="60" t="s">
        <v>22</v>
      </c>
      <c r="F1217" s="60" t="s">
        <v>233</v>
      </c>
      <c r="G1217" s="60" t="n">
        <v>25.8</v>
      </c>
      <c r="H1217" s="61" t="n">
        <v>316</v>
      </c>
      <c r="I1217" s="61" t="n">
        <v>42.11</v>
      </c>
      <c r="J1217" s="61" t="n">
        <f aca="false">H1217*Resumo!$C$6</f>
        <v>0</v>
      </c>
      <c r="K1217" s="61" t="n">
        <f aca="false">H1217*Resumo!$C$7</f>
        <v>0.6636</v>
      </c>
      <c r="L1217" s="61" t="n">
        <f aca="false">H1217*Resumo!$C$8</f>
        <v>0.6636</v>
      </c>
      <c r="M1217" s="61" t="n">
        <f aca="false">Resumo!$C$10*CEILING(G1217/100,1)</f>
        <v>1.05</v>
      </c>
      <c r="N1217" s="61" t="n">
        <f aca="false">Resumo!$C$9</f>
        <v>0</v>
      </c>
      <c r="O1217" s="61" t="n">
        <f aca="false">Resumo!$C$13</f>
        <v>13.55</v>
      </c>
      <c r="P1217" s="61" t="n">
        <f aca="false">Resumo!$C$14*CEILING(G1217,1)</f>
        <v>11.7</v>
      </c>
      <c r="Q1217" s="61" t="n">
        <f aca="false">SUM(I1217:P1217)*Resumo!$C$11</f>
        <v>0</v>
      </c>
      <c r="R1217" s="61" t="n">
        <f aca="false">SUM(I1217:Q1217)</f>
        <v>69.7372</v>
      </c>
      <c r="S1217" s="61" t="n">
        <f aca="false">R1217/(1-Resumo!$C$5)</f>
        <v>79.2468181818182</v>
      </c>
      <c r="T1217" s="61" t="n">
        <v>82.21</v>
      </c>
      <c r="U1217" s="61" t="n">
        <f aca="false">H1217*Resumo!$B$6</f>
        <v>0.316</v>
      </c>
      <c r="V1217" s="61" t="n">
        <f aca="false">H1217*Resumo!$B$7</f>
        <v>0.632</v>
      </c>
      <c r="W1217" s="61" t="n">
        <f aca="false">Resumo!$B$9</f>
        <v>1</v>
      </c>
      <c r="X1217" s="61" t="n">
        <f aca="false">Resumo!$B$10*CEILING(G1217/100,1)</f>
        <v>4.5</v>
      </c>
      <c r="Y1217" s="61" t="n">
        <f aca="false">Resumo!$B$12*CEILING(G1217,1)</f>
        <v>1.56</v>
      </c>
      <c r="Z1217" s="61" t="n">
        <f aca="false">Resumo!$B$14*CEILING(G1217,1)</f>
        <v>11.7</v>
      </c>
      <c r="AA1217" s="61" t="n">
        <f aca="false">SUM(T1217:Z1217)</f>
        <v>101.918</v>
      </c>
      <c r="AB1217" s="61" t="n">
        <f aca="false">AA1217/(1-Resumo!$B$5)</f>
        <v>115.815909090909</v>
      </c>
      <c r="AC1217" s="61" t="n">
        <f aca="false">AB1217-S1217</f>
        <v>36.5690909090909</v>
      </c>
      <c r="AD1217" s="62" t="n">
        <f aca="false">AB1217/S1217-1</f>
        <v>0.461458160063782</v>
      </c>
      <c r="AE1217" s="60" t="str">
        <f aca="false">IF(AB1217&lt;S1217,"SIM","NÃO")</f>
        <v>NÃO</v>
      </c>
      <c r="AF1217" s="60" t="n">
        <v>2</v>
      </c>
      <c r="AG1217" s="60" t="n">
        <v>5</v>
      </c>
      <c r="AH1217" s="60" t="s">
        <v>382</v>
      </c>
      <c r="AI1217" s="61" t="n">
        <f aca="false">(T1217*(1-Painel!$C$40)+U1217+V1217+Painel!$C$41+Painel!$C$42*CEILING(G1217/100,1)+Painel!$C$43*CEILING(G1217,1)+Z1217)/(1-Resumo!$B$5)</f>
        <v>79.2939772727273</v>
      </c>
      <c r="AJ1217" s="60" t="str">
        <f aca="false">IF(AI1217&lt;S1217,"SIM","NÃO")</f>
        <v>NÃO</v>
      </c>
    </row>
    <row r="1218" customFormat="false" ht="15" hidden="false" customHeight="false" outlineLevel="0" collapsed="false">
      <c r="A1218" s="59" t="n">
        <v>46253.6125810185</v>
      </c>
      <c r="B1218" s="60" t="s">
        <v>689</v>
      </c>
      <c r="C1218" s="60" t="n">
        <v>22783123</v>
      </c>
      <c r="D1218" s="60" t="s">
        <v>46</v>
      </c>
      <c r="E1218" s="60" t="s">
        <v>22</v>
      </c>
      <c r="F1218" s="60" t="s">
        <v>236</v>
      </c>
      <c r="G1218" s="60" t="n">
        <v>52.3</v>
      </c>
      <c r="H1218" s="61" t="n">
        <v>669.99</v>
      </c>
      <c r="I1218" s="61" t="n">
        <v>58.6</v>
      </c>
      <c r="J1218" s="61" t="n">
        <f aca="false">H1218*Resumo!$C$6</f>
        <v>0</v>
      </c>
      <c r="K1218" s="61" t="n">
        <f aca="false">H1218*Resumo!$C$7</f>
        <v>1.406979</v>
      </c>
      <c r="L1218" s="61" t="n">
        <f aca="false">H1218*Resumo!$C$8</f>
        <v>1.406979</v>
      </c>
      <c r="M1218" s="61" t="n">
        <f aca="false">Resumo!$C$10*CEILING(G1218/100,1)</f>
        <v>1.05</v>
      </c>
      <c r="N1218" s="61" t="n">
        <f aca="false">Resumo!$C$9</f>
        <v>0</v>
      </c>
      <c r="O1218" s="61" t="n">
        <f aca="false">Resumo!$C$13</f>
        <v>13.55</v>
      </c>
      <c r="P1218" s="61" t="n">
        <f aca="false">Resumo!$C$14*CEILING(G1218,1)</f>
        <v>23.85</v>
      </c>
      <c r="Q1218" s="61" t="n">
        <f aca="false">SUM(I1218:P1218)*Resumo!$C$11</f>
        <v>0</v>
      </c>
      <c r="R1218" s="61" t="n">
        <f aca="false">SUM(I1218:Q1218)</f>
        <v>99.863958</v>
      </c>
      <c r="S1218" s="61" t="n">
        <f aca="false">R1218/(1-Resumo!$C$5)</f>
        <v>113.481770454545</v>
      </c>
      <c r="T1218" s="61" t="n">
        <v>112.3</v>
      </c>
      <c r="U1218" s="61" t="n">
        <f aca="false">H1218*Resumo!$B$6</f>
        <v>0.66999</v>
      </c>
      <c r="V1218" s="61" t="n">
        <f aca="false">H1218*Resumo!$B$7</f>
        <v>1.33998</v>
      </c>
      <c r="W1218" s="61" t="n">
        <f aca="false">Resumo!$B$9</f>
        <v>1</v>
      </c>
      <c r="X1218" s="61" t="n">
        <f aca="false">Resumo!$B$10*CEILING(G1218/100,1)</f>
        <v>4.5</v>
      </c>
      <c r="Y1218" s="61" t="n">
        <f aca="false">Resumo!$B$12*CEILING(G1218,1)</f>
        <v>3.18</v>
      </c>
      <c r="Z1218" s="61" t="n">
        <f aca="false">Resumo!$B$14*CEILING(G1218,1)</f>
        <v>23.85</v>
      </c>
      <c r="AA1218" s="61" t="n">
        <f aca="false">SUM(T1218:Z1218)</f>
        <v>146.83997</v>
      </c>
      <c r="AB1218" s="61" t="n">
        <f aca="false">AA1218/(1-Resumo!$B$5)</f>
        <v>166.863602272727</v>
      </c>
      <c r="AC1218" s="61" t="n">
        <f aca="false">AB1218-S1218</f>
        <v>53.3818318181818</v>
      </c>
      <c r="AD1218" s="62" t="n">
        <f aca="false">AB1218/S1218-1</f>
        <v>0.470400061651872</v>
      </c>
      <c r="AE1218" s="60" t="str">
        <f aca="false">IF(AB1218&lt;S1218,"SIM","NÃO")</f>
        <v>NÃO</v>
      </c>
      <c r="AF1218" s="60" t="n">
        <v>2</v>
      </c>
      <c r="AG1218" s="60" t="n">
        <v>5</v>
      </c>
      <c r="AH1218" s="60" t="s">
        <v>382</v>
      </c>
      <c r="AI1218" s="61" t="n">
        <f aca="false">(T1218*(1-Painel!$C$40)+U1218+V1218+Painel!$C$41+Painel!$C$42*CEILING(G1218/100,1)+Painel!$C$43*CEILING(G1218,1)+Z1218)/(1-Resumo!$B$5)</f>
        <v>117.217011363636</v>
      </c>
      <c r="AJ1218" s="60" t="str">
        <f aca="false">IF(AI1218&lt;S1218,"SIM","NÃO")</f>
        <v>NÃO</v>
      </c>
    </row>
    <row r="1219" customFormat="false" ht="15" hidden="false" customHeight="false" outlineLevel="0" collapsed="false">
      <c r="A1219" s="59" t="n">
        <v>46253.6332523148</v>
      </c>
      <c r="B1219" s="60" t="s">
        <v>1516</v>
      </c>
      <c r="C1219" s="60" t="n">
        <v>25030040</v>
      </c>
      <c r="D1219" s="60" t="s">
        <v>48</v>
      </c>
      <c r="E1219" s="60" t="s">
        <v>23</v>
      </c>
      <c r="F1219" s="60" t="s">
        <v>233</v>
      </c>
      <c r="G1219" s="60" t="n">
        <v>31.9</v>
      </c>
      <c r="H1219" s="61" t="n">
        <v>518.79</v>
      </c>
      <c r="I1219" s="61" t="n">
        <v>58.8</v>
      </c>
      <c r="J1219" s="61" t="n">
        <f aca="false">H1219*Resumo!$C$6</f>
        <v>0</v>
      </c>
      <c r="K1219" s="61" t="n">
        <f aca="false">H1219*Resumo!$C$7</f>
        <v>1.089459</v>
      </c>
      <c r="L1219" s="61" t="n">
        <f aca="false">H1219*Resumo!$C$8</f>
        <v>1.089459</v>
      </c>
      <c r="M1219" s="61" t="n">
        <f aca="false">Resumo!$C$10*CEILING(G1219/100,1)</f>
        <v>1.05</v>
      </c>
      <c r="N1219" s="61" t="n">
        <f aca="false">Resumo!$C$9</f>
        <v>0</v>
      </c>
      <c r="O1219" s="61" t="n">
        <f aca="false">Resumo!$C$13</f>
        <v>13.55</v>
      </c>
      <c r="P1219" s="61" t="n">
        <f aca="false">Resumo!$C$14*CEILING(G1219,1)</f>
        <v>14.4</v>
      </c>
      <c r="Q1219" s="61" t="n">
        <f aca="false">SUM(I1219:P1219)*Resumo!$C$11</f>
        <v>0</v>
      </c>
      <c r="R1219" s="61" t="n">
        <f aca="false">SUM(I1219:Q1219)</f>
        <v>89.978918</v>
      </c>
      <c r="S1219" s="61" t="n">
        <f aca="false">R1219/(1-Resumo!$C$5)</f>
        <v>102.248770454545</v>
      </c>
      <c r="T1219" s="61" t="n">
        <v>82.21</v>
      </c>
      <c r="U1219" s="61" t="n">
        <f aca="false">H1219*Resumo!$B$6</f>
        <v>0.51879</v>
      </c>
      <c r="V1219" s="61" t="n">
        <f aca="false">H1219*Resumo!$B$7</f>
        <v>1.03758</v>
      </c>
      <c r="W1219" s="61" t="n">
        <f aca="false">Resumo!$B$9</f>
        <v>1</v>
      </c>
      <c r="X1219" s="61" t="n">
        <f aca="false">Resumo!$B$10*CEILING(G1219/100,1)</f>
        <v>4.5</v>
      </c>
      <c r="Y1219" s="61" t="n">
        <f aca="false">Resumo!$B$12*CEILING(G1219,1)</f>
        <v>1.92</v>
      </c>
      <c r="Z1219" s="61" t="n">
        <f aca="false">Resumo!$B$14*CEILING(G1219,1)</f>
        <v>14.4</v>
      </c>
      <c r="AA1219" s="61" t="n">
        <f aca="false">SUM(T1219:Z1219)</f>
        <v>105.58637</v>
      </c>
      <c r="AB1219" s="61" t="n">
        <f aca="false">AA1219/(1-Resumo!$B$5)</f>
        <v>119.984511363636</v>
      </c>
      <c r="AC1219" s="61" t="n">
        <f aca="false">AB1219-S1219</f>
        <v>17.7357409090909</v>
      </c>
      <c r="AD1219" s="62" t="n">
        <f aca="false">AB1219/S1219-1</f>
        <v>0.173456764616796</v>
      </c>
      <c r="AE1219" s="60" t="str">
        <f aca="false">IF(AB1219&lt;S1219,"SIM","NÃO")</f>
        <v>NÃO</v>
      </c>
      <c r="AF1219" s="60" t="n">
        <v>2</v>
      </c>
      <c r="AG1219" s="60" t="n">
        <v>5</v>
      </c>
      <c r="AH1219" s="60" t="s">
        <v>382</v>
      </c>
      <c r="AI1219" s="61" t="n">
        <f aca="false">(T1219*(1-Painel!$C$40)+U1219+V1219+Painel!$C$41+Painel!$C$42*CEILING(G1219/100,1)+Painel!$C$43*CEILING(G1219,1)+Z1219)/(1-Resumo!$B$5)</f>
        <v>83.0534886363636</v>
      </c>
      <c r="AJ1219" s="60" t="str">
        <f aca="false">IF(AI1219&lt;S1219,"SIM","NÃO")</f>
        <v>SIM</v>
      </c>
    </row>
    <row r="1220" customFormat="false" ht="15" hidden="false" customHeight="false" outlineLevel="0" collapsed="false">
      <c r="A1220" s="59" t="n">
        <v>46253.650462963</v>
      </c>
      <c r="B1220" s="60" t="s">
        <v>1517</v>
      </c>
      <c r="C1220" s="60" t="n">
        <v>23036061</v>
      </c>
      <c r="D1220" s="60" t="s">
        <v>46</v>
      </c>
      <c r="E1220" s="60" t="s">
        <v>22</v>
      </c>
      <c r="F1220" s="60" t="s">
        <v>237</v>
      </c>
      <c r="G1220" s="60" t="n">
        <v>66.8</v>
      </c>
      <c r="H1220" s="61" t="n">
        <v>609.99</v>
      </c>
      <c r="I1220" s="61" t="n">
        <v>63.21</v>
      </c>
      <c r="J1220" s="61" t="n">
        <f aca="false">H1220*Resumo!$C$6</f>
        <v>0</v>
      </c>
      <c r="K1220" s="61" t="n">
        <f aca="false">H1220*Resumo!$C$7</f>
        <v>1.280979</v>
      </c>
      <c r="L1220" s="61" t="n">
        <f aca="false">H1220*Resumo!$C$8</f>
        <v>1.280979</v>
      </c>
      <c r="M1220" s="61" t="n">
        <f aca="false">Resumo!$C$10*CEILING(G1220/100,1)</f>
        <v>1.05</v>
      </c>
      <c r="N1220" s="61" t="n">
        <f aca="false">Resumo!$C$9</f>
        <v>0</v>
      </c>
      <c r="O1220" s="61" t="n">
        <f aca="false">Resumo!$C$13</f>
        <v>13.55</v>
      </c>
      <c r="P1220" s="61" t="n">
        <f aca="false">Resumo!$C$14*CEILING(G1220,1)</f>
        <v>30.15</v>
      </c>
      <c r="Q1220" s="61" t="n">
        <f aca="false">SUM(I1220:P1220)*Resumo!$C$11</f>
        <v>0</v>
      </c>
      <c r="R1220" s="61" t="n">
        <f aca="false">SUM(I1220:Q1220)</f>
        <v>110.521958</v>
      </c>
      <c r="S1220" s="61" t="n">
        <f aca="false">R1220/(1-Resumo!$C$5)</f>
        <v>125.593134090909</v>
      </c>
      <c r="T1220" s="61" t="n">
        <v>131.02</v>
      </c>
      <c r="U1220" s="61" t="n">
        <f aca="false">H1220*Resumo!$B$6</f>
        <v>0.60999</v>
      </c>
      <c r="V1220" s="61" t="n">
        <f aca="false">H1220*Resumo!$B$7</f>
        <v>1.21998</v>
      </c>
      <c r="W1220" s="61" t="n">
        <f aca="false">Resumo!$B$9</f>
        <v>1</v>
      </c>
      <c r="X1220" s="61" t="n">
        <f aca="false">Resumo!$B$10*CEILING(G1220/100,1)</f>
        <v>4.5</v>
      </c>
      <c r="Y1220" s="61" t="n">
        <f aca="false">Resumo!$B$12*CEILING(G1220,1)</f>
        <v>4.02</v>
      </c>
      <c r="Z1220" s="61" t="n">
        <f aca="false">Resumo!$B$14*CEILING(G1220,1)</f>
        <v>30.15</v>
      </c>
      <c r="AA1220" s="61" t="n">
        <f aca="false">SUM(T1220:Z1220)</f>
        <v>172.51997</v>
      </c>
      <c r="AB1220" s="61" t="n">
        <f aca="false">AA1220/(1-Resumo!$B$5)</f>
        <v>196.045420454545</v>
      </c>
      <c r="AC1220" s="61" t="n">
        <f aca="false">AB1220-S1220</f>
        <v>70.4522863636364</v>
      </c>
      <c r="AD1220" s="62" t="n">
        <f aca="false">AB1220/S1220-1</f>
        <v>0.560956511465351</v>
      </c>
      <c r="AE1220" s="60" t="str">
        <f aca="false">IF(AB1220&lt;S1220,"SIM","NÃO")</f>
        <v>NÃO</v>
      </c>
      <c r="AF1220" s="60" t="n">
        <v>2</v>
      </c>
      <c r="AG1220" s="60" t="n">
        <v>5</v>
      </c>
      <c r="AH1220" s="60" t="s">
        <v>382</v>
      </c>
      <c r="AI1220" s="61" t="n">
        <f aca="false">(T1220*(1-Painel!$C$40)+U1220+V1220+Painel!$C$41+Painel!$C$42*CEILING(G1220/100,1)+Painel!$C$43*CEILING(G1220,1)+Z1220)/(1-Resumo!$B$5)</f>
        <v>138.424284090909</v>
      </c>
      <c r="AJ1220" s="60" t="str">
        <f aca="false">IF(AI1220&lt;S1220,"SIM","NÃO")</f>
        <v>NÃO</v>
      </c>
    </row>
    <row r="1221" customFormat="false" ht="15" hidden="false" customHeight="false" outlineLevel="0" collapsed="false">
      <c r="A1221" s="59" t="n">
        <v>46253.652349537</v>
      </c>
      <c r="B1221" s="60" t="s">
        <v>1518</v>
      </c>
      <c r="C1221" s="60" t="n">
        <v>26574391</v>
      </c>
      <c r="D1221" s="60" t="s">
        <v>224</v>
      </c>
      <c r="E1221" s="60" t="s">
        <v>23</v>
      </c>
      <c r="F1221" s="60" t="s">
        <v>235</v>
      </c>
      <c r="G1221" s="60" t="n">
        <v>48</v>
      </c>
      <c r="H1221" s="61" t="n">
        <v>899.99</v>
      </c>
      <c r="I1221" s="61" t="n">
        <v>65.36</v>
      </c>
      <c r="J1221" s="61" t="n">
        <f aca="false">H1221*Resumo!$C$6</f>
        <v>0</v>
      </c>
      <c r="K1221" s="61" t="n">
        <f aca="false">H1221*Resumo!$C$7</f>
        <v>1.889979</v>
      </c>
      <c r="L1221" s="61" t="n">
        <f aca="false">H1221*Resumo!$C$8</f>
        <v>1.889979</v>
      </c>
      <c r="M1221" s="61" t="n">
        <f aca="false">Resumo!$C$10*CEILING(G1221/100,1)</f>
        <v>1.05</v>
      </c>
      <c r="N1221" s="61" t="n">
        <f aca="false">Resumo!$C$9</f>
        <v>0</v>
      </c>
      <c r="O1221" s="61" t="n">
        <f aca="false">Resumo!$C$13</f>
        <v>13.55</v>
      </c>
      <c r="P1221" s="61" t="n">
        <f aca="false">Resumo!$C$14*CEILING(G1221,1)</f>
        <v>21.6</v>
      </c>
      <c r="Q1221" s="61" t="n">
        <f aca="false">SUM(I1221:P1221)*Resumo!$C$11</f>
        <v>0</v>
      </c>
      <c r="R1221" s="61" t="n">
        <f aca="false">SUM(I1221:Q1221)</f>
        <v>105.339958</v>
      </c>
      <c r="S1221" s="61" t="n">
        <f aca="false">R1221/(1-Resumo!$C$5)</f>
        <v>119.704497727273</v>
      </c>
      <c r="T1221" s="61" t="n">
        <v>93.97</v>
      </c>
      <c r="U1221" s="61" t="n">
        <f aca="false">H1221*Resumo!$B$6</f>
        <v>0.89999</v>
      </c>
      <c r="V1221" s="61" t="n">
        <f aca="false">H1221*Resumo!$B$7</f>
        <v>1.79998</v>
      </c>
      <c r="W1221" s="61" t="n">
        <f aca="false">Resumo!$B$9</f>
        <v>1</v>
      </c>
      <c r="X1221" s="61" t="n">
        <f aca="false">Resumo!$B$10*CEILING(G1221/100,1)</f>
        <v>4.5</v>
      </c>
      <c r="Y1221" s="61" t="n">
        <f aca="false">Resumo!$B$12*CEILING(G1221,1)</f>
        <v>2.88</v>
      </c>
      <c r="Z1221" s="61" t="n">
        <f aca="false">Resumo!$B$14*CEILING(G1221,1)</f>
        <v>21.6</v>
      </c>
      <c r="AA1221" s="61" t="n">
        <f aca="false">SUM(T1221:Z1221)</f>
        <v>126.64997</v>
      </c>
      <c r="AB1221" s="61" t="n">
        <f aca="false">AA1221/(1-Resumo!$B$5)</f>
        <v>143.920420454545</v>
      </c>
      <c r="AC1221" s="61" t="n">
        <f aca="false">AB1221-S1221</f>
        <v>24.2159227272727</v>
      </c>
      <c r="AD1221" s="62" t="n">
        <f aca="false">AB1221/S1221-1</f>
        <v>0.202297517528913</v>
      </c>
      <c r="AE1221" s="60" t="str">
        <f aca="false">IF(AB1221&lt;S1221,"SIM","NÃO")</f>
        <v>NÃO</v>
      </c>
      <c r="AF1221" s="60" t="n">
        <v>2</v>
      </c>
      <c r="AG1221" s="60" t="n">
        <v>5</v>
      </c>
      <c r="AH1221" s="60" t="s">
        <v>382</v>
      </c>
      <c r="AI1221" s="61" t="n">
        <f aca="false">(T1221*(1-Painel!$C$40)+U1221+V1221+Painel!$C$41+Painel!$C$42*CEILING(G1221/100,1)+Painel!$C$43*CEILING(G1221,1)+Z1221)/(1-Resumo!$B$5)</f>
        <v>101.488488636364</v>
      </c>
      <c r="AJ1221" s="60" t="str">
        <f aca="false">IF(AI1221&lt;S1221,"SIM","NÃO")</f>
        <v>SIM</v>
      </c>
    </row>
    <row r="1222" customFormat="false" ht="15" hidden="false" customHeight="false" outlineLevel="0" collapsed="false">
      <c r="A1222" s="59" t="n">
        <v>46253.6731597222</v>
      </c>
      <c r="B1222" s="60" t="s">
        <v>1519</v>
      </c>
      <c r="C1222" s="60" t="n">
        <v>25575050</v>
      </c>
      <c r="D1222" s="60" t="s">
        <v>216</v>
      </c>
      <c r="E1222" s="60" t="s">
        <v>23</v>
      </c>
      <c r="F1222" s="60" t="s">
        <v>235</v>
      </c>
      <c r="G1222" s="60" t="n">
        <v>46.8</v>
      </c>
      <c r="H1222" s="61" t="n">
        <v>506.56</v>
      </c>
      <c r="I1222" s="61" t="n">
        <v>65.36</v>
      </c>
      <c r="J1222" s="61" t="n">
        <f aca="false">H1222*Resumo!$C$6</f>
        <v>0</v>
      </c>
      <c r="K1222" s="61" t="n">
        <f aca="false">H1222*Resumo!$C$7</f>
        <v>1.063776</v>
      </c>
      <c r="L1222" s="61" t="n">
        <f aca="false">H1222*Resumo!$C$8</f>
        <v>1.063776</v>
      </c>
      <c r="M1222" s="61" t="n">
        <f aca="false">Resumo!$C$10*CEILING(G1222/100,1)</f>
        <v>1.05</v>
      </c>
      <c r="N1222" s="61" t="n">
        <f aca="false">Resumo!$C$9</f>
        <v>0</v>
      </c>
      <c r="O1222" s="61" t="n">
        <f aca="false">Resumo!$C$13</f>
        <v>13.55</v>
      </c>
      <c r="P1222" s="61" t="n">
        <f aca="false">Resumo!$C$14*CEILING(G1222,1)</f>
        <v>21.15</v>
      </c>
      <c r="Q1222" s="61" t="n">
        <f aca="false">SUM(I1222:P1222)*Resumo!$C$11</f>
        <v>0</v>
      </c>
      <c r="R1222" s="61" t="n">
        <f aca="false">SUM(I1222:Q1222)</f>
        <v>103.237552</v>
      </c>
      <c r="S1222" s="61" t="n">
        <f aca="false">R1222/(1-Resumo!$C$5)</f>
        <v>117.3154</v>
      </c>
      <c r="T1222" s="61" t="n">
        <v>93.97</v>
      </c>
      <c r="U1222" s="61" t="n">
        <f aca="false">H1222*Resumo!$B$6</f>
        <v>0.50656</v>
      </c>
      <c r="V1222" s="61" t="n">
        <f aca="false">H1222*Resumo!$B$7</f>
        <v>1.01312</v>
      </c>
      <c r="W1222" s="61" t="n">
        <f aca="false">Resumo!$B$9</f>
        <v>1</v>
      </c>
      <c r="X1222" s="61" t="n">
        <f aca="false">Resumo!$B$10*CEILING(G1222/100,1)</f>
        <v>4.5</v>
      </c>
      <c r="Y1222" s="61" t="n">
        <f aca="false">Resumo!$B$12*CEILING(G1222,1)</f>
        <v>2.82</v>
      </c>
      <c r="Z1222" s="61" t="n">
        <f aca="false">Resumo!$B$14*CEILING(G1222,1)</f>
        <v>21.15</v>
      </c>
      <c r="AA1222" s="61" t="n">
        <f aca="false">SUM(T1222:Z1222)</f>
        <v>124.95968</v>
      </c>
      <c r="AB1222" s="61" t="n">
        <f aca="false">AA1222/(1-Resumo!$B$5)</f>
        <v>141.999636363636</v>
      </c>
      <c r="AC1222" s="61" t="n">
        <f aca="false">AB1222-S1222</f>
        <v>24.6842363636364</v>
      </c>
      <c r="AD1222" s="62" t="n">
        <f aca="false">AB1222/S1222-1</f>
        <v>0.210409173592183</v>
      </c>
      <c r="AE1222" s="60" t="str">
        <f aca="false">IF(AB1222&lt;S1222,"SIM","NÃO")</f>
        <v>NÃO</v>
      </c>
      <c r="AF1222" s="60" t="n">
        <v>2</v>
      </c>
      <c r="AG1222" s="60" t="n">
        <v>5</v>
      </c>
      <c r="AH1222" s="60" t="s">
        <v>382</v>
      </c>
      <c r="AI1222" s="61" t="n">
        <f aca="false">(T1222*(1-Painel!$C$40)+U1222+V1222+Painel!$C$41+Painel!$C$42*CEILING(G1222/100,1)+Painel!$C$43*CEILING(G1222,1)+Z1222)/(1-Resumo!$B$5)</f>
        <v>99.6358863636364</v>
      </c>
      <c r="AJ1222" s="60" t="str">
        <f aca="false">IF(AI1222&lt;S1222,"SIM","NÃO")</f>
        <v>SIM</v>
      </c>
    </row>
    <row r="1223" customFormat="false" ht="15" hidden="false" customHeight="false" outlineLevel="0" collapsed="false">
      <c r="A1223" s="59" t="n">
        <v>46253.6790856482</v>
      </c>
      <c r="B1223" s="60" t="s">
        <v>1520</v>
      </c>
      <c r="C1223" s="60" t="n">
        <v>24715392</v>
      </c>
      <c r="D1223" s="60" t="s">
        <v>47</v>
      </c>
      <c r="E1223" s="60" t="s">
        <v>23</v>
      </c>
      <c r="F1223" s="60" t="s">
        <v>235</v>
      </c>
      <c r="G1223" s="60" t="n">
        <v>45.3</v>
      </c>
      <c r="H1223" s="61" t="n">
        <v>679.99</v>
      </c>
      <c r="I1223" s="61" t="n">
        <v>65.36</v>
      </c>
      <c r="J1223" s="61" t="n">
        <f aca="false">H1223*Resumo!$C$6</f>
        <v>0</v>
      </c>
      <c r="K1223" s="61" t="n">
        <f aca="false">H1223*Resumo!$C$7</f>
        <v>1.427979</v>
      </c>
      <c r="L1223" s="61" t="n">
        <f aca="false">H1223*Resumo!$C$8</f>
        <v>1.427979</v>
      </c>
      <c r="M1223" s="61" t="n">
        <f aca="false">Resumo!$C$10*CEILING(G1223/100,1)</f>
        <v>1.05</v>
      </c>
      <c r="N1223" s="61" t="n">
        <f aca="false">Resumo!$C$9</f>
        <v>0</v>
      </c>
      <c r="O1223" s="61" t="n">
        <f aca="false">Resumo!$C$13</f>
        <v>13.55</v>
      </c>
      <c r="P1223" s="61" t="n">
        <f aca="false">Resumo!$C$14*CEILING(G1223,1)</f>
        <v>20.7</v>
      </c>
      <c r="Q1223" s="61" t="n">
        <f aca="false">SUM(I1223:P1223)*Resumo!$C$11</f>
        <v>0</v>
      </c>
      <c r="R1223" s="61" t="n">
        <f aca="false">SUM(I1223:Q1223)</f>
        <v>103.515958</v>
      </c>
      <c r="S1223" s="61" t="n">
        <f aca="false">R1223/(1-Resumo!$C$5)</f>
        <v>117.631770454545</v>
      </c>
      <c r="T1223" s="61" t="n">
        <v>114.95</v>
      </c>
      <c r="U1223" s="61" t="n">
        <f aca="false">H1223*Resumo!$B$6</f>
        <v>0.67999</v>
      </c>
      <c r="V1223" s="61" t="n">
        <f aca="false">H1223*Resumo!$B$7</f>
        <v>1.35998</v>
      </c>
      <c r="W1223" s="61" t="n">
        <f aca="false">Resumo!$B$9</f>
        <v>1</v>
      </c>
      <c r="X1223" s="61" t="n">
        <f aca="false">Resumo!$B$10*CEILING(G1223/100,1)</f>
        <v>4.5</v>
      </c>
      <c r="Y1223" s="61" t="n">
        <f aca="false">Resumo!$B$12*CEILING(G1223,1)</f>
        <v>2.76</v>
      </c>
      <c r="Z1223" s="61" t="n">
        <f aca="false">Resumo!$B$14*CEILING(G1223,1)</f>
        <v>20.7</v>
      </c>
      <c r="AA1223" s="61" t="n">
        <f aca="false">SUM(T1223:Z1223)</f>
        <v>145.94997</v>
      </c>
      <c r="AB1223" s="61" t="n">
        <f aca="false">AA1223/(1-Resumo!$B$5)</f>
        <v>165.852238636364</v>
      </c>
      <c r="AC1223" s="61" t="n">
        <f aca="false">AB1223-S1223</f>
        <v>48.2204681818182</v>
      </c>
      <c r="AD1223" s="62" t="n">
        <f aca="false">AB1223/S1223-1</f>
        <v>0.409927250057426</v>
      </c>
      <c r="AE1223" s="60" t="str">
        <f aca="false">IF(AB1223&lt;S1223,"SIM","NÃO")</f>
        <v>NÃO</v>
      </c>
      <c r="AF1223" s="60" t="n">
        <v>2</v>
      </c>
      <c r="AG1223" s="60" t="n">
        <v>7</v>
      </c>
      <c r="AH1223" s="60" t="s">
        <v>382</v>
      </c>
      <c r="AI1223" s="61" t="n">
        <f aca="false">(T1223*(1-Painel!$C$40)+U1223+V1223+Painel!$C$41+Painel!$C$42*CEILING(G1223/100,1)+Painel!$C$43*CEILING(G1223,1)+Z1223)/(1-Resumo!$B$5)</f>
        <v>115.689170454545</v>
      </c>
      <c r="AJ1223" s="60" t="str">
        <f aca="false">IF(AI1223&lt;S1223,"SIM","NÃO")</f>
        <v>SIM</v>
      </c>
    </row>
    <row r="1224" customFormat="false" ht="15" hidden="false" customHeight="false" outlineLevel="0" collapsed="false">
      <c r="A1224" s="59" t="n">
        <v>46253.6843055556</v>
      </c>
      <c r="B1224" s="60" t="s">
        <v>1521</v>
      </c>
      <c r="C1224" s="60" t="n">
        <v>28899386</v>
      </c>
      <c r="D1224" s="60" t="s">
        <v>227</v>
      </c>
      <c r="E1224" s="60" t="s">
        <v>24</v>
      </c>
      <c r="F1224" s="60" t="s">
        <v>233</v>
      </c>
      <c r="G1224" s="60" t="n">
        <v>33</v>
      </c>
      <c r="H1224" s="61" t="n">
        <v>389.99</v>
      </c>
      <c r="I1224" s="61" t="n">
        <v>65.63</v>
      </c>
      <c r="J1224" s="61" t="n">
        <f aca="false">H1224*Resumo!$C$6</f>
        <v>0</v>
      </c>
      <c r="K1224" s="61" t="n">
        <f aca="false">H1224*Resumo!$C$7</f>
        <v>0.818979</v>
      </c>
      <c r="L1224" s="61" t="n">
        <f aca="false">H1224*Resumo!$C$8</f>
        <v>0.818979</v>
      </c>
      <c r="M1224" s="61" t="n">
        <f aca="false">Resumo!$C$10*CEILING(G1224/100,1)</f>
        <v>1.05</v>
      </c>
      <c r="N1224" s="61" t="n">
        <f aca="false">Resumo!$C$9</f>
        <v>0</v>
      </c>
      <c r="O1224" s="61" t="n">
        <f aca="false">Resumo!$C$13</f>
        <v>13.55</v>
      </c>
      <c r="P1224" s="61" t="n">
        <f aca="false">Resumo!$C$14*CEILING(G1224,1)</f>
        <v>14.85</v>
      </c>
      <c r="Q1224" s="61" t="n">
        <f aca="false">SUM(I1224:P1224)*Resumo!$C$11</f>
        <v>0</v>
      </c>
      <c r="R1224" s="61" t="n">
        <f aca="false">SUM(I1224:Q1224)</f>
        <v>96.717958</v>
      </c>
      <c r="S1224" s="61" t="n">
        <f aca="false">R1224/(1-Resumo!$C$5)</f>
        <v>109.906770454545</v>
      </c>
      <c r="T1224" s="61" t="n">
        <v>114.95</v>
      </c>
      <c r="U1224" s="61" t="n">
        <f aca="false">H1224*Resumo!$B$6</f>
        <v>0.38999</v>
      </c>
      <c r="V1224" s="61" t="n">
        <f aca="false">H1224*Resumo!$B$7</f>
        <v>0.77998</v>
      </c>
      <c r="W1224" s="61" t="n">
        <f aca="false">Resumo!$B$9</f>
        <v>1</v>
      </c>
      <c r="X1224" s="61" t="n">
        <f aca="false">Resumo!$B$10*CEILING(G1224/100,1)</f>
        <v>4.5</v>
      </c>
      <c r="Y1224" s="61" t="n">
        <f aca="false">Resumo!$B$12*CEILING(G1224,1)</f>
        <v>1.98</v>
      </c>
      <c r="Z1224" s="61" t="n">
        <f aca="false">Resumo!$B$14*CEILING(G1224,1)</f>
        <v>14.85</v>
      </c>
      <c r="AA1224" s="61" t="n">
        <f aca="false">SUM(T1224:Z1224)</f>
        <v>138.44997</v>
      </c>
      <c r="AB1224" s="61" t="n">
        <f aca="false">AA1224/(1-Resumo!$B$5)</f>
        <v>157.329511363636</v>
      </c>
      <c r="AC1224" s="61" t="n">
        <f aca="false">AB1224-S1224</f>
        <v>47.4227409090909</v>
      </c>
      <c r="AD1224" s="62" t="n">
        <f aca="false">AB1224/S1224-1</f>
        <v>0.431481524868422</v>
      </c>
      <c r="AE1224" s="60" t="str">
        <f aca="false">IF(AB1224&lt;S1224,"SIM","NÃO")</f>
        <v>NÃO</v>
      </c>
      <c r="AF1224" s="60" t="n">
        <v>13</v>
      </c>
      <c r="AG1224" s="60" t="n">
        <v>10</v>
      </c>
      <c r="AH1224" s="60" t="s">
        <v>382</v>
      </c>
      <c r="AI1224" s="61" t="n">
        <f aca="false">(T1224*(1-Painel!$C$40)+U1224+V1224+Painel!$C$41+Painel!$C$42*CEILING(G1224/100,1)+Painel!$C$43*CEILING(G1224,1)+Z1224)/(1-Resumo!$B$5)</f>
        <v>108.052806818182</v>
      </c>
      <c r="AJ1224" s="60" t="str">
        <f aca="false">IF(AI1224&lt;S1224,"SIM","NÃO")</f>
        <v>SIM</v>
      </c>
    </row>
    <row r="1225" customFormat="false" ht="15" hidden="false" customHeight="false" outlineLevel="0" collapsed="false">
      <c r="A1225" s="59" t="n">
        <v>46253.7299652778</v>
      </c>
      <c r="B1225" s="60" t="s">
        <v>1522</v>
      </c>
      <c r="C1225" s="60" t="n">
        <v>21061500</v>
      </c>
      <c r="D1225" s="60" t="s">
        <v>46</v>
      </c>
      <c r="E1225" s="60" t="s">
        <v>22</v>
      </c>
      <c r="F1225" s="60" t="s">
        <v>235</v>
      </c>
      <c r="G1225" s="60" t="n">
        <v>48</v>
      </c>
      <c r="H1225" s="61" t="n">
        <v>879.99</v>
      </c>
      <c r="I1225" s="61" t="n">
        <v>53.55</v>
      </c>
      <c r="J1225" s="61" t="n">
        <f aca="false">H1225*Resumo!$C$6</f>
        <v>0</v>
      </c>
      <c r="K1225" s="61" t="n">
        <f aca="false">H1225*Resumo!$C$7</f>
        <v>1.847979</v>
      </c>
      <c r="L1225" s="61" t="n">
        <f aca="false">H1225*Resumo!$C$8</f>
        <v>1.847979</v>
      </c>
      <c r="M1225" s="61" t="n">
        <f aca="false">Resumo!$C$10*CEILING(G1225/100,1)</f>
        <v>1.05</v>
      </c>
      <c r="N1225" s="61" t="n">
        <f aca="false">Resumo!$C$9</f>
        <v>0</v>
      </c>
      <c r="O1225" s="61" t="n">
        <f aca="false">Resumo!$C$13</f>
        <v>13.55</v>
      </c>
      <c r="P1225" s="61" t="n">
        <f aca="false">Resumo!$C$14*CEILING(G1225,1)</f>
        <v>21.6</v>
      </c>
      <c r="Q1225" s="61" t="n">
        <f aca="false">SUM(I1225:P1225)*Resumo!$C$11</f>
        <v>0</v>
      </c>
      <c r="R1225" s="61" t="n">
        <f aca="false">SUM(I1225:Q1225)</f>
        <v>93.445958</v>
      </c>
      <c r="S1225" s="61" t="n">
        <f aca="false">R1225/(1-Resumo!$C$5)</f>
        <v>106.188588636364</v>
      </c>
      <c r="T1225" s="61" t="n">
        <v>93.97</v>
      </c>
      <c r="U1225" s="61" t="n">
        <f aca="false">H1225*Resumo!$B$6</f>
        <v>0.87999</v>
      </c>
      <c r="V1225" s="61" t="n">
        <f aca="false">H1225*Resumo!$B$7</f>
        <v>1.75998</v>
      </c>
      <c r="W1225" s="61" t="n">
        <f aca="false">Resumo!$B$9</f>
        <v>1</v>
      </c>
      <c r="X1225" s="61" t="n">
        <f aca="false">Resumo!$B$10*CEILING(G1225/100,1)</f>
        <v>4.5</v>
      </c>
      <c r="Y1225" s="61" t="n">
        <f aca="false">Resumo!$B$12*CEILING(G1225,1)</f>
        <v>2.88</v>
      </c>
      <c r="Z1225" s="61" t="n">
        <f aca="false">Resumo!$B$14*CEILING(G1225,1)</f>
        <v>21.6</v>
      </c>
      <c r="AA1225" s="61" t="n">
        <f aca="false">SUM(T1225:Z1225)</f>
        <v>126.58997</v>
      </c>
      <c r="AB1225" s="61" t="n">
        <f aca="false">AA1225/(1-Resumo!$B$5)</f>
        <v>143.852238636364</v>
      </c>
      <c r="AC1225" s="61" t="n">
        <f aca="false">AB1225-S1225</f>
        <v>37.66365</v>
      </c>
      <c r="AD1225" s="62" t="n">
        <f aca="false">AB1225/S1225-1</f>
        <v>0.354686416720133</v>
      </c>
      <c r="AE1225" s="60" t="str">
        <f aca="false">IF(AB1225&lt;S1225,"SIM","NÃO")</f>
        <v>NÃO</v>
      </c>
      <c r="AF1225" s="60" t="n">
        <v>2</v>
      </c>
      <c r="AG1225" s="60" t="n">
        <v>5</v>
      </c>
      <c r="AH1225" s="60" t="s">
        <v>382</v>
      </c>
      <c r="AI1225" s="61" t="n">
        <f aca="false">(T1225*(1-Painel!$C$40)+U1225+V1225+Painel!$C$41+Painel!$C$42*CEILING(G1225/100,1)+Painel!$C$43*CEILING(G1225,1)+Z1225)/(1-Resumo!$B$5)</f>
        <v>101.420306818182</v>
      </c>
      <c r="AJ1225" s="60" t="str">
        <f aca="false">IF(AI1225&lt;S1225,"SIM","NÃO")</f>
        <v>SIM</v>
      </c>
    </row>
    <row r="1226" customFormat="false" ht="15" hidden="false" customHeight="false" outlineLevel="0" collapsed="false">
      <c r="A1226" s="59" t="n">
        <v>46253.7386921296</v>
      </c>
      <c r="B1226" s="60" t="s">
        <v>1523</v>
      </c>
      <c r="C1226" s="60" t="n">
        <v>20961150</v>
      </c>
      <c r="D1226" s="60" t="s">
        <v>46</v>
      </c>
      <c r="E1226" s="60" t="s">
        <v>22</v>
      </c>
      <c r="F1226" s="60" t="s">
        <v>235</v>
      </c>
      <c r="G1226" s="60" t="n">
        <v>46.8</v>
      </c>
      <c r="H1226" s="61" t="n">
        <v>559.99</v>
      </c>
      <c r="I1226" s="61" t="n">
        <v>53.55</v>
      </c>
      <c r="J1226" s="61" t="n">
        <f aca="false">H1226*Resumo!$C$6</f>
        <v>0</v>
      </c>
      <c r="K1226" s="61" t="n">
        <f aca="false">H1226*Resumo!$C$7</f>
        <v>1.175979</v>
      </c>
      <c r="L1226" s="61" t="n">
        <f aca="false">H1226*Resumo!$C$8</f>
        <v>1.175979</v>
      </c>
      <c r="M1226" s="61" t="n">
        <f aca="false">Resumo!$C$10*CEILING(G1226/100,1)</f>
        <v>1.05</v>
      </c>
      <c r="N1226" s="61" t="n">
        <f aca="false">Resumo!$C$9</f>
        <v>0</v>
      </c>
      <c r="O1226" s="61" t="n">
        <f aca="false">Resumo!$C$13</f>
        <v>13.55</v>
      </c>
      <c r="P1226" s="61" t="n">
        <f aca="false">Resumo!$C$14*CEILING(G1226,1)</f>
        <v>21.15</v>
      </c>
      <c r="Q1226" s="61" t="n">
        <f aca="false">SUM(I1226:P1226)*Resumo!$C$11</f>
        <v>0</v>
      </c>
      <c r="R1226" s="61" t="n">
        <f aca="false">SUM(I1226:Q1226)</f>
        <v>91.651958</v>
      </c>
      <c r="S1226" s="61" t="n">
        <f aca="false">R1226/(1-Resumo!$C$5)</f>
        <v>104.149952272727</v>
      </c>
      <c r="T1226" s="61" t="n">
        <v>93.97</v>
      </c>
      <c r="U1226" s="61" t="n">
        <f aca="false">H1226*Resumo!$B$6</f>
        <v>0.55999</v>
      </c>
      <c r="V1226" s="61" t="n">
        <f aca="false">H1226*Resumo!$B$7</f>
        <v>1.11998</v>
      </c>
      <c r="W1226" s="61" t="n">
        <f aca="false">Resumo!$B$9</f>
        <v>1</v>
      </c>
      <c r="X1226" s="61" t="n">
        <f aca="false">Resumo!$B$10*CEILING(G1226/100,1)</f>
        <v>4.5</v>
      </c>
      <c r="Y1226" s="61" t="n">
        <f aca="false">Resumo!$B$12*CEILING(G1226,1)</f>
        <v>2.82</v>
      </c>
      <c r="Z1226" s="61" t="n">
        <f aca="false">Resumo!$B$14*CEILING(G1226,1)</f>
        <v>21.15</v>
      </c>
      <c r="AA1226" s="61" t="n">
        <f aca="false">SUM(T1226:Z1226)</f>
        <v>125.11997</v>
      </c>
      <c r="AB1226" s="61" t="n">
        <f aca="false">AA1226/(1-Resumo!$B$5)</f>
        <v>142.181784090909</v>
      </c>
      <c r="AC1226" s="61" t="n">
        <f aca="false">AB1226-S1226</f>
        <v>38.0318318181818</v>
      </c>
      <c r="AD1226" s="62" t="n">
        <f aca="false">AB1226/S1226-1</f>
        <v>0.365164179034779</v>
      </c>
      <c r="AE1226" s="60" t="str">
        <f aca="false">IF(AB1226&lt;S1226,"SIM","NÃO")</f>
        <v>NÃO</v>
      </c>
      <c r="AF1226" s="60" t="n">
        <v>2</v>
      </c>
      <c r="AG1226" s="60" t="n">
        <v>5</v>
      </c>
      <c r="AH1226" s="60" t="s">
        <v>382</v>
      </c>
      <c r="AI1226" s="61" t="n">
        <f aca="false">(T1226*(1-Painel!$C$40)+U1226+V1226+Painel!$C$41+Painel!$C$42*CEILING(G1226/100,1)+Painel!$C$43*CEILING(G1226,1)+Z1226)/(1-Resumo!$B$5)</f>
        <v>99.8180340909091</v>
      </c>
      <c r="AJ1226" s="60" t="str">
        <f aca="false">IF(AI1226&lt;S1226,"SIM","NÃO")</f>
        <v>SIM</v>
      </c>
    </row>
    <row r="1227" customFormat="false" ht="15" hidden="false" customHeight="false" outlineLevel="0" collapsed="false">
      <c r="A1227" s="59" t="n">
        <v>46253.7393518519</v>
      </c>
      <c r="B1227" s="60" t="s">
        <v>1524</v>
      </c>
      <c r="C1227" s="60" t="n">
        <v>21852330</v>
      </c>
      <c r="D1227" s="60" t="s">
        <v>46</v>
      </c>
      <c r="E1227" s="60" t="s">
        <v>22</v>
      </c>
      <c r="F1227" s="60" t="s">
        <v>233</v>
      </c>
      <c r="G1227" s="60" t="n">
        <v>30.5</v>
      </c>
      <c r="H1227" s="61" t="n">
        <v>386.99</v>
      </c>
      <c r="I1227" s="61" t="n">
        <v>42.11</v>
      </c>
      <c r="J1227" s="61" t="n">
        <f aca="false">H1227*Resumo!$C$6</f>
        <v>0</v>
      </c>
      <c r="K1227" s="61" t="n">
        <f aca="false">H1227*Resumo!$C$7</f>
        <v>0.812679</v>
      </c>
      <c r="L1227" s="61" t="n">
        <f aca="false">H1227*Resumo!$C$8</f>
        <v>0.812679</v>
      </c>
      <c r="M1227" s="61" t="n">
        <f aca="false">Resumo!$C$10*CEILING(G1227/100,1)</f>
        <v>1.05</v>
      </c>
      <c r="N1227" s="61" t="n">
        <f aca="false">Resumo!$C$9</f>
        <v>0</v>
      </c>
      <c r="O1227" s="61" t="n">
        <f aca="false">Resumo!$C$13</f>
        <v>13.55</v>
      </c>
      <c r="P1227" s="61" t="n">
        <f aca="false">Resumo!$C$14*CEILING(G1227,1)</f>
        <v>13.95</v>
      </c>
      <c r="Q1227" s="61" t="n">
        <f aca="false">SUM(I1227:P1227)*Resumo!$C$11</f>
        <v>0</v>
      </c>
      <c r="R1227" s="61" t="n">
        <f aca="false">SUM(I1227:Q1227)</f>
        <v>72.285358</v>
      </c>
      <c r="S1227" s="61" t="n">
        <f aca="false">R1227/(1-Resumo!$C$5)</f>
        <v>82.1424522727273</v>
      </c>
      <c r="T1227" s="61" t="n">
        <v>82.21</v>
      </c>
      <c r="U1227" s="61" t="n">
        <f aca="false">H1227*Resumo!$B$6</f>
        <v>0.38699</v>
      </c>
      <c r="V1227" s="61" t="n">
        <f aca="false">H1227*Resumo!$B$7</f>
        <v>0.77398</v>
      </c>
      <c r="W1227" s="61" t="n">
        <f aca="false">Resumo!$B$9</f>
        <v>1</v>
      </c>
      <c r="X1227" s="61" t="n">
        <f aca="false">Resumo!$B$10*CEILING(G1227/100,1)</f>
        <v>4.5</v>
      </c>
      <c r="Y1227" s="61" t="n">
        <f aca="false">Resumo!$B$12*CEILING(G1227,1)</f>
        <v>1.86</v>
      </c>
      <c r="Z1227" s="61" t="n">
        <f aca="false">Resumo!$B$14*CEILING(G1227,1)</f>
        <v>13.95</v>
      </c>
      <c r="AA1227" s="61" t="n">
        <f aca="false">SUM(T1227:Z1227)</f>
        <v>104.68097</v>
      </c>
      <c r="AB1227" s="61" t="n">
        <f aca="false">AA1227/(1-Resumo!$B$5)</f>
        <v>118.955647727273</v>
      </c>
      <c r="AC1227" s="61" t="n">
        <f aca="false">AB1227-S1227</f>
        <v>36.8131954545455</v>
      </c>
      <c r="AD1227" s="62" t="n">
        <f aca="false">AB1227/S1227-1</f>
        <v>0.448162849245348</v>
      </c>
      <c r="AE1227" s="60" t="str">
        <f aca="false">IF(AB1227&lt;S1227,"SIM","NÃO")</f>
        <v>NÃO</v>
      </c>
      <c r="AF1227" s="60" t="n">
        <v>2</v>
      </c>
      <c r="AG1227" s="60" t="n">
        <v>5</v>
      </c>
      <c r="AH1227" s="60" t="s">
        <v>382</v>
      </c>
      <c r="AI1227" s="61" t="n">
        <f aca="false">(T1227*(1-Painel!$C$40)+U1227+V1227+Painel!$C$41+Painel!$C$42*CEILING(G1227/100,1)+Painel!$C$43*CEILING(G1227,1)+Z1227)/(1-Resumo!$B$5)</f>
        <v>82.0928068181818</v>
      </c>
      <c r="AJ1227" s="60" t="str">
        <f aca="false">IF(AI1227&lt;S1227,"SIM","NÃO")</f>
        <v>SIM</v>
      </c>
    </row>
    <row r="1228" customFormat="false" ht="15" hidden="false" customHeight="false" outlineLevel="0" collapsed="false">
      <c r="A1228" s="59" t="n">
        <v>46253.7522337963</v>
      </c>
      <c r="B1228" s="60" t="s">
        <v>1525</v>
      </c>
      <c r="C1228" s="60" t="n">
        <v>20950004</v>
      </c>
      <c r="D1228" s="60" t="s">
        <v>46</v>
      </c>
      <c r="E1228" s="60" t="s">
        <v>22</v>
      </c>
      <c r="F1228" s="60" t="s">
        <v>236</v>
      </c>
      <c r="G1228" s="60" t="n">
        <v>52.3</v>
      </c>
      <c r="H1228" s="61" t="n">
        <v>669.99</v>
      </c>
      <c r="I1228" s="61" t="n">
        <v>58.6</v>
      </c>
      <c r="J1228" s="61" t="n">
        <f aca="false">H1228*Resumo!$C$6</f>
        <v>0</v>
      </c>
      <c r="K1228" s="61" t="n">
        <f aca="false">H1228*Resumo!$C$7</f>
        <v>1.406979</v>
      </c>
      <c r="L1228" s="61" t="n">
        <f aca="false">H1228*Resumo!$C$8</f>
        <v>1.406979</v>
      </c>
      <c r="M1228" s="61" t="n">
        <f aca="false">Resumo!$C$10*CEILING(G1228/100,1)</f>
        <v>1.05</v>
      </c>
      <c r="N1228" s="61" t="n">
        <f aca="false">Resumo!$C$9</f>
        <v>0</v>
      </c>
      <c r="O1228" s="61" t="n">
        <f aca="false">Resumo!$C$13</f>
        <v>13.55</v>
      </c>
      <c r="P1228" s="61" t="n">
        <f aca="false">Resumo!$C$14*CEILING(G1228,1)</f>
        <v>23.85</v>
      </c>
      <c r="Q1228" s="61" t="n">
        <f aca="false">SUM(I1228:P1228)*Resumo!$C$11</f>
        <v>0</v>
      </c>
      <c r="R1228" s="61" t="n">
        <f aca="false">SUM(I1228:Q1228)</f>
        <v>99.863958</v>
      </c>
      <c r="S1228" s="61" t="n">
        <f aca="false">R1228/(1-Resumo!$C$5)</f>
        <v>113.481770454545</v>
      </c>
      <c r="T1228" s="61" t="n">
        <v>112.3</v>
      </c>
      <c r="U1228" s="61" t="n">
        <f aca="false">H1228*Resumo!$B$6</f>
        <v>0.66999</v>
      </c>
      <c r="V1228" s="61" t="n">
        <f aca="false">H1228*Resumo!$B$7</f>
        <v>1.33998</v>
      </c>
      <c r="W1228" s="61" t="n">
        <f aca="false">Resumo!$B$9</f>
        <v>1</v>
      </c>
      <c r="X1228" s="61" t="n">
        <f aca="false">Resumo!$B$10*CEILING(G1228/100,1)</f>
        <v>4.5</v>
      </c>
      <c r="Y1228" s="61" t="n">
        <f aca="false">Resumo!$B$12*CEILING(G1228,1)</f>
        <v>3.18</v>
      </c>
      <c r="Z1228" s="61" t="n">
        <f aca="false">Resumo!$B$14*CEILING(G1228,1)</f>
        <v>23.85</v>
      </c>
      <c r="AA1228" s="61" t="n">
        <f aca="false">SUM(T1228:Z1228)</f>
        <v>146.83997</v>
      </c>
      <c r="AB1228" s="61" t="n">
        <f aca="false">AA1228/(1-Resumo!$B$5)</f>
        <v>166.863602272727</v>
      </c>
      <c r="AC1228" s="61" t="n">
        <f aca="false">AB1228-S1228</f>
        <v>53.3818318181818</v>
      </c>
      <c r="AD1228" s="62" t="n">
        <f aca="false">AB1228/S1228-1</f>
        <v>0.470400061651872</v>
      </c>
      <c r="AE1228" s="60" t="str">
        <f aca="false">IF(AB1228&lt;S1228,"SIM","NÃO")</f>
        <v>NÃO</v>
      </c>
      <c r="AF1228" s="60" t="n">
        <v>2</v>
      </c>
      <c r="AG1228" s="60" t="n">
        <v>5</v>
      </c>
      <c r="AH1228" s="60" t="s">
        <v>382</v>
      </c>
      <c r="AI1228" s="61" t="n">
        <f aca="false">(T1228*(1-Painel!$C$40)+U1228+V1228+Painel!$C$41+Painel!$C$42*CEILING(G1228/100,1)+Painel!$C$43*CEILING(G1228,1)+Z1228)/(1-Resumo!$B$5)</f>
        <v>117.217011363636</v>
      </c>
      <c r="AJ1228" s="60" t="str">
        <f aca="false">IF(AI1228&lt;S1228,"SIM","NÃO")</f>
        <v>NÃO</v>
      </c>
    </row>
    <row r="1229" customFormat="false" ht="15" hidden="false" customHeight="false" outlineLevel="0" collapsed="false">
      <c r="A1229" s="59" t="n">
        <v>46253.771099537</v>
      </c>
      <c r="B1229" s="60" t="s">
        <v>1526</v>
      </c>
      <c r="C1229" s="60" t="n">
        <v>24806100</v>
      </c>
      <c r="D1229" s="60" t="s">
        <v>223</v>
      </c>
      <c r="E1229" s="60" t="s">
        <v>24</v>
      </c>
      <c r="F1229" s="60" t="s">
        <v>237</v>
      </c>
      <c r="G1229" s="60" t="n">
        <v>63.9</v>
      </c>
      <c r="H1229" s="61" t="n">
        <v>717.59</v>
      </c>
      <c r="I1229" s="61" t="n">
        <v>90.2</v>
      </c>
      <c r="J1229" s="61" t="n">
        <f aca="false">H1229*Resumo!$C$6</f>
        <v>0</v>
      </c>
      <c r="K1229" s="61" t="n">
        <f aca="false">H1229*Resumo!$C$7</f>
        <v>1.506939</v>
      </c>
      <c r="L1229" s="61" t="n">
        <f aca="false">H1229*Resumo!$C$8</f>
        <v>1.506939</v>
      </c>
      <c r="M1229" s="61" t="n">
        <f aca="false">Resumo!$C$10*CEILING(G1229/100,1)</f>
        <v>1.05</v>
      </c>
      <c r="N1229" s="61" t="n">
        <f aca="false">Resumo!$C$9</f>
        <v>0</v>
      </c>
      <c r="O1229" s="61" t="n">
        <f aca="false">Resumo!$C$13</f>
        <v>13.55</v>
      </c>
      <c r="P1229" s="61" t="n">
        <f aca="false">Resumo!$C$14*CEILING(G1229,1)</f>
        <v>28.8</v>
      </c>
      <c r="Q1229" s="61" t="n">
        <f aca="false">SUM(I1229:P1229)*Resumo!$C$11</f>
        <v>0</v>
      </c>
      <c r="R1229" s="61" t="n">
        <f aca="false">SUM(I1229:Q1229)</f>
        <v>136.613878</v>
      </c>
      <c r="S1229" s="61" t="n">
        <f aca="false">R1229/(1-Resumo!$C$5)</f>
        <v>155.243043181818</v>
      </c>
      <c r="T1229" s="61" t="n">
        <v>149.5</v>
      </c>
      <c r="U1229" s="61" t="n">
        <f aca="false">H1229*Resumo!$B$6</f>
        <v>0.71759</v>
      </c>
      <c r="V1229" s="61" t="n">
        <f aca="false">H1229*Resumo!$B$7</f>
        <v>1.43518</v>
      </c>
      <c r="W1229" s="61" t="n">
        <f aca="false">Resumo!$B$9</f>
        <v>1</v>
      </c>
      <c r="X1229" s="61" t="n">
        <f aca="false">Resumo!$B$10*CEILING(G1229/100,1)</f>
        <v>4.5</v>
      </c>
      <c r="Y1229" s="61" t="n">
        <f aca="false">Resumo!$B$12*CEILING(G1229,1)</f>
        <v>3.84</v>
      </c>
      <c r="Z1229" s="61" t="n">
        <f aca="false">Resumo!$B$14*CEILING(G1229,1)</f>
        <v>28.8</v>
      </c>
      <c r="AA1229" s="61" t="n">
        <f aca="false">SUM(T1229:Z1229)</f>
        <v>189.79277</v>
      </c>
      <c r="AB1229" s="61" t="n">
        <f aca="false">AA1229/(1-Resumo!$B$5)</f>
        <v>215.673602272727</v>
      </c>
      <c r="AC1229" s="61" t="n">
        <f aca="false">AB1229-S1229</f>
        <v>60.4305590909091</v>
      </c>
      <c r="AD1229" s="62" t="n">
        <f aca="false">AB1229/S1229-1</f>
        <v>0.389264200522878</v>
      </c>
      <c r="AE1229" s="60" t="str">
        <f aca="false">IF(AB1229&lt;S1229,"SIM","NÃO")</f>
        <v>NÃO</v>
      </c>
      <c r="AF1229" s="60" t="n">
        <v>13</v>
      </c>
      <c r="AG1229" s="60" t="n">
        <v>7</v>
      </c>
      <c r="AH1229" s="60" t="s">
        <v>382</v>
      </c>
      <c r="AI1229" s="61" t="n">
        <f aca="false">(T1229*(1-Painel!$C$40)+U1229+V1229+Painel!$C$41+Painel!$C$42*CEILING(G1229/100,1)+Painel!$C$43*CEILING(G1229,1)+Z1229)/(1-Resumo!$B$5)</f>
        <v>151.327011363636</v>
      </c>
      <c r="AJ1229" s="60" t="str">
        <f aca="false">IF(AI1229&lt;S1229,"SIM","NÃO")</f>
        <v>SIM</v>
      </c>
    </row>
    <row r="1230" customFormat="false" ht="15" hidden="false" customHeight="false" outlineLevel="0" collapsed="false">
      <c r="A1230" s="59" t="n">
        <v>46253.7728009259</v>
      </c>
      <c r="B1230" s="60" t="s">
        <v>1527</v>
      </c>
      <c r="C1230" s="60" t="n">
        <v>25930860</v>
      </c>
      <c r="D1230" s="60" t="s">
        <v>225</v>
      </c>
      <c r="E1230" s="60" t="s">
        <v>24</v>
      </c>
      <c r="F1230" s="60" t="s">
        <v>233</v>
      </c>
      <c r="G1230" s="60" t="n">
        <v>20.6</v>
      </c>
      <c r="H1230" s="61" t="n">
        <v>297.59</v>
      </c>
      <c r="I1230" s="61" t="n">
        <v>65.63</v>
      </c>
      <c r="J1230" s="61" t="n">
        <f aca="false">H1230*Resumo!$C$6</f>
        <v>0</v>
      </c>
      <c r="K1230" s="61" t="n">
        <f aca="false">H1230*Resumo!$C$7</f>
        <v>0.624939</v>
      </c>
      <c r="L1230" s="61" t="n">
        <f aca="false">H1230*Resumo!$C$8</f>
        <v>0.624939</v>
      </c>
      <c r="M1230" s="61" t="n">
        <f aca="false">Resumo!$C$10*CEILING(G1230/100,1)</f>
        <v>1.05</v>
      </c>
      <c r="N1230" s="61" t="n">
        <f aca="false">Resumo!$C$9</f>
        <v>0</v>
      </c>
      <c r="O1230" s="61" t="n">
        <f aca="false">Resumo!$C$13</f>
        <v>13.55</v>
      </c>
      <c r="P1230" s="61" t="n">
        <f aca="false">Resumo!$C$14*CEILING(G1230,1)</f>
        <v>9.45</v>
      </c>
      <c r="Q1230" s="61" t="n">
        <f aca="false">SUM(I1230:P1230)*Resumo!$C$11</f>
        <v>0</v>
      </c>
      <c r="R1230" s="61" t="n">
        <f aca="false">SUM(I1230:Q1230)</f>
        <v>90.929878</v>
      </c>
      <c r="S1230" s="61" t="n">
        <f aca="false">R1230/(1-Resumo!$C$5)</f>
        <v>103.329406818182</v>
      </c>
      <c r="T1230" s="61" t="n">
        <v>103.28</v>
      </c>
      <c r="U1230" s="61" t="n">
        <f aca="false">H1230*Resumo!$B$6</f>
        <v>0.29759</v>
      </c>
      <c r="V1230" s="61" t="n">
        <f aca="false">H1230*Resumo!$B$7</f>
        <v>0.59518</v>
      </c>
      <c r="W1230" s="61" t="n">
        <f aca="false">Resumo!$B$9</f>
        <v>1</v>
      </c>
      <c r="X1230" s="61" t="n">
        <f aca="false">Resumo!$B$10*CEILING(G1230/100,1)</f>
        <v>4.5</v>
      </c>
      <c r="Y1230" s="61" t="n">
        <f aca="false">Resumo!$B$12*CEILING(G1230,1)</f>
        <v>1.26</v>
      </c>
      <c r="Z1230" s="61" t="n">
        <f aca="false">Resumo!$B$14*CEILING(G1230,1)</f>
        <v>9.45</v>
      </c>
      <c r="AA1230" s="61" t="n">
        <f aca="false">SUM(T1230:Z1230)</f>
        <v>120.38277</v>
      </c>
      <c r="AB1230" s="61" t="n">
        <f aca="false">AA1230/(1-Resumo!$B$5)</f>
        <v>136.798602272727</v>
      </c>
      <c r="AC1230" s="61" t="n">
        <f aca="false">AB1230-S1230</f>
        <v>33.4691954545455</v>
      </c>
      <c r="AD1230" s="62" t="n">
        <f aca="false">AB1230/S1230-1</f>
        <v>0.32390774790218</v>
      </c>
      <c r="AE1230" s="60" t="str">
        <f aca="false">IF(AB1230&lt;S1230,"SIM","NÃO")</f>
        <v>NÃO</v>
      </c>
      <c r="AF1230" s="60" t="n">
        <v>13</v>
      </c>
      <c r="AG1230" s="60" t="n">
        <v>6</v>
      </c>
      <c r="AH1230" s="60" t="s">
        <v>382</v>
      </c>
      <c r="AI1230" s="61" t="n">
        <f aca="false">(T1230*(1-Painel!$C$40)+U1230+V1230+Painel!$C$41+Painel!$C$42*CEILING(G1230/100,1)+Painel!$C$43*CEILING(G1230,1)+Z1230)/(1-Resumo!$B$5)</f>
        <v>92.7163295454545</v>
      </c>
      <c r="AJ1230" s="60" t="str">
        <f aca="false">IF(AI1230&lt;S1230,"SIM","NÃO")</f>
        <v>SIM</v>
      </c>
    </row>
    <row r="1231" customFormat="false" ht="15" hidden="false" customHeight="false" outlineLevel="0" collapsed="false">
      <c r="A1231" s="59" t="n">
        <v>46253.8066550926</v>
      </c>
      <c r="B1231" s="60" t="s">
        <v>1528</v>
      </c>
      <c r="C1231" s="60" t="n">
        <v>24450170</v>
      </c>
      <c r="D1231" s="60" t="s">
        <v>47</v>
      </c>
      <c r="E1231" s="60" t="s">
        <v>23</v>
      </c>
      <c r="F1231" s="60" t="s">
        <v>237</v>
      </c>
      <c r="G1231" s="60" t="n">
        <v>63.9</v>
      </c>
      <c r="H1231" s="61" t="n">
        <v>717.59</v>
      </c>
      <c r="I1231" s="61" t="n">
        <v>76.55</v>
      </c>
      <c r="J1231" s="61" t="n">
        <f aca="false">H1231*Resumo!$C$6</f>
        <v>0</v>
      </c>
      <c r="K1231" s="61" t="n">
        <f aca="false">H1231*Resumo!$C$7</f>
        <v>1.506939</v>
      </c>
      <c r="L1231" s="61" t="n">
        <f aca="false">H1231*Resumo!$C$8</f>
        <v>1.506939</v>
      </c>
      <c r="M1231" s="61" t="n">
        <f aca="false">Resumo!$C$10*CEILING(G1231/100,1)</f>
        <v>1.05</v>
      </c>
      <c r="N1231" s="61" t="n">
        <f aca="false">Resumo!$C$9</f>
        <v>0</v>
      </c>
      <c r="O1231" s="61" t="n">
        <f aca="false">Resumo!$C$13</f>
        <v>13.55</v>
      </c>
      <c r="P1231" s="61" t="n">
        <f aca="false">Resumo!$C$14*CEILING(G1231,1)</f>
        <v>28.8</v>
      </c>
      <c r="Q1231" s="61" t="n">
        <f aca="false">SUM(I1231:P1231)*Resumo!$C$11</f>
        <v>0</v>
      </c>
      <c r="R1231" s="61" t="n">
        <f aca="false">SUM(I1231:Q1231)</f>
        <v>122.963878</v>
      </c>
      <c r="S1231" s="61" t="n">
        <f aca="false">R1231/(1-Resumo!$C$5)</f>
        <v>139.731679545455</v>
      </c>
      <c r="T1231" s="61" t="n">
        <v>149.5</v>
      </c>
      <c r="U1231" s="61" t="n">
        <f aca="false">H1231*Resumo!$B$6</f>
        <v>0.71759</v>
      </c>
      <c r="V1231" s="61" t="n">
        <f aca="false">H1231*Resumo!$B$7</f>
        <v>1.43518</v>
      </c>
      <c r="W1231" s="61" t="n">
        <f aca="false">Resumo!$B$9</f>
        <v>1</v>
      </c>
      <c r="X1231" s="61" t="n">
        <f aca="false">Resumo!$B$10*CEILING(G1231/100,1)</f>
        <v>4.5</v>
      </c>
      <c r="Y1231" s="61" t="n">
        <f aca="false">Resumo!$B$12*CEILING(G1231,1)</f>
        <v>3.84</v>
      </c>
      <c r="Z1231" s="61" t="n">
        <f aca="false">Resumo!$B$14*CEILING(G1231,1)</f>
        <v>28.8</v>
      </c>
      <c r="AA1231" s="61" t="n">
        <f aca="false">SUM(T1231:Z1231)</f>
        <v>189.79277</v>
      </c>
      <c r="AB1231" s="61" t="n">
        <f aca="false">AA1231/(1-Resumo!$B$5)</f>
        <v>215.673602272727</v>
      </c>
      <c r="AC1231" s="61" t="n">
        <f aca="false">AB1231-S1231</f>
        <v>75.9419227272728</v>
      </c>
      <c r="AD1231" s="62" t="n">
        <f aca="false">AB1231/S1231-1</f>
        <v>0.543483932736735</v>
      </c>
      <c r="AE1231" s="60" t="str">
        <f aca="false">IF(AB1231&lt;S1231,"SIM","NÃO")</f>
        <v>NÃO</v>
      </c>
      <c r="AF1231" s="60" t="n">
        <v>2</v>
      </c>
      <c r="AG1231" s="60" t="n">
        <v>7</v>
      </c>
      <c r="AH1231" s="60" t="s">
        <v>382</v>
      </c>
      <c r="AI1231" s="61" t="n">
        <f aca="false">(T1231*(1-Painel!$C$40)+U1231+V1231+Painel!$C$41+Painel!$C$42*CEILING(G1231/100,1)+Painel!$C$43*CEILING(G1231,1)+Z1231)/(1-Resumo!$B$5)</f>
        <v>151.327011363636</v>
      </c>
      <c r="AJ1231" s="60" t="str">
        <f aca="false">IF(AI1231&lt;S1231,"SIM","NÃO")</f>
        <v>NÃO</v>
      </c>
    </row>
    <row r="1232" customFormat="false" ht="15" hidden="false" customHeight="false" outlineLevel="0" collapsed="false">
      <c r="A1232" s="59" t="n">
        <v>46253.818125</v>
      </c>
      <c r="B1232" s="60" t="s">
        <v>1529</v>
      </c>
      <c r="C1232" s="60" t="n">
        <v>25225330</v>
      </c>
      <c r="D1232" s="60" t="s">
        <v>48</v>
      </c>
      <c r="E1232" s="60" t="s">
        <v>23</v>
      </c>
      <c r="F1232" s="60" t="s">
        <v>236</v>
      </c>
      <c r="G1232" s="60" t="n">
        <v>52.3</v>
      </c>
      <c r="H1232" s="61" t="n">
        <v>659.99</v>
      </c>
      <c r="I1232" s="61" t="n">
        <v>70.98</v>
      </c>
      <c r="J1232" s="61" t="n">
        <f aca="false">H1232*Resumo!$C$6</f>
        <v>0</v>
      </c>
      <c r="K1232" s="61" t="n">
        <f aca="false">H1232*Resumo!$C$7</f>
        <v>1.385979</v>
      </c>
      <c r="L1232" s="61" t="n">
        <f aca="false">H1232*Resumo!$C$8</f>
        <v>1.385979</v>
      </c>
      <c r="M1232" s="61" t="n">
        <f aca="false">Resumo!$C$10*CEILING(G1232/100,1)</f>
        <v>1.05</v>
      </c>
      <c r="N1232" s="61" t="n">
        <f aca="false">Resumo!$C$9</f>
        <v>0</v>
      </c>
      <c r="O1232" s="61" t="n">
        <f aca="false">Resumo!$C$13</f>
        <v>13.55</v>
      </c>
      <c r="P1232" s="61" t="n">
        <f aca="false">Resumo!$C$14*CEILING(G1232,1)</f>
        <v>23.85</v>
      </c>
      <c r="Q1232" s="61" t="n">
        <f aca="false">SUM(I1232:P1232)*Resumo!$C$11</f>
        <v>0</v>
      </c>
      <c r="R1232" s="61" t="n">
        <f aca="false">SUM(I1232:Q1232)</f>
        <v>112.201958</v>
      </c>
      <c r="S1232" s="61" t="n">
        <f aca="false">R1232/(1-Resumo!$C$5)</f>
        <v>127.502225</v>
      </c>
      <c r="T1232" s="61" t="n">
        <v>112.3</v>
      </c>
      <c r="U1232" s="61" t="n">
        <f aca="false">H1232*Resumo!$B$6</f>
        <v>0.65999</v>
      </c>
      <c r="V1232" s="61" t="n">
        <f aca="false">H1232*Resumo!$B$7</f>
        <v>1.31998</v>
      </c>
      <c r="W1232" s="61" t="n">
        <f aca="false">Resumo!$B$9</f>
        <v>1</v>
      </c>
      <c r="X1232" s="61" t="n">
        <f aca="false">Resumo!$B$10*CEILING(G1232/100,1)</f>
        <v>4.5</v>
      </c>
      <c r="Y1232" s="61" t="n">
        <f aca="false">Resumo!$B$12*CEILING(G1232,1)</f>
        <v>3.18</v>
      </c>
      <c r="Z1232" s="61" t="n">
        <f aca="false">Resumo!$B$14*CEILING(G1232,1)</f>
        <v>23.85</v>
      </c>
      <c r="AA1232" s="61" t="n">
        <f aca="false">SUM(T1232:Z1232)</f>
        <v>146.80997</v>
      </c>
      <c r="AB1232" s="61" t="n">
        <f aca="false">AA1232/(1-Resumo!$B$5)</f>
        <v>166.829511363636</v>
      </c>
      <c r="AC1232" s="61" t="n">
        <f aca="false">AB1232-S1232</f>
        <v>39.3272863636363</v>
      </c>
      <c r="AD1232" s="62" t="n">
        <f aca="false">AB1232/S1232-1</f>
        <v>0.308443922163996</v>
      </c>
      <c r="AE1232" s="60" t="str">
        <f aca="false">IF(AB1232&lt;S1232,"SIM","NÃO")</f>
        <v>NÃO</v>
      </c>
      <c r="AF1232" s="60" t="n">
        <v>2</v>
      </c>
      <c r="AG1232" s="60" t="n">
        <v>5</v>
      </c>
      <c r="AH1232" s="60" t="s">
        <v>382</v>
      </c>
      <c r="AI1232" s="61" t="n">
        <f aca="false">(T1232*(1-Painel!$C$40)+U1232+V1232+Painel!$C$41+Painel!$C$42*CEILING(G1232/100,1)+Painel!$C$43*CEILING(G1232,1)+Z1232)/(1-Resumo!$B$5)</f>
        <v>117.182920454545</v>
      </c>
      <c r="AJ1232" s="60" t="str">
        <f aca="false">IF(AI1232&lt;S1232,"SIM","NÃO")</f>
        <v>SIM</v>
      </c>
    </row>
    <row r="1233" customFormat="false" ht="15" hidden="false" customHeight="false" outlineLevel="0" collapsed="false">
      <c r="A1233" s="59" t="n">
        <v>46253.8211574074</v>
      </c>
      <c r="B1233" s="60" t="s">
        <v>658</v>
      </c>
      <c r="C1233" s="60" t="n">
        <v>23520560</v>
      </c>
      <c r="D1233" s="60" t="s">
        <v>46</v>
      </c>
      <c r="E1233" s="60" t="s">
        <v>22</v>
      </c>
      <c r="F1233" s="60" t="s">
        <v>233</v>
      </c>
      <c r="G1233" s="60" t="n">
        <v>33.21</v>
      </c>
      <c r="H1233" s="61" t="n">
        <v>387.25</v>
      </c>
      <c r="I1233" s="61" t="n">
        <v>42.11</v>
      </c>
      <c r="J1233" s="61" t="n">
        <f aca="false">H1233*Resumo!$C$6</f>
        <v>0</v>
      </c>
      <c r="K1233" s="61" t="n">
        <f aca="false">H1233*Resumo!$C$7</f>
        <v>0.813225</v>
      </c>
      <c r="L1233" s="61" t="n">
        <f aca="false">H1233*Resumo!$C$8</f>
        <v>0.813225</v>
      </c>
      <c r="M1233" s="61" t="n">
        <f aca="false">Resumo!$C$10*CEILING(G1233/100,1)</f>
        <v>1.05</v>
      </c>
      <c r="N1233" s="61" t="n">
        <f aca="false">Resumo!$C$9</f>
        <v>0</v>
      </c>
      <c r="O1233" s="61" t="n">
        <f aca="false">Resumo!$C$13</f>
        <v>13.55</v>
      </c>
      <c r="P1233" s="61" t="n">
        <f aca="false">Resumo!$C$14*CEILING(G1233,1)</f>
        <v>15.3</v>
      </c>
      <c r="Q1233" s="61" t="n">
        <f aca="false">SUM(I1233:P1233)*Resumo!$C$11</f>
        <v>0</v>
      </c>
      <c r="R1233" s="61" t="n">
        <f aca="false">SUM(I1233:Q1233)</f>
        <v>73.63645</v>
      </c>
      <c r="S1233" s="61" t="n">
        <f aca="false">R1233/(1-Resumo!$C$5)</f>
        <v>83.6777840909091</v>
      </c>
      <c r="T1233" s="61" t="n">
        <v>82.21</v>
      </c>
      <c r="U1233" s="61" t="n">
        <f aca="false">H1233*Resumo!$B$6</f>
        <v>0.38725</v>
      </c>
      <c r="V1233" s="61" t="n">
        <f aca="false">H1233*Resumo!$B$7</f>
        <v>0.7745</v>
      </c>
      <c r="W1233" s="61" t="n">
        <f aca="false">Resumo!$B$9</f>
        <v>1</v>
      </c>
      <c r="X1233" s="61" t="n">
        <f aca="false">Resumo!$B$10*CEILING(G1233/100,1)</f>
        <v>4.5</v>
      </c>
      <c r="Y1233" s="61" t="n">
        <f aca="false">Resumo!$B$12*CEILING(G1233,1)</f>
        <v>2.04</v>
      </c>
      <c r="Z1233" s="61" t="n">
        <f aca="false">Resumo!$B$14*CEILING(G1233,1)</f>
        <v>15.3</v>
      </c>
      <c r="AA1233" s="61" t="n">
        <f aca="false">SUM(T1233:Z1233)</f>
        <v>106.21175</v>
      </c>
      <c r="AB1233" s="61" t="n">
        <f aca="false">AA1233/(1-Resumo!$B$5)</f>
        <v>120.695170454545</v>
      </c>
      <c r="AC1233" s="61" t="n">
        <f aca="false">AB1233-S1233</f>
        <v>37.0173863636364</v>
      </c>
      <c r="AD1233" s="62" t="n">
        <f aca="false">AB1233/S1233-1</f>
        <v>0.442380098443094</v>
      </c>
      <c r="AE1233" s="60" t="str">
        <f aca="false">IF(AB1233&lt;S1233,"SIM","NÃO")</f>
        <v>NÃO</v>
      </c>
      <c r="AF1233" s="60" t="n">
        <v>2</v>
      </c>
      <c r="AG1233" s="60" t="n">
        <v>5</v>
      </c>
      <c r="AH1233" s="60" t="s">
        <v>382</v>
      </c>
      <c r="AI1233" s="61" t="n">
        <f aca="false">(T1233*(1-Painel!$C$40)+U1233+V1233+Painel!$C$41+Painel!$C$42*CEILING(G1233/100,1)+Painel!$C$43*CEILING(G1233,1)+Z1233)/(1-Resumo!$B$5)</f>
        <v>83.6277840909091</v>
      </c>
      <c r="AJ1233" s="60" t="str">
        <f aca="false">IF(AI1233&lt;S1233,"SIM","NÃO")</f>
        <v>SIM</v>
      </c>
    </row>
    <row r="1234" customFormat="false" ht="15" hidden="false" customHeight="false" outlineLevel="0" collapsed="false">
      <c r="A1234" s="59" t="n">
        <v>46253.8365162037</v>
      </c>
      <c r="B1234" s="60" t="s">
        <v>1530</v>
      </c>
      <c r="C1234" s="60" t="n">
        <v>25610011</v>
      </c>
      <c r="D1234" s="60" t="s">
        <v>219</v>
      </c>
      <c r="E1234" s="60" t="s">
        <v>24</v>
      </c>
      <c r="F1234" s="60" t="s">
        <v>236</v>
      </c>
      <c r="G1234" s="60" t="n">
        <v>57</v>
      </c>
      <c r="H1234" s="61" t="n">
        <v>643.99</v>
      </c>
      <c r="I1234" s="61" t="n">
        <v>83.58</v>
      </c>
      <c r="J1234" s="61" t="n">
        <f aca="false">H1234*Resumo!$C$6</f>
        <v>0</v>
      </c>
      <c r="K1234" s="61" t="n">
        <f aca="false">H1234*Resumo!$C$7</f>
        <v>1.352379</v>
      </c>
      <c r="L1234" s="61" t="n">
        <f aca="false">H1234*Resumo!$C$8</f>
        <v>1.352379</v>
      </c>
      <c r="M1234" s="61" t="n">
        <f aca="false">Resumo!$C$10*CEILING(G1234/100,1)</f>
        <v>1.05</v>
      </c>
      <c r="N1234" s="61" t="n">
        <f aca="false">Resumo!$C$9</f>
        <v>0</v>
      </c>
      <c r="O1234" s="61" t="n">
        <f aca="false">Resumo!$C$13</f>
        <v>13.55</v>
      </c>
      <c r="P1234" s="61" t="n">
        <f aca="false">Resumo!$C$14*CEILING(G1234,1)</f>
        <v>25.65</v>
      </c>
      <c r="Q1234" s="61" t="n">
        <f aca="false">SUM(I1234:P1234)*Resumo!$C$11</f>
        <v>0</v>
      </c>
      <c r="R1234" s="61" t="n">
        <f aca="false">SUM(I1234:Q1234)</f>
        <v>126.534758</v>
      </c>
      <c r="S1234" s="61" t="n">
        <f aca="false">R1234/(1-Resumo!$C$5)</f>
        <v>143.789497727273</v>
      </c>
      <c r="T1234" s="61" t="n">
        <v>142.32</v>
      </c>
      <c r="U1234" s="61" t="n">
        <f aca="false">H1234*Resumo!$B$6</f>
        <v>0.64399</v>
      </c>
      <c r="V1234" s="61" t="n">
        <f aca="false">H1234*Resumo!$B$7</f>
        <v>1.28798</v>
      </c>
      <c r="W1234" s="61" t="n">
        <f aca="false">Resumo!$B$9</f>
        <v>1</v>
      </c>
      <c r="X1234" s="61" t="n">
        <f aca="false">Resumo!$B$10*CEILING(G1234/100,1)</f>
        <v>4.5</v>
      </c>
      <c r="Y1234" s="61" t="n">
        <f aca="false">Resumo!$B$12*CEILING(G1234,1)</f>
        <v>3.42</v>
      </c>
      <c r="Z1234" s="61" t="n">
        <f aca="false">Resumo!$B$14*CEILING(G1234,1)</f>
        <v>25.65</v>
      </c>
      <c r="AA1234" s="61" t="n">
        <f aca="false">SUM(T1234:Z1234)</f>
        <v>178.82197</v>
      </c>
      <c r="AB1234" s="61" t="n">
        <f aca="false">AA1234/(1-Resumo!$B$5)</f>
        <v>203.206784090909</v>
      </c>
      <c r="AC1234" s="61" t="n">
        <f aca="false">AB1234-S1234</f>
        <v>59.4172863636364</v>
      </c>
      <c r="AD1234" s="62" t="n">
        <f aca="false">AB1234/S1234-1</f>
        <v>0.413224104004688</v>
      </c>
      <c r="AE1234" s="60" t="str">
        <f aca="false">IF(AB1234&lt;S1234,"SIM","NÃO")</f>
        <v>NÃO</v>
      </c>
      <c r="AF1234" s="60" t="n">
        <v>13</v>
      </c>
      <c r="AG1234" s="60" t="n">
        <v>8</v>
      </c>
      <c r="AH1234" s="60" t="s">
        <v>382</v>
      </c>
      <c r="AI1234" s="61" t="n">
        <f aca="false">(T1234*(1-Painel!$C$40)+U1234+V1234+Painel!$C$41+Painel!$C$42*CEILING(G1234/100,1)+Painel!$C$43*CEILING(G1234,1)+Z1234)/(1-Resumo!$B$5)</f>
        <v>142.029965909091</v>
      </c>
      <c r="AJ1234" s="60" t="str">
        <f aca="false">IF(AI1234&lt;S1234,"SIM","NÃO")</f>
        <v>SIM</v>
      </c>
    </row>
    <row r="1235" customFormat="false" ht="15" hidden="false" customHeight="false" outlineLevel="0" collapsed="false">
      <c r="A1235" s="59" t="n">
        <v>46253.8780092593</v>
      </c>
      <c r="B1235" s="60" t="s">
        <v>1531</v>
      </c>
      <c r="C1235" s="60" t="n">
        <v>21740230</v>
      </c>
      <c r="D1235" s="60" t="s">
        <v>46</v>
      </c>
      <c r="E1235" s="60" t="s">
        <v>22</v>
      </c>
      <c r="F1235" s="60" t="s">
        <v>236</v>
      </c>
      <c r="G1235" s="60" t="n">
        <v>52.3</v>
      </c>
      <c r="H1235" s="61" t="n">
        <v>616.99</v>
      </c>
      <c r="I1235" s="61" t="n">
        <v>58.6</v>
      </c>
      <c r="J1235" s="61" t="n">
        <f aca="false">H1235*Resumo!$C$6</f>
        <v>0</v>
      </c>
      <c r="K1235" s="61" t="n">
        <f aca="false">H1235*Resumo!$C$7</f>
        <v>1.295679</v>
      </c>
      <c r="L1235" s="61" t="n">
        <f aca="false">H1235*Resumo!$C$8</f>
        <v>1.295679</v>
      </c>
      <c r="M1235" s="61" t="n">
        <f aca="false">Resumo!$C$10*CEILING(G1235/100,1)</f>
        <v>1.05</v>
      </c>
      <c r="N1235" s="61" t="n">
        <f aca="false">Resumo!$C$9</f>
        <v>0</v>
      </c>
      <c r="O1235" s="61" t="n">
        <f aca="false">Resumo!$C$13</f>
        <v>13.55</v>
      </c>
      <c r="P1235" s="61" t="n">
        <f aca="false">Resumo!$C$14*CEILING(G1235,1)</f>
        <v>23.85</v>
      </c>
      <c r="Q1235" s="61" t="n">
        <f aca="false">SUM(I1235:P1235)*Resumo!$C$11</f>
        <v>0</v>
      </c>
      <c r="R1235" s="61" t="n">
        <f aca="false">SUM(I1235:Q1235)</f>
        <v>99.641358</v>
      </c>
      <c r="S1235" s="61" t="n">
        <f aca="false">R1235/(1-Resumo!$C$5)</f>
        <v>113.228815909091</v>
      </c>
      <c r="T1235" s="61" t="n">
        <v>112.3</v>
      </c>
      <c r="U1235" s="61" t="n">
        <f aca="false">H1235*Resumo!$B$6</f>
        <v>0.61699</v>
      </c>
      <c r="V1235" s="61" t="n">
        <f aca="false">H1235*Resumo!$B$7</f>
        <v>1.23398</v>
      </c>
      <c r="W1235" s="61" t="n">
        <f aca="false">Resumo!$B$9</f>
        <v>1</v>
      </c>
      <c r="X1235" s="61" t="n">
        <f aca="false">Resumo!$B$10*CEILING(G1235/100,1)</f>
        <v>4.5</v>
      </c>
      <c r="Y1235" s="61" t="n">
        <f aca="false">Resumo!$B$12*CEILING(G1235,1)</f>
        <v>3.18</v>
      </c>
      <c r="Z1235" s="61" t="n">
        <f aca="false">Resumo!$B$14*CEILING(G1235,1)</f>
        <v>23.85</v>
      </c>
      <c r="AA1235" s="61" t="n">
        <f aca="false">SUM(T1235:Z1235)</f>
        <v>146.68097</v>
      </c>
      <c r="AB1235" s="61" t="n">
        <f aca="false">AA1235/(1-Resumo!$B$5)</f>
        <v>166.682920454545</v>
      </c>
      <c r="AC1235" s="61" t="n">
        <f aca="false">AB1235-S1235</f>
        <v>53.4541045454546</v>
      </c>
      <c r="AD1235" s="62" t="n">
        <f aca="false">AB1235/S1235-1</f>
        <v>0.472089230257179</v>
      </c>
      <c r="AE1235" s="60" t="str">
        <f aca="false">IF(AB1235&lt;S1235,"SIM","NÃO")</f>
        <v>NÃO</v>
      </c>
      <c r="AF1235" s="60" t="n">
        <v>2</v>
      </c>
      <c r="AG1235" s="60" t="n">
        <v>5</v>
      </c>
      <c r="AH1235" s="60" t="s">
        <v>382</v>
      </c>
      <c r="AI1235" s="61" t="n">
        <f aca="false">(T1235*(1-Painel!$C$40)+U1235+V1235+Painel!$C$41+Painel!$C$42*CEILING(G1235/100,1)+Painel!$C$43*CEILING(G1235,1)+Z1235)/(1-Resumo!$B$5)</f>
        <v>117.036329545455</v>
      </c>
      <c r="AJ1235" s="60" t="str">
        <f aca="false">IF(AI1235&lt;S1235,"SIM","NÃO")</f>
        <v>NÃO</v>
      </c>
    </row>
    <row r="1236" customFormat="false" ht="15" hidden="false" customHeight="false" outlineLevel="0" collapsed="false">
      <c r="A1236" s="59" t="n">
        <v>46253.8783101852</v>
      </c>
      <c r="B1236" s="60" t="s">
        <v>1532</v>
      </c>
      <c r="C1236" s="60" t="n">
        <v>21843790</v>
      </c>
      <c r="D1236" s="60" t="s">
        <v>46</v>
      </c>
      <c r="E1236" s="60" t="s">
        <v>22</v>
      </c>
      <c r="F1236" s="60" t="s">
        <v>236</v>
      </c>
      <c r="G1236" s="60" t="n">
        <v>51.7</v>
      </c>
      <c r="H1236" s="61" t="n">
        <v>679.99</v>
      </c>
      <c r="I1236" s="61" t="n">
        <v>58.6</v>
      </c>
      <c r="J1236" s="61" t="n">
        <f aca="false">H1236*Resumo!$C$6</f>
        <v>0</v>
      </c>
      <c r="K1236" s="61" t="n">
        <f aca="false">H1236*Resumo!$C$7</f>
        <v>1.427979</v>
      </c>
      <c r="L1236" s="61" t="n">
        <f aca="false">H1236*Resumo!$C$8</f>
        <v>1.427979</v>
      </c>
      <c r="M1236" s="61" t="n">
        <f aca="false">Resumo!$C$10*CEILING(G1236/100,1)</f>
        <v>1.05</v>
      </c>
      <c r="N1236" s="61" t="n">
        <f aca="false">Resumo!$C$9</f>
        <v>0</v>
      </c>
      <c r="O1236" s="61" t="n">
        <f aca="false">Resumo!$C$13</f>
        <v>13.55</v>
      </c>
      <c r="P1236" s="61" t="n">
        <f aca="false">Resumo!$C$14*CEILING(G1236,1)</f>
        <v>23.4</v>
      </c>
      <c r="Q1236" s="61" t="n">
        <f aca="false">SUM(I1236:P1236)*Resumo!$C$11</f>
        <v>0</v>
      </c>
      <c r="R1236" s="61" t="n">
        <f aca="false">SUM(I1236:Q1236)</f>
        <v>99.455958</v>
      </c>
      <c r="S1236" s="61" t="n">
        <f aca="false">R1236/(1-Resumo!$C$5)</f>
        <v>113.018134090909</v>
      </c>
      <c r="T1236" s="61" t="n">
        <v>112.3</v>
      </c>
      <c r="U1236" s="61" t="n">
        <f aca="false">H1236*Resumo!$B$6</f>
        <v>0.67999</v>
      </c>
      <c r="V1236" s="61" t="n">
        <f aca="false">H1236*Resumo!$B$7</f>
        <v>1.35998</v>
      </c>
      <c r="W1236" s="61" t="n">
        <f aca="false">Resumo!$B$9</f>
        <v>1</v>
      </c>
      <c r="X1236" s="61" t="n">
        <f aca="false">Resumo!$B$10*CEILING(G1236/100,1)</f>
        <v>4.5</v>
      </c>
      <c r="Y1236" s="61" t="n">
        <f aca="false">Resumo!$B$12*CEILING(G1236,1)</f>
        <v>3.12</v>
      </c>
      <c r="Z1236" s="61" t="n">
        <f aca="false">Resumo!$B$14*CEILING(G1236,1)</f>
        <v>23.4</v>
      </c>
      <c r="AA1236" s="61" t="n">
        <f aca="false">SUM(T1236:Z1236)</f>
        <v>146.35997</v>
      </c>
      <c r="AB1236" s="61" t="n">
        <f aca="false">AA1236/(1-Resumo!$B$5)</f>
        <v>166.318147727273</v>
      </c>
      <c r="AC1236" s="61" t="n">
        <f aca="false">AB1236-S1236</f>
        <v>53.3000136363636</v>
      </c>
      <c r="AD1236" s="62" t="n">
        <f aca="false">AB1236/S1236-1</f>
        <v>0.471605853919782</v>
      </c>
      <c r="AE1236" s="60" t="str">
        <f aca="false">IF(AB1236&lt;S1236,"SIM","NÃO")</f>
        <v>NÃO</v>
      </c>
      <c r="AF1236" s="60" t="n">
        <v>2</v>
      </c>
      <c r="AG1236" s="60" t="n">
        <v>5</v>
      </c>
      <c r="AH1236" s="60" t="s">
        <v>382</v>
      </c>
      <c r="AI1236" s="61" t="n">
        <f aca="false">(T1236*(1-Painel!$C$40)+U1236+V1236+Painel!$C$41+Painel!$C$42*CEILING(G1236/100,1)+Painel!$C$43*CEILING(G1236,1)+Z1236)/(1-Resumo!$B$5)</f>
        <v>116.739738636364</v>
      </c>
      <c r="AJ1236" s="60" t="str">
        <f aca="false">IF(AI1236&lt;S1236,"SIM","NÃO")</f>
        <v>NÃO</v>
      </c>
    </row>
    <row r="1237" customFormat="false" ht="15" hidden="false" customHeight="false" outlineLevel="0" collapsed="false">
      <c r="A1237" s="59" t="n">
        <v>46253.8909027778</v>
      </c>
      <c r="B1237" s="60" t="s">
        <v>1533</v>
      </c>
      <c r="C1237" s="60" t="n">
        <v>25576220</v>
      </c>
      <c r="D1237" s="60" t="s">
        <v>216</v>
      </c>
      <c r="E1237" s="60" t="s">
        <v>23</v>
      </c>
      <c r="F1237" s="60" t="s">
        <v>237</v>
      </c>
      <c r="G1237" s="60" t="n">
        <v>66.8</v>
      </c>
      <c r="H1237" s="61" t="n">
        <v>609.99</v>
      </c>
      <c r="I1237" s="61" t="n">
        <v>76.55</v>
      </c>
      <c r="J1237" s="61" t="n">
        <f aca="false">H1237*Resumo!$C$6</f>
        <v>0</v>
      </c>
      <c r="K1237" s="61" t="n">
        <f aca="false">H1237*Resumo!$C$7</f>
        <v>1.280979</v>
      </c>
      <c r="L1237" s="61" t="n">
        <f aca="false">H1237*Resumo!$C$8</f>
        <v>1.280979</v>
      </c>
      <c r="M1237" s="61" t="n">
        <f aca="false">Resumo!$C$10*CEILING(G1237/100,1)</f>
        <v>1.05</v>
      </c>
      <c r="N1237" s="61" t="n">
        <f aca="false">Resumo!$C$9</f>
        <v>0</v>
      </c>
      <c r="O1237" s="61" t="n">
        <f aca="false">Resumo!$C$13</f>
        <v>13.55</v>
      </c>
      <c r="P1237" s="61" t="n">
        <f aca="false">Resumo!$C$14*CEILING(G1237,1)</f>
        <v>30.15</v>
      </c>
      <c r="Q1237" s="61" t="n">
        <f aca="false">SUM(I1237:P1237)*Resumo!$C$11</f>
        <v>0</v>
      </c>
      <c r="R1237" s="61" t="n">
        <f aca="false">SUM(I1237:Q1237)</f>
        <v>123.861958</v>
      </c>
      <c r="S1237" s="61" t="n">
        <f aca="false">R1237/(1-Resumo!$C$5)</f>
        <v>140.752225</v>
      </c>
      <c r="T1237" s="61" t="n">
        <v>131.02</v>
      </c>
      <c r="U1237" s="61" t="n">
        <f aca="false">H1237*Resumo!$B$6</f>
        <v>0.60999</v>
      </c>
      <c r="V1237" s="61" t="n">
        <f aca="false">H1237*Resumo!$B$7</f>
        <v>1.21998</v>
      </c>
      <c r="W1237" s="61" t="n">
        <f aca="false">Resumo!$B$9</f>
        <v>1</v>
      </c>
      <c r="X1237" s="61" t="n">
        <f aca="false">Resumo!$B$10*CEILING(G1237/100,1)</f>
        <v>4.5</v>
      </c>
      <c r="Y1237" s="61" t="n">
        <f aca="false">Resumo!$B$12*CEILING(G1237,1)</f>
        <v>4.02</v>
      </c>
      <c r="Z1237" s="61" t="n">
        <f aca="false">Resumo!$B$14*CEILING(G1237,1)</f>
        <v>30.15</v>
      </c>
      <c r="AA1237" s="61" t="n">
        <f aca="false">SUM(T1237:Z1237)</f>
        <v>172.51997</v>
      </c>
      <c r="AB1237" s="61" t="n">
        <f aca="false">AA1237/(1-Resumo!$B$5)</f>
        <v>196.045420454545</v>
      </c>
      <c r="AC1237" s="61" t="n">
        <f aca="false">AB1237-S1237</f>
        <v>55.2931954545455</v>
      </c>
      <c r="AD1237" s="62" t="n">
        <f aca="false">AB1237/S1237-1</f>
        <v>0.39284064926537</v>
      </c>
      <c r="AE1237" s="60" t="str">
        <f aca="false">IF(AB1237&lt;S1237,"SIM","NÃO")</f>
        <v>NÃO</v>
      </c>
      <c r="AF1237" s="60" t="n">
        <v>2</v>
      </c>
      <c r="AG1237" s="60" t="n">
        <v>5</v>
      </c>
      <c r="AH1237" s="60" t="s">
        <v>382</v>
      </c>
      <c r="AI1237" s="61" t="n">
        <f aca="false">(T1237*(1-Painel!$C$40)+U1237+V1237+Painel!$C$41+Painel!$C$42*CEILING(G1237/100,1)+Painel!$C$43*CEILING(G1237,1)+Z1237)/(1-Resumo!$B$5)</f>
        <v>138.424284090909</v>
      </c>
      <c r="AJ1237" s="60" t="str">
        <f aca="false">IF(AI1237&lt;S1237,"SIM","NÃO")</f>
        <v>SIM</v>
      </c>
    </row>
    <row r="1238" customFormat="false" ht="15" hidden="false" customHeight="false" outlineLevel="0" collapsed="false">
      <c r="A1238" s="59" t="n">
        <v>46253.9171759259</v>
      </c>
      <c r="B1238" s="60" t="s">
        <v>1534</v>
      </c>
      <c r="C1238" s="60" t="n">
        <v>25220005</v>
      </c>
      <c r="D1238" s="60" t="s">
        <v>48</v>
      </c>
      <c r="E1238" s="60" t="s">
        <v>23</v>
      </c>
      <c r="F1238" s="60" t="s">
        <v>232</v>
      </c>
      <c r="G1238" s="60" t="n">
        <v>19.5</v>
      </c>
      <c r="H1238" s="61" t="n">
        <v>332.99</v>
      </c>
      <c r="I1238" s="61" t="n">
        <v>42.72</v>
      </c>
      <c r="J1238" s="61" t="n">
        <f aca="false">H1238*Resumo!$C$6</f>
        <v>0</v>
      </c>
      <c r="K1238" s="61" t="n">
        <f aca="false">H1238*Resumo!$C$7</f>
        <v>0.699279</v>
      </c>
      <c r="L1238" s="61" t="n">
        <f aca="false">H1238*Resumo!$C$8</f>
        <v>0.699279</v>
      </c>
      <c r="M1238" s="61" t="n">
        <f aca="false">Resumo!$C$10*CEILING(G1238/100,1)</f>
        <v>1.05</v>
      </c>
      <c r="N1238" s="61" t="n">
        <f aca="false">Resumo!$C$9</f>
        <v>0</v>
      </c>
      <c r="O1238" s="61" t="n">
        <f aca="false">Resumo!$C$13</f>
        <v>13.55</v>
      </c>
      <c r="P1238" s="61" t="n">
        <f aca="false">Resumo!$C$14*CEILING(G1238,1)</f>
        <v>9</v>
      </c>
      <c r="Q1238" s="61" t="n">
        <f aca="false">SUM(I1238:P1238)*Resumo!$C$11</f>
        <v>0</v>
      </c>
      <c r="R1238" s="61" t="n">
        <f aca="false">SUM(I1238:Q1238)</f>
        <v>67.718558</v>
      </c>
      <c r="S1238" s="61" t="n">
        <f aca="false">R1238/(1-Resumo!$C$5)</f>
        <v>76.9529068181818</v>
      </c>
      <c r="T1238" s="61" t="n">
        <v>46.98</v>
      </c>
      <c r="U1238" s="61" t="n">
        <f aca="false">H1238*Resumo!$B$6</f>
        <v>0.33299</v>
      </c>
      <c r="V1238" s="61" t="n">
        <f aca="false">H1238*Resumo!$B$7</f>
        <v>0.66598</v>
      </c>
      <c r="W1238" s="61" t="n">
        <f aca="false">Resumo!$B$9</f>
        <v>1</v>
      </c>
      <c r="X1238" s="61" t="n">
        <f aca="false">Resumo!$B$10*CEILING(G1238/100,1)</f>
        <v>4.5</v>
      </c>
      <c r="Y1238" s="61" t="n">
        <f aca="false">Resumo!$B$12*CEILING(G1238,1)</f>
        <v>1.2</v>
      </c>
      <c r="Z1238" s="61" t="n">
        <f aca="false">Resumo!$B$14*CEILING(G1238,1)</f>
        <v>9</v>
      </c>
      <c r="AA1238" s="61" t="n">
        <f aca="false">SUM(T1238:Z1238)</f>
        <v>63.67897</v>
      </c>
      <c r="AB1238" s="61" t="n">
        <f aca="false">AA1238/(1-Resumo!$B$5)</f>
        <v>72.3624659090909</v>
      </c>
      <c r="AC1238" s="61" t="n">
        <f aca="false">AB1238-S1238</f>
        <v>-4.5904409090909</v>
      </c>
      <c r="AD1238" s="62" t="n">
        <f aca="false">AB1238/S1238-1</f>
        <v>-0.0596525992180754</v>
      </c>
      <c r="AE1238" s="60" t="str">
        <f aca="false">IF(AB1238&lt;S1238,"SIM","NÃO")</f>
        <v>SIM</v>
      </c>
      <c r="AF1238" s="60" t="n">
        <v>2</v>
      </c>
      <c r="AG1238" s="60" t="n">
        <v>5</v>
      </c>
      <c r="AH1238" s="60" t="s">
        <v>382</v>
      </c>
      <c r="AI1238" s="61" t="n">
        <f aca="false">(T1238*(1-Painel!$C$40)+U1238+V1238+Painel!$C$41+Painel!$C$42*CEILING(G1238/100,1)+Painel!$C$43*CEILING(G1238,1)+Z1238)/(1-Resumo!$B$5)</f>
        <v>49.460875</v>
      </c>
      <c r="AJ1238" s="60" t="str">
        <f aca="false">IF(AI1238&lt;S1238,"SIM","NÃO")</f>
        <v>SIM</v>
      </c>
    </row>
    <row r="1239" customFormat="false" ht="15" hidden="false" customHeight="false" outlineLevel="0" collapsed="false">
      <c r="A1239" s="59" t="n">
        <v>46253.9249537037</v>
      </c>
      <c r="B1239" s="60" t="s">
        <v>724</v>
      </c>
      <c r="C1239" s="60" t="n">
        <v>23092080</v>
      </c>
      <c r="D1239" s="60" t="s">
        <v>46</v>
      </c>
      <c r="E1239" s="60" t="s">
        <v>22</v>
      </c>
      <c r="F1239" s="60" t="s">
        <v>236</v>
      </c>
      <c r="G1239" s="60" t="n">
        <v>52.3</v>
      </c>
      <c r="H1239" s="61" t="n">
        <v>669.99</v>
      </c>
      <c r="I1239" s="61" t="n">
        <v>58.6</v>
      </c>
      <c r="J1239" s="61" t="n">
        <f aca="false">H1239*Resumo!$C$6</f>
        <v>0</v>
      </c>
      <c r="K1239" s="61" t="n">
        <f aca="false">H1239*Resumo!$C$7</f>
        <v>1.406979</v>
      </c>
      <c r="L1239" s="61" t="n">
        <f aca="false">H1239*Resumo!$C$8</f>
        <v>1.406979</v>
      </c>
      <c r="M1239" s="61" t="n">
        <f aca="false">Resumo!$C$10*CEILING(G1239/100,1)</f>
        <v>1.05</v>
      </c>
      <c r="N1239" s="61" t="n">
        <f aca="false">Resumo!$C$9</f>
        <v>0</v>
      </c>
      <c r="O1239" s="61" t="n">
        <f aca="false">Resumo!$C$13</f>
        <v>13.55</v>
      </c>
      <c r="P1239" s="61" t="n">
        <f aca="false">Resumo!$C$14*CEILING(G1239,1)</f>
        <v>23.85</v>
      </c>
      <c r="Q1239" s="61" t="n">
        <f aca="false">SUM(I1239:P1239)*Resumo!$C$11</f>
        <v>0</v>
      </c>
      <c r="R1239" s="61" t="n">
        <f aca="false">SUM(I1239:Q1239)</f>
        <v>99.863958</v>
      </c>
      <c r="S1239" s="61" t="n">
        <f aca="false">R1239/(1-Resumo!$C$5)</f>
        <v>113.481770454545</v>
      </c>
      <c r="T1239" s="61" t="n">
        <v>112.3</v>
      </c>
      <c r="U1239" s="61" t="n">
        <f aca="false">H1239*Resumo!$B$6</f>
        <v>0.66999</v>
      </c>
      <c r="V1239" s="61" t="n">
        <f aca="false">H1239*Resumo!$B$7</f>
        <v>1.33998</v>
      </c>
      <c r="W1239" s="61" t="n">
        <f aca="false">Resumo!$B$9</f>
        <v>1</v>
      </c>
      <c r="X1239" s="61" t="n">
        <f aca="false">Resumo!$B$10*CEILING(G1239/100,1)</f>
        <v>4.5</v>
      </c>
      <c r="Y1239" s="61" t="n">
        <f aca="false">Resumo!$B$12*CEILING(G1239,1)</f>
        <v>3.18</v>
      </c>
      <c r="Z1239" s="61" t="n">
        <f aca="false">Resumo!$B$14*CEILING(G1239,1)</f>
        <v>23.85</v>
      </c>
      <c r="AA1239" s="61" t="n">
        <f aca="false">SUM(T1239:Z1239)</f>
        <v>146.83997</v>
      </c>
      <c r="AB1239" s="61" t="n">
        <f aca="false">AA1239/(1-Resumo!$B$5)</f>
        <v>166.863602272727</v>
      </c>
      <c r="AC1239" s="61" t="n">
        <f aca="false">AB1239-S1239</f>
        <v>53.3818318181818</v>
      </c>
      <c r="AD1239" s="62" t="n">
        <f aca="false">AB1239/S1239-1</f>
        <v>0.470400061651872</v>
      </c>
      <c r="AE1239" s="60" t="str">
        <f aca="false">IF(AB1239&lt;S1239,"SIM","NÃO")</f>
        <v>NÃO</v>
      </c>
      <c r="AF1239" s="60" t="n">
        <v>2</v>
      </c>
      <c r="AG1239" s="60" t="n">
        <v>5</v>
      </c>
      <c r="AH1239" s="60" t="s">
        <v>382</v>
      </c>
      <c r="AI1239" s="61" t="n">
        <f aca="false">(T1239*(1-Painel!$C$40)+U1239+V1239+Painel!$C$41+Painel!$C$42*CEILING(G1239/100,1)+Painel!$C$43*CEILING(G1239,1)+Z1239)/(1-Resumo!$B$5)</f>
        <v>117.217011363636</v>
      </c>
      <c r="AJ1239" s="60" t="str">
        <f aca="false">IF(AI1239&lt;S1239,"SIM","NÃO")</f>
        <v>NÃO</v>
      </c>
    </row>
    <row r="1240" customFormat="false" ht="15" hidden="false" customHeight="false" outlineLevel="0" collapsed="false">
      <c r="A1240" s="59" t="n">
        <v>46253.935775463</v>
      </c>
      <c r="B1240" s="60" t="s">
        <v>1535</v>
      </c>
      <c r="C1240" s="60" t="n">
        <v>22770190</v>
      </c>
      <c r="D1240" s="60" t="s">
        <v>46</v>
      </c>
      <c r="E1240" s="60" t="s">
        <v>22</v>
      </c>
      <c r="F1240" s="60" t="s">
        <v>238</v>
      </c>
      <c r="G1240" s="60" t="n">
        <v>71.9</v>
      </c>
      <c r="H1240" s="61" t="n">
        <v>711.38</v>
      </c>
      <c r="I1240" s="61" t="n">
        <v>68.88</v>
      </c>
      <c r="J1240" s="61" t="n">
        <f aca="false">H1240*Resumo!$C$6</f>
        <v>0</v>
      </c>
      <c r="K1240" s="61" t="n">
        <f aca="false">H1240*Resumo!$C$7</f>
        <v>1.493898</v>
      </c>
      <c r="L1240" s="61" t="n">
        <f aca="false">H1240*Resumo!$C$8</f>
        <v>1.493898</v>
      </c>
      <c r="M1240" s="61" t="n">
        <f aca="false">Resumo!$C$10*CEILING(G1240/100,1)</f>
        <v>1.05</v>
      </c>
      <c r="N1240" s="61" t="n">
        <f aca="false">Resumo!$C$9</f>
        <v>0</v>
      </c>
      <c r="O1240" s="61" t="n">
        <f aca="false">Resumo!$C$13</f>
        <v>13.55</v>
      </c>
      <c r="P1240" s="61" t="n">
        <f aca="false">Resumo!$C$14*CEILING(G1240,1)</f>
        <v>32.4</v>
      </c>
      <c r="Q1240" s="61" t="n">
        <f aca="false">SUM(I1240:P1240)*Resumo!$C$11</f>
        <v>0</v>
      </c>
      <c r="R1240" s="61" t="n">
        <f aca="false">SUM(I1240:Q1240)</f>
        <v>118.867796</v>
      </c>
      <c r="S1240" s="61" t="n">
        <f aca="false">R1240/(1-Resumo!$C$5)</f>
        <v>135.077040909091</v>
      </c>
      <c r="T1240" s="61" t="n">
        <v>134.39</v>
      </c>
      <c r="U1240" s="61" t="n">
        <f aca="false">H1240*Resumo!$B$6</f>
        <v>0.71138</v>
      </c>
      <c r="V1240" s="61" t="n">
        <f aca="false">H1240*Resumo!$B$7</f>
        <v>1.42276</v>
      </c>
      <c r="W1240" s="61" t="n">
        <f aca="false">Resumo!$B$9</f>
        <v>1</v>
      </c>
      <c r="X1240" s="61" t="n">
        <f aca="false">Resumo!$B$10*CEILING(G1240/100,1)</f>
        <v>4.5</v>
      </c>
      <c r="Y1240" s="61" t="n">
        <f aca="false">Resumo!$B$12*CEILING(G1240,1)</f>
        <v>4.32</v>
      </c>
      <c r="Z1240" s="61" t="n">
        <f aca="false">Resumo!$B$14*CEILING(G1240,1)</f>
        <v>32.4</v>
      </c>
      <c r="AA1240" s="61" t="n">
        <f aca="false">SUM(T1240:Z1240)</f>
        <v>178.74414</v>
      </c>
      <c r="AB1240" s="61" t="n">
        <f aca="false">AA1240/(1-Resumo!$B$5)</f>
        <v>203.118340909091</v>
      </c>
      <c r="AC1240" s="61" t="n">
        <f aca="false">AB1240-S1240</f>
        <v>68.0413</v>
      </c>
      <c r="AD1240" s="62" t="n">
        <f aca="false">AB1240/S1240-1</f>
        <v>0.503722168786574</v>
      </c>
      <c r="AE1240" s="60" t="str">
        <f aca="false">IF(AB1240&lt;S1240,"SIM","NÃO")</f>
        <v>NÃO</v>
      </c>
      <c r="AF1240" s="60" t="n">
        <v>2</v>
      </c>
      <c r="AG1240" s="60" t="n">
        <v>5</v>
      </c>
      <c r="AH1240" s="60" t="s">
        <v>382</v>
      </c>
      <c r="AI1240" s="61" t="n">
        <f aca="false">(T1240*(1-Painel!$C$40)+U1240+V1240+Painel!$C$41+Painel!$C$42*CEILING(G1240/100,1)+Painel!$C$43*CEILING(G1240,1)+Z1240)/(1-Resumo!$B$5)</f>
        <v>143.892545454545</v>
      </c>
      <c r="AJ1240" s="60" t="str">
        <f aca="false">IF(AI1240&lt;S1240,"SIM","NÃO")</f>
        <v>NÃO</v>
      </c>
    </row>
    <row r="1241" customFormat="false" ht="15" hidden="false" customHeight="false" outlineLevel="0" collapsed="false">
      <c r="A1241" s="59" t="n">
        <v>46253.9453703704</v>
      </c>
      <c r="B1241" s="60" t="s">
        <v>608</v>
      </c>
      <c r="C1241" s="60" t="n">
        <v>23040400</v>
      </c>
      <c r="D1241" s="60" t="s">
        <v>46</v>
      </c>
      <c r="E1241" s="60" t="s">
        <v>22</v>
      </c>
      <c r="F1241" s="60" t="s">
        <v>237</v>
      </c>
      <c r="G1241" s="60" t="n">
        <v>63.9</v>
      </c>
      <c r="H1241" s="61" t="n">
        <v>717.59</v>
      </c>
      <c r="I1241" s="61" t="n">
        <v>63.21</v>
      </c>
      <c r="J1241" s="61" t="n">
        <f aca="false">H1241*Resumo!$C$6</f>
        <v>0</v>
      </c>
      <c r="K1241" s="61" t="n">
        <f aca="false">H1241*Resumo!$C$7</f>
        <v>1.506939</v>
      </c>
      <c r="L1241" s="61" t="n">
        <f aca="false">H1241*Resumo!$C$8</f>
        <v>1.506939</v>
      </c>
      <c r="M1241" s="61" t="n">
        <f aca="false">Resumo!$C$10*CEILING(G1241/100,1)</f>
        <v>1.05</v>
      </c>
      <c r="N1241" s="61" t="n">
        <f aca="false">Resumo!$C$9</f>
        <v>0</v>
      </c>
      <c r="O1241" s="61" t="n">
        <f aca="false">Resumo!$C$13</f>
        <v>13.55</v>
      </c>
      <c r="P1241" s="61" t="n">
        <f aca="false">Resumo!$C$14*CEILING(G1241,1)</f>
        <v>28.8</v>
      </c>
      <c r="Q1241" s="61" t="n">
        <f aca="false">SUM(I1241:P1241)*Resumo!$C$11</f>
        <v>0</v>
      </c>
      <c r="R1241" s="61" t="n">
        <f aca="false">SUM(I1241:Q1241)</f>
        <v>109.623878</v>
      </c>
      <c r="S1241" s="61" t="n">
        <f aca="false">R1241/(1-Resumo!$C$5)</f>
        <v>124.572588636364</v>
      </c>
      <c r="T1241" s="61" t="n">
        <v>131.02</v>
      </c>
      <c r="U1241" s="61" t="n">
        <f aca="false">H1241*Resumo!$B$6</f>
        <v>0.71759</v>
      </c>
      <c r="V1241" s="61" t="n">
        <f aca="false">H1241*Resumo!$B$7</f>
        <v>1.43518</v>
      </c>
      <c r="W1241" s="61" t="n">
        <f aca="false">Resumo!$B$9</f>
        <v>1</v>
      </c>
      <c r="X1241" s="61" t="n">
        <f aca="false">Resumo!$B$10*CEILING(G1241/100,1)</f>
        <v>4.5</v>
      </c>
      <c r="Y1241" s="61" t="n">
        <f aca="false">Resumo!$B$12*CEILING(G1241,1)</f>
        <v>3.84</v>
      </c>
      <c r="Z1241" s="61" t="n">
        <f aca="false">Resumo!$B$14*CEILING(G1241,1)</f>
        <v>28.8</v>
      </c>
      <c r="AA1241" s="61" t="n">
        <f aca="false">SUM(T1241:Z1241)</f>
        <v>171.31277</v>
      </c>
      <c r="AB1241" s="61" t="n">
        <f aca="false">AA1241/(1-Resumo!$B$5)</f>
        <v>194.673602272727</v>
      </c>
      <c r="AC1241" s="61" t="n">
        <f aca="false">AB1241-S1241</f>
        <v>70.1010136363637</v>
      </c>
      <c r="AD1241" s="62" t="n">
        <f aca="false">AB1241/S1241-1</f>
        <v>0.562732254372537</v>
      </c>
      <c r="AE1241" s="60" t="str">
        <f aca="false">IF(AB1241&lt;S1241,"SIM","NÃO")</f>
        <v>NÃO</v>
      </c>
      <c r="AF1241" s="60" t="n">
        <v>2</v>
      </c>
      <c r="AG1241" s="60" t="n">
        <v>5</v>
      </c>
      <c r="AH1241" s="60" t="s">
        <v>382</v>
      </c>
      <c r="AI1241" s="61" t="n">
        <f aca="false">(T1241*(1-Painel!$C$40)+U1241+V1241+Painel!$C$41+Painel!$C$42*CEILING(G1241/100,1)+Painel!$C$43*CEILING(G1241,1)+Z1241)/(1-Resumo!$B$5)</f>
        <v>137.257011363636</v>
      </c>
      <c r="AJ1241" s="60" t="str">
        <f aca="false">IF(AI1241&lt;S1241,"SIM","NÃO")</f>
        <v>NÃO</v>
      </c>
    </row>
    <row r="1242" customFormat="false" ht="15" hidden="false" customHeight="false" outlineLevel="0" collapsed="false">
      <c r="A1242" s="59" t="n">
        <v>46253.9555208333</v>
      </c>
      <c r="B1242" s="60" t="s">
        <v>1536</v>
      </c>
      <c r="C1242" s="60" t="n">
        <v>24230541</v>
      </c>
      <c r="D1242" s="60" t="s">
        <v>50</v>
      </c>
      <c r="E1242" s="60" t="s">
        <v>23</v>
      </c>
      <c r="F1242" s="60" t="s">
        <v>235</v>
      </c>
      <c r="G1242" s="60" t="n">
        <v>45</v>
      </c>
      <c r="H1242" s="61" t="n">
        <v>519.29</v>
      </c>
      <c r="I1242" s="61" t="n">
        <v>65.36</v>
      </c>
      <c r="J1242" s="61" t="n">
        <f aca="false">H1242*Resumo!$C$6</f>
        <v>0</v>
      </c>
      <c r="K1242" s="61" t="n">
        <f aca="false">H1242*Resumo!$C$7</f>
        <v>1.090509</v>
      </c>
      <c r="L1242" s="61" t="n">
        <f aca="false">H1242*Resumo!$C$8</f>
        <v>1.090509</v>
      </c>
      <c r="M1242" s="61" t="n">
        <f aca="false">Resumo!$C$10*CEILING(G1242/100,1)</f>
        <v>1.05</v>
      </c>
      <c r="N1242" s="61" t="n">
        <f aca="false">Resumo!$C$9</f>
        <v>0</v>
      </c>
      <c r="O1242" s="61" t="n">
        <f aca="false">Resumo!$C$13</f>
        <v>13.55</v>
      </c>
      <c r="P1242" s="61" t="n">
        <f aca="false">Resumo!$C$14*CEILING(G1242,1)</f>
        <v>20.25</v>
      </c>
      <c r="Q1242" s="61" t="n">
        <f aca="false">SUM(I1242:P1242)*Resumo!$C$11</f>
        <v>0</v>
      </c>
      <c r="R1242" s="61" t="n">
        <f aca="false">SUM(I1242:Q1242)</f>
        <v>102.391018</v>
      </c>
      <c r="S1242" s="61" t="n">
        <f aca="false">R1242/(1-Resumo!$C$5)</f>
        <v>116.353429545455</v>
      </c>
      <c r="T1242" s="61" t="n">
        <v>114.95</v>
      </c>
      <c r="U1242" s="61" t="n">
        <f aca="false">H1242*Resumo!$B$6</f>
        <v>0.51929</v>
      </c>
      <c r="V1242" s="61" t="n">
        <f aca="false">H1242*Resumo!$B$7</f>
        <v>1.03858</v>
      </c>
      <c r="W1242" s="61" t="n">
        <f aca="false">Resumo!$B$9</f>
        <v>1</v>
      </c>
      <c r="X1242" s="61" t="n">
        <f aca="false">Resumo!$B$10*CEILING(G1242/100,1)</f>
        <v>4.5</v>
      </c>
      <c r="Y1242" s="61" t="n">
        <f aca="false">Resumo!$B$12*CEILING(G1242,1)</f>
        <v>2.7</v>
      </c>
      <c r="Z1242" s="61" t="n">
        <f aca="false">Resumo!$B$14*CEILING(G1242,1)</f>
        <v>20.25</v>
      </c>
      <c r="AA1242" s="61" t="n">
        <f aca="false">SUM(T1242:Z1242)</f>
        <v>144.95787</v>
      </c>
      <c r="AB1242" s="61" t="n">
        <f aca="false">AA1242/(1-Resumo!$B$5)</f>
        <v>164.724852272727</v>
      </c>
      <c r="AC1242" s="61" t="n">
        <f aca="false">AB1242-S1242</f>
        <v>48.3714227272727</v>
      </c>
      <c r="AD1242" s="62" t="n">
        <f aca="false">AB1242/S1242-1</f>
        <v>0.41572837961236</v>
      </c>
      <c r="AE1242" s="60" t="str">
        <f aca="false">IF(AB1242&lt;S1242,"SIM","NÃO")</f>
        <v>NÃO</v>
      </c>
      <c r="AF1242" s="60" t="n">
        <v>2</v>
      </c>
      <c r="AG1242" s="60" t="n">
        <v>7</v>
      </c>
      <c r="AH1242" s="60" t="s">
        <v>382</v>
      </c>
      <c r="AI1242" s="61" t="n">
        <f aca="false">(T1242*(1-Painel!$C$40)+U1242+V1242+Painel!$C$41+Painel!$C$42*CEILING(G1242/100,1)+Painel!$C$43*CEILING(G1242,1)+Z1242)/(1-Resumo!$B$5)</f>
        <v>114.629965909091</v>
      </c>
      <c r="AJ1242" s="60" t="str">
        <f aca="false">IF(AI1242&lt;S1242,"SIM","NÃO")</f>
        <v>SIM</v>
      </c>
    </row>
    <row r="1243" customFormat="false" ht="15" hidden="false" customHeight="false" outlineLevel="0" collapsed="false">
      <c r="A1243" s="59" t="n">
        <v>46254.0703125</v>
      </c>
      <c r="B1243" s="60" t="s">
        <v>968</v>
      </c>
      <c r="C1243" s="60" t="n">
        <v>22753050</v>
      </c>
      <c r="D1243" s="60" t="s">
        <v>46</v>
      </c>
      <c r="E1243" s="60" t="s">
        <v>22</v>
      </c>
      <c r="F1243" s="60" t="s">
        <v>236</v>
      </c>
      <c r="G1243" s="60" t="n">
        <v>52.3</v>
      </c>
      <c r="H1243" s="61" t="n">
        <v>669.99</v>
      </c>
      <c r="I1243" s="61" t="n">
        <v>58.6</v>
      </c>
      <c r="J1243" s="61" t="n">
        <f aca="false">H1243*Resumo!$C$6</f>
        <v>0</v>
      </c>
      <c r="K1243" s="61" t="n">
        <f aca="false">H1243*Resumo!$C$7</f>
        <v>1.406979</v>
      </c>
      <c r="L1243" s="61" t="n">
        <f aca="false">H1243*Resumo!$C$8</f>
        <v>1.406979</v>
      </c>
      <c r="M1243" s="61" t="n">
        <f aca="false">Resumo!$C$10*CEILING(G1243/100,1)</f>
        <v>1.05</v>
      </c>
      <c r="N1243" s="61" t="n">
        <f aca="false">Resumo!$C$9</f>
        <v>0</v>
      </c>
      <c r="O1243" s="61" t="n">
        <f aca="false">Resumo!$C$13</f>
        <v>13.55</v>
      </c>
      <c r="P1243" s="61" t="n">
        <f aca="false">Resumo!$C$14*CEILING(G1243,1)</f>
        <v>23.85</v>
      </c>
      <c r="Q1243" s="61" t="n">
        <f aca="false">SUM(I1243:P1243)*Resumo!$C$11</f>
        <v>0</v>
      </c>
      <c r="R1243" s="61" t="n">
        <f aca="false">SUM(I1243:Q1243)</f>
        <v>99.863958</v>
      </c>
      <c r="S1243" s="61" t="n">
        <f aca="false">R1243/(1-Resumo!$C$5)</f>
        <v>113.481770454545</v>
      </c>
      <c r="T1243" s="61" t="n">
        <v>112.3</v>
      </c>
      <c r="U1243" s="61" t="n">
        <f aca="false">H1243*Resumo!$B$6</f>
        <v>0.66999</v>
      </c>
      <c r="V1243" s="61" t="n">
        <f aca="false">H1243*Resumo!$B$7</f>
        <v>1.33998</v>
      </c>
      <c r="W1243" s="61" t="n">
        <f aca="false">Resumo!$B$9</f>
        <v>1</v>
      </c>
      <c r="X1243" s="61" t="n">
        <f aca="false">Resumo!$B$10*CEILING(G1243/100,1)</f>
        <v>4.5</v>
      </c>
      <c r="Y1243" s="61" t="n">
        <f aca="false">Resumo!$B$12*CEILING(G1243,1)</f>
        <v>3.18</v>
      </c>
      <c r="Z1243" s="61" t="n">
        <f aca="false">Resumo!$B$14*CEILING(G1243,1)</f>
        <v>23.85</v>
      </c>
      <c r="AA1243" s="61" t="n">
        <f aca="false">SUM(T1243:Z1243)</f>
        <v>146.83997</v>
      </c>
      <c r="AB1243" s="61" t="n">
        <f aca="false">AA1243/(1-Resumo!$B$5)</f>
        <v>166.863602272727</v>
      </c>
      <c r="AC1243" s="61" t="n">
        <f aca="false">AB1243-S1243</f>
        <v>53.3818318181818</v>
      </c>
      <c r="AD1243" s="62" t="n">
        <f aca="false">AB1243/S1243-1</f>
        <v>0.470400061651872</v>
      </c>
      <c r="AE1243" s="60" t="str">
        <f aca="false">IF(AB1243&lt;S1243,"SIM","NÃO")</f>
        <v>NÃO</v>
      </c>
      <c r="AF1243" s="60" t="n">
        <v>2</v>
      </c>
      <c r="AG1243" s="60" t="n">
        <v>5</v>
      </c>
      <c r="AH1243" s="60" t="s">
        <v>382</v>
      </c>
      <c r="AI1243" s="61" t="n">
        <f aca="false">(T1243*(1-Painel!$C$40)+U1243+V1243+Painel!$C$41+Painel!$C$42*CEILING(G1243/100,1)+Painel!$C$43*CEILING(G1243,1)+Z1243)/(1-Resumo!$B$5)</f>
        <v>117.217011363636</v>
      </c>
      <c r="AJ1243" s="60" t="str">
        <f aca="false">IF(AI1243&lt;S1243,"SIM","NÃO")</f>
        <v>NÃO</v>
      </c>
    </row>
    <row r="1244" customFormat="false" ht="15" hidden="false" customHeight="false" outlineLevel="0" collapsed="false">
      <c r="A1244" s="59" t="n">
        <v>46254.1309722222</v>
      </c>
      <c r="B1244" s="60" t="s">
        <v>921</v>
      </c>
      <c r="C1244" s="60" t="n">
        <v>26600000</v>
      </c>
      <c r="D1244" s="60" t="s">
        <v>285</v>
      </c>
      <c r="E1244" s="60" t="s">
        <v>24</v>
      </c>
      <c r="F1244" s="60" t="s">
        <v>232</v>
      </c>
      <c r="G1244" s="60" t="n">
        <v>19.5</v>
      </c>
      <c r="H1244" s="61" t="n">
        <v>369.99</v>
      </c>
      <c r="I1244" s="61" t="n">
        <v>46.95</v>
      </c>
      <c r="J1244" s="61" t="n">
        <f aca="false">H1244*Resumo!$C$6</f>
        <v>0</v>
      </c>
      <c r="K1244" s="61" t="n">
        <f aca="false">H1244*Resumo!$C$7</f>
        <v>0.776979</v>
      </c>
      <c r="L1244" s="61" t="n">
        <f aca="false">H1244*Resumo!$C$8</f>
        <v>0.776979</v>
      </c>
      <c r="M1244" s="61" t="n">
        <f aca="false">Resumo!$C$10*CEILING(G1244/100,1)</f>
        <v>1.05</v>
      </c>
      <c r="N1244" s="61" t="n">
        <f aca="false">Resumo!$C$9</f>
        <v>0</v>
      </c>
      <c r="O1244" s="61" t="n">
        <f aca="false">Resumo!$C$13</f>
        <v>13.55</v>
      </c>
      <c r="P1244" s="61" t="n">
        <f aca="false">Resumo!$C$14*CEILING(G1244,1)</f>
        <v>9</v>
      </c>
      <c r="Q1244" s="61" t="n">
        <f aca="false">SUM(I1244:P1244)*Resumo!$C$11</f>
        <v>0</v>
      </c>
      <c r="R1244" s="61" t="n">
        <f aca="false">SUM(I1244:Q1244)</f>
        <v>72.103958</v>
      </c>
      <c r="S1244" s="61" t="n">
        <f aca="false">R1244/(1-Resumo!$C$5)</f>
        <v>81.9363159090909</v>
      </c>
      <c r="T1244" s="61" t="n">
        <v>77.35</v>
      </c>
      <c r="U1244" s="61" t="n">
        <f aca="false">H1244*Resumo!$B$6</f>
        <v>0.36999</v>
      </c>
      <c r="V1244" s="61" t="n">
        <f aca="false">H1244*Resumo!$B$7</f>
        <v>0.73998</v>
      </c>
      <c r="W1244" s="61" t="n">
        <f aca="false">Resumo!$B$9</f>
        <v>1</v>
      </c>
      <c r="X1244" s="61" t="n">
        <f aca="false">Resumo!$B$10*CEILING(G1244/100,1)</f>
        <v>4.5</v>
      </c>
      <c r="Y1244" s="61" t="n">
        <f aca="false">Resumo!$B$12*CEILING(G1244,1)</f>
        <v>1.2</v>
      </c>
      <c r="Z1244" s="61" t="n">
        <f aca="false">Resumo!$B$14*CEILING(G1244,1)</f>
        <v>9</v>
      </c>
      <c r="AA1244" s="61" t="n">
        <f aca="false">SUM(T1244:Z1244)</f>
        <v>94.15997</v>
      </c>
      <c r="AB1244" s="61" t="n">
        <f aca="false">AA1244/(1-Resumo!$B$5)</f>
        <v>106.999965909091</v>
      </c>
      <c r="AC1244" s="61" t="n">
        <f aca="false">AB1244-S1244</f>
        <v>25.06365</v>
      </c>
      <c r="AD1244" s="62" t="n">
        <f aca="false">AB1244/S1244-1</f>
        <v>0.305891834675705</v>
      </c>
      <c r="AE1244" s="60" t="str">
        <f aca="false">IF(AB1244&lt;S1244,"SIM","NÃO")</f>
        <v>NÃO</v>
      </c>
      <c r="AF1244" s="60" t="n">
        <v>13</v>
      </c>
      <c r="AG1244" s="60" t="n">
        <v>10</v>
      </c>
      <c r="AH1244" s="60" t="s">
        <v>385</v>
      </c>
      <c r="AI1244" s="61" t="n">
        <f aca="false">(T1244*(1-Painel!$C$40)+U1244+V1244+Painel!$C$41+Painel!$C$42*CEILING(G1244/100,1)+Painel!$C$43*CEILING(G1244,1)+Z1244)/(1-Resumo!$B$5)</f>
        <v>72.709625</v>
      </c>
      <c r="AJ1244" s="60" t="str">
        <f aca="false">IF(AI1244&lt;S1244,"SIM","NÃO")</f>
        <v>SIM</v>
      </c>
    </row>
    <row r="1245" customFormat="false" ht="15" hidden="false" customHeight="false" outlineLevel="0" collapsed="false">
      <c r="A1245" s="59" t="n">
        <v>46254.2963541667</v>
      </c>
      <c r="B1245" s="60" t="s">
        <v>1050</v>
      </c>
      <c r="C1245" s="60" t="n">
        <v>23025150</v>
      </c>
      <c r="D1245" s="60" t="s">
        <v>46</v>
      </c>
      <c r="E1245" s="60" t="s">
        <v>22</v>
      </c>
      <c r="F1245" s="60" t="s">
        <v>233</v>
      </c>
      <c r="G1245" s="60" t="n">
        <v>33</v>
      </c>
      <c r="H1245" s="61" t="n">
        <v>395.99</v>
      </c>
      <c r="I1245" s="61" t="n">
        <v>42.11</v>
      </c>
      <c r="J1245" s="61" t="n">
        <f aca="false">H1245*Resumo!$C$6</f>
        <v>0</v>
      </c>
      <c r="K1245" s="61" t="n">
        <f aca="false">H1245*Resumo!$C$7</f>
        <v>0.831579</v>
      </c>
      <c r="L1245" s="61" t="n">
        <f aca="false">H1245*Resumo!$C$8</f>
        <v>0.831579</v>
      </c>
      <c r="M1245" s="61" t="n">
        <f aca="false">Resumo!$C$10*CEILING(G1245/100,1)</f>
        <v>1.05</v>
      </c>
      <c r="N1245" s="61" t="n">
        <f aca="false">Resumo!$C$9</f>
        <v>0</v>
      </c>
      <c r="O1245" s="61" t="n">
        <f aca="false">Resumo!$C$13</f>
        <v>13.55</v>
      </c>
      <c r="P1245" s="61" t="n">
        <f aca="false">Resumo!$C$14*CEILING(G1245,1)</f>
        <v>14.85</v>
      </c>
      <c r="Q1245" s="61" t="n">
        <f aca="false">SUM(I1245:P1245)*Resumo!$C$11</f>
        <v>0</v>
      </c>
      <c r="R1245" s="61" t="n">
        <f aca="false">SUM(I1245:Q1245)</f>
        <v>73.223158</v>
      </c>
      <c r="S1245" s="61" t="n">
        <f aca="false">R1245/(1-Resumo!$C$5)</f>
        <v>83.2081340909091</v>
      </c>
      <c r="T1245" s="61" t="n">
        <v>82.21</v>
      </c>
      <c r="U1245" s="61" t="n">
        <f aca="false">H1245*Resumo!$B$6</f>
        <v>0.39599</v>
      </c>
      <c r="V1245" s="61" t="n">
        <f aca="false">H1245*Resumo!$B$7</f>
        <v>0.79198</v>
      </c>
      <c r="W1245" s="61" t="n">
        <f aca="false">Resumo!$B$9</f>
        <v>1</v>
      </c>
      <c r="X1245" s="61" t="n">
        <f aca="false">Resumo!$B$10*CEILING(G1245/100,1)</f>
        <v>4.5</v>
      </c>
      <c r="Y1245" s="61" t="n">
        <f aca="false">Resumo!$B$12*CEILING(G1245,1)</f>
        <v>1.98</v>
      </c>
      <c r="Z1245" s="61" t="n">
        <f aca="false">Resumo!$B$14*CEILING(G1245,1)</f>
        <v>14.85</v>
      </c>
      <c r="AA1245" s="61" t="n">
        <f aca="false">SUM(T1245:Z1245)</f>
        <v>105.72797</v>
      </c>
      <c r="AB1245" s="61" t="n">
        <f aca="false">AA1245/(1-Resumo!$B$5)</f>
        <v>120.145420454545</v>
      </c>
      <c r="AC1245" s="61" t="n">
        <f aca="false">AB1245-S1245</f>
        <v>36.9372863636363</v>
      </c>
      <c r="AD1245" s="62" t="n">
        <f aca="false">AB1245/S1245-1</f>
        <v>0.443914369276452</v>
      </c>
      <c r="AE1245" s="60" t="str">
        <f aca="false">IF(AB1245&lt;S1245,"SIM","NÃO")</f>
        <v>NÃO</v>
      </c>
      <c r="AF1245" s="60" t="n">
        <v>2</v>
      </c>
      <c r="AG1245" s="60" t="n">
        <v>5</v>
      </c>
      <c r="AH1245" s="60" t="s">
        <v>382</v>
      </c>
      <c r="AI1245" s="61" t="n">
        <f aca="false">(T1245*(1-Painel!$C$40)+U1245+V1245+Painel!$C$41+Painel!$C$42*CEILING(G1245/100,1)+Painel!$C$43*CEILING(G1245,1)+Z1245)/(1-Resumo!$B$5)</f>
        <v>83.1462159090909</v>
      </c>
      <c r="AJ1245" s="60" t="str">
        <f aca="false">IF(AI1245&lt;S1245,"SIM","NÃO")</f>
        <v>SIM</v>
      </c>
    </row>
    <row r="1246" customFormat="false" ht="15" hidden="false" customHeight="false" outlineLevel="0" collapsed="false">
      <c r="A1246" s="59" t="n">
        <v>46254.3196527778</v>
      </c>
      <c r="B1246" s="60" t="s">
        <v>1537</v>
      </c>
      <c r="C1246" s="60" t="n">
        <v>24422640</v>
      </c>
      <c r="D1246" s="60" t="s">
        <v>47</v>
      </c>
      <c r="E1246" s="60" t="s">
        <v>23</v>
      </c>
      <c r="F1246" s="60" t="s">
        <v>237</v>
      </c>
      <c r="G1246" s="60" t="n">
        <v>63.9</v>
      </c>
      <c r="H1246" s="61" t="n">
        <v>779.99</v>
      </c>
      <c r="I1246" s="61" t="n">
        <v>76.55</v>
      </c>
      <c r="J1246" s="61" t="n">
        <f aca="false">H1246*Resumo!$C$6</f>
        <v>0</v>
      </c>
      <c r="K1246" s="61" t="n">
        <f aca="false">H1246*Resumo!$C$7</f>
        <v>1.637979</v>
      </c>
      <c r="L1246" s="61" t="n">
        <f aca="false">H1246*Resumo!$C$8</f>
        <v>1.637979</v>
      </c>
      <c r="M1246" s="61" t="n">
        <f aca="false">Resumo!$C$10*CEILING(G1246/100,1)</f>
        <v>1.05</v>
      </c>
      <c r="N1246" s="61" t="n">
        <f aca="false">Resumo!$C$9</f>
        <v>0</v>
      </c>
      <c r="O1246" s="61" t="n">
        <f aca="false">Resumo!$C$13</f>
        <v>13.55</v>
      </c>
      <c r="P1246" s="61" t="n">
        <f aca="false">Resumo!$C$14*CEILING(G1246,1)</f>
        <v>28.8</v>
      </c>
      <c r="Q1246" s="61" t="n">
        <f aca="false">SUM(I1246:P1246)*Resumo!$C$11</f>
        <v>0</v>
      </c>
      <c r="R1246" s="61" t="n">
        <f aca="false">SUM(I1246:Q1246)</f>
        <v>123.225958</v>
      </c>
      <c r="S1246" s="61" t="n">
        <f aca="false">R1246/(1-Resumo!$C$5)</f>
        <v>140.029497727273</v>
      </c>
      <c r="T1246" s="61" t="n">
        <v>149.5</v>
      </c>
      <c r="U1246" s="61" t="n">
        <f aca="false">H1246*Resumo!$B$6</f>
        <v>0.77999</v>
      </c>
      <c r="V1246" s="61" t="n">
        <f aca="false">H1246*Resumo!$B$7</f>
        <v>1.55998</v>
      </c>
      <c r="W1246" s="61" t="n">
        <f aca="false">Resumo!$B$9</f>
        <v>1</v>
      </c>
      <c r="X1246" s="61" t="n">
        <f aca="false">Resumo!$B$10*CEILING(G1246/100,1)</f>
        <v>4.5</v>
      </c>
      <c r="Y1246" s="61" t="n">
        <f aca="false">Resumo!$B$12*CEILING(G1246,1)</f>
        <v>3.84</v>
      </c>
      <c r="Z1246" s="61" t="n">
        <f aca="false">Resumo!$B$14*CEILING(G1246,1)</f>
        <v>28.8</v>
      </c>
      <c r="AA1246" s="61" t="n">
        <f aca="false">SUM(T1246:Z1246)</f>
        <v>189.97997</v>
      </c>
      <c r="AB1246" s="61" t="n">
        <f aca="false">AA1246/(1-Resumo!$B$5)</f>
        <v>215.886329545455</v>
      </c>
      <c r="AC1246" s="61" t="n">
        <f aca="false">AB1246-S1246</f>
        <v>75.8568318181818</v>
      </c>
      <c r="AD1246" s="62" t="n">
        <f aca="false">AB1246/S1246-1</f>
        <v>0.541720373559604</v>
      </c>
      <c r="AE1246" s="60" t="str">
        <f aca="false">IF(AB1246&lt;S1246,"SIM","NÃO")</f>
        <v>NÃO</v>
      </c>
      <c r="AF1246" s="60" t="n">
        <v>2</v>
      </c>
      <c r="AG1246" s="60" t="n">
        <v>7</v>
      </c>
      <c r="AH1246" s="60" t="s">
        <v>382</v>
      </c>
      <c r="AI1246" s="61" t="n">
        <f aca="false">(T1246*(1-Painel!$C$40)+U1246+V1246+Painel!$C$41+Painel!$C$42*CEILING(G1246/100,1)+Painel!$C$43*CEILING(G1246,1)+Z1246)/(1-Resumo!$B$5)</f>
        <v>151.539738636364</v>
      </c>
      <c r="AJ1246" s="60" t="str">
        <f aca="false">IF(AI1246&lt;S1246,"SIM","NÃO")</f>
        <v>NÃO</v>
      </c>
    </row>
    <row r="1247" customFormat="false" ht="15" hidden="false" customHeight="false" outlineLevel="0" collapsed="false">
      <c r="A1247" s="59" t="n">
        <v>46254.3385648148</v>
      </c>
      <c r="B1247" s="60" t="s">
        <v>1538</v>
      </c>
      <c r="C1247" s="60" t="n">
        <v>24858500</v>
      </c>
      <c r="D1247" s="60" t="s">
        <v>223</v>
      </c>
      <c r="E1247" s="60" t="s">
        <v>24</v>
      </c>
      <c r="F1247" s="60" t="s">
        <v>233</v>
      </c>
      <c r="G1247" s="60" t="n">
        <v>27.5</v>
      </c>
      <c r="H1247" s="61" t="n">
        <v>379.99</v>
      </c>
      <c r="I1247" s="61" t="n">
        <v>65.63</v>
      </c>
      <c r="J1247" s="61" t="n">
        <f aca="false">H1247*Resumo!$C$6</f>
        <v>0</v>
      </c>
      <c r="K1247" s="61" t="n">
        <f aca="false">H1247*Resumo!$C$7</f>
        <v>0.797979</v>
      </c>
      <c r="L1247" s="61" t="n">
        <f aca="false">H1247*Resumo!$C$8</f>
        <v>0.797979</v>
      </c>
      <c r="M1247" s="61" t="n">
        <f aca="false">Resumo!$C$10*CEILING(G1247/100,1)</f>
        <v>1.05</v>
      </c>
      <c r="N1247" s="61" t="n">
        <f aca="false">Resumo!$C$9</f>
        <v>0</v>
      </c>
      <c r="O1247" s="61" t="n">
        <f aca="false">Resumo!$C$13</f>
        <v>13.55</v>
      </c>
      <c r="P1247" s="61" t="n">
        <f aca="false">Resumo!$C$14*CEILING(G1247,1)</f>
        <v>12.6</v>
      </c>
      <c r="Q1247" s="61" t="n">
        <f aca="false">SUM(I1247:P1247)*Resumo!$C$11</f>
        <v>0</v>
      </c>
      <c r="R1247" s="61" t="n">
        <f aca="false">SUM(I1247:Q1247)</f>
        <v>94.425958</v>
      </c>
      <c r="S1247" s="61" t="n">
        <f aca="false">R1247/(1-Resumo!$C$5)</f>
        <v>107.302225</v>
      </c>
      <c r="T1247" s="61" t="n">
        <v>100.58</v>
      </c>
      <c r="U1247" s="61" t="n">
        <f aca="false">H1247*Resumo!$B$6</f>
        <v>0.37999</v>
      </c>
      <c r="V1247" s="61" t="n">
        <f aca="false">H1247*Resumo!$B$7</f>
        <v>0.75998</v>
      </c>
      <c r="W1247" s="61" t="n">
        <f aca="false">Resumo!$B$9</f>
        <v>1</v>
      </c>
      <c r="X1247" s="61" t="n">
        <f aca="false">Resumo!$B$10*CEILING(G1247/100,1)</f>
        <v>4.5</v>
      </c>
      <c r="Y1247" s="61" t="n">
        <f aca="false">Resumo!$B$12*CEILING(G1247,1)</f>
        <v>1.68</v>
      </c>
      <c r="Z1247" s="61" t="n">
        <f aca="false">Resumo!$B$14*CEILING(G1247,1)</f>
        <v>12.6</v>
      </c>
      <c r="AA1247" s="61" t="n">
        <f aca="false">SUM(T1247:Z1247)</f>
        <v>121.49997</v>
      </c>
      <c r="AB1247" s="61" t="n">
        <f aca="false">AA1247/(1-Resumo!$B$5)</f>
        <v>138.068147727273</v>
      </c>
      <c r="AC1247" s="61" t="n">
        <f aca="false">AB1247-S1247</f>
        <v>30.7659227272727</v>
      </c>
      <c r="AD1247" s="62" t="n">
        <f aca="false">AB1247/S1247-1</f>
        <v>0.286722132064575</v>
      </c>
      <c r="AE1247" s="60" t="str">
        <f aca="false">IF(AB1247&lt;S1247,"SIM","NÃO")</f>
        <v>NÃO</v>
      </c>
      <c r="AF1247" s="60" t="n">
        <v>13</v>
      </c>
      <c r="AG1247" s="60" t="n">
        <v>7</v>
      </c>
      <c r="AH1247" s="60" t="s">
        <v>382</v>
      </c>
      <c r="AI1247" s="61" t="n">
        <f aca="false">(T1247*(1-Painel!$C$40)+U1247+V1247+Painel!$C$41+Painel!$C$42*CEILING(G1247/100,1)+Painel!$C$43*CEILING(G1247,1)+Z1247)/(1-Resumo!$B$5)</f>
        <v>94.5211022727273</v>
      </c>
      <c r="AJ1247" s="60" t="str">
        <f aca="false">IF(AI1247&lt;S1247,"SIM","NÃO")</f>
        <v>SIM</v>
      </c>
    </row>
    <row r="1248" customFormat="false" ht="15" hidden="false" customHeight="false" outlineLevel="0" collapsed="false">
      <c r="A1248" s="59" t="n">
        <v>46254.4017361111</v>
      </c>
      <c r="B1248" s="60" t="s">
        <v>1539</v>
      </c>
      <c r="C1248" s="60" t="n">
        <v>26010421</v>
      </c>
      <c r="D1248" s="60" t="s">
        <v>49</v>
      </c>
      <c r="E1248" s="60" t="s">
        <v>23</v>
      </c>
      <c r="F1248" s="60" t="s">
        <v>233</v>
      </c>
      <c r="G1248" s="60" t="n">
        <v>30.5</v>
      </c>
      <c r="H1248" s="61" t="n">
        <v>399</v>
      </c>
      <c r="I1248" s="61" t="n">
        <v>58.8</v>
      </c>
      <c r="J1248" s="61" t="n">
        <f aca="false">H1248*Resumo!$C$6</f>
        <v>0</v>
      </c>
      <c r="K1248" s="61" t="n">
        <f aca="false">H1248*Resumo!$C$7</f>
        <v>0.8379</v>
      </c>
      <c r="L1248" s="61" t="n">
        <f aca="false">H1248*Resumo!$C$8</f>
        <v>0.8379</v>
      </c>
      <c r="M1248" s="61" t="n">
        <f aca="false">Resumo!$C$10*CEILING(G1248/100,1)</f>
        <v>1.05</v>
      </c>
      <c r="N1248" s="61" t="n">
        <f aca="false">Resumo!$C$9</f>
        <v>0</v>
      </c>
      <c r="O1248" s="61" t="n">
        <f aca="false">Resumo!$C$13</f>
        <v>13.55</v>
      </c>
      <c r="P1248" s="61" t="n">
        <f aca="false">Resumo!$C$14*CEILING(G1248,1)</f>
        <v>13.95</v>
      </c>
      <c r="Q1248" s="61" t="n">
        <f aca="false">SUM(I1248:P1248)*Resumo!$C$11</f>
        <v>0</v>
      </c>
      <c r="R1248" s="61" t="n">
        <f aca="false">SUM(I1248:Q1248)</f>
        <v>89.0258</v>
      </c>
      <c r="S1248" s="61" t="n">
        <f aca="false">R1248/(1-Resumo!$C$5)</f>
        <v>101.165681818182</v>
      </c>
      <c r="T1248" s="61" t="n">
        <v>82.21</v>
      </c>
      <c r="U1248" s="61" t="n">
        <f aca="false">H1248*Resumo!$B$6</f>
        <v>0.399</v>
      </c>
      <c r="V1248" s="61" t="n">
        <f aca="false">H1248*Resumo!$B$7</f>
        <v>0.798</v>
      </c>
      <c r="W1248" s="61" t="n">
        <f aca="false">Resumo!$B$9</f>
        <v>1</v>
      </c>
      <c r="X1248" s="61" t="n">
        <f aca="false">Resumo!$B$10*CEILING(G1248/100,1)</f>
        <v>4.5</v>
      </c>
      <c r="Y1248" s="61" t="n">
        <f aca="false">Resumo!$B$12*CEILING(G1248,1)</f>
        <v>1.86</v>
      </c>
      <c r="Z1248" s="61" t="n">
        <f aca="false">Resumo!$B$14*CEILING(G1248,1)</f>
        <v>13.95</v>
      </c>
      <c r="AA1248" s="61" t="n">
        <f aca="false">SUM(T1248:Z1248)</f>
        <v>104.717</v>
      </c>
      <c r="AB1248" s="61" t="n">
        <f aca="false">AA1248/(1-Resumo!$B$5)</f>
        <v>118.996590909091</v>
      </c>
      <c r="AC1248" s="61" t="n">
        <f aca="false">AB1248-S1248</f>
        <v>17.8309090909091</v>
      </c>
      <c r="AD1248" s="62" t="n">
        <f aca="false">AB1248/S1248-1</f>
        <v>0.176254523969456</v>
      </c>
      <c r="AE1248" s="60" t="str">
        <f aca="false">IF(AB1248&lt;S1248,"SIM","NÃO")</f>
        <v>NÃO</v>
      </c>
      <c r="AF1248" s="60" t="n">
        <v>2</v>
      </c>
      <c r="AG1248" s="60" t="n">
        <v>5</v>
      </c>
      <c r="AH1248" s="60" t="s">
        <v>382</v>
      </c>
      <c r="AI1248" s="61" t="n">
        <f aca="false">(T1248*(1-Painel!$C$40)+U1248+V1248+Painel!$C$41+Painel!$C$42*CEILING(G1248/100,1)+Painel!$C$43*CEILING(G1248,1)+Z1248)/(1-Resumo!$B$5)</f>
        <v>82.13375</v>
      </c>
      <c r="AJ1248" s="60" t="str">
        <f aca="false">IF(AI1248&lt;S1248,"SIM","NÃO")</f>
        <v>SIM</v>
      </c>
    </row>
    <row r="1249" customFormat="false" ht="15" hidden="false" customHeight="false" outlineLevel="0" collapsed="false">
      <c r="A1249" s="59" t="n">
        <v>46254.4180208333</v>
      </c>
      <c r="B1249" s="60" t="s">
        <v>1540</v>
      </c>
      <c r="C1249" s="60" t="n">
        <v>22790710</v>
      </c>
      <c r="D1249" s="60" t="s">
        <v>46</v>
      </c>
      <c r="E1249" s="60" t="s">
        <v>22</v>
      </c>
      <c r="F1249" s="60" t="s">
        <v>235</v>
      </c>
      <c r="G1249" s="60" t="n">
        <v>41</v>
      </c>
      <c r="H1249" s="61" t="n">
        <v>529.99</v>
      </c>
      <c r="I1249" s="61" t="n">
        <v>53.55</v>
      </c>
      <c r="J1249" s="61" t="n">
        <f aca="false">H1249*Resumo!$C$6</f>
        <v>0</v>
      </c>
      <c r="K1249" s="61" t="n">
        <f aca="false">H1249*Resumo!$C$7</f>
        <v>1.112979</v>
      </c>
      <c r="L1249" s="61" t="n">
        <f aca="false">H1249*Resumo!$C$8</f>
        <v>1.112979</v>
      </c>
      <c r="M1249" s="61" t="n">
        <f aca="false">Resumo!$C$10*CEILING(G1249/100,1)</f>
        <v>1.05</v>
      </c>
      <c r="N1249" s="61" t="n">
        <f aca="false">Resumo!$C$9</f>
        <v>0</v>
      </c>
      <c r="O1249" s="61" t="n">
        <f aca="false">Resumo!$C$13</f>
        <v>13.55</v>
      </c>
      <c r="P1249" s="61" t="n">
        <f aca="false">Resumo!$C$14*CEILING(G1249,1)</f>
        <v>18.45</v>
      </c>
      <c r="Q1249" s="61" t="n">
        <f aca="false">SUM(I1249:P1249)*Resumo!$C$11</f>
        <v>0</v>
      </c>
      <c r="R1249" s="61" t="n">
        <f aca="false">SUM(I1249:Q1249)</f>
        <v>88.825958</v>
      </c>
      <c r="S1249" s="61" t="n">
        <f aca="false">R1249/(1-Resumo!$C$5)</f>
        <v>100.938588636364</v>
      </c>
      <c r="T1249" s="61" t="n">
        <v>93.97</v>
      </c>
      <c r="U1249" s="61" t="n">
        <f aca="false">H1249*Resumo!$B$6</f>
        <v>0.52999</v>
      </c>
      <c r="V1249" s="61" t="n">
        <f aca="false">H1249*Resumo!$B$7</f>
        <v>1.05998</v>
      </c>
      <c r="W1249" s="61" t="n">
        <f aca="false">Resumo!$B$9</f>
        <v>1</v>
      </c>
      <c r="X1249" s="61" t="n">
        <f aca="false">Resumo!$B$10*CEILING(G1249/100,1)</f>
        <v>4.5</v>
      </c>
      <c r="Y1249" s="61" t="n">
        <f aca="false">Resumo!$B$12*CEILING(G1249,1)</f>
        <v>2.46</v>
      </c>
      <c r="Z1249" s="61" t="n">
        <f aca="false">Resumo!$B$14*CEILING(G1249,1)</f>
        <v>18.45</v>
      </c>
      <c r="AA1249" s="61" t="n">
        <f aca="false">SUM(T1249:Z1249)</f>
        <v>121.96997</v>
      </c>
      <c r="AB1249" s="61" t="n">
        <f aca="false">AA1249/(1-Resumo!$B$5)</f>
        <v>138.602238636364</v>
      </c>
      <c r="AC1249" s="61" t="n">
        <f aca="false">AB1249-S1249</f>
        <v>37.66365</v>
      </c>
      <c r="AD1249" s="62" t="n">
        <f aca="false">AB1249/S1249-1</f>
        <v>0.373134303825915</v>
      </c>
      <c r="AE1249" s="60" t="str">
        <f aca="false">IF(AB1249&lt;S1249,"SIM","NÃO")</f>
        <v>NÃO</v>
      </c>
      <c r="AF1249" s="60" t="n">
        <v>2</v>
      </c>
      <c r="AG1249" s="60" t="n">
        <v>5</v>
      </c>
      <c r="AH1249" s="60" t="s">
        <v>382</v>
      </c>
      <c r="AI1249" s="61" t="n">
        <f aca="false">(T1249*(1-Painel!$C$40)+U1249+V1249+Painel!$C$41+Painel!$C$42*CEILING(G1249/100,1)+Painel!$C$43*CEILING(G1249,1)+Z1249)/(1-Resumo!$B$5)</f>
        <v>96.6475795454545</v>
      </c>
      <c r="AJ1249" s="60" t="str">
        <f aca="false">IF(AI1249&lt;S1249,"SIM","NÃO")</f>
        <v>SIM</v>
      </c>
    </row>
    <row r="1250" customFormat="false" ht="15" hidden="false" customHeight="false" outlineLevel="0" collapsed="false">
      <c r="A1250" s="59" t="n">
        <v>46254.4486689815</v>
      </c>
      <c r="B1250" s="60" t="s">
        <v>1541</v>
      </c>
      <c r="C1250" s="60" t="n">
        <v>28570000</v>
      </c>
      <c r="D1250" s="60" t="s">
        <v>324</v>
      </c>
      <c r="E1250" s="60" t="s">
        <v>24</v>
      </c>
      <c r="F1250" s="60" t="s">
        <v>236</v>
      </c>
      <c r="G1250" s="60" t="n">
        <v>52.3</v>
      </c>
      <c r="H1250" s="61" t="n">
        <v>669.99</v>
      </c>
      <c r="I1250" s="61" t="n">
        <v>83.58</v>
      </c>
      <c r="J1250" s="61" t="n">
        <f aca="false">H1250*Resumo!$C$6</f>
        <v>0</v>
      </c>
      <c r="K1250" s="61" t="n">
        <f aca="false">H1250*Resumo!$C$7</f>
        <v>1.406979</v>
      </c>
      <c r="L1250" s="61" t="n">
        <f aca="false">H1250*Resumo!$C$8</f>
        <v>1.406979</v>
      </c>
      <c r="M1250" s="61" t="n">
        <f aca="false">Resumo!$C$10*CEILING(G1250/100,1)</f>
        <v>1.05</v>
      </c>
      <c r="N1250" s="61" t="n">
        <f aca="false">Resumo!$C$9</f>
        <v>0</v>
      </c>
      <c r="O1250" s="61" t="n">
        <f aca="false">Resumo!$C$13</f>
        <v>13.55</v>
      </c>
      <c r="P1250" s="61" t="n">
        <f aca="false">Resumo!$C$14*CEILING(G1250,1)</f>
        <v>23.85</v>
      </c>
      <c r="Q1250" s="61" t="n">
        <f aca="false">SUM(I1250:P1250)*Resumo!$C$11</f>
        <v>0</v>
      </c>
      <c r="R1250" s="61" t="n">
        <f aca="false">SUM(I1250:Q1250)</f>
        <v>124.843958</v>
      </c>
      <c r="S1250" s="61" t="n">
        <f aca="false">R1250/(1-Resumo!$C$5)</f>
        <v>141.868134090909</v>
      </c>
      <c r="T1250" s="61" t="n">
        <v>162.04</v>
      </c>
      <c r="U1250" s="61" t="n">
        <f aca="false">H1250*Resumo!$B$6</f>
        <v>0.66999</v>
      </c>
      <c r="V1250" s="61" t="n">
        <f aca="false">H1250*Resumo!$B$7</f>
        <v>1.33998</v>
      </c>
      <c r="W1250" s="61" t="n">
        <f aca="false">Resumo!$B$9</f>
        <v>1</v>
      </c>
      <c r="X1250" s="61" t="n">
        <f aca="false">Resumo!$B$10*CEILING(G1250/100,1)</f>
        <v>4.5</v>
      </c>
      <c r="Y1250" s="61" t="n">
        <f aca="false">Resumo!$B$12*CEILING(G1250,1)</f>
        <v>3.18</v>
      </c>
      <c r="Z1250" s="61" t="n">
        <f aca="false">Resumo!$B$14*CEILING(G1250,1)</f>
        <v>23.85</v>
      </c>
      <c r="AA1250" s="61" t="n">
        <f aca="false">SUM(T1250:Z1250)</f>
        <v>196.57997</v>
      </c>
      <c r="AB1250" s="61" t="n">
        <f aca="false">AA1250/(1-Resumo!$B$5)</f>
        <v>223.386329545455</v>
      </c>
      <c r="AC1250" s="61" t="n">
        <f aca="false">AB1250-S1250</f>
        <v>81.5181954545454</v>
      </c>
      <c r="AD1250" s="62" t="n">
        <f aca="false">AB1250/S1250-1</f>
        <v>0.574605396602373</v>
      </c>
      <c r="AE1250" s="60" t="str">
        <f aca="false">IF(AB1250&lt;S1250,"SIM","NÃO")</f>
        <v>NÃO</v>
      </c>
      <c r="AF1250" s="60" t="n">
        <v>13</v>
      </c>
      <c r="AG1250" s="60" t="n">
        <v>11</v>
      </c>
      <c r="AH1250" s="60" t="s">
        <v>385</v>
      </c>
      <c r="AI1250" s="61" t="n">
        <f aca="false">(T1250*(1-Painel!$C$40)+U1250+V1250+Painel!$C$41+Painel!$C$42*CEILING(G1250/100,1)+Painel!$C$43*CEILING(G1250,1)+Z1250)/(1-Resumo!$B$5)</f>
        <v>155.087238636364</v>
      </c>
      <c r="AJ1250" s="60" t="str">
        <f aca="false">IF(AI1250&lt;S1250,"SIM","NÃO")</f>
        <v>NÃO</v>
      </c>
    </row>
    <row r="1251" customFormat="false" ht="15" hidden="false" customHeight="false" outlineLevel="0" collapsed="false">
      <c r="A1251" s="59" t="n">
        <v>46254.4569097222</v>
      </c>
      <c r="B1251" s="60" t="s">
        <v>1542</v>
      </c>
      <c r="C1251" s="60" t="n">
        <v>20540341</v>
      </c>
      <c r="D1251" s="60" t="s">
        <v>46</v>
      </c>
      <c r="E1251" s="60" t="s">
        <v>22</v>
      </c>
      <c r="F1251" s="60" t="s">
        <v>235</v>
      </c>
      <c r="G1251" s="60" t="n">
        <v>46.8</v>
      </c>
      <c r="H1251" s="61" t="n">
        <v>559.99</v>
      </c>
      <c r="I1251" s="61" t="n">
        <v>53.55</v>
      </c>
      <c r="J1251" s="61" t="n">
        <f aca="false">H1251*Resumo!$C$6</f>
        <v>0</v>
      </c>
      <c r="K1251" s="61" t="n">
        <f aca="false">H1251*Resumo!$C$7</f>
        <v>1.175979</v>
      </c>
      <c r="L1251" s="61" t="n">
        <f aca="false">H1251*Resumo!$C$8</f>
        <v>1.175979</v>
      </c>
      <c r="M1251" s="61" t="n">
        <f aca="false">Resumo!$C$10*CEILING(G1251/100,1)</f>
        <v>1.05</v>
      </c>
      <c r="N1251" s="61" t="n">
        <f aca="false">Resumo!$C$9</f>
        <v>0</v>
      </c>
      <c r="O1251" s="61" t="n">
        <f aca="false">Resumo!$C$13</f>
        <v>13.55</v>
      </c>
      <c r="P1251" s="61" t="n">
        <f aca="false">Resumo!$C$14*CEILING(G1251,1)</f>
        <v>21.15</v>
      </c>
      <c r="Q1251" s="61" t="n">
        <f aca="false">SUM(I1251:P1251)*Resumo!$C$11</f>
        <v>0</v>
      </c>
      <c r="R1251" s="61" t="n">
        <f aca="false">SUM(I1251:Q1251)</f>
        <v>91.651958</v>
      </c>
      <c r="S1251" s="61" t="n">
        <f aca="false">R1251/(1-Resumo!$C$5)</f>
        <v>104.149952272727</v>
      </c>
      <c r="T1251" s="61" t="n">
        <v>93.97</v>
      </c>
      <c r="U1251" s="61" t="n">
        <f aca="false">H1251*Resumo!$B$6</f>
        <v>0.55999</v>
      </c>
      <c r="V1251" s="61" t="n">
        <f aca="false">H1251*Resumo!$B$7</f>
        <v>1.11998</v>
      </c>
      <c r="W1251" s="61" t="n">
        <f aca="false">Resumo!$B$9</f>
        <v>1</v>
      </c>
      <c r="X1251" s="61" t="n">
        <f aca="false">Resumo!$B$10*CEILING(G1251/100,1)</f>
        <v>4.5</v>
      </c>
      <c r="Y1251" s="61" t="n">
        <f aca="false">Resumo!$B$12*CEILING(G1251,1)</f>
        <v>2.82</v>
      </c>
      <c r="Z1251" s="61" t="n">
        <f aca="false">Resumo!$B$14*CEILING(G1251,1)</f>
        <v>21.15</v>
      </c>
      <c r="AA1251" s="61" t="n">
        <f aca="false">SUM(T1251:Z1251)</f>
        <v>125.11997</v>
      </c>
      <c r="AB1251" s="61" t="n">
        <f aca="false">AA1251/(1-Resumo!$B$5)</f>
        <v>142.181784090909</v>
      </c>
      <c r="AC1251" s="61" t="n">
        <f aca="false">AB1251-S1251</f>
        <v>38.0318318181818</v>
      </c>
      <c r="AD1251" s="62" t="n">
        <f aca="false">AB1251/S1251-1</f>
        <v>0.365164179034779</v>
      </c>
      <c r="AE1251" s="60" t="str">
        <f aca="false">IF(AB1251&lt;S1251,"SIM","NÃO")</f>
        <v>NÃO</v>
      </c>
      <c r="AF1251" s="60" t="n">
        <v>2</v>
      </c>
      <c r="AG1251" s="60" t="n">
        <v>5</v>
      </c>
      <c r="AH1251" s="60" t="s">
        <v>382</v>
      </c>
      <c r="AI1251" s="61" t="n">
        <f aca="false">(T1251*(1-Painel!$C$40)+U1251+V1251+Painel!$C$41+Painel!$C$42*CEILING(G1251/100,1)+Painel!$C$43*CEILING(G1251,1)+Z1251)/(1-Resumo!$B$5)</f>
        <v>99.8180340909091</v>
      </c>
      <c r="AJ1251" s="60" t="str">
        <f aca="false">IF(AI1251&lt;S1251,"SIM","NÃO")</f>
        <v>SIM</v>
      </c>
    </row>
    <row r="1252" customFormat="false" ht="15" hidden="false" customHeight="false" outlineLevel="0" collapsed="false">
      <c r="A1252" s="59" t="n">
        <v>46254.4578472222</v>
      </c>
      <c r="B1252" s="60" t="s">
        <v>1543</v>
      </c>
      <c r="C1252" s="60" t="n">
        <v>25555490</v>
      </c>
      <c r="D1252" s="60" t="s">
        <v>216</v>
      </c>
      <c r="E1252" s="60" t="s">
        <v>23</v>
      </c>
      <c r="F1252" s="60" t="s">
        <v>236</v>
      </c>
      <c r="G1252" s="60" t="n">
        <v>52.3</v>
      </c>
      <c r="H1252" s="61" t="n">
        <v>649.99</v>
      </c>
      <c r="I1252" s="61" t="n">
        <v>70.98</v>
      </c>
      <c r="J1252" s="61" t="n">
        <f aca="false">H1252*Resumo!$C$6</f>
        <v>0</v>
      </c>
      <c r="K1252" s="61" t="n">
        <f aca="false">H1252*Resumo!$C$7</f>
        <v>1.364979</v>
      </c>
      <c r="L1252" s="61" t="n">
        <f aca="false">H1252*Resumo!$C$8</f>
        <v>1.364979</v>
      </c>
      <c r="M1252" s="61" t="n">
        <f aca="false">Resumo!$C$10*CEILING(G1252/100,1)</f>
        <v>1.05</v>
      </c>
      <c r="N1252" s="61" t="n">
        <f aca="false">Resumo!$C$9</f>
        <v>0</v>
      </c>
      <c r="O1252" s="61" t="n">
        <f aca="false">Resumo!$C$13</f>
        <v>13.55</v>
      </c>
      <c r="P1252" s="61" t="n">
        <f aca="false">Resumo!$C$14*CEILING(G1252,1)</f>
        <v>23.85</v>
      </c>
      <c r="Q1252" s="61" t="n">
        <f aca="false">SUM(I1252:P1252)*Resumo!$C$11</f>
        <v>0</v>
      </c>
      <c r="R1252" s="61" t="n">
        <f aca="false">SUM(I1252:Q1252)</f>
        <v>112.159958</v>
      </c>
      <c r="S1252" s="61" t="n">
        <f aca="false">R1252/(1-Resumo!$C$5)</f>
        <v>127.454497727273</v>
      </c>
      <c r="T1252" s="61" t="n">
        <v>112.3</v>
      </c>
      <c r="U1252" s="61" t="n">
        <f aca="false">H1252*Resumo!$B$6</f>
        <v>0.64999</v>
      </c>
      <c r="V1252" s="61" t="n">
        <f aca="false">H1252*Resumo!$B$7</f>
        <v>1.29998</v>
      </c>
      <c r="W1252" s="61" t="n">
        <f aca="false">Resumo!$B$9</f>
        <v>1</v>
      </c>
      <c r="X1252" s="61" t="n">
        <f aca="false">Resumo!$B$10*CEILING(G1252/100,1)</f>
        <v>4.5</v>
      </c>
      <c r="Y1252" s="61" t="n">
        <f aca="false">Resumo!$B$12*CEILING(G1252,1)</f>
        <v>3.18</v>
      </c>
      <c r="Z1252" s="61" t="n">
        <f aca="false">Resumo!$B$14*CEILING(G1252,1)</f>
        <v>23.85</v>
      </c>
      <c r="AA1252" s="61" t="n">
        <f aca="false">SUM(T1252:Z1252)</f>
        <v>146.77997</v>
      </c>
      <c r="AB1252" s="61" t="n">
        <f aca="false">AA1252/(1-Resumo!$B$5)</f>
        <v>166.795420454545</v>
      </c>
      <c r="AC1252" s="61" t="n">
        <f aca="false">AB1252-S1252</f>
        <v>39.3409227272727</v>
      </c>
      <c r="AD1252" s="62" t="n">
        <f aca="false">AB1252/S1252-1</f>
        <v>0.30866641373029</v>
      </c>
      <c r="AE1252" s="60" t="str">
        <f aca="false">IF(AB1252&lt;S1252,"SIM","NÃO")</f>
        <v>NÃO</v>
      </c>
      <c r="AF1252" s="60" t="n">
        <v>2</v>
      </c>
      <c r="AG1252" s="60" t="n">
        <v>5</v>
      </c>
      <c r="AH1252" s="60" t="s">
        <v>382</v>
      </c>
      <c r="AI1252" s="61" t="n">
        <f aca="false">(T1252*(1-Painel!$C$40)+U1252+V1252+Painel!$C$41+Painel!$C$42*CEILING(G1252/100,1)+Painel!$C$43*CEILING(G1252,1)+Z1252)/(1-Resumo!$B$5)</f>
        <v>117.148829545455</v>
      </c>
      <c r="AJ1252" s="60" t="str">
        <f aca="false">IF(AI1252&lt;S1252,"SIM","NÃO")</f>
        <v>SIM</v>
      </c>
    </row>
    <row r="1253" customFormat="false" ht="15" hidden="false" customHeight="false" outlineLevel="0" collapsed="false">
      <c r="A1253" s="59" t="n">
        <v>46254.46125</v>
      </c>
      <c r="B1253" s="60" t="s">
        <v>1544</v>
      </c>
      <c r="C1253" s="60" t="n">
        <v>21520030</v>
      </c>
      <c r="D1253" s="60" t="s">
        <v>46</v>
      </c>
      <c r="E1253" s="60" t="s">
        <v>22</v>
      </c>
      <c r="F1253" s="60" t="s">
        <v>232</v>
      </c>
      <c r="G1253" s="60" t="n">
        <v>19.5</v>
      </c>
      <c r="H1253" s="61" t="n">
        <v>499.99</v>
      </c>
      <c r="I1253" s="61" t="n">
        <v>33.42</v>
      </c>
      <c r="J1253" s="61" t="n">
        <f aca="false">H1253*Resumo!$C$6</f>
        <v>0</v>
      </c>
      <c r="K1253" s="61" t="n">
        <f aca="false">H1253*Resumo!$C$7</f>
        <v>1.049979</v>
      </c>
      <c r="L1253" s="61" t="n">
        <f aca="false">H1253*Resumo!$C$8</f>
        <v>1.049979</v>
      </c>
      <c r="M1253" s="61" t="n">
        <f aca="false">Resumo!$C$10*CEILING(G1253/100,1)</f>
        <v>1.05</v>
      </c>
      <c r="N1253" s="61" t="n">
        <f aca="false">Resumo!$C$9</f>
        <v>0</v>
      </c>
      <c r="O1253" s="61" t="n">
        <f aca="false">Resumo!$C$13</f>
        <v>13.55</v>
      </c>
      <c r="P1253" s="61" t="n">
        <f aca="false">Resumo!$C$14*CEILING(G1253,1)</f>
        <v>9</v>
      </c>
      <c r="Q1253" s="61" t="n">
        <f aca="false">SUM(I1253:P1253)*Resumo!$C$11</f>
        <v>0</v>
      </c>
      <c r="R1253" s="61" t="n">
        <f aca="false">SUM(I1253:Q1253)</f>
        <v>59.119958</v>
      </c>
      <c r="S1253" s="61" t="n">
        <f aca="false">R1253/(1-Resumo!$C$5)</f>
        <v>67.1817704545455</v>
      </c>
      <c r="T1253" s="61" t="n">
        <v>46.98</v>
      </c>
      <c r="U1253" s="61" t="n">
        <f aca="false">H1253*Resumo!$B$6</f>
        <v>0.49999</v>
      </c>
      <c r="V1253" s="61" t="n">
        <f aca="false">H1253*Resumo!$B$7</f>
        <v>0.99998</v>
      </c>
      <c r="W1253" s="61" t="n">
        <f aca="false">Resumo!$B$9</f>
        <v>1</v>
      </c>
      <c r="X1253" s="61" t="n">
        <f aca="false">Resumo!$B$10*CEILING(G1253/100,1)</f>
        <v>4.5</v>
      </c>
      <c r="Y1253" s="61" t="n">
        <f aca="false">Resumo!$B$12*CEILING(G1253,1)</f>
        <v>1.2</v>
      </c>
      <c r="Z1253" s="61" t="n">
        <f aca="false">Resumo!$B$14*CEILING(G1253,1)</f>
        <v>9</v>
      </c>
      <c r="AA1253" s="61" t="n">
        <f aca="false">SUM(T1253:Z1253)</f>
        <v>64.17997</v>
      </c>
      <c r="AB1253" s="61" t="n">
        <f aca="false">AA1253/(1-Resumo!$B$5)</f>
        <v>72.9317840909091</v>
      </c>
      <c r="AC1253" s="61" t="n">
        <f aca="false">AB1253-S1253</f>
        <v>5.75001363636363</v>
      </c>
      <c r="AD1253" s="62" t="n">
        <f aca="false">AB1253/S1253-1</f>
        <v>0.0855888970692436</v>
      </c>
      <c r="AE1253" s="60" t="str">
        <f aca="false">IF(AB1253&lt;S1253,"SIM","NÃO")</f>
        <v>NÃO</v>
      </c>
      <c r="AF1253" s="60" t="n">
        <v>2</v>
      </c>
      <c r="AG1253" s="60" t="n">
        <v>5</v>
      </c>
      <c r="AH1253" s="60" t="s">
        <v>382</v>
      </c>
      <c r="AI1253" s="61" t="n">
        <f aca="false">(T1253*(1-Painel!$C$40)+U1253+V1253+Painel!$C$41+Painel!$C$42*CEILING(G1253/100,1)+Painel!$C$43*CEILING(G1253,1)+Z1253)/(1-Resumo!$B$5)</f>
        <v>50.0301931818182</v>
      </c>
      <c r="AJ1253" s="60" t="str">
        <f aca="false">IF(AI1253&lt;S1253,"SIM","NÃO")</f>
        <v>SIM</v>
      </c>
    </row>
    <row r="1254" customFormat="false" ht="15" hidden="false" customHeight="false" outlineLevel="0" collapsed="false">
      <c r="A1254" s="59" t="n">
        <v>46254.4620138889</v>
      </c>
      <c r="B1254" s="60" t="s">
        <v>1545</v>
      </c>
      <c r="C1254" s="60" t="n">
        <v>21665090</v>
      </c>
      <c r="D1254" s="60" t="s">
        <v>46</v>
      </c>
      <c r="E1254" s="60" t="s">
        <v>22</v>
      </c>
      <c r="F1254" s="60" t="s">
        <v>235</v>
      </c>
      <c r="G1254" s="60" t="n">
        <v>48.3</v>
      </c>
      <c r="H1254" s="61" t="n">
        <v>449.99</v>
      </c>
      <c r="I1254" s="61" t="n">
        <v>53.55</v>
      </c>
      <c r="J1254" s="61" t="n">
        <f aca="false">H1254*Resumo!$C$6</f>
        <v>0</v>
      </c>
      <c r="K1254" s="61" t="n">
        <f aca="false">H1254*Resumo!$C$7</f>
        <v>0.944979</v>
      </c>
      <c r="L1254" s="61" t="n">
        <f aca="false">H1254*Resumo!$C$8</f>
        <v>0.944979</v>
      </c>
      <c r="M1254" s="61" t="n">
        <f aca="false">Resumo!$C$10*CEILING(G1254/100,1)</f>
        <v>1.05</v>
      </c>
      <c r="N1254" s="61" t="n">
        <f aca="false">Resumo!$C$9</f>
        <v>0</v>
      </c>
      <c r="O1254" s="61" t="n">
        <f aca="false">Resumo!$C$13</f>
        <v>13.55</v>
      </c>
      <c r="P1254" s="61" t="n">
        <f aca="false">Resumo!$C$14*CEILING(G1254,1)</f>
        <v>22.05</v>
      </c>
      <c r="Q1254" s="61" t="n">
        <f aca="false">SUM(I1254:P1254)*Resumo!$C$11</f>
        <v>0</v>
      </c>
      <c r="R1254" s="61" t="n">
        <f aca="false">SUM(I1254:Q1254)</f>
        <v>92.089958</v>
      </c>
      <c r="S1254" s="61" t="n">
        <f aca="false">R1254/(1-Resumo!$C$5)</f>
        <v>104.647679545455</v>
      </c>
      <c r="T1254" s="61" t="n">
        <v>93.97</v>
      </c>
      <c r="U1254" s="61" t="n">
        <f aca="false">H1254*Resumo!$B$6</f>
        <v>0.44999</v>
      </c>
      <c r="V1254" s="61" t="n">
        <f aca="false">H1254*Resumo!$B$7</f>
        <v>0.89998</v>
      </c>
      <c r="W1254" s="61" t="n">
        <f aca="false">Resumo!$B$9</f>
        <v>1</v>
      </c>
      <c r="X1254" s="61" t="n">
        <f aca="false">Resumo!$B$10*CEILING(G1254/100,1)</f>
        <v>4.5</v>
      </c>
      <c r="Y1254" s="61" t="n">
        <f aca="false">Resumo!$B$12*CEILING(G1254,1)</f>
        <v>2.94</v>
      </c>
      <c r="Z1254" s="61" t="n">
        <f aca="false">Resumo!$B$14*CEILING(G1254,1)</f>
        <v>22.05</v>
      </c>
      <c r="AA1254" s="61" t="n">
        <f aca="false">SUM(T1254:Z1254)</f>
        <v>125.80997</v>
      </c>
      <c r="AB1254" s="61" t="n">
        <f aca="false">AA1254/(1-Resumo!$B$5)</f>
        <v>142.965875</v>
      </c>
      <c r="AC1254" s="61" t="n">
        <f aca="false">AB1254-S1254</f>
        <v>38.3181954545454</v>
      </c>
      <c r="AD1254" s="62" t="n">
        <f aca="false">AB1254/S1254-1</f>
        <v>0.366163832977315</v>
      </c>
      <c r="AE1254" s="60" t="str">
        <f aca="false">IF(AB1254&lt;S1254,"SIM","NÃO")</f>
        <v>NÃO</v>
      </c>
      <c r="AF1254" s="60" t="n">
        <v>2</v>
      </c>
      <c r="AG1254" s="60" t="n">
        <v>5</v>
      </c>
      <c r="AH1254" s="60" t="s">
        <v>382</v>
      </c>
      <c r="AI1254" s="61" t="n">
        <f aca="false">(T1254*(1-Painel!$C$40)+U1254+V1254+Painel!$C$41+Painel!$C$42*CEILING(G1254/100,1)+Painel!$C$43*CEILING(G1254,1)+Z1254)/(1-Resumo!$B$5)</f>
        <v>100.465761363636</v>
      </c>
      <c r="AJ1254" s="60" t="str">
        <f aca="false">IF(AI1254&lt;S1254,"SIM","NÃO")</f>
        <v>SIM</v>
      </c>
    </row>
    <row r="1255" customFormat="false" ht="15" hidden="false" customHeight="false" outlineLevel="0" collapsed="false">
      <c r="A1255" s="59" t="n">
        <v>46254.4674537037</v>
      </c>
      <c r="B1255" s="60" t="s">
        <v>1546</v>
      </c>
      <c r="C1255" s="60" t="n">
        <v>28982265</v>
      </c>
      <c r="D1255" s="60" t="s">
        <v>222</v>
      </c>
      <c r="E1255" s="60" t="s">
        <v>24</v>
      </c>
      <c r="F1255" s="60" t="s">
        <v>233</v>
      </c>
      <c r="G1255" s="60" t="n">
        <v>29.2</v>
      </c>
      <c r="H1255" s="61" t="n">
        <v>359.99</v>
      </c>
      <c r="I1255" s="61" t="n">
        <v>65.63</v>
      </c>
      <c r="J1255" s="61" t="n">
        <f aca="false">H1255*Resumo!$C$6</f>
        <v>0</v>
      </c>
      <c r="K1255" s="61" t="n">
        <f aca="false">H1255*Resumo!$C$7</f>
        <v>0.755979</v>
      </c>
      <c r="L1255" s="61" t="n">
        <f aca="false">H1255*Resumo!$C$8</f>
        <v>0.755979</v>
      </c>
      <c r="M1255" s="61" t="n">
        <f aca="false">Resumo!$C$10*CEILING(G1255/100,1)</f>
        <v>1.05</v>
      </c>
      <c r="N1255" s="61" t="n">
        <f aca="false">Resumo!$C$9</f>
        <v>0</v>
      </c>
      <c r="O1255" s="61" t="n">
        <f aca="false">Resumo!$C$13</f>
        <v>13.55</v>
      </c>
      <c r="P1255" s="61" t="n">
        <f aca="false">Resumo!$C$14*CEILING(G1255,1)</f>
        <v>13.5</v>
      </c>
      <c r="Q1255" s="61" t="n">
        <f aca="false">SUM(I1255:P1255)*Resumo!$C$11</f>
        <v>0</v>
      </c>
      <c r="R1255" s="61" t="n">
        <f aca="false">SUM(I1255:Q1255)</f>
        <v>95.241958</v>
      </c>
      <c r="S1255" s="61" t="n">
        <f aca="false">R1255/(1-Resumo!$C$5)</f>
        <v>108.229497727273</v>
      </c>
      <c r="T1255" s="61" t="n">
        <v>114.95</v>
      </c>
      <c r="U1255" s="61" t="n">
        <f aca="false">H1255*Resumo!$B$6</f>
        <v>0.35999</v>
      </c>
      <c r="V1255" s="61" t="n">
        <f aca="false">H1255*Resumo!$B$7</f>
        <v>0.71998</v>
      </c>
      <c r="W1255" s="61" t="n">
        <f aca="false">Resumo!$B$9</f>
        <v>1</v>
      </c>
      <c r="X1255" s="61" t="n">
        <f aca="false">Resumo!$B$10*CEILING(G1255/100,1)</f>
        <v>4.5</v>
      </c>
      <c r="Y1255" s="61" t="n">
        <f aca="false">Resumo!$B$12*CEILING(G1255,1)</f>
        <v>1.8</v>
      </c>
      <c r="Z1255" s="61" t="n">
        <f aca="false">Resumo!$B$14*CEILING(G1255,1)</f>
        <v>13.5</v>
      </c>
      <c r="AA1255" s="61" t="n">
        <f aca="false">SUM(T1255:Z1255)</f>
        <v>136.82997</v>
      </c>
      <c r="AB1255" s="61" t="n">
        <f aca="false">AA1255/(1-Resumo!$B$5)</f>
        <v>155.488602272727</v>
      </c>
      <c r="AC1255" s="61" t="n">
        <f aca="false">AB1255-S1255</f>
        <v>47.2591045454545</v>
      </c>
      <c r="AD1255" s="62" t="n">
        <f aca="false">AB1255/S1255-1</f>
        <v>0.436656415652438</v>
      </c>
      <c r="AE1255" s="60" t="str">
        <f aca="false">IF(AB1255&lt;S1255,"SIM","NÃO")</f>
        <v>NÃO</v>
      </c>
      <c r="AF1255" s="60" t="n">
        <v>13</v>
      </c>
      <c r="AG1255" s="60" t="n">
        <v>10</v>
      </c>
      <c r="AH1255" s="60" t="s">
        <v>382</v>
      </c>
      <c r="AI1255" s="61" t="n">
        <f aca="false">(T1255*(1-Painel!$C$40)+U1255+V1255+Painel!$C$41+Painel!$C$42*CEILING(G1255/100,1)+Painel!$C$43*CEILING(G1255,1)+Z1255)/(1-Resumo!$B$5)</f>
        <v>106.416443181818</v>
      </c>
      <c r="AJ1255" s="60" t="str">
        <f aca="false">IF(AI1255&lt;S1255,"SIM","NÃO")</f>
        <v>SIM</v>
      </c>
    </row>
    <row r="1256" customFormat="false" ht="15" hidden="false" customHeight="false" outlineLevel="0" collapsed="false">
      <c r="A1256" s="59" t="n">
        <v>46254.4969328704</v>
      </c>
      <c r="B1256" s="60" t="s">
        <v>1547</v>
      </c>
      <c r="C1256" s="60" t="n">
        <v>24856660</v>
      </c>
      <c r="D1256" s="60" t="s">
        <v>223</v>
      </c>
      <c r="E1256" s="60" t="s">
        <v>24</v>
      </c>
      <c r="F1256" s="60" t="s">
        <v>233</v>
      </c>
      <c r="G1256" s="60" t="n">
        <v>31.4</v>
      </c>
      <c r="H1256" s="61" t="n">
        <v>399.99</v>
      </c>
      <c r="I1256" s="61" t="n">
        <v>65.63</v>
      </c>
      <c r="J1256" s="61" t="n">
        <f aca="false">H1256*Resumo!$C$6</f>
        <v>0</v>
      </c>
      <c r="K1256" s="61" t="n">
        <f aca="false">H1256*Resumo!$C$7</f>
        <v>0.839979</v>
      </c>
      <c r="L1256" s="61" t="n">
        <f aca="false">H1256*Resumo!$C$8</f>
        <v>0.839979</v>
      </c>
      <c r="M1256" s="61" t="n">
        <f aca="false">Resumo!$C$10*CEILING(G1256/100,1)</f>
        <v>1.05</v>
      </c>
      <c r="N1256" s="61" t="n">
        <f aca="false">Resumo!$C$9</f>
        <v>0</v>
      </c>
      <c r="O1256" s="61" t="n">
        <f aca="false">Resumo!$C$13</f>
        <v>13.55</v>
      </c>
      <c r="P1256" s="61" t="n">
        <f aca="false">Resumo!$C$14*CEILING(G1256,1)</f>
        <v>14.4</v>
      </c>
      <c r="Q1256" s="61" t="n">
        <f aca="false">SUM(I1256:P1256)*Resumo!$C$11</f>
        <v>0</v>
      </c>
      <c r="R1256" s="61" t="n">
        <f aca="false">SUM(I1256:Q1256)</f>
        <v>96.309958</v>
      </c>
      <c r="S1256" s="61" t="n">
        <f aca="false">R1256/(1-Resumo!$C$5)</f>
        <v>109.443134090909</v>
      </c>
      <c r="T1256" s="61" t="n">
        <v>100.58</v>
      </c>
      <c r="U1256" s="61" t="n">
        <f aca="false">H1256*Resumo!$B$6</f>
        <v>0.39999</v>
      </c>
      <c r="V1256" s="61" t="n">
        <f aca="false">H1256*Resumo!$B$7</f>
        <v>0.79998</v>
      </c>
      <c r="W1256" s="61" t="n">
        <f aca="false">Resumo!$B$9</f>
        <v>1</v>
      </c>
      <c r="X1256" s="61" t="n">
        <f aca="false">Resumo!$B$10*CEILING(G1256/100,1)</f>
        <v>4.5</v>
      </c>
      <c r="Y1256" s="61" t="n">
        <f aca="false">Resumo!$B$12*CEILING(G1256,1)</f>
        <v>1.92</v>
      </c>
      <c r="Z1256" s="61" t="n">
        <f aca="false">Resumo!$B$14*CEILING(G1256,1)</f>
        <v>14.4</v>
      </c>
      <c r="AA1256" s="61" t="n">
        <f aca="false">SUM(T1256:Z1256)</f>
        <v>123.59997</v>
      </c>
      <c r="AB1256" s="61" t="n">
        <f aca="false">AA1256/(1-Resumo!$B$5)</f>
        <v>140.454511363636</v>
      </c>
      <c r="AC1256" s="61" t="n">
        <f aca="false">AB1256-S1256</f>
        <v>31.0113772727273</v>
      </c>
      <c r="AD1256" s="62" t="n">
        <f aca="false">AB1256/S1256-1</f>
        <v>0.283356078298778</v>
      </c>
      <c r="AE1256" s="60" t="str">
        <f aca="false">IF(AB1256&lt;S1256,"SIM","NÃO")</f>
        <v>NÃO</v>
      </c>
      <c r="AF1256" s="60" t="n">
        <v>13</v>
      </c>
      <c r="AG1256" s="60" t="n">
        <v>7</v>
      </c>
      <c r="AH1256" s="60" t="s">
        <v>382</v>
      </c>
      <c r="AI1256" s="61" t="n">
        <f aca="false">(T1256*(1-Painel!$C$40)+U1256+V1256+Painel!$C$41+Painel!$C$42*CEILING(G1256/100,1)+Painel!$C$43*CEILING(G1256,1)+Z1256)/(1-Resumo!$B$5)</f>
        <v>96.6347386363637</v>
      </c>
      <c r="AJ1256" s="60" t="str">
        <f aca="false">IF(AI1256&lt;S1256,"SIM","NÃO")</f>
        <v>SIM</v>
      </c>
    </row>
    <row r="1257" customFormat="false" ht="15" hidden="false" customHeight="false" outlineLevel="0" collapsed="false">
      <c r="A1257" s="59" t="n">
        <v>46254.5118865741</v>
      </c>
      <c r="B1257" s="60" t="s">
        <v>1548</v>
      </c>
      <c r="C1257" s="60" t="n">
        <v>26553360</v>
      </c>
      <c r="D1257" s="60" t="s">
        <v>224</v>
      </c>
      <c r="E1257" s="60" t="s">
        <v>23</v>
      </c>
      <c r="F1257" s="60" t="s">
        <v>234</v>
      </c>
      <c r="G1257" s="60" t="n">
        <v>40</v>
      </c>
      <c r="H1257" s="61" t="n">
        <v>529.99</v>
      </c>
      <c r="I1257" s="61" t="n">
        <v>66.83</v>
      </c>
      <c r="J1257" s="61" t="n">
        <f aca="false">H1257*Resumo!$C$6</f>
        <v>0</v>
      </c>
      <c r="K1257" s="61" t="n">
        <f aca="false">H1257*Resumo!$C$7</f>
        <v>1.112979</v>
      </c>
      <c r="L1257" s="61" t="n">
        <f aca="false">H1257*Resumo!$C$8</f>
        <v>1.112979</v>
      </c>
      <c r="M1257" s="61" t="n">
        <f aca="false">Resumo!$C$10*CEILING(G1257/100,1)</f>
        <v>1.05</v>
      </c>
      <c r="N1257" s="61" t="n">
        <f aca="false">Resumo!$C$9</f>
        <v>0</v>
      </c>
      <c r="O1257" s="61" t="n">
        <f aca="false">Resumo!$C$13</f>
        <v>13.55</v>
      </c>
      <c r="P1257" s="61" t="n">
        <f aca="false">Resumo!$C$14*CEILING(G1257,1)</f>
        <v>18</v>
      </c>
      <c r="Q1257" s="61" t="n">
        <f aca="false">SUM(I1257:P1257)*Resumo!$C$11</f>
        <v>0</v>
      </c>
      <c r="R1257" s="61" t="n">
        <f aca="false">SUM(I1257:Q1257)</f>
        <v>101.655958</v>
      </c>
      <c r="S1257" s="61" t="n">
        <f aca="false">R1257/(1-Resumo!$C$5)</f>
        <v>115.518134090909</v>
      </c>
      <c r="T1257" s="61" t="n">
        <v>93.97</v>
      </c>
      <c r="U1257" s="61" t="n">
        <f aca="false">H1257*Resumo!$B$6</f>
        <v>0.52999</v>
      </c>
      <c r="V1257" s="61" t="n">
        <f aca="false">H1257*Resumo!$B$7</f>
        <v>1.05998</v>
      </c>
      <c r="W1257" s="61" t="n">
        <f aca="false">Resumo!$B$9</f>
        <v>1</v>
      </c>
      <c r="X1257" s="61" t="n">
        <f aca="false">Resumo!$B$10*CEILING(G1257/100,1)</f>
        <v>4.5</v>
      </c>
      <c r="Y1257" s="61" t="n">
        <f aca="false">Resumo!$B$12*CEILING(G1257,1)</f>
        <v>2.4</v>
      </c>
      <c r="Z1257" s="61" t="n">
        <f aca="false">Resumo!$B$14*CEILING(G1257,1)</f>
        <v>18</v>
      </c>
      <c r="AA1257" s="61" t="n">
        <f aca="false">SUM(T1257:Z1257)</f>
        <v>121.45997</v>
      </c>
      <c r="AB1257" s="61" t="n">
        <f aca="false">AA1257/(1-Resumo!$B$5)</f>
        <v>138.022693181818</v>
      </c>
      <c r="AC1257" s="61" t="n">
        <f aca="false">AB1257-S1257</f>
        <v>22.5045590909091</v>
      </c>
      <c r="AD1257" s="62" t="n">
        <f aca="false">AB1257/S1257-1</f>
        <v>0.194814080646409</v>
      </c>
      <c r="AE1257" s="60" t="str">
        <f aca="false">IF(AB1257&lt;S1257,"SIM","NÃO")</f>
        <v>NÃO</v>
      </c>
      <c r="AF1257" s="60" t="n">
        <v>2</v>
      </c>
      <c r="AG1257" s="60" t="n">
        <v>5</v>
      </c>
      <c r="AH1257" s="60" t="s">
        <v>382</v>
      </c>
      <c r="AI1257" s="61" t="n">
        <f aca="false">(T1257*(1-Painel!$C$40)+U1257+V1257+Painel!$C$41+Painel!$C$42*CEILING(G1257/100,1)+Painel!$C$43*CEILING(G1257,1)+Z1257)/(1-Resumo!$B$5)</f>
        <v>96.1362159090909</v>
      </c>
      <c r="AJ1257" s="60" t="str">
        <f aca="false">IF(AI1257&lt;S1257,"SIM","NÃO")</f>
        <v>SIM</v>
      </c>
    </row>
    <row r="1258" customFormat="false" ht="15" hidden="false" customHeight="false" outlineLevel="0" collapsed="false">
      <c r="A1258" s="59" t="n">
        <v>46254.5158333333</v>
      </c>
      <c r="B1258" s="60" t="s">
        <v>1549</v>
      </c>
      <c r="C1258" s="60" t="n">
        <v>28980816</v>
      </c>
      <c r="D1258" s="60" t="s">
        <v>222</v>
      </c>
      <c r="E1258" s="60" t="s">
        <v>24</v>
      </c>
      <c r="F1258" s="60" t="s">
        <v>234</v>
      </c>
      <c r="G1258" s="60" t="n">
        <v>37.5</v>
      </c>
      <c r="H1258" s="61" t="n">
        <v>389</v>
      </c>
      <c r="I1258" s="61" t="n">
        <v>74.97</v>
      </c>
      <c r="J1258" s="61" t="n">
        <f aca="false">H1258*Resumo!$C$6</f>
        <v>0</v>
      </c>
      <c r="K1258" s="61" t="n">
        <f aca="false">H1258*Resumo!$C$7</f>
        <v>0.8169</v>
      </c>
      <c r="L1258" s="61" t="n">
        <f aca="false">H1258*Resumo!$C$8</f>
        <v>0.8169</v>
      </c>
      <c r="M1258" s="61" t="n">
        <f aca="false">Resumo!$C$10*CEILING(G1258/100,1)</f>
        <v>1.05</v>
      </c>
      <c r="N1258" s="61" t="n">
        <f aca="false">Resumo!$C$9</f>
        <v>0</v>
      </c>
      <c r="O1258" s="61" t="n">
        <f aca="false">Resumo!$C$13</f>
        <v>13.55</v>
      </c>
      <c r="P1258" s="61" t="n">
        <f aca="false">Resumo!$C$14*CEILING(G1258,1)</f>
        <v>17.1</v>
      </c>
      <c r="Q1258" s="61" t="n">
        <f aca="false">SUM(I1258:P1258)*Resumo!$C$11</f>
        <v>0</v>
      </c>
      <c r="R1258" s="61" t="n">
        <f aca="false">SUM(I1258:Q1258)</f>
        <v>108.3038</v>
      </c>
      <c r="S1258" s="61" t="n">
        <f aca="false">R1258/(1-Resumo!$C$5)</f>
        <v>123.0725</v>
      </c>
      <c r="T1258" s="61" t="n">
        <v>124.38</v>
      </c>
      <c r="U1258" s="61" t="n">
        <f aca="false">H1258*Resumo!$B$6</f>
        <v>0.389</v>
      </c>
      <c r="V1258" s="61" t="n">
        <f aca="false">H1258*Resumo!$B$7</f>
        <v>0.778</v>
      </c>
      <c r="W1258" s="61" t="n">
        <f aca="false">Resumo!$B$9</f>
        <v>1</v>
      </c>
      <c r="X1258" s="61" t="n">
        <f aca="false">Resumo!$B$10*CEILING(G1258/100,1)</f>
        <v>4.5</v>
      </c>
      <c r="Y1258" s="61" t="n">
        <f aca="false">Resumo!$B$12*CEILING(G1258,1)</f>
        <v>2.28</v>
      </c>
      <c r="Z1258" s="61" t="n">
        <f aca="false">Resumo!$B$14*CEILING(G1258,1)</f>
        <v>17.1</v>
      </c>
      <c r="AA1258" s="61" t="n">
        <f aca="false">SUM(T1258:Z1258)</f>
        <v>150.427</v>
      </c>
      <c r="AB1258" s="61" t="n">
        <f aca="false">AA1258/(1-Resumo!$B$5)</f>
        <v>170.939772727273</v>
      </c>
      <c r="AC1258" s="61" t="n">
        <f aca="false">AB1258-S1258</f>
        <v>47.8672727272727</v>
      </c>
      <c r="AD1258" s="62" t="n">
        <f aca="false">AB1258/S1258-1</f>
        <v>0.388935568281076</v>
      </c>
      <c r="AE1258" s="60" t="str">
        <f aca="false">IF(AB1258&lt;S1258,"SIM","NÃO")</f>
        <v>NÃO</v>
      </c>
      <c r="AF1258" s="60" t="n">
        <v>13</v>
      </c>
      <c r="AG1258" s="60" t="n">
        <v>10</v>
      </c>
      <c r="AH1258" s="60" t="s">
        <v>382</v>
      </c>
      <c r="AI1258" s="61" t="n">
        <f aca="false">(T1258*(1-Painel!$C$40)+U1258+V1258+Painel!$C$41+Painel!$C$42*CEILING(G1258/100,1)+Painel!$C$43*CEILING(G1258,1)+Z1258)/(1-Resumo!$B$5)</f>
        <v>117.785909090909</v>
      </c>
      <c r="AJ1258" s="60" t="str">
        <f aca="false">IF(AI1258&lt;S1258,"SIM","NÃO")</f>
        <v>SIM</v>
      </c>
    </row>
    <row r="1259" customFormat="false" ht="15" hidden="false" customHeight="false" outlineLevel="0" collapsed="false">
      <c r="A1259" s="59" t="n">
        <v>46254.518599537</v>
      </c>
      <c r="B1259" s="60" t="s">
        <v>1550</v>
      </c>
      <c r="C1259" s="60" t="n">
        <v>26110260</v>
      </c>
      <c r="D1259" s="60" t="s">
        <v>52</v>
      </c>
      <c r="E1259" s="60" t="s">
        <v>23</v>
      </c>
      <c r="F1259" s="60" t="s">
        <v>236</v>
      </c>
      <c r="G1259" s="60" t="n">
        <v>60</v>
      </c>
      <c r="H1259" s="61" t="n">
        <v>849.99</v>
      </c>
      <c r="I1259" s="61" t="n">
        <v>70.98</v>
      </c>
      <c r="J1259" s="61" t="n">
        <f aca="false">H1259*Resumo!$C$6</f>
        <v>0</v>
      </c>
      <c r="K1259" s="61" t="n">
        <f aca="false">H1259*Resumo!$C$7</f>
        <v>1.784979</v>
      </c>
      <c r="L1259" s="61" t="n">
        <f aca="false">H1259*Resumo!$C$8</f>
        <v>1.784979</v>
      </c>
      <c r="M1259" s="61" t="n">
        <f aca="false">Resumo!$C$10*CEILING(G1259/100,1)</f>
        <v>1.05</v>
      </c>
      <c r="N1259" s="61" t="n">
        <f aca="false">Resumo!$C$9</f>
        <v>0</v>
      </c>
      <c r="O1259" s="61" t="n">
        <f aca="false">Resumo!$C$13</f>
        <v>13.55</v>
      </c>
      <c r="P1259" s="61" t="n">
        <f aca="false">Resumo!$C$14*CEILING(G1259,1)</f>
        <v>27</v>
      </c>
      <c r="Q1259" s="61" t="n">
        <f aca="false">SUM(I1259:P1259)*Resumo!$C$11</f>
        <v>0</v>
      </c>
      <c r="R1259" s="61" t="n">
        <f aca="false">SUM(I1259:Q1259)</f>
        <v>116.149958</v>
      </c>
      <c r="S1259" s="61" t="n">
        <f aca="false">R1259/(1-Resumo!$C$5)</f>
        <v>131.988588636364</v>
      </c>
      <c r="T1259" s="61" t="n">
        <v>112.3</v>
      </c>
      <c r="U1259" s="61" t="n">
        <f aca="false">H1259*Resumo!$B$6</f>
        <v>0.84999</v>
      </c>
      <c r="V1259" s="61" t="n">
        <f aca="false">H1259*Resumo!$B$7</f>
        <v>1.69998</v>
      </c>
      <c r="W1259" s="61" t="n">
        <f aca="false">Resumo!$B$9</f>
        <v>1</v>
      </c>
      <c r="X1259" s="61" t="n">
        <f aca="false">Resumo!$B$10*CEILING(G1259/100,1)</f>
        <v>4.5</v>
      </c>
      <c r="Y1259" s="61" t="n">
        <f aca="false">Resumo!$B$12*CEILING(G1259,1)</f>
        <v>3.6</v>
      </c>
      <c r="Z1259" s="61" t="n">
        <f aca="false">Resumo!$B$14*CEILING(G1259,1)</f>
        <v>27</v>
      </c>
      <c r="AA1259" s="61" t="n">
        <f aca="false">SUM(T1259:Z1259)</f>
        <v>150.94997</v>
      </c>
      <c r="AB1259" s="61" t="n">
        <f aca="false">AA1259/(1-Resumo!$B$5)</f>
        <v>171.534056818182</v>
      </c>
      <c r="AC1259" s="61" t="n">
        <f aca="false">AB1259-S1259</f>
        <v>39.5454681818182</v>
      </c>
      <c r="AD1259" s="62" t="n">
        <f aca="false">AB1259/S1259-1</f>
        <v>0.299612781607721</v>
      </c>
      <c r="AE1259" s="60" t="str">
        <f aca="false">IF(AB1259&lt;S1259,"SIM","NÃO")</f>
        <v>NÃO</v>
      </c>
      <c r="AF1259" s="60" t="n">
        <v>2</v>
      </c>
      <c r="AG1259" s="60" t="n">
        <v>5</v>
      </c>
      <c r="AH1259" s="60" t="s">
        <v>382</v>
      </c>
      <c r="AI1259" s="61" t="n">
        <f aca="false">(T1259*(1-Painel!$C$40)+U1259+V1259+Painel!$C$41+Painel!$C$42*CEILING(G1259/100,1)+Painel!$C$43*CEILING(G1259,1)+Z1259)/(1-Resumo!$B$5)</f>
        <v>121.410193181818</v>
      </c>
      <c r="AJ1259" s="60" t="str">
        <f aca="false">IF(AI1259&lt;S1259,"SIM","NÃO")</f>
        <v>SIM</v>
      </c>
    </row>
    <row r="1260" customFormat="false" ht="15" hidden="false" customHeight="false" outlineLevel="0" collapsed="false">
      <c r="A1260" s="59" t="n">
        <v>46254.5636226852</v>
      </c>
      <c r="B1260" s="60" t="s">
        <v>1551</v>
      </c>
      <c r="C1260" s="60" t="n">
        <v>28057290</v>
      </c>
      <c r="D1260" s="60" t="s">
        <v>51</v>
      </c>
      <c r="E1260" s="60" t="s">
        <v>24</v>
      </c>
      <c r="F1260" s="60" t="s">
        <v>235</v>
      </c>
      <c r="G1260" s="60" t="n">
        <v>41</v>
      </c>
      <c r="H1260" s="61" t="n">
        <v>529.99</v>
      </c>
      <c r="I1260" s="61" t="n">
        <v>77.7</v>
      </c>
      <c r="J1260" s="61" t="n">
        <f aca="false">H1260*Resumo!$C$6</f>
        <v>0</v>
      </c>
      <c r="K1260" s="61" t="n">
        <f aca="false">H1260*Resumo!$C$7</f>
        <v>1.112979</v>
      </c>
      <c r="L1260" s="61" t="n">
        <f aca="false">H1260*Resumo!$C$8</f>
        <v>1.112979</v>
      </c>
      <c r="M1260" s="61" t="n">
        <f aca="false">Resumo!$C$10*CEILING(G1260/100,1)</f>
        <v>1.05</v>
      </c>
      <c r="N1260" s="61" t="n">
        <f aca="false">Resumo!$C$9</f>
        <v>0</v>
      </c>
      <c r="O1260" s="61" t="n">
        <f aca="false">Resumo!$C$13</f>
        <v>13.55</v>
      </c>
      <c r="P1260" s="61" t="n">
        <f aca="false">Resumo!$C$14*CEILING(G1260,1)</f>
        <v>18.45</v>
      </c>
      <c r="Q1260" s="61" t="n">
        <f aca="false">SUM(I1260:P1260)*Resumo!$C$11</f>
        <v>0</v>
      </c>
      <c r="R1260" s="61" t="n">
        <f aca="false">SUM(I1260:Q1260)</f>
        <v>112.975958</v>
      </c>
      <c r="S1260" s="61" t="n">
        <f aca="false">R1260/(1-Resumo!$C$5)</f>
        <v>128.381770454545</v>
      </c>
      <c r="T1260" s="61" t="n">
        <v>152.54</v>
      </c>
      <c r="U1260" s="61" t="n">
        <f aca="false">H1260*Resumo!$B$6</f>
        <v>0.52999</v>
      </c>
      <c r="V1260" s="61" t="n">
        <f aca="false">H1260*Resumo!$B$7</f>
        <v>1.05998</v>
      </c>
      <c r="W1260" s="61" t="n">
        <f aca="false">Resumo!$B$9</f>
        <v>1</v>
      </c>
      <c r="X1260" s="61" t="n">
        <f aca="false">Resumo!$B$10*CEILING(G1260/100,1)</f>
        <v>4.5</v>
      </c>
      <c r="Y1260" s="61" t="n">
        <f aca="false">Resumo!$B$12*CEILING(G1260,1)</f>
        <v>2.46</v>
      </c>
      <c r="Z1260" s="61" t="n">
        <f aca="false">Resumo!$B$14*CEILING(G1260,1)</f>
        <v>18.45</v>
      </c>
      <c r="AA1260" s="61" t="n">
        <f aca="false">SUM(T1260:Z1260)</f>
        <v>180.53997</v>
      </c>
      <c r="AB1260" s="61" t="n">
        <f aca="false">AA1260/(1-Resumo!$B$5)</f>
        <v>205.159056818182</v>
      </c>
      <c r="AC1260" s="61" t="n">
        <f aca="false">AB1260-S1260</f>
        <v>76.7772863636363</v>
      </c>
      <c r="AD1260" s="62" t="n">
        <f aca="false">AB1260/S1260-1</f>
        <v>0.598038850000281</v>
      </c>
      <c r="AE1260" s="60" t="str">
        <f aca="false">IF(AB1260&lt;S1260,"SIM","NÃO")</f>
        <v>NÃO</v>
      </c>
      <c r="AF1260" s="60" t="n">
        <v>13</v>
      </c>
      <c r="AG1260" s="60" t="n">
        <v>11</v>
      </c>
      <c r="AH1260" s="60" t="s">
        <v>382</v>
      </c>
      <c r="AI1260" s="61" t="n">
        <f aca="false">(T1260*(1-Painel!$C$40)+U1260+V1260+Painel!$C$41+Painel!$C$42*CEILING(G1260/100,1)+Painel!$C$43*CEILING(G1260,1)+Z1260)/(1-Resumo!$B$5)</f>
        <v>141.240647727273</v>
      </c>
      <c r="AJ1260" s="60" t="str">
        <f aca="false">IF(AI1260&lt;S1260,"SIM","NÃO")</f>
        <v>NÃO</v>
      </c>
    </row>
    <row r="1261" customFormat="false" ht="15" hidden="false" customHeight="false" outlineLevel="0" collapsed="false">
      <c r="A1261" s="59" t="n">
        <v>46254.5819791667</v>
      </c>
      <c r="B1261" s="60" t="s">
        <v>1552</v>
      </c>
      <c r="C1261" s="60" t="n">
        <v>26510140</v>
      </c>
      <c r="D1261" s="60" t="s">
        <v>284</v>
      </c>
      <c r="E1261" s="60" t="s">
        <v>23</v>
      </c>
      <c r="F1261" s="60" t="s">
        <v>236</v>
      </c>
      <c r="G1261" s="60" t="n">
        <v>52.3</v>
      </c>
      <c r="H1261" s="61" t="n">
        <v>669.99</v>
      </c>
      <c r="I1261" s="61" t="n">
        <v>70.98</v>
      </c>
      <c r="J1261" s="61" t="n">
        <f aca="false">H1261*Resumo!$C$6</f>
        <v>0</v>
      </c>
      <c r="K1261" s="61" t="n">
        <f aca="false">H1261*Resumo!$C$7</f>
        <v>1.406979</v>
      </c>
      <c r="L1261" s="61" t="n">
        <f aca="false">H1261*Resumo!$C$8</f>
        <v>1.406979</v>
      </c>
      <c r="M1261" s="61" t="n">
        <f aca="false">Resumo!$C$10*CEILING(G1261/100,1)</f>
        <v>1.05</v>
      </c>
      <c r="N1261" s="61" t="n">
        <f aca="false">Resumo!$C$9</f>
        <v>0</v>
      </c>
      <c r="O1261" s="61" t="n">
        <f aca="false">Resumo!$C$13</f>
        <v>13.55</v>
      </c>
      <c r="P1261" s="61" t="n">
        <f aca="false">Resumo!$C$14*CEILING(G1261,1)</f>
        <v>23.85</v>
      </c>
      <c r="Q1261" s="61" t="n">
        <f aca="false">SUM(I1261:P1261)*Resumo!$C$11</f>
        <v>0</v>
      </c>
      <c r="R1261" s="61" t="n">
        <f aca="false">SUM(I1261:Q1261)</f>
        <v>112.243958</v>
      </c>
      <c r="S1261" s="61" t="n">
        <f aca="false">R1261/(1-Resumo!$C$5)</f>
        <v>127.549952272727</v>
      </c>
      <c r="T1261" s="61" t="n">
        <v>112.3</v>
      </c>
      <c r="U1261" s="61" t="n">
        <f aca="false">H1261*Resumo!$B$6</f>
        <v>0.66999</v>
      </c>
      <c r="V1261" s="61" t="n">
        <f aca="false">H1261*Resumo!$B$7</f>
        <v>1.33998</v>
      </c>
      <c r="W1261" s="61" t="n">
        <f aca="false">Resumo!$B$9</f>
        <v>1</v>
      </c>
      <c r="X1261" s="61" t="n">
        <f aca="false">Resumo!$B$10*CEILING(G1261/100,1)</f>
        <v>4.5</v>
      </c>
      <c r="Y1261" s="61" t="n">
        <f aca="false">Resumo!$B$12*CEILING(G1261,1)</f>
        <v>3.18</v>
      </c>
      <c r="Z1261" s="61" t="n">
        <f aca="false">Resumo!$B$14*CEILING(G1261,1)</f>
        <v>23.85</v>
      </c>
      <c r="AA1261" s="61" t="n">
        <f aca="false">SUM(T1261:Z1261)</f>
        <v>146.83997</v>
      </c>
      <c r="AB1261" s="61" t="n">
        <f aca="false">AA1261/(1-Resumo!$B$5)</f>
        <v>166.863602272727</v>
      </c>
      <c r="AC1261" s="61" t="n">
        <f aca="false">AB1261-S1261</f>
        <v>39.31365</v>
      </c>
      <c r="AD1261" s="62" t="n">
        <f aca="false">AB1261/S1261-1</f>
        <v>0.308221597103694</v>
      </c>
      <c r="AE1261" s="60" t="str">
        <f aca="false">IF(AB1261&lt;S1261,"SIM","NÃO")</f>
        <v>NÃO</v>
      </c>
      <c r="AF1261" s="60" t="n">
        <v>2</v>
      </c>
      <c r="AG1261" s="60" t="n">
        <v>5</v>
      </c>
      <c r="AH1261" s="60" t="s">
        <v>385</v>
      </c>
      <c r="AI1261" s="61" t="n">
        <f aca="false">(T1261*(1-Painel!$C$40)+U1261+V1261+Painel!$C$41+Painel!$C$42*CEILING(G1261/100,1)+Painel!$C$43*CEILING(G1261,1)+Z1261)/(1-Resumo!$B$5)</f>
        <v>117.217011363636</v>
      </c>
      <c r="AJ1261" s="60" t="str">
        <f aca="false">IF(AI1261&lt;S1261,"SIM","NÃO")</f>
        <v>SIM</v>
      </c>
    </row>
    <row r="1262" customFormat="false" ht="15" hidden="false" customHeight="false" outlineLevel="0" collapsed="false">
      <c r="A1262" s="59" t="n">
        <v>46254.5851388889</v>
      </c>
      <c r="B1262" s="60" t="s">
        <v>1553</v>
      </c>
      <c r="C1262" s="60" t="n">
        <v>28800101</v>
      </c>
      <c r="D1262" s="60" t="s">
        <v>334</v>
      </c>
      <c r="E1262" s="60" t="s">
        <v>24</v>
      </c>
      <c r="F1262" s="60" t="s">
        <v>235</v>
      </c>
      <c r="G1262" s="60" t="n">
        <v>43.5</v>
      </c>
      <c r="H1262" s="61" t="n">
        <v>599.55</v>
      </c>
      <c r="I1262" s="61" t="n">
        <v>77.7</v>
      </c>
      <c r="J1262" s="61" t="n">
        <f aca="false">H1262*Resumo!$C$6</f>
        <v>0</v>
      </c>
      <c r="K1262" s="61" t="n">
        <f aca="false">H1262*Resumo!$C$7</f>
        <v>1.259055</v>
      </c>
      <c r="L1262" s="61" t="n">
        <f aca="false">H1262*Resumo!$C$8</f>
        <v>1.259055</v>
      </c>
      <c r="M1262" s="61" t="n">
        <f aca="false">Resumo!$C$10*CEILING(G1262/100,1)</f>
        <v>1.05</v>
      </c>
      <c r="N1262" s="61" t="n">
        <f aca="false">Resumo!$C$9</f>
        <v>0</v>
      </c>
      <c r="O1262" s="61" t="n">
        <f aca="false">Resumo!$C$13</f>
        <v>13.55</v>
      </c>
      <c r="P1262" s="61" t="n">
        <f aca="false">Resumo!$C$14*CEILING(G1262,1)</f>
        <v>19.8</v>
      </c>
      <c r="Q1262" s="61" t="n">
        <f aca="false">SUM(I1262:P1262)*Resumo!$C$11</f>
        <v>0</v>
      </c>
      <c r="R1262" s="61" t="n">
        <f aca="false">SUM(I1262:Q1262)</f>
        <v>114.61811</v>
      </c>
      <c r="S1262" s="61" t="n">
        <f aca="false">R1262/(1-Resumo!$C$5)</f>
        <v>130.247852272727</v>
      </c>
      <c r="T1262" s="61" t="n">
        <v>114.95</v>
      </c>
      <c r="U1262" s="61" t="n">
        <f aca="false">H1262*Resumo!$B$6</f>
        <v>0.59955</v>
      </c>
      <c r="V1262" s="61" t="n">
        <f aca="false">H1262*Resumo!$B$7</f>
        <v>1.1991</v>
      </c>
      <c r="W1262" s="61" t="n">
        <f aca="false">Resumo!$B$9</f>
        <v>1</v>
      </c>
      <c r="X1262" s="61" t="n">
        <f aca="false">Resumo!$B$10*CEILING(G1262/100,1)</f>
        <v>4.5</v>
      </c>
      <c r="Y1262" s="61" t="n">
        <f aca="false">Resumo!$B$12*CEILING(G1262,1)</f>
        <v>2.64</v>
      </c>
      <c r="Z1262" s="61" t="n">
        <f aca="false">Resumo!$B$14*CEILING(G1262,1)</f>
        <v>19.8</v>
      </c>
      <c r="AA1262" s="61" t="n">
        <f aca="false">SUM(T1262:Z1262)</f>
        <v>144.68865</v>
      </c>
      <c r="AB1262" s="61" t="n">
        <f aca="false">AA1262/(1-Resumo!$B$5)</f>
        <v>164.418920454545</v>
      </c>
      <c r="AC1262" s="61" t="n">
        <f aca="false">AB1262-S1262</f>
        <v>34.1710681818182</v>
      </c>
      <c r="AD1262" s="62" t="n">
        <f aca="false">AB1262/S1262-1</f>
        <v>0.262354177712405</v>
      </c>
      <c r="AE1262" s="60" t="str">
        <f aca="false">IF(AB1262&lt;S1262,"SIM","NÃO")</f>
        <v>NÃO</v>
      </c>
      <c r="AF1262" s="60" t="n">
        <v>13</v>
      </c>
      <c r="AG1262" s="60" t="n">
        <v>7</v>
      </c>
      <c r="AH1262" s="60" t="s">
        <v>385</v>
      </c>
      <c r="AI1262" s="61" t="n">
        <f aca="false">(T1262*(1-Painel!$C$40)+U1262+V1262+Painel!$C$41+Painel!$C$42*CEILING(G1262/100,1)+Painel!$C$43*CEILING(G1262,1)+Z1262)/(1-Resumo!$B$5)</f>
        <v>114.392215909091</v>
      </c>
      <c r="AJ1262" s="60" t="str">
        <f aca="false">IF(AI1262&lt;S1262,"SIM","NÃO")</f>
        <v>SIM</v>
      </c>
    </row>
    <row r="1263" customFormat="false" ht="15" hidden="false" customHeight="false" outlineLevel="0" collapsed="false">
      <c r="A1263" s="59" t="n">
        <v>46254.5868171296</v>
      </c>
      <c r="B1263" s="60" t="s">
        <v>1554</v>
      </c>
      <c r="C1263" s="60" t="n">
        <v>21350250</v>
      </c>
      <c r="D1263" s="60" t="s">
        <v>46</v>
      </c>
      <c r="E1263" s="60" t="s">
        <v>22</v>
      </c>
      <c r="F1263" s="60" t="s">
        <v>238</v>
      </c>
      <c r="G1263" s="60" t="n">
        <v>74.4</v>
      </c>
      <c r="H1263" s="61" t="n">
        <v>879.99</v>
      </c>
      <c r="I1263" s="61" t="n">
        <v>68.88</v>
      </c>
      <c r="J1263" s="61" t="n">
        <f aca="false">H1263*Resumo!$C$6</f>
        <v>0</v>
      </c>
      <c r="K1263" s="61" t="n">
        <f aca="false">H1263*Resumo!$C$7</f>
        <v>1.847979</v>
      </c>
      <c r="L1263" s="61" t="n">
        <f aca="false">H1263*Resumo!$C$8</f>
        <v>1.847979</v>
      </c>
      <c r="M1263" s="61" t="n">
        <f aca="false">Resumo!$C$10*CEILING(G1263/100,1)</f>
        <v>1.05</v>
      </c>
      <c r="N1263" s="61" t="n">
        <f aca="false">Resumo!$C$9</f>
        <v>0</v>
      </c>
      <c r="O1263" s="61" t="n">
        <f aca="false">Resumo!$C$13</f>
        <v>13.55</v>
      </c>
      <c r="P1263" s="61" t="n">
        <f aca="false">Resumo!$C$14*CEILING(G1263,1)</f>
        <v>33.75</v>
      </c>
      <c r="Q1263" s="61" t="n">
        <f aca="false">SUM(I1263:P1263)*Resumo!$C$11</f>
        <v>0</v>
      </c>
      <c r="R1263" s="61" t="n">
        <f aca="false">SUM(I1263:Q1263)</f>
        <v>120.925958</v>
      </c>
      <c r="S1263" s="61" t="n">
        <f aca="false">R1263/(1-Resumo!$C$5)</f>
        <v>137.415861363636</v>
      </c>
      <c r="T1263" s="61" t="n">
        <v>134.39</v>
      </c>
      <c r="U1263" s="61" t="n">
        <f aca="false">H1263*Resumo!$B$6</f>
        <v>0.87999</v>
      </c>
      <c r="V1263" s="61" t="n">
        <f aca="false">H1263*Resumo!$B$7</f>
        <v>1.75998</v>
      </c>
      <c r="W1263" s="61" t="n">
        <f aca="false">Resumo!$B$9</f>
        <v>1</v>
      </c>
      <c r="X1263" s="61" t="n">
        <f aca="false">Resumo!$B$10*CEILING(G1263/100,1)</f>
        <v>4.5</v>
      </c>
      <c r="Y1263" s="61" t="n">
        <f aca="false">Resumo!$B$12*CEILING(G1263,1)</f>
        <v>4.5</v>
      </c>
      <c r="Z1263" s="61" t="n">
        <f aca="false">Resumo!$B$14*CEILING(G1263,1)</f>
        <v>33.75</v>
      </c>
      <c r="AA1263" s="61" t="n">
        <f aca="false">SUM(T1263:Z1263)</f>
        <v>180.77997</v>
      </c>
      <c r="AB1263" s="61" t="n">
        <f aca="false">AA1263/(1-Resumo!$B$5)</f>
        <v>205.431784090909</v>
      </c>
      <c r="AC1263" s="61" t="n">
        <f aca="false">AB1263-S1263</f>
        <v>68.0159227272727</v>
      </c>
      <c r="AD1263" s="62" t="n">
        <f aca="false">AB1263/S1263-1</f>
        <v>0.494964133341826</v>
      </c>
      <c r="AE1263" s="60" t="str">
        <f aca="false">IF(AB1263&lt;S1263,"SIM","NÃO")</f>
        <v>NÃO</v>
      </c>
      <c r="AF1263" s="60" t="n">
        <v>2</v>
      </c>
      <c r="AG1263" s="60" t="n">
        <v>5</v>
      </c>
      <c r="AH1263" s="60" t="s">
        <v>382</v>
      </c>
      <c r="AI1263" s="61" t="n">
        <f aca="false">(T1263*(1-Painel!$C$40)+U1263+V1263+Painel!$C$41+Painel!$C$42*CEILING(G1263/100,1)+Painel!$C$43*CEILING(G1263,1)+Z1263)/(1-Resumo!$B$5)</f>
        <v>146.001443181818</v>
      </c>
      <c r="AJ1263" s="60" t="str">
        <f aca="false">IF(AI1263&lt;S1263,"SIM","NÃO")</f>
        <v>NÃO</v>
      </c>
    </row>
    <row r="1264" customFormat="false" ht="15" hidden="false" customHeight="false" outlineLevel="0" collapsed="false">
      <c r="A1264" s="59" t="n">
        <v>46254.586875</v>
      </c>
      <c r="B1264" s="60" t="s">
        <v>518</v>
      </c>
      <c r="C1264" s="60" t="n">
        <v>22765240</v>
      </c>
      <c r="D1264" s="60" t="s">
        <v>46</v>
      </c>
      <c r="E1264" s="60" t="s">
        <v>22</v>
      </c>
      <c r="F1264" s="60" t="s">
        <v>235</v>
      </c>
      <c r="G1264" s="60" t="n">
        <v>48.3</v>
      </c>
      <c r="H1264" s="61" t="n">
        <v>449.99</v>
      </c>
      <c r="I1264" s="61" t="n">
        <v>53.55</v>
      </c>
      <c r="J1264" s="61" t="n">
        <f aca="false">H1264*Resumo!$C$6</f>
        <v>0</v>
      </c>
      <c r="K1264" s="61" t="n">
        <f aca="false">H1264*Resumo!$C$7</f>
        <v>0.944979</v>
      </c>
      <c r="L1264" s="61" t="n">
        <f aca="false">H1264*Resumo!$C$8</f>
        <v>0.944979</v>
      </c>
      <c r="M1264" s="61" t="n">
        <f aca="false">Resumo!$C$10*CEILING(G1264/100,1)</f>
        <v>1.05</v>
      </c>
      <c r="N1264" s="61" t="n">
        <f aca="false">Resumo!$C$9</f>
        <v>0</v>
      </c>
      <c r="O1264" s="61" t="n">
        <f aca="false">Resumo!$C$13</f>
        <v>13.55</v>
      </c>
      <c r="P1264" s="61" t="n">
        <f aca="false">Resumo!$C$14*CEILING(G1264,1)</f>
        <v>22.05</v>
      </c>
      <c r="Q1264" s="61" t="n">
        <f aca="false">SUM(I1264:P1264)*Resumo!$C$11</f>
        <v>0</v>
      </c>
      <c r="R1264" s="61" t="n">
        <f aca="false">SUM(I1264:Q1264)</f>
        <v>92.089958</v>
      </c>
      <c r="S1264" s="61" t="n">
        <f aca="false">R1264/(1-Resumo!$C$5)</f>
        <v>104.647679545455</v>
      </c>
      <c r="T1264" s="61" t="n">
        <v>93.97</v>
      </c>
      <c r="U1264" s="61" t="n">
        <f aca="false">H1264*Resumo!$B$6</f>
        <v>0.44999</v>
      </c>
      <c r="V1264" s="61" t="n">
        <f aca="false">H1264*Resumo!$B$7</f>
        <v>0.89998</v>
      </c>
      <c r="W1264" s="61" t="n">
        <f aca="false">Resumo!$B$9</f>
        <v>1</v>
      </c>
      <c r="X1264" s="61" t="n">
        <f aca="false">Resumo!$B$10*CEILING(G1264/100,1)</f>
        <v>4.5</v>
      </c>
      <c r="Y1264" s="61" t="n">
        <f aca="false">Resumo!$B$12*CEILING(G1264,1)</f>
        <v>2.94</v>
      </c>
      <c r="Z1264" s="61" t="n">
        <f aca="false">Resumo!$B$14*CEILING(G1264,1)</f>
        <v>22.05</v>
      </c>
      <c r="AA1264" s="61" t="n">
        <f aca="false">SUM(T1264:Z1264)</f>
        <v>125.80997</v>
      </c>
      <c r="AB1264" s="61" t="n">
        <f aca="false">AA1264/(1-Resumo!$B$5)</f>
        <v>142.965875</v>
      </c>
      <c r="AC1264" s="61" t="n">
        <f aca="false">AB1264-S1264</f>
        <v>38.3181954545454</v>
      </c>
      <c r="AD1264" s="62" t="n">
        <f aca="false">AB1264/S1264-1</f>
        <v>0.366163832977315</v>
      </c>
      <c r="AE1264" s="60" t="str">
        <f aca="false">IF(AB1264&lt;S1264,"SIM","NÃO")</f>
        <v>NÃO</v>
      </c>
      <c r="AF1264" s="60" t="n">
        <v>2</v>
      </c>
      <c r="AG1264" s="60" t="n">
        <v>5</v>
      </c>
      <c r="AH1264" s="60" t="s">
        <v>382</v>
      </c>
      <c r="AI1264" s="61" t="n">
        <f aca="false">(T1264*(1-Painel!$C$40)+U1264+V1264+Painel!$C$41+Painel!$C$42*CEILING(G1264/100,1)+Painel!$C$43*CEILING(G1264,1)+Z1264)/(1-Resumo!$B$5)</f>
        <v>100.465761363636</v>
      </c>
      <c r="AJ1264" s="60" t="str">
        <f aca="false">IF(AI1264&lt;S1264,"SIM","NÃO")</f>
        <v>SIM</v>
      </c>
    </row>
    <row r="1265" customFormat="false" ht="15" hidden="false" customHeight="false" outlineLevel="0" collapsed="false">
      <c r="A1265" s="59" t="n">
        <v>46254.6011805556</v>
      </c>
      <c r="B1265" s="60" t="s">
        <v>1555</v>
      </c>
      <c r="C1265" s="60" t="n">
        <v>26086460</v>
      </c>
      <c r="D1265" s="60" t="s">
        <v>49</v>
      </c>
      <c r="E1265" s="60" t="s">
        <v>23</v>
      </c>
      <c r="F1265" s="60" t="s">
        <v>235</v>
      </c>
      <c r="G1265" s="60" t="n">
        <v>48.3</v>
      </c>
      <c r="H1265" s="61" t="n">
        <v>449.99</v>
      </c>
      <c r="I1265" s="61" t="n">
        <v>65.36</v>
      </c>
      <c r="J1265" s="61" t="n">
        <f aca="false">H1265*Resumo!$C$6</f>
        <v>0</v>
      </c>
      <c r="K1265" s="61" t="n">
        <f aca="false">H1265*Resumo!$C$7</f>
        <v>0.944979</v>
      </c>
      <c r="L1265" s="61" t="n">
        <f aca="false">H1265*Resumo!$C$8</f>
        <v>0.944979</v>
      </c>
      <c r="M1265" s="61" t="n">
        <f aca="false">Resumo!$C$10*CEILING(G1265/100,1)</f>
        <v>1.05</v>
      </c>
      <c r="N1265" s="61" t="n">
        <f aca="false">Resumo!$C$9</f>
        <v>0</v>
      </c>
      <c r="O1265" s="61" t="n">
        <f aca="false">Resumo!$C$13</f>
        <v>13.55</v>
      </c>
      <c r="P1265" s="61" t="n">
        <f aca="false">Resumo!$C$14*CEILING(G1265,1)</f>
        <v>22.05</v>
      </c>
      <c r="Q1265" s="61" t="n">
        <f aca="false">SUM(I1265:P1265)*Resumo!$C$11</f>
        <v>0</v>
      </c>
      <c r="R1265" s="61" t="n">
        <f aca="false">SUM(I1265:Q1265)</f>
        <v>103.899958</v>
      </c>
      <c r="S1265" s="61" t="n">
        <f aca="false">R1265/(1-Resumo!$C$5)</f>
        <v>118.068134090909</v>
      </c>
      <c r="T1265" s="61" t="n">
        <v>93.97</v>
      </c>
      <c r="U1265" s="61" t="n">
        <f aca="false">H1265*Resumo!$B$6</f>
        <v>0.44999</v>
      </c>
      <c r="V1265" s="61" t="n">
        <f aca="false">H1265*Resumo!$B$7</f>
        <v>0.89998</v>
      </c>
      <c r="W1265" s="61" t="n">
        <f aca="false">Resumo!$B$9</f>
        <v>1</v>
      </c>
      <c r="X1265" s="61" t="n">
        <f aca="false">Resumo!$B$10*CEILING(G1265/100,1)</f>
        <v>4.5</v>
      </c>
      <c r="Y1265" s="61" t="n">
        <f aca="false">Resumo!$B$12*CEILING(G1265,1)</f>
        <v>2.94</v>
      </c>
      <c r="Z1265" s="61" t="n">
        <f aca="false">Resumo!$B$14*CEILING(G1265,1)</f>
        <v>22.05</v>
      </c>
      <c r="AA1265" s="61" t="n">
        <f aca="false">SUM(T1265:Z1265)</f>
        <v>125.80997</v>
      </c>
      <c r="AB1265" s="61" t="n">
        <f aca="false">AA1265/(1-Resumo!$B$5)</f>
        <v>142.965875</v>
      </c>
      <c r="AC1265" s="61" t="n">
        <f aca="false">AB1265-S1265</f>
        <v>24.8977409090909</v>
      </c>
      <c r="AD1265" s="62" t="n">
        <f aca="false">AB1265/S1265-1</f>
        <v>0.210876042895032</v>
      </c>
      <c r="AE1265" s="60" t="str">
        <f aca="false">IF(AB1265&lt;S1265,"SIM","NÃO")</f>
        <v>NÃO</v>
      </c>
      <c r="AF1265" s="60" t="n">
        <v>2</v>
      </c>
      <c r="AG1265" s="60" t="n">
        <v>5</v>
      </c>
      <c r="AH1265" s="60" t="s">
        <v>382</v>
      </c>
      <c r="AI1265" s="61" t="n">
        <f aca="false">(T1265*(1-Painel!$C$40)+U1265+V1265+Painel!$C$41+Painel!$C$42*CEILING(G1265/100,1)+Painel!$C$43*CEILING(G1265,1)+Z1265)/(1-Resumo!$B$5)</f>
        <v>100.465761363636</v>
      </c>
      <c r="AJ1265" s="60" t="str">
        <f aca="false">IF(AI1265&lt;S1265,"SIM","NÃO")</f>
        <v>SIM</v>
      </c>
    </row>
    <row r="1266" customFormat="false" ht="15" hidden="false" customHeight="false" outlineLevel="0" collapsed="false">
      <c r="A1266" s="59" t="n">
        <v>46254.608587963</v>
      </c>
      <c r="B1266" s="60" t="s">
        <v>519</v>
      </c>
      <c r="C1266" s="60" t="n">
        <v>22763627</v>
      </c>
      <c r="D1266" s="60" t="s">
        <v>46</v>
      </c>
      <c r="E1266" s="60" t="s">
        <v>22</v>
      </c>
      <c r="F1266" s="60" t="s">
        <v>235</v>
      </c>
      <c r="G1266" s="60" t="n">
        <v>46.8</v>
      </c>
      <c r="H1266" s="61" t="n">
        <v>499.37</v>
      </c>
      <c r="I1266" s="61" t="n">
        <v>53.55</v>
      </c>
      <c r="J1266" s="61" t="n">
        <f aca="false">H1266*Resumo!$C$6</f>
        <v>0</v>
      </c>
      <c r="K1266" s="61" t="n">
        <f aca="false">H1266*Resumo!$C$7</f>
        <v>1.048677</v>
      </c>
      <c r="L1266" s="61" t="n">
        <f aca="false">H1266*Resumo!$C$8</f>
        <v>1.048677</v>
      </c>
      <c r="M1266" s="61" t="n">
        <f aca="false">Resumo!$C$10*CEILING(G1266/100,1)</f>
        <v>1.05</v>
      </c>
      <c r="N1266" s="61" t="n">
        <f aca="false">Resumo!$C$9</f>
        <v>0</v>
      </c>
      <c r="O1266" s="61" t="n">
        <f aca="false">Resumo!$C$13</f>
        <v>13.55</v>
      </c>
      <c r="P1266" s="61" t="n">
        <f aca="false">Resumo!$C$14*CEILING(G1266,1)</f>
        <v>21.15</v>
      </c>
      <c r="Q1266" s="61" t="n">
        <f aca="false">SUM(I1266:P1266)*Resumo!$C$11</f>
        <v>0</v>
      </c>
      <c r="R1266" s="61" t="n">
        <f aca="false">SUM(I1266:Q1266)</f>
        <v>91.397354</v>
      </c>
      <c r="S1266" s="61" t="n">
        <f aca="false">R1266/(1-Resumo!$C$5)</f>
        <v>103.860629545455</v>
      </c>
      <c r="T1266" s="61" t="n">
        <v>93.97</v>
      </c>
      <c r="U1266" s="61" t="n">
        <f aca="false">H1266*Resumo!$B$6</f>
        <v>0.49937</v>
      </c>
      <c r="V1266" s="61" t="n">
        <f aca="false">H1266*Resumo!$B$7</f>
        <v>0.99874</v>
      </c>
      <c r="W1266" s="61" t="n">
        <f aca="false">Resumo!$B$9</f>
        <v>1</v>
      </c>
      <c r="X1266" s="61" t="n">
        <f aca="false">Resumo!$B$10*CEILING(G1266/100,1)</f>
        <v>4.5</v>
      </c>
      <c r="Y1266" s="61" t="n">
        <f aca="false">Resumo!$B$12*CEILING(G1266,1)</f>
        <v>2.82</v>
      </c>
      <c r="Z1266" s="61" t="n">
        <f aca="false">Resumo!$B$14*CEILING(G1266,1)</f>
        <v>21.15</v>
      </c>
      <c r="AA1266" s="61" t="n">
        <f aca="false">SUM(T1266:Z1266)</f>
        <v>124.93811</v>
      </c>
      <c r="AB1266" s="61" t="n">
        <f aca="false">AA1266/(1-Resumo!$B$5)</f>
        <v>141.975125</v>
      </c>
      <c r="AC1266" s="61" t="n">
        <f aca="false">AB1266-S1266</f>
        <v>38.1144954545455</v>
      </c>
      <c r="AD1266" s="62" t="n">
        <f aca="false">AB1266/S1266-1</f>
        <v>0.366977319715405</v>
      </c>
      <c r="AE1266" s="60" t="str">
        <f aca="false">IF(AB1266&lt;S1266,"SIM","NÃO")</f>
        <v>NÃO</v>
      </c>
      <c r="AF1266" s="60" t="n">
        <v>2</v>
      </c>
      <c r="AG1266" s="60" t="n">
        <v>5</v>
      </c>
      <c r="AH1266" s="60" t="s">
        <v>382</v>
      </c>
      <c r="AI1266" s="61" t="n">
        <f aca="false">(T1266*(1-Painel!$C$40)+U1266+V1266+Painel!$C$41+Painel!$C$42*CEILING(G1266/100,1)+Painel!$C$43*CEILING(G1266,1)+Z1266)/(1-Resumo!$B$5)</f>
        <v>99.611375</v>
      </c>
      <c r="AJ1266" s="60" t="str">
        <f aca="false">IF(AI1266&lt;S1266,"SIM","NÃO")</f>
        <v>SIM</v>
      </c>
    </row>
    <row r="1267" customFormat="false" ht="15" hidden="false" customHeight="false" outlineLevel="0" collapsed="false">
      <c r="A1267" s="59" t="n">
        <v>46254.6122685185</v>
      </c>
      <c r="B1267" s="60" t="s">
        <v>1556</v>
      </c>
      <c r="C1267" s="60" t="n">
        <v>28070406</v>
      </c>
      <c r="D1267" s="60" t="s">
        <v>51</v>
      </c>
      <c r="E1267" s="60" t="s">
        <v>24</v>
      </c>
      <c r="F1267" s="60" t="s">
        <v>236</v>
      </c>
      <c r="G1267" s="60" t="n">
        <v>52.3</v>
      </c>
      <c r="H1267" s="61" t="n">
        <v>669.99</v>
      </c>
      <c r="I1267" s="61" t="n">
        <v>83.58</v>
      </c>
      <c r="J1267" s="61" t="n">
        <f aca="false">H1267*Resumo!$C$6</f>
        <v>0</v>
      </c>
      <c r="K1267" s="61" t="n">
        <f aca="false">H1267*Resumo!$C$7</f>
        <v>1.406979</v>
      </c>
      <c r="L1267" s="61" t="n">
        <f aca="false">H1267*Resumo!$C$8</f>
        <v>1.406979</v>
      </c>
      <c r="M1267" s="61" t="n">
        <f aca="false">Resumo!$C$10*CEILING(G1267/100,1)</f>
        <v>1.05</v>
      </c>
      <c r="N1267" s="61" t="n">
        <f aca="false">Resumo!$C$9</f>
        <v>0</v>
      </c>
      <c r="O1267" s="61" t="n">
        <f aca="false">Resumo!$C$13</f>
        <v>13.55</v>
      </c>
      <c r="P1267" s="61" t="n">
        <f aca="false">Resumo!$C$14*CEILING(G1267,1)</f>
        <v>23.85</v>
      </c>
      <c r="Q1267" s="61" t="n">
        <f aca="false">SUM(I1267:P1267)*Resumo!$C$11</f>
        <v>0</v>
      </c>
      <c r="R1267" s="61" t="n">
        <f aca="false">SUM(I1267:Q1267)</f>
        <v>124.843958</v>
      </c>
      <c r="S1267" s="61" t="n">
        <f aca="false">R1267/(1-Resumo!$C$5)</f>
        <v>141.868134090909</v>
      </c>
      <c r="T1267" s="61" t="n">
        <v>162.04</v>
      </c>
      <c r="U1267" s="61" t="n">
        <f aca="false">H1267*Resumo!$B$6</f>
        <v>0.66999</v>
      </c>
      <c r="V1267" s="61" t="n">
        <f aca="false">H1267*Resumo!$B$7</f>
        <v>1.33998</v>
      </c>
      <c r="W1267" s="61" t="n">
        <f aca="false">Resumo!$B$9</f>
        <v>1</v>
      </c>
      <c r="X1267" s="61" t="n">
        <f aca="false">Resumo!$B$10*CEILING(G1267/100,1)</f>
        <v>4.5</v>
      </c>
      <c r="Y1267" s="61" t="n">
        <f aca="false">Resumo!$B$12*CEILING(G1267,1)</f>
        <v>3.18</v>
      </c>
      <c r="Z1267" s="61" t="n">
        <f aca="false">Resumo!$B$14*CEILING(G1267,1)</f>
        <v>23.85</v>
      </c>
      <c r="AA1267" s="61" t="n">
        <f aca="false">SUM(T1267:Z1267)</f>
        <v>196.57997</v>
      </c>
      <c r="AB1267" s="61" t="n">
        <f aca="false">AA1267/(1-Resumo!$B$5)</f>
        <v>223.386329545455</v>
      </c>
      <c r="AC1267" s="61" t="n">
        <f aca="false">AB1267-S1267</f>
        <v>81.5181954545454</v>
      </c>
      <c r="AD1267" s="62" t="n">
        <f aca="false">AB1267/S1267-1</f>
        <v>0.574605396602373</v>
      </c>
      <c r="AE1267" s="60" t="str">
        <f aca="false">IF(AB1267&lt;S1267,"SIM","NÃO")</f>
        <v>NÃO</v>
      </c>
      <c r="AF1267" s="60" t="n">
        <v>13</v>
      </c>
      <c r="AG1267" s="60" t="n">
        <v>11</v>
      </c>
      <c r="AH1267" s="60" t="s">
        <v>382</v>
      </c>
      <c r="AI1267" s="61" t="n">
        <f aca="false">(T1267*(1-Painel!$C$40)+U1267+V1267+Painel!$C$41+Painel!$C$42*CEILING(G1267/100,1)+Painel!$C$43*CEILING(G1267,1)+Z1267)/(1-Resumo!$B$5)</f>
        <v>155.087238636364</v>
      </c>
      <c r="AJ1267" s="60" t="str">
        <f aca="false">IF(AI1267&lt;S1267,"SIM","NÃO")</f>
        <v>NÃO</v>
      </c>
    </row>
    <row r="1268" customFormat="false" ht="15" hidden="false" customHeight="false" outlineLevel="0" collapsed="false">
      <c r="A1268" s="59" t="n">
        <v>46254.6159259259</v>
      </c>
      <c r="B1268" s="60" t="s">
        <v>1161</v>
      </c>
      <c r="C1268" s="60" t="n">
        <v>22641004</v>
      </c>
      <c r="D1268" s="60" t="s">
        <v>46</v>
      </c>
      <c r="E1268" s="60" t="s">
        <v>22</v>
      </c>
      <c r="F1268" s="60" t="s">
        <v>236</v>
      </c>
      <c r="G1268" s="60" t="n">
        <v>52.3</v>
      </c>
      <c r="H1268" s="61" t="n">
        <v>669.99</v>
      </c>
      <c r="I1268" s="61" t="n">
        <v>58.6</v>
      </c>
      <c r="J1268" s="61" t="n">
        <f aca="false">H1268*Resumo!$C$6</f>
        <v>0</v>
      </c>
      <c r="K1268" s="61" t="n">
        <f aca="false">H1268*Resumo!$C$7</f>
        <v>1.406979</v>
      </c>
      <c r="L1268" s="61" t="n">
        <f aca="false">H1268*Resumo!$C$8</f>
        <v>1.406979</v>
      </c>
      <c r="M1268" s="61" t="n">
        <f aca="false">Resumo!$C$10*CEILING(G1268/100,1)</f>
        <v>1.05</v>
      </c>
      <c r="N1268" s="61" t="n">
        <f aca="false">Resumo!$C$9</f>
        <v>0</v>
      </c>
      <c r="O1268" s="61" t="n">
        <f aca="false">Resumo!$C$13</f>
        <v>13.55</v>
      </c>
      <c r="P1268" s="61" t="n">
        <f aca="false">Resumo!$C$14*CEILING(G1268,1)</f>
        <v>23.85</v>
      </c>
      <c r="Q1268" s="61" t="n">
        <f aca="false">SUM(I1268:P1268)*Resumo!$C$11</f>
        <v>0</v>
      </c>
      <c r="R1268" s="61" t="n">
        <f aca="false">SUM(I1268:Q1268)</f>
        <v>99.863958</v>
      </c>
      <c r="S1268" s="61" t="n">
        <f aca="false">R1268/(1-Resumo!$C$5)</f>
        <v>113.481770454545</v>
      </c>
      <c r="T1268" s="61" t="n">
        <v>112.3</v>
      </c>
      <c r="U1268" s="61" t="n">
        <f aca="false">H1268*Resumo!$B$6</f>
        <v>0.66999</v>
      </c>
      <c r="V1268" s="61" t="n">
        <f aca="false">H1268*Resumo!$B$7</f>
        <v>1.33998</v>
      </c>
      <c r="W1268" s="61" t="n">
        <f aca="false">Resumo!$B$9</f>
        <v>1</v>
      </c>
      <c r="X1268" s="61" t="n">
        <f aca="false">Resumo!$B$10*CEILING(G1268/100,1)</f>
        <v>4.5</v>
      </c>
      <c r="Y1268" s="61" t="n">
        <f aca="false">Resumo!$B$12*CEILING(G1268,1)</f>
        <v>3.18</v>
      </c>
      <c r="Z1268" s="61" t="n">
        <f aca="false">Resumo!$B$14*CEILING(G1268,1)</f>
        <v>23.85</v>
      </c>
      <c r="AA1268" s="61" t="n">
        <f aca="false">SUM(T1268:Z1268)</f>
        <v>146.83997</v>
      </c>
      <c r="AB1268" s="61" t="n">
        <f aca="false">AA1268/(1-Resumo!$B$5)</f>
        <v>166.863602272727</v>
      </c>
      <c r="AC1268" s="61" t="n">
        <f aca="false">AB1268-S1268</f>
        <v>53.3818318181818</v>
      </c>
      <c r="AD1268" s="62" t="n">
        <f aca="false">AB1268/S1268-1</f>
        <v>0.470400061651872</v>
      </c>
      <c r="AE1268" s="60" t="str">
        <f aca="false">IF(AB1268&lt;S1268,"SIM","NÃO")</f>
        <v>NÃO</v>
      </c>
      <c r="AF1268" s="60" t="n">
        <v>2</v>
      </c>
      <c r="AG1268" s="60" t="n">
        <v>5</v>
      </c>
      <c r="AH1268" s="60" t="s">
        <v>382</v>
      </c>
      <c r="AI1268" s="61" t="n">
        <f aca="false">(T1268*(1-Painel!$C$40)+U1268+V1268+Painel!$C$41+Painel!$C$42*CEILING(G1268/100,1)+Painel!$C$43*CEILING(G1268,1)+Z1268)/(1-Resumo!$B$5)</f>
        <v>117.217011363636</v>
      </c>
      <c r="AJ1268" s="60" t="str">
        <f aca="false">IF(AI1268&lt;S1268,"SIM","NÃO")</f>
        <v>NÃO</v>
      </c>
    </row>
    <row r="1269" customFormat="false" ht="15" hidden="false" customHeight="false" outlineLevel="0" collapsed="false">
      <c r="A1269" s="59" t="n">
        <v>46254.633125</v>
      </c>
      <c r="B1269" s="60" t="s">
        <v>1557</v>
      </c>
      <c r="C1269" s="60" t="n">
        <v>25035160</v>
      </c>
      <c r="D1269" s="60" t="s">
        <v>48</v>
      </c>
      <c r="E1269" s="60" t="s">
        <v>23</v>
      </c>
      <c r="F1269" s="60" t="s">
        <v>237</v>
      </c>
      <c r="G1269" s="60" t="n">
        <v>63.9</v>
      </c>
      <c r="H1269" s="61" t="n">
        <v>730.98</v>
      </c>
      <c r="I1269" s="61" t="n">
        <v>76.55</v>
      </c>
      <c r="J1269" s="61" t="n">
        <f aca="false">H1269*Resumo!$C$6</f>
        <v>0</v>
      </c>
      <c r="K1269" s="61" t="n">
        <f aca="false">H1269*Resumo!$C$7</f>
        <v>1.535058</v>
      </c>
      <c r="L1269" s="61" t="n">
        <f aca="false">H1269*Resumo!$C$8</f>
        <v>1.535058</v>
      </c>
      <c r="M1269" s="61" t="n">
        <f aca="false">Resumo!$C$10*CEILING(G1269/100,1)</f>
        <v>1.05</v>
      </c>
      <c r="N1269" s="61" t="n">
        <f aca="false">Resumo!$C$9</f>
        <v>0</v>
      </c>
      <c r="O1269" s="61" t="n">
        <f aca="false">Resumo!$C$13</f>
        <v>13.55</v>
      </c>
      <c r="P1269" s="61" t="n">
        <f aca="false">Resumo!$C$14*CEILING(G1269,1)</f>
        <v>28.8</v>
      </c>
      <c r="Q1269" s="61" t="n">
        <f aca="false">SUM(I1269:P1269)*Resumo!$C$11</f>
        <v>0</v>
      </c>
      <c r="R1269" s="61" t="n">
        <f aca="false">SUM(I1269:Q1269)</f>
        <v>123.020116</v>
      </c>
      <c r="S1269" s="61" t="n">
        <f aca="false">R1269/(1-Resumo!$C$5)</f>
        <v>139.795586363636</v>
      </c>
      <c r="T1269" s="61" t="n">
        <v>131.02</v>
      </c>
      <c r="U1269" s="61" t="n">
        <f aca="false">H1269*Resumo!$B$6</f>
        <v>0.73098</v>
      </c>
      <c r="V1269" s="61" t="n">
        <f aca="false">H1269*Resumo!$B$7</f>
        <v>1.46196</v>
      </c>
      <c r="W1269" s="61" t="n">
        <f aca="false">Resumo!$B$9</f>
        <v>1</v>
      </c>
      <c r="X1269" s="61" t="n">
        <f aca="false">Resumo!$B$10*CEILING(G1269/100,1)</f>
        <v>4.5</v>
      </c>
      <c r="Y1269" s="61" t="n">
        <f aca="false">Resumo!$B$12*CEILING(G1269,1)</f>
        <v>3.84</v>
      </c>
      <c r="Z1269" s="61" t="n">
        <f aca="false">Resumo!$B$14*CEILING(G1269,1)</f>
        <v>28.8</v>
      </c>
      <c r="AA1269" s="61" t="n">
        <f aca="false">SUM(T1269:Z1269)</f>
        <v>171.35294</v>
      </c>
      <c r="AB1269" s="61" t="n">
        <f aca="false">AA1269/(1-Resumo!$B$5)</f>
        <v>194.71925</v>
      </c>
      <c r="AC1269" s="61" t="n">
        <f aca="false">AB1269-S1269</f>
        <v>54.9236636363636</v>
      </c>
      <c r="AD1269" s="62" t="n">
        <f aca="false">AB1269/S1269-1</f>
        <v>0.392885534264982</v>
      </c>
      <c r="AE1269" s="60" t="str">
        <f aca="false">IF(AB1269&lt;S1269,"SIM","NÃO")</f>
        <v>NÃO</v>
      </c>
      <c r="AF1269" s="60" t="n">
        <v>2</v>
      </c>
      <c r="AG1269" s="60" t="n">
        <v>5</v>
      </c>
      <c r="AH1269" s="60" t="s">
        <v>382</v>
      </c>
      <c r="AI1269" s="61" t="n">
        <f aca="false">(T1269*(1-Painel!$C$40)+U1269+V1269+Painel!$C$41+Painel!$C$42*CEILING(G1269/100,1)+Painel!$C$43*CEILING(G1269,1)+Z1269)/(1-Resumo!$B$5)</f>
        <v>137.302659090909</v>
      </c>
      <c r="AJ1269" s="60" t="str">
        <f aca="false">IF(AI1269&lt;S1269,"SIM","NÃO")</f>
        <v>SIM</v>
      </c>
    </row>
    <row r="1270" customFormat="false" ht="15" hidden="false" customHeight="false" outlineLevel="0" collapsed="false">
      <c r="A1270" s="59" t="n">
        <v>46254.6410648148</v>
      </c>
      <c r="B1270" s="60" t="s">
        <v>1558</v>
      </c>
      <c r="C1270" s="60" t="n">
        <v>22750443</v>
      </c>
      <c r="D1270" s="60" t="s">
        <v>46</v>
      </c>
      <c r="E1270" s="60" t="s">
        <v>22</v>
      </c>
      <c r="F1270" s="60" t="s">
        <v>236</v>
      </c>
      <c r="G1270" s="60" t="n">
        <v>52.3</v>
      </c>
      <c r="H1270" s="61" t="n">
        <v>669.99</v>
      </c>
      <c r="I1270" s="61" t="n">
        <v>58.6</v>
      </c>
      <c r="J1270" s="61" t="n">
        <f aca="false">H1270*Resumo!$C$6</f>
        <v>0</v>
      </c>
      <c r="K1270" s="61" t="n">
        <f aca="false">H1270*Resumo!$C$7</f>
        <v>1.406979</v>
      </c>
      <c r="L1270" s="61" t="n">
        <f aca="false">H1270*Resumo!$C$8</f>
        <v>1.406979</v>
      </c>
      <c r="M1270" s="61" t="n">
        <f aca="false">Resumo!$C$10*CEILING(G1270/100,1)</f>
        <v>1.05</v>
      </c>
      <c r="N1270" s="61" t="n">
        <f aca="false">Resumo!$C$9</f>
        <v>0</v>
      </c>
      <c r="O1270" s="61" t="n">
        <f aca="false">Resumo!$C$13</f>
        <v>13.55</v>
      </c>
      <c r="P1270" s="61" t="n">
        <f aca="false">Resumo!$C$14*CEILING(G1270,1)</f>
        <v>23.85</v>
      </c>
      <c r="Q1270" s="61" t="n">
        <f aca="false">SUM(I1270:P1270)*Resumo!$C$11</f>
        <v>0</v>
      </c>
      <c r="R1270" s="61" t="n">
        <f aca="false">SUM(I1270:Q1270)</f>
        <v>99.863958</v>
      </c>
      <c r="S1270" s="61" t="n">
        <f aca="false">R1270/(1-Resumo!$C$5)</f>
        <v>113.481770454545</v>
      </c>
      <c r="T1270" s="61" t="n">
        <v>112.3</v>
      </c>
      <c r="U1270" s="61" t="n">
        <f aca="false">H1270*Resumo!$B$6</f>
        <v>0.66999</v>
      </c>
      <c r="V1270" s="61" t="n">
        <f aca="false">H1270*Resumo!$B$7</f>
        <v>1.33998</v>
      </c>
      <c r="W1270" s="61" t="n">
        <f aca="false">Resumo!$B$9</f>
        <v>1</v>
      </c>
      <c r="X1270" s="61" t="n">
        <f aca="false">Resumo!$B$10*CEILING(G1270/100,1)</f>
        <v>4.5</v>
      </c>
      <c r="Y1270" s="61" t="n">
        <f aca="false">Resumo!$B$12*CEILING(G1270,1)</f>
        <v>3.18</v>
      </c>
      <c r="Z1270" s="61" t="n">
        <f aca="false">Resumo!$B$14*CEILING(G1270,1)</f>
        <v>23.85</v>
      </c>
      <c r="AA1270" s="61" t="n">
        <f aca="false">SUM(T1270:Z1270)</f>
        <v>146.83997</v>
      </c>
      <c r="AB1270" s="61" t="n">
        <f aca="false">AA1270/(1-Resumo!$B$5)</f>
        <v>166.863602272727</v>
      </c>
      <c r="AC1270" s="61" t="n">
        <f aca="false">AB1270-S1270</f>
        <v>53.3818318181818</v>
      </c>
      <c r="AD1270" s="62" t="n">
        <f aca="false">AB1270/S1270-1</f>
        <v>0.470400061651872</v>
      </c>
      <c r="AE1270" s="60" t="str">
        <f aca="false">IF(AB1270&lt;S1270,"SIM","NÃO")</f>
        <v>NÃO</v>
      </c>
      <c r="AF1270" s="60" t="n">
        <v>2</v>
      </c>
      <c r="AG1270" s="60" t="n">
        <v>5</v>
      </c>
      <c r="AH1270" s="60" t="s">
        <v>382</v>
      </c>
      <c r="AI1270" s="61" t="n">
        <f aca="false">(T1270*(1-Painel!$C$40)+U1270+V1270+Painel!$C$41+Painel!$C$42*CEILING(G1270/100,1)+Painel!$C$43*CEILING(G1270,1)+Z1270)/(1-Resumo!$B$5)</f>
        <v>117.217011363636</v>
      </c>
      <c r="AJ1270" s="60" t="str">
        <f aca="false">IF(AI1270&lt;S1270,"SIM","NÃO")</f>
        <v>NÃO</v>
      </c>
    </row>
    <row r="1271" customFormat="false" ht="15" hidden="false" customHeight="false" outlineLevel="0" collapsed="false">
      <c r="A1271" s="59" t="n">
        <v>46254.6428703704</v>
      </c>
      <c r="B1271" s="60" t="s">
        <v>1559</v>
      </c>
      <c r="C1271" s="60" t="n">
        <v>21020260</v>
      </c>
      <c r="D1271" s="60" t="s">
        <v>46</v>
      </c>
      <c r="E1271" s="60" t="s">
        <v>22</v>
      </c>
      <c r="F1271" s="60" t="s">
        <v>236</v>
      </c>
      <c r="G1271" s="60" t="n">
        <v>52.3</v>
      </c>
      <c r="H1271" s="61" t="n">
        <v>604.56</v>
      </c>
      <c r="I1271" s="61" t="n">
        <v>58.6</v>
      </c>
      <c r="J1271" s="61" t="n">
        <f aca="false">H1271*Resumo!$C$6</f>
        <v>0</v>
      </c>
      <c r="K1271" s="61" t="n">
        <f aca="false">H1271*Resumo!$C$7</f>
        <v>1.269576</v>
      </c>
      <c r="L1271" s="61" t="n">
        <f aca="false">H1271*Resumo!$C$8</f>
        <v>1.269576</v>
      </c>
      <c r="M1271" s="61" t="n">
        <f aca="false">Resumo!$C$10*CEILING(G1271/100,1)</f>
        <v>1.05</v>
      </c>
      <c r="N1271" s="61" t="n">
        <f aca="false">Resumo!$C$9</f>
        <v>0</v>
      </c>
      <c r="O1271" s="61" t="n">
        <f aca="false">Resumo!$C$13</f>
        <v>13.55</v>
      </c>
      <c r="P1271" s="61" t="n">
        <f aca="false">Resumo!$C$14*CEILING(G1271,1)</f>
        <v>23.85</v>
      </c>
      <c r="Q1271" s="61" t="n">
        <f aca="false">SUM(I1271:P1271)*Resumo!$C$11</f>
        <v>0</v>
      </c>
      <c r="R1271" s="61" t="n">
        <f aca="false">SUM(I1271:Q1271)</f>
        <v>99.589152</v>
      </c>
      <c r="S1271" s="61" t="n">
        <f aca="false">R1271/(1-Resumo!$C$5)</f>
        <v>113.169490909091</v>
      </c>
      <c r="T1271" s="61" t="n">
        <v>112.3</v>
      </c>
      <c r="U1271" s="61" t="n">
        <f aca="false">H1271*Resumo!$B$6</f>
        <v>0.60456</v>
      </c>
      <c r="V1271" s="61" t="n">
        <f aca="false">H1271*Resumo!$B$7</f>
        <v>1.20912</v>
      </c>
      <c r="W1271" s="61" t="n">
        <f aca="false">Resumo!$B$9</f>
        <v>1</v>
      </c>
      <c r="X1271" s="61" t="n">
        <f aca="false">Resumo!$B$10*CEILING(G1271/100,1)</f>
        <v>4.5</v>
      </c>
      <c r="Y1271" s="61" t="n">
        <f aca="false">Resumo!$B$12*CEILING(G1271,1)</f>
        <v>3.18</v>
      </c>
      <c r="Z1271" s="61" t="n">
        <f aca="false">Resumo!$B$14*CEILING(G1271,1)</f>
        <v>23.85</v>
      </c>
      <c r="AA1271" s="61" t="n">
        <f aca="false">SUM(T1271:Z1271)</f>
        <v>146.64368</v>
      </c>
      <c r="AB1271" s="61" t="n">
        <f aca="false">AA1271/(1-Resumo!$B$5)</f>
        <v>166.640545454545</v>
      </c>
      <c r="AC1271" s="61" t="n">
        <f aca="false">AB1271-S1271</f>
        <v>53.4710545454545</v>
      </c>
      <c r="AD1271" s="62" t="n">
        <f aca="false">AB1271/S1271-1</f>
        <v>0.472486481258521</v>
      </c>
      <c r="AE1271" s="60" t="str">
        <f aca="false">IF(AB1271&lt;S1271,"SIM","NÃO")</f>
        <v>NÃO</v>
      </c>
      <c r="AF1271" s="60" t="n">
        <v>2</v>
      </c>
      <c r="AG1271" s="60" t="n">
        <v>5</v>
      </c>
      <c r="AH1271" s="60" t="s">
        <v>382</v>
      </c>
      <c r="AI1271" s="61" t="n">
        <f aca="false">(T1271*(1-Painel!$C$40)+U1271+V1271+Painel!$C$41+Painel!$C$42*CEILING(G1271/100,1)+Painel!$C$43*CEILING(G1271,1)+Z1271)/(1-Resumo!$B$5)</f>
        <v>116.993954545455</v>
      </c>
      <c r="AJ1271" s="60" t="str">
        <f aca="false">IF(AI1271&lt;S1271,"SIM","NÃO")</f>
        <v>NÃO</v>
      </c>
    </row>
    <row r="1272" customFormat="false" ht="15" hidden="false" customHeight="false" outlineLevel="0" collapsed="false">
      <c r="A1272" s="59" t="n">
        <v>46254.6625810185</v>
      </c>
      <c r="B1272" s="60" t="s">
        <v>1560</v>
      </c>
      <c r="C1272" s="60" t="n">
        <v>27213250</v>
      </c>
      <c r="D1272" s="60" t="s">
        <v>217</v>
      </c>
      <c r="E1272" s="60" t="s">
        <v>24</v>
      </c>
      <c r="F1272" s="60" t="s">
        <v>233</v>
      </c>
      <c r="G1272" s="60" t="n">
        <v>27.6</v>
      </c>
      <c r="H1272" s="61" t="n">
        <v>593.99</v>
      </c>
      <c r="I1272" s="61" t="n">
        <v>65.63</v>
      </c>
      <c r="J1272" s="61" t="n">
        <f aca="false">H1272*Resumo!$C$6</f>
        <v>0</v>
      </c>
      <c r="K1272" s="61" t="n">
        <f aca="false">H1272*Resumo!$C$7</f>
        <v>1.247379</v>
      </c>
      <c r="L1272" s="61" t="n">
        <f aca="false">H1272*Resumo!$C$8</f>
        <v>1.247379</v>
      </c>
      <c r="M1272" s="61" t="n">
        <f aca="false">Resumo!$C$10*CEILING(G1272/100,1)</f>
        <v>1.05</v>
      </c>
      <c r="N1272" s="61" t="n">
        <f aca="false">Resumo!$C$9</f>
        <v>0</v>
      </c>
      <c r="O1272" s="61" t="n">
        <f aca="false">Resumo!$C$13</f>
        <v>13.55</v>
      </c>
      <c r="P1272" s="61" t="n">
        <f aca="false">Resumo!$C$14*CEILING(G1272,1)</f>
        <v>12.6</v>
      </c>
      <c r="Q1272" s="61" t="n">
        <f aca="false">SUM(I1272:P1272)*Resumo!$C$11</f>
        <v>0</v>
      </c>
      <c r="R1272" s="61" t="n">
        <f aca="false">SUM(I1272:Q1272)</f>
        <v>95.324758</v>
      </c>
      <c r="S1272" s="61" t="n">
        <f aca="false">R1272/(1-Resumo!$C$5)</f>
        <v>108.323588636364</v>
      </c>
      <c r="T1272" s="61" t="n">
        <v>108.83</v>
      </c>
      <c r="U1272" s="61" t="n">
        <f aca="false">H1272*Resumo!$B$6</f>
        <v>0.59399</v>
      </c>
      <c r="V1272" s="61" t="n">
        <f aca="false">H1272*Resumo!$B$7</f>
        <v>1.18798</v>
      </c>
      <c r="W1272" s="61" t="n">
        <f aca="false">Resumo!$B$9</f>
        <v>1</v>
      </c>
      <c r="X1272" s="61" t="n">
        <f aca="false">Resumo!$B$10*CEILING(G1272/100,1)</f>
        <v>4.5</v>
      </c>
      <c r="Y1272" s="61" t="n">
        <f aca="false">Resumo!$B$12*CEILING(G1272,1)</f>
        <v>1.68</v>
      </c>
      <c r="Z1272" s="61" t="n">
        <f aca="false">Resumo!$B$14*CEILING(G1272,1)</f>
        <v>12.6</v>
      </c>
      <c r="AA1272" s="61" t="n">
        <f aca="false">SUM(T1272:Z1272)</f>
        <v>130.39197</v>
      </c>
      <c r="AB1272" s="61" t="n">
        <f aca="false">AA1272/(1-Resumo!$B$5)</f>
        <v>148.172693181818</v>
      </c>
      <c r="AC1272" s="61" t="n">
        <f aca="false">AB1272-S1272</f>
        <v>39.8491045454546</v>
      </c>
      <c r="AD1272" s="62" t="n">
        <f aca="false">AB1272/S1272-1</f>
        <v>0.367870978492282</v>
      </c>
      <c r="AE1272" s="60" t="str">
        <f aca="false">IF(AB1272&lt;S1272,"SIM","NÃO")</f>
        <v>NÃO</v>
      </c>
      <c r="AF1272" s="60" t="n">
        <v>13</v>
      </c>
      <c r="AG1272" s="60" t="n">
        <v>10</v>
      </c>
      <c r="AH1272" s="60" t="s">
        <v>382</v>
      </c>
      <c r="AI1272" s="61" t="n">
        <f aca="false">(T1272*(1-Painel!$C$40)+U1272+V1272+Painel!$C$41+Painel!$C$42*CEILING(G1272/100,1)+Painel!$C$43*CEILING(G1272,1)+Z1272)/(1-Resumo!$B$5)</f>
        <v>101.531897727273</v>
      </c>
      <c r="AJ1272" s="60" t="str">
        <f aca="false">IF(AI1272&lt;S1272,"SIM","NÃO")</f>
        <v>SIM</v>
      </c>
    </row>
    <row r="1273" customFormat="false" ht="15" hidden="false" customHeight="false" outlineLevel="0" collapsed="false">
      <c r="A1273" s="59" t="n">
        <v>46254.6690509259</v>
      </c>
      <c r="B1273" s="60" t="s">
        <v>1561</v>
      </c>
      <c r="C1273" s="60" t="n">
        <v>26042310</v>
      </c>
      <c r="D1273" s="60" t="s">
        <v>49</v>
      </c>
      <c r="E1273" s="60" t="s">
        <v>23</v>
      </c>
      <c r="F1273" s="60" t="s">
        <v>235</v>
      </c>
      <c r="G1273" s="60" t="n">
        <v>49.6</v>
      </c>
      <c r="H1273" s="61" t="n">
        <v>749.99</v>
      </c>
      <c r="I1273" s="61" t="n">
        <v>65.36</v>
      </c>
      <c r="J1273" s="61" t="n">
        <f aca="false">H1273*Resumo!$C$6</f>
        <v>0</v>
      </c>
      <c r="K1273" s="61" t="n">
        <f aca="false">H1273*Resumo!$C$7</f>
        <v>1.574979</v>
      </c>
      <c r="L1273" s="61" t="n">
        <f aca="false">H1273*Resumo!$C$8</f>
        <v>1.574979</v>
      </c>
      <c r="M1273" s="61" t="n">
        <f aca="false">Resumo!$C$10*CEILING(G1273/100,1)</f>
        <v>1.05</v>
      </c>
      <c r="N1273" s="61" t="n">
        <f aca="false">Resumo!$C$9</f>
        <v>0</v>
      </c>
      <c r="O1273" s="61" t="n">
        <f aca="false">Resumo!$C$13</f>
        <v>13.55</v>
      </c>
      <c r="P1273" s="61" t="n">
        <f aca="false">Resumo!$C$14*CEILING(G1273,1)</f>
        <v>22.5</v>
      </c>
      <c r="Q1273" s="61" t="n">
        <f aca="false">SUM(I1273:P1273)*Resumo!$C$11</f>
        <v>0</v>
      </c>
      <c r="R1273" s="61" t="n">
        <f aca="false">SUM(I1273:Q1273)</f>
        <v>105.609958</v>
      </c>
      <c r="S1273" s="61" t="n">
        <f aca="false">R1273/(1-Resumo!$C$5)</f>
        <v>120.011315909091</v>
      </c>
      <c r="T1273" s="61" t="n">
        <v>93.97</v>
      </c>
      <c r="U1273" s="61" t="n">
        <f aca="false">H1273*Resumo!$B$6</f>
        <v>0.74999</v>
      </c>
      <c r="V1273" s="61" t="n">
        <f aca="false">H1273*Resumo!$B$7</f>
        <v>1.49998</v>
      </c>
      <c r="W1273" s="61" t="n">
        <f aca="false">Resumo!$B$9</f>
        <v>1</v>
      </c>
      <c r="X1273" s="61" t="n">
        <f aca="false">Resumo!$B$10*CEILING(G1273/100,1)</f>
        <v>4.5</v>
      </c>
      <c r="Y1273" s="61" t="n">
        <f aca="false">Resumo!$B$12*CEILING(G1273,1)</f>
        <v>3</v>
      </c>
      <c r="Z1273" s="61" t="n">
        <f aca="false">Resumo!$B$14*CEILING(G1273,1)</f>
        <v>22.5</v>
      </c>
      <c r="AA1273" s="61" t="n">
        <f aca="false">SUM(T1273:Z1273)</f>
        <v>127.21997</v>
      </c>
      <c r="AB1273" s="61" t="n">
        <f aca="false">AA1273/(1-Resumo!$B$5)</f>
        <v>144.568147727273</v>
      </c>
      <c r="AC1273" s="61" t="n">
        <f aca="false">AB1273-S1273</f>
        <v>24.5568318181818</v>
      </c>
      <c r="AD1273" s="62" t="n">
        <f aca="false">AB1273/S1273-1</f>
        <v>0.204620969549103</v>
      </c>
      <c r="AE1273" s="60" t="str">
        <f aca="false">IF(AB1273&lt;S1273,"SIM","NÃO")</f>
        <v>NÃO</v>
      </c>
      <c r="AF1273" s="60" t="n">
        <v>2</v>
      </c>
      <c r="AG1273" s="60" t="n">
        <v>5</v>
      </c>
      <c r="AH1273" s="60" t="s">
        <v>382</v>
      </c>
      <c r="AI1273" s="61" t="n">
        <f aca="false">(T1273*(1-Painel!$C$40)+U1273+V1273+Painel!$C$41+Painel!$C$42*CEILING(G1273/100,1)+Painel!$C$43*CEILING(G1273,1)+Z1273)/(1-Resumo!$B$5)</f>
        <v>101.999852272727</v>
      </c>
      <c r="AJ1273" s="60" t="str">
        <f aca="false">IF(AI1273&lt;S1273,"SIM","NÃO")</f>
        <v>SIM</v>
      </c>
    </row>
    <row r="1274" customFormat="false" ht="15" hidden="false" customHeight="false" outlineLevel="0" collapsed="false">
      <c r="A1274" s="59" t="n">
        <v>46254.6900115741</v>
      </c>
      <c r="B1274" s="60" t="s">
        <v>1562</v>
      </c>
      <c r="C1274" s="60" t="n">
        <v>22451030</v>
      </c>
      <c r="D1274" s="60" t="s">
        <v>46</v>
      </c>
      <c r="E1274" s="60" t="s">
        <v>22</v>
      </c>
      <c r="F1274" s="60" t="s">
        <v>236</v>
      </c>
      <c r="G1274" s="60" t="n">
        <v>52.3</v>
      </c>
      <c r="H1274" s="61" t="n">
        <v>616.99</v>
      </c>
      <c r="I1274" s="61" t="n">
        <v>58.6</v>
      </c>
      <c r="J1274" s="61" t="n">
        <f aca="false">H1274*Resumo!$C$6</f>
        <v>0</v>
      </c>
      <c r="K1274" s="61" t="n">
        <f aca="false">H1274*Resumo!$C$7</f>
        <v>1.295679</v>
      </c>
      <c r="L1274" s="61" t="n">
        <f aca="false">H1274*Resumo!$C$8</f>
        <v>1.295679</v>
      </c>
      <c r="M1274" s="61" t="n">
        <f aca="false">Resumo!$C$10*CEILING(G1274/100,1)</f>
        <v>1.05</v>
      </c>
      <c r="N1274" s="61" t="n">
        <f aca="false">Resumo!$C$9</f>
        <v>0</v>
      </c>
      <c r="O1274" s="61" t="n">
        <f aca="false">Resumo!$C$13</f>
        <v>13.55</v>
      </c>
      <c r="P1274" s="61" t="n">
        <f aca="false">Resumo!$C$14*CEILING(G1274,1)</f>
        <v>23.85</v>
      </c>
      <c r="Q1274" s="61" t="n">
        <f aca="false">SUM(I1274:P1274)*Resumo!$C$11</f>
        <v>0</v>
      </c>
      <c r="R1274" s="61" t="n">
        <f aca="false">SUM(I1274:Q1274)</f>
        <v>99.641358</v>
      </c>
      <c r="S1274" s="61" t="n">
        <f aca="false">R1274/(1-Resumo!$C$5)</f>
        <v>113.228815909091</v>
      </c>
      <c r="T1274" s="61" t="n">
        <v>112.3</v>
      </c>
      <c r="U1274" s="61" t="n">
        <f aca="false">H1274*Resumo!$B$6</f>
        <v>0.61699</v>
      </c>
      <c r="V1274" s="61" t="n">
        <f aca="false">H1274*Resumo!$B$7</f>
        <v>1.23398</v>
      </c>
      <c r="W1274" s="61" t="n">
        <f aca="false">Resumo!$B$9</f>
        <v>1</v>
      </c>
      <c r="X1274" s="61" t="n">
        <f aca="false">Resumo!$B$10*CEILING(G1274/100,1)</f>
        <v>4.5</v>
      </c>
      <c r="Y1274" s="61" t="n">
        <f aca="false">Resumo!$B$12*CEILING(G1274,1)</f>
        <v>3.18</v>
      </c>
      <c r="Z1274" s="61" t="n">
        <f aca="false">Resumo!$B$14*CEILING(G1274,1)</f>
        <v>23.85</v>
      </c>
      <c r="AA1274" s="61" t="n">
        <f aca="false">SUM(T1274:Z1274)</f>
        <v>146.68097</v>
      </c>
      <c r="AB1274" s="61" t="n">
        <f aca="false">AA1274/(1-Resumo!$B$5)</f>
        <v>166.682920454545</v>
      </c>
      <c r="AC1274" s="61" t="n">
        <f aca="false">AB1274-S1274</f>
        <v>53.4541045454546</v>
      </c>
      <c r="AD1274" s="62" t="n">
        <f aca="false">AB1274/S1274-1</f>
        <v>0.472089230257179</v>
      </c>
      <c r="AE1274" s="60" t="str">
        <f aca="false">IF(AB1274&lt;S1274,"SIM","NÃO")</f>
        <v>NÃO</v>
      </c>
      <c r="AF1274" s="60" t="n">
        <v>2</v>
      </c>
      <c r="AG1274" s="60" t="n">
        <v>5</v>
      </c>
      <c r="AH1274" s="60" t="s">
        <v>382</v>
      </c>
      <c r="AI1274" s="61" t="n">
        <f aca="false">(T1274*(1-Painel!$C$40)+U1274+V1274+Painel!$C$41+Painel!$C$42*CEILING(G1274/100,1)+Painel!$C$43*CEILING(G1274,1)+Z1274)/(1-Resumo!$B$5)</f>
        <v>117.036329545455</v>
      </c>
      <c r="AJ1274" s="60" t="str">
        <f aca="false">IF(AI1274&lt;S1274,"SIM","NÃO")</f>
        <v>NÃO</v>
      </c>
    </row>
    <row r="1275" customFormat="false" ht="15" hidden="false" customHeight="false" outlineLevel="0" collapsed="false">
      <c r="A1275" s="59" t="n">
        <v>46254.7420601852</v>
      </c>
      <c r="B1275" s="60" t="s">
        <v>1563</v>
      </c>
      <c r="C1275" s="60" t="n">
        <v>22420030</v>
      </c>
      <c r="D1275" s="60" t="s">
        <v>46</v>
      </c>
      <c r="E1275" s="60" t="s">
        <v>22</v>
      </c>
      <c r="F1275" s="60" t="s">
        <v>236</v>
      </c>
      <c r="G1275" s="60" t="n">
        <v>55</v>
      </c>
      <c r="H1275" s="61" t="n">
        <v>799.96</v>
      </c>
      <c r="I1275" s="61" t="n">
        <v>58.6</v>
      </c>
      <c r="J1275" s="61" t="n">
        <f aca="false">H1275*Resumo!$C$6</f>
        <v>0</v>
      </c>
      <c r="K1275" s="61" t="n">
        <f aca="false">H1275*Resumo!$C$7</f>
        <v>1.679916</v>
      </c>
      <c r="L1275" s="61" t="n">
        <f aca="false">H1275*Resumo!$C$8</f>
        <v>1.679916</v>
      </c>
      <c r="M1275" s="61" t="n">
        <f aca="false">Resumo!$C$10*CEILING(G1275/100,1)</f>
        <v>1.05</v>
      </c>
      <c r="N1275" s="61" t="n">
        <f aca="false">Resumo!$C$9</f>
        <v>0</v>
      </c>
      <c r="O1275" s="61" t="n">
        <f aca="false">Resumo!$C$13</f>
        <v>13.55</v>
      </c>
      <c r="P1275" s="61" t="n">
        <f aca="false">Resumo!$C$14*CEILING(G1275,1)</f>
        <v>24.75</v>
      </c>
      <c r="Q1275" s="61" t="n">
        <f aca="false">SUM(I1275:P1275)*Resumo!$C$11</f>
        <v>0</v>
      </c>
      <c r="R1275" s="61" t="n">
        <f aca="false">SUM(I1275:Q1275)</f>
        <v>101.309832</v>
      </c>
      <c r="S1275" s="61" t="n">
        <f aca="false">R1275/(1-Resumo!$C$5)</f>
        <v>115.124809090909</v>
      </c>
      <c r="T1275" s="61" t="n">
        <v>112.3</v>
      </c>
      <c r="U1275" s="61" t="n">
        <f aca="false">H1275*Resumo!$B$6</f>
        <v>0.79996</v>
      </c>
      <c r="V1275" s="61" t="n">
        <f aca="false">H1275*Resumo!$B$7</f>
        <v>1.59992</v>
      </c>
      <c r="W1275" s="61" t="n">
        <f aca="false">Resumo!$B$9</f>
        <v>1</v>
      </c>
      <c r="X1275" s="61" t="n">
        <f aca="false">Resumo!$B$10*CEILING(G1275/100,1)</f>
        <v>4.5</v>
      </c>
      <c r="Y1275" s="61" t="n">
        <f aca="false">Resumo!$B$12*CEILING(G1275,1)</f>
        <v>3.3</v>
      </c>
      <c r="Z1275" s="61" t="n">
        <f aca="false">Resumo!$B$14*CEILING(G1275,1)</f>
        <v>24.75</v>
      </c>
      <c r="AA1275" s="61" t="n">
        <f aca="false">SUM(T1275:Z1275)</f>
        <v>148.24988</v>
      </c>
      <c r="AB1275" s="61" t="n">
        <f aca="false">AA1275/(1-Resumo!$B$5)</f>
        <v>168.465772727273</v>
      </c>
      <c r="AC1275" s="61" t="n">
        <f aca="false">AB1275-S1275</f>
        <v>53.3409636363636</v>
      </c>
      <c r="AD1275" s="62" t="n">
        <f aca="false">AB1275/S1275-1</f>
        <v>0.463331614250431</v>
      </c>
      <c r="AE1275" s="60" t="str">
        <f aca="false">IF(AB1275&lt;S1275,"SIM","NÃO")</f>
        <v>NÃO</v>
      </c>
      <c r="AF1275" s="60" t="n">
        <v>2</v>
      </c>
      <c r="AG1275" s="60" t="n">
        <v>5</v>
      </c>
      <c r="AH1275" s="60" t="s">
        <v>382</v>
      </c>
      <c r="AI1275" s="61" t="n">
        <f aca="false">(T1275*(1-Painel!$C$40)+U1275+V1275+Painel!$C$41+Painel!$C$42*CEILING(G1275/100,1)+Painel!$C$43*CEILING(G1275,1)+Z1275)/(1-Resumo!$B$5)</f>
        <v>118.682818181818</v>
      </c>
      <c r="AJ1275" s="60" t="str">
        <f aca="false">IF(AI1275&lt;S1275,"SIM","NÃO")</f>
        <v>NÃO</v>
      </c>
    </row>
    <row r="1276" customFormat="false" ht="15" hidden="false" customHeight="false" outlineLevel="0" collapsed="false">
      <c r="A1276" s="59" t="n">
        <v>46254.7513541667</v>
      </c>
      <c r="B1276" s="60" t="s">
        <v>1564</v>
      </c>
      <c r="C1276" s="60" t="n">
        <v>22795255</v>
      </c>
      <c r="D1276" s="60" t="s">
        <v>46</v>
      </c>
      <c r="E1276" s="60" t="s">
        <v>22</v>
      </c>
      <c r="F1276" s="60" t="s">
        <v>233</v>
      </c>
      <c r="G1276" s="60" t="n">
        <v>22.4</v>
      </c>
      <c r="H1276" s="61" t="n">
        <v>495.99</v>
      </c>
      <c r="I1276" s="61" t="n">
        <v>42.11</v>
      </c>
      <c r="J1276" s="61" t="n">
        <f aca="false">H1276*Resumo!$C$6</f>
        <v>0</v>
      </c>
      <c r="K1276" s="61" t="n">
        <f aca="false">H1276*Resumo!$C$7</f>
        <v>1.041579</v>
      </c>
      <c r="L1276" s="61" t="n">
        <f aca="false">H1276*Resumo!$C$8</f>
        <v>1.041579</v>
      </c>
      <c r="M1276" s="61" t="n">
        <f aca="false">Resumo!$C$10*CEILING(G1276/100,1)</f>
        <v>1.05</v>
      </c>
      <c r="N1276" s="61" t="n">
        <f aca="false">Resumo!$C$9</f>
        <v>0</v>
      </c>
      <c r="O1276" s="61" t="n">
        <f aca="false">Resumo!$C$13</f>
        <v>13.55</v>
      </c>
      <c r="P1276" s="61" t="n">
        <f aca="false">Resumo!$C$14*CEILING(G1276,1)</f>
        <v>10.35</v>
      </c>
      <c r="Q1276" s="61" t="n">
        <f aca="false">SUM(I1276:P1276)*Resumo!$C$11</f>
        <v>0</v>
      </c>
      <c r="R1276" s="61" t="n">
        <f aca="false">SUM(I1276:Q1276)</f>
        <v>69.143158</v>
      </c>
      <c r="S1276" s="61" t="n">
        <f aca="false">R1276/(1-Resumo!$C$5)</f>
        <v>78.5717704545455</v>
      </c>
      <c r="T1276" s="61" t="n">
        <v>82.21</v>
      </c>
      <c r="U1276" s="61" t="n">
        <f aca="false">H1276*Resumo!$B$6</f>
        <v>0.49599</v>
      </c>
      <c r="V1276" s="61" t="n">
        <f aca="false">H1276*Resumo!$B$7</f>
        <v>0.99198</v>
      </c>
      <c r="W1276" s="61" t="n">
        <f aca="false">Resumo!$B$9</f>
        <v>1</v>
      </c>
      <c r="X1276" s="61" t="n">
        <f aca="false">Resumo!$B$10*CEILING(G1276/100,1)</f>
        <v>4.5</v>
      </c>
      <c r="Y1276" s="61" t="n">
        <f aca="false">Resumo!$B$12*CEILING(G1276,1)</f>
        <v>1.38</v>
      </c>
      <c r="Z1276" s="61" t="n">
        <f aca="false">Resumo!$B$14*CEILING(G1276,1)</f>
        <v>10.35</v>
      </c>
      <c r="AA1276" s="61" t="n">
        <f aca="false">SUM(T1276:Z1276)</f>
        <v>100.92797</v>
      </c>
      <c r="AB1276" s="61" t="n">
        <f aca="false">AA1276/(1-Resumo!$B$5)</f>
        <v>114.690875</v>
      </c>
      <c r="AC1276" s="61" t="n">
        <f aca="false">AB1276-S1276</f>
        <v>36.1191045454545</v>
      </c>
      <c r="AD1276" s="62" t="n">
        <f aca="false">AB1276/S1276-1</f>
        <v>0.459695693968736</v>
      </c>
      <c r="AE1276" s="60" t="str">
        <f aca="false">IF(AB1276&lt;S1276,"SIM","NÃO")</f>
        <v>NÃO</v>
      </c>
      <c r="AF1276" s="60" t="n">
        <v>2</v>
      </c>
      <c r="AG1276" s="60" t="n">
        <v>5</v>
      </c>
      <c r="AH1276" s="60" t="s">
        <v>382</v>
      </c>
      <c r="AI1276" s="61" t="n">
        <f aca="false">(T1276*(1-Painel!$C$40)+U1276+V1276+Painel!$C$41+Painel!$C$42*CEILING(G1276/100,1)+Painel!$C$43*CEILING(G1276,1)+Z1276)/(1-Resumo!$B$5)</f>
        <v>78.3734886363636</v>
      </c>
      <c r="AJ1276" s="60" t="str">
        <f aca="false">IF(AI1276&lt;S1276,"SIM","NÃO")</f>
        <v>SIM</v>
      </c>
    </row>
    <row r="1277" customFormat="false" ht="15" hidden="false" customHeight="false" outlineLevel="0" collapsed="false">
      <c r="A1277" s="59" t="n">
        <v>46254.7682291667</v>
      </c>
      <c r="B1277" s="60" t="s">
        <v>1565</v>
      </c>
      <c r="C1277" s="60" t="n">
        <v>28950800</v>
      </c>
      <c r="D1277" s="60" t="s">
        <v>339</v>
      </c>
      <c r="E1277" s="60" t="s">
        <v>24</v>
      </c>
      <c r="F1277" s="60" t="s">
        <v>237</v>
      </c>
      <c r="G1277" s="60" t="n">
        <v>63.9</v>
      </c>
      <c r="H1277" s="61" t="n">
        <v>730.98</v>
      </c>
      <c r="I1277" s="61" t="n">
        <v>90.2</v>
      </c>
      <c r="J1277" s="61" t="n">
        <f aca="false">H1277*Resumo!$C$6</f>
        <v>0</v>
      </c>
      <c r="K1277" s="61" t="n">
        <f aca="false">H1277*Resumo!$C$7</f>
        <v>1.535058</v>
      </c>
      <c r="L1277" s="61" t="n">
        <f aca="false">H1277*Resumo!$C$8</f>
        <v>1.535058</v>
      </c>
      <c r="M1277" s="61" t="n">
        <f aca="false">Resumo!$C$10*CEILING(G1277/100,1)</f>
        <v>1.05</v>
      </c>
      <c r="N1277" s="61" t="n">
        <f aca="false">Resumo!$C$9</f>
        <v>0</v>
      </c>
      <c r="O1277" s="61" t="n">
        <f aca="false">Resumo!$C$13</f>
        <v>13.55</v>
      </c>
      <c r="P1277" s="61" t="n">
        <f aca="false">Resumo!$C$14*CEILING(G1277,1)</f>
        <v>28.8</v>
      </c>
      <c r="Q1277" s="61" t="n">
        <f aca="false">SUM(I1277:P1277)*Resumo!$C$11</f>
        <v>0</v>
      </c>
      <c r="R1277" s="61" t="n">
        <f aca="false">SUM(I1277:Q1277)</f>
        <v>136.670116</v>
      </c>
      <c r="S1277" s="61" t="n">
        <f aca="false">R1277/(1-Resumo!$C$5)</f>
        <v>155.30695</v>
      </c>
      <c r="T1277" s="61" t="n">
        <v>166.05</v>
      </c>
      <c r="U1277" s="61" t="n">
        <f aca="false">H1277*Resumo!$B$6</f>
        <v>0.73098</v>
      </c>
      <c r="V1277" s="61" t="n">
        <f aca="false">H1277*Resumo!$B$7</f>
        <v>1.46196</v>
      </c>
      <c r="W1277" s="61" t="n">
        <f aca="false">Resumo!$B$9</f>
        <v>1</v>
      </c>
      <c r="X1277" s="61" t="n">
        <f aca="false">Resumo!$B$10*CEILING(G1277/100,1)</f>
        <v>4.5</v>
      </c>
      <c r="Y1277" s="61" t="n">
        <f aca="false">Resumo!$B$12*CEILING(G1277,1)</f>
        <v>3.84</v>
      </c>
      <c r="Z1277" s="61" t="n">
        <f aca="false">Resumo!$B$14*CEILING(G1277,1)</f>
        <v>28.8</v>
      </c>
      <c r="AA1277" s="61" t="n">
        <f aca="false">SUM(T1277:Z1277)</f>
        <v>206.38294</v>
      </c>
      <c r="AB1277" s="61" t="n">
        <f aca="false">AA1277/(1-Resumo!$B$5)</f>
        <v>234.526068181818</v>
      </c>
      <c r="AC1277" s="61" t="n">
        <f aca="false">AB1277-S1277</f>
        <v>79.2191181818182</v>
      </c>
      <c r="AD1277" s="62" t="n">
        <f aca="false">AB1277/S1277-1</f>
        <v>0.510080960200546</v>
      </c>
      <c r="AE1277" s="60" t="str">
        <f aca="false">IF(AB1277&lt;S1277,"SIM","NÃO")</f>
        <v>NÃO</v>
      </c>
      <c r="AF1277" s="60" t="n">
        <v>13</v>
      </c>
      <c r="AG1277" s="60" t="n">
        <v>10</v>
      </c>
      <c r="AH1277" s="60" t="s">
        <v>385</v>
      </c>
      <c r="AI1277" s="61" t="n">
        <f aca="false">(T1277*(1-Painel!$C$40)+U1277+V1277+Painel!$C$41+Painel!$C$42*CEILING(G1277/100,1)+Painel!$C$43*CEILING(G1277,1)+Z1277)/(1-Resumo!$B$5)</f>
        <v>163.973227272727</v>
      </c>
      <c r="AJ1277" s="60" t="str">
        <f aca="false">IF(AI1277&lt;S1277,"SIM","NÃO")</f>
        <v>NÃO</v>
      </c>
    </row>
    <row r="1278" customFormat="false" ht="15" hidden="false" customHeight="false" outlineLevel="0" collapsed="false">
      <c r="A1278" s="59" t="n">
        <v>46254.7933680556</v>
      </c>
      <c r="B1278" s="60" t="s">
        <v>1566</v>
      </c>
      <c r="C1278" s="60" t="n">
        <v>26062025</v>
      </c>
      <c r="D1278" s="60" t="s">
        <v>49</v>
      </c>
      <c r="E1278" s="60" t="s">
        <v>23</v>
      </c>
      <c r="F1278" s="60" t="s">
        <v>234</v>
      </c>
      <c r="G1278" s="60" t="n">
        <v>37.2</v>
      </c>
      <c r="H1278" s="61" t="n">
        <v>399.99</v>
      </c>
      <c r="I1278" s="61" t="n">
        <v>66.83</v>
      </c>
      <c r="J1278" s="61" t="n">
        <f aca="false">H1278*Resumo!$C$6</f>
        <v>0</v>
      </c>
      <c r="K1278" s="61" t="n">
        <f aca="false">H1278*Resumo!$C$7</f>
        <v>0.839979</v>
      </c>
      <c r="L1278" s="61" t="n">
        <f aca="false">H1278*Resumo!$C$8</f>
        <v>0.839979</v>
      </c>
      <c r="M1278" s="61" t="n">
        <f aca="false">Resumo!$C$10*CEILING(G1278/100,1)</f>
        <v>1.05</v>
      </c>
      <c r="N1278" s="61" t="n">
        <f aca="false">Resumo!$C$9</f>
        <v>0</v>
      </c>
      <c r="O1278" s="61" t="n">
        <f aca="false">Resumo!$C$13</f>
        <v>13.55</v>
      </c>
      <c r="P1278" s="61" t="n">
        <f aca="false">Resumo!$C$14*CEILING(G1278,1)</f>
        <v>17.1</v>
      </c>
      <c r="Q1278" s="61" t="n">
        <f aca="false">SUM(I1278:P1278)*Resumo!$C$11</f>
        <v>0</v>
      </c>
      <c r="R1278" s="61" t="n">
        <f aca="false">SUM(I1278:Q1278)</f>
        <v>100.209958</v>
      </c>
      <c r="S1278" s="61" t="n">
        <f aca="false">R1278/(1-Resumo!$C$5)</f>
        <v>113.874952272727</v>
      </c>
      <c r="T1278" s="61" t="n">
        <v>93.97</v>
      </c>
      <c r="U1278" s="61" t="n">
        <f aca="false">H1278*Resumo!$B$6</f>
        <v>0.39999</v>
      </c>
      <c r="V1278" s="61" t="n">
        <f aca="false">H1278*Resumo!$B$7</f>
        <v>0.79998</v>
      </c>
      <c r="W1278" s="61" t="n">
        <f aca="false">Resumo!$B$9</f>
        <v>1</v>
      </c>
      <c r="X1278" s="61" t="n">
        <f aca="false">Resumo!$B$10*CEILING(G1278/100,1)</f>
        <v>4.5</v>
      </c>
      <c r="Y1278" s="61" t="n">
        <f aca="false">Resumo!$B$12*CEILING(G1278,1)</f>
        <v>2.28</v>
      </c>
      <c r="Z1278" s="61" t="n">
        <f aca="false">Resumo!$B$14*CEILING(G1278,1)</f>
        <v>17.1</v>
      </c>
      <c r="AA1278" s="61" t="n">
        <f aca="false">SUM(T1278:Z1278)</f>
        <v>120.04997</v>
      </c>
      <c r="AB1278" s="61" t="n">
        <f aca="false">AA1278/(1-Resumo!$B$5)</f>
        <v>136.420420454545</v>
      </c>
      <c r="AC1278" s="61" t="n">
        <f aca="false">AB1278-S1278</f>
        <v>22.5454681818182</v>
      </c>
      <c r="AD1278" s="62" t="n">
        <f aca="false">AB1278/S1278-1</f>
        <v>0.197984435838203</v>
      </c>
      <c r="AE1278" s="60" t="str">
        <f aca="false">IF(AB1278&lt;S1278,"SIM","NÃO")</f>
        <v>NÃO</v>
      </c>
      <c r="AF1278" s="60" t="n">
        <v>2</v>
      </c>
      <c r="AG1278" s="60" t="n">
        <v>5</v>
      </c>
      <c r="AH1278" s="60" t="s">
        <v>382</v>
      </c>
      <c r="AI1278" s="61" t="n">
        <f aca="false">(T1278*(1-Painel!$C$40)+U1278+V1278+Painel!$C$41+Painel!$C$42*CEILING(G1278/100,1)+Painel!$C$43*CEILING(G1278,1)+Z1278)/(1-Resumo!$B$5)</f>
        <v>94.6703068181818</v>
      </c>
      <c r="AJ1278" s="60" t="str">
        <f aca="false">IF(AI1278&lt;S1278,"SIM","NÃO")</f>
        <v>SIM</v>
      </c>
    </row>
    <row r="1279" customFormat="false" ht="15" hidden="false" customHeight="false" outlineLevel="0" collapsed="false">
      <c r="A1279" s="59" t="n">
        <v>46254.8034953704</v>
      </c>
      <c r="B1279" s="60" t="s">
        <v>1567</v>
      </c>
      <c r="C1279" s="60" t="n">
        <v>23820390</v>
      </c>
      <c r="D1279" s="60" t="s">
        <v>263</v>
      </c>
      <c r="E1279" s="60" t="s">
        <v>24</v>
      </c>
      <c r="F1279" s="60" t="s">
        <v>235</v>
      </c>
      <c r="G1279" s="60" t="n">
        <v>45</v>
      </c>
      <c r="H1279" s="61" t="n">
        <v>599.99</v>
      </c>
      <c r="I1279" s="61" t="n">
        <v>77.7</v>
      </c>
      <c r="J1279" s="61" t="n">
        <f aca="false">H1279*Resumo!$C$6</f>
        <v>0</v>
      </c>
      <c r="K1279" s="61" t="n">
        <f aca="false">H1279*Resumo!$C$7</f>
        <v>1.259979</v>
      </c>
      <c r="L1279" s="61" t="n">
        <f aca="false">H1279*Resumo!$C$8</f>
        <v>1.259979</v>
      </c>
      <c r="M1279" s="61" t="n">
        <f aca="false">Resumo!$C$10*CEILING(G1279/100,1)</f>
        <v>1.05</v>
      </c>
      <c r="N1279" s="61" t="n">
        <f aca="false">Resumo!$C$9</f>
        <v>0</v>
      </c>
      <c r="O1279" s="61" t="n">
        <f aca="false">Resumo!$C$13</f>
        <v>13.55</v>
      </c>
      <c r="P1279" s="61" t="n">
        <f aca="false">Resumo!$C$14*CEILING(G1279,1)</f>
        <v>20.25</v>
      </c>
      <c r="Q1279" s="61" t="n">
        <f aca="false">SUM(I1279:P1279)*Resumo!$C$11</f>
        <v>0</v>
      </c>
      <c r="R1279" s="61" t="n">
        <f aca="false">SUM(I1279:Q1279)</f>
        <v>115.069958</v>
      </c>
      <c r="S1279" s="61" t="n">
        <f aca="false">R1279/(1-Resumo!$C$5)</f>
        <v>130.761315909091</v>
      </c>
      <c r="T1279" s="61" t="n">
        <v>103.97</v>
      </c>
      <c r="U1279" s="61" t="n">
        <f aca="false">H1279*Resumo!$B$6</f>
        <v>0.59999</v>
      </c>
      <c r="V1279" s="61" t="n">
        <f aca="false">H1279*Resumo!$B$7</f>
        <v>1.19998</v>
      </c>
      <c r="W1279" s="61" t="n">
        <f aca="false">Resumo!$B$9</f>
        <v>1</v>
      </c>
      <c r="X1279" s="61" t="n">
        <f aca="false">Resumo!$B$10*CEILING(G1279/100,1)</f>
        <v>4.5</v>
      </c>
      <c r="Y1279" s="61" t="n">
        <f aca="false">Resumo!$B$12*CEILING(G1279,1)</f>
        <v>2.7</v>
      </c>
      <c r="Z1279" s="61" t="n">
        <f aca="false">Resumo!$B$14*CEILING(G1279,1)</f>
        <v>20.25</v>
      </c>
      <c r="AA1279" s="61" t="n">
        <f aca="false">SUM(T1279:Z1279)</f>
        <v>134.21997</v>
      </c>
      <c r="AB1279" s="61" t="n">
        <f aca="false">AA1279/(1-Resumo!$B$5)</f>
        <v>152.522693181818</v>
      </c>
      <c r="AC1279" s="61" t="n">
        <f aca="false">AB1279-S1279</f>
        <v>21.7613772727273</v>
      </c>
      <c r="AD1279" s="62" t="n">
        <f aca="false">AB1279/S1279-1</f>
        <v>0.166420604759411</v>
      </c>
      <c r="AE1279" s="60" t="str">
        <f aca="false">IF(AB1279&lt;S1279,"SIM","NÃO")</f>
        <v>NÃO</v>
      </c>
      <c r="AF1279" s="60" t="n">
        <v>13</v>
      </c>
      <c r="AG1279" s="60" t="n">
        <v>5</v>
      </c>
      <c r="AH1279" s="60" t="s">
        <v>385</v>
      </c>
      <c r="AI1279" s="61" t="n">
        <f aca="false">(T1279*(1-Painel!$C$40)+U1279+V1279+Painel!$C$41+Painel!$C$42*CEILING(G1279/100,1)+Painel!$C$43*CEILING(G1279,1)+Z1279)/(1-Resumo!$B$5)</f>
        <v>106.545306818182</v>
      </c>
      <c r="AJ1279" s="60" t="str">
        <f aca="false">IF(AI1279&lt;S1279,"SIM","NÃO")</f>
        <v>SIM</v>
      </c>
    </row>
    <row r="1280" customFormat="false" ht="15" hidden="false" customHeight="false" outlineLevel="0" collapsed="false">
      <c r="A1280" s="59" t="n">
        <v>46254.8053356482</v>
      </c>
      <c r="B1280" s="60" t="s">
        <v>1568</v>
      </c>
      <c r="C1280" s="60" t="n">
        <v>20730430</v>
      </c>
      <c r="D1280" s="60" t="s">
        <v>46</v>
      </c>
      <c r="E1280" s="60" t="s">
        <v>22</v>
      </c>
      <c r="F1280" s="60" t="s">
        <v>239</v>
      </c>
      <c r="G1280" s="60" t="n">
        <v>81.7</v>
      </c>
      <c r="H1280" s="61" t="n">
        <v>623</v>
      </c>
      <c r="I1280" s="61" t="n">
        <v>83.79</v>
      </c>
      <c r="J1280" s="61" t="n">
        <f aca="false">H1280*Resumo!$C$6</f>
        <v>0</v>
      </c>
      <c r="K1280" s="61" t="n">
        <f aca="false">H1280*Resumo!$C$7</f>
        <v>1.3083</v>
      </c>
      <c r="L1280" s="61" t="n">
        <f aca="false">H1280*Resumo!$C$8</f>
        <v>1.3083</v>
      </c>
      <c r="M1280" s="61" t="n">
        <f aca="false">Resumo!$C$10*CEILING(G1280/100,1)</f>
        <v>1.05</v>
      </c>
      <c r="N1280" s="61" t="n">
        <f aca="false">Resumo!$C$9</f>
        <v>0</v>
      </c>
      <c r="O1280" s="61" t="n">
        <f aca="false">Resumo!$C$13</f>
        <v>13.55</v>
      </c>
      <c r="P1280" s="61" t="n">
        <f aca="false">Resumo!$C$14*CEILING(G1280,1)</f>
        <v>36.9</v>
      </c>
      <c r="Q1280" s="61" t="n">
        <f aca="false">SUM(I1280:P1280)*Resumo!$C$11</f>
        <v>0</v>
      </c>
      <c r="R1280" s="61" t="n">
        <f aca="false">SUM(I1280:Q1280)</f>
        <v>137.9066</v>
      </c>
      <c r="S1280" s="61" t="n">
        <f aca="false">R1280/(1-Resumo!$C$5)</f>
        <v>156.712045454545</v>
      </c>
      <c r="T1280" s="61" t="n">
        <v>167.99</v>
      </c>
      <c r="U1280" s="61" t="n">
        <f aca="false">H1280*Resumo!$B$6</f>
        <v>0.623</v>
      </c>
      <c r="V1280" s="61" t="n">
        <f aca="false">H1280*Resumo!$B$7</f>
        <v>1.246</v>
      </c>
      <c r="W1280" s="61" t="n">
        <f aca="false">Resumo!$B$9</f>
        <v>1</v>
      </c>
      <c r="X1280" s="61" t="n">
        <f aca="false">Resumo!$B$10*CEILING(G1280/100,1)</f>
        <v>4.5</v>
      </c>
      <c r="Y1280" s="61" t="n">
        <f aca="false">Resumo!$B$12*CEILING(G1280,1)</f>
        <v>4.92</v>
      </c>
      <c r="Z1280" s="61" t="n">
        <f aca="false">Resumo!$B$14*CEILING(G1280,1)</f>
        <v>36.9</v>
      </c>
      <c r="AA1280" s="61" t="n">
        <f aca="false">SUM(T1280:Z1280)</f>
        <v>217.179</v>
      </c>
      <c r="AB1280" s="61" t="n">
        <f aca="false">AA1280/(1-Resumo!$B$5)</f>
        <v>246.794318181818</v>
      </c>
      <c r="AC1280" s="61" t="n">
        <f aca="false">AB1280-S1280</f>
        <v>90.0822727272727</v>
      </c>
      <c r="AD1280" s="62" t="n">
        <f aca="false">AB1280/S1280-1</f>
        <v>0.574826730555318</v>
      </c>
      <c r="AE1280" s="60" t="str">
        <f aca="false">IF(AB1280&lt;S1280,"SIM","NÃO")</f>
        <v>NÃO</v>
      </c>
      <c r="AF1280" s="60" t="n">
        <v>2</v>
      </c>
      <c r="AG1280" s="60" t="n">
        <v>5</v>
      </c>
      <c r="AH1280" s="60" t="s">
        <v>382</v>
      </c>
      <c r="AI1280" s="61" t="n">
        <f aca="false">(T1280*(1-Painel!$C$40)+U1280+V1280+Painel!$C$41+Painel!$C$42*CEILING(G1280/100,1)+Painel!$C$43*CEILING(G1280,1)+Z1280)/(1-Resumo!$B$5)</f>
        <v>174.286704545455</v>
      </c>
      <c r="AJ1280" s="60" t="str">
        <f aca="false">IF(AI1280&lt;S1280,"SIM","NÃO")</f>
        <v>NÃO</v>
      </c>
    </row>
    <row r="1281" customFormat="false" ht="15" hidden="false" customHeight="false" outlineLevel="0" collapsed="false">
      <c r="A1281" s="59" t="n">
        <v>46254.8145833333</v>
      </c>
      <c r="B1281" s="60" t="s">
        <v>1569</v>
      </c>
      <c r="C1281" s="60" t="n">
        <v>27971209</v>
      </c>
      <c r="D1281" s="60" t="s">
        <v>53</v>
      </c>
      <c r="E1281" s="60" t="s">
        <v>24</v>
      </c>
      <c r="F1281" s="60" t="s">
        <v>241</v>
      </c>
      <c r="G1281" s="60" t="n">
        <v>124.2</v>
      </c>
      <c r="H1281" s="61" t="n">
        <v>1999.99</v>
      </c>
      <c r="I1281" s="61" t="n">
        <v>144.24</v>
      </c>
      <c r="J1281" s="61" t="n">
        <f aca="false">H1281*Resumo!$C$6</f>
        <v>0</v>
      </c>
      <c r="K1281" s="61" t="n">
        <f aca="false">H1281*Resumo!$C$7</f>
        <v>4.199979</v>
      </c>
      <c r="L1281" s="61" t="n">
        <f aca="false">H1281*Resumo!$C$8</f>
        <v>4.199979</v>
      </c>
      <c r="M1281" s="61" t="n">
        <f aca="false">Resumo!$C$10*CEILING(G1281/100,1)</f>
        <v>2.1</v>
      </c>
      <c r="N1281" s="61" t="n">
        <f aca="false">Resumo!$C$9</f>
        <v>0</v>
      </c>
      <c r="O1281" s="61" t="n">
        <f aca="false">Resumo!$C$13</f>
        <v>13.55</v>
      </c>
      <c r="P1281" s="61" t="n">
        <f aca="false">Resumo!$C$14*CEILING(G1281,1)</f>
        <v>56.25</v>
      </c>
      <c r="Q1281" s="61" t="n">
        <f aca="false">SUM(I1281:P1281)*Resumo!$C$11</f>
        <v>0</v>
      </c>
      <c r="R1281" s="61" t="n">
        <f aca="false">SUM(I1281:Q1281)</f>
        <v>224.539958</v>
      </c>
      <c r="S1281" s="61" t="n">
        <f aca="false">R1281/(1-Resumo!$C$5)</f>
        <v>255.159043181818</v>
      </c>
      <c r="T1281" s="61" t="n">
        <v>264.84</v>
      </c>
      <c r="U1281" s="61" t="n">
        <f aca="false">H1281*Resumo!$B$6</f>
        <v>1.99999</v>
      </c>
      <c r="V1281" s="61" t="n">
        <f aca="false">H1281*Resumo!$B$7</f>
        <v>3.99998</v>
      </c>
      <c r="W1281" s="61" t="n">
        <f aca="false">Resumo!$B$9</f>
        <v>1</v>
      </c>
      <c r="X1281" s="61" t="n">
        <f aca="false">Resumo!$B$10*CEILING(G1281/100,1)</f>
        <v>9</v>
      </c>
      <c r="Y1281" s="61" t="n">
        <f aca="false">Resumo!$B$12*CEILING(G1281,1)</f>
        <v>7.5</v>
      </c>
      <c r="Z1281" s="61" t="n">
        <f aca="false">Resumo!$B$14*CEILING(G1281,1)</f>
        <v>56.25</v>
      </c>
      <c r="AA1281" s="61" t="n">
        <f aca="false">SUM(T1281:Z1281)</f>
        <v>344.58997</v>
      </c>
      <c r="AB1281" s="61" t="n">
        <f aca="false">AA1281/(1-Resumo!$B$5)</f>
        <v>391.579511363636</v>
      </c>
      <c r="AC1281" s="61" t="n">
        <f aca="false">AB1281-S1281</f>
        <v>136.420468181818</v>
      </c>
      <c r="AD1281" s="62" t="n">
        <f aca="false">AB1281/S1281-1</f>
        <v>0.534648768394265</v>
      </c>
      <c r="AE1281" s="60" t="str">
        <f aca="false">IF(AB1281&lt;S1281,"SIM","NÃO")</f>
        <v>NÃO</v>
      </c>
      <c r="AF1281" s="60" t="n">
        <v>13</v>
      </c>
      <c r="AG1281" s="60" t="n">
        <v>11</v>
      </c>
      <c r="AH1281" s="60" t="s">
        <v>382</v>
      </c>
      <c r="AI1281" s="61" t="n">
        <f aca="false">(T1281*(1-Painel!$C$40)+U1281+V1281+Painel!$C$41+Painel!$C$42*CEILING(G1281/100,1)+Painel!$C$43*CEILING(G1281,1)+Z1281)/(1-Resumo!$B$5)</f>
        <v>275.900875</v>
      </c>
      <c r="AJ1281" s="60" t="str">
        <f aca="false">IF(AI1281&lt;S1281,"SIM","NÃO")</f>
        <v>NÃO</v>
      </c>
    </row>
    <row r="1282" customFormat="false" ht="15" hidden="false" customHeight="false" outlineLevel="0" collapsed="false">
      <c r="A1282" s="59" t="n">
        <v>46254.824212963</v>
      </c>
      <c r="B1282" s="60" t="s">
        <v>1570</v>
      </c>
      <c r="C1282" s="60" t="n">
        <v>24220120</v>
      </c>
      <c r="D1282" s="60" t="s">
        <v>50</v>
      </c>
      <c r="E1282" s="60" t="s">
        <v>23</v>
      </c>
      <c r="F1282" s="60" t="s">
        <v>235</v>
      </c>
      <c r="G1282" s="60" t="n">
        <v>41</v>
      </c>
      <c r="H1282" s="61" t="n">
        <v>475.99</v>
      </c>
      <c r="I1282" s="61" t="n">
        <v>65.36</v>
      </c>
      <c r="J1282" s="61" t="n">
        <f aca="false">H1282*Resumo!$C$6</f>
        <v>0</v>
      </c>
      <c r="K1282" s="61" t="n">
        <f aca="false">H1282*Resumo!$C$7</f>
        <v>0.999579</v>
      </c>
      <c r="L1282" s="61" t="n">
        <f aca="false">H1282*Resumo!$C$8</f>
        <v>0.999579</v>
      </c>
      <c r="M1282" s="61" t="n">
        <f aca="false">Resumo!$C$10*CEILING(G1282/100,1)</f>
        <v>1.05</v>
      </c>
      <c r="N1282" s="61" t="n">
        <f aca="false">Resumo!$C$9</f>
        <v>0</v>
      </c>
      <c r="O1282" s="61" t="n">
        <f aca="false">Resumo!$C$13</f>
        <v>13.55</v>
      </c>
      <c r="P1282" s="61" t="n">
        <f aca="false">Resumo!$C$14*CEILING(G1282,1)</f>
        <v>18.45</v>
      </c>
      <c r="Q1282" s="61" t="n">
        <f aca="false">SUM(I1282:P1282)*Resumo!$C$11</f>
        <v>0</v>
      </c>
      <c r="R1282" s="61" t="n">
        <f aca="false">SUM(I1282:Q1282)</f>
        <v>100.409158</v>
      </c>
      <c r="S1282" s="61" t="n">
        <f aca="false">R1282/(1-Resumo!$C$5)</f>
        <v>114.101315909091</v>
      </c>
      <c r="T1282" s="61" t="n">
        <v>114.95</v>
      </c>
      <c r="U1282" s="61" t="n">
        <f aca="false">H1282*Resumo!$B$6</f>
        <v>0.47599</v>
      </c>
      <c r="V1282" s="61" t="n">
        <f aca="false">H1282*Resumo!$B$7</f>
        <v>0.95198</v>
      </c>
      <c r="W1282" s="61" t="n">
        <f aca="false">Resumo!$B$9</f>
        <v>1</v>
      </c>
      <c r="X1282" s="61" t="n">
        <f aca="false">Resumo!$B$10*CEILING(G1282/100,1)</f>
        <v>4.5</v>
      </c>
      <c r="Y1282" s="61" t="n">
        <f aca="false">Resumo!$B$12*CEILING(G1282,1)</f>
        <v>2.46</v>
      </c>
      <c r="Z1282" s="61" t="n">
        <f aca="false">Resumo!$B$14*CEILING(G1282,1)</f>
        <v>18.45</v>
      </c>
      <c r="AA1282" s="61" t="n">
        <f aca="false">SUM(T1282:Z1282)</f>
        <v>142.78797</v>
      </c>
      <c r="AB1282" s="61" t="n">
        <f aca="false">AA1282/(1-Resumo!$B$5)</f>
        <v>162.259056818182</v>
      </c>
      <c r="AC1282" s="61" t="n">
        <f aca="false">AB1282-S1282</f>
        <v>48.1577409090909</v>
      </c>
      <c r="AD1282" s="62" t="n">
        <f aca="false">AB1282/S1282-1</f>
        <v>0.422061222742252</v>
      </c>
      <c r="AE1282" s="60" t="str">
        <f aca="false">IF(AB1282&lt;S1282,"SIM","NÃO")</f>
        <v>NÃO</v>
      </c>
      <c r="AF1282" s="60" t="n">
        <v>2</v>
      </c>
      <c r="AG1282" s="60" t="n">
        <v>7</v>
      </c>
      <c r="AH1282" s="60" t="s">
        <v>382</v>
      </c>
      <c r="AI1282" s="61" t="n">
        <f aca="false">(T1282*(1-Painel!$C$40)+U1282+V1282+Painel!$C$41+Painel!$C$42*CEILING(G1282/100,1)+Painel!$C$43*CEILING(G1282,1)+Z1282)/(1-Resumo!$B$5)</f>
        <v>112.436897727273</v>
      </c>
      <c r="AJ1282" s="60" t="str">
        <f aca="false">IF(AI1282&lt;S1282,"SIM","NÃO")</f>
        <v>SIM</v>
      </c>
    </row>
    <row r="1283" customFormat="false" ht="15" hidden="false" customHeight="false" outlineLevel="0" collapsed="false">
      <c r="A1283" s="59" t="n">
        <v>46254.8656597222</v>
      </c>
      <c r="B1283" s="60" t="s">
        <v>1571</v>
      </c>
      <c r="C1283" s="60" t="n">
        <v>28090100</v>
      </c>
      <c r="D1283" s="60" t="s">
        <v>51</v>
      </c>
      <c r="E1283" s="60" t="s">
        <v>24</v>
      </c>
      <c r="F1283" s="60" t="s">
        <v>239</v>
      </c>
      <c r="G1283" s="60" t="n">
        <v>81.7</v>
      </c>
      <c r="H1283" s="61" t="n">
        <v>669.99</v>
      </c>
      <c r="I1283" s="61" t="n">
        <v>109.63</v>
      </c>
      <c r="J1283" s="61" t="n">
        <f aca="false">H1283*Resumo!$C$6</f>
        <v>0</v>
      </c>
      <c r="K1283" s="61" t="n">
        <f aca="false">H1283*Resumo!$C$7</f>
        <v>1.406979</v>
      </c>
      <c r="L1283" s="61" t="n">
        <f aca="false">H1283*Resumo!$C$8</f>
        <v>1.406979</v>
      </c>
      <c r="M1283" s="61" t="n">
        <f aca="false">Resumo!$C$10*CEILING(G1283/100,1)</f>
        <v>1.05</v>
      </c>
      <c r="N1283" s="61" t="n">
        <f aca="false">Resumo!$C$9</f>
        <v>0</v>
      </c>
      <c r="O1283" s="61" t="n">
        <f aca="false">Resumo!$C$13</f>
        <v>13.55</v>
      </c>
      <c r="P1283" s="61" t="n">
        <f aca="false">Resumo!$C$14*CEILING(G1283,1)</f>
        <v>36.9</v>
      </c>
      <c r="Q1283" s="61" t="n">
        <f aca="false">SUM(I1283:P1283)*Resumo!$C$11</f>
        <v>0</v>
      </c>
      <c r="R1283" s="61" t="n">
        <f aca="false">SUM(I1283:Q1283)</f>
        <v>163.943958</v>
      </c>
      <c r="S1283" s="61" t="n">
        <f aca="false">R1283/(1-Resumo!$C$5)</f>
        <v>186.299952272727</v>
      </c>
      <c r="T1283" s="61" t="n">
        <v>200.04</v>
      </c>
      <c r="U1283" s="61" t="n">
        <f aca="false">H1283*Resumo!$B$6</f>
        <v>0.66999</v>
      </c>
      <c r="V1283" s="61" t="n">
        <f aca="false">H1283*Resumo!$B$7</f>
        <v>1.33998</v>
      </c>
      <c r="W1283" s="61" t="n">
        <f aca="false">Resumo!$B$9</f>
        <v>1</v>
      </c>
      <c r="X1283" s="61" t="n">
        <f aca="false">Resumo!$B$10*CEILING(G1283/100,1)</f>
        <v>4.5</v>
      </c>
      <c r="Y1283" s="61" t="n">
        <f aca="false">Resumo!$B$12*CEILING(G1283,1)</f>
        <v>4.92</v>
      </c>
      <c r="Z1283" s="61" t="n">
        <f aca="false">Resumo!$B$14*CEILING(G1283,1)</f>
        <v>36.9</v>
      </c>
      <c r="AA1283" s="61" t="n">
        <f aca="false">SUM(T1283:Z1283)</f>
        <v>249.36997</v>
      </c>
      <c r="AB1283" s="61" t="n">
        <f aca="false">AA1283/(1-Resumo!$B$5)</f>
        <v>283.374965909091</v>
      </c>
      <c r="AC1283" s="61" t="n">
        <f aca="false">AB1283-S1283</f>
        <v>97.0750136363637</v>
      </c>
      <c r="AD1283" s="62" t="n">
        <f aca="false">AB1283/S1283-1</f>
        <v>0.521068376304542</v>
      </c>
      <c r="AE1283" s="60" t="str">
        <f aca="false">IF(AB1283&lt;S1283,"SIM","NÃO")</f>
        <v>NÃO</v>
      </c>
      <c r="AF1283" s="60" t="n">
        <v>13</v>
      </c>
      <c r="AG1283" s="60" t="n">
        <v>11</v>
      </c>
      <c r="AH1283" s="60" t="s">
        <v>382</v>
      </c>
      <c r="AI1283" s="61" t="n">
        <f aca="false">(T1283*(1-Painel!$C$40)+U1283+V1283+Painel!$C$41+Painel!$C$42*CEILING(G1283/100,1)+Painel!$C$43*CEILING(G1283,1)+Z1283)/(1-Resumo!$B$5)</f>
        <v>198.848602272727</v>
      </c>
      <c r="AJ1283" s="60" t="str">
        <f aca="false">IF(AI1283&lt;S1283,"SIM","NÃO")</f>
        <v>NÃO</v>
      </c>
    </row>
    <row r="1284" customFormat="false" ht="15" hidden="false" customHeight="false" outlineLevel="0" collapsed="false">
      <c r="A1284" s="59" t="n">
        <v>46254.9103819444</v>
      </c>
      <c r="B1284" s="60" t="s">
        <v>1572</v>
      </c>
      <c r="C1284" s="60" t="n">
        <v>21870220</v>
      </c>
      <c r="D1284" s="60" t="s">
        <v>46</v>
      </c>
      <c r="E1284" s="60" t="s">
        <v>22</v>
      </c>
      <c r="F1284" s="60" t="s">
        <v>235</v>
      </c>
      <c r="G1284" s="60" t="n">
        <v>48.3</v>
      </c>
      <c r="H1284" s="61" t="n">
        <v>439.99</v>
      </c>
      <c r="I1284" s="61" t="n">
        <v>53.55</v>
      </c>
      <c r="J1284" s="61" t="n">
        <f aca="false">H1284*Resumo!$C$6</f>
        <v>0</v>
      </c>
      <c r="K1284" s="61" t="n">
        <f aca="false">H1284*Resumo!$C$7</f>
        <v>0.923979</v>
      </c>
      <c r="L1284" s="61" t="n">
        <f aca="false">H1284*Resumo!$C$8</f>
        <v>0.923979</v>
      </c>
      <c r="M1284" s="61" t="n">
        <f aca="false">Resumo!$C$10*CEILING(G1284/100,1)</f>
        <v>1.05</v>
      </c>
      <c r="N1284" s="61" t="n">
        <f aca="false">Resumo!$C$9</f>
        <v>0</v>
      </c>
      <c r="O1284" s="61" t="n">
        <f aca="false">Resumo!$C$13</f>
        <v>13.55</v>
      </c>
      <c r="P1284" s="61" t="n">
        <f aca="false">Resumo!$C$14*CEILING(G1284,1)</f>
        <v>22.05</v>
      </c>
      <c r="Q1284" s="61" t="n">
        <f aca="false">SUM(I1284:P1284)*Resumo!$C$11</f>
        <v>0</v>
      </c>
      <c r="R1284" s="61" t="n">
        <f aca="false">SUM(I1284:Q1284)</f>
        <v>92.047958</v>
      </c>
      <c r="S1284" s="61" t="n">
        <f aca="false">R1284/(1-Resumo!$C$5)</f>
        <v>104.599952272727</v>
      </c>
      <c r="T1284" s="61" t="n">
        <v>93.97</v>
      </c>
      <c r="U1284" s="61" t="n">
        <f aca="false">H1284*Resumo!$B$6</f>
        <v>0.43999</v>
      </c>
      <c r="V1284" s="61" t="n">
        <f aca="false">H1284*Resumo!$B$7</f>
        <v>0.87998</v>
      </c>
      <c r="W1284" s="61" t="n">
        <f aca="false">Resumo!$B$9</f>
        <v>1</v>
      </c>
      <c r="X1284" s="61" t="n">
        <f aca="false">Resumo!$B$10*CEILING(G1284/100,1)</f>
        <v>4.5</v>
      </c>
      <c r="Y1284" s="61" t="n">
        <f aca="false">Resumo!$B$12*CEILING(G1284,1)</f>
        <v>2.94</v>
      </c>
      <c r="Z1284" s="61" t="n">
        <f aca="false">Resumo!$B$14*CEILING(G1284,1)</f>
        <v>22.05</v>
      </c>
      <c r="AA1284" s="61" t="n">
        <f aca="false">SUM(T1284:Z1284)</f>
        <v>125.77997</v>
      </c>
      <c r="AB1284" s="61" t="n">
        <f aca="false">AA1284/(1-Resumo!$B$5)</f>
        <v>142.931784090909</v>
      </c>
      <c r="AC1284" s="61" t="n">
        <f aca="false">AB1284-S1284</f>
        <v>38.3318318181818</v>
      </c>
      <c r="AD1284" s="62" t="n">
        <f aca="false">AB1284/S1284-1</f>
        <v>0.36646127445869</v>
      </c>
      <c r="AE1284" s="60" t="str">
        <f aca="false">IF(AB1284&lt;S1284,"SIM","NÃO")</f>
        <v>NÃO</v>
      </c>
      <c r="AF1284" s="60" t="n">
        <v>2</v>
      </c>
      <c r="AG1284" s="60" t="n">
        <v>5</v>
      </c>
      <c r="AH1284" s="60" t="s">
        <v>382</v>
      </c>
      <c r="AI1284" s="61" t="n">
        <f aca="false">(T1284*(1-Painel!$C$40)+U1284+V1284+Painel!$C$41+Painel!$C$42*CEILING(G1284/100,1)+Painel!$C$43*CEILING(G1284,1)+Z1284)/(1-Resumo!$B$5)</f>
        <v>100.431670454545</v>
      </c>
      <c r="AJ1284" s="60" t="str">
        <f aca="false">IF(AI1284&lt;S1284,"SIM","NÃO")</f>
        <v>SIM</v>
      </c>
    </row>
    <row r="1285" customFormat="false" ht="15" hidden="false" customHeight="false" outlineLevel="0" collapsed="false">
      <c r="A1285" s="59" t="n">
        <v>46254.9159027778</v>
      </c>
      <c r="B1285" s="60" t="s">
        <v>1573</v>
      </c>
      <c r="C1285" s="60" t="n">
        <v>28630080</v>
      </c>
      <c r="D1285" s="60" t="s">
        <v>226</v>
      </c>
      <c r="E1285" s="60" t="s">
        <v>24</v>
      </c>
      <c r="F1285" s="60" t="s">
        <v>236</v>
      </c>
      <c r="G1285" s="60" t="n">
        <v>55</v>
      </c>
      <c r="H1285" s="61" t="n">
        <v>739.98</v>
      </c>
      <c r="I1285" s="61" t="n">
        <v>83.58</v>
      </c>
      <c r="J1285" s="61" t="n">
        <f aca="false">H1285*Resumo!$C$6</f>
        <v>0</v>
      </c>
      <c r="K1285" s="61" t="n">
        <f aca="false">H1285*Resumo!$C$7</f>
        <v>1.553958</v>
      </c>
      <c r="L1285" s="61" t="n">
        <f aca="false">H1285*Resumo!$C$8</f>
        <v>1.553958</v>
      </c>
      <c r="M1285" s="61" t="n">
        <f aca="false">Resumo!$C$10*CEILING(G1285/100,1)</f>
        <v>1.05</v>
      </c>
      <c r="N1285" s="61" t="n">
        <f aca="false">Resumo!$C$9</f>
        <v>0</v>
      </c>
      <c r="O1285" s="61" t="n">
        <f aca="false">Resumo!$C$13</f>
        <v>13.55</v>
      </c>
      <c r="P1285" s="61" t="n">
        <f aca="false">Resumo!$C$14*CEILING(G1285,1)</f>
        <v>24.75</v>
      </c>
      <c r="Q1285" s="61" t="n">
        <f aca="false">SUM(I1285:P1285)*Resumo!$C$11</f>
        <v>0</v>
      </c>
      <c r="R1285" s="61" t="n">
        <f aca="false">SUM(I1285:Q1285)</f>
        <v>126.037916</v>
      </c>
      <c r="S1285" s="61" t="n">
        <f aca="false">R1285/(1-Resumo!$C$5)</f>
        <v>143.224904545455</v>
      </c>
      <c r="T1285" s="61" t="n">
        <v>144.53</v>
      </c>
      <c r="U1285" s="61" t="n">
        <f aca="false">H1285*Resumo!$B$6</f>
        <v>0.73998</v>
      </c>
      <c r="V1285" s="61" t="n">
        <f aca="false">H1285*Resumo!$B$7</f>
        <v>1.47996</v>
      </c>
      <c r="W1285" s="61" t="n">
        <f aca="false">Resumo!$B$9</f>
        <v>1</v>
      </c>
      <c r="X1285" s="61" t="n">
        <f aca="false">Resumo!$B$10*CEILING(G1285/100,1)</f>
        <v>4.5</v>
      </c>
      <c r="Y1285" s="61" t="n">
        <f aca="false">Resumo!$B$12*CEILING(G1285,1)</f>
        <v>3.3</v>
      </c>
      <c r="Z1285" s="61" t="n">
        <f aca="false">Resumo!$B$14*CEILING(G1285,1)</f>
        <v>24.75</v>
      </c>
      <c r="AA1285" s="61" t="n">
        <f aca="false">SUM(T1285:Z1285)</f>
        <v>180.29994</v>
      </c>
      <c r="AB1285" s="61" t="n">
        <f aca="false">AA1285/(1-Resumo!$B$5)</f>
        <v>204.886295454545</v>
      </c>
      <c r="AC1285" s="61" t="n">
        <f aca="false">AB1285-S1285</f>
        <v>61.6613909090909</v>
      </c>
      <c r="AD1285" s="62" t="n">
        <f aca="false">AB1285/S1285-1</f>
        <v>0.430521431344517</v>
      </c>
      <c r="AE1285" s="60" t="str">
        <f aca="false">IF(AB1285&lt;S1285,"SIM","NÃO")</f>
        <v>NÃO</v>
      </c>
      <c r="AF1285" s="60" t="n">
        <v>13</v>
      </c>
      <c r="AG1285" s="60" t="n">
        <v>10</v>
      </c>
      <c r="AH1285" s="60" t="s">
        <v>382</v>
      </c>
      <c r="AI1285" s="61" t="n">
        <f aca="false">(T1285*(1-Painel!$C$40)+U1285+V1285+Painel!$C$41+Painel!$C$42*CEILING(G1285/100,1)+Painel!$C$43*CEILING(G1285,1)+Z1285)/(1-Resumo!$B$5)</f>
        <v>143.017090909091</v>
      </c>
      <c r="AJ1285" s="60" t="str">
        <f aca="false">IF(AI1285&lt;S1285,"SIM","NÃO")</f>
        <v>SIM</v>
      </c>
    </row>
    <row r="1286" customFormat="false" ht="15" hidden="false" customHeight="false" outlineLevel="0" collapsed="false">
      <c r="A1286" s="59" t="n">
        <v>46254.9231828704</v>
      </c>
      <c r="B1286" s="60" t="s">
        <v>654</v>
      </c>
      <c r="C1286" s="60" t="n">
        <v>22775033</v>
      </c>
      <c r="D1286" s="60" t="s">
        <v>46</v>
      </c>
      <c r="E1286" s="60" t="s">
        <v>22</v>
      </c>
      <c r="F1286" s="60" t="s">
        <v>232</v>
      </c>
      <c r="G1286" s="60" t="n">
        <v>17</v>
      </c>
      <c r="H1286" s="61" t="n">
        <v>249.99</v>
      </c>
      <c r="I1286" s="61" t="n">
        <v>33.42</v>
      </c>
      <c r="J1286" s="61" t="n">
        <f aca="false">H1286*Resumo!$C$6</f>
        <v>0</v>
      </c>
      <c r="K1286" s="61" t="n">
        <f aca="false">H1286*Resumo!$C$7</f>
        <v>0.524979</v>
      </c>
      <c r="L1286" s="61" t="n">
        <f aca="false">H1286*Resumo!$C$8</f>
        <v>0.524979</v>
      </c>
      <c r="M1286" s="61" t="n">
        <f aca="false">Resumo!$C$10*CEILING(G1286/100,1)</f>
        <v>1.05</v>
      </c>
      <c r="N1286" s="61" t="n">
        <f aca="false">Resumo!$C$9</f>
        <v>0</v>
      </c>
      <c r="O1286" s="61" t="n">
        <f aca="false">Resumo!$C$13</f>
        <v>13.55</v>
      </c>
      <c r="P1286" s="61" t="n">
        <f aca="false">Resumo!$C$14*CEILING(G1286,1)</f>
        <v>7.65</v>
      </c>
      <c r="Q1286" s="61" t="n">
        <f aca="false">SUM(I1286:P1286)*Resumo!$C$11</f>
        <v>0</v>
      </c>
      <c r="R1286" s="61" t="n">
        <f aca="false">SUM(I1286:Q1286)</f>
        <v>56.719958</v>
      </c>
      <c r="S1286" s="61" t="n">
        <f aca="false">R1286/(1-Resumo!$C$5)</f>
        <v>64.4544977272727</v>
      </c>
      <c r="T1286" s="61" t="n">
        <v>46.98</v>
      </c>
      <c r="U1286" s="61" t="n">
        <f aca="false">H1286*Resumo!$B$6</f>
        <v>0.24999</v>
      </c>
      <c r="V1286" s="61" t="n">
        <f aca="false">H1286*Resumo!$B$7</f>
        <v>0.49998</v>
      </c>
      <c r="W1286" s="61" t="n">
        <f aca="false">Resumo!$B$9</f>
        <v>1</v>
      </c>
      <c r="X1286" s="61" t="n">
        <f aca="false">Resumo!$B$10*CEILING(G1286/100,1)</f>
        <v>4.5</v>
      </c>
      <c r="Y1286" s="61" t="n">
        <f aca="false">Resumo!$B$12*CEILING(G1286,1)</f>
        <v>1.02</v>
      </c>
      <c r="Z1286" s="61" t="n">
        <f aca="false">Resumo!$B$14*CEILING(G1286,1)</f>
        <v>7.65</v>
      </c>
      <c r="AA1286" s="61" t="n">
        <f aca="false">SUM(T1286:Z1286)</f>
        <v>61.89997</v>
      </c>
      <c r="AB1286" s="61" t="n">
        <f aca="false">AA1286/(1-Resumo!$B$5)</f>
        <v>70.340875</v>
      </c>
      <c r="AC1286" s="61" t="n">
        <f aca="false">AB1286-S1286</f>
        <v>5.88637727272727</v>
      </c>
      <c r="AD1286" s="62" t="n">
        <f aca="false">AB1286/S1286-1</f>
        <v>0.0913260901920978</v>
      </c>
      <c r="AE1286" s="60" t="str">
        <f aca="false">IF(AB1286&lt;S1286,"SIM","NÃO")</f>
        <v>NÃO</v>
      </c>
      <c r="AF1286" s="60" t="n">
        <v>2</v>
      </c>
      <c r="AG1286" s="60" t="n">
        <v>5</v>
      </c>
      <c r="AH1286" s="60" t="s">
        <v>382</v>
      </c>
      <c r="AI1286" s="61" t="n">
        <f aca="false">(T1286*(1-Painel!$C$40)+U1286+V1286+Painel!$C$41+Painel!$C$42*CEILING(G1286/100,1)+Painel!$C$43*CEILING(G1286,1)+Z1286)/(1-Resumo!$B$5)</f>
        <v>47.6438295454545</v>
      </c>
      <c r="AJ1286" s="60" t="str">
        <f aca="false">IF(AI1286&lt;S1286,"SIM","NÃO")</f>
        <v>SIM</v>
      </c>
    </row>
    <row r="1287" customFormat="false" ht="15" hidden="false" customHeight="false" outlineLevel="0" collapsed="false">
      <c r="A1287" s="59" t="n">
        <v>46254.9397916667</v>
      </c>
      <c r="B1287" s="60" t="s">
        <v>1574</v>
      </c>
      <c r="C1287" s="60" t="n">
        <v>25906890</v>
      </c>
      <c r="D1287" s="60" t="s">
        <v>225</v>
      </c>
      <c r="E1287" s="60" t="s">
        <v>24</v>
      </c>
      <c r="F1287" s="60" t="s">
        <v>234</v>
      </c>
      <c r="G1287" s="60" t="n">
        <v>39</v>
      </c>
      <c r="H1287" s="61" t="n">
        <v>529.99</v>
      </c>
      <c r="I1287" s="61" t="n">
        <v>74.97</v>
      </c>
      <c r="J1287" s="61" t="n">
        <f aca="false">H1287*Resumo!$C$6</f>
        <v>0</v>
      </c>
      <c r="K1287" s="61" t="n">
        <f aca="false">H1287*Resumo!$C$7</f>
        <v>1.112979</v>
      </c>
      <c r="L1287" s="61" t="n">
        <f aca="false">H1287*Resumo!$C$8</f>
        <v>1.112979</v>
      </c>
      <c r="M1287" s="61" t="n">
        <f aca="false">Resumo!$C$10*CEILING(G1287/100,1)</f>
        <v>1.05</v>
      </c>
      <c r="N1287" s="61" t="n">
        <f aca="false">Resumo!$C$9</f>
        <v>0</v>
      </c>
      <c r="O1287" s="61" t="n">
        <f aca="false">Resumo!$C$13</f>
        <v>13.55</v>
      </c>
      <c r="P1287" s="61" t="n">
        <f aca="false">Resumo!$C$14*CEILING(G1287,1)</f>
        <v>17.55</v>
      </c>
      <c r="Q1287" s="61" t="n">
        <f aca="false">SUM(I1287:P1287)*Resumo!$C$11</f>
        <v>0</v>
      </c>
      <c r="R1287" s="61" t="n">
        <f aca="false">SUM(I1287:Q1287)</f>
        <v>109.345958</v>
      </c>
      <c r="S1287" s="61" t="n">
        <f aca="false">R1287/(1-Resumo!$C$5)</f>
        <v>124.256770454545</v>
      </c>
      <c r="T1287" s="61" t="n">
        <v>108.03</v>
      </c>
      <c r="U1287" s="61" t="n">
        <f aca="false">H1287*Resumo!$B$6</f>
        <v>0.52999</v>
      </c>
      <c r="V1287" s="61" t="n">
        <f aca="false">H1287*Resumo!$B$7</f>
        <v>1.05998</v>
      </c>
      <c r="W1287" s="61" t="n">
        <f aca="false">Resumo!$B$9</f>
        <v>1</v>
      </c>
      <c r="X1287" s="61" t="n">
        <f aca="false">Resumo!$B$10*CEILING(G1287/100,1)</f>
        <v>4.5</v>
      </c>
      <c r="Y1287" s="61" t="n">
        <f aca="false">Resumo!$B$12*CEILING(G1287,1)</f>
        <v>2.34</v>
      </c>
      <c r="Z1287" s="61" t="n">
        <f aca="false">Resumo!$B$14*CEILING(G1287,1)</f>
        <v>17.55</v>
      </c>
      <c r="AA1287" s="61" t="n">
        <f aca="false">SUM(T1287:Z1287)</f>
        <v>135.00997</v>
      </c>
      <c r="AB1287" s="61" t="n">
        <f aca="false">AA1287/(1-Resumo!$B$5)</f>
        <v>153.420420454545</v>
      </c>
      <c r="AC1287" s="61" t="n">
        <f aca="false">AB1287-S1287</f>
        <v>29.16365</v>
      </c>
      <c r="AD1287" s="62" t="n">
        <f aca="false">AB1287/S1287-1</f>
        <v>0.234704715834124</v>
      </c>
      <c r="AE1287" s="60" t="str">
        <f aca="false">IF(AB1287&lt;S1287,"SIM","NÃO")</f>
        <v>NÃO</v>
      </c>
      <c r="AF1287" s="60" t="n">
        <v>13</v>
      </c>
      <c r="AG1287" s="60" t="n">
        <v>6</v>
      </c>
      <c r="AH1287" s="60" t="s">
        <v>382</v>
      </c>
      <c r="AI1287" s="61" t="n">
        <f aca="false">(T1287*(1-Painel!$C$40)+U1287+V1287+Painel!$C$41+Painel!$C$42*CEILING(G1287/100,1)+Painel!$C$43*CEILING(G1287,1)+Z1287)/(1-Resumo!$B$5)</f>
        <v>106.329625</v>
      </c>
      <c r="AJ1287" s="60" t="str">
        <f aca="false">IF(AI1287&lt;S1287,"SIM","NÃO")</f>
        <v>SIM</v>
      </c>
    </row>
    <row r="1288" customFormat="false" ht="15" hidden="false" customHeight="false" outlineLevel="0" collapsed="false">
      <c r="A1288" s="59" t="n">
        <v>46254.9446064815</v>
      </c>
      <c r="B1288" s="60" t="s">
        <v>1575</v>
      </c>
      <c r="C1288" s="60" t="n">
        <v>26290723</v>
      </c>
      <c r="D1288" s="60" t="s">
        <v>49</v>
      </c>
      <c r="E1288" s="60" t="s">
        <v>23</v>
      </c>
      <c r="F1288" s="60" t="s">
        <v>234</v>
      </c>
      <c r="G1288" s="60" t="n">
        <v>36.8</v>
      </c>
      <c r="H1288" s="61" t="n">
        <v>439.99</v>
      </c>
      <c r="I1288" s="61" t="n">
        <v>66.83</v>
      </c>
      <c r="J1288" s="61" t="n">
        <f aca="false">H1288*Resumo!$C$6</f>
        <v>0</v>
      </c>
      <c r="K1288" s="61" t="n">
        <f aca="false">H1288*Resumo!$C$7</f>
        <v>0.923979</v>
      </c>
      <c r="L1288" s="61" t="n">
        <f aca="false">H1288*Resumo!$C$8</f>
        <v>0.923979</v>
      </c>
      <c r="M1288" s="61" t="n">
        <f aca="false">Resumo!$C$10*CEILING(G1288/100,1)</f>
        <v>1.05</v>
      </c>
      <c r="N1288" s="61" t="n">
        <f aca="false">Resumo!$C$9</f>
        <v>0</v>
      </c>
      <c r="O1288" s="61" t="n">
        <f aca="false">Resumo!$C$13</f>
        <v>13.55</v>
      </c>
      <c r="P1288" s="61" t="n">
        <f aca="false">Resumo!$C$14*CEILING(G1288,1)</f>
        <v>16.65</v>
      </c>
      <c r="Q1288" s="61" t="n">
        <f aca="false">SUM(I1288:P1288)*Resumo!$C$11</f>
        <v>0</v>
      </c>
      <c r="R1288" s="61" t="n">
        <f aca="false">SUM(I1288:Q1288)</f>
        <v>99.927958</v>
      </c>
      <c r="S1288" s="61" t="n">
        <f aca="false">R1288/(1-Resumo!$C$5)</f>
        <v>113.554497727273</v>
      </c>
      <c r="T1288" s="61" t="n">
        <v>93.97</v>
      </c>
      <c r="U1288" s="61" t="n">
        <f aca="false">H1288*Resumo!$B$6</f>
        <v>0.43999</v>
      </c>
      <c r="V1288" s="61" t="n">
        <f aca="false">H1288*Resumo!$B$7</f>
        <v>0.87998</v>
      </c>
      <c r="W1288" s="61" t="n">
        <f aca="false">Resumo!$B$9</f>
        <v>1</v>
      </c>
      <c r="X1288" s="61" t="n">
        <f aca="false">Resumo!$B$10*CEILING(G1288/100,1)</f>
        <v>4.5</v>
      </c>
      <c r="Y1288" s="61" t="n">
        <f aca="false">Resumo!$B$12*CEILING(G1288,1)</f>
        <v>2.22</v>
      </c>
      <c r="Z1288" s="61" t="n">
        <f aca="false">Resumo!$B$14*CEILING(G1288,1)</f>
        <v>16.65</v>
      </c>
      <c r="AA1288" s="61" t="n">
        <f aca="false">SUM(T1288:Z1288)</f>
        <v>119.65997</v>
      </c>
      <c r="AB1288" s="61" t="n">
        <f aca="false">AA1288/(1-Resumo!$B$5)</f>
        <v>135.977238636364</v>
      </c>
      <c r="AC1288" s="61" t="n">
        <f aca="false">AB1288-S1288</f>
        <v>22.4227409090909</v>
      </c>
      <c r="AD1288" s="62" t="n">
        <f aca="false">AB1288/S1288-1</f>
        <v>0.197462375844806</v>
      </c>
      <c r="AE1288" s="60" t="str">
        <f aca="false">IF(AB1288&lt;S1288,"SIM","NÃO")</f>
        <v>NÃO</v>
      </c>
      <c r="AF1288" s="60" t="n">
        <v>2</v>
      </c>
      <c r="AG1288" s="60" t="n">
        <v>5</v>
      </c>
      <c r="AH1288" s="60" t="s">
        <v>382</v>
      </c>
      <c r="AI1288" s="61" t="n">
        <f aca="false">(T1288*(1-Painel!$C$40)+U1288+V1288+Painel!$C$41+Painel!$C$42*CEILING(G1288/100,1)+Painel!$C$43*CEILING(G1288,1)+Z1288)/(1-Resumo!$B$5)</f>
        <v>94.2953068181818</v>
      </c>
      <c r="AJ1288" s="60" t="str">
        <f aca="false">IF(AI1288&lt;S1288,"SIM","NÃO")</f>
        <v>SIM</v>
      </c>
    </row>
    <row r="1289" customFormat="false" ht="15" hidden="false" customHeight="false" outlineLevel="0" collapsed="false">
      <c r="A1289" s="59" t="n">
        <v>46254.9446064815</v>
      </c>
      <c r="B1289" s="60" t="s">
        <v>1575</v>
      </c>
      <c r="C1289" s="60" t="n">
        <v>26290723</v>
      </c>
      <c r="D1289" s="60" t="s">
        <v>49</v>
      </c>
      <c r="E1289" s="60" t="s">
        <v>23</v>
      </c>
      <c r="F1289" s="60" t="s">
        <v>241</v>
      </c>
      <c r="G1289" s="60" t="n">
        <v>141.5</v>
      </c>
      <c r="H1289" s="61" t="n">
        <v>1549.99</v>
      </c>
      <c r="I1289" s="61" t="n">
        <v>129.62</v>
      </c>
      <c r="J1289" s="61" t="n">
        <f aca="false">H1289*Resumo!$C$6</f>
        <v>0</v>
      </c>
      <c r="K1289" s="61" t="n">
        <f aca="false">H1289*Resumo!$C$7</f>
        <v>3.254979</v>
      </c>
      <c r="L1289" s="61" t="n">
        <f aca="false">H1289*Resumo!$C$8</f>
        <v>3.254979</v>
      </c>
      <c r="M1289" s="61" t="n">
        <f aca="false">Resumo!$C$10*CEILING(G1289/100,1)</f>
        <v>2.1</v>
      </c>
      <c r="N1289" s="61" t="n">
        <f aca="false">Resumo!$C$9</f>
        <v>0</v>
      </c>
      <c r="O1289" s="61" t="n">
        <f aca="false">Resumo!$C$13</f>
        <v>13.55</v>
      </c>
      <c r="P1289" s="61" t="n">
        <f aca="false">Resumo!$C$14*CEILING(G1289,1)</f>
        <v>63.9</v>
      </c>
      <c r="Q1289" s="61" t="n">
        <f aca="false">SUM(I1289:P1289)*Resumo!$C$11</f>
        <v>0</v>
      </c>
      <c r="R1289" s="61" t="n">
        <f aca="false">SUM(I1289:Q1289)</f>
        <v>215.679958</v>
      </c>
      <c r="S1289" s="61" t="n">
        <f aca="false">R1289/(1-Resumo!$C$5)</f>
        <v>245.090861363636</v>
      </c>
      <c r="T1289" s="61" t="n">
        <v>239.25</v>
      </c>
      <c r="U1289" s="61" t="n">
        <f aca="false">H1289*Resumo!$B$6</f>
        <v>1.54999</v>
      </c>
      <c r="V1289" s="61" t="n">
        <f aca="false">H1289*Resumo!$B$7</f>
        <v>3.09998</v>
      </c>
      <c r="W1289" s="61" t="n">
        <f aca="false">Resumo!$B$9</f>
        <v>1</v>
      </c>
      <c r="X1289" s="61" t="n">
        <f aca="false">Resumo!$B$10*CEILING(G1289/100,1)</f>
        <v>9</v>
      </c>
      <c r="Y1289" s="61" t="n">
        <f aca="false">Resumo!$B$12*CEILING(G1289,1)</f>
        <v>8.52</v>
      </c>
      <c r="Z1289" s="61" t="n">
        <f aca="false">Resumo!$B$14*CEILING(G1289,1)</f>
        <v>63.9</v>
      </c>
      <c r="AA1289" s="61" t="n">
        <f aca="false">SUM(T1289:Z1289)</f>
        <v>326.31997</v>
      </c>
      <c r="AB1289" s="61" t="n">
        <f aca="false">AA1289/(1-Resumo!$B$5)</f>
        <v>370.818147727273</v>
      </c>
      <c r="AC1289" s="61" t="n">
        <f aca="false">AB1289-S1289</f>
        <v>125.727286363636</v>
      </c>
      <c r="AD1289" s="62" t="n">
        <f aca="false">AB1289/S1289-1</f>
        <v>0.51298235137824</v>
      </c>
      <c r="AE1289" s="60" t="str">
        <f aca="false">IF(AB1289&lt;S1289,"SIM","NÃO")</f>
        <v>NÃO</v>
      </c>
      <c r="AF1289" s="60" t="n">
        <v>2</v>
      </c>
      <c r="AG1289" s="60" t="n">
        <v>5</v>
      </c>
      <c r="AH1289" s="60" t="s">
        <v>382</v>
      </c>
      <c r="AI1289" s="61" t="n">
        <f aca="false">(T1289*(1-Painel!$C$40)+U1289+V1289+Painel!$C$41+Painel!$C$42*CEILING(G1289/100,1)+Painel!$C$43*CEILING(G1289,1)+Z1289)/(1-Resumo!$B$5)</f>
        <v>263.576670454545</v>
      </c>
      <c r="AJ1289" s="60" t="str">
        <f aca="false">IF(AI1289&lt;S1289,"SIM","NÃO")</f>
        <v>NÃO</v>
      </c>
    </row>
    <row r="1290" customFormat="false" ht="15" hidden="false" customHeight="false" outlineLevel="0" collapsed="false">
      <c r="A1290" s="59" t="n">
        <v>46255.0257291667</v>
      </c>
      <c r="B1290" s="60" t="s">
        <v>1576</v>
      </c>
      <c r="C1290" s="60" t="n">
        <v>26140450</v>
      </c>
      <c r="D1290" s="60" t="s">
        <v>52</v>
      </c>
      <c r="E1290" s="60" t="s">
        <v>23</v>
      </c>
      <c r="F1290" s="60" t="s">
        <v>239</v>
      </c>
      <c r="G1290" s="60" t="n">
        <v>89.3</v>
      </c>
      <c r="H1290" s="61" t="n">
        <v>1149.99</v>
      </c>
      <c r="I1290" s="61" t="n">
        <v>92.32</v>
      </c>
      <c r="J1290" s="61" t="n">
        <f aca="false">H1290*Resumo!$C$6</f>
        <v>0</v>
      </c>
      <c r="K1290" s="61" t="n">
        <f aca="false">H1290*Resumo!$C$7</f>
        <v>2.414979</v>
      </c>
      <c r="L1290" s="61" t="n">
        <f aca="false">H1290*Resumo!$C$8</f>
        <v>2.414979</v>
      </c>
      <c r="M1290" s="61" t="n">
        <f aca="false">Resumo!$C$10*CEILING(G1290/100,1)</f>
        <v>1.05</v>
      </c>
      <c r="N1290" s="61" t="n">
        <f aca="false">Resumo!$C$9</f>
        <v>0</v>
      </c>
      <c r="O1290" s="61" t="n">
        <f aca="false">Resumo!$C$13</f>
        <v>13.55</v>
      </c>
      <c r="P1290" s="61" t="n">
        <f aca="false">Resumo!$C$14*CEILING(G1290,1)</f>
        <v>40.5</v>
      </c>
      <c r="Q1290" s="61" t="n">
        <f aca="false">SUM(I1290:P1290)*Resumo!$C$11</f>
        <v>0</v>
      </c>
      <c r="R1290" s="61" t="n">
        <f aca="false">SUM(I1290:Q1290)</f>
        <v>152.249958</v>
      </c>
      <c r="S1290" s="61" t="n">
        <f aca="false">R1290/(1-Resumo!$C$5)</f>
        <v>173.011315909091</v>
      </c>
      <c r="T1290" s="61" t="n">
        <v>167.99</v>
      </c>
      <c r="U1290" s="61" t="n">
        <f aca="false">H1290*Resumo!$B$6</f>
        <v>1.14999</v>
      </c>
      <c r="V1290" s="61" t="n">
        <f aca="false">H1290*Resumo!$B$7</f>
        <v>2.29998</v>
      </c>
      <c r="W1290" s="61" t="n">
        <f aca="false">Resumo!$B$9</f>
        <v>1</v>
      </c>
      <c r="X1290" s="61" t="n">
        <f aca="false">Resumo!$B$10*CEILING(G1290/100,1)</f>
        <v>4.5</v>
      </c>
      <c r="Y1290" s="61" t="n">
        <f aca="false">Resumo!$B$12*CEILING(G1290,1)</f>
        <v>5.4</v>
      </c>
      <c r="Z1290" s="61" t="n">
        <f aca="false">Resumo!$B$14*CEILING(G1290,1)</f>
        <v>40.5</v>
      </c>
      <c r="AA1290" s="61" t="n">
        <f aca="false">SUM(T1290:Z1290)</f>
        <v>222.83997</v>
      </c>
      <c r="AB1290" s="61" t="n">
        <f aca="false">AA1290/(1-Resumo!$B$5)</f>
        <v>253.227238636364</v>
      </c>
      <c r="AC1290" s="61" t="n">
        <f aca="false">AB1290-S1290</f>
        <v>80.2159227272728</v>
      </c>
      <c r="AD1290" s="62" t="n">
        <f aca="false">AB1290/S1290-1</f>
        <v>0.463645526916993</v>
      </c>
      <c r="AE1290" s="60" t="str">
        <f aca="false">IF(AB1290&lt;S1290,"SIM","NÃO")</f>
        <v>NÃO</v>
      </c>
      <c r="AF1290" s="60" t="n">
        <v>2</v>
      </c>
      <c r="AG1290" s="60" t="n">
        <v>5</v>
      </c>
      <c r="AH1290" s="60" t="s">
        <v>382</v>
      </c>
      <c r="AI1290" s="61" t="n">
        <f aca="false">(T1290*(1-Painel!$C$40)+U1290+V1290+Painel!$C$41+Painel!$C$42*CEILING(G1290/100,1)+Painel!$C$43*CEILING(G1290,1)+Z1290)/(1-Resumo!$B$5)</f>
        <v>180.174170454545</v>
      </c>
      <c r="AJ1290" s="60" t="str">
        <f aca="false">IF(AI1290&lt;S1290,"SIM","NÃO")</f>
        <v>NÃO</v>
      </c>
    </row>
    <row r="1291" customFormat="false" ht="15" hidden="false" customHeight="false" outlineLevel="0" collapsed="false">
      <c r="A1291" s="59" t="n">
        <v>46255.2978356482</v>
      </c>
      <c r="B1291" s="60" t="s">
        <v>1254</v>
      </c>
      <c r="C1291" s="60" t="n">
        <v>23907205</v>
      </c>
      <c r="D1291" s="60" t="s">
        <v>218</v>
      </c>
      <c r="E1291" s="60" t="s">
        <v>24</v>
      </c>
      <c r="F1291" s="60" t="s">
        <v>236</v>
      </c>
      <c r="G1291" s="60" t="n">
        <v>52.3</v>
      </c>
      <c r="H1291" s="61" t="n">
        <v>620</v>
      </c>
      <c r="I1291" s="61" t="n">
        <v>83.58</v>
      </c>
      <c r="J1291" s="61" t="n">
        <f aca="false">H1291*Resumo!$C$6</f>
        <v>0</v>
      </c>
      <c r="K1291" s="61" t="n">
        <f aca="false">H1291*Resumo!$C$7</f>
        <v>1.302</v>
      </c>
      <c r="L1291" s="61" t="n">
        <f aca="false">H1291*Resumo!$C$8</f>
        <v>1.302</v>
      </c>
      <c r="M1291" s="61" t="n">
        <f aca="false">Resumo!$C$10*CEILING(G1291/100,1)</f>
        <v>1.05</v>
      </c>
      <c r="N1291" s="61" t="n">
        <f aca="false">Resumo!$C$9</f>
        <v>0</v>
      </c>
      <c r="O1291" s="61" t="n">
        <f aca="false">Resumo!$C$13</f>
        <v>13.55</v>
      </c>
      <c r="P1291" s="61" t="n">
        <f aca="false">Resumo!$C$14*CEILING(G1291,1)</f>
        <v>23.85</v>
      </c>
      <c r="Q1291" s="61" t="n">
        <f aca="false">SUM(I1291:P1291)*Resumo!$C$11</f>
        <v>0</v>
      </c>
      <c r="R1291" s="61" t="n">
        <f aca="false">SUM(I1291:Q1291)</f>
        <v>124.634</v>
      </c>
      <c r="S1291" s="61" t="n">
        <f aca="false">R1291/(1-Resumo!$C$5)</f>
        <v>141.629545454545</v>
      </c>
      <c r="T1291" s="61" t="n">
        <v>142.32</v>
      </c>
      <c r="U1291" s="61" t="n">
        <f aca="false">H1291*Resumo!$B$6</f>
        <v>0.62</v>
      </c>
      <c r="V1291" s="61" t="n">
        <f aca="false">H1291*Resumo!$B$7</f>
        <v>1.24</v>
      </c>
      <c r="W1291" s="61" t="n">
        <f aca="false">Resumo!$B$9</f>
        <v>1</v>
      </c>
      <c r="X1291" s="61" t="n">
        <f aca="false">Resumo!$B$10*CEILING(G1291/100,1)</f>
        <v>4.5</v>
      </c>
      <c r="Y1291" s="61" t="n">
        <f aca="false">Resumo!$B$12*CEILING(G1291,1)</f>
        <v>3.18</v>
      </c>
      <c r="Z1291" s="61" t="n">
        <f aca="false">Resumo!$B$14*CEILING(G1291,1)</f>
        <v>23.85</v>
      </c>
      <c r="AA1291" s="61" t="n">
        <f aca="false">SUM(T1291:Z1291)</f>
        <v>176.71</v>
      </c>
      <c r="AB1291" s="61" t="n">
        <f aca="false">AA1291/(1-Resumo!$B$5)</f>
        <v>200.806818181818</v>
      </c>
      <c r="AC1291" s="61" t="n">
        <f aca="false">AB1291-S1291</f>
        <v>59.1772727272727</v>
      </c>
      <c r="AD1291" s="62" t="n">
        <f aca="false">AB1291/S1291-1</f>
        <v>0.417831410369562</v>
      </c>
      <c r="AE1291" s="60" t="str">
        <f aca="false">IF(AB1291&lt;S1291,"SIM","NÃO")</f>
        <v>NÃO</v>
      </c>
      <c r="AF1291" s="60" t="n">
        <v>13</v>
      </c>
      <c r="AG1291" s="60" t="n">
        <v>10</v>
      </c>
      <c r="AH1291" s="60" t="s">
        <v>382</v>
      </c>
      <c r="AI1291" s="61" t="n">
        <f aca="false">(T1291*(1-Painel!$C$40)+U1291+V1291+Painel!$C$41+Painel!$C$42*CEILING(G1291/100,1)+Painel!$C$43*CEILING(G1291,1)+Z1291)/(1-Resumo!$B$5)</f>
        <v>139.902727272727</v>
      </c>
      <c r="AJ1291" s="60" t="str">
        <f aca="false">IF(AI1291&lt;S1291,"SIM","NÃO")</f>
        <v>SIM</v>
      </c>
    </row>
    <row r="1292" customFormat="false" ht="15" hidden="false" customHeight="false" outlineLevel="0" collapsed="false">
      <c r="A1292" s="59" t="n">
        <v>46255.2983564815</v>
      </c>
      <c r="B1292" s="60" t="s">
        <v>1254</v>
      </c>
      <c r="C1292" s="60" t="n">
        <v>23907205</v>
      </c>
      <c r="D1292" s="60" t="s">
        <v>218</v>
      </c>
      <c r="E1292" s="60" t="s">
        <v>24</v>
      </c>
      <c r="F1292" s="60" t="s">
        <v>236</v>
      </c>
      <c r="G1292" s="60" t="n">
        <v>52.3</v>
      </c>
      <c r="H1292" s="61" t="n">
        <v>640.18</v>
      </c>
      <c r="I1292" s="61" t="n">
        <v>83.58</v>
      </c>
      <c r="J1292" s="61" t="n">
        <f aca="false">H1292*Resumo!$C$6</f>
        <v>0</v>
      </c>
      <c r="K1292" s="61" t="n">
        <f aca="false">H1292*Resumo!$C$7</f>
        <v>1.344378</v>
      </c>
      <c r="L1292" s="61" t="n">
        <f aca="false">H1292*Resumo!$C$8</f>
        <v>1.344378</v>
      </c>
      <c r="M1292" s="61" t="n">
        <f aca="false">Resumo!$C$10*CEILING(G1292/100,1)</f>
        <v>1.05</v>
      </c>
      <c r="N1292" s="61" t="n">
        <f aca="false">Resumo!$C$9</f>
        <v>0</v>
      </c>
      <c r="O1292" s="61" t="n">
        <f aca="false">Resumo!$C$13</f>
        <v>13.55</v>
      </c>
      <c r="P1292" s="61" t="n">
        <f aca="false">Resumo!$C$14*CEILING(G1292,1)</f>
        <v>23.85</v>
      </c>
      <c r="Q1292" s="61" t="n">
        <f aca="false">SUM(I1292:P1292)*Resumo!$C$11</f>
        <v>0</v>
      </c>
      <c r="R1292" s="61" t="n">
        <f aca="false">SUM(I1292:Q1292)</f>
        <v>124.718756</v>
      </c>
      <c r="S1292" s="61" t="n">
        <f aca="false">R1292/(1-Resumo!$C$5)</f>
        <v>141.725859090909</v>
      </c>
      <c r="T1292" s="61" t="n">
        <v>142.32</v>
      </c>
      <c r="U1292" s="61" t="n">
        <f aca="false">H1292*Resumo!$B$6</f>
        <v>0.64018</v>
      </c>
      <c r="V1292" s="61" t="n">
        <f aca="false">H1292*Resumo!$B$7</f>
        <v>1.28036</v>
      </c>
      <c r="W1292" s="61" t="n">
        <f aca="false">Resumo!$B$9</f>
        <v>1</v>
      </c>
      <c r="X1292" s="61" t="n">
        <f aca="false">Resumo!$B$10*CEILING(G1292/100,1)</f>
        <v>4.5</v>
      </c>
      <c r="Y1292" s="61" t="n">
        <f aca="false">Resumo!$B$12*CEILING(G1292,1)</f>
        <v>3.18</v>
      </c>
      <c r="Z1292" s="61" t="n">
        <f aca="false">Resumo!$B$14*CEILING(G1292,1)</f>
        <v>23.85</v>
      </c>
      <c r="AA1292" s="61" t="n">
        <f aca="false">SUM(T1292:Z1292)</f>
        <v>176.77054</v>
      </c>
      <c r="AB1292" s="61" t="n">
        <f aca="false">AA1292/(1-Resumo!$B$5)</f>
        <v>200.875613636364</v>
      </c>
      <c r="AC1292" s="61" t="n">
        <f aca="false">AB1292-S1292</f>
        <v>59.1497545454545</v>
      </c>
      <c r="AD1292" s="62" t="n">
        <f aca="false">AB1292/S1292-1</f>
        <v>0.417353296885033</v>
      </c>
      <c r="AE1292" s="60" t="str">
        <f aca="false">IF(AB1292&lt;S1292,"SIM","NÃO")</f>
        <v>NÃO</v>
      </c>
      <c r="AF1292" s="60" t="n">
        <v>13</v>
      </c>
      <c r="AG1292" s="60" t="n">
        <v>10</v>
      </c>
      <c r="AH1292" s="60" t="s">
        <v>382</v>
      </c>
      <c r="AI1292" s="61" t="n">
        <f aca="false">(T1292*(1-Painel!$C$40)+U1292+V1292+Painel!$C$41+Painel!$C$42*CEILING(G1292/100,1)+Painel!$C$43*CEILING(G1292,1)+Z1292)/(1-Resumo!$B$5)</f>
        <v>139.971522727273</v>
      </c>
      <c r="AJ1292" s="60" t="str">
        <f aca="false">IF(AI1292&lt;S1292,"SIM","NÃO")</f>
        <v>SIM</v>
      </c>
    </row>
    <row r="1293" customFormat="false" ht="15" hidden="false" customHeight="false" outlineLevel="0" collapsed="false">
      <c r="A1293" s="59" t="n">
        <v>46255.333287037</v>
      </c>
      <c r="B1293" s="60" t="s">
        <v>1577</v>
      </c>
      <c r="C1293" s="60" t="n">
        <v>26157579</v>
      </c>
      <c r="D1293" s="60" t="s">
        <v>52</v>
      </c>
      <c r="E1293" s="60" t="s">
        <v>23</v>
      </c>
      <c r="F1293" s="60" t="s">
        <v>234</v>
      </c>
      <c r="G1293" s="60" t="n">
        <v>39</v>
      </c>
      <c r="H1293" s="61" t="n">
        <v>519.99</v>
      </c>
      <c r="I1293" s="61" t="n">
        <v>66.83</v>
      </c>
      <c r="J1293" s="61" t="n">
        <f aca="false">H1293*Resumo!$C$6</f>
        <v>0</v>
      </c>
      <c r="K1293" s="61" t="n">
        <f aca="false">H1293*Resumo!$C$7</f>
        <v>1.091979</v>
      </c>
      <c r="L1293" s="61" t="n">
        <f aca="false">H1293*Resumo!$C$8</f>
        <v>1.091979</v>
      </c>
      <c r="M1293" s="61" t="n">
        <f aca="false">Resumo!$C$10*CEILING(G1293/100,1)</f>
        <v>1.05</v>
      </c>
      <c r="N1293" s="61" t="n">
        <f aca="false">Resumo!$C$9</f>
        <v>0</v>
      </c>
      <c r="O1293" s="61" t="n">
        <f aca="false">Resumo!$C$13</f>
        <v>13.55</v>
      </c>
      <c r="P1293" s="61" t="n">
        <f aca="false">Resumo!$C$14*CEILING(G1293,1)</f>
        <v>17.55</v>
      </c>
      <c r="Q1293" s="61" t="n">
        <f aca="false">SUM(I1293:P1293)*Resumo!$C$11</f>
        <v>0</v>
      </c>
      <c r="R1293" s="61" t="n">
        <f aca="false">SUM(I1293:Q1293)</f>
        <v>101.163958</v>
      </c>
      <c r="S1293" s="61" t="n">
        <f aca="false">R1293/(1-Resumo!$C$5)</f>
        <v>114.959043181818</v>
      </c>
      <c r="T1293" s="61" t="n">
        <v>93.97</v>
      </c>
      <c r="U1293" s="61" t="n">
        <f aca="false">H1293*Resumo!$B$6</f>
        <v>0.51999</v>
      </c>
      <c r="V1293" s="61" t="n">
        <f aca="false">H1293*Resumo!$B$7</f>
        <v>1.03998</v>
      </c>
      <c r="W1293" s="61" t="n">
        <f aca="false">Resumo!$B$9</f>
        <v>1</v>
      </c>
      <c r="X1293" s="61" t="n">
        <f aca="false">Resumo!$B$10*CEILING(G1293/100,1)</f>
        <v>4.5</v>
      </c>
      <c r="Y1293" s="61" t="n">
        <f aca="false">Resumo!$B$12*CEILING(G1293,1)</f>
        <v>2.34</v>
      </c>
      <c r="Z1293" s="61" t="n">
        <f aca="false">Resumo!$B$14*CEILING(G1293,1)</f>
        <v>17.55</v>
      </c>
      <c r="AA1293" s="61" t="n">
        <f aca="false">SUM(T1293:Z1293)</f>
        <v>120.91997</v>
      </c>
      <c r="AB1293" s="61" t="n">
        <f aca="false">AA1293/(1-Resumo!$B$5)</f>
        <v>137.409056818182</v>
      </c>
      <c r="AC1293" s="61" t="n">
        <f aca="false">AB1293-S1293</f>
        <v>22.4500136363636</v>
      </c>
      <c r="AD1293" s="62" t="n">
        <f aca="false">AB1293/S1293-1</f>
        <v>0.195287060634777</v>
      </c>
      <c r="AE1293" s="60" t="str">
        <f aca="false">IF(AB1293&lt;S1293,"SIM","NÃO")</f>
        <v>NÃO</v>
      </c>
      <c r="AF1293" s="60" t="n">
        <v>2</v>
      </c>
      <c r="AG1293" s="60" t="n">
        <v>5</v>
      </c>
      <c r="AH1293" s="60" t="s">
        <v>382</v>
      </c>
      <c r="AI1293" s="61" t="n">
        <f aca="false">(T1293*(1-Painel!$C$40)+U1293+V1293+Painel!$C$41+Painel!$C$42*CEILING(G1293/100,1)+Painel!$C$43*CEILING(G1293,1)+Z1293)/(1-Resumo!$B$5)</f>
        <v>95.5907613636364</v>
      </c>
      <c r="AJ1293" s="60" t="str">
        <f aca="false">IF(AI1293&lt;S1293,"SIM","NÃO")</f>
        <v>SIM</v>
      </c>
    </row>
    <row r="1294" customFormat="false" ht="15" hidden="false" customHeight="false" outlineLevel="0" collapsed="false">
      <c r="A1294" s="59" t="n">
        <v>46255.3768634259</v>
      </c>
      <c r="B1294" s="60" t="s">
        <v>1578</v>
      </c>
      <c r="C1294" s="60" t="n">
        <v>26089225</v>
      </c>
      <c r="D1294" s="60" t="s">
        <v>49</v>
      </c>
      <c r="E1294" s="60" t="s">
        <v>23</v>
      </c>
      <c r="F1294" s="60" t="s">
        <v>235</v>
      </c>
      <c r="G1294" s="60" t="n">
        <v>48.3</v>
      </c>
      <c r="H1294" s="61" t="n">
        <v>449.99</v>
      </c>
      <c r="I1294" s="61" t="n">
        <v>65.36</v>
      </c>
      <c r="J1294" s="61" t="n">
        <f aca="false">H1294*Resumo!$C$6</f>
        <v>0</v>
      </c>
      <c r="K1294" s="61" t="n">
        <f aca="false">H1294*Resumo!$C$7</f>
        <v>0.944979</v>
      </c>
      <c r="L1294" s="61" t="n">
        <f aca="false">H1294*Resumo!$C$8</f>
        <v>0.944979</v>
      </c>
      <c r="M1294" s="61" t="n">
        <f aca="false">Resumo!$C$10*CEILING(G1294/100,1)</f>
        <v>1.05</v>
      </c>
      <c r="N1294" s="61" t="n">
        <f aca="false">Resumo!$C$9</f>
        <v>0</v>
      </c>
      <c r="O1294" s="61" t="n">
        <f aca="false">Resumo!$C$13</f>
        <v>13.55</v>
      </c>
      <c r="P1294" s="61" t="n">
        <f aca="false">Resumo!$C$14*CEILING(G1294,1)</f>
        <v>22.05</v>
      </c>
      <c r="Q1294" s="61" t="n">
        <f aca="false">SUM(I1294:P1294)*Resumo!$C$11</f>
        <v>0</v>
      </c>
      <c r="R1294" s="61" t="n">
        <f aca="false">SUM(I1294:Q1294)</f>
        <v>103.899958</v>
      </c>
      <c r="S1294" s="61" t="n">
        <f aca="false">R1294/(1-Resumo!$C$5)</f>
        <v>118.068134090909</v>
      </c>
      <c r="T1294" s="61" t="n">
        <v>93.97</v>
      </c>
      <c r="U1294" s="61" t="n">
        <f aca="false">H1294*Resumo!$B$6</f>
        <v>0.44999</v>
      </c>
      <c r="V1294" s="61" t="n">
        <f aca="false">H1294*Resumo!$B$7</f>
        <v>0.89998</v>
      </c>
      <c r="W1294" s="61" t="n">
        <f aca="false">Resumo!$B$9</f>
        <v>1</v>
      </c>
      <c r="X1294" s="61" t="n">
        <f aca="false">Resumo!$B$10*CEILING(G1294/100,1)</f>
        <v>4.5</v>
      </c>
      <c r="Y1294" s="61" t="n">
        <f aca="false">Resumo!$B$12*CEILING(G1294,1)</f>
        <v>2.94</v>
      </c>
      <c r="Z1294" s="61" t="n">
        <f aca="false">Resumo!$B$14*CEILING(G1294,1)</f>
        <v>22.05</v>
      </c>
      <c r="AA1294" s="61" t="n">
        <f aca="false">SUM(T1294:Z1294)</f>
        <v>125.80997</v>
      </c>
      <c r="AB1294" s="61" t="n">
        <f aca="false">AA1294/(1-Resumo!$B$5)</f>
        <v>142.965875</v>
      </c>
      <c r="AC1294" s="61" t="n">
        <f aca="false">AB1294-S1294</f>
        <v>24.8977409090909</v>
      </c>
      <c r="AD1294" s="62" t="n">
        <f aca="false">AB1294/S1294-1</f>
        <v>0.210876042895032</v>
      </c>
      <c r="AE1294" s="60" t="str">
        <f aca="false">IF(AB1294&lt;S1294,"SIM","NÃO")</f>
        <v>NÃO</v>
      </c>
      <c r="AF1294" s="60" t="n">
        <v>2</v>
      </c>
      <c r="AG1294" s="60" t="n">
        <v>5</v>
      </c>
      <c r="AH1294" s="60" t="s">
        <v>382</v>
      </c>
      <c r="AI1294" s="61" t="n">
        <f aca="false">(T1294*(1-Painel!$C$40)+U1294+V1294+Painel!$C$41+Painel!$C$42*CEILING(G1294/100,1)+Painel!$C$43*CEILING(G1294,1)+Z1294)/(1-Resumo!$B$5)</f>
        <v>100.465761363636</v>
      </c>
      <c r="AJ1294" s="60" t="str">
        <f aca="false">IF(AI1294&lt;S1294,"SIM","NÃO")</f>
        <v>SIM</v>
      </c>
    </row>
    <row r="1295" customFormat="false" ht="15" hidden="false" customHeight="false" outlineLevel="0" collapsed="false">
      <c r="A1295" s="59" t="n">
        <v>46255.377962963</v>
      </c>
      <c r="B1295" s="60" t="s">
        <v>1579</v>
      </c>
      <c r="C1295" s="60" t="n">
        <v>21511140</v>
      </c>
      <c r="D1295" s="60" t="s">
        <v>46</v>
      </c>
      <c r="E1295" s="60" t="s">
        <v>22</v>
      </c>
      <c r="F1295" s="60" t="s">
        <v>234</v>
      </c>
      <c r="G1295" s="60" t="n">
        <v>40</v>
      </c>
      <c r="H1295" s="61" t="n">
        <v>529.99</v>
      </c>
      <c r="I1295" s="61" t="n">
        <v>48.35</v>
      </c>
      <c r="J1295" s="61" t="n">
        <f aca="false">H1295*Resumo!$C$6</f>
        <v>0</v>
      </c>
      <c r="K1295" s="61" t="n">
        <f aca="false">H1295*Resumo!$C$7</f>
        <v>1.112979</v>
      </c>
      <c r="L1295" s="61" t="n">
        <f aca="false">H1295*Resumo!$C$8</f>
        <v>1.112979</v>
      </c>
      <c r="M1295" s="61" t="n">
        <f aca="false">Resumo!$C$10*CEILING(G1295/100,1)</f>
        <v>1.05</v>
      </c>
      <c r="N1295" s="61" t="n">
        <f aca="false">Resumo!$C$9</f>
        <v>0</v>
      </c>
      <c r="O1295" s="61" t="n">
        <f aca="false">Resumo!$C$13</f>
        <v>13.55</v>
      </c>
      <c r="P1295" s="61" t="n">
        <f aca="false">Resumo!$C$14*CEILING(G1295,1)</f>
        <v>18</v>
      </c>
      <c r="Q1295" s="61" t="n">
        <f aca="false">SUM(I1295:P1295)*Resumo!$C$11</f>
        <v>0</v>
      </c>
      <c r="R1295" s="61" t="n">
        <f aca="false">SUM(I1295:Q1295)</f>
        <v>83.175958</v>
      </c>
      <c r="S1295" s="61" t="n">
        <f aca="false">R1295/(1-Resumo!$C$5)</f>
        <v>94.5181340909091</v>
      </c>
      <c r="T1295" s="61" t="n">
        <v>93.97</v>
      </c>
      <c r="U1295" s="61" t="n">
        <f aca="false">H1295*Resumo!$B$6</f>
        <v>0.52999</v>
      </c>
      <c r="V1295" s="61" t="n">
        <f aca="false">H1295*Resumo!$B$7</f>
        <v>1.05998</v>
      </c>
      <c r="W1295" s="61" t="n">
        <f aca="false">Resumo!$B$9</f>
        <v>1</v>
      </c>
      <c r="X1295" s="61" t="n">
        <f aca="false">Resumo!$B$10*CEILING(G1295/100,1)</f>
        <v>4.5</v>
      </c>
      <c r="Y1295" s="61" t="n">
        <f aca="false">Resumo!$B$12*CEILING(G1295,1)</f>
        <v>2.4</v>
      </c>
      <c r="Z1295" s="61" t="n">
        <f aca="false">Resumo!$B$14*CEILING(G1295,1)</f>
        <v>18</v>
      </c>
      <c r="AA1295" s="61" t="n">
        <f aca="false">SUM(T1295:Z1295)</f>
        <v>121.45997</v>
      </c>
      <c r="AB1295" s="61" t="n">
        <f aca="false">AA1295/(1-Resumo!$B$5)</f>
        <v>138.022693181818</v>
      </c>
      <c r="AC1295" s="61" t="n">
        <f aca="false">AB1295-S1295</f>
        <v>43.5045590909091</v>
      </c>
      <c r="AD1295" s="62" t="n">
        <f aca="false">AB1295/S1295-1</f>
        <v>0.460277379672621</v>
      </c>
      <c r="AE1295" s="60" t="str">
        <f aca="false">IF(AB1295&lt;S1295,"SIM","NÃO")</f>
        <v>NÃO</v>
      </c>
      <c r="AF1295" s="60" t="n">
        <v>2</v>
      </c>
      <c r="AG1295" s="60" t="n">
        <v>5</v>
      </c>
      <c r="AH1295" s="60" t="s">
        <v>382</v>
      </c>
      <c r="AI1295" s="61" t="n">
        <f aca="false">(T1295*(1-Painel!$C$40)+U1295+V1295+Painel!$C$41+Painel!$C$42*CEILING(G1295/100,1)+Painel!$C$43*CEILING(G1295,1)+Z1295)/(1-Resumo!$B$5)</f>
        <v>96.1362159090909</v>
      </c>
      <c r="AJ1295" s="60" t="str">
        <f aca="false">IF(AI1295&lt;S1295,"SIM","NÃO")</f>
        <v>NÃO</v>
      </c>
    </row>
    <row r="1296" customFormat="false" ht="15" hidden="false" customHeight="false" outlineLevel="0" collapsed="false">
      <c r="A1296" s="59" t="n">
        <v>46255.3830439815</v>
      </c>
      <c r="B1296" s="60" t="s">
        <v>1300</v>
      </c>
      <c r="C1296" s="60" t="n">
        <v>20961050</v>
      </c>
      <c r="D1296" s="60" t="s">
        <v>46</v>
      </c>
      <c r="E1296" s="60" t="s">
        <v>22</v>
      </c>
      <c r="F1296" s="60" t="s">
        <v>236</v>
      </c>
      <c r="G1296" s="60" t="n">
        <v>58.5</v>
      </c>
      <c r="H1296" s="61" t="n">
        <v>855.95</v>
      </c>
      <c r="I1296" s="61" t="n">
        <v>58.6</v>
      </c>
      <c r="J1296" s="61" t="n">
        <f aca="false">H1296*Resumo!$C$6</f>
        <v>0</v>
      </c>
      <c r="K1296" s="61" t="n">
        <f aca="false">H1296*Resumo!$C$7</f>
        <v>1.797495</v>
      </c>
      <c r="L1296" s="61" t="n">
        <f aca="false">H1296*Resumo!$C$8</f>
        <v>1.797495</v>
      </c>
      <c r="M1296" s="61" t="n">
        <f aca="false">Resumo!$C$10*CEILING(G1296/100,1)</f>
        <v>1.05</v>
      </c>
      <c r="N1296" s="61" t="n">
        <f aca="false">Resumo!$C$9</f>
        <v>0</v>
      </c>
      <c r="O1296" s="61" t="n">
        <f aca="false">Resumo!$C$13</f>
        <v>13.55</v>
      </c>
      <c r="P1296" s="61" t="n">
        <f aca="false">Resumo!$C$14*CEILING(G1296,1)</f>
        <v>26.55</v>
      </c>
      <c r="Q1296" s="61" t="n">
        <f aca="false">SUM(I1296:P1296)*Resumo!$C$11</f>
        <v>0</v>
      </c>
      <c r="R1296" s="61" t="n">
        <f aca="false">SUM(I1296:Q1296)</f>
        <v>103.34499</v>
      </c>
      <c r="S1296" s="61" t="n">
        <f aca="false">R1296/(1-Resumo!$C$5)</f>
        <v>117.437488636364</v>
      </c>
      <c r="T1296" s="61" t="n">
        <v>112.3</v>
      </c>
      <c r="U1296" s="61" t="n">
        <f aca="false">H1296*Resumo!$B$6</f>
        <v>0.85595</v>
      </c>
      <c r="V1296" s="61" t="n">
        <f aca="false">H1296*Resumo!$B$7</f>
        <v>1.7119</v>
      </c>
      <c r="W1296" s="61" t="n">
        <f aca="false">Resumo!$B$9</f>
        <v>1</v>
      </c>
      <c r="X1296" s="61" t="n">
        <f aca="false">Resumo!$B$10*CEILING(G1296/100,1)</f>
        <v>4.5</v>
      </c>
      <c r="Y1296" s="61" t="n">
        <f aca="false">Resumo!$B$12*CEILING(G1296,1)</f>
        <v>3.54</v>
      </c>
      <c r="Z1296" s="61" t="n">
        <f aca="false">Resumo!$B$14*CEILING(G1296,1)</f>
        <v>26.55</v>
      </c>
      <c r="AA1296" s="61" t="n">
        <f aca="false">SUM(T1296:Z1296)</f>
        <v>150.45785</v>
      </c>
      <c r="AB1296" s="61" t="n">
        <f aca="false">AA1296/(1-Resumo!$B$5)</f>
        <v>170.974829545455</v>
      </c>
      <c r="AC1296" s="61" t="n">
        <f aca="false">AB1296-S1296</f>
        <v>53.5373409090909</v>
      </c>
      <c r="AD1296" s="62" t="n">
        <f aca="false">AB1296/S1296-1</f>
        <v>0.455879477079634</v>
      </c>
      <c r="AE1296" s="60" t="str">
        <f aca="false">IF(AB1296&lt;S1296,"SIM","NÃO")</f>
        <v>NÃO</v>
      </c>
      <c r="AF1296" s="60" t="n">
        <v>2</v>
      </c>
      <c r="AG1296" s="60" t="n">
        <v>5</v>
      </c>
      <c r="AH1296" s="60" t="s">
        <v>382</v>
      </c>
      <c r="AI1296" s="61" t="n">
        <f aca="false">(T1296*(1-Painel!$C$40)+U1296+V1296+Painel!$C$41+Painel!$C$42*CEILING(G1296/100,1)+Painel!$C$43*CEILING(G1296,1)+Z1296)/(1-Resumo!$B$5)</f>
        <v>120.919147727273</v>
      </c>
      <c r="AJ1296" s="60" t="str">
        <f aca="false">IF(AI1296&lt;S1296,"SIM","NÃO")</f>
        <v>NÃO</v>
      </c>
    </row>
    <row r="1297" customFormat="false" ht="15" hidden="false" customHeight="false" outlineLevel="0" collapsed="false">
      <c r="A1297" s="59" t="n">
        <v>46255.4273263889</v>
      </c>
      <c r="B1297" s="60" t="s">
        <v>1580</v>
      </c>
      <c r="C1297" s="60" t="n">
        <v>25075240</v>
      </c>
      <c r="D1297" s="60" t="s">
        <v>48</v>
      </c>
      <c r="E1297" s="60" t="s">
        <v>23</v>
      </c>
      <c r="F1297" s="60" t="s">
        <v>235</v>
      </c>
      <c r="G1297" s="60" t="n">
        <v>43.5</v>
      </c>
      <c r="H1297" s="61" t="n">
        <v>604.3</v>
      </c>
      <c r="I1297" s="61" t="n">
        <v>65.36</v>
      </c>
      <c r="J1297" s="61" t="n">
        <f aca="false">H1297*Resumo!$C$6</f>
        <v>0</v>
      </c>
      <c r="K1297" s="61" t="n">
        <f aca="false">H1297*Resumo!$C$7</f>
        <v>1.26903</v>
      </c>
      <c r="L1297" s="61" t="n">
        <f aca="false">H1297*Resumo!$C$8</f>
        <v>1.26903</v>
      </c>
      <c r="M1297" s="61" t="n">
        <f aca="false">Resumo!$C$10*CEILING(G1297/100,1)</f>
        <v>1.05</v>
      </c>
      <c r="N1297" s="61" t="n">
        <f aca="false">Resumo!$C$9</f>
        <v>0</v>
      </c>
      <c r="O1297" s="61" t="n">
        <f aca="false">Resumo!$C$13</f>
        <v>13.55</v>
      </c>
      <c r="P1297" s="61" t="n">
        <f aca="false">Resumo!$C$14*CEILING(G1297,1)</f>
        <v>19.8</v>
      </c>
      <c r="Q1297" s="61" t="n">
        <f aca="false">SUM(I1297:P1297)*Resumo!$C$11</f>
        <v>0</v>
      </c>
      <c r="R1297" s="61" t="n">
        <f aca="false">SUM(I1297:Q1297)</f>
        <v>102.29806</v>
      </c>
      <c r="S1297" s="61" t="n">
        <f aca="false">R1297/(1-Resumo!$C$5)</f>
        <v>116.247795454545</v>
      </c>
      <c r="T1297" s="61" t="n">
        <v>93.97</v>
      </c>
      <c r="U1297" s="61" t="n">
        <f aca="false">H1297*Resumo!$B$6</f>
        <v>0.6043</v>
      </c>
      <c r="V1297" s="61" t="n">
        <f aca="false">H1297*Resumo!$B$7</f>
        <v>1.2086</v>
      </c>
      <c r="W1297" s="61" t="n">
        <f aca="false">Resumo!$B$9</f>
        <v>1</v>
      </c>
      <c r="X1297" s="61" t="n">
        <f aca="false">Resumo!$B$10*CEILING(G1297/100,1)</f>
        <v>4.5</v>
      </c>
      <c r="Y1297" s="61" t="n">
        <f aca="false">Resumo!$B$12*CEILING(G1297,1)</f>
        <v>2.64</v>
      </c>
      <c r="Z1297" s="61" t="n">
        <f aca="false">Resumo!$B$14*CEILING(G1297,1)</f>
        <v>19.8</v>
      </c>
      <c r="AA1297" s="61" t="n">
        <f aca="false">SUM(T1297:Z1297)</f>
        <v>123.7229</v>
      </c>
      <c r="AB1297" s="61" t="n">
        <f aca="false">AA1297/(1-Resumo!$B$5)</f>
        <v>140.594204545455</v>
      </c>
      <c r="AC1297" s="61" t="n">
        <f aca="false">AB1297-S1297</f>
        <v>24.3464090909091</v>
      </c>
      <c r="AD1297" s="62" t="n">
        <f aca="false">AB1297/S1297-1</f>
        <v>0.209435447749449</v>
      </c>
      <c r="AE1297" s="60" t="str">
        <f aca="false">IF(AB1297&lt;S1297,"SIM","NÃO")</f>
        <v>NÃO</v>
      </c>
      <c r="AF1297" s="60" t="n">
        <v>2</v>
      </c>
      <c r="AG1297" s="60" t="n">
        <v>5</v>
      </c>
      <c r="AH1297" s="60" t="s">
        <v>382</v>
      </c>
      <c r="AI1297" s="61" t="n">
        <f aca="false">(T1297*(1-Painel!$C$40)+U1297+V1297+Painel!$C$41+Painel!$C$42*CEILING(G1297/100,1)+Painel!$C$43*CEILING(G1297,1)+Z1297)/(1-Resumo!$B$5)</f>
        <v>98.435</v>
      </c>
      <c r="AJ1297" s="60" t="str">
        <f aca="false">IF(AI1297&lt;S1297,"SIM","NÃO")</f>
        <v>SIM</v>
      </c>
    </row>
    <row r="1298" customFormat="false" ht="15" hidden="false" customHeight="false" outlineLevel="0" collapsed="false">
      <c r="A1298" s="59" t="n">
        <v>46255.4436111111</v>
      </c>
      <c r="B1298" s="60" t="s">
        <v>1581</v>
      </c>
      <c r="C1298" s="60" t="n">
        <v>28890052</v>
      </c>
      <c r="D1298" s="60" t="s">
        <v>227</v>
      </c>
      <c r="E1298" s="60" t="s">
        <v>24</v>
      </c>
      <c r="F1298" s="60" t="s">
        <v>239</v>
      </c>
      <c r="G1298" s="60" t="n">
        <v>81.7</v>
      </c>
      <c r="H1298" s="61" t="n">
        <v>639.76</v>
      </c>
      <c r="I1298" s="61" t="n">
        <v>109.63</v>
      </c>
      <c r="J1298" s="61" t="n">
        <f aca="false">H1298*Resumo!$C$6</f>
        <v>0</v>
      </c>
      <c r="K1298" s="61" t="n">
        <f aca="false">H1298*Resumo!$C$7</f>
        <v>1.343496</v>
      </c>
      <c r="L1298" s="61" t="n">
        <f aca="false">H1298*Resumo!$C$8</f>
        <v>1.343496</v>
      </c>
      <c r="M1298" s="61" t="n">
        <f aca="false">Resumo!$C$10*CEILING(G1298/100,1)</f>
        <v>1.05</v>
      </c>
      <c r="N1298" s="61" t="n">
        <f aca="false">Resumo!$C$9</f>
        <v>0</v>
      </c>
      <c r="O1298" s="61" t="n">
        <f aca="false">Resumo!$C$13</f>
        <v>13.55</v>
      </c>
      <c r="P1298" s="61" t="n">
        <f aca="false">Resumo!$C$14*CEILING(G1298,1)</f>
        <v>36.9</v>
      </c>
      <c r="Q1298" s="61" t="n">
        <f aca="false">SUM(I1298:P1298)*Resumo!$C$11</f>
        <v>0</v>
      </c>
      <c r="R1298" s="61" t="n">
        <f aca="false">SUM(I1298:Q1298)</f>
        <v>163.816992</v>
      </c>
      <c r="S1298" s="61" t="n">
        <f aca="false">R1298/(1-Resumo!$C$5)</f>
        <v>186.155672727273</v>
      </c>
      <c r="T1298" s="61" t="n">
        <v>197.35</v>
      </c>
      <c r="U1298" s="61" t="n">
        <f aca="false">H1298*Resumo!$B$6</f>
        <v>0.63976</v>
      </c>
      <c r="V1298" s="61" t="n">
        <f aca="false">H1298*Resumo!$B$7</f>
        <v>1.27952</v>
      </c>
      <c r="W1298" s="61" t="n">
        <f aca="false">Resumo!$B$9</f>
        <v>1</v>
      </c>
      <c r="X1298" s="61" t="n">
        <f aca="false">Resumo!$B$10*CEILING(G1298/100,1)</f>
        <v>4.5</v>
      </c>
      <c r="Y1298" s="61" t="n">
        <f aca="false">Resumo!$B$12*CEILING(G1298,1)</f>
        <v>4.92</v>
      </c>
      <c r="Z1298" s="61" t="n">
        <f aca="false">Resumo!$B$14*CEILING(G1298,1)</f>
        <v>36.9</v>
      </c>
      <c r="AA1298" s="61" t="n">
        <f aca="false">SUM(T1298:Z1298)</f>
        <v>246.58928</v>
      </c>
      <c r="AB1298" s="61" t="n">
        <f aca="false">AA1298/(1-Resumo!$B$5)</f>
        <v>280.215090909091</v>
      </c>
      <c r="AC1298" s="61" t="n">
        <f aca="false">AB1298-S1298</f>
        <v>94.0594181818182</v>
      </c>
      <c r="AD1298" s="62" t="n">
        <f aca="false">AB1298/S1298-1</f>
        <v>0.505272908441635</v>
      </c>
      <c r="AE1298" s="60" t="str">
        <f aca="false">IF(AB1298&lt;S1298,"SIM","NÃO")</f>
        <v>NÃO</v>
      </c>
      <c r="AF1298" s="60" t="n">
        <v>13</v>
      </c>
      <c r="AG1298" s="60" t="n">
        <v>10</v>
      </c>
      <c r="AH1298" s="60" t="s">
        <v>382</v>
      </c>
      <c r="AI1298" s="61" t="n">
        <f aca="false">(T1298*(1-Painel!$C$40)+U1298+V1298+Painel!$C$41+Painel!$C$42*CEILING(G1298/100,1)+Painel!$C$43*CEILING(G1298,1)+Z1298)/(1-Resumo!$B$5)</f>
        <v>196.697477272727</v>
      </c>
      <c r="AJ1298" s="60" t="str">
        <f aca="false">IF(AI1298&lt;S1298,"SIM","NÃO")</f>
        <v>NÃO</v>
      </c>
    </row>
    <row r="1299" customFormat="false" ht="15" hidden="false" customHeight="false" outlineLevel="0" collapsed="false">
      <c r="A1299" s="59" t="n">
        <v>46255.4446412037</v>
      </c>
      <c r="B1299" s="60" t="s">
        <v>1582</v>
      </c>
      <c r="C1299" s="60" t="n">
        <v>22793580</v>
      </c>
      <c r="D1299" s="60" t="s">
        <v>46</v>
      </c>
      <c r="E1299" s="60" t="s">
        <v>22</v>
      </c>
      <c r="F1299" s="60" t="s">
        <v>232</v>
      </c>
      <c r="G1299" s="60" t="n">
        <v>17.2</v>
      </c>
      <c r="H1299" s="61" t="n">
        <v>243.21</v>
      </c>
      <c r="I1299" s="61" t="n">
        <v>33.42</v>
      </c>
      <c r="J1299" s="61" t="n">
        <f aca="false">H1299*Resumo!$C$6</f>
        <v>0</v>
      </c>
      <c r="K1299" s="61" t="n">
        <f aca="false">H1299*Resumo!$C$7</f>
        <v>0.510741</v>
      </c>
      <c r="L1299" s="61" t="n">
        <f aca="false">H1299*Resumo!$C$8</f>
        <v>0.510741</v>
      </c>
      <c r="M1299" s="61" t="n">
        <f aca="false">Resumo!$C$10*CEILING(G1299/100,1)</f>
        <v>1.05</v>
      </c>
      <c r="N1299" s="61" t="n">
        <f aca="false">Resumo!$C$9</f>
        <v>0</v>
      </c>
      <c r="O1299" s="61" t="n">
        <f aca="false">Resumo!$C$13</f>
        <v>13.55</v>
      </c>
      <c r="P1299" s="61" t="n">
        <f aca="false">Resumo!$C$14*CEILING(G1299,1)</f>
        <v>8.1</v>
      </c>
      <c r="Q1299" s="61" t="n">
        <f aca="false">SUM(I1299:P1299)*Resumo!$C$11</f>
        <v>0</v>
      </c>
      <c r="R1299" s="61" t="n">
        <f aca="false">SUM(I1299:Q1299)</f>
        <v>57.141482</v>
      </c>
      <c r="S1299" s="61" t="n">
        <f aca="false">R1299/(1-Resumo!$C$5)</f>
        <v>64.9335022727273</v>
      </c>
      <c r="T1299" s="61" t="n">
        <v>46.98</v>
      </c>
      <c r="U1299" s="61" t="n">
        <f aca="false">H1299*Resumo!$B$6</f>
        <v>0.24321</v>
      </c>
      <c r="V1299" s="61" t="n">
        <f aca="false">H1299*Resumo!$B$7</f>
        <v>0.48642</v>
      </c>
      <c r="W1299" s="61" t="n">
        <f aca="false">Resumo!$B$9</f>
        <v>1</v>
      </c>
      <c r="X1299" s="61" t="n">
        <f aca="false">Resumo!$B$10*CEILING(G1299/100,1)</f>
        <v>4.5</v>
      </c>
      <c r="Y1299" s="61" t="n">
        <f aca="false">Resumo!$B$12*CEILING(G1299,1)</f>
        <v>1.08</v>
      </c>
      <c r="Z1299" s="61" t="n">
        <f aca="false">Resumo!$B$14*CEILING(G1299,1)</f>
        <v>8.1</v>
      </c>
      <c r="AA1299" s="61" t="n">
        <f aca="false">SUM(T1299:Z1299)</f>
        <v>62.38963</v>
      </c>
      <c r="AB1299" s="61" t="n">
        <f aca="false">AA1299/(1-Resumo!$B$5)</f>
        <v>70.8973068181818</v>
      </c>
      <c r="AC1299" s="61" t="n">
        <f aca="false">AB1299-S1299</f>
        <v>5.96380454545454</v>
      </c>
      <c r="AD1299" s="62" t="n">
        <f aca="false">AB1299/S1299-1</f>
        <v>0.0918448002451178</v>
      </c>
      <c r="AE1299" s="60" t="str">
        <f aca="false">IF(AB1299&lt;S1299,"SIM","NÃO")</f>
        <v>NÃO</v>
      </c>
      <c r="AF1299" s="60" t="n">
        <v>2</v>
      </c>
      <c r="AG1299" s="60" t="n">
        <v>5</v>
      </c>
      <c r="AH1299" s="60" t="s">
        <v>382</v>
      </c>
      <c r="AI1299" s="61" t="n">
        <f aca="false">(T1299*(1-Painel!$C$40)+U1299+V1299+Painel!$C$41+Painel!$C$42*CEILING(G1299/100,1)+Painel!$C$43*CEILING(G1299,1)+Z1299)/(1-Resumo!$B$5)</f>
        <v>48.1320795454545</v>
      </c>
      <c r="AJ1299" s="60" t="str">
        <f aca="false">IF(AI1299&lt;S1299,"SIM","NÃO")</f>
        <v>SIM</v>
      </c>
    </row>
    <row r="1300" customFormat="false" ht="15" hidden="false" customHeight="false" outlineLevel="0" collapsed="false">
      <c r="A1300" s="59" t="n">
        <v>46255.4545717593</v>
      </c>
      <c r="B1300" s="60" t="s">
        <v>1583</v>
      </c>
      <c r="C1300" s="60" t="n">
        <v>26263175</v>
      </c>
      <c r="D1300" s="60" t="s">
        <v>49</v>
      </c>
      <c r="E1300" s="60" t="s">
        <v>23</v>
      </c>
      <c r="F1300" s="60" t="s">
        <v>241</v>
      </c>
      <c r="G1300" s="60" t="n">
        <v>124.2</v>
      </c>
      <c r="H1300" s="61" t="n">
        <v>1526.91</v>
      </c>
      <c r="I1300" s="61" t="n">
        <v>129.62</v>
      </c>
      <c r="J1300" s="61" t="n">
        <f aca="false">H1300*Resumo!$C$6</f>
        <v>0</v>
      </c>
      <c r="K1300" s="61" t="n">
        <f aca="false">H1300*Resumo!$C$7</f>
        <v>3.206511</v>
      </c>
      <c r="L1300" s="61" t="n">
        <f aca="false">H1300*Resumo!$C$8</f>
        <v>3.206511</v>
      </c>
      <c r="M1300" s="61" t="n">
        <f aca="false">Resumo!$C$10*CEILING(G1300/100,1)</f>
        <v>2.1</v>
      </c>
      <c r="N1300" s="61" t="n">
        <f aca="false">Resumo!$C$9</f>
        <v>0</v>
      </c>
      <c r="O1300" s="61" t="n">
        <f aca="false">Resumo!$C$13</f>
        <v>13.55</v>
      </c>
      <c r="P1300" s="61" t="n">
        <f aca="false">Resumo!$C$14*CEILING(G1300,1)</f>
        <v>56.25</v>
      </c>
      <c r="Q1300" s="61" t="n">
        <f aca="false">SUM(I1300:P1300)*Resumo!$C$11</f>
        <v>0</v>
      </c>
      <c r="R1300" s="61" t="n">
        <f aca="false">SUM(I1300:Q1300)</f>
        <v>207.933022</v>
      </c>
      <c r="S1300" s="61" t="n">
        <f aca="false">R1300/(1-Resumo!$C$5)</f>
        <v>236.287525</v>
      </c>
      <c r="T1300" s="61" t="n">
        <v>239.25</v>
      </c>
      <c r="U1300" s="61" t="n">
        <f aca="false">H1300*Resumo!$B$6</f>
        <v>1.52691</v>
      </c>
      <c r="V1300" s="61" t="n">
        <f aca="false">H1300*Resumo!$B$7</f>
        <v>3.05382</v>
      </c>
      <c r="W1300" s="61" t="n">
        <f aca="false">Resumo!$B$9</f>
        <v>1</v>
      </c>
      <c r="X1300" s="61" t="n">
        <f aca="false">Resumo!$B$10*CEILING(G1300/100,1)</f>
        <v>9</v>
      </c>
      <c r="Y1300" s="61" t="n">
        <f aca="false">Resumo!$B$12*CEILING(G1300,1)</f>
        <v>7.5</v>
      </c>
      <c r="Z1300" s="61" t="n">
        <f aca="false">Resumo!$B$14*CEILING(G1300,1)</f>
        <v>56.25</v>
      </c>
      <c r="AA1300" s="61" t="n">
        <f aca="false">SUM(T1300:Z1300)</f>
        <v>317.58073</v>
      </c>
      <c r="AB1300" s="61" t="n">
        <f aca="false">AA1300/(1-Resumo!$B$5)</f>
        <v>360.887193181818</v>
      </c>
      <c r="AC1300" s="61" t="n">
        <f aca="false">AB1300-S1300</f>
        <v>124.599668181818</v>
      </c>
      <c r="AD1300" s="62" t="n">
        <f aca="false">AB1300/S1300-1</f>
        <v>0.527322245141034</v>
      </c>
      <c r="AE1300" s="60" t="str">
        <f aca="false">IF(AB1300&lt;S1300,"SIM","NÃO")</f>
        <v>NÃO</v>
      </c>
      <c r="AF1300" s="60" t="n">
        <v>2</v>
      </c>
      <c r="AG1300" s="60" t="n">
        <v>5</v>
      </c>
      <c r="AH1300" s="60" t="s">
        <v>382</v>
      </c>
      <c r="AI1300" s="61" t="n">
        <f aca="false">(T1300*(1-Painel!$C$40)+U1300+V1300+Painel!$C$41+Painel!$C$42*CEILING(G1300/100,1)+Painel!$C$43*CEILING(G1300,1)+Z1300)/(1-Resumo!$B$5)</f>
        <v>254.804806818182</v>
      </c>
      <c r="AJ1300" s="60" t="str">
        <f aca="false">IF(AI1300&lt;S1300,"SIM","NÃO")</f>
        <v>NÃO</v>
      </c>
    </row>
    <row r="1301" customFormat="false" ht="15" hidden="false" customHeight="false" outlineLevel="0" collapsed="false">
      <c r="A1301" s="59" t="n">
        <v>46255.4953472222</v>
      </c>
      <c r="B1301" s="60" t="s">
        <v>1584</v>
      </c>
      <c r="C1301" s="60" t="n">
        <v>20745040</v>
      </c>
      <c r="D1301" s="60" t="s">
        <v>46</v>
      </c>
      <c r="E1301" s="60" t="s">
        <v>22</v>
      </c>
      <c r="F1301" s="60" t="s">
        <v>237</v>
      </c>
      <c r="G1301" s="60" t="n">
        <v>67.03</v>
      </c>
      <c r="H1301" s="61" t="n">
        <v>729.99</v>
      </c>
      <c r="I1301" s="61" t="n">
        <v>63.21</v>
      </c>
      <c r="J1301" s="61" t="n">
        <f aca="false">H1301*Resumo!$C$6</f>
        <v>0</v>
      </c>
      <c r="K1301" s="61" t="n">
        <f aca="false">H1301*Resumo!$C$7</f>
        <v>1.532979</v>
      </c>
      <c r="L1301" s="61" t="n">
        <f aca="false">H1301*Resumo!$C$8</f>
        <v>1.532979</v>
      </c>
      <c r="M1301" s="61" t="n">
        <f aca="false">Resumo!$C$10*CEILING(G1301/100,1)</f>
        <v>1.05</v>
      </c>
      <c r="N1301" s="61" t="n">
        <f aca="false">Resumo!$C$9</f>
        <v>0</v>
      </c>
      <c r="O1301" s="61" t="n">
        <f aca="false">Resumo!$C$13</f>
        <v>13.55</v>
      </c>
      <c r="P1301" s="61" t="n">
        <f aca="false">Resumo!$C$14*CEILING(G1301,1)</f>
        <v>30.6</v>
      </c>
      <c r="Q1301" s="61" t="n">
        <f aca="false">SUM(I1301:P1301)*Resumo!$C$11</f>
        <v>0</v>
      </c>
      <c r="R1301" s="61" t="n">
        <f aca="false">SUM(I1301:Q1301)</f>
        <v>111.475958</v>
      </c>
      <c r="S1301" s="61" t="n">
        <f aca="false">R1301/(1-Resumo!$C$5)</f>
        <v>126.677225</v>
      </c>
      <c r="T1301" s="61" t="n">
        <v>131.02</v>
      </c>
      <c r="U1301" s="61" t="n">
        <f aca="false">H1301*Resumo!$B$6</f>
        <v>0.72999</v>
      </c>
      <c r="V1301" s="61" t="n">
        <f aca="false">H1301*Resumo!$B$7</f>
        <v>1.45998</v>
      </c>
      <c r="W1301" s="61" t="n">
        <f aca="false">Resumo!$B$9</f>
        <v>1</v>
      </c>
      <c r="X1301" s="61" t="n">
        <f aca="false">Resumo!$B$10*CEILING(G1301/100,1)</f>
        <v>4.5</v>
      </c>
      <c r="Y1301" s="61" t="n">
        <f aca="false">Resumo!$B$12*CEILING(G1301,1)</f>
        <v>4.08</v>
      </c>
      <c r="Z1301" s="61" t="n">
        <f aca="false">Resumo!$B$14*CEILING(G1301,1)</f>
        <v>30.6</v>
      </c>
      <c r="AA1301" s="61" t="n">
        <f aca="false">SUM(T1301:Z1301)</f>
        <v>173.38997</v>
      </c>
      <c r="AB1301" s="61" t="n">
        <f aca="false">AA1301/(1-Resumo!$B$5)</f>
        <v>197.034056818182</v>
      </c>
      <c r="AC1301" s="61" t="n">
        <f aca="false">AB1301-S1301</f>
        <v>70.3568318181818</v>
      </c>
      <c r="AD1301" s="62" t="n">
        <f aca="false">AB1301/S1301-1</f>
        <v>0.555402376537549</v>
      </c>
      <c r="AE1301" s="60" t="str">
        <f aca="false">IF(AB1301&lt;S1301,"SIM","NÃO")</f>
        <v>NÃO</v>
      </c>
      <c r="AF1301" s="60" t="n">
        <v>2</v>
      </c>
      <c r="AG1301" s="60" t="n">
        <v>5</v>
      </c>
      <c r="AH1301" s="60" t="s">
        <v>382</v>
      </c>
      <c r="AI1301" s="61" t="n">
        <f aca="false">(T1301*(1-Painel!$C$40)+U1301+V1301+Painel!$C$41+Painel!$C$42*CEILING(G1301/100,1)+Painel!$C$43*CEILING(G1301,1)+Z1301)/(1-Resumo!$B$5)</f>
        <v>139.344738636364</v>
      </c>
      <c r="AJ1301" s="60" t="str">
        <f aca="false">IF(AI1301&lt;S1301,"SIM","NÃO")</f>
        <v>NÃO</v>
      </c>
    </row>
    <row r="1302" customFormat="false" ht="15" hidden="false" customHeight="false" outlineLevel="0" collapsed="false">
      <c r="A1302" s="59" t="n">
        <v>46255.5027083333</v>
      </c>
      <c r="B1302" s="60" t="s">
        <v>1585</v>
      </c>
      <c r="C1302" s="60" t="n">
        <v>21770190</v>
      </c>
      <c r="D1302" s="60" t="s">
        <v>46</v>
      </c>
      <c r="E1302" s="60" t="s">
        <v>22</v>
      </c>
      <c r="F1302" s="60" t="s">
        <v>236</v>
      </c>
      <c r="G1302" s="60" t="n">
        <v>52.3</v>
      </c>
      <c r="H1302" s="61" t="n">
        <v>669.99</v>
      </c>
      <c r="I1302" s="61" t="n">
        <v>58.6</v>
      </c>
      <c r="J1302" s="61" t="n">
        <f aca="false">H1302*Resumo!$C$6</f>
        <v>0</v>
      </c>
      <c r="K1302" s="61" t="n">
        <f aca="false">H1302*Resumo!$C$7</f>
        <v>1.406979</v>
      </c>
      <c r="L1302" s="61" t="n">
        <f aca="false">H1302*Resumo!$C$8</f>
        <v>1.406979</v>
      </c>
      <c r="M1302" s="61" t="n">
        <f aca="false">Resumo!$C$10*CEILING(G1302/100,1)</f>
        <v>1.05</v>
      </c>
      <c r="N1302" s="61" t="n">
        <f aca="false">Resumo!$C$9</f>
        <v>0</v>
      </c>
      <c r="O1302" s="61" t="n">
        <f aca="false">Resumo!$C$13</f>
        <v>13.55</v>
      </c>
      <c r="P1302" s="61" t="n">
        <f aca="false">Resumo!$C$14*CEILING(G1302,1)</f>
        <v>23.85</v>
      </c>
      <c r="Q1302" s="61" t="n">
        <f aca="false">SUM(I1302:P1302)*Resumo!$C$11</f>
        <v>0</v>
      </c>
      <c r="R1302" s="61" t="n">
        <f aca="false">SUM(I1302:Q1302)</f>
        <v>99.863958</v>
      </c>
      <c r="S1302" s="61" t="n">
        <f aca="false">R1302/(1-Resumo!$C$5)</f>
        <v>113.481770454545</v>
      </c>
      <c r="T1302" s="61" t="n">
        <v>112.3</v>
      </c>
      <c r="U1302" s="61" t="n">
        <f aca="false">H1302*Resumo!$B$6</f>
        <v>0.66999</v>
      </c>
      <c r="V1302" s="61" t="n">
        <f aca="false">H1302*Resumo!$B$7</f>
        <v>1.33998</v>
      </c>
      <c r="W1302" s="61" t="n">
        <f aca="false">Resumo!$B$9</f>
        <v>1</v>
      </c>
      <c r="X1302" s="61" t="n">
        <f aca="false">Resumo!$B$10*CEILING(G1302/100,1)</f>
        <v>4.5</v>
      </c>
      <c r="Y1302" s="61" t="n">
        <f aca="false">Resumo!$B$12*CEILING(G1302,1)</f>
        <v>3.18</v>
      </c>
      <c r="Z1302" s="61" t="n">
        <f aca="false">Resumo!$B$14*CEILING(G1302,1)</f>
        <v>23.85</v>
      </c>
      <c r="AA1302" s="61" t="n">
        <f aca="false">SUM(T1302:Z1302)</f>
        <v>146.83997</v>
      </c>
      <c r="AB1302" s="61" t="n">
        <f aca="false">AA1302/(1-Resumo!$B$5)</f>
        <v>166.863602272727</v>
      </c>
      <c r="AC1302" s="61" t="n">
        <f aca="false">AB1302-S1302</f>
        <v>53.3818318181818</v>
      </c>
      <c r="AD1302" s="62" t="n">
        <f aca="false">AB1302/S1302-1</f>
        <v>0.470400061651872</v>
      </c>
      <c r="AE1302" s="60" t="str">
        <f aca="false">IF(AB1302&lt;S1302,"SIM","NÃO")</f>
        <v>NÃO</v>
      </c>
      <c r="AF1302" s="60" t="n">
        <v>2</v>
      </c>
      <c r="AG1302" s="60" t="n">
        <v>5</v>
      </c>
      <c r="AH1302" s="60" t="s">
        <v>382</v>
      </c>
      <c r="AI1302" s="61" t="n">
        <f aca="false">(T1302*(1-Painel!$C$40)+U1302+V1302+Painel!$C$41+Painel!$C$42*CEILING(G1302/100,1)+Painel!$C$43*CEILING(G1302,1)+Z1302)/(1-Resumo!$B$5)</f>
        <v>117.217011363636</v>
      </c>
      <c r="AJ1302" s="60" t="str">
        <f aca="false">IF(AI1302&lt;S1302,"SIM","NÃO")</f>
        <v>NÃO</v>
      </c>
    </row>
    <row r="1303" customFormat="false" ht="15" hidden="false" customHeight="false" outlineLevel="0" collapsed="false">
      <c r="A1303" s="59" t="n">
        <v>46255.5040972222</v>
      </c>
      <c r="B1303" s="60" t="s">
        <v>1586</v>
      </c>
      <c r="C1303" s="60" t="n">
        <v>25565040</v>
      </c>
      <c r="D1303" s="60" t="s">
        <v>216</v>
      </c>
      <c r="E1303" s="60" t="s">
        <v>23</v>
      </c>
      <c r="F1303" s="60" t="s">
        <v>234</v>
      </c>
      <c r="G1303" s="60" t="n">
        <v>36.8</v>
      </c>
      <c r="H1303" s="61" t="n">
        <v>439.99</v>
      </c>
      <c r="I1303" s="61" t="n">
        <v>66.83</v>
      </c>
      <c r="J1303" s="61" t="n">
        <f aca="false">H1303*Resumo!$C$6</f>
        <v>0</v>
      </c>
      <c r="K1303" s="61" t="n">
        <f aca="false">H1303*Resumo!$C$7</f>
        <v>0.923979</v>
      </c>
      <c r="L1303" s="61" t="n">
        <f aca="false">H1303*Resumo!$C$8</f>
        <v>0.923979</v>
      </c>
      <c r="M1303" s="61" t="n">
        <f aca="false">Resumo!$C$10*CEILING(G1303/100,1)</f>
        <v>1.05</v>
      </c>
      <c r="N1303" s="61" t="n">
        <f aca="false">Resumo!$C$9</f>
        <v>0</v>
      </c>
      <c r="O1303" s="61" t="n">
        <f aca="false">Resumo!$C$13</f>
        <v>13.55</v>
      </c>
      <c r="P1303" s="61" t="n">
        <f aca="false">Resumo!$C$14*CEILING(G1303,1)</f>
        <v>16.65</v>
      </c>
      <c r="Q1303" s="61" t="n">
        <f aca="false">SUM(I1303:P1303)*Resumo!$C$11</f>
        <v>0</v>
      </c>
      <c r="R1303" s="61" t="n">
        <f aca="false">SUM(I1303:Q1303)</f>
        <v>99.927958</v>
      </c>
      <c r="S1303" s="61" t="n">
        <f aca="false">R1303/(1-Resumo!$C$5)</f>
        <v>113.554497727273</v>
      </c>
      <c r="T1303" s="61" t="n">
        <v>93.97</v>
      </c>
      <c r="U1303" s="61" t="n">
        <f aca="false">H1303*Resumo!$B$6</f>
        <v>0.43999</v>
      </c>
      <c r="V1303" s="61" t="n">
        <f aca="false">H1303*Resumo!$B$7</f>
        <v>0.87998</v>
      </c>
      <c r="W1303" s="61" t="n">
        <f aca="false">Resumo!$B$9</f>
        <v>1</v>
      </c>
      <c r="X1303" s="61" t="n">
        <f aca="false">Resumo!$B$10*CEILING(G1303/100,1)</f>
        <v>4.5</v>
      </c>
      <c r="Y1303" s="61" t="n">
        <f aca="false">Resumo!$B$12*CEILING(G1303,1)</f>
        <v>2.22</v>
      </c>
      <c r="Z1303" s="61" t="n">
        <f aca="false">Resumo!$B$14*CEILING(G1303,1)</f>
        <v>16.65</v>
      </c>
      <c r="AA1303" s="61" t="n">
        <f aca="false">SUM(T1303:Z1303)</f>
        <v>119.65997</v>
      </c>
      <c r="AB1303" s="61" t="n">
        <f aca="false">AA1303/(1-Resumo!$B$5)</f>
        <v>135.977238636364</v>
      </c>
      <c r="AC1303" s="61" t="n">
        <f aca="false">AB1303-S1303</f>
        <v>22.4227409090909</v>
      </c>
      <c r="AD1303" s="62" t="n">
        <f aca="false">AB1303/S1303-1</f>
        <v>0.197462375844806</v>
      </c>
      <c r="AE1303" s="60" t="str">
        <f aca="false">IF(AB1303&lt;S1303,"SIM","NÃO")</f>
        <v>NÃO</v>
      </c>
      <c r="AF1303" s="60" t="n">
        <v>2</v>
      </c>
      <c r="AG1303" s="60" t="n">
        <v>5</v>
      </c>
      <c r="AH1303" s="60" t="s">
        <v>382</v>
      </c>
      <c r="AI1303" s="61" t="n">
        <f aca="false">(T1303*(1-Painel!$C$40)+U1303+V1303+Painel!$C$41+Painel!$C$42*CEILING(G1303/100,1)+Painel!$C$43*CEILING(G1303,1)+Z1303)/(1-Resumo!$B$5)</f>
        <v>94.2953068181818</v>
      </c>
      <c r="AJ1303" s="60" t="str">
        <f aca="false">IF(AI1303&lt;S1303,"SIM","NÃO")</f>
        <v>SIM</v>
      </c>
    </row>
    <row r="1304" customFormat="false" ht="15" hidden="false" customHeight="false" outlineLevel="0" collapsed="false">
      <c r="A1304" s="59" t="n">
        <v>46255.5226388889</v>
      </c>
      <c r="B1304" s="60" t="s">
        <v>1587</v>
      </c>
      <c r="C1304" s="60" t="n">
        <v>28623583</v>
      </c>
      <c r="D1304" s="60" t="s">
        <v>226</v>
      </c>
      <c r="E1304" s="60" t="s">
        <v>24</v>
      </c>
      <c r="F1304" s="60" t="s">
        <v>239</v>
      </c>
      <c r="G1304" s="60" t="n">
        <v>82</v>
      </c>
      <c r="H1304" s="61" t="n">
        <v>1059.98</v>
      </c>
      <c r="I1304" s="61" t="n">
        <v>109.63</v>
      </c>
      <c r="J1304" s="61" t="n">
        <f aca="false">H1304*Resumo!$C$6</f>
        <v>0</v>
      </c>
      <c r="K1304" s="61" t="n">
        <f aca="false">H1304*Resumo!$C$7</f>
        <v>2.225958</v>
      </c>
      <c r="L1304" s="61" t="n">
        <f aca="false">H1304*Resumo!$C$8</f>
        <v>2.225958</v>
      </c>
      <c r="M1304" s="61" t="n">
        <f aca="false">Resumo!$C$10*CEILING(G1304/100,1)</f>
        <v>1.05</v>
      </c>
      <c r="N1304" s="61" t="n">
        <f aca="false">Resumo!$C$9</f>
        <v>0</v>
      </c>
      <c r="O1304" s="61" t="n">
        <f aca="false">Resumo!$C$13</f>
        <v>13.55</v>
      </c>
      <c r="P1304" s="61" t="n">
        <f aca="false">Resumo!$C$14*CEILING(G1304,1)</f>
        <v>36.9</v>
      </c>
      <c r="Q1304" s="61" t="n">
        <f aca="false">SUM(I1304:P1304)*Resumo!$C$11</f>
        <v>0</v>
      </c>
      <c r="R1304" s="61" t="n">
        <f aca="false">SUM(I1304:Q1304)</f>
        <v>165.581916</v>
      </c>
      <c r="S1304" s="61" t="n">
        <f aca="false">R1304/(1-Resumo!$C$5)</f>
        <v>188.161268181818</v>
      </c>
      <c r="T1304" s="61" t="n">
        <v>197.35</v>
      </c>
      <c r="U1304" s="61" t="n">
        <f aca="false">H1304*Resumo!$B$6</f>
        <v>1.05998</v>
      </c>
      <c r="V1304" s="61" t="n">
        <f aca="false">H1304*Resumo!$B$7</f>
        <v>2.11996</v>
      </c>
      <c r="W1304" s="61" t="n">
        <f aca="false">Resumo!$B$9</f>
        <v>1</v>
      </c>
      <c r="X1304" s="61" t="n">
        <f aca="false">Resumo!$B$10*CEILING(G1304/100,1)</f>
        <v>4.5</v>
      </c>
      <c r="Y1304" s="61" t="n">
        <f aca="false">Resumo!$B$12*CEILING(G1304,1)</f>
        <v>4.92</v>
      </c>
      <c r="Z1304" s="61" t="n">
        <f aca="false">Resumo!$B$14*CEILING(G1304,1)</f>
        <v>36.9</v>
      </c>
      <c r="AA1304" s="61" t="n">
        <f aca="false">SUM(T1304:Z1304)</f>
        <v>247.84994</v>
      </c>
      <c r="AB1304" s="61" t="n">
        <f aca="false">AA1304/(1-Resumo!$B$5)</f>
        <v>281.647659090909</v>
      </c>
      <c r="AC1304" s="61" t="n">
        <f aca="false">AB1304-S1304</f>
        <v>93.4863909090909</v>
      </c>
      <c r="AD1304" s="62" t="n">
        <f aca="false">AB1304/S1304-1</f>
        <v>0.496841841110233</v>
      </c>
      <c r="AE1304" s="60" t="str">
        <f aca="false">IF(AB1304&lt;S1304,"SIM","NÃO")</f>
        <v>NÃO</v>
      </c>
      <c r="AF1304" s="60" t="n">
        <v>13</v>
      </c>
      <c r="AG1304" s="60" t="n">
        <v>10</v>
      </c>
      <c r="AH1304" s="60" t="s">
        <v>382</v>
      </c>
      <c r="AI1304" s="61" t="n">
        <f aca="false">(T1304*(1-Painel!$C$40)+U1304+V1304+Painel!$C$41+Painel!$C$42*CEILING(G1304/100,1)+Painel!$C$43*CEILING(G1304,1)+Z1304)/(1-Resumo!$B$5)</f>
        <v>198.130045454545</v>
      </c>
      <c r="AJ1304" s="60" t="str">
        <f aca="false">IF(AI1304&lt;S1304,"SIM","NÃO")</f>
        <v>NÃO</v>
      </c>
    </row>
    <row r="1305" customFormat="false" ht="15" hidden="false" customHeight="false" outlineLevel="0" collapsed="false">
      <c r="A1305" s="59" t="n">
        <v>46255.5236342593</v>
      </c>
      <c r="B1305" s="60" t="s">
        <v>1588</v>
      </c>
      <c r="C1305" s="60" t="n">
        <v>23059318</v>
      </c>
      <c r="D1305" s="60" t="s">
        <v>46</v>
      </c>
      <c r="E1305" s="60" t="s">
        <v>22</v>
      </c>
      <c r="F1305" s="60" t="s">
        <v>239</v>
      </c>
      <c r="G1305" s="60" t="n">
        <v>81.7</v>
      </c>
      <c r="H1305" s="61" t="n">
        <v>639.76</v>
      </c>
      <c r="I1305" s="61" t="n">
        <v>83.79</v>
      </c>
      <c r="J1305" s="61" t="n">
        <f aca="false">H1305*Resumo!$C$6</f>
        <v>0</v>
      </c>
      <c r="K1305" s="61" t="n">
        <f aca="false">H1305*Resumo!$C$7</f>
        <v>1.343496</v>
      </c>
      <c r="L1305" s="61" t="n">
        <f aca="false">H1305*Resumo!$C$8</f>
        <v>1.343496</v>
      </c>
      <c r="M1305" s="61" t="n">
        <f aca="false">Resumo!$C$10*CEILING(G1305/100,1)</f>
        <v>1.05</v>
      </c>
      <c r="N1305" s="61" t="n">
        <f aca="false">Resumo!$C$9</f>
        <v>0</v>
      </c>
      <c r="O1305" s="61" t="n">
        <f aca="false">Resumo!$C$13</f>
        <v>13.55</v>
      </c>
      <c r="P1305" s="61" t="n">
        <f aca="false">Resumo!$C$14*CEILING(G1305,1)</f>
        <v>36.9</v>
      </c>
      <c r="Q1305" s="61" t="n">
        <f aca="false">SUM(I1305:P1305)*Resumo!$C$11</f>
        <v>0</v>
      </c>
      <c r="R1305" s="61" t="n">
        <f aca="false">SUM(I1305:Q1305)</f>
        <v>137.976992</v>
      </c>
      <c r="S1305" s="61" t="n">
        <f aca="false">R1305/(1-Resumo!$C$5)</f>
        <v>156.792036363636</v>
      </c>
      <c r="T1305" s="61" t="n">
        <v>167.99</v>
      </c>
      <c r="U1305" s="61" t="n">
        <f aca="false">H1305*Resumo!$B$6</f>
        <v>0.63976</v>
      </c>
      <c r="V1305" s="61" t="n">
        <f aca="false">H1305*Resumo!$B$7</f>
        <v>1.27952</v>
      </c>
      <c r="W1305" s="61" t="n">
        <f aca="false">Resumo!$B$9</f>
        <v>1</v>
      </c>
      <c r="X1305" s="61" t="n">
        <f aca="false">Resumo!$B$10*CEILING(G1305/100,1)</f>
        <v>4.5</v>
      </c>
      <c r="Y1305" s="61" t="n">
        <f aca="false">Resumo!$B$12*CEILING(G1305,1)</f>
        <v>4.92</v>
      </c>
      <c r="Z1305" s="61" t="n">
        <f aca="false">Resumo!$B$14*CEILING(G1305,1)</f>
        <v>36.9</v>
      </c>
      <c r="AA1305" s="61" t="n">
        <f aca="false">SUM(T1305:Z1305)</f>
        <v>217.22928</v>
      </c>
      <c r="AB1305" s="61" t="n">
        <f aca="false">AA1305/(1-Resumo!$B$5)</f>
        <v>246.851454545455</v>
      </c>
      <c r="AC1305" s="61" t="n">
        <f aca="false">AB1305-S1305</f>
        <v>90.0594181818182</v>
      </c>
      <c r="AD1305" s="62" t="n">
        <f aca="false">AB1305/S1305-1</f>
        <v>0.574387706611259</v>
      </c>
      <c r="AE1305" s="60" t="str">
        <f aca="false">IF(AB1305&lt;S1305,"SIM","NÃO")</f>
        <v>NÃO</v>
      </c>
      <c r="AF1305" s="60" t="n">
        <v>2</v>
      </c>
      <c r="AG1305" s="60" t="n">
        <v>5</v>
      </c>
      <c r="AH1305" s="60" t="s">
        <v>382</v>
      </c>
      <c r="AI1305" s="61" t="n">
        <f aca="false">(T1305*(1-Painel!$C$40)+U1305+V1305+Painel!$C$41+Painel!$C$42*CEILING(G1305/100,1)+Painel!$C$43*CEILING(G1305,1)+Z1305)/(1-Resumo!$B$5)</f>
        <v>174.343840909091</v>
      </c>
      <c r="AJ1305" s="60" t="str">
        <f aca="false">IF(AI1305&lt;S1305,"SIM","NÃO")</f>
        <v>NÃO</v>
      </c>
    </row>
    <row r="1306" customFormat="false" ht="15" hidden="false" customHeight="false" outlineLevel="0" collapsed="false">
      <c r="A1306" s="59" t="n">
        <v>46255.536412037</v>
      </c>
      <c r="B1306" s="60" t="s">
        <v>1589</v>
      </c>
      <c r="C1306" s="60" t="n">
        <v>24740110</v>
      </c>
      <c r="D1306" s="60" t="s">
        <v>47</v>
      </c>
      <c r="E1306" s="60" t="s">
        <v>23</v>
      </c>
      <c r="F1306" s="60" t="s">
        <v>235</v>
      </c>
      <c r="G1306" s="60" t="n">
        <v>46.8</v>
      </c>
      <c r="H1306" s="61" t="n">
        <v>506.56</v>
      </c>
      <c r="I1306" s="61" t="n">
        <v>65.36</v>
      </c>
      <c r="J1306" s="61" t="n">
        <f aca="false">H1306*Resumo!$C$6</f>
        <v>0</v>
      </c>
      <c r="K1306" s="61" t="n">
        <f aca="false">H1306*Resumo!$C$7</f>
        <v>1.063776</v>
      </c>
      <c r="L1306" s="61" t="n">
        <f aca="false">H1306*Resumo!$C$8</f>
        <v>1.063776</v>
      </c>
      <c r="M1306" s="61" t="n">
        <f aca="false">Resumo!$C$10*CEILING(G1306/100,1)</f>
        <v>1.05</v>
      </c>
      <c r="N1306" s="61" t="n">
        <f aca="false">Resumo!$C$9</f>
        <v>0</v>
      </c>
      <c r="O1306" s="61" t="n">
        <f aca="false">Resumo!$C$13</f>
        <v>13.55</v>
      </c>
      <c r="P1306" s="61" t="n">
        <f aca="false">Resumo!$C$14*CEILING(G1306,1)</f>
        <v>21.15</v>
      </c>
      <c r="Q1306" s="61" t="n">
        <f aca="false">SUM(I1306:P1306)*Resumo!$C$11</f>
        <v>0</v>
      </c>
      <c r="R1306" s="61" t="n">
        <f aca="false">SUM(I1306:Q1306)</f>
        <v>103.237552</v>
      </c>
      <c r="S1306" s="61" t="n">
        <f aca="false">R1306/(1-Resumo!$C$5)</f>
        <v>117.3154</v>
      </c>
      <c r="T1306" s="61" t="n">
        <v>114.95</v>
      </c>
      <c r="U1306" s="61" t="n">
        <f aca="false">H1306*Resumo!$B$6</f>
        <v>0.50656</v>
      </c>
      <c r="V1306" s="61" t="n">
        <f aca="false">H1306*Resumo!$B$7</f>
        <v>1.01312</v>
      </c>
      <c r="W1306" s="61" t="n">
        <f aca="false">Resumo!$B$9</f>
        <v>1</v>
      </c>
      <c r="X1306" s="61" t="n">
        <f aca="false">Resumo!$B$10*CEILING(G1306/100,1)</f>
        <v>4.5</v>
      </c>
      <c r="Y1306" s="61" t="n">
        <f aca="false">Resumo!$B$12*CEILING(G1306,1)</f>
        <v>2.82</v>
      </c>
      <c r="Z1306" s="61" t="n">
        <f aca="false">Resumo!$B$14*CEILING(G1306,1)</f>
        <v>21.15</v>
      </c>
      <c r="AA1306" s="61" t="n">
        <f aca="false">SUM(T1306:Z1306)</f>
        <v>145.93968</v>
      </c>
      <c r="AB1306" s="61" t="n">
        <f aca="false">AA1306/(1-Resumo!$B$5)</f>
        <v>165.840545454545</v>
      </c>
      <c r="AC1306" s="61" t="n">
        <f aca="false">AB1306-S1306</f>
        <v>48.5251454545455</v>
      </c>
      <c r="AD1306" s="62" t="n">
        <f aca="false">AB1306/S1306-1</f>
        <v>0.413629800133192</v>
      </c>
      <c r="AE1306" s="60" t="str">
        <f aca="false">IF(AB1306&lt;S1306,"SIM","NÃO")</f>
        <v>NÃO</v>
      </c>
      <c r="AF1306" s="60" t="n">
        <v>2</v>
      </c>
      <c r="AG1306" s="60" t="n">
        <v>7</v>
      </c>
      <c r="AH1306" s="60" t="s">
        <v>382</v>
      </c>
      <c r="AI1306" s="61" t="n">
        <f aca="false">(T1306*(1-Painel!$C$40)+U1306+V1306+Painel!$C$41+Painel!$C$42*CEILING(G1306/100,1)+Painel!$C$43*CEILING(G1306,1)+Z1306)/(1-Resumo!$B$5)</f>
        <v>115.609295454545</v>
      </c>
      <c r="AJ1306" s="60" t="str">
        <f aca="false">IF(AI1306&lt;S1306,"SIM","NÃO")</f>
        <v>SIM</v>
      </c>
    </row>
    <row r="1307" customFormat="false" ht="15" hidden="false" customHeight="false" outlineLevel="0" collapsed="false">
      <c r="A1307" s="59" t="n">
        <v>46255.5615393519</v>
      </c>
      <c r="B1307" s="60" t="s">
        <v>1590</v>
      </c>
      <c r="C1307" s="60" t="n">
        <v>24722315</v>
      </c>
      <c r="D1307" s="60" t="s">
        <v>47</v>
      </c>
      <c r="E1307" s="60" t="s">
        <v>23</v>
      </c>
      <c r="F1307" s="60" t="s">
        <v>236</v>
      </c>
      <c r="G1307" s="60" t="n">
        <v>52.3</v>
      </c>
      <c r="H1307" s="61" t="n">
        <v>669.99</v>
      </c>
      <c r="I1307" s="61" t="n">
        <v>70.98</v>
      </c>
      <c r="J1307" s="61" t="n">
        <f aca="false">H1307*Resumo!$C$6</f>
        <v>0</v>
      </c>
      <c r="K1307" s="61" t="n">
        <f aca="false">H1307*Resumo!$C$7</f>
        <v>1.406979</v>
      </c>
      <c r="L1307" s="61" t="n">
        <f aca="false">H1307*Resumo!$C$8</f>
        <v>1.406979</v>
      </c>
      <c r="M1307" s="61" t="n">
        <f aca="false">Resumo!$C$10*CEILING(G1307/100,1)</f>
        <v>1.05</v>
      </c>
      <c r="N1307" s="61" t="n">
        <f aca="false">Resumo!$C$9</f>
        <v>0</v>
      </c>
      <c r="O1307" s="61" t="n">
        <f aca="false">Resumo!$C$13</f>
        <v>13.55</v>
      </c>
      <c r="P1307" s="61" t="n">
        <f aca="false">Resumo!$C$14*CEILING(G1307,1)</f>
        <v>23.85</v>
      </c>
      <c r="Q1307" s="61" t="n">
        <f aca="false">SUM(I1307:P1307)*Resumo!$C$11</f>
        <v>0</v>
      </c>
      <c r="R1307" s="61" t="n">
        <f aca="false">SUM(I1307:Q1307)</f>
        <v>112.243958</v>
      </c>
      <c r="S1307" s="61" t="n">
        <f aca="false">R1307/(1-Resumo!$C$5)</f>
        <v>127.549952272727</v>
      </c>
      <c r="T1307" s="61" t="n">
        <v>128.14</v>
      </c>
      <c r="U1307" s="61" t="n">
        <f aca="false">H1307*Resumo!$B$6</f>
        <v>0.66999</v>
      </c>
      <c r="V1307" s="61" t="n">
        <f aca="false">H1307*Resumo!$B$7</f>
        <v>1.33998</v>
      </c>
      <c r="W1307" s="61" t="n">
        <f aca="false">Resumo!$B$9</f>
        <v>1</v>
      </c>
      <c r="X1307" s="61" t="n">
        <f aca="false">Resumo!$B$10*CEILING(G1307/100,1)</f>
        <v>4.5</v>
      </c>
      <c r="Y1307" s="61" t="n">
        <f aca="false">Resumo!$B$12*CEILING(G1307,1)</f>
        <v>3.18</v>
      </c>
      <c r="Z1307" s="61" t="n">
        <f aca="false">Resumo!$B$14*CEILING(G1307,1)</f>
        <v>23.85</v>
      </c>
      <c r="AA1307" s="61" t="n">
        <f aca="false">SUM(T1307:Z1307)</f>
        <v>162.67997</v>
      </c>
      <c r="AB1307" s="61" t="n">
        <f aca="false">AA1307/(1-Resumo!$B$5)</f>
        <v>184.863602272727</v>
      </c>
      <c r="AC1307" s="61" t="n">
        <f aca="false">AB1307-S1307</f>
        <v>57.31365</v>
      </c>
      <c r="AD1307" s="62" t="n">
        <f aca="false">AB1307/S1307-1</f>
        <v>0.449342778878129</v>
      </c>
      <c r="AE1307" s="60" t="str">
        <f aca="false">IF(AB1307&lt;S1307,"SIM","NÃO")</f>
        <v>NÃO</v>
      </c>
      <c r="AF1307" s="60" t="n">
        <v>2</v>
      </c>
      <c r="AG1307" s="60" t="n">
        <v>7</v>
      </c>
      <c r="AH1307" s="60" t="s">
        <v>382</v>
      </c>
      <c r="AI1307" s="61" t="n">
        <f aca="false">(T1307*(1-Painel!$C$40)+U1307+V1307+Painel!$C$41+Painel!$C$42*CEILING(G1307/100,1)+Painel!$C$43*CEILING(G1307,1)+Z1307)/(1-Resumo!$B$5)</f>
        <v>129.277011363636</v>
      </c>
      <c r="AJ1307" s="60" t="str">
        <f aca="false">IF(AI1307&lt;S1307,"SIM","NÃO")</f>
        <v>NÃO</v>
      </c>
    </row>
    <row r="1308" customFormat="false" ht="15" hidden="false" customHeight="false" outlineLevel="0" collapsed="false">
      <c r="A1308" s="59" t="n">
        <v>46255.5623958333</v>
      </c>
      <c r="B1308" s="60" t="s">
        <v>1591</v>
      </c>
      <c r="C1308" s="60" t="n">
        <v>26278670</v>
      </c>
      <c r="D1308" s="60" t="s">
        <v>49</v>
      </c>
      <c r="E1308" s="60" t="s">
        <v>23</v>
      </c>
      <c r="F1308" s="60" t="s">
        <v>237</v>
      </c>
      <c r="G1308" s="60" t="n">
        <v>68.8</v>
      </c>
      <c r="H1308" s="61" t="n">
        <v>879.98</v>
      </c>
      <c r="I1308" s="61" t="n">
        <v>76.55</v>
      </c>
      <c r="J1308" s="61" t="n">
        <f aca="false">H1308*Resumo!$C$6</f>
        <v>0</v>
      </c>
      <c r="K1308" s="61" t="n">
        <f aca="false">H1308*Resumo!$C$7</f>
        <v>1.847958</v>
      </c>
      <c r="L1308" s="61" t="n">
        <f aca="false">H1308*Resumo!$C$8</f>
        <v>1.847958</v>
      </c>
      <c r="M1308" s="61" t="n">
        <f aca="false">Resumo!$C$10*CEILING(G1308/100,1)</f>
        <v>1.05</v>
      </c>
      <c r="N1308" s="61" t="n">
        <f aca="false">Resumo!$C$9</f>
        <v>0</v>
      </c>
      <c r="O1308" s="61" t="n">
        <f aca="false">Resumo!$C$13</f>
        <v>13.55</v>
      </c>
      <c r="P1308" s="61" t="n">
        <f aca="false">Resumo!$C$14*CEILING(G1308,1)</f>
        <v>31.05</v>
      </c>
      <c r="Q1308" s="61" t="n">
        <f aca="false">SUM(I1308:P1308)*Resumo!$C$11</f>
        <v>0</v>
      </c>
      <c r="R1308" s="61" t="n">
        <f aca="false">SUM(I1308:Q1308)</f>
        <v>125.895916</v>
      </c>
      <c r="S1308" s="61" t="n">
        <f aca="false">R1308/(1-Resumo!$C$5)</f>
        <v>143.063540909091</v>
      </c>
      <c r="T1308" s="61" t="n">
        <v>131.02</v>
      </c>
      <c r="U1308" s="61" t="n">
        <f aca="false">H1308*Resumo!$B$6</f>
        <v>0.87998</v>
      </c>
      <c r="V1308" s="61" t="n">
        <f aca="false">H1308*Resumo!$B$7</f>
        <v>1.75996</v>
      </c>
      <c r="W1308" s="61" t="n">
        <f aca="false">Resumo!$B$9</f>
        <v>1</v>
      </c>
      <c r="X1308" s="61" t="n">
        <f aca="false">Resumo!$B$10*CEILING(G1308/100,1)</f>
        <v>4.5</v>
      </c>
      <c r="Y1308" s="61" t="n">
        <f aca="false">Resumo!$B$12*CEILING(G1308,1)</f>
        <v>4.14</v>
      </c>
      <c r="Z1308" s="61" t="n">
        <f aca="false">Resumo!$B$14*CEILING(G1308,1)</f>
        <v>31.05</v>
      </c>
      <c r="AA1308" s="61" t="n">
        <f aca="false">SUM(T1308:Z1308)</f>
        <v>174.34994</v>
      </c>
      <c r="AB1308" s="61" t="n">
        <f aca="false">AA1308/(1-Resumo!$B$5)</f>
        <v>198.124931818182</v>
      </c>
      <c r="AC1308" s="61" t="n">
        <f aca="false">AB1308-S1308</f>
        <v>55.061390909091</v>
      </c>
      <c r="AD1308" s="62" t="n">
        <f aca="false">AB1308/S1308-1</f>
        <v>0.384873676124649</v>
      </c>
      <c r="AE1308" s="60" t="str">
        <f aca="false">IF(AB1308&lt;S1308,"SIM","NÃO")</f>
        <v>NÃO</v>
      </c>
      <c r="AF1308" s="60" t="n">
        <v>2</v>
      </c>
      <c r="AG1308" s="60" t="n">
        <v>5</v>
      </c>
      <c r="AH1308" s="60" t="s">
        <v>382</v>
      </c>
      <c r="AI1308" s="61" t="n">
        <f aca="false">(T1308*(1-Painel!$C$40)+U1308+V1308+Painel!$C$41+Painel!$C$42*CEILING(G1308/100,1)+Painel!$C$43*CEILING(G1308,1)+Z1308)/(1-Resumo!$B$5)</f>
        <v>140.367431818182</v>
      </c>
      <c r="AJ1308" s="60" t="str">
        <f aca="false">IF(AI1308&lt;S1308,"SIM","NÃO")</f>
        <v>SIM</v>
      </c>
    </row>
    <row r="1309" customFormat="false" ht="15" hidden="false" customHeight="false" outlineLevel="0" collapsed="false">
      <c r="A1309" s="59" t="n">
        <v>46255.5630555556</v>
      </c>
      <c r="B1309" s="60" t="s">
        <v>849</v>
      </c>
      <c r="C1309" s="60" t="n">
        <v>21061020</v>
      </c>
      <c r="D1309" s="60" t="s">
        <v>46</v>
      </c>
      <c r="E1309" s="60" t="s">
        <v>22</v>
      </c>
      <c r="F1309" s="60" t="s">
        <v>239</v>
      </c>
      <c r="G1309" s="60" t="n">
        <v>94.8</v>
      </c>
      <c r="H1309" s="61" t="n">
        <v>1056.2</v>
      </c>
      <c r="I1309" s="61" t="n">
        <v>83.79</v>
      </c>
      <c r="J1309" s="61" t="n">
        <f aca="false">H1309*Resumo!$C$6</f>
        <v>0</v>
      </c>
      <c r="K1309" s="61" t="n">
        <f aca="false">H1309*Resumo!$C$7</f>
        <v>2.21802</v>
      </c>
      <c r="L1309" s="61" t="n">
        <f aca="false">H1309*Resumo!$C$8</f>
        <v>2.21802</v>
      </c>
      <c r="M1309" s="61" t="n">
        <f aca="false">Resumo!$C$10*CEILING(G1309/100,1)</f>
        <v>1.05</v>
      </c>
      <c r="N1309" s="61" t="n">
        <f aca="false">Resumo!$C$9</f>
        <v>0</v>
      </c>
      <c r="O1309" s="61" t="n">
        <f aca="false">Resumo!$C$13</f>
        <v>13.55</v>
      </c>
      <c r="P1309" s="61" t="n">
        <f aca="false">Resumo!$C$14*CEILING(G1309,1)</f>
        <v>42.75</v>
      </c>
      <c r="Q1309" s="61" t="n">
        <f aca="false">SUM(I1309:P1309)*Resumo!$C$11</f>
        <v>0</v>
      </c>
      <c r="R1309" s="61" t="n">
        <f aca="false">SUM(I1309:Q1309)</f>
        <v>145.57604</v>
      </c>
      <c r="S1309" s="61" t="n">
        <f aca="false">R1309/(1-Resumo!$C$5)</f>
        <v>165.427318181818</v>
      </c>
      <c r="T1309" s="61" t="n">
        <v>167.99</v>
      </c>
      <c r="U1309" s="61" t="n">
        <f aca="false">H1309*Resumo!$B$6</f>
        <v>1.0562</v>
      </c>
      <c r="V1309" s="61" t="n">
        <f aca="false">H1309*Resumo!$B$7</f>
        <v>2.1124</v>
      </c>
      <c r="W1309" s="61" t="n">
        <f aca="false">Resumo!$B$9</f>
        <v>1</v>
      </c>
      <c r="X1309" s="61" t="n">
        <f aca="false">Resumo!$B$10*CEILING(G1309/100,1)</f>
        <v>4.5</v>
      </c>
      <c r="Y1309" s="61" t="n">
        <f aca="false">Resumo!$B$12*CEILING(G1309,1)</f>
        <v>5.7</v>
      </c>
      <c r="Z1309" s="61" t="n">
        <f aca="false">Resumo!$B$14*CEILING(G1309,1)</f>
        <v>42.75</v>
      </c>
      <c r="AA1309" s="61" t="n">
        <f aca="false">SUM(T1309:Z1309)</f>
        <v>225.1086</v>
      </c>
      <c r="AB1309" s="61" t="n">
        <f aca="false">AA1309/(1-Resumo!$B$5)</f>
        <v>255.805227272727</v>
      </c>
      <c r="AC1309" s="61" t="n">
        <f aca="false">AB1309-S1309</f>
        <v>90.3779090909091</v>
      </c>
      <c r="AD1309" s="62" t="n">
        <f aca="false">AB1309/S1309-1</f>
        <v>0.546330014197391</v>
      </c>
      <c r="AE1309" s="60" t="str">
        <f aca="false">IF(AB1309&lt;S1309,"SIM","NÃO")</f>
        <v>NÃO</v>
      </c>
      <c r="AF1309" s="60" t="n">
        <v>2</v>
      </c>
      <c r="AG1309" s="60" t="n">
        <v>5</v>
      </c>
      <c r="AH1309" s="60" t="s">
        <v>382</v>
      </c>
      <c r="AI1309" s="61" t="n">
        <f aca="false">(T1309*(1-Painel!$C$40)+U1309+V1309+Painel!$C$41+Painel!$C$42*CEILING(G1309/100,1)+Painel!$C$43*CEILING(G1309,1)+Z1309)/(1-Resumo!$B$5)</f>
        <v>182.41125</v>
      </c>
      <c r="AJ1309" s="60" t="str">
        <f aca="false">IF(AI1309&lt;S1309,"SIM","NÃO")</f>
        <v>NÃO</v>
      </c>
    </row>
    <row r="1310" customFormat="false" ht="15" hidden="false" customHeight="false" outlineLevel="0" collapsed="false">
      <c r="A1310" s="59" t="n">
        <v>46255.5907638889</v>
      </c>
      <c r="B1310" s="60" t="s">
        <v>1592</v>
      </c>
      <c r="C1310" s="60" t="n">
        <v>28908120</v>
      </c>
      <c r="D1310" s="60" t="s">
        <v>221</v>
      </c>
      <c r="E1310" s="60" t="s">
        <v>24</v>
      </c>
      <c r="F1310" s="60" t="s">
        <v>234</v>
      </c>
      <c r="G1310" s="60" t="n">
        <v>37.2</v>
      </c>
      <c r="H1310" s="61" t="n">
        <v>399.99</v>
      </c>
      <c r="I1310" s="61" t="n">
        <v>74.97</v>
      </c>
      <c r="J1310" s="61" t="n">
        <f aca="false">H1310*Resumo!$C$6</f>
        <v>0</v>
      </c>
      <c r="K1310" s="61" t="n">
        <f aca="false">H1310*Resumo!$C$7</f>
        <v>0.839979</v>
      </c>
      <c r="L1310" s="61" t="n">
        <f aca="false">H1310*Resumo!$C$8</f>
        <v>0.839979</v>
      </c>
      <c r="M1310" s="61" t="n">
        <f aca="false">Resumo!$C$10*CEILING(G1310/100,1)</f>
        <v>1.05</v>
      </c>
      <c r="N1310" s="61" t="n">
        <f aca="false">Resumo!$C$9</f>
        <v>0</v>
      </c>
      <c r="O1310" s="61" t="n">
        <f aca="false">Resumo!$C$13</f>
        <v>13.55</v>
      </c>
      <c r="P1310" s="61" t="n">
        <f aca="false">Resumo!$C$14*CEILING(G1310,1)</f>
        <v>17.1</v>
      </c>
      <c r="Q1310" s="61" t="n">
        <f aca="false">SUM(I1310:P1310)*Resumo!$C$11</f>
        <v>0</v>
      </c>
      <c r="R1310" s="61" t="n">
        <f aca="false">SUM(I1310:Q1310)</f>
        <v>108.349958</v>
      </c>
      <c r="S1310" s="61" t="n">
        <f aca="false">R1310/(1-Resumo!$C$5)</f>
        <v>123.124952272727</v>
      </c>
      <c r="T1310" s="61" t="n">
        <v>124.38</v>
      </c>
      <c r="U1310" s="61" t="n">
        <f aca="false">H1310*Resumo!$B$6</f>
        <v>0.39999</v>
      </c>
      <c r="V1310" s="61" t="n">
        <f aca="false">H1310*Resumo!$B$7</f>
        <v>0.79998</v>
      </c>
      <c r="W1310" s="61" t="n">
        <f aca="false">Resumo!$B$9</f>
        <v>1</v>
      </c>
      <c r="X1310" s="61" t="n">
        <f aca="false">Resumo!$B$10*CEILING(G1310/100,1)</f>
        <v>4.5</v>
      </c>
      <c r="Y1310" s="61" t="n">
        <f aca="false">Resumo!$B$12*CEILING(G1310,1)</f>
        <v>2.28</v>
      </c>
      <c r="Z1310" s="61" t="n">
        <f aca="false">Resumo!$B$14*CEILING(G1310,1)</f>
        <v>17.1</v>
      </c>
      <c r="AA1310" s="61" t="n">
        <f aca="false">SUM(T1310:Z1310)</f>
        <v>150.45997</v>
      </c>
      <c r="AB1310" s="61" t="n">
        <f aca="false">AA1310/(1-Resumo!$B$5)</f>
        <v>170.977238636364</v>
      </c>
      <c r="AC1310" s="61" t="n">
        <f aca="false">AB1310-S1310</f>
        <v>47.8522863636364</v>
      </c>
      <c r="AD1310" s="62" t="n">
        <f aca="false">AB1310/S1310-1</f>
        <v>0.388648161727945</v>
      </c>
      <c r="AE1310" s="60" t="str">
        <f aca="false">IF(AB1310&lt;S1310,"SIM","NÃO")</f>
        <v>NÃO</v>
      </c>
      <c r="AF1310" s="60" t="n">
        <v>13</v>
      </c>
      <c r="AG1310" s="60" t="n">
        <v>10</v>
      </c>
      <c r="AH1310" s="60" t="s">
        <v>382</v>
      </c>
      <c r="AI1310" s="61" t="n">
        <f aca="false">(T1310*(1-Painel!$C$40)+U1310+V1310+Painel!$C$41+Painel!$C$42*CEILING(G1310/100,1)+Painel!$C$43*CEILING(G1310,1)+Z1310)/(1-Resumo!$B$5)</f>
        <v>117.823375</v>
      </c>
      <c r="AJ1310" s="60" t="str">
        <f aca="false">IF(AI1310&lt;S1310,"SIM","NÃO")</f>
        <v>SIM</v>
      </c>
    </row>
    <row r="1311" customFormat="false" ht="15" hidden="false" customHeight="false" outlineLevel="0" collapsed="false">
      <c r="A1311" s="59" t="n">
        <v>46255.5972106482</v>
      </c>
      <c r="B1311" s="60" t="s">
        <v>1593</v>
      </c>
      <c r="C1311" s="60" t="n">
        <v>28250000</v>
      </c>
      <c r="D1311" s="60" t="s">
        <v>307</v>
      </c>
      <c r="E1311" s="60" t="s">
        <v>24</v>
      </c>
      <c r="F1311" s="60" t="s">
        <v>234</v>
      </c>
      <c r="G1311" s="60" t="n">
        <v>37.2</v>
      </c>
      <c r="H1311" s="61" t="n">
        <v>366.49</v>
      </c>
      <c r="I1311" s="61" t="n">
        <v>74.97</v>
      </c>
      <c r="J1311" s="61" t="n">
        <f aca="false">H1311*Resumo!$C$6</f>
        <v>0</v>
      </c>
      <c r="K1311" s="61" t="n">
        <f aca="false">H1311*Resumo!$C$7</f>
        <v>0.769629</v>
      </c>
      <c r="L1311" s="61" t="n">
        <f aca="false">H1311*Resumo!$C$8</f>
        <v>0.769629</v>
      </c>
      <c r="M1311" s="61" t="n">
        <f aca="false">Resumo!$C$10*CEILING(G1311/100,1)</f>
        <v>1.05</v>
      </c>
      <c r="N1311" s="61" t="n">
        <f aca="false">Resumo!$C$9</f>
        <v>0</v>
      </c>
      <c r="O1311" s="61" t="n">
        <f aca="false">Resumo!$C$13</f>
        <v>13.55</v>
      </c>
      <c r="P1311" s="61" t="n">
        <f aca="false">Resumo!$C$14*CEILING(G1311,1)</f>
        <v>17.1</v>
      </c>
      <c r="Q1311" s="61" t="n">
        <f aca="false">SUM(I1311:P1311)*Resumo!$C$11</f>
        <v>0</v>
      </c>
      <c r="R1311" s="61" t="n">
        <f aca="false">SUM(I1311:Q1311)</f>
        <v>108.209258</v>
      </c>
      <c r="S1311" s="61" t="n">
        <f aca="false">R1311/(1-Resumo!$C$5)</f>
        <v>122.965065909091</v>
      </c>
      <c r="T1311" s="61" t="n">
        <v>143.04</v>
      </c>
      <c r="U1311" s="61" t="n">
        <f aca="false">H1311*Resumo!$B$6</f>
        <v>0.36649</v>
      </c>
      <c r="V1311" s="61" t="n">
        <f aca="false">H1311*Resumo!$B$7</f>
        <v>0.73298</v>
      </c>
      <c r="W1311" s="61" t="n">
        <f aca="false">Resumo!$B$9</f>
        <v>1</v>
      </c>
      <c r="X1311" s="61" t="n">
        <f aca="false">Resumo!$B$10*CEILING(G1311/100,1)</f>
        <v>4.5</v>
      </c>
      <c r="Y1311" s="61" t="n">
        <f aca="false">Resumo!$B$12*CEILING(G1311,1)</f>
        <v>2.28</v>
      </c>
      <c r="Z1311" s="61" t="n">
        <f aca="false">Resumo!$B$14*CEILING(G1311,1)</f>
        <v>17.1</v>
      </c>
      <c r="AA1311" s="61" t="n">
        <f aca="false">SUM(T1311:Z1311)</f>
        <v>169.01947</v>
      </c>
      <c r="AB1311" s="61" t="n">
        <f aca="false">AA1311/(1-Resumo!$B$5)</f>
        <v>192.067579545455</v>
      </c>
      <c r="AC1311" s="61" t="n">
        <f aca="false">AB1311-S1311</f>
        <v>69.1025136363636</v>
      </c>
      <c r="AD1311" s="62" t="n">
        <f aca="false">AB1311/S1311-1</f>
        <v>0.561968662607408</v>
      </c>
      <c r="AE1311" s="60" t="str">
        <f aca="false">IF(AB1311&lt;S1311,"SIM","NÃO")</f>
        <v>NÃO</v>
      </c>
      <c r="AF1311" s="60" t="n">
        <v>13</v>
      </c>
      <c r="AG1311" s="60" t="n">
        <v>11</v>
      </c>
      <c r="AH1311" s="60" t="s">
        <v>385</v>
      </c>
      <c r="AI1311" s="61" t="n">
        <f aca="false">(T1311*(1-Painel!$C$40)+U1311+V1311+Painel!$C$41+Painel!$C$42*CEILING(G1311/100,1)+Painel!$C$43*CEILING(G1311,1)+Z1311)/(1-Resumo!$B$5)</f>
        <v>131.916215909091</v>
      </c>
      <c r="AJ1311" s="60" t="str">
        <f aca="false">IF(AI1311&lt;S1311,"SIM","NÃO")</f>
        <v>NÃO</v>
      </c>
    </row>
    <row r="1312" customFormat="false" ht="15" hidden="false" customHeight="false" outlineLevel="0" collapsed="false">
      <c r="A1312" s="59" t="n">
        <v>46255.5985069444</v>
      </c>
      <c r="B1312" s="60" t="s">
        <v>658</v>
      </c>
      <c r="C1312" s="60" t="n">
        <v>23520560</v>
      </c>
      <c r="D1312" s="60" t="s">
        <v>46</v>
      </c>
      <c r="E1312" s="60" t="s">
        <v>22</v>
      </c>
      <c r="F1312" s="60" t="s">
        <v>239</v>
      </c>
      <c r="G1312" s="60" t="n">
        <v>81.7</v>
      </c>
      <c r="H1312" s="61" t="n">
        <v>759.99</v>
      </c>
      <c r="I1312" s="61" t="n">
        <v>83.79</v>
      </c>
      <c r="J1312" s="61" t="n">
        <f aca="false">H1312*Resumo!$C$6</f>
        <v>0</v>
      </c>
      <c r="K1312" s="61" t="n">
        <f aca="false">H1312*Resumo!$C$7</f>
        <v>1.595979</v>
      </c>
      <c r="L1312" s="61" t="n">
        <f aca="false">H1312*Resumo!$C$8</f>
        <v>1.595979</v>
      </c>
      <c r="M1312" s="61" t="n">
        <f aca="false">Resumo!$C$10*CEILING(G1312/100,1)</f>
        <v>1.05</v>
      </c>
      <c r="N1312" s="61" t="n">
        <f aca="false">Resumo!$C$9</f>
        <v>0</v>
      </c>
      <c r="O1312" s="61" t="n">
        <f aca="false">Resumo!$C$13</f>
        <v>13.55</v>
      </c>
      <c r="P1312" s="61" t="n">
        <f aca="false">Resumo!$C$14*CEILING(G1312,1)</f>
        <v>36.9</v>
      </c>
      <c r="Q1312" s="61" t="n">
        <f aca="false">SUM(I1312:P1312)*Resumo!$C$11</f>
        <v>0</v>
      </c>
      <c r="R1312" s="61" t="n">
        <f aca="false">SUM(I1312:Q1312)</f>
        <v>138.481958</v>
      </c>
      <c r="S1312" s="61" t="n">
        <f aca="false">R1312/(1-Resumo!$C$5)</f>
        <v>157.365861363636</v>
      </c>
      <c r="T1312" s="61" t="n">
        <v>167.99</v>
      </c>
      <c r="U1312" s="61" t="n">
        <f aca="false">H1312*Resumo!$B$6</f>
        <v>0.75999</v>
      </c>
      <c r="V1312" s="61" t="n">
        <f aca="false">H1312*Resumo!$B$7</f>
        <v>1.51998</v>
      </c>
      <c r="W1312" s="61" t="n">
        <f aca="false">Resumo!$B$9</f>
        <v>1</v>
      </c>
      <c r="X1312" s="61" t="n">
        <f aca="false">Resumo!$B$10*CEILING(G1312/100,1)</f>
        <v>4.5</v>
      </c>
      <c r="Y1312" s="61" t="n">
        <f aca="false">Resumo!$B$12*CEILING(G1312,1)</f>
        <v>4.92</v>
      </c>
      <c r="Z1312" s="61" t="n">
        <f aca="false">Resumo!$B$14*CEILING(G1312,1)</f>
        <v>36.9</v>
      </c>
      <c r="AA1312" s="61" t="n">
        <f aca="false">SUM(T1312:Z1312)</f>
        <v>217.58997</v>
      </c>
      <c r="AB1312" s="61" t="n">
        <f aca="false">AA1312/(1-Resumo!$B$5)</f>
        <v>247.261329545455</v>
      </c>
      <c r="AC1312" s="61" t="n">
        <f aca="false">AB1312-S1312</f>
        <v>89.8954681818182</v>
      </c>
      <c r="AD1312" s="62" t="n">
        <f aca="false">AB1312/S1312-1</f>
        <v>0.571251397239776</v>
      </c>
      <c r="AE1312" s="60" t="str">
        <f aca="false">IF(AB1312&lt;S1312,"SIM","NÃO")</f>
        <v>NÃO</v>
      </c>
      <c r="AF1312" s="60" t="n">
        <v>2</v>
      </c>
      <c r="AG1312" s="60" t="n">
        <v>5</v>
      </c>
      <c r="AH1312" s="60" t="s">
        <v>382</v>
      </c>
      <c r="AI1312" s="61" t="n">
        <f aca="false">(T1312*(1-Painel!$C$40)+U1312+V1312+Painel!$C$41+Painel!$C$42*CEILING(G1312/100,1)+Painel!$C$43*CEILING(G1312,1)+Z1312)/(1-Resumo!$B$5)</f>
        <v>174.753715909091</v>
      </c>
      <c r="AJ1312" s="60" t="str">
        <f aca="false">IF(AI1312&lt;S1312,"SIM","NÃO")</f>
        <v>NÃO</v>
      </c>
    </row>
    <row r="1313" customFormat="false" ht="15" hidden="false" customHeight="false" outlineLevel="0" collapsed="false">
      <c r="A1313" s="59" t="n">
        <v>46255.6113773148</v>
      </c>
      <c r="B1313" s="60" t="s">
        <v>916</v>
      </c>
      <c r="C1313" s="60" t="n">
        <v>28360000</v>
      </c>
      <c r="D1313" s="60" t="s">
        <v>310</v>
      </c>
      <c r="E1313" s="60" t="s">
        <v>24</v>
      </c>
      <c r="F1313" s="60" t="s">
        <v>234</v>
      </c>
      <c r="G1313" s="60" t="n">
        <v>37.2</v>
      </c>
      <c r="H1313" s="61" t="n">
        <v>366.49</v>
      </c>
      <c r="I1313" s="61" t="n">
        <v>74.97</v>
      </c>
      <c r="J1313" s="61" t="n">
        <f aca="false">H1313*Resumo!$C$6</f>
        <v>0</v>
      </c>
      <c r="K1313" s="61" t="n">
        <f aca="false">H1313*Resumo!$C$7</f>
        <v>0.769629</v>
      </c>
      <c r="L1313" s="61" t="n">
        <f aca="false">H1313*Resumo!$C$8</f>
        <v>0.769629</v>
      </c>
      <c r="M1313" s="61" t="n">
        <f aca="false">Resumo!$C$10*CEILING(G1313/100,1)</f>
        <v>1.05</v>
      </c>
      <c r="N1313" s="61" t="n">
        <f aca="false">Resumo!$C$9</f>
        <v>0</v>
      </c>
      <c r="O1313" s="61" t="n">
        <f aca="false">Resumo!$C$13</f>
        <v>13.55</v>
      </c>
      <c r="P1313" s="61" t="n">
        <f aca="false">Resumo!$C$14*CEILING(G1313,1)</f>
        <v>17.1</v>
      </c>
      <c r="Q1313" s="61" t="n">
        <f aca="false">SUM(I1313:P1313)*Resumo!$C$11</f>
        <v>0</v>
      </c>
      <c r="R1313" s="61" t="n">
        <f aca="false">SUM(I1313:Q1313)</f>
        <v>108.209258</v>
      </c>
      <c r="S1313" s="61" t="n">
        <f aca="false">R1313/(1-Resumo!$C$5)</f>
        <v>122.965065909091</v>
      </c>
      <c r="T1313" s="61" t="n">
        <v>143.04</v>
      </c>
      <c r="U1313" s="61" t="n">
        <f aca="false">H1313*Resumo!$B$6</f>
        <v>0.36649</v>
      </c>
      <c r="V1313" s="61" t="n">
        <f aca="false">H1313*Resumo!$B$7</f>
        <v>0.73298</v>
      </c>
      <c r="W1313" s="61" t="n">
        <f aca="false">Resumo!$B$9</f>
        <v>1</v>
      </c>
      <c r="X1313" s="61" t="n">
        <f aca="false">Resumo!$B$10*CEILING(G1313/100,1)</f>
        <v>4.5</v>
      </c>
      <c r="Y1313" s="61" t="n">
        <f aca="false">Resumo!$B$12*CEILING(G1313,1)</f>
        <v>2.28</v>
      </c>
      <c r="Z1313" s="61" t="n">
        <f aca="false">Resumo!$B$14*CEILING(G1313,1)</f>
        <v>17.1</v>
      </c>
      <c r="AA1313" s="61" t="n">
        <f aca="false">SUM(T1313:Z1313)</f>
        <v>169.01947</v>
      </c>
      <c r="AB1313" s="61" t="n">
        <f aca="false">AA1313/(1-Resumo!$B$5)</f>
        <v>192.067579545455</v>
      </c>
      <c r="AC1313" s="61" t="n">
        <f aca="false">AB1313-S1313</f>
        <v>69.1025136363636</v>
      </c>
      <c r="AD1313" s="62" t="n">
        <f aca="false">AB1313/S1313-1</f>
        <v>0.561968662607408</v>
      </c>
      <c r="AE1313" s="60" t="str">
        <f aca="false">IF(AB1313&lt;S1313,"SIM","NÃO")</f>
        <v>NÃO</v>
      </c>
      <c r="AF1313" s="60" t="n">
        <v>13</v>
      </c>
      <c r="AG1313" s="60" t="n">
        <v>11</v>
      </c>
      <c r="AH1313" s="60" t="s">
        <v>385</v>
      </c>
      <c r="AI1313" s="61" t="n">
        <f aca="false">(T1313*(1-Painel!$C$40)+U1313+V1313+Painel!$C$41+Painel!$C$42*CEILING(G1313/100,1)+Painel!$C$43*CEILING(G1313,1)+Z1313)/(1-Resumo!$B$5)</f>
        <v>131.916215909091</v>
      </c>
      <c r="AJ1313" s="60" t="str">
        <f aca="false">IF(AI1313&lt;S1313,"SIM","NÃO")</f>
        <v>NÃO</v>
      </c>
    </row>
    <row r="1314" customFormat="false" ht="15" hidden="false" customHeight="false" outlineLevel="0" collapsed="false">
      <c r="A1314" s="59" t="n">
        <v>46255.6145717593</v>
      </c>
      <c r="B1314" s="60" t="s">
        <v>1594</v>
      </c>
      <c r="C1314" s="60" t="n">
        <v>21341331</v>
      </c>
      <c r="D1314" s="60" t="s">
        <v>46</v>
      </c>
      <c r="E1314" s="60" t="s">
        <v>22</v>
      </c>
      <c r="F1314" s="60" t="s">
        <v>237</v>
      </c>
      <c r="G1314" s="60" t="n">
        <v>63</v>
      </c>
      <c r="H1314" s="61" t="n">
        <v>839.99</v>
      </c>
      <c r="I1314" s="61" t="n">
        <v>63.21</v>
      </c>
      <c r="J1314" s="61" t="n">
        <f aca="false">H1314*Resumo!$C$6</f>
        <v>0</v>
      </c>
      <c r="K1314" s="61" t="n">
        <f aca="false">H1314*Resumo!$C$7</f>
        <v>1.763979</v>
      </c>
      <c r="L1314" s="61" t="n">
        <f aca="false">H1314*Resumo!$C$8</f>
        <v>1.763979</v>
      </c>
      <c r="M1314" s="61" t="n">
        <f aca="false">Resumo!$C$10*CEILING(G1314/100,1)</f>
        <v>1.05</v>
      </c>
      <c r="N1314" s="61" t="n">
        <f aca="false">Resumo!$C$9</f>
        <v>0</v>
      </c>
      <c r="O1314" s="61" t="n">
        <f aca="false">Resumo!$C$13</f>
        <v>13.55</v>
      </c>
      <c r="P1314" s="61" t="n">
        <f aca="false">Resumo!$C$14*CEILING(G1314,1)</f>
        <v>28.35</v>
      </c>
      <c r="Q1314" s="61" t="n">
        <f aca="false">SUM(I1314:P1314)*Resumo!$C$11</f>
        <v>0</v>
      </c>
      <c r="R1314" s="61" t="n">
        <f aca="false">SUM(I1314:Q1314)</f>
        <v>109.687958</v>
      </c>
      <c r="S1314" s="61" t="n">
        <f aca="false">R1314/(1-Resumo!$C$5)</f>
        <v>124.645406818182</v>
      </c>
      <c r="T1314" s="61" t="n">
        <v>131.02</v>
      </c>
      <c r="U1314" s="61" t="n">
        <f aca="false">H1314*Resumo!$B$6</f>
        <v>0.83999</v>
      </c>
      <c r="V1314" s="61" t="n">
        <f aca="false">H1314*Resumo!$B$7</f>
        <v>1.67998</v>
      </c>
      <c r="W1314" s="61" t="n">
        <f aca="false">Resumo!$B$9</f>
        <v>1</v>
      </c>
      <c r="X1314" s="61" t="n">
        <f aca="false">Resumo!$B$10*CEILING(G1314/100,1)</f>
        <v>4.5</v>
      </c>
      <c r="Y1314" s="61" t="n">
        <f aca="false">Resumo!$B$12*CEILING(G1314,1)</f>
        <v>3.78</v>
      </c>
      <c r="Z1314" s="61" t="n">
        <f aca="false">Resumo!$B$14*CEILING(G1314,1)</f>
        <v>28.35</v>
      </c>
      <c r="AA1314" s="61" t="n">
        <f aca="false">SUM(T1314:Z1314)</f>
        <v>171.16997</v>
      </c>
      <c r="AB1314" s="61" t="n">
        <f aca="false">AA1314/(1-Resumo!$B$5)</f>
        <v>194.511329545455</v>
      </c>
      <c r="AC1314" s="61" t="n">
        <f aca="false">AB1314-S1314</f>
        <v>69.8659227272727</v>
      </c>
      <c r="AD1314" s="62" t="n">
        <f aca="false">AB1314/S1314-1</f>
        <v>0.560517427081649</v>
      </c>
      <c r="AE1314" s="60" t="str">
        <f aca="false">IF(AB1314&lt;S1314,"SIM","NÃO")</f>
        <v>NÃO</v>
      </c>
      <c r="AF1314" s="60" t="n">
        <v>2</v>
      </c>
      <c r="AG1314" s="60" t="n">
        <v>5</v>
      </c>
      <c r="AH1314" s="60" t="s">
        <v>382</v>
      </c>
      <c r="AI1314" s="61" t="n">
        <f aca="false">(T1314*(1-Painel!$C$40)+U1314+V1314+Painel!$C$41+Painel!$C$42*CEILING(G1314/100,1)+Painel!$C$43*CEILING(G1314,1)+Z1314)/(1-Resumo!$B$5)</f>
        <v>137.162920454545</v>
      </c>
      <c r="AJ1314" s="60" t="str">
        <f aca="false">IF(AI1314&lt;S1314,"SIM","NÃO")</f>
        <v>NÃO</v>
      </c>
    </row>
    <row r="1315" customFormat="false" ht="15" hidden="false" customHeight="false" outlineLevel="0" collapsed="false">
      <c r="A1315" s="59" t="n">
        <v>46255.7231944444</v>
      </c>
      <c r="B1315" s="60" t="s">
        <v>1595</v>
      </c>
      <c r="C1315" s="60" t="n">
        <v>24230131</v>
      </c>
      <c r="D1315" s="60" t="s">
        <v>50</v>
      </c>
      <c r="E1315" s="60" t="s">
        <v>23</v>
      </c>
      <c r="F1315" s="60" t="s">
        <v>235</v>
      </c>
      <c r="G1315" s="60" t="n">
        <v>41</v>
      </c>
      <c r="H1315" s="61" t="n">
        <v>529.99</v>
      </c>
      <c r="I1315" s="61" t="n">
        <v>65.36</v>
      </c>
      <c r="J1315" s="61" t="n">
        <f aca="false">H1315*Resumo!$C$6</f>
        <v>0</v>
      </c>
      <c r="K1315" s="61" t="n">
        <f aca="false">H1315*Resumo!$C$7</f>
        <v>1.112979</v>
      </c>
      <c r="L1315" s="61" t="n">
        <f aca="false">H1315*Resumo!$C$8</f>
        <v>1.112979</v>
      </c>
      <c r="M1315" s="61" t="n">
        <f aca="false">Resumo!$C$10*CEILING(G1315/100,1)</f>
        <v>1.05</v>
      </c>
      <c r="N1315" s="61" t="n">
        <f aca="false">Resumo!$C$9</f>
        <v>0</v>
      </c>
      <c r="O1315" s="61" t="n">
        <f aca="false">Resumo!$C$13</f>
        <v>13.55</v>
      </c>
      <c r="P1315" s="61" t="n">
        <f aca="false">Resumo!$C$14*CEILING(G1315,1)</f>
        <v>18.45</v>
      </c>
      <c r="Q1315" s="61" t="n">
        <f aca="false">SUM(I1315:P1315)*Resumo!$C$11</f>
        <v>0</v>
      </c>
      <c r="R1315" s="61" t="n">
        <f aca="false">SUM(I1315:Q1315)</f>
        <v>100.635958</v>
      </c>
      <c r="S1315" s="61" t="n">
        <f aca="false">R1315/(1-Resumo!$C$5)</f>
        <v>114.359043181818</v>
      </c>
      <c r="T1315" s="61" t="n">
        <v>114.95</v>
      </c>
      <c r="U1315" s="61" t="n">
        <f aca="false">H1315*Resumo!$B$6</f>
        <v>0.52999</v>
      </c>
      <c r="V1315" s="61" t="n">
        <f aca="false">H1315*Resumo!$B$7</f>
        <v>1.05998</v>
      </c>
      <c r="W1315" s="61" t="n">
        <f aca="false">Resumo!$B$9</f>
        <v>1</v>
      </c>
      <c r="X1315" s="61" t="n">
        <f aca="false">Resumo!$B$10*CEILING(G1315/100,1)</f>
        <v>4.5</v>
      </c>
      <c r="Y1315" s="61" t="n">
        <f aca="false">Resumo!$B$12*CEILING(G1315,1)</f>
        <v>2.46</v>
      </c>
      <c r="Z1315" s="61" t="n">
        <f aca="false">Resumo!$B$14*CEILING(G1315,1)</f>
        <v>18.45</v>
      </c>
      <c r="AA1315" s="61" t="n">
        <f aca="false">SUM(T1315:Z1315)</f>
        <v>142.94997</v>
      </c>
      <c r="AB1315" s="61" t="n">
        <f aca="false">AA1315/(1-Resumo!$B$5)</f>
        <v>162.443147727273</v>
      </c>
      <c r="AC1315" s="61" t="n">
        <f aca="false">AB1315-S1315</f>
        <v>48.0841045454546</v>
      </c>
      <c r="AD1315" s="62" t="n">
        <f aca="false">AB1315/S1315-1</f>
        <v>0.420466131996279</v>
      </c>
      <c r="AE1315" s="60" t="str">
        <f aca="false">IF(AB1315&lt;S1315,"SIM","NÃO")</f>
        <v>NÃO</v>
      </c>
      <c r="AF1315" s="60" t="n">
        <v>2</v>
      </c>
      <c r="AG1315" s="60" t="n">
        <v>7</v>
      </c>
      <c r="AH1315" s="60" t="s">
        <v>382</v>
      </c>
      <c r="AI1315" s="61" t="n">
        <f aca="false">(T1315*(1-Painel!$C$40)+U1315+V1315+Painel!$C$41+Painel!$C$42*CEILING(G1315/100,1)+Painel!$C$43*CEILING(G1315,1)+Z1315)/(1-Resumo!$B$5)</f>
        <v>112.620988636364</v>
      </c>
      <c r="AJ1315" s="60" t="str">
        <f aca="false">IF(AI1315&lt;S1315,"SIM","NÃO")</f>
        <v>SIM</v>
      </c>
    </row>
    <row r="1316" customFormat="false" ht="15" hidden="false" customHeight="false" outlineLevel="0" collapsed="false">
      <c r="A1316" s="59" t="n">
        <v>46255.8125694445</v>
      </c>
      <c r="B1316" s="60" t="s">
        <v>1596</v>
      </c>
      <c r="C1316" s="60" t="n">
        <v>22793325</v>
      </c>
      <c r="D1316" s="60" t="s">
        <v>46</v>
      </c>
      <c r="E1316" s="60" t="s">
        <v>22</v>
      </c>
      <c r="F1316" s="60" t="s">
        <v>239</v>
      </c>
      <c r="G1316" s="60" t="n">
        <v>82</v>
      </c>
      <c r="H1316" s="61" t="n">
        <v>909.98</v>
      </c>
      <c r="I1316" s="61" t="n">
        <v>83.79</v>
      </c>
      <c r="J1316" s="61" t="n">
        <f aca="false">H1316*Resumo!$C$6</f>
        <v>0</v>
      </c>
      <c r="K1316" s="61" t="n">
        <f aca="false">H1316*Resumo!$C$7</f>
        <v>1.910958</v>
      </c>
      <c r="L1316" s="61" t="n">
        <f aca="false">H1316*Resumo!$C$8</f>
        <v>1.910958</v>
      </c>
      <c r="M1316" s="61" t="n">
        <f aca="false">Resumo!$C$10*CEILING(G1316/100,1)</f>
        <v>1.05</v>
      </c>
      <c r="N1316" s="61" t="n">
        <f aca="false">Resumo!$C$9</f>
        <v>0</v>
      </c>
      <c r="O1316" s="61" t="n">
        <f aca="false">Resumo!$C$13</f>
        <v>13.55</v>
      </c>
      <c r="P1316" s="61" t="n">
        <f aca="false">Resumo!$C$14*CEILING(G1316,1)</f>
        <v>36.9</v>
      </c>
      <c r="Q1316" s="61" t="n">
        <f aca="false">SUM(I1316:P1316)*Resumo!$C$11</f>
        <v>0</v>
      </c>
      <c r="R1316" s="61" t="n">
        <f aca="false">SUM(I1316:Q1316)</f>
        <v>139.111916</v>
      </c>
      <c r="S1316" s="61" t="n">
        <f aca="false">R1316/(1-Resumo!$C$5)</f>
        <v>158.081722727273</v>
      </c>
      <c r="T1316" s="61" t="n">
        <v>167.99</v>
      </c>
      <c r="U1316" s="61" t="n">
        <f aca="false">H1316*Resumo!$B$6</f>
        <v>0.90998</v>
      </c>
      <c r="V1316" s="61" t="n">
        <f aca="false">H1316*Resumo!$B$7</f>
        <v>1.81996</v>
      </c>
      <c r="W1316" s="61" t="n">
        <f aca="false">Resumo!$B$9</f>
        <v>1</v>
      </c>
      <c r="X1316" s="61" t="n">
        <f aca="false">Resumo!$B$10*CEILING(G1316/100,1)</f>
        <v>4.5</v>
      </c>
      <c r="Y1316" s="61" t="n">
        <f aca="false">Resumo!$B$12*CEILING(G1316,1)</f>
        <v>4.92</v>
      </c>
      <c r="Z1316" s="61" t="n">
        <f aca="false">Resumo!$B$14*CEILING(G1316,1)</f>
        <v>36.9</v>
      </c>
      <c r="AA1316" s="61" t="n">
        <f aca="false">SUM(T1316:Z1316)</f>
        <v>218.03994</v>
      </c>
      <c r="AB1316" s="61" t="n">
        <f aca="false">AA1316/(1-Resumo!$B$5)</f>
        <v>247.772659090909</v>
      </c>
      <c r="AC1316" s="61" t="n">
        <f aca="false">AB1316-S1316</f>
        <v>89.6909363636364</v>
      </c>
      <c r="AD1316" s="62" t="n">
        <f aca="false">AB1316/S1316-1</f>
        <v>0.567370691666701</v>
      </c>
      <c r="AE1316" s="60" t="str">
        <f aca="false">IF(AB1316&lt;S1316,"SIM","NÃO")</f>
        <v>NÃO</v>
      </c>
      <c r="AF1316" s="60" t="n">
        <v>2</v>
      </c>
      <c r="AG1316" s="60" t="n">
        <v>5</v>
      </c>
      <c r="AH1316" s="60" t="s">
        <v>382</v>
      </c>
      <c r="AI1316" s="61" t="n">
        <f aca="false">(T1316*(1-Painel!$C$40)+U1316+V1316+Painel!$C$41+Painel!$C$42*CEILING(G1316/100,1)+Painel!$C$43*CEILING(G1316,1)+Z1316)/(1-Resumo!$B$5)</f>
        <v>175.265045454545</v>
      </c>
      <c r="AJ1316" s="60" t="str">
        <f aca="false">IF(AI1316&lt;S1316,"SIM","NÃO")</f>
        <v>NÃO</v>
      </c>
    </row>
    <row r="1317" customFormat="false" ht="15" hidden="false" customHeight="false" outlineLevel="0" collapsed="false">
      <c r="A1317" s="59" t="n">
        <v>46255.8262037037</v>
      </c>
      <c r="B1317" s="60" t="s">
        <v>1597</v>
      </c>
      <c r="C1317" s="60" t="n">
        <v>26261130</v>
      </c>
      <c r="D1317" s="60" t="s">
        <v>49</v>
      </c>
      <c r="E1317" s="60" t="s">
        <v>23</v>
      </c>
      <c r="F1317" s="60" t="s">
        <v>236</v>
      </c>
      <c r="G1317" s="60" t="n">
        <v>52.3</v>
      </c>
      <c r="H1317" s="61" t="n">
        <v>640.44</v>
      </c>
      <c r="I1317" s="61" t="n">
        <v>70.98</v>
      </c>
      <c r="J1317" s="61" t="n">
        <f aca="false">H1317*Resumo!$C$6</f>
        <v>0</v>
      </c>
      <c r="K1317" s="61" t="n">
        <f aca="false">H1317*Resumo!$C$7</f>
        <v>1.344924</v>
      </c>
      <c r="L1317" s="61" t="n">
        <f aca="false">H1317*Resumo!$C$8</f>
        <v>1.344924</v>
      </c>
      <c r="M1317" s="61" t="n">
        <f aca="false">Resumo!$C$10*CEILING(G1317/100,1)</f>
        <v>1.05</v>
      </c>
      <c r="N1317" s="61" t="n">
        <f aca="false">Resumo!$C$9</f>
        <v>0</v>
      </c>
      <c r="O1317" s="61" t="n">
        <f aca="false">Resumo!$C$13</f>
        <v>13.55</v>
      </c>
      <c r="P1317" s="61" t="n">
        <f aca="false">Resumo!$C$14*CEILING(G1317,1)</f>
        <v>23.85</v>
      </c>
      <c r="Q1317" s="61" t="n">
        <f aca="false">SUM(I1317:P1317)*Resumo!$C$11</f>
        <v>0</v>
      </c>
      <c r="R1317" s="61" t="n">
        <f aca="false">SUM(I1317:Q1317)</f>
        <v>112.119848</v>
      </c>
      <c r="S1317" s="61" t="n">
        <f aca="false">R1317/(1-Resumo!$C$5)</f>
        <v>127.408918181818</v>
      </c>
      <c r="T1317" s="61" t="n">
        <v>112.3</v>
      </c>
      <c r="U1317" s="61" t="n">
        <f aca="false">H1317*Resumo!$B$6</f>
        <v>0.64044</v>
      </c>
      <c r="V1317" s="61" t="n">
        <f aca="false">H1317*Resumo!$B$7</f>
        <v>1.28088</v>
      </c>
      <c r="W1317" s="61" t="n">
        <f aca="false">Resumo!$B$9</f>
        <v>1</v>
      </c>
      <c r="X1317" s="61" t="n">
        <f aca="false">Resumo!$B$10*CEILING(G1317/100,1)</f>
        <v>4.5</v>
      </c>
      <c r="Y1317" s="61" t="n">
        <f aca="false">Resumo!$B$12*CEILING(G1317,1)</f>
        <v>3.18</v>
      </c>
      <c r="Z1317" s="61" t="n">
        <f aca="false">Resumo!$B$14*CEILING(G1317,1)</f>
        <v>23.85</v>
      </c>
      <c r="AA1317" s="61" t="n">
        <f aca="false">SUM(T1317:Z1317)</f>
        <v>146.75132</v>
      </c>
      <c r="AB1317" s="61" t="n">
        <f aca="false">AA1317/(1-Resumo!$B$5)</f>
        <v>166.762863636364</v>
      </c>
      <c r="AC1317" s="61" t="n">
        <f aca="false">AB1317-S1317</f>
        <v>39.3539454545454</v>
      </c>
      <c r="AD1317" s="62" t="n">
        <f aca="false">AB1317/S1317-1</f>
        <v>0.308879048783583</v>
      </c>
      <c r="AE1317" s="60" t="str">
        <f aca="false">IF(AB1317&lt;S1317,"SIM","NÃO")</f>
        <v>NÃO</v>
      </c>
      <c r="AF1317" s="60" t="n">
        <v>2</v>
      </c>
      <c r="AG1317" s="60" t="n">
        <v>5</v>
      </c>
      <c r="AH1317" s="60" t="s">
        <v>382</v>
      </c>
      <c r="AI1317" s="61" t="n">
        <f aca="false">(T1317*(1-Painel!$C$40)+U1317+V1317+Painel!$C$41+Painel!$C$42*CEILING(G1317/100,1)+Painel!$C$43*CEILING(G1317,1)+Z1317)/(1-Resumo!$B$5)</f>
        <v>117.116272727273</v>
      </c>
      <c r="AJ1317" s="60" t="str">
        <f aca="false">IF(AI1317&lt;S1317,"SIM","NÃO")</f>
        <v>SIM</v>
      </c>
    </row>
    <row r="1318" customFormat="false" ht="15" hidden="false" customHeight="false" outlineLevel="0" collapsed="false">
      <c r="A1318" s="59" t="n">
        <v>46255.8344328704</v>
      </c>
      <c r="B1318" s="60" t="s">
        <v>1598</v>
      </c>
      <c r="C1318" s="60" t="n">
        <v>25730736</v>
      </c>
      <c r="D1318" s="60" t="s">
        <v>219</v>
      </c>
      <c r="E1318" s="60" t="s">
        <v>24</v>
      </c>
      <c r="F1318" s="60" t="s">
        <v>234</v>
      </c>
      <c r="G1318" s="60" t="n">
        <v>39.9</v>
      </c>
      <c r="H1318" s="61" t="n">
        <v>599.99</v>
      </c>
      <c r="I1318" s="61" t="n">
        <v>74.97</v>
      </c>
      <c r="J1318" s="61" t="n">
        <f aca="false">H1318*Resumo!$C$6</f>
        <v>0</v>
      </c>
      <c r="K1318" s="61" t="n">
        <f aca="false">H1318*Resumo!$C$7</f>
        <v>1.259979</v>
      </c>
      <c r="L1318" s="61" t="n">
        <f aca="false">H1318*Resumo!$C$8</f>
        <v>1.259979</v>
      </c>
      <c r="M1318" s="61" t="n">
        <f aca="false">Resumo!$C$10*CEILING(G1318/100,1)</f>
        <v>1.05</v>
      </c>
      <c r="N1318" s="61" t="n">
        <f aca="false">Resumo!$C$9</f>
        <v>0</v>
      </c>
      <c r="O1318" s="61" t="n">
        <f aca="false">Resumo!$C$13</f>
        <v>13.55</v>
      </c>
      <c r="P1318" s="61" t="n">
        <f aca="false">Resumo!$C$14*CEILING(G1318,1)</f>
        <v>18</v>
      </c>
      <c r="Q1318" s="61" t="n">
        <f aca="false">SUM(I1318:P1318)*Resumo!$C$11</f>
        <v>0</v>
      </c>
      <c r="R1318" s="61" t="n">
        <f aca="false">SUM(I1318:Q1318)</f>
        <v>110.089958</v>
      </c>
      <c r="S1318" s="61" t="n">
        <f aca="false">R1318/(1-Resumo!$C$5)</f>
        <v>125.102225</v>
      </c>
      <c r="T1318" s="61" t="n">
        <v>124.38</v>
      </c>
      <c r="U1318" s="61" t="n">
        <f aca="false">H1318*Resumo!$B$6</f>
        <v>0.59999</v>
      </c>
      <c r="V1318" s="61" t="n">
        <f aca="false">H1318*Resumo!$B$7</f>
        <v>1.19998</v>
      </c>
      <c r="W1318" s="61" t="n">
        <f aca="false">Resumo!$B$9</f>
        <v>1</v>
      </c>
      <c r="X1318" s="61" t="n">
        <f aca="false">Resumo!$B$10*CEILING(G1318/100,1)</f>
        <v>4.5</v>
      </c>
      <c r="Y1318" s="61" t="n">
        <f aca="false">Resumo!$B$12*CEILING(G1318,1)</f>
        <v>2.4</v>
      </c>
      <c r="Z1318" s="61" t="n">
        <f aca="false">Resumo!$B$14*CEILING(G1318,1)</f>
        <v>18</v>
      </c>
      <c r="AA1318" s="61" t="n">
        <f aca="false">SUM(T1318:Z1318)</f>
        <v>152.07997</v>
      </c>
      <c r="AB1318" s="61" t="n">
        <f aca="false">AA1318/(1-Resumo!$B$5)</f>
        <v>172.818147727273</v>
      </c>
      <c r="AC1318" s="61" t="n">
        <f aca="false">AB1318-S1318</f>
        <v>47.7159227272727</v>
      </c>
      <c r="AD1318" s="62" t="n">
        <f aca="false">AB1318/S1318-1</f>
        <v>0.381415460254786</v>
      </c>
      <c r="AE1318" s="60" t="str">
        <f aca="false">IF(AB1318&lt;S1318,"SIM","NÃO")</f>
        <v>NÃO</v>
      </c>
      <c r="AF1318" s="60" t="n">
        <v>13</v>
      </c>
      <c r="AG1318" s="60" t="n">
        <v>8</v>
      </c>
      <c r="AH1318" s="60" t="s">
        <v>382</v>
      </c>
      <c r="AI1318" s="61" t="n">
        <f aca="false">(T1318*(1-Painel!$C$40)+U1318+V1318+Painel!$C$41+Painel!$C$42*CEILING(G1318/100,1)+Painel!$C$43*CEILING(G1318,1)+Z1318)/(1-Resumo!$B$5)</f>
        <v>119.527920454545</v>
      </c>
      <c r="AJ1318" s="60" t="str">
        <f aca="false">IF(AI1318&lt;S1318,"SIM","NÃO")</f>
        <v>SIM</v>
      </c>
    </row>
    <row r="1319" customFormat="false" ht="15" hidden="false" customHeight="false" outlineLevel="0" collapsed="false">
      <c r="A1319" s="59" t="n">
        <v>46255.837037037</v>
      </c>
      <c r="B1319" s="60" t="s">
        <v>1599</v>
      </c>
      <c r="C1319" s="60" t="n">
        <v>24426410</v>
      </c>
      <c r="D1319" s="60" t="s">
        <v>47</v>
      </c>
      <c r="E1319" s="60" t="s">
        <v>23</v>
      </c>
      <c r="F1319" s="60" t="s">
        <v>235</v>
      </c>
      <c r="G1319" s="60" t="n">
        <v>48.45</v>
      </c>
      <c r="H1319" s="61" t="n">
        <v>549.99</v>
      </c>
      <c r="I1319" s="61" t="n">
        <v>65.36</v>
      </c>
      <c r="J1319" s="61" t="n">
        <f aca="false">H1319*Resumo!$C$6</f>
        <v>0</v>
      </c>
      <c r="K1319" s="61" t="n">
        <f aca="false">H1319*Resumo!$C$7</f>
        <v>1.154979</v>
      </c>
      <c r="L1319" s="61" t="n">
        <f aca="false">H1319*Resumo!$C$8</f>
        <v>1.154979</v>
      </c>
      <c r="M1319" s="61" t="n">
        <f aca="false">Resumo!$C$10*CEILING(G1319/100,1)</f>
        <v>1.05</v>
      </c>
      <c r="N1319" s="61" t="n">
        <f aca="false">Resumo!$C$9</f>
        <v>0</v>
      </c>
      <c r="O1319" s="61" t="n">
        <f aca="false">Resumo!$C$13</f>
        <v>13.55</v>
      </c>
      <c r="P1319" s="61" t="n">
        <f aca="false">Resumo!$C$14*CEILING(G1319,1)</f>
        <v>22.05</v>
      </c>
      <c r="Q1319" s="61" t="n">
        <f aca="false">SUM(I1319:P1319)*Resumo!$C$11</f>
        <v>0</v>
      </c>
      <c r="R1319" s="61" t="n">
        <f aca="false">SUM(I1319:Q1319)</f>
        <v>104.319958</v>
      </c>
      <c r="S1319" s="61" t="n">
        <f aca="false">R1319/(1-Resumo!$C$5)</f>
        <v>118.545406818182</v>
      </c>
      <c r="T1319" s="61" t="n">
        <v>114.95</v>
      </c>
      <c r="U1319" s="61" t="n">
        <f aca="false">H1319*Resumo!$B$6</f>
        <v>0.54999</v>
      </c>
      <c r="V1319" s="61" t="n">
        <f aca="false">H1319*Resumo!$B$7</f>
        <v>1.09998</v>
      </c>
      <c r="W1319" s="61" t="n">
        <f aca="false">Resumo!$B$9</f>
        <v>1</v>
      </c>
      <c r="X1319" s="61" t="n">
        <f aca="false">Resumo!$B$10*CEILING(G1319/100,1)</f>
        <v>4.5</v>
      </c>
      <c r="Y1319" s="61" t="n">
        <f aca="false">Resumo!$B$12*CEILING(G1319,1)</f>
        <v>2.94</v>
      </c>
      <c r="Z1319" s="61" t="n">
        <f aca="false">Resumo!$B$14*CEILING(G1319,1)</f>
        <v>22.05</v>
      </c>
      <c r="AA1319" s="61" t="n">
        <f aca="false">SUM(T1319:Z1319)</f>
        <v>147.08997</v>
      </c>
      <c r="AB1319" s="61" t="n">
        <f aca="false">AA1319/(1-Resumo!$B$5)</f>
        <v>167.147693181818</v>
      </c>
      <c r="AC1319" s="61" t="n">
        <f aca="false">AB1319-S1319</f>
        <v>48.6022863636364</v>
      </c>
      <c r="AD1319" s="62" t="n">
        <f aca="false">AB1319/S1319-1</f>
        <v>0.40998877702769</v>
      </c>
      <c r="AE1319" s="60" t="str">
        <f aca="false">IF(AB1319&lt;S1319,"SIM","NÃO")</f>
        <v>NÃO</v>
      </c>
      <c r="AF1319" s="60" t="n">
        <v>2</v>
      </c>
      <c r="AG1319" s="60" t="n">
        <v>7</v>
      </c>
      <c r="AH1319" s="60" t="s">
        <v>382</v>
      </c>
      <c r="AI1319" s="61" t="n">
        <f aca="false">(T1319*(1-Painel!$C$40)+U1319+V1319+Painel!$C$41+Painel!$C$42*CEILING(G1319/100,1)+Painel!$C$43*CEILING(G1319,1)+Z1319)/(1-Resumo!$B$5)</f>
        <v>116.780079545455</v>
      </c>
      <c r="AJ1319" s="60" t="str">
        <f aca="false">IF(AI1319&lt;S1319,"SIM","NÃO")</f>
        <v>SIM</v>
      </c>
    </row>
    <row r="1320" customFormat="false" ht="15" hidden="false" customHeight="false" outlineLevel="0" collapsed="false">
      <c r="A1320" s="59" t="n">
        <v>46255.8530092593</v>
      </c>
      <c r="B1320" s="60" t="s">
        <v>1600</v>
      </c>
      <c r="C1320" s="60" t="n">
        <v>23575437</v>
      </c>
      <c r="D1320" s="60" t="s">
        <v>46</v>
      </c>
      <c r="E1320" s="60" t="s">
        <v>22</v>
      </c>
      <c r="F1320" s="60" t="s">
        <v>239</v>
      </c>
      <c r="G1320" s="60" t="n">
        <v>81.7</v>
      </c>
      <c r="H1320" s="61" t="n">
        <v>769.99</v>
      </c>
      <c r="I1320" s="61" t="n">
        <v>83.79</v>
      </c>
      <c r="J1320" s="61" t="n">
        <f aca="false">H1320*Resumo!$C$6</f>
        <v>0</v>
      </c>
      <c r="K1320" s="61" t="n">
        <f aca="false">H1320*Resumo!$C$7</f>
        <v>1.616979</v>
      </c>
      <c r="L1320" s="61" t="n">
        <f aca="false">H1320*Resumo!$C$8</f>
        <v>1.616979</v>
      </c>
      <c r="M1320" s="61" t="n">
        <f aca="false">Resumo!$C$10*CEILING(G1320/100,1)</f>
        <v>1.05</v>
      </c>
      <c r="N1320" s="61" t="n">
        <f aca="false">Resumo!$C$9</f>
        <v>0</v>
      </c>
      <c r="O1320" s="61" t="n">
        <f aca="false">Resumo!$C$13</f>
        <v>13.55</v>
      </c>
      <c r="P1320" s="61" t="n">
        <f aca="false">Resumo!$C$14*CEILING(G1320,1)</f>
        <v>36.9</v>
      </c>
      <c r="Q1320" s="61" t="n">
        <f aca="false">SUM(I1320:P1320)*Resumo!$C$11</f>
        <v>0</v>
      </c>
      <c r="R1320" s="61" t="n">
        <f aca="false">SUM(I1320:Q1320)</f>
        <v>138.523958</v>
      </c>
      <c r="S1320" s="61" t="n">
        <f aca="false">R1320/(1-Resumo!$C$5)</f>
        <v>157.413588636364</v>
      </c>
      <c r="T1320" s="61" t="n">
        <v>167.99</v>
      </c>
      <c r="U1320" s="61" t="n">
        <f aca="false">H1320*Resumo!$B$6</f>
        <v>0.76999</v>
      </c>
      <c r="V1320" s="61" t="n">
        <f aca="false">H1320*Resumo!$B$7</f>
        <v>1.53998</v>
      </c>
      <c r="W1320" s="61" t="n">
        <f aca="false">Resumo!$B$9</f>
        <v>1</v>
      </c>
      <c r="X1320" s="61" t="n">
        <f aca="false">Resumo!$B$10*CEILING(G1320/100,1)</f>
        <v>4.5</v>
      </c>
      <c r="Y1320" s="61" t="n">
        <f aca="false">Resumo!$B$12*CEILING(G1320,1)</f>
        <v>4.92</v>
      </c>
      <c r="Z1320" s="61" t="n">
        <f aca="false">Resumo!$B$14*CEILING(G1320,1)</f>
        <v>36.9</v>
      </c>
      <c r="AA1320" s="61" t="n">
        <f aca="false">SUM(T1320:Z1320)</f>
        <v>217.61997</v>
      </c>
      <c r="AB1320" s="61" t="n">
        <f aca="false">AA1320/(1-Resumo!$B$5)</f>
        <v>247.295420454545</v>
      </c>
      <c r="AC1320" s="61" t="n">
        <f aca="false">AB1320-S1320</f>
        <v>89.8818318181818</v>
      </c>
      <c r="AD1320" s="62" t="n">
        <f aca="false">AB1320/S1320-1</f>
        <v>0.570991568115604</v>
      </c>
      <c r="AE1320" s="60" t="str">
        <f aca="false">IF(AB1320&lt;S1320,"SIM","NÃO")</f>
        <v>NÃO</v>
      </c>
      <c r="AF1320" s="60" t="n">
        <v>2</v>
      </c>
      <c r="AG1320" s="60" t="n">
        <v>5</v>
      </c>
      <c r="AH1320" s="60" t="s">
        <v>382</v>
      </c>
      <c r="AI1320" s="61" t="n">
        <f aca="false">(T1320*(1-Painel!$C$40)+U1320+V1320+Painel!$C$41+Painel!$C$42*CEILING(G1320/100,1)+Painel!$C$43*CEILING(G1320,1)+Z1320)/(1-Resumo!$B$5)</f>
        <v>174.787806818182</v>
      </c>
      <c r="AJ1320" s="60" t="str">
        <f aca="false">IF(AI1320&lt;S1320,"SIM","NÃO")</f>
        <v>NÃO</v>
      </c>
    </row>
    <row r="1321" customFormat="false" ht="15" hidden="false" customHeight="false" outlineLevel="0" collapsed="false">
      <c r="A1321" s="59" t="n">
        <v>46255.9127083333</v>
      </c>
      <c r="B1321" s="60" t="s">
        <v>1601</v>
      </c>
      <c r="C1321" s="60" t="n">
        <v>27240440</v>
      </c>
      <c r="D1321" s="60" t="s">
        <v>217</v>
      </c>
      <c r="E1321" s="60" t="s">
        <v>24</v>
      </c>
      <c r="F1321" s="60" t="s">
        <v>234</v>
      </c>
      <c r="G1321" s="60" t="n">
        <v>36.8</v>
      </c>
      <c r="H1321" s="61" t="n">
        <v>439.99</v>
      </c>
      <c r="I1321" s="61" t="n">
        <v>74.97</v>
      </c>
      <c r="J1321" s="61" t="n">
        <f aca="false">H1321*Resumo!$C$6</f>
        <v>0</v>
      </c>
      <c r="K1321" s="61" t="n">
        <f aca="false">H1321*Resumo!$C$7</f>
        <v>0.923979</v>
      </c>
      <c r="L1321" s="61" t="n">
        <f aca="false">H1321*Resumo!$C$8</f>
        <v>0.923979</v>
      </c>
      <c r="M1321" s="61" t="n">
        <f aca="false">Resumo!$C$10*CEILING(G1321/100,1)</f>
        <v>1.05</v>
      </c>
      <c r="N1321" s="61" t="n">
        <f aca="false">Resumo!$C$9</f>
        <v>0</v>
      </c>
      <c r="O1321" s="61" t="n">
        <f aca="false">Resumo!$C$13</f>
        <v>13.55</v>
      </c>
      <c r="P1321" s="61" t="n">
        <f aca="false">Resumo!$C$14*CEILING(G1321,1)</f>
        <v>16.65</v>
      </c>
      <c r="Q1321" s="61" t="n">
        <f aca="false">SUM(I1321:P1321)*Resumo!$C$11</f>
        <v>0</v>
      </c>
      <c r="R1321" s="61" t="n">
        <f aca="false">SUM(I1321:Q1321)</f>
        <v>108.067958</v>
      </c>
      <c r="S1321" s="61" t="n">
        <f aca="false">R1321/(1-Resumo!$C$5)</f>
        <v>122.804497727273</v>
      </c>
      <c r="T1321" s="61" t="n">
        <v>124.38</v>
      </c>
      <c r="U1321" s="61" t="n">
        <f aca="false">H1321*Resumo!$B$6</f>
        <v>0.43999</v>
      </c>
      <c r="V1321" s="61" t="n">
        <f aca="false">H1321*Resumo!$B$7</f>
        <v>0.87998</v>
      </c>
      <c r="W1321" s="61" t="n">
        <f aca="false">Resumo!$B$9</f>
        <v>1</v>
      </c>
      <c r="X1321" s="61" t="n">
        <f aca="false">Resumo!$B$10*CEILING(G1321/100,1)</f>
        <v>4.5</v>
      </c>
      <c r="Y1321" s="61" t="n">
        <f aca="false">Resumo!$B$12*CEILING(G1321,1)</f>
        <v>2.22</v>
      </c>
      <c r="Z1321" s="61" t="n">
        <f aca="false">Resumo!$B$14*CEILING(G1321,1)</f>
        <v>16.65</v>
      </c>
      <c r="AA1321" s="61" t="n">
        <f aca="false">SUM(T1321:Z1321)</f>
        <v>150.06997</v>
      </c>
      <c r="AB1321" s="61" t="n">
        <f aca="false">AA1321/(1-Resumo!$B$5)</f>
        <v>170.534056818182</v>
      </c>
      <c r="AC1321" s="61" t="n">
        <f aca="false">AB1321-S1321</f>
        <v>47.7295590909091</v>
      </c>
      <c r="AD1321" s="62" t="n">
        <f aca="false">AB1321/S1321-1</f>
        <v>0.388662955952217</v>
      </c>
      <c r="AE1321" s="60" t="str">
        <f aca="false">IF(AB1321&lt;S1321,"SIM","NÃO")</f>
        <v>NÃO</v>
      </c>
      <c r="AF1321" s="60" t="n">
        <v>13</v>
      </c>
      <c r="AG1321" s="60" t="n">
        <v>10</v>
      </c>
      <c r="AH1321" s="60" t="s">
        <v>382</v>
      </c>
      <c r="AI1321" s="61" t="n">
        <f aca="false">(T1321*(1-Painel!$C$40)+U1321+V1321+Painel!$C$41+Painel!$C$42*CEILING(G1321/100,1)+Painel!$C$43*CEILING(G1321,1)+Z1321)/(1-Resumo!$B$5)</f>
        <v>117.448375</v>
      </c>
      <c r="AJ1321" s="60" t="str">
        <f aca="false">IF(AI1321&lt;S1321,"SIM","NÃO")</f>
        <v>SIM</v>
      </c>
    </row>
    <row r="1322" customFormat="false" ht="15" hidden="false" customHeight="false" outlineLevel="0" collapsed="false">
      <c r="A1322" s="59" t="n">
        <v>46255.9127083333</v>
      </c>
      <c r="B1322" s="60" t="s">
        <v>1601</v>
      </c>
      <c r="C1322" s="60" t="n">
        <v>27240440</v>
      </c>
      <c r="D1322" s="60" t="s">
        <v>217</v>
      </c>
      <c r="E1322" s="60" t="s">
        <v>24</v>
      </c>
      <c r="F1322" s="60" t="s">
        <v>236</v>
      </c>
      <c r="G1322" s="60" t="n">
        <v>58.6</v>
      </c>
      <c r="H1322" s="61" t="n">
        <v>645.7</v>
      </c>
      <c r="I1322" s="61" t="n">
        <v>83.58</v>
      </c>
      <c r="J1322" s="61" t="n">
        <f aca="false">H1322*Resumo!$C$6</f>
        <v>0</v>
      </c>
      <c r="K1322" s="61" t="n">
        <f aca="false">H1322*Resumo!$C$7</f>
        <v>1.35597</v>
      </c>
      <c r="L1322" s="61" t="n">
        <f aca="false">H1322*Resumo!$C$8</f>
        <v>1.35597</v>
      </c>
      <c r="M1322" s="61" t="n">
        <f aca="false">Resumo!$C$10*CEILING(G1322/100,1)</f>
        <v>1.05</v>
      </c>
      <c r="N1322" s="61" t="n">
        <f aca="false">Resumo!$C$9</f>
        <v>0</v>
      </c>
      <c r="O1322" s="61" t="n">
        <f aca="false">Resumo!$C$13</f>
        <v>13.55</v>
      </c>
      <c r="P1322" s="61" t="n">
        <f aca="false">Resumo!$C$14*CEILING(G1322,1)</f>
        <v>26.55</v>
      </c>
      <c r="Q1322" s="61" t="n">
        <f aca="false">SUM(I1322:P1322)*Resumo!$C$11</f>
        <v>0</v>
      </c>
      <c r="R1322" s="61" t="n">
        <f aca="false">SUM(I1322:Q1322)</f>
        <v>127.44194</v>
      </c>
      <c r="S1322" s="61" t="n">
        <f aca="false">R1322/(1-Resumo!$C$5)</f>
        <v>144.820386363636</v>
      </c>
      <c r="T1322" s="61" t="n">
        <v>142.32</v>
      </c>
      <c r="U1322" s="61" t="n">
        <f aca="false">H1322*Resumo!$B$6</f>
        <v>0.6457</v>
      </c>
      <c r="V1322" s="61" t="n">
        <f aca="false">H1322*Resumo!$B$7</f>
        <v>1.2914</v>
      </c>
      <c r="W1322" s="61" t="n">
        <f aca="false">Resumo!$B$9</f>
        <v>1</v>
      </c>
      <c r="X1322" s="61" t="n">
        <f aca="false">Resumo!$B$10*CEILING(G1322/100,1)</f>
        <v>4.5</v>
      </c>
      <c r="Y1322" s="61" t="n">
        <f aca="false">Resumo!$B$12*CEILING(G1322,1)</f>
        <v>3.54</v>
      </c>
      <c r="Z1322" s="61" t="n">
        <f aca="false">Resumo!$B$14*CEILING(G1322,1)</f>
        <v>26.55</v>
      </c>
      <c r="AA1322" s="61" t="n">
        <f aca="false">SUM(T1322:Z1322)</f>
        <v>179.8471</v>
      </c>
      <c r="AB1322" s="61" t="n">
        <f aca="false">AA1322/(1-Resumo!$B$5)</f>
        <v>204.371704545455</v>
      </c>
      <c r="AC1322" s="61" t="n">
        <f aca="false">AB1322-S1322</f>
        <v>59.5513181818182</v>
      </c>
      <c r="AD1322" s="62" t="n">
        <f aca="false">AB1322/S1322-1</f>
        <v>0.411208115632891</v>
      </c>
      <c r="AE1322" s="60" t="str">
        <f aca="false">IF(AB1322&lt;S1322,"SIM","NÃO")</f>
        <v>NÃO</v>
      </c>
      <c r="AF1322" s="60" t="n">
        <v>13</v>
      </c>
      <c r="AG1322" s="60" t="n">
        <v>10</v>
      </c>
      <c r="AH1322" s="60" t="s">
        <v>382</v>
      </c>
      <c r="AI1322" s="61" t="n">
        <f aca="false">(T1322*(1-Painel!$C$40)+U1322+V1322+Painel!$C$41+Painel!$C$42*CEILING(G1322/100,1)+Painel!$C$43*CEILING(G1322,1)+Z1322)/(1-Resumo!$B$5)</f>
        <v>143.058522727273</v>
      </c>
      <c r="AJ1322" s="60" t="str">
        <f aca="false">IF(AI1322&lt;S1322,"SIM","NÃO")</f>
        <v>SIM</v>
      </c>
    </row>
    <row r="1323" customFormat="false" ht="15" hidden="false" customHeight="false" outlineLevel="0" collapsed="false">
      <c r="A1323" s="59" t="n">
        <v>46255.9264351852</v>
      </c>
      <c r="B1323" s="60" t="s">
        <v>1602</v>
      </c>
      <c r="C1323" s="60" t="n">
        <v>28943628</v>
      </c>
      <c r="D1323" s="60" t="s">
        <v>338</v>
      </c>
      <c r="E1323" s="60" t="s">
        <v>24</v>
      </c>
      <c r="F1323" s="60" t="s">
        <v>236</v>
      </c>
      <c r="G1323" s="60" t="n">
        <v>58.5</v>
      </c>
      <c r="H1323" s="61" t="n">
        <v>855.95</v>
      </c>
      <c r="I1323" s="61" t="n">
        <v>83.58</v>
      </c>
      <c r="J1323" s="61" t="n">
        <f aca="false">H1323*Resumo!$C$6</f>
        <v>0</v>
      </c>
      <c r="K1323" s="61" t="n">
        <f aca="false">H1323*Resumo!$C$7</f>
        <v>1.797495</v>
      </c>
      <c r="L1323" s="61" t="n">
        <f aca="false">H1323*Resumo!$C$8</f>
        <v>1.797495</v>
      </c>
      <c r="M1323" s="61" t="n">
        <f aca="false">Resumo!$C$10*CEILING(G1323/100,1)</f>
        <v>1.05</v>
      </c>
      <c r="N1323" s="61" t="n">
        <f aca="false">Resumo!$C$9</f>
        <v>0</v>
      </c>
      <c r="O1323" s="61" t="n">
        <f aca="false">Resumo!$C$13</f>
        <v>13.55</v>
      </c>
      <c r="P1323" s="61" t="n">
        <f aca="false">Resumo!$C$14*CEILING(G1323,1)</f>
        <v>26.55</v>
      </c>
      <c r="Q1323" s="61" t="n">
        <f aca="false">SUM(I1323:P1323)*Resumo!$C$11</f>
        <v>0</v>
      </c>
      <c r="R1323" s="61" t="n">
        <f aca="false">SUM(I1323:Q1323)</f>
        <v>128.32499</v>
      </c>
      <c r="S1323" s="61" t="n">
        <f aca="false">R1323/(1-Resumo!$C$5)</f>
        <v>145.823852272727</v>
      </c>
      <c r="T1323" s="61" t="n">
        <v>142.32</v>
      </c>
      <c r="U1323" s="61" t="n">
        <f aca="false">H1323*Resumo!$B$6</f>
        <v>0.85595</v>
      </c>
      <c r="V1323" s="61" t="n">
        <f aca="false">H1323*Resumo!$B$7</f>
        <v>1.7119</v>
      </c>
      <c r="W1323" s="61" t="n">
        <f aca="false">Resumo!$B$9</f>
        <v>1</v>
      </c>
      <c r="X1323" s="61" t="n">
        <f aca="false">Resumo!$B$10*CEILING(G1323/100,1)</f>
        <v>4.5</v>
      </c>
      <c r="Y1323" s="61" t="n">
        <f aca="false">Resumo!$B$12*CEILING(G1323,1)</f>
        <v>3.54</v>
      </c>
      <c r="Z1323" s="61" t="n">
        <f aca="false">Resumo!$B$14*CEILING(G1323,1)</f>
        <v>26.55</v>
      </c>
      <c r="AA1323" s="61" t="n">
        <f aca="false">SUM(T1323:Z1323)</f>
        <v>180.47785</v>
      </c>
      <c r="AB1323" s="61" t="n">
        <f aca="false">AA1323/(1-Resumo!$B$5)</f>
        <v>205.088465909091</v>
      </c>
      <c r="AC1323" s="61" t="n">
        <f aca="false">AB1323-S1323</f>
        <v>59.2646136363636</v>
      </c>
      <c r="AD1323" s="62" t="n">
        <f aca="false">AB1323/S1323-1</f>
        <v>0.406412344158375</v>
      </c>
      <c r="AE1323" s="60" t="str">
        <f aca="false">IF(AB1323&lt;S1323,"SIM","NÃO")</f>
        <v>NÃO</v>
      </c>
      <c r="AF1323" s="60" t="n">
        <v>13</v>
      </c>
      <c r="AG1323" s="60" t="n">
        <v>10</v>
      </c>
      <c r="AH1323" s="60" t="s">
        <v>385</v>
      </c>
      <c r="AI1323" s="61" t="n">
        <f aca="false">(T1323*(1-Painel!$C$40)+U1323+V1323+Painel!$C$41+Painel!$C$42*CEILING(G1323/100,1)+Painel!$C$43*CEILING(G1323,1)+Z1323)/(1-Resumo!$B$5)</f>
        <v>143.775284090909</v>
      </c>
      <c r="AJ1323" s="60" t="str">
        <f aca="false">IF(AI1323&lt;S1323,"SIM","NÃO")</f>
        <v>SIM</v>
      </c>
    </row>
    <row r="1324" customFormat="false" ht="15" hidden="false" customHeight="false" outlineLevel="0" collapsed="false">
      <c r="A1324" s="59" t="n">
        <v>46255.9441898148</v>
      </c>
      <c r="B1324" s="60" t="s">
        <v>1603</v>
      </c>
      <c r="C1324" s="60" t="n">
        <v>27963111</v>
      </c>
      <c r="D1324" s="60" t="s">
        <v>53</v>
      </c>
      <c r="E1324" s="60" t="s">
        <v>24</v>
      </c>
      <c r="F1324" s="60" t="s">
        <v>239</v>
      </c>
      <c r="G1324" s="60" t="n">
        <v>82.7</v>
      </c>
      <c r="H1324" s="61" t="n">
        <v>979.99</v>
      </c>
      <c r="I1324" s="61" t="n">
        <v>109.63</v>
      </c>
      <c r="J1324" s="61" t="n">
        <f aca="false">H1324*Resumo!$C$6</f>
        <v>0</v>
      </c>
      <c r="K1324" s="61" t="n">
        <f aca="false">H1324*Resumo!$C$7</f>
        <v>2.057979</v>
      </c>
      <c r="L1324" s="61" t="n">
        <f aca="false">H1324*Resumo!$C$8</f>
        <v>2.057979</v>
      </c>
      <c r="M1324" s="61" t="n">
        <f aca="false">Resumo!$C$10*CEILING(G1324/100,1)</f>
        <v>1.05</v>
      </c>
      <c r="N1324" s="61" t="n">
        <f aca="false">Resumo!$C$9</f>
        <v>0</v>
      </c>
      <c r="O1324" s="61" t="n">
        <f aca="false">Resumo!$C$13</f>
        <v>13.55</v>
      </c>
      <c r="P1324" s="61" t="n">
        <f aca="false">Resumo!$C$14*CEILING(G1324,1)</f>
        <v>37.35</v>
      </c>
      <c r="Q1324" s="61" t="n">
        <f aca="false">SUM(I1324:P1324)*Resumo!$C$11</f>
        <v>0</v>
      </c>
      <c r="R1324" s="61" t="n">
        <f aca="false">SUM(I1324:Q1324)</f>
        <v>165.695958</v>
      </c>
      <c r="S1324" s="61" t="n">
        <f aca="false">R1324/(1-Resumo!$C$5)</f>
        <v>188.290861363636</v>
      </c>
      <c r="T1324" s="61" t="n">
        <v>200.04</v>
      </c>
      <c r="U1324" s="61" t="n">
        <f aca="false">H1324*Resumo!$B$6</f>
        <v>0.97999</v>
      </c>
      <c r="V1324" s="61" t="n">
        <f aca="false">H1324*Resumo!$B$7</f>
        <v>1.95998</v>
      </c>
      <c r="W1324" s="61" t="n">
        <f aca="false">Resumo!$B$9</f>
        <v>1</v>
      </c>
      <c r="X1324" s="61" t="n">
        <f aca="false">Resumo!$B$10*CEILING(G1324/100,1)</f>
        <v>4.5</v>
      </c>
      <c r="Y1324" s="61" t="n">
        <f aca="false">Resumo!$B$12*CEILING(G1324,1)</f>
        <v>4.98</v>
      </c>
      <c r="Z1324" s="61" t="n">
        <f aca="false">Resumo!$B$14*CEILING(G1324,1)</f>
        <v>37.35</v>
      </c>
      <c r="AA1324" s="61" t="n">
        <f aca="false">SUM(T1324:Z1324)</f>
        <v>250.80997</v>
      </c>
      <c r="AB1324" s="61" t="n">
        <f aca="false">AA1324/(1-Resumo!$B$5)</f>
        <v>285.011329545455</v>
      </c>
      <c r="AC1324" s="61" t="n">
        <f aca="false">AB1324-S1324</f>
        <v>96.7204681818182</v>
      </c>
      <c r="AD1324" s="62" t="n">
        <f aca="false">AB1324/S1324-1</f>
        <v>0.513675849594352</v>
      </c>
      <c r="AE1324" s="60" t="str">
        <f aca="false">IF(AB1324&lt;S1324,"SIM","NÃO")</f>
        <v>NÃO</v>
      </c>
      <c r="AF1324" s="60" t="n">
        <v>13</v>
      </c>
      <c r="AG1324" s="60" t="n">
        <v>11</v>
      </c>
      <c r="AH1324" s="60" t="s">
        <v>382</v>
      </c>
      <c r="AI1324" s="61" t="n">
        <f aca="false">(T1324*(1-Painel!$C$40)+U1324+V1324+Painel!$C$41+Painel!$C$42*CEILING(G1324/100,1)+Painel!$C$43*CEILING(G1324,1)+Z1324)/(1-Resumo!$B$5)</f>
        <v>200.416784090909</v>
      </c>
      <c r="AJ1324" s="60" t="str">
        <f aca="false">IF(AI1324&lt;S1324,"SIM","NÃO")</f>
        <v>NÃO</v>
      </c>
    </row>
    <row r="1325" customFormat="false" ht="15" hidden="false" customHeight="false" outlineLevel="0" collapsed="false">
      <c r="A1325" s="59" t="n">
        <v>46256.0080324074</v>
      </c>
      <c r="B1325" s="60" t="s">
        <v>1604</v>
      </c>
      <c r="C1325" s="60" t="n">
        <v>23934010</v>
      </c>
      <c r="D1325" s="60" t="s">
        <v>218</v>
      </c>
      <c r="E1325" s="60" t="s">
        <v>24</v>
      </c>
      <c r="F1325" s="60" t="s">
        <v>234</v>
      </c>
      <c r="G1325" s="60" t="n">
        <v>36.8</v>
      </c>
      <c r="H1325" s="61" t="n">
        <v>475.99</v>
      </c>
      <c r="I1325" s="61" t="n">
        <v>74.97</v>
      </c>
      <c r="J1325" s="61" t="n">
        <f aca="false">H1325*Resumo!$C$6</f>
        <v>0</v>
      </c>
      <c r="K1325" s="61" t="n">
        <f aca="false">H1325*Resumo!$C$7</f>
        <v>0.999579</v>
      </c>
      <c r="L1325" s="61" t="n">
        <f aca="false">H1325*Resumo!$C$8</f>
        <v>0.999579</v>
      </c>
      <c r="M1325" s="61" t="n">
        <f aca="false">Resumo!$C$10*CEILING(G1325/100,1)</f>
        <v>1.05</v>
      </c>
      <c r="N1325" s="61" t="n">
        <f aca="false">Resumo!$C$9</f>
        <v>0</v>
      </c>
      <c r="O1325" s="61" t="n">
        <f aca="false">Resumo!$C$13</f>
        <v>13.55</v>
      </c>
      <c r="P1325" s="61" t="n">
        <f aca="false">Resumo!$C$14*CEILING(G1325,1)</f>
        <v>16.65</v>
      </c>
      <c r="Q1325" s="61" t="n">
        <f aca="false">SUM(I1325:P1325)*Resumo!$C$11</f>
        <v>0</v>
      </c>
      <c r="R1325" s="61" t="n">
        <f aca="false">SUM(I1325:Q1325)</f>
        <v>108.219158</v>
      </c>
      <c r="S1325" s="61" t="n">
        <f aca="false">R1325/(1-Resumo!$C$5)</f>
        <v>122.976315909091</v>
      </c>
      <c r="T1325" s="61" t="n">
        <v>124.38</v>
      </c>
      <c r="U1325" s="61" t="n">
        <f aca="false">H1325*Resumo!$B$6</f>
        <v>0.47599</v>
      </c>
      <c r="V1325" s="61" t="n">
        <f aca="false">H1325*Resumo!$B$7</f>
        <v>0.95198</v>
      </c>
      <c r="W1325" s="61" t="n">
        <f aca="false">Resumo!$B$9</f>
        <v>1</v>
      </c>
      <c r="X1325" s="61" t="n">
        <f aca="false">Resumo!$B$10*CEILING(G1325/100,1)</f>
        <v>4.5</v>
      </c>
      <c r="Y1325" s="61" t="n">
        <f aca="false">Resumo!$B$12*CEILING(G1325,1)</f>
        <v>2.22</v>
      </c>
      <c r="Z1325" s="61" t="n">
        <f aca="false">Resumo!$B$14*CEILING(G1325,1)</f>
        <v>16.65</v>
      </c>
      <c r="AA1325" s="61" t="n">
        <f aca="false">SUM(T1325:Z1325)</f>
        <v>150.17797</v>
      </c>
      <c r="AB1325" s="61" t="n">
        <f aca="false">AA1325/(1-Resumo!$B$5)</f>
        <v>170.656784090909</v>
      </c>
      <c r="AC1325" s="61" t="n">
        <f aca="false">AB1325-S1325</f>
        <v>47.6804681818182</v>
      </c>
      <c r="AD1325" s="62" t="n">
        <f aca="false">AB1325/S1325-1</f>
        <v>0.387720739797292</v>
      </c>
      <c r="AE1325" s="60" t="str">
        <f aca="false">IF(AB1325&lt;S1325,"SIM","NÃO")</f>
        <v>NÃO</v>
      </c>
      <c r="AF1325" s="60" t="n">
        <v>13</v>
      </c>
      <c r="AG1325" s="60" t="n">
        <v>10</v>
      </c>
      <c r="AH1325" s="60" t="s">
        <v>382</v>
      </c>
      <c r="AI1325" s="61" t="n">
        <f aca="false">(T1325*(1-Painel!$C$40)+U1325+V1325+Painel!$C$41+Painel!$C$42*CEILING(G1325/100,1)+Painel!$C$43*CEILING(G1325,1)+Z1325)/(1-Resumo!$B$5)</f>
        <v>117.571102272727</v>
      </c>
      <c r="AJ1325" s="60" t="str">
        <f aca="false">IF(AI1325&lt;S1325,"SIM","NÃO")</f>
        <v>SIM</v>
      </c>
    </row>
    <row r="1326" customFormat="false" ht="15" hidden="false" customHeight="false" outlineLevel="0" collapsed="false">
      <c r="A1326" s="59" t="n">
        <v>46256.0241203704</v>
      </c>
      <c r="B1326" s="60" t="s">
        <v>1605</v>
      </c>
      <c r="C1326" s="60" t="n">
        <v>25710130</v>
      </c>
      <c r="D1326" s="60" t="s">
        <v>219</v>
      </c>
      <c r="E1326" s="60" t="s">
        <v>24</v>
      </c>
      <c r="F1326" s="60" t="s">
        <v>236</v>
      </c>
      <c r="G1326" s="60" t="n">
        <v>52.3</v>
      </c>
      <c r="H1326" s="61" t="n">
        <v>669.99</v>
      </c>
      <c r="I1326" s="61" t="n">
        <v>83.58</v>
      </c>
      <c r="J1326" s="61" t="n">
        <f aca="false">H1326*Resumo!$C$6</f>
        <v>0</v>
      </c>
      <c r="K1326" s="61" t="n">
        <f aca="false">H1326*Resumo!$C$7</f>
        <v>1.406979</v>
      </c>
      <c r="L1326" s="61" t="n">
        <f aca="false">H1326*Resumo!$C$8</f>
        <v>1.406979</v>
      </c>
      <c r="M1326" s="61" t="n">
        <f aca="false">Resumo!$C$10*CEILING(G1326/100,1)</f>
        <v>1.05</v>
      </c>
      <c r="N1326" s="61" t="n">
        <f aca="false">Resumo!$C$9</f>
        <v>0</v>
      </c>
      <c r="O1326" s="61" t="n">
        <f aca="false">Resumo!$C$13</f>
        <v>13.55</v>
      </c>
      <c r="P1326" s="61" t="n">
        <f aca="false">Resumo!$C$14*CEILING(G1326,1)</f>
        <v>23.85</v>
      </c>
      <c r="Q1326" s="61" t="n">
        <f aca="false">SUM(I1326:P1326)*Resumo!$C$11</f>
        <v>0</v>
      </c>
      <c r="R1326" s="61" t="n">
        <f aca="false">SUM(I1326:Q1326)</f>
        <v>124.843958</v>
      </c>
      <c r="S1326" s="61" t="n">
        <f aca="false">R1326/(1-Resumo!$C$5)</f>
        <v>141.868134090909</v>
      </c>
      <c r="T1326" s="61" t="n">
        <v>142.32</v>
      </c>
      <c r="U1326" s="61" t="n">
        <f aca="false">H1326*Resumo!$B$6</f>
        <v>0.66999</v>
      </c>
      <c r="V1326" s="61" t="n">
        <f aca="false">H1326*Resumo!$B$7</f>
        <v>1.33998</v>
      </c>
      <c r="W1326" s="61" t="n">
        <f aca="false">Resumo!$B$9</f>
        <v>1</v>
      </c>
      <c r="X1326" s="61" t="n">
        <f aca="false">Resumo!$B$10*CEILING(G1326/100,1)</f>
        <v>4.5</v>
      </c>
      <c r="Y1326" s="61" t="n">
        <f aca="false">Resumo!$B$12*CEILING(G1326,1)</f>
        <v>3.18</v>
      </c>
      <c r="Z1326" s="61" t="n">
        <f aca="false">Resumo!$B$14*CEILING(G1326,1)</f>
        <v>23.85</v>
      </c>
      <c r="AA1326" s="61" t="n">
        <f aca="false">SUM(T1326:Z1326)</f>
        <v>176.85997</v>
      </c>
      <c r="AB1326" s="61" t="n">
        <f aca="false">AA1326/(1-Resumo!$B$5)</f>
        <v>200.977238636364</v>
      </c>
      <c r="AC1326" s="61" t="n">
        <f aca="false">AB1326-S1326</f>
        <v>59.1091045454545</v>
      </c>
      <c r="AD1326" s="62" t="n">
        <f aca="false">AB1326/S1326-1</f>
        <v>0.416648212963578</v>
      </c>
      <c r="AE1326" s="60" t="str">
        <f aca="false">IF(AB1326&lt;S1326,"SIM","NÃO")</f>
        <v>NÃO</v>
      </c>
      <c r="AF1326" s="60" t="n">
        <v>13</v>
      </c>
      <c r="AG1326" s="60" t="n">
        <v>8</v>
      </c>
      <c r="AH1326" s="60" t="s">
        <v>382</v>
      </c>
      <c r="AI1326" s="61" t="n">
        <f aca="false">(T1326*(1-Painel!$C$40)+U1326+V1326+Painel!$C$41+Painel!$C$42*CEILING(G1326/100,1)+Painel!$C$43*CEILING(G1326,1)+Z1326)/(1-Resumo!$B$5)</f>
        <v>140.073147727273</v>
      </c>
      <c r="AJ1326" s="60" t="str">
        <f aca="false">IF(AI1326&lt;S1326,"SIM","NÃO")</f>
        <v>SIM</v>
      </c>
    </row>
    <row r="1327" customFormat="false" ht="15" hidden="false" customHeight="false" outlineLevel="0" collapsed="false">
      <c r="A1327" s="59" t="n">
        <v>46256.246712963</v>
      </c>
      <c r="B1327" s="60" t="s">
        <v>777</v>
      </c>
      <c r="C1327" s="60" t="n">
        <v>20911300</v>
      </c>
      <c r="D1327" s="60" t="s">
        <v>46</v>
      </c>
      <c r="E1327" s="60" t="s">
        <v>22</v>
      </c>
      <c r="F1327" s="60" t="s">
        <v>236</v>
      </c>
      <c r="G1327" s="60" t="n">
        <v>60</v>
      </c>
      <c r="H1327" s="61" t="n">
        <v>793.29</v>
      </c>
      <c r="I1327" s="61" t="n">
        <v>58.6</v>
      </c>
      <c r="J1327" s="61" t="n">
        <f aca="false">H1327*Resumo!$C$6</f>
        <v>0</v>
      </c>
      <c r="K1327" s="61" t="n">
        <f aca="false">H1327*Resumo!$C$7</f>
        <v>1.665909</v>
      </c>
      <c r="L1327" s="61" t="n">
        <f aca="false">H1327*Resumo!$C$8</f>
        <v>1.665909</v>
      </c>
      <c r="M1327" s="61" t="n">
        <f aca="false">Resumo!$C$10*CEILING(G1327/100,1)</f>
        <v>1.05</v>
      </c>
      <c r="N1327" s="61" t="n">
        <f aca="false">Resumo!$C$9</f>
        <v>0</v>
      </c>
      <c r="O1327" s="61" t="n">
        <f aca="false">Resumo!$C$13</f>
        <v>13.55</v>
      </c>
      <c r="P1327" s="61" t="n">
        <f aca="false">Resumo!$C$14*CEILING(G1327,1)</f>
        <v>27</v>
      </c>
      <c r="Q1327" s="61" t="n">
        <f aca="false">SUM(I1327:P1327)*Resumo!$C$11</f>
        <v>0</v>
      </c>
      <c r="R1327" s="61" t="n">
        <f aca="false">SUM(I1327:Q1327)</f>
        <v>103.531818</v>
      </c>
      <c r="S1327" s="61" t="n">
        <f aca="false">R1327/(1-Resumo!$C$5)</f>
        <v>117.649793181818</v>
      </c>
      <c r="T1327" s="61" t="n">
        <v>112.3</v>
      </c>
      <c r="U1327" s="61" t="n">
        <f aca="false">H1327*Resumo!$B$6</f>
        <v>0.79329</v>
      </c>
      <c r="V1327" s="61" t="n">
        <f aca="false">H1327*Resumo!$B$7</f>
        <v>1.58658</v>
      </c>
      <c r="W1327" s="61" t="n">
        <f aca="false">Resumo!$B$9</f>
        <v>1</v>
      </c>
      <c r="X1327" s="61" t="n">
        <f aca="false">Resumo!$B$10*CEILING(G1327/100,1)</f>
        <v>4.5</v>
      </c>
      <c r="Y1327" s="61" t="n">
        <f aca="false">Resumo!$B$12*CEILING(G1327,1)</f>
        <v>3.6</v>
      </c>
      <c r="Z1327" s="61" t="n">
        <f aca="false">Resumo!$B$14*CEILING(G1327,1)</f>
        <v>27</v>
      </c>
      <c r="AA1327" s="61" t="n">
        <f aca="false">SUM(T1327:Z1327)</f>
        <v>150.77987</v>
      </c>
      <c r="AB1327" s="61" t="n">
        <f aca="false">AA1327/(1-Resumo!$B$5)</f>
        <v>171.340761363636</v>
      </c>
      <c r="AC1327" s="61" t="n">
        <f aca="false">AB1327-S1327</f>
        <v>53.6909681818182</v>
      </c>
      <c r="AD1327" s="62" t="n">
        <f aca="false">AB1327/S1327-1</f>
        <v>0.456362622744633</v>
      </c>
      <c r="AE1327" s="60" t="str">
        <f aca="false">IF(AB1327&lt;S1327,"SIM","NÃO")</f>
        <v>NÃO</v>
      </c>
      <c r="AF1327" s="60" t="n">
        <v>2</v>
      </c>
      <c r="AG1327" s="60" t="n">
        <v>5</v>
      </c>
      <c r="AH1327" s="60" t="s">
        <v>382</v>
      </c>
      <c r="AI1327" s="61" t="n">
        <f aca="false">(T1327*(1-Painel!$C$40)+U1327+V1327+Painel!$C$41+Painel!$C$42*CEILING(G1327/100,1)+Painel!$C$43*CEILING(G1327,1)+Z1327)/(1-Resumo!$B$5)</f>
        <v>121.216897727273</v>
      </c>
      <c r="AJ1327" s="60" t="str">
        <f aca="false">IF(AI1327&lt;S1327,"SIM","NÃO")</f>
        <v>NÃO</v>
      </c>
    </row>
    <row r="1328" customFormat="false" ht="15" hidden="false" customHeight="false" outlineLevel="0" collapsed="false">
      <c r="A1328" s="59" t="n">
        <v>46256.335775463</v>
      </c>
      <c r="B1328" s="60" t="s">
        <v>1606</v>
      </c>
      <c r="C1328" s="60" t="n">
        <v>25030020</v>
      </c>
      <c r="D1328" s="60" t="s">
        <v>48</v>
      </c>
      <c r="E1328" s="60" t="s">
        <v>23</v>
      </c>
      <c r="F1328" s="60" t="s">
        <v>235</v>
      </c>
      <c r="G1328" s="60" t="n">
        <v>46.8</v>
      </c>
      <c r="H1328" s="61" t="n">
        <v>535.49</v>
      </c>
      <c r="I1328" s="61" t="n">
        <v>65.36</v>
      </c>
      <c r="J1328" s="61" t="n">
        <f aca="false">H1328*Resumo!$C$6</f>
        <v>0</v>
      </c>
      <c r="K1328" s="61" t="n">
        <f aca="false">H1328*Resumo!$C$7</f>
        <v>1.124529</v>
      </c>
      <c r="L1328" s="61" t="n">
        <f aca="false">H1328*Resumo!$C$8</f>
        <v>1.124529</v>
      </c>
      <c r="M1328" s="61" t="n">
        <f aca="false">Resumo!$C$10*CEILING(G1328/100,1)</f>
        <v>1.05</v>
      </c>
      <c r="N1328" s="61" t="n">
        <f aca="false">Resumo!$C$9</f>
        <v>0</v>
      </c>
      <c r="O1328" s="61" t="n">
        <f aca="false">Resumo!$C$13</f>
        <v>13.55</v>
      </c>
      <c r="P1328" s="61" t="n">
        <f aca="false">Resumo!$C$14*CEILING(G1328,1)</f>
        <v>21.15</v>
      </c>
      <c r="Q1328" s="61" t="n">
        <f aca="false">SUM(I1328:P1328)*Resumo!$C$11</f>
        <v>0</v>
      </c>
      <c r="R1328" s="61" t="n">
        <f aca="false">SUM(I1328:Q1328)</f>
        <v>103.359058</v>
      </c>
      <c r="S1328" s="61" t="n">
        <f aca="false">R1328/(1-Resumo!$C$5)</f>
        <v>117.453475</v>
      </c>
      <c r="T1328" s="61" t="n">
        <v>93.97</v>
      </c>
      <c r="U1328" s="61" t="n">
        <f aca="false">H1328*Resumo!$B$6</f>
        <v>0.53549</v>
      </c>
      <c r="V1328" s="61" t="n">
        <f aca="false">H1328*Resumo!$B$7</f>
        <v>1.07098</v>
      </c>
      <c r="W1328" s="61" t="n">
        <f aca="false">Resumo!$B$9</f>
        <v>1</v>
      </c>
      <c r="X1328" s="61" t="n">
        <f aca="false">Resumo!$B$10*CEILING(G1328/100,1)</f>
        <v>4.5</v>
      </c>
      <c r="Y1328" s="61" t="n">
        <f aca="false">Resumo!$B$12*CEILING(G1328,1)</f>
        <v>2.82</v>
      </c>
      <c r="Z1328" s="61" t="n">
        <f aca="false">Resumo!$B$14*CEILING(G1328,1)</f>
        <v>21.15</v>
      </c>
      <c r="AA1328" s="61" t="n">
        <f aca="false">SUM(T1328:Z1328)</f>
        <v>125.04647</v>
      </c>
      <c r="AB1328" s="61" t="n">
        <f aca="false">AA1328/(1-Resumo!$B$5)</f>
        <v>142.098261363636</v>
      </c>
      <c r="AC1328" s="61" t="n">
        <f aca="false">AB1328-S1328</f>
        <v>24.6447863636364</v>
      </c>
      <c r="AD1328" s="62" t="n">
        <f aca="false">AB1328/S1328-1</f>
        <v>0.209825944814628</v>
      </c>
      <c r="AE1328" s="60" t="str">
        <f aca="false">IF(AB1328&lt;S1328,"SIM","NÃO")</f>
        <v>NÃO</v>
      </c>
      <c r="AF1328" s="60" t="n">
        <v>2</v>
      </c>
      <c r="AG1328" s="60" t="n">
        <v>5</v>
      </c>
      <c r="AH1328" s="60" t="s">
        <v>382</v>
      </c>
      <c r="AI1328" s="61" t="n">
        <f aca="false">(T1328*(1-Painel!$C$40)+U1328+V1328+Painel!$C$41+Painel!$C$42*CEILING(G1328/100,1)+Painel!$C$43*CEILING(G1328,1)+Z1328)/(1-Resumo!$B$5)</f>
        <v>99.7345113636364</v>
      </c>
      <c r="AJ1328" s="60" t="str">
        <f aca="false">IF(AI1328&lt;S1328,"SIM","NÃO")</f>
        <v>SIM</v>
      </c>
    </row>
    <row r="1329" customFormat="false" ht="15" hidden="false" customHeight="false" outlineLevel="0" collapsed="false">
      <c r="A1329" s="59" t="n">
        <v>46256.3650810185</v>
      </c>
      <c r="B1329" s="60" t="s">
        <v>1607</v>
      </c>
      <c r="C1329" s="60" t="n">
        <v>26415190</v>
      </c>
      <c r="D1329" s="60" t="s">
        <v>283</v>
      </c>
      <c r="E1329" s="60" t="s">
        <v>24</v>
      </c>
      <c r="F1329" s="60" t="s">
        <v>236</v>
      </c>
      <c r="G1329" s="60" t="n">
        <v>52.3</v>
      </c>
      <c r="H1329" s="61" t="n">
        <v>669.99</v>
      </c>
      <c r="I1329" s="61" t="n">
        <v>83.58</v>
      </c>
      <c r="J1329" s="61" t="n">
        <f aca="false">H1329*Resumo!$C$6</f>
        <v>0</v>
      </c>
      <c r="K1329" s="61" t="n">
        <f aca="false">H1329*Resumo!$C$7</f>
        <v>1.406979</v>
      </c>
      <c r="L1329" s="61" t="n">
        <f aca="false">H1329*Resumo!$C$8</f>
        <v>1.406979</v>
      </c>
      <c r="M1329" s="61" t="n">
        <f aca="false">Resumo!$C$10*CEILING(G1329/100,1)</f>
        <v>1.05</v>
      </c>
      <c r="N1329" s="61" t="n">
        <f aca="false">Resumo!$C$9</f>
        <v>0</v>
      </c>
      <c r="O1329" s="61" t="n">
        <f aca="false">Resumo!$C$13</f>
        <v>13.55</v>
      </c>
      <c r="P1329" s="61" t="n">
        <f aca="false">Resumo!$C$14*CEILING(G1329,1)</f>
        <v>23.85</v>
      </c>
      <c r="Q1329" s="61" t="n">
        <f aca="false">SUM(I1329:P1329)*Resumo!$C$11</f>
        <v>0</v>
      </c>
      <c r="R1329" s="61" t="n">
        <f aca="false">SUM(I1329:Q1329)</f>
        <v>124.843958</v>
      </c>
      <c r="S1329" s="61" t="n">
        <f aca="false">R1329/(1-Resumo!$C$5)</f>
        <v>141.868134090909</v>
      </c>
      <c r="T1329" s="61" t="n">
        <v>112.3</v>
      </c>
      <c r="U1329" s="61" t="n">
        <f aca="false">H1329*Resumo!$B$6</f>
        <v>0.66999</v>
      </c>
      <c r="V1329" s="61" t="n">
        <f aca="false">H1329*Resumo!$B$7</f>
        <v>1.33998</v>
      </c>
      <c r="W1329" s="61" t="n">
        <f aca="false">Resumo!$B$9</f>
        <v>1</v>
      </c>
      <c r="X1329" s="61" t="n">
        <f aca="false">Resumo!$B$10*CEILING(G1329/100,1)</f>
        <v>4.5</v>
      </c>
      <c r="Y1329" s="61" t="n">
        <f aca="false">Resumo!$B$12*CEILING(G1329,1)</f>
        <v>3.18</v>
      </c>
      <c r="Z1329" s="61" t="n">
        <f aca="false">Resumo!$B$14*CEILING(G1329,1)</f>
        <v>23.85</v>
      </c>
      <c r="AA1329" s="61" t="n">
        <f aca="false">SUM(T1329:Z1329)</f>
        <v>146.83997</v>
      </c>
      <c r="AB1329" s="61" t="n">
        <f aca="false">AA1329/(1-Resumo!$B$5)</f>
        <v>166.863602272727</v>
      </c>
      <c r="AC1329" s="61" t="n">
        <f aca="false">AB1329-S1329</f>
        <v>24.9954681818182</v>
      </c>
      <c r="AD1329" s="62" t="n">
        <f aca="false">AB1329/S1329-1</f>
        <v>0.176188037870443</v>
      </c>
      <c r="AE1329" s="60" t="str">
        <f aca="false">IF(AB1329&lt;S1329,"SIM","NÃO")</f>
        <v>NÃO</v>
      </c>
      <c r="AF1329" s="60" t="n">
        <v>13</v>
      </c>
      <c r="AG1329" s="60" t="n">
        <v>5</v>
      </c>
      <c r="AH1329" s="60" t="s">
        <v>385</v>
      </c>
      <c r="AI1329" s="61" t="n">
        <f aca="false">(T1329*(1-Painel!$C$40)+U1329+V1329+Painel!$C$41+Painel!$C$42*CEILING(G1329/100,1)+Painel!$C$43*CEILING(G1329,1)+Z1329)/(1-Resumo!$B$5)</f>
        <v>117.217011363636</v>
      </c>
      <c r="AJ1329" s="60" t="str">
        <f aca="false">IF(AI1329&lt;S1329,"SIM","NÃO")</f>
        <v>SIM</v>
      </c>
    </row>
    <row r="1330" customFormat="false" ht="15" hidden="false" customHeight="false" outlineLevel="0" collapsed="false">
      <c r="A1330" s="59" t="n">
        <v>46256.4240625</v>
      </c>
      <c r="B1330" s="60" t="s">
        <v>1608</v>
      </c>
      <c r="C1330" s="60" t="n">
        <v>26080030</v>
      </c>
      <c r="D1330" s="60" t="s">
        <v>49</v>
      </c>
      <c r="E1330" s="60" t="s">
        <v>23</v>
      </c>
      <c r="F1330" s="60" t="s">
        <v>233</v>
      </c>
      <c r="G1330" s="60" t="n">
        <v>33</v>
      </c>
      <c r="H1330" s="61" t="n">
        <v>1249.99</v>
      </c>
      <c r="I1330" s="61" t="n">
        <v>58.8</v>
      </c>
      <c r="J1330" s="61" t="n">
        <f aca="false">H1330*Resumo!$C$6</f>
        <v>0</v>
      </c>
      <c r="K1330" s="61" t="n">
        <f aca="false">H1330*Resumo!$C$7</f>
        <v>2.624979</v>
      </c>
      <c r="L1330" s="61" t="n">
        <f aca="false">H1330*Resumo!$C$8</f>
        <v>2.624979</v>
      </c>
      <c r="M1330" s="61" t="n">
        <f aca="false">Resumo!$C$10*CEILING(G1330/100,1)</f>
        <v>1.05</v>
      </c>
      <c r="N1330" s="61" t="n">
        <f aca="false">Resumo!$C$9</f>
        <v>0</v>
      </c>
      <c r="O1330" s="61" t="n">
        <f aca="false">Resumo!$C$13</f>
        <v>13.55</v>
      </c>
      <c r="P1330" s="61" t="n">
        <f aca="false">Resumo!$C$14*CEILING(G1330,1)</f>
        <v>14.85</v>
      </c>
      <c r="Q1330" s="61" t="n">
        <f aca="false">SUM(I1330:P1330)*Resumo!$C$11</f>
        <v>0</v>
      </c>
      <c r="R1330" s="61" t="n">
        <f aca="false">SUM(I1330:Q1330)</f>
        <v>93.499958</v>
      </c>
      <c r="S1330" s="61" t="n">
        <f aca="false">R1330/(1-Resumo!$C$5)</f>
        <v>106.249952272727</v>
      </c>
      <c r="T1330" s="61" t="n">
        <v>82.21</v>
      </c>
      <c r="U1330" s="61" t="n">
        <f aca="false">H1330*Resumo!$B$6</f>
        <v>1.24999</v>
      </c>
      <c r="V1330" s="61" t="n">
        <f aca="false">H1330*Resumo!$B$7</f>
        <v>2.49998</v>
      </c>
      <c r="W1330" s="61" t="n">
        <f aca="false">Resumo!$B$9</f>
        <v>1</v>
      </c>
      <c r="X1330" s="61" t="n">
        <f aca="false">Resumo!$B$10*CEILING(G1330/100,1)</f>
        <v>4.5</v>
      </c>
      <c r="Y1330" s="61" t="n">
        <f aca="false">Resumo!$B$12*CEILING(G1330,1)</f>
        <v>1.98</v>
      </c>
      <c r="Z1330" s="61" t="n">
        <f aca="false">Resumo!$B$14*CEILING(G1330,1)</f>
        <v>14.85</v>
      </c>
      <c r="AA1330" s="61" t="n">
        <f aca="false">SUM(T1330:Z1330)</f>
        <v>108.28997</v>
      </c>
      <c r="AB1330" s="61" t="n">
        <f aca="false">AA1330/(1-Resumo!$B$5)</f>
        <v>123.056784090909</v>
      </c>
      <c r="AC1330" s="61" t="n">
        <f aca="false">AB1330-S1330</f>
        <v>16.8068318181818</v>
      </c>
      <c r="AD1330" s="62" t="n">
        <f aca="false">AB1330/S1330-1</f>
        <v>0.158182017579088</v>
      </c>
      <c r="AE1330" s="60" t="str">
        <f aca="false">IF(AB1330&lt;S1330,"SIM","NÃO")</f>
        <v>NÃO</v>
      </c>
      <c r="AF1330" s="60" t="n">
        <v>2</v>
      </c>
      <c r="AG1330" s="60" t="n">
        <v>5</v>
      </c>
      <c r="AH1330" s="60" t="s">
        <v>382</v>
      </c>
      <c r="AI1330" s="61" t="n">
        <f aca="false">(T1330*(1-Painel!$C$40)+U1330+V1330+Painel!$C$41+Painel!$C$42*CEILING(G1330/100,1)+Painel!$C$43*CEILING(G1330,1)+Z1330)/(1-Resumo!$B$5)</f>
        <v>86.0575795454545</v>
      </c>
      <c r="AJ1330" s="60" t="str">
        <f aca="false">IF(AI1330&lt;S1330,"SIM","NÃO")</f>
        <v>SIM</v>
      </c>
    </row>
    <row r="1331" customFormat="false" ht="15" hidden="false" customHeight="false" outlineLevel="0" collapsed="false">
      <c r="A1331" s="59" t="n">
        <v>46256.4431597222</v>
      </c>
      <c r="B1331" s="60" t="s">
        <v>1491</v>
      </c>
      <c r="C1331" s="60" t="n">
        <v>22211230</v>
      </c>
      <c r="D1331" s="60" t="s">
        <v>46</v>
      </c>
      <c r="E1331" s="60" t="s">
        <v>22</v>
      </c>
      <c r="F1331" s="60" t="s">
        <v>236</v>
      </c>
      <c r="G1331" s="60" t="n">
        <v>53.5</v>
      </c>
      <c r="H1331" s="61" t="n">
        <v>579.85</v>
      </c>
      <c r="I1331" s="61" t="n">
        <v>58.6</v>
      </c>
      <c r="J1331" s="61" t="n">
        <f aca="false">H1331*Resumo!$C$6</f>
        <v>0</v>
      </c>
      <c r="K1331" s="61" t="n">
        <f aca="false">H1331*Resumo!$C$7</f>
        <v>1.217685</v>
      </c>
      <c r="L1331" s="61" t="n">
        <f aca="false">H1331*Resumo!$C$8</f>
        <v>1.217685</v>
      </c>
      <c r="M1331" s="61" t="n">
        <f aca="false">Resumo!$C$10*CEILING(G1331/100,1)</f>
        <v>1.05</v>
      </c>
      <c r="N1331" s="61" t="n">
        <f aca="false">Resumo!$C$9</f>
        <v>0</v>
      </c>
      <c r="O1331" s="61" t="n">
        <f aca="false">Resumo!$C$13</f>
        <v>13.55</v>
      </c>
      <c r="P1331" s="61" t="n">
        <f aca="false">Resumo!$C$14*CEILING(G1331,1)</f>
        <v>24.3</v>
      </c>
      <c r="Q1331" s="61" t="n">
        <f aca="false">SUM(I1331:P1331)*Resumo!$C$11</f>
        <v>0</v>
      </c>
      <c r="R1331" s="61" t="n">
        <f aca="false">SUM(I1331:Q1331)</f>
        <v>99.93537</v>
      </c>
      <c r="S1331" s="61" t="n">
        <f aca="false">R1331/(1-Resumo!$C$5)</f>
        <v>113.562920454545</v>
      </c>
      <c r="T1331" s="61" t="n">
        <v>112.3</v>
      </c>
      <c r="U1331" s="61" t="n">
        <f aca="false">H1331*Resumo!$B$6</f>
        <v>0.57985</v>
      </c>
      <c r="V1331" s="61" t="n">
        <f aca="false">H1331*Resumo!$B$7</f>
        <v>1.1597</v>
      </c>
      <c r="W1331" s="61" t="n">
        <f aca="false">Resumo!$B$9</f>
        <v>1</v>
      </c>
      <c r="X1331" s="61" t="n">
        <f aca="false">Resumo!$B$10*CEILING(G1331/100,1)</f>
        <v>4.5</v>
      </c>
      <c r="Y1331" s="61" t="n">
        <f aca="false">Resumo!$B$12*CEILING(G1331,1)</f>
        <v>3.24</v>
      </c>
      <c r="Z1331" s="61" t="n">
        <f aca="false">Resumo!$B$14*CEILING(G1331,1)</f>
        <v>24.3</v>
      </c>
      <c r="AA1331" s="61" t="n">
        <f aca="false">SUM(T1331:Z1331)</f>
        <v>147.07955</v>
      </c>
      <c r="AB1331" s="61" t="n">
        <f aca="false">AA1331/(1-Resumo!$B$5)</f>
        <v>167.135852272727</v>
      </c>
      <c r="AC1331" s="61" t="n">
        <f aca="false">AB1331-S1331</f>
        <v>53.5729318181818</v>
      </c>
      <c r="AD1331" s="62" t="n">
        <f aca="false">AB1331/S1331-1</f>
        <v>0.471746689885673</v>
      </c>
      <c r="AE1331" s="60" t="str">
        <f aca="false">IF(AB1331&lt;S1331,"SIM","NÃO")</f>
        <v>NÃO</v>
      </c>
      <c r="AF1331" s="60" t="n">
        <v>2</v>
      </c>
      <c r="AG1331" s="60" t="n">
        <v>5</v>
      </c>
      <c r="AH1331" s="60" t="s">
        <v>382</v>
      </c>
      <c r="AI1331" s="61" t="n">
        <f aca="false">(T1331*(1-Painel!$C$40)+U1331+V1331+Painel!$C$41+Painel!$C$42*CEILING(G1331/100,1)+Painel!$C$43*CEILING(G1331,1)+Z1331)/(1-Resumo!$B$5)</f>
        <v>117.421079545455</v>
      </c>
      <c r="AJ1331" s="60" t="str">
        <f aca="false">IF(AI1331&lt;S1331,"SIM","NÃO")</f>
        <v>NÃO</v>
      </c>
    </row>
    <row r="1332" customFormat="false" ht="15" hidden="false" customHeight="false" outlineLevel="0" collapsed="false">
      <c r="A1332" s="59" t="n">
        <v>46256.4595486111</v>
      </c>
      <c r="B1332" s="60" t="s">
        <v>1609</v>
      </c>
      <c r="C1332" s="60" t="n">
        <v>22040021</v>
      </c>
      <c r="D1332" s="60" t="s">
        <v>46</v>
      </c>
      <c r="E1332" s="60" t="s">
        <v>22</v>
      </c>
      <c r="F1332" s="60" t="s">
        <v>241</v>
      </c>
      <c r="G1332" s="60" t="n">
        <v>124.2</v>
      </c>
      <c r="H1332" s="61" t="n">
        <v>1526.91</v>
      </c>
      <c r="I1332" s="61" t="n">
        <v>120.59</v>
      </c>
      <c r="J1332" s="61" t="n">
        <f aca="false">H1332*Resumo!$C$6</f>
        <v>0</v>
      </c>
      <c r="K1332" s="61" t="n">
        <f aca="false">H1332*Resumo!$C$7</f>
        <v>3.206511</v>
      </c>
      <c r="L1332" s="61" t="n">
        <f aca="false">H1332*Resumo!$C$8</f>
        <v>3.206511</v>
      </c>
      <c r="M1332" s="61" t="n">
        <f aca="false">Resumo!$C$10*CEILING(G1332/100,1)</f>
        <v>2.1</v>
      </c>
      <c r="N1332" s="61" t="n">
        <f aca="false">Resumo!$C$9</f>
        <v>0</v>
      </c>
      <c r="O1332" s="61" t="n">
        <f aca="false">Resumo!$C$13</f>
        <v>13.55</v>
      </c>
      <c r="P1332" s="61" t="n">
        <f aca="false">Resumo!$C$14*CEILING(G1332,1)</f>
        <v>56.25</v>
      </c>
      <c r="Q1332" s="61" t="n">
        <f aca="false">SUM(I1332:P1332)*Resumo!$C$11</f>
        <v>0</v>
      </c>
      <c r="R1332" s="61" t="n">
        <f aca="false">SUM(I1332:Q1332)</f>
        <v>198.903022</v>
      </c>
      <c r="S1332" s="61" t="n">
        <f aca="false">R1332/(1-Resumo!$C$5)</f>
        <v>226.026161363636</v>
      </c>
      <c r="T1332" s="61" t="n">
        <v>239.25</v>
      </c>
      <c r="U1332" s="61" t="n">
        <f aca="false">H1332*Resumo!$B$6</f>
        <v>1.52691</v>
      </c>
      <c r="V1332" s="61" t="n">
        <f aca="false">H1332*Resumo!$B$7</f>
        <v>3.05382</v>
      </c>
      <c r="W1332" s="61" t="n">
        <f aca="false">Resumo!$B$9</f>
        <v>1</v>
      </c>
      <c r="X1332" s="61" t="n">
        <f aca="false">Resumo!$B$10*CEILING(G1332/100,1)</f>
        <v>9</v>
      </c>
      <c r="Y1332" s="61" t="n">
        <f aca="false">Resumo!$B$12*CEILING(G1332,1)</f>
        <v>7.5</v>
      </c>
      <c r="Z1332" s="61" t="n">
        <f aca="false">Resumo!$B$14*CEILING(G1332,1)</f>
        <v>56.25</v>
      </c>
      <c r="AA1332" s="61" t="n">
        <f aca="false">SUM(T1332:Z1332)</f>
        <v>317.58073</v>
      </c>
      <c r="AB1332" s="61" t="n">
        <f aca="false">AA1332/(1-Resumo!$B$5)</f>
        <v>360.887193181818</v>
      </c>
      <c r="AC1332" s="61" t="n">
        <f aca="false">AB1332-S1332</f>
        <v>134.861031818182</v>
      </c>
      <c r="AD1332" s="62" t="n">
        <f aca="false">AB1332/S1332-1</f>
        <v>0.596661160834449</v>
      </c>
      <c r="AE1332" s="60" t="str">
        <f aca="false">IF(AB1332&lt;S1332,"SIM","NÃO")</f>
        <v>NÃO</v>
      </c>
      <c r="AF1332" s="60" t="n">
        <v>2</v>
      </c>
      <c r="AG1332" s="60" t="n">
        <v>5</v>
      </c>
      <c r="AH1332" s="60" t="s">
        <v>382</v>
      </c>
      <c r="AI1332" s="61" t="n">
        <f aca="false">(T1332*(1-Painel!$C$40)+U1332+V1332+Painel!$C$41+Painel!$C$42*CEILING(G1332/100,1)+Painel!$C$43*CEILING(G1332,1)+Z1332)/(1-Resumo!$B$5)</f>
        <v>254.804806818182</v>
      </c>
      <c r="AJ1332" s="60" t="str">
        <f aca="false">IF(AI1332&lt;S1332,"SIM","NÃO")</f>
        <v>NÃO</v>
      </c>
    </row>
    <row r="1333" customFormat="false" ht="15" hidden="false" customHeight="false" outlineLevel="0" collapsed="false">
      <c r="A1333" s="59" t="n">
        <v>46256.4829513889</v>
      </c>
      <c r="B1333" s="60" t="s">
        <v>1610</v>
      </c>
      <c r="C1333" s="60" t="n">
        <v>27283260</v>
      </c>
      <c r="D1333" s="60" t="s">
        <v>217</v>
      </c>
      <c r="E1333" s="60" t="s">
        <v>24</v>
      </c>
      <c r="F1333" s="60" t="s">
        <v>234</v>
      </c>
      <c r="G1333" s="60" t="n">
        <v>35.3</v>
      </c>
      <c r="H1333" s="61" t="n">
        <v>443.95</v>
      </c>
      <c r="I1333" s="61" t="n">
        <v>74.97</v>
      </c>
      <c r="J1333" s="61" t="n">
        <f aca="false">H1333*Resumo!$C$6</f>
        <v>0</v>
      </c>
      <c r="K1333" s="61" t="n">
        <f aca="false">H1333*Resumo!$C$7</f>
        <v>0.932295</v>
      </c>
      <c r="L1333" s="61" t="n">
        <f aca="false">H1333*Resumo!$C$8</f>
        <v>0.932295</v>
      </c>
      <c r="M1333" s="61" t="n">
        <f aca="false">Resumo!$C$10*CEILING(G1333/100,1)</f>
        <v>1.05</v>
      </c>
      <c r="N1333" s="61" t="n">
        <f aca="false">Resumo!$C$9</f>
        <v>0</v>
      </c>
      <c r="O1333" s="61" t="n">
        <f aca="false">Resumo!$C$13</f>
        <v>13.55</v>
      </c>
      <c r="P1333" s="61" t="n">
        <f aca="false">Resumo!$C$14*CEILING(G1333,1)</f>
        <v>16.2</v>
      </c>
      <c r="Q1333" s="61" t="n">
        <f aca="false">SUM(I1333:P1333)*Resumo!$C$11</f>
        <v>0</v>
      </c>
      <c r="R1333" s="61" t="n">
        <f aca="false">SUM(I1333:Q1333)</f>
        <v>107.63459</v>
      </c>
      <c r="S1333" s="61" t="n">
        <f aca="false">R1333/(1-Resumo!$C$5)</f>
        <v>122.312034090909</v>
      </c>
      <c r="T1333" s="61" t="n">
        <v>124.38</v>
      </c>
      <c r="U1333" s="61" t="n">
        <f aca="false">H1333*Resumo!$B$6</f>
        <v>0.44395</v>
      </c>
      <c r="V1333" s="61" t="n">
        <f aca="false">H1333*Resumo!$B$7</f>
        <v>0.8879</v>
      </c>
      <c r="W1333" s="61" t="n">
        <f aca="false">Resumo!$B$9</f>
        <v>1</v>
      </c>
      <c r="X1333" s="61" t="n">
        <f aca="false">Resumo!$B$10*CEILING(G1333/100,1)</f>
        <v>4.5</v>
      </c>
      <c r="Y1333" s="61" t="n">
        <f aca="false">Resumo!$B$12*CEILING(G1333,1)</f>
        <v>2.16</v>
      </c>
      <c r="Z1333" s="61" t="n">
        <f aca="false">Resumo!$B$14*CEILING(G1333,1)</f>
        <v>16.2</v>
      </c>
      <c r="AA1333" s="61" t="n">
        <f aca="false">SUM(T1333:Z1333)</f>
        <v>149.57185</v>
      </c>
      <c r="AB1333" s="61" t="n">
        <f aca="false">AA1333/(1-Resumo!$B$5)</f>
        <v>169.968011363636</v>
      </c>
      <c r="AC1333" s="61" t="n">
        <f aca="false">AB1333-S1333</f>
        <v>47.6559772727273</v>
      </c>
      <c r="AD1333" s="62" t="n">
        <f aca="false">AB1333/S1333-1</f>
        <v>0.389626234466076</v>
      </c>
      <c r="AE1333" s="60" t="str">
        <f aca="false">IF(AB1333&lt;S1333,"SIM","NÃO")</f>
        <v>NÃO</v>
      </c>
      <c r="AF1333" s="60" t="n">
        <v>13</v>
      </c>
      <c r="AG1333" s="60" t="n">
        <v>10</v>
      </c>
      <c r="AH1333" s="60" t="s">
        <v>382</v>
      </c>
      <c r="AI1333" s="61" t="n">
        <f aca="false">(T1333*(1-Painel!$C$40)+U1333+V1333+Painel!$C$41+Painel!$C$42*CEILING(G1333/100,1)+Painel!$C$43*CEILING(G1333,1)+Z1333)/(1-Resumo!$B$5)</f>
        <v>116.950511363636</v>
      </c>
      <c r="AJ1333" s="60" t="str">
        <f aca="false">IF(AI1333&lt;S1333,"SIM","NÃO")</f>
        <v>SIM</v>
      </c>
    </row>
    <row r="1334" customFormat="false" ht="15" hidden="false" customHeight="false" outlineLevel="0" collapsed="false">
      <c r="A1334" s="59" t="n">
        <v>46256.4954861111</v>
      </c>
      <c r="B1334" s="60" t="s">
        <v>1611</v>
      </c>
      <c r="C1334" s="60" t="n">
        <v>22733510</v>
      </c>
      <c r="D1334" s="60" t="s">
        <v>46</v>
      </c>
      <c r="E1334" s="60" t="s">
        <v>22</v>
      </c>
      <c r="F1334" s="60" t="s">
        <v>234</v>
      </c>
      <c r="G1334" s="60" t="n">
        <v>37.2</v>
      </c>
      <c r="H1334" s="61" t="n">
        <v>433.49</v>
      </c>
      <c r="I1334" s="61" t="n">
        <v>48.35</v>
      </c>
      <c r="J1334" s="61" t="n">
        <f aca="false">H1334*Resumo!$C$6</f>
        <v>0</v>
      </c>
      <c r="K1334" s="61" t="n">
        <f aca="false">H1334*Resumo!$C$7</f>
        <v>0.910329</v>
      </c>
      <c r="L1334" s="61" t="n">
        <f aca="false">H1334*Resumo!$C$8</f>
        <v>0.910329</v>
      </c>
      <c r="M1334" s="61" t="n">
        <f aca="false">Resumo!$C$10*CEILING(G1334/100,1)</f>
        <v>1.05</v>
      </c>
      <c r="N1334" s="61" t="n">
        <f aca="false">Resumo!$C$9</f>
        <v>0</v>
      </c>
      <c r="O1334" s="61" t="n">
        <f aca="false">Resumo!$C$13</f>
        <v>13.55</v>
      </c>
      <c r="P1334" s="61" t="n">
        <f aca="false">Resumo!$C$14*CEILING(G1334,1)</f>
        <v>17.1</v>
      </c>
      <c r="Q1334" s="61" t="n">
        <f aca="false">SUM(I1334:P1334)*Resumo!$C$11</f>
        <v>0</v>
      </c>
      <c r="R1334" s="61" t="n">
        <f aca="false">SUM(I1334:Q1334)</f>
        <v>81.870658</v>
      </c>
      <c r="S1334" s="61" t="n">
        <f aca="false">R1334/(1-Resumo!$C$5)</f>
        <v>93.0348386363636</v>
      </c>
      <c r="T1334" s="61" t="n">
        <v>93.97</v>
      </c>
      <c r="U1334" s="61" t="n">
        <f aca="false">H1334*Resumo!$B$6</f>
        <v>0.43349</v>
      </c>
      <c r="V1334" s="61" t="n">
        <f aca="false">H1334*Resumo!$B$7</f>
        <v>0.86698</v>
      </c>
      <c r="W1334" s="61" t="n">
        <f aca="false">Resumo!$B$9</f>
        <v>1</v>
      </c>
      <c r="X1334" s="61" t="n">
        <f aca="false">Resumo!$B$10*CEILING(G1334/100,1)</f>
        <v>4.5</v>
      </c>
      <c r="Y1334" s="61" t="n">
        <f aca="false">Resumo!$B$12*CEILING(G1334,1)</f>
        <v>2.28</v>
      </c>
      <c r="Z1334" s="61" t="n">
        <f aca="false">Resumo!$B$14*CEILING(G1334,1)</f>
        <v>17.1</v>
      </c>
      <c r="AA1334" s="61" t="n">
        <f aca="false">SUM(T1334:Z1334)</f>
        <v>120.15047</v>
      </c>
      <c r="AB1334" s="61" t="n">
        <f aca="false">AA1334/(1-Resumo!$B$5)</f>
        <v>136.534625</v>
      </c>
      <c r="AC1334" s="61" t="n">
        <f aca="false">AB1334-S1334</f>
        <v>43.4997863636364</v>
      </c>
      <c r="AD1334" s="62" t="n">
        <f aca="false">AB1334/S1334-1</f>
        <v>0.467564484457912</v>
      </c>
      <c r="AE1334" s="60" t="str">
        <f aca="false">IF(AB1334&lt;S1334,"SIM","NÃO")</f>
        <v>NÃO</v>
      </c>
      <c r="AF1334" s="60" t="n">
        <v>2</v>
      </c>
      <c r="AG1334" s="60" t="n">
        <v>5</v>
      </c>
      <c r="AH1334" s="60" t="s">
        <v>382</v>
      </c>
      <c r="AI1334" s="61" t="n">
        <f aca="false">(T1334*(1-Painel!$C$40)+U1334+V1334+Painel!$C$41+Painel!$C$42*CEILING(G1334/100,1)+Painel!$C$43*CEILING(G1334,1)+Z1334)/(1-Resumo!$B$5)</f>
        <v>94.7845113636364</v>
      </c>
      <c r="AJ1334" s="60" t="str">
        <f aca="false">IF(AI1334&lt;S1334,"SIM","NÃO")</f>
        <v>NÃO</v>
      </c>
    </row>
    <row r="1335" customFormat="false" ht="15" hidden="false" customHeight="false" outlineLevel="0" collapsed="false">
      <c r="A1335" s="59" t="n">
        <v>46256.5102546296</v>
      </c>
      <c r="B1335" s="60" t="s">
        <v>424</v>
      </c>
      <c r="C1335" s="60" t="n">
        <v>22753031</v>
      </c>
      <c r="D1335" s="60" t="s">
        <v>46</v>
      </c>
      <c r="E1335" s="60" t="s">
        <v>22</v>
      </c>
      <c r="F1335" s="60" t="s">
        <v>233</v>
      </c>
      <c r="G1335" s="60" t="n">
        <v>27</v>
      </c>
      <c r="H1335" s="61" t="n">
        <v>329.99</v>
      </c>
      <c r="I1335" s="61" t="n">
        <v>42.11</v>
      </c>
      <c r="J1335" s="61" t="n">
        <f aca="false">H1335*Resumo!$C$6</f>
        <v>0</v>
      </c>
      <c r="K1335" s="61" t="n">
        <f aca="false">H1335*Resumo!$C$7</f>
        <v>0.692979</v>
      </c>
      <c r="L1335" s="61" t="n">
        <f aca="false">H1335*Resumo!$C$8</f>
        <v>0.692979</v>
      </c>
      <c r="M1335" s="61" t="n">
        <f aca="false">Resumo!$C$10*CEILING(G1335/100,1)</f>
        <v>1.05</v>
      </c>
      <c r="N1335" s="61" t="n">
        <f aca="false">Resumo!$C$9</f>
        <v>0</v>
      </c>
      <c r="O1335" s="61" t="n">
        <f aca="false">Resumo!$C$13</f>
        <v>13.55</v>
      </c>
      <c r="P1335" s="61" t="n">
        <f aca="false">Resumo!$C$14*CEILING(G1335,1)</f>
        <v>12.15</v>
      </c>
      <c r="Q1335" s="61" t="n">
        <f aca="false">SUM(I1335:P1335)*Resumo!$C$11</f>
        <v>0</v>
      </c>
      <c r="R1335" s="61" t="n">
        <f aca="false">SUM(I1335:Q1335)</f>
        <v>70.245958</v>
      </c>
      <c r="S1335" s="61" t="n">
        <f aca="false">R1335/(1-Resumo!$C$5)</f>
        <v>79.8249522727273</v>
      </c>
      <c r="T1335" s="61" t="n">
        <v>82.21</v>
      </c>
      <c r="U1335" s="61" t="n">
        <f aca="false">H1335*Resumo!$B$6</f>
        <v>0.32999</v>
      </c>
      <c r="V1335" s="61" t="n">
        <f aca="false">H1335*Resumo!$B$7</f>
        <v>0.65998</v>
      </c>
      <c r="W1335" s="61" t="n">
        <f aca="false">Resumo!$B$9</f>
        <v>1</v>
      </c>
      <c r="X1335" s="61" t="n">
        <f aca="false">Resumo!$B$10*CEILING(G1335/100,1)</f>
        <v>4.5</v>
      </c>
      <c r="Y1335" s="61" t="n">
        <f aca="false">Resumo!$B$12*CEILING(G1335,1)</f>
        <v>1.62</v>
      </c>
      <c r="Z1335" s="61" t="n">
        <f aca="false">Resumo!$B$14*CEILING(G1335,1)</f>
        <v>12.15</v>
      </c>
      <c r="AA1335" s="61" t="n">
        <f aca="false">SUM(T1335:Z1335)</f>
        <v>102.46997</v>
      </c>
      <c r="AB1335" s="61" t="n">
        <f aca="false">AA1335/(1-Resumo!$B$5)</f>
        <v>116.443147727273</v>
      </c>
      <c r="AC1335" s="61" t="n">
        <f aca="false">AB1335-S1335</f>
        <v>36.6181954545455</v>
      </c>
      <c r="AD1335" s="62" t="n">
        <f aca="false">AB1335/S1335-1</f>
        <v>0.458731191337728</v>
      </c>
      <c r="AE1335" s="60" t="str">
        <f aca="false">IF(AB1335&lt;S1335,"SIM","NÃO")</f>
        <v>NÃO</v>
      </c>
      <c r="AF1335" s="60" t="n">
        <v>2</v>
      </c>
      <c r="AG1335" s="60" t="n">
        <v>5</v>
      </c>
      <c r="AH1335" s="60" t="s">
        <v>382</v>
      </c>
      <c r="AI1335" s="61" t="n">
        <f aca="false">(T1335*(1-Painel!$C$40)+U1335+V1335+Painel!$C$41+Painel!$C$42*CEILING(G1335/100,1)+Painel!$C$43*CEILING(G1335,1)+Z1335)/(1-Resumo!$B$5)</f>
        <v>79.8530340909091</v>
      </c>
      <c r="AJ1335" s="60" t="str">
        <f aca="false">IF(AI1335&lt;S1335,"SIM","NÃO")</f>
        <v>NÃO</v>
      </c>
    </row>
    <row r="1336" customFormat="false" ht="15" hidden="false" customHeight="false" outlineLevel="0" collapsed="false">
      <c r="A1336" s="59" t="n">
        <v>46256.5102546296</v>
      </c>
      <c r="B1336" s="60" t="s">
        <v>424</v>
      </c>
      <c r="C1336" s="60" t="n">
        <v>22753031</v>
      </c>
      <c r="D1336" s="60" t="s">
        <v>46</v>
      </c>
      <c r="E1336" s="60" t="s">
        <v>22</v>
      </c>
      <c r="F1336" s="60" t="s">
        <v>233</v>
      </c>
      <c r="G1336" s="60" t="n">
        <v>27.5</v>
      </c>
      <c r="H1336" s="61" t="n">
        <v>369.99</v>
      </c>
      <c r="I1336" s="61" t="n">
        <v>42.11</v>
      </c>
      <c r="J1336" s="61" t="n">
        <f aca="false">H1336*Resumo!$C$6</f>
        <v>0</v>
      </c>
      <c r="K1336" s="61" t="n">
        <f aca="false">H1336*Resumo!$C$7</f>
        <v>0.776979</v>
      </c>
      <c r="L1336" s="61" t="n">
        <f aca="false">H1336*Resumo!$C$8</f>
        <v>0.776979</v>
      </c>
      <c r="M1336" s="61" t="n">
        <f aca="false">Resumo!$C$10*CEILING(G1336/100,1)</f>
        <v>1.05</v>
      </c>
      <c r="N1336" s="61" t="n">
        <f aca="false">Resumo!$C$9</f>
        <v>0</v>
      </c>
      <c r="O1336" s="61" t="n">
        <f aca="false">Resumo!$C$13</f>
        <v>13.55</v>
      </c>
      <c r="P1336" s="61" t="n">
        <f aca="false">Resumo!$C$14*CEILING(G1336,1)</f>
        <v>12.6</v>
      </c>
      <c r="Q1336" s="61" t="n">
        <f aca="false">SUM(I1336:P1336)*Resumo!$C$11</f>
        <v>0</v>
      </c>
      <c r="R1336" s="61" t="n">
        <f aca="false">SUM(I1336:Q1336)</f>
        <v>70.863958</v>
      </c>
      <c r="S1336" s="61" t="n">
        <f aca="false">R1336/(1-Resumo!$C$5)</f>
        <v>80.527225</v>
      </c>
      <c r="T1336" s="61" t="n">
        <v>82.21</v>
      </c>
      <c r="U1336" s="61" t="n">
        <f aca="false">H1336*Resumo!$B$6</f>
        <v>0.36999</v>
      </c>
      <c r="V1336" s="61" t="n">
        <f aca="false">H1336*Resumo!$B$7</f>
        <v>0.73998</v>
      </c>
      <c r="W1336" s="61" t="n">
        <f aca="false">Resumo!$B$9</f>
        <v>1</v>
      </c>
      <c r="X1336" s="61" t="n">
        <f aca="false">Resumo!$B$10*CEILING(G1336/100,1)</f>
        <v>4.5</v>
      </c>
      <c r="Y1336" s="61" t="n">
        <f aca="false">Resumo!$B$12*CEILING(G1336,1)</f>
        <v>1.68</v>
      </c>
      <c r="Z1336" s="61" t="n">
        <f aca="false">Resumo!$B$14*CEILING(G1336,1)</f>
        <v>12.6</v>
      </c>
      <c r="AA1336" s="61" t="n">
        <f aca="false">SUM(T1336:Z1336)</f>
        <v>103.09997</v>
      </c>
      <c r="AB1336" s="61" t="n">
        <f aca="false">AA1336/(1-Resumo!$B$5)</f>
        <v>117.159056818182</v>
      </c>
      <c r="AC1336" s="61" t="n">
        <f aca="false">AB1336-S1336</f>
        <v>36.6318318181818</v>
      </c>
      <c r="AD1336" s="62" t="n">
        <f aca="false">AB1336/S1336-1</f>
        <v>0.454899964802982</v>
      </c>
      <c r="AE1336" s="60" t="str">
        <f aca="false">IF(AB1336&lt;S1336,"SIM","NÃO")</f>
        <v>NÃO</v>
      </c>
      <c r="AF1336" s="60" t="n">
        <v>2</v>
      </c>
      <c r="AG1336" s="60" t="n">
        <v>5</v>
      </c>
      <c r="AH1336" s="60" t="s">
        <v>382</v>
      </c>
      <c r="AI1336" s="61" t="n">
        <f aca="false">(T1336*(1-Painel!$C$40)+U1336+V1336+Painel!$C$41+Painel!$C$42*CEILING(G1336/100,1)+Painel!$C$43*CEILING(G1336,1)+Z1336)/(1-Resumo!$B$5)</f>
        <v>80.5007613636364</v>
      </c>
      <c r="AJ1336" s="60" t="str">
        <f aca="false">IF(AI1336&lt;S1336,"SIM","NÃO")</f>
        <v>SIM</v>
      </c>
    </row>
    <row r="1337" customFormat="false" ht="15" hidden="false" customHeight="false" outlineLevel="0" collapsed="false">
      <c r="A1337" s="59" t="n">
        <v>46256.5217013889</v>
      </c>
      <c r="B1337" s="60" t="s">
        <v>1612</v>
      </c>
      <c r="C1337" s="60" t="n">
        <v>20770270</v>
      </c>
      <c r="D1337" s="60" t="s">
        <v>46</v>
      </c>
      <c r="E1337" s="60" t="s">
        <v>22</v>
      </c>
      <c r="F1337" s="60" t="s">
        <v>236</v>
      </c>
      <c r="G1337" s="60" t="n">
        <v>52.3</v>
      </c>
      <c r="H1337" s="61" t="n">
        <v>719.99</v>
      </c>
      <c r="I1337" s="61" t="n">
        <v>58.6</v>
      </c>
      <c r="J1337" s="61" t="n">
        <f aca="false">H1337*Resumo!$C$6</f>
        <v>0</v>
      </c>
      <c r="K1337" s="61" t="n">
        <f aca="false">H1337*Resumo!$C$7</f>
        <v>1.511979</v>
      </c>
      <c r="L1337" s="61" t="n">
        <f aca="false">H1337*Resumo!$C$8</f>
        <v>1.511979</v>
      </c>
      <c r="M1337" s="61" t="n">
        <f aca="false">Resumo!$C$10*CEILING(G1337/100,1)</f>
        <v>1.05</v>
      </c>
      <c r="N1337" s="61" t="n">
        <f aca="false">Resumo!$C$9</f>
        <v>0</v>
      </c>
      <c r="O1337" s="61" t="n">
        <f aca="false">Resumo!$C$13</f>
        <v>13.55</v>
      </c>
      <c r="P1337" s="61" t="n">
        <f aca="false">Resumo!$C$14*CEILING(G1337,1)</f>
        <v>23.85</v>
      </c>
      <c r="Q1337" s="61" t="n">
        <f aca="false">SUM(I1337:P1337)*Resumo!$C$11</f>
        <v>0</v>
      </c>
      <c r="R1337" s="61" t="n">
        <f aca="false">SUM(I1337:Q1337)</f>
        <v>100.073958</v>
      </c>
      <c r="S1337" s="61" t="n">
        <f aca="false">R1337/(1-Resumo!$C$5)</f>
        <v>113.720406818182</v>
      </c>
      <c r="T1337" s="61" t="n">
        <v>112.3</v>
      </c>
      <c r="U1337" s="61" t="n">
        <f aca="false">H1337*Resumo!$B$6</f>
        <v>0.71999</v>
      </c>
      <c r="V1337" s="61" t="n">
        <f aca="false">H1337*Resumo!$B$7</f>
        <v>1.43998</v>
      </c>
      <c r="W1337" s="61" t="n">
        <f aca="false">Resumo!$B$9</f>
        <v>1</v>
      </c>
      <c r="X1337" s="61" t="n">
        <f aca="false">Resumo!$B$10*CEILING(G1337/100,1)</f>
        <v>4.5</v>
      </c>
      <c r="Y1337" s="61" t="n">
        <f aca="false">Resumo!$B$12*CEILING(G1337,1)</f>
        <v>3.18</v>
      </c>
      <c r="Z1337" s="61" t="n">
        <f aca="false">Resumo!$B$14*CEILING(G1337,1)</f>
        <v>23.85</v>
      </c>
      <c r="AA1337" s="61" t="n">
        <f aca="false">SUM(T1337:Z1337)</f>
        <v>146.98997</v>
      </c>
      <c r="AB1337" s="61" t="n">
        <f aca="false">AA1337/(1-Resumo!$B$5)</f>
        <v>167.034056818182</v>
      </c>
      <c r="AC1337" s="61" t="n">
        <f aca="false">AB1337-S1337</f>
        <v>53.31365</v>
      </c>
      <c r="AD1337" s="62" t="n">
        <f aca="false">AB1337/S1337-1</f>
        <v>0.468813394989334</v>
      </c>
      <c r="AE1337" s="60" t="str">
        <f aca="false">IF(AB1337&lt;S1337,"SIM","NÃO")</f>
        <v>NÃO</v>
      </c>
      <c r="AF1337" s="60" t="n">
        <v>2</v>
      </c>
      <c r="AG1337" s="60" t="n">
        <v>5</v>
      </c>
      <c r="AH1337" s="60" t="s">
        <v>382</v>
      </c>
      <c r="AI1337" s="61" t="n">
        <f aca="false">(T1337*(1-Painel!$C$40)+U1337+V1337+Painel!$C$41+Painel!$C$42*CEILING(G1337/100,1)+Painel!$C$43*CEILING(G1337,1)+Z1337)/(1-Resumo!$B$5)</f>
        <v>117.387465909091</v>
      </c>
      <c r="AJ1337" s="60" t="str">
        <f aca="false">IF(AI1337&lt;S1337,"SIM","NÃO")</f>
        <v>NÃO</v>
      </c>
    </row>
    <row r="1338" customFormat="false" ht="15" hidden="false" customHeight="false" outlineLevel="0" collapsed="false">
      <c r="A1338" s="59" t="n">
        <v>46256.5555787037</v>
      </c>
      <c r="B1338" s="60" t="s">
        <v>1613</v>
      </c>
      <c r="C1338" s="60" t="n">
        <v>23097604</v>
      </c>
      <c r="D1338" s="60" t="s">
        <v>46</v>
      </c>
      <c r="E1338" s="60" t="s">
        <v>22</v>
      </c>
      <c r="F1338" s="60" t="s">
        <v>237</v>
      </c>
      <c r="G1338" s="60" t="n">
        <v>66.8</v>
      </c>
      <c r="H1338" s="61" t="n">
        <v>699.99</v>
      </c>
      <c r="I1338" s="61" t="n">
        <v>63.21</v>
      </c>
      <c r="J1338" s="61" t="n">
        <f aca="false">H1338*Resumo!$C$6</f>
        <v>0</v>
      </c>
      <c r="K1338" s="61" t="n">
        <f aca="false">H1338*Resumo!$C$7</f>
        <v>1.469979</v>
      </c>
      <c r="L1338" s="61" t="n">
        <f aca="false">H1338*Resumo!$C$8</f>
        <v>1.469979</v>
      </c>
      <c r="M1338" s="61" t="n">
        <f aca="false">Resumo!$C$10*CEILING(G1338/100,1)</f>
        <v>1.05</v>
      </c>
      <c r="N1338" s="61" t="n">
        <f aca="false">Resumo!$C$9</f>
        <v>0</v>
      </c>
      <c r="O1338" s="61" t="n">
        <f aca="false">Resumo!$C$13</f>
        <v>13.55</v>
      </c>
      <c r="P1338" s="61" t="n">
        <f aca="false">Resumo!$C$14*CEILING(G1338,1)</f>
        <v>30.15</v>
      </c>
      <c r="Q1338" s="61" t="n">
        <f aca="false">SUM(I1338:P1338)*Resumo!$C$11</f>
        <v>0</v>
      </c>
      <c r="R1338" s="61" t="n">
        <f aca="false">SUM(I1338:Q1338)</f>
        <v>110.899958</v>
      </c>
      <c r="S1338" s="61" t="n">
        <f aca="false">R1338/(1-Resumo!$C$5)</f>
        <v>126.022679545455</v>
      </c>
      <c r="T1338" s="61" t="n">
        <v>131.02</v>
      </c>
      <c r="U1338" s="61" t="n">
        <f aca="false">H1338*Resumo!$B$6</f>
        <v>0.69999</v>
      </c>
      <c r="V1338" s="61" t="n">
        <f aca="false">H1338*Resumo!$B$7</f>
        <v>1.39998</v>
      </c>
      <c r="W1338" s="61" t="n">
        <f aca="false">Resumo!$B$9</f>
        <v>1</v>
      </c>
      <c r="X1338" s="61" t="n">
        <f aca="false">Resumo!$B$10*CEILING(G1338/100,1)</f>
        <v>4.5</v>
      </c>
      <c r="Y1338" s="61" t="n">
        <f aca="false">Resumo!$B$12*CEILING(G1338,1)</f>
        <v>4.02</v>
      </c>
      <c r="Z1338" s="61" t="n">
        <f aca="false">Resumo!$B$14*CEILING(G1338,1)</f>
        <v>30.15</v>
      </c>
      <c r="AA1338" s="61" t="n">
        <f aca="false">SUM(T1338:Z1338)</f>
        <v>172.78997</v>
      </c>
      <c r="AB1338" s="61" t="n">
        <f aca="false">AA1338/(1-Resumo!$B$5)</f>
        <v>196.352238636364</v>
      </c>
      <c r="AC1338" s="61" t="n">
        <f aca="false">AB1338-S1338</f>
        <v>70.3295590909091</v>
      </c>
      <c r="AD1338" s="62" t="n">
        <f aca="false">AB1338/S1338-1</f>
        <v>0.558070653191771</v>
      </c>
      <c r="AE1338" s="60" t="str">
        <f aca="false">IF(AB1338&lt;S1338,"SIM","NÃO")</f>
        <v>NÃO</v>
      </c>
      <c r="AF1338" s="60" t="n">
        <v>2</v>
      </c>
      <c r="AG1338" s="60" t="n">
        <v>5</v>
      </c>
      <c r="AH1338" s="60" t="s">
        <v>382</v>
      </c>
      <c r="AI1338" s="61" t="n">
        <f aca="false">(T1338*(1-Painel!$C$40)+U1338+V1338+Painel!$C$41+Painel!$C$42*CEILING(G1338/100,1)+Painel!$C$43*CEILING(G1338,1)+Z1338)/(1-Resumo!$B$5)</f>
        <v>138.731102272727</v>
      </c>
      <c r="AJ1338" s="60" t="str">
        <f aca="false">IF(AI1338&lt;S1338,"SIM","NÃO")</f>
        <v>NÃO</v>
      </c>
    </row>
    <row r="1339" customFormat="false" ht="15" hidden="false" customHeight="false" outlineLevel="0" collapsed="false">
      <c r="A1339" s="59" t="n">
        <v>46256.5581597222</v>
      </c>
      <c r="B1339" s="60" t="s">
        <v>1614</v>
      </c>
      <c r="C1339" s="60" t="n">
        <v>26280310</v>
      </c>
      <c r="D1339" s="60" t="s">
        <v>49</v>
      </c>
      <c r="E1339" s="60" t="s">
        <v>23</v>
      </c>
      <c r="F1339" s="60" t="s">
        <v>236</v>
      </c>
      <c r="G1339" s="60" t="n">
        <v>52.3</v>
      </c>
      <c r="H1339" s="61" t="n">
        <v>669.99</v>
      </c>
      <c r="I1339" s="61" t="n">
        <v>70.98</v>
      </c>
      <c r="J1339" s="61" t="n">
        <f aca="false">H1339*Resumo!$C$6</f>
        <v>0</v>
      </c>
      <c r="K1339" s="61" t="n">
        <f aca="false">H1339*Resumo!$C$7</f>
        <v>1.406979</v>
      </c>
      <c r="L1339" s="61" t="n">
        <f aca="false">H1339*Resumo!$C$8</f>
        <v>1.406979</v>
      </c>
      <c r="M1339" s="61" t="n">
        <f aca="false">Resumo!$C$10*CEILING(G1339/100,1)</f>
        <v>1.05</v>
      </c>
      <c r="N1339" s="61" t="n">
        <f aca="false">Resumo!$C$9</f>
        <v>0</v>
      </c>
      <c r="O1339" s="61" t="n">
        <f aca="false">Resumo!$C$13</f>
        <v>13.55</v>
      </c>
      <c r="P1339" s="61" t="n">
        <f aca="false">Resumo!$C$14*CEILING(G1339,1)</f>
        <v>23.85</v>
      </c>
      <c r="Q1339" s="61" t="n">
        <f aca="false">SUM(I1339:P1339)*Resumo!$C$11</f>
        <v>0</v>
      </c>
      <c r="R1339" s="61" t="n">
        <f aca="false">SUM(I1339:Q1339)</f>
        <v>112.243958</v>
      </c>
      <c r="S1339" s="61" t="n">
        <f aca="false">R1339/(1-Resumo!$C$5)</f>
        <v>127.549952272727</v>
      </c>
      <c r="T1339" s="61" t="n">
        <v>112.3</v>
      </c>
      <c r="U1339" s="61" t="n">
        <f aca="false">H1339*Resumo!$B$6</f>
        <v>0.66999</v>
      </c>
      <c r="V1339" s="61" t="n">
        <f aca="false">H1339*Resumo!$B$7</f>
        <v>1.33998</v>
      </c>
      <c r="W1339" s="61" t="n">
        <f aca="false">Resumo!$B$9</f>
        <v>1</v>
      </c>
      <c r="X1339" s="61" t="n">
        <f aca="false">Resumo!$B$10*CEILING(G1339/100,1)</f>
        <v>4.5</v>
      </c>
      <c r="Y1339" s="61" t="n">
        <f aca="false">Resumo!$B$12*CEILING(G1339,1)</f>
        <v>3.18</v>
      </c>
      <c r="Z1339" s="61" t="n">
        <f aca="false">Resumo!$B$14*CEILING(G1339,1)</f>
        <v>23.85</v>
      </c>
      <c r="AA1339" s="61" t="n">
        <f aca="false">SUM(T1339:Z1339)</f>
        <v>146.83997</v>
      </c>
      <c r="AB1339" s="61" t="n">
        <f aca="false">AA1339/(1-Resumo!$B$5)</f>
        <v>166.863602272727</v>
      </c>
      <c r="AC1339" s="61" t="n">
        <f aca="false">AB1339-S1339</f>
        <v>39.31365</v>
      </c>
      <c r="AD1339" s="62" t="n">
        <f aca="false">AB1339/S1339-1</f>
        <v>0.308221597103694</v>
      </c>
      <c r="AE1339" s="60" t="str">
        <f aca="false">IF(AB1339&lt;S1339,"SIM","NÃO")</f>
        <v>NÃO</v>
      </c>
      <c r="AF1339" s="60" t="n">
        <v>2</v>
      </c>
      <c r="AG1339" s="60" t="n">
        <v>5</v>
      </c>
      <c r="AH1339" s="60" t="s">
        <v>382</v>
      </c>
      <c r="AI1339" s="61" t="n">
        <f aca="false">(T1339*(1-Painel!$C$40)+U1339+V1339+Painel!$C$41+Painel!$C$42*CEILING(G1339/100,1)+Painel!$C$43*CEILING(G1339,1)+Z1339)/(1-Resumo!$B$5)</f>
        <v>117.217011363636</v>
      </c>
      <c r="AJ1339" s="60" t="str">
        <f aca="false">IF(AI1339&lt;S1339,"SIM","NÃO")</f>
        <v>SIM</v>
      </c>
    </row>
    <row r="1340" customFormat="false" ht="15" hidden="false" customHeight="false" outlineLevel="0" collapsed="false">
      <c r="A1340" s="59" t="n">
        <v>46256.5584143519</v>
      </c>
      <c r="B1340" s="60" t="s">
        <v>1615</v>
      </c>
      <c r="C1340" s="60" t="n">
        <v>27410180</v>
      </c>
      <c r="D1340" s="60" t="s">
        <v>294</v>
      </c>
      <c r="E1340" s="60" t="s">
        <v>24</v>
      </c>
      <c r="F1340" s="60" t="s">
        <v>239</v>
      </c>
      <c r="G1340" s="60" t="n">
        <v>81.7</v>
      </c>
      <c r="H1340" s="61" t="n">
        <v>692.99</v>
      </c>
      <c r="I1340" s="61" t="n">
        <v>109.63</v>
      </c>
      <c r="J1340" s="61" t="n">
        <f aca="false">H1340*Resumo!$C$6</f>
        <v>0</v>
      </c>
      <c r="K1340" s="61" t="n">
        <f aca="false">H1340*Resumo!$C$7</f>
        <v>1.455279</v>
      </c>
      <c r="L1340" s="61" t="n">
        <f aca="false">H1340*Resumo!$C$8</f>
        <v>1.455279</v>
      </c>
      <c r="M1340" s="61" t="n">
        <f aca="false">Resumo!$C$10*CEILING(G1340/100,1)</f>
        <v>1.05</v>
      </c>
      <c r="N1340" s="61" t="n">
        <f aca="false">Resumo!$C$9</f>
        <v>0</v>
      </c>
      <c r="O1340" s="61" t="n">
        <f aca="false">Resumo!$C$13</f>
        <v>13.55</v>
      </c>
      <c r="P1340" s="61" t="n">
        <f aca="false">Resumo!$C$14*CEILING(G1340,1)</f>
        <v>36.9</v>
      </c>
      <c r="Q1340" s="61" t="n">
        <f aca="false">SUM(I1340:P1340)*Resumo!$C$11</f>
        <v>0</v>
      </c>
      <c r="R1340" s="61" t="n">
        <f aca="false">SUM(I1340:Q1340)</f>
        <v>164.040558</v>
      </c>
      <c r="S1340" s="61" t="n">
        <f aca="false">R1340/(1-Resumo!$C$5)</f>
        <v>186.409725</v>
      </c>
      <c r="T1340" s="61" t="n">
        <v>197.35</v>
      </c>
      <c r="U1340" s="61" t="n">
        <f aca="false">H1340*Resumo!$B$6</f>
        <v>0.69299</v>
      </c>
      <c r="V1340" s="61" t="n">
        <f aca="false">H1340*Resumo!$B$7</f>
        <v>1.38598</v>
      </c>
      <c r="W1340" s="61" t="n">
        <f aca="false">Resumo!$B$9</f>
        <v>1</v>
      </c>
      <c r="X1340" s="61" t="n">
        <f aca="false">Resumo!$B$10*CEILING(G1340/100,1)</f>
        <v>4.5</v>
      </c>
      <c r="Y1340" s="61" t="n">
        <f aca="false">Resumo!$B$12*CEILING(G1340,1)</f>
        <v>4.92</v>
      </c>
      <c r="Z1340" s="61" t="n">
        <f aca="false">Resumo!$B$14*CEILING(G1340,1)</f>
        <v>36.9</v>
      </c>
      <c r="AA1340" s="61" t="n">
        <f aca="false">SUM(T1340:Z1340)</f>
        <v>246.74897</v>
      </c>
      <c r="AB1340" s="61" t="n">
        <f aca="false">AA1340/(1-Resumo!$B$5)</f>
        <v>280.396556818182</v>
      </c>
      <c r="AC1340" s="61" t="n">
        <f aca="false">AB1340-S1340</f>
        <v>93.9868318181818</v>
      </c>
      <c r="AD1340" s="62" t="n">
        <f aca="false">AB1340/S1340-1</f>
        <v>0.504194895508707</v>
      </c>
      <c r="AE1340" s="60" t="str">
        <f aca="false">IF(AB1340&lt;S1340,"SIM","NÃO")</f>
        <v>NÃO</v>
      </c>
      <c r="AF1340" s="60" t="n">
        <v>13</v>
      </c>
      <c r="AG1340" s="60" t="n">
        <v>10</v>
      </c>
      <c r="AH1340" s="60" t="s">
        <v>385</v>
      </c>
      <c r="AI1340" s="61" t="n">
        <f aca="false">(T1340*(1-Painel!$C$40)+U1340+V1340+Painel!$C$41+Painel!$C$42*CEILING(G1340/100,1)+Painel!$C$43*CEILING(G1340,1)+Z1340)/(1-Resumo!$B$5)</f>
        <v>196.878943181818</v>
      </c>
      <c r="AJ1340" s="60" t="str">
        <f aca="false">IF(AI1340&lt;S1340,"SIM","NÃO")</f>
        <v>NÃO</v>
      </c>
    </row>
    <row r="1341" customFormat="false" ht="15" hidden="false" customHeight="false" outlineLevel="0" collapsed="false">
      <c r="A1341" s="59" t="n">
        <v>46256.5750925926</v>
      </c>
      <c r="B1341" s="60" t="s">
        <v>1616</v>
      </c>
      <c r="C1341" s="60" t="n">
        <v>21843154</v>
      </c>
      <c r="D1341" s="60" t="s">
        <v>46</v>
      </c>
      <c r="E1341" s="60" t="s">
        <v>22</v>
      </c>
      <c r="F1341" s="60" t="s">
        <v>237</v>
      </c>
      <c r="G1341" s="60" t="n">
        <v>66.8</v>
      </c>
      <c r="H1341" s="61" t="n">
        <v>699.99</v>
      </c>
      <c r="I1341" s="61" t="n">
        <v>63.21</v>
      </c>
      <c r="J1341" s="61" t="n">
        <f aca="false">H1341*Resumo!$C$6</f>
        <v>0</v>
      </c>
      <c r="K1341" s="61" t="n">
        <f aca="false">H1341*Resumo!$C$7</f>
        <v>1.469979</v>
      </c>
      <c r="L1341" s="61" t="n">
        <f aca="false">H1341*Resumo!$C$8</f>
        <v>1.469979</v>
      </c>
      <c r="M1341" s="61" t="n">
        <f aca="false">Resumo!$C$10*CEILING(G1341/100,1)</f>
        <v>1.05</v>
      </c>
      <c r="N1341" s="61" t="n">
        <f aca="false">Resumo!$C$9</f>
        <v>0</v>
      </c>
      <c r="O1341" s="61" t="n">
        <f aca="false">Resumo!$C$13</f>
        <v>13.55</v>
      </c>
      <c r="P1341" s="61" t="n">
        <f aca="false">Resumo!$C$14*CEILING(G1341,1)</f>
        <v>30.15</v>
      </c>
      <c r="Q1341" s="61" t="n">
        <f aca="false">SUM(I1341:P1341)*Resumo!$C$11</f>
        <v>0</v>
      </c>
      <c r="R1341" s="61" t="n">
        <f aca="false">SUM(I1341:Q1341)</f>
        <v>110.899958</v>
      </c>
      <c r="S1341" s="61" t="n">
        <f aca="false">R1341/(1-Resumo!$C$5)</f>
        <v>126.022679545455</v>
      </c>
      <c r="T1341" s="61" t="n">
        <v>131.02</v>
      </c>
      <c r="U1341" s="61" t="n">
        <f aca="false">H1341*Resumo!$B$6</f>
        <v>0.69999</v>
      </c>
      <c r="V1341" s="61" t="n">
        <f aca="false">H1341*Resumo!$B$7</f>
        <v>1.39998</v>
      </c>
      <c r="W1341" s="61" t="n">
        <f aca="false">Resumo!$B$9</f>
        <v>1</v>
      </c>
      <c r="X1341" s="61" t="n">
        <f aca="false">Resumo!$B$10*CEILING(G1341/100,1)</f>
        <v>4.5</v>
      </c>
      <c r="Y1341" s="61" t="n">
        <f aca="false">Resumo!$B$12*CEILING(G1341,1)</f>
        <v>4.02</v>
      </c>
      <c r="Z1341" s="61" t="n">
        <f aca="false">Resumo!$B$14*CEILING(G1341,1)</f>
        <v>30.15</v>
      </c>
      <c r="AA1341" s="61" t="n">
        <f aca="false">SUM(T1341:Z1341)</f>
        <v>172.78997</v>
      </c>
      <c r="AB1341" s="61" t="n">
        <f aca="false">AA1341/(1-Resumo!$B$5)</f>
        <v>196.352238636364</v>
      </c>
      <c r="AC1341" s="61" t="n">
        <f aca="false">AB1341-S1341</f>
        <v>70.3295590909091</v>
      </c>
      <c r="AD1341" s="62" t="n">
        <f aca="false">AB1341/S1341-1</f>
        <v>0.558070653191771</v>
      </c>
      <c r="AE1341" s="60" t="str">
        <f aca="false">IF(AB1341&lt;S1341,"SIM","NÃO")</f>
        <v>NÃO</v>
      </c>
      <c r="AF1341" s="60" t="n">
        <v>2</v>
      </c>
      <c r="AG1341" s="60" t="n">
        <v>5</v>
      </c>
      <c r="AH1341" s="60" t="s">
        <v>382</v>
      </c>
      <c r="AI1341" s="61" t="n">
        <f aca="false">(T1341*(1-Painel!$C$40)+U1341+V1341+Painel!$C$41+Painel!$C$42*CEILING(G1341/100,1)+Painel!$C$43*CEILING(G1341,1)+Z1341)/(1-Resumo!$B$5)</f>
        <v>138.731102272727</v>
      </c>
      <c r="AJ1341" s="60" t="str">
        <f aca="false">IF(AI1341&lt;S1341,"SIM","NÃO")</f>
        <v>NÃO</v>
      </c>
    </row>
    <row r="1342" customFormat="false" ht="15" hidden="false" customHeight="false" outlineLevel="0" collapsed="false">
      <c r="A1342" s="59" t="n">
        <v>46256.6552199074</v>
      </c>
      <c r="B1342" s="60" t="s">
        <v>1617</v>
      </c>
      <c r="C1342" s="60" t="n">
        <v>28027130</v>
      </c>
      <c r="D1342" s="60" t="s">
        <v>51</v>
      </c>
      <c r="E1342" s="60" t="s">
        <v>24</v>
      </c>
      <c r="F1342" s="60" t="s">
        <v>235</v>
      </c>
      <c r="G1342" s="60" t="n">
        <v>46.8</v>
      </c>
      <c r="H1342" s="61" t="n">
        <v>506.56</v>
      </c>
      <c r="I1342" s="61" t="n">
        <v>77.7</v>
      </c>
      <c r="J1342" s="61" t="n">
        <f aca="false">H1342*Resumo!$C$6</f>
        <v>0</v>
      </c>
      <c r="K1342" s="61" t="n">
        <f aca="false">H1342*Resumo!$C$7</f>
        <v>1.063776</v>
      </c>
      <c r="L1342" s="61" t="n">
        <f aca="false">H1342*Resumo!$C$8</f>
        <v>1.063776</v>
      </c>
      <c r="M1342" s="61" t="n">
        <f aca="false">Resumo!$C$10*CEILING(G1342/100,1)</f>
        <v>1.05</v>
      </c>
      <c r="N1342" s="61" t="n">
        <f aca="false">Resumo!$C$9</f>
        <v>0</v>
      </c>
      <c r="O1342" s="61" t="n">
        <f aca="false">Resumo!$C$13</f>
        <v>13.55</v>
      </c>
      <c r="P1342" s="61" t="n">
        <f aca="false">Resumo!$C$14*CEILING(G1342,1)</f>
        <v>21.15</v>
      </c>
      <c r="Q1342" s="61" t="n">
        <f aca="false">SUM(I1342:P1342)*Resumo!$C$11</f>
        <v>0</v>
      </c>
      <c r="R1342" s="61" t="n">
        <f aca="false">SUM(I1342:Q1342)</f>
        <v>115.577552</v>
      </c>
      <c r="S1342" s="61" t="n">
        <f aca="false">R1342/(1-Resumo!$C$5)</f>
        <v>131.338127272727</v>
      </c>
      <c r="T1342" s="61" t="n">
        <v>152.54</v>
      </c>
      <c r="U1342" s="61" t="n">
        <f aca="false">H1342*Resumo!$B$6</f>
        <v>0.50656</v>
      </c>
      <c r="V1342" s="61" t="n">
        <f aca="false">H1342*Resumo!$B$7</f>
        <v>1.01312</v>
      </c>
      <c r="W1342" s="61" t="n">
        <f aca="false">Resumo!$B$9</f>
        <v>1</v>
      </c>
      <c r="X1342" s="61" t="n">
        <f aca="false">Resumo!$B$10*CEILING(G1342/100,1)</f>
        <v>4.5</v>
      </c>
      <c r="Y1342" s="61" t="n">
        <f aca="false">Resumo!$B$12*CEILING(G1342,1)</f>
        <v>2.82</v>
      </c>
      <c r="Z1342" s="61" t="n">
        <f aca="false">Resumo!$B$14*CEILING(G1342,1)</f>
        <v>21.15</v>
      </c>
      <c r="AA1342" s="61" t="n">
        <f aca="false">SUM(T1342:Z1342)</f>
        <v>183.52968</v>
      </c>
      <c r="AB1342" s="61" t="n">
        <f aca="false">AA1342/(1-Resumo!$B$5)</f>
        <v>208.556454545455</v>
      </c>
      <c r="AC1342" s="61" t="n">
        <f aca="false">AB1342-S1342</f>
        <v>77.2183272727272</v>
      </c>
      <c r="AD1342" s="62" t="n">
        <f aca="false">AB1342/S1342-1</f>
        <v>0.587935345784101</v>
      </c>
      <c r="AE1342" s="60" t="str">
        <f aca="false">IF(AB1342&lt;S1342,"SIM","NÃO")</f>
        <v>NÃO</v>
      </c>
      <c r="AF1342" s="60" t="n">
        <v>13</v>
      </c>
      <c r="AG1342" s="60" t="n">
        <v>11</v>
      </c>
      <c r="AH1342" s="60" t="s">
        <v>382</v>
      </c>
      <c r="AI1342" s="61" t="n">
        <f aca="false">(T1342*(1-Painel!$C$40)+U1342+V1342+Painel!$C$41+Painel!$C$42*CEILING(G1342/100,1)+Painel!$C$43*CEILING(G1342,1)+Z1342)/(1-Resumo!$B$5)</f>
        <v>144.228954545455</v>
      </c>
      <c r="AJ1342" s="60" t="str">
        <f aca="false">IF(AI1342&lt;S1342,"SIM","NÃO")</f>
        <v>NÃO</v>
      </c>
    </row>
    <row r="1343" customFormat="false" ht="15" hidden="false" customHeight="false" outlineLevel="0" collapsed="false">
      <c r="A1343" s="59" t="n">
        <v>46256.6661458333</v>
      </c>
      <c r="B1343" s="60" t="s">
        <v>1618</v>
      </c>
      <c r="C1343" s="60" t="n">
        <v>21241190</v>
      </c>
      <c r="D1343" s="60" t="s">
        <v>46</v>
      </c>
      <c r="E1343" s="60" t="s">
        <v>22</v>
      </c>
      <c r="F1343" s="60" t="s">
        <v>235</v>
      </c>
      <c r="G1343" s="60" t="n">
        <v>48</v>
      </c>
      <c r="H1343" s="61" t="n">
        <v>899.99</v>
      </c>
      <c r="I1343" s="61" t="n">
        <v>53.55</v>
      </c>
      <c r="J1343" s="61" t="n">
        <f aca="false">H1343*Resumo!$C$6</f>
        <v>0</v>
      </c>
      <c r="K1343" s="61" t="n">
        <f aca="false">H1343*Resumo!$C$7</f>
        <v>1.889979</v>
      </c>
      <c r="L1343" s="61" t="n">
        <f aca="false">H1343*Resumo!$C$8</f>
        <v>1.889979</v>
      </c>
      <c r="M1343" s="61" t="n">
        <f aca="false">Resumo!$C$10*CEILING(G1343/100,1)</f>
        <v>1.05</v>
      </c>
      <c r="N1343" s="61" t="n">
        <f aca="false">Resumo!$C$9</f>
        <v>0</v>
      </c>
      <c r="O1343" s="61" t="n">
        <f aca="false">Resumo!$C$13</f>
        <v>13.55</v>
      </c>
      <c r="P1343" s="61" t="n">
        <f aca="false">Resumo!$C$14*CEILING(G1343,1)</f>
        <v>21.6</v>
      </c>
      <c r="Q1343" s="61" t="n">
        <f aca="false">SUM(I1343:P1343)*Resumo!$C$11</f>
        <v>0</v>
      </c>
      <c r="R1343" s="61" t="n">
        <f aca="false">SUM(I1343:Q1343)</f>
        <v>93.529958</v>
      </c>
      <c r="S1343" s="61" t="n">
        <f aca="false">R1343/(1-Resumo!$C$5)</f>
        <v>106.284043181818</v>
      </c>
      <c r="T1343" s="61" t="n">
        <v>93.97</v>
      </c>
      <c r="U1343" s="61" t="n">
        <f aca="false">H1343*Resumo!$B$6</f>
        <v>0.89999</v>
      </c>
      <c r="V1343" s="61" t="n">
        <f aca="false">H1343*Resumo!$B$7</f>
        <v>1.79998</v>
      </c>
      <c r="W1343" s="61" t="n">
        <f aca="false">Resumo!$B$9</f>
        <v>1</v>
      </c>
      <c r="X1343" s="61" t="n">
        <f aca="false">Resumo!$B$10*CEILING(G1343/100,1)</f>
        <v>4.5</v>
      </c>
      <c r="Y1343" s="61" t="n">
        <f aca="false">Resumo!$B$12*CEILING(G1343,1)</f>
        <v>2.88</v>
      </c>
      <c r="Z1343" s="61" t="n">
        <f aca="false">Resumo!$B$14*CEILING(G1343,1)</f>
        <v>21.6</v>
      </c>
      <c r="AA1343" s="61" t="n">
        <f aca="false">SUM(T1343:Z1343)</f>
        <v>126.64997</v>
      </c>
      <c r="AB1343" s="61" t="n">
        <f aca="false">AA1343/(1-Resumo!$B$5)</f>
        <v>143.920420454545</v>
      </c>
      <c r="AC1343" s="61" t="n">
        <f aca="false">AB1343-S1343</f>
        <v>37.6363772727273</v>
      </c>
      <c r="AD1343" s="62" t="n">
        <f aca="false">AB1343/S1343-1</f>
        <v>0.354111267750168</v>
      </c>
      <c r="AE1343" s="60" t="str">
        <f aca="false">IF(AB1343&lt;S1343,"SIM","NÃO")</f>
        <v>NÃO</v>
      </c>
      <c r="AF1343" s="60" t="n">
        <v>2</v>
      </c>
      <c r="AG1343" s="60" t="n">
        <v>5</v>
      </c>
      <c r="AH1343" s="60" t="s">
        <v>382</v>
      </c>
      <c r="AI1343" s="61" t="n">
        <f aca="false">(T1343*(1-Painel!$C$40)+U1343+V1343+Painel!$C$41+Painel!$C$42*CEILING(G1343/100,1)+Painel!$C$43*CEILING(G1343,1)+Z1343)/(1-Resumo!$B$5)</f>
        <v>101.488488636364</v>
      </c>
      <c r="AJ1343" s="60" t="str">
        <f aca="false">IF(AI1343&lt;S1343,"SIM","NÃO")</f>
        <v>SIM</v>
      </c>
    </row>
    <row r="1344" customFormat="false" ht="15" hidden="false" customHeight="false" outlineLevel="0" collapsed="false">
      <c r="A1344" s="59" t="n">
        <v>46256.7324768519</v>
      </c>
      <c r="B1344" s="60" t="s">
        <v>1619</v>
      </c>
      <c r="C1344" s="60" t="n">
        <v>20230014</v>
      </c>
      <c r="D1344" s="60" t="s">
        <v>46</v>
      </c>
      <c r="E1344" s="60" t="s">
        <v>22</v>
      </c>
      <c r="F1344" s="60" t="s">
        <v>233</v>
      </c>
      <c r="G1344" s="60" t="n">
        <v>27.4</v>
      </c>
      <c r="H1344" s="61" t="n">
        <v>323.99</v>
      </c>
      <c r="I1344" s="61" t="n">
        <v>42.11</v>
      </c>
      <c r="J1344" s="61" t="n">
        <f aca="false">H1344*Resumo!$C$6</f>
        <v>0</v>
      </c>
      <c r="K1344" s="61" t="n">
        <f aca="false">H1344*Resumo!$C$7</f>
        <v>0.680379</v>
      </c>
      <c r="L1344" s="61" t="n">
        <f aca="false">H1344*Resumo!$C$8</f>
        <v>0.680379</v>
      </c>
      <c r="M1344" s="61" t="n">
        <f aca="false">Resumo!$C$10*CEILING(G1344/100,1)</f>
        <v>1.05</v>
      </c>
      <c r="N1344" s="61" t="n">
        <f aca="false">Resumo!$C$9</f>
        <v>0</v>
      </c>
      <c r="O1344" s="61" t="n">
        <f aca="false">Resumo!$C$13</f>
        <v>13.55</v>
      </c>
      <c r="P1344" s="61" t="n">
        <f aca="false">Resumo!$C$14*CEILING(G1344,1)</f>
        <v>12.6</v>
      </c>
      <c r="Q1344" s="61" t="n">
        <f aca="false">SUM(I1344:P1344)*Resumo!$C$11</f>
        <v>0</v>
      </c>
      <c r="R1344" s="61" t="n">
        <f aca="false">SUM(I1344:Q1344)</f>
        <v>70.670758</v>
      </c>
      <c r="S1344" s="61" t="n">
        <f aca="false">R1344/(1-Resumo!$C$5)</f>
        <v>80.3076795454545</v>
      </c>
      <c r="T1344" s="61" t="n">
        <v>82.21</v>
      </c>
      <c r="U1344" s="61" t="n">
        <f aca="false">H1344*Resumo!$B$6</f>
        <v>0.32399</v>
      </c>
      <c r="V1344" s="61" t="n">
        <f aca="false">H1344*Resumo!$B$7</f>
        <v>0.64798</v>
      </c>
      <c r="W1344" s="61" t="n">
        <f aca="false">Resumo!$B$9</f>
        <v>1</v>
      </c>
      <c r="X1344" s="61" t="n">
        <f aca="false">Resumo!$B$10*CEILING(G1344/100,1)</f>
        <v>4.5</v>
      </c>
      <c r="Y1344" s="61" t="n">
        <f aca="false">Resumo!$B$12*CEILING(G1344,1)</f>
        <v>1.68</v>
      </c>
      <c r="Z1344" s="61" t="n">
        <f aca="false">Resumo!$B$14*CEILING(G1344,1)</f>
        <v>12.6</v>
      </c>
      <c r="AA1344" s="61" t="n">
        <f aca="false">SUM(T1344:Z1344)</f>
        <v>102.96197</v>
      </c>
      <c r="AB1344" s="61" t="n">
        <f aca="false">AA1344/(1-Resumo!$B$5)</f>
        <v>117.002238636364</v>
      </c>
      <c r="AC1344" s="61" t="n">
        <f aca="false">AB1344-S1344</f>
        <v>36.6945590909091</v>
      </c>
      <c r="AD1344" s="62" t="n">
        <f aca="false">AB1344/S1344-1</f>
        <v>0.456924658994035</v>
      </c>
      <c r="AE1344" s="60" t="str">
        <f aca="false">IF(AB1344&lt;S1344,"SIM","NÃO")</f>
        <v>NÃO</v>
      </c>
      <c r="AF1344" s="60" t="n">
        <v>2</v>
      </c>
      <c r="AG1344" s="60" t="n">
        <v>5</v>
      </c>
      <c r="AH1344" s="60" t="s">
        <v>382</v>
      </c>
      <c r="AI1344" s="61" t="n">
        <f aca="false">(T1344*(1-Painel!$C$40)+U1344+V1344+Painel!$C$41+Painel!$C$42*CEILING(G1344/100,1)+Painel!$C$43*CEILING(G1344,1)+Z1344)/(1-Resumo!$B$5)</f>
        <v>80.3439431818182</v>
      </c>
      <c r="AJ1344" s="60" t="str">
        <f aca="false">IF(AI1344&lt;S1344,"SIM","NÃO")</f>
        <v>NÃO</v>
      </c>
    </row>
    <row r="1345" customFormat="false" ht="15" hidden="false" customHeight="false" outlineLevel="0" collapsed="false">
      <c r="A1345" s="59" t="n">
        <v>46256.7383333333</v>
      </c>
      <c r="B1345" s="60" t="s">
        <v>1620</v>
      </c>
      <c r="C1345" s="60" t="n">
        <v>23918540</v>
      </c>
      <c r="D1345" s="60" t="s">
        <v>218</v>
      </c>
      <c r="E1345" s="60" t="s">
        <v>24</v>
      </c>
      <c r="F1345" s="60" t="s">
        <v>235</v>
      </c>
      <c r="G1345" s="60" t="n">
        <v>46.8</v>
      </c>
      <c r="H1345" s="61" t="n">
        <v>506.56</v>
      </c>
      <c r="I1345" s="61" t="n">
        <v>77.7</v>
      </c>
      <c r="J1345" s="61" t="n">
        <f aca="false">H1345*Resumo!$C$6</f>
        <v>0</v>
      </c>
      <c r="K1345" s="61" t="n">
        <f aca="false">H1345*Resumo!$C$7</f>
        <v>1.063776</v>
      </c>
      <c r="L1345" s="61" t="n">
        <f aca="false">H1345*Resumo!$C$8</f>
        <v>1.063776</v>
      </c>
      <c r="M1345" s="61" t="n">
        <f aca="false">Resumo!$C$10*CEILING(G1345/100,1)</f>
        <v>1.05</v>
      </c>
      <c r="N1345" s="61" t="n">
        <f aca="false">Resumo!$C$9</f>
        <v>0</v>
      </c>
      <c r="O1345" s="61" t="n">
        <f aca="false">Resumo!$C$13</f>
        <v>13.55</v>
      </c>
      <c r="P1345" s="61" t="n">
        <f aca="false">Resumo!$C$14*CEILING(G1345,1)</f>
        <v>21.15</v>
      </c>
      <c r="Q1345" s="61" t="n">
        <f aca="false">SUM(I1345:P1345)*Resumo!$C$11</f>
        <v>0</v>
      </c>
      <c r="R1345" s="61" t="n">
        <f aca="false">SUM(I1345:Q1345)</f>
        <v>115.577552</v>
      </c>
      <c r="S1345" s="61" t="n">
        <f aca="false">R1345/(1-Resumo!$C$5)</f>
        <v>131.338127272727</v>
      </c>
      <c r="T1345" s="61" t="n">
        <v>124.38</v>
      </c>
      <c r="U1345" s="61" t="n">
        <f aca="false">H1345*Resumo!$B$6</f>
        <v>0.50656</v>
      </c>
      <c r="V1345" s="61" t="n">
        <f aca="false">H1345*Resumo!$B$7</f>
        <v>1.01312</v>
      </c>
      <c r="W1345" s="61" t="n">
        <f aca="false">Resumo!$B$9</f>
        <v>1</v>
      </c>
      <c r="X1345" s="61" t="n">
        <f aca="false">Resumo!$B$10*CEILING(G1345/100,1)</f>
        <v>4.5</v>
      </c>
      <c r="Y1345" s="61" t="n">
        <f aca="false">Resumo!$B$12*CEILING(G1345,1)</f>
        <v>2.82</v>
      </c>
      <c r="Z1345" s="61" t="n">
        <f aca="false">Resumo!$B$14*CEILING(G1345,1)</f>
        <v>21.15</v>
      </c>
      <c r="AA1345" s="61" t="n">
        <f aca="false">SUM(T1345:Z1345)</f>
        <v>155.36968</v>
      </c>
      <c r="AB1345" s="61" t="n">
        <f aca="false">AA1345/(1-Resumo!$B$5)</f>
        <v>176.556454545455</v>
      </c>
      <c r="AC1345" s="61" t="n">
        <f aca="false">AB1345-S1345</f>
        <v>45.2183272727272</v>
      </c>
      <c r="AD1345" s="62" t="n">
        <f aca="false">AB1345/S1345-1</f>
        <v>0.344289417031431</v>
      </c>
      <c r="AE1345" s="60" t="str">
        <f aca="false">IF(AB1345&lt;S1345,"SIM","NÃO")</f>
        <v>NÃO</v>
      </c>
      <c r="AF1345" s="60" t="n">
        <v>13</v>
      </c>
      <c r="AG1345" s="60" t="n">
        <v>10</v>
      </c>
      <c r="AH1345" s="60" t="s">
        <v>382</v>
      </c>
      <c r="AI1345" s="61" t="n">
        <f aca="false">(T1345*(1-Painel!$C$40)+U1345+V1345+Painel!$C$41+Painel!$C$42*CEILING(G1345/100,1)+Painel!$C$43*CEILING(G1345,1)+Z1345)/(1-Resumo!$B$5)</f>
        <v>122.788954545455</v>
      </c>
      <c r="AJ1345" s="60" t="str">
        <f aca="false">IF(AI1345&lt;S1345,"SIM","NÃO")</f>
        <v>SIM</v>
      </c>
    </row>
    <row r="1346" customFormat="false" ht="15" hidden="false" customHeight="false" outlineLevel="0" collapsed="false">
      <c r="A1346" s="59" t="n">
        <v>46256.7579976852</v>
      </c>
      <c r="B1346" s="60" t="s">
        <v>1621</v>
      </c>
      <c r="C1346" s="60" t="n">
        <v>21931383</v>
      </c>
      <c r="D1346" s="60" t="s">
        <v>46</v>
      </c>
      <c r="E1346" s="60" t="s">
        <v>22</v>
      </c>
      <c r="F1346" s="60" t="s">
        <v>233</v>
      </c>
      <c r="G1346" s="60" t="n">
        <v>33</v>
      </c>
      <c r="H1346" s="61" t="n">
        <v>499.69</v>
      </c>
      <c r="I1346" s="61" t="n">
        <v>42.11</v>
      </c>
      <c r="J1346" s="61" t="n">
        <f aca="false">H1346*Resumo!$C$6</f>
        <v>0</v>
      </c>
      <c r="K1346" s="61" t="n">
        <f aca="false">H1346*Resumo!$C$7</f>
        <v>1.049349</v>
      </c>
      <c r="L1346" s="61" t="n">
        <f aca="false">H1346*Resumo!$C$8</f>
        <v>1.049349</v>
      </c>
      <c r="M1346" s="61" t="n">
        <f aca="false">Resumo!$C$10*CEILING(G1346/100,1)</f>
        <v>1.05</v>
      </c>
      <c r="N1346" s="61" t="n">
        <f aca="false">Resumo!$C$9</f>
        <v>0</v>
      </c>
      <c r="O1346" s="61" t="n">
        <f aca="false">Resumo!$C$13</f>
        <v>13.55</v>
      </c>
      <c r="P1346" s="61" t="n">
        <f aca="false">Resumo!$C$14*CEILING(G1346,1)</f>
        <v>14.85</v>
      </c>
      <c r="Q1346" s="61" t="n">
        <f aca="false">SUM(I1346:P1346)*Resumo!$C$11</f>
        <v>0</v>
      </c>
      <c r="R1346" s="61" t="n">
        <f aca="false">SUM(I1346:Q1346)</f>
        <v>73.658698</v>
      </c>
      <c r="S1346" s="61" t="n">
        <f aca="false">R1346/(1-Resumo!$C$5)</f>
        <v>83.7030659090909</v>
      </c>
      <c r="T1346" s="61" t="n">
        <v>82.21</v>
      </c>
      <c r="U1346" s="61" t="n">
        <f aca="false">H1346*Resumo!$B$6</f>
        <v>0.49969</v>
      </c>
      <c r="V1346" s="61" t="n">
        <f aca="false">H1346*Resumo!$B$7</f>
        <v>0.99938</v>
      </c>
      <c r="W1346" s="61" t="n">
        <f aca="false">Resumo!$B$9</f>
        <v>1</v>
      </c>
      <c r="X1346" s="61" t="n">
        <f aca="false">Resumo!$B$10*CEILING(G1346/100,1)</f>
        <v>4.5</v>
      </c>
      <c r="Y1346" s="61" t="n">
        <f aca="false">Resumo!$B$12*CEILING(G1346,1)</f>
        <v>1.98</v>
      </c>
      <c r="Z1346" s="61" t="n">
        <f aca="false">Resumo!$B$14*CEILING(G1346,1)</f>
        <v>14.85</v>
      </c>
      <c r="AA1346" s="61" t="n">
        <f aca="false">SUM(T1346:Z1346)</f>
        <v>106.03907</v>
      </c>
      <c r="AB1346" s="61" t="n">
        <f aca="false">AA1346/(1-Resumo!$B$5)</f>
        <v>120.498943181818</v>
      </c>
      <c r="AC1346" s="61" t="n">
        <f aca="false">AB1346-S1346</f>
        <v>36.7958772727273</v>
      </c>
      <c r="AD1346" s="62" t="n">
        <f aca="false">AB1346/S1346-1</f>
        <v>0.439600113485579</v>
      </c>
      <c r="AE1346" s="60" t="str">
        <f aca="false">IF(AB1346&lt;S1346,"SIM","NÃO")</f>
        <v>NÃO</v>
      </c>
      <c r="AF1346" s="60" t="n">
        <v>2</v>
      </c>
      <c r="AG1346" s="60" t="n">
        <v>5</v>
      </c>
      <c r="AH1346" s="60" t="s">
        <v>382</v>
      </c>
      <c r="AI1346" s="61" t="n">
        <f aca="false">(T1346*(1-Painel!$C$40)+U1346+V1346+Painel!$C$41+Painel!$C$42*CEILING(G1346/100,1)+Painel!$C$43*CEILING(G1346,1)+Z1346)/(1-Resumo!$B$5)</f>
        <v>83.4997386363636</v>
      </c>
      <c r="AJ1346" s="60" t="str">
        <f aca="false">IF(AI1346&lt;S1346,"SIM","NÃO")</f>
        <v>SIM</v>
      </c>
    </row>
    <row r="1347" customFormat="false" ht="15" hidden="false" customHeight="false" outlineLevel="0" collapsed="false">
      <c r="A1347" s="59" t="n">
        <v>46256.7599884259</v>
      </c>
      <c r="B1347" s="60" t="s">
        <v>1622</v>
      </c>
      <c r="C1347" s="60" t="n">
        <v>25960410</v>
      </c>
      <c r="D1347" s="60" t="s">
        <v>281</v>
      </c>
      <c r="E1347" s="60" t="s">
        <v>24</v>
      </c>
      <c r="F1347" s="60" t="s">
        <v>234</v>
      </c>
      <c r="G1347" s="60" t="n">
        <v>36.8</v>
      </c>
      <c r="H1347" s="61" t="n">
        <v>434.53</v>
      </c>
      <c r="I1347" s="61" t="n">
        <v>74.97</v>
      </c>
      <c r="J1347" s="61" t="n">
        <f aca="false">H1347*Resumo!$C$6</f>
        <v>0</v>
      </c>
      <c r="K1347" s="61" t="n">
        <f aca="false">H1347*Resumo!$C$7</f>
        <v>0.912513</v>
      </c>
      <c r="L1347" s="61" t="n">
        <f aca="false">H1347*Resumo!$C$8</f>
        <v>0.912513</v>
      </c>
      <c r="M1347" s="61" t="n">
        <f aca="false">Resumo!$C$10*CEILING(G1347/100,1)</f>
        <v>1.05</v>
      </c>
      <c r="N1347" s="61" t="n">
        <f aca="false">Resumo!$C$9</f>
        <v>0</v>
      </c>
      <c r="O1347" s="61" t="n">
        <f aca="false">Resumo!$C$13</f>
        <v>13.55</v>
      </c>
      <c r="P1347" s="61" t="n">
        <f aca="false">Resumo!$C$14*CEILING(G1347,1)</f>
        <v>16.65</v>
      </c>
      <c r="Q1347" s="61" t="n">
        <f aca="false">SUM(I1347:P1347)*Resumo!$C$11</f>
        <v>0</v>
      </c>
      <c r="R1347" s="61" t="n">
        <f aca="false">SUM(I1347:Q1347)</f>
        <v>108.045026</v>
      </c>
      <c r="S1347" s="61" t="n">
        <f aca="false">R1347/(1-Resumo!$C$5)</f>
        <v>122.778438636364</v>
      </c>
      <c r="T1347" s="61" t="n">
        <v>125.63</v>
      </c>
      <c r="U1347" s="61" t="n">
        <f aca="false">H1347*Resumo!$B$6</f>
        <v>0.43453</v>
      </c>
      <c r="V1347" s="61" t="n">
        <f aca="false">H1347*Resumo!$B$7</f>
        <v>0.86906</v>
      </c>
      <c r="W1347" s="61" t="n">
        <f aca="false">Resumo!$B$9</f>
        <v>1</v>
      </c>
      <c r="X1347" s="61" t="n">
        <f aca="false">Resumo!$B$10*CEILING(G1347/100,1)</f>
        <v>4.5</v>
      </c>
      <c r="Y1347" s="61" t="n">
        <f aca="false">Resumo!$B$12*CEILING(G1347,1)</f>
        <v>2.22</v>
      </c>
      <c r="Z1347" s="61" t="n">
        <f aca="false">Resumo!$B$14*CEILING(G1347,1)</f>
        <v>16.65</v>
      </c>
      <c r="AA1347" s="61" t="n">
        <f aca="false">SUM(T1347:Z1347)</f>
        <v>151.30359</v>
      </c>
      <c r="AB1347" s="61" t="n">
        <f aca="false">AA1347/(1-Resumo!$B$5)</f>
        <v>171.935897727273</v>
      </c>
      <c r="AC1347" s="61" t="n">
        <f aca="false">AB1347-S1347</f>
        <v>49.1574590909091</v>
      </c>
      <c r="AD1347" s="62" t="n">
        <f aca="false">AB1347/S1347-1</f>
        <v>0.400375339814347</v>
      </c>
      <c r="AE1347" s="60" t="str">
        <f aca="false">IF(AB1347&lt;S1347,"SIM","NÃO")</f>
        <v>NÃO</v>
      </c>
      <c r="AF1347" s="60" t="n">
        <v>13</v>
      </c>
      <c r="AG1347" s="60" t="n">
        <v>10</v>
      </c>
      <c r="AH1347" s="60" t="s">
        <v>385</v>
      </c>
      <c r="AI1347" s="61" t="n">
        <f aca="false">(T1347*(1-Painel!$C$40)+U1347+V1347+Painel!$C$41+Painel!$C$42*CEILING(G1347/100,1)+Painel!$C$43*CEILING(G1347,1)+Z1347)/(1-Resumo!$B$5)</f>
        <v>118.381465909091</v>
      </c>
      <c r="AJ1347" s="60" t="str">
        <f aca="false">IF(AI1347&lt;S1347,"SIM","NÃO")</f>
        <v>SIM</v>
      </c>
    </row>
    <row r="1348" customFormat="false" ht="15" hidden="false" customHeight="false" outlineLevel="0" collapsed="false">
      <c r="A1348" s="59" t="n">
        <v>46256.8082638889</v>
      </c>
      <c r="B1348" s="60" t="s">
        <v>1623</v>
      </c>
      <c r="C1348" s="60" t="n">
        <v>24474770</v>
      </c>
      <c r="D1348" s="60" t="s">
        <v>47</v>
      </c>
      <c r="E1348" s="60" t="s">
        <v>23</v>
      </c>
      <c r="F1348" s="60" t="s">
        <v>237</v>
      </c>
      <c r="G1348" s="60" t="n">
        <v>66.8</v>
      </c>
      <c r="H1348" s="61" t="n">
        <v>636.47</v>
      </c>
      <c r="I1348" s="61" t="n">
        <v>76.55</v>
      </c>
      <c r="J1348" s="61" t="n">
        <f aca="false">H1348*Resumo!$C$6</f>
        <v>0</v>
      </c>
      <c r="K1348" s="61" t="n">
        <f aca="false">H1348*Resumo!$C$7</f>
        <v>1.336587</v>
      </c>
      <c r="L1348" s="61" t="n">
        <f aca="false">H1348*Resumo!$C$8</f>
        <v>1.336587</v>
      </c>
      <c r="M1348" s="61" t="n">
        <f aca="false">Resumo!$C$10*CEILING(G1348/100,1)</f>
        <v>1.05</v>
      </c>
      <c r="N1348" s="61" t="n">
        <f aca="false">Resumo!$C$9</f>
        <v>0</v>
      </c>
      <c r="O1348" s="61" t="n">
        <f aca="false">Resumo!$C$13</f>
        <v>13.55</v>
      </c>
      <c r="P1348" s="61" t="n">
        <f aca="false">Resumo!$C$14*CEILING(G1348,1)</f>
        <v>30.15</v>
      </c>
      <c r="Q1348" s="61" t="n">
        <f aca="false">SUM(I1348:P1348)*Resumo!$C$11</f>
        <v>0</v>
      </c>
      <c r="R1348" s="61" t="n">
        <f aca="false">SUM(I1348:Q1348)</f>
        <v>123.973174</v>
      </c>
      <c r="S1348" s="61" t="n">
        <f aca="false">R1348/(1-Resumo!$C$5)</f>
        <v>140.878606818182</v>
      </c>
      <c r="T1348" s="61" t="n">
        <v>149.5</v>
      </c>
      <c r="U1348" s="61" t="n">
        <f aca="false">H1348*Resumo!$B$6</f>
        <v>0.63647</v>
      </c>
      <c r="V1348" s="61" t="n">
        <f aca="false">H1348*Resumo!$B$7</f>
        <v>1.27294</v>
      </c>
      <c r="W1348" s="61" t="n">
        <f aca="false">Resumo!$B$9</f>
        <v>1</v>
      </c>
      <c r="X1348" s="61" t="n">
        <f aca="false">Resumo!$B$10*CEILING(G1348/100,1)</f>
        <v>4.5</v>
      </c>
      <c r="Y1348" s="61" t="n">
        <f aca="false">Resumo!$B$12*CEILING(G1348,1)</f>
        <v>4.02</v>
      </c>
      <c r="Z1348" s="61" t="n">
        <f aca="false">Resumo!$B$14*CEILING(G1348,1)</f>
        <v>30.15</v>
      </c>
      <c r="AA1348" s="61" t="n">
        <f aca="false">SUM(T1348:Z1348)</f>
        <v>191.07941</v>
      </c>
      <c r="AB1348" s="61" t="n">
        <f aca="false">AA1348/(1-Resumo!$B$5)</f>
        <v>217.135693181818</v>
      </c>
      <c r="AC1348" s="61" t="n">
        <f aca="false">AB1348-S1348</f>
        <v>76.2570863636364</v>
      </c>
      <c r="AD1348" s="62" t="n">
        <f aca="false">AB1348/S1348-1</f>
        <v>0.541296425950988</v>
      </c>
      <c r="AE1348" s="60" t="str">
        <f aca="false">IF(AB1348&lt;S1348,"SIM","NÃO")</f>
        <v>NÃO</v>
      </c>
      <c r="AF1348" s="60" t="n">
        <v>2</v>
      </c>
      <c r="AG1348" s="60" t="n">
        <v>7</v>
      </c>
      <c r="AH1348" s="60" t="s">
        <v>382</v>
      </c>
      <c r="AI1348" s="61" t="n">
        <f aca="false">(T1348*(1-Painel!$C$40)+U1348+V1348+Painel!$C$41+Painel!$C$42*CEILING(G1348/100,1)+Painel!$C$43*CEILING(G1348,1)+Z1348)/(1-Resumo!$B$5)</f>
        <v>152.584556818182</v>
      </c>
      <c r="AJ1348" s="60" t="str">
        <f aca="false">IF(AI1348&lt;S1348,"SIM","NÃO")</f>
        <v>NÃO</v>
      </c>
    </row>
    <row r="1349" customFormat="false" ht="15" hidden="false" customHeight="false" outlineLevel="0" collapsed="false">
      <c r="A1349" s="59" t="n">
        <v>46256.819525463</v>
      </c>
      <c r="B1349" s="60" t="s">
        <v>1535</v>
      </c>
      <c r="C1349" s="60" t="n">
        <v>22770190</v>
      </c>
      <c r="D1349" s="60" t="s">
        <v>46</v>
      </c>
      <c r="E1349" s="60" t="s">
        <v>22</v>
      </c>
      <c r="F1349" s="60" t="s">
        <v>237</v>
      </c>
      <c r="G1349" s="60" t="n">
        <v>61.4</v>
      </c>
      <c r="H1349" s="61" t="n">
        <v>962.28</v>
      </c>
      <c r="I1349" s="61" t="n">
        <v>63.21</v>
      </c>
      <c r="J1349" s="61" t="n">
        <f aca="false">H1349*Resumo!$C$6</f>
        <v>0</v>
      </c>
      <c r="K1349" s="61" t="n">
        <f aca="false">H1349*Resumo!$C$7</f>
        <v>2.020788</v>
      </c>
      <c r="L1349" s="61" t="n">
        <f aca="false">H1349*Resumo!$C$8</f>
        <v>2.020788</v>
      </c>
      <c r="M1349" s="61" t="n">
        <f aca="false">Resumo!$C$10*CEILING(G1349/100,1)</f>
        <v>1.05</v>
      </c>
      <c r="N1349" s="61" t="n">
        <f aca="false">Resumo!$C$9</f>
        <v>0</v>
      </c>
      <c r="O1349" s="61" t="n">
        <f aca="false">Resumo!$C$13</f>
        <v>13.55</v>
      </c>
      <c r="P1349" s="61" t="n">
        <f aca="false">Resumo!$C$14*CEILING(G1349,1)</f>
        <v>27.9</v>
      </c>
      <c r="Q1349" s="61" t="n">
        <f aca="false">SUM(I1349:P1349)*Resumo!$C$11</f>
        <v>0</v>
      </c>
      <c r="R1349" s="61" t="n">
        <f aca="false">SUM(I1349:Q1349)</f>
        <v>109.751576</v>
      </c>
      <c r="S1349" s="61" t="n">
        <f aca="false">R1349/(1-Resumo!$C$5)</f>
        <v>124.7177</v>
      </c>
      <c r="T1349" s="61" t="n">
        <v>131.02</v>
      </c>
      <c r="U1349" s="61" t="n">
        <f aca="false">H1349*Resumo!$B$6</f>
        <v>0.96228</v>
      </c>
      <c r="V1349" s="61" t="n">
        <f aca="false">H1349*Resumo!$B$7</f>
        <v>1.92456</v>
      </c>
      <c r="W1349" s="61" t="n">
        <f aca="false">Resumo!$B$9</f>
        <v>1</v>
      </c>
      <c r="X1349" s="61" t="n">
        <f aca="false">Resumo!$B$10*CEILING(G1349/100,1)</f>
        <v>4.5</v>
      </c>
      <c r="Y1349" s="61" t="n">
        <f aca="false">Resumo!$B$12*CEILING(G1349,1)</f>
        <v>3.72</v>
      </c>
      <c r="Z1349" s="61" t="n">
        <f aca="false">Resumo!$B$14*CEILING(G1349,1)</f>
        <v>27.9</v>
      </c>
      <c r="AA1349" s="61" t="n">
        <f aca="false">SUM(T1349:Z1349)</f>
        <v>171.02684</v>
      </c>
      <c r="AB1349" s="61" t="n">
        <f aca="false">AA1349/(1-Resumo!$B$5)</f>
        <v>194.348681818182</v>
      </c>
      <c r="AC1349" s="61" t="n">
        <f aca="false">AB1349-S1349</f>
        <v>69.6309818181818</v>
      </c>
      <c r="AD1349" s="62" t="n">
        <f aca="false">AB1349/S1349-1</f>
        <v>0.558308739001616</v>
      </c>
      <c r="AE1349" s="60" t="str">
        <f aca="false">IF(AB1349&lt;S1349,"SIM","NÃO")</f>
        <v>NÃO</v>
      </c>
      <c r="AF1349" s="60" t="n">
        <v>2</v>
      </c>
      <c r="AG1349" s="60" t="n">
        <v>5</v>
      </c>
      <c r="AH1349" s="60" t="s">
        <v>382</v>
      </c>
      <c r="AI1349" s="61" t="n">
        <f aca="false">(T1349*(1-Painel!$C$40)+U1349+V1349+Painel!$C$41+Painel!$C$42*CEILING(G1349/100,1)+Painel!$C$43*CEILING(G1349,1)+Z1349)/(1-Resumo!$B$5)</f>
        <v>137.068454545455</v>
      </c>
      <c r="AJ1349" s="60" t="str">
        <f aca="false">IF(AI1349&lt;S1349,"SIM","NÃO")</f>
        <v>NÃO</v>
      </c>
    </row>
    <row r="1350" customFormat="false" ht="15" hidden="false" customHeight="false" outlineLevel="0" collapsed="false">
      <c r="A1350" s="59" t="n">
        <v>46256.856724537</v>
      </c>
      <c r="B1350" s="60" t="s">
        <v>1624</v>
      </c>
      <c r="C1350" s="60" t="n">
        <v>26293567</v>
      </c>
      <c r="D1350" s="60" t="s">
        <v>49</v>
      </c>
      <c r="E1350" s="60" t="s">
        <v>23</v>
      </c>
      <c r="F1350" s="60" t="s">
        <v>237</v>
      </c>
      <c r="G1350" s="60" t="n">
        <v>61.5</v>
      </c>
      <c r="H1350" s="61" t="n">
        <v>696.68</v>
      </c>
      <c r="I1350" s="61" t="n">
        <v>76.55</v>
      </c>
      <c r="J1350" s="61" t="n">
        <f aca="false">H1350*Resumo!$C$6</f>
        <v>0</v>
      </c>
      <c r="K1350" s="61" t="n">
        <f aca="false">H1350*Resumo!$C$7</f>
        <v>1.463028</v>
      </c>
      <c r="L1350" s="61" t="n">
        <f aca="false">H1350*Resumo!$C$8</f>
        <v>1.463028</v>
      </c>
      <c r="M1350" s="61" t="n">
        <f aca="false">Resumo!$C$10*CEILING(G1350/100,1)</f>
        <v>1.05</v>
      </c>
      <c r="N1350" s="61" t="n">
        <f aca="false">Resumo!$C$9</f>
        <v>0</v>
      </c>
      <c r="O1350" s="61" t="n">
        <f aca="false">Resumo!$C$13</f>
        <v>13.55</v>
      </c>
      <c r="P1350" s="61" t="n">
        <f aca="false">Resumo!$C$14*CEILING(G1350,1)</f>
        <v>27.9</v>
      </c>
      <c r="Q1350" s="61" t="n">
        <f aca="false">SUM(I1350:P1350)*Resumo!$C$11</f>
        <v>0</v>
      </c>
      <c r="R1350" s="61" t="n">
        <f aca="false">SUM(I1350:Q1350)</f>
        <v>121.976056</v>
      </c>
      <c r="S1350" s="61" t="n">
        <f aca="false">R1350/(1-Resumo!$C$5)</f>
        <v>138.609154545455</v>
      </c>
      <c r="T1350" s="61" t="n">
        <v>131.02</v>
      </c>
      <c r="U1350" s="61" t="n">
        <f aca="false">H1350*Resumo!$B$6</f>
        <v>0.69668</v>
      </c>
      <c r="V1350" s="61" t="n">
        <f aca="false">H1350*Resumo!$B$7</f>
        <v>1.39336</v>
      </c>
      <c r="W1350" s="61" t="n">
        <f aca="false">Resumo!$B$9</f>
        <v>1</v>
      </c>
      <c r="X1350" s="61" t="n">
        <f aca="false">Resumo!$B$10*CEILING(G1350/100,1)</f>
        <v>4.5</v>
      </c>
      <c r="Y1350" s="61" t="n">
        <f aca="false">Resumo!$B$12*CEILING(G1350,1)</f>
        <v>3.72</v>
      </c>
      <c r="Z1350" s="61" t="n">
        <f aca="false">Resumo!$B$14*CEILING(G1350,1)</f>
        <v>27.9</v>
      </c>
      <c r="AA1350" s="61" t="n">
        <f aca="false">SUM(T1350:Z1350)</f>
        <v>170.23004</v>
      </c>
      <c r="AB1350" s="61" t="n">
        <f aca="false">AA1350/(1-Resumo!$B$5)</f>
        <v>193.443227272727</v>
      </c>
      <c r="AC1350" s="61" t="n">
        <f aca="false">AB1350-S1350</f>
        <v>54.8340727272727</v>
      </c>
      <c r="AD1350" s="62" t="n">
        <f aca="false">AB1350/S1350-1</f>
        <v>0.395602100792634</v>
      </c>
      <c r="AE1350" s="60" t="str">
        <f aca="false">IF(AB1350&lt;S1350,"SIM","NÃO")</f>
        <v>NÃO</v>
      </c>
      <c r="AF1350" s="60" t="n">
        <v>2</v>
      </c>
      <c r="AG1350" s="60" t="n">
        <v>5</v>
      </c>
      <c r="AH1350" s="60" t="s">
        <v>382</v>
      </c>
      <c r="AI1350" s="61" t="n">
        <f aca="false">(T1350*(1-Painel!$C$40)+U1350+V1350+Painel!$C$41+Painel!$C$42*CEILING(G1350/100,1)+Painel!$C$43*CEILING(G1350,1)+Z1350)/(1-Resumo!$B$5)</f>
        <v>136.163</v>
      </c>
      <c r="AJ1350" s="60" t="str">
        <f aca="false">IF(AI1350&lt;S1350,"SIM","NÃO")</f>
        <v>SIM</v>
      </c>
    </row>
    <row r="1351" customFormat="false" ht="15" hidden="false" customHeight="false" outlineLevel="0" collapsed="false">
      <c r="A1351" s="59" t="n">
        <v>46256.8987847222</v>
      </c>
      <c r="B1351" s="60" t="s">
        <v>1625</v>
      </c>
      <c r="C1351" s="60" t="n">
        <v>20735320</v>
      </c>
      <c r="D1351" s="60" t="s">
        <v>46</v>
      </c>
      <c r="E1351" s="60" t="s">
        <v>22</v>
      </c>
      <c r="F1351" s="60" t="s">
        <v>235</v>
      </c>
      <c r="G1351" s="60" t="n">
        <v>46.8</v>
      </c>
      <c r="H1351" s="61" t="n">
        <v>506.56</v>
      </c>
      <c r="I1351" s="61" t="n">
        <v>53.55</v>
      </c>
      <c r="J1351" s="61" t="n">
        <f aca="false">H1351*Resumo!$C$6</f>
        <v>0</v>
      </c>
      <c r="K1351" s="61" t="n">
        <f aca="false">H1351*Resumo!$C$7</f>
        <v>1.063776</v>
      </c>
      <c r="L1351" s="61" t="n">
        <f aca="false">H1351*Resumo!$C$8</f>
        <v>1.063776</v>
      </c>
      <c r="M1351" s="61" t="n">
        <f aca="false">Resumo!$C$10*CEILING(G1351/100,1)</f>
        <v>1.05</v>
      </c>
      <c r="N1351" s="61" t="n">
        <f aca="false">Resumo!$C$9</f>
        <v>0</v>
      </c>
      <c r="O1351" s="61" t="n">
        <f aca="false">Resumo!$C$13</f>
        <v>13.55</v>
      </c>
      <c r="P1351" s="61" t="n">
        <f aca="false">Resumo!$C$14*CEILING(G1351,1)</f>
        <v>21.15</v>
      </c>
      <c r="Q1351" s="61" t="n">
        <f aca="false">SUM(I1351:P1351)*Resumo!$C$11</f>
        <v>0</v>
      </c>
      <c r="R1351" s="61" t="n">
        <f aca="false">SUM(I1351:Q1351)</f>
        <v>91.427552</v>
      </c>
      <c r="S1351" s="61" t="n">
        <f aca="false">R1351/(1-Resumo!$C$5)</f>
        <v>103.894945454545</v>
      </c>
      <c r="T1351" s="61" t="n">
        <v>93.97</v>
      </c>
      <c r="U1351" s="61" t="n">
        <f aca="false">H1351*Resumo!$B$6</f>
        <v>0.50656</v>
      </c>
      <c r="V1351" s="61" t="n">
        <f aca="false">H1351*Resumo!$B$7</f>
        <v>1.01312</v>
      </c>
      <c r="W1351" s="61" t="n">
        <f aca="false">Resumo!$B$9</f>
        <v>1</v>
      </c>
      <c r="X1351" s="61" t="n">
        <f aca="false">Resumo!$B$10*CEILING(G1351/100,1)</f>
        <v>4.5</v>
      </c>
      <c r="Y1351" s="61" t="n">
        <f aca="false">Resumo!$B$12*CEILING(G1351,1)</f>
        <v>2.82</v>
      </c>
      <c r="Z1351" s="61" t="n">
        <f aca="false">Resumo!$B$14*CEILING(G1351,1)</f>
        <v>21.15</v>
      </c>
      <c r="AA1351" s="61" t="n">
        <f aca="false">SUM(T1351:Z1351)</f>
        <v>124.95968</v>
      </c>
      <c r="AB1351" s="61" t="n">
        <f aca="false">AA1351/(1-Resumo!$B$5)</f>
        <v>141.999636363636</v>
      </c>
      <c r="AC1351" s="61" t="n">
        <f aca="false">AB1351-S1351</f>
        <v>38.1046909090909</v>
      </c>
      <c r="AD1351" s="62" t="n">
        <f aca="false">AB1351/S1351-1</f>
        <v>0.366761739393394</v>
      </c>
      <c r="AE1351" s="60" t="str">
        <f aca="false">IF(AB1351&lt;S1351,"SIM","NÃO")</f>
        <v>NÃO</v>
      </c>
      <c r="AF1351" s="60" t="n">
        <v>2</v>
      </c>
      <c r="AG1351" s="60" t="n">
        <v>5</v>
      </c>
      <c r="AH1351" s="60" t="s">
        <v>382</v>
      </c>
      <c r="AI1351" s="61" t="n">
        <f aca="false">(T1351*(1-Painel!$C$40)+U1351+V1351+Painel!$C$41+Painel!$C$42*CEILING(G1351/100,1)+Painel!$C$43*CEILING(G1351,1)+Z1351)/(1-Resumo!$B$5)</f>
        <v>99.6358863636364</v>
      </c>
      <c r="AJ1351" s="60" t="str">
        <f aca="false">IF(AI1351&lt;S1351,"SIM","NÃO")</f>
        <v>SIM</v>
      </c>
    </row>
    <row r="1352" customFormat="false" ht="15" hidden="false" customHeight="false" outlineLevel="0" collapsed="false">
      <c r="A1352" s="59" t="n">
        <v>46256.9456712963</v>
      </c>
      <c r="B1352" s="60" t="s">
        <v>1626</v>
      </c>
      <c r="C1352" s="60" t="n">
        <v>25975550</v>
      </c>
      <c r="D1352" s="60" t="s">
        <v>281</v>
      </c>
      <c r="E1352" s="60" t="s">
        <v>24</v>
      </c>
      <c r="F1352" s="60" t="s">
        <v>241</v>
      </c>
      <c r="G1352" s="60" t="n">
        <v>124.2</v>
      </c>
      <c r="H1352" s="61" t="n">
        <v>1526.91</v>
      </c>
      <c r="I1352" s="61" t="n">
        <v>144.24</v>
      </c>
      <c r="J1352" s="61" t="n">
        <f aca="false">H1352*Resumo!$C$6</f>
        <v>0</v>
      </c>
      <c r="K1352" s="61" t="n">
        <f aca="false">H1352*Resumo!$C$7</f>
        <v>3.206511</v>
      </c>
      <c r="L1352" s="61" t="n">
        <f aca="false">H1352*Resumo!$C$8</f>
        <v>3.206511</v>
      </c>
      <c r="M1352" s="61" t="n">
        <f aca="false">Resumo!$C$10*CEILING(G1352/100,1)</f>
        <v>2.1</v>
      </c>
      <c r="N1352" s="61" t="n">
        <f aca="false">Resumo!$C$9</f>
        <v>0</v>
      </c>
      <c r="O1352" s="61" t="n">
        <f aca="false">Resumo!$C$13</f>
        <v>13.55</v>
      </c>
      <c r="P1352" s="61" t="n">
        <f aca="false">Resumo!$C$14*CEILING(G1352,1)</f>
        <v>56.25</v>
      </c>
      <c r="Q1352" s="61" t="n">
        <f aca="false">SUM(I1352:P1352)*Resumo!$C$11</f>
        <v>0</v>
      </c>
      <c r="R1352" s="61" t="n">
        <f aca="false">SUM(I1352:Q1352)</f>
        <v>222.553022</v>
      </c>
      <c r="S1352" s="61" t="n">
        <f aca="false">R1352/(1-Resumo!$C$5)</f>
        <v>252.901161363636</v>
      </c>
      <c r="T1352" s="61" t="n">
        <v>264.84</v>
      </c>
      <c r="U1352" s="61" t="n">
        <f aca="false">H1352*Resumo!$B$6</f>
        <v>1.52691</v>
      </c>
      <c r="V1352" s="61" t="n">
        <f aca="false">H1352*Resumo!$B$7</f>
        <v>3.05382</v>
      </c>
      <c r="W1352" s="61" t="n">
        <f aca="false">Resumo!$B$9</f>
        <v>1</v>
      </c>
      <c r="X1352" s="61" t="n">
        <f aca="false">Resumo!$B$10*CEILING(G1352/100,1)</f>
        <v>9</v>
      </c>
      <c r="Y1352" s="61" t="n">
        <f aca="false">Resumo!$B$12*CEILING(G1352,1)</f>
        <v>7.5</v>
      </c>
      <c r="Z1352" s="61" t="n">
        <f aca="false">Resumo!$B$14*CEILING(G1352,1)</f>
        <v>56.25</v>
      </c>
      <c r="AA1352" s="61" t="n">
        <f aca="false">SUM(T1352:Z1352)</f>
        <v>343.17073</v>
      </c>
      <c r="AB1352" s="61" t="n">
        <f aca="false">AA1352/(1-Resumo!$B$5)</f>
        <v>389.966738636364</v>
      </c>
      <c r="AC1352" s="61" t="n">
        <f aca="false">AB1352-S1352</f>
        <v>137.065577272727</v>
      </c>
      <c r="AD1352" s="62" t="n">
        <f aca="false">AB1352/S1352-1</f>
        <v>0.541972905674586</v>
      </c>
      <c r="AE1352" s="60" t="str">
        <f aca="false">IF(AB1352&lt;S1352,"SIM","NÃO")</f>
        <v>NÃO</v>
      </c>
      <c r="AF1352" s="60" t="n">
        <v>13</v>
      </c>
      <c r="AG1352" s="60" t="n">
        <v>10</v>
      </c>
      <c r="AH1352" s="60" t="s">
        <v>385</v>
      </c>
      <c r="AI1352" s="61" t="n">
        <f aca="false">(T1352*(1-Painel!$C$40)+U1352+V1352+Painel!$C$41+Painel!$C$42*CEILING(G1352/100,1)+Painel!$C$43*CEILING(G1352,1)+Z1352)/(1-Resumo!$B$5)</f>
        <v>274.288102272727</v>
      </c>
      <c r="AJ1352" s="60" t="str">
        <f aca="false">IF(AI1352&lt;S1352,"SIM","NÃO")</f>
        <v>NÃO</v>
      </c>
    </row>
    <row r="1353" customFormat="false" ht="15" hidden="false" customHeight="false" outlineLevel="0" collapsed="false">
      <c r="A1353" s="59" t="n">
        <v>46256.9612384259</v>
      </c>
      <c r="B1353" s="60" t="s">
        <v>1627</v>
      </c>
      <c r="C1353" s="60" t="n">
        <v>23020590</v>
      </c>
      <c r="D1353" s="60" t="s">
        <v>46</v>
      </c>
      <c r="E1353" s="60" t="s">
        <v>22</v>
      </c>
      <c r="F1353" s="60" t="s">
        <v>237</v>
      </c>
      <c r="G1353" s="60" t="n">
        <v>63</v>
      </c>
      <c r="H1353" s="61" t="n">
        <v>942.65</v>
      </c>
      <c r="I1353" s="61" t="n">
        <v>63.21</v>
      </c>
      <c r="J1353" s="61" t="n">
        <f aca="false">H1353*Resumo!$C$6</f>
        <v>0</v>
      </c>
      <c r="K1353" s="61" t="n">
        <f aca="false">H1353*Resumo!$C$7</f>
        <v>1.979565</v>
      </c>
      <c r="L1353" s="61" t="n">
        <f aca="false">H1353*Resumo!$C$8</f>
        <v>1.979565</v>
      </c>
      <c r="M1353" s="61" t="n">
        <f aca="false">Resumo!$C$10*CEILING(G1353/100,1)</f>
        <v>1.05</v>
      </c>
      <c r="N1353" s="61" t="n">
        <f aca="false">Resumo!$C$9</f>
        <v>0</v>
      </c>
      <c r="O1353" s="61" t="n">
        <f aca="false">Resumo!$C$13</f>
        <v>13.55</v>
      </c>
      <c r="P1353" s="61" t="n">
        <f aca="false">Resumo!$C$14*CEILING(G1353,1)</f>
        <v>28.35</v>
      </c>
      <c r="Q1353" s="61" t="n">
        <f aca="false">SUM(I1353:P1353)*Resumo!$C$11</f>
        <v>0</v>
      </c>
      <c r="R1353" s="61" t="n">
        <f aca="false">SUM(I1353:Q1353)</f>
        <v>110.11913</v>
      </c>
      <c r="S1353" s="61" t="n">
        <f aca="false">R1353/(1-Resumo!$C$5)</f>
        <v>125.135375</v>
      </c>
      <c r="T1353" s="61" t="n">
        <v>131.02</v>
      </c>
      <c r="U1353" s="61" t="n">
        <f aca="false">H1353*Resumo!$B$6</f>
        <v>0.94265</v>
      </c>
      <c r="V1353" s="61" t="n">
        <f aca="false">H1353*Resumo!$B$7</f>
        <v>1.8853</v>
      </c>
      <c r="W1353" s="61" t="n">
        <f aca="false">Resumo!$B$9</f>
        <v>1</v>
      </c>
      <c r="X1353" s="61" t="n">
        <f aca="false">Resumo!$B$10*CEILING(G1353/100,1)</f>
        <v>4.5</v>
      </c>
      <c r="Y1353" s="61" t="n">
        <f aca="false">Resumo!$B$12*CEILING(G1353,1)</f>
        <v>3.78</v>
      </c>
      <c r="Z1353" s="61" t="n">
        <f aca="false">Resumo!$B$14*CEILING(G1353,1)</f>
        <v>28.35</v>
      </c>
      <c r="AA1353" s="61" t="n">
        <f aca="false">SUM(T1353:Z1353)</f>
        <v>171.47795</v>
      </c>
      <c r="AB1353" s="61" t="n">
        <f aca="false">AA1353/(1-Resumo!$B$5)</f>
        <v>194.861306818182</v>
      </c>
      <c r="AC1353" s="61" t="n">
        <f aca="false">AB1353-S1353</f>
        <v>69.7259318181818</v>
      </c>
      <c r="AD1353" s="62" t="n">
        <f aca="false">AB1353/S1353-1</f>
        <v>0.557204002610627</v>
      </c>
      <c r="AE1353" s="60" t="str">
        <f aca="false">IF(AB1353&lt;S1353,"SIM","NÃO")</f>
        <v>NÃO</v>
      </c>
      <c r="AF1353" s="60" t="n">
        <v>2</v>
      </c>
      <c r="AG1353" s="60" t="n">
        <v>5</v>
      </c>
      <c r="AH1353" s="60" t="s">
        <v>382</v>
      </c>
      <c r="AI1353" s="61" t="n">
        <f aca="false">(T1353*(1-Painel!$C$40)+U1353+V1353+Painel!$C$41+Painel!$C$42*CEILING(G1353/100,1)+Painel!$C$43*CEILING(G1353,1)+Z1353)/(1-Resumo!$B$5)</f>
        <v>137.512897727273</v>
      </c>
      <c r="AJ1353" s="60" t="str">
        <f aca="false">IF(AI1353&lt;S1353,"SIM","NÃO")</f>
        <v>NÃO</v>
      </c>
    </row>
    <row r="1354" customFormat="false" ht="15" hidden="false" customHeight="false" outlineLevel="0" collapsed="false">
      <c r="A1354" s="59" t="n">
        <v>46256.9718634259</v>
      </c>
      <c r="B1354" s="60" t="s">
        <v>1628</v>
      </c>
      <c r="C1354" s="60" t="n">
        <v>25086390</v>
      </c>
      <c r="D1354" s="60" t="s">
        <v>48</v>
      </c>
      <c r="E1354" s="60" t="s">
        <v>23</v>
      </c>
      <c r="F1354" s="60" t="s">
        <v>237</v>
      </c>
      <c r="G1354" s="60" t="n">
        <v>66.8</v>
      </c>
      <c r="H1354" s="61" t="n">
        <v>699.99</v>
      </c>
      <c r="I1354" s="61" t="n">
        <v>76.55</v>
      </c>
      <c r="J1354" s="61" t="n">
        <f aca="false">H1354*Resumo!$C$6</f>
        <v>0</v>
      </c>
      <c r="K1354" s="61" t="n">
        <f aca="false">H1354*Resumo!$C$7</f>
        <v>1.469979</v>
      </c>
      <c r="L1354" s="61" t="n">
        <f aca="false">H1354*Resumo!$C$8</f>
        <v>1.469979</v>
      </c>
      <c r="M1354" s="61" t="n">
        <f aca="false">Resumo!$C$10*CEILING(G1354/100,1)</f>
        <v>1.05</v>
      </c>
      <c r="N1354" s="61" t="n">
        <f aca="false">Resumo!$C$9</f>
        <v>0</v>
      </c>
      <c r="O1354" s="61" t="n">
        <f aca="false">Resumo!$C$13</f>
        <v>13.55</v>
      </c>
      <c r="P1354" s="61" t="n">
        <f aca="false">Resumo!$C$14*CEILING(G1354,1)</f>
        <v>30.15</v>
      </c>
      <c r="Q1354" s="61" t="n">
        <f aca="false">SUM(I1354:P1354)*Resumo!$C$11</f>
        <v>0</v>
      </c>
      <c r="R1354" s="61" t="n">
        <f aca="false">SUM(I1354:Q1354)</f>
        <v>124.239958</v>
      </c>
      <c r="S1354" s="61" t="n">
        <f aca="false">R1354/(1-Resumo!$C$5)</f>
        <v>141.181770454545</v>
      </c>
      <c r="T1354" s="61" t="n">
        <v>131.02</v>
      </c>
      <c r="U1354" s="61" t="n">
        <f aca="false">H1354*Resumo!$B$6</f>
        <v>0.69999</v>
      </c>
      <c r="V1354" s="61" t="n">
        <f aca="false">H1354*Resumo!$B$7</f>
        <v>1.39998</v>
      </c>
      <c r="W1354" s="61" t="n">
        <f aca="false">Resumo!$B$9</f>
        <v>1</v>
      </c>
      <c r="X1354" s="61" t="n">
        <f aca="false">Resumo!$B$10*CEILING(G1354/100,1)</f>
        <v>4.5</v>
      </c>
      <c r="Y1354" s="61" t="n">
        <f aca="false">Resumo!$B$12*CEILING(G1354,1)</f>
        <v>4.02</v>
      </c>
      <c r="Z1354" s="61" t="n">
        <f aca="false">Resumo!$B$14*CEILING(G1354,1)</f>
        <v>30.15</v>
      </c>
      <c r="AA1354" s="61" t="n">
        <f aca="false">SUM(T1354:Z1354)</f>
        <v>172.78997</v>
      </c>
      <c r="AB1354" s="61" t="n">
        <f aca="false">AA1354/(1-Resumo!$B$5)</f>
        <v>196.352238636364</v>
      </c>
      <c r="AC1354" s="61" t="n">
        <f aca="false">AB1354-S1354</f>
        <v>55.1704681818182</v>
      </c>
      <c r="AD1354" s="62" t="n">
        <f aca="false">AB1354/S1354-1</f>
        <v>0.390776146270108</v>
      </c>
      <c r="AE1354" s="60" t="str">
        <f aca="false">IF(AB1354&lt;S1354,"SIM","NÃO")</f>
        <v>NÃO</v>
      </c>
      <c r="AF1354" s="60" t="n">
        <v>2</v>
      </c>
      <c r="AG1354" s="60" t="n">
        <v>5</v>
      </c>
      <c r="AH1354" s="60" t="s">
        <v>382</v>
      </c>
      <c r="AI1354" s="61" t="n">
        <f aca="false">(T1354*(1-Painel!$C$40)+U1354+V1354+Painel!$C$41+Painel!$C$42*CEILING(G1354/100,1)+Painel!$C$43*CEILING(G1354,1)+Z1354)/(1-Resumo!$B$5)</f>
        <v>138.731102272727</v>
      </c>
      <c r="AJ1354" s="60" t="str">
        <f aca="false">IF(AI1354&lt;S1354,"SIM","NÃO")</f>
        <v>SIM</v>
      </c>
    </row>
    <row r="1355" customFormat="false" ht="15" hidden="false" customHeight="false" outlineLevel="0" collapsed="false">
      <c r="A1355" s="59" t="n">
        <v>46257.0012037037</v>
      </c>
      <c r="B1355" s="60" t="s">
        <v>1629</v>
      </c>
      <c r="C1355" s="60" t="n">
        <v>22270016</v>
      </c>
      <c r="D1355" s="60" t="s">
        <v>46</v>
      </c>
      <c r="E1355" s="60" t="s">
        <v>22</v>
      </c>
      <c r="F1355" s="60" t="s">
        <v>235</v>
      </c>
      <c r="G1355" s="60" t="n">
        <v>48</v>
      </c>
      <c r="H1355" s="61" t="n">
        <v>899.99</v>
      </c>
      <c r="I1355" s="61" t="n">
        <v>53.55</v>
      </c>
      <c r="J1355" s="61" t="n">
        <f aca="false">H1355*Resumo!$C$6</f>
        <v>0</v>
      </c>
      <c r="K1355" s="61" t="n">
        <f aca="false">H1355*Resumo!$C$7</f>
        <v>1.889979</v>
      </c>
      <c r="L1355" s="61" t="n">
        <f aca="false">H1355*Resumo!$C$8</f>
        <v>1.889979</v>
      </c>
      <c r="M1355" s="61" t="n">
        <f aca="false">Resumo!$C$10*CEILING(G1355/100,1)</f>
        <v>1.05</v>
      </c>
      <c r="N1355" s="61" t="n">
        <f aca="false">Resumo!$C$9</f>
        <v>0</v>
      </c>
      <c r="O1355" s="61" t="n">
        <f aca="false">Resumo!$C$13</f>
        <v>13.55</v>
      </c>
      <c r="P1355" s="61" t="n">
        <f aca="false">Resumo!$C$14*CEILING(G1355,1)</f>
        <v>21.6</v>
      </c>
      <c r="Q1355" s="61" t="n">
        <f aca="false">SUM(I1355:P1355)*Resumo!$C$11</f>
        <v>0</v>
      </c>
      <c r="R1355" s="61" t="n">
        <f aca="false">SUM(I1355:Q1355)</f>
        <v>93.529958</v>
      </c>
      <c r="S1355" s="61" t="n">
        <f aca="false">R1355/(1-Resumo!$C$5)</f>
        <v>106.284043181818</v>
      </c>
      <c r="T1355" s="61" t="n">
        <v>93.97</v>
      </c>
      <c r="U1355" s="61" t="n">
        <f aca="false">H1355*Resumo!$B$6</f>
        <v>0.89999</v>
      </c>
      <c r="V1355" s="61" t="n">
        <f aca="false">H1355*Resumo!$B$7</f>
        <v>1.79998</v>
      </c>
      <c r="W1355" s="61" t="n">
        <f aca="false">Resumo!$B$9</f>
        <v>1</v>
      </c>
      <c r="X1355" s="61" t="n">
        <f aca="false">Resumo!$B$10*CEILING(G1355/100,1)</f>
        <v>4.5</v>
      </c>
      <c r="Y1355" s="61" t="n">
        <f aca="false">Resumo!$B$12*CEILING(G1355,1)</f>
        <v>2.88</v>
      </c>
      <c r="Z1355" s="61" t="n">
        <f aca="false">Resumo!$B$14*CEILING(G1355,1)</f>
        <v>21.6</v>
      </c>
      <c r="AA1355" s="61" t="n">
        <f aca="false">SUM(T1355:Z1355)</f>
        <v>126.64997</v>
      </c>
      <c r="AB1355" s="61" t="n">
        <f aca="false">AA1355/(1-Resumo!$B$5)</f>
        <v>143.920420454545</v>
      </c>
      <c r="AC1355" s="61" t="n">
        <f aca="false">AB1355-S1355</f>
        <v>37.6363772727273</v>
      </c>
      <c r="AD1355" s="62" t="n">
        <f aca="false">AB1355/S1355-1</f>
        <v>0.354111267750168</v>
      </c>
      <c r="AE1355" s="60" t="str">
        <f aca="false">IF(AB1355&lt;S1355,"SIM","NÃO")</f>
        <v>NÃO</v>
      </c>
      <c r="AF1355" s="60" t="n">
        <v>2</v>
      </c>
      <c r="AG1355" s="60" t="n">
        <v>5</v>
      </c>
      <c r="AH1355" s="60" t="s">
        <v>382</v>
      </c>
      <c r="AI1355" s="61" t="n">
        <f aca="false">(T1355*(1-Painel!$C$40)+U1355+V1355+Painel!$C$41+Painel!$C$42*CEILING(G1355/100,1)+Painel!$C$43*CEILING(G1355,1)+Z1355)/(1-Resumo!$B$5)</f>
        <v>101.488488636364</v>
      </c>
      <c r="AJ1355" s="60" t="str">
        <f aca="false">IF(AI1355&lt;S1355,"SIM","NÃO")</f>
        <v>SIM</v>
      </c>
    </row>
    <row r="1356" customFormat="false" ht="15" hidden="false" customHeight="false" outlineLevel="0" collapsed="false">
      <c r="A1356" s="59" t="n">
        <v>46257.1960763889</v>
      </c>
      <c r="B1356" s="60" t="s">
        <v>1630</v>
      </c>
      <c r="C1356" s="60" t="n">
        <v>23025034</v>
      </c>
      <c r="D1356" s="60" t="s">
        <v>46</v>
      </c>
      <c r="E1356" s="60" t="s">
        <v>22</v>
      </c>
      <c r="F1356" s="60" t="s">
        <v>235</v>
      </c>
      <c r="G1356" s="60" t="n">
        <v>41.4</v>
      </c>
      <c r="H1356" s="61" t="n">
        <v>387</v>
      </c>
      <c r="I1356" s="61" t="n">
        <v>53.55</v>
      </c>
      <c r="J1356" s="61" t="n">
        <f aca="false">H1356*Resumo!$C$6</f>
        <v>0</v>
      </c>
      <c r="K1356" s="61" t="n">
        <f aca="false">H1356*Resumo!$C$7</f>
        <v>0.8127</v>
      </c>
      <c r="L1356" s="61" t="n">
        <f aca="false">H1356*Resumo!$C$8</f>
        <v>0.8127</v>
      </c>
      <c r="M1356" s="61" t="n">
        <f aca="false">Resumo!$C$10*CEILING(G1356/100,1)</f>
        <v>1.05</v>
      </c>
      <c r="N1356" s="61" t="n">
        <f aca="false">Resumo!$C$9</f>
        <v>0</v>
      </c>
      <c r="O1356" s="61" t="n">
        <f aca="false">Resumo!$C$13</f>
        <v>13.55</v>
      </c>
      <c r="P1356" s="61" t="n">
        <f aca="false">Resumo!$C$14*CEILING(G1356,1)</f>
        <v>18.9</v>
      </c>
      <c r="Q1356" s="61" t="n">
        <f aca="false">SUM(I1356:P1356)*Resumo!$C$11</f>
        <v>0</v>
      </c>
      <c r="R1356" s="61" t="n">
        <f aca="false">SUM(I1356:Q1356)</f>
        <v>88.6754</v>
      </c>
      <c r="S1356" s="61" t="n">
        <f aca="false">R1356/(1-Resumo!$C$5)</f>
        <v>100.7675</v>
      </c>
      <c r="T1356" s="61" t="n">
        <v>93.97</v>
      </c>
      <c r="U1356" s="61" t="n">
        <f aca="false">H1356*Resumo!$B$6</f>
        <v>0.387</v>
      </c>
      <c r="V1356" s="61" t="n">
        <f aca="false">H1356*Resumo!$B$7</f>
        <v>0.774</v>
      </c>
      <c r="W1356" s="61" t="n">
        <f aca="false">Resumo!$B$9</f>
        <v>1</v>
      </c>
      <c r="X1356" s="61" t="n">
        <f aca="false">Resumo!$B$10*CEILING(G1356/100,1)</f>
        <v>4.5</v>
      </c>
      <c r="Y1356" s="61" t="n">
        <f aca="false">Resumo!$B$12*CEILING(G1356,1)</f>
        <v>2.52</v>
      </c>
      <c r="Z1356" s="61" t="n">
        <f aca="false">Resumo!$B$14*CEILING(G1356,1)</f>
        <v>18.9</v>
      </c>
      <c r="AA1356" s="61" t="n">
        <f aca="false">SUM(T1356:Z1356)</f>
        <v>122.051</v>
      </c>
      <c r="AB1356" s="61" t="n">
        <f aca="false">AA1356/(1-Resumo!$B$5)</f>
        <v>138.694318181818</v>
      </c>
      <c r="AC1356" s="61" t="n">
        <f aca="false">AB1356-S1356</f>
        <v>37.9268181818182</v>
      </c>
      <c r="AD1356" s="62" t="n">
        <f aca="false">AB1356/S1356-1</f>
        <v>0.376379469390609</v>
      </c>
      <c r="AE1356" s="60" t="str">
        <f aca="false">IF(AB1356&lt;S1356,"SIM","NÃO")</f>
        <v>NÃO</v>
      </c>
      <c r="AF1356" s="60" t="n">
        <v>2</v>
      </c>
      <c r="AG1356" s="60" t="n">
        <v>5</v>
      </c>
      <c r="AH1356" s="60" t="s">
        <v>382</v>
      </c>
      <c r="AI1356" s="61" t="n">
        <f aca="false">(T1356*(1-Painel!$C$40)+U1356+V1356+Painel!$C$41+Painel!$C$42*CEILING(G1356/100,1)+Painel!$C$43*CEILING(G1356,1)+Z1356)/(1-Resumo!$B$5)</f>
        <v>96.6714772727273</v>
      </c>
      <c r="AJ1356" s="60" t="str">
        <f aca="false">IF(AI1356&lt;S1356,"SIM","NÃO")</f>
        <v>SIM</v>
      </c>
    </row>
    <row r="1357" customFormat="false" ht="15" hidden="false" customHeight="false" outlineLevel="0" collapsed="false">
      <c r="A1357" s="59" t="n">
        <v>46257.3109837963</v>
      </c>
      <c r="B1357" s="60" t="s">
        <v>1631</v>
      </c>
      <c r="C1357" s="60" t="n">
        <v>25261100</v>
      </c>
      <c r="D1357" s="60" t="s">
        <v>48</v>
      </c>
      <c r="E1357" s="60" t="s">
        <v>23</v>
      </c>
      <c r="F1357" s="60" t="s">
        <v>233</v>
      </c>
      <c r="G1357" s="60" t="n">
        <v>31.5</v>
      </c>
      <c r="H1357" s="61" t="n">
        <v>429.99</v>
      </c>
      <c r="I1357" s="61" t="n">
        <v>58.8</v>
      </c>
      <c r="J1357" s="61" t="n">
        <f aca="false">H1357*Resumo!$C$6</f>
        <v>0</v>
      </c>
      <c r="K1357" s="61" t="n">
        <f aca="false">H1357*Resumo!$C$7</f>
        <v>0.902979</v>
      </c>
      <c r="L1357" s="61" t="n">
        <f aca="false">H1357*Resumo!$C$8</f>
        <v>0.902979</v>
      </c>
      <c r="M1357" s="61" t="n">
        <f aca="false">Resumo!$C$10*CEILING(G1357/100,1)</f>
        <v>1.05</v>
      </c>
      <c r="N1357" s="61" t="n">
        <f aca="false">Resumo!$C$9</f>
        <v>0</v>
      </c>
      <c r="O1357" s="61" t="n">
        <f aca="false">Resumo!$C$13</f>
        <v>13.55</v>
      </c>
      <c r="P1357" s="61" t="n">
        <f aca="false">Resumo!$C$14*CEILING(G1357,1)</f>
        <v>14.4</v>
      </c>
      <c r="Q1357" s="61" t="n">
        <f aca="false">SUM(I1357:P1357)*Resumo!$C$11</f>
        <v>0</v>
      </c>
      <c r="R1357" s="61" t="n">
        <f aca="false">SUM(I1357:Q1357)</f>
        <v>89.605958</v>
      </c>
      <c r="S1357" s="61" t="n">
        <f aca="false">R1357/(1-Resumo!$C$5)</f>
        <v>101.824952272727</v>
      </c>
      <c r="T1357" s="61" t="n">
        <v>82.21</v>
      </c>
      <c r="U1357" s="61" t="n">
        <f aca="false">H1357*Resumo!$B$6</f>
        <v>0.42999</v>
      </c>
      <c r="V1357" s="61" t="n">
        <f aca="false">H1357*Resumo!$B$7</f>
        <v>0.85998</v>
      </c>
      <c r="W1357" s="61" t="n">
        <f aca="false">Resumo!$B$9</f>
        <v>1</v>
      </c>
      <c r="X1357" s="61" t="n">
        <f aca="false">Resumo!$B$10*CEILING(G1357/100,1)</f>
        <v>4.5</v>
      </c>
      <c r="Y1357" s="61" t="n">
        <f aca="false">Resumo!$B$12*CEILING(G1357,1)</f>
        <v>1.92</v>
      </c>
      <c r="Z1357" s="61" t="n">
        <f aca="false">Resumo!$B$14*CEILING(G1357,1)</f>
        <v>14.4</v>
      </c>
      <c r="AA1357" s="61" t="n">
        <f aca="false">SUM(T1357:Z1357)</f>
        <v>105.31997</v>
      </c>
      <c r="AB1357" s="61" t="n">
        <f aca="false">AA1357/(1-Resumo!$B$5)</f>
        <v>119.681784090909</v>
      </c>
      <c r="AC1357" s="61" t="n">
        <f aca="false">AB1357-S1357</f>
        <v>17.8568318181818</v>
      </c>
      <c r="AD1357" s="62" t="n">
        <f aca="false">AB1357/S1357-1</f>
        <v>0.175367937029366</v>
      </c>
      <c r="AE1357" s="60" t="str">
        <f aca="false">IF(AB1357&lt;S1357,"SIM","NÃO")</f>
        <v>NÃO</v>
      </c>
      <c r="AF1357" s="60" t="n">
        <v>2</v>
      </c>
      <c r="AG1357" s="60" t="n">
        <v>5</v>
      </c>
      <c r="AH1357" s="60" t="s">
        <v>382</v>
      </c>
      <c r="AI1357" s="61" t="n">
        <f aca="false">(T1357*(1-Painel!$C$40)+U1357+V1357+Painel!$C$41+Painel!$C$42*CEILING(G1357/100,1)+Painel!$C$43*CEILING(G1357,1)+Z1357)/(1-Resumo!$B$5)</f>
        <v>82.7507613636364</v>
      </c>
      <c r="AJ1357" s="60" t="str">
        <f aca="false">IF(AI1357&lt;S1357,"SIM","NÃO")</f>
        <v>SIM</v>
      </c>
    </row>
    <row r="1358" customFormat="false" ht="15" hidden="false" customHeight="false" outlineLevel="0" collapsed="false">
      <c r="A1358" s="59" t="n">
        <v>46257.3203356482</v>
      </c>
      <c r="B1358" s="60" t="s">
        <v>1632</v>
      </c>
      <c r="C1358" s="60" t="n">
        <v>23068320</v>
      </c>
      <c r="D1358" s="60" t="s">
        <v>46</v>
      </c>
      <c r="E1358" s="60" t="s">
        <v>22</v>
      </c>
      <c r="F1358" s="60" t="s">
        <v>232</v>
      </c>
      <c r="G1358" s="60" t="n">
        <v>19.5</v>
      </c>
      <c r="H1358" s="61" t="n">
        <v>348.32</v>
      </c>
      <c r="I1358" s="61" t="n">
        <v>33.42</v>
      </c>
      <c r="J1358" s="61" t="n">
        <f aca="false">H1358*Resumo!$C$6</f>
        <v>0</v>
      </c>
      <c r="K1358" s="61" t="n">
        <f aca="false">H1358*Resumo!$C$7</f>
        <v>0.731472</v>
      </c>
      <c r="L1358" s="61" t="n">
        <f aca="false">H1358*Resumo!$C$8</f>
        <v>0.731472</v>
      </c>
      <c r="M1358" s="61" t="n">
        <f aca="false">Resumo!$C$10*CEILING(G1358/100,1)</f>
        <v>1.05</v>
      </c>
      <c r="N1358" s="61" t="n">
        <f aca="false">Resumo!$C$9</f>
        <v>0</v>
      </c>
      <c r="O1358" s="61" t="n">
        <f aca="false">Resumo!$C$13</f>
        <v>13.55</v>
      </c>
      <c r="P1358" s="61" t="n">
        <f aca="false">Resumo!$C$14*CEILING(G1358,1)</f>
        <v>9</v>
      </c>
      <c r="Q1358" s="61" t="n">
        <f aca="false">SUM(I1358:P1358)*Resumo!$C$11</f>
        <v>0</v>
      </c>
      <c r="R1358" s="61" t="n">
        <f aca="false">SUM(I1358:Q1358)</f>
        <v>58.482944</v>
      </c>
      <c r="S1358" s="61" t="n">
        <f aca="false">R1358/(1-Resumo!$C$5)</f>
        <v>66.4578909090909</v>
      </c>
      <c r="T1358" s="61" t="n">
        <v>46.98</v>
      </c>
      <c r="U1358" s="61" t="n">
        <f aca="false">H1358*Resumo!$B$6</f>
        <v>0.34832</v>
      </c>
      <c r="V1358" s="61" t="n">
        <f aca="false">H1358*Resumo!$B$7</f>
        <v>0.69664</v>
      </c>
      <c r="W1358" s="61" t="n">
        <f aca="false">Resumo!$B$9</f>
        <v>1</v>
      </c>
      <c r="X1358" s="61" t="n">
        <f aca="false">Resumo!$B$10*CEILING(G1358/100,1)</f>
        <v>4.5</v>
      </c>
      <c r="Y1358" s="61" t="n">
        <f aca="false">Resumo!$B$12*CEILING(G1358,1)</f>
        <v>1.2</v>
      </c>
      <c r="Z1358" s="61" t="n">
        <f aca="false">Resumo!$B$14*CEILING(G1358,1)</f>
        <v>9</v>
      </c>
      <c r="AA1358" s="61" t="n">
        <f aca="false">SUM(T1358:Z1358)</f>
        <v>63.72496</v>
      </c>
      <c r="AB1358" s="61" t="n">
        <f aca="false">AA1358/(1-Resumo!$B$5)</f>
        <v>72.4147272727273</v>
      </c>
      <c r="AC1358" s="61" t="n">
        <f aca="false">AB1358-S1358</f>
        <v>5.95683636363636</v>
      </c>
      <c r="AD1358" s="62" t="n">
        <f aca="false">AB1358/S1358-1</f>
        <v>0.0896332441814145</v>
      </c>
      <c r="AE1358" s="60" t="str">
        <f aca="false">IF(AB1358&lt;S1358,"SIM","NÃO")</f>
        <v>NÃO</v>
      </c>
      <c r="AF1358" s="60" t="n">
        <v>2</v>
      </c>
      <c r="AG1358" s="60" t="n">
        <v>5</v>
      </c>
      <c r="AH1358" s="60" t="s">
        <v>382</v>
      </c>
      <c r="AI1358" s="61" t="n">
        <f aca="false">(T1358*(1-Painel!$C$40)+U1358+V1358+Painel!$C$41+Painel!$C$42*CEILING(G1358/100,1)+Painel!$C$43*CEILING(G1358,1)+Z1358)/(1-Resumo!$B$5)</f>
        <v>49.5131363636364</v>
      </c>
      <c r="AJ1358" s="60" t="str">
        <f aca="false">IF(AI1358&lt;S1358,"SIM","NÃO")</f>
        <v>SIM</v>
      </c>
    </row>
    <row r="1359" customFormat="false" ht="15" hidden="false" customHeight="false" outlineLevel="0" collapsed="false">
      <c r="A1359" s="59" t="n">
        <v>46257.3430208333</v>
      </c>
      <c r="B1359" s="60" t="s">
        <v>1633</v>
      </c>
      <c r="C1359" s="60" t="n">
        <v>24851564</v>
      </c>
      <c r="D1359" s="60" t="s">
        <v>223</v>
      </c>
      <c r="E1359" s="60" t="s">
        <v>24</v>
      </c>
      <c r="F1359" s="60" t="s">
        <v>237</v>
      </c>
      <c r="G1359" s="60" t="n">
        <v>63</v>
      </c>
      <c r="H1359" s="61" t="n">
        <v>942.65</v>
      </c>
      <c r="I1359" s="61" t="n">
        <v>90.2</v>
      </c>
      <c r="J1359" s="61" t="n">
        <f aca="false">H1359*Resumo!$C$6</f>
        <v>0</v>
      </c>
      <c r="K1359" s="61" t="n">
        <f aca="false">H1359*Resumo!$C$7</f>
        <v>1.979565</v>
      </c>
      <c r="L1359" s="61" t="n">
        <f aca="false">H1359*Resumo!$C$8</f>
        <v>1.979565</v>
      </c>
      <c r="M1359" s="61" t="n">
        <f aca="false">Resumo!$C$10*CEILING(G1359/100,1)</f>
        <v>1.05</v>
      </c>
      <c r="N1359" s="61" t="n">
        <f aca="false">Resumo!$C$9</f>
        <v>0</v>
      </c>
      <c r="O1359" s="61" t="n">
        <f aca="false">Resumo!$C$13</f>
        <v>13.55</v>
      </c>
      <c r="P1359" s="61" t="n">
        <f aca="false">Resumo!$C$14*CEILING(G1359,1)</f>
        <v>28.35</v>
      </c>
      <c r="Q1359" s="61" t="n">
        <f aca="false">SUM(I1359:P1359)*Resumo!$C$11</f>
        <v>0</v>
      </c>
      <c r="R1359" s="61" t="n">
        <f aca="false">SUM(I1359:Q1359)</f>
        <v>137.10913</v>
      </c>
      <c r="S1359" s="61" t="n">
        <f aca="false">R1359/(1-Resumo!$C$5)</f>
        <v>155.805829545455</v>
      </c>
      <c r="T1359" s="61" t="n">
        <v>149.5</v>
      </c>
      <c r="U1359" s="61" t="n">
        <f aca="false">H1359*Resumo!$B$6</f>
        <v>0.94265</v>
      </c>
      <c r="V1359" s="61" t="n">
        <f aca="false">H1359*Resumo!$B$7</f>
        <v>1.8853</v>
      </c>
      <c r="W1359" s="61" t="n">
        <f aca="false">Resumo!$B$9</f>
        <v>1</v>
      </c>
      <c r="X1359" s="61" t="n">
        <f aca="false">Resumo!$B$10*CEILING(G1359/100,1)</f>
        <v>4.5</v>
      </c>
      <c r="Y1359" s="61" t="n">
        <f aca="false">Resumo!$B$12*CEILING(G1359,1)</f>
        <v>3.78</v>
      </c>
      <c r="Z1359" s="61" t="n">
        <f aca="false">Resumo!$B$14*CEILING(G1359,1)</f>
        <v>28.35</v>
      </c>
      <c r="AA1359" s="61" t="n">
        <f aca="false">SUM(T1359:Z1359)</f>
        <v>189.95795</v>
      </c>
      <c r="AB1359" s="61" t="n">
        <f aca="false">AA1359/(1-Resumo!$B$5)</f>
        <v>215.861306818182</v>
      </c>
      <c r="AC1359" s="61" t="n">
        <f aca="false">AB1359-S1359</f>
        <v>60.0554772727272</v>
      </c>
      <c r="AD1359" s="62" t="n">
        <f aca="false">AB1359/S1359-1</f>
        <v>0.385450771950781</v>
      </c>
      <c r="AE1359" s="60" t="str">
        <f aca="false">IF(AB1359&lt;S1359,"SIM","NÃO")</f>
        <v>NÃO</v>
      </c>
      <c r="AF1359" s="60" t="n">
        <v>13</v>
      </c>
      <c r="AG1359" s="60" t="n">
        <v>7</v>
      </c>
      <c r="AH1359" s="60" t="s">
        <v>382</v>
      </c>
      <c r="AI1359" s="61" t="n">
        <f aca="false">(T1359*(1-Painel!$C$40)+U1359+V1359+Painel!$C$41+Painel!$C$42*CEILING(G1359/100,1)+Painel!$C$43*CEILING(G1359,1)+Z1359)/(1-Resumo!$B$5)</f>
        <v>151.582897727273</v>
      </c>
      <c r="AJ1359" s="60" t="str">
        <f aca="false">IF(AI1359&lt;S1359,"SIM","NÃO")</f>
        <v>SIM</v>
      </c>
    </row>
    <row r="1360" customFormat="false" ht="15" hidden="false" customHeight="false" outlineLevel="0" collapsed="false">
      <c r="A1360" s="59" t="n">
        <v>46257.391099537</v>
      </c>
      <c r="B1360" s="60" t="s">
        <v>1634</v>
      </c>
      <c r="C1360" s="60" t="n">
        <v>22763153</v>
      </c>
      <c r="D1360" s="60" t="s">
        <v>46</v>
      </c>
      <c r="E1360" s="60" t="s">
        <v>22</v>
      </c>
      <c r="F1360" s="60" t="s">
        <v>235</v>
      </c>
      <c r="G1360" s="60" t="n">
        <v>41.4</v>
      </c>
      <c r="H1360" s="61" t="n">
        <v>449.99</v>
      </c>
      <c r="I1360" s="61" t="n">
        <v>53.55</v>
      </c>
      <c r="J1360" s="61" t="n">
        <f aca="false">H1360*Resumo!$C$6</f>
        <v>0</v>
      </c>
      <c r="K1360" s="61" t="n">
        <f aca="false">H1360*Resumo!$C$7</f>
        <v>0.944979</v>
      </c>
      <c r="L1360" s="61" t="n">
        <f aca="false">H1360*Resumo!$C$8</f>
        <v>0.944979</v>
      </c>
      <c r="M1360" s="61" t="n">
        <f aca="false">Resumo!$C$10*CEILING(G1360/100,1)</f>
        <v>1.05</v>
      </c>
      <c r="N1360" s="61" t="n">
        <f aca="false">Resumo!$C$9</f>
        <v>0</v>
      </c>
      <c r="O1360" s="61" t="n">
        <f aca="false">Resumo!$C$13</f>
        <v>13.55</v>
      </c>
      <c r="P1360" s="61" t="n">
        <f aca="false">Resumo!$C$14*CEILING(G1360,1)</f>
        <v>18.9</v>
      </c>
      <c r="Q1360" s="61" t="n">
        <f aca="false">SUM(I1360:P1360)*Resumo!$C$11</f>
        <v>0</v>
      </c>
      <c r="R1360" s="61" t="n">
        <f aca="false">SUM(I1360:Q1360)</f>
        <v>88.939958</v>
      </c>
      <c r="S1360" s="61" t="n">
        <f aca="false">R1360/(1-Resumo!$C$5)</f>
        <v>101.068134090909</v>
      </c>
      <c r="T1360" s="61" t="n">
        <v>93.97</v>
      </c>
      <c r="U1360" s="61" t="n">
        <f aca="false">H1360*Resumo!$B$6</f>
        <v>0.44999</v>
      </c>
      <c r="V1360" s="61" t="n">
        <f aca="false">H1360*Resumo!$B$7</f>
        <v>0.89998</v>
      </c>
      <c r="W1360" s="61" t="n">
        <f aca="false">Resumo!$B$9</f>
        <v>1</v>
      </c>
      <c r="X1360" s="61" t="n">
        <f aca="false">Resumo!$B$10*CEILING(G1360/100,1)</f>
        <v>4.5</v>
      </c>
      <c r="Y1360" s="61" t="n">
        <f aca="false">Resumo!$B$12*CEILING(G1360,1)</f>
        <v>2.52</v>
      </c>
      <c r="Z1360" s="61" t="n">
        <f aca="false">Resumo!$B$14*CEILING(G1360,1)</f>
        <v>18.9</v>
      </c>
      <c r="AA1360" s="61" t="n">
        <f aca="false">SUM(T1360:Z1360)</f>
        <v>122.23997</v>
      </c>
      <c r="AB1360" s="61" t="n">
        <f aca="false">AA1360/(1-Resumo!$B$5)</f>
        <v>138.909056818182</v>
      </c>
      <c r="AC1360" s="61" t="n">
        <f aca="false">AB1360-S1360</f>
        <v>37.8409227272727</v>
      </c>
      <c r="AD1360" s="62" t="n">
        <f aca="false">AB1360/S1360-1</f>
        <v>0.374410026143705</v>
      </c>
      <c r="AE1360" s="60" t="str">
        <f aca="false">IF(AB1360&lt;S1360,"SIM","NÃO")</f>
        <v>NÃO</v>
      </c>
      <c r="AF1360" s="60" t="n">
        <v>2</v>
      </c>
      <c r="AG1360" s="60" t="n">
        <v>5</v>
      </c>
      <c r="AH1360" s="60" t="s">
        <v>382</v>
      </c>
      <c r="AI1360" s="61" t="n">
        <f aca="false">(T1360*(1-Painel!$C$40)+U1360+V1360+Painel!$C$41+Painel!$C$42*CEILING(G1360/100,1)+Painel!$C$43*CEILING(G1360,1)+Z1360)/(1-Resumo!$B$5)</f>
        <v>96.8862159090909</v>
      </c>
      <c r="AJ1360" s="60" t="str">
        <f aca="false">IF(AI1360&lt;S1360,"SIM","NÃO")</f>
        <v>SIM</v>
      </c>
    </row>
    <row r="1361" customFormat="false" ht="15" hidden="false" customHeight="false" outlineLevel="0" collapsed="false">
      <c r="A1361" s="59" t="n">
        <v>46257.4339583333</v>
      </c>
      <c r="B1361" s="60" t="s">
        <v>1635</v>
      </c>
      <c r="C1361" s="60" t="n">
        <v>23036053</v>
      </c>
      <c r="D1361" s="60" t="s">
        <v>46</v>
      </c>
      <c r="E1361" s="60" t="s">
        <v>22</v>
      </c>
      <c r="F1361" s="60" t="s">
        <v>240</v>
      </c>
      <c r="G1361" s="60" t="n">
        <v>100.4</v>
      </c>
      <c r="H1361" s="61" t="n">
        <v>1151.99</v>
      </c>
      <c r="I1361" s="61" t="n">
        <v>92.34</v>
      </c>
      <c r="J1361" s="61" t="n">
        <f aca="false">H1361*Resumo!$C$6</f>
        <v>0</v>
      </c>
      <c r="K1361" s="61" t="n">
        <f aca="false">H1361*Resumo!$C$7</f>
        <v>2.419179</v>
      </c>
      <c r="L1361" s="61" t="n">
        <f aca="false">H1361*Resumo!$C$8</f>
        <v>2.419179</v>
      </c>
      <c r="M1361" s="61" t="n">
        <f aca="false">Resumo!$C$10*CEILING(G1361/100,1)</f>
        <v>2.1</v>
      </c>
      <c r="N1361" s="61" t="n">
        <f aca="false">Resumo!$C$9</f>
        <v>0</v>
      </c>
      <c r="O1361" s="61" t="n">
        <f aca="false">Resumo!$C$13</f>
        <v>13.55</v>
      </c>
      <c r="P1361" s="61" t="n">
        <f aca="false">Resumo!$C$14*CEILING(G1361,1)</f>
        <v>45.45</v>
      </c>
      <c r="Q1361" s="61" t="n">
        <f aca="false">SUM(I1361:P1361)*Resumo!$C$11</f>
        <v>0</v>
      </c>
      <c r="R1361" s="61" t="n">
        <f aca="false">SUM(I1361:Q1361)</f>
        <v>158.278358</v>
      </c>
      <c r="S1361" s="61" t="n">
        <f aca="false">R1361/(1-Resumo!$C$5)</f>
        <v>179.861770454545</v>
      </c>
      <c r="T1361" s="61" t="n">
        <v>201.59</v>
      </c>
      <c r="U1361" s="61" t="n">
        <f aca="false">H1361*Resumo!$B$6</f>
        <v>1.15199</v>
      </c>
      <c r="V1361" s="61" t="n">
        <f aca="false">H1361*Resumo!$B$7</f>
        <v>2.30398</v>
      </c>
      <c r="W1361" s="61" t="n">
        <f aca="false">Resumo!$B$9</f>
        <v>1</v>
      </c>
      <c r="X1361" s="61" t="n">
        <f aca="false">Resumo!$B$10*CEILING(G1361/100,1)</f>
        <v>9</v>
      </c>
      <c r="Y1361" s="61" t="n">
        <f aca="false">Resumo!$B$12*CEILING(G1361,1)</f>
        <v>6.06</v>
      </c>
      <c r="Z1361" s="61" t="n">
        <f aca="false">Resumo!$B$14*CEILING(G1361,1)</f>
        <v>45.45</v>
      </c>
      <c r="AA1361" s="61" t="n">
        <f aca="false">SUM(T1361:Z1361)</f>
        <v>266.55597</v>
      </c>
      <c r="AB1361" s="61" t="n">
        <f aca="false">AA1361/(1-Resumo!$B$5)</f>
        <v>302.904511363636</v>
      </c>
      <c r="AC1361" s="61" t="n">
        <f aca="false">AB1361-S1361</f>
        <v>123.042740909091</v>
      </c>
      <c r="AD1361" s="62" t="n">
        <f aca="false">AB1361/S1361-1</f>
        <v>0.684096128922439</v>
      </c>
      <c r="AE1361" s="60" t="str">
        <f aca="false">IF(AB1361&lt;S1361,"SIM","NÃO")</f>
        <v>NÃO</v>
      </c>
      <c r="AF1361" s="60" t="n">
        <v>2</v>
      </c>
      <c r="AG1361" s="60" t="n">
        <v>5</v>
      </c>
      <c r="AH1361" s="60" t="s">
        <v>382</v>
      </c>
      <c r="AI1361" s="61" t="n">
        <f aca="false">(T1361*(1-Painel!$C$40)+U1361+V1361+Painel!$C$41+Painel!$C$42*CEILING(G1361/100,1)+Painel!$C$43*CEILING(G1361,1)+Z1361)/(1-Resumo!$B$5)</f>
        <v>212.580988636364</v>
      </c>
      <c r="AJ1361" s="60" t="str">
        <f aca="false">IF(AI1361&lt;S1361,"SIM","NÃO")</f>
        <v>NÃO</v>
      </c>
    </row>
    <row r="1362" customFormat="false" ht="15" hidden="false" customHeight="false" outlineLevel="0" collapsed="false">
      <c r="A1362" s="59" t="n">
        <v>46257.4597222222</v>
      </c>
      <c r="B1362" s="60" t="s">
        <v>1636</v>
      </c>
      <c r="C1362" s="60" t="n">
        <v>24457530</v>
      </c>
      <c r="D1362" s="60" t="s">
        <v>47</v>
      </c>
      <c r="E1362" s="60" t="s">
        <v>23</v>
      </c>
      <c r="F1362" s="60" t="s">
        <v>238</v>
      </c>
      <c r="G1362" s="60" t="n">
        <v>73</v>
      </c>
      <c r="H1362" s="61" t="n">
        <v>999.99</v>
      </c>
      <c r="I1362" s="61" t="n">
        <v>82.48</v>
      </c>
      <c r="J1362" s="61" t="n">
        <f aca="false">H1362*Resumo!$C$6</f>
        <v>0</v>
      </c>
      <c r="K1362" s="61" t="n">
        <f aca="false">H1362*Resumo!$C$7</f>
        <v>2.099979</v>
      </c>
      <c r="L1362" s="61" t="n">
        <f aca="false">H1362*Resumo!$C$8</f>
        <v>2.099979</v>
      </c>
      <c r="M1362" s="61" t="n">
        <f aca="false">Resumo!$C$10*CEILING(G1362/100,1)</f>
        <v>1.05</v>
      </c>
      <c r="N1362" s="61" t="n">
        <f aca="false">Resumo!$C$9</f>
        <v>0</v>
      </c>
      <c r="O1362" s="61" t="n">
        <f aca="false">Resumo!$C$13</f>
        <v>13.55</v>
      </c>
      <c r="P1362" s="61" t="n">
        <f aca="false">Resumo!$C$14*CEILING(G1362,1)</f>
        <v>32.85</v>
      </c>
      <c r="Q1362" s="61" t="n">
        <f aca="false">SUM(I1362:P1362)*Resumo!$C$11</f>
        <v>0</v>
      </c>
      <c r="R1362" s="61" t="n">
        <f aca="false">SUM(I1362:Q1362)</f>
        <v>134.129958</v>
      </c>
      <c r="S1362" s="61" t="n">
        <f aca="false">R1362/(1-Resumo!$C$5)</f>
        <v>152.420406818182</v>
      </c>
      <c r="T1362" s="61" t="n">
        <v>142.74</v>
      </c>
      <c r="U1362" s="61" t="n">
        <f aca="false">H1362*Resumo!$B$6</f>
        <v>0.99999</v>
      </c>
      <c r="V1362" s="61" t="n">
        <f aca="false">H1362*Resumo!$B$7</f>
        <v>1.99998</v>
      </c>
      <c r="W1362" s="61" t="n">
        <f aca="false">Resumo!$B$9</f>
        <v>1</v>
      </c>
      <c r="X1362" s="61" t="n">
        <f aca="false">Resumo!$B$10*CEILING(G1362/100,1)</f>
        <v>4.5</v>
      </c>
      <c r="Y1362" s="61" t="n">
        <f aca="false">Resumo!$B$12*CEILING(G1362,1)</f>
        <v>4.38</v>
      </c>
      <c r="Z1362" s="61" t="n">
        <f aca="false">Resumo!$B$14*CEILING(G1362,1)</f>
        <v>32.85</v>
      </c>
      <c r="AA1362" s="61" t="n">
        <f aca="false">SUM(T1362:Z1362)</f>
        <v>188.46997</v>
      </c>
      <c r="AB1362" s="61" t="n">
        <f aca="false">AA1362/(1-Resumo!$B$5)</f>
        <v>214.170420454545</v>
      </c>
      <c r="AC1362" s="61" t="n">
        <f aca="false">AB1362-S1362</f>
        <v>61.7500136363636</v>
      </c>
      <c r="AD1362" s="62" t="n">
        <f aca="false">AB1362/S1362-1</f>
        <v>0.405129568444359</v>
      </c>
      <c r="AE1362" s="60" t="str">
        <f aca="false">IF(AB1362&lt;S1362,"SIM","NÃO")</f>
        <v>NÃO</v>
      </c>
      <c r="AF1362" s="60" t="n">
        <v>2</v>
      </c>
      <c r="AG1362" s="60" t="n">
        <v>7</v>
      </c>
      <c r="AH1362" s="60" t="s">
        <v>382</v>
      </c>
      <c r="AI1362" s="61" t="n">
        <f aca="false">(T1362*(1-Painel!$C$40)+U1362+V1362+Painel!$C$41+Painel!$C$42*CEILING(G1362/100,1)+Painel!$C$43*CEILING(G1362,1)+Z1362)/(1-Resumo!$B$5)</f>
        <v>151.745193181818</v>
      </c>
      <c r="AJ1362" s="60" t="str">
        <f aca="false">IF(AI1362&lt;S1362,"SIM","NÃO")</f>
        <v>SIM</v>
      </c>
    </row>
    <row r="1363" customFormat="false" ht="15" hidden="false" customHeight="false" outlineLevel="0" collapsed="false">
      <c r="A1363" s="59" t="n">
        <v>46257.4608796296</v>
      </c>
      <c r="B1363" s="60" t="s">
        <v>1637</v>
      </c>
      <c r="C1363" s="60" t="n">
        <v>26087390</v>
      </c>
      <c r="D1363" s="60" t="s">
        <v>49</v>
      </c>
      <c r="E1363" s="60" t="s">
        <v>23</v>
      </c>
      <c r="F1363" s="60" t="s">
        <v>239</v>
      </c>
      <c r="G1363" s="60" t="n">
        <v>81.7</v>
      </c>
      <c r="H1363" s="61" t="n">
        <v>563</v>
      </c>
      <c r="I1363" s="61" t="n">
        <v>92.32</v>
      </c>
      <c r="J1363" s="61" t="n">
        <f aca="false">H1363*Resumo!$C$6</f>
        <v>0</v>
      </c>
      <c r="K1363" s="61" t="n">
        <f aca="false">H1363*Resumo!$C$7</f>
        <v>1.1823</v>
      </c>
      <c r="L1363" s="61" t="n">
        <f aca="false">H1363*Resumo!$C$8</f>
        <v>1.1823</v>
      </c>
      <c r="M1363" s="61" t="n">
        <f aca="false">Resumo!$C$10*CEILING(G1363/100,1)</f>
        <v>1.05</v>
      </c>
      <c r="N1363" s="61" t="n">
        <f aca="false">Resumo!$C$9</f>
        <v>0</v>
      </c>
      <c r="O1363" s="61" t="n">
        <f aca="false">Resumo!$C$13</f>
        <v>13.55</v>
      </c>
      <c r="P1363" s="61" t="n">
        <f aca="false">Resumo!$C$14*CEILING(G1363,1)</f>
        <v>36.9</v>
      </c>
      <c r="Q1363" s="61" t="n">
        <f aca="false">SUM(I1363:P1363)*Resumo!$C$11</f>
        <v>0</v>
      </c>
      <c r="R1363" s="61" t="n">
        <f aca="false">SUM(I1363:Q1363)</f>
        <v>146.1846</v>
      </c>
      <c r="S1363" s="61" t="n">
        <f aca="false">R1363/(1-Resumo!$C$5)</f>
        <v>166.118863636364</v>
      </c>
      <c r="T1363" s="61" t="n">
        <v>167.99</v>
      </c>
      <c r="U1363" s="61" t="n">
        <f aca="false">H1363*Resumo!$B$6</f>
        <v>0.563</v>
      </c>
      <c r="V1363" s="61" t="n">
        <f aca="false">H1363*Resumo!$B$7</f>
        <v>1.126</v>
      </c>
      <c r="W1363" s="61" t="n">
        <f aca="false">Resumo!$B$9</f>
        <v>1</v>
      </c>
      <c r="X1363" s="61" t="n">
        <f aca="false">Resumo!$B$10*CEILING(G1363/100,1)</f>
        <v>4.5</v>
      </c>
      <c r="Y1363" s="61" t="n">
        <f aca="false">Resumo!$B$12*CEILING(G1363,1)</f>
        <v>4.92</v>
      </c>
      <c r="Z1363" s="61" t="n">
        <f aca="false">Resumo!$B$14*CEILING(G1363,1)</f>
        <v>36.9</v>
      </c>
      <c r="AA1363" s="61" t="n">
        <f aca="false">SUM(T1363:Z1363)</f>
        <v>216.999</v>
      </c>
      <c r="AB1363" s="61" t="n">
        <f aca="false">AA1363/(1-Resumo!$B$5)</f>
        <v>246.589772727273</v>
      </c>
      <c r="AC1363" s="61" t="n">
        <f aca="false">AB1363-S1363</f>
        <v>80.4709090909092</v>
      </c>
      <c r="AD1363" s="62" t="n">
        <f aca="false">AB1363/S1363-1</f>
        <v>0.484417647276116</v>
      </c>
      <c r="AE1363" s="60" t="str">
        <f aca="false">IF(AB1363&lt;S1363,"SIM","NÃO")</f>
        <v>NÃO</v>
      </c>
      <c r="AF1363" s="60" t="n">
        <v>2</v>
      </c>
      <c r="AG1363" s="60" t="n">
        <v>5</v>
      </c>
      <c r="AH1363" s="60" t="s">
        <v>382</v>
      </c>
      <c r="AI1363" s="61" t="n">
        <f aca="false">(T1363*(1-Painel!$C$40)+U1363+V1363+Painel!$C$41+Painel!$C$42*CEILING(G1363/100,1)+Painel!$C$43*CEILING(G1363,1)+Z1363)/(1-Resumo!$B$5)</f>
        <v>174.082159090909</v>
      </c>
      <c r="AJ1363" s="60" t="str">
        <f aca="false">IF(AI1363&lt;S1363,"SIM","NÃO")</f>
        <v>NÃO</v>
      </c>
    </row>
    <row r="1364" customFormat="false" ht="15" hidden="false" customHeight="false" outlineLevel="0" collapsed="false">
      <c r="A1364" s="59" t="n">
        <v>46257.4736226852</v>
      </c>
      <c r="B1364" s="60" t="s">
        <v>1638</v>
      </c>
      <c r="C1364" s="60" t="n">
        <v>26553161</v>
      </c>
      <c r="D1364" s="60" t="s">
        <v>224</v>
      </c>
      <c r="E1364" s="60" t="s">
        <v>23</v>
      </c>
      <c r="F1364" s="60" t="s">
        <v>233</v>
      </c>
      <c r="G1364" s="60" t="n">
        <v>33</v>
      </c>
      <c r="H1364" s="61" t="n">
        <v>499.69</v>
      </c>
      <c r="I1364" s="61" t="n">
        <v>58.8</v>
      </c>
      <c r="J1364" s="61" t="n">
        <f aca="false">H1364*Resumo!$C$6</f>
        <v>0</v>
      </c>
      <c r="K1364" s="61" t="n">
        <f aca="false">H1364*Resumo!$C$7</f>
        <v>1.049349</v>
      </c>
      <c r="L1364" s="61" t="n">
        <f aca="false">H1364*Resumo!$C$8</f>
        <v>1.049349</v>
      </c>
      <c r="M1364" s="61" t="n">
        <f aca="false">Resumo!$C$10*CEILING(G1364/100,1)</f>
        <v>1.05</v>
      </c>
      <c r="N1364" s="61" t="n">
        <f aca="false">Resumo!$C$9</f>
        <v>0</v>
      </c>
      <c r="O1364" s="61" t="n">
        <f aca="false">Resumo!$C$13</f>
        <v>13.55</v>
      </c>
      <c r="P1364" s="61" t="n">
        <f aca="false">Resumo!$C$14*CEILING(G1364,1)</f>
        <v>14.85</v>
      </c>
      <c r="Q1364" s="61" t="n">
        <f aca="false">SUM(I1364:P1364)*Resumo!$C$11</f>
        <v>0</v>
      </c>
      <c r="R1364" s="61" t="n">
        <f aca="false">SUM(I1364:Q1364)</f>
        <v>90.348698</v>
      </c>
      <c r="S1364" s="61" t="n">
        <f aca="false">R1364/(1-Resumo!$C$5)</f>
        <v>102.668975</v>
      </c>
      <c r="T1364" s="61" t="n">
        <v>82.21</v>
      </c>
      <c r="U1364" s="61" t="n">
        <f aca="false">H1364*Resumo!$B$6</f>
        <v>0.49969</v>
      </c>
      <c r="V1364" s="61" t="n">
        <f aca="false">H1364*Resumo!$B$7</f>
        <v>0.99938</v>
      </c>
      <c r="W1364" s="61" t="n">
        <f aca="false">Resumo!$B$9</f>
        <v>1</v>
      </c>
      <c r="X1364" s="61" t="n">
        <f aca="false">Resumo!$B$10*CEILING(G1364/100,1)</f>
        <v>4.5</v>
      </c>
      <c r="Y1364" s="61" t="n">
        <f aca="false">Resumo!$B$12*CEILING(G1364,1)</f>
        <v>1.98</v>
      </c>
      <c r="Z1364" s="61" t="n">
        <f aca="false">Resumo!$B$14*CEILING(G1364,1)</f>
        <v>14.85</v>
      </c>
      <c r="AA1364" s="61" t="n">
        <f aca="false">SUM(T1364:Z1364)</f>
        <v>106.03907</v>
      </c>
      <c r="AB1364" s="61" t="n">
        <f aca="false">AA1364/(1-Resumo!$B$5)</f>
        <v>120.498943181818</v>
      </c>
      <c r="AC1364" s="61" t="n">
        <f aca="false">AB1364-S1364</f>
        <v>17.8299681818182</v>
      </c>
      <c r="AD1364" s="62" t="n">
        <f aca="false">AB1364/S1364-1</f>
        <v>0.173664616616833</v>
      </c>
      <c r="AE1364" s="60" t="str">
        <f aca="false">IF(AB1364&lt;S1364,"SIM","NÃO")</f>
        <v>NÃO</v>
      </c>
      <c r="AF1364" s="60" t="n">
        <v>2</v>
      </c>
      <c r="AG1364" s="60" t="n">
        <v>5</v>
      </c>
      <c r="AH1364" s="60" t="s">
        <v>382</v>
      </c>
      <c r="AI1364" s="61" t="n">
        <f aca="false">(T1364*(1-Painel!$C$40)+U1364+V1364+Painel!$C$41+Painel!$C$42*CEILING(G1364/100,1)+Painel!$C$43*CEILING(G1364,1)+Z1364)/(1-Resumo!$B$5)</f>
        <v>83.4997386363636</v>
      </c>
      <c r="AJ1364" s="60" t="str">
        <f aca="false">IF(AI1364&lt;S1364,"SIM","NÃO")</f>
        <v>SIM</v>
      </c>
    </row>
    <row r="1365" customFormat="false" ht="15" hidden="false" customHeight="false" outlineLevel="0" collapsed="false">
      <c r="A1365" s="59" t="n">
        <v>46257.5263657407</v>
      </c>
      <c r="B1365" s="60" t="s">
        <v>1639</v>
      </c>
      <c r="C1365" s="60" t="n">
        <v>22783210</v>
      </c>
      <c r="D1365" s="60" t="s">
        <v>46</v>
      </c>
      <c r="E1365" s="60" t="s">
        <v>22</v>
      </c>
      <c r="F1365" s="60" t="s">
        <v>236</v>
      </c>
      <c r="G1365" s="60" t="n">
        <v>52.3</v>
      </c>
      <c r="H1365" s="61" t="n">
        <v>669.99</v>
      </c>
      <c r="I1365" s="61" t="n">
        <v>58.6</v>
      </c>
      <c r="J1365" s="61" t="n">
        <f aca="false">H1365*Resumo!$C$6</f>
        <v>0</v>
      </c>
      <c r="K1365" s="61" t="n">
        <f aca="false">H1365*Resumo!$C$7</f>
        <v>1.406979</v>
      </c>
      <c r="L1365" s="61" t="n">
        <f aca="false">H1365*Resumo!$C$8</f>
        <v>1.406979</v>
      </c>
      <c r="M1365" s="61" t="n">
        <f aca="false">Resumo!$C$10*CEILING(G1365/100,1)</f>
        <v>1.05</v>
      </c>
      <c r="N1365" s="61" t="n">
        <f aca="false">Resumo!$C$9</f>
        <v>0</v>
      </c>
      <c r="O1365" s="61" t="n">
        <f aca="false">Resumo!$C$13</f>
        <v>13.55</v>
      </c>
      <c r="P1365" s="61" t="n">
        <f aca="false">Resumo!$C$14*CEILING(G1365,1)</f>
        <v>23.85</v>
      </c>
      <c r="Q1365" s="61" t="n">
        <f aca="false">SUM(I1365:P1365)*Resumo!$C$11</f>
        <v>0</v>
      </c>
      <c r="R1365" s="61" t="n">
        <f aca="false">SUM(I1365:Q1365)</f>
        <v>99.863958</v>
      </c>
      <c r="S1365" s="61" t="n">
        <f aca="false">R1365/(1-Resumo!$C$5)</f>
        <v>113.481770454545</v>
      </c>
      <c r="T1365" s="61" t="n">
        <v>112.3</v>
      </c>
      <c r="U1365" s="61" t="n">
        <f aca="false">H1365*Resumo!$B$6</f>
        <v>0.66999</v>
      </c>
      <c r="V1365" s="61" t="n">
        <f aca="false">H1365*Resumo!$B$7</f>
        <v>1.33998</v>
      </c>
      <c r="W1365" s="61" t="n">
        <f aca="false">Resumo!$B$9</f>
        <v>1</v>
      </c>
      <c r="X1365" s="61" t="n">
        <f aca="false">Resumo!$B$10*CEILING(G1365/100,1)</f>
        <v>4.5</v>
      </c>
      <c r="Y1365" s="61" t="n">
        <f aca="false">Resumo!$B$12*CEILING(G1365,1)</f>
        <v>3.18</v>
      </c>
      <c r="Z1365" s="61" t="n">
        <f aca="false">Resumo!$B$14*CEILING(G1365,1)</f>
        <v>23.85</v>
      </c>
      <c r="AA1365" s="61" t="n">
        <f aca="false">SUM(T1365:Z1365)</f>
        <v>146.83997</v>
      </c>
      <c r="AB1365" s="61" t="n">
        <f aca="false">AA1365/(1-Resumo!$B$5)</f>
        <v>166.863602272727</v>
      </c>
      <c r="AC1365" s="61" t="n">
        <f aca="false">AB1365-S1365</f>
        <v>53.3818318181818</v>
      </c>
      <c r="AD1365" s="62" t="n">
        <f aca="false">AB1365/S1365-1</f>
        <v>0.470400061651872</v>
      </c>
      <c r="AE1365" s="60" t="str">
        <f aca="false">IF(AB1365&lt;S1365,"SIM","NÃO")</f>
        <v>NÃO</v>
      </c>
      <c r="AF1365" s="60" t="n">
        <v>2</v>
      </c>
      <c r="AG1365" s="60" t="n">
        <v>5</v>
      </c>
      <c r="AH1365" s="60" t="s">
        <v>382</v>
      </c>
      <c r="AI1365" s="61" t="n">
        <f aca="false">(T1365*(1-Painel!$C$40)+U1365+V1365+Painel!$C$41+Painel!$C$42*CEILING(G1365/100,1)+Painel!$C$43*CEILING(G1365,1)+Z1365)/(1-Resumo!$B$5)</f>
        <v>117.217011363636</v>
      </c>
      <c r="AJ1365" s="60" t="str">
        <f aca="false">IF(AI1365&lt;S1365,"SIM","NÃO")</f>
        <v>NÃO</v>
      </c>
    </row>
    <row r="1366" customFormat="false" ht="15" hidden="false" customHeight="false" outlineLevel="0" collapsed="false">
      <c r="A1366" s="59" t="n">
        <v>46257.5328356482</v>
      </c>
      <c r="B1366" s="60" t="s">
        <v>1640</v>
      </c>
      <c r="C1366" s="60" t="n">
        <v>20745250</v>
      </c>
      <c r="D1366" s="60" t="s">
        <v>46</v>
      </c>
      <c r="E1366" s="60" t="s">
        <v>22</v>
      </c>
      <c r="F1366" s="60" t="s">
        <v>239</v>
      </c>
      <c r="G1366" s="60" t="n">
        <v>87</v>
      </c>
      <c r="H1366" s="61" t="n">
        <v>1188.88</v>
      </c>
      <c r="I1366" s="61" t="n">
        <v>83.79</v>
      </c>
      <c r="J1366" s="61" t="n">
        <f aca="false">H1366*Resumo!$C$6</f>
        <v>0</v>
      </c>
      <c r="K1366" s="61" t="n">
        <f aca="false">H1366*Resumo!$C$7</f>
        <v>2.496648</v>
      </c>
      <c r="L1366" s="61" t="n">
        <f aca="false">H1366*Resumo!$C$8</f>
        <v>2.496648</v>
      </c>
      <c r="M1366" s="61" t="n">
        <f aca="false">Resumo!$C$10*CEILING(G1366/100,1)</f>
        <v>1.05</v>
      </c>
      <c r="N1366" s="61" t="n">
        <f aca="false">Resumo!$C$9</f>
        <v>0</v>
      </c>
      <c r="O1366" s="61" t="n">
        <f aca="false">Resumo!$C$13</f>
        <v>13.55</v>
      </c>
      <c r="P1366" s="61" t="n">
        <f aca="false">Resumo!$C$14*CEILING(G1366,1)</f>
        <v>39.15</v>
      </c>
      <c r="Q1366" s="61" t="n">
        <f aca="false">SUM(I1366:P1366)*Resumo!$C$11</f>
        <v>0</v>
      </c>
      <c r="R1366" s="61" t="n">
        <f aca="false">SUM(I1366:Q1366)</f>
        <v>142.533296</v>
      </c>
      <c r="S1366" s="61" t="n">
        <f aca="false">R1366/(1-Resumo!$C$5)</f>
        <v>161.969654545455</v>
      </c>
      <c r="T1366" s="61" t="n">
        <v>167.99</v>
      </c>
      <c r="U1366" s="61" t="n">
        <f aca="false">H1366*Resumo!$B$6</f>
        <v>1.18888</v>
      </c>
      <c r="V1366" s="61" t="n">
        <f aca="false">H1366*Resumo!$B$7</f>
        <v>2.37776</v>
      </c>
      <c r="W1366" s="61" t="n">
        <f aca="false">Resumo!$B$9</f>
        <v>1</v>
      </c>
      <c r="X1366" s="61" t="n">
        <f aca="false">Resumo!$B$10*CEILING(G1366/100,1)</f>
        <v>4.5</v>
      </c>
      <c r="Y1366" s="61" t="n">
        <f aca="false">Resumo!$B$12*CEILING(G1366,1)</f>
        <v>5.22</v>
      </c>
      <c r="Z1366" s="61" t="n">
        <f aca="false">Resumo!$B$14*CEILING(G1366,1)</f>
        <v>39.15</v>
      </c>
      <c r="AA1366" s="61" t="n">
        <f aca="false">SUM(T1366:Z1366)</f>
        <v>221.42664</v>
      </c>
      <c r="AB1366" s="61" t="n">
        <f aca="false">AA1366/(1-Resumo!$B$5)</f>
        <v>251.621181818182</v>
      </c>
      <c r="AC1366" s="61" t="n">
        <f aca="false">AB1366-S1366</f>
        <v>89.6515272727273</v>
      </c>
      <c r="AD1366" s="62" t="n">
        <f aca="false">AB1366/S1366-1</f>
        <v>0.553508171171458</v>
      </c>
      <c r="AE1366" s="60" t="str">
        <f aca="false">IF(AB1366&lt;S1366,"SIM","NÃO")</f>
        <v>NÃO</v>
      </c>
      <c r="AF1366" s="60" t="n">
        <v>2</v>
      </c>
      <c r="AG1366" s="60" t="n">
        <v>5</v>
      </c>
      <c r="AH1366" s="60" t="s">
        <v>382</v>
      </c>
      <c r="AI1366" s="61" t="n">
        <f aca="false">(T1366*(1-Painel!$C$40)+U1366+V1366+Painel!$C$41+Painel!$C$42*CEILING(G1366/100,1)+Painel!$C$43*CEILING(G1366,1)+Z1366)/(1-Resumo!$B$5)</f>
        <v>178.772659090909</v>
      </c>
      <c r="AJ1366" s="60" t="str">
        <f aca="false">IF(AI1366&lt;S1366,"SIM","NÃO")</f>
        <v>NÃO</v>
      </c>
    </row>
    <row r="1367" customFormat="false" ht="15" hidden="false" customHeight="false" outlineLevel="0" collapsed="false">
      <c r="A1367" s="59" t="n">
        <v>46257.5453819444</v>
      </c>
      <c r="B1367" s="60" t="s">
        <v>1641</v>
      </c>
      <c r="C1367" s="60" t="n">
        <v>20530400</v>
      </c>
      <c r="D1367" s="60" t="s">
        <v>46</v>
      </c>
      <c r="E1367" s="60" t="s">
        <v>22</v>
      </c>
      <c r="F1367" s="60" t="s">
        <v>237</v>
      </c>
      <c r="G1367" s="60" t="n">
        <v>69</v>
      </c>
      <c r="H1367" s="61" t="n">
        <v>839.99</v>
      </c>
      <c r="I1367" s="61" t="n">
        <v>63.21</v>
      </c>
      <c r="J1367" s="61" t="n">
        <f aca="false">H1367*Resumo!$C$6</f>
        <v>0</v>
      </c>
      <c r="K1367" s="61" t="n">
        <f aca="false">H1367*Resumo!$C$7</f>
        <v>1.763979</v>
      </c>
      <c r="L1367" s="61" t="n">
        <f aca="false">H1367*Resumo!$C$8</f>
        <v>1.763979</v>
      </c>
      <c r="M1367" s="61" t="n">
        <f aca="false">Resumo!$C$10*CEILING(G1367/100,1)</f>
        <v>1.05</v>
      </c>
      <c r="N1367" s="61" t="n">
        <f aca="false">Resumo!$C$9</f>
        <v>0</v>
      </c>
      <c r="O1367" s="61" t="n">
        <f aca="false">Resumo!$C$13</f>
        <v>13.55</v>
      </c>
      <c r="P1367" s="61" t="n">
        <f aca="false">Resumo!$C$14*CEILING(G1367,1)</f>
        <v>31.05</v>
      </c>
      <c r="Q1367" s="61" t="n">
        <f aca="false">SUM(I1367:P1367)*Resumo!$C$11</f>
        <v>0</v>
      </c>
      <c r="R1367" s="61" t="n">
        <f aca="false">SUM(I1367:Q1367)</f>
        <v>112.387958</v>
      </c>
      <c r="S1367" s="61" t="n">
        <f aca="false">R1367/(1-Resumo!$C$5)</f>
        <v>127.713588636364</v>
      </c>
      <c r="T1367" s="61" t="n">
        <v>131.02</v>
      </c>
      <c r="U1367" s="61" t="n">
        <f aca="false">H1367*Resumo!$B$6</f>
        <v>0.83999</v>
      </c>
      <c r="V1367" s="61" t="n">
        <f aca="false">H1367*Resumo!$B$7</f>
        <v>1.67998</v>
      </c>
      <c r="W1367" s="61" t="n">
        <f aca="false">Resumo!$B$9</f>
        <v>1</v>
      </c>
      <c r="X1367" s="61" t="n">
        <f aca="false">Resumo!$B$10*CEILING(G1367/100,1)</f>
        <v>4.5</v>
      </c>
      <c r="Y1367" s="61" t="n">
        <f aca="false">Resumo!$B$12*CEILING(G1367,1)</f>
        <v>4.14</v>
      </c>
      <c r="Z1367" s="61" t="n">
        <f aca="false">Resumo!$B$14*CEILING(G1367,1)</f>
        <v>31.05</v>
      </c>
      <c r="AA1367" s="61" t="n">
        <f aca="false">SUM(T1367:Z1367)</f>
        <v>174.22997</v>
      </c>
      <c r="AB1367" s="61" t="n">
        <f aca="false">AA1367/(1-Resumo!$B$5)</f>
        <v>197.988602272727</v>
      </c>
      <c r="AC1367" s="61" t="n">
        <f aca="false">AB1367-S1367</f>
        <v>70.2750136363637</v>
      </c>
      <c r="AD1367" s="62" t="n">
        <f aca="false">AB1367/S1367-1</f>
        <v>0.550254787972925</v>
      </c>
      <c r="AE1367" s="60" t="str">
        <f aca="false">IF(AB1367&lt;S1367,"SIM","NÃO")</f>
        <v>NÃO</v>
      </c>
      <c r="AF1367" s="60" t="n">
        <v>2</v>
      </c>
      <c r="AG1367" s="60" t="n">
        <v>5</v>
      </c>
      <c r="AH1367" s="60" t="s">
        <v>382</v>
      </c>
      <c r="AI1367" s="61" t="n">
        <f aca="false">(T1367*(1-Painel!$C$40)+U1367+V1367+Painel!$C$41+Painel!$C$42*CEILING(G1367/100,1)+Painel!$C$43*CEILING(G1367,1)+Z1367)/(1-Resumo!$B$5)</f>
        <v>140.231102272727</v>
      </c>
      <c r="AJ1367" s="60" t="str">
        <f aca="false">IF(AI1367&lt;S1367,"SIM","NÃO")</f>
        <v>NÃO</v>
      </c>
    </row>
    <row r="1368" customFormat="false" ht="15" hidden="false" customHeight="false" outlineLevel="0" collapsed="false">
      <c r="A1368" s="59" t="n">
        <v>46257.5802546296</v>
      </c>
      <c r="B1368" s="60" t="s">
        <v>1642</v>
      </c>
      <c r="C1368" s="60" t="n">
        <v>27971750</v>
      </c>
      <c r="D1368" s="60" t="s">
        <v>53</v>
      </c>
      <c r="E1368" s="60" t="s">
        <v>24</v>
      </c>
      <c r="F1368" s="60" t="s">
        <v>235</v>
      </c>
      <c r="G1368" s="60" t="n">
        <v>45</v>
      </c>
      <c r="H1368" s="61" t="n">
        <v>508.8</v>
      </c>
      <c r="I1368" s="61" t="n">
        <v>77.7</v>
      </c>
      <c r="J1368" s="61" t="n">
        <f aca="false">H1368*Resumo!$C$6</f>
        <v>0</v>
      </c>
      <c r="K1368" s="61" t="n">
        <f aca="false">H1368*Resumo!$C$7</f>
        <v>1.06848</v>
      </c>
      <c r="L1368" s="61" t="n">
        <f aca="false">H1368*Resumo!$C$8</f>
        <v>1.06848</v>
      </c>
      <c r="M1368" s="61" t="n">
        <f aca="false">Resumo!$C$10*CEILING(G1368/100,1)</f>
        <v>1.05</v>
      </c>
      <c r="N1368" s="61" t="n">
        <f aca="false">Resumo!$C$9</f>
        <v>0</v>
      </c>
      <c r="O1368" s="61" t="n">
        <f aca="false">Resumo!$C$13</f>
        <v>13.55</v>
      </c>
      <c r="P1368" s="61" t="n">
        <f aca="false">Resumo!$C$14*CEILING(G1368,1)</f>
        <v>20.25</v>
      </c>
      <c r="Q1368" s="61" t="n">
        <f aca="false">SUM(I1368:P1368)*Resumo!$C$11</f>
        <v>0</v>
      </c>
      <c r="R1368" s="61" t="n">
        <f aca="false">SUM(I1368:Q1368)</f>
        <v>114.68696</v>
      </c>
      <c r="S1368" s="61" t="n">
        <f aca="false">R1368/(1-Resumo!$C$5)</f>
        <v>130.326090909091</v>
      </c>
      <c r="T1368" s="61" t="n">
        <v>152.54</v>
      </c>
      <c r="U1368" s="61" t="n">
        <f aca="false">H1368*Resumo!$B$6</f>
        <v>0.5088</v>
      </c>
      <c r="V1368" s="61" t="n">
        <f aca="false">H1368*Resumo!$B$7</f>
        <v>1.0176</v>
      </c>
      <c r="W1368" s="61" t="n">
        <f aca="false">Resumo!$B$9</f>
        <v>1</v>
      </c>
      <c r="X1368" s="61" t="n">
        <f aca="false">Resumo!$B$10*CEILING(G1368/100,1)</f>
        <v>4.5</v>
      </c>
      <c r="Y1368" s="61" t="n">
        <f aca="false">Resumo!$B$12*CEILING(G1368,1)</f>
        <v>2.7</v>
      </c>
      <c r="Z1368" s="61" t="n">
        <f aca="false">Resumo!$B$14*CEILING(G1368,1)</f>
        <v>20.25</v>
      </c>
      <c r="AA1368" s="61" t="n">
        <f aca="false">SUM(T1368:Z1368)</f>
        <v>182.5164</v>
      </c>
      <c r="AB1368" s="61" t="n">
        <f aca="false">AA1368/(1-Resumo!$B$5)</f>
        <v>207.405</v>
      </c>
      <c r="AC1368" s="61" t="n">
        <f aca="false">AB1368-S1368</f>
        <v>77.0789090909091</v>
      </c>
      <c r="AD1368" s="62" t="n">
        <f aca="false">AB1368/S1368-1</f>
        <v>0.591431144395143</v>
      </c>
      <c r="AE1368" s="60" t="str">
        <f aca="false">IF(AB1368&lt;S1368,"SIM","NÃO")</f>
        <v>NÃO</v>
      </c>
      <c r="AF1368" s="60" t="n">
        <v>13</v>
      </c>
      <c r="AG1368" s="60" t="n">
        <v>11</v>
      </c>
      <c r="AH1368" s="60" t="s">
        <v>382</v>
      </c>
      <c r="AI1368" s="61" t="n">
        <f aca="false">(T1368*(1-Painel!$C$40)+U1368+V1368+Painel!$C$41+Painel!$C$42*CEILING(G1368/100,1)+Painel!$C$43*CEILING(G1368,1)+Z1368)/(1-Resumo!$B$5)</f>
        <v>143.213863636364</v>
      </c>
      <c r="AJ1368" s="60" t="str">
        <f aca="false">IF(AI1368&lt;S1368,"SIM","NÃO")</f>
        <v>NÃO</v>
      </c>
    </row>
    <row r="1369" customFormat="false" ht="15" hidden="false" customHeight="false" outlineLevel="0" collapsed="false">
      <c r="A1369" s="59" t="n">
        <v>46257.6167939815</v>
      </c>
      <c r="B1369" s="60" t="s">
        <v>1643</v>
      </c>
      <c r="C1369" s="60" t="n">
        <v>21910100</v>
      </c>
      <c r="D1369" s="60" t="s">
        <v>46</v>
      </c>
      <c r="E1369" s="60" t="s">
        <v>22</v>
      </c>
      <c r="F1369" s="60" t="s">
        <v>241</v>
      </c>
      <c r="G1369" s="60" t="n">
        <v>124.2</v>
      </c>
      <c r="H1369" s="61" t="n">
        <v>1649.99</v>
      </c>
      <c r="I1369" s="61" t="n">
        <v>120.59</v>
      </c>
      <c r="J1369" s="61" t="n">
        <f aca="false">H1369*Resumo!$C$6</f>
        <v>0</v>
      </c>
      <c r="K1369" s="61" t="n">
        <f aca="false">H1369*Resumo!$C$7</f>
        <v>3.464979</v>
      </c>
      <c r="L1369" s="61" t="n">
        <f aca="false">H1369*Resumo!$C$8</f>
        <v>3.464979</v>
      </c>
      <c r="M1369" s="61" t="n">
        <f aca="false">Resumo!$C$10*CEILING(G1369/100,1)</f>
        <v>2.1</v>
      </c>
      <c r="N1369" s="61" t="n">
        <f aca="false">Resumo!$C$9</f>
        <v>0</v>
      </c>
      <c r="O1369" s="61" t="n">
        <f aca="false">Resumo!$C$13</f>
        <v>13.55</v>
      </c>
      <c r="P1369" s="61" t="n">
        <f aca="false">Resumo!$C$14*CEILING(G1369,1)</f>
        <v>56.25</v>
      </c>
      <c r="Q1369" s="61" t="n">
        <f aca="false">SUM(I1369:P1369)*Resumo!$C$11</f>
        <v>0</v>
      </c>
      <c r="R1369" s="61" t="n">
        <f aca="false">SUM(I1369:Q1369)</f>
        <v>199.419958</v>
      </c>
      <c r="S1369" s="61" t="n">
        <f aca="false">R1369/(1-Resumo!$C$5)</f>
        <v>226.613588636364</v>
      </c>
      <c r="T1369" s="61" t="n">
        <v>239.25</v>
      </c>
      <c r="U1369" s="61" t="n">
        <f aca="false">H1369*Resumo!$B$6</f>
        <v>1.64999</v>
      </c>
      <c r="V1369" s="61" t="n">
        <f aca="false">H1369*Resumo!$B$7</f>
        <v>3.29998</v>
      </c>
      <c r="W1369" s="61" t="n">
        <f aca="false">Resumo!$B$9</f>
        <v>1</v>
      </c>
      <c r="X1369" s="61" t="n">
        <f aca="false">Resumo!$B$10*CEILING(G1369/100,1)</f>
        <v>9</v>
      </c>
      <c r="Y1369" s="61" t="n">
        <f aca="false">Resumo!$B$12*CEILING(G1369,1)</f>
        <v>7.5</v>
      </c>
      <c r="Z1369" s="61" t="n">
        <f aca="false">Resumo!$B$14*CEILING(G1369,1)</f>
        <v>56.25</v>
      </c>
      <c r="AA1369" s="61" t="n">
        <f aca="false">SUM(T1369:Z1369)</f>
        <v>317.94997</v>
      </c>
      <c r="AB1369" s="61" t="n">
        <f aca="false">AA1369/(1-Resumo!$B$5)</f>
        <v>361.306784090909</v>
      </c>
      <c r="AC1369" s="61" t="n">
        <f aca="false">AB1369-S1369</f>
        <v>134.693195454545</v>
      </c>
      <c r="AD1369" s="62" t="n">
        <f aca="false">AB1369/S1369-1</f>
        <v>0.594373869038725</v>
      </c>
      <c r="AE1369" s="60" t="str">
        <f aca="false">IF(AB1369&lt;S1369,"SIM","NÃO")</f>
        <v>NÃO</v>
      </c>
      <c r="AF1369" s="60" t="n">
        <v>2</v>
      </c>
      <c r="AG1369" s="60" t="n">
        <v>5</v>
      </c>
      <c r="AH1369" s="60" t="s">
        <v>382</v>
      </c>
      <c r="AI1369" s="61" t="n">
        <f aca="false">(T1369*(1-Painel!$C$40)+U1369+V1369+Painel!$C$41+Painel!$C$42*CEILING(G1369/100,1)+Painel!$C$43*CEILING(G1369,1)+Z1369)/(1-Resumo!$B$5)</f>
        <v>255.224397727273</v>
      </c>
      <c r="AJ1369" s="60" t="str">
        <f aca="false">IF(AI1369&lt;S1369,"SIM","NÃO")</f>
        <v>NÃO</v>
      </c>
    </row>
    <row r="1370" customFormat="false" ht="15" hidden="false" customHeight="false" outlineLevel="0" collapsed="false">
      <c r="A1370" s="59" t="n">
        <v>46257.6284490741</v>
      </c>
      <c r="B1370" s="60" t="s">
        <v>1644</v>
      </c>
      <c r="C1370" s="60" t="n">
        <v>26052390</v>
      </c>
      <c r="D1370" s="60" t="s">
        <v>49</v>
      </c>
      <c r="E1370" s="60" t="s">
        <v>23</v>
      </c>
      <c r="F1370" s="60" t="s">
        <v>239</v>
      </c>
      <c r="G1370" s="60" t="n">
        <v>83.9</v>
      </c>
      <c r="H1370" s="61" t="n">
        <v>1149.9</v>
      </c>
      <c r="I1370" s="61" t="n">
        <v>92.32</v>
      </c>
      <c r="J1370" s="61" t="n">
        <f aca="false">H1370*Resumo!$C$6</f>
        <v>0</v>
      </c>
      <c r="K1370" s="61" t="n">
        <f aca="false">H1370*Resumo!$C$7</f>
        <v>2.41479</v>
      </c>
      <c r="L1370" s="61" t="n">
        <f aca="false">H1370*Resumo!$C$8</f>
        <v>2.41479</v>
      </c>
      <c r="M1370" s="61" t="n">
        <f aca="false">Resumo!$C$10*CEILING(G1370/100,1)</f>
        <v>1.05</v>
      </c>
      <c r="N1370" s="61" t="n">
        <f aca="false">Resumo!$C$9</f>
        <v>0</v>
      </c>
      <c r="O1370" s="61" t="n">
        <f aca="false">Resumo!$C$13</f>
        <v>13.55</v>
      </c>
      <c r="P1370" s="61" t="n">
        <f aca="false">Resumo!$C$14*CEILING(G1370,1)</f>
        <v>37.8</v>
      </c>
      <c r="Q1370" s="61" t="n">
        <f aca="false">SUM(I1370:P1370)*Resumo!$C$11</f>
        <v>0</v>
      </c>
      <c r="R1370" s="61" t="n">
        <f aca="false">SUM(I1370:Q1370)</f>
        <v>149.54958</v>
      </c>
      <c r="S1370" s="61" t="n">
        <f aca="false">R1370/(1-Resumo!$C$5)</f>
        <v>169.942704545455</v>
      </c>
      <c r="T1370" s="61" t="n">
        <v>167.99</v>
      </c>
      <c r="U1370" s="61" t="n">
        <f aca="false">H1370*Resumo!$B$6</f>
        <v>1.1499</v>
      </c>
      <c r="V1370" s="61" t="n">
        <f aca="false">H1370*Resumo!$B$7</f>
        <v>2.2998</v>
      </c>
      <c r="W1370" s="61" t="n">
        <f aca="false">Resumo!$B$9</f>
        <v>1</v>
      </c>
      <c r="X1370" s="61" t="n">
        <f aca="false">Resumo!$B$10*CEILING(G1370/100,1)</f>
        <v>4.5</v>
      </c>
      <c r="Y1370" s="61" t="n">
        <f aca="false">Resumo!$B$12*CEILING(G1370,1)</f>
        <v>5.04</v>
      </c>
      <c r="Z1370" s="61" t="n">
        <f aca="false">Resumo!$B$14*CEILING(G1370,1)</f>
        <v>37.8</v>
      </c>
      <c r="AA1370" s="61" t="n">
        <f aca="false">SUM(T1370:Z1370)</f>
        <v>219.7797</v>
      </c>
      <c r="AB1370" s="61" t="n">
        <f aca="false">AA1370/(1-Resumo!$B$5)</f>
        <v>249.749659090909</v>
      </c>
      <c r="AC1370" s="61" t="n">
        <f aca="false">AB1370-S1370</f>
        <v>79.8069545454546</v>
      </c>
      <c r="AD1370" s="62" t="n">
        <f aca="false">AB1370/S1370-1</f>
        <v>0.469610947753916</v>
      </c>
      <c r="AE1370" s="60" t="str">
        <f aca="false">IF(AB1370&lt;S1370,"SIM","NÃO")</f>
        <v>NÃO</v>
      </c>
      <c r="AF1370" s="60" t="n">
        <v>2</v>
      </c>
      <c r="AG1370" s="60" t="n">
        <v>5</v>
      </c>
      <c r="AH1370" s="60" t="s">
        <v>382</v>
      </c>
      <c r="AI1370" s="61" t="n">
        <f aca="false">(T1370*(1-Painel!$C$40)+U1370+V1370+Painel!$C$41+Painel!$C$42*CEILING(G1370/100,1)+Painel!$C$43*CEILING(G1370,1)+Z1370)/(1-Resumo!$B$5)</f>
        <v>177.105681818182</v>
      </c>
      <c r="AJ1370" s="60" t="str">
        <f aca="false">IF(AI1370&lt;S1370,"SIM","NÃO")</f>
        <v>NÃO</v>
      </c>
    </row>
    <row r="1371" customFormat="false" ht="15" hidden="false" customHeight="false" outlineLevel="0" collapsed="false">
      <c r="A1371" s="59" t="n">
        <v>46257.6346643519</v>
      </c>
      <c r="B1371" s="60" t="s">
        <v>1505</v>
      </c>
      <c r="C1371" s="60" t="n">
        <v>21675090</v>
      </c>
      <c r="D1371" s="60" t="s">
        <v>46</v>
      </c>
      <c r="E1371" s="60" t="s">
        <v>22</v>
      </c>
      <c r="F1371" s="60" t="s">
        <v>233</v>
      </c>
      <c r="G1371" s="60" t="n">
        <v>27.6</v>
      </c>
      <c r="H1371" s="61" t="n">
        <v>599.99</v>
      </c>
      <c r="I1371" s="61" t="n">
        <v>42.11</v>
      </c>
      <c r="J1371" s="61" t="n">
        <f aca="false">H1371*Resumo!$C$6</f>
        <v>0</v>
      </c>
      <c r="K1371" s="61" t="n">
        <f aca="false">H1371*Resumo!$C$7</f>
        <v>1.259979</v>
      </c>
      <c r="L1371" s="61" t="n">
        <f aca="false">H1371*Resumo!$C$8</f>
        <v>1.259979</v>
      </c>
      <c r="M1371" s="61" t="n">
        <f aca="false">Resumo!$C$10*CEILING(G1371/100,1)</f>
        <v>1.05</v>
      </c>
      <c r="N1371" s="61" t="n">
        <f aca="false">Resumo!$C$9</f>
        <v>0</v>
      </c>
      <c r="O1371" s="61" t="n">
        <f aca="false">Resumo!$C$13</f>
        <v>13.55</v>
      </c>
      <c r="P1371" s="61" t="n">
        <f aca="false">Resumo!$C$14*CEILING(G1371,1)</f>
        <v>12.6</v>
      </c>
      <c r="Q1371" s="61" t="n">
        <f aca="false">SUM(I1371:P1371)*Resumo!$C$11</f>
        <v>0</v>
      </c>
      <c r="R1371" s="61" t="n">
        <f aca="false">SUM(I1371:Q1371)</f>
        <v>71.829958</v>
      </c>
      <c r="S1371" s="61" t="n">
        <f aca="false">R1371/(1-Resumo!$C$5)</f>
        <v>81.6249522727273</v>
      </c>
      <c r="T1371" s="61" t="n">
        <v>82.21</v>
      </c>
      <c r="U1371" s="61" t="n">
        <f aca="false">H1371*Resumo!$B$6</f>
        <v>0.59999</v>
      </c>
      <c r="V1371" s="61" t="n">
        <f aca="false">H1371*Resumo!$B$7</f>
        <v>1.19998</v>
      </c>
      <c r="W1371" s="61" t="n">
        <f aca="false">Resumo!$B$9</f>
        <v>1</v>
      </c>
      <c r="X1371" s="61" t="n">
        <f aca="false">Resumo!$B$10*CEILING(G1371/100,1)</f>
        <v>4.5</v>
      </c>
      <c r="Y1371" s="61" t="n">
        <f aca="false">Resumo!$B$12*CEILING(G1371,1)</f>
        <v>1.68</v>
      </c>
      <c r="Z1371" s="61" t="n">
        <f aca="false">Resumo!$B$14*CEILING(G1371,1)</f>
        <v>12.6</v>
      </c>
      <c r="AA1371" s="61" t="n">
        <f aca="false">SUM(T1371:Z1371)</f>
        <v>103.78997</v>
      </c>
      <c r="AB1371" s="61" t="n">
        <f aca="false">AA1371/(1-Resumo!$B$5)</f>
        <v>117.943147727273</v>
      </c>
      <c r="AC1371" s="61" t="n">
        <f aca="false">AB1371-S1371</f>
        <v>36.3181954545454</v>
      </c>
      <c r="AD1371" s="62" t="n">
        <f aca="false">AB1371/S1371-1</f>
        <v>0.444939867568904</v>
      </c>
      <c r="AE1371" s="60" t="str">
        <f aca="false">IF(AB1371&lt;S1371,"SIM","NÃO")</f>
        <v>NÃO</v>
      </c>
      <c r="AF1371" s="60" t="n">
        <v>2</v>
      </c>
      <c r="AG1371" s="60" t="n">
        <v>5</v>
      </c>
      <c r="AH1371" s="60" t="s">
        <v>382</v>
      </c>
      <c r="AI1371" s="61" t="n">
        <f aca="false">(T1371*(1-Painel!$C$40)+U1371+V1371+Painel!$C$41+Painel!$C$42*CEILING(G1371/100,1)+Painel!$C$43*CEILING(G1371,1)+Z1371)/(1-Resumo!$B$5)</f>
        <v>81.2848522727273</v>
      </c>
      <c r="AJ1371" s="60" t="str">
        <f aca="false">IF(AI1371&lt;S1371,"SIM","NÃO")</f>
        <v>SIM</v>
      </c>
    </row>
    <row r="1372" customFormat="false" ht="15" hidden="false" customHeight="false" outlineLevel="0" collapsed="false">
      <c r="A1372" s="59" t="n">
        <v>46257.7055439815</v>
      </c>
      <c r="B1372" s="60" t="s">
        <v>1645</v>
      </c>
      <c r="C1372" s="60" t="n">
        <v>20785130</v>
      </c>
      <c r="D1372" s="60" t="s">
        <v>46</v>
      </c>
      <c r="E1372" s="60" t="s">
        <v>22</v>
      </c>
      <c r="F1372" s="60" t="s">
        <v>235</v>
      </c>
      <c r="G1372" s="60" t="n">
        <v>45.3</v>
      </c>
      <c r="H1372" s="61" t="n">
        <v>630.04</v>
      </c>
      <c r="I1372" s="61" t="n">
        <v>53.55</v>
      </c>
      <c r="J1372" s="61" t="n">
        <f aca="false">H1372*Resumo!$C$6</f>
        <v>0</v>
      </c>
      <c r="K1372" s="61" t="n">
        <f aca="false">H1372*Resumo!$C$7</f>
        <v>1.323084</v>
      </c>
      <c r="L1372" s="61" t="n">
        <f aca="false">H1372*Resumo!$C$8</f>
        <v>1.323084</v>
      </c>
      <c r="M1372" s="61" t="n">
        <f aca="false">Resumo!$C$10*CEILING(G1372/100,1)</f>
        <v>1.05</v>
      </c>
      <c r="N1372" s="61" t="n">
        <f aca="false">Resumo!$C$9</f>
        <v>0</v>
      </c>
      <c r="O1372" s="61" t="n">
        <f aca="false">Resumo!$C$13</f>
        <v>13.55</v>
      </c>
      <c r="P1372" s="61" t="n">
        <f aca="false">Resumo!$C$14*CEILING(G1372,1)</f>
        <v>20.7</v>
      </c>
      <c r="Q1372" s="61" t="n">
        <f aca="false">SUM(I1372:P1372)*Resumo!$C$11</f>
        <v>0</v>
      </c>
      <c r="R1372" s="61" t="n">
        <f aca="false">SUM(I1372:Q1372)</f>
        <v>91.496168</v>
      </c>
      <c r="S1372" s="61" t="n">
        <f aca="false">R1372/(1-Resumo!$C$5)</f>
        <v>103.972918181818</v>
      </c>
      <c r="T1372" s="61" t="n">
        <v>93.97</v>
      </c>
      <c r="U1372" s="61" t="n">
        <f aca="false">H1372*Resumo!$B$6</f>
        <v>0.63004</v>
      </c>
      <c r="V1372" s="61" t="n">
        <f aca="false">H1372*Resumo!$B$7</f>
        <v>1.26008</v>
      </c>
      <c r="W1372" s="61" t="n">
        <f aca="false">Resumo!$B$9</f>
        <v>1</v>
      </c>
      <c r="X1372" s="61" t="n">
        <f aca="false">Resumo!$B$10*CEILING(G1372/100,1)</f>
        <v>4.5</v>
      </c>
      <c r="Y1372" s="61" t="n">
        <f aca="false">Resumo!$B$12*CEILING(G1372,1)</f>
        <v>2.76</v>
      </c>
      <c r="Z1372" s="61" t="n">
        <f aca="false">Resumo!$B$14*CEILING(G1372,1)</f>
        <v>20.7</v>
      </c>
      <c r="AA1372" s="61" t="n">
        <f aca="false">SUM(T1372:Z1372)</f>
        <v>124.82012</v>
      </c>
      <c r="AB1372" s="61" t="n">
        <f aca="false">AA1372/(1-Resumo!$B$5)</f>
        <v>141.841045454545</v>
      </c>
      <c r="AC1372" s="61" t="n">
        <f aca="false">AB1372-S1372</f>
        <v>37.8681272727273</v>
      </c>
      <c r="AD1372" s="62" t="n">
        <f aca="false">AB1372/S1372-1</f>
        <v>0.364211449817221</v>
      </c>
      <c r="AE1372" s="60" t="str">
        <f aca="false">IF(AB1372&lt;S1372,"SIM","NÃO")</f>
        <v>NÃO</v>
      </c>
      <c r="AF1372" s="60" t="n">
        <v>2</v>
      </c>
      <c r="AG1372" s="60" t="n">
        <v>5</v>
      </c>
      <c r="AH1372" s="60" t="s">
        <v>382</v>
      </c>
      <c r="AI1372" s="61" t="n">
        <f aca="false">(T1372*(1-Painel!$C$40)+U1372+V1372+Painel!$C$41+Painel!$C$42*CEILING(G1372/100,1)+Painel!$C$43*CEILING(G1372,1)+Z1372)/(1-Resumo!$B$5)</f>
        <v>99.5454772727273</v>
      </c>
      <c r="AJ1372" s="60" t="str">
        <f aca="false">IF(AI1372&lt;S1372,"SIM","NÃO")</f>
        <v>SIM</v>
      </c>
    </row>
    <row r="1373" customFormat="false" ht="15" hidden="false" customHeight="false" outlineLevel="0" collapsed="false">
      <c r="A1373" s="59" t="n">
        <v>46257.7091203704</v>
      </c>
      <c r="B1373" s="60" t="s">
        <v>1646</v>
      </c>
      <c r="C1373" s="60" t="n">
        <v>21215050</v>
      </c>
      <c r="D1373" s="60" t="s">
        <v>46</v>
      </c>
      <c r="E1373" s="60" t="s">
        <v>22</v>
      </c>
      <c r="F1373" s="60" t="s">
        <v>237</v>
      </c>
      <c r="G1373" s="60" t="n">
        <v>61.4</v>
      </c>
      <c r="H1373" s="61" t="n">
        <v>881.88</v>
      </c>
      <c r="I1373" s="61" t="n">
        <v>63.21</v>
      </c>
      <c r="J1373" s="61" t="n">
        <f aca="false">H1373*Resumo!$C$6</f>
        <v>0</v>
      </c>
      <c r="K1373" s="61" t="n">
        <f aca="false">H1373*Resumo!$C$7</f>
        <v>1.851948</v>
      </c>
      <c r="L1373" s="61" t="n">
        <f aca="false">H1373*Resumo!$C$8</f>
        <v>1.851948</v>
      </c>
      <c r="M1373" s="61" t="n">
        <f aca="false">Resumo!$C$10*CEILING(G1373/100,1)</f>
        <v>1.05</v>
      </c>
      <c r="N1373" s="61" t="n">
        <f aca="false">Resumo!$C$9</f>
        <v>0</v>
      </c>
      <c r="O1373" s="61" t="n">
        <f aca="false">Resumo!$C$13</f>
        <v>13.55</v>
      </c>
      <c r="P1373" s="61" t="n">
        <f aca="false">Resumo!$C$14*CEILING(G1373,1)</f>
        <v>27.9</v>
      </c>
      <c r="Q1373" s="61" t="n">
        <f aca="false">SUM(I1373:P1373)*Resumo!$C$11</f>
        <v>0</v>
      </c>
      <c r="R1373" s="61" t="n">
        <f aca="false">SUM(I1373:Q1373)</f>
        <v>109.413896</v>
      </c>
      <c r="S1373" s="61" t="n">
        <f aca="false">R1373/(1-Resumo!$C$5)</f>
        <v>124.333972727273</v>
      </c>
      <c r="T1373" s="61" t="n">
        <v>131.02</v>
      </c>
      <c r="U1373" s="61" t="n">
        <f aca="false">H1373*Resumo!$B$6</f>
        <v>0.88188</v>
      </c>
      <c r="V1373" s="61" t="n">
        <f aca="false">H1373*Resumo!$B$7</f>
        <v>1.76376</v>
      </c>
      <c r="W1373" s="61" t="n">
        <f aca="false">Resumo!$B$9</f>
        <v>1</v>
      </c>
      <c r="X1373" s="61" t="n">
        <f aca="false">Resumo!$B$10*CEILING(G1373/100,1)</f>
        <v>4.5</v>
      </c>
      <c r="Y1373" s="61" t="n">
        <f aca="false">Resumo!$B$12*CEILING(G1373,1)</f>
        <v>3.72</v>
      </c>
      <c r="Z1373" s="61" t="n">
        <f aca="false">Resumo!$B$14*CEILING(G1373,1)</f>
        <v>27.9</v>
      </c>
      <c r="AA1373" s="61" t="n">
        <f aca="false">SUM(T1373:Z1373)</f>
        <v>170.78564</v>
      </c>
      <c r="AB1373" s="61" t="n">
        <f aca="false">AA1373/(1-Resumo!$B$5)</f>
        <v>194.074590909091</v>
      </c>
      <c r="AC1373" s="61" t="n">
        <f aca="false">AB1373-S1373</f>
        <v>69.7406181818182</v>
      </c>
      <c r="AD1373" s="62" t="n">
        <f aca="false">AB1373/S1373-1</f>
        <v>0.560913615579506</v>
      </c>
      <c r="AE1373" s="60" t="str">
        <f aca="false">IF(AB1373&lt;S1373,"SIM","NÃO")</f>
        <v>NÃO</v>
      </c>
      <c r="AF1373" s="60" t="n">
        <v>2</v>
      </c>
      <c r="AG1373" s="60" t="n">
        <v>5</v>
      </c>
      <c r="AH1373" s="60" t="s">
        <v>382</v>
      </c>
      <c r="AI1373" s="61" t="n">
        <f aca="false">(T1373*(1-Painel!$C$40)+U1373+V1373+Painel!$C$41+Painel!$C$42*CEILING(G1373/100,1)+Painel!$C$43*CEILING(G1373,1)+Z1373)/(1-Resumo!$B$5)</f>
        <v>136.794363636364</v>
      </c>
      <c r="AJ1373" s="60" t="str">
        <f aca="false">IF(AI1373&lt;S1373,"SIM","NÃO")</f>
        <v>NÃO</v>
      </c>
    </row>
    <row r="1374" customFormat="false" ht="15" hidden="false" customHeight="false" outlineLevel="0" collapsed="false">
      <c r="A1374" s="59" t="n">
        <v>46257.7140856482</v>
      </c>
      <c r="B1374" s="60" t="s">
        <v>1647</v>
      </c>
      <c r="C1374" s="60" t="n">
        <v>22221020</v>
      </c>
      <c r="D1374" s="60" t="s">
        <v>46</v>
      </c>
      <c r="E1374" s="60" t="s">
        <v>22</v>
      </c>
      <c r="F1374" s="60" t="s">
        <v>235</v>
      </c>
      <c r="G1374" s="60" t="n">
        <v>43.5</v>
      </c>
      <c r="H1374" s="61" t="n">
        <v>679.09</v>
      </c>
      <c r="I1374" s="61" t="n">
        <v>53.55</v>
      </c>
      <c r="J1374" s="61" t="n">
        <f aca="false">H1374*Resumo!$C$6</f>
        <v>0</v>
      </c>
      <c r="K1374" s="61" t="n">
        <f aca="false">H1374*Resumo!$C$7</f>
        <v>1.426089</v>
      </c>
      <c r="L1374" s="61" t="n">
        <f aca="false">H1374*Resumo!$C$8</f>
        <v>1.426089</v>
      </c>
      <c r="M1374" s="61" t="n">
        <f aca="false">Resumo!$C$10*CEILING(G1374/100,1)</f>
        <v>1.05</v>
      </c>
      <c r="N1374" s="61" t="n">
        <f aca="false">Resumo!$C$9</f>
        <v>0</v>
      </c>
      <c r="O1374" s="61" t="n">
        <f aca="false">Resumo!$C$13</f>
        <v>13.55</v>
      </c>
      <c r="P1374" s="61" t="n">
        <f aca="false">Resumo!$C$14*CEILING(G1374,1)</f>
        <v>19.8</v>
      </c>
      <c r="Q1374" s="61" t="n">
        <f aca="false">SUM(I1374:P1374)*Resumo!$C$11</f>
        <v>0</v>
      </c>
      <c r="R1374" s="61" t="n">
        <f aca="false">SUM(I1374:Q1374)</f>
        <v>90.802178</v>
      </c>
      <c r="S1374" s="61" t="n">
        <f aca="false">R1374/(1-Resumo!$C$5)</f>
        <v>103.184293181818</v>
      </c>
      <c r="T1374" s="61" t="n">
        <v>93.97</v>
      </c>
      <c r="U1374" s="61" t="n">
        <f aca="false">H1374*Resumo!$B$6</f>
        <v>0.67909</v>
      </c>
      <c r="V1374" s="61" t="n">
        <f aca="false">H1374*Resumo!$B$7</f>
        <v>1.35818</v>
      </c>
      <c r="W1374" s="61" t="n">
        <f aca="false">Resumo!$B$9</f>
        <v>1</v>
      </c>
      <c r="X1374" s="61" t="n">
        <f aca="false">Resumo!$B$10*CEILING(G1374/100,1)</f>
        <v>4.5</v>
      </c>
      <c r="Y1374" s="61" t="n">
        <f aca="false">Resumo!$B$12*CEILING(G1374,1)</f>
        <v>2.64</v>
      </c>
      <c r="Z1374" s="61" t="n">
        <f aca="false">Resumo!$B$14*CEILING(G1374,1)</f>
        <v>19.8</v>
      </c>
      <c r="AA1374" s="61" t="n">
        <f aca="false">SUM(T1374:Z1374)</f>
        <v>123.94727</v>
      </c>
      <c r="AB1374" s="61" t="n">
        <f aca="false">AA1374/(1-Resumo!$B$5)</f>
        <v>140.849170454545</v>
      </c>
      <c r="AC1374" s="61" t="n">
        <f aca="false">AB1374-S1374</f>
        <v>37.6648772727273</v>
      </c>
      <c r="AD1374" s="62" t="n">
        <f aca="false">AB1374/S1374-1</f>
        <v>0.365025297080429</v>
      </c>
      <c r="AE1374" s="60" t="str">
        <f aca="false">IF(AB1374&lt;S1374,"SIM","NÃO")</f>
        <v>NÃO</v>
      </c>
      <c r="AF1374" s="60" t="n">
        <v>2</v>
      </c>
      <c r="AG1374" s="60" t="n">
        <v>5</v>
      </c>
      <c r="AH1374" s="60" t="s">
        <v>382</v>
      </c>
      <c r="AI1374" s="61" t="n">
        <f aca="false">(T1374*(1-Painel!$C$40)+U1374+V1374+Painel!$C$41+Painel!$C$42*CEILING(G1374/100,1)+Painel!$C$43*CEILING(G1374,1)+Z1374)/(1-Resumo!$B$5)</f>
        <v>98.6899659090909</v>
      </c>
      <c r="AJ1374" s="60" t="str">
        <f aca="false">IF(AI1374&lt;S1374,"SIM","NÃO")</f>
        <v>SIM</v>
      </c>
    </row>
    <row r="1375" customFormat="false" ht="15" hidden="false" customHeight="false" outlineLevel="0" collapsed="false">
      <c r="A1375" s="59" t="n">
        <v>46257.7439930556</v>
      </c>
      <c r="B1375" s="60" t="s">
        <v>1648</v>
      </c>
      <c r="C1375" s="60" t="n">
        <v>22011002</v>
      </c>
      <c r="D1375" s="60" t="s">
        <v>46</v>
      </c>
      <c r="E1375" s="60" t="s">
        <v>22</v>
      </c>
      <c r="F1375" s="60" t="s">
        <v>234</v>
      </c>
      <c r="G1375" s="60" t="n">
        <v>40</v>
      </c>
      <c r="H1375" s="61" t="n">
        <v>509.99</v>
      </c>
      <c r="I1375" s="61" t="n">
        <v>48.35</v>
      </c>
      <c r="J1375" s="61" t="n">
        <f aca="false">H1375*Resumo!$C$6</f>
        <v>0</v>
      </c>
      <c r="K1375" s="61" t="n">
        <f aca="false">H1375*Resumo!$C$7</f>
        <v>1.070979</v>
      </c>
      <c r="L1375" s="61" t="n">
        <f aca="false">H1375*Resumo!$C$8</f>
        <v>1.070979</v>
      </c>
      <c r="M1375" s="61" t="n">
        <f aca="false">Resumo!$C$10*CEILING(G1375/100,1)</f>
        <v>1.05</v>
      </c>
      <c r="N1375" s="61" t="n">
        <f aca="false">Resumo!$C$9</f>
        <v>0</v>
      </c>
      <c r="O1375" s="61" t="n">
        <f aca="false">Resumo!$C$13</f>
        <v>13.55</v>
      </c>
      <c r="P1375" s="61" t="n">
        <f aca="false">Resumo!$C$14*CEILING(G1375,1)</f>
        <v>18</v>
      </c>
      <c r="Q1375" s="61" t="n">
        <f aca="false">SUM(I1375:P1375)*Resumo!$C$11</f>
        <v>0</v>
      </c>
      <c r="R1375" s="61" t="n">
        <f aca="false">SUM(I1375:Q1375)</f>
        <v>83.091958</v>
      </c>
      <c r="S1375" s="61" t="n">
        <f aca="false">R1375/(1-Resumo!$C$5)</f>
        <v>94.4226795454546</v>
      </c>
      <c r="T1375" s="61" t="n">
        <v>93.97</v>
      </c>
      <c r="U1375" s="61" t="n">
        <f aca="false">H1375*Resumo!$B$6</f>
        <v>0.50999</v>
      </c>
      <c r="V1375" s="61" t="n">
        <f aca="false">H1375*Resumo!$B$7</f>
        <v>1.01998</v>
      </c>
      <c r="W1375" s="61" t="n">
        <f aca="false">Resumo!$B$9</f>
        <v>1</v>
      </c>
      <c r="X1375" s="61" t="n">
        <f aca="false">Resumo!$B$10*CEILING(G1375/100,1)</f>
        <v>4.5</v>
      </c>
      <c r="Y1375" s="61" t="n">
        <f aca="false">Resumo!$B$12*CEILING(G1375,1)</f>
        <v>2.4</v>
      </c>
      <c r="Z1375" s="61" t="n">
        <f aca="false">Resumo!$B$14*CEILING(G1375,1)</f>
        <v>18</v>
      </c>
      <c r="AA1375" s="61" t="n">
        <f aca="false">SUM(T1375:Z1375)</f>
        <v>121.39997</v>
      </c>
      <c r="AB1375" s="61" t="n">
        <f aca="false">AA1375/(1-Resumo!$B$5)</f>
        <v>137.954511363636</v>
      </c>
      <c r="AC1375" s="61" t="n">
        <f aca="false">AB1375-S1375</f>
        <v>43.5318318181818</v>
      </c>
      <c r="AD1375" s="62" t="n">
        <f aca="false">AB1375/S1375-1</f>
        <v>0.461031523652385</v>
      </c>
      <c r="AE1375" s="60" t="str">
        <f aca="false">IF(AB1375&lt;S1375,"SIM","NÃO")</f>
        <v>NÃO</v>
      </c>
      <c r="AF1375" s="60" t="n">
        <v>2</v>
      </c>
      <c r="AG1375" s="60" t="n">
        <v>5</v>
      </c>
      <c r="AH1375" s="60" t="s">
        <v>382</v>
      </c>
      <c r="AI1375" s="61" t="n">
        <f aca="false">(T1375*(1-Painel!$C$40)+U1375+V1375+Painel!$C$41+Painel!$C$42*CEILING(G1375/100,1)+Painel!$C$43*CEILING(G1375,1)+Z1375)/(1-Resumo!$B$5)</f>
        <v>96.0680340909091</v>
      </c>
      <c r="AJ1375" s="60" t="str">
        <f aca="false">IF(AI1375&lt;S1375,"SIM","NÃO")</f>
        <v>NÃO</v>
      </c>
    </row>
    <row r="1376" customFormat="false" ht="15" hidden="false" customHeight="false" outlineLevel="0" collapsed="false">
      <c r="A1376" s="59" t="n">
        <v>46257.750775463</v>
      </c>
      <c r="B1376" s="60" t="s">
        <v>1649</v>
      </c>
      <c r="C1376" s="60" t="n">
        <v>25035800</v>
      </c>
      <c r="D1376" s="60" t="s">
        <v>48</v>
      </c>
      <c r="E1376" s="60" t="s">
        <v>23</v>
      </c>
      <c r="F1376" s="60" t="s">
        <v>234</v>
      </c>
      <c r="G1376" s="60" t="n">
        <v>40</v>
      </c>
      <c r="H1376" s="61" t="n">
        <v>529.99</v>
      </c>
      <c r="I1376" s="61" t="n">
        <v>66.83</v>
      </c>
      <c r="J1376" s="61" t="n">
        <f aca="false">H1376*Resumo!$C$6</f>
        <v>0</v>
      </c>
      <c r="K1376" s="61" t="n">
        <f aca="false">H1376*Resumo!$C$7</f>
        <v>1.112979</v>
      </c>
      <c r="L1376" s="61" t="n">
        <f aca="false">H1376*Resumo!$C$8</f>
        <v>1.112979</v>
      </c>
      <c r="M1376" s="61" t="n">
        <f aca="false">Resumo!$C$10*CEILING(G1376/100,1)</f>
        <v>1.05</v>
      </c>
      <c r="N1376" s="61" t="n">
        <f aca="false">Resumo!$C$9</f>
        <v>0</v>
      </c>
      <c r="O1376" s="61" t="n">
        <f aca="false">Resumo!$C$13</f>
        <v>13.55</v>
      </c>
      <c r="P1376" s="61" t="n">
        <f aca="false">Resumo!$C$14*CEILING(G1376,1)</f>
        <v>18</v>
      </c>
      <c r="Q1376" s="61" t="n">
        <f aca="false">SUM(I1376:P1376)*Resumo!$C$11</f>
        <v>0</v>
      </c>
      <c r="R1376" s="61" t="n">
        <f aca="false">SUM(I1376:Q1376)</f>
        <v>101.655958</v>
      </c>
      <c r="S1376" s="61" t="n">
        <f aca="false">R1376/(1-Resumo!$C$5)</f>
        <v>115.518134090909</v>
      </c>
      <c r="T1376" s="61" t="n">
        <v>93.97</v>
      </c>
      <c r="U1376" s="61" t="n">
        <f aca="false">H1376*Resumo!$B$6</f>
        <v>0.52999</v>
      </c>
      <c r="V1376" s="61" t="n">
        <f aca="false">H1376*Resumo!$B$7</f>
        <v>1.05998</v>
      </c>
      <c r="W1376" s="61" t="n">
        <f aca="false">Resumo!$B$9</f>
        <v>1</v>
      </c>
      <c r="X1376" s="61" t="n">
        <f aca="false">Resumo!$B$10*CEILING(G1376/100,1)</f>
        <v>4.5</v>
      </c>
      <c r="Y1376" s="61" t="n">
        <f aca="false">Resumo!$B$12*CEILING(G1376,1)</f>
        <v>2.4</v>
      </c>
      <c r="Z1376" s="61" t="n">
        <f aca="false">Resumo!$B$14*CEILING(G1376,1)</f>
        <v>18</v>
      </c>
      <c r="AA1376" s="61" t="n">
        <f aca="false">SUM(T1376:Z1376)</f>
        <v>121.45997</v>
      </c>
      <c r="AB1376" s="61" t="n">
        <f aca="false">AA1376/(1-Resumo!$B$5)</f>
        <v>138.022693181818</v>
      </c>
      <c r="AC1376" s="61" t="n">
        <f aca="false">AB1376-S1376</f>
        <v>22.5045590909091</v>
      </c>
      <c r="AD1376" s="62" t="n">
        <f aca="false">AB1376/S1376-1</f>
        <v>0.194814080646409</v>
      </c>
      <c r="AE1376" s="60" t="str">
        <f aca="false">IF(AB1376&lt;S1376,"SIM","NÃO")</f>
        <v>NÃO</v>
      </c>
      <c r="AF1376" s="60" t="n">
        <v>2</v>
      </c>
      <c r="AG1376" s="60" t="n">
        <v>5</v>
      </c>
      <c r="AH1376" s="60" t="s">
        <v>382</v>
      </c>
      <c r="AI1376" s="61" t="n">
        <f aca="false">(T1376*(1-Painel!$C$40)+U1376+V1376+Painel!$C$41+Painel!$C$42*CEILING(G1376/100,1)+Painel!$C$43*CEILING(G1376,1)+Z1376)/(1-Resumo!$B$5)</f>
        <v>96.1362159090909</v>
      </c>
      <c r="AJ1376" s="60" t="str">
        <f aca="false">IF(AI1376&lt;S1376,"SIM","NÃO")</f>
        <v>SIM</v>
      </c>
    </row>
    <row r="1377" customFormat="false" ht="15" hidden="false" customHeight="false" outlineLevel="0" collapsed="false">
      <c r="A1377" s="59" t="n">
        <v>46257.7731828704</v>
      </c>
      <c r="B1377" s="60" t="s">
        <v>884</v>
      </c>
      <c r="C1377" s="60" t="n">
        <v>21650002</v>
      </c>
      <c r="D1377" s="60" t="s">
        <v>46</v>
      </c>
      <c r="E1377" s="60" t="s">
        <v>22</v>
      </c>
      <c r="F1377" s="60" t="s">
        <v>236</v>
      </c>
      <c r="G1377" s="60" t="n">
        <v>51.7</v>
      </c>
      <c r="H1377" s="61" t="n">
        <v>609.97</v>
      </c>
      <c r="I1377" s="61" t="n">
        <v>58.6</v>
      </c>
      <c r="J1377" s="61" t="n">
        <f aca="false">H1377*Resumo!$C$6</f>
        <v>0</v>
      </c>
      <c r="K1377" s="61" t="n">
        <f aca="false">H1377*Resumo!$C$7</f>
        <v>1.280937</v>
      </c>
      <c r="L1377" s="61" t="n">
        <f aca="false">H1377*Resumo!$C$8</f>
        <v>1.280937</v>
      </c>
      <c r="M1377" s="61" t="n">
        <f aca="false">Resumo!$C$10*CEILING(G1377/100,1)</f>
        <v>1.05</v>
      </c>
      <c r="N1377" s="61" t="n">
        <f aca="false">Resumo!$C$9</f>
        <v>0</v>
      </c>
      <c r="O1377" s="61" t="n">
        <f aca="false">Resumo!$C$13</f>
        <v>13.55</v>
      </c>
      <c r="P1377" s="61" t="n">
        <f aca="false">Resumo!$C$14*CEILING(G1377,1)</f>
        <v>23.4</v>
      </c>
      <c r="Q1377" s="61" t="n">
        <f aca="false">SUM(I1377:P1377)*Resumo!$C$11</f>
        <v>0</v>
      </c>
      <c r="R1377" s="61" t="n">
        <f aca="false">SUM(I1377:Q1377)</f>
        <v>99.161874</v>
      </c>
      <c r="S1377" s="61" t="n">
        <f aca="false">R1377/(1-Resumo!$C$5)</f>
        <v>112.683947727273</v>
      </c>
      <c r="T1377" s="61" t="n">
        <v>112.3</v>
      </c>
      <c r="U1377" s="61" t="n">
        <f aca="false">H1377*Resumo!$B$6</f>
        <v>0.60997</v>
      </c>
      <c r="V1377" s="61" t="n">
        <f aca="false">H1377*Resumo!$B$7</f>
        <v>1.21994</v>
      </c>
      <c r="W1377" s="61" t="n">
        <f aca="false">Resumo!$B$9</f>
        <v>1</v>
      </c>
      <c r="X1377" s="61" t="n">
        <f aca="false">Resumo!$B$10*CEILING(G1377/100,1)</f>
        <v>4.5</v>
      </c>
      <c r="Y1377" s="61" t="n">
        <f aca="false">Resumo!$B$12*CEILING(G1377,1)</f>
        <v>3.12</v>
      </c>
      <c r="Z1377" s="61" t="n">
        <f aca="false">Resumo!$B$14*CEILING(G1377,1)</f>
        <v>23.4</v>
      </c>
      <c r="AA1377" s="61" t="n">
        <f aca="false">SUM(T1377:Z1377)</f>
        <v>146.14991</v>
      </c>
      <c r="AB1377" s="61" t="n">
        <f aca="false">AA1377/(1-Resumo!$B$5)</f>
        <v>166.079443181818</v>
      </c>
      <c r="AC1377" s="61" t="n">
        <f aca="false">AB1377-S1377</f>
        <v>53.3954954545455</v>
      </c>
      <c r="AD1377" s="62" t="n">
        <f aca="false">AB1377/S1377-1</f>
        <v>0.473851835434252</v>
      </c>
      <c r="AE1377" s="60" t="str">
        <f aca="false">IF(AB1377&lt;S1377,"SIM","NÃO")</f>
        <v>NÃO</v>
      </c>
      <c r="AF1377" s="60" t="n">
        <v>2</v>
      </c>
      <c r="AG1377" s="60" t="n">
        <v>5</v>
      </c>
      <c r="AH1377" s="60" t="s">
        <v>382</v>
      </c>
      <c r="AI1377" s="61" t="n">
        <f aca="false">(T1377*(1-Painel!$C$40)+U1377+V1377+Painel!$C$41+Painel!$C$42*CEILING(G1377/100,1)+Painel!$C$43*CEILING(G1377,1)+Z1377)/(1-Resumo!$B$5)</f>
        <v>116.501034090909</v>
      </c>
      <c r="AJ1377" s="60" t="str">
        <f aca="false">IF(AI1377&lt;S1377,"SIM","NÃO")</f>
        <v>NÃO</v>
      </c>
    </row>
    <row r="1378" customFormat="false" ht="15" hidden="false" customHeight="false" outlineLevel="0" collapsed="false">
      <c r="A1378" s="59" t="n">
        <v>46257.7874652778</v>
      </c>
      <c r="B1378" s="60" t="s">
        <v>1650</v>
      </c>
      <c r="C1378" s="60" t="n">
        <v>25963007</v>
      </c>
      <c r="D1378" s="60" t="s">
        <v>281</v>
      </c>
      <c r="E1378" s="60" t="s">
        <v>24</v>
      </c>
      <c r="F1378" s="60" t="s">
        <v>233</v>
      </c>
      <c r="G1378" s="60" t="n">
        <v>27.6</v>
      </c>
      <c r="H1378" s="61" t="n">
        <v>599.99</v>
      </c>
      <c r="I1378" s="61" t="n">
        <v>65.63</v>
      </c>
      <c r="J1378" s="61" t="n">
        <f aca="false">H1378*Resumo!$C$6</f>
        <v>0</v>
      </c>
      <c r="K1378" s="61" t="n">
        <f aca="false">H1378*Resumo!$C$7</f>
        <v>1.259979</v>
      </c>
      <c r="L1378" s="61" t="n">
        <f aca="false">H1378*Resumo!$C$8</f>
        <v>1.259979</v>
      </c>
      <c r="M1378" s="61" t="n">
        <f aca="false">Resumo!$C$10*CEILING(G1378/100,1)</f>
        <v>1.05</v>
      </c>
      <c r="N1378" s="61" t="n">
        <f aca="false">Resumo!$C$9</f>
        <v>0</v>
      </c>
      <c r="O1378" s="61" t="n">
        <f aca="false">Resumo!$C$13</f>
        <v>13.55</v>
      </c>
      <c r="P1378" s="61" t="n">
        <f aca="false">Resumo!$C$14*CEILING(G1378,1)</f>
        <v>12.6</v>
      </c>
      <c r="Q1378" s="61" t="n">
        <f aca="false">SUM(I1378:P1378)*Resumo!$C$11</f>
        <v>0</v>
      </c>
      <c r="R1378" s="61" t="n">
        <f aca="false">SUM(I1378:Q1378)</f>
        <v>95.349958</v>
      </c>
      <c r="S1378" s="61" t="n">
        <f aca="false">R1378/(1-Resumo!$C$5)</f>
        <v>108.352225</v>
      </c>
      <c r="T1378" s="61" t="n">
        <v>120.78</v>
      </c>
      <c r="U1378" s="61" t="n">
        <f aca="false">H1378*Resumo!$B$6</f>
        <v>0.59999</v>
      </c>
      <c r="V1378" s="61" t="n">
        <f aca="false">H1378*Resumo!$B$7</f>
        <v>1.19998</v>
      </c>
      <c r="W1378" s="61" t="n">
        <f aca="false">Resumo!$B$9</f>
        <v>1</v>
      </c>
      <c r="X1378" s="61" t="n">
        <f aca="false">Resumo!$B$10*CEILING(G1378/100,1)</f>
        <v>4.5</v>
      </c>
      <c r="Y1378" s="61" t="n">
        <f aca="false">Resumo!$B$12*CEILING(G1378,1)</f>
        <v>1.68</v>
      </c>
      <c r="Z1378" s="61" t="n">
        <f aca="false">Resumo!$B$14*CEILING(G1378,1)</f>
        <v>12.6</v>
      </c>
      <c r="AA1378" s="61" t="n">
        <f aca="false">SUM(T1378:Z1378)</f>
        <v>142.35997</v>
      </c>
      <c r="AB1378" s="61" t="n">
        <f aca="false">AA1378/(1-Resumo!$B$5)</f>
        <v>161.772693181818</v>
      </c>
      <c r="AC1378" s="61" t="n">
        <f aca="false">AB1378-S1378</f>
        <v>53.4204681818182</v>
      </c>
      <c r="AD1378" s="62" t="n">
        <f aca="false">AB1378/S1378-1</f>
        <v>0.493026037830033</v>
      </c>
      <c r="AE1378" s="60" t="str">
        <f aca="false">IF(AB1378&lt;S1378,"SIM","NÃO")</f>
        <v>NÃO</v>
      </c>
      <c r="AF1378" s="60" t="n">
        <v>13</v>
      </c>
      <c r="AG1378" s="60" t="n">
        <v>10</v>
      </c>
      <c r="AH1378" s="60" t="s">
        <v>385</v>
      </c>
      <c r="AI1378" s="61" t="n">
        <f aca="false">(T1378*(1-Painel!$C$40)+U1378+V1378+Painel!$C$41+Painel!$C$42*CEILING(G1378/100,1)+Painel!$C$43*CEILING(G1378,1)+Z1378)/(1-Resumo!$B$5)</f>
        <v>110.650647727273</v>
      </c>
      <c r="AJ1378" s="60" t="str">
        <f aca="false">IF(AI1378&lt;S1378,"SIM","NÃO")</f>
        <v>NÃO</v>
      </c>
    </row>
    <row r="1379" customFormat="false" ht="15" hidden="false" customHeight="false" outlineLevel="0" collapsed="false">
      <c r="A1379" s="59" t="n">
        <v>46257.790474537</v>
      </c>
      <c r="B1379" s="60" t="s">
        <v>1651</v>
      </c>
      <c r="C1379" s="60" t="n">
        <v>23071180</v>
      </c>
      <c r="D1379" s="60" t="s">
        <v>46</v>
      </c>
      <c r="E1379" s="60" t="s">
        <v>22</v>
      </c>
      <c r="F1379" s="60" t="s">
        <v>239</v>
      </c>
      <c r="G1379" s="60" t="n">
        <v>81.7</v>
      </c>
      <c r="H1379" s="61" t="n">
        <v>562</v>
      </c>
      <c r="I1379" s="61" t="n">
        <v>83.79</v>
      </c>
      <c r="J1379" s="61" t="n">
        <f aca="false">H1379*Resumo!$C$6</f>
        <v>0</v>
      </c>
      <c r="K1379" s="61" t="n">
        <f aca="false">H1379*Resumo!$C$7</f>
        <v>1.1802</v>
      </c>
      <c r="L1379" s="61" t="n">
        <f aca="false">H1379*Resumo!$C$8</f>
        <v>1.1802</v>
      </c>
      <c r="M1379" s="61" t="n">
        <f aca="false">Resumo!$C$10*CEILING(G1379/100,1)</f>
        <v>1.05</v>
      </c>
      <c r="N1379" s="61" t="n">
        <f aca="false">Resumo!$C$9</f>
        <v>0</v>
      </c>
      <c r="O1379" s="61" t="n">
        <f aca="false">Resumo!$C$13</f>
        <v>13.55</v>
      </c>
      <c r="P1379" s="61" t="n">
        <f aca="false">Resumo!$C$14*CEILING(G1379,1)</f>
        <v>36.9</v>
      </c>
      <c r="Q1379" s="61" t="n">
        <f aca="false">SUM(I1379:P1379)*Resumo!$C$11</f>
        <v>0</v>
      </c>
      <c r="R1379" s="61" t="n">
        <f aca="false">SUM(I1379:Q1379)</f>
        <v>137.6504</v>
      </c>
      <c r="S1379" s="61" t="n">
        <f aca="false">R1379/(1-Resumo!$C$5)</f>
        <v>156.420909090909</v>
      </c>
      <c r="T1379" s="61" t="n">
        <v>167.99</v>
      </c>
      <c r="U1379" s="61" t="n">
        <f aca="false">H1379*Resumo!$B$6</f>
        <v>0.562</v>
      </c>
      <c r="V1379" s="61" t="n">
        <f aca="false">H1379*Resumo!$B$7</f>
        <v>1.124</v>
      </c>
      <c r="W1379" s="61" t="n">
        <f aca="false">Resumo!$B$9</f>
        <v>1</v>
      </c>
      <c r="X1379" s="61" t="n">
        <f aca="false">Resumo!$B$10*CEILING(G1379/100,1)</f>
        <v>4.5</v>
      </c>
      <c r="Y1379" s="61" t="n">
        <f aca="false">Resumo!$B$12*CEILING(G1379,1)</f>
        <v>4.92</v>
      </c>
      <c r="Z1379" s="61" t="n">
        <f aca="false">Resumo!$B$14*CEILING(G1379,1)</f>
        <v>36.9</v>
      </c>
      <c r="AA1379" s="61" t="n">
        <f aca="false">SUM(T1379:Z1379)</f>
        <v>216.996</v>
      </c>
      <c r="AB1379" s="61" t="n">
        <f aca="false">AA1379/(1-Resumo!$B$5)</f>
        <v>246.586363636364</v>
      </c>
      <c r="AC1379" s="61" t="n">
        <f aca="false">AB1379-S1379</f>
        <v>90.1654545454545</v>
      </c>
      <c r="AD1379" s="62" t="n">
        <f aca="false">AB1379/S1379-1</f>
        <v>0.576428401225133</v>
      </c>
      <c r="AE1379" s="60" t="str">
        <f aca="false">IF(AB1379&lt;S1379,"SIM","NÃO")</f>
        <v>NÃO</v>
      </c>
      <c r="AF1379" s="60" t="n">
        <v>2</v>
      </c>
      <c r="AG1379" s="60" t="n">
        <v>5</v>
      </c>
      <c r="AH1379" s="60" t="s">
        <v>382</v>
      </c>
      <c r="AI1379" s="61" t="n">
        <f aca="false">(T1379*(1-Painel!$C$40)+U1379+V1379+Painel!$C$41+Painel!$C$42*CEILING(G1379/100,1)+Painel!$C$43*CEILING(G1379,1)+Z1379)/(1-Resumo!$B$5)</f>
        <v>174.07875</v>
      </c>
      <c r="AJ1379" s="60" t="str">
        <f aca="false">IF(AI1379&lt;S1379,"SIM","NÃO")</f>
        <v>NÃO</v>
      </c>
    </row>
    <row r="1380" customFormat="false" ht="15" hidden="false" customHeight="false" outlineLevel="0" collapsed="false">
      <c r="A1380" s="59" t="n">
        <v>46257.8362268519</v>
      </c>
      <c r="B1380" s="60" t="s">
        <v>1652</v>
      </c>
      <c r="C1380" s="60" t="n">
        <v>20730110</v>
      </c>
      <c r="D1380" s="60" t="s">
        <v>46</v>
      </c>
      <c r="E1380" s="60" t="s">
        <v>22</v>
      </c>
      <c r="F1380" s="60" t="s">
        <v>233</v>
      </c>
      <c r="G1380" s="60" t="n">
        <v>24.4</v>
      </c>
      <c r="H1380" s="61" t="n">
        <v>299.99</v>
      </c>
      <c r="I1380" s="61" t="n">
        <v>42.11</v>
      </c>
      <c r="J1380" s="61" t="n">
        <f aca="false">H1380*Resumo!$C$6</f>
        <v>0</v>
      </c>
      <c r="K1380" s="61" t="n">
        <f aca="false">H1380*Resumo!$C$7</f>
        <v>0.629979</v>
      </c>
      <c r="L1380" s="61" t="n">
        <f aca="false">H1380*Resumo!$C$8</f>
        <v>0.629979</v>
      </c>
      <c r="M1380" s="61" t="n">
        <f aca="false">Resumo!$C$10*CEILING(G1380/100,1)</f>
        <v>1.05</v>
      </c>
      <c r="N1380" s="61" t="n">
        <f aca="false">Resumo!$C$9</f>
        <v>0</v>
      </c>
      <c r="O1380" s="61" t="n">
        <f aca="false">Resumo!$C$13</f>
        <v>13.55</v>
      </c>
      <c r="P1380" s="61" t="n">
        <f aca="false">Resumo!$C$14*CEILING(G1380,1)</f>
        <v>11.25</v>
      </c>
      <c r="Q1380" s="61" t="n">
        <f aca="false">SUM(I1380:P1380)*Resumo!$C$11</f>
        <v>0</v>
      </c>
      <c r="R1380" s="61" t="n">
        <f aca="false">SUM(I1380:Q1380)</f>
        <v>69.219958</v>
      </c>
      <c r="S1380" s="61" t="n">
        <f aca="false">R1380/(1-Resumo!$C$5)</f>
        <v>78.6590431818182</v>
      </c>
      <c r="T1380" s="61" t="n">
        <v>82.21</v>
      </c>
      <c r="U1380" s="61" t="n">
        <f aca="false">H1380*Resumo!$B$6</f>
        <v>0.29999</v>
      </c>
      <c r="V1380" s="61" t="n">
        <f aca="false">H1380*Resumo!$B$7</f>
        <v>0.59998</v>
      </c>
      <c r="W1380" s="61" t="n">
        <f aca="false">Resumo!$B$9</f>
        <v>1</v>
      </c>
      <c r="X1380" s="61" t="n">
        <f aca="false">Resumo!$B$10*CEILING(G1380/100,1)</f>
        <v>4.5</v>
      </c>
      <c r="Y1380" s="61" t="n">
        <f aca="false">Resumo!$B$12*CEILING(G1380,1)</f>
        <v>1.5</v>
      </c>
      <c r="Z1380" s="61" t="n">
        <f aca="false">Resumo!$B$14*CEILING(G1380,1)</f>
        <v>11.25</v>
      </c>
      <c r="AA1380" s="61" t="n">
        <f aca="false">SUM(T1380:Z1380)</f>
        <v>101.35997</v>
      </c>
      <c r="AB1380" s="61" t="n">
        <f aca="false">AA1380/(1-Resumo!$B$5)</f>
        <v>115.181784090909</v>
      </c>
      <c r="AC1380" s="61" t="n">
        <f aca="false">AB1380-S1380</f>
        <v>36.5227409090909</v>
      </c>
      <c r="AD1380" s="62" t="n">
        <f aca="false">AB1380/S1380-1</f>
        <v>0.464317126572079</v>
      </c>
      <c r="AE1380" s="60" t="str">
        <f aca="false">IF(AB1380&lt;S1380,"SIM","NÃO")</f>
        <v>NÃO</v>
      </c>
      <c r="AF1380" s="60" t="n">
        <v>2</v>
      </c>
      <c r="AG1380" s="60" t="n">
        <v>5</v>
      </c>
      <c r="AH1380" s="60" t="s">
        <v>382</v>
      </c>
      <c r="AI1380" s="61" t="n">
        <f aca="false">(T1380*(1-Painel!$C$40)+U1380+V1380+Painel!$C$41+Painel!$C$42*CEILING(G1380/100,1)+Painel!$C$43*CEILING(G1380,1)+Z1380)/(1-Resumo!$B$5)</f>
        <v>78.7280340909091</v>
      </c>
      <c r="AJ1380" s="60" t="str">
        <f aca="false">IF(AI1380&lt;S1380,"SIM","NÃO")</f>
        <v>NÃO</v>
      </c>
    </row>
    <row r="1381" customFormat="false" ht="15" hidden="false" customHeight="false" outlineLevel="0" collapsed="false">
      <c r="A1381" s="59" t="n">
        <v>46257.8422685185</v>
      </c>
      <c r="B1381" s="60" t="s">
        <v>1653</v>
      </c>
      <c r="C1381" s="60" t="n">
        <v>24451840</v>
      </c>
      <c r="D1381" s="60" t="s">
        <v>47</v>
      </c>
      <c r="E1381" s="60" t="s">
        <v>23</v>
      </c>
      <c r="F1381" s="60" t="s">
        <v>237</v>
      </c>
      <c r="G1381" s="60" t="n">
        <v>66.8</v>
      </c>
      <c r="H1381" s="61" t="n">
        <v>588.63</v>
      </c>
      <c r="I1381" s="61" t="n">
        <v>76.55</v>
      </c>
      <c r="J1381" s="61" t="n">
        <f aca="false">H1381*Resumo!$C$6</f>
        <v>0</v>
      </c>
      <c r="K1381" s="61" t="n">
        <f aca="false">H1381*Resumo!$C$7</f>
        <v>1.236123</v>
      </c>
      <c r="L1381" s="61" t="n">
        <f aca="false">H1381*Resumo!$C$8</f>
        <v>1.236123</v>
      </c>
      <c r="M1381" s="61" t="n">
        <f aca="false">Resumo!$C$10*CEILING(G1381/100,1)</f>
        <v>1.05</v>
      </c>
      <c r="N1381" s="61" t="n">
        <f aca="false">Resumo!$C$9</f>
        <v>0</v>
      </c>
      <c r="O1381" s="61" t="n">
        <f aca="false">Resumo!$C$13</f>
        <v>13.55</v>
      </c>
      <c r="P1381" s="61" t="n">
        <f aca="false">Resumo!$C$14*CEILING(G1381,1)</f>
        <v>30.15</v>
      </c>
      <c r="Q1381" s="61" t="n">
        <f aca="false">SUM(I1381:P1381)*Resumo!$C$11</f>
        <v>0</v>
      </c>
      <c r="R1381" s="61" t="n">
        <f aca="false">SUM(I1381:Q1381)</f>
        <v>123.772246</v>
      </c>
      <c r="S1381" s="61" t="n">
        <f aca="false">R1381/(1-Resumo!$C$5)</f>
        <v>140.650279545455</v>
      </c>
      <c r="T1381" s="61" t="n">
        <v>149.5</v>
      </c>
      <c r="U1381" s="61" t="n">
        <f aca="false">H1381*Resumo!$B$6</f>
        <v>0.58863</v>
      </c>
      <c r="V1381" s="61" t="n">
        <f aca="false">H1381*Resumo!$B$7</f>
        <v>1.17726</v>
      </c>
      <c r="W1381" s="61" t="n">
        <f aca="false">Resumo!$B$9</f>
        <v>1</v>
      </c>
      <c r="X1381" s="61" t="n">
        <f aca="false">Resumo!$B$10*CEILING(G1381/100,1)</f>
        <v>4.5</v>
      </c>
      <c r="Y1381" s="61" t="n">
        <f aca="false">Resumo!$B$12*CEILING(G1381,1)</f>
        <v>4.02</v>
      </c>
      <c r="Z1381" s="61" t="n">
        <f aca="false">Resumo!$B$14*CEILING(G1381,1)</f>
        <v>30.15</v>
      </c>
      <c r="AA1381" s="61" t="n">
        <f aca="false">SUM(T1381:Z1381)</f>
        <v>190.93589</v>
      </c>
      <c r="AB1381" s="61" t="n">
        <f aca="false">AA1381/(1-Resumo!$B$5)</f>
        <v>216.972602272727</v>
      </c>
      <c r="AC1381" s="61" t="n">
        <f aca="false">AB1381-S1381</f>
        <v>76.3223227272727</v>
      </c>
      <c r="AD1381" s="62" t="n">
        <f aca="false">AB1381/S1381-1</f>
        <v>0.542638969321119</v>
      </c>
      <c r="AE1381" s="60" t="str">
        <f aca="false">IF(AB1381&lt;S1381,"SIM","NÃO")</f>
        <v>NÃO</v>
      </c>
      <c r="AF1381" s="60" t="n">
        <v>2</v>
      </c>
      <c r="AG1381" s="60" t="n">
        <v>7</v>
      </c>
      <c r="AH1381" s="60" t="s">
        <v>382</v>
      </c>
      <c r="AI1381" s="61" t="n">
        <f aca="false">(T1381*(1-Painel!$C$40)+U1381+V1381+Painel!$C$41+Painel!$C$42*CEILING(G1381/100,1)+Painel!$C$43*CEILING(G1381,1)+Z1381)/(1-Resumo!$B$5)</f>
        <v>152.421465909091</v>
      </c>
      <c r="AJ1381" s="60" t="str">
        <f aca="false">IF(AI1381&lt;S1381,"SIM","NÃO")</f>
        <v>NÃO</v>
      </c>
    </row>
    <row r="1382" customFormat="false" ht="15" hidden="false" customHeight="false" outlineLevel="0" collapsed="false">
      <c r="A1382" s="59" t="n">
        <v>46257.9052314815</v>
      </c>
      <c r="B1382" s="60" t="s">
        <v>1654</v>
      </c>
      <c r="C1382" s="60" t="n">
        <v>23031203</v>
      </c>
      <c r="D1382" s="60" t="s">
        <v>46</v>
      </c>
      <c r="E1382" s="60" t="s">
        <v>22</v>
      </c>
      <c r="F1382" s="60" t="s">
        <v>241</v>
      </c>
      <c r="G1382" s="60" t="n">
        <v>124.2</v>
      </c>
      <c r="H1382" s="61" t="n">
        <v>1526.91</v>
      </c>
      <c r="I1382" s="61" t="n">
        <v>120.59</v>
      </c>
      <c r="J1382" s="61" t="n">
        <f aca="false">H1382*Resumo!$C$6</f>
        <v>0</v>
      </c>
      <c r="K1382" s="61" t="n">
        <f aca="false">H1382*Resumo!$C$7</f>
        <v>3.206511</v>
      </c>
      <c r="L1382" s="61" t="n">
        <f aca="false">H1382*Resumo!$C$8</f>
        <v>3.206511</v>
      </c>
      <c r="M1382" s="61" t="n">
        <f aca="false">Resumo!$C$10*CEILING(G1382/100,1)</f>
        <v>2.1</v>
      </c>
      <c r="N1382" s="61" t="n">
        <f aca="false">Resumo!$C$9</f>
        <v>0</v>
      </c>
      <c r="O1382" s="61" t="n">
        <f aca="false">Resumo!$C$13</f>
        <v>13.55</v>
      </c>
      <c r="P1382" s="61" t="n">
        <f aca="false">Resumo!$C$14*CEILING(G1382,1)</f>
        <v>56.25</v>
      </c>
      <c r="Q1382" s="61" t="n">
        <f aca="false">SUM(I1382:P1382)*Resumo!$C$11</f>
        <v>0</v>
      </c>
      <c r="R1382" s="61" t="n">
        <f aca="false">SUM(I1382:Q1382)</f>
        <v>198.903022</v>
      </c>
      <c r="S1382" s="61" t="n">
        <f aca="false">R1382/(1-Resumo!$C$5)</f>
        <v>226.026161363636</v>
      </c>
      <c r="T1382" s="61" t="n">
        <v>239.25</v>
      </c>
      <c r="U1382" s="61" t="n">
        <f aca="false">H1382*Resumo!$B$6</f>
        <v>1.52691</v>
      </c>
      <c r="V1382" s="61" t="n">
        <f aca="false">H1382*Resumo!$B$7</f>
        <v>3.05382</v>
      </c>
      <c r="W1382" s="61" t="n">
        <f aca="false">Resumo!$B$9</f>
        <v>1</v>
      </c>
      <c r="X1382" s="61" t="n">
        <f aca="false">Resumo!$B$10*CEILING(G1382/100,1)</f>
        <v>9</v>
      </c>
      <c r="Y1382" s="61" t="n">
        <f aca="false">Resumo!$B$12*CEILING(G1382,1)</f>
        <v>7.5</v>
      </c>
      <c r="Z1382" s="61" t="n">
        <f aca="false">Resumo!$B$14*CEILING(G1382,1)</f>
        <v>56.25</v>
      </c>
      <c r="AA1382" s="61" t="n">
        <f aca="false">SUM(T1382:Z1382)</f>
        <v>317.58073</v>
      </c>
      <c r="AB1382" s="61" t="n">
        <f aca="false">AA1382/(1-Resumo!$B$5)</f>
        <v>360.887193181818</v>
      </c>
      <c r="AC1382" s="61" t="n">
        <f aca="false">AB1382-S1382</f>
        <v>134.861031818182</v>
      </c>
      <c r="AD1382" s="62" t="n">
        <f aca="false">AB1382/S1382-1</f>
        <v>0.596661160834449</v>
      </c>
      <c r="AE1382" s="60" t="str">
        <f aca="false">IF(AB1382&lt;S1382,"SIM","NÃO")</f>
        <v>NÃO</v>
      </c>
      <c r="AF1382" s="60" t="n">
        <v>2</v>
      </c>
      <c r="AG1382" s="60" t="n">
        <v>5</v>
      </c>
      <c r="AH1382" s="60" t="s">
        <v>382</v>
      </c>
      <c r="AI1382" s="61" t="n">
        <f aca="false">(T1382*(1-Painel!$C$40)+U1382+V1382+Painel!$C$41+Painel!$C$42*CEILING(G1382/100,1)+Painel!$C$43*CEILING(G1382,1)+Z1382)/(1-Resumo!$B$5)</f>
        <v>254.804806818182</v>
      </c>
      <c r="AJ1382" s="60" t="str">
        <f aca="false">IF(AI1382&lt;S1382,"SIM","NÃO")</f>
        <v>NÃO</v>
      </c>
    </row>
    <row r="1383" customFormat="false" ht="15" hidden="false" customHeight="false" outlineLevel="0" collapsed="false">
      <c r="A1383" s="59" t="n">
        <v>46257.9081365741</v>
      </c>
      <c r="B1383" s="60" t="s">
        <v>968</v>
      </c>
      <c r="C1383" s="60" t="n">
        <v>22753050</v>
      </c>
      <c r="D1383" s="60" t="s">
        <v>46</v>
      </c>
      <c r="E1383" s="60" t="s">
        <v>22</v>
      </c>
      <c r="F1383" s="60" t="s">
        <v>233</v>
      </c>
      <c r="G1383" s="60" t="n">
        <v>22.4</v>
      </c>
      <c r="H1383" s="61" t="n">
        <v>434.99</v>
      </c>
      <c r="I1383" s="61" t="n">
        <v>42.11</v>
      </c>
      <c r="J1383" s="61" t="n">
        <f aca="false">H1383*Resumo!$C$6</f>
        <v>0</v>
      </c>
      <c r="K1383" s="61" t="n">
        <f aca="false">H1383*Resumo!$C$7</f>
        <v>0.913479</v>
      </c>
      <c r="L1383" s="61" t="n">
        <f aca="false">H1383*Resumo!$C$8</f>
        <v>0.913479</v>
      </c>
      <c r="M1383" s="61" t="n">
        <f aca="false">Resumo!$C$10*CEILING(G1383/100,1)</f>
        <v>1.05</v>
      </c>
      <c r="N1383" s="61" t="n">
        <f aca="false">Resumo!$C$9</f>
        <v>0</v>
      </c>
      <c r="O1383" s="61" t="n">
        <f aca="false">Resumo!$C$13</f>
        <v>13.55</v>
      </c>
      <c r="P1383" s="61" t="n">
        <f aca="false">Resumo!$C$14*CEILING(G1383,1)</f>
        <v>10.35</v>
      </c>
      <c r="Q1383" s="61" t="n">
        <f aca="false">SUM(I1383:P1383)*Resumo!$C$11</f>
        <v>0</v>
      </c>
      <c r="R1383" s="61" t="n">
        <f aca="false">SUM(I1383:Q1383)</f>
        <v>68.886958</v>
      </c>
      <c r="S1383" s="61" t="n">
        <f aca="false">R1383/(1-Resumo!$C$5)</f>
        <v>78.2806340909091</v>
      </c>
      <c r="T1383" s="61" t="n">
        <v>82.21</v>
      </c>
      <c r="U1383" s="61" t="n">
        <f aca="false">H1383*Resumo!$B$6</f>
        <v>0.43499</v>
      </c>
      <c r="V1383" s="61" t="n">
        <f aca="false">H1383*Resumo!$B$7</f>
        <v>0.86998</v>
      </c>
      <c r="W1383" s="61" t="n">
        <f aca="false">Resumo!$B$9</f>
        <v>1</v>
      </c>
      <c r="X1383" s="61" t="n">
        <f aca="false">Resumo!$B$10*CEILING(G1383/100,1)</f>
        <v>4.5</v>
      </c>
      <c r="Y1383" s="61" t="n">
        <f aca="false">Resumo!$B$12*CEILING(G1383,1)</f>
        <v>1.38</v>
      </c>
      <c r="Z1383" s="61" t="n">
        <f aca="false">Resumo!$B$14*CEILING(G1383,1)</f>
        <v>10.35</v>
      </c>
      <c r="AA1383" s="61" t="n">
        <f aca="false">SUM(T1383:Z1383)</f>
        <v>100.74497</v>
      </c>
      <c r="AB1383" s="61" t="n">
        <f aca="false">AA1383/(1-Resumo!$B$5)</f>
        <v>114.482920454545</v>
      </c>
      <c r="AC1383" s="61" t="n">
        <f aca="false">AB1383-S1383</f>
        <v>36.2022863636364</v>
      </c>
      <c r="AD1383" s="62" t="n">
        <f aca="false">AB1383/S1383-1</f>
        <v>0.462467975433027</v>
      </c>
      <c r="AE1383" s="60" t="str">
        <f aca="false">IF(AB1383&lt;S1383,"SIM","NÃO")</f>
        <v>NÃO</v>
      </c>
      <c r="AF1383" s="60" t="n">
        <v>2</v>
      </c>
      <c r="AG1383" s="60" t="n">
        <v>5</v>
      </c>
      <c r="AH1383" s="60" t="s">
        <v>382</v>
      </c>
      <c r="AI1383" s="61" t="n">
        <f aca="false">(T1383*(1-Painel!$C$40)+U1383+V1383+Painel!$C$41+Painel!$C$42*CEILING(G1383/100,1)+Painel!$C$43*CEILING(G1383,1)+Z1383)/(1-Resumo!$B$5)</f>
        <v>78.1655340909091</v>
      </c>
      <c r="AJ1383" s="60" t="str">
        <f aca="false">IF(AI1383&lt;S1383,"SIM","NÃO")</f>
        <v>SIM</v>
      </c>
    </row>
    <row r="1384" customFormat="false" ht="15" hidden="false" customHeight="false" outlineLevel="0" collapsed="false">
      <c r="A1384" s="59" t="n">
        <v>46257.9338310185</v>
      </c>
      <c r="B1384" s="60" t="s">
        <v>1655</v>
      </c>
      <c r="C1384" s="60" t="n">
        <v>25211300</v>
      </c>
      <c r="D1384" s="60" t="s">
        <v>48</v>
      </c>
      <c r="E1384" s="60" t="s">
        <v>23</v>
      </c>
      <c r="F1384" s="60" t="s">
        <v>235</v>
      </c>
      <c r="G1384" s="60" t="n">
        <v>46.8</v>
      </c>
      <c r="H1384" s="61" t="n">
        <v>506.56</v>
      </c>
      <c r="I1384" s="61" t="n">
        <v>65.36</v>
      </c>
      <c r="J1384" s="61" t="n">
        <f aca="false">H1384*Resumo!$C$6</f>
        <v>0</v>
      </c>
      <c r="K1384" s="61" t="n">
        <f aca="false">H1384*Resumo!$C$7</f>
        <v>1.063776</v>
      </c>
      <c r="L1384" s="61" t="n">
        <f aca="false">H1384*Resumo!$C$8</f>
        <v>1.063776</v>
      </c>
      <c r="M1384" s="61" t="n">
        <f aca="false">Resumo!$C$10*CEILING(G1384/100,1)</f>
        <v>1.05</v>
      </c>
      <c r="N1384" s="61" t="n">
        <f aca="false">Resumo!$C$9</f>
        <v>0</v>
      </c>
      <c r="O1384" s="61" t="n">
        <f aca="false">Resumo!$C$13</f>
        <v>13.55</v>
      </c>
      <c r="P1384" s="61" t="n">
        <f aca="false">Resumo!$C$14*CEILING(G1384,1)</f>
        <v>21.15</v>
      </c>
      <c r="Q1384" s="61" t="n">
        <f aca="false">SUM(I1384:P1384)*Resumo!$C$11</f>
        <v>0</v>
      </c>
      <c r="R1384" s="61" t="n">
        <f aca="false">SUM(I1384:Q1384)</f>
        <v>103.237552</v>
      </c>
      <c r="S1384" s="61" t="n">
        <f aca="false">R1384/(1-Resumo!$C$5)</f>
        <v>117.3154</v>
      </c>
      <c r="T1384" s="61" t="n">
        <v>93.97</v>
      </c>
      <c r="U1384" s="61" t="n">
        <f aca="false">H1384*Resumo!$B$6</f>
        <v>0.50656</v>
      </c>
      <c r="V1384" s="61" t="n">
        <f aca="false">H1384*Resumo!$B$7</f>
        <v>1.01312</v>
      </c>
      <c r="W1384" s="61" t="n">
        <f aca="false">Resumo!$B$9</f>
        <v>1</v>
      </c>
      <c r="X1384" s="61" t="n">
        <f aca="false">Resumo!$B$10*CEILING(G1384/100,1)</f>
        <v>4.5</v>
      </c>
      <c r="Y1384" s="61" t="n">
        <f aca="false">Resumo!$B$12*CEILING(G1384,1)</f>
        <v>2.82</v>
      </c>
      <c r="Z1384" s="61" t="n">
        <f aca="false">Resumo!$B$14*CEILING(G1384,1)</f>
        <v>21.15</v>
      </c>
      <c r="AA1384" s="61" t="n">
        <f aca="false">SUM(T1384:Z1384)</f>
        <v>124.95968</v>
      </c>
      <c r="AB1384" s="61" t="n">
        <f aca="false">AA1384/(1-Resumo!$B$5)</f>
        <v>141.999636363636</v>
      </c>
      <c r="AC1384" s="61" t="n">
        <f aca="false">AB1384-S1384</f>
        <v>24.6842363636364</v>
      </c>
      <c r="AD1384" s="62" t="n">
        <f aca="false">AB1384/S1384-1</f>
        <v>0.210409173592183</v>
      </c>
      <c r="AE1384" s="60" t="str">
        <f aca="false">IF(AB1384&lt;S1384,"SIM","NÃO")</f>
        <v>NÃO</v>
      </c>
      <c r="AF1384" s="60" t="n">
        <v>2</v>
      </c>
      <c r="AG1384" s="60" t="n">
        <v>5</v>
      </c>
      <c r="AH1384" s="60" t="s">
        <v>382</v>
      </c>
      <c r="AI1384" s="61" t="n">
        <f aca="false">(T1384*(1-Painel!$C$40)+U1384+V1384+Painel!$C$41+Painel!$C$42*CEILING(G1384/100,1)+Painel!$C$43*CEILING(G1384,1)+Z1384)/(1-Resumo!$B$5)</f>
        <v>99.6358863636364</v>
      </c>
      <c r="AJ1384" s="60" t="str">
        <f aca="false">IF(AI1384&lt;S1384,"SIM","NÃO")</f>
        <v>SIM</v>
      </c>
    </row>
    <row r="1385" customFormat="false" ht="15" hidden="false" customHeight="false" outlineLevel="0" collapsed="false">
      <c r="A1385" s="59" t="n">
        <v>46257.9423263889</v>
      </c>
      <c r="B1385" s="60" t="s">
        <v>1656</v>
      </c>
      <c r="C1385" s="60" t="n">
        <v>24470545</v>
      </c>
      <c r="D1385" s="60" t="s">
        <v>47</v>
      </c>
      <c r="E1385" s="60" t="s">
        <v>23</v>
      </c>
      <c r="F1385" s="60" t="s">
        <v>236</v>
      </c>
      <c r="G1385" s="60" t="n">
        <v>52.2</v>
      </c>
      <c r="H1385" s="61" t="n">
        <v>719.99</v>
      </c>
      <c r="I1385" s="61" t="n">
        <v>70.98</v>
      </c>
      <c r="J1385" s="61" t="n">
        <f aca="false">H1385*Resumo!$C$6</f>
        <v>0</v>
      </c>
      <c r="K1385" s="61" t="n">
        <f aca="false">H1385*Resumo!$C$7</f>
        <v>1.511979</v>
      </c>
      <c r="L1385" s="61" t="n">
        <f aca="false">H1385*Resumo!$C$8</f>
        <v>1.511979</v>
      </c>
      <c r="M1385" s="61" t="n">
        <f aca="false">Resumo!$C$10*CEILING(G1385/100,1)</f>
        <v>1.05</v>
      </c>
      <c r="N1385" s="61" t="n">
        <f aca="false">Resumo!$C$9</f>
        <v>0</v>
      </c>
      <c r="O1385" s="61" t="n">
        <f aca="false">Resumo!$C$13</f>
        <v>13.55</v>
      </c>
      <c r="P1385" s="61" t="n">
        <f aca="false">Resumo!$C$14*CEILING(G1385,1)</f>
        <v>23.85</v>
      </c>
      <c r="Q1385" s="61" t="n">
        <f aca="false">SUM(I1385:P1385)*Resumo!$C$11</f>
        <v>0</v>
      </c>
      <c r="R1385" s="61" t="n">
        <f aca="false">SUM(I1385:Q1385)</f>
        <v>112.453958</v>
      </c>
      <c r="S1385" s="61" t="n">
        <f aca="false">R1385/(1-Resumo!$C$5)</f>
        <v>127.788588636364</v>
      </c>
      <c r="T1385" s="61" t="n">
        <v>128.14</v>
      </c>
      <c r="U1385" s="61" t="n">
        <f aca="false">H1385*Resumo!$B$6</f>
        <v>0.71999</v>
      </c>
      <c r="V1385" s="61" t="n">
        <f aca="false">H1385*Resumo!$B$7</f>
        <v>1.43998</v>
      </c>
      <c r="W1385" s="61" t="n">
        <f aca="false">Resumo!$B$9</f>
        <v>1</v>
      </c>
      <c r="X1385" s="61" t="n">
        <f aca="false">Resumo!$B$10*CEILING(G1385/100,1)</f>
        <v>4.5</v>
      </c>
      <c r="Y1385" s="61" t="n">
        <f aca="false">Resumo!$B$12*CEILING(G1385,1)</f>
        <v>3.18</v>
      </c>
      <c r="Z1385" s="61" t="n">
        <f aca="false">Resumo!$B$14*CEILING(G1385,1)</f>
        <v>23.85</v>
      </c>
      <c r="AA1385" s="61" t="n">
        <f aca="false">SUM(T1385:Z1385)</f>
        <v>162.82997</v>
      </c>
      <c r="AB1385" s="61" t="n">
        <f aca="false">AA1385/(1-Resumo!$B$5)</f>
        <v>185.034056818182</v>
      </c>
      <c r="AC1385" s="61" t="n">
        <f aca="false">AB1385-S1385</f>
        <v>57.2454681818182</v>
      </c>
      <c r="AD1385" s="62" t="n">
        <f aca="false">AB1385/S1385-1</f>
        <v>0.447970110576277</v>
      </c>
      <c r="AE1385" s="60" t="str">
        <f aca="false">IF(AB1385&lt;S1385,"SIM","NÃO")</f>
        <v>NÃO</v>
      </c>
      <c r="AF1385" s="60" t="n">
        <v>2</v>
      </c>
      <c r="AG1385" s="60" t="n">
        <v>7</v>
      </c>
      <c r="AH1385" s="60" t="s">
        <v>382</v>
      </c>
      <c r="AI1385" s="61" t="n">
        <f aca="false">(T1385*(1-Painel!$C$40)+U1385+V1385+Painel!$C$41+Painel!$C$42*CEILING(G1385/100,1)+Painel!$C$43*CEILING(G1385,1)+Z1385)/(1-Resumo!$B$5)</f>
        <v>129.447465909091</v>
      </c>
      <c r="AJ1385" s="60" t="str">
        <f aca="false">IF(AI1385&lt;S1385,"SIM","NÃO")</f>
        <v>NÃO</v>
      </c>
    </row>
    <row r="1386" customFormat="false" ht="15" hidden="false" customHeight="false" outlineLevel="0" collapsed="false">
      <c r="A1386" s="59" t="n">
        <v>46257.9601157407</v>
      </c>
      <c r="B1386" s="60" t="s">
        <v>693</v>
      </c>
      <c r="C1386" s="60" t="n">
        <v>23020230</v>
      </c>
      <c r="D1386" s="60" t="s">
        <v>46</v>
      </c>
      <c r="E1386" s="60" t="s">
        <v>22</v>
      </c>
      <c r="F1386" s="60" t="s">
        <v>233</v>
      </c>
      <c r="G1386" s="60" t="n">
        <v>31.4</v>
      </c>
      <c r="H1386" s="61" t="n">
        <v>368.32</v>
      </c>
      <c r="I1386" s="61" t="n">
        <v>42.11</v>
      </c>
      <c r="J1386" s="61" t="n">
        <f aca="false">H1386*Resumo!$C$6</f>
        <v>0</v>
      </c>
      <c r="K1386" s="61" t="n">
        <f aca="false">H1386*Resumo!$C$7</f>
        <v>0.773472</v>
      </c>
      <c r="L1386" s="61" t="n">
        <f aca="false">H1386*Resumo!$C$8</f>
        <v>0.773472</v>
      </c>
      <c r="M1386" s="61" t="n">
        <f aca="false">Resumo!$C$10*CEILING(G1386/100,1)</f>
        <v>1.05</v>
      </c>
      <c r="N1386" s="61" t="n">
        <f aca="false">Resumo!$C$9</f>
        <v>0</v>
      </c>
      <c r="O1386" s="61" t="n">
        <f aca="false">Resumo!$C$13</f>
        <v>13.55</v>
      </c>
      <c r="P1386" s="61" t="n">
        <f aca="false">Resumo!$C$14*CEILING(G1386,1)</f>
        <v>14.4</v>
      </c>
      <c r="Q1386" s="61" t="n">
        <f aca="false">SUM(I1386:P1386)*Resumo!$C$11</f>
        <v>0</v>
      </c>
      <c r="R1386" s="61" t="n">
        <f aca="false">SUM(I1386:Q1386)</f>
        <v>72.656944</v>
      </c>
      <c r="S1386" s="61" t="n">
        <f aca="false">R1386/(1-Resumo!$C$5)</f>
        <v>82.5647090909091</v>
      </c>
      <c r="T1386" s="61" t="n">
        <v>82.21</v>
      </c>
      <c r="U1386" s="61" t="n">
        <f aca="false">H1386*Resumo!$B$6</f>
        <v>0.36832</v>
      </c>
      <c r="V1386" s="61" t="n">
        <f aca="false">H1386*Resumo!$B$7</f>
        <v>0.73664</v>
      </c>
      <c r="W1386" s="61" t="n">
        <f aca="false">Resumo!$B$9</f>
        <v>1</v>
      </c>
      <c r="X1386" s="61" t="n">
        <f aca="false">Resumo!$B$10*CEILING(G1386/100,1)</f>
        <v>4.5</v>
      </c>
      <c r="Y1386" s="61" t="n">
        <f aca="false">Resumo!$B$12*CEILING(G1386,1)</f>
        <v>1.92</v>
      </c>
      <c r="Z1386" s="61" t="n">
        <f aca="false">Resumo!$B$14*CEILING(G1386,1)</f>
        <v>14.4</v>
      </c>
      <c r="AA1386" s="61" t="n">
        <f aca="false">SUM(T1386:Z1386)</f>
        <v>105.13496</v>
      </c>
      <c r="AB1386" s="61" t="n">
        <f aca="false">AA1386/(1-Resumo!$B$5)</f>
        <v>119.471545454545</v>
      </c>
      <c r="AC1386" s="61" t="n">
        <f aca="false">AB1386-S1386</f>
        <v>36.9068363636364</v>
      </c>
      <c r="AD1386" s="62" t="n">
        <f aca="false">AB1386/S1386-1</f>
        <v>0.447004982758427</v>
      </c>
      <c r="AE1386" s="60" t="str">
        <f aca="false">IF(AB1386&lt;S1386,"SIM","NÃO")</f>
        <v>NÃO</v>
      </c>
      <c r="AF1386" s="60" t="n">
        <v>2</v>
      </c>
      <c r="AG1386" s="60" t="n">
        <v>5</v>
      </c>
      <c r="AH1386" s="60" t="s">
        <v>382</v>
      </c>
      <c r="AI1386" s="61" t="n">
        <f aca="false">(T1386*(1-Painel!$C$40)+U1386+V1386+Painel!$C$41+Painel!$C$42*CEILING(G1386/100,1)+Painel!$C$43*CEILING(G1386,1)+Z1386)/(1-Resumo!$B$5)</f>
        <v>82.5405227272727</v>
      </c>
      <c r="AJ1386" s="60" t="str">
        <f aca="false">IF(AI1386&lt;S1386,"SIM","NÃO")</f>
        <v>SIM</v>
      </c>
    </row>
    <row r="1387" customFormat="false" ht="15" hidden="false" customHeight="false" outlineLevel="0" collapsed="false">
      <c r="A1387" s="59" t="n">
        <v>46257.9671875</v>
      </c>
      <c r="B1387" s="60" t="s">
        <v>1657</v>
      </c>
      <c r="C1387" s="60" t="n">
        <v>22790877</v>
      </c>
      <c r="D1387" s="60" t="s">
        <v>46</v>
      </c>
      <c r="E1387" s="60" t="s">
        <v>22</v>
      </c>
      <c r="F1387" s="60" t="s">
        <v>233</v>
      </c>
      <c r="G1387" s="60" t="n">
        <v>27</v>
      </c>
      <c r="H1387" s="61" t="n">
        <v>349.99</v>
      </c>
      <c r="I1387" s="61" t="n">
        <v>42.11</v>
      </c>
      <c r="J1387" s="61" t="n">
        <f aca="false">H1387*Resumo!$C$6</f>
        <v>0</v>
      </c>
      <c r="K1387" s="61" t="n">
        <f aca="false">H1387*Resumo!$C$7</f>
        <v>0.734979</v>
      </c>
      <c r="L1387" s="61" t="n">
        <f aca="false">H1387*Resumo!$C$8</f>
        <v>0.734979</v>
      </c>
      <c r="M1387" s="61" t="n">
        <f aca="false">Resumo!$C$10*CEILING(G1387/100,1)</f>
        <v>1.05</v>
      </c>
      <c r="N1387" s="61" t="n">
        <f aca="false">Resumo!$C$9</f>
        <v>0</v>
      </c>
      <c r="O1387" s="61" t="n">
        <f aca="false">Resumo!$C$13</f>
        <v>13.55</v>
      </c>
      <c r="P1387" s="61" t="n">
        <f aca="false">Resumo!$C$14*CEILING(G1387,1)</f>
        <v>12.15</v>
      </c>
      <c r="Q1387" s="61" t="n">
        <f aca="false">SUM(I1387:P1387)*Resumo!$C$11</f>
        <v>0</v>
      </c>
      <c r="R1387" s="61" t="n">
        <f aca="false">SUM(I1387:Q1387)</f>
        <v>70.329958</v>
      </c>
      <c r="S1387" s="61" t="n">
        <f aca="false">R1387/(1-Resumo!$C$5)</f>
        <v>79.9204068181818</v>
      </c>
      <c r="T1387" s="61" t="n">
        <v>82.21</v>
      </c>
      <c r="U1387" s="61" t="n">
        <f aca="false">H1387*Resumo!$B$6</f>
        <v>0.34999</v>
      </c>
      <c r="V1387" s="61" t="n">
        <f aca="false">H1387*Resumo!$B$7</f>
        <v>0.69998</v>
      </c>
      <c r="W1387" s="61" t="n">
        <f aca="false">Resumo!$B$9</f>
        <v>1</v>
      </c>
      <c r="X1387" s="61" t="n">
        <f aca="false">Resumo!$B$10*CEILING(G1387/100,1)</f>
        <v>4.5</v>
      </c>
      <c r="Y1387" s="61" t="n">
        <f aca="false">Resumo!$B$12*CEILING(G1387,1)</f>
        <v>1.62</v>
      </c>
      <c r="Z1387" s="61" t="n">
        <f aca="false">Resumo!$B$14*CEILING(G1387,1)</f>
        <v>12.15</v>
      </c>
      <c r="AA1387" s="61" t="n">
        <f aca="false">SUM(T1387:Z1387)</f>
        <v>102.52997</v>
      </c>
      <c r="AB1387" s="61" t="n">
        <f aca="false">AA1387/(1-Resumo!$B$5)</f>
        <v>116.511329545455</v>
      </c>
      <c r="AC1387" s="61" t="n">
        <f aca="false">AB1387-S1387</f>
        <v>36.5909227272727</v>
      </c>
      <c r="AD1387" s="62" t="n">
        <f aca="false">AB1387/S1387-1</f>
        <v>0.457842047907949</v>
      </c>
      <c r="AE1387" s="60" t="str">
        <f aca="false">IF(AB1387&lt;S1387,"SIM","NÃO")</f>
        <v>NÃO</v>
      </c>
      <c r="AF1387" s="60" t="n">
        <v>2</v>
      </c>
      <c r="AG1387" s="60" t="n">
        <v>5</v>
      </c>
      <c r="AH1387" s="60" t="s">
        <v>382</v>
      </c>
      <c r="AI1387" s="61" t="n">
        <f aca="false">(T1387*(1-Painel!$C$40)+U1387+V1387+Painel!$C$41+Painel!$C$42*CEILING(G1387/100,1)+Painel!$C$43*CEILING(G1387,1)+Z1387)/(1-Resumo!$B$5)</f>
        <v>79.9212159090909</v>
      </c>
      <c r="AJ1387" s="60" t="str">
        <f aca="false">IF(AI1387&lt;S1387,"SIM","NÃO")</f>
        <v>NÃO</v>
      </c>
    </row>
    <row r="1388" customFormat="false" ht="15" hidden="false" customHeight="false" outlineLevel="0" collapsed="false">
      <c r="A1388" s="59" t="n">
        <v>46258.0063078704</v>
      </c>
      <c r="B1388" s="60" t="s">
        <v>1658</v>
      </c>
      <c r="C1388" s="60" t="n">
        <v>21321560</v>
      </c>
      <c r="D1388" s="60" t="s">
        <v>46</v>
      </c>
      <c r="E1388" s="60" t="s">
        <v>22</v>
      </c>
      <c r="F1388" s="60" t="s">
        <v>233</v>
      </c>
      <c r="G1388" s="60" t="n">
        <v>21.75</v>
      </c>
      <c r="H1388" s="61" t="n">
        <v>329.99</v>
      </c>
      <c r="I1388" s="61" t="n">
        <v>42.11</v>
      </c>
      <c r="J1388" s="61" t="n">
        <f aca="false">H1388*Resumo!$C$6</f>
        <v>0</v>
      </c>
      <c r="K1388" s="61" t="n">
        <f aca="false">H1388*Resumo!$C$7</f>
        <v>0.692979</v>
      </c>
      <c r="L1388" s="61" t="n">
        <f aca="false">H1388*Resumo!$C$8</f>
        <v>0.692979</v>
      </c>
      <c r="M1388" s="61" t="n">
        <f aca="false">Resumo!$C$10*CEILING(G1388/100,1)</f>
        <v>1.05</v>
      </c>
      <c r="N1388" s="61" t="n">
        <f aca="false">Resumo!$C$9</f>
        <v>0</v>
      </c>
      <c r="O1388" s="61" t="n">
        <f aca="false">Resumo!$C$13</f>
        <v>13.55</v>
      </c>
      <c r="P1388" s="61" t="n">
        <f aca="false">Resumo!$C$14*CEILING(G1388,1)</f>
        <v>9.9</v>
      </c>
      <c r="Q1388" s="61" t="n">
        <f aca="false">SUM(I1388:P1388)*Resumo!$C$11</f>
        <v>0</v>
      </c>
      <c r="R1388" s="61" t="n">
        <f aca="false">SUM(I1388:Q1388)</f>
        <v>67.995958</v>
      </c>
      <c r="S1388" s="61" t="n">
        <f aca="false">R1388/(1-Resumo!$C$5)</f>
        <v>77.2681340909091</v>
      </c>
      <c r="T1388" s="61" t="n">
        <v>82.21</v>
      </c>
      <c r="U1388" s="61" t="n">
        <f aca="false">H1388*Resumo!$B$6</f>
        <v>0.32999</v>
      </c>
      <c r="V1388" s="61" t="n">
        <f aca="false">H1388*Resumo!$B$7</f>
        <v>0.65998</v>
      </c>
      <c r="W1388" s="61" t="n">
        <f aca="false">Resumo!$B$9</f>
        <v>1</v>
      </c>
      <c r="X1388" s="61" t="n">
        <f aca="false">Resumo!$B$10*CEILING(G1388/100,1)</f>
        <v>4.5</v>
      </c>
      <c r="Y1388" s="61" t="n">
        <f aca="false">Resumo!$B$12*CEILING(G1388,1)</f>
        <v>1.32</v>
      </c>
      <c r="Z1388" s="61" t="n">
        <f aca="false">Resumo!$B$14*CEILING(G1388,1)</f>
        <v>9.9</v>
      </c>
      <c r="AA1388" s="61" t="n">
        <f aca="false">SUM(T1388:Z1388)</f>
        <v>99.91997</v>
      </c>
      <c r="AB1388" s="61" t="n">
        <f aca="false">AA1388/(1-Resumo!$B$5)</f>
        <v>113.545420454545</v>
      </c>
      <c r="AC1388" s="61" t="n">
        <f aca="false">AB1388-S1388</f>
        <v>36.2772863636364</v>
      </c>
      <c r="AD1388" s="62" t="n">
        <f aca="false">AB1388/S1388-1</f>
        <v>0.469498672259313</v>
      </c>
      <c r="AE1388" s="60" t="str">
        <f aca="false">IF(AB1388&lt;S1388,"SIM","NÃO")</f>
        <v>NÃO</v>
      </c>
      <c r="AF1388" s="60" t="n">
        <v>2</v>
      </c>
      <c r="AG1388" s="60" t="n">
        <v>5</v>
      </c>
      <c r="AH1388" s="60" t="s">
        <v>382</v>
      </c>
      <c r="AI1388" s="61" t="n">
        <f aca="false">(T1388*(1-Painel!$C$40)+U1388+V1388+Painel!$C$41+Painel!$C$42*CEILING(G1388/100,1)+Painel!$C$43*CEILING(G1388,1)+Z1388)/(1-Resumo!$B$5)</f>
        <v>77.2962159090909</v>
      </c>
      <c r="AJ1388" s="60" t="str">
        <f aca="false">IF(AI1388&lt;S1388,"SIM","NÃO")</f>
        <v>NÃO</v>
      </c>
    </row>
    <row r="1389" customFormat="false" ht="15" hidden="false" customHeight="false" outlineLevel="0" collapsed="false">
      <c r="A1389" s="59" t="n">
        <v>46258.2803472222</v>
      </c>
      <c r="B1389" s="60" t="s">
        <v>1659</v>
      </c>
      <c r="C1389" s="60" t="n">
        <v>24716570</v>
      </c>
      <c r="D1389" s="60" t="s">
        <v>47</v>
      </c>
      <c r="E1389" s="60" t="s">
        <v>23</v>
      </c>
      <c r="F1389" s="60" t="s">
        <v>233</v>
      </c>
      <c r="G1389" s="60" t="n">
        <v>22.4</v>
      </c>
      <c r="H1389" s="61" t="n">
        <v>519.99</v>
      </c>
      <c r="I1389" s="61" t="n">
        <v>58.8</v>
      </c>
      <c r="J1389" s="61" t="n">
        <f aca="false">H1389*Resumo!$C$6</f>
        <v>0</v>
      </c>
      <c r="K1389" s="61" t="n">
        <f aca="false">H1389*Resumo!$C$7</f>
        <v>1.091979</v>
      </c>
      <c r="L1389" s="61" t="n">
        <f aca="false">H1389*Resumo!$C$8</f>
        <v>1.091979</v>
      </c>
      <c r="M1389" s="61" t="n">
        <f aca="false">Resumo!$C$10*CEILING(G1389/100,1)</f>
        <v>1.05</v>
      </c>
      <c r="N1389" s="61" t="n">
        <f aca="false">Resumo!$C$9</f>
        <v>0</v>
      </c>
      <c r="O1389" s="61" t="n">
        <f aca="false">Resumo!$C$13</f>
        <v>13.55</v>
      </c>
      <c r="P1389" s="61" t="n">
        <f aca="false">Resumo!$C$14*CEILING(G1389,1)</f>
        <v>10.35</v>
      </c>
      <c r="Q1389" s="61" t="n">
        <f aca="false">SUM(I1389:P1389)*Resumo!$C$11</f>
        <v>0</v>
      </c>
      <c r="R1389" s="61" t="n">
        <f aca="false">SUM(I1389:Q1389)</f>
        <v>85.933958</v>
      </c>
      <c r="S1389" s="61" t="n">
        <f aca="false">R1389/(1-Resumo!$C$5)</f>
        <v>97.652225</v>
      </c>
      <c r="T1389" s="61" t="n">
        <v>100.58</v>
      </c>
      <c r="U1389" s="61" t="n">
        <f aca="false">H1389*Resumo!$B$6</f>
        <v>0.51999</v>
      </c>
      <c r="V1389" s="61" t="n">
        <f aca="false">H1389*Resumo!$B$7</f>
        <v>1.03998</v>
      </c>
      <c r="W1389" s="61" t="n">
        <f aca="false">Resumo!$B$9</f>
        <v>1</v>
      </c>
      <c r="X1389" s="61" t="n">
        <f aca="false">Resumo!$B$10*CEILING(G1389/100,1)</f>
        <v>4.5</v>
      </c>
      <c r="Y1389" s="61" t="n">
        <f aca="false">Resumo!$B$12*CEILING(G1389,1)</f>
        <v>1.38</v>
      </c>
      <c r="Z1389" s="61" t="n">
        <f aca="false">Resumo!$B$14*CEILING(G1389,1)</f>
        <v>10.35</v>
      </c>
      <c r="AA1389" s="61" t="n">
        <f aca="false">SUM(T1389:Z1389)</f>
        <v>119.36997</v>
      </c>
      <c r="AB1389" s="61" t="n">
        <f aca="false">AA1389/(1-Resumo!$B$5)</f>
        <v>135.647693181818</v>
      </c>
      <c r="AC1389" s="61" t="n">
        <f aca="false">AB1389-S1389</f>
        <v>37.9954681818182</v>
      </c>
      <c r="AD1389" s="62" t="n">
        <f aca="false">AB1389/S1389-1</f>
        <v>0.389089630900045</v>
      </c>
      <c r="AE1389" s="60" t="str">
        <f aca="false">IF(AB1389&lt;S1389,"SIM","NÃO")</f>
        <v>NÃO</v>
      </c>
      <c r="AF1389" s="60" t="n">
        <v>2</v>
      </c>
      <c r="AG1389" s="60" t="n">
        <v>7</v>
      </c>
      <c r="AH1389" s="60" t="s">
        <v>382</v>
      </c>
      <c r="AI1389" s="61" t="n">
        <f aca="false">(T1389*(1-Painel!$C$40)+U1389+V1389+Painel!$C$41+Painel!$C$42*CEILING(G1389/100,1)+Painel!$C$43*CEILING(G1389,1)+Z1389)/(1-Resumo!$B$5)</f>
        <v>92.4415568181818</v>
      </c>
      <c r="AJ1389" s="60" t="str">
        <f aca="false">IF(AI1389&lt;S1389,"SIM","NÃO")</f>
        <v>SIM</v>
      </c>
    </row>
    <row r="1390" customFormat="false" ht="15" hidden="false" customHeight="false" outlineLevel="0" collapsed="false">
      <c r="A1390" s="59" t="n">
        <v>46258.4177662037</v>
      </c>
      <c r="B1390" s="60" t="s">
        <v>1660</v>
      </c>
      <c r="C1390" s="60" t="n">
        <v>20211010</v>
      </c>
      <c r="D1390" s="60" t="s">
        <v>46</v>
      </c>
      <c r="E1390" s="60" t="s">
        <v>22</v>
      </c>
      <c r="F1390" s="60" t="s">
        <v>234</v>
      </c>
      <c r="G1390" s="60" t="n">
        <v>36.9</v>
      </c>
      <c r="H1390" s="61" t="n">
        <v>389.99</v>
      </c>
      <c r="I1390" s="61" t="n">
        <v>48.35</v>
      </c>
      <c r="J1390" s="61" t="n">
        <f aca="false">H1390*Resumo!$C$6</f>
        <v>0</v>
      </c>
      <c r="K1390" s="61" t="n">
        <f aca="false">H1390*Resumo!$C$7</f>
        <v>0.818979</v>
      </c>
      <c r="L1390" s="61" t="n">
        <f aca="false">H1390*Resumo!$C$8</f>
        <v>0.818979</v>
      </c>
      <c r="M1390" s="61" t="n">
        <f aca="false">Resumo!$C$10*CEILING(G1390/100,1)</f>
        <v>1.05</v>
      </c>
      <c r="N1390" s="61" t="n">
        <f aca="false">Resumo!$C$9</f>
        <v>0</v>
      </c>
      <c r="O1390" s="61" t="n">
        <f aca="false">Resumo!$C$13</f>
        <v>13.55</v>
      </c>
      <c r="P1390" s="61" t="n">
        <f aca="false">Resumo!$C$14*CEILING(G1390,1)</f>
        <v>16.65</v>
      </c>
      <c r="Q1390" s="61" t="n">
        <f aca="false">SUM(I1390:P1390)*Resumo!$C$11</f>
        <v>0</v>
      </c>
      <c r="R1390" s="61" t="n">
        <f aca="false">SUM(I1390:Q1390)</f>
        <v>81.237958</v>
      </c>
      <c r="S1390" s="61" t="n">
        <f aca="false">R1390/(1-Resumo!$C$5)</f>
        <v>92.3158613636364</v>
      </c>
      <c r="T1390" s="61" t="n">
        <v>93.97</v>
      </c>
      <c r="U1390" s="61" t="n">
        <f aca="false">H1390*Resumo!$B$6</f>
        <v>0.38999</v>
      </c>
      <c r="V1390" s="61" t="n">
        <f aca="false">H1390*Resumo!$B$7</f>
        <v>0.77998</v>
      </c>
      <c r="W1390" s="61" t="n">
        <f aca="false">Resumo!$B$9</f>
        <v>1</v>
      </c>
      <c r="X1390" s="61" t="n">
        <f aca="false">Resumo!$B$10*CEILING(G1390/100,1)</f>
        <v>4.5</v>
      </c>
      <c r="Y1390" s="61" t="n">
        <f aca="false">Resumo!$B$12*CEILING(G1390,1)</f>
        <v>2.22</v>
      </c>
      <c r="Z1390" s="61" t="n">
        <f aca="false">Resumo!$B$14*CEILING(G1390,1)</f>
        <v>16.65</v>
      </c>
      <c r="AA1390" s="61" t="n">
        <f aca="false">SUM(T1390:Z1390)</f>
        <v>119.50997</v>
      </c>
      <c r="AB1390" s="61" t="n">
        <f aca="false">AA1390/(1-Resumo!$B$5)</f>
        <v>135.806784090909</v>
      </c>
      <c r="AC1390" s="61" t="n">
        <f aca="false">AB1390-S1390</f>
        <v>43.4909227272727</v>
      </c>
      <c r="AD1390" s="62" t="n">
        <f aca="false">AB1390/S1390-1</f>
        <v>0.471109970538649</v>
      </c>
      <c r="AE1390" s="60" t="str">
        <f aca="false">IF(AB1390&lt;S1390,"SIM","NÃO")</f>
        <v>NÃO</v>
      </c>
      <c r="AF1390" s="60" t="n">
        <v>2</v>
      </c>
      <c r="AG1390" s="60" t="n">
        <v>5</v>
      </c>
      <c r="AH1390" s="60" t="s">
        <v>382</v>
      </c>
      <c r="AI1390" s="61" t="n">
        <f aca="false">(T1390*(1-Painel!$C$40)+U1390+V1390+Painel!$C$41+Painel!$C$42*CEILING(G1390/100,1)+Painel!$C$43*CEILING(G1390,1)+Z1390)/(1-Resumo!$B$5)</f>
        <v>94.1248522727273</v>
      </c>
      <c r="AJ1390" s="60" t="str">
        <f aca="false">IF(AI1390&lt;S1390,"SIM","NÃO")</f>
        <v>NÃO</v>
      </c>
    </row>
    <row r="1391" customFormat="false" ht="15" hidden="false" customHeight="false" outlineLevel="0" collapsed="false">
      <c r="A1391" s="59" t="n">
        <v>46258.4411921296</v>
      </c>
      <c r="B1391" s="60" t="s">
        <v>486</v>
      </c>
      <c r="C1391" s="60" t="n">
        <v>28200000</v>
      </c>
      <c r="D1391" s="60" t="s">
        <v>305</v>
      </c>
      <c r="E1391" s="60" t="s">
        <v>24</v>
      </c>
      <c r="F1391" s="60" t="s">
        <v>234</v>
      </c>
      <c r="G1391" s="60" t="n">
        <v>36.9</v>
      </c>
      <c r="H1391" s="61" t="n">
        <v>389.99</v>
      </c>
      <c r="I1391" s="61" t="n">
        <v>74.97</v>
      </c>
      <c r="J1391" s="61" t="n">
        <f aca="false">H1391*Resumo!$C$6</f>
        <v>0</v>
      </c>
      <c r="K1391" s="61" t="n">
        <f aca="false">H1391*Resumo!$C$7</f>
        <v>0.818979</v>
      </c>
      <c r="L1391" s="61" t="n">
        <f aca="false">H1391*Resumo!$C$8</f>
        <v>0.818979</v>
      </c>
      <c r="M1391" s="61" t="n">
        <f aca="false">Resumo!$C$10*CEILING(G1391/100,1)</f>
        <v>1.05</v>
      </c>
      <c r="N1391" s="61" t="n">
        <f aca="false">Resumo!$C$9</f>
        <v>0</v>
      </c>
      <c r="O1391" s="61" t="n">
        <f aca="false">Resumo!$C$13</f>
        <v>13.55</v>
      </c>
      <c r="P1391" s="61" t="n">
        <f aca="false">Resumo!$C$14*CEILING(G1391,1)</f>
        <v>16.65</v>
      </c>
      <c r="Q1391" s="61" t="n">
        <f aca="false">SUM(I1391:P1391)*Resumo!$C$11</f>
        <v>0</v>
      </c>
      <c r="R1391" s="61" t="n">
        <f aca="false">SUM(I1391:Q1391)</f>
        <v>107.857958</v>
      </c>
      <c r="S1391" s="61" t="n">
        <f aca="false">R1391/(1-Resumo!$C$5)</f>
        <v>122.565861363636</v>
      </c>
      <c r="T1391" s="61" t="n">
        <v>143.04</v>
      </c>
      <c r="U1391" s="61" t="n">
        <f aca="false">H1391*Resumo!$B$6</f>
        <v>0.38999</v>
      </c>
      <c r="V1391" s="61" t="n">
        <f aca="false">H1391*Resumo!$B$7</f>
        <v>0.77998</v>
      </c>
      <c r="W1391" s="61" t="n">
        <f aca="false">Resumo!$B$9</f>
        <v>1</v>
      </c>
      <c r="X1391" s="61" t="n">
        <f aca="false">Resumo!$B$10*CEILING(G1391/100,1)</f>
        <v>4.5</v>
      </c>
      <c r="Y1391" s="61" t="n">
        <f aca="false">Resumo!$B$12*CEILING(G1391,1)</f>
        <v>2.22</v>
      </c>
      <c r="Z1391" s="61" t="n">
        <f aca="false">Resumo!$B$14*CEILING(G1391,1)</f>
        <v>16.65</v>
      </c>
      <c r="AA1391" s="61" t="n">
        <f aca="false">SUM(T1391:Z1391)</f>
        <v>168.57997</v>
      </c>
      <c r="AB1391" s="61" t="n">
        <f aca="false">AA1391/(1-Resumo!$B$5)</f>
        <v>191.568147727273</v>
      </c>
      <c r="AC1391" s="61" t="n">
        <f aca="false">AB1391-S1391</f>
        <v>69.0022863636364</v>
      </c>
      <c r="AD1391" s="62" t="n">
        <f aca="false">AB1391/S1391-1</f>
        <v>0.562981286925532</v>
      </c>
      <c r="AE1391" s="60" t="str">
        <f aca="false">IF(AB1391&lt;S1391,"SIM","NÃO")</f>
        <v>NÃO</v>
      </c>
      <c r="AF1391" s="60" t="n">
        <v>13</v>
      </c>
      <c r="AG1391" s="60" t="n">
        <v>11</v>
      </c>
      <c r="AH1391" s="60" t="s">
        <v>385</v>
      </c>
      <c r="AI1391" s="61" t="n">
        <f aca="false">(T1391*(1-Painel!$C$40)+U1391+V1391+Painel!$C$41+Painel!$C$42*CEILING(G1391/100,1)+Painel!$C$43*CEILING(G1391,1)+Z1391)/(1-Resumo!$B$5)</f>
        <v>131.484965909091</v>
      </c>
      <c r="AJ1391" s="60" t="str">
        <f aca="false">IF(AI1391&lt;S1391,"SIM","NÃO")</f>
        <v>NÃO</v>
      </c>
    </row>
    <row r="1392" customFormat="false" ht="15" hidden="false" customHeight="false" outlineLevel="0" collapsed="false">
      <c r="A1392" s="59" t="n">
        <v>46258.4588541667</v>
      </c>
      <c r="B1392" s="60" t="s">
        <v>1661</v>
      </c>
      <c r="C1392" s="60" t="n">
        <v>26520020</v>
      </c>
      <c r="D1392" s="60" t="s">
        <v>284</v>
      </c>
      <c r="E1392" s="60" t="s">
        <v>23</v>
      </c>
      <c r="F1392" s="60" t="s">
        <v>236</v>
      </c>
      <c r="G1392" s="60" t="n">
        <v>52.3</v>
      </c>
      <c r="H1392" s="61" t="n">
        <v>616.99</v>
      </c>
      <c r="I1392" s="61" t="n">
        <v>70.98</v>
      </c>
      <c r="J1392" s="61" t="n">
        <f aca="false">H1392*Resumo!$C$6</f>
        <v>0</v>
      </c>
      <c r="K1392" s="61" t="n">
        <f aca="false">H1392*Resumo!$C$7</f>
        <v>1.295679</v>
      </c>
      <c r="L1392" s="61" t="n">
        <f aca="false">H1392*Resumo!$C$8</f>
        <v>1.295679</v>
      </c>
      <c r="M1392" s="61" t="n">
        <f aca="false">Resumo!$C$10*CEILING(G1392/100,1)</f>
        <v>1.05</v>
      </c>
      <c r="N1392" s="61" t="n">
        <f aca="false">Resumo!$C$9</f>
        <v>0</v>
      </c>
      <c r="O1392" s="61" t="n">
        <f aca="false">Resumo!$C$13</f>
        <v>13.55</v>
      </c>
      <c r="P1392" s="61" t="n">
        <f aca="false">Resumo!$C$14*CEILING(G1392,1)</f>
        <v>23.85</v>
      </c>
      <c r="Q1392" s="61" t="n">
        <f aca="false">SUM(I1392:P1392)*Resumo!$C$11</f>
        <v>0</v>
      </c>
      <c r="R1392" s="61" t="n">
        <f aca="false">SUM(I1392:Q1392)</f>
        <v>112.021358</v>
      </c>
      <c r="S1392" s="61" t="n">
        <f aca="false">R1392/(1-Resumo!$C$5)</f>
        <v>127.296997727273</v>
      </c>
      <c r="T1392" s="61" t="n">
        <v>112.3</v>
      </c>
      <c r="U1392" s="61" t="n">
        <f aca="false">H1392*Resumo!$B$6</f>
        <v>0.61699</v>
      </c>
      <c r="V1392" s="61" t="n">
        <f aca="false">H1392*Resumo!$B$7</f>
        <v>1.23398</v>
      </c>
      <c r="W1392" s="61" t="n">
        <f aca="false">Resumo!$B$9</f>
        <v>1</v>
      </c>
      <c r="X1392" s="61" t="n">
        <f aca="false">Resumo!$B$10*CEILING(G1392/100,1)</f>
        <v>4.5</v>
      </c>
      <c r="Y1392" s="61" t="n">
        <f aca="false">Resumo!$B$12*CEILING(G1392,1)</f>
        <v>3.18</v>
      </c>
      <c r="Z1392" s="61" t="n">
        <f aca="false">Resumo!$B$14*CEILING(G1392,1)</f>
        <v>23.85</v>
      </c>
      <c r="AA1392" s="61" t="n">
        <f aca="false">SUM(T1392:Z1392)</f>
        <v>146.68097</v>
      </c>
      <c r="AB1392" s="61" t="n">
        <f aca="false">AA1392/(1-Resumo!$B$5)</f>
        <v>166.682920454545</v>
      </c>
      <c r="AC1392" s="61" t="n">
        <f aca="false">AB1392-S1392</f>
        <v>39.3859227272727</v>
      </c>
      <c r="AD1392" s="62" t="n">
        <f aca="false">AB1392/S1392-1</f>
        <v>0.309401819606579</v>
      </c>
      <c r="AE1392" s="60" t="str">
        <f aca="false">IF(AB1392&lt;S1392,"SIM","NÃO")</f>
        <v>NÃO</v>
      </c>
      <c r="AF1392" s="60" t="n">
        <v>2</v>
      </c>
      <c r="AG1392" s="60" t="n">
        <v>5</v>
      </c>
      <c r="AH1392" s="60" t="s">
        <v>385</v>
      </c>
      <c r="AI1392" s="61" t="n">
        <f aca="false">(T1392*(1-Painel!$C$40)+U1392+V1392+Painel!$C$41+Painel!$C$42*CEILING(G1392/100,1)+Painel!$C$43*CEILING(G1392,1)+Z1392)/(1-Resumo!$B$5)</f>
        <v>117.036329545455</v>
      </c>
      <c r="AJ1392" s="60" t="str">
        <f aca="false">IF(AI1392&lt;S1392,"SIM","NÃO")</f>
        <v>SIM</v>
      </c>
    </row>
    <row r="1393" customFormat="false" ht="15" hidden="false" customHeight="false" outlineLevel="0" collapsed="false">
      <c r="A1393" s="59" t="n">
        <v>46258.6739236111</v>
      </c>
      <c r="B1393" s="60" t="s">
        <v>1662</v>
      </c>
      <c r="C1393" s="60" t="n">
        <v>28020465</v>
      </c>
      <c r="D1393" s="60" t="s">
        <v>51</v>
      </c>
      <c r="E1393" s="60" t="s">
        <v>24</v>
      </c>
      <c r="F1393" s="60" t="s">
        <v>240</v>
      </c>
      <c r="G1393" s="60" t="n">
        <v>106.5</v>
      </c>
      <c r="H1393" s="61" t="n">
        <v>1163.99</v>
      </c>
      <c r="I1393" s="61" t="n">
        <v>119.5</v>
      </c>
      <c r="J1393" s="61" t="n">
        <f aca="false">H1393*Resumo!$C$6</f>
        <v>0</v>
      </c>
      <c r="K1393" s="61" t="n">
        <f aca="false">H1393*Resumo!$C$7</f>
        <v>2.444379</v>
      </c>
      <c r="L1393" s="61" t="n">
        <f aca="false">H1393*Resumo!$C$8</f>
        <v>2.444379</v>
      </c>
      <c r="M1393" s="61" t="n">
        <f aca="false">Resumo!$C$10*CEILING(G1393/100,1)</f>
        <v>2.1</v>
      </c>
      <c r="N1393" s="61" t="n">
        <f aca="false">Resumo!$C$9</f>
        <v>0</v>
      </c>
      <c r="O1393" s="61" t="n">
        <f aca="false">Resumo!$C$13</f>
        <v>13.55</v>
      </c>
      <c r="P1393" s="61" t="n">
        <f aca="false">Resumo!$C$14*CEILING(G1393,1)</f>
        <v>48.15</v>
      </c>
      <c r="Q1393" s="61" t="n">
        <f aca="false">SUM(I1393:P1393)*Resumo!$C$11</f>
        <v>0</v>
      </c>
      <c r="R1393" s="61" t="n">
        <f aca="false">SUM(I1393:Q1393)</f>
        <v>188.188758</v>
      </c>
      <c r="S1393" s="61" t="n">
        <f aca="false">R1393/(1-Resumo!$C$5)</f>
        <v>213.850861363636</v>
      </c>
      <c r="T1393" s="61" t="n">
        <v>236.82</v>
      </c>
      <c r="U1393" s="61" t="n">
        <f aca="false">H1393*Resumo!$B$6</f>
        <v>1.16399</v>
      </c>
      <c r="V1393" s="61" t="n">
        <f aca="false">H1393*Resumo!$B$7</f>
        <v>2.32798</v>
      </c>
      <c r="W1393" s="61" t="n">
        <f aca="false">Resumo!$B$9</f>
        <v>1</v>
      </c>
      <c r="X1393" s="61" t="n">
        <f aca="false">Resumo!$B$10*CEILING(G1393/100,1)</f>
        <v>9</v>
      </c>
      <c r="Y1393" s="61" t="n">
        <f aca="false">Resumo!$B$12*CEILING(G1393,1)</f>
        <v>6.42</v>
      </c>
      <c r="Z1393" s="61" t="n">
        <f aca="false">Resumo!$B$14*CEILING(G1393,1)</f>
        <v>48.15</v>
      </c>
      <c r="AA1393" s="61" t="n">
        <f aca="false">SUM(T1393:Z1393)</f>
        <v>304.88197</v>
      </c>
      <c r="AB1393" s="61" t="n">
        <f aca="false">AA1393/(1-Resumo!$B$5)</f>
        <v>346.456784090909</v>
      </c>
      <c r="AC1393" s="61" t="n">
        <f aca="false">AB1393-S1393</f>
        <v>132.605922727273</v>
      </c>
      <c r="AD1393" s="62" t="n">
        <f aca="false">AB1393/S1393-1</f>
        <v>0.620085988345807</v>
      </c>
      <c r="AE1393" s="60" t="str">
        <f aca="false">IF(AB1393&lt;S1393,"SIM","NÃO")</f>
        <v>NÃO</v>
      </c>
      <c r="AF1393" s="60" t="n">
        <v>13</v>
      </c>
      <c r="AG1393" s="60" t="n">
        <v>11</v>
      </c>
      <c r="AH1393" s="60" t="s">
        <v>382</v>
      </c>
      <c r="AI1393" s="61" t="n">
        <f aca="false">(T1393*(1-Painel!$C$40)+U1393+V1393+Painel!$C$41+Painel!$C$42*CEILING(G1393/100,1)+Painel!$C$43*CEILING(G1393,1)+Z1393)/(1-Resumo!$B$5)</f>
        <v>242.512920454545</v>
      </c>
      <c r="AJ1393" s="60" t="str">
        <f aca="false">IF(AI1393&lt;S1393,"SIM","NÃO")</f>
        <v>NÃO</v>
      </c>
    </row>
    <row r="1394" customFormat="false" ht="15" hidden="false" customHeight="false" outlineLevel="0" collapsed="false">
      <c r="A1394" s="59" t="n">
        <v>46258.7376388889</v>
      </c>
      <c r="B1394" s="60" t="s">
        <v>1663</v>
      </c>
      <c r="C1394" s="60" t="n">
        <v>21521360</v>
      </c>
      <c r="D1394" s="60" t="s">
        <v>46</v>
      </c>
      <c r="E1394" s="60" t="s">
        <v>22</v>
      </c>
      <c r="F1394" s="60" t="s">
        <v>235</v>
      </c>
      <c r="G1394" s="60" t="n">
        <v>45.3</v>
      </c>
      <c r="H1394" s="61" t="n">
        <v>625.99</v>
      </c>
      <c r="I1394" s="61" t="n">
        <v>53.55</v>
      </c>
      <c r="J1394" s="61" t="n">
        <f aca="false">H1394*Resumo!$C$6</f>
        <v>0</v>
      </c>
      <c r="K1394" s="61" t="n">
        <f aca="false">H1394*Resumo!$C$7</f>
        <v>1.314579</v>
      </c>
      <c r="L1394" s="61" t="n">
        <f aca="false">H1394*Resumo!$C$8</f>
        <v>1.314579</v>
      </c>
      <c r="M1394" s="61" t="n">
        <f aca="false">Resumo!$C$10*CEILING(G1394/100,1)</f>
        <v>1.05</v>
      </c>
      <c r="N1394" s="61" t="n">
        <f aca="false">Resumo!$C$9</f>
        <v>0</v>
      </c>
      <c r="O1394" s="61" t="n">
        <f aca="false">Resumo!$C$13</f>
        <v>13.55</v>
      </c>
      <c r="P1394" s="61" t="n">
        <f aca="false">Resumo!$C$14*CEILING(G1394,1)</f>
        <v>20.7</v>
      </c>
      <c r="Q1394" s="61" t="n">
        <f aca="false">SUM(I1394:P1394)*Resumo!$C$11</f>
        <v>0</v>
      </c>
      <c r="R1394" s="61" t="n">
        <f aca="false">SUM(I1394:Q1394)</f>
        <v>91.479158</v>
      </c>
      <c r="S1394" s="61" t="n">
        <f aca="false">R1394/(1-Resumo!$C$5)</f>
        <v>103.953588636364</v>
      </c>
      <c r="T1394" s="61" t="n">
        <v>93.97</v>
      </c>
      <c r="U1394" s="61" t="n">
        <f aca="false">H1394*Resumo!$B$6</f>
        <v>0.62599</v>
      </c>
      <c r="V1394" s="61" t="n">
        <f aca="false">H1394*Resumo!$B$7</f>
        <v>1.25198</v>
      </c>
      <c r="W1394" s="61" t="n">
        <f aca="false">Resumo!$B$9</f>
        <v>1</v>
      </c>
      <c r="X1394" s="61" t="n">
        <f aca="false">Resumo!$B$10*CEILING(G1394/100,1)</f>
        <v>4.5</v>
      </c>
      <c r="Y1394" s="61" t="n">
        <f aca="false">Resumo!$B$12*CEILING(G1394,1)</f>
        <v>2.76</v>
      </c>
      <c r="Z1394" s="61" t="n">
        <f aca="false">Resumo!$B$14*CEILING(G1394,1)</f>
        <v>20.7</v>
      </c>
      <c r="AA1394" s="61" t="n">
        <f aca="false">SUM(T1394:Z1394)</f>
        <v>124.80797</v>
      </c>
      <c r="AB1394" s="61" t="n">
        <f aca="false">AA1394/(1-Resumo!$B$5)</f>
        <v>141.827238636364</v>
      </c>
      <c r="AC1394" s="61" t="n">
        <f aca="false">AB1394-S1394</f>
        <v>37.87365</v>
      </c>
      <c r="AD1394" s="62" t="n">
        <f aca="false">AB1394/S1394-1</f>
        <v>0.364332299604244</v>
      </c>
      <c r="AE1394" s="60" t="str">
        <f aca="false">IF(AB1394&lt;S1394,"SIM","NÃO")</f>
        <v>NÃO</v>
      </c>
      <c r="AF1394" s="60" t="n">
        <v>2</v>
      </c>
      <c r="AG1394" s="60" t="n">
        <v>5</v>
      </c>
      <c r="AH1394" s="60" t="s">
        <v>382</v>
      </c>
      <c r="AI1394" s="61" t="n">
        <f aca="false">(T1394*(1-Painel!$C$40)+U1394+V1394+Painel!$C$41+Painel!$C$42*CEILING(G1394/100,1)+Painel!$C$43*CEILING(G1394,1)+Z1394)/(1-Resumo!$B$5)</f>
        <v>99.5316704545455</v>
      </c>
      <c r="AJ1394" s="60" t="str">
        <f aca="false">IF(AI1394&lt;S1394,"SIM","NÃO")</f>
        <v>SIM</v>
      </c>
    </row>
    <row r="1395" customFormat="false" ht="15" hidden="false" customHeight="false" outlineLevel="0" collapsed="false">
      <c r="A1395" s="59" t="n">
        <v>46258.7424305556</v>
      </c>
      <c r="B1395" s="60" t="s">
        <v>1664</v>
      </c>
      <c r="C1395" s="60" t="n">
        <v>22621070</v>
      </c>
      <c r="D1395" s="60" t="s">
        <v>46</v>
      </c>
      <c r="E1395" s="60" t="s">
        <v>22</v>
      </c>
      <c r="F1395" s="60" t="s">
        <v>234</v>
      </c>
      <c r="G1395" s="60" t="n">
        <v>40</v>
      </c>
      <c r="H1395" s="61" t="n">
        <v>599.99</v>
      </c>
      <c r="I1395" s="61" t="n">
        <v>48.35</v>
      </c>
      <c r="J1395" s="61" t="n">
        <f aca="false">H1395*Resumo!$C$6</f>
        <v>0</v>
      </c>
      <c r="K1395" s="61" t="n">
        <f aca="false">H1395*Resumo!$C$7</f>
        <v>1.259979</v>
      </c>
      <c r="L1395" s="61" t="n">
        <f aca="false">H1395*Resumo!$C$8</f>
        <v>1.259979</v>
      </c>
      <c r="M1395" s="61" t="n">
        <f aca="false">Resumo!$C$10*CEILING(G1395/100,1)</f>
        <v>1.05</v>
      </c>
      <c r="N1395" s="61" t="n">
        <f aca="false">Resumo!$C$9</f>
        <v>0</v>
      </c>
      <c r="O1395" s="61" t="n">
        <f aca="false">Resumo!$C$13</f>
        <v>13.55</v>
      </c>
      <c r="P1395" s="61" t="n">
        <f aca="false">Resumo!$C$14*CEILING(G1395,1)</f>
        <v>18</v>
      </c>
      <c r="Q1395" s="61" t="n">
        <f aca="false">SUM(I1395:P1395)*Resumo!$C$11</f>
        <v>0</v>
      </c>
      <c r="R1395" s="61" t="n">
        <f aca="false">SUM(I1395:Q1395)</f>
        <v>83.469958</v>
      </c>
      <c r="S1395" s="61" t="n">
        <f aca="false">R1395/(1-Resumo!$C$5)</f>
        <v>94.852225</v>
      </c>
      <c r="T1395" s="61" t="n">
        <v>93.97</v>
      </c>
      <c r="U1395" s="61" t="n">
        <f aca="false">H1395*Resumo!$B$6</f>
        <v>0.59999</v>
      </c>
      <c r="V1395" s="61" t="n">
        <f aca="false">H1395*Resumo!$B$7</f>
        <v>1.19998</v>
      </c>
      <c r="W1395" s="61" t="n">
        <f aca="false">Resumo!$B$9</f>
        <v>1</v>
      </c>
      <c r="X1395" s="61" t="n">
        <f aca="false">Resumo!$B$10*CEILING(G1395/100,1)</f>
        <v>4.5</v>
      </c>
      <c r="Y1395" s="61" t="n">
        <f aca="false">Resumo!$B$12*CEILING(G1395,1)</f>
        <v>2.4</v>
      </c>
      <c r="Z1395" s="61" t="n">
        <f aca="false">Resumo!$B$14*CEILING(G1395,1)</f>
        <v>18</v>
      </c>
      <c r="AA1395" s="61" t="n">
        <f aca="false">SUM(T1395:Z1395)</f>
        <v>121.66997</v>
      </c>
      <c r="AB1395" s="61" t="n">
        <f aca="false">AA1395/(1-Resumo!$B$5)</f>
        <v>138.261329545455</v>
      </c>
      <c r="AC1395" s="61" t="n">
        <f aca="false">AB1395-S1395</f>
        <v>43.4091045454545</v>
      </c>
      <c r="AD1395" s="62" t="n">
        <f aca="false">AB1395/S1395-1</f>
        <v>0.457649828936059</v>
      </c>
      <c r="AE1395" s="60" t="str">
        <f aca="false">IF(AB1395&lt;S1395,"SIM","NÃO")</f>
        <v>NÃO</v>
      </c>
      <c r="AF1395" s="60" t="n">
        <v>2</v>
      </c>
      <c r="AG1395" s="60" t="n">
        <v>5</v>
      </c>
      <c r="AH1395" s="60" t="s">
        <v>382</v>
      </c>
      <c r="AI1395" s="61" t="n">
        <f aca="false">(T1395*(1-Painel!$C$40)+U1395+V1395+Painel!$C$41+Painel!$C$42*CEILING(G1395/100,1)+Painel!$C$43*CEILING(G1395,1)+Z1395)/(1-Resumo!$B$5)</f>
        <v>96.3748522727273</v>
      </c>
      <c r="AJ1395" s="60" t="str">
        <f aca="false">IF(AI1395&lt;S1395,"SIM","NÃO")</f>
        <v>NÃO</v>
      </c>
    </row>
    <row r="1396" customFormat="false" ht="15" hidden="false" customHeight="false" outlineLevel="0" collapsed="false">
      <c r="A1396" s="59" t="n">
        <v>46258.7730671296</v>
      </c>
      <c r="B1396" s="60" t="s">
        <v>1665</v>
      </c>
      <c r="C1396" s="60" t="n">
        <v>25040335</v>
      </c>
      <c r="D1396" s="60" t="s">
        <v>48</v>
      </c>
      <c r="E1396" s="60" t="s">
        <v>23</v>
      </c>
      <c r="F1396" s="60" t="s">
        <v>236</v>
      </c>
      <c r="G1396" s="60" t="n">
        <v>52.3</v>
      </c>
      <c r="H1396" s="61" t="n">
        <v>616.99</v>
      </c>
      <c r="I1396" s="61" t="n">
        <v>70.98</v>
      </c>
      <c r="J1396" s="61" t="n">
        <f aca="false">H1396*Resumo!$C$6</f>
        <v>0</v>
      </c>
      <c r="K1396" s="61" t="n">
        <f aca="false">H1396*Resumo!$C$7</f>
        <v>1.295679</v>
      </c>
      <c r="L1396" s="61" t="n">
        <f aca="false">H1396*Resumo!$C$8</f>
        <v>1.295679</v>
      </c>
      <c r="M1396" s="61" t="n">
        <f aca="false">Resumo!$C$10*CEILING(G1396/100,1)</f>
        <v>1.05</v>
      </c>
      <c r="N1396" s="61" t="n">
        <f aca="false">Resumo!$C$9</f>
        <v>0</v>
      </c>
      <c r="O1396" s="61" t="n">
        <f aca="false">Resumo!$C$13</f>
        <v>13.55</v>
      </c>
      <c r="P1396" s="61" t="n">
        <f aca="false">Resumo!$C$14*CEILING(G1396,1)</f>
        <v>23.85</v>
      </c>
      <c r="Q1396" s="61" t="n">
        <f aca="false">SUM(I1396:P1396)*Resumo!$C$11</f>
        <v>0</v>
      </c>
      <c r="R1396" s="61" t="n">
        <f aca="false">SUM(I1396:Q1396)</f>
        <v>112.021358</v>
      </c>
      <c r="S1396" s="61" t="n">
        <f aca="false">R1396/(1-Resumo!$C$5)</f>
        <v>127.296997727273</v>
      </c>
      <c r="T1396" s="61" t="n">
        <v>112.3</v>
      </c>
      <c r="U1396" s="61" t="n">
        <f aca="false">H1396*Resumo!$B$6</f>
        <v>0.61699</v>
      </c>
      <c r="V1396" s="61" t="n">
        <f aca="false">H1396*Resumo!$B$7</f>
        <v>1.23398</v>
      </c>
      <c r="W1396" s="61" t="n">
        <f aca="false">Resumo!$B$9</f>
        <v>1</v>
      </c>
      <c r="X1396" s="61" t="n">
        <f aca="false">Resumo!$B$10*CEILING(G1396/100,1)</f>
        <v>4.5</v>
      </c>
      <c r="Y1396" s="61" t="n">
        <f aca="false">Resumo!$B$12*CEILING(G1396,1)</f>
        <v>3.18</v>
      </c>
      <c r="Z1396" s="61" t="n">
        <f aca="false">Resumo!$B$14*CEILING(G1396,1)</f>
        <v>23.85</v>
      </c>
      <c r="AA1396" s="61" t="n">
        <f aca="false">SUM(T1396:Z1396)</f>
        <v>146.68097</v>
      </c>
      <c r="AB1396" s="61" t="n">
        <f aca="false">AA1396/(1-Resumo!$B$5)</f>
        <v>166.682920454545</v>
      </c>
      <c r="AC1396" s="61" t="n">
        <f aca="false">AB1396-S1396</f>
        <v>39.3859227272727</v>
      </c>
      <c r="AD1396" s="62" t="n">
        <f aca="false">AB1396/S1396-1</f>
        <v>0.309401819606579</v>
      </c>
      <c r="AE1396" s="60" t="str">
        <f aca="false">IF(AB1396&lt;S1396,"SIM","NÃO")</f>
        <v>NÃO</v>
      </c>
      <c r="AF1396" s="60" t="n">
        <v>2</v>
      </c>
      <c r="AG1396" s="60" t="n">
        <v>5</v>
      </c>
      <c r="AH1396" s="60" t="s">
        <v>382</v>
      </c>
      <c r="AI1396" s="61" t="n">
        <f aca="false">(T1396*(1-Painel!$C$40)+U1396+V1396+Painel!$C$41+Painel!$C$42*CEILING(G1396/100,1)+Painel!$C$43*CEILING(G1396,1)+Z1396)/(1-Resumo!$B$5)</f>
        <v>117.036329545455</v>
      </c>
      <c r="AJ1396" s="60" t="str">
        <f aca="false">IF(AI1396&lt;S1396,"SIM","NÃO")</f>
        <v>SIM</v>
      </c>
    </row>
    <row r="1397" customFormat="false" ht="15" hidden="false" customHeight="false" outlineLevel="0" collapsed="false">
      <c r="A1397" s="59" t="n">
        <v>46258.8181597222</v>
      </c>
      <c r="B1397" s="60" t="s">
        <v>1666</v>
      </c>
      <c r="C1397" s="60" t="n">
        <v>26554150</v>
      </c>
      <c r="D1397" s="60" t="s">
        <v>224</v>
      </c>
      <c r="E1397" s="60" t="s">
        <v>23</v>
      </c>
      <c r="F1397" s="60" t="s">
        <v>236</v>
      </c>
      <c r="G1397" s="60" t="n">
        <v>51.06</v>
      </c>
      <c r="H1397" s="61" t="n">
        <v>640.1</v>
      </c>
      <c r="I1397" s="61" t="n">
        <v>70.98</v>
      </c>
      <c r="J1397" s="61" t="n">
        <f aca="false">H1397*Resumo!$C$6</f>
        <v>0</v>
      </c>
      <c r="K1397" s="61" t="n">
        <f aca="false">H1397*Resumo!$C$7</f>
        <v>1.34421</v>
      </c>
      <c r="L1397" s="61" t="n">
        <f aca="false">H1397*Resumo!$C$8</f>
        <v>1.34421</v>
      </c>
      <c r="M1397" s="61" t="n">
        <f aca="false">Resumo!$C$10*CEILING(G1397/100,1)</f>
        <v>1.05</v>
      </c>
      <c r="N1397" s="61" t="n">
        <f aca="false">Resumo!$C$9</f>
        <v>0</v>
      </c>
      <c r="O1397" s="61" t="n">
        <f aca="false">Resumo!$C$13</f>
        <v>13.55</v>
      </c>
      <c r="P1397" s="61" t="n">
        <f aca="false">Resumo!$C$14*CEILING(G1397,1)</f>
        <v>23.4</v>
      </c>
      <c r="Q1397" s="61" t="n">
        <f aca="false">SUM(I1397:P1397)*Resumo!$C$11</f>
        <v>0</v>
      </c>
      <c r="R1397" s="61" t="n">
        <f aca="false">SUM(I1397:Q1397)</f>
        <v>111.66842</v>
      </c>
      <c r="S1397" s="61" t="n">
        <f aca="false">R1397/(1-Resumo!$C$5)</f>
        <v>126.895931818182</v>
      </c>
      <c r="T1397" s="61" t="n">
        <v>112.3</v>
      </c>
      <c r="U1397" s="61" t="n">
        <f aca="false">H1397*Resumo!$B$6</f>
        <v>0.6401</v>
      </c>
      <c r="V1397" s="61" t="n">
        <f aca="false">H1397*Resumo!$B$7</f>
        <v>1.2802</v>
      </c>
      <c r="W1397" s="61" t="n">
        <f aca="false">Resumo!$B$9</f>
        <v>1</v>
      </c>
      <c r="X1397" s="61" t="n">
        <f aca="false">Resumo!$B$10*CEILING(G1397/100,1)</f>
        <v>4.5</v>
      </c>
      <c r="Y1397" s="61" t="n">
        <f aca="false">Resumo!$B$12*CEILING(G1397,1)</f>
        <v>3.12</v>
      </c>
      <c r="Z1397" s="61" t="n">
        <f aca="false">Resumo!$B$14*CEILING(G1397,1)</f>
        <v>23.4</v>
      </c>
      <c r="AA1397" s="61" t="n">
        <f aca="false">SUM(T1397:Z1397)</f>
        <v>146.2403</v>
      </c>
      <c r="AB1397" s="61" t="n">
        <f aca="false">AA1397/(1-Resumo!$B$5)</f>
        <v>166.182159090909</v>
      </c>
      <c r="AC1397" s="61" t="n">
        <f aca="false">AB1397-S1397</f>
        <v>39.2862272727272</v>
      </c>
      <c r="AD1397" s="62" t="n">
        <f aca="false">AB1397/S1397-1</f>
        <v>0.309594064284244</v>
      </c>
      <c r="AE1397" s="60" t="str">
        <f aca="false">IF(AB1397&lt;S1397,"SIM","NÃO")</f>
        <v>NÃO</v>
      </c>
      <c r="AF1397" s="60" t="n">
        <v>2</v>
      </c>
      <c r="AG1397" s="60" t="n">
        <v>5</v>
      </c>
      <c r="AH1397" s="60" t="s">
        <v>382</v>
      </c>
      <c r="AI1397" s="61" t="n">
        <f aca="false">(T1397*(1-Painel!$C$40)+U1397+V1397+Painel!$C$41+Painel!$C$42*CEILING(G1397/100,1)+Painel!$C$43*CEILING(G1397,1)+Z1397)/(1-Resumo!$B$5)</f>
        <v>116.60375</v>
      </c>
      <c r="AJ1397" s="60" t="str">
        <f aca="false">IF(AI1397&lt;S1397,"SIM","NÃO")</f>
        <v>SIM</v>
      </c>
    </row>
    <row r="1398" customFormat="false" ht="15" hidden="false" customHeight="false" outlineLevel="0" collapsed="false">
      <c r="A1398" s="59" t="n">
        <v>46258.8869907407</v>
      </c>
      <c r="B1398" s="60" t="s">
        <v>1667</v>
      </c>
      <c r="C1398" s="60" t="n">
        <v>22451262</v>
      </c>
      <c r="D1398" s="60" t="s">
        <v>46</v>
      </c>
      <c r="E1398" s="60" t="s">
        <v>22</v>
      </c>
      <c r="F1398" s="60" t="s">
        <v>237</v>
      </c>
      <c r="G1398" s="60" t="n">
        <v>64.6</v>
      </c>
      <c r="H1398" s="61" t="n">
        <v>1169.99</v>
      </c>
      <c r="I1398" s="61" t="n">
        <v>63.21</v>
      </c>
      <c r="J1398" s="61" t="n">
        <f aca="false">H1398*Resumo!$C$6</f>
        <v>0</v>
      </c>
      <c r="K1398" s="61" t="n">
        <f aca="false">H1398*Resumo!$C$7</f>
        <v>2.456979</v>
      </c>
      <c r="L1398" s="61" t="n">
        <f aca="false">H1398*Resumo!$C$8</f>
        <v>2.456979</v>
      </c>
      <c r="M1398" s="61" t="n">
        <f aca="false">Resumo!$C$10*CEILING(G1398/100,1)</f>
        <v>1.05</v>
      </c>
      <c r="N1398" s="61" t="n">
        <f aca="false">Resumo!$C$9</f>
        <v>0</v>
      </c>
      <c r="O1398" s="61" t="n">
        <f aca="false">Resumo!$C$13</f>
        <v>13.55</v>
      </c>
      <c r="P1398" s="61" t="n">
        <f aca="false">Resumo!$C$14*CEILING(G1398,1)</f>
        <v>29.25</v>
      </c>
      <c r="Q1398" s="61" t="n">
        <f aca="false">SUM(I1398:P1398)*Resumo!$C$11</f>
        <v>0</v>
      </c>
      <c r="R1398" s="61" t="n">
        <f aca="false">SUM(I1398:Q1398)</f>
        <v>111.973958</v>
      </c>
      <c r="S1398" s="61" t="n">
        <f aca="false">R1398/(1-Resumo!$C$5)</f>
        <v>127.243134090909</v>
      </c>
      <c r="T1398" s="61" t="n">
        <v>131.02</v>
      </c>
      <c r="U1398" s="61" t="n">
        <f aca="false">H1398*Resumo!$B$6</f>
        <v>1.16999</v>
      </c>
      <c r="V1398" s="61" t="n">
        <f aca="false">H1398*Resumo!$B$7</f>
        <v>2.33998</v>
      </c>
      <c r="W1398" s="61" t="n">
        <f aca="false">Resumo!$B$9</f>
        <v>1</v>
      </c>
      <c r="X1398" s="61" t="n">
        <f aca="false">Resumo!$B$10*CEILING(G1398/100,1)</f>
        <v>4.5</v>
      </c>
      <c r="Y1398" s="61" t="n">
        <f aca="false">Resumo!$B$12*CEILING(G1398,1)</f>
        <v>3.9</v>
      </c>
      <c r="Z1398" s="61" t="n">
        <f aca="false">Resumo!$B$14*CEILING(G1398,1)</f>
        <v>29.25</v>
      </c>
      <c r="AA1398" s="61" t="n">
        <f aca="false">SUM(T1398:Z1398)</f>
        <v>173.17997</v>
      </c>
      <c r="AB1398" s="61" t="n">
        <f aca="false">AA1398/(1-Resumo!$B$5)</f>
        <v>196.795420454545</v>
      </c>
      <c r="AC1398" s="61" t="n">
        <f aca="false">AB1398-S1398</f>
        <v>69.5522863636364</v>
      </c>
      <c r="AD1398" s="62" t="n">
        <f aca="false">AB1398/S1398-1</f>
        <v>0.546609346433927</v>
      </c>
      <c r="AE1398" s="60" t="str">
        <f aca="false">IF(AB1398&lt;S1398,"SIM","NÃO")</f>
        <v>NÃO</v>
      </c>
      <c r="AF1398" s="60" t="n">
        <v>2</v>
      </c>
      <c r="AG1398" s="60" t="n">
        <v>5</v>
      </c>
      <c r="AH1398" s="60" t="s">
        <v>382</v>
      </c>
      <c r="AI1398" s="61" t="n">
        <f aca="false">(T1398*(1-Painel!$C$40)+U1398+V1398+Painel!$C$41+Painel!$C$42*CEILING(G1398/100,1)+Painel!$C$43*CEILING(G1398,1)+Z1398)/(1-Resumo!$B$5)</f>
        <v>139.310647727273</v>
      </c>
      <c r="AJ1398" s="60" t="str">
        <f aca="false">IF(AI1398&lt;S1398,"SIM","NÃO")</f>
        <v>NÃO</v>
      </c>
    </row>
    <row r="1399" customFormat="false" ht="15" hidden="false" customHeight="false" outlineLevel="0" collapsed="false">
      <c r="A1399" s="59" t="n">
        <v>46258.9375462963</v>
      </c>
      <c r="B1399" s="60" t="s">
        <v>1668</v>
      </c>
      <c r="C1399" s="60" t="n">
        <v>28981640</v>
      </c>
      <c r="D1399" s="60" t="s">
        <v>222</v>
      </c>
      <c r="E1399" s="60" t="s">
        <v>24</v>
      </c>
      <c r="F1399" s="60" t="s">
        <v>234</v>
      </c>
      <c r="G1399" s="60" t="n">
        <v>40</v>
      </c>
      <c r="H1399" s="61" t="n">
        <v>579.99</v>
      </c>
      <c r="I1399" s="61" t="n">
        <v>74.97</v>
      </c>
      <c r="J1399" s="61" t="n">
        <f aca="false">H1399*Resumo!$C$6</f>
        <v>0</v>
      </c>
      <c r="K1399" s="61" t="n">
        <f aca="false">H1399*Resumo!$C$7</f>
        <v>1.217979</v>
      </c>
      <c r="L1399" s="61" t="n">
        <f aca="false">H1399*Resumo!$C$8</f>
        <v>1.217979</v>
      </c>
      <c r="M1399" s="61" t="n">
        <f aca="false">Resumo!$C$10*CEILING(G1399/100,1)</f>
        <v>1.05</v>
      </c>
      <c r="N1399" s="61" t="n">
        <f aca="false">Resumo!$C$9</f>
        <v>0</v>
      </c>
      <c r="O1399" s="61" t="n">
        <f aca="false">Resumo!$C$13</f>
        <v>13.55</v>
      </c>
      <c r="P1399" s="61" t="n">
        <f aca="false">Resumo!$C$14*CEILING(G1399,1)</f>
        <v>18</v>
      </c>
      <c r="Q1399" s="61" t="n">
        <f aca="false">SUM(I1399:P1399)*Resumo!$C$11</f>
        <v>0</v>
      </c>
      <c r="R1399" s="61" t="n">
        <f aca="false">SUM(I1399:Q1399)</f>
        <v>110.005958</v>
      </c>
      <c r="S1399" s="61" t="n">
        <f aca="false">R1399/(1-Resumo!$C$5)</f>
        <v>125.006770454545</v>
      </c>
      <c r="T1399" s="61" t="n">
        <v>124.38</v>
      </c>
      <c r="U1399" s="61" t="n">
        <f aca="false">H1399*Resumo!$B$6</f>
        <v>0.57999</v>
      </c>
      <c r="V1399" s="61" t="n">
        <f aca="false">H1399*Resumo!$B$7</f>
        <v>1.15998</v>
      </c>
      <c r="W1399" s="61" t="n">
        <f aca="false">Resumo!$B$9</f>
        <v>1</v>
      </c>
      <c r="X1399" s="61" t="n">
        <f aca="false">Resumo!$B$10*CEILING(G1399/100,1)</f>
        <v>4.5</v>
      </c>
      <c r="Y1399" s="61" t="n">
        <f aca="false">Resumo!$B$12*CEILING(G1399,1)</f>
        <v>2.4</v>
      </c>
      <c r="Z1399" s="61" t="n">
        <f aca="false">Resumo!$B$14*CEILING(G1399,1)</f>
        <v>18</v>
      </c>
      <c r="AA1399" s="61" t="n">
        <f aca="false">SUM(T1399:Z1399)</f>
        <v>152.01997</v>
      </c>
      <c r="AB1399" s="61" t="n">
        <f aca="false">AA1399/(1-Resumo!$B$5)</f>
        <v>172.749965909091</v>
      </c>
      <c r="AC1399" s="61" t="n">
        <f aca="false">AB1399-S1399</f>
        <v>47.7431954545455</v>
      </c>
      <c r="AD1399" s="62" t="n">
        <f aca="false">AB1399/S1399-1</f>
        <v>0.381924877196197</v>
      </c>
      <c r="AE1399" s="60" t="str">
        <f aca="false">IF(AB1399&lt;S1399,"SIM","NÃO")</f>
        <v>NÃO</v>
      </c>
      <c r="AF1399" s="60" t="n">
        <v>13</v>
      </c>
      <c r="AG1399" s="60" t="n">
        <v>10</v>
      </c>
      <c r="AH1399" s="60" t="s">
        <v>382</v>
      </c>
      <c r="AI1399" s="61" t="n">
        <f aca="false">(T1399*(1-Painel!$C$40)+U1399+V1399+Painel!$C$41+Painel!$C$42*CEILING(G1399/100,1)+Painel!$C$43*CEILING(G1399,1)+Z1399)/(1-Resumo!$B$5)</f>
        <v>119.459738636364</v>
      </c>
      <c r="AJ1399" s="60" t="str">
        <f aca="false">IF(AI1399&lt;S1399,"SIM","NÃO")</f>
        <v>SIM</v>
      </c>
    </row>
    <row r="1400" customFormat="false" ht="15" hidden="false" customHeight="false" outlineLevel="0" collapsed="false">
      <c r="A1400" s="59" t="n">
        <v>46258.9604976852</v>
      </c>
      <c r="B1400" s="60" t="s">
        <v>1669</v>
      </c>
      <c r="C1400" s="60" t="n">
        <v>28971530</v>
      </c>
      <c r="D1400" s="60" t="s">
        <v>222</v>
      </c>
      <c r="E1400" s="60" t="s">
        <v>24</v>
      </c>
      <c r="F1400" s="60" t="s">
        <v>233</v>
      </c>
      <c r="G1400" s="60" t="n">
        <v>27.4</v>
      </c>
      <c r="H1400" s="61" t="n">
        <v>369.99</v>
      </c>
      <c r="I1400" s="61" t="n">
        <v>65.63</v>
      </c>
      <c r="J1400" s="61" t="n">
        <f aca="false">H1400*Resumo!$C$6</f>
        <v>0</v>
      </c>
      <c r="K1400" s="61" t="n">
        <f aca="false">H1400*Resumo!$C$7</f>
        <v>0.776979</v>
      </c>
      <c r="L1400" s="61" t="n">
        <f aca="false">H1400*Resumo!$C$8</f>
        <v>0.776979</v>
      </c>
      <c r="M1400" s="61" t="n">
        <f aca="false">Resumo!$C$10*CEILING(G1400/100,1)</f>
        <v>1.05</v>
      </c>
      <c r="N1400" s="61" t="n">
        <f aca="false">Resumo!$C$9</f>
        <v>0</v>
      </c>
      <c r="O1400" s="61" t="n">
        <f aca="false">Resumo!$C$13</f>
        <v>13.55</v>
      </c>
      <c r="P1400" s="61" t="n">
        <f aca="false">Resumo!$C$14*CEILING(G1400,1)</f>
        <v>12.6</v>
      </c>
      <c r="Q1400" s="61" t="n">
        <f aca="false">SUM(I1400:P1400)*Resumo!$C$11</f>
        <v>0</v>
      </c>
      <c r="R1400" s="61" t="n">
        <f aca="false">SUM(I1400:Q1400)</f>
        <v>94.383958</v>
      </c>
      <c r="S1400" s="61" t="n">
        <f aca="false">R1400/(1-Resumo!$C$5)</f>
        <v>107.254497727273</v>
      </c>
      <c r="T1400" s="61" t="n">
        <v>114.95</v>
      </c>
      <c r="U1400" s="61" t="n">
        <f aca="false">H1400*Resumo!$B$6</f>
        <v>0.36999</v>
      </c>
      <c r="V1400" s="61" t="n">
        <f aca="false">H1400*Resumo!$B$7</f>
        <v>0.73998</v>
      </c>
      <c r="W1400" s="61" t="n">
        <f aca="false">Resumo!$B$9</f>
        <v>1</v>
      </c>
      <c r="X1400" s="61" t="n">
        <f aca="false">Resumo!$B$10*CEILING(G1400/100,1)</f>
        <v>4.5</v>
      </c>
      <c r="Y1400" s="61" t="n">
        <f aca="false">Resumo!$B$12*CEILING(G1400,1)</f>
        <v>1.68</v>
      </c>
      <c r="Z1400" s="61" t="n">
        <f aca="false">Resumo!$B$14*CEILING(G1400,1)</f>
        <v>12.6</v>
      </c>
      <c r="AA1400" s="61" t="n">
        <f aca="false">SUM(T1400:Z1400)</f>
        <v>135.83997</v>
      </c>
      <c r="AB1400" s="61" t="n">
        <f aca="false">AA1400/(1-Resumo!$B$5)</f>
        <v>154.363602272727</v>
      </c>
      <c r="AC1400" s="61" t="n">
        <f aca="false">AB1400-S1400</f>
        <v>47.1091045454545</v>
      </c>
      <c r="AD1400" s="62" t="n">
        <f aca="false">AB1400/S1400-1</f>
        <v>0.439227310217272</v>
      </c>
      <c r="AE1400" s="60" t="str">
        <f aca="false">IF(AB1400&lt;S1400,"SIM","NÃO")</f>
        <v>NÃO</v>
      </c>
      <c r="AF1400" s="60" t="n">
        <v>13</v>
      </c>
      <c r="AG1400" s="60" t="n">
        <v>10</v>
      </c>
      <c r="AH1400" s="60" t="s">
        <v>382</v>
      </c>
      <c r="AI1400" s="61" t="n">
        <f aca="false">(T1400*(1-Painel!$C$40)+U1400+V1400+Painel!$C$41+Painel!$C$42*CEILING(G1400/100,1)+Painel!$C$43*CEILING(G1400,1)+Z1400)/(1-Resumo!$B$5)</f>
        <v>105.427806818182</v>
      </c>
      <c r="AJ1400" s="60" t="str">
        <f aca="false">IF(AI1400&lt;S1400,"SIM","NÃO")</f>
        <v>SIM</v>
      </c>
    </row>
    <row r="1401" customFormat="false" ht="15" hidden="false" customHeight="false" outlineLevel="0" collapsed="false">
      <c r="A1401" s="59" t="n">
        <v>46259.4163425926</v>
      </c>
      <c r="B1401" s="60" t="s">
        <v>1670</v>
      </c>
      <c r="C1401" s="60" t="n">
        <v>23050340</v>
      </c>
      <c r="D1401" s="60" t="s">
        <v>46</v>
      </c>
      <c r="E1401" s="60" t="s">
        <v>22</v>
      </c>
      <c r="F1401" s="60" t="s">
        <v>235</v>
      </c>
      <c r="G1401" s="60" t="n">
        <v>45.3</v>
      </c>
      <c r="H1401" s="61" t="n">
        <v>630.04</v>
      </c>
      <c r="I1401" s="61" t="n">
        <v>53.55</v>
      </c>
      <c r="J1401" s="61" t="n">
        <f aca="false">H1401*Resumo!$C$6</f>
        <v>0</v>
      </c>
      <c r="K1401" s="61" t="n">
        <f aca="false">H1401*Resumo!$C$7</f>
        <v>1.323084</v>
      </c>
      <c r="L1401" s="61" t="n">
        <f aca="false">H1401*Resumo!$C$8</f>
        <v>1.323084</v>
      </c>
      <c r="M1401" s="61" t="n">
        <f aca="false">Resumo!$C$10*CEILING(G1401/100,1)</f>
        <v>1.05</v>
      </c>
      <c r="N1401" s="61" t="n">
        <f aca="false">Resumo!$C$9</f>
        <v>0</v>
      </c>
      <c r="O1401" s="61" t="n">
        <f aca="false">Resumo!$C$13</f>
        <v>13.55</v>
      </c>
      <c r="P1401" s="61" t="n">
        <f aca="false">Resumo!$C$14*CEILING(G1401,1)</f>
        <v>20.7</v>
      </c>
      <c r="Q1401" s="61" t="n">
        <f aca="false">SUM(I1401:P1401)*Resumo!$C$11</f>
        <v>0</v>
      </c>
      <c r="R1401" s="61" t="n">
        <f aca="false">SUM(I1401:Q1401)</f>
        <v>91.496168</v>
      </c>
      <c r="S1401" s="61" t="n">
        <f aca="false">R1401/(1-Resumo!$C$5)</f>
        <v>103.972918181818</v>
      </c>
      <c r="T1401" s="61" t="n">
        <v>93.97</v>
      </c>
      <c r="U1401" s="61" t="n">
        <f aca="false">H1401*Resumo!$B$6</f>
        <v>0.63004</v>
      </c>
      <c r="V1401" s="61" t="n">
        <f aca="false">H1401*Resumo!$B$7</f>
        <v>1.26008</v>
      </c>
      <c r="W1401" s="61" t="n">
        <f aca="false">Resumo!$B$9</f>
        <v>1</v>
      </c>
      <c r="X1401" s="61" t="n">
        <f aca="false">Resumo!$B$10*CEILING(G1401/100,1)</f>
        <v>4.5</v>
      </c>
      <c r="Y1401" s="61" t="n">
        <f aca="false">Resumo!$B$12*CEILING(G1401,1)</f>
        <v>2.76</v>
      </c>
      <c r="Z1401" s="61" t="n">
        <f aca="false">Resumo!$B$14*CEILING(G1401,1)</f>
        <v>20.7</v>
      </c>
      <c r="AA1401" s="61" t="n">
        <f aca="false">SUM(T1401:Z1401)</f>
        <v>124.82012</v>
      </c>
      <c r="AB1401" s="61" t="n">
        <f aca="false">AA1401/(1-Resumo!$B$5)</f>
        <v>141.841045454545</v>
      </c>
      <c r="AC1401" s="61" t="n">
        <f aca="false">AB1401-S1401</f>
        <v>37.8681272727273</v>
      </c>
      <c r="AD1401" s="62" t="n">
        <f aca="false">AB1401/S1401-1</f>
        <v>0.364211449817221</v>
      </c>
      <c r="AE1401" s="60" t="str">
        <f aca="false">IF(AB1401&lt;S1401,"SIM","NÃO")</f>
        <v>NÃO</v>
      </c>
      <c r="AF1401" s="60" t="n">
        <v>2</v>
      </c>
      <c r="AG1401" s="60" t="n">
        <v>5</v>
      </c>
      <c r="AH1401" s="60" t="s">
        <v>382</v>
      </c>
      <c r="AI1401" s="61" t="n">
        <f aca="false">(T1401*(1-Painel!$C$40)+U1401+V1401+Painel!$C$41+Painel!$C$42*CEILING(G1401/100,1)+Painel!$C$43*CEILING(G1401,1)+Z1401)/(1-Resumo!$B$5)</f>
        <v>99.5454772727273</v>
      </c>
      <c r="AJ1401" s="60" t="str">
        <f aca="false">IF(AI1401&lt;S1401,"SIM","NÃO")</f>
        <v>SIM</v>
      </c>
    </row>
    <row r="1402" customFormat="false" ht="15" hidden="false" customHeight="false" outlineLevel="0" collapsed="false">
      <c r="A1402" s="59" t="n">
        <v>46259.4397916667</v>
      </c>
      <c r="B1402" s="60" t="s">
        <v>948</v>
      </c>
      <c r="C1402" s="60" t="n">
        <v>25850000</v>
      </c>
      <c r="D1402" s="60" t="s">
        <v>276</v>
      </c>
      <c r="E1402" s="60" t="s">
        <v>24</v>
      </c>
      <c r="F1402" s="60" t="s">
        <v>234</v>
      </c>
      <c r="G1402" s="60" t="n">
        <v>40</v>
      </c>
      <c r="H1402" s="61" t="n">
        <v>569.99</v>
      </c>
      <c r="I1402" s="61" t="n">
        <v>74.97</v>
      </c>
      <c r="J1402" s="61" t="n">
        <f aca="false">H1402*Resumo!$C$6</f>
        <v>0</v>
      </c>
      <c r="K1402" s="61" t="n">
        <f aca="false">H1402*Resumo!$C$7</f>
        <v>1.196979</v>
      </c>
      <c r="L1402" s="61" t="n">
        <f aca="false">H1402*Resumo!$C$8</f>
        <v>1.196979</v>
      </c>
      <c r="M1402" s="61" t="n">
        <f aca="false">Resumo!$C$10*CEILING(G1402/100,1)</f>
        <v>1.05</v>
      </c>
      <c r="N1402" s="61" t="n">
        <f aca="false">Resumo!$C$9</f>
        <v>0</v>
      </c>
      <c r="O1402" s="61" t="n">
        <f aca="false">Resumo!$C$13</f>
        <v>13.55</v>
      </c>
      <c r="P1402" s="61" t="n">
        <f aca="false">Resumo!$C$14*CEILING(G1402,1)</f>
        <v>18</v>
      </c>
      <c r="Q1402" s="61" t="n">
        <f aca="false">SUM(I1402:P1402)*Resumo!$C$11</f>
        <v>0</v>
      </c>
      <c r="R1402" s="61" t="n">
        <f aca="false">SUM(I1402:Q1402)</f>
        <v>109.963958</v>
      </c>
      <c r="S1402" s="61" t="n">
        <f aca="false">R1402/(1-Resumo!$C$5)</f>
        <v>124.959043181818</v>
      </c>
      <c r="T1402" s="61" t="n">
        <v>125.63</v>
      </c>
      <c r="U1402" s="61" t="n">
        <f aca="false">H1402*Resumo!$B$6</f>
        <v>0.56999</v>
      </c>
      <c r="V1402" s="61" t="n">
        <f aca="false">H1402*Resumo!$B$7</f>
        <v>1.13998</v>
      </c>
      <c r="W1402" s="61" t="n">
        <f aca="false">Resumo!$B$9</f>
        <v>1</v>
      </c>
      <c r="X1402" s="61" t="n">
        <f aca="false">Resumo!$B$10*CEILING(G1402/100,1)</f>
        <v>4.5</v>
      </c>
      <c r="Y1402" s="61" t="n">
        <f aca="false">Resumo!$B$12*CEILING(G1402,1)</f>
        <v>2.4</v>
      </c>
      <c r="Z1402" s="61" t="n">
        <f aca="false">Resumo!$B$14*CEILING(G1402,1)</f>
        <v>18</v>
      </c>
      <c r="AA1402" s="61" t="n">
        <f aca="false">SUM(T1402:Z1402)</f>
        <v>153.23997</v>
      </c>
      <c r="AB1402" s="61" t="n">
        <f aca="false">AA1402/(1-Resumo!$B$5)</f>
        <v>174.136329545455</v>
      </c>
      <c r="AC1402" s="61" t="n">
        <f aca="false">AB1402-S1402</f>
        <v>49.1772863636364</v>
      </c>
      <c r="AD1402" s="62" t="n">
        <f aca="false">AB1402/S1402-1</f>
        <v>0.39354723845062</v>
      </c>
      <c r="AE1402" s="60" t="str">
        <f aca="false">IF(AB1402&lt;S1402,"SIM","NÃO")</f>
        <v>NÃO</v>
      </c>
      <c r="AF1402" s="60" t="n">
        <v>13</v>
      </c>
      <c r="AG1402" s="60" t="n">
        <v>10</v>
      </c>
      <c r="AH1402" s="60" t="s">
        <v>385</v>
      </c>
      <c r="AI1402" s="61" t="n">
        <f aca="false">(T1402*(1-Painel!$C$40)+U1402+V1402+Painel!$C$41+Painel!$C$42*CEILING(G1402/100,1)+Painel!$C$43*CEILING(G1402,1)+Z1402)/(1-Resumo!$B$5)</f>
        <v>120.377352272727</v>
      </c>
      <c r="AJ1402" s="60" t="str">
        <f aca="false">IF(AI1402&lt;S1402,"SIM","NÃO")</f>
        <v>SIM</v>
      </c>
    </row>
    <row r="1403" customFormat="false" ht="15" hidden="false" customHeight="false" outlineLevel="0" collapsed="false">
      <c r="A1403" s="59" t="n">
        <v>46259.5651851852</v>
      </c>
      <c r="B1403" s="60" t="s">
        <v>1671</v>
      </c>
      <c r="C1403" s="60" t="n">
        <v>26572280</v>
      </c>
      <c r="D1403" s="60" t="s">
        <v>224</v>
      </c>
      <c r="E1403" s="60" t="s">
        <v>23</v>
      </c>
      <c r="F1403" s="60" t="s">
        <v>240</v>
      </c>
      <c r="G1403" s="60" t="n">
        <v>106.5</v>
      </c>
      <c r="H1403" s="61" t="n">
        <v>1099.99</v>
      </c>
      <c r="I1403" s="61" t="n">
        <v>101.26</v>
      </c>
      <c r="J1403" s="61" t="n">
        <f aca="false">H1403*Resumo!$C$6</f>
        <v>0</v>
      </c>
      <c r="K1403" s="61" t="n">
        <f aca="false">H1403*Resumo!$C$7</f>
        <v>2.309979</v>
      </c>
      <c r="L1403" s="61" t="n">
        <f aca="false">H1403*Resumo!$C$8</f>
        <v>2.309979</v>
      </c>
      <c r="M1403" s="61" t="n">
        <f aca="false">Resumo!$C$10*CEILING(G1403/100,1)</f>
        <v>2.1</v>
      </c>
      <c r="N1403" s="61" t="n">
        <f aca="false">Resumo!$C$9</f>
        <v>0</v>
      </c>
      <c r="O1403" s="61" t="n">
        <f aca="false">Resumo!$C$13</f>
        <v>13.55</v>
      </c>
      <c r="P1403" s="61" t="n">
        <f aca="false">Resumo!$C$14*CEILING(G1403,1)</f>
        <v>48.15</v>
      </c>
      <c r="Q1403" s="61" t="n">
        <f aca="false">SUM(I1403:P1403)*Resumo!$C$11</f>
        <v>0</v>
      </c>
      <c r="R1403" s="61" t="n">
        <f aca="false">SUM(I1403:Q1403)</f>
        <v>169.679958</v>
      </c>
      <c r="S1403" s="61" t="n">
        <f aca="false">R1403/(1-Resumo!$C$5)</f>
        <v>192.818134090909</v>
      </c>
      <c r="T1403" s="61" t="n">
        <v>201.59</v>
      </c>
      <c r="U1403" s="61" t="n">
        <f aca="false">H1403*Resumo!$B$6</f>
        <v>1.09999</v>
      </c>
      <c r="V1403" s="61" t="n">
        <f aca="false">H1403*Resumo!$B$7</f>
        <v>2.19998</v>
      </c>
      <c r="W1403" s="61" t="n">
        <f aca="false">Resumo!$B$9</f>
        <v>1</v>
      </c>
      <c r="X1403" s="61" t="n">
        <f aca="false">Resumo!$B$10*CEILING(G1403/100,1)</f>
        <v>9</v>
      </c>
      <c r="Y1403" s="61" t="n">
        <f aca="false">Resumo!$B$12*CEILING(G1403,1)</f>
        <v>6.42</v>
      </c>
      <c r="Z1403" s="61" t="n">
        <f aca="false">Resumo!$B$14*CEILING(G1403,1)</f>
        <v>48.15</v>
      </c>
      <c r="AA1403" s="61" t="n">
        <f aca="false">SUM(T1403:Z1403)</f>
        <v>269.45997</v>
      </c>
      <c r="AB1403" s="61" t="n">
        <f aca="false">AA1403/(1-Resumo!$B$5)</f>
        <v>306.204511363636</v>
      </c>
      <c r="AC1403" s="61" t="n">
        <f aca="false">AB1403-S1403</f>
        <v>113.386377272727</v>
      </c>
      <c r="AD1403" s="62" t="n">
        <f aca="false">AB1403/S1403-1</f>
        <v>0.588048306801208</v>
      </c>
      <c r="AE1403" s="60" t="str">
        <f aca="false">IF(AB1403&lt;S1403,"SIM","NÃO")</f>
        <v>NÃO</v>
      </c>
      <c r="AF1403" s="60" t="n">
        <v>2</v>
      </c>
      <c r="AG1403" s="60" t="n">
        <v>5</v>
      </c>
      <c r="AH1403" s="60" t="s">
        <v>382</v>
      </c>
      <c r="AI1403" s="61" t="n">
        <f aca="false">(T1403*(1-Painel!$C$40)+U1403+V1403+Painel!$C$41+Painel!$C$42*CEILING(G1403/100,1)+Painel!$C$43*CEILING(G1403,1)+Z1403)/(1-Resumo!$B$5)</f>
        <v>215.471897727273</v>
      </c>
      <c r="AJ1403" s="60" t="str">
        <f aca="false">IF(AI1403&lt;S1403,"SIM","NÃO")</f>
        <v>NÃO</v>
      </c>
    </row>
    <row r="1404" customFormat="false" ht="15" hidden="false" customHeight="false" outlineLevel="0" collapsed="false">
      <c r="A1404" s="59" t="n">
        <v>46259.6659027778</v>
      </c>
      <c r="B1404" s="60" t="s">
        <v>1672</v>
      </c>
      <c r="C1404" s="60" t="n">
        <v>20725080</v>
      </c>
      <c r="D1404" s="60" t="s">
        <v>46</v>
      </c>
      <c r="E1404" s="60" t="s">
        <v>22</v>
      </c>
      <c r="F1404" s="60" t="s">
        <v>235</v>
      </c>
      <c r="G1404" s="60" t="n">
        <v>48.3</v>
      </c>
      <c r="H1404" s="61" t="n">
        <v>459.99</v>
      </c>
      <c r="I1404" s="61" t="n">
        <v>53.55</v>
      </c>
      <c r="J1404" s="61" t="n">
        <f aca="false">H1404*Resumo!$C$6</f>
        <v>0</v>
      </c>
      <c r="K1404" s="61" t="n">
        <f aca="false">H1404*Resumo!$C$7</f>
        <v>0.965979</v>
      </c>
      <c r="L1404" s="61" t="n">
        <f aca="false">H1404*Resumo!$C$8</f>
        <v>0.965979</v>
      </c>
      <c r="M1404" s="61" t="n">
        <f aca="false">Resumo!$C$10*CEILING(G1404/100,1)</f>
        <v>1.05</v>
      </c>
      <c r="N1404" s="61" t="n">
        <f aca="false">Resumo!$C$9</f>
        <v>0</v>
      </c>
      <c r="O1404" s="61" t="n">
        <f aca="false">Resumo!$C$13</f>
        <v>13.55</v>
      </c>
      <c r="P1404" s="61" t="n">
        <f aca="false">Resumo!$C$14*CEILING(G1404,1)</f>
        <v>22.05</v>
      </c>
      <c r="Q1404" s="61" t="n">
        <f aca="false">SUM(I1404:P1404)*Resumo!$C$11</f>
        <v>0</v>
      </c>
      <c r="R1404" s="61" t="n">
        <f aca="false">SUM(I1404:Q1404)</f>
        <v>92.131958</v>
      </c>
      <c r="S1404" s="61" t="n">
        <f aca="false">R1404/(1-Resumo!$C$5)</f>
        <v>104.695406818182</v>
      </c>
      <c r="T1404" s="61" t="n">
        <v>93.97</v>
      </c>
      <c r="U1404" s="61" t="n">
        <f aca="false">H1404*Resumo!$B$6</f>
        <v>0.45999</v>
      </c>
      <c r="V1404" s="61" t="n">
        <f aca="false">H1404*Resumo!$B$7</f>
        <v>0.91998</v>
      </c>
      <c r="W1404" s="61" t="n">
        <f aca="false">Resumo!$B$9</f>
        <v>1</v>
      </c>
      <c r="X1404" s="61" t="n">
        <f aca="false">Resumo!$B$10*CEILING(G1404/100,1)</f>
        <v>4.5</v>
      </c>
      <c r="Y1404" s="61" t="n">
        <f aca="false">Resumo!$B$12*CEILING(G1404,1)</f>
        <v>2.94</v>
      </c>
      <c r="Z1404" s="61" t="n">
        <f aca="false">Resumo!$B$14*CEILING(G1404,1)</f>
        <v>22.05</v>
      </c>
      <c r="AA1404" s="61" t="n">
        <f aca="false">SUM(T1404:Z1404)</f>
        <v>125.83997</v>
      </c>
      <c r="AB1404" s="61" t="n">
        <f aca="false">AA1404/(1-Resumo!$B$5)</f>
        <v>142.999965909091</v>
      </c>
      <c r="AC1404" s="61" t="n">
        <f aca="false">AB1404-S1404</f>
        <v>38.3045590909091</v>
      </c>
      <c r="AD1404" s="62" t="n">
        <f aca="false">AB1404/S1404-1</f>
        <v>0.365866662683973</v>
      </c>
      <c r="AE1404" s="60" t="str">
        <f aca="false">IF(AB1404&lt;S1404,"SIM","NÃO")</f>
        <v>NÃO</v>
      </c>
      <c r="AF1404" s="60" t="n">
        <v>2</v>
      </c>
      <c r="AG1404" s="60" t="n">
        <v>5</v>
      </c>
      <c r="AH1404" s="60" t="s">
        <v>382</v>
      </c>
      <c r="AI1404" s="61" t="n">
        <f aca="false">(T1404*(1-Painel!$C$40)+U1404+V1404+Painel!$C$41+Painel!$C$42*CEILING(G1404/100,1)+Painel!$C$43*CEILING(G1404,1)+Z1404)/(1-Resumo!$B$5)</f>
        <v>100.499852272727</v>
      </c>
      <c r="AJ1404" s="60" t="str">
        <f aca="false">IF(AI1404&lt;S1404,"SIM","NÃO")</f>
        <v>SIM</v>
      </c>
    </row>
    <row r="1405" customFormat="false" ht="15" hidden="false" customHeight="false" outlineLevel="0" collapsed="false">
      <c r="A1405" s="59" t="n">
        <v>46259.672962963</v>
      </c>
      <c r="B1405" s="60" t="s">
        <v>384</v>
      </c>
      <c r="C1405" s="60" t="n">
        <v>26545580</v>
      </c>
      <c r="D1405" s="60" t="s">
        <v>284</v>
      </c>
      <c r="E1405" s="60" t="s">
        <v>23</v>
      </c>
      <c r="F1405" s="60" t="s">
        <v>234</v>
      </c>
      <c r="G1405" s="60" t="n">
        <v>37.2</v>
      </c>
      <c r="H1405" s="61" t="n">
        <v>439.99</v>
      </c>
      <c r="I1405" s="61" t="n">
        <v>66.83</v>
      </c>
      <c r="J1405" s="61" t="n">
        <f aca="false">H1405*Resumo!$C$6</f>
        <v>0</v>
      </c>
      <c r="K1405" s="61" t="n">
        <f aca="false">H1405*Resumo!$C$7</f>
        <v>0.923979</v>
      </c>
      <c r="L1405" s="61" t="n">
        <f aca="false">H1405*Resumo!$C$8</f>
        <v>0.923979</v>
      </c>
      <c r="M1405" s="61" t="n">
        <f aca="false">Resumo!$C$10*CEILING(G1405/100,1)</f>
        <v>1.05</v>
      </c>
      <c r="N1405" s="61" t="n">
        <f aca="false">Resumo!$C$9</f>
        <v>0</v>
      </c>
      <c r="O1405" s="61" t="n">
        <f aca="false">Resumo!$C$13</f>
        <v>13.55</v>
      </c>
      <c r="P1405" s="61" t="n">
        <f aca="false">Resumo!$C$14*CEILING(G1405,1)</f>
        <v>17.1</v>
      </c>
      <c r="Q1405" s="61" t="n">
        <f aca="false">SUM(I1405:P1405)*Resumo!$C$11</f>
        <v>0</v>
      </c>
      <c r="R1405" s="61" t="n">
        <f aca="false">SUM(I1405:Q1405)</f>
        <v>100.377958</v>
      </c>
      <c r="S1405" s="61" t="n">
        <f aca="false">R1405/(1-Resumo!$C$5)</f>
        <v>114.065861363636</v>
      </c>
      <c r="T1405" s="61" t="n">
        <v>93.97</v>
      </c>
      <c r="U1405" s="61" t="n">
        <f aca="false">H1405*Resumo!$B$6</f>
        <v>0.43999</v>
      </c>
      <c r="V1405" s="61" t="n">
        <f aca="false">H1405*Resumo!$B$7</f>
        <v>0.87998</v>
      </c>
      <c r="W1405" s="61" t="n">
        <f aca="false">Resumo!$B$9</f>
        <v>1</v>
      </c>
      <c r="X1405" s="61" t="n">
        <f aca="false">Resumo!$B$10*CEILING(G1405/100,1)</f>
        <v>4.5</v>
      </c>
      <c r="Y1405" s="61" t="n">
        <f aca="false">Resumo!$B$12*CEILING(G1405,1)</f>
        <v>2.28</v>
      </c>
      <c r="Z1405" s="61" t="n">
        <f aca="false">Resumo!$B$14*CEILING(G1405,1)</f>
        <v>17.1</v>
      </c>
      <c r="AA1405" s="61" t="n">
        <f aca="false">SUM(T1405:Z1405)</f>
        <v>120.16997</v>
      </c>
      <c r="AB1405" s="61" t="n">
        <f aca="false">AA1405/(1-Resumo!$B$5)</f>
        <v>136.556784090909</v>
      </c>
      <c r="AC1405" s="61" t="n">
        <f aca="false">AB1405-S1405</f>
        <v>22.4909227272727</v>
      </c>
      <c r="AD1405" s="62" t="n">
        <f aca="false">AB1405/S1405-1</f>
        <v>0.197174881760396</v>
      </c>
      <c r="AE1405" s="60" t="str">
        <f aca="false">IF(AB1405&lt;S1405,"SIM","NÃO")</f>
        <v>NÃO</v>
      </c>
      <c r="AF1405" s="60" t="n">
        <v>2</v>
      </c>
      <c r="AG1405" s="60" t="n">
        <v>5</v>
      </c>
      <c r="AH1405" s="60" t="s">
        <v>385</v>
      </c>
      <c r="AI1405" s="61" t="n">
        <f aca="false">(T1405*(1-Painel!$C$40)+U1405+V1405+Painel!$C$41+Painel!$C$42*CEILING(G1405/100,1)+Painel!$C$43*CEILING(G1405,1)+Z1405)/(1-Resumo!$B$5)</f>
        <v>94.8066704545455</v>
      </c>
      <c r="AJ1405" s="60" t="str">
        <f aca="false">IF(AI1405&lt;S1405,"SIM","NÃO")</f>
        <v>SIM</v>
      </c>
    </row>
    <row r="1406" customFormat="false" ht="15" hidden="false" customHeight="false" outlineLevel="0" collapsed="false">
      <c r="A1406" s="59" t="n">
        <v>46259.6915509259</v>
      </c>
      <c r="B1406" s="60" t="s">
        <v>1039</v>
      </c>
      <c r="C1406" s="60" t="n">
        <v>28120000</v>
      </c>
      <c r="D1406" s="60" t="s">
        <v>51</v>
      </c>
      <c r="E1406" s="60" t="s">
        <v>24</v>
      </c>
      <c r="F1406" s="60" t="s">
        <v>233</v>
      </c>
      <c r="G1406" s="60" t="n">
        <v>31.9</v>
      </c>
      <c r="H1406" s="61" t="n">
        <v>739.99</v>
      </c>
      <c r="I1406" s="61" t="n">
        <v>65.63</v>
      </c>
      <c r="J1406" s="61" t="n">
        <f aca="false">H1406*Resumo!$C$6</f>
        <v>0</v>
      </c>
      <c r="K1406" s="61" t="n">
        <f aca="false">H1406*Resumo!$C$7</f>
        <v>1.553979</v>
      </c>
      <c r="L1406" s="61" t="n">
        <f aca="false">H1406*Resumo!$C$8</f>
        <v>1.553979</v>
      </c>
      <c r="M1406" s="61" t="n">
        <f aca="false">Resumo!$C$10*CEILING(G1406/100,1)</f>
        <v>1.05</v>
      </c>
      <c r="N1406" s="61" t="n">
        <f aca="false">Resumo!$C$9</f>
        <v>0</v>
      </c>
      <c r="O1406" s="61" t="n">
        <f aca="false">Resumo!$C$13</f>
        <v>13.55</v>
      </c>
      <c r="P1406" s="61" t="n">
        <f aca="false">Resumo!$C$14*CEILING(G1406,1)</f>
        <v>14.4</v>
      </c>
      <c r="Q1406" s="61" t="n">
        <f aca="false">SUM(I1406:P1406)*Resumo!$C$11</f>
        <v>0</v>
      </c>
      <c r="R1406" s="61" t="n">
        <f aca="false">SUM(I1406:Q1406)</f>
        <v>97.737958</v>
      </c>
      <c r="S1406" s="61" t="n">
        <f aca="false">R1406/(1-Resumo!$C$5)</f>
        <v>111.065861363636</v>
      </c>
      <c r="T1406" s="61" t="n">
        <v>138.29</v>
      </c>
      <c r="U1406" s="61" t="n">
        <f aca="false">H1406*Resumo!$B$6</f>
        <v>0.73999</v>
      </c>
      <c r="V1406" s="61" t="n">
        <f aca="false">H1406*Resumo!$B$7</f>
        <v>1.47998</v>
      </c>
      <c r="W1406" s="61" t="n">
        <f aca="false">Resumo!$B$9</f>
        <v>1</v>
      </c>
      <c r="X1406" s="61" t="n">
        <f aca="false">Resumo!$B$10*CEILING(G1406/100,1)</f>
        <v>4.5</v>
      </c>
      <c r="Y1406" s="61" t="n">
        <f aca="false">Resumo!$B$12*CEILING(G1406,1)</f>
        <v>1.92</v>
      </c>
      <c r="Z1406" s="61" t="n">
        <f aca="false">Resumo!$B$14*CEILING(G1406,1)</f>
        <v>14.4</v>
      </c>
      <c r="AA1406" s="61" t="n">
        <f aca="false">SUM(T1406:Z1406)</f>
        <v>162.32997</v>
      </c>
      <c r="AB1406" s="61" t="n">
        <f aca="false">AA1406/(1-Resumo!$B$5)</f>
        <v>184.465875</v>
      </c>
      <c r="AC1406" s="61" t="n">
        <f aca="false">AB1406-S1406</f>
        <v>73.4000136363636</v>
      </c>
      <c r="AD1406" s="62" t="n">
        <f aca="false">AB1406/S1406-1</f>
        <v>0.660869260231527</v>
      </c>
      <c r="AE1406" s="60" t="str">
        <f aca="false">IF(AB1406&lt;S1406,"SIM","NÃO")</f>
        <v>NÃO</v>
      </c>
      <c r="AF1406" s="60" t="n">
        <v>13</v>
      </c>
      <c r="AG1406" s="60" t="n">
        <v>11</v>
      </c>
      <c r="AH1406" s="60" t="s">
        <v>382</v>
      </c>
      <c r="AI1406" s="61" t="n">
        <f aca="false">(T1406*(1-Painel!$C$40)+U1406+V1406+Painel!$C$41+Painel!$C$42*CEILING(G1406/100,1)+Painel!$C$43*CEILING(G1406,1)+Z1406)/(1-Resumo!$B$5)</f>
        <v>126.504852272727</v>
      </c>
      <c r="AJ1406" s="60" t="str">
        <f aca="false">IF(AI1406&lt;S1406,"SIM","NÃO")</f>
        <v>NÃO</v>
      </c>
    </row>
    <row r="1407" customFormat="false" ht="15" hidden="false" customHeight="false" outlineLevel="0" collapsed="false">
      <c r="A1407" s="59" t="n">
        <v>46259.7281018519</v>
      </c>
      <c r="B1407" s="60" t="s">
        <v>1673</v>
      </c>
      <c r="C1407" s="60" t="n">
        <v>21241050</v>
      </c>
      <c r="D1407" s="60" t="s">
        <v>46</v>
      </c>
      <c r="E1407" s="60" t="s">
        <v>22</v>
      </c>
      <c r="F1407" s="60" t="s">
        <v>240</v>
      </c>
      <c r="G1407" s="60" t="n">
        <v>106.5</v>
      </c>
      <c r="H1407" s="61" t="n">
        <v>960</v>
      </c>
      <c r="I1407" s="61" t="n">
        <v>92.34</v>
      </c>
      <c r="J1407" s="61" t="n">
        <f aca="false">H1407*Resumo!$C$6</f>
        <v>0</v>
      </c>
      <c r="K1407" s="61" t="n">
        <f aca="false">H1407*Resumo!$C$7</f>
        <v>2.016</v>
      </c>
      <c r="L1407" s="61" t="n">
        <f aca="false">H1407*Resumo!$C$8</f>
        <v>2.016</v>
      </c>
      <c r="M1407" s="61" t="n">
        <f aca="false">Resumo!$C$10*CEILING(G1407/100,1)</f>
        <v>2.1</v>
      </c>
      <c r="N1407" s="61" t="n">
        <f aca="false">Resumo!$C$9</f>
        <v>0</v>
      </c>
      <c r="O1407" s="61" t="n">
        <f aca="false">Resumo!$C$13</f>
        <v>13.55</v>
      </c>
      <c r="P1407" s="61" t="n">
        <f aca="false">Resumo!$C$14*CEILING(G1407,1)</f>
        <v>48.15</v>
      </c>
      <c r="Q1407" s="61" t="n">
        <f aca="false">SUM(I1407:P1407)*Resumo!$C$11</f>
        <v>0</v>
      </c>
      <c r="R1407" s="61" t="n">
        <f aca="false">SUM(I1407:Q1407)</f>
        <v>160.172</v>
      </c>
      <c r="S1407" s="61" t="n">
        <f aca="false">R1407/(1-Resumo!$C$5)</f>
        <v>182.013636363636</v>
      </c>
      <c r="T1407" s="61" t="n">
        <v>201.59</v>
      </c>
      <c r="U1407" s="61" t="n">
        <f aca="false">H1407*Resumo!$B$6</f>
        <v>0.96</v>
      </c>
      <c r="V1407" s="61" t="n">
        <f aca="false">H1407*Resumo!$B$7</f>
        <v>1.92</v>
      </c>
      <c r="W1407" s="61" t="n">
        <f aca="false">Resumo!$B$9</f>
        <v>1</v>
      </c>
      <c r="X1407" s="61" t="n">
        <f aca="false">Resumo!$B$10*CEILING(G1407/100,1)</f>
        <v>9</v>
      </c>
      <c r="Y1407" s="61" t="n">
        <f aca="false">Resumo!$B$12*CEILING(G1407,1)</f>
        <v>6.42</v>
      </c>
      <c r="Z1407" s="61" t="n">
        <f aca="false">Resumo!$B$14*CEILING(G1407,1)</f>
        <v>48.15</v>
      </c>
      <c r="AA1407" s="61" t="n">
        <f aca="false">SUM(T1407:Z1407)</f>
        <v>269.04</v>
      </c>
      <c r="AB1407" s="61" t="n">
        <f aca="false">AA1407/(1-Resumo!$B$5)</f>
        <v>305.727272727273</v>
      </c>
      <c r="AC1407" s="61" t="n">
        <f aca="false">AB1407-S1407</f>
        <v>123.713636363636</v>
      </c>
      <c r="AD1407" s="62" t="n">
        <f aca="false">AB1407/S1407-1</f>
        <v>0.679694328596759</v>
      </c>
      <c r="AE1407" s="60" t="str">
        <f aca="false">IF(AB1407&lt;S1407,"SIM","NÃO")</f>
        <v>NÃO</v>
      </c>
      <c r="AF1407" s="60" t="n">
        <v>2</v>
      </c>
      <c r="AG1407" s="60" t="n">
        <v>5</v>
      </c>
      <c r="AH1407" s="60" t="s">
        <v>382</v>
      </c>
      <c r="AI1407" s="61" t="n">
        <f aca="false">(T1407*(1-Painel!$C$40)+U1407+V1407+Painel!$C$41+Painel!$C$42*CEILING(G1407/100,1)+Painel!$C$43*CEILING(G1407,1)+Z1407)/(1-Resumo!$B$5)</f>
        <v>214.994659090909</v>
      </c>
      <c r="AJ1407" s="60" t="str">
        <f aca="false">IF(AI1407&lt;S1407,"SIM","NÃO")</f>
        <v>NÃO</v>
      </c>
    </row>
    <row r="1408" customFormat="false" ht="15" hidden="false" customHeight="false" outlineLevel="0" collapsed="false">
      <c r="A1408" s="59" t="n">
        <v>46259.7754166667</v>
      </c>
      <c r="B1408" s="60" t="s">
        <v>1674</v>
      </c>
      <c r="C1408" s="60" t="n">
        <v>21775540</v>
      </c>
      <c r="D1408" s="60" t="s">
        <v>46</v>
      </c>
      <c r="E1408" s="60" t="s">
        <v>22</v>
      </c>
      <c r="F1408" s="60" t="s">
        <v>233</v>
      </c>
      <c r="G1408" s="60" t="n">
        <v>23</v>
      </c>
      <c r="H1408" s="61" t="n">
        <v>349.99</v>
      </c>
      <c r="I1408" s="61" t="n">
        <v>42.11</v>
      </c>
      <c r="J1408" s="61" t="n">
        <f aca="false">H1408*Resumo!$C$6</f>
        <v>0</v>
      </c>
      <c r="K1408" s="61" t="n">
        <f aca="false">H1408*Resumo!$C$7</f>
        <v>0.734979</v>
      </c>
      <c r="L1408" s="61" t="n">
        <f aca="false">H1408*Resumo!$C$8</f>
        <v>0.734979</v>
      </c>
      <c r="M1408" s="61" t="n">
        <f aca="false">Resumo!$C$10*CEILING(G1408/100,1)</f>
        <v>1.05</v>
      </c>
      <c r="N1408" s="61" t="n">
        <f aca="false">Resumo!$C$9</f>
        <v>0</v>
      </c>
      <c r="O1408" s="61" t="n">
        <f aca="false">Resumo!$C$13</f>
        <v>13.55</v>
      </c>
      <c r="P1408" s="61" t="n">
        <f aca="false">Resumo!$C$14*CEILING(G1408,1)</f>
        <v>10.35</v>
      </c>
      <c r="Q1408" s="61" t="n">
        <f aca="false">SUM(I1408:P1408)*Resumo!$C$11</f>
        <v>0</v>
      </c>
      <c r="R1408" s="61" t="n">
        <f aca="false">SUM(I1408:Q1408)</f>
        <v>68.529958</v>
      </c>
      <c r="S1408" s="61" t="n">
        <f aca="false">R1408/(1-Resumo!$C$5)</f>
        <v>77.8749522727273</v>
      </c>
      <c r="T1408" s="61" t="n">
        <v>82.21</v>
      </c>
      <c r="U1408" s="61" t="n">
        <f aca="false">H1408*Resumo!$B$6</f>
        <v>0.34999</v>
      </c>
      <c r="V1408" s="61" t="n">
        <f aca="false">H1408*Resumo!$B$7</f>
        <v>0.69998</v>
      </c>
      <c r="W1408" s="61" t="n">
        <f aca="false">Resumo!$B$9</f>
        <v>1</v>
      </c>
      <c r="X1408" s="61" t="n">
        <f aca="false">Resumo!$B$10*CEILING(G1408/100,1)</f>
        <v>4.5</v>
      </c>
      <c r="Y1408" s="61" t="n">
        <f aca="false">Resumo!$B$12*CEILING(G1408,1)</f>
        <v>1.38</v>
      </c>
      <c r="Z1408" s="61" t="n">
        <f aca="false">Resumo!$B$14*CEILING(G1408,1)</f>
        <v>10.35</v>
      </c>
      <c r="AA1408" s="61" t="n">
        <f aca="false">SUM(T1408:Z1408)</f>
        <v>100.48997</v>
      </c>
      <c r="AB1408" s="61" t="n">
        <f aca="false">AA1408/(1-Resumo!$B$5)</f>
        <v>114.193147727273</v>
      </c>
      <c r="AC1408" s="61" t="n">
        <f aca="false">AB1408-S1408</f>
        <v>36.3181954545454</v>
      </c>
      <c r="AD1408" s="62" t="n">
        <f aca="false">AB1408/S1408-1</f>
        <v>0.466365556505959</v>
      </c>
      <c r="AE1408" s="60" t="str">
        <f aca="false">IF(AB1408&lt;S1408,"SIM","NÃO")</f>
        <v>NÃO</v>
      </c>
      <c r="AF1408" s="60" t="n">
        <v>2</v>
      </c>
      <c r="AG1408" s="60" t="n">
        <v>5</v>
      </c>
      <c r="AH1408" s="60" t="s">
        <v>382</v>
      </c>
      <c r="AI1408" s="61" t="n">
        <f aca="false">(T1408*(1-Painel!$C$40)+U1408+V1408+Painel!$C$41+Painel!$C$42*CEILING(G1408/100,1)+Painel!$C$43*CEILING(G1408,1)+Z1408)/(1-Resumo!$B$5)</f>
        <v>77.8757613636363</v>
      </c>
      <c r="AJ1408" s="60" t="str">
        <f aca="false">IF(AI1408&lt;S1408,"SIM","NÃO")</f>
        <v>NÃO</v>
      </c>
    </row>
    <row r="1409" customFormat="false" ht="15" hidden="false" customHeight="false" outlineLevel="0" collapsed="false">
      <c r="A1409" s="59" t="n">
        <v>46259.8908101852</v>
      </c>
      <c r="B1409" s="60" t="s">
        <v>1675</v>
      </c>
      <c r="C1409" s="60" t="n">
        <v>21910280</v>
      </c>
      <c r="D1409" s="60" t="s">
        <v>46</v>
      </c>
      <c r="E1409" s="60" t="s">
        <v>22</v>
      </c>
      <c r="F1409" s="60" t="s">
        <v>234</v>
      </c>
      <c r="G1409" s="60" t="n">
        <v>40</v>
      </c>
      <c r="H1409" s="61" t="n">
        <v>569.99</v>
      </c>
      <c r="I1409" s="61" t="n">
        <v>48.35</v>
      </c>
      <c r="J1409" s="61" t="n">
        <f aca="false">H1409*Resumo!$C$6</f>
        <v>0</v>
      </c>
      <c r="K1409" s="61" t="n">
        <f aca="false">H1409*Resumo!$C$7</f>
        <v>1.196979</v>
      </c>
      <c r="L1409" s="61" t="n">
        <f aca="false">H1409*Resumo!$C$8</f>
        <v>1.196979</v>
      </c>
      <c r="M1409" s="61" t="n">
        <f aca="false">Resumo!$C$10*CEILING(G1409/100,1)</f>
        <v>1.05</v>
      </c>
      <c r="N1409" s="61" t="n">
        <f aca="false">Resumo!$C$9</f>
        <v>0</v>
      </c>
      <c r="O1409" s="61" t="n">
        <f aca="false">Resumo!$C$13</f>
        <v>13.55</v>
      </c>
      <c r="P1409" s="61" t="n">
        <f aca="false">Resumo!$C$14*CEILING(G1409,1)</f>
        <v>18</v>
      </c>
      <c r="Q1409" s="61" t="n">
        <f aca="false">SUM(I1409:P1409)*Resumo!$C$11</f>
        <v>0</v>
      </c>
      <c r="R1409" s="61" t="n">
        <f aca="false">SUM(I1409:Q1409)</f>
        <v>83.343958</v>
      </c>
      <c r="S1409" s="61" t="n">
        <f aca="false">R1409/(1-Resumo!$C$5)</f>
        <v>94.7090431818182</v>
      </c>
      <c r="T1409" s="61" t="n">
        <v>93.97</v>
      </c>
      <c r="U1409" s="61" t="n">
        <f aca="false">H1409*Resumo!$B$6</f>
        <v>0.56999</v>
      </c>
      <c r="V1409" s="61" t="n">
        <f aca="false">H1409*Resumo!$B$7</f>
        <v>1.13998</v>
      </c>
      <c r="W1409" s="61" t="n">
        <f aca="false">Resumo!$B$9</f>
        <v>1</v>
      </c>
      <c r="X1409" s="61" t="n">
        <f aca="false">Resumo!$B$10*CEILING(G1409/100,1)</f>
        <v>4.5</v>
      </c>
      <c r="Y1409" s="61" t="n">
        <f aca="false">Resumo!$B$12*CEILING(G1409,1)</f>
        <v>2.4</v>
      </c>
      <c r="Z1409" s="61" t="n">
        <f aca="false">Resumo!$B$14*CEILING(G1409,1)</f>
        <v>18</v>
      </c>
      <c r="AA1409" s="61" t="n">
        <f aca="false">SUM(T1409:Z1409)</f>
        <v>121.57997</v>
      </c>
      <c r="AB1409" s="61" t="n">
        <f aca="false">AA1409/(1-Resumo!$B$5)</f>
        <v>138.159056818182</v>
      </c>
      <c r="AC1409" s="61" t="n">
        <f aca="false">AB1409-S1409</f>
        <v>43.4500136363636</v>
      </c>
      <c r="AD1409" s="62" t="n">
        <f aca="false">AB1409/S1409-1</f>
        <v>0.45877365219444</v>
      </c>
      <c r="AE1409" s="60" t="str">
        <f aca="false">IF(AB1409&lt;S1409,"SIM","NÃO")</f>
        <v>NÃO</v>
      </c>
      <c r="AF1409" s="60" t="n">
        <v>2</v>
      </c>
      <c r="AG1409" s="60" t="n">
        <v>5</v>
      </c>
      <c r="AH1409" s="60" t="s">
        <v>382</v>
      </c>
      <c r="AI1409" s="61" t="n">
        <f aca="false">(T1409*(1-Painel!$C$40)+U1409+V1409+Painel!$C$41+Painel!$C$42*CEILING(G1409/100,1)+Painel!$C$43*CEILING(G1409,1)+Z1409)/(1-Resumo!$B$5)</f>
        <v>96.2725795454545</v>
      </c>
      <c r="AJ1409" s="60" t="str">
        <f aca="false">IF(AI1409&lt;S1409,"SIM","NÃO")</f>
        <v>NÃO</v>
      </c>
    </row>
    <row r="1410" customFormat="false" ht="15" hidden="false" customHeight="false" outlineLevel="0" collapsed="false">
      <c r="A1410" s="59" t="n">
        <v>46259.9170717593</v>
      </c>
      <c r="B1410" s="60" t="s">
        <v>430</v>
      </c>
      <c r="C1410" s="60" t="n">
        <v>23520400</v>
      </c>
      <c r="D1410" s="60" t="s">
        <v>46</v>
      </c>
      <c r="E1410" s="60" t="s">
        <v>22</v>
      </c>
      <c r="F1410" s="60" t="s">
        <v>233</v>
      </c>
      <c r="G1410" s="60" t="n">
        <v>27.4</v>
      </c>
      <c r="H1410" s="61" t="n">
        <v>323.99</v>
      </c>
      <c r="I1410" s="61" t="n">
        <v>42.11</v>
      </c>
      <c r="J1410" s="61" t="n">
        <f aca="false">H1410*Resumo!$C$6</f>
        <v>0</v>
      </c>
      <c r="K1410" s="61" t="n">
        <f aca="false">H1410*Resumo!$C$7</f>
        <v>0.680379</v>
      </c>
      <c r="L1410" s="61" t="n">
        <f aca="false">H1410*Resumo!$C$8</f>
        <v>0.680379</v>
      </c>
      <c r="M1410" s="61" t="n">
        <f aca="false">Resumo!$C$10*CEILING(G1410/100,1)</f>
        <v>1.05</v>
      </c>
      <c r="N1410" s="61" t="n">
        <f aca="false">Resumo!$C$9</f>
        <v>0</v>
      </c>
      <c r="O1410" s="61" t="n">
        <f aca="false">Resumo!$C$13</f>
        <v>13.55</v>
      </c>
      <c r="P1410" s="61" t="n">
        <f aca="false">Resumo!$C$14*CEILING(G1410,1)</f>
        <v>12.6</v>
      </c>
      <c r="Q1410" s="61" t="n">
        <f aca="false">SUM(I1410:P1410)*Resumo!$C$11</f>
        <v>0</v>
      </c>
      <c r="R1410" s="61" t="n">
        <f aca="false">SUM(I1410:Q1410)</f>
        <v>70.670758</v>
      </c>
      <c r="S1410" s="61" t="n">
        <f aca="false">R1410/(1-Resumo!$C$5)</f>
        <v>80.3076795454545</v>
      </c>
      <c r="T1410" s="61" t="n">
        <v>82.21</v>
      </c>
      <c r="U1410" s="61" t="n">
        <f aca="false">H1410*Resumo!$B$6</f>
        <v>0.32399</v>
      </c>
      <c r="V1410" s="61" t="n">
        <f aca="false">H1410*Resumo!$B$7</f>
        <v>0.64798</v>
      </c>
      <c r="W1410" s="61" t="n">
        <f aca="false">Resumo!$B$9</f>
        <v>1</v>
      </c>
      <c r="X1410" s="61" t="n">
        <f aca="false">Resumo!$B$10*CEILING(G1410/100,1)</f>
        <v>4.5</v>
      </c>
      <c r="Y1410" s="61" t="n">
        <f aca="false">Resumo!$B$12*CEILING(G1410,1)</f>
        <v>1.68</v>
      </c>
      <c r="Z1410" s="61" t="n">
        <f aca="false">Resumo!$B$14*CEILING(G1410,1)</f>
        <v>12.6</v>
      </c>
      <c r="AA1410" s="61" t="n">
        <f aca="false">SUM(T1410:Z1410)</f>
        <v>102.96197</v>
      </c>
      <c r="AB1410" s="61" t="n">
        <f aca="false">AA1410/(1-Resumo!$B$5)</f>
        <v>117.002238636364</v>
      </c>
      <c r="AC1410" s="61" t="n">
        <f aca="false">AB1410-S1410</f>
        <v>36.6945590909091</v>
      </c>
      <c r="AD1410" s="62" t="n">
        <f aca="false">AB1410/S1410-1</f>
        <v>0.456924658994035</v>
      </c>
      <c r="AE1410" s="60" t="str">
        <f aca="false">IF(AB1410&lt;S1410,"SIM","NÃO")</f>
        <v>NÃO</v>
      </c>
      <c r="AF1410" s="60" t="n">
        <v>2</v>
      </c>
      <c r="AG1410" s="60" t="n">
        <v>5</v>
      </c>
      <c r="AH1410" s="60" t="s">
        <v>382</v>
      </c>
      <c r="AI1410" s="61" t="n">
        <f aca="false">(T1410*(1-Painel!$C$40)+U1410+V1410+Painel!$C$41+Painel!$C$42*CEILING(G1410/100,1)+Painel!$C$43*CEILING(G1410,1)+Z1410)/(1-Resumo!$B$5)</f>
        <v>80.3439431818182</v>
      </c>
      <c r="AJ1410" s="60" t="str">
        <f aca="false">IF(AI1410&lt;S1410,"SIM","NÃO")</f>
        <v>NÃO</v>
      </c>
    </row>
    <row r="1411" customFormat="false" ht="15" hidden="false" customHeight="false" outlineLevel="0" collapsed="false">
      <c r="A1411" s="59" t="n">
        <v>46259.9566087963</v>
      </c>
      <c r="B1411" s="60" t="s">
        <v>1676</v>
      </c>
      <c r="C1411" s="60" t="n">
        <v>28053100</v>
      </c>
      <c r="D1411" s="60" t="s">
        <v>51</v>
      </c>
      <c r="E1411" s="60" t="s">
        <v>24</v>
      </c>
      <c r="F1411" s="60" t="s">
        <v>236</v>
      </c>
      <c r="G1411" s="60" t="n">
        <v>52.3</v>
      </c>
      <c r="H1411" s="61" t="n">
        <v>699.99</v>
      </c>
      <c r="I1411" s="61" t="n">
        <v>83.58</v>
      </c>
      <c r="J1411" s="61" t="n">
        <f aca="false">H1411*Resumo!$C$6</f>
        <v>0</v>
      </c>
      <c r="K1411" s="61" t="n">
        <f aca="false">H1411*Resumo!$C$7</f>
        <v>1.469979</v>
      </c>
      <c r="L1411" s="61" t="n">
        <f aca="false">H1411*Resumo!$C$8</f>
        <v>1.469979</v>
      </c>
      <c r="M1411" s="61" t="n">
        <f aca="false">Resumo!$C$10*CEILING(G1411/100,1)</f>
        <v>1.05</v>
      </c>
      <c r="N1411" s="61" t="n">
        <f aca="false">Resumo!$C$9</f>
        <v>0</v>
      </c>
      <c r="O1411" s="61" t="n">
        <f aca="false">Resumo!$C$13</f>
        <v>13.55</v>
      </c>
      <c r="P1411" s="61" t="n">
        <f aca="false">Resumo!$C$14*CEILING(G1411,1)</f>
        <v>23.85</v>
      </c>
      <c r="Q1411" s="61" t="n">
        <f aca="false">SUM(I1411:P1411)*Resumo!$C$11</f>
        <v>0</v>
      </c>
      <c r="R1411" s="61" t="n">
        <f aca="false">SUM(I1411:Q1411)</f>
        <v>124.969958</v>
      </c>
      <c r="S1411" s="61" t="n">
        <f aca="false">R1411/(1-Resumo!$C$5)</f>
        <v>142.011315909091</v>
      </c>
      <c r="T1411" s="61" t="n">
        <v>162.04</v>
      </c>
      <c r="U1411" s="61" t="n">
        <f aca="false">H1411*Resumo!$B$6</f>
        <v>0.69999</v>
      </c>
      <c r="V1411" s="61" t="n">
        <f aca="false">H1411*Resumo!$B$7</f>
        <v>1.39998</v>
      </c>
      <c r="W1411" s="61" t="n">
        <f aca="false">Resumo!$B$9</f>
        <v>1</v>
      </c>
      <c r="X1411" s="61" t="n">
        <f aca="false">Resumo!$B$10*CEILING(G1411/100,1)</f>
        <v>4.5</v>
      </c>
      <c r="Y1411" s="61" t="n">
        <f aca="false">Resumo!$B$12*CEILING(G1411,1)</f>
        <v>3.18</v>
      </c>
      <c r="Z1411" s="61" t="n">
        <f aca="false">Resumo!$B$14*CEILING(G1411,1)</f>
        <v>23.85</v>
      </c>
      <c r="AA1411" s="61" t="n">
        <f aca="false">SUM(T1411:Z1411)</f>
        <v>196.66997</v>
      </c>
      <c r="AB1411" s="61" t="n">
        <f aca="false">AA1411/(1-Resumo!$B$5)</f>
        <v>223.488602272727</v>
      </c>
      <c r="AC1411" s="61" t="n">
        <f aca="false">AB1411-S1411</f>
        <v>81.4772863636363</v>
      </c>
      <c r="AD1411" s="62" t="n">
        <f aca="false">AB1411/S1411-1</f>
        <v>0.573737985892577</v>
      </c>
      <c r="AE1411" s="60" t="str">
        <f aca="false">IF(AB1411&lt;S1411,"SIM","NÃO")</f>
        <v>NÃO</v>
      </c>
      <c r="AF1411" s="60" t="n">
        <v>13</v>
      </c>
      <c r="AG1411" s="60" t="n">
        <v>11</v>
      </c>
      <c r="AH1411" s="60" t="s">
        <v>382</v>
      </c>
      <c r="AI1411" s="61" t="n">
        <f aca="false">(T1411*(1-Painel!$C$40)+U1411+V1411+Painel!$C$41+Painel!$C$42*CEILING(G1411/100,1)+Painel!$C$43*CEILING(G1411,1)+Z1411)/(1-Resumo!$B$5)</f>
        <v>155.189511363636</v>
      </c>
      <c r="AJ1411" s="60" t="str">
        <f aca="false">IF(AI1411&lt;S1411,"SIM","NÃO")</f>
        <v>NÃO</v>
      </c>
    </row>
    <row r="1412" customFormat="false" ht="15" hidden="false" customHeight="false" outlineLevel="0" collapsed="false">
      <c r="A1412" s="59" t="n">
        <v>46260.0084837963</v>
      </c>
      <c r="B1412" s="60" t="s">
        <v>1677</v>
      </c>
      <c r="C1412" s="60" t="n">
        <v>28995639</v>
      </c>
      <c r="D1412" s="60" t="s">
        <v>341</v>
      </c>
      <c r="E1412" s="60" t="s">
        <v>24</v>
      </c>
      <c r="F1412" s="60" t="s">
        <v>233</v>
      </c>
      <c r="G1412" s="60" t="n">
        <v>33.4</v>
      </c>
      <c r="H1412" s="61" t="n">
        <v>439.99</v>
      </c>
      <c r="I1412" s="61" t="n">
        <v>65.63</v>
      </c>
      <c r="J1412" s="61" t="n">
        <f aca="false">H1412*Resumo!$C$6</f>
        <v>0</v>
      </c>
      <c r="K1412" s="61" t="n">
        <f aca="false">H1412*Resumo!$C$7</f>
        <v>0.923979</v>
      </c>
      <c r="L1412" s="61" t="n">
        <f aca="false">H1412*Resumo!$C$8</f>
        <v>0.923979</v>
      </c>
      <c r="M1412" s="61" t="n">
        <f aca="false">Resumo!$C$10*CEILING(G1412/100,1)</f>
        <v>1.05</v>
      </c>
      <c r="N1412" s="61" t="n">
        <f aca="false">Resumo!$C$9</f>
        <v>0</v>
      </c>
      <c r="O1412" s="61" t="n">
        <f aca="false">Resumo!$C$13</f>
        <v>13.55</v>
      </c>
      <c r="P1412" s="61" t="n">
        <f aca="false">Resumo!$C$14*CEILING(G1412,1)</f>
        <v>15.3</v>
      </c>
      <c r="Q1412" s="61" t="n">
        <f aca="false">SUM(I1412:P1412)*Resumo!$C$11</f>
        <v>0</v>
      </c>
      <c r="R1412" s="61" t="n">
        <f aca="false">SUM(I1412:Q1412)</f>
        <v>97.377958</v>
      </c>
      <c r="S1412" s="61" t="n">
        <f aca="false">R1412/(1-Resumo!$C$5)</f>
        <v>110.656770454545</v>
      </c>
      <c r="T1412" s="61" t="n">
        <v>114.95</v>
      </c>
      <c r="U1412" s="61" t="n">
        <f aca="false">H1412*Resumo!$B$6</f>
        <v>0.43999</v>
      </c>
      <c r="V1412" s="61" t="n">
        <f aca="false">H1412*Resumo!$B$7</f>
        <v>0.87998</v>
      </c>
      <c r="W1412" s="61" t="n">
        <f aca="false">Resumo!$B$9</f>
        <v>1</v>
      </c>
      <c r="X1412" s="61" t="n">
        <f aca="false">Resumo!$B$10*CEILING(G1412/100,1)</f>
        <v>4.5</v>
      </c>
      <c r="Y1412" s="61" t="n">
        <f aca="false">Resumo!$B$12*CEILING(G1412,1)</f>
        <v>2.04</v>
      </c>
      <c r="Z1412" s="61" t="n">
        <f aca="false">Resumo!$B$14*CEILING(G1412,1)</f>
        <v>15.3</v>
      </c>
      <c r="AA1412" s="61" t="n">
        <f aca="false">SUM(T1412:Z1412)</f>
        <v>139.10997</v>
      </c>
      <c r="AB1412" s="61" t="n">
        <f aca="false">AA1412/(1-Resumo!$B$5)</f>
        <v>158.079511363636</v>
      </c>
      <c r="AC1412" s="61" t="n">
        <f aca="false">AB1412-S1412</f>
        <v>47.4227409090909</v>
      </c>
      <c r="AD1412" s="62" t="n">
        <f aca="false">AB1412/S1412-1</f>
        <v>0.428557066271609</v>
      </c>
      <c r="AE1412" s="60" t="str">
        <f aca="false">IF(AB1412&lt;S1412,"SIM","NÃO")</f>
        <v>NÃO</v>
      </c>
      <c r="AF1412" s="60" t="n">
        <v>13</v>
      </c>
      <c r="AG1412" s="60" t="n">
        <v>10</v>
      </c>
      <c r="AH1412" s="60" t="s">
        <v>385</v>
      </c>
      <c r="AI1412" s="61" t="n">
        <f aca="false">(T1412*(1-Painel!$C$40)+U1412+V1412+Painel!$C$41+Painel!$C$42*CEILING(G1412/100,1)+Painel!$C$43*CEILING(G1412,1)+Z1412)/(1-Resumo!$B$5)</f>
        <v>108.734625</v>
      </c>
      <c r="AJ1412" s="60" t="str">
        <f aca="false">IF(AI1412&lt;S1412,"SIM","NÃO")</f>
        <v>SIM</v>
      </c>
    </row>
    <row r="1413" customFormat="false" ht="15" hidden="false" customHeight="false" outlineLevel="0" collapsed="false">
      <c r="A1413" s="59" t="n">
        <v>46260.3809027778</v>
      </c>
      <c r="B1413" s="60" t="s">
        <v>1678</v>
      </c>
      <c r="C1413" s="60" t="n">
        <v>22031071</v>
      </c>
      <c r="D1413" s="60" t="s">
        <v>46</v>
      </c>
      <c r="E1413" s="60" t="s">
        <v>22</v>
      </c>
      <c r="F1413" s="60" t="s">
        <v>235</v>
      </c>
      <c r="G1413" s="60" t="n">
        <v>44.5</v>
      </c>
      <c r="H1413" s="61" t="n">
        <v>769.99</v>
      </c>
      <c r="I1413" s="61" t="n">
        <v>53.55</v>
      </c>
      <c r="J1413" s="61" t="n">
        <f aca="false">H1413*Resumo!$C$6</f>
        <v>0</v>
      </c>
      <c r="K1413" s="61" t="n">
        <f aca="false">H1413*Resumo!$C$7</f>
        <v>1.616979</v>
      </c>
      <c r="L1413" s="61" t="n">
        <f aca="false">H1413*Resumo!$C$8</f>
        <v>1.616979</v>
      </c>
      <c r="M1413" s="61" t="n">
        <f aca="false">Resumo!$C$10*CEILING(G1413/100,1)</f>
        <v>1.05</v>
      </c>
      <c r="N1413" s="61" t="n">
        <f aca="false">Resumo!$C$9</f>
        <v>0</v>
      </c>
      <c r="O1413" s="61" t="n">
        <f aca="false">Resumo!$C$13</f>
        <v>13.55</v>
      </c>
      <c r="P1413" s="61" t="n">
        <f aca="false">Resumo!$C$14*CEILING(G1413,1)</f>
        <v>20.25</v>
      </c>
      <c r="Q1413" s="61" t="n">
        <f aca="false">SUM(I1413:P1413)*Resumo!$C$11</f>
        <v>0</v>
      </c>
      <c r="R1413" s="61" t="n">
        <f aca="false">SUM(I1413:Q1413)</f>
        <v>91.633958</v>
      </c>
      <c r="S1413" s="61" t="n">
        <f aca="false">R1413/(1-Resumo!$C$5)</f>
        <v>104.129497727273</v>
      </c>
      <c r="T1413" s="61" t="n">
        <v>93.97</v>
      </c>
      <c r="U1413" s="61" t="n">
        <f aca="false">H1413*Resumo!$B$6</f>
        <v>0.76999</v>
      </c>
      <c r="V1413" s="61" t="n">
        <f aca="false">H1413*Resumo!$B$7</f>
        <v>1.53998</v>
      </c>
      <c r="W1413" s="61" t="n">
        <f aca="false">Resumo!$B$9</f>
        <v>1</v>
      </c>
      <c r="X1413" s="61" t="n">
        <f aca="false">Resumo!$B$10*CEILING(G1413/100,1)</f>
        <v>4.5</v>
      </c>
      <c r="Y1413" s="61" t="n">
        <f aca="false">Resumo!$B$12*CEILING(G1413,1)</f>
        <v>2.7</v>
      </c>
      <c r="Z1413" s="61" t="n">
        <f aca="false">Resumo!$B$14*CEILING(G1413,1)</f>
        <v>20.25</v>
      </c>
      <c r="AA1413" s="61" t="n">
        <f aca="false">SUM(T1413:Z1413)</f>
        <v>124.72997</v>
      </c>
      <c r="AB1413" s="61" t="n">
        <f aca="false">AA1413/(1-Resumo!$B$5)</f>
        <v>141.738602272727</v>
      </c>
      <c r="AC1413" s="61" t="n">
        <f aca="false">AB1413-S1413</f>
        <v>37.6091045454545</v>
      </c>
      <c r="AD1413" s="62" t="n">
        <f aca="false">AB1413/S1413-1</f>
        <v>0.361176279212996</v>
      </c>
      <c r="AE1413" s="60" t="str">
        <f aca="false">IF(AB1413&lt;S1413,"SIM","NÃO")</f>
        <v>NÃO</v>
      </c>
      <c r="AF1413" s="60" t="n">
        <v>2</v>
      </c>
      <c r="AG1413" s="60" t="n">
        <v>5</v>
      </c>
      <c r="AH1413" s="60" t="s">
        <v>382</v>
      </c>
      <c r="AI1413" s="61" t="n">
        <f aca="false">(T1413*(1-Painel!$C$40)+U1413+V1413+Painel!$C$41+Painel!$C$42*CEILING(G1413/100,1)+Painel!$C$43*CEILING(G1413,1)+Z1413)/(1-Resumo!$B$5)</f>
        <v>99.5112159090909</v>
      </c>
      <c r="AJ1413" s="60" t="str">
        <f aca="false">IF(AI1413&lt;S1413,"SIM","NÃO")</f>
        <v>SIM</v>
      </c>
    </row>
    <row r="1414" customFormat="false" ht="15" hidden="false" customHeight="false" outlineLevel="0" collapsed="false">
      <c r="A1414" s="59" t="n">
        <v>46260.4856134259</v>
      </c>
      <c r="B1414" s="60" t="s">
        <v>1679</v>
      </c>
      <c r="C1414" s="60" t="n">
        <v>22740360</v>
      </c>
      <c r="D1414" s="60" t="s">
        <v>46</v>
      </c>
      <c r="E1414" s="60" t="s">
        <v>22</v>
      </c>
      <c r="F1414" s="60" t="s">
        <v>236</v>
      </c>
      <c r="G1414" s="60" t="n">
        <v>54</v>
      </c>
      <c r="H1414" s="61" t="n">
        <v>956.51</v>
      </c>
      <c r="I1414" s="61" t="n">
        <v>58.6</v>
      </c>
      <c r="J1414" s="61" t="n">
        <f aca="false">H1414*Resumo!$C$6</f>
        <v>0</v>
      </c>
      <c r="K1414" s="61" t="n">
        <f aca="false">H1414*Resumo!$C$7</f>
        <v>2.008671</v>
      </c>
      <c r="L1414" s="61" t="n">
        <f aca="false">H1414*Resumo!$C$8</f>
        <v>2.008671</v>
      </c>
      <c r="M1414" s="61" t="n">
        <f aca="false">Resumo!$C$10*CEILING(G1414/100,1)</f>
        <v>1.05</v>
      </c>
      <c r="N1414" s="61" t="n">
        <f aca="false">Resumo!$C$9</f>
        <v>0</v>
      </c>
      <c r="O1414" s="61" t="n">
        <f aca="false">Resumo!$C$13</f>
        <v>13.55</v>
      </c>
      <c r="P1414" s="61" t="n">
        <f aca="false">Resumo!$C$14*CEILING(G1414,1)</f>
        <v>24.3</v>
      </c>
      <c r="Q1414" s="61" t="n">
        <f aca="false">SUM(I1414:P1414)*Resumo!$C$11</f>
        <v>0</v>
      </c>
      <c r="R1414" s="61" t="n">
        <f aca="false">SUM(I1414:Q1414)</f>
        <v>101.517342</v>
      </c>
      <c r="S1414" s="61" t="n">
        <f aca="false">R1414/(1-Resumo!$C$5)</f>
        <v>115.360615909091</v>
      </c>
      <c r="T1414" s="61" t="n">
        <v>112.3</v>
      </c>
      <c r="U1414" s="61" t="n">
        <f aca="false">H1414*Resumo!$B$6</f>
        <v>0.95651</v>
      </c>
      <c r="V1414" s="61" t="n">
        <f aca="false">H1414*Resumo!$B$7</f>
        <v>1.91302</v>
      </c>
      <c r="W1414" s="61" t="n">
        <f aca="false">Resumo!$B$9</f>
        <v>1</v>
      </c>
      <c r="X1414" s="61" t="n">
        <f aca="false">Resumo!$B$10*CEILING(G1414/100,1)</f>
        <v>4.5</v>
      </c>
      <c r="Y1414" s="61" t="n">
        <f aca="false">Resumo!$B$12*CEILING(G1414,1)</f>
        <v>3.24</v>
      </c>
      <c r="Z1414" s="61" t="n">
        <f aca="false">Resumo!$B$14*CEILING(G1414,1)</f>
        <v>24.3</v>
      </c>
      <c r="AA1414" s="61" t="n">
        <f aca="false">SUM(T1414:Z1414)</f>
        <v>148.20953</v>
      </c>
      <c r="AB1414" s="61" t="n">
        <f aca="false">AA1414/(1-Resumo!$B$5)</f>
        <v>168.419920454545</v>
      </c>
      <c r="AC1414" s="61" t="n">
        <f aca="false">AB1414-S1414</f>
        <v>53.0593045454546</v>
      </c>
      <c r="AD1414" s="62" t="n">
        <f aca="false">AB1414/S1414-1</f>
        <v>0.459942972108155</v>
      </c>
      <c r="AE1414" s="60" t="str">
        <f aca="false">IF(AB1414&lt;S1414,"SIM","NÃO")</f>
        <v>NÃO</v>
      </c>
      <c r="AF1414" s="60" t="n">
        <v>2</v>
      </c>
      <c r="AG1414" s="60" t="n">
        <v>5</v>
      </c>
      <c r="AH1414" s="60" t="s">
        <v>382</v>
      </c>
      <c r="AI1414" s="61" t="n">
        <f aca="false">(T1414*(1-Painel!$C$40)+U1414+V1414+Painel!$C$41+Painel!$C$42*CEILING(G1414/100,1)+Painel!$C$43*CEILING(G1414,1)+Z1414)/(1-Resumo!$B$5)</f>
        <v>118.705147727273</v>
      </c>
      <c r="AJ1414" s="60" t="str">
        <f aca="false">IF(AI1414&lt;S1414,"SIM","NÃO")</f>
        <v>NÃO</v>
      </c>
    </row>
    <row r="1415" customFormat="false" ht="15" hidden="false" customHeight="false" outlineLevel="0" collapsed="false">
      <c r="A1415" s="59" t="n">
        <v>46260.569537037</v>
      </c>
      <c r="B1415" s="60" t="s">
        <v>1680</v>
      </c>
      <c r="C1415" s="60" t="n">
        <v>28013080</v>
      </c>
      <c r="D1415" s="60" t="s">
        <v>51</v>
      </c>
      <c r="E1415" s="60" t="s">
        <v>24</v>
      </c>
      <c r="F1415" s="60" t="s">
        <v>235</v>
      </c>
      <c r="G1415" s="60" t="n">
        <v>41</v>
      </c>
      <c r="H1415" s="61" t="n">
        <v>487.99</v>
      </c>
      <c r="I1415" s="61" t="n">
        <v>77.7</v>
      </c>
      <c r="J1415" s="61" t="n">
        <f aca="false">H1415*Resumo!$C$6</f>
        <v>0</v>
      </c>
      <c r="K1415" s="61" t="n">
        <f aca="false">H1415*Resumo!$C$7</f>
        <v>1.024779</v>
      </c>
      <c r="L1415" s="61" t="n">
        <f aca="false">H1415*Resumo!$C$8</f>
        <v>1.024779</v>
      </c>
      <c r="M1415" s="61" t="n">
        <f aca="false">Resumo!$C$10*CEILING(G1415/100,1)</f>
        <v>1.05</v>
      </c>
      <c r="N1415" s="61" t="n">
        <f aca="false">Resumo!$C$9</f>
        <v>0</v>
      </c>
      <c r="O1415" s="61" t="n">
        <f aca="false">Resumo!$C$13</f>
        <v>13.55</v>
      </c>
      <c r="P1415" s="61" t="n">
        <f aca="false">Resumo!$C$14*CEILING(G1415,1)</f>
        <v>18.45</v>
      </c>
      <c r="Q1415" s="61" t="n">
        <f aca="false">SUM(I1415:P1415)*Resumo!$C$11</f>
        <v>0</v>
      </c>
      <c r="R1415" s="61" t="n">
        <f aca="false">SUM(I1415:Q1415)</f>
        <v>112.799558</v>
      </c>
      <c r="S1415" s="61" t="n">
        <f aca="false">R1415/(1-Resumo!$C$5)</f>
        <v>128.181315909091</v>
      </c>
      <c r="T1415" s="61" t="n">
        <v>152.54</v>
      </c>
      <c r="U1415" s="61" t="n">
        <f aca="false">H1415*Resumo!$B$6</f>
        <v>0.48799</v>
      </c>
      <c r="V1415" s="61" t="n">
        <f aca="false">H1415*Resumo!$B$7</f>
        <v>0.97598</v>
      </c>
      <c r="W1415" s="61" t="n">
        <f aca="false">Resumo!$B$9</f>
        <v>1</v>
      </c>
      <c r="X1415" s="61" t="n">
        <f aca="false">Resumo!$B$10*CEILING(G1415/100,1)</f>
        <v>4.5</v>
      </c>
      <c r="Y1415" s="61" t="n">
        <f aca="false">Resumo!$B$12*CEILING(G1415,1)</f>
        <v>2.46</v>
      </c>
      <c r="Z1415" s="61" t="n">
        <f aca="false">Resumo!$B$14*CEILING(G1415,1)</f>
        <v>18.45</v>
      </c>
      <c r="AA1415" s="61" t="n">
        <f aca="false">SUM(T1415:Z1415)</f>
        <v>180.41397</v>
      </c>
      <c r="AB1415" s="61" t="n">
        <f aca="false">AA1415/(1-Resumo!$B$5)</f>
        <v>205.015875</v>
      </c>
      <c r="AC1415" s="61" t="n">
        <f aca="false">AB1415-S1415</f>
        <v>76.834559090909</v>
      </c>
      <c r="AD1415" s="62" t="n">
        <f aca="false">AB1415/S1415-1</f>
        <v>0.599420894893932</v>
      </c>
      <c r="AE1415" s="60" t="str">
        <f aca="false">IF(AB1415&lt;S1415,"SIM","NÃO")</f>
        <v>NÃO</v>
      </c>
      <c r="AF1415" s="60" t="n">
        <v>13</v>
      </c>
      <c r="AG1415" s="60" t="n">
        <v>11</v>
      </c>
      <c r="AH1415" s="60" t="s">
        <v>382</v>
      </c>
      <c r="AI1415" s="61" t="n">
        <f aca="false">(T1415*(1-Painel!$C$40)+U1415+V1415+Painel!$C$41+Painel!$C$42*CEILING(G1415/100,1)+Painel!$C$43*CEILING(G1415,1)+Z1415)/(1-Resumo!$B$5)</f>
        <v>141.097465909091</v>
      </c>
      <c r="AJ1415" s="60" t="str">
        <f aca="false">IF(AI1415&lt;S1415,"SIM","NÃO")</f>
        <v>NÃO</v>
      </c>
    </row>
    <row r="1416" customFormat="false" ht="15" hidden="false" customHeight="false" outlineLevel="0" collapsed="false">
      <c r="A1416" s="59" t="n">
        <v>46260.6241550926</v>
      </c>
      <c r="B1416" s="60" t="s">
        <v>1681</v>
      </c>
      <c r="C1416" s="60" t="n">
        <v>27345220</v>
      </c>
      <c r="D1416" s="60" t="s">
        <v>293</v>
      </c>
      <c r="E1416" s="60" t="s">
        <v>24</v>
      </c>
      <c r="F1416" s="60" t="s">
        <v>236</v>
      </c>
      <c r="G1416" s="60" t="n">
        <v>52.3</v>
      </c>
      <c r="H1416" s="61" t="n">
        <v>532.49</v>
      </c>
      <c r="I1416" s="61" t="n">
        <v>83.58</v>
      </c>
      <c r="J1416" s="61" t="n">
        <f aca="false">H1416*Resumo!$C$6</f>
        <v>0</v>
      </c>
      <c r="K1416" s="61" t="n">
        <f aca="false">H1416*Resumo!$C$7</f>
        <v>1.118229</v>
      </c>
      <c r="L1416" s="61" t="n">
        <f aca="false">H1416*Resumo!$C$8</f>
        <v>1.118229</v>
      </c>
      <c r="M1416" s="61" t="n">
        <f aca="false">Resumo!$C$10*CEILING(G1416/100,1)</f>
        <v>1.05</v>
      </c>
      <c r="N1416" s="61" t="n">
        <f aca="false">Resumo!$C$9</f>
        <v>0</v>
      </c>
      <c r="O1416" s="61" t="n">
        <f aca="false">Resumo!$C$13</f>
        <v>13.55</v>
      </c>
      <c r="P1416" s="61" t="n">
        <f aca="false">Resumo!$C$14*CEILING(G1416,1)</f>
        <v>23.85</v>
      </c>
      <c r="Q1416" s="61" t="n">
        <f aca="false">SUM(I1416:P1416)*Resumo!$C$11</f>
        <v>0</v>
      </c>
      <c r="R1416" s="61" t="n">
        <f aca="false">SUM(I1416:Q1416)</f>
        <v>124.266458</v>
      </c>
      <c r="S1416" s="61" t="n">
        <f aca="false">R1416/(1-Resumo!$C$5)</f>
        <v>141.211884090909</v>
      </c>
      <c r="T1416" s="61" t="n">
        <v>142.32</v>
      </c>
      <c r="U1416" s="61" t="n">
        <f aca="false">H1416*Resumo!$B$6</f>
        <v>0.53249</v>
      </c>
      <c r="V1416" s="61" t="n">
        <f aca="false">H1416*Resumo!$B$7</f>
        <v>1.06498</v>
      </c>
      <c r="W1416" s="61" t="n">
        <f aca="false">Resumo!$B$9</f>
        <v>1</v>
      </c>
      <c r="X1416" s="61" t="n">
        <f aca="false">Resumo!$B$10*CEILING(G1416/100,1)</f>
        <v>4.5</v>
      </c>
      <c r="Y1416" s="61" t="n">
        <f aca="false">Resumo!$B$12*CEILING(G1416,1)</f>
        <v>3.18</v>
      </c>
      <c r="Z1416" s="61" t="n">
        <f aca="false">Resumo!$B$14*CEILING(G1416,1)</f>
        <v>23.85</v>
      </c>
      <c r="AA1416" s="61" t="n">
        <f aca="false">SUM(T1416:Z1416)</f>
        <v>176.44747</v>
      </c>
      <c r="AB1416" s="61" t="n">
        <f aca="false">AA1416/(1-Resumo!$B$5)</f>
        <v>200.508488636364</v>
      </c>
      <c r="AC1416" s="61" t="n">
        <f aca="false">AB1416-S1416</f>
        <v>59.2966045454545</v>
      </c>
      <c r="AD1416" s="62" t="n">
        <f aca="false">AB1416/S1416-1</f>
        <v>0.419912282363435</v>
      </c>
      <c r="AE1416" s="60" t="str">
        <f aca="false">IF(AB1416&lt;S1416,"SIM","NÃO")</f>
        <v>NÃO</v>
      </c>
      <c r="AF1416" s="60" t="n">
        <v>13</v>
      </c>
      <c r="AG1416" s="60" t="n">
        <v>10</v>
      </c>
      <c r="AH1416" s="60" t="s">
        <v>385</v>
      </c>
      <c r="AI1416" s="61" t="n">
        <f aca="false">(T1416*(1-Painel!$C$40)+U1416+V1416+Painel!$C$41+Painel!$C$42*CEILING(G1416/100,1)+Painel!$C$43*CEILING(G1416,1)+Z1416)/(1-Resumo!$B$5)</f>
        <v>139.604397727273</v>
      </c>
      <c r="AJ1416" s="60" t="str">
        <f aca="false">IF(AI1416&lt;S1416,"SIM","NÃO")</f>
        <v>SIM</v>
      </c>
    </row>
    <row r="1417" customFormat="false" ht="15" hidden="false" customHeight="false" outlineLevel="0" collapsed="false">
      <c r="A1417" s="59" t="n">
        <v>46260.7405439815</v>
      </c>
      <c r="B1417" s="60" t="s">
        <v>486</v>
      </c>
      <c r="C1417" s="60" t="n">
        <v>28200000</v>
      </c>
      <c r="D1417" s="60" t="s">
        <v>305</v>
      </c>
      <c r="E1417" s="60" t="s">
        <v>24</v>
      </c>
      <c r="F1417" s="60" t="s">
        <v>234</v>
      </c>
      <c r="G1417" s="60" t="n">
        <v>37.2</v>
      </c>
      <c r="H1417" s="61" t="n">
        <v>359.99</v>
      </c>
      <c r="I1417" s="61" t="n">
        <v>74.97</v>
      </c>
      <c r="J1417" s="61" t="n">
        <f aca="false">H1417*Resumo!$C$6</f>
        <v>0</v>
      </c>
      <c r="K1417" s="61" t="n">
        <f aca="false">H1417*Resumo!$C$7</f>
        <v>0.755979</v>
      </c>
      <c r="L1417" s="61" t="n">
        <f aca="false">H1417*Resumo!$C$8</f>
        <v>0.755979</v>
      </c>
      <c r="M1417" s="61" t="n">
        <f aca="false">Resumo!$C$10*CEILING(G1417/100,1)</f>
        <v>1.05</v>
      </c>
      <c r="N1417" s="61" t="n">
        <f aca="false">Resumo!$C$9</f>
        <v>0</v>
      </c>
      <c r="O1417" s="61" t="n">
        <f aca="false">Resumo!$C$13</f>
        <v>13.55</v>
      </c>
      <c r="P1417" s="61" t="n">
        <f aca="false">Resumo!$C$14*CEILING(G1417,1)</f>
        <v>17.1</v>
      </c>
      <c r="Q1417" s="61" t="n">
        <f aca="false">SUM(I1417:P1417)*Resumo!$C$11</f>
        <v>0</v>
      </c>
      <c r="R1417" s="61" t="n">
        <f aca="false">SUM(I1417:Q1417)</f>
        <v>108.181958</v>
      </c>
      <c r="S1417" s="61" t="n">
        <f aca="false">R1417/(1-Resumo!$C$5)</f>
        <v>122.934043181818</v>
      </c>
      <c r="T1417" s="61" t="n">
        <v>143.04</v>
      </c>
      <c r="U1417" s="61" t="n">
        <f aca="false">H1417*Resumo!$B$6</f>
        <v>0.35999</v>
      </c>
      <c r="V1417" s="61" t="n">
        <f aca="false">H1417*Resumo!$B$7</f>
        <v>0.71998</v>
      </c>
      <c r="W1417" s="61" t="n">
        <f aca="false">Resumo!$B$9</f>
        <v>1</v>
      </c>
      <c r="X1417" s="61" t="n">
        <f aca="false">Resumo!$B$10*CEILING(G1417/100,1)</f>
        <v>4.5</v>
      </c>
      <c r="Y1417" s="61" t="n">
        <f aca="false">Resumo!$B$12*CEILING(G1417,1)</f>
        <v>2.28</v>
      </c>
      <c r="Z1417" s="61" t="n">
        <f aca="false">Resumo!$B$14*CEILING(G1417,1)</f>
        <v>17.1</v>
      </c>
      <c r="AA1417" s="61" t="n">
        <f aca="false">SUM(T1417:Z1417)</f>
        <v>168.99997</v>
      </c>
      <c r="AB1417" s="61" t="n">
        <f aca="false">AA1417/(1-Resumo!$B$5)</f>
        <v>192.045420454545</v>
      </c>
      <c r="AC1417" s="61" t="n">
        <f aca="false">AB1417-S1417</f>
        <v>69.1113772727273</v>
      </c>
      <c r="AD1417" s="62" t="n">
        <f aca="false">AB1417/S1417-1</f>
        <v>0.56218257761613</v>
      </c>
      <c r="AE1417" s="60" t="str">
        <f aca="false">IF(AB1417&lt;S1417,"SIM","NÃO")</f>
        <v>NÃO</v>
      </c>
      <c r="AF1417" s="60" t="n">
        <v>13</v>
      </c>
      <c r="AG1417" s="60" t="n">
        <v>11</v>
      </c>
      <c r="AH1417" s="60" t="s">
        <v>385</v>
      </c>
      <c r="AI1417" s="61" t="n">
        <f aca="false">(T1417*(1-Painel!$C$40)+U1417+V1417+Painel!$C$41+Painel!$C$42*CEILING(G1417/100,1)+Painel!$C$43*CEILING(G1417,1)+Z1417)/(1-Resumo!$B$5)</f>
        <v>131.894056818182</v>
      </c>
      <c r="AJ1417" s="60" t="str">
        <f aca="false">IF(AI1417&lt;S1417,"SIM","NÃO")</f>
        <v>NÃO</v>
      </c>
    </row>
    <row r="1418" customFormat="false" ht="15" hidden="false" customHeight="false" outlineLevel="0" collapsed="false">
      <c r="A1418" s="59" t="n">
        <v>46260.8353703704</v>
      </c>
      <c r="B1418" s="60" t="s">
        <v>1682</v>
      </c>
      <c r="C1418" s="60" t="n">
        <v>21072720</v>
      </c>
      <c r="D1418" s="60" t="s">
        <v>46</v>
      </c>
      <c r="E1418" s="60" t="s">
        <v>22</v>
      </c>
      <c r="F1418" s="60" t="s">
        <v>241</v>
      </c>
      <c r="G1418" s="60" t="n">
        <v>140.9</v>
      </c>
      <c r="H1418" s="61" t="n">
        <v>1799.99</v>
      </c>
      <c r="I1418" s="61" t="n">
        <v>120.59</v>
      </c>
      <c r="J1418" s="61" t="n">
        <f aca="false">H1418*Resumo!$C$6</f>
        <v>0</v>
      </c>
      <c r="K1418" s="61" t="n">
        <f aca="false">H1418*Resumo!$C$7</f>
        <v>3.779979</v>
      </c>
      <c r="L1418" s="61" t="n">
        <f aca="false">H1418*Resumo!$C$8</f>
        <v>3.779979</v>
      </c>
      <c r="M1418" s="61" t="n">
        <f aca="false">Resumo!$C$10*CEILING(G1418/100,1)</f>
        <v>2.1</v>
      </c>
      <c r="N1418" s="61" t="n">
        <f aca="false">Resumo!$C$9</f>
        <v>0</v>
      </c>
      <c r="O1418" s="61" t="n">
        <f aca="false">Resumo!$C$13</f>
        <v>13.55</v>
      </c>
      <c r="P1418" s="61" t="n">
        <f aca="false">Resumo!$C$14*CEILING(G1418,1)</f>
        <v>63.45</v>
      </c>
      <c r="Q1418" s="61" t="n">
        <f aca="false">SUM(I1418:P1418)*Resumo!$C$11</f>
        <v>0</v>
      </c>
      <c r="R1418" s="61" t="n">
        <f aca="false">SUM(I1418:Q1418)</f>
        <v>207.249958</v>
      </c>
      <c r="S1418" s="61" t="n">
        <f aca="false">R1418/(1-Resumo!$C$5)</f>
        <v>235.511315909091</v>
      </c>
      <c r="T1418" s="61" t="n">
        <v>239.25</v>
      </c>
      <c r="U1418" s="61" t="n">
        <f aca="false">H1418*Resumo!$B$6</f>
        <v>1.79999</v>
      </c>
      <c r="V1418" s="61" t="n">
        <f aca="false">H1418*Resumo!$B$7</f>
        <v>3.59998</v>
      </c>
      <c r="W1418" s="61" t="n">
        <f aca="false">Resumo!$B$9</f>
        <v>1</v>
      </c>
      <c r="X1418" s="61" t="n">
        <f aca="false">Resumo!$B$10*CEILING(G1418/100,1)</f>
        <v>9</v>
      </c>
      <c r="Y1418" s="61" t="n">
        <f aca="false">Resumo!$B$12*CEILING(G1418,1)</f>
        <v>8.46</v>
      </c>
      <c r="Z1418" s="61" t="n">
        <f aca="false">Resumo!$B$14*CEILING(G1418,1)</f>
        <v>63.45</v>
      </c>
      <c r="AA1418" s="61" t="n">
        <f aca="false">SUM(T1418:Z1418)</f>
        <v>326.55997</v>
      </c>
      <c r="AB1418" s="61" t="n">
        <f aca="false">AA1418/(1-Resumo!$B$5)</f>
        <v>371.090875</v>
      </c>
      <c r="AC1418" s="61" t="n">
        <f aca="false">AB1418-S1418</f>
        <v>135.579559090909</v>
      </c>
      <c r="AD1418" s="62" t="n">
        <f aca="false">AB1418/S1418-1</f>
        <v>0.575681718594124</v>
      </c>
      <c r="AE1418" s="60" t="str">
        <f aca="false">IF(AB1418&lt;S1418,"SIM","NÃO")</f>
        <v>NÃO</v>
      </c>
      <c r="AF1418" s="60" t="n">
        <v>2</v>
      </c>
      <c r="AG1418" s="60" t="n">
        <v>5</v>
      </c>
      <c r="AH1418" s="60" t="s">
        <v>382</v>
      </c>
      <c r="AI1418" s="61" t="n">
        <f aca="false">(T1418*(1-Painel!$C$40)+U1418+V1418+Painel!$C$41+Painel!$C$42*CEILING(G1418/100,1)+Painel!$C$43*CEILING(G1418,1)+Z1418)/(1-Resumo!$B$5)</f>
        <v>263.917579545455</v>
      </c>
      <c r="AJ1418" s="60" t="str">
        <f aca="false">IF(AI1418&lt;S1418,"SIM","NÃO")</f>
        <v>NÃO</v>
      </c>
    </row>
    <row r="1419" customFormat="false" ht="15" hidden="false" customHeight="false" outlineLevel="0" collapsed="false">
      <c r="A1419" s="59" t="n">
        <v>46260.8521875</v>
      </c>
      <c r="B1419" s="60" t="s">
        <v>1000</v>
      </c>
      <c r="C1419" s="60" t="n">
        <v>28985225</v>
      </c>
      <c r="D1419" s="60" t="s">
        <v>222</v>
      </c>
      <c r="E1419" s="60" t="s">
        <v>24</v>
      </c>
      <c r="F1419" s="60" t="s">
        <v>237</v>
      </c>
      <c r="G1419" s="60" t="n">
        <v>69.15</v>
      </c>
      <c r="H1419" s="61" t="n">
        <v>697.84</v>
      </c>
      <c r="I1419" s="61" t="n">
        <v>90.2</v>
      </c>
      <c r="J1419" s="61" t="n">
        <f aca="false">H1419*Resumo!$C$6</f>
        <v>0</v>
      </c>
      <c r="K1419" s="61" t="n">
        <f aca="false">H1419*Resumo!$C$7</f>
        <v>1.465464</v>
      </c>
      <c r="L1419" s="61" t="n">
        <f aca="false">H1419*Resumo!$C$8</f>
        <v>1.465464</v>
      </c>
      <c r="M1419" s="61" t="n">
        <f aca="false">Resumo!$C$10*CEILING(G1419/100,1)</f>
        <v>1.05</v>
      </c>
      <c r="N1419" s="61" t="n">
        <f aca="false">Resumo!$C$9</f>
        <v>0</v>
      </c>
      <c r="O1419" s="61" t="n">
        <f aca="false">Resumo!$C$13</f>
        <v>13.55</v>
      </c>
      <c r="P1419" s="61" t="n">
        <f aca="false">Resumo!$C$14*CEILING(G1419,1)</f>
        <v>31.5</v>
      </c>
      <c r="Q1419" s="61" t="n">
        <f aca="false">SUM(I1419:P1419)*Resumo!$C$11</f>
        <v>0</v>
      </c>
      <c r="R1419" s="61" t="n">
        <f aca="false">SUM(I1419:Q1419)</f>
        <v>139.230928</v>
      </c>
      <c r="S1419" s="61" t="n">
        <f aca="false">R1419/(1-Resumo!$C$5)</f>
        <v>158.216963636364</v>
      </c>
      <c r="T1419" s="61" t="n">
        <v>166.05</v>
      </c>
      <c r="U1419" s="61" t="n">
        <f aca="false">H1419*Resumo!$B$6</f>
        <v>0.69784</v>
      </c>
      <c r="V1419" s="61" t="n">
        <f aca="false">H1419*Resumo!$B$7</f>
        <v>1.39568</v>
      </c>
      <c r="W1419" s="61" t="n">
        <f aca="false">Resumo!$B$9</f>
        <v>1</v>
      </c>
      <c r="X1419" s="61" t="n">
        <f aca="false">Resumo!$B$10*CEILING(G1419/100,1)</f>
        <v>4.5</v>
      </c>
      <c r="Y1419" s="61" t="n">
        <f aca="false">Resumo!$B$12*CEILING(G1419,1)</f>
        <v>4.2</v>
      </c>
      <c r="Z1419" s="61" t="n">
        <f aca="false">Resumo!$B$14*CEILING(G1419,1)</f>
        <v>31.5</v>
      </c>
      <c r="AA1419" s="61" t="n">
        <f aca="false">SUM(T1419:Z1419)</f>
        <v>209.34352</v>
      </c>
      <c r="AB1419" s="61" t="n">
        <f aca="false">AA1419/(1-Resumo!$B$5)</f>
        <v>237.890363636364</v>
      </c>
      <c r="AC1419" s="61" t="n">
        <f aca="false">AB1419-S1419</f>
        <v>79.6734</v>
      </c>
      <c r="AD1419" s="62" t="n">
        <f aca="false">AB1419/S1419-1</f>
        <v>0.503570528525099</v>
      </c>
      <c r="AE1419" s="60" t="str">
        <f aca="false">IF(AB1419&lt;S1419,"SIM","NÃO")</f>
        <v>NÃO</v>
      </c>
      <c r="AF1419" s="60" t="n">
        <v>13</v>
      </c>
      <c r="AG1419" s="60" t="n">
        <v>10</v>
      </c>
      <c r="AH1419" s="60" t="s">
        <v>382</v>
      </c>
      <c r="AI1419" s="61" t="n">
        <f aca="false">(T1419*(1-Painel!$C$40)+U1419+V1419+Painel!$C$41+Painel!$C$42*CEILING(G1419/100,1)+Painel!$C$43*CEILING(G1419,1)+Z1419)/(1-Resumo!$B$5)</f>
        <v>166.928431818182</v>
      </c>
      <c r="AJ1419" s="60" t="str">
        <f aca="false">IF(AI1419&lt;S1419,"SIM","NÃO")</f>
        <v>NÃO</v>
      </c>
    </row>
    <row r="1420" customFormat="false" ht="15" hidden="false" customHeight="false" outlineLevel="0" collapsed="false">
      <c r="A1420" s="59" t="n">
        <v>46260.9596759259</v>
      </c>
      <c r="B1420" s="60" t="s">
        <v>1683</v>
      </c>
      <c r="C1420" s="60" t="n">
        <v>28920803</v>
      </c>
      <c r="D1420" s="60" t="s">
        <v>221</v>
      </c>
      <c r="E1420" s="60" t="s">
        <v>24</v>
      </c>
      <c r="F1420" s="60" t="s">
        <v>233</v>
      </c>
      <c r="G1420" s="60" t="n">
        <v>33</v>
      </c>
      <c r="H1420" s="61" t="n">
        <v>389.99</v>
      </c>
      <c r="I1420" s="61" t="n">
        <v>65.63</v>
      </c>
      <c r="J1420" s="61" t="n">
        <f aca="false">H1420*Resumo!$C$6</f>
        <v>0</v>
      </c>
      <c r="K1420" s="61" t="n">
        <f aca="false">H1420*Resumo!$C$7</f>
        <v>0.818979</v>
      </c>
      <c r="L1420" s="61" t="n">
        <f aca="false">H1420*Resumo!$C$8</f>
        <v>0.818979</v>
      </c>
      <c r="M1420" s="61" t="n">
        <f aca="false">Resumo!$C$10*CEILING(G1420/100,1)</f>
        <v>1.05</v>
      </c>
      <c r="N1420" s="61" t="n">
        <f aca="false">Resumo!$C$9</f>
        <v>0</v>
      </c>
      <c r="O1420" s="61" t="n">
        <f aca="false">Resumo!$C$13</f>
        <v>13.55</v>
      </c>
      <c r="P1420" s="61" t="n">
        <f aca="false">Resumo!$C$14*CEILING(G1420,1)</f>
        <v>14.85</v>
      </c>
      <c r="Q1420" s="61" t="n">
        <f aca="false">SUM(I1420:P1420)*Resumo!$C$11</f>
        <v>0</v>
      </c>
      <c r="R1420" s="61" t="n">
        <f aca="false">SUM(I1420:Q1420)</f>
        <v>96.717958</v>
      </c>
      <c r="S1420" s="61" t="n">
        <f aca="false">R1420/(1-Resumo!$C$5)</f>
        <v>109.906770454545</v>
      </c>
      <c r="T1420" s="61" t="n">
        <v>114.95</v>
      </c>
      <c r="U1420" s="61" t="n">
        <f aca="false">H1420*Resumo!$B$6</f>
        <v>0.38999</v>
      </c>
      <c r="V1420" s="61" t="n">
        <f aca="false">H1420*Resumo!$B$7</f>
        <v>0.77998</v>
      </c>
      <c r="W1420" s="61" t="n">
        <f aca="false">Resumo!$B$9</f>
        <v>1</v>
      </c>
      <c r="X1420" s="61" t="n">
        <f aca="false">Resumo!$B$10*CEILING(G1420/100,1)</f>
        <v>4.5</v>
      </c>
      <c r="Y1420" s="61" t="n">
        <f aca="false">Resumo!$B$12*CEILING(G1420,1)</f>
        <v>1.98</v>
      </c>
      <c r="Z1420" s="61" t="n">
        <f aca="false">Resumo!$B$14*CEILING(G1420,1)</f>
        <v>14.85</v>
      </c>
      <c r="AA1420" s="61" t="n">
        <f aca="false">SUM(T1420:Z1420)</f>
        <v>138.44997</v>
      </c>
      <c r="AB1420" s="61" t="n">
        <f aca="false">AA1420/(1-Resumo!$B$5)</f>
        <v>157.329511363636</v>
      </c>
      <c r="AC1420" s="61" t="n">
        <f aca="false">AB1420-S1420</f>
        <v>47.4227409090909</v>
      </c>
      <c r="AD1420" s="62" t="n">
        <f aca="false">AB1420/S1420-1</f>
        <v>0.431481524868422</v>
      </c>
      <c r="AE1420" s="60" t="str">
        <f aca="false">IF(AB1420&lt;S1420,"SIM","NÃO")</f>
        <v>NÃO</v>
      </c>
      <c r="AF1420" s="60" t="n">
        <v>13</v>
      </c>
      <c r="AG1420" s="60" t="n">
        <v>10</v>
      </c>
      <c r="AH1420" s="60" t="s">
        <v>382</v>
      </c>
      <c r="AI1420" s="61" t="n">
        <f aca="false">(T1420*(1-Painel!$C$40)+U1420+V1420+Painel!$C$41+Painel!$C$42*CEILING(G1420/100,1)+Painel!$C$43*CEILING(G1420,1)+Z1420)/(1-Resumo!$B$5)</f>
        <v>108.052806818182</v>
      </c>
      <c r="AJ1420" s="60" t="str">
        <f aca="false">IF(AI1420&lt;S1420,"SIM","NÃO")</f>
        <v>SIM</v>
      </c>
    </row>
    <row r="1421" customFormat="false" ht="15" hidden="false" customHeight="false" outlineLevel="0" collapsed="false">
      <c r="A1421" s="59" t="n">
        <v>46261.015775463</v>
      </c>
      <c r="B1421" s="60" t="s">
        <v>772</v>
      </c>
      <c r="C1421" s="60" t="n">
        <v>22471210</v>
      </c>
      <c r="D1421" s="60" t="s">
        <v>46</v>
      </c>
      <c r="E1421" s="60" t="s">
        <v>22</v>
      </c>
      <c r="F1421" s="60" t="s">
        <v>234</v>
      </c>
      <c r="G1421" s="60" t="n">
        <v>35.3</v>
      </c>
      <c r="H1421" s="61" t="n">
        <v>499.99</v>
      </c>
      <c r="I1421" s="61" t="n">
        <v>48.35</v>
      </c>
      <c r="J1421" s="61" t="n">
        <f aca="false">H1421*Resumo!$C$6</f>
        <v>0</v>
      </c>
      <c r="K1421" s="61" t="n">
        <f aca="false">H1421*Resumo!$C$7</f>
        <v>1.049979</v>
      </c>
      <c r="L1421" s="61" t="n">
        <f aca="false">H1421*Resumo!$C$8</f>
        <v>1.049979</v>
      </c>
      <c r="M1421" s="61" t="n">
        <f aca="false">Resumo!$C$10*CEILING(G1421/100,1)</f>
        <v>1.05</v>
      </c>
      <c r="N1421" s="61" t="n">
        <f aca="false">Resumo!$C$9</f>
        <v>0</v>
      </c>
      <c r="O1421" s="61" t="n">
        <f aca="false">Resumo!$C$13</f>
        <v>13.55</v>
      </c>
      <c r="P1421" s="61" t="n">
        <f aca="false">Resumo!$C$14*CEILING(G1421,1)</f>
        <v>16.2</v>
      </c>
      <c r="Q1421" s="61" t="n">
        <f aca="false">SUM(I1421:P1421)*Resumo!$C$11</f>
        <v>0</v>
      </c>
      <c r="R1421" s="61" t="n">
        <f aca="false">SUM(I1421:Q1421)</f>
        <v>81.249958</v>
      </c>
      <c r="S1421" s="61" t="n">
        <f aca="false">R1421/(1-Resumo!$C$5)</f>
        <v>92.3294977272727</v>
      </c>
      <c r="T1421" s="61" t="n">
        <v>93.97</v>
      </c>
      <c r="U1421" s="61" t="n">
        <f aca="false">H1421*Resumo!$B$6</f>
        <v>0.49999</v>
      </c>
      <c r="V1421" s="61" t="n">
        <f aca="false">H1421*Resumo!$B$7</f>
        <v>0.99998</v>
      </c>
      <c r="W1421" s="61" t="n">
        <f aca="false">Resumo!$B$9</f>
        <v>1</v>
      </c>
      <c r="X1421" s="61" t="n">
        <f aca="false">Resumo!$B$10*CEILING(G1421/100,1)</f>
        <v>4.5</v>
      </c>
      <c r="Y1421" s="61" t="n">
        <f aca="false">Resumo!$B$12*CEILING(G1421,1)</f>
        <v>2.16</v>
      </c>
      <c r="Z1421" s="61" t="n">
        <f aca="false">Resumo!$B$14*CEILING(G1421,1)</f>
        <v>16.2</v>
      </c>
      <c r="AA1421" s="61" t="n">
        <f aca="false">SUM(T1421:Z1421)</f>
        <v>119.32997</v>
      </c>
      <c r="AB1421" s="61" t="n">
        <f aca="false">AA1421/(1-Resumo!$B$5)</f>
        <v>135.602238636364</v>
      </c>
      <c r="AC1421" s="61" t="n">
        <f aca="false">AB1421-S1421</f>
        <v>43.2727409090909</v>
      </c>
      <c r="AD1421" s="62" t="n">
        <f aca="false">AB1421/S1421-1</f>
        <v>0.468677313039349</v>
      </c>
      <c r="AE1421" s="60" t="str">
        <f aca="false">IF(AB1421&lt;S1421,"SIM","NÃO")</f>
        <v>NÃO</v>
      </c>
      <c r="AF1421" s="60" t="n">
        <v>2</v>
      </c>
      <c r="AG1421" s="60" t="n">
        <v>5</v>
      </c>
      <c r="AH1421" s="60" t="s">
        <v>382</v>
      </c>
      <c r="AI1421" s="61" t="n">
        <f aca="false">(T1421*(1-Painel!$C$40)+U1421+V1421+Painel!$C$41+Painel!$C$42*CEILING(G1421/100,1)+Painel!$C$43*CEILING(G1421,1)+Z1421)/(1-Resumo!$B$5)</f>
        <v>93.9884886363636</v>
      </c>
      <c r="AJ1421" s="60" t="str">
        <f aca="false">IF(AI1421&lt;S1421,"SIM","NÃO")</f>
        <v>NÃO</v>
      </c>
    </row>
    <row r="1422" customFormat="false" ht="15" hidden="false" customHeight="false" outlineLevel="0" collapsed="false">
      <c r="A1422" s="59" t="n">
        <v>46261.3361921296</v>
      </c>
      <c r="B1422" s="60" t="s">
        <v>1684</v>
      </c>
      <c r="C1422" s="60" t="n">
        <v>20020010</v>
      </c>
      <c r="D1422" s="60" t="s">
        <v>46</v>
      </c>
      <c r="E1422" s="60" t="s">
        <v>22</v>
      </c>
      <c r="F1422" s="60" t="s">
        <v>233</v>
      </c>
      <c r="G1422" s="60" t="n">
        <v>33</v>
      </c>
      <c r="H1422" s="61" t="n">
        <v>589.99</v>
      </c>
      <c r="I1422" s="61" t="n">
        <v>42.11</v>
      </c>
      <c r="J1422" s="61" t="n">
        <f aca="false">H1422*Resumo!$C$6</f>
        <v>0</v>
      </c>
      <c r="K1422" s="61" t="n">
        <f aca="false">H1422*Resumo!$C$7</f>
        <v>1.238979</v>
      </c>
      <c r="L1422" s="61" t="n">
        <f aca="false">H1422*Resumo!$C$8</f>
        <v>1.238979</v>
      </c>
      <c r="M1422" s="61" t="n">
        <f aca="false">Resumo!$C$10*CEILING(G1422/100,1)</f>
        <v>1.05</v>
      </c>
      <c r="N1422" s="61" t="n">
        <f aca="false">Resumo!$C$9</f>
        <v>0</v>
      </c>
      <c r="O1422" s="61" t="n">
        <f aca="false">Resumo!$C$13</f>
        <v>13.55</v>
      </c>
      <c r="P1422" s="61" t="n">
        <f aca="false">Resumo!$C$14*CEILING(G1422,1)</f>
        <v>14.85</v>
      </c>
      <c r="Q1422" s="61" t="n">
        <f aca="false">SUM(I1422:P1422)*Resumo!$C$11</f>
        <v>0</v>
      </c>
      <c r="R1422" s="61" t="n">
        <f aca="false">SUM(I1422:Q1422)</f>
        <v>74.037958</v>
      </c>
      <c r="S1422" s="61" t="n">
        <f aca="false">R1422/(1-Resumo!$C$5)</f>
        <v>84.1340431818182</v>
      </c>
      <c r="T1422" s="61" t="n">
        <v>82.21</v>
      </c>
      <c r="U1422" s="61" t="n">
        <f aca="false">H1422*Resumo!$B$6</f>
        <v>0.58999</v>
      </c>
      <c r="V1422" s="61" t="n">
        <f aca="false">H1422*Resumo!$B$7</f>
        <v>1.17998</v>
      </c>
      <c r="W1422" s="61" t="n">
        <f aca="false">Resumo!$B$9</f>
        <v>1</v>
      </c>
      <c r="X1422" s="61" t="n">
        <f aca="false">Resumo!$B$10*CEILING(G1422/100,1)</f>
        <v>4.5</v>
      </c>
      <c r="Y1422" s="61" t="n">
        <f aca="false">Resumo!$B$12*CEILING(G1422,1)</f>
        <v>1.98</v>
      </c>
      <c r="Z1422" s="61" t="n">
        <f aca="false">Resumo!$B$14*CEILING(G1422,1)</f>
        <v>14.85</v>
      </c>
      <c r="AA1422" s="61" t="n">
        <f aca="false">SUM(T1422:Z1422)</f>
        <v>106.30997</v>
      </c>
      <c r="AB1422" s="61" t="n">
        <f aca="false">AA1422/(1-Resumo!$B$5)</f>
        <v>120.806784090909</v>
      </c>
      <c r="AC1422" s="61" t="n">
        <f aca="false">AB1422-S1422</f>
        <v>36.6727409090909</v>
      </c>
      <c r="AD1422" s="62" t="n">
        <f aca="false">AB1422/S1422-1</f>
        <v>0.435884684988205</v>
      </c>
      <c r="AE1422" s="60" t="str">
        <f aca="false">IF(AB1422&lt;S1422,"SIM","NÃO")</f>
        <v>NÃO</v>
      </c>
      <c r="AF1422" s="60" t="n">
        <v>2</v>
      </c>
      <c r="AG1422" s="60" t="n">
        <v>5</v>
      </c>
      <c r="AH1422" s="60" t="s">
        <v>382</v>
      </c>
      <c r="AI1422" s="61" t="n">
        <f aca="false">(T1422*(1-Painel!$C$40)+U1422+V1422+Painel!$C$41+Painel!$C$42*CEILING(G1422/100,1)+Painel!$C$43*CEILING(G1422,1)+Z1422)/(1-Resumo!$B$5)</f>
        <v>83.8075795454545</v>
      </c>
      <c r="AJ1422" s="60" t="str">
        <f aca="false">IF(AI1422&lt;S1422,"SIM","NÃO")</f>
        <v>SIM</v>
      </c>
    </row>
    <row r="1423" customFormat="false" ht="15" hidden="false" customHeight="false" outlineLevel="0" collapsed="false">
      <c r="A1423" s="59" t="n">
        <v>46261.4150231482</v>
      </c>
      <c r="B1423" s="60" t="s">
        <v>1685</v>
      </c>
      <c r="C1423" s="60" t="n">
        <v>28180000</v>
      </c>
      <c r="D1423" s="60" t="s">
        <v>304</v>
      </c>
      <c r="E1423" s="60" t="s">
        <v>24</v>
      </c>
      <c r="F1423" s="60" t="s">
        <v>234</v>
      </c>
      <c r="G1423" s="60" t="n">
        <v>37.59</v>
      </c>
      <c r="H1423" s="61" t="n">
        <v>479.99</v>
      </c>
      <c r="I1423" s="61" t="n">
        <v>74.97</v>
      </c>
      <c r="J1423" s="61" t="n">
        <f aca="false">H1423*Resumo!$C$6</f>
        <v>0</v>
      </c>
      <c r="K1423" s="61" t="n">
        <f aca="false">H1423*Resumo!$C$7</f>
        <v>1.007979</v>
      </c>
      <c r="L1423" s="61" t="n">
        <f aca="false">H1423*Resumo!$C$8</f>
        <v>1.007979</v>
      </c>
      <c r="M1423" s="61" t="n">
        <f aca="false">Resumo!$C$10*CEILING(G1423/100,1)</f>
        <v>1.05</v>
      </c>
      <c r="N1423" s="61" t="n">
        <f aca="false">Resumo!$C$9</f>
        <v>0</v>
      </c>
      <c r="O1423" s="61" t="n">
        <f aca="false">Resumo!$C$13</f>
        <v>13.55</v>
      </c>
      <c r="P1423" s="61" t="n">
        <f aca="false">Resumo!$C$14*CEILING(G1423,1)</f>
        <v>17.1</v>
      </c>
      <c r="Q1423" s="61" t="n">
        <f aca="false">SUM(I1423:P1423)*Resumo!$C$11</f>
        <v>0</v>
      </c>
      <c r="R1423" s="61" t="n">
        <f aca="false">SUM(I1423:Q1423)</f>
        <v>108.685958</v>
      </c>
      <c r="S1423" s="61" t="n">
        <f aca="false">R1423/(1-Resumo!$C$5)</f>
        <v>123.506770454545</v>
      </c>
      <c r="T1423" s="61" t="n">
        <v>143.04</v>
      </c>
      <c r="U1423" s="61" t="n">
        <f aca="false">H1423*Resumo!$B$6</f>
        <v>0.47999</v>
      </c>
      <c r="V1423" s="61" t="n">
        <f aca="false">H1423*Resumo!$B$7</f>
        <v>0.95998</v>
      </c>
      <c r="W1423" s="61" t="n">
        <f aca="false">Resumo!$B$9</f>
        <v>1</v>
      </c>
      <c r="X1423" s="61" t="n">
        <f aca="false">Resumo!$B$10*CEILING(G1423/100,1)</f>
        <v>4.5</v>
      </c>
      <c r="Y1423" s="61" t="n">
        <f aca="false">Resumo!$B$12*CEILING(G1423,1)</f>
        <v>2.28</v>
      </c>
      <c r="Z1423" s="61" t="n">
        <f aca="false">Resumo!$B$14*CEILING(G1423,1)</f>
        <v>17.1</v>
      </c>
      <c r="AA1423" s="61" t="n">
        <f aca="false">SUM(T1423:Z1423)</f>
        <v>169.35997</v>
      </c>
      <c r="AB1423" s="61" t="n">
        <f aca="false">AA1423/(1-Resumo!$B$5)</f>
        <v>192.454511363636</v>
      </c>
      <c r="AC1423" s="61" t="n">
        <f aca="false">AB1423-S1423</f>
        <v>68.9477409090909</v>
      </c>
      <c r="AD1423" s="62" t="n">
        <f aca="false">AB1423/S1423-1</f>
        <v>0.55825069877012</v>
      </c>
      <c r="AE1423" s="60" t="str">
        <f aca="false">IF(AB1423&lt;S1423,"SIM","NÃO")</f>
        <v>NÃO</v>
      </c>
      <c r="AF1423" s="60" t="n">
        <v>13</v>
      </c>
      <c r="AG1423" s="60" t="n">
        <v>11</v>
      </c>
      <c r="AH1423" s="60" t="s">
        <v>385</v>
      </c>
      <c r="AI1423" s="61" t="n">
        <f aca="false">(T1423*(1-Painel!$C$40)+U1423+V1423+Painel!$C$41+Painel!$C$42*CEILING(G1423/100,1)+Painel!$C$43*CEILING(G1423,1)+Z1423)/(1-Resumo!$B$5)</f>
        <v>132.303147727273</v>
      </c>
      <c r="AJ1423" s="60" t="str">
        <f aca="false">IF(AI1423&lt;S1423,"SIM","NÃO")</f>
        <v>NÃO</v>
      </c>
    </row>
    <row r="1424" customFormat="false" ht="15" hidden="false" customHeight="false" outlineLevel="0" collapsed="false">
      <c r="A1424" s="59" t="n">
        <v>46261.4413541667</v>
      </c>
      <c r="B1424" s="60" t="s">
        <v>1686</v>
      </c>
      <c r="C1424" s="60" t="n">
        <v>25264180</v>
      </c>
      <c r="D1424" s="60" t="s">
        <v>48</v>
      </c>
      <c r="E1424" s="60" t="s">
        <v>23</v>
      </c>
      <c r="F1424" s="60" t="s">
        <v>238</v>
      </c>
      <c r="G1424" s="60" t="n">
        <v>71.9</v>
      </c>
      <c r="H1424" s="61" t="n">
        <v>779.69</v>
      </c>
      <c r="I1424" s="61" t="n">
        <v>82.48</v>
      </c>
      <c r="J1424" s="61" t="n">
        <f aca="false">H1424*Resumo!$C$6</f>
        <v>0</v>
      </c>
      <c r="K1424" s="61" t="n">
        <f aca="false">H1424*Resumo!$C$7</f>
        <v>1.637349</v>
      </c>
      <c r="L1424" s="61" t="n">
        <f aca="false">H1424*Resumo!$C$8</f>
        <v>1.637349</v>
      </c>
      <c r="M1424" s="61" t="n">
        <f aca="false">Resumo!$C$10*CEILING(G1424/100,1)</f>
        <v>1.05</v>
      </c>
      <c r="N1424" s="61" t="n">
        <f aca="false">Resumo!$C$9</f>
        <v>0</v>
      </c>
      <c r="O1424" s="61" t="n">
        <f aca="false">Resumo!$C$13</f>
        <v>13.55</v>
      </c>
      <c r="P1424" s="61" t="n">
        <f aca="false">Resumo!$C$14*CEILING(G1424,1)</f>
        <v>32.4</v>
      </c>
      <c r="Q1424" s="61" t="n">
        <f aca="false">SUM(I1424:P1424)*Resumo!$C$11</f>
        <v>0</v>
      </c>
      <c r="R1424" s="61" t="n">
        <f aca="false">SUM(I1424:Q1424)</f>
        <v>132.754698</v>
      </c>
      <c r="S1424" s="61" t="n">
        <f aca="false">R1424/(1-Resumo!$C$5)</f>
        <v>150.857611363636</v>
      </c>
      <c r="T1424" s="61" t="n">
        <v>134.39</v>
      </c>
      <c r="U1424" s="61" t="n">
        <f aca="false">H1424*Resumo!$B$6</f>
        <v>0.77969</v>
      </c>
      <c r="V1424" s="61" t="n">
        <f aca="false">H1424*Resumo!$B$7</f>
        <v>1.55938</v>
      </c>
      <c r="W1424" s="61" t="n">
        <f aca="false">Resumo!$B$9</f>
        <v>1</v>
      </c>
      <c r="X1424" s="61" t="n">
        <f aca="false">Resumo!$B$10*CEILING(G1424/100,1)</f>
        <v>4.5</v>
      </c>
      <c r="Y1424" s="61" t="n">
        <f aca="false">Resumo!$B$12*CEILING(G1424,1)</f>
        <v>4.32</v>
      </c>
      <c r="Z1424" s="61" t="n">
        <f aca="false">Resumo!$B$14*CEILING(G1424,1)</f>
        <v>32.4</v>
      </c>
      <c r="AA1424" s="61" t="n">
        <f aca="false">SUM(T1424:Z1424)</f>
        <v>178.94907</v>
      </c>
      <c r="AB1424" s="61" t="n">
        <f aca="false">AA1424/(1-Resumo!$B$5)</f>
        <v>203.351215909091</v>
      </c>
      <c r="AC1424" s="61" t="n">
        <f aca="false">AB1424-S1424</f>
        <v>52.4936045454546</v>
      </c>
      <c r="AD1424" s="62" t="n">
        <f aca="false">AB1424/S1424-1</f>
        <v>0.347967888865221</v>
      </c>
      <c r="AE1424" s="60" t="str">
        <f aca="false">IF(AB1424&lt;S1424,"SIM","NÃO")</f>
        <v>NÃO</v>
      </c>
      <c r="AF1424" s="60" t="n">
        <v>2</v>
      </c>
      <c r="AG1424" s="60" t="n">
        <v>5</v>
      </c>
      <c r="AH1424" s="60" t="s">
        <v>382</v>
      </c>
      <c r="AI1424" s="61" t="n">
        <f aca="false">(T1424*(1-Painel!$C$40)+U1424+V1424+Painel!$C$41+Painel!$C$42*CEILING(G1424/100,1)+Painel!$C$43*CEILING(G1424,1)+Z1424)/(1-Resumo!$B$5)</f>
        <v>144.125420454545</v>
      </c>
      <c r="AJ1424" s="60" t="str">
        <f aca="false">IF(AI1424&lt;S1424,"SIM","NÃO")</f>
        <v>SIM</v>
      </c>
    </row>
    <row r="1425" customFormat="false" ht="15" hidden="false" customHeight="false" outlineLevel="0" collapsed="false">
      <c r="A1425" s="59" t="n">
        <v>46261.4814814815</v>
      </c>
      <c r="B1425" s="60" t="s">
        <v>1687</v>
      </c>
      <c r="C1425" s="60" t="n">
        <v>21371440</v>
      </c>
      <c r="D1425" s="60" t="s">
        <v>46</v>
      </c>
      <c r="E1425" s="60" t="s">
        <v>22</v>
      </c>
      <c r="F1425" s="60" t="s">
        <v>236</v>
      </c>
      <c r="G1425" s="60" t="n">
        <v>51.3</v>
      </c>
      <c r="H1425" s="61" t="n">
        <v>669.95</v>
      </c>
      <c r="I1425" s="61" t="n">
        <v>58.6</v>
      </c>
      <c r="J1425" s="61" t="n">
        <f aca="false">H1425*Resumo!$C$6</f>
        <v>0</v>
      </c>
      <c r="K1425" s="61" t="n">
        <f aca="false">H1425*Resumo!$C$7</f>
        <v>1.406895</v>
      </c>
      <c r="L1425" s="61" t="n">
        <f aca="false">H1425*Resumo!$C$8</f>
        <v>1.406895</v>
      </c>
      <c r="M1425" s="61" t="n">
        <f aca="false">Resumo!$C$10*CEILING(G1425/100,1)</f>
        <v>1.05</v>
      </c>
      <c r="N1425" s="61" t="n">
        <f aca="false">Resumo!$C$9</f>
        <v>0</v>
      </c>
      <c r="O1425" s="61" t="n">
        <f aca="false">Resumo!$C$13</f>
        <v>13.55</v>
      </c>
      <c r="P1425" s="61" t="n">
        <f aca="false">Resumo!$C$14*CEILING(G1425,1)</f>
        <v>23.4</v>
      </c>
      <c r="Q1425" s="61" t="n">
        <f aca="false">SUM(I1425:P1425)*Resumo!$C$11</f>
        <v>0</v>
      </c>
      <c r="R1425" s="61" t="n">
        <f aca="false">SUM(I1425:Q1425)</f>
        <v>99.41379</v>
      </c>
      <c r="S1425" s="61" t="n">
        <f aca="false">R1425/(1-Resumo!$C$5)</f>
        <v>112.970215909091</v>
      </c>
      <c r="T1425" s="61" t="n">
        <v>112.3</v>
      </c>
      <c r="U1425" s="61" t="n">
        <f aca="false">H1425*Resumo!$B$6</f>
        <v>0.66995</v>
      </c>
      <c r="V1425" s="61" t="n">
        <f aca="false">H1425*Resumo!$B$7</f>
        <v>1.3399</v>
      </c>
      <c r="W1425" s="61" t="n">
        <f aca="false">Resumo!$B$9</f>
        <v>1</v>
      </c>
      <c r="X1425" s="61" t="n">
        <f aca="false">Resumo!$B$10*CEILING(G1425/100,1)</f>
        <v>4.5</v>
      </c>
      <c r="Y1425" s="61" t="n">
        <f aca="false">Resumo!$B$12*CEILING(G1425,1)</f>
        <v>3.12</v>
      </c>
      <c r="Z1425" s="61" t="n">
        <f aca="false">Resumo!$B$14*CEILING(G1425,1)</f>
        <v>23.4</v>
      </c>
      <c r="AA1425" s="61" t="n">
        <f aca="false">SUM(T1425:Z1425)</f>
        <v>146.32985</v>
      </c>
      <c r="AB1425" s="61" t="n">
        <f aca="false">AA1425/(1-Resumo!$B$5)</f>
        <v>166.283920454545</v>
      </c>
      <c r="AC1425" s="61" t="n">
        <f aca="false">AB1425-S1425</f>
        <v>53.3137045454545</v>
      </c>
      <c r="AD1425" s="62" t="n">
        <f aca="false">AB1425/S1425-1</f>
        <v>0.471927083757696</v>
      </c>
      <c r="AE1425" s="60" t="str">
        <f aca="false">IF(AB1425&lt;S1425,"SIM","NÃO")</f>
        <v>NÃO</v>
      </c>
      <c r="AF1425" s="60" t="n">
        <v>2</v>
      </c>
      <c r="AG1425" s="60" t="n">
        <v>5</v>
      </c>
      <c r="AH1425" s="60" t="s">
        <v>382</v>
      </c>
      <c r="AI1425" s="61" t="n">
        <f aca="false">(T1425*(1-Painel!$C$40)+U1425+V1425+Painel!$C$41+Painel!$C$42*CEILING(G1425/100,1)+Painel!$C$43*CEILING(G1425,1)+Z1425)/(1-Resumo!$B$5)</f>
        <v>116.705511363636</v>
      </c>
      <c r="AJ1425" s="60" t="str">
        <f aca="false">IF(AI1425&lt;S1425,"SIM","NÃO")</f>
        <v>NÃO</v>
      </c>
    </row>
    <row r="1426" customFormat="false" ht="15" hidden="false" customHeight="false" outlineLevel="0" collapsed="false">
      <c r="A1426" s="59" t="n">
        <v>46261.499837963</v>
      </c>
      <c r="B1426" s="60" t="s">
        <v>1688</v>
      </c>
      <c r="C1426" s="60" t="n">
        <v>28625570</v>
      </c>
      <c r="D1426" s="60" t="s">
        <v>226</v>
      </c>
      <c r="E1426" s="60" t="s">
        <v>24</v>
      </c>
      <c r="F1426" s="60" t="s">
        <v>240</v>
      </c>
      <c r="G1426" s="60" t="n">
        <v>117.5</v>
      </c>
      <c r="H1426" s="61" t="n">
        <v>1239</v>
      </c>
      <c r="I1426" s="61" t="n">
        <v>119.5</v>
      </c>
      <c r="J1426" s="61" t="n">
        <f aca="false">H1426*Resumo!$C$6</f>
        <v>0</v>
      </c>
      <c r="K1426" s="61" t="n">
        <f aca="false">H1426*Resumo!$C$7</f>
        <v>2.6019</v>
      </c>
      <c r="L1426" s="61" t="n">
        <f aca="false">H1426*Resumo!$C$8</f>
        <v>2.6019</v>
      </c>
      <c r="M1426" s="61" t="n">
        <f aca="false">Resumo!$C$10*CEILING(G1426/100,1)</f>
        <v>2.1</v>
      </c>
      <c r="N1426" s="61" t="n">
        <f aca="false">Resumo!$C$9</f>
        <v>0</v>
      </c>
      <c r="O1426" s="61" t="n">
        <f aca="false">Resumo!$C$13</f>
        <v>13.55</v>
      </c>
      <c r="P1426" s="61" t="n">
        <f aca="false">Resumo!$C$14*CEILING(G1426,1)</f>
        <v>53.1</v>
      </c>
      <c r="Q1426" s="61" t="n">
        <f aca="false">SUM(I1426:P1426)*Resumo!$C$11</f>
        <v>0</v>
      </c>
      <c r="R1426" s="61" t="n">
        <f aca="false">SUM(I1426:Q1426)</f>
        <v>193.4538</v>
      </c>
      <c r="S1426" s="61" t="n">
        <f aca="false">R1426/(1-Resumo!$C$5)</f>
        <v>219.833863636364</v>
      </c>
      <c r="T1426" s="61" t="n">
        <v>236.82</v>
      </c>
      <c r="U1426" s="61" t="n">
        <f aca="false">H1426*Resumo!$B$6</f>
        <v>1.239</v>
      </c>
      <c r="V1426" s="61" t="n">
        <f aca="false">H1426*Resumo!$B$7</f>
        <v>2.478</v>
      </c>
      <c r="W1426" s="61" t="n">
        <f aca="false">Resumo!$B$9</f>
        <v>1</v>
      </c>
      <c r="X1426" s="61" t="n">
        <f aca="false">Resumo!$B$10*CEILING(G1426/100,1)</f>
        <v>9</v>
      </c>
      <c r="Y1426" s="61" t="n">
        <f aca="false">Resumo!$B$12*CEILING(G1426,1)</f>
        <v>7.08</v>
      </c>
      <c r="Z1426" s="61" t="n">
        <f aca="false">Resumo!$B$14*CEILING(G1426,1)</f>
        <v>53.1</v>
      </c>
      <c r="AA1426" s="61" t="n">
        <f aca="false">SUM(T1426:Z1426)</f>
        <v>310.717</v>
      </c>
      <c r="AB1426" s="61" t="n">
        <f aca="false">AA1426/(1-Resumo!$B$5)</f>
        <v>353.0875</v>
      </c>
      <c r="AC1426" s="61" t="n">
        <f aca="false">AB1426-S1426</f>
        <v>133.253636363636</v>
      </c>
      <c r="AD1426" s="62" t="n">
        <f aca="false">AB1426/S1426-1</f>
        <v>0.606156095150367</v>
      </c>
      <c r="AE1426" s="60" t="str">
        <f aca="false">IF(AB1426&lt;S1426,"SIM","NÃO")</f>
        <v>NÃO</v>
      </c>
      <c r="AF1426" s="60" t="n">
        <v>13</v>
      </c>
      <c r="AG1426" s="60" t="n">
        <v>10</v>
      </c>
      <c r="AH1426" s="60" t="s">
        <v>382</v>
      </c>
      <c r="AI1426" s="61" t="n">
        <f aca="false">(T1426*(1-Painel!$C$40)+U1426+V1426+Painel!$C$41+Painel!$C$42*CEILING(G1426/100,1)+Painel!$C$43*CEILING(G1426,1)+Z1426)/(1-Resumo!$B$5)</f>
        <v>248.393636363636</v>
      </c>
      <c r="AJ1426" s="60" t="str">
        <f aca="false">IF(AI1426&lt;S1426,"SIM","NÃO")</f>
        <v>NÃO</v>
      </c>
    </row>
    <row r="1427" customFormat="false" ht="15" hidden="false" customHeight="false" outlineLevel="0" collapsed="false">
      <c r="A1427" s="59" t="n">
        <v>46261.6111689815</v>
      </c>
      <c r="B1427" s="60" t="s">
        <v>1106</v>
      </c>
      <c r="C1427" s="60" t="n">
        <v>28415000</v>
      </c>
      <c r="D1427" s="60" t="s">
        <v>314</v>
      </c>
      <c r="E1427" s="60" t="s">
        <v>24</v>
      </c>
      <c r="F1427" s="60" t="s">
        <v>235</v>
      </c>
      <c r="G1427" s="60" t="n">
        <v>46.8</v>
      </c>
      <c r="H1427" s="61" t="n">
        <v>599.99</v>
      </c>
      <c r="I1427" s="61" t="n">
        <v>77.7</v>
      </c>
      <c r="J1427" s="61" t="n">
        <f aca="false">H1427*Resumo!$C$6</f>
        <v>0</v>
      </c>
      <c r="K1427" s="61" t="n">
        <f aca="false">H1427*Resumo!$C$7</f>
        <v>1.259979</v>
      </c>
      <c r="L1427" s="61" t="n">
        <f aca="false">H1427*Resumo!$C$8</f>
        <v>1.259979</v>
      </c>
      <c r="M1427" s="61" t="n">
        <f aca="false">Resumo!$C$10*CEILING(G1427/100,1)</f>
        <v>1.05</v>
      </c>
      <c r="N1427" s="61" t="n">
        <f aca="false">Resumo!$C$9</f>
        <v>0</v>
      </c>
      <c r="O1427" s="61" t="n">
        <f aca="false">Resumo!$C$13</f>
        <v>13.55</v>
      </c>
      <c r="P1427" s="61" t="n">
        <f aca="false">Resumo!$C$14*CEILING(G1427,1)</f>
        <v>21.15</v>
      </c>
      <c r="Q1427" s="61" t="n">
        <f aca="false">SUM(I1427:P1427)*Resumo!$C$11</f>
        <v>0</v>
      </c>
      <c r="R1427" s="61" t="n">
        <f aca="false">SUM(I1427:Q1427)</f>
        <v>115.969958</v>
      </c>
      <c r="S1427" s="61" t="n">
        <f aca="false">R1427/(1-Resumo!$C$5)</f>
        <v>131.784043181818</v>
      </c>
      <c r="T1427" s="61" t="n">
        <v>152.54</v>
      </c>
      <c r="U1427" s="61" t="n">
        <f aca="false">H1427*Resumo!$B$6</f>
        <v>0.59999</v>
      </c>
      <c r="V1427" s="61" t="n">
        <f aca="false">H1427*Resumo!$B$7</f>
        <v>1.19998</v>
      </c>
      <c r="W1427" s="61" t="n">
        <f aca="false">Resumo!$B$9</f>
        <v>1</v>
      </c>
      <c r="X1427" s="61" t="n">
        <f aca="false">Resumo!$B$10*CEILING(G1427/100,1)</f>
        <v>4.5</v>
      </c>
      <c r="Y1427" s="61" t="n">
        <f aca="false">Resumo!$B$12*CEILING(G1427,1)</f>
        <v>2.82</v>
      </c>
      <c r="Z1427" s="61" t="n">
        <f aca="false">Resumo!$B$14*CEILING(G1427,1)</f>
        <v>21.15</v>
      </c>
      <c r="AA1427" s="61" t="n">
        <f aca="false">SUM(T1427:Z1427)</f>
        <v>183.80997</v>
      </c>
      <c r="AB1427" s="61" t="n">
        <f aca="false">AA1427/(1-Resumo!$B$5)</f>
        <v>208.874965909091</v>
      </c>
      <c r="AC1427" s="61" t="n">
        <f aca="false">AB1427-S1427</f>
        <v>77.0909227272727</v>
      </c>
      <c r="AD1427" s="62" t="n">
        <f aca="false">AB1427/S1427-1</f>
        <v>0.584979189179322</v>
      </c>
      <c r="AE1427" s="60" t="str">
        <f aca="false">IF(AB1427&lt;S1427,"SIM","NÃO")</f>
        <v>NÃO</v>
      </c>
      <c r="AF1427" s="60" t="n">
        <v>13</v>
      </c>
      <c r="AG1427" s="60" t="n">
        <v>11</v>
      </c>
      <c r="AH1427" s="60" t="s">
        <v>385</v>
      </c>
      <c r="AI1427" s="61" t="n">
        <f aca="false">(T1427*(1-Painel!$C$40)+U1427+V1427+Painel!$C$41+Painel!$C$42*CEILING(G1427/100,1)+Painel!$C$43*CEILING(G1427,1)+Z1427)/(1-Resumo!$B$5)</f>
        <v>144.547465909091</v>
      </c>
      <c r="AJ1427" s="60" t="str">
        <f aca="false">IF(AI1427&lt;S1427,"SIM","NÃO")</f>
        <v>NÃO</v>
      </c>
    </row>
    <row r="1428" customFormat="false" ht="15" hidden="false" customHeight="false" outlineLevel="0" collapsed="false">
      <c r="A1428" s="59" t="n">
        <v>46261.6361805556</v>
      </c>
      <c r="B1428" s="60" t="s">
        <v>1689</v>
      </c>
      <c r="C1428" s="60" t="n">
        <v>23035146</v>
      </c>
      <c r="D1428" s="60" t="s">
        <v>46</v>
      </c>
      <c r="E1428" s="60" t="s">
        <v>22</v>
      </c>
      <c r="F1428" s="60" t="s">
        <v>241</v>
      </c>
      <c r="G1428" s="60" t="n">
        <v>128.1</v>
      </c>
      <c r="H1428" s="61" t="n">
        <v>1529.99</v>
      </c>
      <c r="I1428" s="61" t="n">
        <v>120.59</v>
      </c>
      <c r="J1428" s="61" t="n">
        <f aca="false">H1428*Resumo!$C$6</f>
        <v>0</v>
      </c>
      <c r="K1428" s="61" t="n">
        <f aca="false">H1428*Resumo!$C$7</f>
        <v>3.212979</v>
      </c>
      <c r="L1428" s="61" t="n">
        <f aca="false">H1428*Resumo!$C$8</f>
        <v>3.212979</v>
      </c>
      <c r="M1428" s="61" t="n">
        <f aca="false">Resumo!$C$10*CEILING(G1428/100,1)</f>
        <v>2.1</v>
      </c>
      <c r="N1428" s="61" t="n">
        <f aca="false">Resumo!$C$9</f>
        <v>0</v>
      </c>
      <c r="O1428" s="61" t="n">
        <f aca="false">Resumo!$C$13</f>
        <v>13.55</v>
      </c>
      <c r="P1428" s="61" t="n">
        <f aca="false">Resumo!$C$14*CEILING(G1428,1)</f>
        <v>58.05</v>
      </c>
      <c r="Q1428" s="61" t="n">
        <f aca="false">SUM(I1428:P1428)*Resumo!$C$11</f>
        <v>0</v>
      </c>
      <c r="R1428" s="61" t="n">
        <f aca="false">SUM(I1428:Q1428)</f>
        <v>200.715958</v>
      </c>
      <c r="S1428" s="61" t="n">
        <f aca="false">R1428/(1-Resumo!$C$5)</f>
        <v>228.086315909091</v>
      </c>
      <c r="T1428" s="61" t="n">
        <v>239.25</v>
      </c>
      <c r="U1428" s="61" t="n">
        <f aca="false">H1428*Resumo!$B$6</f>
        <v>1.52999</v>
      </c>
      <c r="V1428" s="61" t="n">
        <f aca="false">H1428*Resumo!$B$7</f>
        <v>3.05998</v>
      </c>
      <c r="W1428" s="61" t="n">
        <f aca="false">Resumo!$B$9</f>
        <v>1</v>
      </c>
      <c r="X1428" s="61" t="n">
        <f aca="false">Resumo!$B$10*CEILING(G1428/100,1)</f>
        <v>9</v>
      </c>
      <c r="Y1428" s="61" t="n">
        <f aca="false">Resumo!$B$12*CEILING(G1428,1)</f>
        <v>7.74</v>
      </c>
      <c r="Z1428" s="61" t="n">
        <f aca="false">Resumo!$B$14*CEILING(G1428,1)</f>
        <v>58.05</v>
      </c>
      <c r="AA1428" s="61" t="n">
        <f aca="false">SUM(T1428:Z1428)</f>
        <v>319.62997</v>
      </c>
      <c r="AB1428" s="61" t="n">
        <f aca="false">AA1428/(1-Resumo!$B$5)</f>
        <v>363.215875</v>
      </c>
      <c r="AC1428" s="61" t="n">
        <f aca="false">AB1428-S1428</f>
        <v>135.129559090909</v>
      </c>
      <c r="AD1428" s="62" t="n">
        <f aca="false">AB1428/S1428-1</f>
        <v>0.592449216220267</v>
      </c>
      <c r="AE1428" s="60" t="str">
        <f aca="false">IF(AB1428&lt;S1428,"SIM","NÃO")</f>
        <v>NÃO</v>
      </c>
      <c r="AF1428" s="60" t="n">
        <v>2</v>
      </c>
      <c r="AG1428" s="60" t="n">
        <v>5</v>
      </c>
      <c r="AH1428" s="60" t="s">
        <v>382</v>
      </c>
      <c r="AI1428" s="61" t="n">
        <f aca="false">(T1428*(1-Painel!$C$40)+U1428+V1428+Painel!$C$41+Painel!$C$42*CEILING(G1428/100,1)+Painel!$C$43*CEILING(G1428,1)+Z1428)/(1-Resumo!$B$5)</f>
        <v>256.860761363636</v>
      </c>
      <c r="AJ1428" s="60" t="str">
        <f aca="false">IF(AI1428&lt;S1428,"SIM","NÃO")</f>
        <v>NÃO</v>
      </c>
    </row>
    <row r="1429" customFormat="false" ht="15" hidden="false" customHeight="false" outlineLevel="0" collapsed="false">
      <c r="A1429" s="59" t="n">
        <v>46261.6371412037</v>
      </c>
      <c r="B1429" s="60" t="s">
        <v>1690</v>
      </c>
      <c r="C1429" s="60" t="n">
        <v>24736210</v>
      </c>
      <c r="D1429" s="60" t="s">
        <v>47</v>
      </c>
      <c r="E1429" s="60" t="s">
        <v>23</v>
      </c>
      <c r="F1429" s="60" t="s">
        <v>233</v>
      </c>
      <c r="G1429" s="60" t="n">
        <v>22.6</v>
      </c>
      <c r="H1429" s="61" t="n">
        <v>489.95</v>
      </c>
      <c r="I1429" s="61" t="n">
        <v>58.8</v>
      </c>
      <c r="J1429" s="61" t="n">
        <f aca="false">H1429*Resumo!$C$6</f>
        <v>0</v>
      </c>
      <c r="K1429" s="61" t="n">
        <f aca="false">H1429*Resumo!$C$7</f>
        <v>1.028895</v>
      </c>
      <c r="L1429" s="61" t="n">
        <f aca="false">H1429*Resumo!$C$8</f>
        <v>1.028895</v>
      </c>
      <c r="M1429" s="61" t="n">
        <f aca="false">Resumo!$C$10*CEILING(G1429/100,1)</f>
        <v>1.05</v>
      </c>
      <c r="N1429" s="61" t="n">
        <f aca="false">Resumo!$C$9</f>
        <v>0</v>
      </c>
      <c r="O1429" s="61" t="n">
        <f aca="false">Resumo!$C$13</f>
        <v>13.55</v>
      </c>
      <c r="P1429" s="61" t="n">
        <f aca="false">Resumo!$C$14*CEILING(G1429,1)</f>
        <v>10.35</v>
      </c>
      <c r="Q1429" s="61" t="n">
        <f aca="false">SUM(I1429:P1429)*Resumo!$C$11</f>
        <v>0</v>
      </c>
      <c r="R1429" s="61" t="n">
        <f aca="false">SUM(I1429:Q1429)</f>
        <v>85.80779</v>
      </c>
      <c r="S1429" s="61" t="n">
        <f aca="false">R1429/(1-Resumo!$C$5)</f>
        <v>97.5088522727273</v>
      </c>
      <c r="T1429" s="61" t="n">
        <v>100.58</v>
      </c>
      <c r="U1429" s="61" t="n">
        <f aca="false">H1429*Resumo!$B$6</f>
        <v>0.48995</v>
      </c>
      <c r="V1429" s="61" t="n">
        <f aca="false">H1429*Resumo!$B$7</f>
        <v>0.9799</v>
      </c>
      <c r="W1429" s="61" t="n">
        <f aca="false">Resumo!$B$9</f>
        <v>1</v>
      </c>
      <c r="X1429" s="61" t="n">
        <f aca="false">Resumo!$B$10*CEILING(G1429/100,1)</f>
        <v>4.5</v>
      </c>
      <c r="Y1429" s="61" t="n">
        <f aca="false">Resumo!$B$12*CEILING(G1429,1)</f>
        <v>1.38</v>
      </c>
      <c r="Z1429" s="61" t="n">
        <f aca="false">Resumo!$B$14*CEILING(G1429,1)</f>
        <v>10.35</v>
      </c>
      <c r="AA1429" s="61" t="n">
        <f aca="false">SUM(T1429:Z1429)</f>
        <v>119.27985</v>
      </c>
      <c r="AB1429" s="61" t="n">
        <f aca="false">AA1429/(1-Resumo!$B$5)</f>
        <v>135.545284090909</v>
      </c>
      <c r="AC1429" s="61" t="n">
        <f aca="false">AB1429-S1429</f>
        <v>38.0364318181818</v>
      </c>
      <c r="AD1429" s="62" t="n">
        <f aca="false">AB1429/S1429-1</f>
        <v>0.390081832896524</v>
      </c>
      <c r="AE1429" s="60" t="str">
        <f aca="false">IF(AB1429&lt;S1429,"SIM","NÃO")</f>
        <v>NÃO</v>
      </c>
      <c r="AF1429" s="60" t="n">
        <v>2</v>
      </c>
      <c r="AG1429" s="60" t="n">
        <v>7</v>
      </c>
      <c r="AH1429" s="60" t="s">
        <v>382</v>
      </c>
      <c r="AI1429" s="61" t="n">
        <f aca="false">(T1429*(1-Painel!$C$40)+U1429+V1429+Painel!$C$41+Painel!$C$42*CEILING(G1429/100,1)+Painel!$C$43*CEILING(G1429,1)+Z1429)/(1-Resumo!$B$5)</f>
        <v>92.3391477272727</v>
      </c>
      <c r="AJ1429" s="60" t="str">
        <f aca="false">IF(AI1429&lt;S1429,"SIM","NÃO")</f>
        <v>SIM</v>
      </c>
    </row>
    <row r="1430" customFormat="false" ht="15" hidden="false" customHeight="false" outlineLevel="0" collapsed="false">
      <c r="A1430" s="59" t="n">
        <v>46261.7076273148</v>
      </c>
      <c r="B1430" s="60" t="s">
        <v>1691</v>
      </c>
      <c r="C1430" s="60" t="n">
        <v>25651075</v>
      </c>
      <c r="D1430" s="60" t="s">
        <v>219</v>
      </c>
      <c r="E1430" s="60" t="s">
        <v>24</v>
      </c>
      <c r="F1430" s="60" t="s">
        <v>239</v>
      </c>
      <c r="G1430" s="60" t="n">
        <v>90</v>
      </c>
      <c r="H1430" s="61" t="n">
        <v>859.99</v>
      </c>
      <c r="I1430" s="61" t="n">
        <v>109.63</v>
      </c>
      <c r="J1430" s="61" t="n">
        <f aca="false">H1430*Resumo!$C$6</f>
        <v>0</v>
      </c>
      <c r="K1430" s="61" t="n">
        <f aca="false">H1430*Resumo!$C$7</f>
        <v>1.805979</v>
      </c>
      <c r="L1430" s="61" t="n">
        <f aca="false">H1430*Resumo!$C$8</f>
        <v>1.805979</v>
      </c>
      <c r="M1430" s="61" t="n">
        <f aca="false">Resumo!$C$10*CEILING(G1430/100,1)</f>
        <v>1.05</v>
      </c>
      <c r="N1430" s="61" t="n">
        <f aca="false">Resumo!$C$9</f>
        <v>0</v>
      </c>
      <c r="O1430" s="61" t="n">
        <f aca="false">Resumo!$C$13</f>
        <v>13.55</v>
      </c>
      <c r="P1430" s="61" t="n">
        <f aca="false">Resumo!$C$14*CEILING(G1430,1)</f>
        <v>40.5</v>
      </c>
      <c r="Q1430" s="61" t="n">
        <f aca="false">SUM(I1430:P1430)*Resumo!$C$11</f>
        <v>0</v>
      </c>
      <c r="R1430" s="61" t="n">
        <f aca="false">SUM(I1430:Q1430)</f>
        <v>168.341958</v>
      </c>
      <c r="S1430" s="61" t="n">
        <f aca="false">R1430/(1-Resumo!$C$5)</f>
        <v>191.297679545455</v>
      </c>
      <c r="T1430" s="61" t="n">
        <v>197.35</v>
      </c>
      <c r="U1430" s="61" t="n">
        <f aca="false">H1430*Resumo!$B$6</f>
        <v>0.85999</v>
      </c>
      <c r="V1430" s="61" t="n">
        <f aca="false">H1430*Resumo!$B$7</f>
        <v>1.71998</v>
      </c>
      <c r="W1430" s="61" t="n">
        <f aca="false">Resumo!$B$9</f>
        <v>1</v>
      </c>
      <c r="X1430" s="61" t="n">
        <f aca="false">Resumo!$B$10*CEILING(G1430/100,1)</f>
        <v>4.5</v>
      </c>
      <c r="Y1430" s="61" t="n">
        <f aca="false">Resumo!$B$12*CEILING(G1430,1)</f>
        <v>5.4</v>
      </c>
      <c r="Z1430" s="61" t="n">
        <f aca="false">Resumo!$B$14*CEILING(G1430,1)</f>
        <v>40.5</v>
      </c>
      <c r="AA1430" s="61" t="n">
        <f aca="false">SUM(T1430:Z1430)</f>
        <v>251.32997</v>
      </c>
      <c r="AB1430" s="61" t="n">
        <f aca="false">AA1430/(1-Resumo!$B$5)</f>
        <v>285.602238636364</v>
      </c>
      <c r="AC1430" s="61" t="n">
        <f aca="false">AB1430-S1430</f>
        <v>94.3045590909092</v>
      </c>
      <c r="AD1430" s="62" t="n">
        <f aca="false">AB1430/S1430-1</f>
        <v>0.492972833308735</v>
      </c>
      <c r="AE1430" s="60" t="str">
        <f aca="false">IF(AB1430&lt;S1430,"SIM","NÃO")</f>
        <v>NÃO</v>
      </c>
      <c r="AF1430" s="60" t="n">
        <v>13</v>
      </c>
      <c r="AG1430" s="60" t="n">
        <v>8</v>
      </c>
      <c r="AH1430" s="60" t="s">
        <v>382</v>
      </c>
      <c r="AI1430" s="61" t="n">
        <f aca="false">(T1430*(1-Painel!$C$40)+U1430+V1430+Painel!$C$41+Painel!$C$42*CEILING(G1430/100,1)+Painel!$C$43*CEILING(G1430,1)+Z1430)/(1-Resumo!$B$5)</f>
        <v>201.539170454545</v>
      </c>
      <c r="AJ1430" s="60" t="str">
        <f aca="false">IF(AI1430&lt;S1430,"SIM","NÃO")</f>
        <v>NÃO</v>
      </c>
    </row>
    <row r="1431" customFormat="false" ht="15" hidden="false" customHeight="false" outlineLevel="0" collapsed="false">
      <c r="A1431" s="59" t="n">
        <v>46261.7096527778</v>
      </c>
      <c r="B1431" s="60" t="s">
        <v>1692</v>
      </c>
      <c r="C1431" s="60" t="n">
        <v>22770580</v>
      </c>
      <c r="D1431" s="60" t="s">
        <v>46</v>
      </c>
      <c r="E1431" s="60" t="s">
        <v>22</v>
      </c>
      <c r="F1431" s="60" t="s">
        <v>232</v>
      </c>
      <c r="G1431" s="60" t="n">
        <v>13.18</v>
      </c>
      <c r="H1431" s="61" t="n">
        <v>246.99</v>
      </c>
      <c r="I1431" s="61" t="n">
        <v>33.42</v>
      </c>
      <c r="J1431" s="61" t="n">
        <f aca="false">H1431*Resumo!$C$6</f>
        <v>0</v>
      </c>
      <c r="K1431" s="61" t="n">
        <f aca="false">H1431*Resumo!$C$7</f>
        <v>0.518679</v>
      </c>
      <c r="L1431" s="61" t="n">
        <f aca="false">H1431*Resumo!$C$8</f>
        <v>0.518679</v>
      </c>
      <c r="M1431" s="61" t="n">
        <f aca="false">Resumo!$C$10*CEILING(G1431/100,1)</f>
        <v>1.05</v>
      </c>
      <c r="N1431" s="61" t="n">
        <f aca="false">Resumo!$C$9</f>
        <v>0</v>
      </c>
      <c r="O1431" s="61" t="n">
        <f aca="false">Resumo!$C$13</f>
        <v>13.55</v>
      </c>
      <c r="P1431" s="61" t="n">
        <f aca="false">Resumo!$C$14*CEILING(G1431,1)</f>
        <v>6.3</v>
      </c>
      <c r="Q1431" s="61" t="n">
        <f aca="false">SUM(I1431:P1431)*Resumo!$C$11</f>
        <v>0</v>
      </c>
      <c r="R1431" s="61" t="n">
        <f aca="false">SUM(I1431:Q1431)</f>
        <v>55.357358</v>
      </c>
      <c r="S1431" s="61" t="n">
        <f aca="false">R1431/(1-Resumo!$C$5)</f>
        <v>62.9060886363636</v>
      </c>
      <c r="T1431" s="61" t="n">
        <v>46.98</v>
      </c>
      <c r="U1431" s="61" t="n">
        <f aca="false">H1431*Resumo!$B$6</f>
        <v>0.24699</v>
      </c>
      <c r="V1431" s="61" t="n">
        <f aca="false">H1431*Resumo!$B$7</f>
        <v>0.49398</v>
      </c>
      <c r="W1431" s="61" t="n">
        <f aca="false">Resumo!$B$9</f>
        <v>1</v>
      </c>
      <c r="X1431" s="61" t="n">
        <f aca="false">Resumo!$B$10*CEILING(G1431/100,1)</f>
        <v>4.5</v>
      </c>
      <c r="Y1431" s="61" t="n">
        <f aca="false">Resumo!$B$12*CEILING(G1431,1)</f>
        <v>0.84</v>
      </c>
      <c r="Z1431" s="61" t="n">
        <f aca="false">Resumo!$B$14*CEILING(G1431,1)</f>
        <v>6.3</v>
      </c>
      <c r="AA1431" s="61" t="n">
        <f aca="false">SUM(T1431:Z1431)</f>
        <v>60.36097</v>
      </c>
      <c r="AB1431" s="61" t="n">
        <f aca="false">AA1431/(1-Resumo!$B$5)</f>
        <v>68.5920113636364</v>
      </c>
      <c r="AC1431" s="61" t="n">
        <f aca="false">AB1431-S1431</f>
        <v>5.68592272727273</v>
      </c>
      <c r="AD1431" s="62" t="n">
        <f aca="false">AB1431/S1431-1</f>
        <v>0.0903874783908583</v>
      </c>
      <c r="AE1431" s="60" t="str">
        <f aca="false">IF(AB1431&lt;S1431,"SIM","NÃO")</f>
        <v>NÃO</v>
      </c>
      <c r="AF1431" s="60" t="n">
        <v>2</v>
      </c>
      <c r="AG1431" s="60" t="n">
        <v>5</v>
      </c>
      <c r="AH1431" s="60" t="s">
        <v>382</v>
      </c>
      <c r="AI1431" s="61" t="n">
        <f aca="false">(T1431*(1-Painel!$C$40)+U1431+V1431+Painel!$C$41+Painel!$C$42*CEILING(G1431/100,1)+Painel!$C$43*CEILING(G1431,1)+Z1431)/(1-Resumo!$B$5)</f>
        <v>46.0995113636364</v>
      </c>
      <c r="AJ1431" s="60" t="str">
        <f aca="false">IF(AI1431&lt;S1431,"SIM","NÃO")</f>
        <v>SIM</v>
      </c>
    </row>
    <row r="1432" customFormat="false" ht="15" hidden="false" customHeight="false" outlineLevel="0" collapsed="false">
      <c r="A1432" s="59" t="n">
        <v>46261.7237615741</v>
      </c>
      <c r="B1432" s="60" t="s">
        <v>1693</v>
      </c>
      <c r="C1432" s="60" t="n">
        <v>28220000</v>
      </c>
      <c r="D1432" s="60" t="s">
        <v>305</v>
      </c>
      <c r="E1432" s="60" t="s">
        <v>24</v>
      </c>
      <c r="F1432" s="60" t="s">
        <v>232</v>
      </c>
      <c r="G1432" s="60" t="n">
        <v>19.9</v>
      </c>
      <c r="H1432" s="61" t="n">
        <v>299.99</v>
      </c>
      <c r="I1432" s="61" t="n">
        <v>46.95</v>
      </c>
      <c r="J1432" s="61" t="n">
        <f aca="false">H1432*Resumo!$C$6</f>
        <v>0</v>
      </c>
      <c r="K1432" s="61" t="n">
        <f aca="false">H1432*Resumo!$C$7</f>
        <v>0.629979</v>
      </c>
      <c r="L1432" s="61" t="n">
        <f aca="false">H1432*Resumo!$C$8</f>
        <v>0.629979</v>
      </c>
      <c r="M1432" s="61" t="n">
        <f aca="false">Resumo!$C$10*CEILING(G1432/100,1)</f>
        <v>1.05</v>
      </c>
      <c r="N1432" s="61" t="n">
        <f aca="false">Resumo!$C$9</f>
        <v>0</v>
      </c>
      <c r="O1432" s="61" t="n">
        <f aca="false">Resumo!$C$13</f>
        <v>13.55</v>
      </c>
      <c r="P1432" s="61" t="n">
        <f aca="false">Resumo!$C$14*CEILING(G1432,1)</f>
        <v>9</v>
      </c>
      <c r="Q1432" s="61" t="n">
        <f aca="false">SUM(I1432:P1432)*Resumo!$C$11</f>
        <v>0</v>
      </c>
      <c r="R1432" s="61" t="n">
        <f aca="false">SUM(I1432:Q1432)</f>
        <v>71.809958</v>
      </c>
      <c r="S1432" s="61" t="n">
        <f aca="false">R1432/(1-Resumo!$C$5)</f>
        <v>81.602225</v>
      </c>
      <c r="T1432" s="61" t="n">
        <v>124.04</v>
      </c>
      <c r="U1432" s="61" t="n">
        <f aca="false">H1432*Resumo!$B$6</f>
        <v>0.29999</v>
      </c>
      <c r="V1432" s="61" t="n">
        <f aca="false">H1432*Resumo!$B$7</f>
        <v>0.59998</v>
      </c>
      <c r="W1432" s="61" t="n">
        <f aca="false">Resumo!$B$9</f>
        <v>1</v>
      </c>
      <c r="X1432" s="61" t="n">
        <f aca="false">Resumo!$B$10*CEILING(G1432/100,1)</f>
        <v>4.5</v>
      </c>
      <c r="Y1432" s="61" t="n">
        <f aca="false">Resumo!$B$12*CEILING(G1432,1)</f>
        <v>1.2</v>
      </c>
      <c r="Z1432" s="61" t="n">
        <f aca="false">Resumo!$B$14*CEILING(G1432,1)</f>
        <v>9</v>
      </c>
      <c r="AA1432" s="61" t="n">
        <f aca="false">SUM(T1432:Z1432)</f>
        <v>140.63997</v>
      </c>
      <c r="AB1432" s="61" t="n">
        <f aca="false">AA1432/(1-Resumo!$B$5)</f>
        <v>159.818147727273</v>
      </c>
      <c r="AC1432" s="61" t="n">
        <f aca="false">AB1432-S1432</f>
        <v>78.2159227272727</v>
      </c>
      <c r="AD1432" s="62" t="n">
        <f aca="false">AB1432/S1432-1</f>
        <v>0.958502329161647</v>
      </c>
      <c r="AE1432" s="60" t="str">
        <f aca="false">IF(AB1432&lt;S1432,"SIM","NÃO")</f>
        <v>NÃO</v>
      </c>
      <c r="AF1432" s="60" t="n">
        <v>13</v>
      </c>
      <c r="AG1432" s="60" t="n">
        <v>11</v>
      </c>
      <c r="AH1432" s="60" t="s">
        <v>385</v>
      </c>
      <c r="AI1432" s="61" t="n">
        <f aca="false">(T1432*(1-Painel!$C$40)+U1432+V1432+Painel!$C$41+Painel!$C$42*CEILING(G1432/100,1)+Painel!$C$43*CEILING(G1432,1)+Z1432)/(1-Resumo!$B$5)</f>
        <v>108.019056818182</v>
      </c>
      <c r="AJ1432" s="60" t="str">
        <f aca="false">IF(AI1432&lt;S1432,"SIM","NÃO")</f>
        <v>NÃO</v>
      </c>
    </row>
    <row r="1433" customFormat="false" ht="15" hidden="false" customHeight="false" outlineLevel="0" collapsed="false">
      <c r="A1433" s="59" t="n">
        <v>46261.7981134259</v>
      </c>
      <c r="B1433" s="60" t="s">
        <v>1368</v>
      </c>
      <c r="C1433" s="60" t="n">
        <v>26113660</v>
      </c>
      <c r="D1433" s="60" t="s">
        <v>52</v>
      </c>
      <c r="E1433" s="60" t="s">
        <v>23</v>
      </c>
      <c r="F1433" s="60" t="s">
        <v>237</v>
      </c>
      <c r="G1433" s="60" t="n">
        <v>63</v>
      </c>
      <c r="H1433" s="61" t="n">
        <v>829.99</v>
      </c>
      <c r="I1433" s="61" t="n">
        <v>76.55</v>
      </c>
      <c r="J1433" s="61" t="n">
        <f aca="false">H1433*Resumo!$C$6</f>
        <v>0</v>
      </c>
      <c r="K1433" s="61" t="n">
        <f aca="false">H1433*Resumo!$C$7</f>
        <v>1.742979</v>
      </c>
      <c r="L1433" s="61" t="n">
        <f aca="false">H1433*Resumo!$C$8</f>
        <v>1.742979</v>
      </c>
      <c r="M1433" s="61" t="n">
        <f aca="false">Resumo!$C$10*CEILING(G1433/100,1)</f>
        <v>1.05</v>
      </c>
      <c r="N1433" s="61" t="n">
        <f aca="false">Resumo!$C$9</f>
        <v>0</v>
      </c>
      <c r="O1433" s="61" t="n">
        <f aca="false">Resumo!$C$13</f>
        <v>13.55</v>
      </c>
      <c r="P1433" s="61" t="n">
        <f aca="false">Resumo!$C$14*CEILING(G1433,1)</f>
        <v>28.35</v>
      </c>
      <c r="Q1433" s="61" t="n">
        <f aca="false">SUM(I1433:P1433)*Resumo!$C$11</f>
        <v>0</v>
      </c>
      <c r="R1433" s="61" t="n">
        <f aca="false">SUM(I1433:Q1433)</f>
        <v>122.985958</v>
      </c>
      <c r="S1433" s="61" t="n">
        <f aca="false">R1433/(1-Resumo!$C$5)</f>
        <v>139.756770454545</v>
      </c>
      <c r="T1433" s="61" t="n">
        <v>131.02</v>
      </c>
      <c r="U1433" s="61" t="n">
        <f aca="false">H1433*Resumo!$B$6</f>
        <v>0.82999</v>
      </c>
      <c r="V1433" s="61" t="n">
        <f aca="false">H1433*Resumo!$B$7</f>
        <v>1.65998</v>
      </c>
      <c r="W1433" s="61" t="n">
        <f aca="false">Resumo!$B$9</f>
        <v>1</v>
      </c>
      <c r="X1433" s="61" t="n">
        <f aca="false">Resumo!$B$10*CEILING(G1433/100,1)</f>
        <v>4.5</v>
      </c>
      <c r="Y1433" s="61" t="n">
        <f aca="false">Resumo!$B$12*CEILING(G1433,1)</f>
        <v>3.78</v>
      </c>
      <c r="Z1433" s="61" t="n">
        <f aca="false">Resumo!$B$14*CEILING(G1433,1)</f>
        <v>28.35</v>
      </c>
      <c r="AA1433" s="61" t="n">
        <f aca="false">SUM(T1433:Z1433)</f>
        <v>171.13997</v>
      </c>
      <c r="AB1433" s="61" t="n">
        <f aca="false">AA1433/(1-Resumo!$B$5)</f>
        <v>194.477238636364</v>
      </c>
      <c r="AC1433" s="61" t="n">
        <f aca="false">AB1433-S1433</f>
        <v>54.7204681818182</v>
      </c>
      <c r="AD1433" s="62" t="n">
        <f aca="false">AB1433/S1433-1</f>
        <v>0.391540731828913</v>
      </c>
      <c r="AE1433" s="60" t="str">
        <f aca="false">IF(AB1433&lt;S1433,"SIM","NÃO")</f>
        <v>NÃO</v>
      </c>
      <c r="AF1433" s="60" t="n">
        <v>2</v>
      </c>
      <c r="AG1433" s="60" t="n">
        <v>5</v>
      </c>
      <c r="AH1433" s="60" t="s">
        <v>382</v>
      </c>
      <c r="AI1433" s="61" t="n">
        <f aca="false">(T1433*(1-Painel!$C$40)+U1433+V1433+Painel!$C$41+Painel!$C$42*CEILING(G1433/100,1)+Painel!$C$43*CEILING(G1433,1)+Z1433)/(1-Resumo!$B$5)</f>
        <v>137.128829545455</v>
      </c>
      <c r="AJ1433" s="60" t="str">
        <f aca="false">IF(AI1433&lt;S1433,"SIM","NÃO")</f>
        <v>SIM</v>
      </c>
    </row>
    <row r="1434" customFormat="false" ht="15" hidden="false" customHeight="false" outlineLevel="0" collapsed="false">
      <c r="A1434" s="59" t="n">
        <v>46261.9417592593</v>
      </c>
      <c r="B1434" s="60" t="s">
        <v>1694</v>
      </c>
      <c r="C1434" s="60" t="n">
        <v>28981070</v>
      </c>
      <c r="D1434" s="60" t="s">
        <v>222</v>
      </c>
      <c r="E1434" s="60" t="s">
        <v>24</v>
      </c>
      <c r="F1434" s="60" t="s">
        <v>238</v>
      </c>
      <c r="G1434" s="60" t="n">
        <v>71.9</v>
      </c>
      <c r="H1434" s="61" t="n">
        <v>796.49</v>
      </c>
      <c r="I1434" s="61" t="n">
        <v>96.77</v>
      </c>
      <c r="J1434" s="61" t="n">
        <f aca="false">H1434*Resumo!$C$6</f>
        <v>0</v>
      </c>
      <c r="K1434" s="61" t="n">
        <f aca="false">H1434*Resumo!$C$7</f>
        <v>1.672629</v>
      </c>
      <c r="L1434" s="61" t="n">
        <f aca="false">H1434*Resumo!$C$8</f>
        <v>1.672629</v>
      </c>
      <c r="M1434" s="61" t="n">
        <f aca="false">Resumo!$C$10*CEILING(G1434/100,1)</f>
        <v>1.05</v>
      </c>
      <c r="N1434" s="61" t="n">
        <f aca="false">Resumo!$C$9</f>
        <v>0</v>
      </c>
      <c r="O1434" s="61" t="n">
        <f aca="false">Resumo!$C$13</f>
        <v>13.55</v>
      </c>
      <c r="P1434" s="61" t="n">
        <f aca="false">Resumo!$C$14*CEILING(G1434,1)</f>
        <v>32.4</v>
      </c>
      <c r="Q1434" s="61" t="n">
        <f aca="false">SUM(I1434:P1434)*Resumo!$C$11</f>
        <v>0</v>
      </c>
      <c r="R1434" s="61" t="n">
        <f aca="false">SUM(I1434:Q1434)</f>
        <v>147.115258</v>
      </c>
      <c r="S1434" s="61" t="n">
        <f aca="false">R1434/(1-Resumo!$C$5)</f>
        <v>167.176429545455</v>
      </c>
      <c r="T1434" s="61" t="n">
        <v>166.05</v>
      </c>
      <c r="U1434" s="61" t="n">
        <f aca="false">H1434*Resumo!$B$6</f>
        <v>0.79649</v>
      </c>
      <c r="V1434" s="61" t="n">
        <f aca="false">H1434*Resumo!$B$7</f>
        <v>1.59298</v>
      </c>
      <c r="W1434" s="61" t="n">
        <f aca="false">Resumo!$B$9</f>
        <v>1</v>
      </c>
      <c r="X1434" s="61" t="n">
        <f aca="false">Resumo!$B$10*CEILING(G1434/100,1)</f>
        <v>4.5</v>
      </c>
      <c r="Y1434" s="61" t="n">
        <f aca="false">Resumo!$B$12*CEILING(G1434,1)</f>
        <v>4.32</v>
      </c>
      <c r="Z1434" s="61" t="n">
        <f aca="false">Resumo!$B$14*CEILING(G1434,1)</f>
        <v>32.4</v>
      </c>
      <c r="AA1434" s="61" t="n">
        <f aca="false">SUM(T1434:Z1434)</f>
        <v>210.65947</v>
      </c>
      <c r="AB1434" s="61" t="n">
        <f aca="false">AA1434/(1-Resumo!$B$5)</f>
        <v>239.385761363636</v>
      </c>
      <c r="AC1434" s="61" t="n">
        <f aca="false">AB1434-S1434</f>
        <v>72.2093318181819</v>
      </c>
      <c r="AD1434" s="62" t="n">
        <f aca="false">AB1434/S1434-1</f>
        <v>0.431934884687488</v>
      </c>
      <c r="AE1434" s="60" t="str">
        <f aca="false">IF(AB1434&lt;S1434,"SIM","NÃO")</f>
        <v>NÃO</v>
      </c>
      <c r="AF1434" s="60" t="n">
        <v>13</v>
      </c>
      <c r="AG1434" s="60" t="n">
        <v>10</v>
      </c>
      <c r="AH1434" s="60" t="s">
        <v>382</v>
      </c>
      <c r="AI1434" s="61" t="n">
        <f aca="false">(T1434*(1-Painel!$C$40)+U1434+V1434+Painel!$C$41+Painel!$C$42*CEILING(G1434/100,1)+Painel!$C$43*CEILING(G1434,1)+Z1434)/(1-Resumo!$B$5)</f>
        <v>168.287465909091</v>
      </c>
      <c r="AJ1434" s="60" t="str">
        <f aca="false">IF(AI1434&lt;S1434,"SIM","NÃO")</f>
        <v>NÃO</v>
      </c>
    </row>
    <row r="1435" customFormat="false" ht="15" hidden="false" customHeight="false" outlineLevel="0" collapsed="false">
      <c r="A1435" s="59" t="n">
        <v>46261.9910185185</v>
      </c>
      <c r="B1435" s="60" t="s">
        <v>1695</v>
      </c>
      <c r="C1435" s="60" t="n">
        <v>25650230</v>
      </c>
      <c r="D1435" s="60" t="s">
        <v>219</v>
      </c>
      <c r="E1435" s="60" t="s">
        <v>24</v>
      </c>
      <c r="F1435" s="60" t="s">
        <v>238</v>
      </c>
      <c r="G1435" s="60" t="n">
        <v>71.9</v>
      </c>
      <c r="H1435" s="61" t="n">
        <v>779.69</v>
      </c>
      <c r="I1435" s="61" t="n">
        <v>96.77</v>
      </c>
      <c r="J1435" s="61" t="n">
        <f aca="false">H1435*Resumo!$C$6</f>
        <v>0</v>
      </c>
      <c r="K1435" s="61" t="n">
        <f aca="false">H1435*Resumo!$C$7</f>
        <v>1.637349</v>
      </c>
      <c r="L1435" s="61" t="n">
        <f aca="false">H1435*Resumo!$C$8</f>
        <v>1.637349</v>
      </c>
      <c r="M1435" s="61" t="n">
        <f aca="false">Resumo!$C$10*CEILING(G1435/100,1)</f>
        <v>1.05</v>
      </c>
      <c r="N1435" s="61" t="n">
        <f aca="false">Resumo!$C$9</f>
        <v>0</v>
      </c>
      <c r="O1435" s="61" t="n">
        <f aca="false">Resumo!$C$13</f>
        <v>13.55</v>
      </c>
      <c r="P1435" s="61" t="n">
        <f aca="false">Resumo!$C$14*CEILING(G1435,1)</f>
        <v>32.4</v>
      </c>
      <c r="Q1435" s="61" t="n">
        <f aca="false">SUM(I1435:P1435)*Resumo!$C$11</f>
        <v>0</v>
      </c>
      <c r="R1435" s="61" t="n">
        <f aca="false">SUM(I1435:Q1435)</f>
        <v>147.044698</v>
      </c>
      <c r="S1435" s="61" t="n">
        <f aca="false">R1435/(1-Resumo!$C$5)</f>
        <v>167.096247727273</v>
      </c>
      <c r="T1435" s="61" t="n">
        <v>166.05</v>
      </c>
      <c r="U1435" s="61" t="n">
        <f aca="false">H1435*Resumo!$B$6</f>
        <v>0.77969</v>
      </c>
      <c r="V1435" s="61" t="n">
        <f aca="false">H1435*Resumo!$B$7</f>
        <v>1.55938</v>
      </c>
      <c r="W1435" s="61" t="n">
        <f aca="false">Resumo!$B$9</f>
        <v>1</v>
      </c>
      <c r="X1435" s="61" t="n">
        <f aca="false">Resumo!$B$10*CEILING(G1435/100,1)</f>
        <v>4.5</v>
      </c>
      <c r="Y1435" s="61" t="n">
        <f aca="false">Resumo!$B$12*CEILING(G1435,1)</f>
        <v>4.32</v>
      </c>
      <c r="Z1435" s="61" t="n">
        <f aca="false">Resumo!$B$14*CEILING(G1435,1)</f>
        <v>32.4</v>
      </c>
      <c r="AA1435" s="61" t="n">
        <f aca="false">SUM(T1435:Z1435)</f>
        <v>210.60907</v>
      </c>
      <c r="AB1435" s="61" t="n">
        <f aca="false">AA1435/(1-Resumo!$B$5)</f>
        <v>239.328488636364</v>
      </c>
      <c r="AC1435" s="61" t="n">
        <f aca="false">AB1435-S1435</f>
        <v>72.232240909091</v>
      </c>
      <c r="AD1435" s="62" t="n">
        <f aca="false">AB1435/S1435-1</f>
        <v>0.43227925157832</v>
      </c>
      <c r="AE1435" s="60" t="str">
        <f aca="false">IF(AB1435&lt;S1435,"SIM","NÃO")</f>
        <v>NÃO</v>
      </c>
      <c r="AF1435" s="60" t="n">
        <v>13</v>
      </c>
      <c r="AG1435" s="60" t="n">
        <v>8</v>
      </c>
      <c r="AH1435" s="60" t="s">
        <v>382</v>
      </c>
      <c r="AI1435" s="61" t="n">
        <f aca="false">(T1435*(1-Painel!$C$40)+U1435+V1435+Painel!$C$41+Painel!$C$42*CEILING(G1435/100,1)+Painel!$C$43*CEILING(G1435,1)+Z1435)/(1-Resumo!$B$5)</f>
        <v>168.230193181818</v>
      </c>
      <c r="AJ1435" s="60" t="str">
        <f aca="false">IF(AI1435&lt;S1435,"SIM","NÃO")</f>
        <v>NÃO</v>
      </c>
    </row>
    <row r="1436" customFormat="false" ht="15" hidden="false" customHeight="false" outlineLevel="0" collapsed="false">
      <c r="A1436" s="59" t="n">
        <v>46262.0945486111</v>
      </c>
      <c r="B1436" s="60" t="s">
        <v>1696</v>
      </c>
      <c r="C1436" s="60" t="n">
        <v>21221420</v>
      </c>
      <c r="D1436" s="60" t="s">
        <v>46</v>
      </c>
      <c r="E1436" s="60" t="s">
        <v>22</v>
      </c>
      <c r="F1436" s="60" t="s">
        <v>238</v>
      </c>
      <c r="G1436" s="60" t="n">
        <v>79.4</v>
      </c>
      <c r="H1436" s="61" t="n">
        <v>949.62</v>
      </c>
      <c r="I1436" s="61" t="n">
        <v>68.88</v>
      </c>
      <c r="J1436" s="61" t="n">
        <f aca="false">H1436*Resumo!$C$6</f>
        <v>0</v>
      </c>
      <c r="K1436" s="61" t="n">
        <f aca="false">H1436*Resumo!$C$7</f>
        <v>1.994202</v>
      </c>
      <c r="L1436" s="61" t="n">
        <f aca="false">H1436*Resumo!$C$8</f>
        <v>1.994202</v>
      </c>
      <c r="M1436" s="61" t="n">
        <f aca="false">Resumo!$C$10*CEILING(G1436/100,1)</f>
        <v>1.05</v>
      </c>
      <c r="N1436" s="61" t="n">
        <f aca="false">Resumo!$C$9</f>
        <v>0</v>
      </c>
      <c r="O1436" s="61" t="n">
        <f aca="false">Resumo!$C$13</f>
        <v>13.55</v>
      </c>
      <c r="P1436" s="61" t="n">
        <f aca="false">Resumo!$C$14*CEILING(G1436,1)</f>
        <v>36</v>
      </c>
      <c r="Q1436" s="61" t="n">
        <f aca="false">SUM(I1436:P1436)*Resumo!$C$11</f>
        <v>0</v>
      </c>
      <c r="R1436" s="61" t="n">
        <f aca="false">SUM(I1436:Q1436)</f>
        <v>123.468404</v>
      </c>
      <c r="S1436" s="61" t="n">
        <f aca="false">R1436/(1-Resumo!$C$5)</f>
        <v>140.305004545455</v>
      </c>
      <c r="T1436" s="61" t="n">
        <v>134.39</v>
      </c>
      <c r="U1436" s="61" t="n">
        <f aca="false">H1436*Resumo!$B$6</f>
        <v>0.94962</v>
      </c>
      <c r="V1436" s="61" t="n">
        <f aca="false">H1436*Resumo!$B$7</f>
        <v>1.89924</v>
      </c>
      <c r="W1436" s="61" t="n">
        <f aca="false">Resumo!$B$9</f>
        <v>1</v>
      </c>
      <c r="X1436" s="61" t="n">
        <f aca="false">Resumo!$B$10*CEILING(G1436/100,1)</f>
        <v>4.5</v>
      </c>
      <c r="Y1436" s="61" t="n">
        <f aca="false">Resumo!$B$12*CEILING(G1436,1)</f>
        <v>4.8</v>
      </c>
      <c r="Z1436" s="61" t="n">
        <f aca="false">Resumo!$B$14*CEILING(G1436,1)</f>
        <v>36</v>
      </c>
      <c r="AA1436" s="61" t="n">
        <f aca="false">SUM(T1436:Z1436)</f>
        <v>183.53886</v>
      </c>
      <c r="AB1436" s="61" t="n">
        <f aca="false">AA1436/(1-Resumo!$B$5)</f>
        <v>208.566886363636</v>
      </c>
      <c r="AC1436" s="61" t="n">
        <f aca="false">AB1436-S1436</f>
        <v>68.2618818181819</v>
      </c>
      <c r="AD1436" s="62" t="n">
        <f aca="false">AB1436/S1436-1</f>
        <v>0.486524925032643</v>
      </c>
      <c r="AE1436" s="60" t="str">
        <f aca="false">IF(AB1436&lt;S1436,"SIM","NÃO")</f>
        <v>NÃO</v>
      </c>
      <c r="AF1436" s="60" t="n">
        <v>2</v>
      </c>
      <c r="AG1436" s="60" t="n">
        <v>5</v>
      </c>
      <c r="AH1436" s="60" t="s">
        <v>382</v>
      </c>
      <c r="AI1436" s="61" t="n">
        <f aca="false">(T1436*(1-Painel!$C$40)+U1436+V1436+Painel!$C$41+Painel!$C$42*CEILING(G1436/100,1)+Painel!$C$43*CEILING(G1436,1)+Z1436)/(1-Resumo!$B$5)</f>
        <v>148.795636363636</v>
      </c>
      <c r="AJ1436" s="60" t="str">
        <f aca="false">IF(AI1436&lt;S1436,"SIM","NÃO")</f>
        <v>NÃO</v>
      </c>
    </row>
    <row r="1437" customFormat="false" ht="15" hidden="false" customHeight="false" outlineLevel="0" collapsed="false">
      <c r="A1437" s="59" t="n">
        <v>46262.3971180556</v>
      </c>
      <c r="B1437" s="60" t="s">
        <v>1697</v>
      </c>
      <c r="C1437" s="60" t="n">
        <v>21870260</v>
      </c>
      <c r="D1437" s="60" t="s">
        <v>46</v>
      </c>
      <c r="E1437" s="60" t="s">
        <v>22</v>
      </c>
      <c r="F1437" s="60" t="s">
        <v>235</v>
      </c>
      <c r="G1437" s="60" t="n">
        <v>48.3</v>
      </c>
      <c r="H1437" s="61" t="n">
        <v>459.99</v>
      </c>
      <c r="I1437" s="61" t="n">
        <v>53.55</v>
      </c>
      <c r="J1437" s="61" t="n">
        <f aca="false">H1437*Resumo!$C$6</f>
        <v>0</v>
      </c>
      <c r="K1437" s="61" t="n">
        <f aca="false">H1437*Resumo!$C$7</f>
        <v>0.965979</v>
      </c>
      <c r="L1437" s="61" t="n">
        <f aca="false">H1437*Resumo!$C$8</f>
        <v>0.965979</v>
      </c>
      <c r="M1437" s="61" t="n">
        <f aca="false">Resumo!$C$10*CEILING(G1437/100,1)</f>
        <v>1.05</v>
      </c>
      <c r="N1437" s="61" t="n">
        <f aca="false">Resumo!$C$9</f>
        <v>0</v>
      </c>
      <c r="O1437" s="61" t="n">
        <f aca="false">Resumo!$C$13</f>
        <v>13.55</v>
      </c>
      <c r="P1437" s="61" t="n">
        <f aca="false">Resumo!$C$14*CEILING(G1437,1)</f>
        <v>22.05</v>
      </c>
      <c r="Q1437" s="61" t="n">
        <f aca="false">SUM(I1437:P1437)*Resumo!$C$11</f>
        <v>0</v>
      </c>
      <c r="R1437" s="61" t="n">
        <f aca="false">SUM(I1437:Q1437)</f>
        <v>92.131958</v>
      </c>
      <c r="S1437" s="61" t="n">
        <f aca="false">R1437/(1-Resumo!$C$5)</f>
        <v>104.695406818182</v>
      </c>
      <c r="T1437" s="61" t="n">
        <v>93.97</v>
      </c>
      <c r="U1437" s="61" t="n">
        <f aca="false">H1437*Resumo!$B$6</f>
        <v>0.45999</v>
      </c>
      <c r="V1437" s="61" t="n">
        <f aca="false">H1437*Resumo!$B$7</f>
        <v>0.91998</v>
      </c>
      <c r="W1437" s="61" t="n">
        <f aca="false">Resumo!$B$9</f>
        <v>1</v>
      </c>
      <c r="X1437" s="61" t="n">
        <f aca="false">Resumo!$B$10*CEILING(G1437/100,1)</f>
        <v>4.5</v>
      </c>
      <c r="Y1437" s="61" t="n">
        <f aca="false">Resumo!$B$12*CEILING(G1437,1)</f>
        <v>2.94</v>
      </c>
      <c r="Z1437" s="61" t="n">
        <f aca="false">Resumo!$B$14*CEILING(G1437,1)</f>
        <v>22.05</v>
      </c>
      <c r="AA1437" s="61" t="n">
        <f aca="false">SUM(T1437:Z1437)</f>
        <v>125.83997</v>
      </c>
      <c r="AB1437" s="61" t="n">
        <f aca="false">AA1437/(1-Resumo!$B$5)</f>
        <v>142.999965909091</v>
      </c>
      <c r="AC1437" s="61" t="n">
        <f aca="false">AB1437-S1437</f>
        <v>38.3045590909091</v>
      </c>
      <c r="AD1437" s="62" t="n">
        <f aca="false">AB1437/S1437-1</f>
        <v>0.365866662683973</v>
      </c>
      <c r="AE1437" s="60" t="str">
        <f aca="false">IF(AB1437&lt;S1437,"SIM","NÃO")</f>
        <v>NÃO</v>
      </c>
      <c r="AF1437" s="60" t="n">
        <v>2</v>
      </c>
      <c r="AG1437" s="60" t="n">
        <v>5</v>
      </c>
      <c r="AH1437" s="60" t="s">
        <v>382</v>
      </c>
      <c r="AI1437" s="61" t="n">
        <f aca="false">(T1437*(1-Painel!$C$40)+U1437+V1437+Painel!$C$41+Painel!$C$42*CEILING(G1437/100,1)+Painel!$C$43*CEILING(G1437,1)+Z1437)/(1-Resumo!$B$5)</f>
        <v>100.499852272727</v>
      </c>
      <c r="AJ1437" s="60" t="str">
        <f aca="false">IF(AI1437&lt;S1437,"SIM","NÃO")</f>
        <v>SIM</v>
      </c>
    </row>
    <row r="1438" customFormat="false" ht="15" hidden="false" customHeight="false" outlineLevel="0" collapsed="false">
      <c r="A1438" s="59" t="n">
        <v>46262.4158217593</v>
      </c>
      <c r="B1438" s="60" t="s">
        <v>1698</v>
      </c>
      <c r="C1438" s="60" t="n">
        <v>22220040</v>
      </c>
      <c r="D1438" s="60" t="s">
        <v>46</v>
      </c>
      <c r="E1438" s="60" t="s">
        <v>22</v>
      </c>
      <c r="F1438" s="60" t="s">
        <v>236</v>
      </c>
      <c r="G1438" s="60" t="n">
        <v>52.3</v>
      </c>
      <c r="H1438" s="61" t="n">
        <v>627.28</v>
      </c>
      <c r="I1438" s="61" t="n">
        <v>58.6</v>
      </c>
      <c r="J1438" s="61" t="n">
        <f aca="false">H1438*Resumo!$C$6</f>
        <v>0</v>
      </c>
      <c r="K1438" s="61" t="n">
        <f aca="false">H1438*Resumo!$C$7</f>
        <v>1.317288</v>
      </c>
      <c r="L1438" s="61" t="n">
        <f aca="false">H1438*Resumo!$C$8</f>
        <v>1.317288</v>
      </c>
      <c r="M1438" s="61" t="n">
        <f aca="false">Resumo!$C$10*CEILING(G1438/100,1)</f>
        <v>1.05</v>
      </c>
      <c r="N1438" s="61" t="n">
        <f aca="false">Resumo!$C$9</f>
        <v>0</v>
      </c>
      <c r="O1438" s="61" t="n">
        <f aca="false">Resumo!$C$13</f>
        <v>13.55</v>
      </c>
      <c r="P1438" s="61" t="n">
        <f aca="false">Resumo!$C$14*CEILING(G1438,1)</f>
        <v>23.85</v>
      </c>
      <c r="Q1438" s="61" t="n">
        <f aca="false">SUM(I1438:P1438)*Resumo!$C$11</f>
        <v>0</v>
      </c>
      <c r="R1438" s="61" t="n">
        <f aca="false">SUM(I1438:Q1438)</f>
        <v>99.684576</v>
      </c>
      <c r="S1438" s="61" t="n">
        <f aca="false">R1438/(1-Resumo!$C$5)</f>
        <v>113.277927272727</v>
      </c>
      <c r="T1438" s="61" t="n">
        <v>112.3</v>
      </c>
      <c r="U1438" s="61" t="n">
        <f aca="false">H1438*Resumo!$B$6</f>
        <v>0.62728</v>
      </c>
      <c r="V1438" s="61" t="n">
        <f aca="false">H1438*Resumo!$B$7</f>
        <v>1.25456</v>
      </c>
      <c r="W1438" s="61" t="n">
        <f aca="false">Resumo!$B$9</f>
        <v>1</v>
      </c>
      <c r="X1438" s="61" t="n">
        <f aca="false">Resumo!$B$10*CEILING(G1438/100,1)</f>
        <v>4.5</v>
      </c>
      <c r="Y1438" s="61" t="n">
        <f aca="false">Resumo!$B$12*CEILING(G1438,1)</f>
        <v>3.18</v>
      </c>
      <c r="Z1438" s="61" t="n">
        <f aca="false">Resumo!$B$14*CEILING(G1438,1)</f>
        <v>23.85</v>
      </c>
      <c r="AA1438" s="61" t="n">
        <f aca="false">SUM(T1438:Z1438)</f>
        <v>146.71184</v>
      </c>
      <c r="AB1438" s="61" t="n">
        <f aca="false">AA1438/(1-Resumo!$B$5)</f>
        <v>166.718</v>
      </c>
      <c r="AC1438" s="61" t="n">
        <f aca="false">AB1438-S1438</f>
        <v>53.4400727272727</v>
      </c>
      <c r="AD1438" s="62" t="n">
        <f aca="false">AB1438/S1438-1</f>
        <v>0.471760686427557</v>
      </c>
      <c r="AE1438" s="60" t="str">
        <f aca="false">IF(AB1438&lt;S1438,"SIM","NÃO")</f>
        <v>NÃO</v>
      </c>
      <c r="AF1438" s="60" t="n">
        <v>2</v>
      </c>
      <c r="AG1438" s="60" t="n">
        <v>5</v>
      </c>
      <c r="AH1438" s="60" t="s">
        <v>382</v>
      </c>
      <c r="AI1438" s="61" t="n">
        <f aca="false">(T1438*(1-Painel!$C$40)+U1438+V1438+Painel!$C$41+Painel!$C$42*CEILING(G1438/100,1)+Painel!$C$43*CEILING(G1438,1)+Z1438)/(1-Resumo!$B$5)</f>
        <v>117.071409090909</v>
      </c>
      <c r="AJ1438" s="60" t="str">
        <f aca="false">IF(AI1438&lt;S1438,"SIM","NÃO")</f>
        <v>NÃO</v>
      </c>
    </row>
    <row r="1439" customFormat="false" ht="15" hidden="false" customHeight="false" outlineLevel="0" collapsed="false">
      <c r="A1439" s="59" t="n">
        <v>46262.5377199074</v>
      </c>
      <c r="B1439" s="60" t="s">
        <v>1699</v>
      </c>
      <c r="C1439" s="60" t="n">
        <v>21755430</v>
      </c>
      <c r="D1439" s="60" t="s">
        <v>46</v>
      </c>
      <c r="E1439" s="60" t="s">
        <v>22</v>
      </c>
      <c r="F1439" s="60" t="s">
        <v>236</v>
      </c>
      <c r="G1439" s="60" t="n">
        <v>51.3</v>
      </c>
      <c r="H1439" s="61" t="n">
        <v>649.99</v>
      </c>
      <c r="I1439" s="61" t="n">
        <v>58.6</v>
      </c>
      <c r="J1439" s="61" t="n">
        <f aca="false">H1439*Resumo!$C$6</f>
        <v>0</v>
      </c>
      <c r="K1439" s="61" t="n">
        <f aca="false">H1439*Resumo!$C$7</f>
        <v>1.364979</v>
      </c>
      <c r="L1439" s="61" t="n">
        <f aca="false">H1439*Resumo!$C$8</f>
        <v>1.364979</v>
      </c>
      <c r="M1439" s="61" t="n">
        <f aca="false">Resumo!$C$10*CEILING(G1439/100,1)</f>
        <v>1.05</v>
      </c>
      <c r="N1439" s="61" t="n">
        <f aca="false">Resumo!$C$9</f>
        <v>0</v>
      </c>
      <c r="O1439" s="61" t="n">
        <f aca="false">Resumo!$C$13</f>
        <v>13.55</v>
      </c>
      <c r="P1439" s="61" t="n">
        <f aca="false">Resumo!$C$14*CEILING(G1439,1)</f>
        <v>23.4</v>
      </c>
      <c r="Q1439" s="61" t="n">
        <f aca="false">SUM(I1439:P1439)*Resumo!$C$11</f>
        <v>0</v>
      </c>
      <c r="R1439" s="61" t="n">
        <f aca="false">SUM(I1439:Q1439)</f>
        <v>99.329958</v>
      </c>
      <c r="S1439" s="61" t="n">
        <f aca="false">R1439/(1-Resumo!$C$5)</f>
        <v>112.874952272727</v>
      </c>
      <c r="T1439" s="61" t="n">
        <v>112.3</v>
      </c>
      <c r="U1439" s="61" t="n">
        <f aca="false">H1439*Resumo!$B$6</f>
        <v>0.64999</v>
      </c>
      <c r="V1439" s="61" t="n">
        <f aca="false">H1439*Resumo!$B$7</f>
        <v>1.29998</v>
      </c>
      <c r="W1439" s="61" t="n">
        <f aca="false">Resumo!$B$9</f>
        <v>1</v>
      </c>
      <c r="X1439" s="61" t="n">
        <f aca="false">Resumo!$B$10*CEILING(G1439/100,1)</f>
        <v>4.5</v>
      </c>
      <c r="Y1439" s="61" t="n">
        <f aca="false">Resumo!$B$12*CEILING(G1439,1)</f>
        <v>3.12</v>
      </c>
      <c r="Z1439" s="61" t="n">
        <f aca="false">Resumo!$B$14*CEILING(G1439,1)</f>
        <v>23.4</v>
      </c>
      <c r="AA1439" s="61" t="n">
        <f aca="false">SUM(T1439:Z1439)</f>
        <v>146.26997</v>
      </c>
      <c r="AB1439" s="61" t="n">
        <f aca="false">AA1439/(1-Resumo!$B$5)</f>
        <v>166.215875</v>
      </c>
      <c r="AC1439" s="61" t="n">
        <f aca="false">AB1439-S1439</f>
        <v>53.3409227272727</v>
      </c>
      <c r="AD1439" s="62" t="n">
        <f aca="false">AB1439/S1439-1</f>
        <v>0.472566514122557</v>
      </c>
      <c r="AE1439" s="60" t="str">
        <f aca="false">IF(AB1439&lt;S1439,"SIM","NÃO")</f>
        <v>NÃO</v>
      </c>
      <c r="AF1439" s="60" t="n">
        <v>2</v>
      </c>
      <c r="AG1439" s="60" t="n">
        <v>5</v>
      </c>
      <c r="AH1439" s="60" t="s">
        <v>382</v>
      </c>
      <c r="AI1439" s="61" t="n">
        <f aca="false">(T1439*(1-Painel!$C$40)+U1439+V1439+Painel!$C$41+Painel!$C$42*CEILING(G1439/100,1)+Painel!$C$43*CEILING(G1439,1)+Z1439)/(1-Resumo!$B$5)</f>
        <v>116.637465909091</v>
      </c>
      <c r="AJ1439" s="60" t="str">
        <f aca="false">IF(AI1439&lt;S1439,"SIM","NÃO")</f>
        <v>NÃO</v>
      </c>
    </row>
    <row r="1440" customFormat="false" ht="15" hidden="false" customHeight="false" outlineLevel="0" collapsed="false">
      <c r="A1440" s="59" t="n">
        <v>46262.6190856482</v>
      </c>
      <c r="B1440" s="60" t="s">
        <v>1700</v>
      </c>
      <c r="C1440" s="60" t="n">
        <v>28051320</v>
      </c>
      <c r="D1440" s="60" t="s">
        <v>51</v>
      </c>
      <c r="E1440" s="60" t="s">
        <v>24</v>
      </c>
      <c r="F1440" s="60" t="s">
        <v>233</v>
      </c>
      <c r="G1440" s="60" t="n">
        <v>27</v>
      </c>
      <c r="H1440" s="61" t="n">
        <v>319.99</v>
      </c>
      <c r="I1440" s="61" t="n">
        <v>65.63</v>
      </c>
      <c r="J1440" s="61" t="n">
        <f aca="false">H1440*Resumo!$C$6</f>
        <v>0</v>
      </c>
      <c r="K1440" s="61" t="n">
        <f aca="false">H1440*Resumo!$C$7</f>
        <v>0.671979</v>
      </c>
      <c r="L1440" s="61" t="n">
        <f aca="false">H1440*Resumo!$C$8</f>
        <v>0.671979</v>
      </c>
      <c r="M1440" s="61" t="n">
        <f aca="false">Resumo!$C$10*CEILING(G1440/100,1)</f>
        <v>1.05</v>
      </c>
      <c r="N1440" s="61" t="n">
        <f aca="false">Resumo!$C$9</f>
        <v>0</v>
      </c>
      <c r="O1440" s="61" t="n">
        <f aca="false">Resumo!$C$13</f>
        <v>13.55</v>
      </c>
      <c r="P1440" s="61" t="n">
        <f aca="false">Resumo!$C$14*CEILING(G1440,1)</f>
        <v>12.15</v>
      </c>
      <c r="Q1440" s="61" t="n">
        <f aca="false">SUM(I1440:P1440)*Resumo!$C$11</f>
        <v>0</v>
      </c>
      <c r="R1440" s="61" t="n">
        <f aca="false">SUM(I1440:Q1440)</f>
        <v>93.723958</v>
      </c>
      <c r="S1440" s="61" t="n">
        <f aca="false">R1440/(1-Resumo!$C$5)</f>
        <v>106.504497727273</v>
      </c>
      <c r="T1440" s="61" t="n">
        <v>138.29</v>
      </c>
      <c r="U1440" s="61" t="n">
        <f aca="false">H1440*Resumo!$B$6</f>
        <v>0.31999</v>
      </c>
      <c r="V1440" s="61" t="n">
        <f aca="false">H1440*Resumo!$B$7</f>
        <v>0.63998</v>
      </c>
      <c r="W1440" s="61" t="n">
        <f aca="false">Resumo!$B$9</f>
        <v>1</v>
      </c>
      <c r="X1440" s="61" t="n">
        <f aca="false">Resumo!$B$10*CEILING(G1440/100,1)</f>
        <v>4.5</v>
      </c>
      <c r="Y1440" s="61" t="n">
        <f aca="false">Resumo!$B$12*CEILING(G1440,1)</f>
        <v>1.62</v>
      </c>
      <c r="Z1440" s="61" t="n">
        <f aca="false">Resumo!$B$14*CEILING(G1440,1)</f>
        <v>12.15</v>
      </c>
      <c r="AA1440" s="61" t="n">
        <f aca="false">SUM(T1440:Z1440)</f>
        <v>158.51997</v>
      </c>
      <c r="AB1440" s="61" t="n">
        <f aca="false">AA1440/(1-Resumo!$B$5)</f>
        <v>180.136329545455</v>
      </c>
      <c r="AC1440" s="61" t="n">
        <f aca="false">AB1440-S1440</f>
        <v>73.6318318181818</v>
      </c>
      <c r="AD1440" s="62" t="n">
        <f aca="false">AB1440/S1440-1</f>
        <v>0.691349505320721</v>
      </c>
      <c r="AE1440" s="60" t="str">
        <f aca="false">IF(AB1440&lt;S1440,"SIM","NÃO")</f>
        <v>NÃO</v>
      </c>
      <c r="AF1440" s="60" t="n">
        <v>13</v>
      </c>
      <c r="AG1440" s="60" t="n">
        <v>11</v>
      </c>
      <c r="AH1440" s="60" t="s">
        <v>382</v>
      </c>
      <c r="AI1440" s="61" t="n">
        <f aca="false">(T1440*(1-Painel!$C$40)+U1440+V1440+Painel!$C$41+Painel!$C$42*CEILING(G1440/100,1)+Painel!$C$43*CEILING(G1440,1)+Z1440)/(1-Resumo!$B$5)</f>
        <v>122.516215909091</v>
      </c>
      <c r="AJ1440" s="60" t="str">
        <f aca="false">IF(AI1440&lt;S1440,"SIM","NÃO")</f>
        <v>NÃO</v>
      </c>
    </row>
    <row r="1441" customFormat="false" ht="15" hidden="false" customHeight="false" outlineLevel="0" collapsed="false">
      <c r="A1441" s="59" t="n">
        <v>46262.6906712963</v>
      </c>
      <c r="B1441" s="60" t="s">
        <v>1701</v>
      </c>
      <c r="C1441" s="60" t="n">
        <v>26551481</v>
      </c>
      <c r="D1441" s="60" t="s">
        <v>224</v>
      </c>
      <c r="E1441" s="60" t="s">
        <v>23</v>
      </c>
      <c r="F1441" s="60" t="s">
        <v>235</v>
      </c>
      <c r="G1441" s="60" t="n">
        <v>45.3</v>
      </c>
      <c r="H1441" s="61" t="n">
        <v>630.04</v>
      </c>
      <c r="I1441" s="61" t="n">
        <v>65.36</v>
      </c>
      <c r="J1441" s="61" t="n">
        <f aca="false">H1441*Resumo!$C$6</f>
        <v>0</v>
      </c>
      <c r="K1441" s="61" t="n">
        <f aca="false">H1441*Resumo!$C$7</f>
        <v>1.323084</v>
      </c>
      <c r="L1441" s="61" t="n">
        <f aca="false">H1441*Resumo!$C$8</f>
        <v>1.323084</v>
      </c>
      <c r="M1441" s="61" t="n">
        <f aca="false">Resumo!$C$10*CEILING(G1441/100,1)</f>
        <v>1.05</v>
      </c>
      <c r="N1441" s="61" t="n">
        <f aca="false">Resumo!$C$9</f>
        <v>0</v>
      </c>
      <c r="O1441" s="61" t="n">
        <f aca="false">Resumo!$C$13</f>
        <v>13.55</v>
      </c>
      <c r="P1441" s="61" t="n">
        <f aca="false">Resumo!$C$14*CEILING(G1441,1)</f>
        <v>20.7</v>
      </c>
      <c r="Q1441" s="61" t="n">
        <f aca="false">SUM(I1441:P1441)*Resumo!$C$11</f>
        <v>0</v>
      </c>
      <c r="R1441" s="61" t="n">
        <f aca="false">SUM(I1441:Q1441)</f>
        <v>103.306168</v>
      </c>
      <c r="S1441" s="61" t="n">
        <f aca="false">R1441/(1-Resumo!$C$5)</f>
        <v>117.393372727273</v>
      </c>
      <c r="T1441" s="61" t="n">
        <v>93.97</v>
      </c>
      <c r="U1441" s="61" t="n">
        <f aca="false">H1441*Resumo!$B$6</f>
        <v>0.63004</v>
      </c>
      <c r="V1441" s="61" t="n">
        <f aca="false">H1441*Resumo!$B$7</f>
        <v>1.26008</v>
      </c>
      <c r="W1441" s="61" t="n">
        <f aca="false">Resumo!$B$9</f>
        <v>1</v>
      </c>
      <c r="X1441" s="61" t="n">
        <f aca="false">Resumo!$B$10*CEILING(G1441/100,1)</f>
        <v>4.5</v>
      </c>
      <c r="Y1441" s="61" t="n">
        <f aca="false">Resumo!$B$12*CEILING(G1441,1)</f>
        <v>2.76</v>
      </c>
      <c r="Z1441" s="61" t="n">
        <f aca="false">Resumo!$B$14*CEILING(G1441,1)</f>
        <v>20.7</v>
      </c>
      <c r="AA1441" s="61" t="n">
        <f aca="false">SUM(T1441:Z1441)</f>
        <v>124.82012</v>
      </c>
      <c r="AB1441" s="61" t="n">
        <f aca="false">AA1441/(1-Resumo!$B$5)</f>
        <v>141.841045454545</v>
      </c>
      <c r="AC1441" s="61" t="n">
        <f aca="false">AB1441-S1441</f>
        <v>24.4476727272727</v>
      </c>
      <c r="AD1441" s="62" t="n">
        <f aca="false">AB1441/S1441-1</f>
        <v>0.208254283519644</v>
      </c>
      <c r="AE1441" s="60" t="str">
        <f aca="false">IF(AB1441&lt;S1441,"SIM","NÃO")</f>
        <v>NÃO</v>
      </c>
      <c r="AF1441" s="60" t="n">
        <v>2</v>
      </c>
      <c r="AG1441" s="60" t="n">
        <v>5</v>
      </c>
      <c r="AH1441" s="60" t="s">
        <v>382</v>
      </c>
      <c r="AI1441" s="61" t="n">
        <f aca="false">(T1441*(1-Painel!$C$40)+U1441+V1441+Painel!$C$41+Painel!$C$42*CEILING(G1441/100,1)+Painel!$C$43*CEILING(G1441,1)+Z1441)/(1-Resumo!$B$5)</f>
        <v>99.5454772727273</v>
      </c>
      <c r="AJ1441" s="60" t="str">
        <f aca="false">IF(AI1441&lt;S1441,"SIM","NÃO")</f>
        <v>SIM</v>
      </c>
    </row>
    <row r="1442" customFormat="false" ht="15" hidden="false" customHeight="false" outlineLevel="0" collapsed="false">
      <c r="A1442" s="59" t="n">
        <v>46262.7674421296</v>
      </c>
      <c r="B1442" s="60" t="s">
        <v>1702</v>
      </c>
      <c r="C1442" s="60" t="n">
        <v>25010350</v>
      </c>
      <c r="D1442" s="60" t="s">
        <v>48</v>
      </c>
      <c r="E1442" s="60" t="s">
        <v>23</v>
      </c>
      <c r="F1442" s="60" t="s">
        <v>232</v>
      </c>
      <c r="G1442" s="60" t="n">
        <v>2.83</v>
      </c>
      <c r="H1442" s="61" t="n">
        <v>239.99</v>
      </c>
      <c r="I1442" s="61" t="n">
        <v>42.72</v>
      </c>
      <c r="J1442" s="61" t="n">
        <f aca="false">H1442*Resumo!$C$6</f>
        <v>0</v>
      </c>
      <c r="K1442" s="61" t="n">
        <f aca="false">H1442*Resumo!$C$7</f>
        <v>0.503979</v>
      </c>
      <c r="L1442" s="61" t="n">
        <f aca="false">H1442*Resumo!$C$8</f>
        <v>0.503979</v>
      </c>
      <c r="M1442" s="61" t="n">
        <f aca="false">Resumo!$C$10*CEILING(G1442/100,1)</f>
        <v>1.05</v>
      </c>
      <c r="N1442" s="61" t="n">
        <f aca="false">Resumo!$C$9</f>
        <v>0</v>
      </c>
      <c r="O1442" s="61" t="n">
        <f aca="false">Resumo!$C$13</f>
        <v>13.55</v>
      </c>
      <c r="P1442" s="61" t="n">
        <f aca="false">Resumo!$C$14*CEILING(G1442,1)</f>
        <v>1.35</v>
      </c>
      <c r="Q1442" s="61" t="n">
        <f aca="false">SUM(I1442:P1442)*Resumo!$C$11</f>
        <v>0</v>
      </c>
      <c r="R1442" s="61" t="n">
        <f aca="false">SUM(I1442:Q1442)</f>
        <v>59.677958</v>
      </c>
      <c r="S1442" s="61" t="n">
        <f aca="false">R1442/(1-Resumo!$C$5)</f>
        <v>67.8158613636364</v>
      </c>
      <c r="T1442" s="61" t="n">
        <v>46.98</v>
      </c>
      <c r="U1442" s="61" t="n">
        <f aca="false">H1442*Resumo!$B$6</f>
        <v>0.23999</v>
      </c>
      <c r="V1442" s="61" t="n">
        <f aca="false">H1442*Resumo!$B$7</f>
        <v>0.47998</v>
      </c>
      <c r="W1442" s="61" t="n">
        <f aca="false">Resumo!$B$9</f>
        <v>1</v>
      </c>
      <c r="X1442" s="61" t="n">
        <f aca="false">Resumo!$B$10*CEILING(G1442/100,1)</f>
        <v>4.5</v>
      </c>
      <c r="Y1442" s="61" t="n">
        <f aca="false">Resumo!$B$12*CEILING(G1442,1)</f>
        <v>0.18</v>
      </c>
      <c r="Z1442" s="61" t="n">
        <f aca="false">Resumo!$B$14*CEILING(G1442,1)</f>
        <v>1.35</v>
      </c>
      <c r="AA1442" s="61" t="n">
        <f aca="false">SUM(T1442:Z1442)</f>
        <v>54.72997</v>
      </c>
      <c r="AB1442" s="61" t="n">
        <f aca="false">AA1442/(1-Resumo!$B$5)</f>
        <v>62.1931477272727</v>
      </c>
      <c r="AC1442" s="61" t="n">
        <f aca="false">AB1442-S1442</f>
        <v>-5.62271363636364</v>
      </c>
      <c r="AD1442" s="62" t="n">
        <f aca="false">AB1442/S1442-1</f>
        <v>-0.0829114829967876</v>
      </c>
      <c r="AE1442" s="60" t="str">
        <f aca="false">IF(AB1442&lt;S1442,"SIM","NÃO")</f>
        <v>SIM</v>
      </c>
      <c r="AF1442" s="60" t="n">
        <v>2</v>
      </c>
      <c r="AG1442" s="60" t="n">
        <v>5</v>
      </c>
      <c r="AH1442" s="60" t="s">
        <v>382</v>
      </c>
      <c r="AI1442" s="61" t="n">
        <f aca="false">(T1442*(1-Painel!$C$40)+U1442+V1442+Painel!$C$41+Painel!$C$42*CEILING(G1442/100,1)+Painel!$C$43*CEILING(G1442,1)+Z1442)/(1-Resumo!$B$5)</f>
        <v>40.4506477272727</v>
      </c>
      <c r="AJ1442" s="60" t="str">
        <f aca="false">IF(AI1442&lt;S1442,"SIM","NÃO")</f>
        <v>SIM</v>
      </c>
    </row>
    <row r="1443" customFormat="false" ht="15" hidden="false" customHeight="false" outlineLevel="0" collapsed="false">
      <c r="A1443" s="59" t="n">
        <v>46262.8150231482</v>
      </c>
      <c r="B1443" s="60" t="s">
        <v>704</v>
      </c>
      <c r="C1443" s="60" t="n">
        <v>22790880</v>
      </c>
      <c r="D1443" s="60" t="s">
        <v>46</v>
      </c>
      <c r="E1443" s="60" t="s">
        <v>22</v>
      </c>
      <c r="F1443" s="60" t="s">
        <v>241</v>
      </c>
      <c r="G1443" s="60" t="n">
        <v>124.2</v>
      </c>
      <c r="H1443" s="61" t="n">
        <v>1611.28</v>
      </c>
      <c r="I1443" s="61" t="n">
        <v>120.59</v>
      </c>
      <c r="J1443" s="61" t="n">
        <f aca="false">H1443*Resumo!$C$6</f>
        <v>0</v>
      </c>
      <c r="K1443" s="61" t="n">
        <f aca="false">H1443*Resumo!$C$7</f>
        <v>3.383688</v>
      </c>
      <c r="L1443" s="61" t="n">
        <f aca="false">H1443*Resumo!$C$8</f>
        <v>3.383688</v>
      </c>
      <c r="M1443" s="61" t="n">
        <f aca="false">Resumo!$C$10*CEILING(G1443/100,1)</f>
        <v>2.1</v>
      </c>
      <c r="N1443" s="61" t="n">
        <f aca="false">Resumo!$C$9</f>
        <v>0</v>
      </c>
      <c r="O1443" s="61" t="n">
        <f aca="false">Resumo!$C$13</f>
        <v>13.55</v>
      </c>
      <c r="P1443" s="61" t="n">
        <f aca="false">Resumo!$C$14*CEILING(G1443,1)</f>
        <v>56.25</v>
      </c>
      <c r="Q1443" s="61" t="n">
        <f aca="false">SUM(I1443:P1443)*Resumo!$C$11</f>
        <v>0</v>
      </c>
      <c r="R1443" s="61" t="n">
        <f aca="false">SUM(I1443:Q1443)</f>
        <v>199.257376</v>
      </c>
      <c r="S1443" s="61" t="n">
        <f aca="false">R1443/(1-Resumo!$C$5)</f>
        <v>226.428836363636</v>
      </c>
      <c r="T1443" s="61" t="n">
        <v>239.25</v>
      </c>
      <c r="U1443" s="61" t="n">
        <f aca="false">H1443*Resumo!$B$6</f>
        <v>1.61128</v>
      </c>
      <c r="V1443" s="61" t="n">
        <f aca="false">H1443*Resumo!$B$7</f>
        <v>3.22256</v>
      </c>
      <c r="W1443" s="61" t="n">
        <f aca="false">Resumo!$B$9</f>
        <v>1</v>
      </c>
      <c r="X1443" s="61" t="n">
        <f aca="false">Resumo!$B$10*CEILING(G1443/100,1)</f>
        <v>9</v>
      </c>
      <c r="Y1443" s="61" t="n">
        <f aca="false">Resumo!$B$12*CEILING(G1443,1)</f>
        <v>7.5</v>
      </c>
      <c r="Z1443" s="61" t="n">
        <f aca="false">Resumo!$B$14*CEILING(G1443,1)</f>
        <v>56.25</v>
      </c>
      <c r="AA1443" s="61" t="n">
        <f aca="false">SUM(T1443:Z1443)</f>
        <v>317.83384</v>
      </c>
      <c r="AB1443" s="61" t="n">
        <f aca="false">AA1443/(1-Resumo!$B$5)</f>
        <v>361.174818181818</v>
      </c>
      <c r="AC1443" s="61" t="n">
        <f aca="false">AB1443-S1443</f>
        <v>134.745981818182</v>
      </c>
      <c r="AD1443" s="62" t="n">
        <f aca="false">AB1443/S1443-1</f>
        <v>0.595091967887804</v>
      </c>
      <c r="AE1443" s="60" t="str">
        <f aca="false">IF(AB1443&lt;S1443,"SIM","NÃO")</f>
        <v>NÃO</v>
      </c>
      <c r="AF1443" s="60" t="n">
        <v>2</v>
      </c>
      <c r="AG1443" s="60" t="n">
        <v>5</v>
      </c>
      <c r="AH1443" s="60" t="s">
        <v>382</v>
      </c>
      <c r="AI1443" s="61" t="n">
        <f aca="false">(T1443*(1-Painel!$C$40)+U1443+V1443+Painel!$C$41+Painel!$C$42*CEILING(G1443/100,1)+Painel!$C$43*CEILING(G1443,1)+Z1443)/(1-Resumo!$B$5)</f>
        <v>255.092431818182</v>
      </c>
      <c r="AJ1443" s="60" t="str">
        <f aca="false">IF(AI1443&lt;S1443,"SIM","NÃO")</f>
        <v>NÃO</v>
      </c>
    </row>
    <row r="1444" customFormat="false" ht="15" hidden="false" customHeight="false" outlineLevel="0" collapsed="false">
      <c r="A1444" s="59" t="n">
        <v>46262.8352430556</v>
      </c>
      <c r="B1444" s="60" t="s">
        <v>1703</v>
      </c>
      <c r="C1444" s="60" t="n">
        <v>24470500</v>
      </c>
      <c r="D1444" s="60" t="s">
        <v>47</v>
      </c>
      <c r="E1444" s="60" t="s">
        <v>23</v>
      </c>
      <c r="F1444" s="60" t="s">
        <v>234</v>
      </c>
      <c r="G1444" s="60" t="n">
        <v>36.8</v>
      </c>
      <c r="H1444" s="61" t="n">
        <v>469.99</v>
      </c>
      <c r="I1444" s="61" t="n">
        <v>66.83</v>
      </c>
      <c r="J1444" s="61" t="n">
        <f aca="false">H1444*Resumo!$C$6</f>
        <v>0</v>
      </c>
      <c r="K1444" s="61" t="n">
        <f aca="false">H1444*Resumo!$C$7</f>
        <v>0.986979</v>
      </c>
      <c r="L1444" s="61" t="n">
        <f aca="false">H1444*Resumo!$C$8</f>
        <v>0.986979</v>
      </c>
      <c r="M1444" s="61" t="n">
        <f aca="false">Resumo!$C$10*CEILING(G1444/100,1)</f>
        <v>1.05</v>
      </c>
      <c r="N1444" s="61" t="n">
        <f aca="false">Resumo!$C$9</f>
        <v>0</v>
      </c>
      <c r="O1444" s="61" t="n">
        <f aca="false">Resumo!$C$13</f>
        <v>13.55</v>
      </c>
      <c r="P1444" s="61" t="n">
        <f aca="false">Resumo!$C$14*CEILING(G1444,1)</f>
        <v>16.65</v>
      </c>
      <c r="Q1444" s="61" t="n">
        <f aca="false">SUM(I1444:P1444)*Resumo!$C$11</f>
        <v>0</v>
      </c>
      <c r="R1444" s="61" t="n">
        <f aca="false">SUM(I1444:Q1444)</f>
        <v>100.053958</v>
      </c>
      <c r="S1444" s="61" t="n">
        <f aca="false">R1444/(1-Resumo!$C$5)</f>
        <v>113.697679545455</v>
      </c>
      <c r="T1444" s="61" t="n">
        <v>114.95</v>
      </c>
      <c r="U1444" s="61" t="n">
        <f aca="false">H1444*Resumo!$B$6</f>
        <v>0.46999</v>
      </c>
      <c r="V1444" s="61" t="n">
        <f aca="false">H1444*Resumo!$B$7</f>
        <v>0.93998</v>
      </c>
      <c r="W1444" s="61" t="n">
        <f aca="false">Resumo!$B$9</f>
        <v>1</v>
      </c>
      <c r="X1444" s="61" t="n">
        <f aca="false">Resumo!$B$10*CEILING(G1444/100,1)</f>
        <v>4.5</v>
      </c>
      <c r="Y1444" s="61" t="n">
        <f aca="false">Resumo!$B$12*CEILING(G1444,1)</f>
        <v>2.22</v>
      </c>
      <c r="Z1444" s="61" t="n">
        <f aca="false">Resumo!$B$14*CEILING(G1444,1)</f>
        <v>16.65</v>
      </c>
      <c r="AA1444" s="61" t="n">
        <f aca="false">SUM(T1444:Z1444)</f>
        <v>140.72997</v>
      </c>
      <c r="AB1444" s="61" t="n">
        <f aca="false">AA1444/(1-Resumo!$B$5)</f>
        <v>159.920420454545</v>
      </c>
      <c r="AC1444" s="61" t="n">
        <f aca="false">AB1444-S1444</f>
        <v>46.2227409090909</v>
      </c>
      <c r="AD1444" s="62" t="n">
        <f aca="false">AB1444/S1444-1</f>
        <v>0.4065407587374</v>
      </c>
      <c r="AE1444" s="60" t="str">
        <f aca="false">IF(AB1444&lt;S1444,"SIM","NÃO")</f>
        <v>NÃO</v>
      </c>
      <c r="AF1444" s="60" t="n">
        <v>2</v>
      </c>
      <c r="AG1444" s="60" t="n">
        <v>7</v>
      </c>
      <c r="AH1444" s="60" t="s">
        <v>382</v>
      </c>
      <c r="AI1444" s="61" t="n">
        <f aca="false">(T1444*(1-Painel!$C$40)+U1444+V1444+Painel!$C$41+Painel!$C$42*CEILING(G1444/100,1)+Painel!$C$43*CEILING(G1444,1)+Z1444)/(1-Resumo!$B$5)</f>
        <v>110.370988636364</v>
      </c>
      <c r="AJ1444" s="60" t="str">
        <f aca="false">IF(AI1444&lt;S1444,"SIM","NÃO")</f>
        <v>SIM</v>
      </c>
    </row>
    <row r="1445" customFormat="false" ht="15" hidden="false" customHeight="false" outlineLevel="0" collapsed="false">
      <c r="A1445" s="59" t="n">
        <v>46262.9852430556</v>
      </c>
      <c r="B1445" s="60" t="s">
        <v>1704</v>
      </c>
      <c r="C1445" s="60" t="n">
        <v>24934350</v>
      </c>
      <c r="D1445" s="60" t="s">
        <v>220</v>
      </c>
      <c r="E1445" s="60" t="s">
        <v>24</v>
      </c>
      <c r="F1445" s="60" t="s">
        <v>234</v>
      </c>
      <c r="G1445" s="60" t="n">
        <v>37.2</v>
      </c>
      <c r="H1445" s="61" t="n">
        <v>439.99</v>
      </c>
      <c r="I1445" s="61" t="n">
        <v>74.97</v>
      </c>
      <c r="J1445" s="61" t="n">
        <f aca="false">H1445*Resumo!$C$6</f>
        <v>0</v>
      </c>
      <c r="K1445" s="61" t="n">
        <f aca="false">H1445*Resumo!$C$7</f>
        <v>0.923979</v>
      </c>
      <c r="L1445" s="61" t="n">
        <f aca="false">H1445*Resumo!$C$8</f>
        <v>0.923979</v>
      </c>
      <c r="M1445" s="61" t="n">
        <f aca="false">Resumo!$C$10*CEILING(G1445/100,1)</f>
        <v>1.05</v>
      </c>
      <c r="N1445" s="61" t="n">
        <f aca="false">Resumo!$C$9</f>
        <v>0</v>
      </c>
      <c r="O1445" s="61" t="n">
        <f aca="false">Resumo!$C$13</f>
        <v>13.55</v>
      </c>
      <c r="P1445" s="61" t="n">
        <f aca="false">Resumo!$C$14*CEILING(G1445,1)</f>
        <v>17.1</v>
      </c>
      <c r="Q1445" s="61" t="n">
        <f aca="false">SUM(I1445:P1445)*Resumo!$C$11</f>
        <v>0</v>
      </c>
      <c r="R1445" s="61" t="n">
        <f aca="false">SUM(I1445:Q1445)</f>
        <v>108.517958</v>
      </c>
      <c r="S1445" s="61" t="n">
        <f aca="false">R1445/(1-Resumo!$C$5)</f>
        <v>123.315861363636</v>
      </c>
      <c r="T1445" s="61" t="n">
        <v>114.95</v>
      </c>
      <c r="U1445" s="61" t="n">
        <f aca="false">H1445*Resumo!$B$6</f>
        <v>0.43999</v>
      </c>
      <c r="V1445" s="61" t="n">
        <f aca="false">H1445*Resumo!$B$7</f>
        <v>0.87998</v>
      </c>
      <c r="W1445" s="61" t="n">
        <f aca="false">Resumo!$B$9</f>
        <v>1</v>
      </c>
      <c r="X1445" s="61" t="n">
        <f aca="false">Resumo!$B$10*CEILING(G1445/100,1)</f>
        <v>4.5</v>
      </c>
      <c r="Y1445" s="61" t="n">
        <f aca="false">Resumo!$B$12*CEILING(G1445,1)</f>
        <v>2.28</v>
      </c>
      <c r="Z1445" s="61" t="n">
        <f aca="false">Resumo!$B$14*CEILING(G1445,1)</f>
        <v>17.1</v>
      </c>
      <c r="AA1445" s="61" t="n">
        <f aca="false">SUM(T1445:Z1445)</f>
        <v>141.14997</v>
      </c>
      <c r="AB1445" s="61" t="n">
        <f aca="false">AA1445/(1-Resumo!$B$5)</f>
        <v>160.397693181818</v>
      </c>
      <c r="AC1445" s="61" t="n">
        <f aca="false">AB1445-S1445</f>
        <v>37.0818318181818</v>
      </c>
      <c r="AD1445" s="62" t="n">
        <f aca="false">AB1445/S1445-1</f>
        <v>0.300706100643729</v>
      </c>
      <c r="AE1445" s="60" t="str">
        <f aca="false">IF(AB1445&lt;S1445,"SIM","NÃO")</f>
        <v>NÃO</v>
      </c>
      <c r="AF1445" s="60" t="n">
        <v>13</v>
      </c>
      <c r="AG1445" s="60" t="n">
        <v>7</v>
      </c>
      <c r="AH1445" s="60" t="s">
        <v>382</v>
      </c>
      <c r="AI1445" s="61" t="n">
        <f aca="false">(T1445*(1-Painel!$C$40)+U1445+V1445+Painel!$C$41+Painel!$C$42*CEILING(G1445/100,1)+Painel!$C$43*CEILING(G1445,1)+Z1445)/(1-Resumo!$B$5)</f>
        <v>110.780079545455</v>
      </c>
      <c r="AJ1445" s="60" t="str">
        <f aca="false">IF(AI1445&lt;S1445,"SIM","NÃO")</f>
        <v>SIM</v>
      </c>
    </row>
    <row r="1446" customFormat="false" ht="15" hidden="false" customHeight="false" outlineLevel="0" collapsed="false">
      <c r="A1446" s="59" t="n">
        <v>46263.4127546296</v>
      </c>
      <c r="B1446" s="60" t="s">
        <v>1111</v>
      </c>
      <c r="C1446" s="60" t="n">
        <v>22410001</v>
      </c>
      <c r="D1446" s="60" t="s">
        <v>46</v>
      </c>
      <c r="E1446" s="60" t="s">
        <v>22</v>
      </c>
      <c r="F1446" s="60" t="s">
        <v>235</v>
      </c>
      <c r="G1446" s="60" t="n">
        <v>41</v>
      </c>
      <c r="H1446" s="61" t="n">
        <v>559.99</v>
      </c>
      <c r="I1446" s="61" t="n">
        <v>53.55</v>
      </c>
      <c r="J1446" s="61" t="n">
        <f aca="false">H1446*Resumo!$C$6</f>
        <v>0</v>
      </c>
      <c r="K1446" s="61" t="n">
        <f aca="false">H1446*Resumo!$C$7</f>
        <v>1.175979</v>
      </c>
      <c r="L1446" s="61" t="n">
        <f aca="false">H1446*Resumo!$C$8</f>
        <v>1.175979</v>
      </c>
      <c r="M1446" s="61" t="n">
        <f aca="false">Resumo!$C$10*CEILING(G1446/100,1)</f>
        <v>1.05</v>
      </c>
      <c r="N1446" s="61" t="n">
        <f aca="false">Resumo!$C$9</f>
        <v>0</v>
      </c>
      <c r="O1446" s="61" t="n">
        <f aca="false">Resumo!$C$13</f>
        <v>13.55</v>
      </c>
      <c r="P1446" s="61" t="n">
        <f aca="false">Resumo!$C$14*CEILING(G1446,1)</f>
        <v>18.45</v>
      </c>
      <c r="Q1446" s="61" t="n">
        <f aca="false">SUM(I1446:P1446)*Resumo!$C$11</f>
        <v>0</v>
      </c>
      <c r="R1446" s="61" t="n">
        <f aca="false">SUM(I1446:Q1446)</f>
        <v>88.951958</v>
      </c>
      <c r="S1446" s="61" t="n">
        <f aca="false">R1446/(1-Resumo!$C$5)</f>
        <v>101.081770454545</v>
      </c>
      <c r="T1446" s="61" t="n">
        <v>93.97</v>
      </c>
      <c r="U1446" s="61" t="n">
        <f aca="false">H1446*Resumo!$B$6</f>
        <v>0.55999</v>
      </c>
      <c r="V1446" s="61" t="n">
        <f aca="false">H1446*Resumo!$B$7</f>
        <v>1.11998</v>
      </c>
      <c r="W1446" s="61" t="n">
        <f aca="false">Resumo!$B$9</f>
        <v>1</v>
      </c>
      <c r="X1446" s="61" t="n">
        <f aca="false">Resumo!$B$10*CEILING(G1446/100,1)</f>
        <v>4.5</v>
      </c>
      <c r="Y1446" s="61" t="n">
        <f aca="false">Resumo!$B$12*CEILING(G1446,1)</f>
        <v>2.46</v>
      </c>
      <c r="Z1446" s="61" t="n">
        <f aca="false">Resumo!$B$14*CEILING(G1446,1)</f>
        <v>18.45</v>
      </c>
      <c r="AA1446" s="61" t="n">
        <f aca="false">SUM(T1446:Z1446)</f>
        <v>122.05997</v>
      </c>
      <c r="AB1446" s="61" t="n">
        <f aca="false">AA1446/(1-Resumo!$B$5)</f>
        <v>138.704511363636</v>
      </c>
      <c r="AC1446" s="61" t="n">
        <f aca="false">AB1446-S1446</f>
        <v>37.6227409090909</v>
      </c>
      <c r="AD1446" s="62" t="n">
        <f aca="false">AB1446/S1446-1</f>
        <v>0.372201048120829</v>
      </c>
      <c r="AE1446" s="60" t="str">
        <f aca="false">IF(AB1446&lt;S1446,"SIM","NÃO")</f>
        <v>NÃO</v>
      </c>
      <c r="AF1446" s="60" t="n">
        <v>2</v>
      </c>
      <c r="AG1446" s="60" t="n">
        <v>5</v>
      </c>
      <c r="AH1446" s="60" t="s">
        <v>382</v>
      </c>
      <c r="AI1446" s="61" t="n">
        <f aca="false">(T1446*(1-Painel!$C$40)+U1446+V1446+Painel!$C$41+Painel!$C$42*CEILING(G1446/100,1)+Painel!$C$43*CEILING(G1446,1)+Z1446)/(1-Resumo!$B$5)</f>
        <v>96.7498522727273</v>
      </c>
      <c r="AJ1446" s="60" t="str">
        <f aca="false">IF(AI1446&lt;S1446,"SIM","NÃO")</f>
        <v>SIM</v>
      </c>
    </row>
    <row r="1447" customFormat="false" ht="15" hidden="false" customHeight="false" outlineLevel="0" collapsed="false">
      <c r="A1447" s="59" t="n">
        <v>46263.4552083333</v>
      </c>
      <c r="B1447" s="60" t="s">
        <v>1705</v>
      </c>
      <c r="C1447" s="60" t="n">
        <v>28941382</v>
      </c>
      <c r="D1447" s="60" t="s">
        <v>338</v>
      </c>
      <c r="E1447" s="60" t="s">
        <v>24</v>
      </c>
      <c r="F1447" s="60" t="s">
        <v>235</v>
      </c>
      <c r="G1447" s="60" t="n">
        <v>49.6</v>
      </c>
      <c r="H1447" s="61" t="n">
        <v>611.99</v>
      </c>
      <c r="I1447" s="61" t="n">
        <v>77.7</v>
      </c>
      <c r="J1447" s="61" t="n">
        <f aca="false">H1447*Resumo!$C$6</f>
        <v>0</v>
      </c>
      <c r="K1447" s="61" t="n">
        <f aca="false">H1447*Resumo!$C$7</f>
        <v>1.285179</v>
      </c>
      <c r="L1447" s="61" t="n">
        <f aca="false">H1447*Resumo!$C$8</f>
        <v>1.285179</v>
      </c>
      <c r="M1447" s="61" t="n">
        <f aca="false">Resumo!$C$10*CEILING(G1447/100,1)</f>
        <v>1.05</v>
      </c>
      <c r="N1447" s="61" t="n">
        <f aca="false">Resumo!$C$9</f>
        <v>0</v>
      </c>
      <c r="O1447" s="61" t="n">
        <f aca="false">Resumo!$C$13</f>
        <v>13.55</v>
      </c>
      <c r="P1447" s="61" t="n">
        <f aca="false">Resumo!$C$14*CEILING(G1447,1)</f>
        <v>22.5</v>
      </c>
      <c r="Q1447" s="61" t="n">
        <f aca="false">SUM(I1447:P1447)*Resumo!$C$11</f>
        <v>0</v>
      </c>
      <c r="R1447" s="61" t="n">
        <f aca="false">SUM(I1447:Q1447)</f>
        <v>117.370358</v>
      </c>
      <c r="S1447" s="61" t="n">
        <f aca="false">R1447/(1-Resumo!$C$5)</f>
        <v>133.375406818182</v>
      </c>
      <c r="T1447" s="61" t="n">
        <v>129.29</v>
      </c>
      <c r="U1447" s="61" t="n">
        <f aca="false">H1447*Resumo!$B$6</f>
        <v>0.61199</v>
      </c>
      <c r="V1447" s="61" t="n">
        <f aca="false">H1447*Resumo!$B$7</f>
        <v>1.22398</v>
      </c>
      <c r="W1447" s="61" t="n">
        <f aca="false">Resumo!$B$9</f>
        <v>1</v>
      </c>
      <c r="X1447" s="61" t="n">
        <f aca="false">Resumo!$B$10*CEILING(G1447/100,1)</f>
        <v>4.5</v>
      </c>
      <c r="Y1447" s="61" t="n">
        <f aca="false">Resumo!$B$12*CEILING(G1447,1)</f>
        <v>3</v>
      </c>
      <c r="Z1447" s="61" t="n">
        <f aca="false">Resumo!$B$14*CEILING(G1447,1)</f>
        <v>22.5</v>
      </c>
      <c r="AA1447" s="61" t="n">
        <f aca="false">SUM(T1447:Z1447)</f>
        <v>162.12597</v>
      </c>
      <c r="AB1447" s="61" t="n">
        <f aca="false">AA1447/(1-Resumo!$B$5)</f>
        <v>184.234056818182</v>
      </c>
      <c r="AC1447" s="61" t="n">
        <f aca="false">AB1447-S1447</f>
        <v>50.85865</v>
      </c>
      <c r="AD1447" s="62" t="n">
        <f aca="false">AB1447/S1447-1</f>
        <v>0.381319549182938</v>
      </c>
      <c r="AE1447" s="60" t="str">
        <f aca="false">IF(AB1447&lt;S1447,"SIM","NÃO")</f>
        <v>NÃO</v>
      </c>
      <c r="AF1447" s="60" t="n">
        <v>13</v>
      </c>
      <c r="AG1447" s="60" t="n">
        <v>10</v>
      </c>
      <c r="AH1447" s="60" t="s">
        <v>385</v>
      </c>
      <c r="AI1447" s="61" t="n">
        <f aca="false">(T1447*(1-Painel!$C$40)+U1447+V1447+Painel!$C$41+Painel!$C$42*CEILING(G1447/100,1)+Painel!$C$43*CEILING(G1447,1)+Z1447)/(1-Resumo!$B$5)</f>
        <v>128.420761363636</v>
      </c>
      <c r="AJ1447" s="60" t="str">
        <f aca="false">IF(AI1447&lt;S1447,"SIM","NÃO")</f>
        <v>SIM</v>
      </c>
    </row>
    <row r="1448" customFormat="false" ht="15" hidden="false" customHeight="false" outlineLevel="0" collapsed="false">
      <c r="A1448" s="59" t="n">
        <v>46263.5053819444</v>
      </c>
      <c r="B1448" s="60" t="s">
        <v>1706</v>
      </c>
      <c r="C1448" s="60" t="n">
        <v>22753211</v>
      </c>
      <c r="D1448" s="60" t="s">
        <v>46</v>
      </c>
      <c r="E1448" s="60" t="s">
        <v>22</v>
      </c>
      <c r="F1448" s="60" t="s">
        <v>233</v>
      </c>
      <c r="G1448" s="60" t="n">
        <v>27.5</v>
      </c>
      <c r="H1448" s="61" t="n">
        <v>338</v>
      </c>
      <c r="I1448" s="61" t="n">
        <v>42.11</v>
      </c>
      <c r="J1448" s="61" t="n">
        <f aca="false">H1448*Resumo!$C$6</f>
        <v>0</v>
      </c>
      <c r="K1448" s="61" t="n">
        <f aca="false">H1448*Resumo!$C$7</f>
        <v>0.7098</v>
      </c>
      <c r="L1448" s="61" t="n">
        <f aca="false">H1448*Resumo!$C$8</f>
        <v>0.7098</v>
      </c>
      <c r="M1448" s="61" t="n">
        <f aca="false">Resumo!$C$10*CEILING(G1448/100,1)</f>
        <v>1.05</v>
      </c>
      <c r="N1448" s="61" t="n">
        <f aca="false">Resumo!$C$9</f>
        <v>0</v>
      </c>
      <c r="O1448" s="61" t="n">
        <f aca="false">Resumo!$C$13</f>
        <v>13.55</v>
      </c>
      <c r="P1448" s="61" t="n">
        <f aca="false">Resumo!$C$14*CEILING(G1448,1)</f>
        <v>12.6</v>
      </c>
      <c r="Q1448" s="61" t="n">
        <f aca="false">SUM(I1448:P1448)*Resumo!$C$11</f>
        <v>0</v>
      </c>
      <c r="R1448" s="61" t="n">
        <f aca="false">SUM(I1448:Q1448)</f>
        <v>70.7296</v>
      </c>
      <c r="S1448" s="61" t="n">
        <f aca="false">R1448/(1-Resumo!$C$5)</f>
        <v>80.3745454545455</v>
      </c>
      <c r="T1448" s="61" t="n">
        <v>82.21</v>
      </c>
      <c r="U1448" s="61" t="n">
        <f aca="false">H1448*Resumo!$B$6</f>
        <v>0.338</v>
      </c>
      <c r="V1448" s="61" t="n">
        <f aca="false">H1448*Resumo!$B$7</f>
        <v>0.676</v>
      </c>
      <c r="W1448" s="61" t="n">
        <f aca="false">Resumo!$B$9</f>
        <v>1</v>
      </c>
      <c r="X1448" s="61" t="n">
        <f aca="false">Resumo!$B$10*CEILING(G1448/100,1)</f>
        <v>4.5</v>
      </c>
      <c r="Y1448" s="61" t="n">
        <f aca="false">Resumo!$B$12*CEILING(G1448,1)</f>
        <v>1.68</v>
      </c>
      <c r="Z1448" s="61" t="n">
        <f aca="false">Resumo!$B$14*CEILING(G1448,1)</f>
        <v>12.6</v>
      </c>
      <c r="AA1448" s="61" t="n">
        <f aca="false">SUM(T1448:Z1448)</f>
        <v>103.004</v>
      </c>
      <c r="AB1448" s="61" t="n">
        <f aca="false">AA1448/(1-Resumo!$B$5)</f>
        <v>117.05</v>
      </c>
      <c r="AC1448" s="61" t="n">
        <f aca="false">AB1448-S1448</f>
        <v>36.6754545454545</v>
      </c>
      <c r="AD1448" s="62" t="n">
        <f aca="false">AB1448/S1448-1</f>
        <v>0.456306836176085</v>
      </c>
      <c r="AE1448" s="60" t="str">
        <f aca="false">IF(AB1448&lt;S1448,"SIM","NÃO")</f>
        <v>NÃO</v>
      </c>
      <c r="AF1448" s="60" t="n">
        <v>2</v>
      </c>
      <c r="AG1448" s="60" t="n">
        <v>5</v>
      </c>
      <c r="AH1448" s="60" t="s">
        <v>382</v>
      </c>
      <c r="AI1448" s="61" t="n">
        <f aca="false">(T1448*(1-Painel!$C$40)+U1448+V1448+Painel!$C$41+Painel!$C$42*CEILING(G1448/100,1)+Painel!$C$43*CEILING(G1448,1)+Z1448)/(1-Resumo!$B$5)</f>
        <v>80.3917045454545</v>
      </c>
      <c r="AJ1448" s="60" t="str">
        <f aca="false">IF(AI1448&lt;S1448,"SIM","NÃO")</f>
        <v>NÃO</v>
      </c>
    </row>
    <row r="1449" customFormat="false" ht="15" hidden="false" customHeight="false" outlineLevel="0" collapsed="false">
      <c r="A1449" s="59" t="n">
        <v>46263.5300694444</v>
      </c>
      <c r="B1449" s="60" t="s">
        <v>1707</v>
      </c>
      <c r="C1449" s="60" t="n">
        <v>23082220</v>
      </c>
      <c r="D1449" s="60" t="s">
        <v>46</v>
      </c>
      <c r="E1449" s="60" t="s">
        <v>22</v>
      </c>
      <c r="F1449" s="60" t="s">
        <v>237</v>
      </c>
      <c r="G1449" s="60" t="n">
        <v>69.15</v>
      </c>
      <c r="H1449" s="61" t="n">
        <v>859.99</v>
      </c>
      <c r="I1449" s="61" t="n">
        <v>63.21</v>
      </c>
      <c r="J1449" s="61" t="n">
        <f aca="false">H1449*Resumo!$C$6</f>
        <v>0</v>
      </c>
      <c r="K1449" s="61" t="n">
        <f aca="false">H1449*Resumo!$C$7</f>
        <v>1.805979</v>
      </c>
      <c r="L1449" s="61" t="n">
        <f aca="false">H1449*Resumo!$C$8</f>
        <v>1.805979</v>
      </c>
      <c r="M1449" s="61" t="n">
        <f aca="false">Resumo!$C$10*CEILING(G1449/100,1)</f>
        <v>1.05</v>
      </c>
      <c r="N1449" s="61" t="n">
        <f aca="false">Resumo!$C$9</f>
        <v>0</v>
      </c>
      <c r="O1449" s="61" t="n">
        <f aca="false">Resumo!$C$13</f>
        <v>13.55</v>
      </c>
      <c r="P1449" s="61" t="n">
        <f aca="false">Resumo!$C$14*CEILING(G1449,1)</f>
        <v>31.5</v>
      </c>
      <c r="Q1449" s="61" t="n">
        <f aca="false">SUM(I1449:P1449)*Resumo!$C$11</f>
        <v>0</v>
      </c>
      <c r="R1449" s="61" t="n">
        <f aca="false">SUM(I1449:Q1449)</f>
        <v>112.921958</v>
      </c>
      <c r="S1449" s="61" t="n">
        <f aca="false">R1449/(1-Resumo!$C$5)</f>
        <v>128.320406818182</v>
      </c>
      <c r="T1449" s="61" t="n">
        <v>131.02</v>
      </c>
      <c r="U1449" s="61" t="n">
        <f aca="false">H1449*Resumo!$B$6</f>
        <v>0.85999</v>
      </c>
      <c r="V1449" s="61" t="n">
        <f aca="false">H1449*Resumo!$B$7</f>
        <v>1.71998</v>
      </c>
      <c r="W1449" s="61" t="n">
        <f aca="false">Resumo!$B$9</f>
        <v>1</v>
      </c>
      <c r="X1449" s="61" t="n">
        <f aca="false">Resumo!$B$10*CEILING(G1449/100,1)</f>
        <v>4.5</v>
      </c>
      <c r="Y1449" s="61" t="n">
        <f aca="false">Resumo!$B$12*CEILING(G1449,1)</f>
        <v>4.2</v>
      </c>
      <c r="Z1449" s="61" t="n">
        <f aca="false">Resumo!$B$14*CEILING(G1449,1)</f>
        <v>31.5</v>
      </c>
      <c r="AA1449" s="61" t="n">
        <f aca="false">SUM(T1449:Z1449)</f>
        <v>174.79997</v>
      </c>
      <c r="AB1449" s="61" t="n">
        <f aca="false">AA1449/(1-Resumo!$B$5)</f>
        <v>198.636329545455</v>
      </c>
      <c r="AC1449" s="61" t="n">
        <f aca="false">AB1449-S1449</f>
        <v>70.3159227272727</v>
      </c>
      <c r="AD1449" s="62" t="n">
        <f aca="false">AB1449/S1449-1</f>
        <v>0.547971476017091</v>
      </c>
      <c r="AE1449" s="60" t="str">
        <f aca="false">IF(AB1449&lt;S1449,"SIM","NÃO")</f>
        <v>NÃO</v>
      </c>
      <c r="AF1449" s="60" t="n">
        <v>2</v>
      </c>
      <c r="AG1449" s="60" t="n">
        <v>5</v>
      </c>
      <c r="AH1449" s="60" t="s">
        <v>382</v>
      </c>
      <c r="AI1449" s="61" t="n">
        <f aca="false">(T1449*(1-Painel!$C$40)+U1449+V1449+Painel!$C$41+Painel!$C$42*CEILING(G1449/100,1)+Painel!$C$43*CEILING(G1449,1)+Z1449)/(1-Resumo!$B$5)</f>
        <v>140.810647727273</v>
      </c>
      <c r="AJ1449" s="60" t="str">
        <f aca="false">IF(AI1449&lt;S1449,"SIM","NÃO")</f>
        <v>NÃO</v>
      </c>
    </row>
    <row r="1450" customFormat="false" ht="15" hidden="false" customHeight="false" outlineLevel="0" collapsed="false">
      <c r="A1450" s="59" t="n">
        <v>46263.5816203704</v>
      </c>
      <c r="B1450" s="60" t="s">
        <v>1708</v>
      </c>
      <c r="C1450" s="60" t="n">
        <v>26167570</v>
      </c>
      <c r="D1450" s="60" t="s">
        <v>52</v>
      </c>
      <c r="E1450" s="60" t="s">
        <v>23</v>
      </c>
      <c r="F1450" s="60" t="s">
        <v>234</v>
      </c>
      <c r="G1450" s="60" t="n">
        <v>35.3</v>
      </c>
      <c r="H1450" s="61" t="n">
        <v>499.99</v>
      </c>
      <c r="I1450" s="61" t="n">
        <v>66.83</v>
      </c>
      <c r="J1450" s="61" t="n">
        <f aca="false">H1450*Resumo!$C$6</f>
        <v>0</v>
      </c>
      <c r="K1450" s="61" t="n">
        <f aca="false">H1450*Resumo!$C$7</f>
        <v>1.049979</v>
      </c>
      <c r="L1450" s="61" t="n">
        <f aca="false">H1450*Resumo!$C$8</f>
        <v>1.049979</v>
      </c>
      <c r="M1450" s="61" t="n">
        <f aca="false">Resumo!$C$10*CEILING(G1450/100,1)</f>
        <v>1.05</v>
      </c>
      <c r="N1450" s="61" t="n">
        <f aca="false">Resumo!$C$9</f>
        <v>0</v>
      </c>
      <c r="O1450" s="61" t="n">
        <f aca="false">Resumo!$C$13</f>
        <v>13.55</v>
      </c>
      <c r="P1450" s="61" t="n">
        <f aca="false">Resumo!$C$14*CEILING(G1450,1)</f>
        <v>16.2</v>
      </c>
      <c r="Q1450" s="61" t="n">
        <f aca="false">SUM(I1450:P1450)*Resumo!$C$11</f>
        <v>0</v>
      </c>
      <c r="R1450" s="61" t="n">
        <f aca="false">SUM(I1450:Q1450)</f>
        <v>99.729958</v>
      </c>
      <c r="S1450" s="61" t="n">
        <f aca="false">R1450/(1-Resumo!$C$5)</f>
        <v>113.329497727273</v>
      </c>
      <c r="T1450" s="61" t="n">
        <v>93.97</v>
      </c>
      <c r="U1450" s="61" t="n">
        <f aca="false">H1450*Resumo!$B$6</f>
        <v>0.49999</v>
      </c>
      <c r="V1450" s="61" t="n">
        <f aca="false">H1450*Resumo!$B$7</f>
        <v>0.99998</v>
      </c>
      <c r="W1450" s="61" t="n">
        <f aca="false">Resumo!$B$9</f>
        <v>1</v>
      </c>
      <c r="X1450" s="61" t="n">
        <f aca="false">Resumo!$B$10*CEILING(G1450/100,1)</f>
        <v>4.5</v>
      </c>
      <c r="Y1450" s="61" t="n">
        <f aca="false">Resumo!$B$12*CEILING(G1450,1)</f>
        <v>2.16</v>
      </c>
      <c r="Z1450" s="61" t="n">
        <f aca="false">Resumo!$B$14*CEILING(G1450,1)</f>
        <v>16.2</v>
      </c>
      <c r="AA1450" s="61" t="n">
        <f aca="false">SUM(T1450:Z1450)</f>
        <v>119.32997</v>
      </c>
      <c r="AB1450" s="61" t="n">
        <f aca="false">AA1450/(1-Resumo!$B$5)</f>
        <v>135.602238636364</v>
      </c>
      <c r="AC1450" s="61" t="n">
        <f aca="false">AB1450-S1450</f>
        <v>22.2727409090909</v>
      </c>
      <c r="AD1450" s="62" t="n">
        <f aca="false">AB1450/S1450-1</f>
        <v>0.19653083579961</v>
      </c>
      <c r="AE1450" s="60" t="str">
        <f aca="false">IF(AB1450&lt;S1450,"SIM","NÃO")</f>
        <v>NÃO</v>
      </c>
      <c r="AF1450" s="60" t="n">
        <v>2</v>
      </c>
      <c r="AG1450" s="60" t="n">
        <v>5</v>
      </c>
      <c r="AH1450" s="60" t="s">
        <v>382</v>
      </c>
      <c r="AI1450" s="61" t="n">
        <f aca="false">(T1450*(1-Painel!$C$40)+U1450+V1450+Painel!$C$41+Painel!$C$42*CEILING(G1450/100,1)+Painel!$C$43*CEILING(G1450,1)+Z1450)/(1-Resumo!$B$5)</f>
        <v>93.9884886363636</v>
      </c>
      <c r="AJ1450" s="60" t="str">
        <f aca="false">IF(AI1450&lt;S1450,"SIM","NÃO")</f>
        <v>SIM</v>
      </c>
    </row>
    <row r="1451" customFormat="false" ht="15" hidden="false" customHeight="false" outlineLevel="0" collapsed="false">
      <c r="A1451" s="59" t="n">
        <v>46263.5910763889</v>
      </c>
      <c r="B1451" s="60" t="s">
        <v>983</v>
      </c>
      <c r="C1451" s="60" t="n">
        <v>20765171</v>
      </c>
      <c r="D1451" s="60" t="s">
        <v>46</v>
      </c>
      <c r="E1451" s="60" t="s">
        <v>22</v>
      </c>
      <c r="F1451" s="60" t="s">
        <v>239</v>
      </c>
      <c r="G1451" s="60" t="n">
        <v>93.8</v>
      </c>
      <c r="H1451" s="61" t="n">
        <v>999.99</v>
      </c>
      <c r="I1451" s="61" t="n">
        <v>83.79</v>
      </c>
      <c r="J1451" s="61" t="n">
        <f aca="false">H1451*Resumo!$C$6</f>
        <v>0</v>
      </c>
      <c r="K1451" s="61" t="n">
        <f aca="false">H1451*Resumo!$C$7</f>
        <v>2.099979</v>
      </c>
      <c r="L1451" s="61" t="n">
        <f aca="false">H1451*Resumo!$C$8</f>
        <v>2.099979</v>
      </c>
      <c r="M1451" s="61" t="n">
        <f aca="false">Resumo!$C$10*CEILING(G1451/100,1)</f>
        <v>1.05</v>
      </c>
      <c r="N1451" s="61" t="n">
        <f aca="false">Resumo!$C$9</f>
        <v>0</v>
      </c>
      <c r="O1451" s="61" t="n">
        <f aca="false">Resumo!$C$13</f>
        <v>13.55</v>
      </c>
      <c r="P1451" s="61" t="n">
        <f aca="false">Resumo!$C$14*CEILING(G1451,1)</f>
        <v>42.3</v>
      </c>
      <c r="Q1451" s="61" t="n">
        <f aca="false">SUM(I1451:P1451)*Resumo!$C$11</f>
        <v>0</v>
      </c>
      <c r="R1451" s="61" t="n">
        <f aca="false">SUM(I1451:Q1451)</f>
        <v>144.889958</v>
      </c>
      <c r="S1451" s="61" t="n">
        <f aca="false">R1451/(1-Resumo!$C$5)</f>
        <v>164.647679545455</v>
      </c>
      <c r="T1451" s="61" t="n">
        <v>167.99</v>
      </c>
      <c r="U1451" s="61" t="n">
        <f aca="false">H1451*Resumo!$B$6</f>
        <v>0.99999</v>
      </c>
      <c r="V1451" s="61" t="n">
        <f aca="false">H1451*Resumo!$B$7</f>
        <v>1.99998</v>
      </c>
      <c r="W1451" s="61" t="n">
        <f aca="false">Resumo!$B$9</f>
        <v>1</v>
      </c>
      <c r="X1451" s="61" t="n">
        <f aca="false">Resumo!$B$10*CEILING(G1451/100,1)</f>
        <v>4.5</v>
      </c>
      <c r="Y1451" s="61" t="n">
        <f aca="false">Resumo!$B$12*CEILING(G1451,1)</f>
        <v>5.64</v>
      </c>
      <c r="Z1451" s="61" t="n">
        <f aca="false">Resumo!$B$14*CEILING(G1451,1)</f>
        <v>42.3</v>
      </c>
      <c r="AA1451" s="61" t="n">
        <f aca="false">SUM(T1451:Z1451)</f>
        <v>224.42997</v>
      </c>
      <c r="AB1451" s="61" t="n">
        <f aca="false">AA1451/(1-Resumo!$B$5)</f>
        <v>255.034056818182</v>
      </c>
      <c r="AC1451" s="61" t="n">
        <f aca="false">AB1451-S1451</f>
        <v>90.3863772727273</v>
      </c>
      <c r="AD1451" s="62" t="n">
        <f aca="false">AB1451/S1451-1</f>
        <v>0.54896842471305</v>
      </c>
      <c r="AE1451" s="60" t="str">
        <f aca="false">IF(AB1451&lt;S1451,"SIM","NÃO")</f>
        <v>NÃO</v>
      </c>
      <c r="AF1451" s="60" t="n">
        <v>2</v>
      </c>
      <c r="AG1451" s="60" t="n">
        <v>5</v>
      </c>
      <c r="AH1451" s="60" t="s">
        <v>382</v>
      </c>
      <c r="AI1451" s="61" t="n">
        <f aca="false">(T1451*(1-Painel!$C$40)+U1451+V1451+Painel!$C$41+Painel!$C$42*CEILING(G1451/100,1)+Painel!$C$43*CEILING(G1451,1)+Z1451)/(1-Resumo!$B$5)</f>
        <v>181.708261363636</v>
      </c>
      <c r="AJ1451" s="60" t="str">
        <f aca="false">IF(AI1451&lt;S1451,"SIM","NÃO")</f>
        <v>NÃO</v>
      </c>
    </row>
    <row r="1452" customFormat="false" ht="15" hidden="false" customHeight="false" outlineLevel="0" collapsed="false">
      <c r="A1452" s="59" t="n">
        <v>46263.6106134259</v>
      </c>
      <c r="B1452" s="60" t="s">
        <v>1709</v>
      </c>
      <c r="C1452" s="60" t="n">
        <v>25040220</v>
      </c>
      <c r="D1452" s="60" t="s">
        <v>48</v>
      </c>
      <c r="E1452" s="60" t="s">
        <v>23</v>
      </c>
      <c r="F1452" s="60" t="s">
        <v>240</v>
      </c>
      <c r="G1452" s="60" t="n">
        <v>106.5</v>
      </c>
      <c r="H1452" s="61" t="n">
        <v>1077.9</v>
      </c>
      <c r="I1452" s="61" t="n">
        <v>101.26</v>
      </c>
      <c r="J1452" s="61" t="n">
        <f aca="false">H1452*Resumo!$C$6</f>
        <v>0</v>
      </c>
      <c r="K1452" s="61" t="n">
        <f aca="false">H1452*Resumo!$C$7</f>
        <v>2.26359</v>
      </c>
      <c r="L1452" s="61" t="n">
        <f aca="false">H1452*Resumo!$C$8</f>
        <v>2.26359</v>
      </c>
      <c r="M1452" s="61" t="n">
        <f aca="false">Resumo!$C$10*CEILING(G1452/100,1)</f>
        <v>2.1</v>
      </c>
      <c r="N1452" s="61" t="n">
        <f aca="false">Resumo!$C$9</f>
        <v>0</v>
      </c>
      <c r="O1452" s="61" t="n">
        <f aca="false">Resumo!$C$13</f>
        <v>13.55</v>
      </c>
      <c r="P1452" s="61" t="n">
        <f aca="false">Resumo!$C$14*CEILING(G1452,1)</f>
        <v>48.15</v>
      </c>
      <c r="Q1452" s="61" t="n">
        <f aca="false">SUM(I1452:P1452)*Resumo!$C$11</f>
        <v>0</v>
      </c>
      <c r="R1452" s="61" t="n">
        <f aca="false">SUM(I1452:Q1452)</f>
        <v>169.58718</v>
      </c>
      <c r="S1452" s="61" t="n">
        <f aca="false">R1452/(1-Resumo!$C$5)</f>
        <v>192.712704545455</v>
      </c>
      <c r="T1452" s="61" t="n">
        <v>201.59</v>
      </c>
      <c r="U1452" s="61" t="n">
        <f aca="false">H1452*Resumo!$B$6</f>
        <v>1.0779</v>
      </c>
      <c r="V1452" s="61" t="n">
        <f aca="false">H1452*Resumo!$B$7</f>
        <v>2.1558</v>
      </c>
      <c r="W1452" s="61" t="n">
        <f aca="false">Resumo!$B$9</f>
        <v>1</v>
      </c>
      <c r="X1452" s="61" t="n">
        <f aca="false">Resumo!$B$10*CEILING(G1452/100,1)</f>
        <v>9</v>
      </c>
      <c r="Y1452" s="61" t="n">
        <f aca="false">Resumo!$B$12*CEILING(G1452,1)</f>
        <v>6.42</v>
      </c>
      <c r="Z1452" s="61" t="n">
        <f aca="false">Resumo!$B$14*CEILING(G1452,1)</f>
        <v>48.15</v>
      </c>
      <c r="AA1452" s="61" t="n">
        <f aca="false">SUM(T1452:Z1452)</f>
        <v>269.3937</v>
      </c>
      <c r="AB1452" s="61" t="n">
        <f aca="false">AA1452/(1-Resumo!$B$5)</f>
        <v>306.129204545455</v>
      </c>
      <c r="AC1452" s="61" t="n">
        <f aca="false">AB1452-S1452</f>
        <v>113.4165</v>
      </c>
      <c r="AD1452" s="62" t="n">
        <f aca="false">AB1452/S1452-1</f>
        <v>0.588526326105546</v>
      </c>
      <c r="AE1452" s="60" t="str">
        <f aca="false">IF(AB1452&lt;S1452,"SIM","NÃO")</f>
        <v>NÃO</v>
      </c>
      <c r="AF1452" s="60" t="n">
        <v>2</v>
      </c>
      <c r="AG1452" s="60" t="n">
        <v>5</v>
      </c>
      <c r="AH1452" s="60" t="s">
        <v>382</v>
      </c>
      <c r="AI1452" s="61" t="n">
        <f aca="false">(T1452*(1-Painel!$C$40)+U1452+V1452+Painel!$C$41+Painel!$C$42*CEILING(G1452/100,1)+Painel!$C$43*CEILING(G1452,1)+Z1452)/(1-Resumo!$B$5)</f>
        <v>215.396590909091</v>
      </c>
      <c r="AJ1452" s="60" t="str">
        <f aca="false">IF(AI1452&lt;S1452,"SIM","NÃO")</f>
        <v>NÃO</v>
      </c>
    </row>
    <row r="1453" customFormat="false" ht="15" hidden="false" customHeight="false" outlineLevel="0" collapsed="false">
      <c r="A1453" s="59" t="n">
        <v>46263.6619675926</v>
      </c>
      <c r="B1453" s="60" t="s">
        <v>1710</v>
      </c>
      <c r="C1453" s="60" t="n">
        <v>22765430</v>
      </c>
      <c r="D1453" s="60" t="s">
        <v>46</v>
      </c>
      <c r="E1453" s="60" t="s">
        <v>22</v>
      </c>
      <c r="F1453" s="60" t="s">
        <v>237</v>
      </c>
      <c r="G1453" s="60" t="n">
        <v>69.15</v>
      </c>
      <c r="H1453" s="61" t="n">
        <v>697.84</v>
      </c>
      <c r="I1453" s="61" t="n">
        <v>63.21</v>
      </c>
      <c r="J1453" s="61" t="n">
        <f aca="false">H1453*Resumo!$C$6</f>
        <v>0</v>
      </c>
      <c r="K1453" s="61" t="n">
        <f aca="false">H1453*Resumo!$C$7</f>
        <v>1.465464</v>
      </c>
      <c r="L1453" s="61" t="n">
        <f aca="false">H1453*Resumo!$C$8</f>
        <v>1.465464</v>
      </c>
      <c r="M1453" s="61" t="n">
        <f aca="false">Resumo!$C$10*CEILING(G1453/100,1)</f>
        <v>1.05</v>
      </c>
      <c r="N1453" s="61" t="n">
        <f aca="false">Resumo!$C$9</f>
        <v>0</v>
      </c>
      <c r="O1453" s="61" t="n">
        <f aca="false">Resumo!$C$13</f>
        <v>13.55</v>
      </c>
      <c r="P1453" s="61" t="n">
        <f aca="false">Resumo!$C$14*CEILING(G1453,1)</f>
        <v>31.5</v>
      </c>
      <c r="Q1453" s="61" t="n">
        <f aca="false">SUM(I1453:P1453)*Resumo!$C$11</f>
        <v>0</v>
      </c>
      <c r="R1453" s="61" t="n">
        <f aca="false">SUM(I1453:Q1453)</f>
        <v>112.240928</v>
      </c>
      <c r="S1453" s="61" t="n">
        <f aca="false">R1453/(1-Resumo!$C$5)</f>
        <v>127.546509090909</v>
      </c>
      <c r="T1453" s="61" t="n">
        <v>131.02</v>
      </c>
      <c r="U1453" s="61" t="n">
        <f aca="false">H1453*Resumo!$B$6</f>
        <v>0.69784</v>
      </c>
      <c r="V1453" s="61" t="n">
        <f aca="false">H1453*Resumo!$B$7</f>
        <v>1.39568</v>
      </c>
      <c r="W1453" s="61" t="n">
        <f aca="false">Resumo!$B$9</f>
        <v>1</v>
      </c>
      <c r="X1453" s="61" t="n">
        <f aca="false">Resumo!$B$10*CEILING(G1453/100,1)</f>
        <v>4.5</v>
      </c>
      <c r="Y1453" s="61" t="n">
        <f aca="false">Resumo!$B$12*CEILING(G1453,1)</f>
        <v>4.2</v>
      </c>
      <c r="Z1453" s="61" t="n">
        <f aca="false">Resumo!$B$14*CEILING(G1453,1)</f>
        <v>31.5</v>
      </c>
      <c r="AA1453" s="61" t="n">
        <f aca="false">SUM(T1453:Z1453)</f>
        <v>174.31352</v>
      </c>
      <c r="AB1453" s="61" t="n">
        <f aca="false">AA1453/(1-Resumo!$B$5)</f>
        <v>198.083545454545</v>
      </c>
      <c r="AC1453" s="61" t="n">
        <f aca="false">AB1453-S1453</f>
        <v>70.5370363636364</v>
      </c>
      <c r="AD1453" s="62" t="n">
        <f aca="false">AB1453/S1453-1</f>
        <v>0.553029925055502</v>
      </c>
      <c r="AE1453" s="60" t="str">
        <f aca="false">IF(AB1453&lt;S1453,"SIM","NÃO")</f>
        <v>NÃO</v>
      </c>
      <c r="AF1453" s="60" t="n">
        <v>2</v>
      </c>
      <c r="AG1453" s="60" t="n">
        <v>5</v>
      </c>
      <c r="AH1453" s="60" t="s">
        <v>382</v>
      </c>
      <c r="AI1453" s="61" t="n">
        <f aca="false">(T1453*(1-Painel!$C$40)+U1453+V1453+Painel!$C$41+Painel!$C$42*CEILING(G1453/100,1)+Painel!$C$43*CEILING(G1453,1)+Z1453)/(1-Resumo!$B$5)</f>
        <v>140.257863636364</v>
      </c>
      <c r="AJ1453" s="60" t="str">
        <f aca="false">IF(AI1453&lt;S1453,"SIM","NÃO")</f>
        <v>NÃO</v>
      </c>
    </row>
    <row r="1454" customFormat="false" ht="15" hidden="false" customHeight="false" outlineLevel="0" collapsed="false">
      <c r="A1454" s="59" t="n">
        <v>46263.7193634259</v>
      </c>
      <c r="B1454" s="60" t="s">
        <v>1711</v>
      </c>
      <c r="C1454" s="60" t="n">
        <v>23575050</v>
      </c>
      <c r="D1454" s="60" t="s">
        <v>46</v>
      </c>
      <c r="E1454" s="60" t="s">
        <v>22</v>
      </c>
      <c r="F1454" s="60" t="s">
        <v>232</v>
      </c>
      <c r="G1454" s="60" t="n">
        <v>13.18</v>
      </c>
      <c r="H1454" s="61" t="n">
        <v>259.95</v>
      </c>
      <c r="I1454" s="61" t="n">
        <v>33.42</v>
      </c>
      <c r="J1454" s="61" t="n">
        <f aca="false">H1454*Resumo!$C$6</f>
        <v>0</v>
      </c>
      <c r="K1454" s="61" t="n">
        <f aca="false">H1454*Resumo!$C$7</f>
        <v>0.545895</v>
      </c>
      <c r="L1454" s="61" t="n">
        <f aca="false">H1454*Resumo!$C$8</f>
        <v>0.545895</v>
      </c>
      <c r="M1454" s="61" t="n">
        <f aca="false">Resumo!$C$10*CEILING(G1454/100,1)</f>
        <v>1.05</v>
      </c>
      <c r="N1454" s="61" t="n">
        <f aca="false">Resumo!$C$9</f>
        <v>0</v>
      </c>
      <c r="O1454" s="61" t="n">
        <f aca="false">Resumo!$C$13</f>
        <v>13.55</v>
      </c>
      <c r="P1454" s="61" t="n">
        <f aca="false">Resumo!$C$14*CEILING(G1454,1)</f>
        <v>6.3</v>
      </c>
      <c r="Q1454" s="61" t="n">
        <f aca="false">SUM(I1454:P1454)*Resumo!$C$11</f>
        <v>0</v>
      </c>
      <c r="R1454" s="61" t="n">
        <f aca="false">SUM(I1454:Q1454)</f>
        <v>55.41179</v>
      </c>
      <c r="S1454" s="61" t="n">
        <f aca="false">R1454/(1-Resumo!$C$5)</f>
        <v>62.9679431818182</v>
      </c>
      <c r="T1454" s="61" t="n">
        <v>46.98</v>
      </c>
      <c r="U1454" s="61" t="n">
        <f aca="false">H1454*Resumo!$B$6</f>
        <v>0.25995</v>
      </c>
      <c r="V1454" s="61" t="n">
        <f aca="false">H1454*Resumo!$B$7</f>
        <v>0.5199</v>
      </c>
      <c r="W1454" s="61" t="n">
        <f aca="false">Resumo!$B$9</f>
        <v>1</v>
      </c>
      <c r="X1454" s="61" t="n">
        <f aca="false">Resumo!$B$10*CEILING(G1454/100,1)</f>
        <v>4.5</v>
      </c>
      <c r="Y1454" s="61" t="n">
        <f aca="false">Resumo!$B$12*CEILING(G1454,1)</f>
        <v>0.84</v>
      </c>
      <c r="Z1454" s="61" t="n">
        <f aca="false">Resumo!$B$14*CEILING(G1454,1)</f>
        <v>6.3</v>
      </c>
      <c r="AA1454" s="61" t="n">
        <f aca="false">SUM(T1454:Z1454)</f>
        <v>60.39985</v>
      </c>
      <c r="AB1454" s="61" t="n">
        <f aca="false">AA1454/(1-Resumo!$B$5)</f>
        <v>68.6361931818182</v>
      </c>
      <c r="AC1454" s="61" t="n">
        <f aca="false">AB1454-S1454</f>
        <v>5.66824999999999</v>
      </c>
      <c r="AD1454" s="62" t="n">
        <f aca="false">AB1454/S1454-1</f>
        <v>0.0900180268495205</v>
      </c>
      <c r="AE1454" s="60" t="str">
        <f aca="false">IF(AB1454&lt;S1454,"SIM","NÃO")</f>
        <v>NÃO</v>
      </c>
      <c r="AF1454" s="60" t="n">
        <v>2</v>
      </c>
      <c r="AG1454" s="60" t="n">
        <v>5</v>
      </c>
      <c r="AH1454" s="60" t="s">
        <v>382</v>
      </c>
      <c r="AI1454" s="61" t="n">
        <f aca="false">(T1454*(1-Painel!$C$40)+U1454+V1454+Painel!$C$41+Painel!$C$42*CEILING(G1454/100,1)+Painel!$C$43*CEILING(G1454,1)+Z1454)/(1-Resumo!$B$5)</f>
        <v>46.1436931818182</v>
      </c>
      <c r="AJ1454" s="60" t="str">
        <f aca="false">IF(AI1454&lt;S1454,"SIM","NÃO")</f>
        <v>SIM</v>
      </c>
    </row>
    <row r="1455" customFormat="false" ht="15" hidden="false" customHeight="false" outlineLevel="0" collapsed="false">
      <c r="A1455" s="59" t="n">
        <v>46263.7881018519</v>
      </c>
      <c r="B1455" s="60" t="s">
        <v>1712</v>
      </c>
      <c r="C1455" s="60" t="n">
        <v>25041130</v>
      </c>
      <c r="D1455" s="60" t="s">
        <v>48</v>
      </c>
      <c r="E1455" s="60" t="s">
        <v>23</v>
      </c>
      <c r="F1455" s="60" t="s">
        <v>235</v>
      </c>
      <c r="G1455" s="60" t="n">
        <v>44.6</v>
      </c>
      <c r="H1455" s="61" t="n">
        <v>549.99</v>
      </c>
      <c r="I1455" s="61" t="n">
        <v>65.36</v>
      </c>
      <c r="J1455" s="61" t="n">
        <f aca="false">H1455*Resumo!$C$6</f>
        <v>0</v>
      </c>
      <c r="K1455" s="61" t="n">
        <f aca="false">H1455*Resumo!$C$7</f>
        <v>1.154979</v>
      </c>
      <c r="L1455" s="61" t="n">
        <f aca="false">H1455*Resumo!$C$8</f>
        <v>1.154979</v>
      </c>
      <c r="M1455" s="61" t="n">
        <f aca="false">Resumo!$C$10*CEILING(G1455/100,1)</f>
        <v>1.05</v>
      </c>
      <c r="N1455" s="61" t="n">
        <f aca="false">Resumo!$C$9</f>
        <v>0</v>
      </c>
      <c r="O1455" s="61" t="n">
        <f aca="false">Resumo!$C$13</f>
        <v>13.55</v>
      </c>
      <c r="P1455" s="61" t="n">
        <f aca="false">Resumo!$C$14*CEILING(G1455,1)</f>
        <v>20.25</v>
      </c>
      <c r="Q1455" s="61" t="n">
        <f aca="false">SUM(I1455:P1455)*Resumo!$C$11</f>
        <v>0</v>
      </c>
      <c r="R1455" s="61" t="n">
        <f aca="false">SUM(I1455:Q1455)</f>
        <v>102.519958</v>
      </c>
      <c r="S1455" s="61" t="n">
        <f aca="false">R1455/(1-Resumo!$C$5)</f>
        <v>116.499952272727</v>
      </c>
      <c r="T1455" s="61" t="n">
        <v>93.97</v>
      </c>
      <c r="U1455" s="61" t="n">
        <f aca="false">H1455*Resumo!$B$6</f>
        <v>0.54999</v>
      </c>
      <c r="V1455" s="61" t="n">
        <f aca="false">H1455*Resumo!$B$7</f>
        <v>1.09998</v>
      </c>
      <c r="W1455" s="61" t="n">
        <f aca="false">Resumo!$B$9</f>
        <v>1</v>
      </c>
      <c r="X1455" s="61" t="n">
        <f aca="false">Resumo!$B$10*CEILING(G1455/100,1)</f>
        <v>4.5</v>
      </c>
      <c r="Y1455" s="61" t="n">
        <f aca="false">Resumo!$B$12*CEILING(G1455,1)</f>
        <v>2.7</v>
      </c>
      <c r="Z1455" s="61" t="n">
        <f aca="false">Resumo!$B$14*CEILING(G1455,1)</f>
        <v>20.25</v>
      </c>
      <c r="AA1455" s="61" t="n">
        <f aca="false">SUM(T1455:Z1455)</f>
        <v>124.06997</v>
      </c>
      <c r="AB1455" s="61" t="n">
        <f aca="false">AA1455/(1-Resumo!$B$5)</f>
        <v>140.988602272727</v>
      </c>
      <c r="AC1455" s="61" t="n">
        <f aca="false">AB1455-S1455</f>
        <v>24.48865</v>
      </c>
      <c r="AD1455" s="62" t="n">
        <f aca="false">AB1455/S1455-1</f>
        <v>0.21020309040704</v>
      </c>
      <c r="AE1455" s="60" t="str">
        <f aca="false">IF(AB1455&lt;S1455,"SIM","NÃO")</f>
        <v>NÃO</v>
      </c>
      <c r="AF1455" s="60" t="n">
        <v>2</v>
      </c>
      <c r="AG1455" s="60" t="n">
        <v>5</v>
      </c>
      <c r="AH1455" s="60" t="s">
        <v>382</v>
      </c>
      <c r="AI1455" s="61" t="n">
        <f aca="false">(T1455*(1-Painel!$C$40)+U1455+V1455+Painel!$C$41+Painel!$C$42*CEILING(G1455/100,1)+Painel!$C$43*CEILING(G1455,1)+Z1455)/(1-Resumo!$B$5)</f>
        <v>98.7612159090909</v>
      </c>
      <c r="AJ1455" s="60" t="str">
        <f aca="false">IF(AI1455&lt;S1455,"SIM","NÃO")</f>
        <v>SIM</v>
      </c>
    </row>
    <row r="1456" customFormat="false" ht="15" hidden="false" customHeight="false" outlineLevel="0" collapsed="false">
      <c r="A1456" s="59" t="n">
        <v>46263.8332638889</v>
      </c>
      <c r="B1456" s="60" t="s">
        <v>1713</v>
      </c>
      <c r="C1456" s="60" t="n">
        <v>25931890</v>
      </c>
      <c r="D1456" s="60" t="s">
        <v>225</v>
      </c>
      <c r="E1456" s="60" t="s">
        <v>24</v>
      </c>
      <c r="F1456" s="60" t="s">
        <v>236</v>
      </c>
      <c r="G1456" s="60" t="n">
        <v>52.3</v>
      </c>
      <c r="H1456" s="61" t="n">
        <v>640.44</v>
      </c>
      <c r="I1456" s="61" t="n">
        <v>83.58</v>
      </c>
      <c r="J1456" s="61" t="n">
        <f aca="false">H1456*Resumo!$C$6</f>
        <v>0</v>
      </c>
      <c r="K1456" s="61" t="n">
        <f aca="false">H1456*Resumo!$C$7</f>
        <v>1.344924</v>
      </c>
      <c r="L1456" s="61" t="n">
        <f aca="false">H1456*Resumo!$C$8</f>
        <v>1.344924</v>
      </c>
      <c r="M1456" s="61" t="n">
        <f aca="false">Resumo!$C$10*CEILING(G1456/100,1)</f>
        <v>1.05</v>
      </c>
      <c r="N1456" s="61" t="n">
        <f aca="false">Resumo!$C$9</f>
        <v>0</v>
      </c>
      <c r="O1456" s="61" t="n">
        <f aca="false">Resumo!$C$13</f>
        <v>13.55</v>
      </c>
      <c r="P1456" s="61" t="n">
        <f aca="false">Resumo!$C$14*CEILING(G1456,1)</f>
        <v>23.85</v>
      </c>
      <c r="Q1456" s="61" t="n">
        <f aca="false">SUM(I1456:P1456)*Resumo!$C$11</f>
        <v>0</v>
      </c>
      <c r="R1456" s="61" t="n">
        <f aca="false">SUM(I1456:Q1456)</f>
        <v>124.719848</v>
      </c>
      <c r="S1456" s="61" t="n">
        <f aca="false">R1456/(1-Resumo!$C$5)</f>
        <v>141.7271</v>
      </c>
      <c r="T1456" s="61" t="n">
        <v>127.03</v>
      </c>
      <c r="U1456" s="61" t="n">
        <f aca="false">H1456*Resumo!$B$6</f>
        <v>0.64044</v>
      </c>
      <c r="V1456" s="61" t="n">
        <f aca="false">H1456*Resumo!$B$7</f>
        <v>1.28088</v>
      </c>
      <c r="W1456" s="61" t="n">
        <f aca="false">Resumo!$B$9</f>
        <v>1</v>
      </c>
      <c r="X1456" s="61" t="n">
        <f aca="false">Resumo!$B$10*CEILING(G1456/100,1)</f>
        <v>4.5</v>
      </c>
      <c r="Y1456" s="61" t="n">
        <f aca="false">Resumo!$B$12*CEILING(G1456,1)</f>
        <v>3.18</v>
      </c>
      <c r="Z1456" s="61" t="n">
        <f aca="false">Resumo!$B$14*CEILING(G1456,1)</f>
        <v>23.85</v>
      </c>
      <c r="AA1456" s="61" t="n">
        <f aca="false">SUM(T1456:Z1456)</f>
        <v>161.48132</v>
      </c>
      <c r="AB1456" s="61" t="n">
        <f aca="false">AA1456/(1-Resumo!$B$5)</f>
        <v>183.5015</v>
      </c>
      <c r="AC1456" s="61" t="n">
        <f aca="false">AB1456-S1456</f>
        <v>41.7744</v>
      </c>
      <c r="AD1456" s="62" t="n">
        <f aca="false">AB1456/S1456-1</f>
        <v>0.294752379749533</v>
      </c>
      <c r="AE1456" s="60" t="str">
        <f aca="false">IF(AB1456&lt;S1456,"SIM","NÃO")</f>
        <v>NÃO</v>
      </c>
      <c r="AF1456" s="60" t="n">
        <v>13</v>
      </c>
      <c r="AG1456" s="60" t="n">
        <v>6</v>
      </c>
      <c r="AH1456" s="60" t="s">
        <v>382</v>
      </c>
      <c r="AI1456" s="61" t="n">
        <f aca="false">(T1456*(1-Painel!$C$40)+U1456+V1456+Painel!$C$41+Painel!$C$42*CEILING(G1456/100,1)+Painel!$C$43*CEILING(G1456,1)+Z1456)/(1-Resumo!$B$5)</f>
        <v>128.331159090909</v>
      </c>
      <c r="AJ1456" s="60" t="str">
        <f aca="false">IF(AI1456&lt;S1456,"SIM","NÃO")</f>
        <v>SIM</v>
      </c>
    </row>
    <row r="1457" customFormat="false" ht="15" hidden="false" customHeight="false" outlineLevel="0" collapsed="false">
      <c r="A1457" s="59" t="n">
        <v>46263.85625</v>
      </c>
      <c r="B1457" s="60" t="s">
        <v>1714</v>
      </c>
      <c r="C1457" s="60" t="n">
        <v>25680000</v>
      </c>
      <c r="D1457" s="60" t="s">
        <v>219</v>
      </c>
      <c r="E1457" s="60" t="s">
        <v>24</v>
      </c>
      <c r="F1457" s="60" t="s">
        <v>235</v>
      </c>
      <c r="G1457" s="60" t="n">
        <v>46.8</v>
      </c>
      <c r="H1457" s="61" t="n">
        <v>599.99</v>
      </c>
      <c r="I1457" s="61" t="n">
        <v>77.7</v>
      </c>
      <c r="J1457" s="61" t="n">
        <f aca="false">H1457*Resumo!$C$6</f>
        <v>0</v>
      </c>
      <c r="K1457" s="61" t="n">
        <f aca="false">H1457*Resumo!$C$7</f>
        <v>1.259979</v>
      </c>
      <c r="L1457" s="61" t="n">
        <f aca="false">H1457*Resumo!$C$8</f>
        <v>1.259979</v>
      </c>
      <c r="M1457" s="61" t="n">
        <f aca="false">Resumo!$C$10*CEILING(G1457/100,1)</f>
        <v>1.05</v>
      </c>
      <c r="N1457" s="61" t="n">
        <f aca="false">Resumo!$C$9</f>
        <v>0</v>
      </c>
      <c r="O1457" s="61" t="n">
        <f aca="false">Resumo!$C$13</f>
        <v>13.55</v>
      </c>
      <c r="P1457" s="61" t="n">
        <f aca="false">Resumo!$C$14*CEILING(G1457,1)</f>
        <v>21.15</v>
      </c>
      <c r="Q1457" s="61" t="n">
        <f aca="false">SUM(I1457:P1457)*Resumo!$C$11</f>
        <v>0</v>
      </c>
      <c r="R1457" s="61" t="n">
        <f aca="false">SUM(I1457:Q1457)</f>
        <v>115.969958</v>
      </c>
      <c r="S1457" s="61" t="n">
        <f aca="false">R1457/(1-Resumo!$C$5)</f>
        <v>131.784043181818</v>
      </c>
      <c r="T1457" s="61" t="n">
        <v>124.38</v>
      </c>
      <c r="U1457" s="61" t="n">
        <f aca="false">H1457*Resumo!$B$6</f>
        <v>0.59999</v>
      </c>
      <c r="V1457" s="61" t="n">
        <f aca="false">H1457*Resumo!$B$7</f>
        <v>1.19998</v>
      </c>
      <c r="W1457" s="61" t="n">
        <f aca="false">Resumo!$B$9</f>
        <v>1</v>
      </c>
      <c r="X1457" s="61" t="n">
        <f aca="false">Resumo!$B$10*CEILING(G1457/100,1)</f>
        <v>4.5</v>
      </c>
      <c r="Y1457" s="61" t="n">
        <f aca="false">Resumo!$B$12*CEILING(G1457,1)</f>
        <v>2.82</v>
      </c>
      <c r="Z1457" s="61" t="n">
        <f aca="false">Resumo!$B$14*CEILING(G1457,1)</f>
        <v>21.15</v>
      </c>
      <c r="AA1457" s="61" t="n">
        <f aca="false">SUM(T1457:Z1457)</f>
        <v>155.64997</v>
      </c>
      <c r="AB1457" s="61" t="n">
        <f aca="false">AA1457/(1-Resumo!$B$5)</f>
        <v>176.874965909091</v>
      </c>
      <c r="AC1457" s="61" t="n">
        <f aca="false">AB1457-S1457</f>
        <v>45.0909227272727</v>
      </c>
      <c r="AD1457" s="62" t="n">
        <f aca="false">AB1457/S1457-1</f>
        <v>0.342157681905861</v>
      </c>
      <c r="AE1457" s="60" t="str">
        <f aca="false">IF(AB1457&lt;S1457,"SIM","NÃO")</f>
        <v>NÃO</v>
      </c>
      <c r="AF1457" s="60" t="n">
        <v>13</v>
      </c>
      <c r="AG1457" s="60" t="n">
        <v>8</v>
      </c>
      <c r="AH1457" s="60" t="s">
        <v>382</v>
      </c>
      <c r="AI1457" s="61" t="n">
        <f aca="false">(T1457*(1-Painel!$C$40)+U1457+V1457+Painel!$C$41+Painel!$C$42*CEILING(G1457/100,1)+Painel!$C$43*CEILING(G1457,1)+Z1457)/(1-Resumo!$B$5)</f>
        <v>123.107465909091</v>
      </c>
      <c r="AJ1457" s="60" t="str">
        <f aca="false">IF(AI1457&lt;S1457,"SIM","NÃO")</f>
        <v>SIM</v>
      </c>
    </row>
    <row r="1458" customFormat="false" ht="15" hidden="false" customHeight="false" outlineLevel="0" collapsed="false">
      <c r="A1458" s="59" t="n">
        <v>46263.9572453704</v>
      </c>
      <c r="B1458" s="60" t="s">
        <v>667</v>
      </c>
      <c r="C1458" s="60" t="n">
        <v>24910750</v>
      </c>
      <c r="D1458" s="60" t="s">
        <v>220</v>
      </c>
      <c r="E1458" s="60" t="s">
        <v>24</v>
      </c>
      <c r="F1458" s="60" t="s">
        <v>234</v>
      </c>
      <c r="G1458" s="60" t="n">
        <v>36.8</v>
      </c>
      <c r="H1458" s="61" t="n">
        <v>469.99</v>
      </c>
      <c r="I1458" s="61" t="n">
        <v>74.97</v>
      </c>
      <c r="J1458" s="61" t="n">
        <f aca="false">H1458*Resumo!$C$6</f>
        <v>0</v>
      </c>
      <c r="K1458" s="61" t="n">
        <f aca="false">H1458*Resumo!$C$7</f>
        <v>0.986979</v>
      </c>
      <c r="L1458" s="61" t="n">
        <f aca="false">H1458*Resumo!$C$8</f>
        <v>0.986979</v>
      </c>
      <c r="M1458" s="61" t="n">
        <f aca="false">Resumo!$C$10*CEILING(G1458/100,1)</f>
        <v>1.05</v>
      </c>
      <c r="N1458" s="61" t="n">
        <f aca="false">Resumo!$C$9</f>
        <v>0</v>
      </c>
      <c r="O1458" s="61" t="n">
        <f aca="false">Resumo!$C$13</f>
        <v>13.55</v>
      </c>
      <c r="P1458" s="61" t="n">
        <f aca="false">Resumo!$C$14*CEILING(G1458,1)</f>
        <v>16.65</v>
      </c>
      <c r="Q1458" s="61" t="n">
        <f aca="false">SUM(I1458:P1458)*Resumo!$C$11</f>
        <v>0</v>
      </c>
      <c r="R1458" s="61" t="n">
        <f aca="false">SUM(I1458:Q1458)</f>
        <v>108.193958</v>
      </c>
      <c r="S1458" s="61" t="n">
        <f aca="false">R1458/(1-Resumo!$C$5)</f>
        <v>122.947679545455</v>
      </c>
      <c r="T1458" s="61" t="n">
        <v>114.95</v>
      </c>
      <c r="U1458" s="61" t="n">
        <f aca="false">H1458*Resumo!$B$6</f>
        <v>0.46999</v>
      </c>
      <c r="V1458" s="61" t="n">
        <f aca="false">H1458*Resumo!$B$7</f>
        <v>0.93998</v>
      </c>
      <c r="W1458" s="61" t="n">
        <f aca="false">Resumo!$B$9</f>
        <v>1</v>
      </c>
      <c r="X1458" s="61" t="n">
        <f aca="false">Resumo!$B$10*CEILING(G1458/100,1)</f>
        <v>4.5</v>
      </c>
      <c r="Y1458" s="61" t="n">
        <f aca="false">Resumo!$B$12*CEILING(G1458,1)</f>
        <v>2.22</v>
      </c>
      <c r="Z1458" s="61" t="n">
        <f aca="false">Resumo!$B$14*CEILING(G1458,1)</f>
        <v>16.65</v>
      </c>
      <c r="AA1458" s="61" t="n">
        <f aca="false">SUM(T1458:Z1458)</f>
        <v>140.72997</v>
      </c>
      <c r="AB1458" s="61" t="n">
        <f aca="false">AA1458/(1-Resumo!$B$5)</f>
        <v>159.920420454545</v>
      </c>
      <c r="AC1458" s="61" t="n">
        <f aca="false">AB1458-S1458</f>
        <v>36.9727409090909</v>
      </c>
      <c r="AD1458" s="62" t="n">
        <f aca="false">AB1458/S1458-1</f>
        <v>0.300719306340563</v>
      </c>
      <c r="AE1458" s="60" t="str">
        <f aca="false">IF(AB1458&lt;S1458,"SIM","NÃO")</f>
        <v>NÃO</v>
      </c>
      <c r="AF1458" s="60" t="n">
        <v>13</v>
      </c>
      <c r="AG1458" s="60" t="n">
        <v>7</v>
      </c>
      <c r="AH1458" s="60" t="s">
        <v>382</v>
      </c>
      <c r="AI1458" s="61" t="n">
        <f aca="false">(T1458*(1-Painel!$C$40)+U1458+V1458+Painel!$C$41+Painel!$C$42*CEILING(G1458/100,1)+Painel!$C$43*CEILING(G1458,1)+Z1458)/(1-Resumo!$B$5)</f>
        <v>110.370988636364</v>
      </c>
      <c r="AJ1458" s="60" t="str">
        <f aca="false">IF(AI1458&lt;S1458,"SIM","NÃO")</f>
        <v>SIM</v>
      </c>
    </row>
    <row r="1459" customFormat="false" ht="15" hidden="false" customHeight="false" outlineLevel="0" collapsed="false">
      <c r="A1459" s="59" t="n">
        <v>46264.0006134259</v>
      </c>
      <c r="B1459" s="60" t="s">
        <v>1715</v>
      </c>
      <c r="C1459" s="60" t="n">
        <v>28623060</v>
      </c>
      <c r="D1459" s="60" t="s">
        <v>226</v>
      </c>
      <c r="E1459" s="60" t="s">
        <v>24</v>
      </c>
      <c r="F1459" s="60" t="s">
        <v>234</v>
      </c>
      <c r="G1459" s="60" t="n">
        <v>37.59</v>
      </c>
      <c r="H1459" s="61" t="n">
        <v>479.99</v>
      </c>
      <c r="I1459" s="61" t="n">
        <v>74.97</v>
      </c>
      <c r="J1459" s="61" t="n">
        <f aca="false">H1459*Resumo!$C$6</f>
        <v>0</v>
      </c>
      <c r="K1459" s="61" t="n">
        <f aca="false">H1459*Resumo!$C$7</f>
        <v>1.007979</v>
      </c>
      <c r="L1459" s="61" t="n">
        <f aca="false">H1459*Resumo!$C$8</f>
        <v>1.007979</v>
      </c>
      <c r="M1459" s="61" t="n">
        <f aca="false">Resumo!$C$10*CEILING(G1459/100,1)</f>
        <v>1.05</v>
      </c>
      <c r="N1459" s="61" t="n">
        <f aca="false">Resumo!$C$9</f>
        <v>0</v>
      </c>
      <c r="O1459" s="61" t="n">
        <f aca="false">Resumo!$C$13</f>
        <v>13.55</v>
      </c>
      <c r="P1459" s="61" t="n">
        <f aca="false">Resumo!$C$14*CEILING(G1459,1)</f>
        <v>17.1</v>
      </c>
      <c r="Q1459" s="61" t="n">
        <f aca="false">SUM(I1459:P1459)*Resumo!$C$11</f>
        <v>0</v>
      </c>
      <c r="R1459" s="61" t="n">
        <f aca="false">SUM(I1459:Q1459)</f>
        <v>108.685958</v>
      </c>
      <c r="S1459" s="61" t="n">
        <f aca="false">R1459/(1-Resumo!$C$5)</f>
        <v>123.506770454545</v>
      </c>
      <c r="T1459" s="61" t="n">
        <v>125.63</v>
      </c>
      <c r="U1459" s="61" t="n">
        <f aca="false">H1459*Resumo!$B$6</f>
        <v>0.47999</v>
      </c>
      <c r="V1459" s="61" t="n">
        <f aca="false">H1459*Resumo!$B$7</f>
        <v>0.95998</v>
      </c>
      <c r="W1459" s="61" t="n">
        <f aca="false">Resumo!$B$9</f>
        <v>1</v>
      </c>
      <c r="X1459" s="61" t="n">
        <f aca="false">Resumo!$B$10*CEILING(G1459/100,1)</f>
        <v>4.5</v>
      </c>
      <c r="Y1459" s="61" t="n">
        <f aca="false">Resumo!$B$12*CEILING(G1459,1)</f>
        <v>2.28</v>
      </c>
      <c r="Z1459" s="61" t="n">
        <f aca="false">Resumo!$B$14*CEILING(G1459,1)</f>
        <v>17.1</v>
      </c>
      <c r="AA1459" s="61" t="n">
        <f aca="false">SUM(T1459:Z1459)</f>
        <v>151.94997</v>
      </c>
      <c r="AB1459" s="61" t="n">
        <f aca="false">AA1459/(1-Resumo!$B$5)</f>
        <v>172.670420454545</v>
      </c>
      <c r="AC1459" s="61" t="n">
        <f aca="false">AB1459-S1459</f>
        <v>49.16365</v>
      </c>
      <c r="AD1459" s="62" t="n">
        <f aca="false">AB1459/S1459-1</f>
        <v>0.398064412331904</v>
      </c>
      <c r="AE1459" s="60" t="str">
        <f aca="false">IF(AB1459&lt;S1459,"SIM","NÃO")</f>
        <v>NÃO</v>
      </c>
      <c r="AF1459" s="60" t="n">
        <v>13</v>
      </c>
      <c r="AG1459" s="60" t="n">
        <v>10</v>
      </c>
      <c r="AH1459" s="60" t="s">
        <v>382</v>
      </c>
      <c r="AI1459" s="61" t="n">
        <f aca="false">(T1459*(1-Painel!$C$40)+U1459+V1459+Painel!$C$41+Painel!$C$42*CEILING(G1459/100,1)+Painel!$C$43*CEILING(G1459,1)+Z1459)/(1-Resumo!$B$5)</f>
        <v>119.047806818182</v>
      </c>
      <c r="AJ1459" s="60" t="str">
        <f aca="false">IF(AI1459&lt;S1459,"SIM","NÃO")</f>
        <v>SIM</v>
      </c>
    </row>
    <row r="1460" customFormat="false" ht="15" hidden="false" customHeight="false" outlineLevel="0" collapsed="false">
      <c r="A1460" s="59" t="n">
        <v>46264.0778935185</v>
      </c>
      <c r="B1460" s="60" t="s">
        <v>1716</v>
      </c>
      <c r="C1460" s="60" t="n">
        <v>28690430</v>
      </c>
      <c r="D1460" s="60" t="s">
        <v>329</v>
      </c>
      <c r="E1460" s="60" t="s">
        <v>24</v>
      </c>
      <c r="F1460" s="60" t="s">
        <v>233</v>
      </c>
      <c r="G1460" s="60" t="n">
        <v>30.94</v>
      </c>
      <c r="H1460" s="61" t="n">
        <v>419.99</v>
      </c>
      <c r="I1460" s="61" t="n">
        <v>65.63</v>
      </c>
      <c r="J1460" s="61" t="n">
        <f aca="false">H1460*Resumo!$C$6</f>
        <v>0</v>
      </c>
      <c r="K1460" s="61" t="n">
        <f aca="false">H1460*Resumo!$C$7</f>
        <v>0.881979</v>
      </c>
      <c r="L1460" s="61" t="n">
        <f aca="false">H1460*Resumo!$C$8</f>
        <v>0.881979</v>
      </c>
      <c r="M1460" s="61" t="n">
        <f aca="false">Resumo!$C$10*CEILING(G1460/100,1)</f>
        <v>1.05</v>
      </c>
      <c r="N1460" s="61" t="n">
        <f aca="false">Resumo!$C$9</f>
        <v>0</v>
      </c>
      <c r="O1460" s="61" t="n">
        <f aca="false">Resumo!$C$13</f>
        <v>13.55</v>
      </c>
      <c r="P1460" s="61" t="n">
        <f aca="false">Resumo!$C$14*CEILING(G1460,1)</f>
        <v>13.95</v>
      </c>
      <c r="Q1460" s="61" t="n">
        <f aca="false">SUM(I1460:P1460)*Resumo!$C$11</f>
        <v>0</v>
      </c>
      <c r="R1460" s="61" t="n">
        <f aca="false">SUM(I1460:Q1460)</f>
        <v>95.943958</v>
      </c>
      <c r="S1460" s="61" t="n">
        <f aca="false">R1460/(1-Resumo!$C$5)</f>
        <v>109.027225</v>
      </c>
      <c r="T1460" s="61" t="n">
        <v>120.78</v>
      </c>
      <c r="U1460" s="61" t="n">
        <f aca="false">H1460*Resumo!$B$6</f>
        <v>0.41999</v>
      </c>
      <c r="V1460" s="61" t="n">
        <f aca="false">H1460*Resumo!$B$7</f>
        <v>0.83998</v>
      </c>
      <c r="W1460" s="61" t="n">
        <f aca="false">Resumo!$B$9</f>
        <v>1</v>
      </c>
      <c r="X1460" s="61" t="n">
        <f aca="false">Resumo!$B$10*CEILING(G1460/100,1)</f>
        <v>4.5</v>
      </c>
      <c r="Y1460" s="61" t="n">
        <f aca="false">Resumo!$B$12*CEILING(G1460,1)</f>
        <v>1.86</v>
      </c>
      <c r="Z1460" s="61" t="n">
        <f aca="false">Resumo!$B$14*CEILING(G1460,1)</f>
        <v>13.95</v>
      </c>
      <c r="AA1460" s="61" t="n">
        <f aca="false">SUM(T1460:Z1460)</f>
        <v>143.34997</v>
      </c>
      <c r="AB1460" s="61" t="n">
        <f aca="false">AA1460/(1-Resumo!$B$5)</f>
        <v>162.897693181818</v>
      </c>
      <c r="AC1460" s="61" t="n">
        <f aca="false">AB1460-S1460</f>
        <v>53.8704681818182</v>
      </c>
      <c r="AD1460" s="62" t="n">
        <f aca="false">AB1460/S1460-1</f>
        <v>0.494101066791512</v>
      </c>
      <c r="AE1460" s="60" t="str">
        <f aca="false">IF(AB1460&lt;S1460,"SIM","NÃO")</f>
        <v>NÃO</v>
      </c>
      <c r="AF1460" s="60" t="n">
        <v>13</v>
      </c>
      <c r="AG1460" s="60" t="n">
        <v>10</v>
      </c>
      <c r="AH1460" s="60" t="s">
        <v>385</v>
      </c>
      <c r="AI1460" s="61" t="n">
        <f aca="false">(T1460*(1-Painel!$C$40)+U1460+V1460+Painel!$C$41+Painel!$C$42*CEILING(G1460/100,1)+Painel!$C$43*CEILING(G1460,1)+Z1460)/(1-Resumo!$B$5)</f>
        <v>111.571102272727</v>
      </c>
      <c r="AJ1460" s="60" t="str">
        <f aca="false">IF(AI1460&lt;S1460,"SIM","NÃO")</f>
        <v>NÃO</v>
      </c>
    </row>
    <row r="1461" customFormat="false" ht="15" hidden="false" customHeight="false" outlineLevel="0" collapsed="false">
      <c r="A1461" s="59" t="n">
        <v>46264.4151157407</v>
      </c>
      <c r="B1461" s="60" t="s">
        <v>1717</v>
      </c>
      <c r="C1461" s="60" t="n">
        <v>24724565</v>
      </c>
      <c r="D1461" s="60" t="s">
        <v>47</v>
      </c>
      <c r="E1461" s="60" t="s">
        <v>23</v>
      </c>
      <c r="F1461" s="60" t="s">
        <v>235</v>
      </c>
      <c r="G1461" s="60" t="n">
        <v>46.8</v>
      </c>
      <c r="H1461" s="61" t="n">
        <v>599.99</v>
      </c>
      <c r="I1461" s="61" t="n">
        <v>65.36</v>
      </c>
      <c r="J1461" s="61" t="n">
        <f aca="false">H1461*Resumo!$C$6</f>
        <v>0</v>
      </c>
      <c r="K1461" s="61" t="n">
        <f aca="false">H1461*Resumo!$C$7</f>
        <v>1.259979</v>
      </c>
      <c r="L1461" s="61" t="n">
        <f aca="false">H1461*Resumo!$C$8</f>
        <v>1.259979</v>
      </c>
      <c r="M1461" s="61" t="n">
        <f aca="false">Resumo!$C$10*CEILING(G1461/100,1)</f>
        <v>1.05</v>
      </c>
      <c r="N1461" s="61" t="n">
        <f aca="false">Resumo!$C$9</f>
        <v>0</v>
      </c>
      <c r="O1461" s="61" t="n">
        <f aca="false">Resumo!$C$13</f>
        <v>13.55</v>
      </c>
      <c r="P1461" s="61" t="n">
        <f aca="false">Resumo!$C$14*CEILING(G1461,1)</f>
        <v>21.15</v>
      </c>
      <c r="Q1461" s="61" t="n">
        <f aca="false">SUM(I1461:P1461)*Resumo!$C$11</f>
        <v>0</v>
      </c>
      <c r="R1461" s="61" t="n">
        <f aca="false">SUM(I1461:Q1461)</f>
        <v>103.629958</v>
      </c>
      <c r="S1461" s="61" t="n">
        <f aca="false">R1461/(1-Resumo!$C$5)</f>
        <v>117.761315909091</v>
      </c>
      <c r="T1461" s="61" t="n">
        <v>114.95</v>
      </c>
      <c r="U1461" s="61" t="n">
        <f aca="false">H1461*Resumo!$B$6</f>
        <v>0.59999</v>
      </c>
      <c r="V1461" s="61" t="n">
        <f aca="false">H1461*Resumo!$B$7</f>
        <v>1.19998</v>
      </c>
      <c r="W1461" s="61" t="n">
        <f aca="false">Resumo!$B$9</f>
        <v>1</v>
      </c>
      <c r="X1461" s="61" t="n">
        <f aca="false">Resumo!$B$10*CEILING(G1461/100,1)</f>
        <v>4.5</v>
      </c>
      <c r="Y1461" s="61" t="n">
        <f aca="false">Resumo!$B$12*CEILING(G1461,1)</f>
        <v>2.82</v>
      </c>
      <c r="Z1461" s="61" t="n">
        <f aca="false">Resumo!$B$14*CEILING(G1461,1)</f>
        <v>21.15</v>
      </c>
      <c r="AA1461" s="61" t="n">
        <f aca="false">SUM(T1461:Z1461)</f>
        <v>146.21997</v>
      </c>
      <c r="AB1461" s="61" t="n">
        <f aca="false">AA1461/(1-Resumo!$B$5)</f>
        <v>166.159056818182</v>
      </c>
      <c r="AC1461" s="61" t="n">
        <f aca="false">AB1461-S1461</f>
        <v>48.3977409090909</v>
      </c>
      <c r="AD1461" s="62" t="n">
        <f aca="false">AB1461/S1461-1</f>
        <v>0.410981658411943</v>
      </c>
      <c r="AE1461" s="60" t="str">
        <f aca="false">IF(AB1461&lt;S1461,"SIM","NÃO")</f>
        <v>NÃO</v>
      </c>
      <c r="AF1461" s="60" t="n">
        <v>2</v>
      </c>
      <c r="AG1461" s="60" t="n">
        <v>7</v>
      </c>
      <c r="AH1461" s="60" t="s">
        <v>382</v>
      </c>
      <c r="AI1461" s="61" t="n">
        <f aca="false">(T1461*(1-Painel!$C$40)+U1461+V1461+Painel!$C$41+Painel!$C$42*CEILING(G1461/100,1)+Painel!$C$43*CEILING(G1461,1)+Z1461)/(1-Resumo!$B$5)</f>
        <v>115.927806818182</v>
      </c>
      <c r="AJ1461" s="60" t="str">
        <f aca="false">IF(AI1461&lt;S1461,"SIM","NÃO")</f>
        <v>SIM</v>
      </c>
    </row>
    <row r="1462" customFormat="false" ht="15" hidden="false" customHeight="false" outlineLevel="0" collapsed="false">
      <c r="A1462" s="59" t="n">
        <v>46264.497962963</v>
      </c>
      <c r="B1462" s="60" t="s">
        <v>1718</v>
      </c>
      <c r="C1462" s="60" t="n">
        <v>27960186</v>
      </c>
      <c r="D1462" s="60" t="s">
        <v>53</v>
      </c>
      <c r="E1462" s="60" t="s">
        <v>24</v>
      </c>
      <c r="F1462" s="60" t="s">
        <v>233</v>
      </c>
      <c r="G1462" s="60" t="n">
        <v>33</v>
      </c>
      <c r="H1462" s="61" t="n">
        <v>429.99</v>
      </c>
      <c r="I1462" s="61" t="n">
        <v>65.63</v>
      </c>
      <c r="J1462" s="61" t="n">
        <f aca="false">H1462*Resumo!$C$6</f>
        <v>0</v>
      </c>
      <c r="K1462" s="61" t="n">
        <f aca="false">H1462*Resumo!$C$7</f>
        <v>0.902979</v>
      </c>
      <c r="L1462" s="61" t="n">
        <f aca="false">H1462*Resumo!$C$8</f>
        <v>0.902979</v>
      </c>
      <c r="M1462" s="61" t="n">
        <f aca="false">Resumo!$C$10*CEILING(G1462/100,1)</f>
        <v>1.05</v>
      </c>
      <c r="N1462" s="61" t="n">
        <f aca="false">Resumo!$C$9</f>
        <v>0</v>
      </c>
      <c r="O1462" s="61" t="n">
        <f aca="false">Resumo!$C$13</f>
        <v>13.55</v>
      </c>
      <c r="P1462" s="61" t="n">
        <f aca="false">Resumo!$C$14*CEILING(G1462,1)</f>
        <v>14.85</v>
      </c>
      <c r="Q1462" s="61" t="n">
        <f aca="false">SUM(I1462:P1462)*Resumo!$C$11</f>
        <v>0</v>
      </c>
      <c r="R1462" s="61" t="n">
        <f aca="false">SUM(I1462:Q1462)</f>
        <v>96.885958</v>
      </c>
      <c r="S1462" s="61" t="n">
        <f aca="false">R1462/(1-Resumo!$C$5)</f>
        <v>110.097679545455</v>
      </c>
      <c r="T1462" s="61" t="n">
        <v>138.29</v>
      </c>
      <c r="U1462" s="61" t="n">
        <f aca="false">H1462*Resumo!$B$6</f>
        <v>0.42999</v>
      </c>
      <c r="V1462" s="61" t="n">
        <f aca="false">H1462*Resumo!$B$7</f>
        <v>0.85998</v>
      </c>
      <c r="W1462" s="61" t="n">
        <f aca="false">Resumo!$B$9</f>
        <v>1</v>
      </c>
      <c r="X1462" s="61" t="n">
        <f aca="false">Resumo!$B$10*CEILING(G1462/100,1)</f>
        <v>4.5</v>
      </c>
      <c r="Y1462" s="61" t="n">
        <f aca="false">Resumo!$B$12*CEILING(G1462,1)</f>
        <v>1.98</v>
      </c>
      <c r="Z1462" s="61" t="n">
        <f aca="false">Resumo!$B$14*CEILING(G1462,1)</f>
        <v>14.85</v>
      </c>
      <c r="AA1462" s="61" t="n">
        <f aca="false">SUM(T1462:Z1462)</f>
        <v>161.90997</v>
      </c>
      <c r="AB1462" s="61" t="n">
        <f aca="false">AA1462/(1-Resumo!$B$5)</f>
        <v>183.988602272727</v>
      </c>
      <c r="AC1462" s="61" t="n">
        <f aca="false">AB1462-S1462</f>
        <v>73.8909227272727</v>
      </c>
      <c r="AD1462" s="62" t="n">
        <f aca="false">AB1462/S1462-1</f>
        <v>0.671139691883937</v>
      </c>
      <c r="AE1462" s="60" t="str">
        <f aca="false">IF(AB1462&lt;S1462,"SIM","NÃO")</f>
        <v>NÃO</v>
      </c>
      <c r="AF1462" s="60" t="n">
        <v>13</v>
      </c>
      <c r="AG1462" s="60" t="n">
        <v>11</v>
      </c>
      <c r="AH1462" s="60" t="s">
        <v>382</v>
      </c>
      <c r="AI1462" s="61" t="n">
        <f aca="false">(T1462*(1-Painel!$C$40)+U1462+V1462+Painel!$C$41+Painel!$C$42*CEILING(G1462/100,1)+Painel!$C$43*CEILING(G1462,1)+Z1462)/(1-Resumo!$B$5)</f>
        <v>125.959397727273</v>
      </c>
      <c r="AJ1462" s="60" t="str">
        <f aca="false">IF(AI1462&lt;S1462,"SIM","NÃO")</f>
        <v>NÃO</v>
      </c>
    </row>
    <row r="1463" customFormat="false" ht="15" hidden="false" customHeight="false" outlineLevel="0" collapsed="false">
      <c r="A1463" s="59" t="n">
        <v>46264.5630787037</v>
      </c>
      <c r="B1463" s="60" t="s">
        <v>1719</v>
      </c>
      <c r="C1463" s="60" t="n">
        <v>26271360</v>
      </c>
      <c r="D1463" s="60" t="s">
        <v>49</v>
      </c>
      <c r="E1463" s="60" t="s">
        <v>23</v>
      </c>
      <c r="F1463" s="60" t="s">
        <v>234</v>
      </c>
      <c r="G1463" s="60" t="n">
        <v>37.2</v>
      </c>
      <c r="H1463" s="61" t="n">
        <v>366.5</v>
      </c>
      <c r="I1463" s="61" t="n">
        <v>66.83</v>
      </c>
      <c r="J1463" s="61" t="n">
        <f aca="false">H1463*Resumo!$C$6</f>
        <v>0</v>
      </c>
      <c r="K1463" s="61" t="n">
        <f aca="false">H1463*Resumo!$C$7</f>
        <v>0.76965</v>
      </c>
      <c r="L1463" s="61" t="n">
        <f aca="false">H1463*Resumo!$C$8</f>
        <v>0.76965</v>
      </c>
      <c r="M1463" s="61" t="n">
        <f aca="false">Resumo!$C$10*CEILING(G1463/100,1)</f>
        <v>1.05</v>
      </c>
      <c r="N1463" s="61" t="n">
        <f aca="false">Resumo!$C$9</f>
        <v>0</v>
      </c>
      <c r="O1463" s="61" t="n">
        <f aca="false">Resumo!$C$13</f>
        <v>13.55</v>
      </c>
      <c r="P1463" s="61" t="n">
        <f aca="false">Resumo!$C$14*CEILING(G1463,1)</f>
        <v>17.1</v>
      </c>
      <c r="Q1463" s="61" t="n">
        <f aca="false">SUM(I1463:P1463)*Resumo!$C$11</f>
        <v>0</v>
      </c>
      <c r="R1463" s="61" t="n">
        <f aca="false">SUM(I1463:Q1463)</f>
        <v>100.0693</v>
      </c>
      <c r="S1463" s="61" t="n">
        <f aca="false">R1463/(1-Resumo!$C$5)</f>
        <v>113.715113636364</v>
      </c>
      <c r="T1463" s="61" t="n">
        <v>93.97</v>
      </c>
      <c r="U1463" s="61" t="n">
        <f aca="false">H1463*Resumo!$B$6</f>
        <v>0.3665</v>
      </c>
      <c r="V1463" s="61" t="n">
        <f aca="false">H1463*Resumo!$B$7</f>
        <v>0.733</v>
      </c>
      <c r="W1463" s="61" t="n">
        <f aca="false">Resumo!$B$9</f>
        <v>1</v>
      </c>
      <c r="X1463" s="61" t="n">
        <f aca="false">Resumo!$B$10*CEILING(G1463/100,1)</f>
        <v>4.5</v>
      </c>
      <c r="Y1463" s="61" t="n">
        <f aca="false">Resumo!$B$12*CEILING(G1463,1)</f>
        <v>2.28</v>
      </c>
      <c r="Z1463" s="61" t="n">
        <f aca="false">Resumo!$B$14*CEILING(G1463,1)</f>
        <v>17.1</v>
      </c>
      <c r="AA1463" s="61" t="n">
        <f aca="false">SUM(T1463:Z1463)</f>
        <v>119.9495</v>
      </c>
      <c r="AB1463" s="61" t="n">
        <f aca="false">AA1463/(1-Resumo!$B$5)</f>
        <v>136.30625</v>
      </c>
      <c r="AC1463" s="61" t="n">
        <f aca="false">AB1463-S1463</f>
        <v>22.5911363636364</v>
      </c>
      <c r="AD1463" s="62" t="n">
        <f aca="false">AB1463/S1463-1</f>
        <v>0.198664325622344</v>
      </c>
      <c r="AE1463" s="60" t="str">
        <f aca="false">IF(AB1463&lt;S1463,"SIM","NÃO")</f>
        <v>NÃO</v>
      </c>
      <c r="AF1463" s="60" t="n">
        <v>2</v>
      </c>
      <c r="AG1463" s="60" t="n">
        <v>5</v>
      </c>
      <c r="AH1463" s="60" t="s">
        <v>382</v>
      </c>
      <c r="AI1463" s="61" t="n">
        <f aca="false">(T1463*(1-Painel!$C$40)+U1463+V1463+Painel!$C$41+Painel!$C$42*CEILING(G1463/100,1)+Painel!$C$43*CEILING(G1463,1)+Z1463)/(1-Resumo!$B$5)</f>
        <v>94.5561363636364</v>
      </c>
      <c r="AJ1463" s="60" t="str">
        <f aca="false">IF(AI1463&lt;S1463,"SIM","NÃO")</f>
        <v>SIM</v>
      </c>
    </row>
    <row r="1464" customFormat="false" ht="15" hidden="false" customHeight="false" outlineLevel="0" collapsed="false">
      <c r="A1464" s="59" t="n">
        <v>46264.5783912037</v>
      </c>
      <c r="B1464" s="60" t="s">
        <v>1720</v>
      </c>
      <c r="C1464" s="60" t="n">
        <v>23058001</v>
      </c>
      <c r="D1464" s="60" t="s">
        <v>46</v>
      </c>
      <c r="E1464" s="60" t="s">
        <v>22</v>
      </c>
      <c r="F1464" s="60" t="s">
        <v>240</v>
      </c>
      <c r="G1464" s="60" t="n">
        <v>117.5</v>
      </c>
      <c r="H1464" s="61" t="n">
        <v>1252.9</v>
      </c>
      <c r="I1464" s="61" t="n">
        <v>92.34</v>
      </c>
      <c r="J1464" s="61" t="n">
        <f aca="false">H1464*Resumo!$C$6</f>
        <v>0</v>
      </c>
      <c r="K1464" s="61" t="n">
        <f aca="false">H1464*Resumo!$C$7</f>
        <v>2.63109</v>
      </c>
      <c r="L1464" s="61" t="n">
        <f aca="false">H1464*Resumo!$C$8</f>
        <v>2.63109</v>
      </c>
      <c r="M1464" s="61" t="n">
        <f aca="false">Resumo!$C$10*CEILING(G1464/100,1)</f>
        <v>2.1</v>
      </c>
      <c r="N1464" s="61" t="n">
        <f aca="false">Resumo!$C$9</f>
        <v>0</v>
      </c>
      <c r="O1464" s="61" t="n">
        <f aca="false">Resumo!$C$13</f>
        <v>13.55</v>
      </c>
      <c r="P1464" s="61" t="n">
        <f aca="false">Resumo!$C$14*CEILING(G1464,1)</f>
        <v>53.1</v>
      </c>
      <c r="Q1464" s="61" t="n">
        <f aca="false">SUM(I1464:P1464)*Resumo!$C$11</f>
        <v>0</v>
      </c>
      <c r="R1464" s="61" t="n">
        <f aca="false">SUM(I1464:Q1464)</f>
        <v>166.35218</v>
      </c>
      <c r="S1464" s="61" t="n">
        <f aca="false">R1464/(1-Resumo!$C$5)</f>
        <v>189.036568181818</v>
      </c>
      <c r="T1464" s="61" t="n">
        <v>201.59</v>
      </c>
      <c r="U1464" s="61" t="n">
        <f aca="false">H1464*Resumo!$B$6</f>
        <v>1.2529</v>
      </c>
      <c r="V1464" s="61" t="n">
        <f aca="false">H1464*Resumo!$B$7</f>
        <v>2.5058</v>
      </c>
      <c r="W1464" s="61" t="n">
        <f aca="false">Resumo!$B$9</f>
        <v>1</v>
      </c>
      <c r="X1464" s="61" t="n">
        <f aca="false">Resumo!$B$10*CEILING(G1464/100,1)</f>
        <v>9</v>
      </c>
      <c r="Y1464" s="61" t="n">
        <f aca="false">Resumo!$B$12*CEILING(G1464,1)</f>
        <v>7.08</v>
      </c>
      <c r="Z1464" s="61" t="n">
        <f aca="false">Resumo!$B$14*CEILING(G1464,1)</f>
        <v>53.1</v>
      </c>
      <c r="AA1464" s="61" t="n">
        <f aca="false">SUM(T1464:Z1464)</f>
        <v>275.5287</v>
      </c>
      <c r="AB1464" s="61" t="n">
        <f aca="false">AA1464/(1-Resumo!$B$5)</f>
        <v>313.100795454545</v>
      </c>
      <c r="AC1464" s="61" t="n">
        <f aca="false">AB1464-S1464</f>
        <v>124.064227272727</v>
      </c>
      <c r="AD1464" s="62" t="n">
        <f aca="false">AB1464/S1464-1</f>
        <v>0.656297500880361</v>
      </c>
      <c r="AE1464" s="60" t="str">
        <f aca="false">IF(AB1464&lt;S1464,"SIM","NÃO")</f>
        <v>NÃO</v>
      </c>
      <c r="AF1464" s="60" t="n">
        <v>2</v>
      </c>
      <c r="AG1464" s="60" t="n">
        <v>5</v>
      </c>
      <c r="AH1464" s="60" t="s">
        <v>382</v>
      </c>
      <c r="AI1464" s="61" t="n">
        <f aca="false">(T1464*(1-Painel!$C$40)+U1464+V1464+Painel!$C$41+Painel!$C$42*CEILING(G1464/100,1)+Painel!$C$43*CEILING(G1464,1)+Z1464)/(1-Resumo!$B$5)</f>
        <v>221.618181818182</v>
      </c>
      <c r="AJ1464" s="60" t="str">
        <f aca="false">IF(AI1464&lt;S1464,"SIM","NÃO")</f>
        <v>NÃO</v>
      </c>
    </row>
    <row r="1465" customFormat="false" ht="15" hidden="false" customHeight="false" outlineLevel="0" collapsed="false">
      <c r="A1465" s="59" t="n">
        <v>46264.5876041667</v>
      </c>
      <c r="B1465" s="60" t="s">
        <v>1335</v>
      </c>
      <c r="C1465" s="60" t="n">
        <v>21745350</v>
      </c>
      <c r="D1465" s="60" t="s">
        <v>46</v>
      </c>
      <c r="E1465" s="60" t="s">
        <v>22</v>
      </c>
      <c r="F1465" s="60" t="s">
        <v>234</v>
      </c>
      <c r="G1465" s="60" t="n">
        <v>36.8</v>
      </c>
      <c r="H1465" s="61" t="n">
        <v>431.64</v>
      </c>
      <c r="I1465" s="61" t="n">
        <v>48.35</v>
      </c>
      <c r="J1465" s="61" t="n">
        <f aca="false">H1465*Resumo!$C$6</f>
        <v>0</v>
      </c>
      <c r="K1465" s="61" t="n">
        <f aca="false">H1465*Resumo!$C$7</f>
        <v>0.906444</v>
      </c>
      <c r="L1465" s="61" t="n">
        <f aca="false">H1465*Resumo!$C$8</f>
        <v>0.906444</v>
      </c>
      <c r="M1465" s="61" t="n">
        <f aca="false">Resumo!$C$10*CEILING(G1465/100,1)</f>
        <v>1.05</v>
      </c>
      <c r="N1465" s="61" t="n">
        <f aca="false">Resumo!$C$9</f>
        <v>0</v>
      </c>
      <c r="O1465" s="61" t="n">
        <f aca="false">Resumo!$C$13</f>
        <v>13.55</v>
      </c>
      <c r="P1465" s="61" t="n">
        <f aca="false">Resumo!$C$14*CEILING(G1465,1)</f>
        <v>16.65</v>
      </c>
      <c r="Q1465" s="61" t="n">
        <f aca="false">SUM(I1465:P1465)*Resumo!$C$11</f>
        <v>0</v>
      </c>
      <c r="R1465" s="61" t="n">
        <f aca="false">SUM(I1465:Q1465)</f>
        <v>81.412888</v>
      </c>
      <c r="S1465" s="61" t="n">
        <f aca="false">R1465/(1-Resumo!$C$5)</f>
        <v>92.5146454545455</v>
      </c>
      <c r="T1465" s="61" t="n">
        <v>93.97</v>
      </c>
      <c r="U1465" s="61" t="n">
        <f aca="false">H1465*Resumo!$B$6</f>
        <v>0.43164</v>
      </c>
      <c r="V1465" s="61" t="n">
        <f aca="false">H1465*Resumo!$B$7</f>
        <v>0.86328</v>
      </c>
      <c r="W1465" s="61" t="n">
        <f aca="false">Resumo!$B$9</f>
        <v>1</v>
      </c>
      <c r="X1465" s="61" t="n">
        <f aca="false">Resumo!$B$10*CEILING(G1465/100,1)</f>
        <v>4.5</v>
      </c>
      <c r="Y1465" s="61" t="n">
        <f aca="false">Resumo!$B$12*CEILING(G1465,1)</f>
        <v>2.22</v>
      </c>
      <c r="Z1465" s="61" t="n">
        <f aca="false">Resumo!$B$14*CEILING(G1465,1)</f>
        <v>16.65</v>
      </c>
      <c r="AA1465" s="61" t="n">
        <f aca="false">SUM(T1465:Z1465)</f>
        <v>119.63492</v>
      </c>
      <c r="AB1465" s="61" t="n">
        <f aca="false">AA1465/(1-Resumo!$B$5)</f>
        <v>135.948772727273</v>
      </c>
      <c r="AC1465" s="61" t="n">
        <f aca="false">AB1465-S1465</f>
        <v>43.4341272727273</v>
      </c>
      <c r="AD1465" s="62" t="n">
        <f aca="false">AB1465/S1465-1</f>
        <v>0.469483799665724</v>
      </c>
      <c r="AE1465" s="60" t="str">
        <f aca="false">IF(AB1465&lt;S1465,"SIM","NÃO")</f>
        <v>NÃO</v>
      </c>
      <c r="AF1465" s="60" t="n">
        <v>2</v>
      </c>
      <c r="AG1465" s="60" t="n">
        <v>5</v>
      </c>
      <c r="AH1465" s="60" t="s">
        <v>382</v>
      </c>
      <c r="AI1465" s="61" t="n">
        <f aca="false">(T1465*(1-Painel!$C$40)+U1465+V1465+Painel!$C$41+Painel!$C$42*CEILING(G1465/100,1)+Painel!$C$43*CEILING(G1465,1)+Z1465)/(1-Resumo!$B$5)</f>
        <v>94.2668409090909</v>
      </c>
      <c r="AJ1465" s="60" t="str">
        <f aca="false">IF(AI1465&lt;S1465,"SIM","NÃO")</f>
        <v>NÃO</v>
      </c>
    </row>
    <row r="1466" customFormat="false" ht="15" hidden="false" customHeight="false" outlineLevel="0" collapsed="false">
      <c r="A1466" s="59" t="n">
        <v>46264.6411689815</v>
      </c>
      <c r="B1466" s="60" t="s">
        <v>840</v>
      </c>
      <c r="C1466" s="60" t="n">
        <v>28637000</v>
      </c>
      <c r="D1466" s="60" t="s">
        <v>325</v>
      </c>
      <c r="E1466" s="60" t="s">
        <v>24</v>
      </c>
      <c r="F1466" s="60" t="s">
        <v>232</v>
      </c>
      <c r="G1466" s="60" t="n">
        <v>17</v>
      </c>
      <c r="H1466" s="61" t="n">
        <v>269.99</v>
      </c>
      <c r="I1466" s="61" t="n">
        <v>46.95</v>
      </c>
      <c r="J1466" s="61" t="n">
        <f aca="false">H1466*Resumo!$C$6</f>
        <v>0</v>
      </c>
      <c r="K1466" s="61" t="n">
        <f aca="false">H1466*Resumo!$C$7</f>
        <v>0.566979</v>
      </c>
      <c r="L1466" s="61" t="n">
        <f aca="false">H1466*Resumo!$C$8</f>
        <v>0.566979</v>
      </c>
      <c r="M1466" s="61" t="n">
        <f aca="false">Resumo!$C$10*CEILING(G1466/100,1)</f>
        <v>1.05</v>
      </c>
      <c r="N1466" s="61" t="n">
        <f aca="false">Resumo!$C$9</f>
        <v>0</v>
      </c>
      <c r="O1466" s="61" t="n">
        <f aca="false">Resumo!$C$13</f>
        <v>13.55</v>
      </c>
      <c r="P1466" s="61" t="n">
        <f aca="false">Resumo!$C$14*CEILING(G1466,1)</f>
        <v>7.65</v>
      </c>
      <c r="Q1466" s="61" t="n">
        <f aca="false">SUM(I1466:P1466)*Resumo!$C$11</f>
        <v>0</v>
      </c>
      <c r="R1466" s="61" t="n">
        <f aca="false">SUM(I1466:Q1466)</f>
        <v>70.333958</v>
      </c>
      <c r="S1466" s="61" t="n">
        <f aca="false">R1466/(1-Resumo!$C$5)</f>
        <v>79.9249522727273</v>
      </c>
      <c r="T1466" s="61" t="n">
        <v>106.53</v>
      </c>
      <c r="U1466" s="61" t="n">
        <f aca="false">H1466*Resumo!$B$6</f>
        <v>0.26999</v>
      </c>
      <c r="V1466" s="61" t="n">
        <f aca="false">H1466*Resumo!$B$7</f>
        <v>0.53998</v>
      </c>
      <c r="W1466" s="61" t="n">
        <f aca="false">Resumo!$B$9</f>
        <v>1</v>
      </c>
      <c r="X1466" s="61" t="n">
        <f aca="false">Resumo!$B$10*CEILING(G1466/100,1)</f>
        <v>4.5</v>
      </c>
      <c r="Y1466" s="61" t="n">
        <f aca="false">Resumo!$B$12*CEILING(G1466,1)</f>
        <v>1.02</v>
      </c>
      <c r="Z1466" s="61" t="n">
        <f aca="false">Resumo!$B$14*CEILING(G1466,1)</f>
        <v>7.65</v>
      </c>
      <c r="AA1466" s="61" t="n">
        <f aca="false">SUM(T1466:Z1466)</f>
        <v>121.50997</v>
      </c>
      <c r="AB1466" s="61" t="n">
        <f aca="false">AA1466/(1-Resumo!$B$5)</f>
        <v>138.079511363636</v>
      </c>
      <c r="AC1466" s="61" t="n">
        <f aca="false">AB1466-S1466</f>
        <v>58.1545590909091</v>
      </c>
      <c r="AD1466" s="62" t="n">
        <f aca="false">AB1466/S1466-1</f>
        <v>0.727614561375886</v>
      </c>
      <c r="AE1466" s="60" t="str">
        <f aca="false">IF(AB1466&lt;S1466,"SIM","NÃO")</f>
        <v>NÃO</v>
      </c>
      <c r="AF1466" s="60" t="n">
        <v>13</v>
      </c>
      <c r="AG1466" s="60" t="n">
        <v>10</v>
      </c>
      <c r="AH1466" s="60" t="s">
        <v>385</v>
      </c>
      <c r="AI1466" s="61" t="n">
        <f aca="false">(T1466*(1-Painel!$C$40)+U1466+V1466+Painel!$C$41+Painel!$C$42*CEILING(G1466/100,1)+Painel!$C$43*CEILING(G1466,1)+Z1466)/(1-Resumo!$B$5)</f>
        <v>93.0512159090909</v>
      </c>
      <c r="AJ1466" s="60" t="str">
        <f aca="false">IF(AI1466&lt;S1466,"SIM","NÃO")</f>
        <v>NÃO</v>
      </c>
    </row>
    <row r="1467" customFormat="false" ht="15" hidden="false" customHeight="false" outlineLevel="0" collapsed="false">
      <c r="A1467" s="59" t="n">
        <v>46264.6690625</v>
      </c>
      <c r="B1467" s="60" t="s">
        <v>1721</v>
      </c>
      <c r="C1467" s="60" t="n">
        <v>22710280</v>
      </c>
      <c r="D1467" s="60" t="s">
        <v>46</v>
      </c>
      <c r="E1467" s="60" t="s">
        <v>22</v>
      </c>
      <c r="F1467" s="60" t="s">
        <v>236</v>
      </c>
      <c r="G1467" s="60" t="n">
        <v>55</v>
      </c>
      <c r="H1467" s="61" t="n">
        <v>676</v>
      </c>
      <c r="I1467" s="61" t="n">
        <v>58.6</v>
      </c>
      <c r="J1467" s="61" t="n">
        <f aca="false">H1467*Resumo!$C$6</f>
        <v>0</v>
      </c>
      <c r="K1467" s="61" t="n">
        <f aca="false">H1467*Resumo!$C$7</f>
        <v>1.4196</v>
      </c>
      <c r="L1467" s="61" t="n">
        <f aca="false">H1467*Resumo!$C$8</f>
        <v>1.4196</v>
      </c>
      <c r="M1467" s="61" t="n">
        <f aca="false">Resumo!$C$10*CEILING(G1467/100,1)</f>
        <v>1.05</v>
      </c>
      <c r="N1467" s="61" t="n">
        <f aca="false">Resumo!$C$9</f>
        <v>0</v>
      </c>
      <c r="O1467" s="61" t="n">
        <f aca="false">Resumo!$C$13</f>
        <v>13.55</v>
      </c>
      <c r="P1467" s="61" t="n">
        <f aca="false">Resumo!$C$14*CEILING(G1467,1)</f>
        <v>24.75</v>
      </c>
      <c r="Q1467" s="61" t="n">
        <f aca="false">SUM(I1467:P1467)*Resumo!$C$11</f>
        <v>0</v>
      </c>
      <c r="R1467" s="61" t="n">
        <f aca="false">SUM(I1467:Q1467)</f>
        <v>100.7892</v>
      </c>
      <c r="S1467" s="61" t="n">
        <f aca="false">R1467/(1-Resumo!$C$5)</f>
        <v>114.533181818182</v>
      </c>
      <c r="T1467" s="61" t="n">
        <v>112.3</v>
      </c>
      <c r="U1467" s="61" t="n">
        <f aca="false">H1467*Resumo!$B$6</f>
        <v>0.676</v>
      </c>
      <c r="V1467" s="61" t="n">
        <f aca="false">H1467*Resumo!$B$7</f>
        <v>1.352</v>
      </c>
      <c r="W1467" s="61" t="n">
        <f aca="false">Resumo!$B$9</f>
        <v>1</v>
      </c>
      <c r="X1467" s="61" t="n">
        <f aca="false">Resumo!$B$10*CEILING(G1467/100,1)</f>
        <v>4.5</v>
      </c>
      <c r="Y1467" s="61" t="n">
        <f aca="false">Resumo!$B$12*CEILING(G1467,1)</f>
        <v>3.3</v>
      </c>
      <c r="Z1467" s="61" t="n">
        <f aca="false">Resumo!$B$14*CEILING(G1467,1)</f>
        <v>24.75</v>
      </c>
      <c r="AA1467" s="61" t="n">
        <f aca="false">SUM(T1467:Z1467)</f>
        <v>147.878</v>
      </c>
      <c r="AB1467" s="61" t="n">
        <f aca="false">AA1467/(1-Resumo!$B$5)</f>
        <v>168.043181818182</v>
      </c>
      <c r="AC1467" s="61" t="n">
        <f aca="false">AB1467-S1467</f>
        <v>53.51</v>
      </c>
      <c r="AD1467" s="62" t="n">
        <f aca="false">AB1467/S1467-1</f>
        <v>0.467200850884817</v>
      </c>
      <c r="AE1467" s="60" t="str">
        <f aca="false">IF(AB1467&lt;S1467,"SIM","NÃO")</f>
        <v>NÃO</v>
      </c>
      <c r="AF1467" s="60" t="n">
        <v>2</v>
      </c>
      <c r="AG1467" s="60" t="n">
        <v>5</v>
      </c>
      <c r="AH1467" s="60" t="s">
        <v>382</v>
      </c>
      <c r="AI1467" s="61" t="n">
        <f aca="false">(T1467*(1-Painel!$C$40)+U1467+V1467+Painel!$C$41+Painel!$C$42*CEILING(G1467/100,1)+Painel!$C$43*CEILING(G1467,1)+Z1467)/(1-Resumo!$B$5)</f>
        <v>118.260227272727</v>
      </c>
      <c r="AJ1467" s="60" t="str">
        <f aca="false">IF(AI1467&lt;S1467,"SIM","NÃO")</f>
        <v>NÃO</v>
      </c>
    </row>
    <row r="1468" customFormat="false" ht="15" hidden="false" customHeight="false" outlineLevel="0" collapsed="false">
      <c r="A1468" s="59" t="n">
        <v>46264.6761226852</v>
      </c>
      <c r="B1468" s="60" t="s">
        <v>1103</v>
      </c>
      <c r="C1468" s="60" t="n">
        <v>23550570</v>
      </c>
      <c r="D1468" s="60" t="s">
        <v>46</v>
      </c>
      <c r="E1468" s="60" t="s">
        <v>22</v>
      </c>
      <c r="F1468" s="60" t="s">
        <v>240</v>
      </c>
      <c r="G1468" s="60" t="n">
        <v>106.5</v>
      </c>
      <c r="H1468" s="61" t="n">
        <v>1077.9</v>
      </c>
      <c r="I1468" s="61" t="n">
        <v>92.34</v>
      </c>
      <c r="J1468" s="61" t="n">
        <f aca="false">H1468*Resumo!$C$6</f>
        <v>0</v>
      </c>
      <c r="K1468" s="61" t="n">
        <f aca="false">H1468*Resumo!$C$7</f>
        <v>2.26359</v>
      </c>
      <c r="L1468" s="61" t="n">
        <f aca="false">H1468*Resumo!$C$8</f>
        <v>2.26359</v>
      </c>
      <c r="M1468" s="61" t="n">
        <f aca="false">Resumo!$C$10*CEILING(G1468/100,1)</f>
        <v>2.1</v>
      </c>
      <c r="N1468" s="61" t="n">
        <f aca="false">Resumo!$C$9</f>
        <v>0</v>
      </c>
      <c r="O1468" s="61" t="n">
        <f aca="false">Resumo!$C$13</f>
        <v>13.55</v>
      </c>
      <c r="P1468" s="61" t="n">
        <f aca="false">Resumo!$C$14*CEILING(G1468,1)</f>
        <v>48.15</v>
      </c>
      <c r="Q1468" s="61" t="n">
        <f aca="false">SUM(I1468:P1468)*Resumo!$C$11</f>
        <v>0</v>
      </c>
      <c r="R1468" s="61" t="n">
        <f aca="false">SUM(I1468:Q1468)</f>
        <v>160.66718</v>
      </c>
      <c r="S1468" s="61" t="n">
        <f aca="false">R1468/(1-Resumo!$C$5)</f>
        <v>182.576340909091</v>
      </c>
      <c r="T1468" s="61" t="n">
        <v>201.59</v>
      </c>
      <c r="U1468" s="61" t="n">
        <f aca="false">H1468*Resumo!$B$6</f>
        <v>1.0779</v>
      </c>
      <c r="V1468" s="61" t="n">
        <f aca="false">H1468*Resumo!$B$7</f>
        <v>2.1558</v>
      </c>
      <c r="W1468" s="61" t="n">
        <f aca="false">Resumo!$B$9</f>
        <v>1</v>
      </c>
      <c r="X1468" s="61" t="n">
        <f aca="false">Resumo!$B$10*CEILING(G1468/100,1)</f>
        <v>9</v>
      </c>
      <c r="Y1468" s="61" t="n">
        <f aca="false">Resumo!$B$12*CEILING(G1468,1)</f>
        <v>6.42</v>
      </c>
      <c r="Z1468" s="61" t="n">
        <f aca="false">Resumo!$B$14*CEILING(G1468,1)</f>
        <v>48.15</v>
      </c>
      <c r="AA1468" s="61" t="n">
        <f aca="false">SUM(T1468:Z1468)</f>
        <v>269.3937</v>
      </c>
      <c r="AB1468" s="61" t="n">
        <f aca="false">AA1468/(1-Resumo!$B$5)</f>
        <v>306.129204545455</v>
      </c>
      <c r="AC1468" s="61" t="n">
        <f aca="false">AB1468-S1468</f>
        <v>123.552863636364</v>
      </c>
      <c r="AD1468" s="62" t="n">
        <f aca="false">AB1468/S1468-1</f>
        <v>0.676718916707195</v>
      </c>
      <c r="AE1468" s="60" t="str">
        <f aca="false">IF(AB1468&lt;S1468,"SIM","NÃO")</f>
        <v>NÃO</v>
      </c>
      <c r="AF1468" s="60" t="n">
        <v>2</v>
      </c>
      <c r="AG1468" s="60" t="n">
        <v>5</v>
      </c>
      <c r="AH1468" s="60" t="s">
        <v>382</v>
      </c>
      <c r="AI1468" s="61" t="n">
        <f aca="false">(T1468*(1-Painel!$C$40)+U1468+V1468+Painel!$C$41+Painel!$C$42*CEILING(G1468/100,1)+Painel!$C$43*CEILING(G1468,1)+Z1468)/(1-Resumo!$B$5)</f>
        <v>215.396590909091</v>
      </c>
      <c r="AJ1468" s="60" t="str">
        <f aca="false">IF(AI1468&lt;S1468,"SIM","NÃO")</f>
        <v>NÃO</v>
      </c>
    </row>
    <row r="1469" customFormat="false" ht="15" hidden="false" customHeight="false" outlineLevel="0" collapsed="false">
      <c r="A1469" s="59" t="n">
        <v>46264.6938310185</v>
      </c>
      <c r="B1469" s="60" t="s">
        <v>1722</v>
      </c>
      <c r="C1469" s="60" t="n">
        <v>25213160</v>
      </c>
      <c r="D1469" s="60" t="s">
        <v>48</v>
      </c>
      <c r="E1469" s="60" t="s">
        <v>23</v>
      </c>
      <c r="F1469" s="60" t="s">
        <v>240</v>
      </c>
      <c r="G1469" s="60" t="n">
        <v>106.5</v>
      </c>
      <c r="H1469" s="61" t="n">
        <v>947.49</v>
      </c>
      <c r="I1469" s="61" t="n">
        <v>101.26</v>
      </c>
      <c r="J1469" s="61" t="n">
        <f aca="false">H1469*Resumo!$C$6</f>
        <v>0</v>
      </c>
      <c r="K1469" s="61" t="n">
        <f aca="false">H1469*Resumo!$C$7</f>
        <v>1.989729</v>
      </c>
      <c r="L1469" s="61" t="n">
        <f aca="false">H1469*Resumo!$C$8</f>
        <v>1.989729</v>
      </c>
      <c r="M1469" s="61" t="n">
        <f aca="false">Resumo!$C$10*CEILING(G1469/100,1)</f>
        <v>2.1</v>
      </c>
      <c r="N1469" s="61" t="n">
        <f aca="false">Resumo!$C$9</f>
        <v>0</v>
      </c>
      <c r="O1469" s="61" t="n">
        <f aca="false">Resumo!$C$13</f>
        <v>13.55</v>
      </c>
      <c r="P1469" s="61" t="n">
        <f aca="false">Resumo!$C$14*CEILING(G1469,1)</f>
        <v>48.15</v>
      </c>
      <c r="Q1469" s="61" t="n">
        <f aca="false">SUM(I1469:P1469)*Resumo!$C$11</f>
        <v>0</v>
      </c>
      <c r="R1469" s="61" t="n">
        <f aca="false">SUM(I1469:Q1469)</f>
        <v>169.039458</v>
      </c>
      <c r="S1469" s="61" t="n">
        <f aca="false">R1469/(1-Resumo!$C$5)</f>
        <v>192.090293181818</v>
      </c>
      <c r="T1469" s="61" t="n">
        <v>201.59</v>
      </c>
      <c r="U1469" s="61" t="n">
        <f aca="false">H1469*Resumo!$B$6</f>
        <v>0.94749</v>
      </c>
      <c r="V1469" s="61" t="n">
        <f aca="false">H1469*Resumo!$B$7</f>
        <v>1.89498</v>
      </c>
      <c r="W1469" s="61" t="n">
        <f aca="false">Resumo!$B$9</f>
        <v>1</v>
      </c>
      <c r="X1469" s="61" t="n">
        <f aca="false">Resumo!$B$10*CEILING(G1469/100,1)</f>
        <v>9</v>
      </c>
      <c r="Y1469" s="61" t="n">
        <f aca="false">Resumo!$B$12*CEILING(G1469,1)</f>
        <v>6.42</v>
      </c>
      <c r="Z1469" s="61" t="n">
        <f aca="false">Resumo!$B$14*CEILING(G1469,1)</f>
        <v>48.15</v>
      </c>
      <c r="AA1469" s="61" t="n">
        <f aca="false">SUM(T1469:Z1469)</f>
        <v>269.00247</v>
      </c>
      <c r="AB1469" s="61" t="n">
        <f aca="false">AA1469/(1-Resumo!$B$5)</f>
        <v>305.684625</v>
      </c>
      <c r="AC1469" s="61" t="n">
        <f aca="false">AB1469-S1469</f>
        <v>113.594331818182</v>
      </c>
      <c r="AD1469" s="62" t="n">
        <f aca="false">AB1469/S1469-1</f>
        <v>0.591359042336731</v>
      </c>
      <c r="AE1469" s="60" t="str">
        <f aca="false">IF(AB1469&lt;S1469,"SIM","NÃO")</f>
        <v>NÃO</v>
      </c>
      <c r="AF1469" s="60" t="n">
        <v>2</v>
      </c>
      <c r="AG1469" s="60" t="n">
        <v>5</v>
      </c>
      <c r="AH1469" s="60" t="s">
        <v>382</v>
      </c>
      <c r="AI1469" s="61" t="n">
        <f aca="false">(T1469*(1-Painel!$C$40)+U1469+V1469+Painel!$C$41+Painel!$C$42*CEILING(G1469/100,1)+Painel!$C$43*CEILING(G1469,1)+Z1469)/(1-Resumo!$B$5)</f>
        <v>214.952011363636</v>
      </c>
      <c r="AJ1469" s="60" t="str">
        <f aca="false">IF(AI1469&lt;S1469,"SIM","NÃO")</f>
        <v>NÃO</v>
      </c>
    </row>
    <row r="1470" customFormat="false" ht="15" hidden="false" customHeight="false" outlineLevel="0" collapsed="false">
      <c r="A1470" s="59" t="n">
        <v>46264.7291550926</v>
      </c>
      <c r="B1470" s="60" t="s">
        <v>1723</v>
      </c>
      <c r="C1470" s="60" t="n">
        <v>20230240</v>
      </c>
      <c r="D1470" s="60" t="s">
        <v>46</v>
      </c>
      <c r="E1470" s="60" t="s">
        <v>22</v>
      </c>
      <c r="F1470" s="60" t="s">
        <v>240</v>
      </c>
      <c r="G1470" s="60" t="n">
        <v>106.5</v>
      </c>
      <c r="H1470" s="61" t="n">
        <v>1077.9</v>
      </c>
      <c r="I1470" s="61" t="n">
        <v>92.34</v>
      </c>
      <c r="J1470" s="61" t="n">
        <f aca="false">H1470*Resumo!$C$6</f>
        <v>0</v>
      </c>
      <c r="K1470" s="61" t="n">
        <f aca="false">H1470*Resumo!$C$7</f>
        <v>2.26359</v>
      </c>
      <c r="L1470" s="61" t="n">
        <f aca="false">H1470*Resumo!$C$8</f>
        <v>2.26359</v>
      </c>
      <c r="M1470" s="61" t="n">
        <f aca="false">Resumo!$C$10*CEILING(G1470/100,1)</f>
        <v>2.1</v>
      </c>
      <c r="N1470" s="61" t="n">
        <f aca="false">Resumo!$C$9</f>
        <v>0</v>
      </c>
      <c r="O1470" s="61" t="n">
        <f aca="false">Resumo!$C$13</f>
        <v>13.55</v>
      </c>
      <c r="P1470" s="61" t="n">
        <f aca="false">Resumo!$C$14*CEILING(G1470,1)</f>
        <v>48.15</v>
      </c>
      <c r="Q1470" s="61" t="n">
        <f aca="false">SUM(I1470:P1470)*Resumo!$C$11</f>
        <v>0</v>
      </c>
      <c r="R1470" s="61" t="n">
        <f aca="false">SUM(I1470:Q1470)</f>
        <v>160.66718</v>
      </c>
      <c r="S1470" s="61" t="n">
        <f aca="false">R1470/(1-Resumo!$C$5)</f>
        <v>182.576340909091</v>
      </c>
      <c r="T1470" s="61" t="n">
        <v>201.59</v>
      </c>
      <c r="U1470" s="61" t="n">
        <f aca="false">H1470*Resumo!$B$6</f>
        <v>1.0779</v>
      </c>
      <c r="V1470" s="61" t="n">
        <f aca="false">H1470*Resumo!$B$7</f>
        <v>2.1558</v>
      </c>
      <c r="W1470" s="61" t="n">
        <f aca="false">Resumo!$B$9</f>
        <v>1</v>
      </c>
      <c r="X1470" s="61" t="n">
        <f aca="false">Resumo!$B$10*CEILING(G1470/100,1)</f>
        <v>9</v>
      </c>
      <c r="Y1470" s="61" t="n">
        <f aca="false">Resumo!$B$12*CEILING(G1470,1)</f>
        <v>6.42</v>
      </c>
      <c r="Z1470" s="61" t="n">
        <f aca="false">Resumo!$B$14*CEILING(G1470,1)</f>
        <v>48.15</v>
      </c>
      <c r="AA1470" s="61" t="n">
        <f aca="false">SUM(T1470:Z1470)</f>
        <v>269.3937</v>
      </c>
      <c r="AB1470" s="61" t="n">
        <f aca="false">AA1470/(1-Resumo!$B$5)</f>
        <v>306.129204545455</v>
      </c>
      <c r="AC1470" s="61" t="n">
        <f aca="false">AB1470-S1470</f>
        <v>123.552863636364</v>
      </c>
      <c r="AD1470" s="62" t="n">
        <f aca="false">AB1470/S1470-1</f>
        <v>0.676718916707195</v>
      </c>
      <c r="AE1470" s="60" t="str">
        <f aca="false">IF(AB1470&lt;S1470,"SIM","NÃO")</f>
        <v>NÃO</v>
      </c>
      <c r="AF1470" s="60" t="n">
        <v>2</v>
      </c>
      <c r="AG1470" s="60" t="n">
        <v>5</v>
      </c>
      <c r="AH1470" s="60" t="s">
        <v>382</v>
      </c>
      <c r="AI1470" s="61" t="n">
        <f aca="false">(T1470*(1-Painel!$C$40)+U1470+V1470+Painel!$C$41+Painel!$C$42*CEILING(G1470/100,1)+Painel!$C$43*CEILING(G1470,1)+Z1470)/(1-Resumo!$B$5)</f>
        <v>215.396590909091</v>
      </c>
      <c r="AJ1470" s="60" t="str">
        <f aca="false">IF(AI1470&lt;S1470,"SIM","NÃO")</f>
        <v>NÃO</v>
      </c>
    </row>
    <row r="1471" customFormat="false" ht="15" hidden="false" customHeight="false" outlineLevel="0" collapsed="false">
      <c r="A1471" s="59" t="n">
        <v>46264.7536921296</v>
      </c>
      <c r="B1471" s="60" t="s">
        <v>1724</v>
      </c>
      <c r="C1471" s="60" t="n">
        <v>23935013</v>
      </c>
      <c r="D1471" s="60" t="s">
        <v>218</v>
      </c>
      <c r="E1471" s="60" t="s">
        <v>24</v>
      </c>
      <c r="F1471" s="60" t="s">
        <v>233</v>
      </c>
      <c r="G1471" s="60" t="n">
        <v>27.5</v>
      </c>
      <c r="H1471" s="61" t="n">
        <v>335.12</v>
      </c>
      <c r="I1471" s="61" t="n">
        <v>65.63</v>
      </c>
      <c r="J1471" s="61" t="n">
        <f aca="false">H1471*Resumo!$C$6</f>
        <v>0</v>
      </c>
      <c r="K1471" s="61" t="n">
        <f aca="false">H1471*Resumo!$C$7</f>
        <v>0.703752</v>
      </c>
      <c r="L1471" s="61" t="n">
        <f aca="false">H1471*Resumo!$C$8</f>
        <v>0.703752</v>
      </c>
      <c r="M1471" s="61" t="n">
        <f aca="false">Resumo!$C$10*CEILING(G1471/100,1)</f>
        <v>1.05</v>
      </c>
      <c r="N1471" s="61" t="n">
        <f aca="false">Resumo!$C$9</f>
        <v>0</v>
      </c>
      <c r="O1471" s="61" t="n">
        <f aca="false">Resumo!$C$13</f>
        <v>13.55</v>
      </c>
      <c r="P1471" s="61" t="n">
        <f aca="false">Resumo!$C$14*CEILING(G1471,1)</f>
        <v>12.6</v>
      </c>
      <c r="Q1471" s="61" t="n">
        <f aca="false">SUM(I1471:P1471)*Resumo!$C$11</f>
        <v>0</v>
      </c>
      <c r="R1471" s="61" t="n">
        <f aca="false">SUM(I1471:Q1471)</f>
        <v>94.237504</v>
      </c>
      <c r="S1471" s="61" t="n">
        <f aca="false">R1471/(1-Resumo!$C$5)</f>
        <v>107.088072727273</v>
      </c>
      <c r="T1471" s="61" t="n">
        <v>108.83</v>
      </c>
      <c r="U1471" s="61" t="n">
        <f aca="false">H1471*Resumo!$B$6</f>
        <v>0.33512</v>
      </c>
      <c r="V1471" s="61" t="n">
        <f aca="false">H1471*Resumo!$B$7</f>
        <v>0.67024</v>
      </c>
      <c r="W1471" s="61" t="n">
        <f aca="false">Resumo!$B$9</f>
        <v>1</v>
      </c>
      <c r="X1471" s="61" t="n">
        <f aca="false">Resumo!$B$10*CEILING(G1471/100,1)</f>
        <v>4.5</v>
      </c>
      <c r="Y1471" s="61" t="n">
        <f aca="false">Resumo!$B$12*CEILING(G1471,1)</f>
        <v>1.68</v>
      </c>
      <c r="Z1471" s="61" t="n">
        <f aca="false">Resumo!$B$14*CEILING(G1471,1)</f>
        <v>12.6</v>
      </c>
      <c r="AA1471" s="61" t="n">
        <f aca="false">SUM(T1471:Z1471)</f>
        <v>129.61536</v>
      </c>
      <c r="AB1471" s="61" t="n">
        <f aca="false">AA1471/(1-Resumo!$B$5)</f>
        <v>147.290181818182</v>
      </c>
      <c r="AC1471" s="61" t="n">
        <f aca="false">AB1471-S1471</f>
        <v>40.2021090909091</v>
      </c>
      <c r="AD1471" s="62" t="n">
        <f aca="false">AB1471/S1471-1</f>
        <v>0.375411640783695</v>
      </c>
      <c r="AE1471" s="60" t="str">
        <f aca="false">IF(AB1471&lt;S1471,"SIM","NÃO")</f>
        <v>NÃO</v>
      </c>
      <c r="AF1471" s="60" t="n">
        <v>13</v>
      </c>
      <c r="AG1471" s="60" t="n">
        <v>10</v>
      </c>
      <c r="AH1471" s="60" t="s">
        <v>382</v>
      </c>
      <c r="AI1471" s="61" t="n">
        <f aca="false">(T1471*(1-Painel!$C$40)+U1471+V1471+Painel!$C$41+Painel!$C$42*CEILING(G1471/100,1)+Painel!$C$43*CEILING(G1471,1)+Z1471)/(1-Resumo!$B$5)</f>
        <v>100.649386363636</v>
      </c>
      <c r="AJ1471" s="60" t="str">
        <f aca="false">IF(AI1471&lt;S1471,"SIM","NÃO")</f>
        <v>SIM</v>
      </c>
    </row>
    <row r="1472" customFormat="false" ht="15" hidden="false" customHeight="false" outlineLevel="0" collapsed="false">
      <c r="A1472" s="59" t="n">
        <v>46264.783275463</v>
      </c>
      <c r="B1472" s="60" t="s">
        <v>1725</v>
      </c>
      <c r="C1472" s="60" t="n">
        <v>25932145</v>
      </c>
      <c r="D1472" s="60" t="s">
        <v>225</v>
      </c>
      <c r="E1472" s="60" t="s">
        <v>24</v>
      </c>
      <c r="F1472" s="60" t="s">
        <v>232</v>
      </c>
      <c r="G1472" s="60" t="n">
        <v>19.5</v>
      </c>
      <c r="H1472" s="61" t="n">
        <v>549.99</v>
      </c>
      <c r="I1472" s="61" t="n">
        <v>46.95</v>
      </c>
      <c r="J1472" s="61" t="n">
        <f aca="false">H1472*Resumo!$C$6</f>
        <v>0</v>
      </c>
      <c r="K1472" s="61" t="n">
        <f aca="false">H1472*Resumo!$C$7</f>
        <v>1.154979</v>
      </c>
      <c r="L1472" s="61" t="n">
        <f aca="false">H1472*Resumo!$C$8</f>
        <v>1.154979</v>
      </c>
      <c r="M1472" s="61" t="n">
        <f aca="false">Resumo!$C$10*CEILING(G1472/100,1)</f>
        <v>1.05</v>
      </c>
      <c r="N1472" s="61" t="n">
        <f aca="false">Resumo!$C$9</f>
        <v>0</v>
      </c>
      <c r="O1472" s="61" t="n">
        <f aca="false">Resumo!$C$13</f>
        <v>13.55</v>
      </c>
      <c r="P1472" s="61" t="n">
        <f aca="false">Resumo!$C$14*CEILING(G1472,1)</f>
        <v>9</v>
      </c>
      <c r="Q1472" s="61" t="n">
        <f aca="false">SUM(I1472:P1472)*Resumo!$C$11</f>
        <v>0</v>
      </c>
      <c r="R1472" s="61" t="n">
        <f aca="false">SUM(I1472:Q1472)</f>
        <v>72.859958</v>
      </c>
      <c r="S1472" s="61" t="n">
        <f aca="false">R1472/(1-Resumo!$C$5)</f>
        <v>82.7954068181818</v>
      </c>
      <c r="T1472" s="61" t="n">
        <v>89.03</v>
      </c>
      <c r="U1472" s="61" t="n">
        <f aca="false">H1472*Resumo!$B$6</f>
        <v>0.54999</v>
      </c>
      <c r="V1472" s="61" t="n">
        <f aca="false">H1472*Resumo!$B$7</f>
        <v>1.09998</v>
      </c>
      <c r="W1472" s="61" t="n">
        <f aca="false">Resumo!$B$9</f>
        <v>1</v>
      </c>
      <c r="X1472" s="61" t="n">
        <f aca="false">Resumo!$B$10*CEILING(G1472/100,1)</f>
        <v>4.5</v>
      </c>
      <c r="Y1472" s="61" t="n">
        <f aca="false">Resumo!$B$12*CEILING(G1472,1)</f>
        <v>1.2</v>
      </c>
      <c r="Z1472" s="61" t="n">
        <f aca="false">Resumo!$B$14*CEILING(G1472,1)</f>
        <v>9</v>
      </c>
      <c r="AA1472" s="61" t="n">
        <f aca="false">SUM(T1472:Z1472)</f>
        <v>106.37997</v>
      </c>
      <c r="AB1472" s="61" t="n">
        <f aca="false">AA1472/(1-Resumo!$B$5)</f>
        <v>120.886329545455</v>
      </c>
      <c r="AC1472" s="61" t="n">
        <f aca="false">AB1472-S1472</f>
        <v>38.0909227272727</v>
      </c>
      <c r="AD1472" s="62" t="n">
        <f aca="false">AB1472/S1472-1</f>
        <v>0.46006081968919</v>
      </c>
      <c r="AE1472" s="60" t="str">
        <f aca="false">IF(AB1472&lt;S1472,"SIM","NÃO")</f>
        <v>NÃO</v>
      </c>
      <c r="AF1472" s="60" t="n">
        <v>13</v>
      </c>
      <c r="AG1472" s="60" t="n">
        <v>6</v>
      </c>
      <c r="AH1472" s="60" t="s">
        <v>382</v>
      </c>
      <c r="AI1472" s="61" t="n">
        <f aca="false">(T1472*(1-Painel!$C$40)+U1472+V1472+Painel!$C$41+Painel!$C$42*CEILING(G1472/100,1)+Painel!$C$43*CEILING(G1472,1)+Z1472)/(1-Resumo!$B$5)</f>
        <v>82.2159886363636</v>
      </c>
      <c r="AJ1472" s="60" t="str">
        <f aca="false">IF(AI1472&lt;S1472,"SIM","NÃO")</f>
        <v>SIM</v>
      </c>
    </row>
    <row r="1473" customFormat="false" ht="15" hidden="false" customHeight="false" outlineLevel="0" collapsed="false">
      <c r="A1473" s="59" t="n">
        <v>46264.847962963</v>
      </c>
      <c r="B1473" s="60" t="s">
        <v>1726</v>
      </c>
      <c r="C1473" s="60" t="n">
        <v>26281010</v>
      </c>
      <c r="D1473" s="60" t="s">
        <v>49</v>
      </c>
      <c r="E1473" s="60" t="s">
        <v>23</v>
      </c>
      <c r="F1473" s="60" t="s">
        <v>233</v>
      </c>
      <c r="G1473" s="60" t="n">
        <v>27.5</v>
      </c>
      <c r="H1473" s="61" t="n">
        <v>343</v>
      </c>
      <c r="I1473" s="61" t="n">
        <v>58.8</v>
      </c>
      <c r="J1473" s="61" t="n">
        <f aca="false">H1473*Resumo!$C$6</f>
        <v>0</v>
      </c>
      <c r="K1473" s="61" t="n">
        <f aca="false">H1473*Resumo!$C$7</f>
        <v>0.7203</v>
      </c>
      <c r="L1473" s="61" t="n">
        <f aca="false">H1473*Resumo!$C$8</f>
        <v>0.7203</v>
      </c>
      <c r="M1473" s="61" t="n">
        <f aca="false">Resumo!$C$10*CEILING(G1473/100,1)</f>
        <v>1.05</v>
      </c>
      <c r="N1473" s="61" t="n">
        <f aca="false">Resumo!$C$9</f>
        <v>0</v>
      </c>
      <c r="O1473" s="61" t="n">
        <f aca="false">Resumo!$C$13</f>
        <v>13.55</v>
      </c>
      <c r="P1473" s="61" t="n">
        <f aca="false">Resumo!$C$14*CEILING(G1473,1)</f>
        <v>12.6</v>
      </c>
      <c r="Q1473" s="61" t="n">
        <f aca="false">SUM(I1473:P1473)*Resumo!$C$11</f>
        <v>0</v>
      </c>
      <c r="R1473" s="61" t="n">
        <f aca="false">SUM(I1473:Q1473)</f>
        <v>87.4406</v>
      </c>
      <c r="S1473" s="61" t="n">
        <f aca="false">R1473/(1-Resumo!$C$5)</f>
        <v>99.3643181818182</v>
      </c>
      <c r="T1473" s="61" t="n">
        <v>82.21</v>
      </c>
      <c r="U1473" s="61" t="n">
        <f aca="false">H1473*Resumo!$B$6</f>
        <v>0.343</v>
      </c>
      <c r="V1473" s="61" t="n">
        <f aca="false">H1473*Resumo!$B$7</f>
        <v>0.686</v>
      </c>
      <c r="W1473" s="61" t="n">
        <f aca="false">Resumo!$B$9</f>
        <v>1</v>
      </c>
      <c r="X1473" s="61" t="n">
        <f aca="false">Resumo!$B$10*CEILING(G1473/100,1)</f>
        <v>4.5</v>
      </c>
      <c r="Y1473" s="61" t="n">
        <f aca="false">Resumo!$B$12*CEILING(G1473,1)</f>
        <v>1.68</v>
      </c>
      <c r="Z1473" s="61" t="n">
        <f aca="false">Resumo!$B$14*CEILING(G1473,1)</f>
        <v>12.6</v>
      </c>
      <c r="AA1473" s="61" t="n">
        <f aca="false">SUM(T1473:Z1473)</f>
        <v>103.019</v>
      </c>
      <c r="AB1473" s="61" t="n">
        <f aca="false">AA1473/(1-Resumo!$B$5)</f>
        <v>117.067045454545</v>
      </c>
      <c r="AC1473" s="61" t="n">
        <f aca="false">AB1473-S1473</f>
        <v>17.7027272727273</v>
      </c>
      <c r="AD1473" s="62" t="n">
        <f aca="false">AB1473/S1473-1</f>
        <v>0.178159802197149</v>
      </c>
      <c r="AE1473" s="60" t="str">
        <f aca="false">IF(AB1473&lt;S1473,"SIM","NÃO")</f>
        <v>NÃO</v>
      </c>
      <c r="AF1473" s="60" t="n">
        <v>2</v>
      </c>
      <c r="AG1473" s="60" t="n">
        <v>5</v>
      </c>
      <c r="AH1473" s="60" t="s">
        <v>382</v>
      </c>
      <c r="AI1473" s="61" t="n">
        <f aca="false">(T1473*(1-Painel!$C$40)+U1473+V1473+Painel!$C$41+Painel!$C$42*CEILING(G1473/100,1)+Painel!$C$43*CEILING(G1473,1)+Z1473)/(1-Resumo!$B$5)</f>
        <v>80.40875</v>
      </c>
      <c r="AJ1473" s="60" t="str">
        <f aca="false">IF(AI1473&lt;S1473,"SIM","NÃO")</f>
        <v>SIM</v>
      </c>
    </row>
    <row r="1474" customFormat="false" ht="15" hidden="false" customHeight="false" outlineLevel="0" collapsed="false">
      <c r="A1474" s="59" t="n">
        <v>46264.9767708333</v>
      </c>
      <c r="B1474" s="60" t="s">
        <v>1727</v>
      </c>
      <c r="C1474" s="60" t="n">
        <v>28230000</v>
      </c>
      <c r="D1474" s="60" t="s">
        <v>306</v>
      </c>
      <c r="E1474" s="60" t="s">
        <v>24</v>
      </c>
      <c r="F1474" s="60" t="s">
        <v>237</v>
      </c>
      <c r="G1474" s="60" t="n">
        <v>66.8</v>
      </c>
      <c r="H1474" s="61" t="n">
        <v>719.99</v>
      </c>
      <c r="I1474" s="61" t="n">
        <v>90.2</v>
      </c>
      <c r="J1474" s="61" t="n">
        <f aca="false">H1474*Resumo!$C$6</f>
        <v>0</v>
      </c>
      <c r="K1474" s="61" t="n">
        <f aca="false">H1474*Resumo!$C$7</f>
        <v>1.511979</v>
      </c>
      <c r="L1474" s="61" t="n">
        <f aca="false">H1474*Resumo!$C$8</f>
        <v>1.511979</v>
      </c>
      <c r="M1474" s="61" t="n">
        <f aca="false">Resumo!$C$10*CEILING(G1474/100,1)</f>
        <v>1.05</v>
      </c>
      <c r="N1474" s="61" t="n">
        <f aca="false">Resumo!$C$9</f>
        <v>0</v>
      </c>
      <c r="O1474" s="61" t="n">
        <f aca="false">Resumo!$C$13</f>
        <v>13.55</v>
      </c>
      <c r="P1474" s="61" t="n">
        <f aca="false">Resumo!$C$14*CEILING(G1474,1)</f>
        <v>30.15</v>
      </c>
      <c r="Q1474" s="61" t="n">
        <f aca="false">SUM(I1474:P1474)*Resumo!$C$11</f>
        <v>0</v>
      </c>
      <c r="R1474" s="61" t="n">
        <f aca="false">SUM(I1474:Q1474)</f>
        <v>137.973958</v>
      </c>
      <c r="S1474" s="61" t="n">
        <f aca="false">R1474/(1-Resumo!$C$5)</f>
        <v>156.788588636364</v>
      </c>
      <c r="T1474" s="61" t="n">
        <v>171.54</v>
      </c>
      <c r="U1474" s="61" t="n">
        <f aca="false">H1474*Resumo!$B$6</f>
        <v>0.71999</v>
      </c>
      <c r="V1474" s="61" t="n">
        <f aca="false">H1474*Resumo!$B$7</f>
        <v>1.43998</v>
      </c>
      <c r="W1474" s="61" t="n">
        <f aca="false">Resumo!$B$9</f>
        <v>1</v>
      </c>
      <c r="X1474" s="61" t="n">
        <f aca="false">Resumo!$B$10*CEILING(G1474/100,1)</f>
        <v>4.5</v>
      </c>
      <c r="Y1474" s="61" t="n">
        <f aca="false">Resumo!$B$12*CEILING(G1474,1)</f>
        <v>4.02</v>
      </c>
      <c r="Z1474" s="61" t="n">
        <f aca="false">Resumo!$B$14*CEILING(G1474,1)</f>
        <v>30.15</v>
      </c>
      <c r="AA1474" s="61" t="n">
        <f aca="false">SUM(T1474:Z1474)</f>
        <v>213.36997</v>
      </c>
      <c r="AB1474" s="61" t="n">
        <f aca="false">AA1474/(1-Resumo!$B$5)</f>
        <v>242.465875</v>
      </c>
      <c r="AC1474" s="61" t="n">
        <f aca="false">AB1474-S1474</f>
        <v>85.6772863636363</v>
      </c>
      <c r="AD1474" s="62" t="n">
        <f aca="false">AB1474/S1474-1</f>
        <v>0.546451033897281</v>
      </c>
      <c r="AE1474" s="60" t="str">
        <f aca="false">IF(AB1474&lt;S1474,"SIM","NÃO")</f>
        <v>NÃO</v>
      </c>
      <c r="AF1474" s="60" t="n">
        <v>13</v>
      </c>
      <c r="AG1474" s="60" t="n">
        <v>11</v>
      </c>
      <c r="AH1474" s="60" t="s">
        <v>385</v>
      </c>
      <c r="AI1474" s="61" t="n">
        <f aca="false">(T1474*(1-Painel!$C$40)+U1474+V1474+Painel!$C$41+Painel!$C$42*CEILING(G1474/100,1)+Painel!$C$43*CEILING(G1474,1)+Z1474)/(1-Resumo!$B$5)</f>
        <v>169.649738636364</v>
      </c>
      <c r="AJ1474" s="60" t="str">
        <f aca="false">IF(AI1474&lt;S1474,"SIM","NÃO")</f>
        <v>NÃO</v>
      </c>
    </row>
    <row r="1475" customFormat="false" ht="15" hidden="false" customHeight="false" outlineLevel="0" collapsed="false">
      <c r="A1475" s="59" t="n">
        <v>46264.990625</v>
      </c>
      <c r="B1475" s="60" t="s">
        <v>1728</v>
      </c>
      <c r="C1475" s="60" t="n">
        <v>27944751</v>
      </c>
      <c r="D1475" s="60" t="s">
        <v>53</v>
      </c>
      <c r="E1475" s="60" t="s">
        <v>24</v>
      </c>
      <c r="F1475" s="60" t="s">
        <v>236</v>
      </c>
      <c r="G1475" s="60" t="n">
        <v>52.3</v>
      </c>
      <c r="H1475" s="61" t="n">
        <v>616.99</v>
      </c>
      <c r="I1475" s="61" t="n">
        <v>83.58</v>
      </c>
      <c r="J1475" s="61" t="n">
        <f aca="false">H1475*Resumo!$C$6</f>
        <v>0</v>
      </c>
      <c r="K1475" s="61" t="n">
        <f aca="false">H1475*Resumo!$C$7</f>
        <v>1.295679</v>
      </c>
      <c r="L1475" s="61" t="n">
        <f aca="false">H1475*Resumo!$C$8</f>
        <v>1.295679</v>
      </c>
      <c r="M1475" s="61" t="n">
        <f aca="false">Resumo!$C$10*CEILING(G1475/100,1)</f>
        <v>1.05</v>
      </c>
      <c r="N1475" s="61" t="n">
        <f aca="false">Resumo!$C$9</f>
        <v>0</v>
      </c>
      <c r="O1475" s="61" t="n">
        <f aca="false">Resumo!$C$13</f>
        <v>13.55</v>
      </c>
      <c r="P1475" s="61" t="n">
        <f aca="false">Resumo!$C$14*CEILING(G1475,1)</f>
        <v>23.85</v>
      </c>
      <c r="Q1475" s="61" t="n">
        <f aca="false">SUM(I1475:P1475)*Resumo!$C$11</f>
        <v>0</v>
      </c>
      <c r="R1475" s="61" t="n">
        <f aca="false">SUM(I1475:Q1475)</f>
        <v>124.621358</v>
      </c>
      <c r="S1475" s="61" t="n">
        <f aca="false">R1475/(1-Resumo!$C$5)</f>
        <v>141.615179545455</v>
      </c>
      <c r="T1475" s="61" t="n">
        <v>162.04</v>
      </c>
      <c r="U1475" s="61" t="n">
        <f aca="false">H1475*Resumo!$B$6</f>
        <v>0.61699</v>
      </c>
      <c r="V1475" s="61" t="n">
        <f aca="false">H1475*Resumo!$B$7</f>
        <v>1.23398</v>
      </c>
      <c r="W1475" s="61" t="n">
        <f aca="false">Resumo!$B$9</f>
        <v>1</v>
      </c>
      <c r="X1475" s="61" t="n">
        <f aca="false">Resumo!$B$10*CEILING(G1475/100,1)</f>
        <v>4.5</v>
      </c>
      <c r="Y1475" s="61" t="n">
        <f aca="false">Resumo!$B$12*CEILING(G1475,1)</f>
        <v>3.18</v>
      </c>
      <c r="Z1475" s="61" t="n">
        <f aca="false">Resumo!$B$14*CEILING(G1475,1)</f>
        <v>23.85</v>
      </c>
      <c r="AA1475" s="61" t="n">
        <f aca="false">SUM(T1475:Z1475)</f>
        <v>196.42097</v>
      </c>
      <c r="AB1475" s="61" t="n">
        <f aca="false">AA1475/(1-Resumo!$B$5)</f>
        <v>223.205647727273</v>
      </c>
      <c r="AC1475" s="61" t="n">
        <f aca="false">AB1475-S1475</f>
        <v>81.5904681818182</v>
      </c>
      <c r="AD1475" s="62" t="n">
        <f aca="false">AB1475/S1475-1</f>
        <v>0.576142108802891</v>
      </c>
      <c r="AE1475" s="60" t="str">
        <f aca="false">IF(AB1475&lt;S1475,"SIM","NÃO")</f>
        <v>NÃO</v>
      </c>
      <c r="AF1475" s="60" t="n">
        <v>13</v>
      </c>
      <c r="AG1475" s="60" t="n">
        <v>11</v>
      </c>
      <c r="AH1475" s="60" t="s">
        <v>382</v>
      </c>
      <c r="AI1475" s="61" t="n">
        <f aca="false">(T1475*(1-Painel!$C$40)+U1475+V1475+Painel!$C$41+Painel!$C$42*CEILING(G1475/100,1)+Painel!$C$43*CEILING(G1475,1)+Z1475)/(1-Resumo!$B$5)</f>
        <v>154.906556818182</v>
      </c>
      <c r="AJ1475" s="60" t="str">
        <f aca="false">IF(AI1475&lt;S1475,"SIM","NÃO")</f>
        <v>NÃO</v>
      </c>
    </row>
    <row r="1476" customFormat="false" ht="15" hidden="false" customHeight="false" outlineLevel="0" collapsed="false">
      <c r="A1476" s="59" t="n">
        <v>46265.3753587963</v>
      </c>
      <c r="B1476" s="60" t="s">
        <v>578</v>
      </c>
      <c r="C1476" s="60" t="n">
        <v>28470000</v>
      </c>
      <c r="D1476" s="60" t="s">
        <v>318</v>
      </c>
      <c r="E1476" s="60" t="s">
        <v>24</v>
      </c>
      <c r="F1476" s="60" t="s">
        <v>236</v>
      </c>
      <c r="G1476" s="60" t="n">
        <v>52.3</v>
      </c>
      <c r="H1476" s="61" t="n">
        <v>627.28</v>
      </c>
      <c r="I1476" s="61" t="n">
        <v>83.58</v>
      </c>
      <c r="J1476" s="61" t="n">
        <f aca="false">H1476*Resumo!$C$6</f>
        <v>0</v>
      </c>
      <c r="K1476" s="61" t="n">
        <f aca="false">H1476*Resumo!$C$7</f>
        <v>1.317288</v>
      </c>
      <c r="L1476" s="61" t="n">
        <f aca="false">H1476*Resumo!$C$8</f>
        <v>1.317288</v>
      </c>
      <c r="M1476" s="61" t="n">
        <f aca="false">Resumo!$C$10*CEILING(G1476/100,1)</f>
        <v>1.05</v>
      </c>
      <c r="N1476" s="61" t="n">
        <f aca="false">Resumo!$C$9</f>
        <v>0</v>
      </c>
      <c r="O1476" s="61" t="n">
        <f aca="false">Resumo!$C$13</f>
        <v>13.55</v>
      </c>
      <c r="P1476" s="61" t="n">
        <f aca="false">Resumo!$C$14*CEILING(G1476,1)</f>
        <v>23.85</v>
      </c>
      <c r="Q1476" s="61" t="n">
        <f aca="false">SUM(I1476:P1476)*Resumo!$C$11</f>
        <v>0</v>
      </c>
      <c r="R1476" s="61" t="n">
        <f aca="false">SUM(I1476:Q1476)</f>
        <v>124.664576</v>
      </c>
      <c r="S1476" s="61" t="n">
        <f aca="false">R1476/(1-Resumo!$C$5)</f>
        <v>141.664290909091</v>
      </c>
      <c r="T1476" s="61" t="n">
        <v>162.04</v>
      </c>
      <c r="U1476" s="61" t="n">
        <f aca="false">H1476*Resumo!$B$6</f>
        <v>0.62728</v>
      </c>
      <c r="V1476" s="61" t="n">
        <f aca="false">H1476*Resumo!$B$7</f>
        <v>1.25456</v>
      </c>
      <c r="W1476" s="61" t="n">
        <f aca="false">Resumo!$B$9</f>
        <v>1</v>
      </c>
      <c r="X1476" s="61" t="n">
        <f aca="false">Resumo!$B$10*CEILING(G1476/100,1)</f>
        <v>4.5</v>
      </c>
      <c r="Y1476" s="61" t="n">
        <f aca="false">Resumo!$B$12*CEILING(G1476,1)</f>
        <v>3.18</v>
      </c>
      <c r="Z1476" s="61" t="n">
        <f aca="false">Resumo!$B$14*CEILING(G1476,1)</f>
        <v>23.85</v>
      </c>
      <c r="AA1476" s="61" t="n">
        <f aca="false">SUM(T1476:Z1476)</f>
        <v>196.45184</v>
      </c>
      <c r="AB1476" s="61" t="n">
        <f aca="false">AA1476/(1-Resumo!$B$5)</f>
        <v>223.240727272727</v>
      </c>
      <c r="AC1476" s="61" t="n">
        <f aca="false">AB1476-S1476</f>
        <v>81.5764363636363</v>
      </c>
      <c r="AD1476" s="62" t="n">
        <f aca="false">AB1476/S1476-1</f>
        <v>0.575843325372558</v>
      </c>
      <c r="AE1476" s="60" t="str">
        <f aca="false">IF(AB1476&lt;S1476,"SIM","NÃO")</f>
        <v>NÃO</v>
      </c>
      <c r="AF1476" s="60" t="n">
        <v>13</v>
      </c>
      <c r="AG1476" s="60" t="n">
        <v>11</v>
      </c>
      <c r="AH1476" s="60" t="s">
        <v>385</v>
      </c>
      <c r="AI1476" s="61" t="n">
        <f aca="false">(T1476*(1-Painel!$C$40)+U1476+V1476+Painel!$C$41+Painel!$C$42*CEILING(G1476/100,1)+Painel!$C$43*CEILING(G1476,1)+Z1476)/(1-Resumo!$B$5)</f>
        <v>154.941636363636</v>
      </c>
      <c r="AJ1476" s="60" t="str">
        <f aca="false">IF(AI1476&lt;S1476,"SIM","NÃO")</f>
        <v>NÃO</v>
      </c>
    </row>
    <row r="1477" customFormat="false" ht="15" hidden="false" customHeight="false" outlineLevel="0" collapsed="false">
      <c r="A1477" s="59" t="n">
        <v>46265.3817013889</v>
      </c>
      <c r="B1477" s="60" t="s">
        <v>1729</v>
      </c>
      <c r="C1477" s="60" t="n">
        <v>21866340</v>
      </c>
      <c r="D1477" s="60" t="s">
        <v>46</v>
      </c>
      <c r="E1477" s="60" t="s">
        <v>22</v>
      </c>
      <c r="F1477" s="60" t="s">
        <v>241</v>
      </c>
      <c r="G1477" s="60" t="n">
        <v>124.2</v>
      </c>
      <c r="H1477" s="61" t="n">
        <v>1699.99</v>
      </c>
      <c r="I1477" s="61" t="n">
        <v>120.59</v>
      </c>
      <c r="J1477" s="61" t="n">
        <f aca="false">H1477*Resumo!$C$6</f>
        <v>0</v>
      </c>
      <c r="K1477" s="61" t="n">
        <f aca="false">H1477*Resumo!$C$7</f>
        <v>3.569979</v>
      </c>
      <c r="L1477" s="61" t="n">
        <f aca="false">H1477*Resumo!$C$8</f>
        <v>3.569979</v>
      </c>
      <c r="M1477" s="61" t="n">
        <f aca="false">Resumo!$C$10*CEILING(G1477/100,1)</f>
        <v>2.1</v>
      </c>
      <c r="N1477" s="61" t="n">
        <f aca="false">Resumo!$C$9</f>
        <v>0</v>
      </c>
      <c r="O1477" s="61" t="n">
        <f aca="false">Resumo!$C$13</f>
        <v>13.55</v>
      </c>
      <c r="P1477" s="61" t="n">
        <f aca="false">Resumo!$C$14*CEILING(G1477,1)</f>
        <v>56.25</v>
      </c>
      <c r="Q1477" s="61" t="n">
        <f aca="false">SUM(I1477:P1477)*Resumo!$C$11</f>
        <v>0</v>
      </c>
      <c r="R1477" s="61" t="n">
        <f aca="false">SUM(I1477:Q1477)</f>
        <v>199.629958</v>
      </c>
      <c r="S1477" s="61" t="n">
        <f aca="false">R1477/(1-Resumo!$C$5)</f>
        <v>226.852225</v>
      </c>
      <c r="T1477" s="61" t="n">
        <v>239.25</v>
      </c>
      <c r="U1477" s="61" t="n">
        <f aca="false">H1477*Resumo!$B$6</f>
        <v>1.69999</v>
      </c>
      <c r="V1477" s="61" t="n">
        <f aca="false">H1477*Resumo!$B$7</f>
        <v>3.39998</v>
      </c>
      <c r="W1477" s="61" t="n">
        <f aca="false">Resumo!$B$9</f>
        <v>1</v>
      </c>
      <c r="X1477" s="61" t="n">
        <f aca="false">Resumo!$B$10*CEILING(G1477/100,1)</f>
        <v>9</v>
      </c>
      <c r="Y1477" s="61" t="n">
        <f aca="false">Resumo!$B$12*CEILING(G1477,1)</f>
        <v>7.5</v>
      </c>
      <c r="Z1477" s="61" t="n">
        <f aca="false">Resumo!$B$14*CEILING(G1477,1)</f>
        <v>56.25</v>
      </c>
      <c r="AA1477" s="61" t="n">
        <f aca="false">SUM(T1477:Z1477)</f>
        <v>318.09997</v>
      </c>
      <c r="AB1477" s="61" t="n">
        <f aca="false">AA1477/(1-Resumo!$B$5)</f>
        <v>361.477238636364</v>
      </c>
      <c r="AC1477" s="61" t="n">
        <f aca="false">AB1477-S1477</f>
        <v>134.625013636364</v>
      </c>
      <c r="AD1477" s="62" t="n">
        <f aca="false">AB1477/S1477-1</f>
        <v>0.593448063541645</v>
      </c>
      <c r="AE1477" s="60" t="str">
        <f aca="false">IF(AB1477&lt;S1477,"SIM","NÃO")</f>
        <v>NÃO</v>
      </c>
      <c r="AF1477" s="60" t="n">
        <v>2</v>
      </c>
      <c r="AG1477" s="60" t="n">
        <v>5</v>
      </c>
      <c r="AH1477" s="60" t="s">
        <v>382</v>
      </c>
      <c r="AI1477" s="61" t="n">
        <f aca="false">(T1477*(1-Painel!$C$40)+U1477+V1477+Painel!$C$41+Painel!$C$42*CEILING(G1477/100,1)+Painel!$C$43*CEILING(G1477,1)+Z1477)/(1-Resumo!$B$5)</f>
        <v>255.394852272727</v>
      </c>
      <c r="AJ1477" s="60" t="str">
        <f aca="false">IF(AI1477&lt;S1477,"SIM","NÃO")</f>
        <v>NÃO</v>
      </c>
    </row>
    <row r="1478" customFormat="false" ht="15" hidden="false" customHeight="false" outlineLevel="0" collapsed="false">
      <c r="A1478" s="59" t="n">
        <v>46265.5163657407</v>
      </c>
      <c r="B1478" s="60" t="s">
        <v>1730</v>
      </c>
      <c r="C1478" s="60" t="n">
        <v>21340230</v>
      </c>
      <c r="D1478" s="60" t="s">
        <v>46</v>
      </c>
      <c r="E1478" s="60" t="s">
        <v>22</v>
      </c>
      <c r="F1478" s="60" t="s">
        <v>236</v>
      </c>
      <c r="G1478" s="60" t="n">
        <v>52.3</v>
      </c>
      <c r="H1478" s="61" t="n">
        <v>699.99</v>
      </c>
      <c r="I1478" s="61" t="n">
        <v>58.6</v>
      </c>
      <c r="J1478" s="61" t="n">
        <f aca="false">H1478*Resumo!$C$6</f>
        <v>0</v>
      </c>
      <c r="K1478" s="61" t="n">
        <f aca="false">H1478*Resumo!$C$7</f>
        <v>1.469979</v>
      </c>
      <c r="L1478" s="61" t="n">
        <f aca="false">H1478*Resumo!$C$8</f>
        <v>1.469979</v>
      </c>
      <c r="M1478" s="61" t="n">
        <f aca="false">Resumo!$C$10*CEILING(G1478/100,1)</f>
        <v>1.05</v>
      </c>
      <c r="N1478" s="61" t="n">
        <f aca="false">Resumo!$C$9</f>
        <v>0</v>
      </c>
      <c r="O1478" s="61" t="n">
        <f aca="false">Resumo!$C$13</f>
        <v>13.55</v>
      </c>
      <c r="P1478" s="61" t="n">
        <f aca="false">Resumo!$C$14*CEILING(G1478,1)</f>
        <v>23.85</v>
      </c>
      <c r="Q1478" s="61" t="n">
        <f aca="false">SUM(I1478:P1478)*Resumo!$C$11</f>
        <v>0</v>
      </c>
      <c r="R1478" s="61" t="n">
        <f aca="false">SUM(I1478:Q1478)</f>
        <v>99.989958</v>
      </c>
      <c r="S1478" s="61" t="n">
        <f aca="false">R1478/(1-Resumo!$C$5)</f>
        <v>113.624952272727</v>
      </c>
      <c r="T1478" s="61" t="n">
        <v>112.3</v>
      </c>
      <c r="U1478" s="61" t="n">
        <f aca="false">H1478*Resumo!$B$6</f>
        <v>0.69999</v>
      </c>
      <c r="V1478" s="61" t="n">
        <f aca="false">H1478*Resumo!$B$7</f>
        <v>1.39998</v>
      </c>
      <c r="W1478" s="61" t="n">
        <f aca="false">Resumo!$B$9</f>
        <v>1</v>
      </c>
      <c r="X1478" s="61" t="n">
        <f aca="false">Resumo!$B$10*CEILING(G1478/100,1)</f>
        <v>4.5</v>
      </c>
      <c r="Y1478" s="61" t="n">
        <f aca="false">Resumo!$B$12*CEILING(G1478,1)</f>
        <v>3.18</v>
      </c>
      <c r="Z1478" s="61" t="n">
        <f aca="false">Resumo!$B$14*CEILING(G1478,1)</f>
        <v>23.85</v>
      </c>
      <c r="AA1478" s="61" t="n">
        <f aca="false">SUM(T1478:Z1478)</f>
        <v>146.92997</v>
      </c>
      <c r="AB1478" s="61" t="n">
        <f aca="false">AA1478/(1-Resumo!$B$5)</f>
        <v>166.965875</v>
      </c>
      <c r="AC1478" s="61" t="n">
        <f aca="false">AB1478-S1478</f>
        <v>53.3409227272727</v>
      </c>
      <c r="AD1478" s="62" t="n">
        <f aca="false">AB1478/S1478-1</f>
        <v>0.469447261894039</v>
      </c>
      <c r="AE1478" s="60" t="str">
        <f aca="false">IF(AB1478&lt;S1478,"SIM","NÃO")</f>
        <v>NÃO</v>
      </c>
      <c r="AF1478" s="60" t="n">
        <v>2</v>
      </c>
      <c r="AG1478" s="60" t="n">
        <v>5</v>
      </c>
      <c r="AH1478" s="60" t="s">
        <v>382</v>
      </c>
      <c r="AI1478" s="61" t="n">
        <f aca="false">(T1478*(1-Painel!$C$40)+U1478+V1478+Painel!$C$41+Painel!$C$42*CEILING(G1478/100,1)+Painel!$C$43*CEILING(G1478,1)+Z1478)/(1-Resumo!$B$5)</f>
        <v>117.319284090909</v>
      </c>
      <c r="AJ1478" s="60" t="str">
        <f aca="false">IF(AI1478&lt;S1478,"SIM","NÃO")</f>
        <v>NÃO</v>
      </c>
    </row>
    <row r="1479" customFormat="false" ht="15" hidden="false" customHeight="false" outlineLevel="0" collapsed="false">
      <c r="A1479" s="59" t="n">
        <v>46265.5685648148</v>
      </c>
      <c r="B1479" s="60" t="s">
        <v>840</v>
      </c>
      <c r="C1479" s="60" t="n">
        <v>28637000</v>
      </c>
      <c r="D1479" s="60" t="s">
        <v>325</v>
      </c>
      <c r="E1479" s="60" t="s">
        <v>24</v>
      </c>
      <c r="F1479" s="60" t="s">
        <v>236</v>
      </c>
      <c r="G1479" s="60" t="n">
        <v>52.3</v>
      </c>
      <c r="H1479" s="61" t="n">
        <v>699.99</v>
      </c>
      <c r="I1479" s="61" t="n">
        <v>83.58</v>
      </c>
      <c r="J1479" s="61" t="n">
        <f aca="false">H1479*Resumo!$C$6</f>
        <v>0</v>
      </c>
      <c r="K1479" s="61" t="n">
        <f aca="false">H1479*Resumo!$C$7</f>
        <v>1.469979</v>
      </c>
      <c r="L1479" s="61" t="n">
        <f aca="false">H1479*Resumo!$C$8</f>
        <v>1.469979</v>
      </c>
      <c r="M1479" s="61" t="n">
        <f aca="false">Resumo!$C$10*CEILING(G1479/100,1)</f>
        <v>1.05</v>
      </c>
      <c r="N1479" s="61" t="n">
        <f aca="false">Resumo!$C$9</f>
        <v>0</v>
      </c>
      <c r="O1479" s="61" t="n">
        <f aca="false">Resumo!$C$13</f>
        <v>13.55</v>
      </c>
      <c r="P1479" s="61" t="n">
        <f aca="false">Resumo!$C$14*CEILING(G1479,1)</f>
        <v>23.85</v>
      </c>
      <c r="Q1479" s="61" t="n">
        <f aca="false">SUM(I1479:P1479)*Resumo!$C$11</f>
        <v>0</v>
      </c>
      <c r="R1479" s="61" t="n">
        <f aca="false">SUM(I1479:Q1479)</f>
        <v>124.969958</v>
      </c>
      <c r="S1479" s="61" t="n">
        <f aca="false">R1479/(1-Resumo!$C$5)</f>
        <v>142.011315909091</v>
      </c>
      <c r="T1479" s="61" t="n">
        <v>144.53</v>
      </c>
      <c r="U1479" s="61" t="n">
        <f aca="false">H1479*Resumo!$B$6</f>
        <v>0.69999</v>
      </c>
      <c r="V1479" s="61" t="n">
        <f aca="false">H1479*Resumo!$B$7</f>
        <v>1.39998</v>
      </c>
      <c r="W1479" s="61" t="n">
        <f aca="false">Resumo!$B$9</f>
        <v>1</v>
      </c>
      <c r="X1479" s="61" t="n">
        <f aca="false">Resumo!$B$10*CEILING(G1479/100,1)</f>
        <v>4.5</v>
      </c>
      <c r="Y1479" s="61" t="n">
        <f aca="false">Resumo!$B$12*CEILING(G1479,1)</f>
        <v>3.18</v>
      </c>
      <c r="Z1479" s="61" t="n">
        <f aca="false">Resumo!$B$14*CEILING(G1479,1)</f>
        <v>23.85</v>
      </c>
      <c r="AA1479" s="61" t="n">
        <f aca="false">SUM(T1479:Z1479)</f>
        <v>179.15997</v>
      </c>
      <c r="AB1479" s="61" t="n">
        <f aca="false">AA1479/(1-Resumo!$B$5)</f>
        <v>203.590875</v>
      </c>
      <c r="AC1479" s="61" t="n">
        <f aca="false">AB1479-S1479</f>
        <v>61.5795590909091</v>
      </c>
      <c r="AD1479" s="62" t="n">
        <f aca="false">AB1479/S1479-1</f>
        <v>0.433624311532536</v>
      </c>
      <c r="AE1479" s="60" t="str">
        <f aca="false">IF(AB1479&lt;S1479,"SIM","NÃO")</f>
        <v>NÃO</v>
      </c>
      <c r="AF1479" s="60" t="n">
        <v>13</v>
      </c>
      <c r="AG1479" s="60" t="n">
        <v>10</v>
      </c>
      <c r="AH1479" s="60" t="s">
        <v>385</v>
      </c>
      <c r="AI1479" s="61" t="n">
        <f aca="false">(T1479*(1-Painel!$C$40)+U1479+V1479+Painel!$C$41+Painel!$C$42*CEILING(G1479/100,1)+Painel!$C$43*CEILING(G1479,1)+Z1479)/(1-Resumo!$B$5)</f>
        <v>141.858034090909</v>
      </c>
      <c r="AJ1479" s="60" t="str">
        <f aca="false">IF(AI1479&lt;S1479,"SIM","NÃO")</f>
        <v>SIM</v>
      </c>
    </row>
    <row r="1480" customFormat="false" ht="15" hidden="false" customHeight="false" outlineLevel="0" collapsed="false">
      <c r="A1480" s="59" t="n">
        <v>46265.6210416667</v>
      </c>
      <c r="B1480" s="60" t="s">
        <v>1731</v>
      </c>
      <c r="C1480" s="60" t="n">
        <v>28035053</v>
      </c>
      <c r="D1480" s="60" t="s">
        <v>51</v>
      </c>
      <c r="E1480" s="60" t="s">
        <v>24</v>
      </c>
      <c r="F1480" s="60" t="s">
        <v>240</v>
      </c>
      <c r="G1480" s="60" t="n">
        <v>106.5</v>
      </c>
      <c r="H1480" s="61" t="n">
        <v>1083.69</v>
      </c>
      <c r="I1480" s="61" t="n">
        <v>119.5</v>
      </c>
      <c r="J1480" s="61" t="n">
        <f aca="false">H1480*Resumo!$C$6</f>
        <v>0</v>
      </c>
      <c r="K1480" s="61" t="n">
        <f aca="false">H1480*Resumo!$C$7</f>
        <v>2.275749</v>
      </c>
      <c r="L1480" s="61" t="n">
        <f aca="false">H1480*Resumo!$C$8</f>
        <v>2.275749</v>
      </c>
      <c r="M1480" s="61" t="n">
        <f aca="false">Resumo!$C$10*CEILING(G1480/100,1)</f>
        <v>2.1</v>
      </c>
      <c r="N1480" s="61" t="n">
        <f aca="false">Resumo!$C$9</f>
        <v>0</v>
      </c>
      <c r="O1480" s="61" t="n">
        <f aca="false">Resumo!$C$13</f>
        <v>13.55</v>
      </c>
      <c r="P1480" s="61" t="n">
        <f aca="false">Resumo!$C$14*CEILING(G1480,1)</f>
        <v>48.15</v>
      </c>
      <c r="Q1480" s="61" t="n">
        <f aca="false">SUM(I1480:P1480)*Resumo!$C$11</f>
        <v>0</v>
      </c>
      <c r="R1480" s="61" t="n">
        <f aca="false">SUM(I1480:Q1480)</f>
        <v>187.851498</v>
      </c>
      <c r="S1480" s="61" t="n">
        <f aca="false">R1480/(1-Resumo!$C$5)</f>
        <v>213.467611363636</v>
      </c>
      <c r="T1480" s="61" t="n">
        <v>236.82</v>
      </c>
      <c r="U1480" s="61" t="n">
        <f aca="false">H1480*Resumo!$B$6</f>
        <v>1.08369</v>
      </c>
      <c r="V1480" s="61" t="n">
        <f aca="false">H1480*Resumo!$B$7</f>
        <v>2.16738</v>
      </c>
      <c r="W1480" s="61" t="n">
        <f aca="false">Resumo!$B$9</f>
        <v>1</v>
      </c>
      <c r="X1480" s="61" t="n">
        <f aca="false">Resumo!$B$10*CEILING(G1480/100,1)</f>
        <v>9</v>
      </c>
      <c r="Y1480" s="61" t="n">
        <f aca="false">Resumo!$B$12*CEILING(G1480,1)</f>
        <v>6.42</v>
      </c>
      <c r="Z1480" s="61" t="n">
        <f aca="false">Resumo!$B$14*CEILING(G1480,1)</f>
        <v>48.15</v>
      </c>
      <c r="AA1480" s="61" t="n">
        <f aca="false">SUM(T1480:Z1480)</f>
        <v>304.64107</v>
      </c>
      <c r="AB1480" s="61" t="n">
        <f aca="false">AA1480/(1-Resumo!$B$5)</f>
        <v>346.183034090909</v>
      </c>
      <c r="AC1480" s="61" t="n">
        <f aca="false">AB1480-S1480</f>
        <v>132.715422727273</v>
      </c>
      <c r="AD1480" s="62" t="n">
        <f aca="false">AB1480/S1480-1</f>
        <v>0.621712220788359</v>
      </c>
      <c r="AE1480" s="60" t="str">
        <f aca="false">IF(AB1480&lt;S1480,"SIM","NÃO")</f>
        <v>NÃO</v>
      </c>
      <c r="AF1480" s="60" t="n">
        <v>13</v>
      </c>
      <c r="AG1480" s="60" t="n">
        <v>11</v>
      </c>
      <c r="AH1480" s="60" t="s">
        <v>382</v>
      </c>
      <c r="AI1480" s="61" t="n">
        <f aca="false">(T1480*(1-Painel!$C$40)+U1480+V1480+Painel!$C$41+Painel!$C$42*CEILING(G1480/100,1)+Painel!$C$43*CEILING(G1480,1)+Z1480)/(1-Resumo!$B$5)</f>
        <v>242.239170454545</v>
      </c>
      <c r="AJ1480" s="60" t="str">
        <f aca="false">IF(AI1480&lt;S1480,"SIM","NÃO")</f>
        <v>NÃO</v>
      </c>
    </row>
    <row r="1481" customFormat="false" ht="15" hidden="false" customHeight="false" outlineLevel="0" collapsed="false">
      <c r="A1481" s="59" t="n">
        <v>46265.6374189815</v>
      </c>
      <c r="B1481" s="60" t="s">
        <v>1732</v>
      </c>
      <c r="C1481" s="60" t="n">
        <v>23585126</v>
      </c>
      <c r="D1481" s="60" t="s">
        <v>46</v>
      </c>
      <c r="E1481" s="60" t="s">
        <v>22</v>
      </c>
      <c r="F1481" s="60" t="s">
        <v>233</v>
      </c>
      <c r="G1481" s="60" t="n">
        <v>27.4</v>
      </c>
      <c r="H1481" s="61" t="n">
        <v>329.99</v>
      </c>
      <c r="I1481" s="61" t="n">
        <v>42.11</v>
      </c>
      <c r="J1481" s="61" t="n">
        <f aca="false">H1481*Resumo!$C$6</f>
        <v>0</v>
      </c>
      <c r="K1481" s="61" t="n">
        <f aca="false">H1481*Resumo!$C$7</f>
        <v>0.692979</v>
      </c>
      <c r="L1481" s="61" t="n">
        <f aca="false">H1481*Resumo!$C$8</f>
        <v>0.692979</v>
      </c>
      <c r="M1481" s="61" t="n">
        <f aca="false">Resumo!$C$10*CEILING(G1481/100,1)</f>
        <v>1.05</v>
      </c>
      <c r="N1481" s="61" t="n">
        <f aca="false">Resumo!$C$9</f>
        <v>0</v>
      </c>
      <c r="O1481" s="61" t="n">
        <f aca="false">Resumo!$C$13</f>
        <v>13.55</v>
      </c>
      <c r="P1481" s="61" t="n">
        <f aca="false">Resumo!$C$14*CEILING(G1481,1)</f>
        <v>12.6</v>
      </c>
      <c r="Q1481" s="61" t="n">
        <f aca="false">SUM(I1481:P1481)*Resumo!$C$11</f>
        <v>0</v>
      </c>
      <c r="R1481" s="61" t="n">
        <f aca="false">SUM(I1481:Q1481)</f>
        <v>70.695958</v>
      </c>
      <c r="S1481" s="61" t="n">
        <f aca="false">R1481/(1-Resumo!$C$5)</f>
        <v>80.3363159090909</v>
      </c>
      <c r="T1481" s="61" t="n">
        <v>82.21</v>
      </c>
      <c r="U1481" s="61" t="n">
        <f aca="false">H1481*Resumo!$B$6</f>
        <v>0.32999</v>
      </c>
      <c r="V1481" s="61" t="n">
        <f aca="false">H1481*Resumo!$B$7</f>
        <v>0.65998</v>
      </c>
      <c r="W1481" s="61" t="n">
        <f aca="false">Resumo!$B$9</f>
        <v>1</v>
      </c>
      <c r="X1481" s="61" t="n">
        <f aca="false">Resumo!$B$10*CEILING(G1481/100,1)</f>
        <v>4.5</v>
      </c>
      <c r="Y1481" s="61" t="n">
        <f aca="false">Resumo!$B$12*CEILING(G1481,1)</f>
        <v>1.68</v>
      </c>
      <c r="Z1481" s="61" t="n">
        <f aca="false">Resumo!$B$14*CEILING(G1481,1)</f>
        <v>12.6</v>
      </c>
      <c r="AA1481" s="61" t="n">
        <f aca="false">SUM(T1481:Z1481)</f>
        <v>102.97997</v>
      </c>
      <c r="AB1481" s="61" t="n">
        <f aca="false">AA1481/(1-Resumo!$B$5)</f>
        <v>117.022693181818</v>
      </c>
      <c r="AC1481" s="61" t="n">
        <f aca="false">AB1481-S1481</f>
        <v>36.6863772727273</v>
      </c>
      <c r="AD1481" s="62" t="n">
        <f aca="false">AB1481/S1481-1</f>
        <v>0.456659940869604</v>
      </c>
      <c r="AE1481" s="60" t="str">
        <f aca="false">IF(AB1481&lt;S1481,"SIM","NÃO")</f>
        <v>NÃO</v>
      </c>
      <c r="AF1481" s="60" t="n">
        <v>2</v>
      </c>
      <c r="AG1481" s="60" t="n">
        <v>5</v>
      </c>
      <c r="AH1481" s="60" t="s">
        <v>382</v>
      </c>
      <c r="AI1481" s="61" t="n">
        <f aca="false">(T1481*(1-Painel!$C$40)+U1481+V1481+Painel!$C$41+Painel!$C$42*CEILING(G1481/100,1)+Painel!$C$43*CEILING(G1481,1)+Z1481)/(1-Resumo!$B$5)</f>
        <v>80.3643977272727</v>
      </c>
      <c r="AJ1481" s="60" t="str">
        <f aca="false">IF(AI1481&lt;S1481,"SIM","NÃO")</f>
        <v>NÃO</v>
      </c>
    </row>
    <row r="1482" customFormat="false" ht="15" hidden="false" customHeight="false" outlineLevel="0" collapsed="false">
      <c r="A1482" s="59" t="n">
        <v>46265.7176273148</v>
      </c>
      <c r="B1482" s="60" t="s">
        <v>1733</v>
      </c>
      <c r="C1482" s="60" t="n">
        <v>25045730</v>
      </c>
      <c r="D1482" s="60" t="s">
        <v>48</v>
      </c>
      <c r="E1482" s="60" t="s">
        <v>23</v>
      </c>
      <c r="F1482" s="60" t="s">
        <v>236</v>
      </c>
      <c r="G1482" s="60" t="n">
        <v>52.3</v>
      </c>
      <c r="H1482" s="61" t="n">
        <v>699.99</v>
      </c>
      <c r="I1482" s="61" t="n">
        <v>70.98</v>
      </c>
      <c r="J1482" s="61" t="n">
        <f aca="false">H1482*Resumo!$C$6</f>
        <v>0</v>
      </c>
      <c r="K1482" s="61" t="n">
        <f aca="false">H1482*Resumo!$C$7</f>
        <v>1.469979</v>
      </c>
      <c r="L1482" s="61" t="n">
        <f aca="false">H1482*Resumo!$C$8</f>
        <v>1.469979</v>
      </c>
      <c r="M1482" s="61" t="n">
        <f aca="false">Resumo!$C$10*CEILING(G1482/100,1)</f>
        <v>1.05</v>
      </c>
      <c r="N1482" s="61" t="n">
        <f aca="false">Resumo!$C$9</f>
        <v>0</v>
      </c>
      <c r="O1482" s="61" t="n">
        <f aca="false">Resumo!$C$13</f>
        <v>13.55</v>
      </c>
      <c r="P1482" s="61" t="n">
        <f aca="false">Resumo!$C$14*CEILING(G1482,1)</f>
        <v>23.85</v>
      </c>
      <c r="Q1482" s="61" t="n">
        <f aca="false">SUM(I1482:P1482)*Resumo!$C$11</f>
        <v>0</v>
      </c>
      <c r="R1482" s="61" t="n">
        <f aca="false">SUM(I1482:Q1482)</f>
        <v>112.369958</v>
      </c>
      <c r="S1482" s="61" t="n">
        <f aca="false">R1482/(1-Resumo!$C$5)</f>
        <v>127.693134090909</v>
      </c>
      <c r="T1482" s="61" t="n">
        <v>112.3</v>
      </c>
      <c r="U1482" s="61" t="n">
        <f aca="false">H1482*Resumo!$B$6</f>
        <v>0.69999</v>
      </c>
      <c r="V1482" s="61" t="n">
        <f aca="false">H1482*Resumo!$B$7</f>
        <v>1.39998</v>
      </c>
      <c r="W1482" s="61" t="n">
        <f aca="false">Resumo!$B$9</f>
        <v>1</v>
      </c>
      <c r="X1482" s="61" t="n">
        <f aca="false">Resumo!$B$10*CEILING(G1482/100,1)</f>
        <v>4.5</v>
      </c>
      <c r="Y1482" s="61" t="n">
        <f aca="false">Resumo!$B$12*CEILING(G1482,1)</f>
        <v>3.18</v>
      </c>
      <c r="Z1482" s="61" t="n">
        <f aca="false">Resumo!$B$14*CEILING(G1482,1)</f>
        <v>23.85</v>
      </c>
      <c r="AA1482" s="61" t="n">
        <f aca="false">SUM(T1482:Z1482)</f>
        <v>146.92997</v>
      </c>
      <c r="AB1482" s="61" t="n">
        <f aca="false">AA1482/(1-Resumo!$B$5)</f>
        <v>166.965875</v>
      </c>
      <c r="AC1482" s="61" t="n">
        <f aca="false">AB1482-S1482</f>
        <v>39.2727409090909</v>
      </c>
      <c r="AD1482" s="62" t="n">
        <f aca="false">AB1482/S1482-1</f>
        <v>0.307555619091715</v>
      </c>
      <c r="AE1482" s="60" t="str">
        <f aca="false">IF(AB1482&lt;S1482,"SIM","NÃO")</f>
        <v>NÃO</v>
      </c>
      <c r="AF1482" s="60" t="n">
        <v>2</v>
      </c>
      <c r="AG1482" s="60" t="n">
        <v>5</v>
      </c>
      <c r="AH1482" s="60" t="s">
        <v>382</v>
      </c>
      <c r="AI1482" s="61" t="n">
        <f aca="false">(T1482*(1-Painel!$C$40)+U1482+V1482+Painel!$C$41+Painel!$C$42*CEILING(G1482/100,1)+Painel!$C$43*CEILING(G1482,1)+Z1482)/(1-Resumo!$B$5)</f>
        <v>117.319284090909</v>
      </c>
      <c r="AJ1482" s="60" t="str">
        <f aca="false">IF(AI1482&lt;S1482,"SIM","NÃO")</f>
        <v>SIM</v>
      </c>
    </row>
    <row r="1483" customFormat="false" ht="15" hidden="false" customHeight="false" outlineLevel="0" collapsed="false">
      <c r="A1483" s="59" t="n">
        <v>46265.765150463</v>
      </c>
      <c r="B1483" s="60" t="s">
        <v>1734</v>
      </c>
      <c r="C1483" s="60" t="n">
        <v>26420000</v>
      </c>
      <c r="D1483" s="60" t="s">
        <v>283</v>
      </c>
      <c r="E1483" s="60" t="s">
        <v>24</v>
      </c>
      <c r="F1483" s="60" t="s">
        <v>233</v>
      </c>
      <c r="G1483" s="60" t="n">
        <v>33</v>
      </c>
      <c r="H1483" s="61" t="n">
        <v>433.49</v>
      </c>
      <c r="I1483" s="61" t="n">
        <v>65.63</v>
      </c>
      <c r="J1483" s="61" t="n">
        <f aca="false">H1483*Resumo!$C$6</f>
        <v>0</v>
      </c>
      <c r="K1483" s="61" t="n">
        <f aca="false">H1483*Resumo!$C$7</f>
        <v>0.910329</v>
      </c>
      <c r="L1483" s="61" t="n">
        <f aca="false">H1483*Resumo!$C$8</f>
        <v>0.910329</v>
      </c>
      <c r="M1483" s="61" t="n">
        <f aca="false">Resumo!$C$10*CEILING(G1483/100,1)</f>
        <v>1.05</v>
      </c>
      <c r="N1483" s="61" t="n">
        <f aca="false">Resumo!$C$9</f>
        <v>0</v>
      </c>
      <c r="O1483" s="61" t="n">
        <f aca="false">Resumo!$C$13</f>
        <v>13.55</v>
      </c>
      <c r="P1483" s="61" t="n">
        <f aca="false">Resumo!$C$14*CEILING(G1483,1)</f>
        <v>14.85</v>
      </c>
      <c r="Q1483" s="61" t="n">
        <f aca="false">SUM(I1483:P1483)*Resumo!$C$11</f>
        <v>0</v>
      </c>
      <c r="R1483" s="61" t="n">
        <f aca="false">SUM(I1483:Q1483)</f>
        <v>96.900658</v>
      </c>
      <c r="S1483" s="61" t="n">
        <f aca="false">R1483/(1-Resumo!$C$5)</f>
        <v>110.114384090909</v>
      </c>
      <c r="T1483" s="61" t="n">
        <v>82.21</v>
      </c>
      <c r="U1483" s="61" t="n">
        <f aca="false">H1483*Resumo!$B$6</f>
        <v>0.43349</v>
      </c>
      <c r="V1483" s="61" t="n">
        <f aca="false">H1483*Resumo!$B$7</f>
        <v>0.86698</v>
      </c>
      <c r="W1483" s="61" t="n">
        <f aca="false">Resumo!$B$9</f>
        <v>1</v>
      </c>
      <c r="X1483" s="61" t="n">
        <f aca="false">Resumo!$B$10*CEILING(G1483/100,1)</f>
        <v>4.5</v>
      </c>
      <c r="Y1483" s="61" t="n">
        <f aca="false">Resumo!$B$12*CEILING(G1483,1)</f>
        <v>1.98</v>
      </c>
      <c r="Z1483" s="61" t="n">
        <f aca="false">Resumo!$B$14*CEILING(G1483,1)</f>
        <v>14.85</v>
      </c>
      <c r="AA1483" s="61" t="n">
        <f aca="false">SUM(T1483:Z1483)</f>
        <v>105.84047</v>
      </c>
      <c r="AB1483" s="61" t="n">
        <f aca="false">AA1483/(1-Resumo!$B$5)</f>
        <v>120.273261363636</v>
      </c>
      <c r="AC1483" s="61" t="n">
        <f aca="false">AB1483-S1483</f>
        <v>10.1588772727273</v>
      </c>
      <c r="AD1483" s="62" t="n">
        <f aca="false">AB1483/S1483-1</f>
        <v>0.0922574952999802</v>
      </c>
      <c r="AE1483" s="60" t="str">
        <f aca="false">IF(AB1483&lt;S1483,"SIM","NÃO")</f>
        <v>NÃO</v>
      </c>
      <c r="AF1483" s="60" t="n">
        <v>13</v>
      </c>
      <c r="AG1483" s="60" t="n">
        <v>5</v>
      </c>
      <c r="AH1483" s="60" t="s">
        <v>385</v>
      </c>
      <c r="AI1483" s="61" t="n">
        <f aca="false">(T1483*(1-Painel!$C$40)+U1483+V1483+Painel!$C$41+Painel!$C$42*CEILING(G1483/100,1)+Painel!$C$43*CEILING(G1483,1)+Z1483)/(1-Resumo!$B$5)</f>
        <v>83.2740568181818</v>
      </c>
      <c r="AJ1483" s="60" t="str">
        <f aca="false">IF(AI1483&lt;S1483,"SIM","NÃO")</f>
        <v>SIM</v>
      </c>
    </row>
    <row r="1484" customFormat="false" ht="15" hidden="false" customHeight="false" outlineLevel="0" collapsed="false">
      <c r="A1484" s="59" t="n">
        <v>46265.8141203704</v>
      </c>
      <c r="B1484" s="60" t="s">
        <v>1735</v>
      </c>
      <c r="C1484" s="60" t="n">
        <v>21370200</v>
      </c>
      <c r="D1484" s="60" t="s">
        <v>46</v>
      </c>
      <c r="E1484" s="60" t="s">
        <v>22</v>
      </c>
      <c r="F1484" s="60" t="s">
        <v>236</v>
      </c>
      <c r="G1484" s="60" t="n">
        <v>52.3</v>
      </c>
      <c r="H1484" s="61" t="n">
        <v>640.18</v>
      </c>
      <c r="I1484" s="61" t="n">
        <v>58.6</v>
      </c>
      <c r="J1484" s="61" t="n">
        <f aca="false">H1484*Resumo!$C$6</f>
        <v>0</v>
      </c>
      <c r="K1484" s="61" t="n">
        <f aca="false">H1484*Resumo!$C$7</f>
        <v>1.344378</v>
      </c>
      <c r="L1484" s="61" t="n">
        <f aca="false">H1484*Resumo!$C$8</f>
        <v>1.344378</v>
      </c>
      <c r="M1484" s="61" t="n">
        <f aca="false">Resumo!$C$10*CEILING(G1484/100,1)</f>
        <v>1.05</v>
      </c>
      <c r="N1484" s="61" t="n">
        <f aca="false">Resumo!$C$9</f>
        <v>0</v>
      </c>
      <c r="O1484" s="61" t="n">
        <f aca="false">Resumo!$C$13</f>
        <v>13.55</v>
      </c>
      <c r="P1484" s="61" t="n">
        <f aca="false">Resumo!$C$14*CEILING(G1484,1)</f>
        <v>23.85</v>
      </c>
      <c r="Q1484" s="61" t="n">
        <f aca="false">SUM(I1484:P1484)*Resumo!$C$11</f>
        <v>0</v>
      </c>
      <c r="R1484" s="61" t="n">
        <f aca="false">SUM(I1484:Q1484)</f>
        <v>99.738756</v>
      </c>
      <c r="S1484" s="61" t="n">
        <f aca="false">R1484/(1-Resumo!$C$5)</f>
        <v>113.339495454545</v>
      </c>
      <c r="T1484" s="61" t="n">
        <v>112.3</v>
      </c>
      <c r="U1484" s="61" t="n">
        <f aca="false">H1484*Resumo!$B$6</f>
        <v>0.64018</v>
      </c>
      <c r="V1484" s="61" t="n">
        <f aca="false">H1484*Resumo!$B$7</f>
        <v>1.28036</v>
      </c>
      <c r="W1484" s="61" t="n">
        <f aca="false">Resumo!$B$9</f>
        <v>1</v>
      </c>
      <c r="X1484" s="61" t="n">
        <f aca="false">Resumo!$B$10*CEILING(G1484/100,1)</f>
        <v>4.5</v>
      </c>
      <c r="Y1484" s="61" t="n">
        <f aca="false">Resumo!$B$12*CEILING(G1484,1)</f>
        <v>3.18</v>
      </c>
      <c r="Z1484" s="61" t="n">
        <f aca="false">Resumo!$B$14*CEILING(G1484,1)</f>
        <v>23.85</v>
      </c>
      <c r="AA1484" s="61" t="n">
        <f aca="false">SUM(T1484:Z1484)</f>
        <v>146.75054</v>
      </c>
      <c r="AB1484" s="61" t="n">
        <f aca="false">AA1484/(1-Resumo!$B$5)</f>
        <v>166.761977272727</v>
      </c>
      <c r="AC1484" s="61" t="n">
        <f aca="false">AB1484-S1484</f>
        <v>53.4224818181818</v>
      </c>
      <c r="AD1484" s="62" t="n">
        <f aca="false">AB1484/S1484-1</f>
        <v>0.471349211534181</v>
      </c>
      <c r="AE1484" s="60" t="str">
        <f aca="false">IF(AB1484&lt;S1484,"SIM","NÃO")</f>
        <v>NÃO</v>
      </c>
      <c r="AF1484" s="60" t="n">
        <v>2</v>
      </c>
      <c r="AG1484" s="60" t="n">
        <v>5</v>
      </c>
      <c r="AH1484" s="60" t="s">
        <v>382</v>
      </c>
      <c r="AI1484" s="61" t="n">
        <f aca="false">(T1484*(1-Painel!$C$40)+U1484+V1484+Painel!$C$41+Painel!$C$42*CEILING(G1484/100,1)+Painel!$C$43*CEILING(G1484,1)+Z1484)/(1-Resumo!$B$5)</f>
        <v>117.115386363636</v>
      </c>
      <c r="AJ1484" s="60" t="str">
        <f aca="false">IF(AI1484&lt;S1484,"SIM","NÃO")</f>
        <v>NÃO</v>
      </c>
    </row>
    <row r="1485" customFormat="false" ht="15" hidden="false" customHeight="false" outlineLevel="0" collapsed="false">
      <c r="A1485" s="59" t="n">
        <v>46265.8376273148</v>
      </c>
      <c r="B1485" s="60" t="s">
        <v>1736</v>
      </c>
      <c r="C1485" s="60" t="n">
        <v>22745270</v>
      </c>
      <c r="D1485" s="60" t="s">
        <v>46</v>
      </c>
      <c r="E1485" s="60" t="s">
        <v>22</v>
      </c>
      <c r="F1485" s="60" t="s">
        <v>236</v>
      </c>
      <c r="G1485" s="60" t="n">
        <v>52.3</v>
      </c>
      <c r="H1485" s="61" t="n">
        <v>627.28</v>
      </c>
      <c r="I1485" s="61" t="n">
        <v>58.6</v>
      </c>
      <c r="J1485" s="61" t="n">
        <f aca="false">H1485*Resumo!$C$6</f>
        <v>0</v>
      </c>
      <c r="K1485" s="61" t="n">
        <f aca="false">H1485*Resumo!$C$7</f>
        <v>1.317288</v>
      </c>
      <c r="L1485" s="61" t="n">
        <f aca="false">H1485*Resumo!$C$8</f>
        <v>1.317288</v>
      </c>
      <c r="M1485" s="61" t="n">
        <f aca="false">Resumo!$C$10*CEILING(G1485/100,1)</f>
        <v>1.05</v>
      </c>
      <c r="N1485" s="61" t="n">
        <f aca="false">Resumo!$C$9</f>
        <v>0</v>
      </c>
      <c r="O1485" s="61" t="n">
        <f aca="false">Resumo!$C$13</f>
        <v>13.55</v>
      </c>
      <c r="P1485" s="61" t="n">
        <f aca="false">Resumo!$C$14*CEILING(G1485,1)</f>
        <v>23.85</v>
      </c>
      <c r="Q1485" s="61" t="n">
        <f aca="false">SUM(I1485:P1485)*Resumo!$C$11</f>
        <v>0</v>
      </c>
      <c r="R1485" s="61" t="n">
        <f aca="false">SUM(I1485:Q1485)</f>
        <v>99.684576</v>
      </c>
      <c r="S1485" s="61" t="n">
        <f aca="false">R1485/(1-Resumo!$C$5)</f>
        <v>113.277927272727</v>
      </c>
      <c r="T1485" s="61" t="n">
        <v>112.3</v>
      </c>
      <c r="U1485" s="61" t="n">
        <f aca="false">H1485*Resumo!$B$6</f>
        <v>0.62728</v>
      </c>
      <c r="V1485" s="61" t="n">
        <f aca="false">H1485*Resumo!$B$7</f>
        <v>1.25456</v>
      </c>
      <c r="W1485" s="61" t="n">
        <f aca="false">Resumo!$B$9</f>
        <v>1</v>
      </c>
      <c r="X1485" s="61" t="n">
        <f aca="false">Resumo!$B$10*CEILING(G1485/100,1)</f>
        <v>4.5</v>
      </c>
      <c r="Y1485" s="61" t="n">
        <f aca="false">Resumo!$B$12*CEILING(G1485,1)</f>
        <v>3.18</v>
      </c>
      <c r="Z1485" s="61" t="n">
        <f aca="false">Resumo!$B$14*CEILING(G1485,1)</f>
        <v>23.85</v>
      </c>
      <c r="AA1485" s="61" t="n">
        <f aca="false">SUM(T1485:Z1485)</f>
        <v>146.71184</v>
      </c>
      <c r="AB1485" s="61" t="n">
        <f aca="false">AA1485/(1-Resumo!$B$5)</f>
        <v>166.718</v>
      </c>
      <c r="AC1485" s="61" t="n">
        <f aca="false">AB1485-S1485</f>
        <v>53.4400727272727</v>
      </c>
      <c r="AD1485" s="62" t="n">
        <f aca="false">AB1485/S1485-1</f>
        <v>0.471760686427557</v>
      </c>
      <c r="AE1485" s="60" t="str">
        <f aca="false">IF(AB1485&lt;S1485,"SIM","NÃO")</f>
        <v>NÃO</v>
      </c>
      <c r="AF1485" s="60" t="n">
        <v>2</v>
      </c>
      <c r="AG1485" s="60" t="n">
        <v>5</v>
      </c>
      <c r="AH1485" s="60" t="s">
        <v>382</v>
      </c>
      <c r="AI1485" s="61" t="n">
        <f aca="false">(T1485*(1-Painel!$C$40)+U1485+V1485+Painel!$C$41+Painel!$C$42*CEILING(G1485/100,1)+Painel!$C$43*CEILING(G1485,1)+Z1485)/(1-Resumo!$B$5)</f>
        <v>117.071409090909</v>
      </c>
      <c r="AJ1485" s="60" t="str">
        <f aca="false">IF(AI1485&lt;S1485,"SIM","NÃO")</f>
        <v>NÃO</v>
      </c>
    </row>
    <row r="1486" customFormat="false" ht="15" hidden="false" customHeight="false" outlineLevel="0" collapsed="false">
      <c r="A1486" s="59" t="n">
        <v>46265.862337963</v>
      </c>
      <c r="B1486" s="60" t="s">
        <v>1737</v>
      </c>
      <c r="C1486" s="60" t="n">
        <v>27321620</v>
      </c>
      <c r="D1486" s="60" t="s">
        <v>293</v>
      </c>
      <c r="E1486" s="60" t="s">
        <v>24</v>
      </c>
      <c r="F1486" s="60" t="s">
        <v>241</v>
      </c>
      <c r="G1486" s="60" t="n">
        <v>125.8</v>
      </c>
      <c r="H1486" s="61" t="n">
        <v>1999.99</v>
      </c>
      <c r="I1486" s="61" t="n">
        <v>144.24</v>
      </c>
      <c r="J1486" s="61" t="n">
        <f aca="false">H1486*Resumo!$C$6</f>
        <v>0</v>
      </c>
      <c r="K1486" s="61" t="n">
        <f aca="false">H1486*Resumo!$C$7</f>
        <v>4.199979</v>
      </c>
      <c r="L1486" s="61" t="n">
        <f aca="false">H1486*Resumo!$C$8</f>
        <v>4.199979</v>
      </c>
      <c r="M1486" s="61" t="n">
        <f aca="false">Resumo!$C$10*CEILING(G1486/100,1)</f>
        <v>2.1</v>
      </c>
      <c r="N1486" s="61" t="n">
        <f aca="false">Resumo!$C$9</f>
        <v>0</v>
      </c>
      <c r="O1486" s="61" t="n">
        <f aca="false">Resumo!$C$13</f>
        <v>13.55</v>
      </c>
      <c r="P1486" s="61" t="n">
        <f aca="false">Resumo!$C$14*CEILING(G1486,1)</f>
        <v>56.7</v>
      </c>
      <c r="Q1486" s="61" t="n">
        <f aca="false">SUM(I1486:P1486)*Resumo!$C$11</f>
        <v>0</v>
      </c>
      <c r="R1486" s="61" t="n">
        <f aca="false">SUM(I1486:Q1486)</f>
        <v>224.989958</v>
      </c>
      <c r="S1486" s="61" t="n">
        <f aca="false">R1486/(1-Resumo!$C$5)</f>
        <v>255.670406818182</v>
      </c>
      <c r="T1486" s="61" t="n">
        <v>264.84</v>
      </c>
      <c r="U1486" s="61" t="n">
        <f aca="false">H1486*Resumo!$B$6</f>
        <v>1.99999</v>
      </c>
      <c r="V1486" s="61" t="n">
        <f aca="false">H1486*Resumo!$B$7</f>
        <v>3.99998</v>
      </c>
      <c r="W1486" s="61" t="n">
        <f aca="false">Resumo!$B$9</f>
        <v>1</v>
      </c>
      <c r="X1486" s="61" t="n">
        <f aca="false">Resumo!$B$10*CEILING(G1486/100,1)</f>
        <v>9</v>
      </c>
      <c r="Y1486" s="61" t="n">
        <f aca="false">Resumo!$B$12*CEILING(G1486,1)</f>
        <v>7.56</v>
      </c>
      <c r="Z1486" s="61" t="n">
        <f aca="false">Resumo!$B$14*CEILING(G1486,1)</f>
        <v>56.7</v>
      </c>
      <c r="AA1486" s="61" t="n">
        <f aca="false">SUM(T1486:Z1486)</f>
        <v>345.09997</v>
      </c>
      <c r="AB1486" s="61" t="n">
        <f aca="false">AA1486/(1-Resumo!$B$5)</f>
        <v>392.159056818182</v>
      </c>
      <c r="AC1486" s="61" t="n">
        <f aca="false">AB1486-S1486</f>
        <v>136.48865</v>
      </c>
      <c r="AD1486" s="62" t="n">
        <f aca="false">AB1486/S1486-1</f>
        <v>0.533846101700237</v>
      </c>
      <c r="AE1486" s="60" t="str">
        <f aca="false">IF(AB1486&lt;S1486,"SIM","NÃO")</f>
        <v>NÃO</v>
      </c>
      <c r="AF1486" s="60" t="n">
        <v>13</v>
      </c>
      <c r="AG1486" s="60" t="n">
        <v>10</v>
      </c>
      <c r="AH1486" s="60" t="s">
        <v>385</v>
      </c>
      <c r="AI1486" s="61" t="n">
        <f aca="false">(T1486*(1-Painel!$C$40)+U1486+V1486+Painel!$C$41+Painel!$C$42*CEILING(G1486/100,1)+Painel!$C$43*CEILING(G1486,1)+Z1486)/(1-Resumo!$B$5)</f>
        <v>276.412238636364</v>
      </c>
      <c r="AJ1486" s="60" t="str">
        <f aca="false">IF(AI1486&lt;S1486,"SIM","NÃO")</f>
        <v>NÃO</v>
      </c>
    </row>
    <row r="1487" customFormat="false" ht="15" hidden="false" customHeight="false" outlineLevel="0" collapsed="false">
      <c r="A1487" s="59" t="n">
        <v>46265.8661111111</v>
      </c>
      <c r="B1487" s="60" t="s">
        <v>1738</v>
      </c>
      <c r="C1487" s="60" t="n">
        <v>28021340</v>
      </c>
      <c r="D1487" s="60" t="s">
        <v>51</v>
      </c>
      <c r="E1487" s="60" t="s">
        <v>24</v>
      </c>
      <c r="F1487" s="60" t="s">
        <v>237</v>
      </c>
      <c r="G1487" s="60" t="n">
        <v>69</v>
      </c>
      <c r="H1487" s="61" t="n">
        <v>799.99</v>
      </c>
      <c r="I1487" s="61" t="n">
        <v>90.2</v>
      </c>
      <c r="J1487" s="61" t="n">
        <f aca="false">H1487*Resumo!$C$6</f>
        <v>0</v>
      </c>
      <c r="K1487" s="61" t="n">
        <f aca="false">H1487*Resumo!$C$7</f>
        <v>1.679979</v>
      </c>
      <c r="L1487" s="61" t="n">
        <f aca="false">H1487*Resumo!$C$8</f>
        <v>1.679979</v>
      </c>
      <c r="M1487" s="61" t="n">
        <f aca="false">Resumo!$C$10*CEILING(G1487/100,1)</f>
        <v>1.05</v>
      </c>
      <c r="N1487" s="61" t="n">
        <f aca="false">Resumo!$C$9</f>
        <v>0</v>
      </c>
      <c r="O1487" s="61" t="n">
        <f aca="false">Resumo!$C$13</f>
        <v>13.55</v>
      </c>
      <c r="P1487" s="61" t="n">
        <f aca="false">Resumo!$C$14*CEILING(G1487,1)</f>
        <v>31.05</v>
      </c>
      <c r="Q1487" s="61" t="n">
        <f aca="false">SUM(I1487:P1487)*Resumo!$C$11</f>
        <v>0</v>
      </c>
      <c r="R1487" s="61" t="n">
        <f aca="false">SUM(I1487:Q1487)</f>
        <v>139.209958</v>
      </c>
      <c r="S1487" s="61" t="n">
        <f aca="false">R1487/(1-Resumo!$C$5)</f>
        <v>158.193134090909</v>
      </c>
      <c r="T1487" s="61" t="n">
        <v>171.54</v>
      </c>
      <c r="U1487" s="61" t="n">
        <f aca="false">H1487*Resumo!$B$6</f>
        <v>0.79999</v>
      </c>
      <c r="V1487" s="61" t="n">
        <f aca="false">H1487*Resumo!$B$7</f>
        <v>1.59998</v>
      </c>
      <c r="W1487" s="61" t="n">
        <f aca="false">Resumo!$B$9</f>
        <v>1</v>
      </c>
      <c r="X1487" s="61" t="n">
        <f aca="false">Resumo!$B$10*CEILING(G1487/100,1)</f>
        <v>4.5</v>
      </c>
      <c r="Y1487" s="61" t="n">
        <f aca="false">Resumo!$B$12*CEILING(G1487,1)</f>
        <v>4.14</v>
      </c>
      <c r="Z1487" s="61" t="n">
        <f aca="false">Resumo!$B$14*CEILING(G1487,1)</f>
        <v>31.05</v>
      </c>
      <c r="AA1487" s="61" t="n">
        <f aca="false">SUM(T1487:Z1487)</f>
        <v>214.62997</v>
      </c>
      <c r="AB1487" s="61" t="n">
        <f aca="false">AA1487/(1-Resumo!$B$5)</f>
        <v>243.897693181818</v>
      </c>
      <c r="AC1487" s="61" t="n">
        <f aca="false">AB1487-S1487</f>
        <v>85.7045590909091</v>
      </c>
      <c r="AD1487" s="62" t="n">
        <f aca="false">AB1487/S1487-1</f>
        <v>0.541771674121186</v>
      </c>
      <c r="AE1487" s="60" t="str">
        <f aca="false">IF(AB1487&lt;S1487,"SIM","NÃO")</f>
        <v>NÃO</v>
      </c>
      <c r="AF1487" s="60" t="n">
        <v>13</v>
      </c>
      <c r="AG1487" s="60" t="n">
        <v>11</v>
      </c>
      <c r="AH1487" s="60" t="s">
        <v>382</v>
      </c>
      <c r="AI1487" s="61" t="n">
        <f aca="false">(T1487*(1-Painel!$C$40)+U1487+V1487+Painel!$C$41+Painel!$C$42*CEILING(G1487/100,1)+Painel!$C$43*CEILING(G1487,1)+Z1487)/(1-Resumo!$B$5)</f>
        <v>170.945193181818</v>
      </c>
      <c r="AJ1487" s="60" t="str">
        <f aca="false">IF(AI1487&lt;S1487,"SIM","NÃO")</f>
        <v>NÃO</v>
      </c>
    </row>
    <row r="1488" customFormat="false" ht="15" hidden="false" customHeight="false" outlineLevel="0" collapsed="false">
      <c r="A1488" s="59" t="n">
        <v>46265.8765625</v>
      </c>
      <c r="B1488" s="60" t="s">
        <v>1739</v>
      </c>
      <c r="C1488" s="60" t="n">
        <v>28613450</v>
      </c>
      <c r="D1488" s="60" t="s">
        <v>226</v>
      </c>
      <c r="E1488" s="60" t="s">
        <v>24</v>
      </c>
      <c r="F1488" s="60" t="s">
        <v>233</v>
      </c>
      <c r="G1488" s="60" t="n">
        <v>31.9</v>
      </c>
      <c r="H1488" s="61" t="n">
        <v>599.99</v>
      </c>
      <c r="I1488" s="61" t="n">
        <v>65.63</v>
      </c>
      <c r="J1488" s="61" t="n">
        <f aca="false">H1488*Resumo!$C$6</f>
        <v>0</v>
      </c>
      <c r="K1488" s="61" t="n">
        <f aca="false">H1488*Resumo!$C$7</f>
        <v>1.259979</v>
      </c>
      <c r="L1488" s="61" t="n">
        <f aca="false">H1488*Resumo!$C$8</f>
        <v>1.259979</v>
      </c>
      <c r="M1488" s="61" t="n">
        <f aca="false">Resumo!$C$10*CEILING(G1488/100,1)</f>
        <v>1.05</v>
      </c>
      <c r="N1488" s="61" t="n">
        <f aca="false">Resumo!$C$9</f>
        <v>0</v>
      </c>
      <c r="O1488" s="61" t="n">
        <f aca="false">Resumo!$C$13</f>
        <v>13.55</v>
      </c>
      <c r="P1488" s="61" t="n">
        <f aca="false">Resumo!$C$14*CEILING(G1488,1)</f>
        <v>14.4</v>
      </c>
      <c r="Q1488" s="61" t="n">
        <f aca="false">SUM(I1488:P1488)*Resumo!$C$11</f>
        <v>0</v>
      </c>
      <c r="R1488" s="61" t="n">
        <f aca="false">SUM(I1488:Q1488)</f>
        <v>97.149958</v>
      </c>
      <c r="S1488" s="61" t="n">
        <f aca="false">R1488/(1-Resumo!$C$5)</f>
        <v>110.397679545455</v>
      </c>
      <c r="T1488" s="61" t="n">
        <v>120.78</v>
      </c>
      <c r="U1488" s="61" t="n">
        <f aca="false">H1488*Resumo!$B$6</f>
        <v>0.59999</v>
      </c>
      <c r="V1488" s="61" t="n">
        <f aca="false">H1488*Resumo!$B$7</f>
        <v>1.19998</v>
      </c>
      <c r="W1488" s="61" t="n">
        <f aca="false">Resumo!$B$9</f>
        <v>1</v>
      </c>
      <c r="X1488" s="61" t="n">
        <f aca="false">Resumo!$B$10*CEILING(G1488/100,1)</f>
        <v>4.5</v>
      </c>
      <c r="Y1488" s="61" t="n">
        <f aca="false">Resumo!$B$12*CEILING(G1488,1)</f>
        <v>1.92</v>
      </c>
      <c r="Z1488" s="61" t="n">
        <f aca="false">Resumo!$B$14*CEILING(G1488,1)</f>
        <v>14.4</v>
      </c>
      <c r="AA1488" s="61" t="n">
        <f aca="false">SUM(T1488:Z1488)</f>
        <v>144.39997</v>
      </c>
      <c r="AB1488" s="61" t="n">
        <f aca="false">AA1488/(1-Resumo!$B$5)</f>
        <v>164.090875</v>
      </c>
      <c r="AC1488" s="61" t="n">
        <f aca="false">AB1488-S1488</f>
        <v>53.6931954545454</v>
      </c>
      <c r="AD1488" s="62" t="n">
        <f aca="false">AB1488/S1488-1</f>
        <v>0.486361630748209</v>
      </c>
      <c r="AE1488" s="60" t="str">
        <f aca="false">IF(AB1488&lt;S1488,"SIM","NÃO")</f>
        <v>NÃO</v>
      </c>
      <c r="AF1488" s="60" t="n">
        <v>13</v>
      </c>
      <c r="AG1488" s="60" t="n">
        <v>10</v>
      </c>
      <c r="AH1488" s="60" t="s">
        <v>382</v>
      </c>
      <c r="AI1488" s="61" t="n">
        <f aca="false">(T1488*(1-Painel!$C$40)+U1488+V1488+Painel!$C$41+Painel!$C$42*CEILING(G1488/100,1)+Painel!$C$43*CEILING(G1488,1)+Z1488)/(1-Resumo!$B$5)</f>
        <v>112.696102272727</v>
      </c>
      <c r="AJ1488" s="60" t="str">
        <f aca="false">IF(AI1488&lt;S1488,"SIM","NÃO")</f>
        <v>NÃO</v>
      </c>
    </row>
    <row r="1489" customFormat="false" ht="15" hidden="false" customHeight="false" outlineLevel="0" collapsed="false">
      <c r="A1489" s="59" t="n">
        <v>46265.9091550926</v>
      </c>
      <c r="B1489" s="60" t="s">
        <v>1740</v>
      </c>
      <c r="C1489" s="60" t="n">
        <v>23075006</v>
      </c>
      <c r="D1489" s="60" t="s">
        <v>46</v>
      </c>
      <c r="E1489" s="60" t="s">
        <v>22</v>
      </c>
      <c r="F1489" s="60" t="s">
        <v>235</v>
      </c>
      <c r="G1489" s="60" t="n">
        <v>41</v>
      </c>
      <c r="H1489" s="61" t="n">
        <v>449.28</v>
      </c>
      <c r="I1489" s="61" t="n">
        <v>53.55</v>
      </c>
      <c r="J1489" s="61" t="n">
        <f aca="false">H1489*Resumo!$C$6</f>
        <v>0</v>
      </c>
      <c r="K1489" s="61" t="n">
        <f aca="false">H1489*Resumo!$C$7</f>
        <v>0.943488</v>
      </c>
      <c r="L1489" s="61" t="n">
        <f aca="false">H1489*Resumo!$C$8</f>
        <v>0.943488</v>
      </c>
      <c r="M1489" s="61" t="n">
        <f aca="false">Resumo!$C$10*CEILING(G1489/100,1)</f>
        <v>1.05</v>
      </c>
      <c r="N1489" s="61" t="n">
        <f aca="false">Resumo!$C$9</f>
        <v>0</v>
      </c>
      <c r="O1489" s="61" t="n">
        <f aca="false">Resumo!$C$13</f>
        <v>13.55</v>
      </c>
      <c r="P1489" s="61" t="n">
        <f aca="false">Resumo!$C$14*CEILING(G1489,1)</f>
        <v>18.45</v>
      </c>
      <c r="Q1489" s="61" t="n">
        <f aca="false">SUM(I1489:P1489)*Resumo!$C$11</f>
        <v>0</v>
      </c>
      <c r="R1489" s="61" t="n">
        <f aca="false">SUM(I1489:Q1489)</f>
        <v>88.486976</v>
      </c>
      <c r="S1489" s="61" t="n">
        <f aca="false">R1489/(1-Resumo!$C$5)</f>
        <v>100.553381818182</v>
      </c>
      <c r="T1489" s="61" t="n">
        <v>93.97</v>
      </c>
      <c r="U1489" s="61" t="n">
        <f aca="false">H1489*Resumo!$B$6</f>
        <v>0.44928</v>
      </c>
      <c r="V1489" s="61" t="n">
        <f aca="false">H1489*Resumo!$B$7</f>
        <v>0.89856</v>
      </c>
      <c r="W1489" s="61" t="n">
        <f aca="false">Resumo!$B$9</f>
        <v>1</v>
      </c>
      <c r="X1489" s="61" t="n">
        <f aca="false">Resumo!$B$10*CEILING(G1489/100,1)</f>
        <v>4.5</v>
      </c>
      <c r="Y1489" s="61" t="n">
        <f aca="false">Resumo!$B$12*CEILING(G1489,1)</f>
        <v>2.46</v>
      </c>
      <c r="Z1489" s="61" t="n">
        <f aca="false">Resumo!$B$14*CEILING(G1489,1)</f>
        <v>18.45</v>
      </c>
      <c r="AA1489" s="61" t="n">
        <f aca="false">SUM(T1489:Z1489)</f>
        <v>121.72784</v>
      </c>
      <c r="AB1489" s="61" t="n">
        <f aca="false">AA1489/(1-Resumo!$B$5)</f>
        <v>138.327090909091</v>
      </c>
      <c r="AC1489" s="61" t="n">
        <f aca="false">AB1489-S1489</f>
        <v>37.7737090909091</v>
      </c>
      <c r="AD1489" s="62" t="n">
        <f aca="false">AB1489/S1489-1</f>
        <v>0.375658266364533</v>
      </c>
      <c r="AE1489" s="60" t="str">
        <f aca="false">IF(AB1489&lt;S1489,"SIM","NÃO")</f>
        <v>NÃO</v>
      </c>
      <c r="AF1489" s="60" t="n">
        <v>2</v>
      </c>
      <c r="AG1489" s="60" t="n">
        <v>5</v>
      </c>
      <c r="AH1489" s="60" t="s">
        <v>382</v>
      </c>
      <c r="AI1489" s="61" t="n">
        <f aca="false">(T1489*(1-Painel!$C$40)+U1489+V1489+Painel!$C$41+Painel!$C$42*CEILING(G1489/100,1)+Painel!$C$43*CEILING(G1489,1)+Z1489)/(1-Resumo!$B$5)</f>
        <v>96.3724318181818</v>
      </c>
      <c r="AJ1489" s="60" t="str">
        <f aca="false">IF(AI1489&lt;S1489,"SIM","NÃO")</f>
        <v>SIM</v>
      </c>
    </row>
    <row r="1490" customFormat="false" ht="15" hidden="false" customHeight="false" outlineLevel="0" collapsed="false">
      <c r="A1490" s="59" t="n">
        <v>46265.9095601852</v>
      </c>
      <c r="B1490" s="60" t="s">
        <v>639</v>
      </c>
      <c r="C1490" s="60" t="n">
        <v>24736220</v>
      </c>
      <c r="D1490" s="60" t="s">
        <v>47</v>
      </c>
      <c r="E1490" s="60" t="s">
        <v>23</v>
      </c>
      <c r="F1490" s="60" t="s">
        <v>233</v>
      </c>
      <c r="G1490" s="60" t="n">
        <v>21</v>
      </c>
      <c r="H1490" s="61" t="n">
        <v>399.99</v>
      </c>
      <c r="I1490" s="61" t="n">
        <v>58.8</v>
      </c>
      <c r="J1490" s="61" t="n">
        <f aca="false">H1490*Resumo!$C$6</f>
        <v>0</v>
      </c>
      <c r="K1490" s="61" t="n">
        <f aca="false">H1490*Resumo!$C$7</f>
        <v>0.839979</v>
      </c>
      <c r="L1490" s="61" t="n">
        <f aca="false">H1490*Resumo!$C$8</f>
        <v>0.839979</v>
      </c>
      <c r="M1490" s="61" t="n">
        <f aca="false">Resumo!$C$10*CEILING(G1490/100,1)</f>
        <v>1.05</v>
      </c>
      <c r="N1490" s="61" t="n">
        <f aca="false">Resumo!$C$9</f>
        <v>0</v>
      </c>
      <c r="O1490" s="61" t="n">
        <f aca="false">Resumo!$C$13</f>
        <v>13.55</v>
      </c>
      <c r="P1490" s="61" t="n">
        <f aca="false">Resumo!$C$14*CEILING(G1490,1)</f>
        <v>9.45</v>
      </c>
      <c r="Q1490" s="61" t="n">
        <f aca="false">SUM(I1490:P1490)*Resumo!$C$11</f>
        <v>0</v>
      </c>
      <c r="R1490" s="61" t="n">
        <f aca="false">SUM(I1490:Q1490)</f>
        <v>84.529958</v>
      </c>
      <c r="S1490" s="61" t="n">
        <f aca="false">R1490/(1-Resumo!$C$5)</f>
        <v>96.0567704545455</v>
      </c>
      <c r="T1490" s="61" t="n">
        <v>100.58</v>
      </c>
      <c r="U1490" s="61" t="n">
        <f aca="false">H1490*Resumo!$B$6</f>
        <v>0.39999</v>
      </c>
      <c r="V1490" s="61" t="n">
        <f aca="false">H1490*Resumo!$B$7</f>
        <v>0.79998</v>
      </c>
      <c r="W1490" s="61" t="n">
        <f aca="false">Resumo!$B$9</f>
        <v>1</v>
      </c>
      <c r="X1490" s="61" t="n">
        <f aca="false">Resumo!$B$10*CEILING(G1490/100,1)</f>
        <v>4.5</v>
      </c>
      <c r="Y1490" s="61" t="n">
        <f aca="false">Resumo!$B$12*CEILING(G1490,1)</f>
        <v>1.26</v>
      </c>
      <c r="Z1490" s="61" t="n">
        <f aca="false">Resumo!$B$14*CEILING(G1490,1)</f>
        <v>9.45</v>
      </c>
      <c r="AA1490" s="61" t="n">
        <f aca="false">SUM(T1490:Z1490)</f>
        <v>117.98997</v>
      </c>
      <c r="AB1490" s="61" t="n">
        <f aca="false">AA1490/(1-Resumo!$B$5)</f>
        <v>134.079511363636</v>
      </c>
      <c r="AC1490" s="61" t="n">
        <f aca="false">AB1490-S1490</f>
        <v>38.0227409090909</v>
      </c>
      <c r="AD1490" s="62" t="n">
        <f aca="false">AB1490/S1490-1</f>
        <v>0.395836136580122</v>
      </c>
      <c r="AE1490" s="60" t="str">
        <f aca="false">IF(AB1490&lt;S1490,"SIM","NÃO")</f>
        <v>NÃO</v>
      </c>
      <c r="AF1490" s="60" t="n">
        <v>2</v>
      </c>
      <c r="AG1490" s="60" t="n">
        <v>7</v>
      </c>
      <c r="AH1490" s="60" t="s">
        <v>382</v>
      </c>
      <c r="AI1490" s="61" t="n">
        <f aca="false">(T1490*(1-Painel!$C$40)+U1490+V1490+Painel!$C$41+Painel!$C$42*CEILING(G1490/100,1)+Painel!$C$43*CEILING(G1490,1)+Z1490)/(1-Resumo!$B$5)</f>
        <v>91.0097386363636</v>
      </c>
      <c r="AJ1490" s="60" t="str">
        <f aca="false">IF(AI1490&lt;S1490,"SIM","NÃO")</f>
        <v>SIM</v>
      </c>
    </row>
    <row r="1491" customFormat="false" ht="15" hidden="false" customHeight="false" outlineLevel="0" collapsed="false">
      <c r="A1491" s="59" t="n">
        <v>46265.9441203704</v>
      </c>
      <c r="B1491" s="60" t="s">
        <v>1741</v>
      </c>
      <c r="C1491" s="60" t="n">
        <v>21863360</v>
      </c>
      <c r="D1491" s="60" t="s">
        <v>46</v>
      </c>
      <c r="E1491" s="60" t="s">
        <v>22</v>
      </c>
      <c r="F1491" s="60" t="s">
        <v>234</v>
      </c>
      <c r="G1491" s="60" t="n">
        <v>39</v>
      </c>
      <c r="H1491" s="61" t="n">
        <v>629.99</v>
      </c>
      <c r="I1491" s="61" t="n">
        <v>48.35</v>
      </c>
      <c r="J1491" s="61" t="n">
        <f aca="false">H1491*Resumo!$C$6</f>
        <v>0</v>
      </c>
      <c r="K1491" s="61" t="n">
        <f aca="false">H1491*Resumo!$C$7</f>
        <v>1.322979</v>
      </c>
      <c r="L1491" s="61" t="n">
        <f aca="false">H1491*Resumo!$C$8</f>
        <v>1.322979</v>
      </c>
      <c r="M1491" s="61" t="n">
        <f aca="false">Resumo!$C$10*CEILING(G1491/100,1)</f>
        <v>1.05</v>
      </c>
      <c r="N1491" s="61" t="n">
        <f aca="false">Resumo!$C$9</f>
        <v>0</v>
      </c>
      <c r="O1491" s="61" t="n">
        <f aca="false">Resumo!$C$13</f>
        <v>13.55</v>
      </c>
      <c r="P1491" s="61" t="n">
        <f aca="false">Resumo!$C$14*CEILING(G1491,1)</f>
        <v>17.55</v>
      </c>
      <c r="Q1491" s="61" t="n">
        <f aca="false">SUM(I1491:P1491)*Resumo!$C$11</f>
        <v>0</v>
      </c>
      <c r="R1491" s="61" t="n">
        <f aca="false">SUM(I1491:Q1491)</f>
        <v>83.145958</v>
      </c>
      <c r="S1491" s="61" t="n">
        <f aca="false">R1491/(1-Resumo!$C$5)</f>
        <v>94.4840431818182</v>
      </c>
      <c r="T1491" s="61" t="n">
        <v>93.97</v>
      </c>
      <c r="U1491" s="61" t="n">
        <f aca="false">H1491*Resumo!$B$6</f>
        <v>0.62999</v>
      </c>
      <c r="V1491" s="61" t="n">
        <f aca="false">H1491*Resumo!$B$7</f>
        <v>1.25998</v>
      </c>
      <c r="W1491" s="61" t="n">
        <f aca="false">Resumo!$B$9</f>
        <v>1</v>
      </c>
      <c r="X1491" s="61" t="n">
        <f aca="false">Resumo!$B$10*CEILING(G1491/100,1)</f>
        <v>4.5</v>
      </c>
      <c r="Y1491" s="61" t="n">
        <f aca="false">Resumo!$B$12*CEILING(G1491,1)</f>
        <v>2.34</v>
      </c>
      <c r="Z1491" s="61" t="n">
        <f aca="false">Resumo!$B$14*CEILING(G1491,1)</f>
        <v>17.55</v>
      </c>
      <c r="AA1491" s="61" t="n">
        <f aca="false">SUM(T1491:Z1491)</f>
        <v>121.24997</v>
      </c>
      <c r="AB1491" s="61" t="n">
        <f aca="false">AA1491/(1-Resumo!$B$5)</f>
        <v>137.784056818182</v>
      </c>
      <c r="AC1491" s="61" t="n">
        <f aca="false">AB1491-S1491</f>
        <v>43.3000136363636</v>
      </c>
      <c r="AD1491" s="62" t="n">
        <f aca="false">AB1491/S1491-1</f>
        <v>0.458278585232008</v>
      </c>
      <c r="AE1491" s="60" t="str">
        <f aca="false">IF(AB1491&lt;S1491,"SIM","NÃO")</f>
        <v>NÃO</v>
      </c>
      <c r="AF1491" s="60" t="n">
        <v>2</v>
      </c>
      <c r="AG1491" s="60" t="n">
        <v>5</v>
      </c>
      <c r="AH1491" s="60" t="s">
        <v>382</v>
      </c>
      <c r="AI1491" s="61" t="n">
        <f aca="false">(T1491*(1-Painel!$C$40)+U1491+V1491+Painel!$C$41+Painel!$C$42*CEILING(G1491/100,1)+Painel!$C$43*CEILING(G1491,1)+Z1491)/(1-Resumo!$B$5)</f>
        <v>95.9657613636364</v>
      </c>
      <c r="AJ1491" s="60" t="str">
        <f aca="false">IF(AI1491&lt;S1491,"SIM","NÃO")</f>
        <v>NÃO</v>
      </c>
    </row>
    <row r="1492" customFormat="false" ht="15" hidden="false" customHeight="false" outlineLevel="0" collapsed="false">
      <c r="A1492" s="59" t="n">
        <v>46265.985150463</v>
      </c>
      <c r="B1492" s="60" t="s">
        <v>1742</v>
      </c>
      <c r="C1492" s="60" t="n">
        <v>21361132</v>
      </c>
      <c r="D1492" s="60" t="s">
        <v>46</v>
      </c>
      <c r="E1492" s="60" t="s">
        <v>22</v>
      </c>
      <c r="F1492" s="60" t="s">
        <v>236</v>
      </c>
      <c r="G1492" s="60" t="n">
        <v>52.3</v>
      </c>
      <c r="H1492" s="61" t="n">
        <v>627.28</v>
      </c>
      <c r="I1492" s="61" t="n">
        <v>58.6</v>
      </c>
      <c r="J1492" s="61" t="n">
        <f aca="false">H1492*Resumo!$C$6</f>
        <v>0</v>
      </c>
      <c r="K1492" s="61" t="n">
        <f aca="false">H1492*Resumo!$C$7</f>
        <v>1.317288</v>
      </c>
      <c r="L1492" s="61" t="n">
        <f aca="false">H1492*Resumo!$C$8</f>
        <v>1.317288</v>
      </c>
      <c r="M1492" s="61" t="n">
        <f aca="false">Resumo!$C$10*CEILING(G1492/100,1)</f>
        <v>1.05</v>
      </c>
      <c r="N1492" s="61" t="n">
        <f aca="false">Resumo!$C$9</f>
        <v>0</v>
      </c>
      <c r="O1492" s="61" t="n">
        <f aca="false">Resumo!$C$13</f>
        <v>13.55</v>
      </c>
      <c r="P1492" s="61" t="n">
        <f aca="false">Resumo!$C$14*CEILING(G1492,1)</f>
        <v>23.85</v>
      </c>
      <c r="Q1492" s="61" t="n">
        <f aca="false">SUM(I1492:P1492)*Resumo!$C$11</f>
        <v>0</v>
      </c>
      <c r="R1492" s="61" t="n">
        <f aca="false">SUM(I1492:Q1492)</f>
        <v>99.684576</v>
      </c>
      <c r="S1492" s="61" t="n">
        <f aca="false">R1492/(1-Resumo!$C$5)</f>
        <v>113.277927272727</v>
      </c>
      <c r="T1492" s="61" t="n">
        <v>112.3</v>
      </c>
      <c r="U1492" s="61" t="n">
        <f aca="false">H1492*Resumo!$B$6</f>
        <v>0.62728</v>
      </c>
      <c r="V1492" s="61" t="n">
        <f aca="false">H1492*Resumo!$B$7</f>
        <v>1.25456</v>
      </c>
      <c r="W1492" s="61" t="n">
        <f aca="false">Resumo!$B$9</f>
        <v>1</v>
      </c>
      <c r="X1492" s="61" t="n">
        <f aca="false">Resumo!$B$10*CEILING(G1492/100,1)</f>
        <v>4.5</v>
      </c>
      <c r="Y1492" s="61" t="n">
        <f aca="false">Resumo!$B$12*CEILING(G1492,1)</f>
        <v>3.18</v>
      </c>
      <c r="Z1492" s="61" t="n">
        <f aca="false">Resumo!$B$14*CEILING(G1492,1)</f>
        <v>23.85</v>
      </c>
      <c r="AA1492" s="61" t="n">
        <f aca="false">SUM(T1492:Z1492)</f>
        <v>146.71184</v>
      </c>
      <c r="AB1492" s="61" t="n">
        <f aca="false">AA1492/(1-Resumo!$B$5)</f>
        <v>166.718</v>
      </c>
      <c r="AC1492" s="61" t="n">
        <f aca="false">AB1492-S1492</f>
        <v>53.4400727272727</v>
      </c>
      <c r="AD1492" s="62" t="n">
        <f aca="false">AB1492/S1492-1</f>
        <v>0.471760686427557</v>
      </c>
      <c r="AE1492" s="60" t="str">
        <f aca="false">IF(AB1492&lt;S1492,"SIM","NÃO")</f>
        <v>NÃO</v>
      </c>
      <c r="AF1492" s="60" t="n">
        <v>2</v>
      </c>
      <c r="AG1492" s="60" t="n">
        <v>5</v>
      </c>
      <c r="AH1492" s="60" t="s">
        <v>382</v>
      </c>
      <c r="AI1492" s="61" t="n">
        <f aca="false">(T1492*(1-Painel!$C$40)+U1492+V1492+Painel!$C$41+Painel!$C$42*CEILING(G1492/100,1)+Painel!$C$43*CEILING(G1492,1)+Z1492)/(1-Resumo!$B$5)</f>
        <v>117.071409090909</v>
      </c>
      <c r="AJ1492" s="60" t="str">
        <f aca="false">IF(AI1492&lt;S1492,"SIM","NÃO")</f>
        <v>NÃO</v>
      </c>
    </row>
    <row r="1493" customFormat="false" ht="15" hidden="false" customHeight="false" outlineLevel="0" collapsed="false">
      <c r="A1493" s="59" t="n">
        <v>46266.1176967593</v>
      </c>
      <c r="B1493" s="60" t="s">
        <v>1743</v>
      </c>
      <c r="C1493" s="60" t="n">
        <v>28020301</v>
      </c>
      <c r="D1493" s="60" t="s">
        <v>51</v>
      </c>
      <c r="E1493" s="60" t="s">
        <v>24</v>
      </c>
      <c r="F1493" s="60" t="s">
        <v>235</v>
      </c>
      <c r="G1493" s="60" t="n">
        <v>48</v>
      </c>
      <c r="H1493" s="61" t="n">
        <v>899.99</v>
      </c>
      <c r="I1493" s="61" t="n">
        <v>77.7</v>
      </c>
      <c r="J1493" s="61" t="n">
        <f aca="false">H1493*Resumo!$C$6</f>
        <v>0</v>
      </c>
      <c r="K1493" s="61" t="n">
        <f aca="false">H1493*Resumo!$C$7</f>
        <v>1.889979</v>
      </c>
      <c r="L1493" s="61" t="n">
        <f aca="false">H1493*Resumo!$C$8</f>
        <v>1.889979</v>
      </c>
      <c r="M1493" s="61" t="n">
        <f aca="false">Resumo!$C$10*CEILING(G1493/100,1)</f>
        <v>1.05</v>
      </c>
      <c r="N1493" s="61" t="n">
        <f aca="false">Resumo!$C$9</f>
        <v>0</v>
      </c>
      <c r="O1493" s="61" t="n">
        <f aca="false">Resumo!$C$13</f>
        <v>13.55</v>
      </c>
      <c r="P1493" s="61" t="n">
        <f aca="false">Resumo!$C$14*CEILING(G1493,1)</f>
        <v>21.6</v>
      </c>
      <c r="Q1493" s="61" t="n">
        <f aca="false">SUM(I1493:P1493)*Resumo!$C$11</f>
        <v>0</v>
      </c>
      <c r="R1493" s="61" t="n">
        <f aca="false">SUM(I1493:Q1493)</f>
        <v>117.679958</v>
      </c>
      <c r="S1493" s="61" t="n">
        <f aca="false">R1493/(1-Resumo!$C$5)</f>
        <v>133.727225</v>
      </c>
      <c r="T1493" s="61" t="n">
        <v>152.54</v>
      </c>
      <c r="U1493" s="61" t="n">
        <f aca="false">H1493*Resumo!$B$6</f>
        <v>0.89999</v>
      </c>
      <c r="V1493" s="61" t="n">
        <f aca="false">H1493*Resumo!$B$7</f>
        <v>1.79998</v>
      </c>
      <c r="W1493" s="61" t="n">
        <f aca="false">Resumo!$B$9</f>
        <v>1</v>
      </c>
      <c r="X1493" s="61" t="n">
        <f aca="false">Resumo!$B$10*CEILING(G1493/100,1)</f>
        <v>4.5</v>
      </c>
      <c r="Y1493" s="61" t="n">
        <f aca="false">Resumo!$B$12*CEILING(G1493,1)</f>
        <v>2.88</v>
      </c>
      <c r="Z1493" s="61" t="n">
        <f aca="false">Resumo!$B$14*CEILING(G1493,1)</f>
        <v>21.6</v>
      </c>
      <c r="AA1493" s="61" t="n">
        <f aca="false">SUM(T1493:Z1493)</f>
        <v>185.21997</v>
      </c>
      <c r="AB1493" s="61" t="n">
        <f aca="false">AA1493/(1-Resumo!$B$5)</f>
        <v>210.477238636364</v>
      </c>
      <c r="AC1493" s="61" t="n">
        <f aca="false">AB1493-S1493</f>
        <v>76.7500136363636</v>
      </c>
      <c r="AD1493" s="62" t="n">
        <f aca="false">AB1493/S1493-1</f>
        <v>0.573929606603021</v>
      </c>
      <c r="AE1493" s="60" t="str">
        <f aca="false">IF(AB1493&lt;S1493,"SIM","NÃO")</f>
        <v>NÃO</v>
      </c>
      <c r="AF1493" s="60" t="n">
        <v>13</v>
      </c>
      <c r="AG1493" s="60" t="n">
        <v>11</v>
      </c>
      <c r="AH1493" s="60" t="s">
        <v>382</v>
      </c>
      <c r="AI1493" s="61" t="n">
        <f aca="false">(T1493*(1-Painel!$C$40)+U1493+V1493+Painel!$C$41+Painel!$C$42*CEILING(G1493/100,1)+Painel!$C$43*CEILING(G1493,1)+Z1493)/(1-Resumo!$B$5)</f>
        <v>146.081556818182</v>
      </c>
      <c r="AJ1493" s="60" t="str">
        <f aca="false">IF(AI1493&lt;S1493,"SIM","NÃO")</f>
        <v>NÃO</v>
      </c>
    </row>
    <row r="1494" customFormat="false" ht="15" hidden="false" customHeight="false" outlineLevel="0" collapsed="false">
      <c r="A1494" s="59" t="n">
        <v>46266.3359259259</v>
      </c>
      <c r="B1494" s="60" t="s">
        <v>1744</v>
      </c>
      <c r="C1494" s="60" t="n">
        <v>22641514</v>
      </c>
      <c r="D1494" s="60" t="s">
        <v>46</v>
      </c>
      <c r="E1494" s="60" t="s">
        <v>22</v>
      </c>
      <c r="F1494" s="60" t="s">
        <v>233</v>
      </c>
      <c r="G1494" s="60" t="n">
        <v>27.6</v>
      </c>
      <c r="H1494" s="61" t="n">
        <v>649.99</v>
      </c>
      <c r="I1494" s="61" t="n">
        <v>42.11</v>
      </c>
      <c r="J1494" s="61" t="n">
        <f aca="false">H1494*Resumo!$C$6</f>
        <v>0</v>
      </c>
      <c r="K1494" s="61" t="n">
        <f aca="false">H1494*Resumo!$C$7</f>
        <v>1.364979</v>
      </c>
      <c r="L1494" s="61" t="n">
        <f aca="false">H1494*Resumo!$C$8</f>
        <v>1.364979</v>
      </c>
      <c r="M1494" s="61" t="n">
        <f aca="false">Resumo!$C$10*CEILING(G1494/100,1)</f>
        <v>1.05</v>
      </c>
      <c r="N1494" s="61" t="n">
        <f aca="false">Resumo!$C$9</f>
        <v>0</v>
      </c>
      <c r="O1494" s="61" t="n">
        <f aca="false">Resumo!$C$13</f>
        <v>13.55</v>
      </c>
      <c r="P1494" s="61" t="n">
        <f aca="false">Resumo!$C$14*CEILING(G1494,1)</f>
        <v>12.6</v>
      </c>
      <c r="Q1494" s="61" t="n">
        <f aca="false">SUM(I1494:P1494)*Resumo!$C$11</f>
        <v>0</v>
      </c>
      <c r="R1494" s="61" t="n">
        <f aca="false">SUM(I1494:Q1494)</f>
        <v>72.039958</v>
      </c>
      <c r="S1494" s="61" t="n">
        <f aca="false">R1494/(1-Resumo!$C$5)</f>
        <v>81.8635886363636</v>
      </c>
      <c r="T1494" s="61" t="n">
        <v>82.21</v>
      </c>
      <c r="U1494" s="61" t="n">
        <f aca="false">H1494*Resumo!$B$6</f>
        <v>0.64999</v>
      </c>
      <c r="V1494" s="61" t="n">
        <f aca="false">H1494*Resumo!$B$7</f>
        <v>1.29998</v>
      </c>
      <c r="W1494" s="61" t="n">
        <f aca="false">Resumo!$B$9</f>
        <v>1</v>
      </c>
      <c r="X1494" s="61" t="n">
        <f aca="false">Resumo!$B$10*CEILING(G1494/100,1)</f>
        <v>4.5</v>
      </c>
      <c r="Y1494" s="61" t="n">
        <f aca="false">Resumo!$B$12*CEILING(G1494,1)</f>
        <v>1.68</v>
      </c>
      <c r="Z1494" s="61" t="n">
        <f aca="false">Resumo!$B$14*CEILING(G1494,1)</f>
        <v>12.6</v>
      </c>
      <c r="AA1494" s="61" t="n">
        <f aca="false">SUM(T1494:Z1494)</f>
        <v>103.93997</v>
      </c>
      <c r="AB1494" s="61" t="n">
        <f aca="false">AA1494/(1-Resumo!$B$5)</f>
        <v>118.113602272727</v>
      </c>
      <c r="AC1494" s="61" t="n">
        <f aca="false">AB1494-S1494</f>
        <v>36.2500136363636</v>
      </c>
      <c r="AD1494" s="62" t="n">
        <f aca="false">AB1494/S1494-1</f>
        <v>0.442809974986382</v>
      </c>
      <c r="AE1494" s="60" t="str">
        <f aca="false">IF(AB1494&lt;S1494,"SIM","NÃO")</f>
        <v>NÃO</v>
      </c>
      <c r="AF1494" s="60" t="n">
        <v>2</v>
      </c>
      <c r="AG1494" s="60" t="n">
        <v>5</v>
      </c>
      <c r="AH1494" s="60" t="s">
        <v>382</v>
      </c>
      <c r="AI1494" s="61" t="n">
        <f aca="false">(T1494*(1-Painel!$C$40)+U1494+V1494+Painel!$C$41+Painel!$C$42*CEILING(G1494/100,1)+Painel!$C$43*CEILING(G1494,1)+Z1494)/(1-Resumo!$B$5)</f>
        <v>81.4553068181818</v>
      </c>
      <c r="AJ1494" s="60" t="str">
        <f aca="false">IF(AI1494&lt;S1494,"SIM","NÃO")</f>
        <v>SIM</v>
      </c>
    </row>
    <row r="1495" customFormat="false" ht="15" hidden="false" customHeight="false" outlineLevel="0" collapsed="false">
      <c r="A1495" s="59" t="n">
        <v>46266.3579976852</v>
      </c>
      <c r="B1495" s="60" t="s">
        <v>1269</v>
      </c>
      <c r="C1495" s="60" t="n">
        <v>22753155</v>
      </c>
      <c r="D1495" s="60" t="s">
        <v>46</v>
      </c>
      <c r="E1495" s="60" t="s">
        <v>22</v>
      </c>
      <c r="F1495" s="60" t="s">
        <v>234</v>
      </c>
      <c r="G1495" s="60" t="n">
        <v>37.2</v>
      </c>
      <c r="H1495" s="61" t="n">
        <v>433.49</v>
      </c>
      <c r="I1495" s="61" t="n">
        <v>48.35</v>
      </c>
      <c r="J1495" s="61" t="n">
        <f aca="false">H1495*Resumo!$C$6</f>
        <v>0</v>
      </c>
      <c r="K1495" s="61" t="n">
        <f aca="false">H1495*Resumo!$C$7</f>
        <v>0.910329</v>
      </c>
      <c r="L1495" s="61" t="n">
        <f aca="false">H1495*Resumo!$C$8</f>
        <v>0.910329</v>
      </c>
      <c r="M1495" s="61" t="n">
        <f aca="false">Resumo!$C$10*CEILING(G1495/100,1)</f>
        <v>1.05</v>
      </c>
      <c r="N1495" s="61" t="n">
        <f aca="false">Resumo!$C$9</f>
        <v>0</v>
      </c>
      <c r="O1495" s="61" t="n">
        <f aca="false">Resumo!$C$13</f>
        <v>13.55</v>
      </c>
      <c r="P1495" s="61" t="n">
        <f aca="false">Resumo!$C$14*CEILING(G1495,1)</f>
        <v>17.1</v>
      </c>
      <c r="Q1495" s="61" t="n">
        <f aca="false">SUM(I1495:P1495)*Resumo!$C$11</f>
        <v>0</v>
      </c>
      <c r="R1495" s="61" t="n">
        <f aca="false">SUM(I1495:Q1495)</f>
        <v>81.870658</v>
      </c>
      <c r="S1495" s="61" t="n">
        <f aca="false">R1495/(1-Resumo!$C$5)</f>
        <v>93.0348386363636</v>
      </c>
      <c r="T1495" s="61" t="n">
        <v>93.97</v>
      </c>
      <c r="U1495" s="61" t="n">
        <f aca="false">H1495*Resumo!$B$6</f>
        <v>0.43349</v>
      </c>
      <c r="V1495" s="61" t="n">
        <f aca="false">H1495*Resumo!$B$7</f>
        <v>0.86698</v>
      </c>
      <c r="W1495" s="61" t="n">
        <f aca="false">Resumo!$B$9</f>
        <v>1</v>
      </c>
      <c r="X1495" s="61" t="n">
        <f aca="false">Resumo!$B$10*CEILING(G1495/100,1)</f>
        <v>4.5</v>
      </c>
      <c r="Y1495" s="61" t="n">
        <f aca="false">Resumo!$B$12*CEILING(G1495,1)</f>
        <v>2.28</v>
      </c>
      <c r="Z1495" s="61" t="n">
        <f aca="false">Resumo!$B$14*CEILING(G1495,1)</f>
        <v>17.1</v>
      </c>
      <c r="AA1495" s="61" t="n">
        <f aca="false">SUM(T1495:Z1495)</f>
        <v>120.15047</v>
      </c>
      <c r="AB1495" s="61" t="n">
        <f aca="false">AA1495/(1-Resumo!$B$5)</f>
        <v>136.534625</v>
      </c>
      <c r="AC1495" s="61" t="n">
        <f aca="false">AB1495-S1495</f>
        <v>43.4997863636364</v>
      </c>
      <c r="AD1495" s="62" t="n">
        <f aca="false">AB1495/S1495-1</f>
        <v>0.467564484457912</v>
      </c>
      <c r="AE1495" s="60" t="str">
        <f aca="false">IF(AB1495&lt;S1495,"SIM","NÃO")</f>
        <v>NÃO</v>
      </c>
      <c r="AF1495" s="60" t="n">
        <v>2</v>
      </c>
      <c r="AG1495" s="60" t="n">
        <v>5</v>
      </c>
      <c r="AH1495" s="60" t="s">
        <v>382</v>
      </c>
      <c r="AI1495" s="61" t="n">
        <f aca="false">(T1495*(1-Painel!$C$40)+U1495+V1495+Painel!$C$41+Painel!$C$42*CEILING(G1495/100,1)+Painel!$C$43*CEILING(G1495,1)+Z1495)/(1-Resumo!$B$5)</f>
        <v>94.7845113636364</v>
      </c>
      <c r="AJ1495" s="60" t="str">
        <f aca="false">IF(AI1495&lt;S1495,"SIM","NÃO")</f>
        <v>NÃO</v>
      </c>
    </row>
    <row r="1496" customFormat="false" ht="15" hidden="false" customHeight="false" outlineLevel="0" collapsed="false">
      <c r="A1496" s="59" t="n">
        <v>46266.3756712963</v>
      </c>
      <c r="B1496" s="60" t="s">
        <v>1745</v>
      </c>
      <c r="C1496" s="60" t="n">
        <v>25810130</v>
      </c>
      <c r="D1496" s="60" t="s">
        <v>274</v>
      </c>
      <c r="E1496" s="60" t="s">
        <v>24</v>
      </c>
      <c r="F1496" s="60" t="s">
        <v>237</v>
      </c>
      <c r="G1496" s="60" t="n">
        <v>69.15</v>
      </c>
      <c r="H1496" s="61" t="n">
        <v>742.64</v>
      </c>
      <c r="I1496" s="61" t="n">
        <v>90.2</v>
      </c>
      <c r="J1496" s="61" t="n">
        <f aca="false">H1496*Resumo!$C$6</f>
        <v>0</v>
      </c>
      <c r="K1496" s="61" t="n">
        <f aca="false">H1496*Resumo!$C$7</f>
        <v>1.559544</v>
      </c>
      <c r="L1496" s="61" t="n">
        <f aca="false">H1496*Resumo!$C$8</f>
        <v>1.559544</v>
      </c>
      <c r="M1496" s="61" t="n">
        <f aca="false">Resumo!$C$10*CEILING(G1496/100,1)</f>
        <v>1.05</v>
      </c>
      <c r="N1496" s="61" t="n">
        <f aca="false">Resumo!$C$9</f>
        <v>0</v>
      </c>
      <c r="O1496" s="61" t="n">
        <f aca="false">Resumo!$C$13</f>
        <v>13.55</v>
      </c>
      <c r="P1496" s="61" t="n">
        <f aca="false">Resumo!$C$14*CEILING(G1496,1)</f>
        <v>31.5</v>
      </c>
      <c r="Q1496" s="61" t="n">
        <f aca="false">SUM(I1496:P1496)*Resumo!$C$11</f>
        <v>0</v>
      </c>
      <c r="R1496" s="61" t="n">
        <f aca="false">SUM(I1496:Q1496)</f>
        <v>139.419088</v>
      </c>
      <c r="S1496" s="61" t="n">
        <f aca="false">R1496/(1-Resumo!$C$5)</f>
        <v>158.430781818182</v>
      </c>
      <c r="T1496" s="61" t="n">
        <v>166.05</v>
      </c>
      <c r="U1496" s="61" t="n">
        <f aca="false">H1496*Resumo!$B$6</f>
        <v>0.74264</v>
      </c>
      <c r="V1496" s="61" t="n">
        <f aca="false">H1496*Resumo!$B$7</f>
        <v>1.48528</v>
      </c>
      <c r="W1496" s="61" t="n">
        <f aca="false">Resumo!$B$9</f>
        <v>1</v>
      </c>
      <c r="X1496" s="61" t="n">
        <f aca="false">Resumo!$B$10*CEILING(G1496/100,1)</f>
        <v>4.5</v>
      </c>
      <c r="Y1496" s="61" t="n">
        <f aca="false">Resumo!$B$12*CEILING(G1496,1)</f>
        <v>4.2</v>
      </c>
      <c r="Z1496" s="61" t="n">
        <f aca="false">Resumo!$B$14*CEILING(G1496,1)</f>
        <v>31.5</v>
      </c>
      <c r="AA1496" s="61" t="n">
        <f aca="false">SUM(T1496:Z1496)</f>
        <v>209.47792</v>
      </c>
      <c r="AB1496" s="61" t="n">
        <f aca="false">AA1496/(1-Resumo!$B$5)</f>
        <v>238.043090909091</v>
      </c>
      <c r="AC1496" s="61" t="n">
        <f aca="false">AB1496-S1496</f>
        <v>79.6123090909091</v>
      </c>
      <c r="AD1496" s="62" t="n">
        <f aca="false">AB1496/S1496-1</f>
        <v>0.502505309746396</v>
      </c>
      <c r="AE1496" s="60" t="str">
        <f aca="false">IF(AB1496&lt;S1496,"SIM","NÃO")</f>
        <v>NÃO</v>
      </c>
      <c r="AF1496" s="60" t="n">
        <v>13</v>
      </c>
      <c r="AG1496" s="60" t="n">
        <v>8</v>
      </c>
      <c r="AH1496" s="60" t="s">
        <v>385</v>
      </c>
      <c r="AI1496" s="61" t="n">
        <f aca="false">(T1496*(1-Painel!$C$40)+U1496+V1496+Painel!$C$41+Painel!$C$42*CEILING(G1496/100,1)+Painel!$C$43*CEILING(G1496,1)+Z1496)/(1-Resumo!$B$5)</f>
        <v>167.081159090909</v>
      </c>
      <c r="AJ1496" s="60" t="str">
        <f aca="false">IF(AI1496&lt;S1496,"SIM","NÃO")</f>
        <v>NÃO</v>
      </c>
    </row>
    <row r="1497" customFormat="false" ht="15" hidden="false" customHeight="false" outlineLevel="0" collapsed="false">
      <c r="A1497" s="59" t="n">
        <v>46266.3963773148</v>
      </c>
      <c r="B1497" s="60" t="s">
        <v>1746</v>
      </c>
      <c r="C1497" s="60" t="n">
        <v>23510535</v>
      </c>
      <c r="D1497" s="60" t="s">
        <v>46</v>
      </c>
      <c r="E1497" s="60" t="s">
        <v>22</v>
      </c>
      <c r="F1497" s="60" t="s">
        <v>237</v>
      </c>
      <c r="G1497" s="60" t="n">
        <v>66.8</v>
      </c>
      <c r="H1497" s="61" t="n">
        <v>690.99</v>
      </c>
      <c r="I1497" s="61" t="n">
        <v>63.21</v>
      </c>
      <c r="J1497" s="61" t="n">
        <f aca="false">H1497*Resumo!$C$6</f>
        <v>0</v>
      </c>
      <c r="K1497" s="61" t="n">
        <f aca="false">H1497*Resumo!$C$7</f>
        <v>1.451079</v>
      </c>
      <c r="L1497" s="61" t="n">
        <f aca="false">H1497*Resumo!$C$8</f>
        <v>1.451079</v>
      </c>
      <c r="M1497" s="61" t="n">
        <f aca="false">Resumo!$C$10*CEILING(G1497/100,1)</f>
        <v>1.05</v>
      </c>
      <c r="N1497" s="61" t="n">
        <f aca="false">Resumo!$C$9</f>
        <v>0</v>
      </c>
      <c r="O1497" s="61" t="n">
        <f aca="false">Resumo!$C$13</f>
        <v>13.55</v>
      </c>
      <c r="P1497" s="61" t="n">
        <f aca="false">Resumo!$C$14*CEILING(G1497,1)</f>
        <v>30.15</v>
      </c>
      <c r="Q1497" s="61" t="n">
        <f aca="false">SUM(I1497:P1497)*Resumo!$C$11</f>
        <v>0</v>
      </c>
      <c r="R1497" s="61" t="n">
        <f aca="false">SUM(I1497:Q1497)</f>
        <v>110.862158</v>
      </c>
      <c r="S1497" s="61" t="n">
        <f aca="false">R1497/(1-Resumo!$C$5)</f>
        <v>125.979725</v>
      </c>
      <c r="T1497" s="61" t="n">
        <v>131.02</v>
      </c>
      <c r="U1497" s="61" t="n">
        <f aca="false">H1497*Resumo!$B$6</f>
        <v>0.69099</v>
      </c>
      <c r="V1497" s="61" t="n">
        <f aca="false">H1497*Resumo!$B$7</f>
        <v>1.38198</v>
      </c>
      <c r="W1497" s="61" t="n">
        <f aca="false">Resumo!$B$9</f>
        <v>1</v>
      </c>
      <c r="X1497" s="61" t="n">
        <f aca="false">Resumo!$B$10*CEILING(G1497/100,1)</f>
        <v>4.5</v>
      </c>
      <c r="Y1497" s="61" t="n">
        <f aca="false">Resumo!$B$12*CEILING(G1497,1)</f>
        <v>4.02</v>
      </c>
      <c r="Z1497" s="61" t="n">
        <f aca="false">Resumo!$B$14*CEILING(G1497,1)</f>
        <v>30.15</v>
      </c>
      <c r="AA1497" s="61" t="n">
        <f aca="false">SUM(T1497:Z1497)</f>
        <v>172.76297</v>
      </c>
      <c r="AB1497" s="61" t="n">
        <f aca="false">AA1497/(1-Resumo!$B$5)</f>
        <v>196.321556818182</v>
      </c>
      <c r="AC1497" s="61" t="n">
        <f aca="false">AB1497-S1497</f>
        <v>70.3418318181818</v>
      </c>
      <c r="AD1497" s="62" t="n">
        <f aca="false">AB1497/S1497-1</f>
        <v>0.558358353442841</v>
      </c>
      <c r="AE1497" s="60" t="str">
        <f aca="false">IF(AB1497&lt;S1497,"SIM","NÃO")</f>
        <v>NÃO</v>
      </c>
      <c r="AF1497" s="60" t="n">
        <v>2</v>
      </c>
      <c r="AG1497" s="60" t="n">
        <v>5</v>
      </c>
      <c r="AH1497" s="60" t="s">
        <v>382</v>
      </c>
      <c r="AI1497" s="61" t="n">
        <f aca="false">(T1497*(1-Painel!$C$40)+U1497+V1497+Painel!$C$41+Painel!$C$42*CEILING(G1497/100,1)+Painel!$C$43*CEILING(G1497,1)+Z1497)/(1-Resumo!$B$5)</f>
        <v>138.700420454545</v>
      </c>
      <c r="AJ1497" s="60" t="str">
        <f aca="false">IF(AI1497&lt;S1497,"SIM","NÃO")</f>
        <v>NÃO</v>
      </c>
    </row>
    <row r="1498" customFormat="false" ht="15" hidden="false" customHeight="false" outlineLevel="0" collapsed="false">
      <c r="A1498" s="59" t="n">
        <v>46266.4017476852</v>
      </c>
      <c r="B1498" s="60" t="s">
        <v>795</v>
      </c>
      <c r="C1498" s="60" t="n">
        <v>24210470</v>
      </c>
      <c r="D1498" s="60" t="s">
        <v>50</v>
      </c>
      <c r="E1498" s="60" t="s">
        <v>23</v>
      </c>
      <c r="F1498" s="60" t="s">
        <v>236</v>
      </c>
      <c r="G1498" s="60" t="n">
        <v>52.3</v>
      </c>
      <c r="H1498" s="61" t="n">
        <v>629.99</v>
      </c>
      <c r="I1498" s="61" t="n">
        <v>70.98</v>
      </c>
      <c r="J1498" s="61" t="n">
        <f aca="false">H1498*Resumo!$C$6</f>
        <v>0</v>
      </c>
      <c r="K1498" s="61" t="n">
        <f aca="false">H1498*Resumo!$C$7</f>
        <v>1.322979</v>
      </c>
      <c r="L1498" s="61" t="n">
        <f aca="false">H1498*Resumo!$C$8</f>
        <v>1.322979</v>
      </c>
      <c r="M1498" s="61" t="n">
        <f aca="false">Resumo!$C$10*CEILING(G1498/100,1)</f>
        <v>1.05</v>
      </c>
      <c r="N1498" s="61" t="n">
        <f aca="false">Resumo!$C$9</f>
        <v>0</v>
      </c>
      <c r="O1498" s="61" t="n">
        <f aca="false">Resumo!$C$13</f>
        <v>13.55</v>
      </c>
      <c r="P1498" s="61" t="n">
        <f aca="false">Resumo!$C$14*CEILING(G1498,1)</f>
        <v>23.85</v>
      </c>
      <c r="Q1498" s="61" t="n">
        <f aca="false">SUM(I1498:P1498)*Resumo!$C$11</f>
        <v>0</v>
      </c>
      <c r="R1498" s="61" t="n">
        <f aca="false">SUM(I1498:Q1498)</f>
        <v>112.075958</v>
      </c>
      <c r="S1498" s="61" t="n">
        <f aca="false">R1498/(1-Resumo!$C$5)</f>
        <v>127.359043181818</v>
      </c>
      <c r="T1498" s="61" t="n">
        <v>128.14</v>
      </c>
      <c r="U1498" s="61" t="n">
        <f aca="false">H1498*Resumo!$B$6</f>
        <v>0.62999</v>
      </c>
      <c r="V1498" s="61" t="n">
        <f aca="false">H1498*Resumo!$B$7</f>
        <v>1.25998</v>
      </c>
      <c r="W1498" s="61" t="n">
        <f aca="false">Resumo!$B$9</f>
        <v>1</v>
      </c>
      <c r="X1498" s="61" t="n">
        <f aca="false">Resumo!$B$10*CEILING(G1498/100,1)</f>
        <v>4.5</v>
      </c>
      <c r="Y1498" s="61" t="n">
        <f aca="false">Resumo!$B$12*CEILING(G1498,1)</f>
        <v>3.18</v>
      </c>
      <c r="Z1498" s="61" t="n">
        <f aca="false">Resumo!$B$14*CEILING(G1498,1)</f>
        <v>23.85</v>
      </c>
      <c r="AA1498" s="61" t="n">
        <f aca="false">SUM(T1498:Z1498)</f>
        <v>162.55997</v>
      </c>
      <c r="AB1498" s="61" t="n">
        <f aca="false">AA1498/(1-Resumo!$B$5)</f>
        <v>184.727238636364</v>
      </c>
      <c r="AC1498" s="61" t="n">
        <f aca="false">AB1498-S1498</f>
        <v>57.3681954545454</v>
      </c>
      <c r="AD1498" s="62" t="n">
        <f aca="false">AB1498/S1498-1</f>
        <v>0.450444617212195</v>
      </c>
      <c r="AE1498" s="60" t="str">
        <f aca="false">IF(AB1498&lt;S1498,"SIM","NÃO")</f>
        <v>NÃO</v>
      </c>
      <c r="AF1498" s="60" t="n">
        <v>2</v>
      </c>
      <c r="AG1498" s="60" t="n">
        <v>7</v>
      </c>
      <c r="AH1498" s="60" t="s">
        <v>382</v>
      </c>
      <c r="AI1498" s="61" t="n">
        <f aca="false">(T1498*(1-Painel!$C$40)+U1498+V1498+Painel!$C$41+Painel!$C$42*CEILING(G1498/100,1)+Painel!$C$43*CEILING(G1498,1)+Z1498)/(1-Resumo!$B$5)</f>
        <v>129.140647727273</v>
      </c>
      <c r="AJ1498" s="60" t="str">
        <f aca="false">IF(AI1498&lt;S1498,"SIM","NÃO")</f>
        <v>NÃO</v>
      </c>
    </row>
    <row r="1499" customFormat="false" ht="15" hidden="false" customHeight="false" outlineLevel="0" collapsed="false">
      <c r="A1499" s="59" t="n">
        <v>46266.4128240741</v>
      </c>
      <c r="B1499" s="60" t="s">
        <v>1747</v>
      </c>
      <c r="C1499" s="60" t="n">
        <v>22795810</v>
      </c>
      <c r="D1499" s="60" t="s">
        <v>46</v>
      </c>
      <c r="E1499" s="60" t="s">
        <v>22</v>
      </c>
      <c r="F1499" s="60" t="s">
        <v>236</v>
      </c>
      <c r="G1499" s="60" t="n">
        <v>52.3</v>
      </c>
      <c r="H1499" s="61" t="n">
        <v>627.28</v>
      </c>
      <c r="I1499" s="61" t="n">
        <v>58.6</v>
      </c>
      <c r="J1499" s="61" t="n">
        <f aca="false">H1499*Resumo!$C$6</f>
        <v>0</v>
      </c>
      <c r="K1499" s="61" t="n">
        <f aca="false">H1499*Resumo!$C$7</f>
        <v>1.317288</v>
      </c>
      <c r="L1499" s="61" t="n">
        <f aca="false">H1499*Resumo!$C$8</f>
        <v>1.317288</v>
      </c>
      <c r="M1499" s="61" t="n">
        <f aca="false">Resumo!$C$10*CEILING(G1499/100,1)</f>
        <v>1.05</v>
      </c>
      <c r="N1499" s="61" t="n">
        <f aca="false">Resumo!$C$9</f>
        <v>0</v>
      </c>
      <c r="O1499" s="61" t="n">
        <f aca="false">Resumo!$C$13</f>
        <v>13.55</v>
      </c>
      <c r="P1499" s="61" t="n">
        <f aca="false">Resumo!$C$14*CEILING(G1499,1)</f>
        <v>23.85</v>
      </c>
      <c r="Q1499" s="61" t="n">
        <f aca="false">SUM(I1499:P1499)*Resumo!$C$11</f>
        <v>0</v>
      </c>
      <c r="R1499" s="61" t="n">
        <f aca="false">SUM(I1499:Q1499)</f>
        <v>99.684576</v>
      </c>
      <c r="S1499" s="61" t="n">
        <f aca="false">R1499/(1-Resumo!$C$5)</f>
        <v>113.277927272727</v>
      </c>
      <c r="T1499" s="61" t="n">
        <v>112.3</v>
      </c>
      <c r="U1499" s="61" t="n">
        <f aca="false">H1499*Resumo!$B$6</f>
        <v>0.62728</v>
      </c>
      <c r="V1499" s="61" t="n">
        <f aca="false">H1499*Resumo!$B$7</f>
        <v>1.25456</v>
      </c>
      <c r="W1499" s="61" t="n">
        <f aca="false">Resumo!$B$9</f>
        <v>1</v>
      </c>
      <c r="X1499" s="61" t="n">
        <f aca="false">Resumo!$B$10*CEILING(G1499/100,1)</f>
        <v>4.5</v>
      </c>
      <c r="Y1499" s="61" t="n">
        <f aca="false">Resumo!$B$12*CEILING(G1499,1)</f>
        <v>3.18</v>
      </c>
      <c r="Z1499" s="61" t="n">
        <f aca="false">Resumo!$B$14*CEILING(G1499,1)</f>
        <v>23.85</v>
      </c>
      <c r="AA1499" s="61" t="n">
        <f aca="false">SUM(T1499:Z1499)</f>
        <v>146.71184</v>
      </c>
      <c r="AB1499" s="61" t="n">
        <f aca="false">AA1499/(1-Resumo!$B$5)</f>
        <v>166.718</v>
      </c>
      <c r="AC1499" s="61" t="n">
        <f aca="false">AB1499-S1499</f>
        <v>53.4400727272727</v>
      </c>
      <c r="AD1499" s="62" t="n">
        <f aca="false">AB1499/S1499-1</f>
        <v>0.471760686427557</v>
      </c>
      <c r="AE1499" s="60" t="str">
        <f aca="false">IF(AB1499&lt;S1499,"SIM","NÃO")</f>
        <v>NÃO</v>
      </c>
      <c r="AF1499" s="60" t="n">
        <v>2</v>
      </c>
      <c r="AG1499" s="60" t="n">
        <v>5</v>
      </c>
      <c r="AH1499" s="60" t="s">
        <v>382</v>
      </c>
      <c r="AI1499" s="61" t="n">
        <f aca="false">(T1499*(1-Painel!$C$40)+U1499+V1499+Painel!$C$41+Painel!$C$42*CEILING(G1499/100,1)+Painel!$C$43*CEILING(G1499,1)+Z1499)/(1-Resumo!$B$5)</f>
        <v>117.071409090909</v>
      </c>
      <c r="AJ1499" s="60" t="str">
        <f aca="false">IF(AI1499&lt;S1499,"SIM","NÃO")</f>
        <v>NÃO</v>
      </c>
    </row>
    <row r="1500" customFormat="false" ht="15" hidden="false" customHeight="false" outlineLevel="0" collapsed="false">
      <c r="A1500" s="59" t="n">
        <v>46266.4561226852</v>
      </c>
      <c r="B1500" s="60" t="s">
        <v>1748</v>
      </c>
      <c r="C1500" s="60" t="n">
        <v>24802660</v>
      </c>
      <c r="D1500" s="60" t="s">
        <v>223</v>
      </c>
      <c r="E1500" s="60" t="s">
        <v>24</v>
      </c>
      <c r="F1500" s="60" t="s">
        <v>235</v>
      </c>
      <c r="G1500" s="60" t="n">
        <v>48.3</v>
      </c>
      <c r="H1500" s="61" t="n">
        <v>559.99</v>
      </c>
      <c r="I1500" s="61" t="n">
        <v>77.7</v>
      </c>
      <c r="J1500" s="61" t="n">
        <f aca="false">H1500*Resumo!$C$6</f>
        <v>0</v>
      </c>
      <c r="K1500" s="61" t="n">
        <f aca="false">H1500*Resumo!$C$7</f>
        <v>1.175979</v>
      </c>
      <c r="L1500" s="61" t="n">
        <f aca="false">H1500*Resumo!$C$8</f>
        <v>1.175979</v>
      </c>
      <c r="M1500" s="61" t="n">
        <f aca="false">Resumo!$C$10*CEILING(G1500/100,1)</f>
        <v>1.05</v>
      </c>
      <c r="N1500" s="61" t="n">
        <f aca="false">Resumo!$C$9</f>
        <v>0</v>
      </c>
      <c r="O1500" s="61" t="n">
        <f aca="false">Resumo!$C$13</f>
        <v>13.55</v>
      </c>
      <c r="P1500" s="61" t="n">
        <f aca="false">Resumo!$C$14*CEILING(G1500,1)</f>
        <v>22.05</v>
      </c>
      <c r="Q1500" s="61" t="n">
        <f aca="false">SUM(I1500:P1500)*Resumo!$C$11</f>
        <v>0</v>
      </c>
      <c r="R1500" s="61" t="n">
        <f aca="false">SUM(I1500:Q1500)</f>
        <v>116.701958</v>
      </c>
      <c r="S1500" s="61" t="n">
        <f aca="false">R1500/(1-Resumo!$C$5)</f>
        <v>132.615861363636</v>
      </c>
      <c r="T1500" s="61" t="n">
        <v>114.95</v>
      </c>
      <c r="U1500" s="61" t="n">
        <f aca="false">H1500*Resumo!$B$6</f>
        <v>0.55999</v>
      </c>
      <c r="V1500" s="61" t="n">
        <f aca="false">H1500*Resumo!$B$7</f>
        <v>1.11998</v>
      </c>
      <c r="W1500" s="61" t="n">
        <f aca="false">Resumo!$B$9</f>
        <v>1</v>
      </c>
      <c r="X1500" s="61" t="n">
        <f aca="false">Resumo!$B$10*CEILING(G1500/100,1)</f>
        <v>4.5</v>
      </c>
      <c r="Y1500" s="61" t="n">
        <f aca="false">Resumo!$B$12*CEILING(G1500,1)</f>
        <v>2.94</v>
      </c>
      <c r="Z1500" s="61" t="n">
        <f aca="false">Resumo!$B$14*CEILING(G1500,1)</f>
        <v>22.05</v>
      </c>
      <c r="AA1500" s="61" t="n">
        <f aca="false">SUM(T1500:Z1500)</f>
        <v>147.11997</v>
      </c>
      <c r="AB1500" s="61" t="n">
        <f aca="false">AA1500/(1-Resumo!$B$5)</f>
        <v>167.181784090909</v>
      </c>
      <c r="AC1500" s="61" t="n">
        <f aca="false">AB1500-S1500</f>
        <v>34.5659227272727</v>
      </c>
      <c r="AD1500" s="62" t="n">
        <f aca="false">AB1500/S1500-1</f>
        <v>0.260646972178479</v>
      </c>
      <c r="AE1500" s="60" t="str">
        <f aca="false">IF(AB1500&lt;S1500,"SIM","NÃO")</f>
        <v>NÃO</v>
      </c>
      <c r="AF1500" s="60" t="n">
        <v>13</v>
      </c>
      <c r="AG1500" s="60" t="n">
        <v>7</v>
      </c>
      <c r="AH1500" s="60" t="s">
        <v>382</v>
      </c>
      <c r="AI1500" s="61" t="n">
        <f aca="false">(T1500*(1-Painel!$C$40)+U1500+V1500+Painel!$C$41+Painel!$C$42*CEILING(G1500/100,1)+Painel!$C$43*CEILING(G1500,1)+Z1500)/(1-Resumo!$B$5)</f>
        <v>116.814170454545</v>
      </c>
      <c r="AJ1500" s="60" t="str">
        <f aca="false">IF(AI1500&lt;S1500,"SIM","NÃO")</f>
        <v>SIM</v>
      </c>
    </row>
    <row r="1501" customFormat="false" ht="15" hidden="false" customHeight="false" outlineLevel="0" collapsed="false">
      <c r="A1501" s="59" t="n">
        <v>46266.4790856482</v>
      </c>
      <c r="B1501" s="60" t="s">
        <v>1749</v>
      </c>
      <c r="C1501" s="60" t="n">
        <v>23058002</v>
      </c>
      <c r="D1501" s="60" t="s">
        <v>46</v>
      </c>
      <c r="E1501" s="60" t="s">
        <v>22</v>
      </c>
      <c r="F1501" s="60" t="s">
        <v>237</v>
      </c>
      <c r="G1501" s="60" t="n">
        <v>66.8</v>
      </c>
      <c r="H1501" s="61" t="n">
        <v>699.99</v>
      </c>
      <c r="I1501" s="61" t="n">
        <v>63.21</v>
      </c>
      <c r="J1501" s="61" t="n">
        <f aca="false">H1501*Resumo!$C$6</f>
        <v>0</v>
      </c>
      <c r="K1501" s="61" t="n">
        <f aca="false">H1501*Resumo!$C$7</f>
        <v>1.469979</v>
      </c>
      <c r="L1501" s="61" t="n">
        <f aca="false">H1501*Resumo!$C$8</f>
        <v>1.469979</v>
      </c>
      <c r="M1501" s="61" t="n">
        <f aca="false">Resumo!$C$10*CEILING(G1501/100,1)</f>
        <v>1.05</v>
      </c>
      <c r="N1501" s="61" t="n">
        <f aca="false">Resumo!$C$9</f>
        <v>0</v>
      </c>
      <c r="O1501" s="61" t="n">
        <f aca="false">Resumo!$C$13</f>
        <v>13.55</v>
      </c>
      <c r="P1501" s="61" t="n">
        <f aca="false">Resumo!$C$14*CEILING(G1501,1)</f>
        <v>30.15</v>
      </c>
      <c r="Q1501" s="61" t="n">
        <f aca="false">SUM(I1501:P1501)*Resumo!$C$11</f>
        <v>0</v>
      </c>
      <c r="R1501" s="61" t="n">
        <f aca="false">SUM(I1501:Q1501)</f>
        <v>110.899958</v>
      </c>
      <c r="S1501" s="61" t="n">
        <f aca="false">R1501/(1-Resumo!$C$5)</f>
        <v>126.022679545455</v>
      </c>
      <c r="T1501" s="61" t="n">
        <v>131.02</v>
      </c>
      <c r="U1501" s="61" t="n">
        <f aca="false">H1501*Resumo!$B$6</f>
        <v>0.69999</v>
      </c>
      <c r="V1501" s="61" t="n">
        <f aca="false">H1501*Resumo!$B$7</f>
        <v>1.39998</v>
      </c>
      <c r="W1501" s="61" t="n">
        <f aca="false">Resumo!$B$9</f>
        <v>1</v>
      </c>
      <c r="X1501" s="61" t="n">
        <f aca="false">Resumo!$B$10*CEILING(G1501/100,1)</f>
        <v>4.5</v>
      </c>
      <c r="Y1501" s="61" t="n">
        <f aca="false">Resumo!$B$12*CEILING(G1501,1)</f>
        <v>4.02</v>
      </c>
      <c r="Z1501" s="61" t="n">
        <f aca="false">Resumo!$B$14*CEILING(G1501,1)</f>
        <v>30.15</v>
      </c>
      <c r="AA1501" s="61" t="n">
        <f aca="false">SUM(T1501:Z1501)</f>
        <v>172.78997</v>
      </c>
      <c r="AB1501" s="61" t="n">
        <f aca="false">AA1501/(1-Resumo!$B$5)</f>
        <v>196.352238636364</v>
      </c>
      <c r="AC1501" s="61" t="n">
        <f aca="false">AB1501-S1501</f>
        <v>70.3295590909091</v>
      </c>
      <c r="AD1501" s="62" t="n">
        <f aca="false">AB1501/S1501-1</f>
        <v>0.558070653191771</v>
      </c>
      <c r="AE1501" s="60" t="str">
        <f aca="false">IF(AB1501&lt;S1501,"SIM","NÃO")</f>
        <v>NÃO</v>
      </c>
      <c r="AF1501" s="60" t="n">
        <v>2</v>
      </c>
      <c r="AG1501" s="60" t="n">
        <v>5</v>
      </c>
      <c r="AH1501" s="60" t="s">
        <v>382</v>
      </c>
      <c r="AI1501" s="61" t="n">
        <f aca="false">(T1501*(1-Painel!$C$40)+U1501+V1501+Painel!$C$41+Painel!$C$42*CEILING(G1501/100,1)+Painel!$C$43*CEILING(G1501,1)+Z1501)/(1-Resumo!$B$5)</f>
        <v>138.731102272727</v>
      </c>
      <c r="AJ1501" s="60" t="str">
        <f aca="false">IF(AI1501&lt;S1501,"SIM","NÃO")</f>
        <v>NÃO</v>
      </c>
    </row>
    <row r="1502" customFormat="false" ht="15" hidden="false" customHeight="false" outlineLevel="0" collapsed="false">
      <c r="A1502" s="59" t="n">
        <v>46266.5252546296</v>
      </c>
      <c r="B1502" s="60" t="s">
        <v>1522</v>
      </c>
      <c r="C1502" s="60" t="n">
        <v>21061500</v>
      </c>
      <c r="D1502" s="60" t="s">
        <v>46</v>
      </c>
      <c r="E1502" s="60" t="s">
        <v>22</v>
      </c>
      <c r="F1502" s="60" t="s">
        <v>233</v>
      </c>
      <c r="G1502" s="60" t="n">
        <v>33.3</v>
      </c>
      <c r="H1502" s="61" t="n">
        <v>429.99</v>
      </c>
      <c r="I1502" s="61" t="n">
        <v>42.11</v>
      </c>
      <c r="J1502" s="61" t="n">
        <f aca="false">H1502*Resumo!$C$6</f>
        <v>0</v>
      </c>
      <c r="K1502" s="61" t="n">
        <f aca="false">H1502*Resumo!$C$7</f>
        <v>0.902979</v>
      </c>
      <c r="L1502" s="61" t="n">
        <f aca="false">H1502*Resumo!$C$8</f>
        <v>0.902979</v>
      </c>
      <c r="M1502" s="61" t="n">
        <f aca="false">Resumo!$C$10*CEILING(G1502/100,1)</f>
        <v>1.05</v>
      </c>
      <c r="N1502" s="61" t="n">
        <f aca="false">Resumo!$C$9</f>
        <v>0</v>
      </c>
      <c r="O1502" s="61" t="n">
        <f aca="false">Resumo!$C$13</f>
        <v>13.55</v>
      </c>
      <c r="P1502" s="61" t="n">
        <f aca="false">Resumo!$C$14*CEILING(G1502,1)</f>
        <v>15.3</v>
      </c>
      <c r="Q1502" s="61" t="n">
        <f aca="false">SUM(I1502:P1502)*Resumo!$C$11</f>
        <v>0</v>
      </c>
      <c r="R1502" s="61" t="n">
        <f aca="false">SUM(I1502:Q1502)</f>
        <v>73.815958</v>
      </c>
      <c r="S1502" s="61" t="n">
        <f aca="false">R1502/(1-Resumo!$C$5)</f>
        <v>83.8817704545455</v>
      </c>
      <c r="T1502" s="61" t="n">
        <v>82.21</v>
      </c>
      <c r="U1502" s="61" t="n">
        <f aca="false">H1502*Resumo!$B$6</f>
        <v>0.42999</v>
      </c>
      <c r="V1502" s="61" t="n">
        <f aca="false">H1502*Resumo!$B$7</f>
        <v>0.85998</v>
      </c>
      <c r="W1502" s="61" t="n">
        <f aca="false">Resumo!$B$9</f>
        <v>1</v>
      </c>
      <c r="X1502" s="61" t="n">
        <f aca="false">Resumo!$B$10*CEILING(G1502/100,1)</f>
        <v>4.5</v>
      </c>
      <c r="Y1502" s="61" t="n">
        <f aca="false">Resumo!$B$12*CEILING(G1502,1)</f>
        <v>2.04</v>
      </c>
      <c r="Z1502" s="61" t="n">
        <f aca="false">Resumo!$B$14*CEILING(G1502,1)</f>
        <v>15.3</v>
      </c>
      <c r="AA1502" s="61" t="n">
        <f aca="false">SUM(T1502:Z1502)</f>
        <v>106.33997</v>
      </c>
      <c r="AB1502" s="61" t="n">
        <f aca="false">AA1502/(1-Resumo!$B$5)</f>
        <v>120.840875</v>
      </c>
      <c r="AC1502" s="61" t="n">
        <f aca="false">AB1502-S1502</f>
        <v>36.9591045454546</v>
      </c>
      <c r="AD1502" s="62" t="n">
        <f aca="false">AB1502/S1502-1</f>
        <v>0.440609495307234</v>
      </c>
      <c r="AE1502" s="60" t="str">
        <f aca="false">IF(AB1502&lt;S1502,"SIM","NÃO")</f>
        <v>NÃO</v>
      </c>
      <c r="AF1502" s="60" t="n">
        <v>2</v>
      </c>
      <c r="AG1502" s="60" t="n">
        <v>5</v>
      </c>
      <c r="AH1502" s="60" t="s">
        <v>382</v>
      </c>
      <c r="AI1502" s="61" t="n">
        <f aca="false">(T1502*(1-Painel!$C$40)+U1502+V1502+Painel!$C$41+Painel!$C$42*CEILING(G1502/100,1)+Painel!$C$43*CEILING(G1502,1)+Z1502)/(1-Resumo!$B$5)</f>
        <v>83.7734886363636</v>
      </c>
      <c r="AJ1502" s="60" t="str">
        <f aca="false">IF(AI1502&lt;S1502,"SIM","NÃO")</f>
        <v>SIM</v>
      </c>
    </row>
    <row r="1503" customFormat="false" ht="15" hidden="false" customHeight="false" outlineLevel="0" collapsed="false">
      <c r="A1503" s="59" t="n">
        <v>46266.5491087963</v>
      </c>
      <c r="B1503" s="60" t="s">
        <v>1750</v>
      </c>
      <c r="C1503" s="60" t="n">
        <v>28085140</v>
      </c>
      <c r="D1503" s="60" t="s">
        <v>51</v>
      </c>
      <c r="E1503" s="60" t="s">
        <v>24</v>
      </c>
      <c r="F1503" s="60" t="s">
        <v>237</v>
      </c>
      <c r="G1503" s="60" t="n">
        <v>67.3</v>
      </c>
      <c r="H1503" s="61" t="n">
        <v>694.72</v>
      </c>
      <c r="I1503" s="61" t="n">
        <v>90.2</v>
      </c>
      <c r="J1503" s="61" t="n">
        <f aca="false">H1503*Resumo!$C$6</f>
        <v>0</v>
      </c>
      <c r="K1503" s="61" t="n">
        <f aca="false">H1503*Resumo!$C$7</f>
        <v>1.458912</v>
      </c>
      <c r="L1503" s="61" t="n">
        <f aca="false">H1503*Resumo!$C$8</f>
        <v>1.458912</v>
      </c>
      <c r="M1503" s="61" t="n">
        <f aca="false">Resumo!$C$10*CEILING(G1503/100,1)</f>
        <v>1.05</v>
      </c>
      <c r="N1503" s="61" t="n">
        <f aca="false">Resumo!$C$9</f>
        <v>0</v>
      </c>
      <c r="O1503" s="61" t="n">
        <f aca="false">Resumo!$C$13</f>
        <v>13.55</v>
      </c>
      <c r="P1503" s="61" t="n">
        <f aca="false">Resumo!$C$14*CEILING(G1503,1)</f>
        <v>30.6</v>
      </c>
      <c r="Q1503" s="61" t="n">
        <f aca="false">SUM(I1503:P1503)*Resumo!$C$11</f>
        <v>0</v>
      </c>
      <c r="R1503" s="61" t="n">
        <f aca="false">SUM(I1503:Q1503)</f>
        <v>138.317824</v>
      </c>
      <c r="S1503" s="61" t="n">
        <f aca="false">R1503/(1-Resumo!$C$5)</f>
        <v>157.179345454545</v>
      </c>
      <c r="T1503" s="61" t="n">
        <v>171.54</v>
      </c>
      <c r="U1503" s="61" t="n">
        <f aca="false">H1503*Resumo!$B$6</f>
        <v>0.69472</v>
      </c>
      <c r="V1503" s="61" t="n">
        <f aca="false">H1503*Resumo!$B$7</f>
        <v>1.38944</v>
      </c>
      <c r="W1503" s="61" t="n">
        <f aca="false">Resumo!$B$9</f>
        <v>1</v>
      </c>
      <c r="X1503" s="61" t="n">
        <f aca="false">Resumo!$B$10*CEILING(G1503/100,1)</f>
        <v>4.5</v>
      </c>
      <c r="Y1503" s="61" t="n">
        <f aca="false">Resumo!$B$12*CEILING(G1503,1)</f>
        <v>4.08</v>
      </c>
      <c r="Z1503" s="61" t="n">
        <f aca="false">Resumo!$B$14*CEILING(G1503,1)</f>
        <v>30.6</v>
      </c>
      <c r="AA1503" s="61" t="n">
        <f aca="false">SUM(T1503:Z1503)</f>
        <v>213.80416</v>
      </c>
      <c r="AB1503" s="61" t="n">
        <f aca="false">AA1503/(1-Resumo!$B$5)</f>
        <v>242.959272727273</v>
      </c>
      <c r="AC1503" s="61" t="n">
        <f aca="false">AB1503-S1503</f>
        <v>85.7799272727273</v>
      </c>
      <c r="AD1503" s="62" t="n">
        <f aca="false">AB1503/S1503-1</f>
        <v>0.545745543249726</v>
      </c>
      <c r="AE1503" s="60" t="str">
        <f aca="false">IF(AB1503&lt;S1503,"SIM","NÃO")</f>
        <v>NÃO</v>
      </c>
      <c r="AF1503" s="60" t="n">
        <v>13</v>
      </c>
      <c r="AG1503" s="60" t="n">
        <v>11</v>
      </c>
      <c r="AH1503" s="60" t="s">
        <v>382</v>
      </c>
      <c r="AI1503" s="61" t="n">
        <f aca="false">(T1503*(1-Painel!$C$40)+U1503+V1503+Painel!$C$41+Painel!$C$42*CEILING(G1503/100,1)+Painel!$C$43*CEILING(G1503,1)+Z1503)/(1-Resumo!$B$5)</f>
        <v>170.074954545455</v>
      </c>
      <c r="AJ1503" s="60" t="str">
        <f aca="false">IF(AI1503&lt;S1503,"SIM","NÃO")</f>
        <v>NÃO</v>
      </c>
    </row>
    <row r="1504" customFormat="false" ht="15" hidden="false" customHeight="false" outlineLevel="0" collapsed="false">
      <c r="A1504" s="59" t="n">
        <v>46266.594375</v>
      </c>
      <c r="B1504" s="60" t="s">
        <v>1751</v>
      </c>
      <c r="C1504" s="60" t="n">
        <v>21250570</v>
      </c>
      <c r="D1504" s="60" t="s">
        <v>46</v>
      </c>
      <c r="E1504" s="60" t="s">
        <v>22</v>
      </c>
      <c r="F1504" s="60" t="s">
        <v>233</v>
      </c>
      <c r="G1504" s="60" t="n">
        <v>21.75</v>
      </c>
      <c r="H1504" s="61" t="n">
        <v>249</v>
      </c>
      <c r="I1504" s="61" t="n">
        <v>42.11</v>
      </c>
      <c r="J1504" s="61" t="n">
        <f aca="false">H1504*Resumo!$C$6</f>
        <v>0</v>
      </c>
      <c r="K1504" s="61" t="n">
        <f aca="false">H1504*Resumo!$C$7</f>
        <v>0.5229</v>
      </c>
      <c r="L1504" s="61" t="n">
        <f aca="false">H1504*Resumo!$C$8</f>
        <v>0.5229</v>
      </c>
      <c r="M1504" s="61" t="n">
        <f aca="false">Resumo!$C$10*CEILING(G1504/100,1)</f>
        <v>1.05</v>
      </c>
      <c r="N1504" s="61" t="n">
        <f aca="false">Resumo!$C$9</f>
        <v>0</v>
      </c>
      <c r="O1504" s="61" t="n">
        <f aca="false">Resumo!$C$13</f>
        <v>13.55</v>
      </c>
      <c r="P1504" s="61" t="n">
        <f aca="false">Resumo!$C$14*CEILING(G1504,1)</f>
        <v>9.9</v>
      </c>
      <c r="Q1504" s="61" t="n">
        <f aca="false">SUM(I1504:P1504)*Resumo!$C$11</f>
        <v>0</v>
      </c>
      <c r="R1504" s="61" t="n">
        <f aca="false">SUM(I1504:Q1504)</f>
        <v>67.6558</v>
      </c>
      <c r="S1504" s="61" t="n">
        <f aca="false">R1504/(1-Resumo!$C$5)</f>
        <v>76.8815909090909</v>
      </c>
      <c r="T1504" s="61" t="n">
        <v>82.21</v>
      </c>
      <c r="U1504" s="61" t="n">
        <f aca="false">H1504*Resumo!$B$6</f>
        <v>0.249</v>
      </c>
      <c r="V1504" s="61" t="n">
        <f aca="false">H1504*Resumo!$B$7</f>
        <v>0.498</v>
      </c>
      <c r="W1504" s="61" t="n">
        <f aca="false">Resumo!$B$9</f>
        <v>1</v>
      </c>
      <c r="X1504" s="61" t="n">
        <f aca="false">Resumo!$B$10*CEILING(G1504/100,1)</f>
        <v>4.5</v>
      </c>
      <c r="Y1504" s="61" t="n">
        <f aca="false">Resumo!$B$12*CEILING(G1504,1)</f>
        <v>1.32</v>
      </c>
      <c r="Z1504" s="61" t="n">
        <f aca="false">Resumo!$B$14*CEILING(G1504,1)</f>
        <v>9.9</v>
      </c>
      <c r="AA1504" s="61" t="n">
        <f aca="false">SUM(T1504:Z1504)</f>
        <v>99.677</v>
      </c>
      <c r="AB1504" s="61" t="n">
        <f aca="false">AA1504/(1-Resumo!$B$5)</f>
        <v>113.269318181818</v>
      </c>
      <c r="AC1504" s="61" t="n">
        <f aca="false">AB1504-S1504</f>
        <v>36.3877272727273</v>
      </c>
      <c r="AD1504" s="62" t="n">
        <f aca="false">AB1504/S1504-1</f>
        <v>0.473295711528058</v>
      </c>
      <c r="AE1504" s="60" t="str">
        <f aca="false">IF(AB1504&lt;S1504,"SIM","NÃO")</f>
        <v>NÃO</v>
      </c>
      <c r="AF1504" s="60" t="n">
        <v>2</v>
      </c>
      <c r="AG1504" s="60" t="n">
        <v>5</v>
      </c>
      <c r="AH1504" s="60" t="s">
        <v>382</v>
      </c>
      <c r="AI1504" s="61" t="n">
        <f aca="false">(T1504*(1-Painel!$C$40)+U1504+V1504+Painel!$C$41+Painel!$C$42*CEILING(G1504/100,1)+Painel!$C$43*CEILING(G1504,1)+Z1504)/(1-Resumo!$B$5)</f>
        <v>77.0201136363636</v>
      </c>
      <c r="AJ1504" s="60" t="str">
        <f aca="false">IF(AI1504&lt;S1504,"SIM","NÃO")</f>
        <v>NÃO</v>
      </c>
    </row>
    <row r="1505" customFormat="false" ht="15" hidden="false" customHeight="false" outlineLevel="0" collapsed="false">
      <c r="A1505" s="59" t="n">
        <v>46266.6271759259</v>
      </c>
      <c r="B1505" s="60" t="s">
        <v>1219</v>
      </c>
      <c r="C1505" s="60" t="n">
        <v>23040550</v>
      </c>
      <c r="D1505" s="60" t="s">
        <v>46</v>
      </c>
      <c r="E1505" s="60" t="s">
        <v>22</v>
      </c>
      <c r="F1505" s="60" t="s">
        <v>237</v>
      </c>
      <c r="G1505" s="60" t="n">
        <v>68.7</v>
      </c>
      <c r="H1505" s="61" t="n">
        <v>757.86</v>
      </c>
      <c r="I1505" s="61" t="n">
        <v>63.21</v>
      </c>
      <c r="J1505" s="61" t="n">
        <f aca="false">H1505*Resumo!$C$6</f>
        <v>0</v>
      </c>
      <c r="K1505" s="61" t="n">
        <f aca="false">H1505*Resumo!$C$7</f>
        <v>1.591506</v>
      </c>
      <c r="L1505" s="61" t="n">
        <f aca="false">H1505*Resumo!$C$8</f>
        <v>1.591506</v>
      </c>
      <c r="M1505" s="61" t="n">
        <f aca="false">Resumo!$C$10*CEILING(G1505/100,1)</f>
        <v>1.05</v>
      </c>
      <c r="N1505" s="61" t="n">
        <f aca="false">Resumo!$C$9</f>
        <v>0</v>
      </c>
      <c r="O1505" s="61" t="n">
        <f aca="false">Resumo!$C$13</f>
        <v>13.55</v>
      </c>
      <c r="P1505" s="61" t="n">
        <f aca="false">Resumo!$C$14*CEILING(G1505,1)</f>
        <v>31.05</v>
      </c>
      <c r="Q1505" s="61" t="n">
        <f aca="false">SUM(I1505:P1505)*Resumo!$C$11</f>
        <v>0</v>
      </c>
      <c r="R1505" s="61" t="n">
        <f aca="false">SUM(I1505:Q1505)</f>
        <v>112.043012</v>
      </c>
      <c r="S1505" s="61" t="n">
        <f aca="false">R1505/(1-Resumo!$C$5)</f>
        <v>127.321604545455</v>
      </c>
      <c r="T1505" s="61" t="n">
        <v>131.02</v>
      </c>
      <c r="U1505" s="61" t="n">
        <f aca="false">H1505*Resumo!$B$6</f>
        <v>0.75786</v>
      </c>
      <c r="V1505" s="61" t="n">
        <f aca="false">H1505*Resumo!$B$7</f>
        <v>1.51572</v>
      </c>
      <c r="W1505" s="61" t="n">
        <f aca="false">Resumo!$B$9</f>
        <v>1</v>
      </c>
      <c r="X1505" s="61" t="n">
        <f aca="false">Resumo!$B$10*CEILING(G1505/100,1)</f>
        <v>4.5</v>
      </c>
      <c r="Y1505" s="61" t="n">
        <f aca="false">Resumo!$B$12*CEILING(G1505,1)</f>
        <v>4.14</v>
      </c>
      <c r="Z1505" s="61" t="n">
        <f aca="false">Resumo!$B$14*CEILING(G1505,1)</f>
        <v>31.05</v>
      </c>
      <c r="AA1505" s="61" t="n">
        <f aca="false">SUM(T1505:Z1505)</f>
        <v>173.98358</v>
      </c>
      <c r="AB1505" s="61" t="n">
        <f aca="false">AA1505/(1-Resumo!$B$5)</f>
        <v>197.708613636364</v>
      </c>
      <c r="AC1505" s="61" t="n">
        <f aca="false">AB1505-S1505</f>
        <v>70.3870090909091</v>
      </c>
      <c r="AD1505" s="62" t="n">
        <f aca="false">AB1505/S1505-1</f>
        <v>0.552828479834155</v>
      </c>
      <c r="AE1505" s="60" t="str">
        <f aca="false">IF(AB1505&lt;S1505,"SIM","NÃO")</f>
        <v>NÃO</v>
      </c>
      <c r="AF1505" s="60" t="n">
        <v>2</v>
      </c>
      <c r="AG1505" s="60" t="n">
        <v>5</v>
      </c>
      <c r="AH1505" s="60" t="s">
        <v>382</v>
      </c>
      <c r="AI1505" s="61" t="n">
        <f aca="false">(T1505*(1-Painel!$C$40)+U1505+V1505+Painel!$C$41+Painel!$C$42*CEILING(G1505/100,1)+Painel!$C$43*CEILING(G1505,1)+Z1505)/(1-Resumo!$B$5)</f>
        <v>139.951113636364</v>
      </c>
      <c r="AJ1505" s="60" t="str">
        <f aca="false">IF(AI1505&lt;S1505,"SIM","NÃO")</f>
        <v>NÃO</v>
      </c>
    </row>
    <row r="1506" customFormat="false" ht="15" hidden="false" customHeight="false" outlineLevel="0" collapsed="false">
      <c r="A1506" s="59" t="n">
        <v>46266.6299074074</v>
      </c>
      <c r="B1506" s="60" t="s">
        <v>1752</v>
      </c>
      <c r="C1506" s="60" t="n">
        <v>26480350</v>
      </c>
      <c r="D1506" s="60" t="s">
        <v>283</v>
      </c>
      <c r="E1506" s="60" t="s">
        <v>24</v>
      </c>
      <c r="F1506" s="60" t="s">
        <v>234</v>
      </c>
      <c r="G1506" s="60" t="n">
        <v>37.5</v>
      </c>
      <c r="H1506" s="61" t="n">
        <v>379.99</v>
      </c>
      <c r="I1506" s="61" t="n">
        <v>74.97</v>
      </c>
      <c r="J1506" s="61" t="n">
        <f aca="false">H1506*Resumo!$C$6</f>
        <v>0</v>
      </c>
      <c r="K1506" s="61" t="n">
        <f aca="false">H1506*Resumo!$C$7</f>
        <v>0.797979</v>
      </c>
      <c r="L1506" s="61" t="n">
        <f aca="false">H1506*Resumo!$C$8</f>
        <v>0.797979</v>
      </c>
      <c r="M1506" s="61" t="n">
        <f aca="false">Resumo!$C$10*CEILING(G1506/100,1)</f>
        <v>1.05</v>
      </c>
      <c r="N1506" s="61" t="n">
        <f aca="false">Resumo!$C$9</f>
        <v>0</v>
      </c>
      <c r="O1506" s="61" t="n">
        <f aca="false">Resumo!$C$13</f>
        <v>13.55</v>
      </c>
      <c r="P1506" s="61" t="n">
        <f aca="false">Resumo!$C$14*CEILING(G1506,1)</f>
        <v>17.1</v>
      </c>
      <c r="Q1506" s="61" t="n">
        <f aca="false">SUM(I1506:P1506)*Resumo!$C$11</f>
        <v>0</v>
      </c>
      <c r="R1506" s="61" t="n">
        <f aca="false">SUM(I1506:Q1506)</f>
        <v>108.265958</v>
      </c>
      <c r="S1506" s="61" t="n">
        <f aca="false">R1506/(1-Resumo!$C$5)</f>
        <v>123.029497727273</v>
      </c>
      <c r="T1506" s="61" t="n">
        <v>93.97</v>
      </c>
      <c r="U1506" s="61" t="n">
        <f aca="false">H1506*Resumo!$B$6</f>
        <v>0.37999</v>
      </c>
      <c r="V1506" s="61" t="n">
        <f aca="false">H1506*Resumo!$B$7</f>
        <v>0.75998</v>
      </c>
      <c r="W1506" s="61" t="n">
        <f aca="false">Resumo!$B$9</f>
        <v>1</v>
      </c>
      <c r="X1506" s="61" t="n">
        <f aca="false">Resumo!$B$10*CEILING(G1506/100,1)</f>
        <v>4.5</v>
      </c>
      <c r="Y1506" s="61" t="n">
        <f aca="false">Resumo!$B$12*CEILING(G1506,1)</f>
        <v>2.28</v>
      </c>
      <c r="Z1506" s="61" t="n">
        <f aca="false">Resumo!$B$14*CEILING(G1506,1)</f>
        <v>17.1</v>
      </c>
      <c r="AA1506" s="61" t="n">
        <f aca="false">SUM(T1506:Z1506)</f>
        <v>119.98997</v>
      </c>
      <c r="AB1506" s="61" t="n">
        <f aca="false">AA1506/(1-Resumo!$B$5)</f>
        <v>136.352238636364</v>
      </c>
      <c r="AC1506" s="61" t="n">
        <f aca="false">AB1506-S1506</f>
        <v>13.3227409090909</v>
      </c>
      <c r="AD1506" s="62" t="n">
        <f aca="false">AB1506/S1506-1</f>
        <v>0.108288996990171</v>
      </c>
      <c r="AE1506" s="60" t="str">
        <f aca="false">IF(AB1506&lt;S1506,"SIM","NÃO")</f>
        <v>NÃO</v>
      </c>
      <c r="AF1506" s="60" t="n">
        <v>13</v>
      </c>
      <c r="AG1506" s="60" t="n">
        <v>5</v>
      </c>
      <c r="AH1506" s="60" t="s">
        <v>385</v>
      </c>
      <c r="AI1506" s="61" t="n">
        <f aca="false">(T1506*(1-Painel!$C$40)+U1506+V1506+Painel!$C$41+Painel!$C$42*CEILING(G1506/100,1)+Painel!$C$43*CEILING(G1506,1)+Z1506)/(1-Resumo!$B$5)</f>
        <v>94.602125</v>
      </c>
      <c r="AJ1506" s="60" t="str">
        <f aca="false">IF(AI1506&lt;S1506,"SIM","NÃO")</f>
        <v>SIM</v>
      </c>
    </row>
    <row r="1507" customFormat="false" ht="15" hidden="false" customHeight="false" outlineLevel="0" collapsed="false">
      <c r="A1507" s="59" t="n">
        <v>46266.6586805556</v>
      </c>
      <c r="B1507" s="60" t="s">
        <v>1753</v>
      </c>
      <c r="C1507" s="60" t="n">
        <v>28623000</v>
      </c>
      <c r="D1507" s="60" t="s">
        <v>226</v>
      </c>
      <c r="E1507" s="60" t="s">
        <v>24</v>
      </c>
      <c r="F1507" s="60" t="s">
        <v>235</v>
      </c>
      <c r="G1507" s="60" t="n">
        <v>48.6</v>
      </c>
      <c r="H1507" s="61" t="n">
        <v>572</v>
      </c>
      <c r="I1507" s="61" t="n">
        <v>77.7</v>
      </c>
      <c r="J1507" s="61" t="n">
        <f aca="false">H1507*Resumo!$C$6</f>
        <v>0</v>
      </c>
      <c r="K1507" s="61" t="n">
        <f aca="false">H1507*Resumo!$C$7</f>
        <v>1.2012</v>
      </c>
      <c r="L1507" s="61" t="n">
        <f aca="false">H1507*Resumo!$C$8</f>
        <v>1.2012</v>
      </c>
      <c r="M1507" s="61" t="n">
        <f aca="false">Resumo!$C$10*CEILING(G1507/100,1)</f>
        <v>1.05</v>
      </c>
      <c r="N1507" s="61" t="n">
        <f aca="false">Resumo!$C$9</f>
        <v>0</v>
      </c>
      <c r="O1507" s="61" t="n">
        <f aca="false">Resumo!$C$13</f>
        <v>13.55</v>
      </c>
      <c r="P1507" s="61" t="n">
        <f aca="false">Resumo!$C$14*CEILING(G1507,1)</f>
        <v>22.05</v>
      </c>
      <c r="Q1507" s="61" t="n">
        <f aca="false">SUM(I1507:P1507)*Resumo!$C$11</f>
        <v>0</v>
      </c>
      <c r="R1507" s="61" t="n">
        <f aca="false">SUM(I1507:Q1507)</f>
        <v>116.7524</v>
      </c>
      <c r="S1507" s="61" t="n">
        <f aca="false">R1507/(1-Resumo!$C$5)</f>
        <v>132.673181818182</v>
      </c>
      <c r="T1507" s="61" t="n">
        <v>135.03</v>
      </c>
      <c r="U1507" s="61" t="n">
        <f aca="false">H1507*Resumo!$B$6</f>
        <v>0.572</v>
      </c>
      <c r="V1507" s="61" t="n">
        <f aca="false">H1507*Resumo!$B$7</f>
        <v>1.144</v>
      </c>
      <c r="W1507" s="61" t="n">
        <f aca="false">Resumo!$B$9</f>
        <v>1</v>
      </c>
      <c r="X1507" s="61" t="n">
        <f aca="false">Resumo!$B$10*CEILING(G1507/100,1)</f>
        <v>4.5</v>
      </c>
      <c r="Y1507" s="61" t="n">
        <f aca="false">Resumo!$B$12*CEILING(G1507,1)</f>
        <v>2.94</v>
      </c>
      <c r="Z1507" s="61" t="n">
        <f aca="false">Resumo!$B$14*CEILING(G1507,1)</f>
        <v>22.05</v>
      </c>
      <c r="AA1507" s="61" t="n">
        <f aca="false">SUM(T1507:Z1507)</f>
        <v>167.236</v>
      </c>
      <c r="AB1507" s="61" t="n">
        <f aca="false">AA1507/(1-Resumo!$B$5)</f>
        <v>190.040909090909</v>
      </c>
      <c r="AC1507" s="61" t="n">
        <f aca="false">AB1507-S1507</f>
        <v>57.3677272727273</v>
      </c>
      <c r="AD1507" s="62" t="n">
        <f aca="false">AB1507/S1507-1</f>
        <v>0.432398820067083</v>
      </c>
      <c r="AE1507" s="60" t="str">
        <f aca="false">IF(AB1507&lt;S1507,"SIM","NÃO")</f>
        <v>NÃO</v>
      </c>
      <c r="AF1507" s="60" t="n">
        <v>13</v>
      </c>
      <c r="AG1507" s="60" t="n">
        <v>10</v>
      </c>
      <c r="AH1507" s="60" t="s">
        <v>382</v>
      </c>
      <c r="AI1507" s="61" t="n">
        <f aca="false">(T1507*(1-Painel!$C$40)+U1507+V1507+Painel!$C$41+Painel!$C$42*CEILING(G1507/100,1)+Painel!$C$43*CEILING(G1507,1)+Z1507)/(1-Resumo!$B$5)</f>
        <v>132.143295454545</v>
      </c>
      <c r="AJ1507" s="60" t="str">
        <f aca="false">IF(AI1507&lt;S1507,"SIM","NÃO")</f>
        <v>SIM</v>
      </c>
    </row>
    <row r="1508" customFormat="false" ht="15" hidden="false" customHeight="false" outlineLevel="0" collapsed="false">
      <c r="A1508" s="59" t="n">
        <v>46266.6878819445</v>
      </c>
      <c r="B1508" s="60" t="s">
        <v>1754</v>
      </c>
      <c r="C1508" s="60" t="n">
        <v>26297234</v>
      </c>
      <c r="D1508" s="60" t="s">
        <v>49</v>
      </c>
      <c r="E1508" s="60" t="s">
        <v>23</v>
      </c>
      <c r="F1508" s="60" t="s">
        <v>232</v>
      </c>
      <c r="G1508" s="60" t="n">
        <v>19.8</v>
      </c>
      <c r="H1508" s="61" t="n">
        <v>369.99</v>
      </c>
      <c r="I1508" s="61" t="n">
        <v>42.72</v>
      </c>
      <c r="J1508" s="61" t="n">
        <f aca="false">H1508*Resumo!$C$6</f>
        <v>0</v>
      </c>
      <c r="K1508" s="61" t="n">
        <f aca="false">H1508*Resumo!$C$7</f>
        <v>0.776979</v>
      </c>
      <c r="L1508" s="61" t="n">
        <f aca="false">H1508*Resumo!$C$8</f>
        <v>0.776979</v>
      </c>
      <c r="M1508" s="61" t="n">
        <f aca="false">Resumo!$C$10*CEILING(G1508/100,1)</f>
        <v>1.05</v>
      </c>
      <c r="N1508" s="61" t="n">
        <f aca="false">Resumo!$C$9</f>
        <v>0</v>
      </c>
      <c r="O1508" s="61" t="n">
        <f aca="false">Resumo!$C$13</f>
        <v>13.55</v>
      </c>
      <c r="P1508" s="61" t="n">
        <f aca="false">Resumo!$C$14*CEILING(G1508,1)</f>
        <v>9</v>
      </c>
      <c r="Q1508" s="61" t="n">
        <f aca="false">SUM(I1508:P1508)*Resumo!$C$11</f>
        <v>0</v>
      </c>
      <c r="R1508" s="61" t="n">
        <f aca="false">SUM(I1508:Q1508)</f>
        <v>67.873958</v>
      </c>
      <c r="S1508" s="61" t="n">
        <f aca="false">R1508/(1-Resumo!$C$5)</f>
        <v>77.1294977272727</v>
      </c>
      <c r="T1508" s="61" t="n">
        <v>46.98</v>
      </c>
      <c r="U1508" s="61" t="n">
        <f aca="false">H1508*Resumo!$B$6</f>
        <v>0.36999</v>
      </c>
      <c r="V1508" s="61" t="n">
        <f aca="false">H1508*Resumo!$B$7</f>
        <v>0.73998</v>
      </c>
      <c r="W1508" s="61" t="n">
        <f aca="false">Resumo!$B$9</f>
        <v>1</v>
      </c>
      <c r="X1508" s="61" t="n">
        <f aca="false">Resumo!$B$10*CEILING(G1508/100,1)</f>
        <v>4.5</v>
      </c>
      <c r="Y1508" s="61" t="n">
        <f aca="false">Resumo!$B$12*CEILING(G1508,1)</f>
        <v>1.2</v>
      </c>
      <c r="Z1508" s="61" t="n">
        <f aca="false">Resumo!$B$14*CEILING(G1508,1)</f>
        <v>9</v>
      </c>
      <c r="AA1508" s="61" t="n">
        <f aca="false">SUM(T1508:Z1508)</f>
        <v>63.78997</v>
      </c>
      <c r="AB1508" s="61" t="n">
        <f aca="false">AA1508/(1-Resumo!$B$5)</f>
        <v>72.4886022727273</v>
      </c>
      <c r="AC1508" s="61" t="n">
        <f aca="false">AB1508-S1508</f>
        <v>-4.64089545454547</v>
      </c>
      <c r="AD1508" s="62" t="n">
        <f aca="false">AB1508/S1508-1</f>
        <v>-0.060170176019498</v>
      </c>
      <c r="AE1508" s="60" t="str">
        <f aca="false">IF(AB1508&lt;S1508,"SIM","NÃO")</f>
        <v>SIM</v>
      </c>
      <c r="AF1508" s="60" t="n">
        <v>2</v>
      </c>
      <c r="AG1508" s="60" t="n">
        <v>5</v>
      </c>
      <c r="AH1508" s="60" t="s">
        <v>382</v>
      </c>
      <c r="AI1508" s="61" t="n">
        <f aca="false">(T1508*(1-Painel!$C$40)+U1508+V1508+Painel!$C$41+Painel!$C$42*CEILING(G1508/100,1)+Painel!$C$43*CEILING(G1508,1)+Z1508)/(1-Resumo!$B$5)</f>
        <v>49.5870113636364</v>
      </c>
      <c r="AJ1508" s="60" t="str">
        <f aca="false">IF(AI1508&lt;S1508,"SIM","NÃO")</f>
        <v>SIM</v>
      </c>
    </row>
    <row r="1509" customFormat="false" ht="15" hidden="false" customHeight="false" outlineLevel="0" collapsed="false">
      <c r="A1509" s="59" t="n">
        <v>46266.6892824074</v>
      </c>
      <c r="B1509" s="60" t="s">
        <v>1755</v>
      </c>
      <c r="C1509" s="60" t="n">
        <v>25745010</v>
      </c>
      <c r="D1509" s="60" t="s">
        <v>219</v>
      </c>
      <c r="E1509" s="60" t="s">
        <v>24</v>
      </c>
      <c r="F1509" s="60" t="s">
        <v>241</v>
      </c>
      <c r="G1509" s="60" t="n">
        <v>124.2</v>
      </c>
      <c r="H1509" s="61" t="n">
        <v>1799.99</v>
      </c>
      <c r="I1509" s="61" t="n">
        <v>144.24</v>
      </c>
      <c r="J1509" s="61" t="n">
        <f aca="false">H1509*Resumo!$C$6</f>
        <v>0</v>
      </c>
      <c r="K1509" s="61" t="n">
        <f aca="false">H1509*Resumo!$C$7</f>
        <v>3.779979</v>
      </c>
      <c r="L1509" s="61" t="n">
        <f aca="false">H1509*Resumo!$C$8</f>
        <v>3.779979</v>
      </c>
      <c r="M1509" s="61" t="n">
        <f aca="false">Resumo!$C$10*CEILING(G1509/100,1)</f>
        <v>2.1</v>
      </c>
      <c r="N1509" s="61" t="n">
        <f aca="false">Resumo!$C$9</f>
        <v>0</v>
      </c>
      <c r="O1509" s="61" t="n">
        <f aca="false">Resumo!$C$13</f>
        <v>13.55</v>
      </c>
      <c r="P1509" s="61" t="n">
        <f aca="false">Resumo!$C$14*CEILING(G1509,1)</f>
        <v>56.25</v>
      </c>
      <c r="Q1509" s="61" t="n">
        <f aca="false">SUM(I1509:P1509)*Resumo!$C$11</f>
        <v>0</v>
      </c>
      <c r="R1509" s="61" t="n">
        <f aca="false">SUM(I1509:Q1509)</f>
        <v>223.699958</v>
      </c>
      <c r="S1509" s="61" t="n">
        <f aca="false">R1509/(1-Resumo!$C$5)</f>
        <v>254.204497727273</v>
      </c>
      <c r="T1509" s="61" t="n">
        <v>264.84</v>
      </c>
      <c r="U1509" s="61" t="n">
        <f aca="false">H1509*Resumo!$B$6</f>
        <v>1.79999</v>
      </c>
      <c r="V1509" s="61" t="n">
        <f aca="false">H1509*Resumo!$B$7</f>
        <v>3.59998</v>
      </c>
      <c r="W1509" s="61" t="n">
        <f aca="false">Resumo!$B$9</f>
        <v>1</v>
      </c>
      <c r="X1509" s="61" t="n">
        <f aca="false">Resumo!$B$10*CEILING(G1509/100,1)</f>
        <v>9</v>
      </c>
      <c r="Y1509" s="61" t="n">
        <f aca="false">Resumo!$B$12*CEILING(G1509,1)</f>
        <v>7.5</v>
      </c>
      <c r="Z1509" s="61" t="n">
        <f aca="false">Resumo!$B$14*CEILING(G1509,1)</f>
        <v>56.25</v>
      </c>
      <c r="AA1509" s="61" t="n">
        <f aca="false">SUM(T1509:Z1509)</f>
        <v>343.98997</v>
      </c>
      <c r="AB1509" s="61" t="n">
        <f aca="false">AA1509/(1-Resumo!$B$5)</f>
        <v>390.897693181818</v>
      </c>
      <c r="AC1509" s="61" t="n">
        <f aca="false">AB1509-S1509</f>
        <v>136.693195454545</v>
      </c>
      <c r="AD1509" s="62" t="n">
        <f aca="false">AB1509/S1509-1</f>
        <v>0.537729256077911</v>
      </c>
      <c r="AE1509" s="60" t="str">
        <f aca="false">IF(AB1509&lt;S1509,"SIM","NÃO")</f>
        <v>NÃO</v>
      </c>
      <c r="AF1509" s="60" t="n">
        <v>13</v>
      </c>
      <c r="AG1509" s="60" t="n">
        <v>8</v>
      </c>
      <c r="AH1509" s="60" t="s">
        <v>382</v>
      </c>
      <c r="AI1509" s="61" t="n">
        <f aca="false">(T1509*(1-Painel!$C$40)+U1509+V1509+Painel!$C$41+Painel!$C$42*CEILING(G1509/100,1)+Painel!$C$43*CEILING(G1509,1)+Z1509)/(1-Resumo!$B$5)</f>
        <v>275.219056818182</v>
      </c>
      <c r="AJ1509" s="60" t="str">
        <f aca="false">IF(AI1509&lt;S1509,"SIM","NÃO")</f>
        <v>NÃO</v>
      </c>
    </row>
    <row r="1510" customFormat="false" ht="15" hidden="false" customHeight="false" outlineLevel="0" collapsed="false">
      <c r="A1510" s="59" t="n">
        <v>46266.7469907407</v>
      </c>
      <c r="B1510" s="60" t="s">
        <v>1756</v>
      </c>
      <c r="C1510" s="60" t="n">
        <v>25932110</v>
      </c>
      <c r="D1510" s="60" t="s">
        <v>225</v>
      </c>
      <c r="E1510" s="60" t="s">
        <v>24</v>
      </c>
      <c r="F1510" s="60" t="s">
        <v>233</v>
      </c>
      <c r="G1510" s="60" t="n">
        <v>30.5</v>
      </c>
      <c r="H1510" s="61" t="n">
        <v>399.99</v>
      </c>
      <c r="I1510" s="61" t="n">
        <v>65.63</v>
      </c>
      <c r="J1510" s="61" t="n">
        <f aca="false">H1510*Resumo!$C$6</f>
        <v>0</v>
      </c>
      <c r="K1510" s="61" t="n">
        <f aca="false">H1510*Resumo!$C$7</f>
        <v>0.839979</v>
      </c>
      <c r="L1510" s="61" t="n">
        <f aca="false">H1510*Resumo!$C$8</f>
        <v>0.839979</v>
      </c>
      <c r="M1510" s="61" t="n">
        <f aca="false">Resumo!$C$10*CEILING(G1510/100,1)</f>
        <v>1.05</v>
      </c>
      <c r="N1510" s="61" t="n">
        <f aca="false">Resumo!$C$9</f>
        <v>0</v>
      </c>
      <c r="O1510" s="61" t="n">
        <f aca="false">Resumo!$C$13</f>
        <v>13.55</v>
      </c>
      <c r="P1510" s="61" t="n">
        <f aca="false">Resumo!$C$14*CEILING(G1510,1)</f>
        <v>13.95</v>
      </c>
      <c r="Q1510" s="61" t="n">
        <f aca="false">SUM(I1510:P1510)*Resumo!$C$11</f>
        <v>0</v>
      </c>
      <c r="R1510" s="61" t="n">
        <f aca="false">SUM(I1510:Q1510)</f>
        <v>95.859958</v>
      </c>
      <c r="S1510" s="61" t="n">
        <f aca="false">R1510/(1-Resumo!$C$5)</f>
        <v>108.931770454545</v>
      </c>
      <c r="T1510" s="61" t="n">
        <v>103.28</v>
      </c>
      <c r="U1510" s="61" t="n">
        <f aca="false">H1510*Resumo!$B$6</f>
        <v>0.39999</v>
      </c>
      <c r="V1510" s="61" t="n">
        <f aca="false">H1510*Resumo!$B$7</f>
        <v>0.79998</v>
      </c>
      <c r="W1510" s="61" t="n">
        <f aca="false">Resumo!$B$9</f>
        <v>1</v>
      </c>
      <c r="X1510" s="61" t="n">
        <f aca="false">Resumo!$B$10*CEILING(G1510/100,1)</f>
        <v>4.5</v>
      </c>
      <c r="Y1510" s="61" t="n">
        <f aca="false">Resumo!$B$12*CEILING(G1510,1)</f>
        <v>1.86</v>
      </c>
      <c r="Z1510" s="61" t="n">
        <f aca="false">Resumo!$B$14*CEILING(G1510,1)</f>
        <v>13.95</v>
      </c>
      <c r="AA1510" s="61" t="n">
        <f aca="false">SUM(T1510:Z1510)</f>
        <v>125.78997</v>
      </c>
      <c r="AB1510" s="61" t="n">
        <f aca="false">AA1510/(1-Resumo!$B$5)</f>
        <v>142.943147727273</v>
      </c>
      <c r="AC1510" s="61" t="n">
        <f aca="false">AB1510-S1510</f>
        <v>34.0113772727273</v>
      </c>
      <c r="AD1510" s="62" t="n">
        <f aca="false">AB1510/S1510-1</f>
        <v>0.312226425135717</v>
      </c>
      <c r="AE1510" s="60" t="str">
        <f aca="false">IF(AB1510&lt;S1510,"SIM","NÃO")</f>
        <v>NÃO</v>
      </c>
      <c r="AF1510" s="60" t="n">
        <v>13</v>
      </c>
      <c r="AG1510" s="60" t="n">
        <v>6</v>
      </c>
      <c r="AH1510" s="60" t="s">
        <v>382</v>
      </c>
      <c r="AI1510" s="61" t="n">
        <f aca="false">(T1510*(1-Painel!$C$40)+U1510+V1510+Painel!$C$41+Painel!$C$42*CEILING(G1510/100,1)+Painel!$C$43*CEILING(G1510,1)+Z1510)/(1-Resumo!$B$5)</f>
        <v>98.1790568181818</v>
      </c>
      <c r="AJ1510" s="60" t="str">
        <f aca="false">IF(AI1510&lt;S1510,"SIM","NÃO")</f>
        <v>SIM</v>
      </c>
    </row>
    <row r="1511" customFormat="false" ht="15" hidden="false" customHeight="false" outlineLevel="0" collapsed="false">
      <c r="A1511" s="59" t="n">
        <v>46266.7566666667</v>
      </c>
      <c r="B1511" s="60" t="s">
        <v>1757</v>
      </c>
      <c r="C1511" s="60" t="n">
        <v>23010220</v>
      </c>
      <c r="D1511" s="60" t="s">
        <v>46</v>
      </c>
      <c r="E1511" s="60" t="s">
        <v>22</v>
      </c>
      <c r="F1511" s="60" t="s">
        <v>234</v>
      </c>
      <c r="G1511" s="60" t="n">
        <v>37.2</v>
      </c>
      <c r="H1511" s="61" t="n">
        <v>387.99</v>
      </c>
      <c r="I1511" s="61" t="n">
        <v>48.35</v>
      </c>
      <c r="J1511" s="61" t="n">
        <f aca="false">H1511*Resumo!$C$6</f>
        <v>0</v>
      </c>
      <c r="K1511" s="61" t="n">
        <f aca="false">H1511*Resumo!$C$7</f>
        <v>0.814779</v>
      </c>
      <c r="L1511" s="61" t="n">
        <f aca="false">H1511*Resumo!$C$8</f>
        <v>0.814779</v>
      </c>
      <c r="M1511" s="61" t="n">
        <f aca="false">Resumo!$C$10*CEILING(G1511/100,1)</f>
        <v>1.05</v>
      </c>
      <c r="N1511" s="61" t="n">
        <f aca="false">Resumo!$C$9</f>
        <v>0</v>
      </c>
      <c r="O1511" s="61" t="n">
        <f aca="false">Resumo!$C$13</f>
        <v>13.55</v>
      </c>
      <c r="P1511" s="61" t="n">
        <f aca="false">Resumo!$C$14*CEILING(G1511,1)</f>
        <v>17.1</v>
      </c>
      <c r="Q1511" s="61" t="n">
        <f aca="false">SUM(I1511:P1511)*Resumo!$C$11</f>
        <v>0</v>
      </c>
      <c r="R1511" s="61" t="n">
        <f aca="false">SUM(I1511:Q1511)</f>
        <v>81.679558</v>
      </c>
      <c r="S1511" s="61" t="n">
        <f aca="false">R1511/(1-Resumo!$C$5)</f>
        <v>92.8176795454546</v>
      </c>
      <c r="T1511" s="61" t="n">
        <v>93.97</v>
      </c>
      <c r="U1511" s="61" t="n">
        <f aca="false">H1511*Resumo!$B$6</f>
        <v>0.38799</v>
      </c>
      <c r="V1511" s="61" t="n">
        <f aca="false">H1511*Resumo!$B$7</f>
        <v>0.77598</v>
      </c>
      <c r="W1511" s="61" t="n">
        <f aca="false">Resumo!$B$9</f>
        <v>1</v>
      </c>
      <c r="X1511" s="61" t="n">
        <f aca="false">Resumo!$B$10*CEILING(G1511/100,1)</f>
        <v>4.5</v>
      </c>
      <c r="Y1511" s="61" t="n">
        <f aca="false">Resumo!$B$12*CEILING(G1511,1)</f>
        <v>2.28</v>
      </c>
      <c r="Z1511" s="61" t="n">
        <f aca="false">Resumo!$B$14*CEILING(G1511,1)</f>
        <v>17.1</v>
      </c>
      <c r="AA1511" s="61" t="n">
        <f aca="false">SUM(T1511:Z1511)</f>
        <v>120.01397</v>
      </c>
      <c r="AB1511" s="61" t="n">
        <f aca="false">AA1511/(1-Resumo!$B$5)</f>
        <v>136.379511363636</v>
      </c>
      <c r="AC1511" s="61" t="n">
        <f aca="false">AB1511-S1511</f>
        <v>43.5618318181818</v>
      </c>
      <c r="AD1511" s="62" t="n">
        <f aca="false">AB1511/S1511-1</f>
        <v>0.469326878580807</v>
      </c>
      <c r="AE1511" s="60" t="str">
        <f aca="false">IF(AB1511&lt;S1511,"SIM","NÃO")</f>
        <v>NÃO</v>
      </c>
      <c r="AF1511" s="60" t="n">
        <v>2</v>
      </c>
      <c r="AG1511" s="60" t="n">
        <v>5</v>
      </c>
      <c r="AH1511" s="60" t="s">
        <v>382</v>
      </c>
      <c r="AI1511" s="61" t="n">
        <f aca="false">(T1511*(1-Painel!$C$40)+U1511+V1511+Painel!$C$41+Painel!$C$42*CEILING(G1511/100,1)+Painel!$C$43*CEILING(G1511,1)+Z1511)/(1-Resumo!$B$5)</f>
        <v>94.6293977272727</v>
      </c>
      <c r="AJ1511" s="60" t="str">
        <f aca="false">IF(AI1511&lt;S1511,"SIM","NÃO")</f>
        <v>NÃO</v>
      </c>
    </row>
    <row r="1512" customFormat="false" ht="15" hidden="false" customHeight="false" outlineLevel="0" collapsed="false">
      <c r="A1512" s="59" t="n">
        <v>46266.7650810185</v>
      </c>
      <c r="B1512" s="60" t="s">
        <v>1758</v>
      </c>
      <c r="C1512" s="60" t="n">
        <v>28083170</v>
      </c>
      <c r="D1512" s="60" t="s">
        <v>51</v>
      </c>
      <c r="E1512" s="60" t="s">
        <v>24</v>
      </c>
      <c r="F1512" s="60" t="s">
        <v>233</v>
      </c>
      <c r="G1512" s="60" t="n">
        <v>31.9</v>
      </c>
      <c r="H1512" s="61" t="n">
        <v>599.99</v>
      </c>
      <c r="I1512" s="61" t="n">
        <v>65.63</v>
      </c>
      <c r="J1512" s="61" t="n">
        <f aca="false">H1512*Resumo!$C$6</f>
        <v>0</v>
      </c>
      <c r="K1512" s="61" t="n">
        <f aca="false">H1512*Resumo!$C$7</f>
        <v>1.259979</v>
      </c>
      <c r="L1512" s="61" t="n">
        <f aca="false">H1512*Resumo!$C$8</f>
        <v>1.259979</v>
      </c>
      <c r="M1512" s="61" t="n">
        <f aca="false">Resumo!$C$10*CEILING(G1512/100,1)</f>
        <v>1.05</v>
      </c>
      <c r="N1512" s="61" t="n">
        <f aca="false">Resumo!$C$9</f>
        <v>0</v>
      </c>
      <c r="O1512" s="61" t="n">
        <f aca="false">Resumo!$C$13</f>
        <v>13.55</v>
      </c>
      <c r="P1512" s="61" t="n">
        <f aca="false">Resumo!$C$14*CEILING(G1512,1)</f>
        <v>14.4</v>
      </c>
      <c r="Q1512" s="61" t="n">
        <f aca="false">SUM(I1512:P1512)*Resumo!$C$11</f>
        <v>0</v>
      </c>
      <c r="R1512" s="61" t="n">
        <f aca="false">SUM(I1512:Q1512)</f>
        <v>97.149958</v>
      </c>
      <c r="S1512" s="61" t="n">
        <f aca="false">R1512/(1-Resumo!$C$5)</f>
        <v>110.397679545455</v>
      </c>
      <c r="T1512" s="61" t="n">
        <v>138.29</v>
      </c>
      <c r="U1512" s="61" t="n">
        <f aca="false">H1512*Resumo!$B$6</f>
        <v>0.59999</v>
      </c>
      <c r="V1512" s="61" t="n">
        <f aca="false">H1512*Resumo!$B$7</f>
        <v>1.19998</v>
      </c>
      <c r="W1512" s="61" t="n">
        <f aca="false">Resumo!$B$9</f>
        <v>1</v>
      </c>
      <c r="X1512" s="61" t="n">
        <f aca="false">Resumo!$B$10*CEILING(G1512/100,1)</f>
        <v>4.5</v>
      </c>
      <c r="Y1512" s="61" t="n">
        <f aca="false">Resumo!$B$12*CEILING(G1512,1)</f>
        <v>1.92</v>
      </c>
      <c r="Z1512" s="61" t="n">
        <f aca="false">Resumo!$B$14*CEILING(G1512,1)</f>
        <v>14.4</v>
      </c>
      <c r="AA1512" s="61" t="n">
        <f aca="false">SUM(T1512:Z1512)</f>
        <v>161.90997</v>
      </c>
      <c r="AB1512" s="61" t="n">
        <f aca="false">AA1512/(1-Resumo!$B$5)</f>
        <v>183.988602272727</v>
      </c>
      <c r="AC1512" s="61" t="n">
        <f aca="false">AB1512-S1512</f>
        <v>73.5909227272727</v>
      </c>
      <c r="AD1512" s="62" t="n">
        <f aca="false">AB1512/S1512-1</f>
        <v>0.666598455966394</v>
      </c>
      <c r="AE1512" s="60" t="str">
        <f aca="false">IF(AB1512&lt;S1512,"SIM","NÃO")</f>
        <v>NÃO</v>
      </c>
      <c r="AF1512" s="60" t="n">
        <v>13</v>
      </c>
      <c r="AG1512" s="60" t="n">
        <v>11</v>
      </c>
      <c r="AH1512" s="60" t="s">
        <v>382</v>
      </c>
      <c r="AI1512" s="61" t="n">
        <f aca="false">(T1512*(1-Painel!$C$40)+U1512+V1512+Painel!$C$41+Painel!$C$42*CEILING(G1512/100,1)+Painel!$C$43*CEILING(G1512,1)+Z1512)/(1-Resumo!$B$5)</f>
        <v>126.027579545455</v>
      </c>
      <c r="AJ1512" s="60" t="str">
        <f aca="false">IF(AI1512&lt;S1512,"SIM","NÃO")</f>
        <v>NÃO</v>
      </c>
    </row>
    <row r="1513" customFormat="false" ht="15" hidden="false" customHeight="false" outlineLevel="0" collapsed="false">
      <c r="A1513" s="59" t="n">
        <v>46266.7940856482</v>
      </c>
      <c r="B1513" s="60" t="s">
        <v>1759</v>
      </c>
      <c r="C1513" s="60" t="n">
        <v>22715160</v>
      </c>
      <c r="D1513" s="60" t="s">
        <v>46</v>
      </c>
      <c r="E1513" s="60" t="s">
        <v>22</v>
      </c>
      <c r="F1513" s="60" t="s">
        <v>235</v>
      </c>
      <c r="G1513" s="60" t="n">
        <v>46.8</v>
      </c>
      <c r="H1513" s="61" t="n">
        <v>470.11</v>
      </c>
      <c r="I1513" s="61" t="n">
        <v>53.55</v>
      </c>
      <c r="J1513" s="61" t="n">
        <f aca="false">H1513*Resumo!$C$6</f>
        <v>0</v>
      </c>
      <c r="K1513" s="61" t="n">
        <f aca="false">H1513*Resumo!$C$7</f>
        <v>0.987231</v>
      </c>
      <c r="L1513" s="61" t="n">
        <f aca="false">H1513*Resumo!$C$8</f>
        <v>0.987231</v>
      </c>
      <c r="M1513" s="61" t="n">
        <f aca="false">Resumo!$C$10*CEILING(G1513/100,1)</f>
        <v>1.05</v>
      </c>
      <c r="N1513" s="61" t="n">
        <f aca="false">Resumo!$C$9</f>
        <v>0</v>
      </c>
      <c r="O1513" s="61" t="n">
        <f aca="false">Resumo!$C$13</f>
        <v>13.55</v>
      </c>
      <c r="P1513" s="61" t="n">
        <f aca="false">Resumo!$C$14*CEILING(G1513,1)</f>
        <v>21.15</v>
      </c>
      <c r="Q1513" s="61" t="n">
        <f aca="false">SUM(I1513:P1513)*Resumo!$C$11</f>
        <v>0</v>
      </c>
      <c r="R1513" s="61" t="n">
        <f aca="false">SUM(I1513:Q1513)</f>
        <v>91.274462</v>
      </c>
      <c r="S1513" s="61" t="n">
        <f aca="false">R1513/(1-Resumo!$C$5)</f>
        <v>103.720979545455</v>
      </c>
      <c r="T1513" s="61" t="n">
        <v>93.97</v>
      </c>
      <c r="U1513" s="61" t="n">
        <f aca="false">H1513*Resumo!$B$6</f>
        <v>0.47011</v>
      </c>
      <c r="V1513" s="61" t="n">
        <f aca="false">H1513*Resumo!$B$7</f>
        <v>0.94022</v>
      </c>
      <c r="W1513" s="61" t="n">
        <f aca="false">Resumo!$B$9</f>
        <v>1</v>
      </c>
      <c r="X1513" s="61" t="n">
        <f aca="false">Resumo!$B$10*CEILING(G1513/100,1)</f>
        <v>4.5</v>
      </c>
      <c r="Y1513" s="61" t="n">
        <f aca="false">Resumo!$B$12*CEILING(G1513,1)</f>
        <v>2.82</v>
      </c>
      <c r="Z1513" s="61" t="n">
        <f aca="false">Resumo!$B$14*CEILING(G1513,1)</f>
        <v>21.15</v>
      </c>
      <c r="AA1513" s="61" t="n">
        <f aca="false">SUM(T1513:Z1513)</f>
        <v>124.85033</v>
      </c>
      <c r="AB1513" s="61" t="n">
        <f aca="false">AA1513/(1-Resumo!$B$5)</f>
        <v>141.875375</v>
      </c>
      <c r="AC1513" s="61" t="n">
        <f aca="false">AB1513-S1513</f>
        <v>38.1543954545455</v>
      </c>
      <c r="AD1513" s="62" t="n">
        <f aca="false">AB1513/S1513-1</f>
        <v>0.367856104153208</v>
      </c>
      <c r="AE1513" s="60" t="str">
        <f aca="false">IF(AB1513&lt;S1513,"SIM","NÃO")</f>
        <v>NÃO</v>
      </c>
      <c r="AF1513" s="60" t="n">
        <v>2</v>
      </c>
      <c r="AG1513" s="60" t="n">
        <v>5</v>
      </c>
      <c r="AH1513" s="60" t="s">
        <v>382</v>
      </c>
      <c r="AI1513" s="61" t="n">
        <f aca="false">(T1513*(1-Painel!$C$40)+U1513+V1513+Painel!$C$41+Painel!$C$42*CEILING(G1513/100,1)+Painel!$C$43*CEILING(G1513,1)+Z1513)/(1-Resumo!$B$5)</f>
        <v>99.511625</v>
      </c>
      <c r="AJ1513" s="60" t="str">
        <f aca="false">IF(AI1513&lt;S1513,"SIM","NÃO")</f>
        <v>SIM</v>
      </c>
    </row>
    <row r="1514" customFormat="false" ht="15" hidden="false" customHeight="false" outlineLevel="0" collapsed="false">
      <c r="A1514" s="59" t="n">
        <v>46266.8165972222</v>
      </c>
      <c r="B1514" s="60" t="s">
        <v>1760</v>
      </c>
      <c r="C1514" s="60" t="n">
        <v>20920370</v>
      </c>
      <c r="D1514" s="60" t="s">
        <v>46</v>
      </c>
      <c r="E1514" s="60" t="s">
        <v>22</v>
      </c>
      <c r="F1514" s="60" t="s">
        <v>233</v>
      </c>
      <c r="G1514" s="60" t="n">
        <v>24.8</v>
      </c>
      <c r="H1514" s="61" t="n">
        <v>382.49</v>
      </c>
      <c r="I1514" s="61" t="n">
        <v>42.11</v>
      </c>
      <c r="J1514" s="61" t="n">
        <f aca="false">H1514*Resumo!$C$6</f>
        <v>0</v>
      </c>
      <c r="K1514" s="61" t="n">
        <f aca="false">H1514*Resumo!$C$7</f>
        <v>0.803229</v>
      </c>
      <c r="L1514" s="61" t="n">
        <f aca="false">H1514*Resumo!$C$8</f>
        <v>0.803229</v>
      </c>
      <c r="M1514" s="61" t="n">
        <f aca="false">Resumo!$C$10*CEILING(G1514/100,1)</f>
        <v>1.05</v>
      </c>
      <c r="N1514" s="61" t="n">
        <f aca="false">Resumo!$C$9</f>
        <v>0</v>
      </c>
      <c r="O1514" s="61" t="n">
        <f aca="false">Resumo!$C$13</f>
        <v>13.55</v>
      </c>
      <c r="P1514" s="61" t="n">
        <f aca="false">Resumo!$C$14*CEILING(G1514,1)</f>
        <v>11.25</v>
      </c>
      <c r="Q1514" s="61" t="n">
        <f aca="false">SUM(I1514:P1514)*Resumo!$C$11</f>
        <v>0</v>
      </c>
      <c r="R1514" s="61" t="n">
        <f aca="false">SUM(I1514:Q1514)</f>
        <v>69.566458</v>
      </c>
      <c r="S1514" s="61" t="n">
        <f aca="false">R1514/(1-Resumo!$C$5)</f>
        <v>79.0527931818182</v>
      </c>
      <c r="T1514" s="61" t="n">
        <v>82.21</v>
      </c>
      <c r="U1514" s="61" t="n">
        <f aca="false">H1514*Resumo!$B$6</f>
        <v>0.38249</v>
      </c>
      <c r="V1514" s="61" t="n">
        <f aca="false">H1514*Resumo!$B$7</f>
        <v>0.76498</v>
      </c>
      <c r="W1514" s="61" t="n">
        <f aca="false">Resumo!$B$9</f>
        <v>1</v>
      </c>
      <c r="X1514" s="61" t="n">
        <f aca="false">Resumo!$B$10*CEILING(G1514/100,1)</f>
        <v>4.5</v>
      </c>
      <c r="Y1514" s="61" t="n">
        <f aca="false">Resumo!$B$12*CEILING(G1514,1)</f>
        <v>1.5</v>
      </c>
      <c r="Z1514" s="61" t="n">
        <f aca="false">Resumo!$B$14*CEILING(G1514,1)</f>
        <v>11.25</v>
      </c>
      <c r="AA1514" s="61" t="n">
        <f aca="false">SUM(T1514:Z1514)</f>
        <v>101.60747</v>
      </c>
      <c r="AB1514" s="61" t="n">
        <f aca="false">AA1514/(1-Resumo!$B$5)</f>
        <v>115.463034090909</v>
      </c>
      <c r="AC1514" s="61" t="n">
        <f aca="false">AB1514-S1514</f>
        <v>36.4102409090909</v>
      </c>
      <c r="AD1514" s="62" t="n">
        <f aca="false">AB1514/S1514-1</f>
        <v>0.460581333607642</v>
      </c>
      <c r="AE1514" s="60" t="str">
        <f aca="false">IF(AB1514&lt;S1514,"SIM","NÃO")</f>
        <v>NÃO</v>
      </c>
      <c r="AF1514" s="60" t="n">
        <v>2</v>
      </c>
      <c r="AG1514" s="60" t="n">
        <v>5</v>
      </c>
      <c r="AH1514" s="60" t="s">
        <v>382</v>
      </c>
      <c r="AI1514" s="61" t="n">
        <f aca="false">(T1514*(1-Painel!$C$40)+U1514+V1514+Painel!$C$41+Painel!$C$42*CEILING(G1514/100,1)+Painel!$C$43*CEILING(G1514,1)+Z1514)/(1-Resumo!$B$5)</f>
        <v>79.0092840909091</v>
      </c>
      <c r="AJ1514" s="60" t="str">
        <f aca="false">IF(AI1514&lt;S1514,"SIM","NÃO")</f>
        <v>SIM</v>
      </c>
    </row>
    <row r="1515" customFormat="false" ht="15" hidden="false" customHeight="false" outlineLevel="0" collapsed="false">
      <c r="A1515" s="59" t="n">
        <v>46266.8499652778</v>
      </c>
      <c r="B1515" s="60" t="s">
        <v>1761</v>
      </c>
      <c r="C1515" s="60" t="n">
        <v>26040800</v>
      </c>
      <c r="D1515" s="60" t="s">
        <v>49</v>
      </c>
      <c r="E1515" s="60" t="s">
        <v>23</v>
      </c>
      <c r="F1515" s="60" t="s">
        <v>233</v>
      </c>
      <c r="G1515" s="60" t="n">
        <v>33.21</v>
      </c>
      <c r="H1515" s="61" t="n">
        <v>439.99</v>
      </c>
      <c r="I1515" s="61" t="n">
        <v>58.8</v>
      </c>
      <c r="J1515" s="61" t="n">
        <f aca="false">H1515*Resumo!$C$6</f>
        <v>0</v>
      </c>
      <c r="K1515" s="61" t="n">
        <f aca="false">H1515*Resumo!$C$7</f>
        <v>0.923979</v>
      </c>
      <c r="L1515" s="61" t="n">
        <f aca="false">H1515*Resumo!$C$8</f>
        <v>0.923979</v>
      </c>
      <c r="M1515" s="61" t="n">
        <f aca="false">Resumo!$C$10*CEILING(G1515/100,1)</f>
        <v>1.05</v>
      </c>
      <c r="N1515" s="61" t="n">
        <f aca="false">Resumo!$C$9</f>
        <v>0</v>
      </c>
      <c r="O1515" s="61" t="n">
        <f aca="false">Resumo!$C$13</f>
        <v>13.55</v>
      </c>
      <c r="P1515" s="61" t="n">
        <f aca="false">Resumo!$C$14*CEILING(G1515,1)</f>
        <v>15.3</v>
      </c>
      <c r="Q1515" s="61" t="n">
        <f aca="false">SUM(I1515:P1515)*Resumo!$C$11</f>
        <v>0</v>
      </c>
      <c r="R1515" s="61" t="n">
        <f aca="false">SUM(I1515:Q1515)</f>
        <v>90.547958</v>
      </c>
      <c r="S1515" s="61" t="n">
        <f aca="false">R1515/(1-Resumo!$C$5)</f>
        <v>102.895406818182</v>
      </c>
      <c r="T1515" s="61" t="n">
        <v>82.21</v>
      </c>
      <c r="U1515" s="61" t="n">
        <f aca="false">H1515*Resumo!$B$6</f>
        <v>0.43999</v>
      </c>
      <c r="V1515" s="61" t="n">
        <f aca="false">H1515*Resumo!$B$7</f>
        <v>0.87998</v>
      </c>
      <c r="W1515" s="61" t="n">
        <f aca="false">Resumo!$B$9</f>
        <v>1</v>
      </c>
      <c r="X1515" s="61" t="n">
        <f aca="false">Resumo!$B$10*CEILING(G1515/100,1)</f>
        <v>4.5</v>
      </c>
      <c r="Y1515" s="61" t="n">
        <f aca="false">Resumo!$B$12*CEILING(G1515,1)</f>
        <v>2.04</v>
      </c>
      <c r="Z1515" s="61" t="n">
        <f aca="false">Resumo!$B$14*CEILING(G1515,1)</f>
        <v>15.3</v>
      </c>
      <c r="AA1515" s="61" t="n">
        <f aca="false">SUM(T1515:Z1515)</f>
        <v>106.36997</v>
      </c>
      <c r="AB1515" s="61" t="n">
        <f aca="false">AA1515/(1-Resumo!$B$5)</f>
        <v>120.874965909091</v>
      </c>
      <c r="AC1515" s="61" t="n">
        <f aca="false">AB1515-S1515</f>
        <v>17.9795590909091</v>
      </c>
      <c r="AD1515" s="62" t="n">
        <f aca="false">AB1515/S1515-1</f>
        <v>0.174736265173423</v>
      </c>
      <c r="AE1515" s="60" t="str">
        <f aca="false">IF(AB1515&lt;S1515,"SIM","NÃO")</f>
        <v>NÃO</v>
      </c>
      <c r="AF1515" s="60" t="n">
        <v>2</v>
      </c>
      <c r="AG1515" s="60" t="n">
        <v>5</v>
      </c>
      <c r="AH1515" s="60" t="s">
        <v>382</v>
      </c>
      <c r="AI1515" s="61" t="n">
        <f aca="false">(T1515*(1-Painel!$C$40)+U1515+V1515+Painel!$C$41+Painel!$C$42*CEILING(G1515/100,1)+Painel!$C$43*CEILING(G1515,1)+Z1515)/(1-Resumo!$B$5)</f>
        <v>83.8075795454545</v>
      </c>
      <c r="AJ1515" s="60" t="str">
        <f aca="false">IF(AI1515&lt;S1515,"SIM","NÃO")</f>
        <v>SIM</v>
      </c>
    </row>
    <row r="1516" customFormat="false" ht="15" hidden="false" customHeight="false" outlineLevel="0" collapsed="false">
      <c r="A1516" s="59" t="n">
        <v>46266.8705902778</v>
      </c>
      <c r="B1516" s="60" t="s">
        <v>1762</v>
      </c>
      <c r="C1516" s="60" t="n">
        <v>21510500</v>
      </c>
      <c r="D1516" s="60" t="s">
        <v>46</v>
      </c>
      <c r="E1516" s="60" t="s">
        <v>22</v>
      </c>
      <c r="F1516" s="60" t="s">
        <v>237</v>
      </c>
      <c r="G1516" s="60" t="n">
        <v>66.8</v>
      </c>
      <c r="H1516" s="61" t="n">
        <v>699.99</v>
      </c>
      <c r="I1516" s="61" t="n">
        <v>63.21</v>
      </c>
      <c r="J1516" s="61" t="n">
        <f aca="false">H1516*Resumo!$C$6</f>
        <v>0</v>
      </c>
      <c r="K1516" s="61" t="n">
        <f aca="false">H1516*Resumo!$C$7</f>
        <v>1.469979</v>
      </c>
      <c r="L1516" s="61" t="n">
        <f aca="false">H1516*Resumo!$C$8</f>
        <v>1.469979</v>
      </c>
      <c r="M1516" s="61" t="n">
        <f aca="false">Resumo!$C$10*CEILING(G1516/100,1)</f>
        <v>1.05</v>
      </c>
      <c r="N1516" s="61" t="n">
        <f aca="false">Resumo!$C$9</f>
        <v>0</v>
      </c>
      <c r="O1516" s="61" t="n">
        <f aca="false">Resumo!$C$13</f>
        <v>13.55</v>
      </c>
      <c r="P1516" s="61" t="n">
        <f aca="false">Resumo!$C$14*CEILING(G1516,1)</f>
        <v>30.15</v>
      </c>
      <c r="Q1516" s="61" t="n">
        <f aca="false">SUM(I1516:P1516)*Resumo!$C$11</f>
        <v>0</v>
      </c>
      <c r="R1516" s="61" t="n">
        <f aca="false">SUM(I1516:Q1516)</f>
        <v>110.899958</v>
      </c>
      <c r="S1516" s="61" t="n">
        <f aca="false">R1516/(1-Resumo!$C$5)</f>
        <v>126.022679545455</v>
      </c>
      <c r="T1516" s="61" t="n">
        <v>131.02</v>
      </c>
      <c r="U1516" s="61" t="n">
        <f aca="false">H1516*Resumo!$B$6</f>
        <v>0.69999</v>
      </c>
      <c r="V1516" s="61" t="n">
        <f aca="false">H1516*Resumo!$B$7</f>
        <v>1.39998</v>
      </c>
      <c r="W1516" s="61" t="n">
        <f aca="false">Resumo!$B$9</f>
        <v>1</v>
      </c>
      <c r="X1516" s="61" t="n">
        <f aca="false">Resumo!$B$10*CEILING(G1516/100,1)</f>
        <v>4.5</v>
      </c>
      <c r="Y1516" s="61" t="n">
        <f aca="false">Resumo!$B$12*CEILING(G1516,1)</f>
        <v>4.02</v>
      </c>
      <c r="Z1516" s="61" t="n">
        <f aca="false">Resumo!$B$14*CEILING(G1516,1)</f>
        <v>30.15</v>
      </c>
      <c r="AA1516" s="61" t="n">
        <f aca="false">SUM(T1516:Z1516)</f>
        <v>172.78997</v>
      </c>
      <c r="AB1516" s="61" t="n">
        <f aca="false">AA1516/(1-Resumo!$B$5)</f>
        <v>196.352238636364</v>
      </c>
      <c r="AC1516" s="61" t="n">
        <f aca="false">AB1516-S1516</f>
        <v>70.3295590909091</v>
      </c>
      <c r="AD1516" s="62" t="n">
        <f aca="false">AB1516/S1516-1</f>
        <v>0.558070653191771</v>
      </c>
      <c r="AE1516" s="60" t="str">
        <f aca="false">IF(AB1516&lt;S1516,"SIM","NÃO")</f>
        <v>NÃO</v>
      </c>
      <c r="AF1516" s="60" t="n">
        <v>2</v>
      </c>
      <c r="AG1516" s="60" t="n">
        <v>5</v>
      </c>
      <c r="AH1516" s="60" t="s">
        <v>382</v>
      </c>
      <c r="AI1516" s="61" t="n">
        <f aca="false">(T1516*(1-Painel!$C$40)+U1516+V1516+Painel!$C$41+Painel!$C$42*CEILING(G1516/100,1)+Painel!$C$43*CEILING(G1516,1)+Z1516)/(1-Resumo!$B$5)</f>
        <v>138.731102272727</v>
      </c>
      <c r="AJ1516" s="60" t="str">
        <f aca="false">IF(AI1516&lt;S1516,"SIM","NÃO")</f>
        <v>NÃO</v>
      </c>
    </row>
    <row r="1517" customFormat="false" ht="15" hidden="false" customHeight="false" outlineLevel="0" collapsed="false">
      <c r="A1517" s="59" t="n">
        <v>46266.8735532407</v>
      </c>
      <c r="B1517" s="60" t="s">
        <v>1763</v>
      </c>
      <c r="C1517" s="60" t="n">
        <v>21530040</v>
      </c>
      <c r="D1517" s="60" t="s">
        <v>46</v>
      </c>
      <c r="E1517" s="60" t="s">
        <v>22</v>
      </c>
      <c r="F1517" s="60" t="s">
        <v>234</v>
      </c>
      <c r="G1517" s="60" t="n">
        <v>37.2</v>
      </c>
      <c r="H1517" s="61" t="n">
        <v>509.99</v>
      </c>
      <c r="I1517" s="61" t="n">
        <v>48.35</v>
      </c>
      <c r="J1517" s="61" t="n">
        <f aca="false">H1517*Resumo!$C$6</f>
        <v>0</v>
      </c>
      <c r="K1517" s="61" t="n">
        <f aca="false">H1517*Resumo!$C$7</f>
        <v>1.070979</v>
      </c>
      <c r="L1517" s="61" t="n">
        <f aca="false">H1517*Resumo!$C$8</f>
        <v>1.070979</v>
      </c>
      <c r="M1517" s="61" t="n">
        <f aca="false">Resumo!$C$10*CEILING(G1517/100,1)</f>
        <v>1.05</v>
      </c>
      <c r="N1517" s="61" t="n">
        <f aca="false">Resumo!$C$9</f>
        <v>0</v>
      </c>
      <c r="O1517" s="61" t="n">
        <f aca="false">Resumo!$C$13</f>
        <v>13.55</v>
      </c>
      <c r="P1517" s="61" t="n">
        <f aca="false">Resumo!$C$14*CEILING(G1517,1)</f>
        <v>17.1</v>
      </c>
      <c r="Q1517" s="61" t="n">
        <f aca="false">SUM(I1517:P1517)*Resumo!$C$11</f>
        <v>0</v>
      </c>
      <c r="R1517" s="61" t="n">
        <f aca="false">SUM(I1517:Q1517)</f>
        <v>82.191958</v>
      </c>
      <c r="S1517" s="61" t="n">
        <f aca="false">R1517/(1-Resumo!$C$5)</f>
        <v>93.3999522727273</v>
      </c>
      <c r="T1517" s="61" t="n">
        <v>93.97</v>
      </c>
      <c r="U1517" s="61" t="n">
        <f aca="false">H1517*Resumo!$B$6</f>
        <v>0.50999</v>
      </c>
      <c r="V1517" s="61" t="n">
        <f aca="false">H1517*Resumo!$B$7</f>
        <v>1.01998</v>
      </c>
      <c r="W1517" s="61" t="n">
        <f aca="false">Resumo!$B$9</f>
        <v>1</v>
      </c>
      <c r="X1517" s="61" t="n">
        <f aca="false">Resumo!$B$10*CEILING(G1517/100,1)</f>
        <v>4.5</v>
      </c>
      <c r="Y1517" s="61" t="n">
        <f aca="false">Resumo!$B$12*CEILING(G1517,1)</f>
        <v>2.28</v>
      </c>
      <c r="Z1517" s="61" t="n">
        <f aca="false">Resumo!$B$14*CEILING(G1517,1)</f>
        <v>17.1</v>
      </c>
      <c r="AA1517" s="61" t="n">
        <f aca="false">SUM(T1517:Z1517)</f>
        <v>120.37997</v>
      </c>
      <c r="AB1517" s="61" t="n">
        <f aca="false">AA1517/(1-Resumo!$B$5)</f>
        <v>136.795420454545</v>
      </c>
      <c r="AC1517" s="61" t="n">
        <f aca="false">AB1517-S1517</f>
        <v>43.3954681818182</v>
      </c>
      <c r="AD1517" s="62" t="n">
        <f aca="false">AB1517/S1517-1</f>
        <v>0.464619811101227</v>
      </c>
      <c r="AE1517" s="60" t="str">
        <f aca="false">IF(AB1517&lt;S1517,"SIM","NÃO")</f>
        <v>NÃO</v>
      </c>
      <c r="AF1517" s="60" t="n">
        <v>2</v>
      </c>
      <c r="AG1517" s="60" t="n">
        <v>5</v>
      </c>
      <c r="AH1517" s="60" t="s">
        <v>382</v>
      </c>
      <c r="AI1517" s="61" t="n">
        <f aca="false">(T1517*(1-Painel!$C$40)+U1517+V1517+Painel!$C$41+Painel!$C$42*CEILING(G1517/100,1)+Painel!$C$43*CEILING(G1517,1)+Z1517)/(1-Resumo!$B$5)</f>
        <v>95.0453068181818</v>
      </c>
      <c r="AJ1517" s="60" t="str">
        <f aca="false">IF(AI1517&lt;S1517,"SIM","NÃO")</f>
        <v>NÃO</v>
      </c>
    </row>
    <row r="1518" customFormat="false" ht="15" hidden="false" customHeight="false" outlineLevel="0" collapsed="false">
      <c r="A1518" s="59" t="n">
        <v>46266.8758564815</v>
      </c>
      <c r="B1518" s="60" t="s">
        <v>1764</v>
      </c>
      <c r="C1518" s="60" t="n">
        <v>24350340</v>
      </c>
      <c r="D1518" s="60" t="s">
        <v>50</v>
      </c>
      <c r="E1518" s="60" t="s">
        <v>23</v>
      </c>
      <c r="F1518" s="60" t="s">
        <v>233</v>
      </c>
      <c r="G1518" s="60" t="n">
        <v>27.6</v>
      </c>
      <c r="H1518" s="61" t="n">
        <v>332.45</v>
      </c>
      <c r="I1518" s="61" t="n">
        <v>58.8</v>
      </c>
      <c r="J1518" s="61" t="n">
        <f aca="false">H1518*Resumo!$C$6</f>
        <v>0</v>
      </c>
      <c r="K1518" s="61" t="n">
        <f aca="false">H1518*Resumo!$C$7</f>
        <v>0.698145</v>
      </c>
      <c r="L1518" s="61" t="n">
        <f aca="false">H1518*Resumo!$C$8</f>
        <v>0.698145</v>
      </c>
      <c r="M1518" s="61" t="n">
        <f aca="false">Resumo!$C$10*CEILING(G1518/100,1)</f>
        <v>1.05</v>
      </c>
      <c r="N1518" s="61" t="n">
        <f aca="false">Resumo!$C$9</f>
        <v>0</v>
      </c>
      <c r="O1518" s="61" t="n">
        <f aca="false">Resumo!$C$13</f>
        <v>13.55</v>
      </c>
      <c r="P1518" s="61" t="n">
        <f aca="false">Resumo!$C$14*CEILING(G1518,1)</f>
        <v>12.6</v>
      </c>
      <c r="Q1518" s="61" t="n">
        <f aca="false">SUM(I1518:P1518)*Resumo!$C$11</f>
        <v>0</v>
      </c>
      <c r="R1518" s="61" t="n">
        <f aca="false">SUM(I1518:Q1518)</f>
        <v>87.39629</v>
      </c>
      <c r="S1518" s="61" t="n">
        <f aca="false">R1518/(1-Resumo!$C$5)</f>
        <v>99.3139659090909</v>
      </c>
      <c r="T1518" s="61" t="n">
        <v>100.58</v>
      </c>
      <c r="U1518" s="61" t="n">
        <f aca="false">H1518*Resumo!$B$6</f>
        <v>0.33245</v>
      </c>
      <c r="V1518" s="61" t="n">
        <f aca="false">H1518*Resumo!$B$7</f>
        <v>0.6649</v>
      </c>
      <c r="W1518" s="61" t="n">
        <f aca="false">Resumo!$B$9</f>
        <v>1</v>
      </c>
      <c r="X1518" s="61" t="n">
        <f aca="false">Resumo!$B$10*CEILING(G1518/100,1)</f>
        <v>4.5</v>
      </c>
      <c r="Y1518" s="61" t="n">
        <f aca="false">Resumo!$B$12*CEILING(G1518,1)</f>
        <v>1.68</v>
      </c>
      <c r="Z1518" s="61" t="n">
        <f aca="false">Resumo!$B$14*CEILING(G1518,1)</f>
        <v>12.6</v>
      </c>
      <c r="AA1518" s="61" t="n">
        <f aca="false">SUM(T1518:Z1518)</f>
        <v>121.35735</v>
      </c>
      <c r="AB1518" s="61" t="n">
        <f aca="false">AA1518/(1-Resumo!$B$5)</f>
        <v>137.906079545455</v>
      </c>
      <c r="AC1518" s="61" t="n">
        <f aca="false">AB1518-S1518</f>
        <v>38.5921136363636</v>
      </c>
      <c r="AD1518" s="62" t="n">
        <f aca="false">AB1518/S1518-1</f>
        <v>0.388586975488319</v>
      </c>
      <c r="AE1518" s="60" t="str">
        <f aca="false">IF(AB1518&lt;S1518,"SIM","NÃO")</f>
        <v>NÃO</v>
      </c>
      <c r="AF1518" s="60" t="n">
        <v>2</v>
      </c>
      <c r="AG1518" s="60" t="n">
        <v>7</v>
      </c>
      <c r="AH1518" s="60" t="s">
        <v>382</v>
      </c>
      <c r="AI1518" s="61" t="n">
        <f aca="false">(T1518*(1-Painel!$C$40)+U1518+V1518+Painel!$C$41+Painel!$C$42*CEILING(G1518/100,1)+Painel!$C$43*CEILING(G1518,1)+Z1518)/(1-Resumo!$B$5)</f>
        <v>94.3590340909091</v>
      </c>
      <c r="AJ1518" s="60" t="str">
        <f aca="false">IF(AI1518&lt;S1518,"SIM","NÃO")</f>
        <v>SIM</v>
      </c>
    </row>
    <row r="1519" customFormat="false" ht="15" hidden="false" customHeight="false" outlineLevel="0" collapsed="false">
      <c r="A1519" s="59" t="n">
        <v>46266.9023263889</v>
      </c>
      <c r="B1519" s="60" t="s">
        <v>1765</v>
      </c>
      <c r="C1519" s="60" t="n">
        <v>28030315</v>
      </c>
      <c r="D1519" s="60" t="s">
        <v>51</v>
      </c>
      <c r="E1519" s="60" t="s">
        <v>24</v>
      </c>
      <c r="F1519" s="60" t="s">
        <v>233</v>
      </c>
      <c r="G1519" s="60" t="n">
        <v>27</v>
      </c>
      <c r="H1519" s="61" t="n">
        <v>334.39</v>
      </c>
      <c r="I1519" s="61" t="n">
        <v>65.63</v>
      </c>
      <c r="J1519" s="61" t="n">
        <f aca="false">H1519*Resumo!$C$6</f>
        <v>0</v>
      </c>
      <c r="K1519" s="61" t="n">
        <f aca="false">H1519*Resumo!$C$7</f>
        <v>0.702219</v>
      </c>
      <c r="L1519" s="61" t="n">
        <f aca="false">H1519*Resumo!$C$8</f>
        <v>0.702219</v>
      </c>
      <c r="M1519" s="61" t="n">
        <f aca="false">Resumo!$C$10*CEILING(G1519/100,1)</f>
        <v>1.05</v>
      </c>
      <c r="N1519" s="61" t="n">
        <f aca="false">Resumo!$C$9</f>
        <v>0</v>
      </c>
      <c r="O1519" s="61" t="n">
        <f aca="false">Resumo!$C$13</f>
        <v>13.55</v>
      </c>
      <c r="P1519" s="61" t="n">
        <f aca="false">Resumo!$C$14*CEILING(G1519,1)</f>
        <v>12.15</v>
      </c>
      <c r="Q1519" s="61" t="n">
        <f aca="false">SUM(I1519:P1519)*Resumo!$C$11</f>
        <v>0</v>
      </c>
      <c r="R1519" s="61" t="n">
        <f aca="false">SUM(I1519:Q1519)</f>
        <v>93.784438</v>
      </c>
      <c r="S1519" s="61" t="n">
        <f aca="false">R1519/(1-Resumo!$C$5)</f>
        <v>106.573225</v>
      </c>
      <c r="T1519" s="61" t="n">
        <v>138.29</v>
      </c>
      <c r="U1519" s="61" t="n">
        <f aca="false">H1519*Resumo!$B$6</f>
        <v>0.33439</v>
      </c>
      <c r="V1519" s="61" t="n">
        <f aca="false">H1519*Resumo!$B$7</f>
        <v>0.66878</v>
      </c>
      <c r="W1519" s="61" t="n">
        <f aca="false">Resumo!$B$9</f>
        <v>1</v>
      </c>
      <c r="X1519" s="61" t="n">
        <f aca="false">Resumo!$B$10*CEILING(G1519/100,1)</f>
        <v>4.5</v>
      </c>
      <c r="Y1519" s="61" t="n">
        <f aca="false">Resumo!$B$12*CEILING(G1519,1)</f>
        <v>1.62</v>
      </c>
      <c r="Z1519" s="61" t="n">
        <f aca="false">Resumo!$B$14*CEILING(G1519,1)</f>
        <v>12.15</v>
      </c>
      <c r="AA1519" s="61" t="n">
        <f aca="false">SUM(T1519:Z1519)</f>
        <v>158.56317</v>
      </c>
      <c r="AB1519" s="61" t="n">
        <f aca="false">AA1519/(1-Resumo!$B$5)</f>
        <v>180.185420454545</v>
      </c>
      <c r="AC1519" s="61" t="n">
        <f aca="false">AB1519-S1519</f>
        <v>73.6121954545454</v>
      </c>
      <c r="AD1519" s="62" t="n">
        <f aca="false">AB1519/S1519-1</f>
        <v>0.690719413384979</v>
      </c>
      <c r="AE1519" s="60" t="str">
        <f aca="false">IF(AB1519&lt;S1519,"SIM","NÃO")</f>
        <v>NÃO</v>
      </c>
      <c r="AF1519" s="60" t="n">
        <v>13</v>
      </c>
      <c r="AG1519" s="60" t="n">
        <v>11</v>
      </c>
      <c r="AH1519" s="60" t="s">
        <v>382</v>
      </c>
      <c r="AI1519" s="61" t="n">
        <f aca="false">(T1519*(1-Painel!$C$40)+U1519+V1519+Painel!$C$41+Painel!$C$42*CEILING(G1519/100,1)+Painel!$C$43*CEILING(G1519,1)+Z1519)/(1-Resumo!$B$5)</f>
        <v>122.565306818182</v>
      </c>
      <c r="AJ1519" s="60" t="str">
        <f aca="false">IF(AI1519&lt;S1519,"SIM","NÃO")</f>
        <v>NÃO</v>
      </c>
    </row>
    <row r="1520" customFormat="false" ht="15" hidden="false" customHeight="false" outlineLevel="0" collapsed="false">
      <c r="A1520" s="59" t="n">
        <v>46266.9159722222</v>
      </c>
      <c r="B1520" s="60" t="s">
        <v>1766</v>
      </c>
      <c r="C1520" s="60" t="n">
        <v>23914243</v>
      </c>
      <c r="D1520" s="60" t="s">
        <v>218</v>
      </c>
      <c r="E1520" s="60" t="s">
        <v>24</v>
      </c>
      <c r="F1520" s="60" t="s">
        <v>235</v>
      </c>
      <c r="G1520" s="60" t="n">
        <v>43.5</v>
      </c>
      <c r="H1520" s="61" t="n">
        <v>581.72</v>
      </c>
      <c r="I1520" s="61" t="n">
        <v>77.7</v>
      </c>
      <c r="J1520" s="61" t="n">
        <f aca="false">H1520*Resumo!$C$6</f>
        <v>0</v>
      </c>
      <c r="K1520" s="61" t="n">
        <f aca="false">H1520*Resumo!$C$7</f>
        <v>1.221612</v>
      </c>
      <c r="L1520" s="61" t="n">
        <f aca="false">H1520*Resumo!$C$8</f>
        <v>1.221612</v>
      </c>
      <c r="M1520" s="61" t="n">
        <f aca="false">Resumo!$C$10*CEILING(G1520/100,1)</f>
        <v>1.05</v>
      </c>
      <c r="N1520" s="61" t="n">
        <f aca="false">Resumo!$C$9</f>
        <v>0</v>
      </c>
      <c r="O1520" s="61" t="n">
        <f aca="false">Resumo!$C$13</f>
        <v>13.55</v>
      </c>
      <c r="P1520" s="61" t="n">
        <f aca="false">Resumo!$C$14*CEILING(G1520,1)</f>
        <v>19.8</v>
      </c>
      <c r="Q1520" s="61" t="n">
        <f aca="false">SUM(I1520:P1520)*Resumo!$C$11</f>
        <v>0</v>
      </c>
      <c r="R1520" s="61" t="n">
        <f aca="false">SUM(I1520:Q1520)</f>
        <v>114.543224</v>
      </c>
      <c r="S1520" s="61" t="n">
        <f aca="false">R1520/(1-Resumo!$C$5)</f>
        <v>130.162754545455</v>
      </c>
      <c r="T1520" s="61" t="n">
        <v>124.38</v>
      </c>
      <c r="U1520" s="61" t="n">
        <f aca="false">H1520*Resumo!$B$6</f>
        <v>0.58172</v>
      </c>
      <c r="V1520" s="61" t="n">
        <f aca="false">H1520*Resumo!$B$7</f>
        <v>1.16344</v>
      </c>
      <c r="W1520" s="61" t="n">
        <f aca="false">Resumo!$B$9</f>
        <v>1</v>
      </c>
      <c r="X1520" s="61" t="n">
        <f aca="false">Resumo!$B$10*CEILING(G1520/100,1)</f>
        <v>4.5</v>
      </c>
      <c r="Y1520" s="61" t="n">
        <f aca="false">Resumo!$B$12*CEILING(G1520,1)</f>
        <v>2.64</v>
      </c>
      <c r="Z1520" s="61" t="n">
        <f aca="false">Resumo!$B$14*CEILING(G1520,1)</f>
        <v>19.8</v>
      </c>
      <c r="AA1520" s="61" t="n">
        <f aca="false">SUM(T1520:Z1520)</f>
        <v>154.06516</v>
      </c>
      <c r="AB1520" s="61" t="n">
        <f aca="false">AA1520/(1-Resumo!$B$5)</f>
        <v>175.074045454545</v>
      </c>
      <c r="AC1520" s="61" t="n">
        <f aca="false">AB1520-S1520</f>
        <v>44.911290909091</v>
      </c>
      <c r="AD1520" s="62" t="n">
        <f aca="false">AB1520/S1520-1</f>
        <v>0.34503949356271</v>
      </c>
      <c r="AE1520" s="60" t="str">
        <f aca="false">IF(AB1520&lt;S1520,"SIM","NÃO")</f>
        <v>NÃO</v>
      </c>
      <c r="AF1520" s="60" t="n">
        <v>13</v>
      </c>
      <c r="AG1520" s="60" t="n">
        <v>10</v>
      </c>
      <c r="AH1520" s="60" t="s">
        <v>382</v>
      </c>
      <c r="AI1520" s="61" t="n">
        <f aca="false">(T1520*(1-Painel!$C$40)+U1520+V1520+Painel!$C$41+Painel!$C$42*CEILING(G1520/100,1)+Painel!$C$43*CEILING(G1520,1)+Z1520)/(1-Resumo!$B$5)</f>
        <v>121.511090909091</v>
      </c>
      <c r="AJ1520" s="60" t="str">
        <f aca="false">IF(AI1520&lt;S1520,"SIM","NÃO")</f>
        <v>SIM</v>
      </c>
    </row>
    <row r="1521" customFormat="false" ht="15" hidden="false" customHeight="false" outlineLevel="0" collapsed="false">
      <c r="A1521" s="59" t="n">
        <v>46266.9204282407</v>
      </c>
      <c r="B1521" s="60" t="s">
        <v>1767</v>
      </c>
      <c r="C1521" s="60" t="n">
        <v>26295595</v>
      </c>
      <c r="D1521" s="60" t="s">
        <v>49</v>
      </c>
      <c r="E1521" s="60" t="s">
        <v>23</v>
      </c>
      <c r="F1521" s="60" t="s">
        <v>235</v>
      </c>
      <c r="G1521" s="60" t="n">
        <v>46.8</v>
      </c>
      <c r="H1521" s="61" t="n">
        <v>484.02</v>
      </c>
      <c r="I1521" s="61" t="n">
        <v>65.36</v>
      </c>
      <c r="J1521" s="61" t="n">
        <f aca="false">H1521*Resumo!$C$6</f>
        <v>0</v>
      </c>
      <c r="K1521" s="61" t="n">
        <f aca="false">H1521*Resumo!$C$7</f>
        <v>1.016442</v>
      </c>
      <c r="L1521" s="61" t="n">
        <f aca="false">H1521*Resumo!$C$8</f>
        <v>1.016442</v>
      </c>
      <c r="M1521" s="61" t="n">
        <f aca="false">Resumo!$C$10*CEILING(G1521/100,1)</f>
        <v>1.05</v>
      </c>
      <c r="N1521" s="61" t="n">
        <f aca="false">Resumo!$C$9</f>
        <v>0</v>
      </c>
      <c r="O1521" s="61" t="n">
        <f aca="false">Resumo!$C$13</f>
        <v>13.55</v>
      </c>
      <c r="P1521" s="61" t="n">
        <f aca="false">Resumo!$C$14*CEILING(G1521,1)</f>
        <v>21.15</v>
      </c>
      <c r="Q1521" s="61" t="n">
        <f aca="false">SUM(I1521:P1521)*Resumo!$C$11</f>
        <v>0</v>
      </c>
      <c r="R1521" s="61" t="n">
        <f aca="false">SUM(I1521:Q1521)</f>
        <v>103.142884</v>
      </c>
      <c r="S1521" s="61" t="n">
        <f aca="false">R1521/(1-Resumo!$C$5)</f>
        <v>117.207822727273</v>
      </c>
      <c r="T1521" s="61" t="n">
        <v>93.97</v>
      </c>
      <c r="U1521" s="61" t="n">
        <f aca="false">H1521*Resumo!$B$6</f>
        <v>0.48402</v>
      </c>
      <c r="V1521" s="61" t="n">
        <f aca="false">H1521*Resumo!$B$7</f>
        <v>0.96804</v>
      </c>
      <c r="W1521" s="61" t="n">
        <f aca="false">Resumo!$B$9</f>
        <v>1</v>
      </c>
      <c r="X1521" s="61" t="n">
        <f aca="false">Resumo!$B$10*CEILING(G1521/100,1)</f>
        <v>4.5</v>
      </c>
      <c r="Y1521" s="61" t="n">
        <f aca="false">Resumo!$B$12*CEILING(G1521,1)</f>
        <v>2.82</v>
      </c>
      <c r="Z1521" s="61" t="n">
        <f aca="false">Resumo!$B$14*CEILING(G1521,1)</f>
        <v>21.15</v>
      </c>
      <c r="AA1521" s="61" t="n">
        <f aca="false">SUM(T1521:Z1521)</f>
        <v>124.89206</v>
      </c>
      <c r="AB1521" s="61" t="n">
        <f aca="false">AA1521/(1-Resumo!$B$5)</f>
        <v>141.922795454545</v>
      </c>
      <c r="AC1521" s="61" t="n">
        <f aca="false">AB1521-S1521</f>
        <v>24.7149727272727</v>
      </c>
      <c r="AD1521" s="62" t="n">
        <f aca="false">AB1521/S1521-1</f>
        <v>0.210864532351063</v>
      </c>
      <c r="AE1521" s="60" t="str">
        <f aca="false">IF(AB1521&lt;S1521,"SIM","NÃO")</f>
        <v>NÃO</v>
      </c>
      <c r="AF1521" s="60" t="n">
        <v>2</v>
      </c>
      <c r="AG1521" s="60" t="n">
        <v>5</v>
      </c>
      <c r="AH1521" s="60" t="s">
        <v>382</v>
      </c>
      <c r="AI1521" s="61" t="n">
        <f aca="false">(T1521*(1-Painel!$C$40)+U1521+V1521+Painel!$C$41+Painel!$C$42*CEILING(G1521/100,1)+Painel!$C$43*CEILING(G1521,1)+Z1521)/(1-Resumo!$B$5)</f>
        <v>99.5590454545455</v>
      </c>
      <c r="AJ1521" s="60" t="str">
        <f aca="false">IF(AI1521&lt;S1521,"SIM","NÃO")</f>
        <v>SIM</v>
      </c>
    </row>
    <row r="1522" customFormat="false" ht="15" hidden="false" customHeight="false" outlineLevel="0" collapsed="false">
      <c r="A1522" s="59" t="n">
        <v>46266.9964236111</v>
      </c>
      <c r="B1522" s="60" t="s">
        <v>1768</v>
      </c>
      <c r="C1522" s="60" t="n">
        <v>21070050</v>
      </c>
      <c r="D1522" s="60" t="s">
        <v>46</v>
      </c>
      <c r="E1522" s="60" t="s">
        <v>22</v>
      </c>
      <c r="F1522" s="60" t="s">
        <v>233</v>
      </c>
      <c r="G1522" s="60" t="n">
        <v>33</v>
      </c>
      <c r="H1522" s="61" t="n">
        <v>344.13</v>
      </c>
      <c r="I1522" s="61" t="n">
        <v>42.11</v>
      </c>
      <c r="J1522" s="61" t="n">
        <f aca="false">H1522*Resumo!$C$6</f>
        <v>0</v>
      </c>
      <c r="K1522" s="61" t="n">
        <f aca="false">H1522*Resumo!$C$7</f>
        <v>0.722673</v>
      </c>
      <c r="L1522" s="61" t="n">
        <f aca="false">H1522*Resumo!$C$8</f>
        <v>0.722673</v>
      </c>
      <c r="M1522" s="61" t="n">
        <f aca="false">Resumo!$C$10*CEILING(G1522/100,1)</f>
        <v>1.05</v>
      </c>
      <c r="N1522" s="61" t="n">
        <f aca="false">Resumo!$C$9</f>
        <v>0</v>
      </c>
      <c r="O1522" s="61" t="n">
        <f aca="false">Resumo!$C$13</f>
        <v>13.55</v>
      </c>
      <c r="P1522" s="61" t="n">
        <f aca="false">Resumo!$C$14*CEILING(G1522,1)</f>
        <v>14.85</v>
      </c>
      <c r="Q1522" s="61" t="n">
        <f aca="false">SUM(I1522:P1522)*Resumo!$C$11</f>
        <v>0</v>
      </c>
      <c r="R1522" s="61" t="n">
        <f aca="false">SUM(I1522:Q1522)</f>
        <v>73.005346</v>
      </c>
      <c r="S1522" s="61" t="n">
        <f aca="false">R1522/(1-Resumo!$C$5)</f>
        <v>82.9606204545455</v>
      </c>
      <c r="T1522" s="61" t="n">
        <v>82.21</v>
      </c>
      <c r="U1522" s="61" t="n">
        <f aca="false">H1522*Resumo!$B$6</f>
        <v>0.34413</v>
      </c>
      <c r="V1522" s="61" t="n">
        <f aca="false">H1522*Resumo!$B$7</f>
        <v>0.68826</v>
      </c>
      <c r="W1522" s="61" t="n">
        <f aca="false">Resumo!$B$9</f>
        <v>1</v>
      </c>
      <c r="X1522" s="61" t="n">
        <f aca="false">Resumo!$B$10*CEILING(G1522/100,1)</f>
        <v>4.5</v>
      </c>
      <c r="Y1522" s="61" t="n">
        <f aca="false">Resumo!$B$12*CEILING(G1522,1)</f>
        <v>1.98</v>
      </c>
      <c r="Z1522" s="61" t="n">
        <f aca="false">Resumo!$B$14*CEILING(G1522,1)</f>
        <v>14.85</v>
      </c>
      <c r="AA1522" s="61" t="n">
        <f aca="false">SUM(T1522:Z1522)</f>
        <v>105.57239</v>
      </c>
      <c r="AB1522" s="61" t="n">
        <f aca="false">AA1522/(1-Resumo!$B$5)</f>
        <v>119.968625</v>
      </c>
      <c r="AC1522" s="61" t="n">
        <f aca="false">AB1522-S1522</f>
        <v>37.0080045454545</v>
      </c>
      <c r="AD1522" s="62" t="n">
        <f aca="false">AB1522/S1522-1</f>
        <v>0.446091221867505</v>
      </c>
      <c r="AE1522" s="60" t="str">
        <f aca="false">IF(AB1522&lt;S1522,"SIM","NÃO")</f>
        <v>NÃO</v>
      </c>
      <c r="AF1522" s="60" t="n">
        <v>2</v>
      </c>
      <c r="AG1522" s="60" t="n">
        <v>5</v>
      </c>
      <c r="AH1522" s="60" t="s">
        <v>382</v>
      </c>
      <c r="AI1522" s="61" t="n">
        <f aca="false">(T1522*(1-Painel!$C$40)+U1522+V1522+Painel!$C$41+Painel!$C$42*CEILING(G1522/100,1)+Painel!$C$43*CEILING(G1522,1)+Z1522)/(1-Resumo!$B$5)</f>
        <v>82.9694204545454</v>
      </c>
      <c r="AJ1522" s="60" t="str">
        <f aca="false">IF(AI1522&lt;S1522,"SIM","NÃO")</f>
        <v>NÃO</v>
      </c>
    </row>
    <row r="1523" customFormat="false" ht="15" hidden="false" customHeight="false" outlineLevel="0" collapsed="false">
      <c r="A1523" s="59" t="n">
        <v>46267.0482175926</v>
      </c>
      <c r="B1523" s="60" t="s">
        <v>1294</v>
      </c>
      <c r="C1523" s="60" t="n">
        <v>22725031</v>
      </c>
      <c r="D1523" s="60" t="s">
        <v>46</v>
      </c>
      <c r="E1523" s="60" t="s">
        <v>22</v>
      </c>
      <c r="F1523" s="60" t="s">
        <v>233</v>
      </c>
      <c r="G1523" s="60" t="n">
        <v>31</v>
      </c>
      <c r="H1523" s="61" t="n">
        <v>329.99</v>
      </c>
      <c r="I1523" s="61" t="n">
        <v>42.11</v>
      </c>
      <c r="J1523" s="61" t="n">
        <f aca="false">H1523*Resumo!$C$6</f>
        <v>0</v>
      </c>
      <c r="K1523" s="61" t="n">
        <f aca="false">H1523*Resumo!$C$7</f>
        <v>0.692979</v>
      </c>
      <c r="L1523" s="61" t="n">
        <f aca="false">H1523*Resumo!$C$8</f>
        <v>0.692979</v>
      </c>
      <c r="M1523" s="61" t="n">
        <f aca="false">Resumo!$C$10*CEILING(G1523/100,1)</f>
        <v>1.05</v>
      </c>
      <c r="N1523" s="61" t="n">
        <f aca="false">Resumo!$C$9</f>
        <v>0</v>
      </c>
      <c r="O1523" s="61" t="n">
        <f aca="false">Resumo!$C$13</f>
        <v>13.55</v>
      </c>
      <c r="P1523" s="61" t="n">
        <f aca="false">Resumo!$C$14*CEILING(G1523,1)</f>
        <v>13.95</v>
      </c>
      <c r="Q1523" s="61" t="n">
        <f aca="false">SUM(I1523:P1523)*Resumo!$C$11</f>
        <v>0</v>
      </c>
      <c r="R1523" s="61" t="n">
        <f aca="false">SUM(I1523:Q1523)</f>
        <v>72.045958</v>
      </c>
      <c r="S1523" s="61" t="n">
        <f aca="false">R1523/(1-Resumo!$C$5)</f>
        <v>81.8704068181818</v>
      </c>
      <c r="T1523" s="61" t="n">
        <v>82.21</v>
      </c>
      <c r="U1523" s="61" t="n">
        <f aca="false">H1523*Resumo!$B$6</f>
        <v>0.32999</v>
      </c>
      <c r="V1523" s="61" t="n">
        <f aca="false">H1523*Resumo!$B$7</f>
        <v>0.65998</v>
      </c>
      <c r="W1523" s="61" t="n">
        <f aca="false">Resumo!$B$9</f>
        <v>1</v>
      </c>
      <c r="X1523" s="61" t="n">
        <f aca="false">Resumo!$B$10*CEILING(G1523/100,1)</f>
        <v>4.5</v>
      </c>
      <c r="Y1523" s="61" t="n">
        <f aca="false">Resumo!$B$12*CEILING(G1523,1)</f>
        <v>1.86</v>
      </c>
      <c r="Z1523" s="61" t="n">
        <f aca="false">Resumo!$B$14*CEILING(G1523,1)</f>
        <v>13.95</v>
      </c>
      <c r="AA1523" s="61" t="n">
        <f aca="false">SUM(T1523:Z1523)</f>
        <v>104.50997</v>
      </c>
      <c r="AB1523" s="61" t="n">
        <f aca="false">AA1523/(1-Resumo!$B$5)</f>
        <v>118.761329545455</v>
      </c>
      <c r="AC1523" s="61" t="n">
        <f aca="false">AB1523-S1523</f>
        <v>36.8909227272727</v>
      </c>
      <c r="AD1523" s="62" t="n">
        <f aca="false">AB1523/S1523-1</f>
        <v>0.450601434156792</v>
      </c>
      <c r="AE1523" s="60" t="str">
        <f aca="false">IF(AB1523&lt;S1523,"SIM","NÃO")</f>
        <v>NÃO</v>
      </c>
      <c r="AF1523" s="60" t="n">
        <v>2</v>
      </c>
      <c r="AG1523" s="60" t="n">
        <v>5</v>
      </c>
      <c r="AH1523" s="60" t="s">
        <v>382</v>
      </c>
      <c r="AI1523" s="61" t="n">
        <f aca="false">(T1523*(1-Painel!$C$40)+U1523+V1523+Painel!$C$41+Painel!$C$42*CEILING(G1523/100,1)+Painel!$C$43*CEILING(G1523,1)+Z1523)/(1-Resumo!$B$5)</f>
        <v>81.8984886363636</v>
      </c>
      <c r="AJ1523" s="60" t="str">
        <f aca="false">IF(AI1523&lt;S1523,"SIM","NÃO")</f>
        <v>NÃO</v>
      </c>
    </row>
    <row r="1524" customFormat="false" ht="15" hidden="false" customHeight="false" outlineLevel="0" collapsed="false">
      <c r="A1524" s="59" t="n">
        <v>46267.2216782407</v>
      </c>
      <c r="B1524" s="60" t="s">
        <v>1769</v>
      </c>
      <c r="C1524" s="60" t="n">
        <v>21221440</v>
      </c>
      <c r="D1524" s="60" t="s">
        <v>46</v>
      </c>
      <c r="E1524" s="60" t="s">
        <v>22</v>
      </c>
      <c r="F1524" s="60" t="s">
        <v>237</v>
      </c>
      <c r="G1524" s="60" t="n">
        <v>66.8</v>
      </c>
      <c r="H1524" s="61" t="n">
        <v>651</v>
      </c>
      <c r="I1524" s="61" t="n">
        <v>63.21</v>
      </c>
      <c r="J1524" s="61" t="n">
        <f aca="false">H1524*Resumo!$C$6</f>
        <v>0</v>
      </c>
      <c r="K1524" s="61" t="n">
        <f aca="false">H1524*Resumo!$C$7</f>
        <v>1.3671</v>
      </c>
      <c r="L1524" s="61" t="n">
        <f aca="false">H1524*Resumo!$C$8</f>
        <v>1.3671</v>
      </c>
      <c r="M1524" s="61" t="n">
        <f aca="false">Resumo!$C$10*CEILING(G1524/100,1)</f>
        <v>1.05</v>
      </c>
      <c r="N1524" s="61" t="n">
        <f aca="false">Resumo!$C$9</f>
        <v>0</v>
      </c>
      <c r="O1524" s="61" t="n">
        <f aca="false">Resumo!$C$13</f>
        <v>13.55</v>
      </c>
      <c r="P1524" s="61" t="n">
        <f aca="false">Resumo!$C$14*CEILING(G1524,1)</f>
        <v>30.15</v>
      </c>
      <c r="Q1524" s="61" t="n">
        <f aca="false">SUM(I1524:P1524)*Resumo!$C$11</f>
        <v>0</v>
      </c>
      <c r="R1524" s="61" t="n">
        <f aca="false">SUM(I1524:Q1524)</f>
        <v>110.6942</v>
      </c>
      <c r="S1524" s="61" t="n">
        <f aca="false">R1524/(1-Resumo!$C$5)</f>
        <v>125.788863636364</v>
      </c>
      <c r="T1524" s="61" t="n">
        <v>131.02</v>
      </c>
      <c r="U1524" s="61" t="n">
        <f aca="false">H1524*Resumo!$B$6</f>
        <v>0.651</v>
      </c>
      <c r="V1524" s="61" t="n">
        <f aca="false">H1524*Resumo!$B$7</f>
        <v>1.302</v>
      </c>
      <c r="W1524" s="61" t="n">
        <f aca="false">Resumo!$B$9</f>
        <v>1</v>
      </c>
      <c r="X1524" s="61" t="n">
        <f aca="false">Resumo!$B$10*CEILING(G1524/100,1)</f>
        <v>4.5</v>
      </c>
      <c r="Y1524" s="61" t="n">
        <f aca="false">Resumo!$B$12*CEILING(G1524,1)</f>
        <v>4.02</v>
      </c>
      <c r="Z1524" s="61" t="n">
        <f aca="false">Resumo!$B$14*CEILING(G1524,1)</f>
        <v>30.15</v>
      </c>
      <c r="AA1524" s="61" t="n">
        <f aca="false">SUM(T1524:Z1524)</f>
        <v>172.643</v>
      </c>
      <c r="AB1524" s="61" t="n">
        <f aca="false">AA1524/(1-Resumo!$B$5)</f>
        <v>196.185227272727</v>
      </c>
      <c r="AC1524" s="61" t="n">
        <f aca="false">AB1524-S1524</f>
        <v>70.3963636363637</v>
      </c>
      <c r="AD1524" s="62" t="n">
        <f aca="false">AB1524/S1524-1</f>
        <v>0.559639077747524</v>
      </c>
      <c r="AE1524" s="60" t="str">
        <f aca="false">IF(AB1524&lt;S1524,"SIM","NÃO")</f>
        <v>NÃO</v>
      </c>
      <c r="AF1524" s="60" t="n">
        <v>2</v>
      </c>
      <c r="AG1524" s="60" t="n">
        <v>5</v>
      </c>
      <c r="AH1524" s="60" t="s">
        <v>382</v>
      </c>
      <c r="AI1524" s="61" t="n">
        <f aca="false">(T1524*(1-Painel!$C$40)+U1524+V1524+Painel!$C$41+Painel!$C$42*CEILING(G1524/100,1)+Painel!$C$43*CEILING(G1524,1)+Z1524)/(1-Resumo!$B$5)</f>
        <v>138.564090909091</v>
      </c>
      <c r="AJ1524" s="60" t="str">
        <f aca="false">IF(AI1524&lt;S1524,"SIM","NÃO")</f>
        <v>NÃO</v>
      </c>
    </row>
    <row r="1525" customFormat="false" ht="15" hidden="false" customHeight="false" outlineLevel="0" collapsed="false">
      <c r="A1525" s="59" t="n">
        <v>46267.3017708333</v>
      </c>
      <c r="B1525" s="60" t="s">
        <v>1770</v>
      </c>
      <c r="C1525" s="60" t="n">
        <v>24717200</v>
      </c>
      <c r="D1525" s="60" t="s">
        <v>47</v>
      </c>
      <c r="E1525" s="60" t="s">
        <v>23</v>
      </c>
      <c r="F1525" s="60" t="s">
        <v>235</v>
      </c>
      <c r="G1525" s="60" t="n">
        <v>48.3</v>
      </c>
      <c r="H1525" s="61" t="n">
        <v>440.89</v>
      </c>
      <c r="I1525" s="61" t="n">
        <v>65.36</v>
      </c>
      <c r="J1525" s="61" t="n">
        <f aca="false">H1525*Resumo!$C$6</f>
        <v>0</v>
      </c>
      <c r="K1525" s="61" t="n">
        <f aca="false">H1525*Resumo!$C$7</f>
        <v>0.925869</v>
      </c>
      <c r="L1525" s="61" t="n">
        <f aca="false">H1525*Resumo!$C$8</f>
        <v>0.925869</v>
      </c>
      <c r="M1525" s="61" t="n">
        <f aca="false">Resumo!$C$10*CEILING(G1525/100,1)</f>
        <v>1.05</v>
      </c>
      <c r="N1525" s="61" t="n">
        <f aca="false">Resumo!$C$9</f>
        <v>0</v>
      </c>
      <c r="O1525" s="61" t="n">
        <f aca="false">Resumo!$C$13</f>
        <v>13.55</v>
      </c>
      <c r="P1525" s="61" t="n">
        <f aca="false">Resumo!$C$14*CEILING(G1525,1)</f>
        <v>22.05</v>
      </c>
      <c r="Q1525" s="61" t="n">
        <f aca="false">SUM(I1525:P1525)*Resumo!$C$11</f>
        <v>0</v>
      </c>
      <c r="R1525" s="61" t="n">
        <f aca="false">SUM(I1525:Q1525)</f>
        <v>103.861738</v>
      </c>
      <c r="S1525" s="61" t="n">
        <f aca="false">R1525/(1-Resumo!$C$5)</f>
        <v>118.024702272727</v>
      </c>
      <c r="T1525" s="61" t="n">
        <v>114.95</v>
      </c>
      <c r="U1525" s="61" t="n">
        <f aca="false">H1525*Resumo!$B$6</f>
        <v>0.44089</v>
      </c>
      <c r="V1525" s="61" t="n">
        <f aca="false">H1525*Resumo!$B$7</f>
        <v>0.88178</v>
      </c>
      <c r="W1525" s="61" t="n">
        <f aca="false">Resumo!$B$9</f>
        <v>1</v>
      </c>
      <c r="X1525" s="61" t="n">
        <f aca="false">Resumo!$B$10*CEILING(G1525/100,1)</f>
        <v>4.5</v>
      </c>
      <c r="Y1525" s="61" t="n">
        <f aca="false">Resumo!$B$12*CEILING(G1525,1)</f>
        <v>2.94</v>
      </c>
      <c r="Z1525" s="61" t="n">
        <f aca="false">Resumo!$B$14*CEILING(G1525,1)</f>
        <v>22.05</v>
      </c>
      <c r="AA1525" s="61" t="n">
        <f aca="false">SUM(T1525:Z1525)</f>
        <v>146.76267</v>
      </c>
      <c r="AB1525" s="61" t="n">
        <f aca="false">AA1525/(1-Resumo!$B$5)</f>
        <v>166.775761363636</v>
      </c>
      <c r="AC1525" s="61" t="n">
        <f aca="false">AB1525-S1525</f>
        <v>48.7510590909091</v>
      </c>
      <c r="AD1525" s="62" t="n">
        <f aca="false">AB1525/S1525-1</f>
        <v>0.413058098450076</v>
      </c>
      <c r="AE1525" s="60" t="str">
        <f aca="false">IF(AB1525&lt;S1525,"SIM","NÃO")</f>
        <v>NÃO</v>
      </c>
      <c r="AF1525" s="60" t="n">
        <v>2</v>
      </c>
      <c r="AG1525" s="60" t="n">
        <v>7</v>
      </c>
      <c r="AH1525" s="60" t="s">
        <v>382</v>
      </c>
      <c r="AI1525" s="61" t="n">
        <f aca="false">(T1525*(1-Painel!$C$40)+U1525+V1525+Painel!$C$41+Painel!$C$42*CEILING(G1525/100,1)+Painel!$C$43*CEILING(G1525,1)+Z1525)/(1-Resumo!$B$5)</f>
        <v>116.408147727273</v>
      </c>
      <c r="AJ1525" s="60" t="str">
        <f aca="false">IF(AI1525&lt;S1525,"SIM","NÃO")</f>
        <v>SIM</v>
      </c>
    </row>
    <row r="1526" customFormat="false" ht="15" hidden="false" customHeight="false" outlineLevel="0" collapsed="false">
      <c r="A1526" s="59" t="n">
        <v>46267.4050578704</v>
      </c>
      <c r="B1526" s="60" t="s">
        <v>1771</v>
      </c>
      <c r="C1526" s="60" t="n">
        <v>23020724</v>
      </c>
      <c r="D1526" s="60" t="s">
        <v>46</v>
      </c>
      <c r="E1526" s="60" t="s">
        <v>22</v>
      </c>
      <c r="F1526" s="60" t="s">
        <v>234</v>
      </c>
      <c r="G1526" s="60" t="n">
        <v>36.8</v>
      </c>
      <c r="H1526" s="61" t="n">
        <v>431.64</v>
      </c>
      <c r="I1526" s="61" t="n">
        <v>48.35</v>
      </c>
      <c r="J1526" s="61" t="n">
        <f aca="false">H1526*Resumo!$C$6</f>
        <v>0</v>
      </c>
      <c r="K1526" s="61" t="n">
        <f aca="false">H1526*Resumo!$C$7</f>
        <v>0.906444</v>
      </c>
      <c r="L1526" s="61" t="n">
        <f aca="false">H1526*Resumo!$C$8</f>
        <v>0.906444</v>
      </c>
      <c r="M1526" s="61" t="n">
        <f aca="false">Resumo!$C$10*CEILING(G1526/100,1)</f>
        <v>1.05</v>
      </c>
      <c r="N1526" s="61" t="n">
        <f aca="false">Resumo!$C$9</f>
        <v>0</v>
      </c>
      <c r="O1526" s="61" t="n">
        <f aca="false">Resumo!$C$13</f>
        <v>13.55</v>
      </c>
      <c r="P1526" s="61" t="n">
        <f aca="false">Resumo!$C$14*CEILING(G1526,1)</f>
        <v>16.65</v>
      </c>
      <c r="Q1526" s="61" t="n">
        <f aca="false">SUM(I1526:P1526)*Resumo!$C$11</f>
        <v>0</v>
      </c>
      <c r="R1526" s="61" t="n">
        <f aca="false">SUM(I1526:Q1526)</f>
        <v>81.412888</v>
      </c>
      <c r="S1526" s="61" t="n">
        <f aca="false">R1526/(1-Resumo!$C$5)</f>
        <v>92.5146454545455</v>
      </c>
      <c r="T1526" s="61" t="n">
        <v>93.97</v>
      </c>
      <c r="U1526" s="61" t="n">
        <f aca="false">H1526*Resumo!$B$6</f>
        <v>0.43164</v>
      </c>
      <c r="V1526" s="61" t="n">
        <f aca="false">H1526*Resumo!$B$7</f>
        <v>0.86328</v>
      </c>
      <c r="W1526" s="61" t="n">
        <f aca="false">Resumo!$B$9</f>
        <v>1</v>
      </c>
      <c r="X1526" s="61" t="n">
        <f aca="false">Resumo!$B$10*CEILING(G1526/100,1)</f>
        <v>4.5</v>
      </c>
      <c r="Y1526" s="61" t="n">
        <f aca="false">Resumo!$B$12*CEILING(G1526,1)</f>
        <v>2.22</v>
      </c>
      <c r="Z1526" s="61" t="n">
        <f aca="false">Resumo!$B$14*CEILING(G1526,1)</f>
        <v>16.65</v>
      </c>
      <c r="AA1526" s="61" t="n">
        <f aca="false">SUM(T1526:Z1526)</f>
        <v>119.63492</v>
      </c>
      <c r="AB1526" s="61" t="n">
        <f aca="false">AA1526/(1-Resumo!$B$5)</f>
        <v>135.948772727273</v>
      </c>
      <c r="AC1526" s="61" t="n">
        <f aca="false">AB1526-S1526</f>
        <v>43.4341272727273</v>
      </c>
      <c r="AD1526" s="62" t="n">
        <f aca="false">AB1526/S1526-1</f>
        <v>0.469483799665724</v>
      </c>
      <c r="AE1526" s="60" t="str">
        <f aca="false">IF(AB1526&lt;S1526,"SIM","NÃO")</f>
        <v>NÃO</v>
      </c>
      <c r="AF1526" s="60" t="n">
        <v>2</v>
      </c>
      <c r="AG1526" s="60" t="n">
        <v>5</v>
      </c>
      <c r="AH1526" s="60" t="s">
        <v>382</v>
      </c>
      <c r="AI1526" s="61" t="n">
        <f aca="false">(T1526*(1-Painel!$C$40)+U1526+V1526+Painel!$C$41+Painel!$C$42*CEILING(G1526/100,1)+Painel!$C$43*CEILING(G1526,1)+Z1526)/(1-Resumo!$B$5)</f>
        <v>94.2668409090909</v>
      </c>
      <c r="AJ1526" s="60" t="str">
        <f aca="false">IF(AI1526&lt;S1526,"SIM","NÃO")</f>
        <v>NÃO</v>
      </c>
    </row>
    <row r="1527" customFormat="false" ht="15" hidden="false" customHeight="false" outlineLevel="0" collapsed="false">
      <c r="A1527" s="59" t="n">
        <v>46267.4446990741</v>
      </c>
      <c r="B1527" s="60" t="s">
        <v>1772</v>
      </c>
      <c r="C1527" s="60" t="n">
        <v>23550230</v>
      </c>
      <c r="D1527" s="60" t="s">
        <v>46</v>
      </c>
      <c r="E1527" s="60" t="s">
        <v>22</v>
      </c>
      <c r="F1527" s="60" t="s">
        <v>234</v>
      </c>
      <c r="G1527" s="60" t="n">
        <v>37.6</v>
      </c>
      <c r="H1527" s="61" t="n">
        <v>391.9</v>
      </c>
      <c r="I1527" s="61" t="n">
        <v>48.35</v>
      </c>
      <c r="J1527" s="61" t="n">
        <f aca="false">H1527*Resumo!$C$6</f>
        <v>0</v>
      </c>
      <c r="K1527" s="61" t="n">
        <f aca="false">H1527*Resumo!$C$7</f>
        <v>0.82299</v>
      </c>
      <c r="L1527" s="61" t="n">
        <f aca="false">H1527*Resumo!$C$8</f>
        <v>0.82299</v>
      </c>
      <c r="M1527" s="61" t="n">
        <f aca="false">Resumo!$C$10*CEILING(G1527/100,1)</f>
        <v>1.05</v>
      </c>
      <c r="N1527" s="61" t="n">
        <f aca="false">Resumo!$C$9</f>
        <v>0</v>
      </c>
      <c r="O1527" s="61" t="n">
        <f aca="false">Resumo!$C$13</f>
        <v>13.55</v>
      </c>
      <c r="P1527" s="61" t="n">
        <f aca="false">Resumo!$C$14*CEILING(G1527,1)</f>
        <v>17.1</v>
      </c>
      <c r="Q1527" s="61" t="n">
        <f aca="false">SUM(I1527:P1527)*Resumo!$C$11</f>
        <v>0</v>
      </c>
      <c r="R1527" s="61" t="n">
        <f aca="false">SUM(I1527:Q1527)</f>
        <v>81.69598</v>
      </c>
      <c r="S1527" s="61" t="n">
        <f aca="false">R1527/(1-Resumo!$C$5)</f>
        <v>92.8363409090909</v>
      </c>
      <c r="T1527" s="61" t="n">
        <v>93.97</v>
      </c>
      <c r="U1527" s="61" t="n">
        <f aca="false">H1527*Resumo!$B$6</f>
        <v>0.3919</v>
      </c>
      <c r="V1527" s="61" t="n">
        <f aca="false">H1527*Resumo!$B$7</f>
        <v>0.7838</v>
      </c>
      <c r="W1527" s="61" t="n">
        <f aca="false">Resumo!$B$9</f>
        <v>1</v>
      </c>
      <c r="X1527" s="61" t="n">
        <f aca="false">Resumo!$B$10*CEILING(G1527/100,1)</f>
        <v>4.5</v>
      </c>
      <c r="Y1527" s="61" t="n">
        <f aca="false">Resumo!$B$12*CEILING(G1527,1)</f>
        <v>2.28</v>
      </c>
      <c r="Z1527" s="61" t="n">
        <f aca="false">Resumo!$B$14*CEILING(G1527,1)</f>
        <v>17.1</v>
      </c>
      <c r="AA1527" s="61" t="n">
        <f aca="false">SUM(T1527:Z1527)</f>
        <v>120.0257</v>
      </c>
      <c r="AB1527" s="61" t="n">
        <f aca="false">AA1527/(1-Resumo!$B$5)</f>
        <v>136.392840909091</v>
      </c>
      <c r="AC1527" s="61" t="n">
        <f aca="false">AB1527-S1527</f>
        <v>43.5565</v>
      </c>
      <c r="AD1527" s="62" t="n">
        <f aca="false">AB1527/S1527-1</f>
        <v>0.46917510506637</v>
      </c>
      <c r="AE1527" s="60" t="str">
        <f aca="false">IF(AB1527&lt;S1527,"SIM","NÃO")</f>
        <v>NÃO</v>
      </c>
      <c r="AF1527" s="60" t="n">
        <v>2</v>
      </c>
      <c r="AG1527" s="60" t="n">
        <v>5</v>
      </c>
      <c r="AH1527" s="60" t="s">
        <v>382</v>
      </c>
      <c r="AI1527" s="61" t="n">
        <f aca="false">(T1527*(1-Painel!$C$40)+U1527+V1527+Painel!$C$41+Painel!$C$42*CEILING(G1527/100,1)+Painel!$C$43*CEILING(G1527,1)+Z1527)/(1-Resumo!$B$5)</f>
        <v>94.6427272727273</v>
      </c>
      <c r="AJ1527" s="60" t="str">
        <f aca="false">IF(AI1527&lt;S1527,"SIM","NÃO")</f>
        <v>NÃO</v>
      </c>
    </row>
    <row r="1528" customFormat="false" ht="15" hidden="false" customHeight="false" outlineLevel="0" collapsed="false">
      <c r="A1528" s="59" t="n">
        <v>46267.4562384259</v>
      </c>
      <c r="B1528" s="60" t="s">
        <v>1773</v>
      </c>
      <c r="C1528" s="60" t="n">
        <v>21853355</v>
      </c>
      <c r="D1528" s="60" t="s">
        <v>46</v>
      </c>
      <c r="E1528" s="60" t="s">
        <v>22</v>
      </c>
      <c r="F1528" s="60" t="s">
        <v>237</v>
      </c>
      <c r="G1528" s="60" t="n">
        <v>68.1</v>
      </c>
      <c r="H1528" s="61" t="n">
        <v>999.99</v>
      </c>
      <c r="I1528" s="61" t="n">
        <v>63.21</v>
      </c>
      <c r="J1528" s="61" t="n">
        <f aca="false">H1528*Resumo!$C$6</f>
        <v>0</v>
      </c>
      <c r="K1528" s="61" t="n">
        <f aca="false">H1528*Resumo!$C$7</f>
        <v>2.099979</v>
      </c>
      <c r="L1528" s="61" t="n">
        <f aca="false">H1528*Resumo!$C$8</f>
        <v>2.099979</v>
      </c>
      <c r="M1528" s="61" t="n">
        <f aca="false">Resumo!$C$10*CEILING(G1528/100,1)</f>
        <v>1.05</v>
      </c>
      <c r="N1528" s="61" t="n">
        <f aca="false">Resumo!$C$9</f>
        <v>0</v>
      </c>
      <c r="O1528" s="61" t="n">
        <f aca="false">Resumo!$C$13</f>
        <v>13.55</v>
      </c>
      <c r="P1528" s="61" t="n">
        <f aca="false">Resumo!$C$14*CEILING(G1528,1)</f>
        <v>31.05</v>
      </c>
      <c r="Q1528" s="61" t="n">
        <f aca="false">SUM(I1528:P1528)*Resumo!$C$11</f>
        <v>0</v>
      </c>
      <c r="R1528" s="61" t="n">
        <f aca="false">SUM(I1528:Q1528)</f>
        <v>113.059958</v>
      </c>
      <c r="S1528" s="61" t="n">
        <f aca="false">R1528/(1-Resumo!$C$5)</f>
        <v>128.477225</v>
      </c>
      <c r="T1528" s="61" t="n">
        <v>131.02</v>
      </c>
      <c r="U1528" s="61" t="n">
        <f aca="false">H1528*Resumo!$B$6</f>
        <v>0.99999</v>
      </c>
      <c r="V1528" s="61" t="n">
        <f aca="false">H1528*Resumo!$B$7</f>
        <v>1.99998</v>
      </c>
      <c r="W1528" s="61" t="n">
        <f aca="false">Resumo!$B$9</f>
        <v>1</v>
      </c>
      <c r="X1528" s="61" t="n">
        <f aca="false">Resumo!$B$10*CEILING(G1528/100,1)</f>
        <v>4.5</v>
      </c>
      <c r="Y1528" s="61" t="n">
        <f aca="false">Resumo!$B$12*CEILING(G1528,1)</f>
        <v>4.14</v>
      </c>
      <c r="Z1528" s="61" t="n">
        <f aca="false">Resumo!$B$14*CEILING(G1528,1)</f>
        <v>31.05</v>
      </c>
      <c r="AA1528" s="61" t="n">
        <f aca="false">SUM(T1528:Z1528)</f>
        <v>174.70997</v>
      </c>
      <c r="AB1528" s="61" t="n">
        <f aca="false">AA1528/(1-Resumo!$B$5)</f>
        <v>198.534056818182</v>
      </c>
      <c r="AC1528" s="61" t="n">
        <f aca="false">AB1528-S1528</f>
        <v>70.0568318181819</v>
      </c>
      <c r="AD1528" s="62" t="n">
        <f aca="false">AB1528/S1528-1</f>
        <v>0.545285997718131</v>
      </c>
      <c r="AE1528" s="60" t="str">
        <f aca="false">IF(AB1528&lt;S1528,"SIM","NÃO")</f>
        <v>NÃO</v>
      </c>
      <c r="AF1528" s="60" t="n">
        <v>2</v>
      </c>
      <c r="AG1528" s="60" t="n">
        <v>5</v>
      </c>
      <c r="AH1528" s="60" t="s">
        <v>382</v>
      </c>
      <c r="AI1528" s="61" t="n">
        <f aca="false">(T1528*(1-Painel!$C$40)+U1528+V1528+Painel!$C$41+Painel!$C$42*CEILING(G1528/100,1)+Painel!$C$43*CEILING(G1528,1)+Z1528)/(1-Resumo!$B$5)</f>
        <v>140.776556818182</v>
      </c>
      <c r="AJ1528" s="60" t="str">
        <f aca="false">IF(AI1528&lt;S1528,"SIM","NÃO")</f>
        <v>NÃO</v>
      </c>
    </row>
    <row r="1529" customFormat="false" ht="15" hidden="false" customHeight="false" outlineLevel="0" collapsed="false">
      <c r="A1529" s="59" t="n">
        <v>46267.4772916667</v>
      </c>
      <c r="B1529" s="60" t="s">
        <v>1774</v>
      </c>
      <c r="C1529" s="60" t="n">
        <v>25675050</v>
      </c>
      <c r="D1529" s="60" t="s">
        <v>219</v>
      </c>
      <c r="E1529" s="60" t="s">
        <v>24</v>
      </c>
      <c r="F1529" s="60" t="s">
        <v>234</v>
      </c>
      <c r="G1529" s="60" t="n">
        <v>39</v>
      </c>
      <c r="H1529" s="61" t="n">
        <v>539.99</v>
      </c>
      <c r="I1529" s="61" t="n">
        <v>74.97</v>
      </c>
      <c r="J1529" s="61" t="n">
        <f aca="false">H1529*Resumo!$C$6</f>
        <v>0</v>
      </c>
      <c r="K1529" s="61" t="n">
        <f aca="false">H1529*Resumo!$C$7</f>
        <v>1.133979</v>
      </c>
      <c r="L1529" s="61" t="n">
        <f aca="false">H1529*Resumo!$C$8</f>
        <v>1.133979</v>
      </c>
      <c r="M1529" s="61" t="n">
        <f aca="false">Resumo!$C$10*CEILING(G1529/100,1)</f>
        <v>1.05</v>
      </c>
      <c r="N1529" s="61" t="n">
        <f aca="false">Resumo!$C$9</f>
        <v>0</v>
      </c>
      <c r="O1529" s="61" t="n">
        <f aca="false">Resumo!$C$13</f>
        <v>13.55</v>
      </c>
      <c r="P1529" s="61" t="n">
        <f aca="false">Resumo!$C$14*CEILING(G1529,1)</f>
        <v>17.55</v>
      </c>
      <c r="Q1529" s="61" t="n">
        <f aca="false">SUM(I1529:P1529)*Resumo!$C$11</f>
        <v>0</v>
      </c>
      <c r="R1529" s="61" t="n">
        <f aca="false">SUM(I1529:Q1529)</f>
        <v>109.387958</v>
      </c>
      <c r="S1529" s="61" t="n">
        <f aca="false">R1529/(1-Resumo!$C$5)</f>
        <v>124.304497727273</v>
      </c>
      <c r="T1529" s="61" t="n">
        <v>124.38</v>
      </c>
      <c r="U1529" s="61" t="n">
        <f aca="false">H1529*Resumo!$B$6</f>
        <v>0.53999</v>
      </c>
      <c r="V1529" s="61" t="n">
        <f aca="false">H1529*Resumo!$B$7</f>
        <v>1.07998</v>
      </c>
      <c r="W1529" s="61" t="n">
        <f aca="false">Resumo!$B$9</f>
        <v>1</v>
      </c>
      <c r="X1529" s="61" t="n">
        <f aca="false">Resumo!$B$10*CEILING(G1529/100,1)</f>
        <v>4.5</v>
      </c>
      <c r="Y1529" s="61" t="n">
        <f aca="false">Resumo!$B$12*CEILING(G1529,1)</f>
        <v>2.34</v>
      </c>
      <c r="Z1529" s="61" t="n">
        <f aca="false">Resumo!$B$14*CEILING(G1529,1)</f>
        <v>17.55</v>
      </c>
      <c r="AA1529" s="61" t="n">
        <f aca="false">SUM(T1529:Z1529)</f>
        <v>151.38997</v>
      </c>
      <c r="AB1529" s="61" t="n">
        <f aca="false">AA1529/(1-Resumo!$B$5)</f>
        <v>172.034056818182</v>
      </c>
      <c r="AC1529" s="61" t="n">
        <f aca="false">AB1529-S1529</f>
        <v>47.7295590909091</v>
      </c>
      <c r="AD1529" s="62" t="n">
        <f aca="false">AB1529/S1529-1</f>
        <v>0.38397290495175</v>
      </c>
      <c r="AE1529" s="60" t="str">
        <f aca="false">IF(AB1529&lt;S1529,"SIM","NÃO")</f>
        <v>NÃO</v>
      </c>
      <c r="AF1529" s="60" t="n">
        <v>13</v>
      </c>
      <c r="AG1529" s="60" t="n">
        <v>8</v>
      </c>
      <c r="AH1529" s="60" t="s">
        <v>382</v>
      </c>
      <c r="AI1529" s="61" t="n">
        <f aca="false">(T1529*(1-Painel!$C$40)+U1529+V1529+Painel!$C$41+Painel!$C$42*CEILING(G1529/100,1)+Painel!$C$43*CEILING(G1529,1)+Z1529)/(1-Resumo!$B$5)</f>
        <v>118.812011363636</v>
      </c>
      <c r="AJ1529" s="60" t="str">
        <f aca="false">IF(AI1529&lt;S1529,"SIM","NÃO")</f>
        <v>SIM</v>
      </c>
    </row>
    <row r="1530" customFormat="false" ht="15" hidden="false" customHeight="false" outlineLevel="0" collapsed="false">
      <c r="A1530" s="59" t="n">
        <v>46267.5891319444</v>
      </c>
      <c r="B1530" s="60" t="s">
        <v>1775</v>
      </c>
      <c r="C1530" s="60" t="n">
        <v>28941348</v>
      </c>
      <c r="D1530" s="60" t="s">
        <v>338</v>
      </c>
      <c r="E1530" s="60" t="s">
        <v>24</v>
      </c>
      <c r="F1530" s="60" t="s">
        <v>233</v>
      </c>
      <c r="G1530" s="60" t="n">
        <v>27.6</v>
      </c>
      <c r="H1530" s="61" t="n">
        <v>496.57</v>
      </c>
      <c r="I1530" s="61" t="n">
        <v>65.63</v>
      </c>
      <c r="J1530" s="61" t="n">
        <f aca="false">H1530*Resumo!$C$6</f>
        <v>0</v>
      </c>
      <c r="K1530" s="61" t="n">
        <f aca="false">H1530*Resumo!$C$7</f>
        <v>1.042797</v>
      </c>
      <c r="L1530" s="61" t="n">
        <f aca="false">H1530*Resumo!$C$8</f>
        <v>1.042797</v>
      </c>
      <c r="M1530" s="61" t="n">
        <f aca="false">Resumo!$C$10*CEILING(G1530/100,1)</f>
        <v>1.05</v>
      </c>
      <c r="N1530" s="61" t="n">
        <f aca="false">Resumo!$C$9</f>
        <v>0</v>
      </c>
      <c r="O1530" s="61" t="n">
        <f aca="false">Resumo!$C$13</f>
        <v>13.55</v>
      </c>
      <c r="P1530" s="61" t="n">
        <f aca="false">Resumo!$C$14*CEILING(G1530,1)</f>
        <v>12.6</v>
      </c>
      <c r="Q1530" s="61" t="n">
        <f aca="false">SUM(I1530:P1530)*Resumo!$C$11</f>
        <v>0</v>
      </c>
      <c r="R1530" s="61" t="n">
        <f aca="false">SUM(I1530:Q1530)</f>
        <v>94.915594</v>
      </c>
      <c r="S1530" s="61" t="n">
        <f aca="false">R1530/(1-Resumo!$C$5)</f>
        <v>107.858629545455</v>
      </c>
      <c r="T1530" s="61" t="n">
        <v>114.95</v>
      </c>
      <c r="U1530" s="61" t="n">
        <f aca="false">H1530*Resumo!$B$6</f>
        <v>0.49657</v>
      </c>
      <c r="V1530" s="61" t="n">
        <f aca="false">H1530*Resumo!$B$7</f>
        <v>0.99314</v>
      </c>
      <c r="W1530" s="61" t="n">
        <f aca="false">Resumo!$B$9</f>
        <v>1</v>
      </c>
      <c r="X1530" s="61" t="n">
        <f aca="false">Resumo!$B$10*CEILING(G1530/100,1)</f>
        <v>4.5</v>
      </c>
      <c r="Y1530" s="61" t="n">
        <f aca="false">Resumo!$B$12*CEILING(G1530,1)</f>
        <v>1.68</v>
      </c>
      <c r="Z1530" s="61" t="n">
        <f aca="false">Resumo!$B$14*CEILING(G1530,1)</f>
        <v>12.6</v>
      </c>
      <c r="AA1530" s="61" t="n">
        <f aca="false">SUM(T1530:Z1530)</f>
        <v>136.21971</v>
      </c>
      <c r="AB1530" s="61" t="n">
        <f aca="false">AA1530/(1-Resumo!$B$5)</f>
        <v>154.795125</v>
      </c>
      <c r="AC1530" s="61" t="n">
        <f aca="false">AB1530-S1530</f>
        <v>46.9364954545455</v>
      </c>
      <c r="AD1530" s="62" t="n">
        <f aca="false">AB1530/S1530-1</f>
        <v>0.435166807258247</v>
      </c>
      <c r="AE1530" s="60" t="str">
        <f aca="false">IF(AB1530&lt;S1530,"SIM","NÃO")</f>
        <v>NÃO</v>
      </c>
      <c r="AF1530" s="60" t="n">
        <v>13</v>
      </c>
      <c r="AG1530" s="60" t="n">
        <v>10</v>
      </c>
      <c r="AH1530" s="60" t="s">
        <v>385</v>
      </c>
      <c r="AI1530" s="61" t="n">
        <f aca="false">(T1530*(1-Painel!$C$40)+U1530+V1530+Painel!$C$41+Painel!$C$42*CEILING(G1530/100,1)+Painel!$C$43*CEILING(G1530,1)+Z1530)/(1-Resumo!$B$5)</f>
        <v>105.859329545455</v>
      </c>
      <c r="AJ1530" s="60" t="str">
        <f aca="false">IF(AI1530&lt;S1530,"SIM","NÃO")</f>
        <v>SIM</v>
      </c>
    </row>
    <row r="1531" customFormat="false" ht="15" hidden="false" customHeight="false" outlineLevel="0" collapsed="false">
      <c r="A1531" s="59" t="n">
        <v>46267.6048032407</v>
      </c>
      <c r="B1531" s="60" t="s">
        <v>454</v>
      </c>
      <c r="C1531" s="60" t="n">
        <v>22230000</v>
      </c>
      <c r="D1531" s="60" t="s">
        <v>46</v>
      </c>
      <c r="E1531" s="60" t="s">
        <v>22</v>
      </c>
      <c r="F1531" s="60" t="s">
        <v>235</v>
      </c>
      <c r="G1531" s="60" t="n">
        <v>49.6</v>
      </c>
      <c r="H1531" s="61" t="n">
        <v>649.78</v>
      </c>
      <c r="I1531" s="61" t="n">
        <v>53.55</v>
      </c>
      <c r="J1531" s="61" t="n">
        <f aca="false">H1531*Resumo!$C$6</f>
        <v>0</v>
      </c>
      <c r="K1531" s="61" t="n">
        <f aca="false">H1531*Resumo!$C$7</f>
        <v>1.364538</v>
      </c>
      <c r="L1531" s="61" t="n">
        <f aca="false">H1531*Resumo!$C$8</f>
        <v>1.364538</v>
      </c>
      <c r="M1531" s="61" t="n">
        <f aca="false">Resumo!$C$10*CEILING(G1531/100,1)</f>
        <v>1.05</v>
      </c>
      <c r="N1531" s="61" t="n">
        <f aca="false">Resumo!$C$9</f>
        <v>0</v>
      </c>
      <c r="O1531" s="61" t="n">
        <f aca="false">Resumo!$C$13</f>
        <v>13.55</v>
      </c>
      <c r="P1531" s="61" t="n">
        <f aca="false">Resumo!$C$14*CEILING(G1531,1)</f>
        <v>22.5</v>
      </c>
      <c r="Q1531" s="61" t="n">
        <f aca="false">SUM(I1531:P1531)*Resumo!$C$11</f>
        <v>0</v>
      </c>
      <c r="R1531" s="61" t="n">
        <f aca="false">SUM(I1531:Q1531)</f>
        <v>93.379076</v>
      </c>
      <c r="S1531" s="61" t="n">
        <f aca="false">R1531/(1-Resumo!$C$5)</f>
        <v>106.112586363636</v>
      </c>
      <c r="T1531" s="61" t="n">
        <v>93.97</v>
      </c>
      <c r="U1531" s="61" t="n">
        <f aca="false">H1531*Resumo!$B$6</f>
        <v>0.64978</v>
      </c>
      <c r="V1531" s="61" t="n">
        <f aca="false">H1531*Resumo!$B$7</f>
        <v>1.29956</v>
      </c>
      <c r="W1531" s="61" t="n">
        <f aca="false">Resumo!$B$9</f>
        <v>1</v>
      </c>
      <c r="X1531" s="61" t="n">
        <f aca="false">Resumo!$B$10*CEILING(G1531/100,1)</f>
        <v>4.5</v>
      </c>
      <c r="Y1531" s="61" t="n">
        <f aca="false">Resumo!$B$12*CEILING(G1531,1)</f>
        <v>3</v>
      </c>
      <c r="Z1531" s="61" t="n">
        <f aca="false">Resumo!$B$14*CEILING(G1531,1)</f>
        <v>22.5</v>
      </c>
      <c r="AA1531" s="61" t="n">
        <f aca="false">SUM(T1531:Z1531)</f>
        <v>126.91934</v>
      </c>
      <c r="AB1531" s="61" t="n">
        <f aca="false">AA1531/(1-Resumo!$B$5)</f>
        <v>144.226522727273</v>
      </c>
      <c r="AC1531" s="61" t="n">
        <f aca="false">AB1531-S1531</f>
        <v>38.1139363636364</v>
      </c>
      <c r="AD1531" s="62" t="n">
        <f aca="false">AB1531/S1531-1</f>
        <v>0.359183935381841</v>
      </c>
      <c r="AE1531" s="60" t="str">
        <f aca="false">IF(AB1531&lt;S1531,"SIM","NÃO")</f>
        <v>NÃO</v>
      </c>
      <c r="AF1531" s="60" t="n">
        <v>2</v>
      </c>
      <c r="AG1531" s="60" t="n">
        <v>5</v>
      </c>
      <c r="AH1531" s="60" t="s">
        <v>382</v>
      </c>
      <c r="AI1531" s="61" t="n">
        <f aca="false">(T1531*(1-Painel!$C$40)+U1531+V1531+Painel!$C$41+Painel!$C$42*CEILING(G1531/100,1)+Painel!$C$43*CEILING(G1531,1)+Z1531)/(1-Resumo!$B$5)</f>
        <v>101.658227272727</v>
      </c>
      <c r="AJ1531" s="60" t="str">
        <f aca="false">IF(AI1531&lt;S1531,"SIM","NÃO")</f>
        <v>SIM</v>
      </c>
    </row>
    <row r="1532" customFormat="false" ht="15" hidden="false" customHeight="false" outlineLevel="0" collapsed="false">
      <c r="A1532" s="59" t="n">
        <v>46267.6194907407</v>
      </c>
      <c r="B1532" s="60" t="s">
        <v>1776</v>
      </c>
      <c r="C1532" s="60" t="n">
        <v>20220150</v>
      </c>
      <c r="D1532" s="60" t="s">
        <v>46</v>
      </c>
      <c r="E1532" s="60" t="s">
        <v>22</v>
      </c>
      <c r="F1532" s="60" t="s">
        <v>237</v>
      </c>
      <c r="G1532" s="60" t="n">
        <v>66.8</v>
      </c>
      <c r="H1532" s="61" t="n">
        <v>578</v>
      </c>
      <c r="I1532" s="61" t="n">
        <v>63.21</v>
      </c>
      <c r="J1532" s="61" t="n">
        <f aca="false">H1532*Resumo!$C$6</f>
        <v>0</v>
      </c>
      <c r="K1532" s="61" t="n">
        <f aca="false">H1532*Resumo!$C$7</f>
        <v>1.2138</v>
      </c>
      <c r="L1532" s="61" t="n">
        <f aca="false">H1532*Resumo!$C$8</f>
        <v>1.2138</v>
      </c>
      <c r="M1532" s="61" t="n">
        <f aca="false">Resumo!$C$10*CEILING(G1532/100,1)</f>
        <v>1.05</v>
      </c>
      <c r="N1532" s="61" t="n">
        <f aca="false">Resumo!$C$9</f>
        <v>0</v>
      </c>
      <c r="O1532" s="61" t="n">
        <f aca="false">Resumo!$C$13</f>
        <v>13.55</v>
      </c>
      <c r="P1532" s="61" t="n">
        <f aca="false">Resumo!$C$14*CEILING(G1532,1)</f>
        <v>30.15</v>
      </c>
      <c r="Q1532" s="61" t="n">
        <f aca="false">SUM(I1532:P1532)*Resumo!$C$11</f>
        <v>0</v>
      </c>
      <c r="R1532" s="61" t="n">
        <f aca="false">SUM(I1532:Q1532)</f>
        <v>110.3876</v>
      </c>
      <c r="S1532" s="61" t="n">
        <f aca="false">R1532/(1-Resumo!$C$5)</f>
        <v>125.440454545455</v>
      </c>
      <c r="T1532" s="61" t="n">
        <v>131.02</v>
      </c>
      <c r="U1532" s="61" t="n">
        <f aca="false">H1532*Resumo!$B$6</f>
        <v>0.578</v>
      </c>
      <c r="V1532" s="61" t="n">
        <f aca="false">H1532*Resumo!$B$7</f>
        <v>1.156</v>
      </c>
      <c r="W1532" s="61" t="n">
        <f aca="false">Resumo!$B$9</f>
        <v>1</v>
      </c>
      <c r="X1532" s="61" t="n">
        <f aca="false">Resumo!$B$10*CEILING(G1532/100,1)</f>
        <v>4.5</v>
      </c>
      <c r="Y1532" s="61" t="n">
        <f aca="false">Resumo!$B$12*CEILING(G1532,1)</f>
        <v>4.02</v>
      </c>
      <c r="Z1532" s="61" t="n">
        <f aca="false">Resumo!$B$14*CEILING(G1532,1)</f>
        <v>30.15</v>
      </c>
      <c r="AA1532" s="61" t="n">
        <f aca="false">SUM(T1532:Z1532)</f>
        <v>172.424</v>
      </c>
      <c r="AB1532" s="61" t="n">
        <f aca="false">AA1532/(1-Resumo!$B$5)</f>
        <v>195.936363636364</v>
      </c>
      <c r="AC1532" s="61" t="n">
        <f aca="false">AB1532-S1532</f>
        <v>70.4959090909091</v>
      </c>
      <c r="AD1532" s="62" t="n">
        <f aca="false">AB1532/S1532-1</f>
        <v>0.561987034775645</v>
      </c>
      <c r="AE1532" s="60" t="str">
        <f aca="false">IF(AB1532&lt;S1532,"SIM","NÃO")</f>
        <v>NÃO</v>
      </c>
      <c r="AF1532" s="60" t="n">
        <v>2</v>
      </c>
      <c r="AG1532" s="60" t="n">
        <v>5</v>
      </c>
      <c r="AH1532" s="60" t="s">
        <v>382</v>
      </c>
      <c r="AI1532" s="61" t="n">
        <f aca="false">(T1532*(1-Painel!$C$40)+U1532+V1532+Painel!$C$41+Painel!$C$42*CEILING(G1532/100,1)+Painel!$C$43*CEILING(G1532,1)+Z1532)/(1-Resumo!$B$5)</f>
        <v>138.315227272727</v>
      </c>
      <c r="AJ1532" s="60" t="str">
        <f aca="false">IF(AI1532&lt;S1532,"SIM","NÃO")</f>
        <v>NÃO</v>
      </c>
    </row>
    <row r="1533" customFormat="false" ht="15" hidden="false" customHeight="false" outlineLevel="0" collapsed="false">
      <c r="A1533" s="59" t="n">
        <v>46267.6424421296</v>
      </c>
      <c r="B1533" s="60" t="s">
        <v>1777</v>
      </c>
      <c r="C1533" s="60" t="n">
        <v>28995104</v>
      </c>
      <c r="D1533" s="60" t="s">
        <v>341</v>
      </c>
      <c r="E1533" s="60" t="s">
        <v>24</v>
      </c>
      <c r="F1533" s="60" t="s">
        <v>234</v>
      </c>
      <c r="G1533" s="60" t="n">
        <v>38.2</v>
      </c>
      <c r="H1533" s="61" t="n">
        <v>668.2</v>
      </c>
      <c r="I1533" s="61" t="n">
        <v>74.97</v>
      </c>
      <c r="J1533" s="61" t="n">
        <f aca="false">H1533*Resumo!$C$6</f>
        <v>0</v>
      </c>
      <c r="K1533" s="61" t="n">
        <f aca="false">H1533*Resumo!$C$7</f>
        <v>1.40322</v>
      </c>
      <c r="L1533" s="61" t="n">
        <f aca="false">H1533*Resumo!$C$8</f>
        <v>1.40322</v>
      </c>
      <c r="M1533" s="61" t="n">
        <f aca="false">Resumo!$C$10*CEILING(G1533/100,1)</f>
        <v>1.05</v>
      </c>
      <c r="N1533" s="61" t="n">
        <f aca="false">Resumo!$C$9</f>
        <v>0</v>
      </c>
      <c r="O1533" s="61" t="n">
        <f aca="false">Resumo!$C$13</f>
        <v>13.55</v>
      </c>
      <c r="P1533" s="61" t="n">
        <f aca="false">Resumo!$C$14*CEILING(G1533,1)</f>
        <v>17.55</v>
      </c>
      <c r="Q1533" s="61" t="n">
        <f aca="false">SUM(I1533:P1533)*Resumo!$C$11</f>
        <v>0</v>
      </c>
      <c r="R1533" s="61" t="n">
        <f aca="false">SUM(I1533:Q1533)</f>
        <v>109.92644</v>
      </c>
      <c r="S1533" s="61" t="n">
        <f aca="false">R1533/(1-Resumo!$C$5)</f>
        <v>124.916409090909</v>
      </c>
      <c r="T1533" s="61" t="n">
        <v>124.38</v>
      </c>
      <c r="U1533" s="61" t="n">
        <f aca="false">H1533*Resumo!$B$6</f>
        <v>0.6682</v>
      </c>
      <c r="V1533" s="61" t="n">
        <f aca="false">H1533*Resumo!$B$7</f>
        <v>1.3364</v>
      </c>
      <c r="W1533" s="61" t="n">
        <f aca="false">Resumo!$B$9</f>
        <v>1</v>
      </c>
      <c r="X1533" s="61" t="n">
        <f aca="false">Resumo!$B$10*CEILING(G1533/100,1)</f>
        <v>4.5</v>
      </c>
      <c r="Y1533" s="61" t="n">
        <f aca="false">Resumo!$B$12*CEILING(G1533,1)</f>
        <v>2.34</v>
      </c>
      <c r="Z1533" s="61" t="n">
        <f aca="false">Resumo!$B$14*CEILING(G1533,1)</f>
        <v>17.55</v>
      </c>
      <c r="AA1533" s="61" t="n">
        <f aca="false">SUM(T1533:Z1533)</f>
        <v>151.7746</v>
      </c>
      <c r="AB1533" s="61" t="n">
        <f aca="false">AA1533/(1-Resumo!$B$5)</f>
        <v>172.471136363636</v>
      </c>
      <c r="AC1533" s="61" t="n">
        <f aca="false">AB1533-S1533</f>
        <v>47.5547272727273</v>
      </c>
      <c r="AD1533" s="62" t="n">
        <f aca="false">AB1533/S1533-1</f>
        <v>0.380692397570594</v>
      </c>
      <c r="AE1533" s="60" t="str">
        <f aca="false">IF(AB1533&lt;S1533,"SIM","NÃO")</f>
        <v>NÃO</v>
      </c>
      <c r="AF1533" s="60" t="n">
        <v>13</v>
      </c>
      <c r="AG1533" s="60" t="n">
        <v>10</v>
      </c>
      <c r="AH1533" s="60" t="s">
        <v>385</v>
      </c>
      <c r="AI1533" s="61" t="n">
        <f aca="false">(T1533*(1-Painel!$C$40)+U1533+V1533+Painel!$C$41+Painel!$C$42*CEILING(G1533/100,1)+Painel!$C$43*CEILING(G1533,1)+Z1533)/(1-Resumo!$B$5)</f>
        <v>119.249090909091</v>
      </c>
      <c r="AJ1533" s="60" t="str">
        <f aca="false">IF(AI1533&lt;S1533,"SIM","NÃO")</f>
        <v>SIM</v>
      </c>
    </row>
    <row r="1534" customFormat="false" ht="15" hidden="false" customHeight="false" outlineLevel="0" collapsed="false">
      <c r="A1534" s="59" t="n">
        <v>46267.6710069445</v>
      </c>
      <c r="B1534" s="60" t="s">
        <v>1778</v>
      </c>
      <c r="C1534" s="60" t="n">
        <v>28928420</v>
      </c>
      <c r="D1534" s="60" t="s">
        <v>221</v>
      </c>
      <c r="E1534" s="60" t="s">
        <v>24</v>
      </c>
      <c r="F1534" s="60" t="s">
        <v>234</v>
      </c>
      <c r="G1534" s="60" t="n">
        <v>37.2</v>
      </c>
      <c r="H1534" s="61" t="n">
        <v>366.5</v>
      </c>
      <c r="I1534" s="61" t="n">
        <v>74.97</v>
      </c>
      <c r="J1534" s="61" t="n">
        <f aca="false">H1534*Resumo!$C$6</f>
        <v>0</v>
      </c>
      <c r="K1534" s="61" t="n">
        <f aca="false">H1534*Resumo!$C$7</f>
        <v>0.76965</v>
      </c>
      <c r="L1534" s="61" t="n">
        <f aca="false">H1534*Resumo!$C$8</f>
        <v>0.76965</v>
      </c>
      <c r="M1534" s="61" t="n">
        <f aca="false">Resumo!$C$10*CEILING(G1534/100,1)</f>
        <v>1.05</v>
      </c>
      <c r="N1534" s="61" t="n">
        <f aca="false">Resumo!$C$9</f>
        <v>0</v>
      </c>
      <c r="O1534" s="61" t="n">
        <f aca="false">Resumo!$C$13</f>
        <v>13.55</v>
      </c>
      <c r="P1534" s="61" t="n">
        <f aca="false">Resumo!$C$14*CEILING(G1534,1)</f>
        <v>17.1</v>
      </c>
      <c r="Q1534" s="61" t="n">
        <f aca="false">SUM(I1534:P1534)*Resumo!$C$11</f>
        <v>0</v>
      </c>
      <c r="R1534" s="61" t="n">
        <f aca="false">SUM(I1534:Q1534)</f>
        <v>108.2093</v>
      </c>
      <c r="S1534" s="61" t="n">
        <f aca="false">R1534/(1-Resumo!$C$5)</f>
        <v>122.965113636364</v>
      </c>
      <c r="T1534" s="61" t="n">
        <v>124.38</v>
      </c>
      <c r="U1534" s="61" t="n">
        <f aca="false">H1534*Resumo!$B$6</f>
        <v>0.3665</v>
      </c>
      <c r="V1534" s="61" t="n">
        <f aca="false">H1534*Resumo!$B$7</f>
        <v>0.733</v>
      </c>
      <c r="W1534" s="61" t="n">
        <f aca="false">Resumo!$B$9</f>
        <v>1</v>
      </c>
      <c r="X1534" s="61" t="n">
        <f aca="false">Resumo!$B$10*CEILING(G1534/100,1)</f>
        <v>4.5</v>
      </c>
      <c r="Y1534" s="61" t="n">
        <f aca="false">Resumo!$B$12*CEILING(G1534,1)</f>
        <v>2.28</v>
      </c>
      <c r="Z1534" s="61" t="n">
        <f aca="false">Resumo!$B$14*CEILING(G1534,1)</f>
        <v>17.1</v>
      </c>
      <c r="AA1534" s="61" t="n">
        <f aca="false">SUM(T1534:Z1534)</f>
        <v>150.3595</v>
      </c>
      <c r="AB1534" s="61" t="n">
        <f aca="false">AA1534/(1-Resumo!$B$5)</f>
        <v>170.863068181818</v>
      </c>
      <c r="AC1534" s="61" t="n">
        <f aca="false">AB1534-S1534</f>
        <v>47.8979545454545</v>
      </c>
      <c r="AD1534" s="62" t="n">
        <f aca="false">AB1534/S1534-1</f>
        <v>0.389524745100467</v>
      </c>
      <c r="AE1534" s="60" t="str">
        <f aca="false">IF(AB1534&lt;S1534,"SIM","NÃO")</f>
        <v>NÃO</v>
      </c>
      <c r="AF1534" s="60" t="n">
        <v>13</v>
      </c>
      <c r="AG1534" s="60" t="n">
        <v>10</v>
      </c>
      <c r="AH1534" s="60" t="s">
        <v>382</v>
      </c>
      <c r="AI1534" s="61" t="n">
        <f aca="false">(T1534*(1-Painel!$C$40)+U1534+V1534+Painel!$C$41+Painel!$C$42*CEILING(G1534/100,1)+Painel!$C$43*CEILING(G1534,1)+Z1534)/(1-Resumo!$B$5)</f>
        <v>117.709204545455</v>
      </c>
      <c r="AJ1534" s="60" t="str">
        <f aca="false">IF(AI1534&lt;S1534,"SIM","NÃO")</f>
        <v>SIM</v>
      </c>
    </row>
    <row r="1535" customFormat="false" ht="15" hidden="false" customHeight="false" outlineLevel="0" collapsed="false">
      <c r="A1535" s="59" t="n">
        <v>46267.7211226852</v>
      </c>
      <c r="B1535" s="60" t="s">
        <v>1779</v>
      </c>
      <c r="C1535" s="60" t="n">
        <v>21760320</v>
      </c>
      <c r="D1535" s="60" t="s">
        <v>46</v>
      </c>
      <c r="E1535" s="60" t="s">
        <v>22</v>
      </c>
      <c r="F1535" s="60" t="s">
        <v>234</v>
      </c>
      <c r="G1535" s="60" t="n">
        <v>37.2</v>
      </c>
      <c r="H1535" s="61" t="n">
        <v>433.49</v>
      </c>
      <c r="I1535" s="61" t="n">
        <v>48.35</v>
      </c>
      <c r="J1535" s="61" t="n">
        <f aca="false">H1535*Resumo!$C$6</f>
        <v>0</v>
      </c>
      <c r="K1535" s="61" t="n">
        <f aca="false">H1535*Resumo!$C$7</f>
        <v>0.910329</v>
      </c>
      <c r="L1535" s="61" t="n">
        <f aca="false">H1535*Resumo!$C$8</f>
        <v>0.910329</v>
      </c>
      <c r="M1535" s="61" t="n">
        <f aca="false">Resumo!$C$10*CEILING(G1535/100,1)</f>
        <v>1.05</v>
      </c>
      <c r="N1535" s="61" t="n">
        <f aca="false">Resumo!$C$9</f>
        <v>0</v>
      </c>
      <c r="O1535" s="61" t="n">
        <f aca="false">Resumo!$C$13</f>
        <v>13.55</v>
      </c>
      <c r="P1535" s="61" t="n">
        <f aca="false">Resumo!$C$14*CEILING(G1535,1)</f>
        <v>17.1</v>
      </c>
      <c r="Q1535" s="61" t="n">
        <f aca="false">SUM(I1535:P1535)*Resumo!$C$11</f>
        <v>0</v>
      </c>
      <c r="R1535" s="61" t="n">
        <f aca="false">SUM(I1535:Q1535)</f>
        <v>81.870658</v>
      </c>
      <c r="S1535" s="61" t="n">
        <f aca="false">R1535/(1-Resumo!$C$5)</f>
        <v>93.0348386363636</v>
      </c>
      <c r="T1535" s="61" t="n">
        <v>93.97</v>
      </c>
      <c r="U1535" s="61" t="n">
        <f aca="false">H1535*Resumo!$B$6</f>
        <v>0.43349</v>
      </c>
      <c r="V1535" s="61" t="n">
        <f aca="false">H1535*Resumo!$B$7</f>
        <v>0.86698</v>
      </c>
      <c r="W1535" s="61" t="n">
        <f aca="false">Resumo!$B$9</f>
        <v>1</v>
      </c>
      <c r="X1535" s="61" t="n">
        <f aca="false">Resumo!$B$10*CEILING(G1535/100,1)</f>
        <v>4.5</v>
      </c>
      <c r="Y1535" s="61" t="n">
        <f aca="false">Resumo!$B$12*CEILING(G1535,1)</f>
        <v>2.28</v>
      </c>
      <c r="Z1535" s="61" t="n">
        <f aca="false">Resumo!$B$14*CEILING(G1535,1)</f>
        <v>17.1</v>
      </c>
      <c r="AA1535" s="61" t="n">
        <f aca="false">SUM(T1535:Z1535)</f>
        <v>120.15047</v>
      </c>
      <c r="AB1535" s="61" t="n">
        <f aca="false">AA1535/(1-Resumo!$B$5)</f>
        <v>136.534625</v>
      </c>
      <c r="AC1535" s="61" t="n">
        <f aca="false">AB1535-S1535</f>
        <v>43.4997863636364</v>
      </c>
      <c r="AD1535" s="62" t="n">
        <f aca="false">AB1535/S1535-1</f>
        <v>0.467564484457912</v>
      </c>
      <c r="AE1535" s="60" t="str">
        <f aca="false">IF(AB1535&lt;S1535,"SIM","NÃO")</f>
        <v>NÃO</v>
      </c>
      <c r="AF1535" s="60" t="n">
        <v>2</v>
      </c>
      <c r="AG1535" s="60" t="n">
        <v>5</v>
      </c>
      <c r="AH1535" s="60" t="s">
        <v>382</v>
      </c>
      <c r="AI1535" s="61" t="n">
        <f aca="false">(T1535*(1-Painel!$C$40)+U1535+V1535+Painel!$C$41+Painel!$C$42*CEILING(G1535/100,1)+Painel!$C$43*CEILING(G1535,1)+Z1535)/(1-Resumo!$B$5)</f>
        <v>94.7845113636364</v>
      </c>
      <c r="AJ1535" s="60" t="str">
        <f aca="false">IF(AI1535&lt;S1535,"SIM","NÃO")</f>
        <v>NÃO</v>
      </c>
    </row>
    <row r="1536" customFormat="false" ht="15" hidden="false" customHeight="false" outlineLevel="0" collapsed="false">
      <c r="A1536" s="59" t="n">
        <v>46267.750462963</v>
      </c>
      <c r="B1536" s="60" t="s">
        <v>1780</v>
      </c>
      <c r="C1536" s="60" t="n">
        <v>24722045</v>
      </c>
      <c r="D1536" s="60" t="s">
        <v>47</v>
      </c>
      <c r="E1536" s="60" t="s">
        <v>23</v>
      </c>
      <c r="F1536" s="60" t="s">
        <v>233</v>
      </c>
      <c r="G1536" s="60" t="n">
        <v>29.2</v>
      </c>
      <c r="H1536" s="61" t="n">
        <v>449.99</v>
      </c>
      <c r="I1536" s="61" t="n">
        <v>58.8</v>
      </c>
      <c r="J1536" s="61" t="n">
        <f aca="false">H1536*Resumo!$C$6</f>
        <v>0</v>
      </c>
      <c r="K1536" s="61" t="n">
        <f aca="false">H1536*Resumo!$C$7</f>
        <v>0.944979</v>
      </c>
      <c r="L1536" s="61" t="n">
        <f aca="false">H1536*Resumo!$C$8</f>
        <v>0.944979</v>
      </c>
      <c r="M1536" s="61" t="n">
        <f aca="false">Resumo!$C$10*CEILING(G1536/100,1)</f>
        <v>1.05</v>
      </c>
      <c r="N1536" s="61" t="n">
        <f aca="false">Resumo!$C$9</f>
        <v>0</v>
      </c>
      <c r="O1536" s="61" t="n">
        <f aca="false">Resumo!$C$13</f>
        <v>13.55</v>
      </c>
      <c r="P1536" s="61" t="n">
        <f aca="false">Resumo!$C$14*CEILING(G1536,1)</f>
        <v>13.5</v>
      </c>
      <c r="Q1536" s="61" t="n">
        <f aca="false">SUM(I1536:P1536)*Resumo!$C$11</f>
        <v>0</v>
      </c>
      <c r="R1536" s="61" t="n">
        <f aca="false">SUM(I1536:Q1536)</f>
        <v>88.789958</v>
      </c>
      <c r="S1536" s="61" t="n">
        <f aca="false">R1536/(1-Resumo!$C$5)</f>
        <v>100.897679545455</v>
      </c>
      <c r="T1536" s="61" t="n">
        <v>100.58</v>
      </c>
      <c r="U1536" s="61" t="n">
        <f aca="false">H1536*Resumo!$B$6</f>
        <v>0.44999</v>
      </c>
      <c r="V1536" s="61" t="n">
        <f aca="false">H1536*Resumo!$B$7</f>
        <v>0.89998</v>
      </c>
      <c r="W1536" s="61" t="n">
        <f aca="false">Resumo!$B$9</f>
        <v>1</v>
      </c>
      <c r="X1536" s="61" t="n">
        <f aca="false">Resumo!$B$10*CEILING(G1536/100,1)</f>
        <v>4.5</v>
      </c>
      <c r="Y1536" s="61" t="n">
        <f aca="false">Resumo!$B$12*CEILING(G1536,1)</f>
        <v>1.8</v>
      </c>
      <c r="Z1536" s="61" t="n">
        <f aca="false">Resumo!$B$14*CEILING(G1536,1)</f>
        <v>13.5</v>
      </c>
      <c r="AA1536" s="61" t="n">
        <f aca="false">SUM(T1536:Z1536)</f>
        <v>122.72997</v>
      </c>
      <c r="AB1536" s="61" t="n">
        <f aca="false">AA1536/(1-Resumo!$B$5)</f>
        <v>139.465875</v>
      </c>
      <c r="AC1536" s="61" t="n">
        <f aca="false">AB1536-S1536</f>
        <v>38.5681954545454</v>
      </c>
      <c r="AD1536" s="62" t="n">
        <f aca="false">AB1536/S1536-1</f>
        <v>0.38225056937182</v>
      </c>
      <c r="AE1536" s="60" t="str">
        <f aca="false">IF(AB1536&lt;S1536,"SIM","NÃO")</f>
        <v>NÃO</v>
      </c>
      <c r="AF1536" s="60" t="n">
        <v>2</v>
      </c>
      <c r="AG1536" s="60" t="n">
        <v>7</v>
      </c>
      <c r="AH1536" s="60" t="s">
        <v>382</v>
      </c>
      <c r="AI1536" s="61" t="n">
        <f aca="false">(T1536*(1-Painel!$C$40)+U1536+V1536+Painel!$C$41+Painel!$C$42*CEILING(G1536/100,1)+Painel!$C$43*CEILING(G1536,1)+Z1536)/(1-Resumo!$B$5)</f>
        <v>95.7824659090909</v>
      </c>
      <c r="AJ1536" s="60" t="str">
        <f aca="false">IF(AI1536&lt;S1536,"SIM","NÃO")</f>
        <v>SIM</v>
      </c>
    </row>
    <row r="1537" customFormat="false" ht="15" hidden="false" customHeight="false" outlineLevel="0" collapsed="false">
      <c r="A1537" s="59" t="n">
        <v>46267.7950462963</v>
      </c>
      <c r="B1537" s="60" t="s">
        <v>1781</v>
      </c>
      <c r="C1537" s="60" t="n">
        <v>28899401</v>
      </c>
      <c r="D1537" s="60" t="s">
        <v>227</v>
      </c>
      <c r="E1537" s="60" t="s">
        <v>24</v>
      </c>
      <c r="F1537" s="60" t="s">
        <v>237</v>
      </c>
      <c r="G1537" s="60" t="n">
        <v>69</v>
      </c>
      <c r="H1537" s="61" t="n">
        <v>709.89</v>
      </c>
      <c r="I1537" s="61" t="n">
        <v>90.2</v>
      </c>
      <c r="J1537" s="61" t="n">
        <f aca="false">H1537*Resumo!$C$6</f>
        <v>0</v>
      </c>
      <c r="K1537" s="61" t="n">
        <f aca="false">H1537*Resumo!$C$7</f>
        <v>1.490769</v>
      </c>
      <c r="L1537" s="61" t="n">
        <f aca="false">H1537*Resumo!$C$8</f>
        <v>1.490769</v>
      </c>
      <c r="M1537" s="61" t="n">
        <f aca="false">Resumo!$C$10*CEILING(G1537/100,1)</f>
        <v>1.05</v>
      </c>
      <c r="N1537" s="61" t="n">
        <f aca="false">Resumo!$C$9</f>
        <v>0</v>
      </c>
      <c r="O1537" s="61" t="n">
        <f aca="false">Resumo!$C$13</f>
        <v>13.55</v>
      </c>
      <c r="P1537" s="61" t="n">
        <f aca="false">Resumo!$C$14*CEILING(G1537,1)</f>
        <v>31.05</v>
      </c>
      <c r="Q1537" s="61" t="n">
        <f aca="false">SUM(I1537:P1537)*Resumo!$C$11</f>
        <v>0</v>
      </c>
      <c r="R1537" s="61" t="n">
        <f aca="false">SUM(I1537:Q1537)</f>
        <v>138.831538</v>
      </c>
      <c r="S1537" s="61" t="n">
        <f aca="false">R1537/(1-Resumo!$C$5)</f>
        <v>157.763111363636</v>
      </c>
      <c r="T1537" s="61" t="n">
        <v>166.05</v>
      </c>
      <c r="U1537" s="61" t="n">
        <f aca="false">H1537*Resumo!$B$6</f>
        <v>0.70989</v>
      </c>
      <c r="V1537" s="61" t="n">
        <f aca="false">H1537*Resumo!$B$7</f>
        <v>1.41978</v>
      </c>
      <c r="W1537" s="61" t="n">
        <f aca="false">Resumo!$B$9</f>
        <v>1</v>
      </c>
      <c r="X1537" s="61" t="n">
        <f aca="false">Resumo!$B$10*CEILING(G1537/100,1)</f>
        <v>4.5</v>
      </c>
      <c r="Y1537" s="61" t="n">
        <f aca="false">Resumo!$B$12*CEILING(G1537,1)</f>
        <v>4.14</v>
      </c>
      <c r="Z1537" s="61" t="n">
        <f aca="false">Resumo!$B$14*CEILING(G1537,1)</f>
        <v>31.05</v>
      </c>
      <c r="AA1537" s="61" t="n">
        <f aca="false">SUM(T1537:Z1537)</f>
        <v>208.86967</v>
      </c>
      <c r="AB1537" s="61" t="n">
        <f aca="false">AA1537/(1-Resumo!$B$5)</f>
        <v>237.351897727273</v>
      </c>
      <c r="AC1537" s="61" t="n">
        <f aca="false">AB1537-S1537</f>
        <v>79.5887863636364</v>
      </c>
      <c r="AD1537" s="62" t="n">
        <f aca="false">AB1537/S1537-1</f>
        <v>0.504482864693179</v>
      </c>
      <c r="AE1537" s="60" t="str">
        <f aca="false">IF(AB1537&lt;S1537,"SIM","NÃO")</f>
        <v>NÃO</v>
      </c>
      <c r="AF1537" s="60" t="n">
        <v>13</v>
      </c>
      <c r="AG1537" s="60" t="n">
        <v>10</v>
      </c>
      <c r="AH1537" s="60" t="s">
        <v>382</v>
      </c>
      <c r="AI1537" s="61" t="n">
        <f aca="false">(T1537*(1-Painel!$C$40)+U1537+V1537+Painel!$C$41+Painel!$C$42*CEILING(G1537/100,1)+Painel!$C$43*CEILING(G1537,1)+Z1537)/(1-Resumo!$B$5)</f>
        <v>166.458147727273</v>
      </c>
      <c r="AJ1537" s="60" t="str">
        <f aca="false">IF(AI1537&lt;S1537,"SIM","NÃO")</f>
        <v>NÃO</v>
      </c>
    </row>
    <row r="1538" customFormat="false" ht="15" hidden="false" customHeight="false" outlineLevel="0" collapsed="false">
      <c r="A1538" s="59" t="n">
        <v>46267.8742592593</v>
      </c>
      <c r="B1538" s="60" t="s">
        <v>1782</v>
      </c>
      <c r="C1538" s="60" t="n">
        <v>25570681</v>
      </c>
      <c r="D1538" s="60" t="s">
        <v>216</v>
      </c>
      <c r="E1538" s="60" t="s">
        <v>23</v>
      </c>
      <c r="F1538" s="60" t="s">
        <v>235</v>
      </c>
      <c r="G1538" s="60" t="n">
        <v>46.8</v>
      </c>
      <c r="H1538" s="61" t="n">
        <v>559.99</v>
      </c>
      <c r="I1538" s="61" t="n">
        <v>65.36</v>
      </c>
      <c r="J1538" s="61" t="n">
        <f aca="false">H1538*Resumo!$C$6</f>
        <v>0</v>
      </c>
      <c r="K1538" s="61" t="n">
        <f aca="false">H1538*Resumo!$C$7</f>
        <v>1.175979</v>
      </c>
      <c r="L1538" s="61" t="n">
        <f aca="false">H1538*Resumo!$C$8</f>
        <v>1.175979</v>
      </c>
      <c r="M1538" s="61" t="n">
        <f aca="false">Resumo!$C$10*CEILING(G1538/100,1)</f>
        <v>1.05</v>
      </c>
      <c r="N1538" s="61" t="n">
        <f aca="false">Resumo!$C$9</f>
        <v>0</v>
      </c>
      <c r="O1538" s="61" t="n">
        <f aca="false">Resumo!$C$13</f>
        <v>13.55</v>
      </c>
      <c r="P1538" s="61" t="n">
        <f aca="false">Resumo!$C$14*CEILING(G1538,1)</f>
        <v>21.15</v>
      </c>
      <c r="Q1538" s="61" t="n">
        <f aca="false">SUM(I1538:P1538)*Resumo!$C$11</f>
        <v>0</v>
      </c>
      <c r="R1538" s="61" t="n">
        <f aca="false">SUM(I1538:Q1538)</f>
        <v>103.461958</v>
      </c>
      <c r="S1538" s="61" t="n">
        <f aca="false">R1538/(1-Resumo!$C$5)</f>
        <v>117.570406818182</v>
      </c>
      <c r="T1538" s="61" t="n">
        <v>93.97</v>
      </c>
      <c r="U1538" s="61" t="n">
        <f aca="false">H1538*Resumo!$B$6</f>
        <v>0.55999</v>
      </c>
      <c r="V1538" s="61" t="n">
        <f aca="false">H1538*Resumo!$B$7</f>
        <v>1.11998</v>
      </c>
      <c r="W1538" s="61" t="n">
        <f aca="false">Resumo!$B$9</f>
        <v>1</v>
      </c>
      <c r="X1538" s="61" t="n">
        <f aca="false">Resumo!$B$10*CEILING(G1538/100,1)</f>
        <v>4.5</v>
      </c>
      <c r="Y1538" s="61" t="n">
        <f aca="false">Resumo!$B$12*CEILING(G1538,1)</f>
        <v>2.82</v>
      </c>
      <c r="Z1538" s="61" t="n">
        <f aca="false">Resumo!$B$14*CEILING(G1538,1)</f>
        <v>21.15</v>
      </c>
      <c r="AA1538" s="61" t="n">
        <f aca="false">SUM(T1538:Z1538)</f>
        <v>125.11997</v>
      </c>
      <c r="AB1538" s="61" t="n">
        <f aca="false">AA1538/(1-Resumo!$B$5)</f>
        <v>142.181784090909</v>
      </c>
      <c r="AC1538" s="61" t="n">
        <f aca="false">AB1538-S1538</f>
        <v>24.6113772727273</v>
      </c>
      <c r="AD1538" s="62" t="n">
        <f aca="false">AB1538/S1538-1</f>
        <v>0.209333096131817</v>
      </c>
      <c r="AE1538" s="60" t="str">
        <f aca="false">IF(AB1538&lt;S1538,"SIM","NÃO")</f>
        <v>NÃO</v>
      </c>
      <c r="AF1538" s="60" t="n">
        <v>2</v>
      </c>
      <c r="AG1538" s="60" t="n">
        <v>5</v>
      </c>
      <c r="AH1538" s="60" t="s">
        <v>382</v>
      </c>
      <c r="AI1538" s="61" t="n">
        <f aca="false">(T1538*(1-Painel!$C$40)+U1538+V1538+Painel!$C$41+Painel!$C$42*CEILING(G1538/100,1)+Painel!$C$43*CEILING(G1538,1)+Z1538)/(1-Resumo!$B$5)</f>
        <v>99.8180340909091</v>
      </c>
      <c r="AJ1538" s="60" t="str">
        <f aca="false">IF(AI1538&lt;S1538,"SIM","NÃO")</f>
        <v>SIM</v>
      </c>
    </row>
    <row r="1539" customFormat="false" ht="15" hidden="false" customHeight="false" outlineLevel="0" collapsed="false">
      <c r="A1539" s="59" t="n">
        <v>46267.875775463</v>
      </c>
      <c r="B1539" s="60" t="s">
        <v>1783</v>
      </c>
      <c r="C1539" s="60" t="n">
        <v>22245100</v>
      </c>
      <c r="D1539" s="60" t="s">
        <v>46</v>
      </c>
      <c r="E1539" s="60" t="s">
        <v>22</v>
      </c>
      <c r="F1539" s="60" t="s">
        <v>232</v>
      </c>
      <c r="G1539" s="60" t="n">
        <v>15.9</v>
      </c>
      <c r="H1539" s="61" t="n">
        <v>239.99</v>
      </c>
      <c r="I1539" s="61" t="n">
        <v>33.42</v>
      </c>
      <c r="J1539" s="61" t="n">
        <f aca="false">H1539*Resumo!$C$6</f>
        <v>0</v>
      </c>
      <c r="K1539" s="61" t="n">
        <f aca="false">H1539*Resumo!$C$7</f>
        <v>0.503979</v>
      </c>
      <c r="L1539" s="61" t="n">
        <f aca="false">H1539*Resumo!$C$8</f>
        <v>0.503979</v>
      </c>
      <c r="M1539" s="61" t="n">
        <f aca="false">Resumo!$C$10*CEILING(G1539/100,1)</f>
        <v>1.05</v>
      </c>
      <c r="N1539" s="61" t="n">
        <f aca="false">Resumo!$C$9</f>
        <v>0</v>
      </c>
      <c r="O1539" s="61" t="n">
        <f aca="false">Resumo!$C$13</f>
        <v>13.55</v>
      </c>
      <c r="P1539" s="61" t="n">
        <f aca="false">Resumo!$C$14*CEILING(G1539,1)</f>
        <v>7.2</v>
      </c>
      <c r="Q1539" s="61" t="n">
        <f aca="false">SUM(I1539:P1539)*Resumo!$C$11</f>
        <v>0</v>
      </c>
      <c r="R1539" s="61" t="n">
        <f aca="false">SUM(I1539:Q1539)</f>
        <v>56.227958</v>
      </c>
      <c r="S1539" s="61" t="n">
        <f aca="false">R1539/(1-Resumo!$C$5)</f>
        <v>63.8954068181818</v>
      </c>
      <c r="T1539" s="61" t="n">
        <v>46.98</v>
      </c>
      <c r="U1539" s="61" t="n">
        <f aca="false">H1539*Resumo!$B$6</f>
        <v>0.23999</v>
      </c>
      <c r="V1539" s="61" t="n">
        <f aca="false">H1539*Resumo!$B$7</f>
        <v>0.47998</v>
      </c>
      <c r="W1539" s="61" t="n">
        <f aca="false">Resumo!$B$9</f>
        <v>1</v>
      </c>
      <c r="X1539" s="61" t="n">
        <f aca="false">Resumo!$B$10*CEILING(G1539/100,1)</f>
        <v>4.5</v>
      </c>
      <c r="Y1539" s="61" t="n">
        <f aca="false">Resumo!$B$12*CEILING(G1539,1)</f>
        <v>0.96</v>
      </c>
      <c r="Z1539" s="61" t="n">
        <f aca="false">Resumo!$B$14*CEILING(G1539,1)</f>
        <v>7.2</v>
      </c>
      <c r="AA1539" s="61" t="n">
        <f aca="false">SUM(T1539:Z1539)</f>
        <v>61.35997</v>
      </c>
      <c r="AB1539" s="61" t="n">
        <f aca="false">AA1539/(1-Resumo!$B$5)</f>
        <v>69.7272386363636</v>
      </c>
      <c r="AC1539" s="61" t="n">
        <f aca="false">AB1539-S1539</f>
        <v>5.83183181818181</v>
      </c>
      <c r="AD1539" s="62" t="n">
        <f aca="false">AB1539/S1539-1</f>
        <v>0.0912715343495134</v>
      </c>
      <c r="AE1539" s="60" t="str">
        <f aca="false">IF(AB1539&lt;S1539,"SIM","NÃO")</f>
        <v>NÃO</v>
      </c>
      <c r="AF1539" s="60" t="n">
        <v>2</v>
      </c>
      <c r="AG1539" s="60" t="n">
        <v>5</v>
      </c>
      <c r="AH1539" s="60" t="s">
        <v>382</v>
      </c>
      <c r="AI1539" s="61" t="n">
        <f aca="false">(T1539*(1-Painel!$C$40)+U1539+V1539+Painel!$C$41+Painel!$C$42*CEILING(G1539/100,1)+Painel!$C$43*CEILING(G1539,1)+Z1539)/(1-Resumo!$B$5)</f>
        <v>47.098375</v>
      </c>
      <c r="AJ1539" s="60" t="str">
        <f aca="false">IF(AI1539&lt;S1539,"SIM","NÃO")</f>
        <v>SIM</v>
      </c>
    </row>
    <row r="1540" customFormat="false" ht="15" hidden="false" customHeight="false" outlineLevel="0" collapsed="false">
      <c r="A1540" s="59" t="n">
        <v>46267.9180787037</v>
      </c>
      <c r="B1540" s="60" t="s">
        <v>1784</v>
      </c>
      <c r="C1540" s="60" t="n">
        <v>26294312</v>
      </c>
      <c r="D1540" s="60" t="s">
        <v>49</v>
      </c>
      <c r="E1540" s="60" t="s">
        <v>23</v>
      </c>
      <c r="F1540" s="60" t="s">
        <v>233</v>
      </c>
      <c r="G1540" s="60" t="n">
        <v>33.3</v>
      </c>
      <c r="H1540" s="61" t="n">
        <v>389.99</v>
      </c>
      <c r="I1540" s="61" t="n">
        <v>58.8</v>
      </c>
      <c r="J1540" s="61" t="n">
        <f aca="false">H1540*Resumo!$C$6</f>
        <v>0</v>
      </c>
      <c r="K1540" s="61" t="n">
        <f aca="false">H1540*Resumo!$C$7</f>
        <v>0.818979</v>
      </c>
      <c r="L1540" s="61" t="n">
        <f aca="false">H1540*Resumo!$C$8</f>
        <v>0.818979</v>
      </c>
      <c r="M1540" s="61" t="n">
        <f aca="false">Resumo!$C$10*CEILING(G1540/100,1)</f>
        <v>1.05</v>
      </c>
      <c r="N1540" s="61" t="n">
        <f aca="false">Resumo!$C$9</f>
        <v>0</v>
      </c>
      <c r="O1540" s="61" t="n">
        <f aca="false">Resumo!$C$13</f>
        <v>13.55</v>
      </c>
      <c r="P1540" s="61" t="n">
        <f aca="false">Resumo!$C$14*CEILING(G1540,1)</f>
        <v>15.3</v>
      </c>
      <c r="Q1540" s="61" t="n">
        <f aca="false">SUM(I1540:P1540)*Resumo!$C$11</f>
        <v>0</v>
      </c>
      <c r="R1540" s="61" t="n">
        <f aca="false">SUM(I1540:Q1540)</f>
        <v>90.337958</v>
      </c>
      <c r="S1540" s="61" t="n">
        <f aca="false">R1540/(1-Resumo!$C$5)</f>
        <v>102.656770454545</v>
      </c>
      <c r="T1540" s="61" t="n">
        <v>82.21</v>
      </c>
      <c r="U1540" s="61" t="n">
        <f aca="false">H1540*Resumo!$B$6</f>
        <v>0.38999</v>
      </c>
      <c r="V1540" s="61" t="n">
        <f aca="false">H1540*Resumo!$B$7</f>
        <v>0.77998</v>
      </c>
      <c r="W1540" s="61" t="n">
        <f aca="false">Resumo!$B$9</f>
        <v>1</v>
      </c>
      <c r="X1540" s="61" t="n">
        <f aca="false">Resumo!$B$10*CEILING(G1540/100,1)</f>
        <v>4.5</v>
      </c>
      <c r="Y1540" s="61" t="n">
        <f aca="false">Resumo!$B$12*CEILING(G1540,1)</f>
        <v>2.04</v>
      </c>
      <c r="Z1540" s="61" t="n">
        <f aca="false">Resumo!$B$14*CEILING(G1540,1)</f>
        <v>15.3</v>
      </c>
      <c r="AA1540" s="61" t="n">
        <f aca="false">SUM(T1540:Z1540)</f>
        <v>106.21997</v>
      </c>
      <c r="AB1540" s="61" t="n">
        <f aca="false">AA1540/(1-Resumo!$B$5)</f>
        <v>120.704511363636</v>
      </c>
      <c r="AC1540" s="61" t="n">
        <f aca="false">AB1540-S1540</f>
        <v>18.0477409090909</v>
      </c>
      <c r="AD1540" s="62" t="n">
        <f aca="false">AB1540/S1540-1</f>
        <v>0.175806630475309</v>
      </c>
      <c r="AE1540" s="60" t="str">
        <f aca="false">IF(AB1540&lt;S1540,"SIM","NÃO")</f>
        <v>NÃO</v>
      </c>
      <c r="AF1540" s="60" t="n">
        <v>2</v>
      </c>
      <c r="AG1540" s="60" t="n">
        <v>5</v>
      </c>
      <c r="AH1540" s="60" t="s">
        <v>382</v>
      </c>
      <c r="AI1540" s="61" t="n">
        <f aca="false">(T1540*(1-Painel!$C$40)+U1540+V1540+Painel!$C$41+Painel!$C$42*CEILING(G1540/100,1)+Painel!$C$43*CEILING(G1540,1)+Z1540)/(1-Resumo!$B$5)</f>
        <v>83.637125</v>
      </c>
      <c r="AJ1540" s="60" t="str">
        <f aca="false">IF(AI1540&lt;S1540,"SIM","NÃO")</f>
        <v>SIM</v>
      </c>
    </row>
    <row r="1541" customFormat="false" ht="15" hidden="false" customHeight="false" outlineLevel="0" collapsed="false">
      <c r="A1541" s="59" t="n">
        <v>46267.9268518519</v>
      </c>
      <c r="B1541" s="60" t="s">
        <v>1785</v>
      </c>
      <c r="C1541" s="60" t="n">
        <v>21615310</v>
      </c>
      <c r="D1541" s="60" t="s">
        <v>46</v>
      </c>
      <c r="E1541" s="60" t="s">
        <v>22</v>
      </c>
      <c r="F1541" s="60" t="s">
        <v>233</v>
      </c>
      <c r="G1541" s="60" t="n">
        <v>21.1</v>
      </c>
      <c r="H1541" s="61" t="n">
        <v>599.99</v>
      </c>
      <c r="I1541" s="61" t="n">
        <v>42.11</v>
      </c>
      <c r="J1541" s="61" t="n">
        <f aca="false">H1541*Resumo!$C$6</f>
        <v>0</v>
      </c>
      <c r="K1541" s="61" t="n">
        <f aca="false">H1541*Resumo!$C$7</f>
        <v>1.259979</v>
      </c>
      <c r="L1541" s="61" t="n">
        <f aca="false">H1541*Resumo!$C$8</f>
        <v>1.259979</v>
      </c>
      <c r="M1541" s="61" t="n">
        <f aca="false">Resumo!$C$10*CEILING(G1541/100,1)</f>
        <v>1.05</v>
      </c>
      <c r="N1541" s="61" t="n">
        <f aca="false">Resumo!$C$9</f>
        <v>0</v>
      </c>
      <c r="O1541" s="61" t="n">
        <f aca="false">Resumo!$C$13</f>
        <v>13.55</v>
      </c>
      <c r="P1541" s="61" t="n">
        <f aca="false">Resumo!$C$14*CEILING(G1541,1)</f>
        <v>9.9</v>
      </c>
      <c r="Q1541" s="61" t="n">
        <f aca="false">SUM(I1541:P1541)*Resumo!$C$11</f>
        <v>0</v>
      </c>
      <c r="R1541" s="61" t="n">
        <f aca="false">SUM(I1541:Q1541)</f>
        <v>69.129958</v>
      </c>
      <c r="S1541" s="61" t="n">
        <f aca="false">R1541/(1-Resumo!$C$5)</f>
        <v>78.5567704545455</v>
      </c>
      <c r="T1541" s="61" t="n">
        <v>82.21</v>
      </c>
      <c r="U1541" s="61" t="n">
        <f aca="false">H1541*Resumo!$B$6</f>
        <v>0.59999</v>
      </c>
      <c r="V1541" s="61" t="n">
        <f aca="false">H1541*Resumo!$B$7</f>
        <v>1.19998</v>
      </c>
      <c r="W1541" s="61" t="n">
        <f aca="false">Resumo!$B$9</f>
        <v>1</v>
      </c>
      <c r="X1541" s="61" t="n">
        <f aca="false">Resumo!$B$10*CEILING(G1541/100,1)</f>
        <v>4.5</v>
      </c>
      <c r="Y1541" s="61" t="n">
        <f aca="false">Resumo!$B$12*CEILING(G1541,1)</f>
        <v>1.32</v>
      </c>
      <c r="Z1541" s="61" t="n">
        <f aca="false">Resumo!$B$14*CEILING(G1541,1)</f>
        <v>9.9</v>
      </c>
      <c r="AA1541" s="61" t="n">
        <f aca="false">SUM(T1541:Z1541)</f>
        <v>100.72997</v>
      </c>
      <c r="AB1541" s="61" t="n">
        <f aca="false">AA1541/(1-Resumo!$B$5)</f>
        <v>114.465875</v>
      </c>
      <c r="AC1541" s="61" t="n">
        <f aca="false">AB1541-S1541</f>
        <v>35.9091045454545</v>
      </c>
      <c r="AD1541" s="62" t="n">
        <f aca="false">AB1541/S1541-1</f>
        <v>0.457110244447132</v>
      </c>
      <c r="AE1541" s="60" t="str">
        <f aca="false">IF(AB1541&lt;S1541,"SIM","NÃO")</f>
        <v>NÃO</v>
      </c>
      <c r="AF1541" s="60" t="n">
        <v>2</v>
      </c>
      <c r="AG1541" s="60" t="n">
        <v>5</v>
      </c>
      <c r="AH1541" s="60" t="s">
        <v>382</v>
      </c>
      <c r="AI1541" s="61" t="n">
        <f aca="false">(T1541*(1-Painel!$C$40)+U1541+V1541+Painel!$C$41+Painel!$C$42*CEILING(G1541/100,1)+Painel!$C$43*CEILING(G1541,1)+Z1541)/(1-Resumo!$B$5)</f>
        <v>78.2166704545455</v>
      </c>
      <c r="AJ1541" s="60" t="str">
        <f aca="false">IF(AI1541&lt;S1541,"SIM","NÃO")</f>
        <v>SIM</v>
      </c>
    </row>
    <row r="1542" customFormat="false" ht="15" hidden="false" customHeight="false" outlineLevel="0" collapsed="false">
      <c r="A1542" s="59" t="n">
        <v>46267.9458796296</v>
      </c>
      <c r="B1542" s="60" t="s">
        <v>1786</v>
      </c>
      <c r="C1542" s="60" t="n">
        <v>28633630</v>
      </c>
      <c r="D1542" s="60" t="s">
        <v>226</v>
      </c>
      <c r="E1542" s="60" t="s">
        <v>24</v>
      </c>
      <c r="F1542" s="60" t="s">
        <v>233</v>
      </c>
      <c r="G1542" s="60" t="n">
        <v>31.9</v>
      </c>
      <c r="H1542" s="61" t="n">
        <v>599.99</v>
      </c>
      <c r="I1542" s="61" t="n">
        <v>65.63</v>
      </c>
      <c r="J1542" s="61" t="n">
        <f aca="false">H1542*Resumo!$C$6</f>
        <v>0</v>
      </c>
      <c r="K1542" s="61" t="n">
        <f aca="false">H1542*Resumo!$C$7</f>
        <v>1.259979</v>
      </c>
      <c r="L1542" s="61" t="n">
        <f aca="false">H1542*Resumo!$C$8</f>
        <v>1.259979</v>
      </c>
      <c r="M1542" s="61" t="n">
        <f aca="false">Resumo!$C$10*CEILING(G1542/100,1)</f>
        <v>1.05</v>
      </c>
      <c r="N1542" s="61" t="n">
        <f aca="false">Resumo!$C$9</f>
        <v>0</v>
      </c>
      <c r="O1542" s="61" t="n">
        <f aca="false">Resumo!$C$13</f>
        <v>13.55</v>
      </c>
      <c r="P1542" s="61" t="n">
        <f aca="false">Resumo!$C$14*CEILING(G1542,1)</f>
        <v>14.4</v>
      </c>
      <c r="Q1542" s="61" t="n">
        <f aca="false">SUM(I1542:P1542)*Resumo!$C$11</f>
        <v>0</v>
      </c>
      <c r="R1542" s="61" t="n">
        <f aca="false">SUM(I1542:Q1542)</f>
        <v>97.149958</v>
      </c>
      <c r="S1542" s="61" t="n">
        <f aca="false">R1542/(1-Resumo!$C$5)</f>
        <v>110.397679545455</v>
      </c>
      <c r="T1542" s="61" t="n">
        <v>120.78</v>
      </c>
      <c r="U1542" s="61" t="n">
        <f aca="false">H1542*Resumo!$B$6</f>
        <v>0.59999</v>
      </c>
      <c r="V1542" s="61" t="n">
        <f aca="false">H1542*Resumo!$B$7</f>
        <v>1.19998</v>
      </c>
      <c r="W1542" s="61" t="n">
        <f aca="false">Resumo!$B$9</f>
        <v>1</v>
      </c>
      <c r="X1542" s="61" t="n">
        <f aca="false">Resumo!$B$10*CEILING(G1542/100,1)</f>
        <v>4.5</v>
      </c>
      <c r="Y1542" s="61" t="n">
        <f aca="false">Resumo!$B$12*CEILING(G1542,1)</f>
        <v>1.92</v>
      </c>
      <c r="Z1542" s="61" t="n">
        <f aca="false">Resumo!$B$14*CEILING(G1542,1)</f>
        <v>14.4</v>
      </c>
      <c r="AA1542" s="61" t="n">
        <f aca="false">SUM(T1542:Z1542)</f>
        <v>144.39997</v>
      </c>
      <c r="AB1542" s="61" t="n">
        <f aca="false">AA1542/(1-Resumo!$B$5)</f>
        <v>164.090875</v>
      </c>
      <c r="AC1542" s="61" t="n">
        <f aca="false">AB1542-S1542</f>
        <v>53.6931954545454</v>
      </c>
      <c r="AD1542" s="62" t="n">
        <f aca="false">AB1542/S1542-1</f>
        <v>0.486361630748209</v>
      </c>
      <c r="AE1542" s="60" t="str">
        <f aca="false">IF(AB1542&lt;S1542,"SIM","NÃO")</f>
        <v>NÃO</v>
      </c>
      <c r="AF1542" s="60" t="n">
        <v>13</v>
      </c>
      <c r="AG1542" s="60" t="n">
        <v>10</v>
      </c>
      <c r="AH1542" s="60" t="s">
        <v>382</v>
      </c>
      <c r="AI1542" s="61" t="n">
        <f aca="false">(T1542*(1-Painel!$C$40)+U1542+V1542+Painel!$C$41+Painel!$C$42*CEILING(G1542/100,1)+Painel!$C$43*CEILING(G1542,1)+Z1542)/(1-Resumo!$B$5)</f>
        <v>112.696102272727</v>
      </c>
      <c r="AJ1542" s="60" t="str">
        <f aca="false">IF(AI1542&lt;S1542,"SIM","NÃO")</f>
        <v>NÃO</v>
      </c>
    </row>
    <row r="1543" customFormat="false" ht="15" hidden="false" customHeight="false" outlineLevel="0" collapsed="false">
      <c r="A1543" s="59" t="n">
        <v>46267.9532060185</v>
      </c>
      <c r="B1543" s="60" t="s">
        <v>1787</v>
      </c>
      <c r="C1543" s="60" t="n">
        <v>28499040</v>
      </c>
      <c r="D1543" s="60" t="s">
        <v>319</v>
      </c>
      <c r="E1543" s="60" t="s">
        <v>24</v>
      </c>
      <c r="F1543" s="60" t="s">
        <v>233</v>
      </c>
      <c r="G1543" s="60" t="n">
        <v>27.4</v>
      </c>
      <c r="H1543" s="61" t="n">
        <v>369.99</v>
      </c>
      <c r="I1543" s="61" t="n">
        <v>65.63</v>
      </c>
      <c r="J1543" s="61" t="n">
        <f aca="false">H1543*Resumo!$C$6</f>
        <v>0</v>
      </c>
      <c r="K1543" s="61" t="n">
        <f aca="false">H1543*Resumo!$C$7</f>
        <v>0.776979</v>
      </c>
      <c r="L1543" s="61" t="n">
        <f aca="false">H1543*Resumo!$C$8</f>
        <v>0.776979</v>
      </c>
      <c r="M1543" s="61" t="n">
        <f aca="false">Resumo!$C$10*CEILING(G1543/100,1)</f>
        <v>1.05</v>
      </c>
      <c r="N1543" s="61" t="n">
        <f aca="false">Resumo!$C$9</f>
        <v>0</v>
      </c>
      <c r="O1543" s="61" t="n">
        <f aca="false">Resumo!$C$13</f>
        <v>13.55</v>
      </c>
      <c r="P1543" s="61" t="n">
        <f aca="false">Resumo!$C$14*CEILING(G1543,1)</f>
        <v>12.6</v>
      </c>
      <c r="Q1543" s="61" t="n">
        <f aca="false">SUM(I1543:P1543)*Resumo!$C$11</f>
        <v>0</v>
      </c>
      <c r="R1543" s="61" t="n">
        <f aca="false">SUM(I1543:Q1543)</f>
        <v>94.383958</v>
      </c>
      <c r="S1543" s="61" t="n">
        <f aca="false">R1543/(1-Resumo!$C$5)</f>
        <v>107.254497727273</v>
      </c>
      <c r="T1543" s="61" t="n">
        <v>138.29</v>
      </c>
      <c r="U1543" s="61" t="n">
        <f aca="false">H1543*Resumo!$B$6</f>
        <v>0.36999</v>
      </c>
      <c r="V1543" s="61" t="n">
        <f aca="false">H1543*Resumo!$B$7</f>
        <v>0.73998</v>
      </c>
      <c r="W1543" s="61" t="n">
        <f aca="false">Resumo!$B$9</f>
        <v>1</v>
      </c>
      <c r="X1543" s="61" t="n">
        <f aca="false">Resumo!$B$10*CEILING(G1543/100,1)</f>
        <v>4.5</v>
      </c>
      <c r="Y1543" s="61" t="n">
        <f aca="false">Resumo!$B$12*CEILING(G1543,1)</f>
        <v>1.68</v>
      </c>
      <c r="Z1543" s="61" t="n">
        <f aca="false">Resumo!$B$14*CEILING(G1543,1)</f>
        <v>12.6</v>
      </c>
      <c r="AA1543" s="61" t="n">
        <f aca="false">SUM(T1543:Z1543)</f>
        <v>159.17997</v>
      </c>
      <c r="AB1543" s="61" t="n">
        <f aca="false">AA1543/(1-Resumo!$B$5)</f>
        <v>180.886329545455</v>
      </c>
      <c r="AC1543" s="61" t="n">
        <f aca="false">AB1543-S1543</f>
        <v>73.6318318181818</v>
      </c>
      <c r="AD1543" s="62" t="n">
        <f aca="false">AB1543/S1543-1</f>
        <v>0.686515096135299</v>
      </c>
      <c r="AE1543" s="60" t="str">
        <f aca="false">IF(AB1543&lt;S1543,"SIM","NÃO")</f>
        <v>NÃO</v>
      </c>
      <c r="AF1543" s="60" t="n">
        <v>13</v>
      </c>
      <c r="AG1543" s="60" t="n">
        <v>11</v>
      </c>
      <c r="AH1543" s="60" t="s">
        <v>385</v>
      </c>
      <c r="AI1543" s="61" t="n">
        <f aca="false">(T1543*(1-Painel!$C$40)+U1543+V1543+Painel!$C$41+Painel!$C$42*CEILING(G1543/100,1)+Painel!$C$43*CEILING(G1543,1)+Z1543)/(1-Resumo!$B$5)</f>
        <v>123.198034090909</v>
      </c>
      <c r="AJ1543" s="60" t="str">
        <f aca="false">IF(AI1543&lt;S1543,"SIM","NÃO")</f>
        <v>NÃO</v>
      </c>
    </row>
    <row r="1544" customFormat="false" ht="15" hidden="false" customHeight="false" outlineLevel="0" collapsed="false">
      <c r="A1544" s="59" t="n">
        <v>46267.9546180556</v>
      </c>
      <c r="B1544" s="60" t="s">
        <v>759</v>
      </c>
      <c r="C1544" s="60" t="n">
        <v>24452005</v>
      </c>
      <c r="D1544" s="60" t="s">
        <v>47</v>
      </c>
      <c r="E1544" s="60" t="s">
        <v>23</v>
      </c>
      <c r="F1544" s="60" t="s">
        <v>234</v>
      </c>
      <c r="G1544" s="60" t="n">
        <v>35.4</v>
      </c>
      <c r="H1544" s="61" t="n">
        <v>539.99</v>
      </c>
      <c r="I1544" s="61" t="n">
        <v>66.83</v>
      </c>
      <c r="J1544" s="61" t="n">
        <f aca="false">H1544*Resumo!$C$6</f>
        <v>0</v>
      </c>
      <c r="K1544" s="61" t="n">
        <f aca="false">H1544*Resumo!$C$7</f>
        <v>1.133979</v>
      </c>
      <c r="L1544" s="61" t="n">
        <f aca="false">H1544*Resumo!$C$8</f>
        <v>1.133979</v>
      </c>
      <c r="M1544" s="61" t="n">
        <f aca="false">Resumo!$C$10*CEILING(G1544/100,1)</f>
        <v>1.05</v>
      </c>
      <c r="N1544" s="61" t="n">
        <f aca="false">Resumo!$C$9</f>
        <v>0</v>
      </c>
      <c r="O1544" s="61" t="n">
        <f aca="false">Resumo!$C$13</f>
        <v>13.55</v>
      </c>
      <c r="P1544" s="61" t="n">
        <f aca="false">Resumo!$C$14*CEILING(G1544,1)</f>
        <v>16.2</v>
      </c>
      <c r="Q1544" s="61" t="n">
        <f aca="false">SUM(I1544:P1544)*Resumo!$C$11</f>
        <v>0</v>
      </c>
      <c r="R1544" s="61" t="n">
        <f aca="false">SUM(I1544:Q1544)</f>
        <v>99.897958</v>
      </c>
      <c r="S1544" s="61" t="n">
        <f aca="false">R1544/(1-Resumo!$C$5)</f>
        <v>113.520406818182</v>
      </c>
      <c r="T1544" s="61" t="n">
        <v>114.95</v>
      </c>
      <c r="U1544" s="61" t="n">
        <f aca="false">H1544*Resumo!$B$6</f>
        <v>0.53999</v>
      </c>
      <c r="V1544" s="61" t="n">
        <f aca="false">H1544*Resumo!$B$7</f>
        <v>1.07998</v>
      </c>
      <c r="W1544" s="61" t="n">
        <f aca="false">Resumo!$B$9</f>
        <v>1</v>
      </c>
      <c r="X1544" s="61" t="n">
        <f aca="false">Resumo!$B$10*CEILING(G1544/100,1)</f>
        <v>4.5</v>
      </c>
      <c r="Y1544" s="61" t="n">
        <f aca="false">Resumo!$B$12*CEILING(G1544,1)</f>
        <v>2.16</v>
      </c>
      <c r="Z1544" s="61" t="n">
        <f aca="false">Resumo!$B$14*CEILING(G1544,1)</f>
        <v>16.2</v>
      </c>
      <c r="AA1544" s="61" t="n">
        <f aca="false">SUM(T1544:Z1544)</f>
        <v>140.42997</v>
      </c>
      <c r="AB1544" s="61" t="n">
        <f aca="false">AA1544/(1-Resumo!$B$5)</f>
        <v>159.579511363636</v>
      </c>
      <c r="AC1544" s="61" t="n">
        <f aca="false">AB1544-S1544</f>
        <v>46.0591045454545</v>
      </c>
      <c r="AD1544" s="62" t="n">
        <f aca="false">AB1544/S1544-1</f>
        <v>0.405734139230353</v>
      </c>
      <c r="AE1544" s="60" t="str">
        <f aca="false">IF(AB1544&lt;S1544,"SIM","NÃO")</f>
        <v>NÃO</v>
      </c>
      <c r="AF1544" s="60" t="n">
        <v>2</v>
      </c>
      <c r="AG1544" s="60" t="n">
        <v>7</v>
      </c>
      <c r="AH1544" s="60" t="s">
        <v>382</v>
      </c>
      <c r="AI1544" s="61" t="n">
        <f aca="false">(T1544*(1-Painel!$C$40)+U1544+V1544+Painel!$C$41+Painel!$C$42*CEILING(G1544/100,1)+Painel!$C$43*CEILING(G1544,1)+Z1544)/(1-Resumo!$B$5)</f>
        <v>110.098261363636</v>
      </c>
      <c r="AJ1544" s="60" t="str">
        <f aca="false">IF(AI1544&lt;S1544,"SIM","NÃO")</f>
        <v>SIM</v>
      </c>
    </row>
    <row r="1545" customFormat="false" ht="15" hidden="false" customHeight="false" outlineLevel="0" collapsed="false">
      <c r="A1545" s="59" t="n">
        <v>46267.9812268519</v>
      </c>
      <c r="B1545" s="60" t="s">
        <v>1788</v>
      </c>
      <c r="C1545" s="60" t="n">
        <v>22790693</v>
      </c>
      <c r="D1545" s="60" t="s">
        <v>46</v>
      </c>
      <c r="E1545" s="60" t="s">
        <v>22</v>
      </c>
      <c r="F1545" s="60" t="s">
        <v>234</v>
      </c>
      <c r="G1545" s="60" t="n">
        <v>37.6</v>
      </c>
      <c r="H1545" s="61" t="n">
        <v>391.9</v>
      </c>
      <c r="I1545" s="61" t="n">
        <v>48.35</v>
      </c>
      <c r="J1545" s="61" t="n">
        <f aca="false">H1545*Resumo!$C$6</f>
        <v>0</v>
      </c>
      <c r="K1545" s="61" t="n">
        <f aca="false">H1545*Resumo!$C$7</f>
        <v>0.82299</v>
      </c>
      <c r="L1545" s="61" t="n">
        <f aca="false">H1545*Resumo!$C$8</f>
        <v>0.82299</v>
      </c>
      <c r="M1545" s="61" t="n">
        <f aca="false">Resumo!$C$10*CEILING(G1545/100,1)</f>
        <v>1.05</v>
      </c>
      <c r="N1545" s="61" t="n">
        <f aca="false">Resumo!$C$9</f>
        <v>0</v>
      </c>
      <c r="O1545" s="61" t="n">
        <f aca="false">Resumo!$C$13</f>
        <v>13.55</v>
      </c>
      <c r="P1545" s="61" t="n">
        <f aca="false">Resumo!$C$14*CEILING(G1545,1)</f>
        <v>17.1</v>
      </c>
      <c r="Q1545" s="61" t="n">
        <f aca="false">SUM(I1545:P1545)*Resumo!$C$11</f>
        <v>0</v>
      </c>
      <c r="R1545" s="61" t="n">
        <f aca="false">SUM(I1545:Q1545)</f>
        <v>81.69598</v>
      </c>
      <c r="S1545" s="61" t="n">
        <f aca="false">R1545/(1-Resumo!$C$5)</f>
        <v>92.8363409090909</v>
      </c>
      <c r="T1545" s="61" t="n">
        <v>93.97</v>
      </c>
      <c r="U1545" s="61" t="n">
        <f aca="false">H1545*Resumo!$B$6</f>
        <v>0.3919</v>
      </c>
      <c r="V1545" s="61" t="n">
        <f aca="false">H1545*Resumo!$B$7</f>
        <v>0.7838</v>
      </c>
      <c r="W1545" s="61" t="n">
        <f aca="false">Resumo!$B$9</f>
        <v>1</v>
      </c>
      <c r="X1545" s="61" t="n">
        <f aca="false">Resumo!$B$10*CEILING(G1545/100,1)</f>
        <v>4.5</v>
      </c>
      <c r="Y1545" s="61" t="n">
        <f aca="false">Resumo!$B$12*CEILING(G1545,1)</f>
        <v>2.28</v>
      </c>
      <c r="Z1545" s="61" t="n">
        <f aca="false">Resumo!$B$14*CEILING(G1545,1)</f>
        <v>17.1</v>
      </c>
      <c r="AA1545" s="61" t="n">
        <f aca="false">SUM(T1545:Z1545)</f>
        <v>120.0257</v>
      </c>
      <c r="AB1545" s="61" t="n">
        <f aca="false">AA1545/(1-Resumo!$B$5)</f>
        <v>136.392840909091</v>
      </c>
      <c r="AC1545" s="61" t="n">
        <f aca="false">AB1545-S1545</f>
        <v>43.5565</v>
      </c>
      <c r="AD1545" s="62" t="n">
        <f aca="false">AB1545/S1545-1</f>
        <v>0.46917510506637</v>
      </c>
      <c r="AE1545" s="60" t="str">
        <f aca="false">IF(AB1545&lt;S1545,"SIM","NÃO")</f>
        <v>NÃO</v>
      </c>
      <c r="AF1545" s="60" t="n">
        <v>2</v>
      </c>
      <c r="AG1545" s="60" t="n">
        <v>5</v>
      </c>
      <c r="AH1545" s="60" t="s">
        <v>382</v>
      </c>
      <c r="AI1545" s="61" t="n">
        <f aca="false">(T1545*(1-Painel!$C$40)+U1545+V1545+Painel!$C$41+Painel!$C$42*CEILING(G1545/100,1)+Painel!$C$43*CEILING(G1545,1)+Z1545)/(1-Resumo!$B$5)</f>
        <v>94.6427272727273</v>
      </c>
      <c r="AJ1545" s="60" t="str">
        <f aca="false">IF(AI1545&lt;S1545,"SIM","NÃO")</f>
        <v>NÃO</v>
      </c>
    </row>
    <row r="1546" customFormat="false" ht="15" hidden="false" customHeight="false" outlineLevel="0" collapsed="false">
      <c r="A1546" s="59" t="n">
        <v>46268.0402662037</v>
      </c>
      <c r="B1546" s="60" t="s">
        <v>1789</v>
      </c>
      <c r="C1546" s="60" t="n">
        <v>25935330</v>
      </c>
      <c r="D1546" s="60" t="s">
        <v>225</v>
      </c>
      <c r="E1546" s="60" t="s">
        <v>24</v>
      </c>
      <c r="F1546" s="60" t="s">
        <v>233</v>
      </c>
      <c r="G1546" s="60" t="n">
        <v>20.9</v>
      </c>
      <c r="H1546" s="61" t="n">
        <v>440.99</v>
      </c>
      <c r="I1546" s="61" t="n">
        <v>65.63</v>
      </c>
      <c r="J1546" s="61" t="n">
        <f aca="false">H1546*Resumo!$C$6</f>
        <v>0</v>
      </c>
      <c r="K1546" s="61" t="n">
        <f aca="false">H1546*Resumo!$C$7</f>
        <v>0.926079</v>
      </c>
      <c r="L1546" s="61" t="n">
        <f aca="false">H1546*Resumo!$C$8</f>
        <v>0.926079</v>
      </c>
      <c r="M1546" s="61" t="n">
        <f aca="false">Resumo!$C$10*CEILING(G1546/100,1)</f>
        <v>1.05</v>
      </c>
      <c r="N1546" s="61" t="n">
        <f aca="false">Resumo!$C$9</f>
        <v>0</v>
      </c>
      <c r="O1546" s="61" t="n">
        <f aca="false">Resumo!$C$13</f>
        <v>13.55</v>
      </c>
      <c r="P1546" s="61" t="n">
        <f aca="false">Resumo!$C$14*CEILING(G1546,1)</f>
        <v>9.45</v>
      </c>
      <c r="Q1546" s="61" t="n">
        <f aca="false">SUM(I1546:P1546)*Resumo!$C$11</f>
        <v>0</v>
      </c>
      <c r="R1546" s="61" t="n">
        <f aca="false">SUM(I1546:Q1546)</f>
        <v>91.532158</v>
      </c>
      <c r="S1546" s="61" t="n">
        <f aca="false">R1546/(1-Resumo!$C$5)</f>
        <v>104.013815909091</v>
      </c>
      <c r="T1546" s="61" t="n">
        <v>103.28</v>
      </c>
      <c r="U1546" s="61" t="n">
        <f aca="false">H1546*Resumo!$B$6</f>
        <v>0.44099</v>
      </c>
      <c r="V1546" s="61" t="n">
        <f aca="false">H1546*Resumo!$B$7</f>
        <v>0.88198</v>
      </c>
      <c r="W1546" s="61" t="n">
        <f aca="false">Resumo!$B$9</f>
        <v>1</v>
      </c>
      <c r="X1546" s="61" t="n">
        <f aca="false">Resumo!$B$10*CEILING(G1546/100,1)</f>
        <v>4.5</v>
      </c>
      <c r="Y1546" s="61" t="n">
        <f aca="false">Resumo!$B$12*CEILING(G1546,1)</f>
        <v>1.26</v>
      </c>
      <c r="Z1546" s="61" t="n">
        <f aca="false">Resumo!$B$14*CEILING(G1546,1)</f>
        <v>9.45</v>
      </c>
      <c r="AA1546" s="61" t="n">
        <f aca="false">SUM(T1546:Z1546)</f>
        <v>120.81297</v>
      </c>
      <c r="AB1546" s="61" t="n">
        <f aca="false">AA1546/(1-Resumo!$B$5)</f>
        <v>137.287465909091</v>
      </c>
      <c r="AC1546" s="61" t="n">
        <f aca="false">AB1546-S1546</f>
        <v>33.27365</v>
      </c>
      <c r="AD1546" s="62" t="n">
        <f aca="false">AB1546/S1546-1</f>
        <v>0.319896445574899</v>
      </c>
      <c r="AE1546" s="60" t="str">
        <f aca="false">IF(AB1546&lt;S1546,"SIM","NÃO")</f>
        <v>NÃO</v>
      </c>
      <c r="AF1546" s="60" t="n">
        <v>13</v>
      </c>
      <c r="AG1546" s="60" t="n">
        <v>6</v>
      </c>
      <c r="AH1546" s="60" t="s">
        <v>382</v>
      </c>
      <c r="AI1546" s="61" t="n">
        <f aca="false">(T1546*(1-Painel!$C$40)+U1546+V1546+Painel!$C$41+Painel!$C$42*CEILING(G1546/100,1)+Painel!$C$43*CEILING(G1546,1)+Z1546)/(1-Resumo!$B$5)</f>
        <v>93.2051931818182</v>
      </c>
      <c r="AJ1546" s="60" t="str">
        <f aca="false">IF(AI1546&lt;S1546,"SIM","NÃO")</f>
        <v>SIM</v>
      </c>
    </row>
    <row r="1547" customFormat="false" ht="15" hidden="false" customHeight="false" outlineLevel="0" collapsed="false">
      <c r="A1547" s="59" t="n">
        <v>46268.0608912037</v>
      </c>
      <c r="B1547" s="60" t="s">
        <v>870</v>
      </c>
      <c r="C1547" s="60" t="n">
        <v>22620171</v>
      </c>
      <c r="D1547" s="60" t="s">
        <v>46</v>
      </c>
      <c r="E1547" s="60" t="s">
        <v>22</v>
      </c>
      <c r="F1547" s="60" t="s">
        <v>232</v>
      </c>
      <c r="G1547" s="60" t="n">
        <v>13.18</v>
      </c>
      <c r="H1547" s="61" t="n">
        <v>259.99</v>
      </c>
      <c r="I1547" s="61" t="n">
        <v>33.42</v>
      </c>
      <c r="J1547" s="61" t="n">
        <f aca="false">H1547*Resumo!$C$6</f>
        <v>0</v>
      </c>
      <c r="K1547" s="61" t="n">
        <f aca="false">H1547*Resumo!$C$7</f>
        <v>0.545979</v>
      </c>
      <c r="L1547" s="61" t="n">
        <f aca="false">H1547*Resumo!$C$8</f>
        <v>0.545979</v>
      </c>
      <c r="M1547" s="61" t="n">
        <f aca="false">Resumo!$C$10*CEILING(G1547/100,1)</f>
        <v>1.05</v>
      </c>
      <c r="N1547" s="61" t="n">
        <f aca="false">Resumo!$C$9</f>
        <v>0</v>
      </c>
      <c r="O1547" s="61" t="n">
        <f aca="false">Resumo!$C$13</f>
        <v>13.55</v>
      </c>
      <c r="P1547" s="61" t="n">
        <f aca="false">Resumo!$C$14*CEILING(G1547,1)</f>
        <v>6.3</v>
      </c>
      <c r="Q1547" s="61" t="n">
        <f aca="false">SUM(I1547:P1547)*Resumo!$C$11</f>
        <v>0</v>
      </c>
      <c r="R1547" s="61" t="n">
        <f aca="false">SUM(I1547:Q1547)</f>
        <v>55.411958</v>
      </c>
      <c r="S1547" s="61" t="n">
        <f aca="false">R1547/(1-Resumo!$C$5)</f>
        <v>62.9681340909091</v>
      </c>
      <c r="T1547" s="61" t="n">
        <v>46.98</v>
      </c>
      <c r="U1547" s="61" t="n">
        <f aca="false">H1547*Resumo!$B$6</f>
        <v>0.25999</v>
      </c>
      <c r="V1547" s="61" t="n">
        <f aca="false">H1547*Resumo!$B$7</f>
        <v>0.51998</v>
      </c>
      <c r="W1547" s="61" t="n">
        <f aca="false">Resumo!$B$9</f>
        <v>1</v>
      </c>
      <c r="X1547" s="61" t="n">
        <f aca="false">Resumo!$B$10*CEILING(G1547/100,1)</f>
        <v>4.5</v>
      </c>
      <c r="Y1547" s="61" t="n">
        <f aca="false">Resumo!$B$12*CEILING(G1547,1)</f>
        <v>0.84</v>
      </c>
      <c r="Z1547" s="61" t="n">
        <f aca="false">Resumo!$B$14*CEILING(G1547,1)</f>
        <v>6.3</v>
      </c>
      <c r="AA1547" s="61" t="n">
        <f aca="false">SUM(T1547:Z1547)</f>
        <v>60.39997</v>
      </c>
      <c r="AB1547" s="61" t="n">
        <f aca="false">AA1547/(1-Resumo!$B$5)</f>
        <v>68.6363295454545</v>
      </c>
      <c r="AC1547" s="61" t="n">
        <f aca="false">AB1547-S1547</f>
        <v>5.66819545454545</v>
      </c>
      <c r="AD1547" s="62" t="n">
        <f aca="false">AB1547/S1547-1</f>
        <v>0.0900168876905596</v>
      </c>
      <c r="AE1547" s="60" t="str">
        <f aca="false">IF(AB1547&lt;S1547,"SIM","NÃO")</f>
        <v>NÃO</v>
      </c>
      <c r="AF1547" s="60" t="n">
        <v>2</v>
      </c>
      <c r="AG1547" s="60" t="n">
        <v>5</v>
      </c>
      <c r="AH1547" s="60" t="s">
        <v>382</v>
      </c>
      <c r="AI1547" s="61" t="n">
        <f aca="false">(T1547*(1-Painel!$C$40)+U1547+V1547+Painel!$C$41+Painel!$C$42*CEILING(G1547/100,1)+Painel!$C$43*CEILING(G1547,1)+Z1547)/(1-Resumo!$B$5)</f>
        <v>46.1438295454545</v>
      </c>
      <c r="AJ1547" s="60" t="str">
        <f aca="false">IF(AI1547&lt;S1547,"SIM","NÃO")</f>
        <v>SIM</v>
      </c>
    </row>
    <row r="1548" customFormat="false" ht="15" hidden="false" customHeight="false" outlineLevel="0" collapsed="false">
      <c r="A1548" s="59" t="n">
        <v>46268.0809953704</v>
      </c>
      <c r="B1548" s="60" t="s">
        <v>1790</v>
      </c>
      <c r="C1548" s="60" t="n">
        <v>25815560</v>
      </c>
      <c r="D1548" s="60" t="s">
        <v>274</v>
      </c>
      <c r="E1548" s="60" t="s">
        <v>24</v>
      </c>
      <c r="F1548" s="60" t="s">
        <v>236</v>
      </c>
      <c r="G1548" s="60" t="n">
        <v>52.3</v>
      </c>
      <c r="H1548" s="61" t="n">
        <v>699.99</v>
      </c>
      <c r="I1548" s="61" t="n">
        <v>83.58</v>
      </c>
      <c r="J1548" s="61" t="n">
        <f aca="false">H1548*Resumo!$C$6</f>
        <v>0</v>
      </c>
      <c r="K1548" s="61" t="n">
        <f aca="false">H1548*Resumo!$C$7</f>
        <v>1.469979</v>
      </c>
      <c r="L1548" s="61" t="n">
        <f aca="false">H1548*Resumo!$C$8</f>
        <v>1.469979</v>
      </c>
      <c r="M1548" s="61" t="n">
        <f aca="false">Resumo!$C$10*CEILING(G1548/100,1)</f>
        <v>1.05</v>
      </c>
      <c r="N1548" s="61" t="n">
        <f aca="false">Resumo!$C$9</f>
        <v>0</v>
      </c>
      <c r="O1548" s="61" t="n">
        <f aca="false">Resumo!$C$13</f>
        <v>13.55</v>
      </c>
      <c r="P1548" s="61" t="n">
        <f aca="false">Resumo!$C$14*CEILING(G1548,1)</f>
        <v>23.85</v>
      </c>
      <c r="Q1548" s="61" t="n">
        <f aca="false">SUM(I1548:P1548)*Resumo!$C$11</f>
        <v>0</v>
      </c>
      <c r="R1548" s="61" t="n">
        <f aca="false">SUM(I1548:Q1548)</f>
        <v>124.969958</v>
      </c>
      <c r="S1548" s="61" t="n">
        <f aca="false">R1548/(1-Resumo!$C$5)</f>
        <v>142.011315909091</v>
      </c>
      <c r="T1548" s="61" t="n">
        <v>142.32</v>
      </c>
      <c r="U1548" s="61" t="n">
        <f aca="false">H1548*Resumo!$B$6</f>
        <v>0.69999</v>
      </c>
      <c r="V1548" s="61" t="n">
        <f aca="false">H1548*Resumo!$B$7</f>
        <v>1.39998</v>
      </c>
      <c r="W1548" s="61" t="n">
        <f aca="false">Resumo!$B$9</f>
        <v>1</v>
      </c>
      <c r="X1548" s="61" t="n">
        <f aca="false">Resumo!$B$10*CEILING(G1548/100,1)</f>
        <v>4.5</v>
      </c>
      <c r="Y1548" s="61" t="n">
        <f aca="false">Resumo!$B$12*CEILING(G1548,1)</f>
        <v>3.18</v>
      </c>
      <c r="Z1548" s="61" t="n">
        <f aca="false">Resumo!$B$14*CEILING(G1548,1)</f>
        <v>23.85</v>
      </c>
      <c r="AA1548" s="61" t="n">
        <f aca="false">SUM(T1548:Z1548)</f>
        <v>176.94997</v>
      </c>
      <c r="AB1548" s="61" t="n">
        <f aca="false">AA1548/(1-Resumo!$B$5)</f>
        <v>201.079511363636</v>
      </c>
      <c r="AC1548" s="61" t="n">
        <f aca="false">AB1548-S1548</f>
        <v>59.0681954545454</v>
      </c>
      <c r="AD1548" s="62" t="n">
        <f aca="false">AB1548/S1548-1</f>
        <v>0.415940061370589</v>
      </c>
      <c r="AE1548" s="60" t="str">
        <f aca="false">IF(AB1548&lt;S1548,"SIM","NÃO")</f>
        <v>NÃO</v>
      </c>
      <c r="AF1548" s="60" t="n">
        <v>13</v>
      </c>
      <c r="AG1548" s="60" t="n">
        <v>8</v>
      </c>
      <c r="AH1548" s="60" t="s">
        <v>385</v>
      </c>
      <c r="AI1548" s="61" t="n">
        <f aca="false">(T1548*(1-Painel!$C$40)+U1548+V1548+Painel!$C$41+Painel!$C$42*CEILING(G1548/100,1)+Painel!$C$43*CEILING(G1548,1)+Z1548)/(1-Resumo!$B$5)</f>
        <v>140.175420454545</v>
      </c>
      <c r="AJ1548" s="60" t="str">
        <f aca="false">IF(AI1548&lt;S1548,"SIM","NÃO")</f>
        <v>SIM</v>
      </c>
    </row>
    <row r="1549" customFormat="false" ht="15" hidden="false" customHeight="false" outlineLevel="0" collapsed="false">
      <c r="A1549" s="59" t="n">
        <v>46268.233287037</v>
      </c>
      <c r="B1549" s="60" t="s">
        <v>1791</v>
      </c>
      <c r="C1549" s="60" t="n">
        <v>21932220</v>
      </c>
      <c r="D1549" s="60" t="s">
        <v>46</v>
      </c>
      <c r="E1549" s="60" t="s">
        <v>22</v>
      </c>
      <c r="F1549" s="60" t="s">
        <v>236</v>
      </c>
      <c r="G1549" s="60" t="n">
        <v>58.6</v>
      </c>
      <c r="H1549" s="61" t="n">
        <v>756.49</v>
      </c>
      <c r="I1549" s="61" t="n">
        <v>58.6</v>
      </c>
      <c r="J1549" s="61" t="n">
        <f aca="false">H1549*Resumo!$C$6</f>
        <v>0</v>
      </c>
      <c r="K1549" s="61" t="n">
        <f aca="false">H1549*Resumo!$C$7</f>
        <v>1.588629</v>
      </c>
      <c r="L1549" s="61" t="n">
        <f aca="false">H1549*Resumo!$C$8</f>
        <v>1.588629</v>
      </c>
      <c r="M1549" s="61" t="n">
        <f aca="false">Resumo!$C$10*CEILING(G1549/100,1)</f>
        <v>1.05</v>
      </c>
      <c r="N1549" s="61" t="n">
        <f aca="false">Resumo!$C$9</f>
        <v>0</v>
      </c>
      <c r="O1549" s="61" t="n">
        <f aca="false">Resumo!$C$13</f>
        <v>13.55</v>
      </c>
      <c r="P1549" s="61" t="n">
        <f aca="false">Resumo!$C$14*CEILING(G1549,1)</f>
        <v>26.55</v>
      </c>
      <c r="Q1549" s="61" t="n">
        <f aca="false">SUM(I1549:P1549)*Resumo!$C$11</f>
        <v>0</v>
      </c>
      <c r="R1549" s="61" t="n">
        <f aca="false">SUM(I1549:Q1549)</f>
        <v>102.927258</v>
      </c>
      <c r="S1549" s="61" t="n">
        <f aca="false">R1549/(1-Resumo!$C$5)</f>
        <v>116.962793181818</v>
      </c>
      <c r="T1549" s="61" t="n">
        <v>112.3</v>
      </c>
      <c r="U1549" s="61" t="n">
        <f aca="false">H1549*Resumo!$B$6</f>
        <v>0.75649</v>
      </c>
      <c r="V1549" s="61" t="n">
        <f aca="false">H1549*Resumo!$B$7</f>
        <v>1.51298</v>
      </c>
      <c r="W1549" s="61" t="n">
        <f aca="false">Resumo!$B$9</f>
        <v>1</v>
      </c>
      <c r="X1549" s="61" t="n">
        <f aca="false">Resumo!$B$10*CEILING(G1549/100,1)</f>
        <v>4.5</v>
      </c>
      <c r="Y1549" s="61" t="n">
        <f aca="false">Resumo!$B$12*CEILING(G1549,1)</f>
        <v>3.54</v>
      </c>
      <c r="Z1549" s="61" t="n">
        <f aca="false">Resumo!$B$14*CEILING(G1549,1)</f>
        <v>26.55</v>
      </c>
      <c r="AA1549" s="61" t="n">
        <f aca="false">SUM(T1549:Z1549)</f>
        <v>150.15947</v>
      </c>
      <c r="AB1549" s="61" t="n">
        <f aca="false">AA1549/(1-Resumo!$B$5)</f>
        <v>170.635761363636</v>
      </c>
      <c r="AC1549" s="61" t="n">
        <f aca="false">AB1549-S1549</f>
        <v>53.6729681818182</v>
      </c>
      <c r="AD1549" s="62" t="n">
        <f aca="false">AB1549/S1549-1</f>
        <v>0.458889247783129</v>
      </c>
      <c r="AE1549" s="60" t="str">
        <f aca="false">IF(AB1549&lt;S1549,"SIM","NÃO")</f>
        <v>NÃO</v>
      </c>
      <c r="AF1549" s="60" t="n">
        <v>2</v>
      </c>
      <c r="AG1549" s="60" t="n">
        <v>5</v>
      </c>
      <c r="AH1549" s="60" t="s">
        <v>382</v>
      </c>
      <c r="AI1549" s="61" t="n">
        <f aca="false">(T1549*(1-Painel!$C$40)+U1549+V1549+Painel!$C$41+Painel!$C$42*CEILING(G1549/100,1)+Painel!$C$43*CEILING(G1549,1)+Z1549)/(1-Resumo!$B$5)</f>
        <v>120.580079545455</v>
      </c>
      <c r="AJ1549" s="60" t="str">
        <f aca="false">IF(AI1549&lt;S1549,"SIM","NÃO")</f>
        <v>NÃO</v>
      </c>
    </row>
    <row r="1550" customFormat="false" ht="15" hidden="false" customHeight="false" outlineLevel="0" collapsed="false">
      <c r="A1550" s="59" t="n">
        <v>46268.3917013889</v>
      </c>
      <c r="B1550" s="60" t="s">
        <v>1792</v>
      </c>
      <c r="C1550" s="60" t="n">
        <v>21865320</v>
      </c>
      <c r="D1550" s="60" t="s">
        <v>46</v>
      </c>
      <c r="E1550" s="60" t="s">
        <v>22</v>
      </c>
      <c r="F1550" s="60" t="s">
        <v>234</v>
      </c>
      <c r="G1550" s="60" t="n">
        <v>37.6</v>
      </c>
      <c r="H1550" s="61" t="n">
        <v>391.9</v>
      </c>
      <c r="I1550" s="61" t="n">
        <v>48.35</v>
      </c>
      <c r="J1550" s="61" t="n">
        <f aca="false">H1550*Resumo!$C$6</f>
        <v>0</v>
      </c>
      <c r="K1550" s="61" t="n">
        <f aca="false">H1550*Resumo!$C$7</f>
        <v>0.82299</v>
      </c>
      <c r="L1550" s="61" t="n">
        <f aca="false">H1550*Resumo!$C$8</f>
        <v>0.82299</v>
      </c>
      <c r="M1550" s="61" t="n">
        <f aca="false">Resumo!$C$10*CEILING(G1550/100,1)</f>
        <v>1.05</v>
      </c>
      <c r="N1550" s="61" t="n">
        <f aca="false">Resumo!$C$9</f>
        <v>0</v>
      </c>
      <c r="O1550" s="61" t="n">
        <f aca="false">Resumo!$C$13</f>
        <v>13.55</v>
      </c>
      <c r="P1550" s="61" t="n">
        <f aca="false">Resumo!$C$14*CEILING(G1550,1)</f>
        <v>17.1</v>
      </c>
      <c r="Q1550" s="61" t="n">
        <f aca="false">SUM(I1550:P1550)*Resumo!$C$11</f>
        <v>0</v>
      </c>
      <c r="R1550" s="61" t="n">
        <f aca="false">SUM(I1550:Q1550)</f>
        <v>81.69598</v>
      </c>
      <c r="S1550" s="61" t="n">
        <f aca="false">R1550/(1-Resumo!$C$5)</f>
        <v>92.8363409090909</v>
      </c>
      <c r="T1550" s="61" t="n">
        <v>93.97</v>
      </c>
      <c r="U1550" s="61" t="n">
        <f aca="false">H1550*Resumo!$B$6</f>
        <v>0.3919</v>
      </c>
      <c r="V1550" s="61" t="n">
        <f aca="false">H1550*Resumo!$B$7</f>
        <v>0.7838</v>
      </c>
      <c r="W1550" s="61" t="n">
        <f aca="false">Resumo!$B$9</f>
        <v>1</v>
      </c>
      <c r="X1550" s="61" t="n">
        <f aca="false">Resumo!$B$10*CEILING(G1550/100,1)</f>
        <v>4.5</v>
      </c>
      <c r="Y1550" s="61" t="n">
        <f aca="false">Resumo!$B$12*CEILING(G1550,1)</f>
        <v>2.28</v>
      </c>
      <c r="Z1550" s="61" t="n">
        <f aca="false">Resumo!$B$14*CEILING(G1550,1)</f>
        <v>17.1</v>
      </c>
      <c r="AA1550" s="61" t="n">
        <f aca="false">SUM(T1550:Z1550)</f>
        <v>120.0257</v>
      </c>
      <c r="AB1550" s="61" t="n">
        <f aca="false">AA1550/(1-Resumo!$B$5)</f>
        <v>136.392840909091</v>
      </c>
      <c r="AC1550" s="61" t="n">
        <f aca="false">AB1550-S1550</f>
        <v>43.5565</v>
      </c>
      <c r="AD1550" s="62" t="n">
        <f aca="false">AB1550/S1550-1</f>
        <v>0.46917510506637</v>
      </c>
      <c r="AE1550" s="60" t="str">
        <f aca="false">IF(AB1550&lt;S1550,"SIM","NÃO")</f>
        <v>NÃO</v>
      </c>
      <c r="AF1550" s="60" t="n">
        <v>2</v>
      </c>
      <c r="AG1550" s="60" t="n">
        <v>5</v>
      </c>
      <c r="AH1550" s="60" t="s">
        <v>382</v>
      </c>
      <c r="AI1550" s="61" t="n">
        <f aca="false">(T1550*(1-Painel!$C$40)+U1550+V1550+Painel!$C$41+Painel!$C$42*CEILING(G1550/100,1)+Painel!$C$43*CEILING(G1550,1)+Z1550)/(1-Resumo!$B$5)</f>
        <v>94.6427272727273</v>
      </c>
      <c r="AJ1550" s="60" t="str">
        <f aca="false">IF(AI1550&lt;S1550,"SIM","NÃO")</f>
        <v>NÃO</v>
      </c>
    </row>
    <row r="1551" customFormat="false" ht="15" hidden="false" customHeight="false" outlineLevel="0" collapsed="false">
      <c r="A1551" s="59" t="n">
        <v>46268.5582407407</v>
      </c>
      <c r="B1551" s="60" t="s">
        <v>1793</v>
      </c>
      <c r="C1551" s="60" t="n">
        <v>27525502</v>
      </c>
      <c r="D1551" s="60" t="s">
        <v>296</v>
      </c>
      <c r="E1551" s="60" t="s">
        <v>24</v>
      </c>
      <c r="F1551" s="60" t="s">
        <v>235</v>
      </c>
      <c r="G1551" s="60" t="n">
        <v>44.5</v>
      </c>
      <c r="H1551" s="61" t="n">
        <v>679.99</v>
      </c>
      <c r="I1551" s="61" t="n">
        <v>77.7</v>
      </c>
      <c r="J1551" s="61" t="n">
        <f aca="false">H1551*Resumo!$C$6</f>
        <v>0</v>
      </c>
      <c r="K1551" s="61" t="n">
        <f aca="false">H1551*Resumo!$C$7</f>
        <v>1.427979</v>
      </c>
      <c r="L1551" s="61" t="n">
        <f aca="false">H1551*Resumo!$C$8</f>
        <v>1.427979</v>
      </c>
      <c r="M1551" s="61" t="n">
        <f aca="false">Resumo!$C$10*CEILING(G1551/100,1)</f>
        <v>1.05</v>
      </c>
      <c r="N1551" s="61" t="n">
        <f aca="false">Resumo!$C$9</f>
        <v>0</v>
      </c>
      <c r="O1551" s="61" t="n">
        <f aca="false">Resumo!$C$13</f>
        <v>13.55</v>
      </c>
      <c r="P1551" s="61" t="n">
        <f aca="false">Resumo!$C$14*CEILING(G1551,1)</f>
        <v>20.25</v>
      </c>
      <c r="Q1551" s="61" t="n">
        <f aca="false">SUM(I1551:P1551)*Resumo!$C$11</f>
        <v>0</v>
      </c>
      <c r="R1551" s="61" t="n">
        <f aca="false">SUM(I1551:Q1551)</f>
        <v>115.405958</v>
      </c>
      <c r="S1551" s="61" t="n">
        <f aca="false">R1551/(1-Resumo!$C$5)</f>
        <v>131.143134090909</v>
      </c>
      <c r="T1551" s="61" t="n">
        <v>124.38</v>
      </c>
      <c r="U1551" s="61" t="n">
        <f aca="false">H1551*Resumo!$B$6</f>
        <v>0.67999</v>
      </c>
      <c r="V1551" s="61" t="n">
        <f aca="false">H1551*Resumo!$B$7</f>
        <v>1.35998</v>
      </c>
      <c r="W1551" s="61" t="n">
        <f aca="false">Resumo!$B$9</f>
        <v>1</v>
      </c>
      <c r="X1551" s="61" t="n">
        <f aca="false">Resumo!$B$10*CEILING(G1551/100,1)</f>
        <v>4.5</v>
      </c>
      <c r="Y1551" s="61" t="n">
        <f aca="false">Resumo!$B$12*CEILING(G1551,1)</f>
        <v>2.7</v>
      </c>
      <c r="Z1551" s="61" t="n">
        <f aca="false">Resumo!$B$14*CEILING(G1551,1)</f>
        <v>20.25</v>
      </c>
      <c r="AA1551" s="61" t="n">
        <f aca="false">SUM(T1551:Z1551)</f>
        <v>154.86997</v>
      </c>
      <c r="AB1551" s="61" t="n">
        <f aca="false">AA1551/(1-Resumo!$B$5)</f>
        <v>175.988602272727</v>
      </c>
      <c r="AC1551" s="61" t="n">
        <f aca="false">AB1551-S1551</f>
        <v>44.8454681818182</v>
      </c>
      <c r="AD1551" s="62" t="n">
        <f aca="false">AB1551/S1551-1</f>
        <v>0.341958185555723</v>
      </c>
      <c r="AE1551" s="60" t="str">
        <f aca="false">IF(AB1551&lt;S1551,"SIM","NÃO")</f>
        <v>NÃO</v>
      </c>
      <c r="AF1551" s="60" t="n">
        <v>13</v>
      </c>
      <c r="AG1551" s="60" t="n">
        <v>10</v>
      </c>
      <c r="AH1551" s="60" t="s">
        <v>385</v>
      </c>
      <c r="AI1551" s="61" t="n">
        <f aca="false">(T1551*(1-Painel!$C$40)+U1551+V1551+Painel!$C$41+Painel!$C$42*CEILING(G1551/100,1)+Painel!$C$43*CEILING(G1551,1)+Z1551)/(1-Resumo!$B$5)</f>
        <v>122.357465909091</v>
      </c>
      <c r="AJ1551" s="60" t="str">
        <f aca="false">IF(AI1551&lt;S1551,"SIM","NÃO")</f>
        <v>SIM</v>
      </c>
    </row>
    <row r="1552" customFormat="false" ht="15" hidden="false" customHeight="false" outlineLevel="0" collapsed="false">
      <c r="A1552" s="59" t="n">
        <v>46268.5749537037</v>
      </c>
      <c r="B1552" s="60" t="s">
        <v>1794</v>
      </c>
      <c r="C1552" s="60" t="n">
        <v>23060720</v>
      </c>
      <c r="D1552" s="60" t="s">
        <v>46</v>
      </c>
      <c r="E1552" s="60" t="s">
        <v>22</v>
      </c>
      <c r="F1552" s="60" t="s">
        <v>237</v>
      </c>
      <c r="G1552" s="60" t="n">
        <v>66.8</v>
      </c>
      <c r="H1552" s="61" t="n">
        <v>578</v>
      </c>
      <c r="I1552" s="61" t="n">
        <v>63.21</v>
      </c>
      <c r="J1552" s="61" t="n">
        <f aca="false">H1552*Resumo!$C$6</f>
        <v>0</v>
      </c>
      <c r="K1552" s="61" t="n">
        <f aca="false">H1552*Resumo!$C$7</f>
        <v>1.2138</v>
      </c>
      <c r="L1552" s="61" t="n">
        <f aca="false">H1552*Resumo!$C$8</f>
        <v>1.2138</v>
      </c>
      <c r="M1552" s="61" t="n">
        <f aca="false">Resumo!$C$10*CEILING(G1552/100,1)</f>
        <v>1.05</v>
      </c>
      <c r="N1552" s="61" t="n">
        <f aca="false">Resumo!$C$9</f>
        <v>0</v>
      </c>
      <c r="O1552" s="61" t="n">
        <f aca="false">Resumo!$C$13</f>
        <v>13.55</v>
      </c>
      <c r="P1552" s="61" t="n">
        <f aca="false">Resumo!$C$14*CEILING(G1552,1)</f>
        <v>30.15</v>
      </c>
      <c r="Q1552" s="61" t="n">
        <f aca="false">SUM(I1552:P1552)*Resumo!$C$11</f>
        <v>0</v>
      </c>
      <c r="R1552" s="61" t="n">
        <f aca="false">SUM(I1552:Q1552)</f>
        <v>110.3876</v>
      </c>
      <c r="S1552" s="61" t="n">
        <f aca="false">R1552/(1-Resumo!$C$5)</f>
        <v>125.440454545455</v>
      </c>
      <c r="T1552" s="61" t="n">
        <v>131.02</v>
      </c>
      <c r="U1552" s="61" t="n">
        <f aca="false">H1552*Resumo!$B$6</f>
        <v>0.578</v>
      </c>
      <c r="V1552" s="61" t="n">
        <f aca="false">H1552*Resumo!$B$7</f>
        <v>1.156</v>
      </c>
      <c r="W1552" s="61" t="n">
        <f aca="false">Resumo!$B$9</f>
        <v>1</v>
      </c>
      <c r="X1552" s="61" t="n">
        <f aca="false">Resumo!$B$10*CEILING(G1552/100,1)</f>
        <v>4.5</v>
      </c>
      <c r="Y1552" s="61" t="n">
        <f aca="false">Resumo!$B$12*CEILING(G1552,1)</f>
        <v>4.02</v>
      </c>
      <c r="Z1552" s="61" t="n">
        <f aca="false">Resumo!$B$14*CEILING(G1552,1)</f>
        <v>30.15</v>
      </c>
      <c r="AA1552" s="61" t="n">
        <f aca="false">SUM(T1552:Z1552)</f>
        <v>172.424</v>
      </c>
      <c r="AB1552" s="61" t="n">
        <f aca="false">AA1552/(1-Resumo!$B$5)</f>
        <v>195.936363636364</v>
      </c>
      <c r="AC1552" s="61" t="n">
        <f aca="false">AB1552-S1552</f>
        <v>70.4959090909091</v>
      </c>
      <c r="AD1552" s="62" t="n">
        <f aca="false">AB1552/S1552-1</f>
        <v>0.561987034775645</v>
      </c>
      <c r="AE1552" s="60" t="str">
        <f aca="false">IF(AB1552&lt;S1552,"SIM","NÃO")</f>
        <v>NÃO</v>
      </c>
      <c r="AF1552" s="60" t="n">
        <v>2</v>
      </c>
      <c r="AG1552" s="60" t="n">
        <v>5</v>
      </c>
      <c r="AH1552" s="60" t="s">
        <v>382</v>
      </c>
      <c r="AI1552" s="61" t="n">
        <f aca="false">(T1552*(1-Painel!$C$40)+U1552+V1552+Painel!$C$41+Painel!$C$42*CEILING(G1552/100,1)+Painel!$C$43*CEILING(G1552,1)+Z1552)/(1-Resumo!$B$5)</f>
        <v>138.315227272727</v>
      </c>
      <c r="AJ1552" s="60" t="str">
        <f aca="false">IF(AI1552&lt;S1552,"SIM","NÃO")</f>
        <v>NÃO</v>
      </c>
    </row>
    <row r="1553" customFormat="false" ht="15" hidden="false" customHeight="false" outlineLevel="0" collapsed="false">
      <c r="A1553" s="59" t="n">
        <v>46268.58375</v>
      </c>
      <c r="B1553" s="60" t="s">
        <v>1795</v>
      </c>
      <c r="C1553" s="60" t="n">
        <v>27971805</v>
      </c>
      <c r="D1553" s="60" t="s">
        <v>53</v>
      </c>
      <c r="E1553" s="60" t="s">
        <v>24</v>
      </c>
      <c r="F1553" s="60" t="s">
        <v>237</v>
      </c>
      <c r="G1553" s="60" t="n">
        <v>68.1</v>
      </c>
      <c r="H1553" s="61" t="n">
        <v>898</v>
      </c>
      <c r="I1553" s="61" t="n">
        <v>90.2</v>
      </c>
      <c r="J1553" s="61" t="n">
        <f aca="false">H1553*Resumo!$C$6</f>
        <v>0</v>
      </c>
      <c r="K1553" s="61" t="n">
        <f aca="false">H1553*Resumo!$C$7</f>
        <v>1.8858</v>
      </c>
      <c r="L1553" s="61" t="n">
        <f aca="false">H1553*Resumo!$C$8</f>
        <v>1.8858</v>
      </c>
      <c r="M1553" s="61" t="n">
        <f aca="false">Resumo!$C$10*CEILING(G1553/100,1)</f>
        <v>1.05</v>
      </c>
      <c r="N1553" s="61" t="n">
        <f aca="false">Resumo!$C$9</f>
        <v>0</v>
      </c>
      <c r="O1553" s="61" t="n">
        <f aca="false">Resumo!$C$13</f>
        <v>13.55</v>
      </c>
      <c r="P1553" s="61" t="n">
        <f aca="false">Resumo!$C$14*CEILING(G1553,1)</f>
        <v>31.05</v>
      </c>
      <c r="Q1553" s="61" t="n">
        <f aca="false">SUM(I1553:P1553)*Resumo!$C$11</f>
        <v>0</v>
      </c>
      <c r="R1553" s="61" t="n">
        <f aca="false">SUM(I1553:Q1553)</f>
        <v>139.6216</v>
      </c>
      <c r="S1553" s="61" t="n">
        <f aca="false">R1553/(1-Resumo!$C$5)</f>
        <v>158.660909090909</v>
      </c>
      <c r="T1553" s="61" t="n">
        <v>171.54</v>
      </c>
      <c r="U1553" s="61" t="n">
        <f aca="false">H1553*Resumo!$B$6</f>
        <v>0.898</v>
      </c>
      <c r="V1553" s="61" t="n">
        <f aca="false">H1553*Resumo!$B$7</f>
        <v>1.796</v>
      </c>
      <c r="W1553" s="61" t="n">
        <f aca="false">Resumo!$B$9</f>
        <v>1</v>
      </c>
      <c r="X1553" s="61" t="n">
        <f aca="false">Resumo!$B$10*CEILING(G1553/100,1)</f>
        <v>4.5</v>
      </c>
      <c r="Y1553" s="61" t="n">
        <f aca="false">Resumo!$B$12*CEILING(G1553,1)</f>
        <v>4.14</v>
      </c>
      <c r="Z1553" s="61" t="n">
        <f aca="false">Resumo!$B$14*CEILING(G1553,1)</f>
        <v>31.05</v>
      </c>
      <c r="AA1553" s="61" t="n">
        <f aca="false">SUM(T1553:Z1553)</f>
        <v>214.924</v>
      </c>
      <c r="AB1553" s="61" t="n">
        <f aca="false">AA1553/(1-Resumo!$B$5)</f>
        <v>244.231818181818</v>
      </c>
      <c r="AC1553" s="61" t="n">
        <f aca="false">AB1553-S1553</f>
        <v>85.5709090909091</v>
      </c>
      <c r="AD1553" s="62" t="n">
        <f aca="false">AB1553/S1553-1</f>
        <v>0.539332023125362</v>
      </c>
      <c r="AE1553" s="60" t="str">
        <f aca="false">IF(AB1553&lt;S1553,"SIM","NÃO")</f>
        <v>NÃO</v>
      </c>
      <c r="AF1553" s="60" t="n">
        <v>13</v>
      </c>
      <c r="AG1553" s="60" t="n">
        <v>11</v>
      </c>
      <c r="AH1553" s="60" t="s">
        <v>382</v>
      </c>
      <c r="AI1553" s="61" t="n">
        <f aca="false">(T1553*(1-Painel!$C$40)+U1553+V1553+Painel!$C$41+Painel!$C$42*CEILING(G1553/100,1)+Painel!$C$43*CEILING(G1553,1)+Z1553)/(1-Resumo!$B$5)</f>
        <v>171.279318181818</v>
      </c>
      <c r="AJ1553" s="60" t="str">
        <f aca="false">IF(AI1553&lt;S1553,"SIM","NÃO")</f>
        <v>NÃO</v>
      </c>
    </row>
    <row r="1554" customFormat="false" ht="15" hidden="false" customHeight="false" outlineLevel="0" collapsed="false">
      <c r="A1554" s="59" t="n">
        <v>46268.6326041667</v>
      </c>
      <c r="B1554" s="60" t="s">
        <v>1796</v>
      </c>
      <c r="C1554" s="60" t="n">
        <v>24813126</v>
      </c>
      <c r="D1554" s="60" t="s">
        <v>223</v>
      </c>
      <c r="E1554" s="60" t="s">
        <v>24</v>
      </c>
      <c r="F1554" s="60" t="s">
        <v>235</v>
      </c>
      <c r="G1554" s="60" t="n">
        <v>49.6</v>
      </c>
      <c r="H1554" s="61" t="n">
        <v>769.99</v>
      </c>
      <c r="I1554" s="61" t="n">
        <v>77.7</v>
      </c>
      <c r="J1554" s="61" t="n">
        <f aca="false">H1554*Resumo!$C$6</f>
        <v>0</v>
      </c>
      <c r="K1554" s="61" t="n">
        <f aca="false">H1554*Resumo!$C$7</f>
        <v>1.616979</v>
      </c>
      <c r="L1554" s="61" t="n">
        <f aca="false">H1554*Resumo!$C$8</f>
        <v>1.616979</v>
      </c>
      <c r="M1554" s="61" t="n">
        <f aca="false">Resumo!$C$10*CEILING(G1554/100,1)</f>
        <v>1.05</v>
      </c>
      <c r="N1554" s="61" t="n">
        <f aca="false">Resumo!$C$9</f>
        <v>0</v>
      </c>
      <c r="O1554" s="61" t="n">
        <f aca="false">Resumo!$C$13</f>
        <v>13.55</v>
      </c>
      <c r="P1554" s="61" t="n">
        <f aca="false">Resumo!$C$14*CEILING(G1554,1)</f>
        <v>22.5</v>
      </c>
      <c r="Q1554" s="61" t="n">
        <f aca="false">SUM(I1554:P1554)*Resumo!$C$11</f>
        <v>0</v>
      </c>
      <c r="R1554" s="61" t="n">
        <f aca="false">SUM(I1554:Q1554)</f>
        <v>118.033958</v>
      </c>
      <c r="S1554" s="61" t="n">
        <f aca="false">R1554/(1-Resumo!$C$5)</f>
        <v>134.129497727273</v>
      </c>
      <c r="T1554" s="61" t="n">
        <v>114.95</v>
      </c>
      <c r="U1554" s="61" t="n">
        <f aca="false">H1554*Resumo!$B$6</f>
        <v>0.76999</v>
      </c>
      <c r="V1554" s="61" t="n">
        <f aca="false">H1554*Resumo!$B$7</f>
        <v>1.53998</v>
      </c>
      <c r="W1554" s="61" t="n">
        <f aca="false">Resumo!$B$9</f>
        <v>1</v>
      </c>
      <c r="X1554" s="61" t="n">
        <f aca="false">Resumo!$B$10*CEILING(G1554/100,1)</f>
        <v>4.5</v>
      </c>
      <c r="Y1554" s="61" t="n">
        <f aca="false">Resumo!$B$12*CEILING(G1554,1)</f>
        <v>3</v>
      </c>
      <c r="Z1554" s="61" t="n">
        <f aca="false">Resumo!$B$14*CEILING(G1554,1)</f>
        <v>22.5</v>
      </c>
      <c r="AA1554" s="61" t="n">
        <f aca="false">SUM(T1554:Z1554)</f>
        <v>148.25997</v>
      </c>
      <c r="AB1554" s="61" t="n">
        <f aca="false">AA1554/(1-Resumo!$B$5)</f>
        <v>168.477238636364</v>
      </c>
      <c r="AC1554" s="61" t="n">
        <f aca="false">AB1554-S1554</f>
        <v>34.3477409090909</v>
      </c>
      <c r="AD1554" s="62" t="n">
        <f aca="false">AB1554/S1554-1</f>
        <v>0.256078949754443</v>
      </c>
      <c r="AE1554" s="60" t="str">
        <f aca="false">IF(AB1554&lt;S1554,"SIM","NÃO")</f>
        <v>NÃO</v>
      </c>
      <c r="AF1554" s="60" t="n">
        <v>13</v>
      </c>
      <c r="AG1554" s="60" t="n">
        <v>7</v>
      </c>
      <c r="AH1554" s="60" t="s">
        <v>382</v>
      </c>
      <c r="AI1554" s="61" t="n">
        <f aca="false">(T1554*(1-Painel!$C$40)+U1554+V1554+Painel!$C$41+Painel!$C$42*CEILING(G1554/100,1)+Painel!$C$43*CEILING(G1554,1)+Z1554)/(1-Resumo!$B$5)</f>
        <v>118.041443181818</v>
      </c>
      <c r="AJ1554" s="60" t="str">
        <f aca="false">IF(AI1554&lt;S1554,"SIM","NÃO")</f>
        <v>SIM</v>
      </c>
    </row>
    <row r="1555" customFormat="false" ht="15" hidden="false" customHeight="false" outlineLevel="0" collapsed="false">
      <c r="A1555" s="59" t="n">
        <v>46268.6407638889</v>
      </c>
      <c r="B1555" s="60" t="s">
        <v>1797</v>
      </c>
      <c r="C1555" s="60" t="n">
        <v>22790147</v>
      </c>
      <c r="D1555" s="60" t="s">
        <v>46</v>
      </c>
      <c r="E1555" s="60" t="s">
        <v>22</v>
      </c>
      <c r="F1555" s="60" t="s">
        <v>233</v>
      </c>
      <c r="G1555" s="60" t="n">
        <v>31.9</v>
      </c>
      <c r="H1555" s="61" t="n">
        <v>589.95</v>
      </c>
      <c r="I1555" s="61" t="n">
        <v>42.11</v>
      </c>
      <c r="J1555" s="61" t="n">
        <f aca="false">H1555*Resumo!$C$6</f>
        <v>0</v>
      </c>
      <c r="K1555" s="61" t="n">
        <f aca="false">H1555*Resumo!$C$7</f>
        <v>1.238895</v>
      </c>
      <c r="L1555" s="61" t="n">
        <f aca="false">H1555*Resumo!$C$8</f>
        <v>1.238895</v>
      </c>
      <c r="M1555" s="61" t="n">
        <f aca="false">Resumo!$C$10*CEILING(G1555/100,1)</f>
        <v>1.05</v>
      </c>
      <c r="N1555" s="61" t="n">
        <f aca="false">Resumo!$C$9</f>
        <v>0</v>
      </c>
      <c r="O1555" s="61" t="n">
        <f aca="false">Resumo!$C$13</f>
        <v>13.55</v>
      </c>
      <c r="P1555" s="61" t="n">
        <f aca="false">Resumo!$C$14*CEILING(G1555,1)</f>
        <v>14.4</v>
      </c>
      <c r="Q1555" s="61" t="n">
        <f aca="false">SUM(I1555:P1555)*Resumo!$C$11</f>
        <v>0</v>
      </c>
      <c r="R1555" s="61" t="n">
        <f aca="false">SUM(I1555:Q1555)</f>
        <v>73.58779</v>
      </c>
      <c r="S1555" s="61" t="n">
        <f aca="false">R1555/(1-Resumo!$C$5)</f>
        <v>83.6224886363636</v>
      </c>
      <c r="T1555" s="61" t="n">
        <v>82.21</v>
      </c>
      <c r="U1555" s="61" t="n">
        <f aca="false">H1555*Resumo!$B$6</f>
        <v>0.58995</v>
      </c>
      <c r="V1555" s="61" t="n">
        <f aca="false">H1555*Resumo!$B$7</f>
        <v>1.1799</v>
      </c>
      <c r="W1555" s="61" t="n">
        <f aca="false">Resumo!$B$9</f>
        <v>1</v>
      </c>
      <c r="X1555" s="61" t="n">
        <f aca="false">Resumo!$B$10*CEILING(G1555/100,1)</f>
        <v>4.5</v>
      </c>
      <c r="Y1555" s="61" t="n">
        <f aca="false">Resumo!$B$12*CEILING(G1555,1)</f>
        <v>1.92</v>
      </c>
      <c r="Z1555" s="61" t="n">
        <f aca="false">Resumo!$B$14*CEILING(G1555,1)</f>
        <v>14.4</v>
      </c>
      <c r="AA1555" s="61" t="n">
        <f aca="false">SUM(T1555:Z1555)</f>
        <v>105.79985</v>
      </c>
      <c r="AB1555" s="61" t="n">
        <f aca="false">AA1555/(1-Resumo!$B$5)</f>
        <v>120.227102272727</v>
      </c>
      <c r="AC1555" s="61" t="n">
        <f aca="false">AB1555-S1555</f>
        <v>36.6046136363637</v>
      </c>
      <c r="AD1555" s="62" t="n">
        <f aca="false">AB1555/S1555-1</f>
        <v>0.43773647774991</v>
      </c>
      <c r="AE1555" s="60" t="str">
        <f aca="false">IF(AB1555&lt;S1555,"SIM","NÃO")</f>
        <v>NÃO</v>
      </c>
      <c r="AF1555" s="60" t="n">
        <v>2</v>
      </c>
      <c r="AG1555" s="60" t="n">
        <v>5</v>
      </c>
      <c r="AH1555" s="60" t="s">
        <v>382</v>
      </c>
      <c r="AI1555" s="61" t="n">
        <f aca="false">(T1555*(1-Painel!$C$40)+U1555+V1555+Painel!$C$41+Painel!$C$42*CEILING(G1555/100,1)+Painel!$C$43*CEILING(G1555,1)+Z1555)/(1-Resumo!$B$5)</f>
        <v>83.2960795454546</v>
      </c>
      <c r="AJ1555" s="60" t="str">
        <f aca="false">IF(AI1555&lt;S1555,"SIM","NÃO")</f>
        <v>SIM</v>
      </c>
    </row>
    <row r="1556" customFormat="false" ht="15" hidden="false" customHeight="false" outlineLevel="0" collapsed="false">
      <c r="A1556" s="59" t="n">
        <v>46268.6432407407</v>
      </c>
      <c r="B1556" s="60" t="s">
        <v>1798</v>
      </c>
      <c r="C1556" s="60" t="n">
        <v>26535350</v>
      </c>
      <c r="D1556" s="60" t="s">
        <v>284</v>
      </c>
      <c r="E1556" s="60" t="s">
        <v>23</v>
      </c>
      <c r="F1556" s="60" t="s">
        <v>239</v>
      </c>
      <c r="G1556" s="60" t="n">
        <v>84</v>
      </c>
      <c r="H1556" s="61" t="n">
        <v>1042.13</v>
      </c>
      <c r="I1556" s="61" t="n">
        <v>92.32</v>
      </c>
      <c r="J1556" s="61" t="n">
        <f aca="false">H1556*Resumo!$C$6</f>
        <v>0</v>
      </c>
      <c r="K1556" s="61" t="n">
        <f aca="false">H1556*Resumo!$C$7</f>
        <v>2.188473</v>
      </c>
      <c r="L1556" s="61" t="n">
        <f aca="false">H1556*Resumo!$C$8</f>
        <v>2.188473</v>
      </c>
      <c r="M1556" s="61" t="n">
        <f aca="false">Resumo!$C$10*CEILING(G1556/100,1)</f>
        <v>1.05</v>
      </c>
      <c r="N1556" s="61" t="n">
        <f aca="false">Resumo!$C$9</f>
        <v>0</v>
      </c>
      <c r="O1556" s="61" t="n">
        <f aca="false">Resumo!$C$13</f>
        <v>13.55</v>
      </c>
      <c r="P1556" s="61" t="n">
        <f aca="false">Resumo!$C$14*CEILING(G1556,1)</f>
        <v>37.8</v>
      </c>
      <c r="Q1556" s="61" t="n">
        <f aca="false">SUM(I1556:P1556)*Resumo!$C$11</f>
        <v>0</v>
      </c>
      <c r="R1556" s="61" t="n">
        <f aca="false">SUM(I1556:Q1556)</f>
        <v>149.096946</v>
      </c>
      <c r="S1556" s="61" t="n">
        <f aca="false">R1556/(1-Resumo!$C$5)</f>
        <v>169.428347727273</v>
      </c>
      <c r="T1556" s="61" t="n">
        <v>167.99</v>
      </c>
      <c r="U1556" s="61" t="n">
        <f aca="false">H1556*Resumo!$B$6</f>
        <v>1.04213</v>
      </c>
      <c r="V1556" s="61" t="n">
        <f aca="false">H1556*Resumo!$B$7</f>
        <v>2.08426</v>
      </c>
      <c r="W1556" s="61" t="n">
        <f aca="false">Resumo!$B$9</f>
        <v>1</v>
      </c>
      <c r="X1556" s="61" t="n">
        <f aca="false">Resumo!$B$10*CEILING(G1556/100,1)</f>
        <v>4.5</v>
      </c>
      <c r="Y1556" s="61" t="n">
        <f aca="false">Resumo!$B$12*CEILING(G1556,1)</f>
        <v>5.04</v>
      </c>
      <c r="Z1556" s="61" t="n">
        <f aca="false">Resumo!$B$14*CEILING(G1556,1)</f>
        <v>37.8</v>
      </c>
      <c r="AA1556" s="61" t="n">
        <f aca="false">SUM(T1556:Z1556)</f>
        <v>219.45639</v>
      </c>
      <c r="AB1556" s="61" t="n">
        <f aca="false">AA1556/(1-Resumo!$B$5)</f>
        <v>249.382261363636</v>
      </c>
      <c r="AC1556" s="61" t="n">
        <f aca="false">AB1556-S1556</f>
        <v>79.9539136363637</v>
      </c>
      <c r="AD1556" s="62" t="n">
        <f aca="false">AB1556/S1556-1</f>
        <v>0.471903991916776</v>
      </c>
      <c r="AE1556" s="60" t="str">
        <f aca="false">IF(AB1556&lt;S1556,"SIM","NÃO")</f>
        <v>NÃO</v>
      </c>
      <c r="AF1556" s="60" t="n">
        <v>2</v>
      </c>
      <c r="AG1556" s="60" t="n">
        <v>5</v>
      </c>
      <c r="AH1556" s="60" t="s">
        <v>385</v>
      </c>
      <c r="AI1556" s="61" t="n">
        <f aca="false">(T1556*(1-Painel!$C$40)+U1556+V1556+Painel!$C$41+Painel!$C$42*CEILING(G1556/100,1)+Painel!$C$43*CEILING(G1556,1)+Z1556)/(1-Resumo!$B$5)</f>
        <v>176.738284090909</v>
      </c>
      <c r="AJ1556" s="60" t="str">
        <f aca="false">IF(AI1556&lt;S1556,"SIM","NÃO")</f>
        <v>NÃO</v>
      </c>
    </row>
    <row r="1557" customFormat="false" ht="15" hidden="false" customHeight="false" outlineLevel="0" collapsed="false">
      <c r="A1557" s="59" t="n">
        <v>46268.725150463</v>
      </c>
      <c r="B1557" s="60" t="s">
        <v>1799</v>
      </c>
      <c r="C1557" s="60" t="n">
        <v>26021560</v>
      </c>
      <c r="D1557" s="60" t="s">
        <v>49</v>
      </c>
      <c r="E1557" s="60" t="s">
        <v>23</v>
      </c>
      <c r="F1557" s="60" t="s">
        <v>241</v>
      </c>
      <c r="G1557" s="60" t="n">
        <v>124.2</v>
      </c>
      <c r="H1557" s="61" t="n">
        <v>1799.99</v>
      </c>
      <c r="I1557" s="61" t="n">
        <v>129.62</v>
      </c>
      <c r="J1557" s="61" t="n">
        <f aca="false">H1557*Resumo!$C$6</f>
        <v>0</v>
      </c>
      <c r="K1557" s="61" t="n">
        <f aca="false">H1557*Resumo!$C$7</f>
        <v>3.779979</v>
      </c>
      <c r="L1557" s="61" t="n">
        <f aca="false">H1557*Resumo!$C$8</f>
        <v>3.779979</v>
      </c>
      <c r="M1557" s="61" t="n">
        <f aca="false">Resumo!$C$10*CEILING(G1557/100,1)</f>
        <v>2.1</v>
      </c>
      <c r="N1557" s="61" t="n">
        <f aca="false">Resumo!$C$9</f>
        <v>0</v>
      </c>
      <c r="O1557" s="61" t="n">
        <f aca="false">Resumo!$C$13</f>
        <v>13.55</v>
      </c>
      <c r="P1557" s="61" t="n">
        <f aca="false">Resumo!$C$14*CEILING(G1557,1)</f>
        <v>56.25</v>
      </c>
      <c r="Q1557" s="61" t="n">
        <f aca="false">SUM(I1557:P1557)*Resumo!$C$11</f>
        <v>0</v>
      </c>
      <c r="R1557" s="61" t="n">
        <f aca="false">SUM(I1557:Q1557)</f>
        <v>209.079958</v>
      </c>
      <c r="S1557" s="61" t="n">
        <f aca="false">R1557/(1-Resumo!$C$5)</f>
        <v>237.590861363636</v>
      </c>
      <c r="T1557" s="61" t="n">
        <v>239.25</v>
      </c>
      <c r="U1557" s="61" t="n">
        <f aca="false">H1557*Resumo!$B$6</f>
        <v>1.79999</v>
      </c>
      <c r="V1557" s="61" t="n">
        <f aca="false">H1557*Resumo!$B$7</f>
        <v>3.59998</v>
      </c>
      <c r="W1557" s="61" t="n">
        <f aca="false">Resumo!$B$9</f>
        <v>1</v>
      </c>
      <c r="X1557" s="61" t="n">
        <f aca="false">Resumo!$B$10*CEILING(G1557/100,1)</f>
        <v>9</v>
      </c>
      <c r="Y1557" s="61" t="n">
        <f aca="false">Resumo!$B$12*CEILING(G1557,1)</f>
        <v>7.5</v>
      </c>
      <c r="Z1557" s="61" t="n">
        <f aca="false">Resumo!$B$14*CEILING(G1557,1)</f>
        <v>56.25</v>
      </c>
      <c r="AA1557" s="61" t="n">
        <f aca="false">SUM(T1557:Z1557)</f>
        <v>318.39997</v>
      </c>
      <c r="AB1557" s="61" t="n">
        <f aca="false">AA1557/(1-Resumo!$B$5)</f>
        <v>361.818147727273</v>
      </c>
      <c r="AC1557" s="61" t="n">
        <f aca="false">AB1557-S1557</f>
        <v>124.227286363636</v>
      </c>
      <c r="AD1557" s="62" t="n">
        <f aca="false">AB1557/S1557-1</f>
        <v>0.522862224795358</v>
      </c>
      <c r="AE1557" s="60" t="str">
        <f aca="false">IF(AB1557&lt;S1557,"SIM","NÃO")</f>
        <v>NÃO</v>
      </c>
      <c r="AF1557" s="60" t="n">
        <v>2</v>
      </c>
      <c r="AG1557" s="60" t="n">
        <v>5</v>
      </c>
      <c r="AH1557" s="60" t="s">
        <v>382</v>
      </c>
      <c r="AI1557" s="61" t="n">
        <f aca="false">(T1557*(1-Painel!$C$40)+U1557+V1557+Painel!$C$41+Painel!$C$42*CEILING(G1557/100,1)+Painel!$C$43*CEILING(G1557,1)+Z1557)/(1-Resumo!$B$5)</f>
        <v>255.735761363636</v>
      </c>
      <c r="AJ1557" s="60" t="str">
        <f aca="false">IF(AI1557&lt;S1557,"SIM","NÃO")</f>
        <v>NÃO</v>
      </c>
    </row>
    <row r="1558" customFormat="false" ht="15" hidden="false" customHeight="false" outlineLevel="0" collapsed="false">
      <c r="A1558" s="59" t="n">
        <v>46268.7280671296</v>
      </c>
      <c r="B1558" s="60" t="s">
        <v>1800</v>
      </c>
      <c r="C1558" s="60" t="n">
        <v>28895679</v>
      </c>
      <c r="D1558" s="60" t="s">
        <v>227</v>
      </c>
      <c r="E1558" s="60" t="s">
        <v>24</v>
      </c>
      <c r="F1558" s="60" t="s">
        <v>233</v>
      </c>
      <c r="G1558" s="60" t="n">
        <v>29.2</v>
      </c>
      <c r="H1558" s="61" t="n">
        <v>458.18</v>
      </c>
      <c r="I1558" s="61" t="n">
        <v>65.63</v>
      </c>
      <c r="J1558" s="61" t="n">
        <f aca="false">H1558*Resumo!$C$6</f>
        <v>0</v>
      </c>
      <c r="K1558" s="61" t="n">
        <f aca="false">H1558*Resumo!$C$7</f>
        <v>0.962178</v>
      </c>
      <c r="L1558" s="61" t="n">
        <f aca="false">H1558*Resumo!$C$8</f>
        <v>0.962178</v>
      </c>
      <c r="M1558" s="61" t="n">
        <f aca="false">Resumo!$C$10*CEILING(G1558/100,1)</f>
        <v>1.05</v>
      </c>
      <c r="N1558" s="61" t="n">
        <f aca="false">Resumo!$C$9</f>
        <v>0</v>
      </c>
      <c r="O1558" s="61" t="n">
        <f aca="false">Resumo!$C$13</f>
        <v>13.55</v>
      </c>
      <c r="P1558" s="61" t="n">
        <f aca="false">Resumo!$C$14*CEILING(G1558,1)</f>
        <v>13.5</v>
      </c>
      <c r="Q1558" s="61" t="n">
        <f aca="false">SUM(I1558:P1558)*Resumo!$C$11</f>
        <v>0</v>
      </c>
      <c r="R1558" s="61" t="n">
        <f aca="false">SUM(I1558:Q1558)</f>
        <v>95.654356</v>
      </c>
      <c r="S1558" s="61" t="n">
        <f aca="false">R1558/(1-Resumo!$C$5)</f>
        <v>108.698131818182</v>
      </c>
      <c r="T1558" s="61" t="n">
        <v>114.95</v>
      </c>
      <c r="U1558" s="61" t="n">
        <f aca="false">H1558*Resumo!$B$6</f>
        <v>0.45818</v>
      </c>
      <c r="V1558" s="61" t="n">
        <f aca="false">H1558*Resumo!$B$7</f>
        <v>0.91636</v>
      </c>
      <c r="W1558" s="61" t="n">
        <f aca="false">Resumo!$B$9</f>
        <v>1</v>
      </c>
      <c r="X1558" s="61" t="n">
        <f aca="false">Resumo!$B$10*CEILING(G1558/100,1)</f>
        <v>4.5</v>
      </c>
      <c r="Y1558" s="61" t="n">
        <f aca="false">Resumo!$B$12*CEILING(G1558,1)</f>
        <v>1.8</v>
      </c>
      <c r="Z1558" s="61" t="n">
        <f aca="false">Resumo!$B$14*CEILING(G1558,1)</f>
        <v>13.5</v>
      </c>
      <c r="AA1558" s="61" t="n">
        <f aca="false">SUM(T1558:Z1558)</f>
        <v>137.12454</v>
      </c>
      <c r="AB1558" s="61" t="n">
        <f aca="false">AA1558/(1-Resumo!$B$5)</f>
        <v>155.823340909091</v>
      </c>
      <c r="AC1558" s="61" t="n">
        <f aca="false">AB1558-S1558</f>
        <v>47.1252090909091</v>
      </c>
      <c r="AD1558" s="62" t="n">
        <f aca="false">AB1558/S1558-1</f>
        <v>0.433542033360196</v>
      </c>
      <c r="AE1558" s="60" t="str">
        <f aca="false">IF(AB1558&lt;S1558,"SIM","NÃO")</f>
        <v>NÃO</v>
      </c>
      <c r="AF1558" s="60" t="n">
        <v>13</v>
      </c>
      <c r="AG1558" s="60" t="n">
        <v>10</v>
      </c>
      <c r="AH1558" s="60" t="s">
        <v>382</v>
      </c>
      <c r="AI1558" s="61" t="n">
        <f aca="false">(T1558*(1-Painel!$C$40)+U1558+V1558+Painel!$C$41+Painel!$C$42*CEILING(G1558/100,1)+Painel!$C$43*CEILING(G1558,1)+Z1558)/(1-Resumo!$B$5)</f>
        <v>106.751181818182</v>
      </c>
      <c r="AJ1558" s="60" t="str">
        <f aca="false">IF(AI1558&lt;S1558,"SIM","NÃO")</f>
        <v>SIM</v>
      </c>
    </row>
    <row r="1559" customFormat="false" ht="15" hidden="false" customHeight="false" outlineLevel="0" collapsed="false">
      <c r="A1559" s="59" t="n">
        <v>46268.7564583333</v>
      </c>
      <c r="B1559" s="60" t="s">
        <v>1801</v>
      </c>
      <c r="C1559" s="60" t="n">
        <v>22790682</v>
      </c>
      <c r="D1559" s="60" t="s">
        <v>46</v>
      </c>
      <c r="E1559" s="60" t="s">
        <v>22</v>
      </c>
      <c r="F1559" s="60" t="s">
        <v>233</v>
      </c>
      <c r="G1559" s="60" t="n">
        <v>29.2</v>
      </c>
      <c r="H1559" s="61" t="n">
        <v>449.99</v>
      </c>
      <c r="I1559" s="61" t="n">
        <v>42.11</v>
      </c>
      <c r="J1559" s="61" t="n">
        <f aca="false">H1559*Resumo!$C$6</f>
        <v>0</v>
      </c>
      <c r="K1559" s="61" t="n">
        <f aca="false">H1559*Resumo!$C$7</f>
        <v>0.944979</v>
      </c>
      <c r="L1559" s="61" t="n">
        <f aca="false">H1559*Resumo!$C$8</f>
        <v>0.944979</v>
      </c>
      <c r="M1559" s="61" t="n">
        <f aca="false">Resumo!$C$10*CEILING(G1559/100,1)</f>
        <v>1.05</v>
      </c>
      <c r="N1559" s="61" t="n">
        <f aca="false">Resumo!$C$9</f>
        <v>0</v>
      </c>
      <c r="O1559" s="61" t="n">
        <f aca="false">Resumo!$C$13</f>
        <v>13.55</v>
      </c>
      <c r="P1559" s="61" t="n">
        <f aca="false">Resumo!$C$14*CEILING(G1559,1)</f>
        <v>13.5</v>
      </c>
      <c r="Q1559" s="61" t="n">
        <f aca="false">SUM(I1559:P1559)*Resumo!$C$11</f>
        <v>0</v>
      </c>
      <c r="R1559" s="61" t="n">
        <f aca="false">SUM(I1559:Q1559)</f>
        <v>72.099958</v>
      </c>
      <c r="S1559" s="61" t="n">
        <f aca="false">R1559/(1-Resumo!$C$5)</f>
        <v>81.9317704545455</v>
      </c>
      <c r="T1559" s="61" t="n">
        <v>82.21</v>
      </c>
      <c r="U1559" s="61" t="n">
        <f aca="false">H1559*Resumo!$B$6</f>
        <v>0.44999</v>
      </c>
      <c r="V1559" s="61" t="n">
        <f aca="false">H1559*Resumo!$B$7</f>
        <v>0.89998</v>
      </c>
      <c r="W1559" s="61" t="n">
        <f aca="false">Resumo!$B$9</f>
        <v>1</v>
      </c>
      <c r="X1559" s="61" t="n">
        <f aca="false">Resumo!$B$10*CEILING(G1559/100,1)</f>
        <v>4.5</v>
      </c>
      <c r="Y1559" s="61" t="n">
        <f aca="false">Resumo!$B$12*CEILING(G1559,1)</f>
        <v>1.8</v>
      </c>
      <c r="Z1559" s="61" t="n">
        <f aca="false">Resumo!$B$14*CEILING(G1559,1)</f>
        <v>13.5</v>
      </c>
      <c r="AA1559" s="61" t="n">
        <f aca="false">SUM(T1559:Z1559)</f>
        <v>104.35997</v>
      </c>
      <c r="AB1559" s="61" t="n">
        <f aca="false">AA1559/(1-Resumo!$B$5)</f>
        <v>118.590875</v>
      </c>
      <c r="AC1559" s="61" t="n">
        <f aca="false">AB1559-S1559</f>
        <v>36.6591045454545</v>
      </c>
      <c r="AD1559" s="62" t="n">
        <f aca="false">AB1559/S1559-1</f>
        <v>0.447434546355769</v>
      </c>
      <c r="AE1559" s="60" t="str">
        <f aca="false">IF(AB1559&lt;S1559,"SIM","NÃO")</f>
        <v>NÃO</v>
      </c>
      <c r="AF1559" s="60" t="n">
        <v>2</v>
      </c>
      <c r="AG1559" s="60" t="n">
        <v>5</v>
      </c>
      <c r="AH1559" s="60" t="s">
        <v>382</v>
      </c>
      <c r="AI1559" s="61" t="n">
        <f aca="false">(T1559*(1-Painel!$C$40)+U1559+V1559+Painel!$C$41+Painel!$C$42*CEILING(G1559/100,1)+Painel!$C$43*CEILING(G1559,1)+Z1559)/(1-Resumo!$B$5)</f>
        <v>81.7962159090909</v>
      </c>
      <c r="AJ1559" s="60" t="str">
        <f aca="false">IF(AI1559&lt;S1559,"SIM","NÃO")</f>
        <v>SIM</v>
      </c>
    </row>
    <row r="1560" customFormat="false" ht="15" hidden="false" customHeight="false" outlineLevel="0" collapsed="false">
      <c r="A1560" s="59" t="n">
        <v>46268.7600578704</v>
      </c>
      <c r="B1560" s="60" t="s">
        <v>1802</v>
      </c>
      <c r="C1560" s="60" t="n">
        <v>26423400</v>
      </c>
      <c r="D1560" s="60" t="s">
        <v>283</v>
      </c>
      <c r="E1560" s="60" t="s">
        <v>24</v>
      </c>
      <c r="F1560" s="60" t="s">
        <v>235</v>
      </c>
      <c r="G1560" s="60" t="n">
        <v>48.3</v>
      </c>
      <c r="H1560" s="61" t="n">
        <v>440.89</v>
      </c>
      <c r="I1560" s="61" t="n">
        <v>77.7</v>
      </c>
      <c r="J1560" s="61" t="n">
        <f aca="false">H1560*Resumo!$C$6</f>
        <v>0</v>
      </c>
      <c r="K1560" s="61" t="n">
        <f aca="false">H1560*Resumo!$C$7</f>
        <v>0.925869</v>
      </c>
      <c r="L1560" s="61" t="n">
        <f aca="false">H1560*Resumo!$C$8</f>
        <v>0.925869</v>
      </c>
      <c r="M1560" s="61" t="n">
        <f aca="false">Resumo!$C$10*CEILING(G1560/100,1)</f>
        <v>1.05</v>
      </c>
      <c r="N1560" s="61" t="n">
        <f aca="false">Resumo!$C$9</f>
        <v>0</v>
      </c>
      <c r="O1560" s="61" t="n">
        <f aca="false">Resumo!$C$13</f>
        <v>13.55</v>
      </c>
      <c r="P1560" s="61" t="n">
        <f aca="false">Resumo!$C$14*CEILING(G1560,1)</f>
        <v>22.05</v>
      </c>
      <c r="Q1560" s="61" t="n">
        <f aca="false">SUM(I1560:P1560)*Resumo!$C$11</f>
        <v>0</v>
      </c>
      <c r="R1560" s="61" t="n">
        <f aca="false">SUM(I1560:Q1560)</f>
        <v>116.201738</v>
      </c>
      <c r="S1560" s="61" t="n">
        <f aca="false">R1560/(1-Resumo!$C$5)</f>
        <v>132.047429545455</v>
      </c>
      <c r="T1560" s="61" t="n">
        <v>93.97</v>
      </c>
      <c r="U1560" s="61" t="n">
        <f aca="false">H1560*Resumo!$B$6</f>
        <v>0.44089</v>
      </c>
      <c r="V1560" s="61" t="n">
        <f aca="false">H1560*Resumo!$B$7</f>
        <v>0.88178</v>
      </c>
      <c r="W1560" s="61" t="n">
        <f aca="false">Resumo!$B$9</f>
        <v>1</v>
      </c>
      <c r="X1560" s="61" t="n">
        <f aca="false">Resumo!$B$10*CEILING(G1560/100,1)</f>
        <v>4.5</v>
      </c>
      <c r="Y1560" s="61" t="n">
        <f aca="false">Resumo!$B$12*CEILING(G1560,1)</f>
        <v>2.94</v>
      </c>
      <c r="Z1560" s="61" t="n">
        <f aca="false">Resumo!$B$14*CEILING(G1560,1)</f>
        <v>22.05</v>
      </c>
      <c r="AA1560" s="61" t="n">
        <f aca="false">SUM(T1560:Z1560)</f>
        <v>125.78267</v>
      </c>
      <c r="AB1560" s="61" t="n">
        <f aca="false">AA1560/(1-Resumo!$B$5)</f>
        <v>142.934852272727</v>
      </c>
      <c r="AC1560" s="61" t="n">
        <f aca="false">AB1560-S1560</f>
        <v>10.8874227272727</v>
      </c>
      <c r="AD1560" s="62" t="n">
        <f aca="false">AB1560/S1560-1</f>
        <v>0.0824508494012368</v>
      </c>
      <c r="AE1560" s="60" t="str">
        <f aca="false">IF(AB1560&lt;S1560,"SIM","NÃO")</f>
        <v>NÃO</v>
      </c>
      <c r="AF1560" s="60" t="n">
        <v>13</v>
      </c>
      <c r="AG1560" s="60" t="n">
        <v>5</v>
      </c>
      <c r="AH1560" s="60" t="s">
        <v>385</v>
      </c>
      <c r="AI1560" s="61" t="n">
        <f aca="false">(T1560*(1-Painel!$C$40)+U1560+V1560+Painel!$C$41+Painel!$C$42*CEILING(G1560/100,1)+Painel!$C$43*CEILING(G1560,1)+Z1560)/(1-Resumo!$B$5)</f>
        <v>100.434738636364</v>
      </c>
      <c r="AJ1560" s="60" t="str">
        <f aca="false">IF(AI1560&lt;S1560,"SIM","NÃO")</f>
        <v>SIM</v>
      </c>
    </row>
    <row r="1561" customFormat="false" ht="15" hidden="false" customHeight="false" outlineLevel="0" collapsed="false">
      <c r="A1561" s="59" t="n">
        <v>46268.7658912037</v>
      </c>
      <c r="B1561" s="60" t="s">
        <v>1803</v>
      </c>
      <c r="C1561" s="60" t="n">
        <v>20541125</v>
      </c>
      <c r="D1561" s="60" t="s">
        <v>46</v>
      </c>
      <c r="E1561" s="60" t="s">
        <v>22</v>
      </c>
      <c r="F1561" s="60" t="s">
        <v>233</v>
      </c>
      <c r="G1561" s="60" t="n">
        <v>33</v>
      </c>
      <c r="H1561" s="61" t="n">
        <v>438.93</v>
      </c>
      <c r="I1561" s="61" t="n">
        <v>42.11</v>
      </c>
      <c r="J1561" s="61" t="n">
        <f aca="false">H1561*Resumo!$C$6</f>
        <v>0</v>
      </c>
      <c r="K1561" s="61" t="n">
        <f aca="false">H1561*Resumo!$C$7</f>
        <v>0.921753</v>
      </c>
      <c r="L1561" s="61" t="n">
        <f aca="false">H1561*Resumo!$C$8</f>
        <v>0.921753</v>
      </c>
      <c r="M1561" s="61" t="n">
        <f aca="false">Resumo!$C$10*CEILING(G1561/100,1)</f>
        <v>1.05</v>
      </c>
      <c r="N1561" s="61" t="n">
        <f aca="false">Resumo!$C$9</f>
        <v>0</v>
      </c>
      <c r="O1561" s="61" t="n">
        <f aca="false">Resumo!$C$13</f>
        <v>13.55</v>
      </c>
      <c r="P1561" s="61" t="n">
        <f aca="false">Resumo!$C$14*CEILING(G1561,1)</f>
        <v>14.85</v>
      </c>
      <c r="Q1561" s="61" t="n">
        <f aca="false">SUM(I1561:P1561)*Resumo!$C$11</f>
        <v>0</v>
      </c>
      <c r="R1561" s="61" t="n">
        <f aca="false">SUM(I1561:Q1561)</f>
        <v>73.403506</v>
      </c>
      <c r="S1561" s="61" t="n">
        <f aca="false">R1561/(1-Resumo!$C$5)</f>
        <v>83.413075</v>
      </c>
      <c r="T1561" s="61" t="n">
        <v>82.21</v>
      </c>
      <c r="U1561" s="61" t="n">
        <f aca="false">H1561*Resumo!$B$6</f>
        <v>0.43893</v>
      </c>
      <c r="V1561" s="61" t="n">
        <f aca="false">H1561*Resumo!$B$7</f>
        <v>0.87786</v>
      </c>
      <c r="W1561" s="61" t="n">
        <f aca="false">Resumo!$B$9</f>
        <v>1</v>
      </c>
      <c r="X1561" s="61" t="n">
        <f aca="false">Resumo!$B$10*CEILING(G1561/100,1)</f>
        <v>4.5</v>
      </c>
      <c r="Y1561" s="61" t="n">
        <f aca="false">Resumo!$B$12*CEILING(G1561,1)</f>
        <v>1.98</v>
      </c>
      <c r="Z1561" s="61" t="n">
        <f aca="false">Resumo!$B$14*CEILING(G1561,1)</f>
        <v>14.85</v>
      </c>
      <c r="AA1561" s="61" t="n">
        <f aca="false">SUM(T1561:Z1561)</f>
        <v>105.85679</v>
      </c>
      <c r="AB1561" s="61" t="n">
        <f aca="false">AA1561/(1-Resumo!$B$5)</f>
        <v>120.291806818182</v>
      </c>
      <c r="AC1561" s="61" t="n">
        <f aca="false">AB1561-S1561</f>
        <v>36.8787318181818</v>
      </c>
      <c r="AD1561" s="62" t="n">
        <f aca="false">AB1561/S1561-1</f>
        <v>0.442121715548574</v>
      </c>
      <c r="AE1561" s="60" t="str">
        <f aca="false">IF(AB1561&lt;S1561,"SIM","NÃO")</f>
        <v>NÃO</v>
      </c>
      <c r="AF1561" s="60" t="n">
        <v>2</v>
      </c>
      <c r="AG1561" s="60" t="n">
        <v>5</v>
      </c>
      <c r="AH1561" s="60" t="s">
        <v>382</v>
      </c>
      <c r="AI1561" s="61" t="n">
        <f aca="false">(T1561*(1-Painel!$C$40)+U1561+V1561+Painel!$C$41+Painel!$C$42*CEILING(G1561/100,1)+Painel!$C$43*CEILING(G1561,1)+Z1561)/(1-Resumo!$B$5)</f>
        <v>83.2926022727273</v>
      </c>
      <c r="AJ1561" s="60" t="str">
        <f aca="false">IF(AI1561&lt;S1561,"SIM","NÃO")</f>
        <v>SIM</v>
      </c>
    </row>
    <row r="1562" customFormat="false" ht="15" hidden="false" customHeight="false" outlineLevel="0" collapsed="false">
      <c r="A1562" s="59" t="n">
        <v>46268.7711689815</v>
      </c>
      <c r="B1562" s="60" t="s">
        <v>1804</v>
      </c>
      <c r="C1562" s="60" t="n">
        <v>24344150</v>
      </c>
      <c r="D1562" s="60" t="s">
        <v>50</v>
      </c>
      <c r="E1562" s="60" t="s">
        <v>23</v>
      </c>
      <c r="F1562" s="60" t="s">
        <v>233</v>
      </c>
      <c r="G1562" s="60" t="n">
        <v>24.4</v>
      </c>
      <c r="H1562" s="61" t="n">
        <v>349.99</v>
      </c>
      <c r="I1562" s="61" t="n">
        <v>58.8</v>
      </c>
      <c r="J1562" s="61" t="n">
        <f aca="false">H1562*Resumo!$C$6</f>
        <v>0</v>
      </c>
      <c r="K1562" s="61" t="n">
        <f aca="false">H1562*Resumo!$C$7</f>
        <v>0.734979</v>
      </c>
      <c r="L1562" s="61" t="n">
        <f aca="false">H1562*Resumo!$C$8</f>
        <v>0.734979</v>
      </c>
      <c r="M1562" s="61" t="n">
        <f aca="false">Resumo!$C$10*CEILING(G1562/100,1)</f>
        <v>1.05</v>
      </c>
      <c r="N1562" s="61" t="n">
        <f aca="false">Resumo!$C$9</f>
        <v>0</v>
      </c>
      <c r="O1562" s="61" t="n">
        <f aca="false">Resumo!$C$13</f>
        <v>13.55</v>
      </c>
      <c r="P1562" s="61" t="n">
        <f aca="false">Resumo!$C$14*CEILING(G1562,1)</f>
        <v>11.25</v>
      </c>
      <c r="Q1562" s="61" t="n">
        <f aca="false">SUM(I1562:P1562)*Resumo!$C$11</f>
        <v>0</v>
      </c>
      <c r="R1562" s="61" t="n">
        <f aca="false">SUM(I1562:Q1562)</f>
        <v>86.119958</v>
      </c>
      <c r="S1562" s="61" t="n">
        <f aca="false">R1562/(1-Resumo!$C$5)</f>
        <v>97.8635886363636</v>
      </c>
      <c r="T1562" s="61" t="n">
        <v>100.58</v>
      </c>
      <c r="U1562" s="61" t="n">
        <f aca="false">H1562*Resumo!$B$6</f>
        <v>0.34999</v>
      </c>
      <c r="V1562" s="61" t="n">
        <f aca="false">H1562*Resumo!$B$7</f>
        <v>0.69998</v>
      </c>
      <c r="W1562" s="61" t="n">
        <f aca="false">Resumo!$B$9</f>
        <v>1</v>
      </c>
      <c r="X1562" s="61" t="n">
        <f aca="false">Resumo!$B$10*CEILING(G1562/100,1)</f>
        <v>4.5</v>
      </c>
      <c r="Y1562" s="61" t="n">
        <f aca="false">Resumo!$B$12*CEILING(G1562,1)</f>
        <v>1.5</v>
      </c>
      <c r="Z1562" s="61" t="n">
        <f aca="false">Resumo!$B$14*CEILING(G1562,1)</f>
        <v>11.25</v>
      </c>
      <c r="AA1562" s="61" t="n">
        <f aca="false">SUM(T1562:Z1562)</f>
        <v>119.87997</v>
      </c>
      <c r="AB1562" s="61" t="n">
        <f aca="false">AA1562/(1-Resumo!$B$5)</f>
        <v>136.227238636364</v>
      </c>
      <c r="AC1562" s="61" t="n">
        <f aca="false">AB1562-S1562</f>
        <v>38.36365</v>
      </c>
      <c r="AD1562" s="62" t="n">
        <f aca="false">AB1562/S1562-1</f>
        <v>0.392011477757572</v>
      </c>
      <c r="AE1562" s="60" t="str">
        <f aca="false">IF(AB1562&lt;S1562,"SIM","NÃO")</f>
        <v>NÃO</v>
      </c>
      <c r="AF1562" s="60" t="n">
        <v>2</v>
      </c>
      <c r="AG1562" s="60" t="n">
        <v>7</v>
      </c>
      <c r="AH1562" s="60" t="s">
        <v>382</v>
      </c>
      <c r="AI1562" s="61" t="n">
        <f aca="false">(T1562*(1-Painel!$C$40)+U1562+V1562+Painel!$C$41+Painel!$C$42*CEILING(G1562/100,1)+Painel!$C$43*CEILING(G1562,1)+Z1562)/(1-Resumo!$B$5)</f>
        <v>92.8847386363636</v>
      </c>
      <c r="AJ1562" s="60" t="str">
        <f aca="false">IF(AI1562&lt;S1562,"SIM","NÃO")</f>
        <v>SIM</v>
      </c>
    </row>
    <row r="1563" customFormat="false" ht="15" hidden="false" customHeight="false" outlineLevel="0" collapsed="false">
      <c r="A1563" s="59" t="n">
        <v>46268.8809027778</v>
      </c>
      <c r="B1563" s="60" t="s">
        <v>1805</v>
      </c>
      <c r="C1563" s="60" t="n">
        <v>22780081</v>
      </c>
      <c r="D1563" s="60" t="s">
        <v>46</v>
      </c>
      <c r="E1563" s="60" t="s">
        <v>22</v>
      </c>
      <c r="F1563" s="60" t="s">
        <v>232</v>
      </c>
      <c r="G1563" s="60" t="n">
        <v>13.18</v>
      </c>
      <c r="H1563" s="61" t="n">
        <v>245.9</v>
      </c>
      <c r="I1563" s="61" t="n">
        <v>33.42</v>
      </c>
      <c r="J1563" s="61" t="n">
        <f aca="false">H1563*Resumo!$C$6</f>
        <v>0</v>
      </c>
      <c r="K1563" s="61" t="n">
        <f aca="false">H1563*Resumo!$C$7</f>
        <v>0.51639</v>
      </c>
      <c r="L1563" s="61" t="n">
        <f aca="false">H1563*Resumo!$C$8</f>
        <v>0.51639</v>
      </c>
      <c r="M1563" s="61" t="n">
        <f aca="false">Resumo!$C$10*CEILING(G1563/100,1)</f>
        <v>1.05</v>
      </c>
      <c r="N1563" s="61" t="n">
        <f aca="false">Resumo!$C$9</f>
        <v>0</v>
      </c>
      <c r="O1563" s="61" t="n">
        <f aca="false">Resumo!$C$13</f>
        <v>13.55</v>
      </c>
      <c r="P1563" s="61" t="n">
        <f aca="false">Resumo!$C$14*CEILING(G1563,1)</f>
        <v>6.3</v>
      </c>
      <c r="Q1563" s="61" t="n">
        <f aca="false">SUM(I1563:P1563)*Resumo!$C$11</f>
        <v>0</v>
      </c>
      <c r="R1563" s="61" t="n">
        <f aca="false">SUM(I1563:Q1563)</f>
        <v>55.35278</v>
      </c>
      <c r="S1563" s="61" t="n">
        <f aca="false">R1563/(1-Resumo!$C$5)</f>
        <v>62.9008863636364</v>
      </c>
      <c r="T1563" s="61" t="n">
        <v>46.98</v>
      </c>
      <c r="U1563" s="61" t="n">
        <f aca="false">H1563*Resumo!$B$6</f>
        <v>0.2459</v>
      </c>
      <c r="V1563" s="61" t="n">
        <f aca="false">H1563*Resumo!$B$7</f>
        <v>0.4918</v>
      </c>
      <c r="W1563" s="61" t="n">
        <f aca="false">Resumo!$B$9</f>
        <v>1</v>
      </c>
      <c r="X1563" s="61" t="n">
        <f aca="false">Resumo!$B$10*CEILING(G1563/100,1)</f>
        <v>4.5</v>
      </c>
      <c r="Y1563" s="61" t="n">
        <f aca="false">Resumo!$B$12*CEILING(G1563,1)</f>
        <v>0.84</v>
      </c>
      <c r="Z1563" s="61" t="n">
        <f aca="false">Resumo!$B$14*CEILING(G1563,1)</f>
        <v>6.3</v>
      </c>
      <c r="AA1563" s="61" t="n">
        <f aca="false">SUM(T1563:Z1563)</f>
        <v>60.3577</v>
      </c>
      <c r="AB1563" s="61" t="n">
        <f aca="false">AA1563/(1-Resumo!$B$5)</f>
        <v>68.5882954545455</v>
      </c>
      <c r="AC1563" s="61" t="n">
        <f aca="false">AB1563-S1563</f>
        <v>5.68740909090908</v>
      </c>
      <c r="AD1563" s="62" t="n">
        <f aca="false">AB1563/S1563-1</f>
        <v>0.0904185842156435</v>
      </c>
      <c r="AE1563" s="60" t="str">
        <f aca="false">IF(AB1563&lt;S1563,"SIM","NÃO")</f>
        <v>NÃO</v>
      </c>
      <c r="AF1563" s="60" t="n">
        <v>2</v>
      </c>
      <c r="AG1563" s="60" t="n">
        <v>5</v>
      </c>
      <c r="AH1563" s="60" t="s">
        <v>382</v>
      </c>
      <c r="AI1563" s="61" t="n">
        <f aca="false">(T1563*(1-Painel!$C$40)+U1563+V1563+Painel!$C$41+Painel!$C$42*CEILING(G1563/100,1)+Painel!$C$43*CEILING(G1563,1)+Z1563)/(1-Resumo!$B$5)</f>
        <v>46.0957954545454</v>
      </c>
      <c r="AJ1563" s="60" t="str">
        <f aca="false">IF(AI1563&lt;S1563,"SIM","NÃO")</f>
        <v>SIM</v>
      </c>
    </row>
    <row r="1564" customFormat="false" ht="15" hidden="false" customHeight="false" outlineLevel="0" collapsed="false">
      <c r="A1564" s="59" t="n">
        <v>46268.8821875</v>
      </c>
      <c r="B1564" s="60" t="s">
        <v>1806</v>
      </c>
      <c r="C1564" s="60" t="n">
        <v>22220060</v>
      </c>
      <c r="D1564" s="60" t="s">
        <v>46</v>
      </c>
      <c r="E1564" s="60" t="s">
        <v>22</v>
      </c>
      <c r="F1564" s="60" t="s">
        <v>233</v>
      </c>
      <c r="G1564" s="60" t="n">
        <v>33</v>
      </c>
      <c r="H1564" s="61" t="n">
        <v>439.99</v>
      </c>
      <c r="I1564" s="61" t="n">
        <v>42.11</v>
      </c>
      <c r="J1564" s="61" t="n">
        <f aca="false">H1564*Resumo!$C$6</f>
        <v>0</v>
      </c>
      <c r="K1564" s="61" t="n">
        <f aca="false">H1564*Resumo!$C$7</f>
        <v>0.923979</v>
      </c>
      <c r="L1564" s="61" t="n">
        <f aca="false">H1564*Resumo!$C$8</f>
        <v>0.923979</v>
      </c>
      <c r="M1564" s="61" t="n">
        <f aca="false">Resumo!$C$10*CEILING(G1564/100,1)</f>
        <v>1.05</v>
      </c>
      <c r="N1564" s="61" t="n">
        <f aca="false">Resumo!$C$9</f>
        <v>0</v>
      </c>
      <c r="O1564" s="61" t="n">
        <f aca="false">Resumo!$C$13</f>
        <v>13.55</v>
      </c>
      <c r="P1564" s="61" t="n">
        <f aca="false">Resumo!$C$14*CEILING(G1564,1)</f>
        <v>14.85</v>
      </c>
      <c r="Q1564" s="61" t="n">
        <f aca="false">SUM(I1564:P1564)*Resumo!$C$11</f>
        <v>0</v>
      </c>
      <c r="R1564" s="61" t="n">
        <f aca="false">SUM(I1564:Q1564)</f>
        <v>73.407958</v>
      </c>
      <c r="S1564" s="61" t="n">
        <f aca="false">R1564/(1-Resumo!$C$5)</f>
        <v>83.4181340909091</v>
      </c>
      <c r="T1564" s="61" t="n">
        <v>82.21</v>
      </c>
      <c r="U1564" s="61" t="n">
        <f aca="false">H1564*Resumo!$B$6</f>
        <v>0.43999</v>
      </c>
      <c r="V1564" s="61" t="n">
        <f aca="false">H1564*Resumo!$B$7</f>
        <v>0.87998</v>
      </c>
      <c r="W1564" s="61" t="n">
        <f aca="false">Resumo!$B$9</f>
        <v>1</v>
      </c>
      <c r="X1564" s="61" t="n">
        <f aca="false">Resumo!$B$10*CEILING(G1564/100,1)</f>
        <v>4.5</v>
      </c>
      <c r="Y1564" s="61" t="n">
        <f aca="false">Resumo!$B$12*CEILING(G1564,1)</f>
        <v>1.98</v>
      </c>
      <c r="Z1564" s="61" t="n">
        <f aca="false">Resumo!$B$14*CEILING(G1564,1)</f>
        <v>14.85</v>
      </c>
      <c r="AA1564" s="61" t="n">
        <f aca="false">SUM(T1564:Z1564)</f>
        <v>105.85997</v>
      </c>
      <c r="AB1564" s="61" t="n">
        <f aca="false">AA1564/(1-Resumo!$B$5)</f>
        <v>120.295420454545</v>
      </c>
      <c r="AC1564" s="61" t="n">
        <f aca="false">AB1564-S1564</f>
        <v>36.8772863636364</v>
      </c>
      <c r="AD1564" s="62" t="n">
        <f aca="false">AB1564/S1564-1</f>
        <v>0.442077574205238</v>
      </c>
      <c r="AE1564" s="60" t="str">
        <f aca="false">IF(AB1564&lt;S1564,"SIM","NÃO")</f>
        <v>NÃO</v>
      </c>
      <c r="AF1564" s="60" t="n">
        <v>2</v>
      </c>
      <c r="AG1564" s="60" t="n">
        <v>5</v>
      </c>
      <c r="AH1564" s="60" t="s">
        <v>382</v>
      </c>
      <c r="AI1564" s="61" t="n">
        <f aca="false">(T1564*(1-Painel!$C$40)+U1564+V1564+Painel!$C$41+Painel!$C$42*CEILING(G1564/100,1)+Painel!$C$43*CEILING(G1564,1)+Z1564)/(1-Resumo!$B$5)</f>
        <v>83.2962159090909</v>
      </c>
      <c r="AJ1564" s="60" t="str">
        <f aca="false">IF(AI1564&lt;S1564,"SIM","NÃO")</f>
        <v>SIM</v>
      </c>
    </row>
    <row r="1565" customFormat="false" ht="15" hidden="false" customHeight="false" outlineLevel="0" collapsed="false">
      <c r="A1565" s="59" t="n">
        <v>46268.8938194444</v>
      </c>
      <c r="B1565" s="60" t="s">
        <v>1807</v>
      </c>
      <c r="C1565" s="60" t="n">
        <v>23073356</v>
      </c>
      <c r="D1565" s="60" t="s">
        <v>46</v>
      </c>
      <c r="E1565" s="60" t="s">
        <v>22</v>
      </c>
      <c r="F1565" s="60" t="s">
        <v>234</v>
      </c>
      <c r="G1565" s="60" t="n">
        <v>36.8</v>
      </c>
      <c r="H1565" s="61" t="n">
        <v>379.99</v>
      </c>
      <c r="I1565" s="61" t="n">
        <v>48.35</v>
      </c>
      <c r="J1565" s="61" t="n">
        <f aca="false">H1565*Resumo!$C$6</f>
        <v>0</v>
      </c>
      <c r="K1565" s="61" t="n">
        <f aca="false">H1565*Resumo!$C$7</f>
        <v>0.797979</v>
      </c>
      <c r="L1565" s="61" t="n">
        <f aca="false">H1565*Resumo!$C$8</f>
        <v>0.797979</v>
      </c>
      <c r="M1565" s="61" t="n">
        <f aca="false">Resumo!$C$10*CEILING(G1565/100,1)</f>
        <v>1.05</v>
      </c>
      <c r="N1565" s="61" t="n">
        <f aca="false">Resumo!$C$9</f>
        <v>0</v>
      </c>
      <c r="O1565" s="61" t="n">
        <f aca="false">Resumo!$C$13</f>
        <v>13.55</v>
      </c>
      <c r="P1565" s="61" t="n">
        <f aca="false">Resumo!$C$14*CEILING(G1565,1)</f>
        <v>16.65</v>
      </c>
      <c r="Q1565" s="61" t="n">
        <f aca="false">SUM(I1565:P1565)*Resumo!$C$11</f>
        <v>0</v>
      </c>
      <c r="R1565" s="61" t="n">
        <f aca="false">SUM(I1565:Q1565)</f>
        <v>81.195958</v>
      </c>
      <c r="S1565" s="61" t="n">
        <f aca="false">R1565/(1-Resumo!$C$5)</f>
        <v>92.2681340909091</v>
      </c>
      <c r="T1565" s="61" t="n">
        <v>93.97</v>
      </c>
      <c r="U1565" s="61" t="n">
        <f aca="false">H1565*Resumo!$B$6</f>
        <v>0.37999</v>
      </c>
      <c r="V1565" s="61" t="n">
        <f aca="false">H1565*Resumo!$B$7</f>
        <v>0.75998</v>
      </c>
      <c r="W1565" s="61" t="n">
        <f aca="false">Resumo!$B$9</f>
        <v>1</v>
      </c>
      <c r="X1565" s="61" t="n">
        <f aca="false">Resumo!$B$10*CEILING(G1565/100,1)</f>
        <v>4.5</v>
      </c>
      <c r="Y1565" s="61" t="n">
        <f aca="false">Resumo!$B$12*CEILING(G1565,1)</f>
        <v>2.22</v>
      </c>
      <c r="Z1565" s="61" t="n">
        <f aca="false">Resumo!$B$14*CEILING(G1565,1)</f>
        <v>16.65</v>
      </c>
      <c r="AA1565" s="61" t="n">
        <f aca="false">SUM(T1565:Z1565)</f>
        <v>119.47997</v>
      </c>
      <c r="AB1565" s="61" t="n">
        <f aca="false">AA1565/(1-Resumo!$B$5)</f>
        <v>135.772693181818</v>
      </c>
      <c r="AC1565" s="61" t="n">
        <f aca="false">AB1565-S1565</f>
        <v>43.5045590909091</v>
      </c>
      <c r="AD1565" s="62" t="n">
        <f aca="false">AB1565/S1565-1</f>
        <v>0.471501450848083</v>
      </c>
      <c r="AE1565" s="60" t="str">
        <f aca="false">IF(AB1565&lt;S1565,"SIM","NÃO")</f>
        <v>NÃO</v>
      </c>
      <c r="AF1565" s="60" t="n">
        <v>2</v>
      </c>
      <c r="AG1565" s="60" t="n">
        <v>5</v>
      </c>
      <c r="AH1565" s="60" t="s">
        <v>382</v>
      </c>
      <c r="AI1565" s="61" t="n">
        <f aca="false">(T1565*(1-Painel!$C$40)+U1565+V1565+Painel!$C$41+Painel!$C$42*CEILING(G1565/100,1)+Painel!$C$43*CEILING(G1565,1)+Z1565)/(1-Resumo!$B$5)</f>
        <v>94.0907613636364</v>
      </c>
      <c r="AJ1565" s="60" t="str">
        <f aca="false">IF(AI1565&lt;S1565,"SIM","NÃO")</f>
        <v>NÃO</v>
      </c>
    </row>
    <row r="1566" customFormat="false" ht="15" hidden="false" customHeight="false" outlineLevel="0" collapsed="false">
      <c r="A1566" s="59" t="n">
        <v>46268.9049305556</v>
      </c>
      <c r="B1566" s="60" t="s">
        <v>1808</v>
      </c>
      <c r="C1566" s="60" t="n">
        <v>22790180</v>
      </c>
      <c r="D1566" s="60" t="s">
        <v>46</v>
      </c>
      <c r="E1566" s="60" t="s">
        <v>22</v>
      </c>
      <c r="F1566" s="60" t="s">
        <v>232</v>
      </c>
      <c r="G1566" s="60" t="n">
        <v>15.15</v>
      </c>
      <c r="H1566" s="61" t="n">
        <v>249.99</v>
      </c>
      <c r="I1566" s="61" t="n">
        <v>33.42</v>
      </c>
      <c r="J1566" s="61" t="n">
        <f aca="false">H1566*Resumo!$C$6</f>
        <v>0</v>
      </c>
      <c r="K1566" s="61" t="n">
        <f aca="false">H1566*Resumo!$C$7</f>
        <v>0.524979</v>
      </c>
      <c r="L1566" s="61" t="n">
        <f aca="false">H1566*Resumo!$C$8</f>
        <v>0.524979</v>
      </c>
      <c r="M1566" s="61" t="n">
        <f aca="false">Resumo!$C$10*CEILING(G1566/100,1)</f>
        <v>1.05</v>
      </c>
      <c r="N1566" s="61" t="n">
        <f aca="false">Resumo!$C$9</f>
        <v>0</v>
      </c>
      <c r="O1566" s="61" t="n">
        <f aca="false">Resumo!$C$13</f>
        <v>13.55</v>
      </c>
      <c r="P1566" s="61" t="n">
        <f aca="false">Resumo!$C$14*CEILING(G1566,1)</f>
        <v>7.2</v>
      </c>
      <c r="Q1566" s="61" t="n">
        <f aca="false">SUM(I1566:P1566)*Resumo!$C$11</f>
        <v>0</v>
      </c>
      <c r="R1566" s="61" t="n">
        <f aca="false">SUM(I1566:Q1566)</f>
        <v>56.269958</v>
      </c>
      <c r="S1566" s="61" t="n">
        <f aca="false">R1566/(1-Resumo!$C$5)</f>
        <v>63.9431340909091</v>
      </c>
      <c r="T1566" s="61" t="n">
        <v>46.98</v>
      </c>
      <c r="U1566" s="61" t="n">
        <f aca="false">H1566*Resumo!$B$6</f>
        <v>0.24999</v>
      </c>
      <c r="V1566" s="61" t="n">
        <f aca="false">H1566*Resumo!$B$7</f>
        <v>0.49998</v>
      </c>
      <c r="W1566" s="61" t="n">
        <f aca="false">Resumo!$B$9</f>
        <v>1</v>
      </c>
      <c r="X1566" s="61" t="n">
        <f aca="false">Resumo!$B$10*CEILING(G1566/100,1)</f>
        <v>4.5</v>
      </c>
      <c r="Y1566" s="61" t="n">
        <f aca="false">Resumo!$B$12*CEILING(G1566,1)</f>
        <v>0.96</v>
      </c>
      <c r="Z1566" s="61" t="n">
        <f aca="false">Resumo!$B$14*CEILING(G1566,1)</f>
        <v>7.2</v>
      </c>
      <c r="AA1566" s="61" t="n">
        <f aca="false">SUM(T1566:Z1566)</f>
        <v>61.38997</v>
      </c>
      <c r="AB1566" s="61" t="n">
        <f aca="false">AA1566/(1-Resumo!$B$5)</f>
        <v>69.7613295454545</v>
      </c>
      <c r="AC1566" s="61" t="n">
        <f aca="false">AB1566-S1566</f>
        <v>5.81819545454545</v>
      </c>
      <c r="AD1566" s="62" t="n">
        <f aca="false">AB1566/S1566-1</f>
        <v>0.090990151441023</v>
      </c>
      <c r="AE1566" s="60" t="str">
        <f aca="false">IF(AB1566&lt;S1566,"SIM","NÃO")</f>
        <v>NÃO</v>
      </c>
      <c r="AF1566" s="60" t="n">
        <v>2</v>
      </c>
      <c r="AG1566" s="60" t="n">
        <v>5</v>
      </c>
      <c r="AH1566" s="60" t="s">
        <v>382</v>
      </c>
      <c r="AI1566" s="61" t="n">
        <f aca="false">(T1566*(1-Painel!$C$40)+U1566+V1566+Painel!$C$41+Painel!$C$42*CEILING(G1566/100,1)+Painel!$C$43*CEILING(G1566,1)+Z1566)/(1-Resumo!$B$5)</f>
        <v>47.1324659090909</v>
      </c>
      <c r="AJ1566" s="60" t="str">
        <f aca="false">IF(AI1566&lt;S1566,"SIM","NÃO")</f>
        <v>SIM</v>
      </c>
    </row>
    <row r="1567" customFormat="false" ht="15" hidden="false" customHeight="false" outlineLevel="0" collapsed="false">
      <c r="A1567" s="59" t="n">
        <v>46268.943599537</v>
      </c>
      <c r="B1567" s="60" t="s">
        <v>1809</v>
      </c>
      <c r="C1567" s="60" t="n">
        <v>24340080</v>
      </c>
      <c r="D1567" s="60" t="s">
        <v>50</v>
      </c>
      <c r="E1567" s="60" t="s">
        <v>23</v>
      </c>
      <c r="F1567" s="60" t="s">
        <v>234</v>
      </c>
      <c r="G1567" s="60" t="n">
        <v>37.6</v>
      </c>
      <c r="H1567" s="61" t="n">
        <v>391.9</v>
      </c>
      <c r="I1567" s="61" t="n">
        <v>66.83</v>
      </c>
      <c r="J1567" s="61" t="n">
        <f aca="false">H1567*Resumo!$C$6</f>
        <v>0</v>
      </c>
      <c r="K1567" s="61" t="n">
        <f aca="false">H1567*Resumo!$C$7</f>
        <v>0.82299</v>
      </c>
      <c r="L1567" s="61" t="n">
        <f aca="false">H1567*Resumo!$C$8</f>
        <v>0.82299</v>
      </c>
      <c r="M1567" s="61" t="n">
        <f aca="false">Resumo!$C$10*CEILING(G1567/100,1)</f>
        <v>1.05</v>
      </c>
      <c r="N1567" s="61" t="n">
        <f aca="false">Resumo!$C$9</f>
        <v>0</v>
      </c>
      <c r="O1567" s="61" t="n">
        <f aca="false">Resumo!$C$13</f>
        <v>13.55</v>
      </c>
      <c r="P1567" s="61" t="n">
        <f aca="false">Resumo!$C$14*CEILING(G1567,1)</f>
        <v>17.1</v>
      </c>
      <c r="Q1567" s="61" t="n">
        <f aca="false">SUM(I1567:P1567)*Resumo!$C$11</f>
        <v>0</v>
      </c>
      <c r="R1567" s="61" t="n">
        <f aca="false">SUM(I1567:Q1567)</f>
        <v>100.17598</v>
      </c>
      <c r="S1567" s="61" t="n">
        <f aca="false">R1567/(1-Resumo!$C$5)</f>
        <v>113.836340909091</v>
      </c>
      <c r="T1567" s="61" t="n">
        <v>114.95</v>
      </c>
      <c r="U1567" s="61" t="n">
        <f aca="false">H1567*Resumo!$B$6</f>
        <v>0.3919</v>
      </c>
      <c r="V1567" s="61" t="n">
        <f aca="false">H1567*Resumo!$B$7</f>
        <v>0.7838</v>
      </c>
      <c r="W1567" s="61" t="n">
        <f aca="false">Resumo!$B$9</f>
        <v>1</v>
      </c>
      <c r="X1567" s="61" t="n">
        <f aca="false">Resumo!$B$10*CEILING(G1567/100,1)</f>
        <v>4.5</v>
      </c>
      <c r="Y1567" s="61" t="n">
        <f aca="false">Resumo!$B$12*CEILING(G1567,1)</f>
        <v>2.28</v>
      </c>
      <c r="Z1567" s="61" t="n">
        <f aca="false">Resumo!$B$14*CEILING(G1567,1)</f>
        <v>17.1</v>
      </c>
      <c r="AA1567" s="61" t="n">
        <f aca="false">SUM(T1567:Z1567)</f>
        <v>141.0057</v>
      </c>
      <c r="AB1567" s="61" t="n">
        <f aca="false">AA1567/(1-Resumo!$B$5)</f>
        <v>160.23375</v>
      </c>
      <c r="AC1567" s="61" t="n">
        <f aca="false">AB1567-S1567</f>
        <v>46.3974090909091</v>
      </c>
      <c r="AD1567" s="62" t="n">
        <f aca="false">AB1567/S1567-1</f>
        <v>0.407579940820144</v>
      </c>
      <c r="AE1567" s="60" t="str">
        <f aca="false">IF(AB1567&lt;S1567,"SIM","NÃO")</f>
        <v>NÃO</v>
      </c>
      <c r="AF1567" s="60" t="n">
        <v>2</v>
      </c>
      <c r="AG1567" s="60" t="n">
        <v>7</v>
      </c>
      <c r="AH1567" s="60" t="s">
        <v>382</v>
      </c>
      <c r="AI1567" s="61" t="n">
        <f aca="false">(T1567*(1-Painel!$C$40)+U1567+V1567+Painel!$C$41+Painel!$C$42*CEILING(G1567/100,1)+Painel!$C$43*CEILING(G1567,1)+Z1567)/(1-Resumo!$B$5)</f>
        <v>110.616136363636</v>
      </c>
      <c r="AJ1567" s="60" t="str">
        <f aca="false">IF(AI1567&lt;S1567,"SIM","NÃO")</f>
        <v>SIM</v>
      </c>
    </row>
    <row r="1568" customFormat="false" ht="15" hidden="false" customHeight="false" outlineLevel="0" collapsed="false">
      <c r="A1568" s="59" t="n">
        <v>46268.9658449074</v>
      </c>
      <c r="B1568" s="60" t="s">
        <v>1810</v>
      </c>
      <c r="C1568" s="60" t="n">
        <v>23013420</v>
      </c>
      <c r="D1568" s="60" t="s">
        <v>46</v>
      </c>
      <c r="E1568" s="60" t="s">
        <v>22</v>
      </c>
      <c r="F1568" s="60" t="s">
        <v>237</v>
      </c>
      <c r="G1568" s="60" t="n">
        <v>69.15</v>
      </c>
      <c r="H1568" s="61" t="n">
        <v>697.84</v>
      </c>
      <c r="I1568" s="61" t="n">
        <v>63.21</v>
      </c>
      <c r="J1568" s="61" t="n">
        <f aca="false">H1568*Resumo!$C$6</f>
        <v>0</v>
      </c>
      <c r="K1568" s="61" t="n">
        <f aca="false">H1568*Resumo!$C$7</f>
        <v>1.465464</v>
      </c>
      <c r="L1568" s="61" t="n">
        <f aca="false">H1568*Resumo!$C$8</f>
        <v>1.465464</v>
      </c>
      <c r="M1568" s="61" t="n">
        <f aca="false">Resumo!$C$10*CEILING(G1568/100,1)</f>
        <v>1.05</v>
      </c>
      <c r="N1568" s="61" t="n">
        <f aca="false">Resumo!$C$9</f>
        <v>0</v>
      </c>
      <c r="O1568" s="61" t="n">
        <f aca="false">Resumo!$C$13</f>
        <v>13.55</v>
      </c>
      <c r="P1568" s="61" t="n">
        <f aca="false">Resumo!$C$14*CEILING(G1568,1)</f>
        <v>31.5</v>
      </c>
      <c r="Q1568" s="61" t="n">
        <f aca="false">SUM(I1568:P1568)*Resumo!$C$11</f>
        <v>0</v>
      </c>
      <c r="R1568" s="61" t="n">
        <f aca="false">SUM(I1568:Q1568)</f>
        <v>112.240928</v>
      </c>
      <c r="S1568" s="61" t="n">
        <f aca="false">R1568/(1-Resumo!$C$5)</f>
        <v>127.546509090909</v>
      </c>
      <c r="T1568" s="61" t="n">
        <v>131.02</v>
      </c>
      <c r="U1568" s="61" t="n">
        <f aca="false">H1568*Resumo!$B$6</f>
        <v>0.69784</v>
      </c>
      <c r="V1568" s="61" t="n">
        <f aca="false">H1568*Resumo!$B$7</f>
        <v>1.39568</v>
      </c>
      <c r="W1568" s="61" t="n">
        <f aca="false">Resumo!$B$9</f>
        <v>1</v>
      </c>
      <c r="X1568" s="61" t="n">
        <f aca="false">Resumo!$B$10*CEILING(G1568/100,1)</f>
        <v>4.5</v>
      </c>
      <c r="Y1568" s="61" t="n">
        <f aca="false">Resumo!$B$12*CEILING(G1568,1)</f>
        <v>4.2</v>
      </c>
      <c r="Z1568" s="61" t="n">
        <f aca="false">Resumo!$B$14*CEILING(G1568,1)</f>
        <v>31.5</v>
      </c>
      <c r="AA1568" s="61" t="n">
        <f aca="false">SUM(T1568:Z1568)</f>
        <v>174.31352</v>
      </c>
      <c r="AB1568" s="61" t="n">
        <f aca="false">AA1568/(1-Resumo!$B$5)</f>
        <v>198.083545454545</v>
      </c>
      <c r="AC1568" s="61" t="n">
        <f aca="false">AB1568-S1568</f>
        <v>70.5370363636364</v>
      </c>
      <c r="AD1568" s="62" t="n">
        <f aca="false">AB1568/S1568-1</f>
        <v>0.553029925055502</v>
      </c>
      <c r="AE1568" s="60" t="str">
        <f aca="false">IF(AB1568&lt;S1568,"SIM","NÃO")</f>
        <v>NÃO</v>
      </c>
      <c r="AF1568" s="60" t="n">
        <v>2</v>
      </c>
      <c r="AG1568" s="60" t="n">
        <v>5</v>
      </c>
      <c r="AH1568" s="60" t="s">
        <v>382</v>
      </c>
      <c r="AI1568" s="61" t="n">
        <f aca="false">(T1568*(1-Painel!$C$40)+U1568+V1568+Painel!$C$41+Painel!$C$42*CEILING(G1568/100,1)+Painel!$C$43*CEILING(G1568,1)+Z1568)/(1-Resumo!$B$5)</f>
        <v>140.257863636364</v>
      </c>
      <c r="AJ1568" s="60" t="str">
        <f aca="false">IF(AI1568&lt;S1568,"SIM","NÃO")</f>
        <v>NÃO</v>
      </c>
    </row>
    <row r="1569" customFormat="false" ht="15" hidden="false" customHeight="false" outlineLevel="0" collapsed="false">
      <c r="A1569" s="59" t="n">
        <v>46269.0034953704</v>
      </c>
      <c r="B1569" s="60" t="s">
        <v>860</v>
      </c>
      <c r="C1569" s="60" t="n">
        <v>26900000</v>
      </c>
      <c r="D1569" s="60" t="s">
        <v>288</v>
      </c>
      <c r="E1569" s="60" t="s">
        <v>24</v>
      </c>
      <c r="F1569" s="60" t="s">
        <v>232</v>
      </c>
      <c r="G1569" s="60" t="n">
        <v>19.5</v>
      </c>
      <c r="H1569" s="61" t="n">
        <v>379.99</v>
      </c>
      <c r="I1569" s="61" t="n">
        <v>46.95</v>
      </c>
      <c r="J1569" s="61" t="n">
        <f aca="false">H1569*Resumo!$C$6</f>
        <v>0</v>
      </c>
      <c r="K1569" s="61" t="n">
        <f aca="false">H1569*Resumo!$C$7</f>
        <v>0.797979</v>
      </c>
      <c r="L1569" s="61" t="n">
        <f aca="false">H1569*Resumo!$C$8</f>
        <v>0.797979</v>
      </c>
      <c r="M1569" s="61" t="n">
        <f aca="false">Resumo!$C$10*CEILING(G1569/100,1)</f>
        <v>1.05</v>
      </c>
      <c r="N1569" s="61" t="n">
        <f aca="false">Resumo!$C$9</f>
        <v>0</v>
      </c>
      <c r="O1569" s="61" t="n">
        <f aca="false">Resumo!$C$13</f>
        <v>13.55</v>
      </c>
      <c r="P1569" s="61" t="n">
        <f aca="false">Resumo!$C$14*CEILING(G1569,1)</f>
        <v>9</v>
      </c>
      <c r="Q1569" s="61" t="n">
        <f aca="false">SUM(I1569:P1569)*Resumo!$C$11</f>
        <v>0</v>
      </c>
      <c r="R1569" s="61" t="n">
        <f aca="false">SUM(I1569:Q1569)</f>
        <v>72.145958</v>
      </c>
      <c r="S1569" s="61" t="n">
        <f aca="false">R1569/(1-Resumo!$C$5)</f>
        <v>81.9840431818182</v>
      </c>
      <c r="T1569" s="61" t="n">
        <v>77.35</v>
      </c>
      <c r="U1569" s="61" t="n">
        <f aca="false">H1569*Resumo!$B$6</f>
        <v>0.37999</v>
      </c>
      <c r="V1569" s="61" t="n">
        <f aca="false">H1569*Resumo!$B$7</f>
        <v>0.75998</v>
      </c>
      <c r="W1569" s="61" t="n">
        <f aca="false">Resumo!$B$9</f>
        <v>1</v>
      </c>
      <c r="X1569" s="61" t="n">
        <f aca="false">Resumo!$B$10*CEILING(G1569/100,1)</f>
        <v>4.5</v>
      </c>
      <c r="Y1569" s="61" t="n">
        <f aca="false">Resumo!$B$12*CEILING(G1569,1)</f>
        <v>1.2</v>
      </c>
      <c r="Z1569" s="61" t="n">
        <f aca="false">Resumo!$B$14*CEILING(G1569,1)</f>
        <v>9</v>
      </c>
      <c r="AA1569" s="61" t="n">
        <f aca="false">SUM(T1569:Z1569)</f>
        <v>94.18997</v>
      </c>
      <c r="AB1569" s="61" t="n">
        <f aca="false">AA1569/(1-Resumo!$B$5)</f>
        <v>107.034056818182</v>
      </c>
      <c r="AC1569" s="61" t="n">
        <f aca="false">AB1569-S1569</f>
        <v>25.0500136363636</v>
      </c>
      <c r="AD1569" s="62" t="n">
        <f aca="false">AB1569/S1569-1</f>
        <v>0.305547429282178</v>
      </c>
      <c r="AE1569" s="60" t="str">
        <f aca="false">IF(AB1569&lt;S1569,"SIM","NÃO")</f>
        <v>NÃO</v>
      </c>
      <c r="AF1569" s="60" t="n">
        <v>13</v>
      </c>
      <c r="AG1569" s="60" t="n">
        <v>10</v>
      </c>
      <c r="AH1569" s="60" t="s">
        <v>385</v>
      </c>
      <c r="AI1569" s="61" t="n">
        <f aca="false">(T1569*(1-Painel!$C$40)+U1569+V1569+Painel!$C$41+Painel!$C$42*CEILING(G1569/100,1)+Painel!$C$43*CEILING(G1569,1)+Z1569)/(1-Resumo!$B$5)</f>
        <v>72.7437159090909</v>
      </c>
      <c r="AJ1569" s="60" t="str">
        <f aca="false">IF(AI1569&lt;S1569,"SIM","NÃO")</f>
        <v>SIM</v>
      </c>
    </row>
    <row r="1570" customFormat="false" ht="15" hidden="false" customHeight="false" outlineLevel="0" collapsed="false">
      <c r="A1570" s="59" t="n">
        <v>46269.2631481482</v>
      </c>
      <c r="B1570" s="60" t="s">
        <v>544</v>
      </c>
      <c r="C1570" s="60" t="n">
        <v>21310050</v>
      </c>
      <c r="D1570" s="60" t="s">
        <v>46</v>
      </c>
      <c r="E1570" s="60" t="s">
        <v>22</v>
      </c>
      <c r="F1570" s="60" t="s">
        <v>235</v>
      </c>
      <c r="G1570" s="60" t="n">
        <v>46.8</v>
      </c>
      <c r="H1570" s="61" t="n">
        <v>484.02</v>
      </c>
      <c r="I1570" s="61" t="n">
        <v>53.55</v>
      </c>
      <c r="J1570" s="61" t="n">
        <f aca="false">H1570*Resumo!$C$6</f>
        <v>0</v>
      </c>
      <c r="K1570" s="61" t="n">
        <f aca="false">H1570*Resumo!$C$7</f>
        <v>1.016442</v>
      </c>
      <c r="L1570" s="61" t="n">
        <f aca="false">H1570*Resumo!$C$8</f>
        <v>1.016442</v>
      </c>
      <c r="M1570" s="61" t="n">
        <f aca="false">Resumo!$C$10*CEILING(G1570/100,1)</f>
        <v>1.05</v>
      </c>
      <c r="N1570" s="61" t="n">
        <f aca="false">Resumo!$C$9</f>
        <v>0</v>
      </c>
      <c r="O1570" s="61" t="n">
        <f aca="false">Resumo!$C$13</f>
        <v>13.55</v>
      </c>
      <c r="P1570" s="61" t="n">
        <f aca="false">Resumo!$C$14*CEILING(G1570,1)</f>
        <v>21.15</v>
      </c>
      <c r="Q1570" s="61" t="n">
        <f aca="false">SUM(I1570:P1570)*Resumo!$C$11</f>
        <v>0</v>
      </c>
      <c r="R1570" s="61" t="n">
        <f aca="false">SUM(I1570:Q1570)</f>
        <v>91.332884</v>
      </c>
      <c r="S1570" s="61" t="n">
        <f aca="false">R1570/(1-Resumo!$C$5)</f>
        <v>103.787368181818</v>
      </c>
      <c r="T1570" s="61" t="n">
        <v>93.97</v>
      </c>
      <c r="U1570" s="61" t="n">
        <f aca="false">H1570*Resumo!$B$6</f>
        <v>0.48402</v>
      </c>
      <c r="V1570" s="61" t="n">
        <f aca="false">H1570*Resumo!$B$7</f>
        <v>0.96804</v>
      </c>
      <c r="W1570" s="61" t="n">
        <f aca="false">Resumo!$B$9</f>
        <v>1</v>
      </c>
      <c r="X1570" s="61" t="n">
        <f aca="false">Resumo!$B$10*CEILING(G1570/100,1)</f>
        <v>4.5</v>
      </c>
      <c r="Y1570" s="61" t="n">
        <f aca="false">Resumo!$B$12*CEILING(G1570,1)</f>
        <v>2.82</v>
      </c>
      <c r="Z1570" s="61" t="n">
        <f aca="false">Resumo!$B$14*CEILING(G1570,1)</f>
        <v>21.15</v>
      </c>
      <c r="AA1570" s="61" t="n">
        <f aca="false">SUM(T1570:Z1570)</f>
        <v>124.89206</v>
      </c>
      <c r="AB1570" s="61" t="n">
        <f aca="false">AA1570/(1-Resumo!$B$5)</f>
        <v>141.922795454545</v>
      </c>
      <c r="AC1570" s="61" t="n">
        <f aca="false">AB1570-S1570</f>
        <v>38.1354272727273</v>
      </c>
      <c r="AD1570" s="62" t="n">
        <f aca="false">AB1570/S1570-1</f>
        <v>0.367438041264524</v>
      </c>
      <c r="AE1570" s="60" t="str">
        <f aca="false">IF(AB1570&lt;S1570,"SIM","NÃO")</f>
        <v>NÃO</v>
      </c>
      <c r="AF1570" s="60" t="n">
        <v>2</v>
      </c>
      <c r="AG1570" s="60" t="n">
        <v>5</v>
      </c>
      <c r="AH1570" s="60" t="s">
        <v>382</v>
      </c>
      <c r="AI1570" s="61" t="n">
        <f aca="false">(T1570*(1-Painel!$C$40)+U1570+V1570+Painel!$C$41+Painel!$C$42*CEILING(G1570/100,1)+Painel!$C$43*CEILING(G1570,1)+Z1570)/(1-Resumo!$B$5)</f>
        <v>99.5590454545455</v>
      </c>
      <c r="AJ1570" s="60" t="str">
        <f aca="false">IF(AI1570&lt;S1570,"SIM","NÃO")</f>
        <v>SIM</v>
      </c>
    </row>
    <row r="1571" customFormat="false" ht="15" hidden="false" customHeight="false" outlineLevel="0" collapsed="false">
      <c r="A1571" s="59" t="n">
        <v>46269.3849537037</v>
      </c>
      <c r="B1571" s="60" t="s">
        <v>1811</v>
      </c>
      <c r="C1571" s="60" t="n">
        <v>28021245</v>
      </c>
      <c r="D1571" s="60" t="s">
        <v>51</v>
      </c>
      <c r="E1571" s="60" t="s">
        <v>24</v>
      </c>
      <c r="F1571" s="60" t="s">
        <v>236</v>
      </c>
      <c r="G1571" s="60" t="n">
        <v>60</v>
      </c>
      <c r="H1571" s="61" t="n">
        <v>777.32</v>
      </c>
      <c r="I1571" s="61" t="n">
        <v>83.58</v>
      </c>
      <c r="J1571" s="61" t="n">
        <f aca="false">H1571*Resumo!$C$6</f>
        <v>0</v>
      </c>
      <c r="K1571" s="61" t="n">
        <f aca="false">H1571*Resumo!$C$7</f>
        <v>1.632372</v>
      </c>
      <c r="L1571" s="61" t="n">
        <f aca="false">H1571*Resumo!$C$8</f>
        <v>1.632372</v>
      </c>
      <c r="M1571" s="61" t="n">
        <f aca="false">Resumo!$C$10*CEILING(G1571/100,1)</f>
        <v>1.05</v>
      </c>
      <c r="N1571" s="61" t="n">
        <f aca="false">Resumo!$C$9</f>
        <v>0</v>
      </c>
      <c r="O1571" s="61" t="n">
        <f aca="false">Resumo!$C$13</f>
        <v>13.55</v>
      </c>
      <c r="P1571" s="61" t="n">
        <f aca="false">Resumo!$C$14*CEILING(G1571,1)</f>
        <v>27</v>
      </c>
      <c r="Q1571" s="61" t="n">
        <f aca="false">SUM(I1571:P1571)*Resumo!$C$11</f>
        <v>0</v>
      </c>
      <c r="R1571" s="61" t="n">
        <f aca="false">SUM(I1571:Q1571)</f>
        <v>128.444744</v>
      </c>
      <c r="S1571" s="61" t="n">
        <f aca="false">R1571/(1-Resumo!$C$5)</f>
        <v>145.959936363636</v>
      </c>
      <c r="T1571" s="61" t="n">
        <v>162.04</v>
      </c>
      <c r="U1571" s="61" t="n">
        <f aca="false">H1571*Resumo!$B$6</f>
        <v>0.77732</v>
      </c>
      <c r="V1571" s="61" t="n">
        <f aca="false">H1571*Resumo!$B$7</f>
        <v>1.55464</v>
      </c>
      <c r="W1571" s="61" t="n">
        <f aca="false">Resumo!$B$9</f>
        <v>1</v>
      </c>
      <c r="X1571" s="61" t="n">
        <f aca="false">Resumo!$B$10*CEILING(G1571/100,1)</f>
        <v>4.5</v>
      </c>
      <c r="Y1571" s="61" t="n">
        <f aca="false">Resumo!$B$12*CEILING(G1571,1)</f>
        <v>3.6</v>
      </c>
      <c r="Z1571" s="61" t="n">
        <f aca="false">Resumo!$B$14*CEILING(G1571,1)</f>
        <v>27</v>
      </c>
      <c r="AA1571" s="61" t="n">
        <f aca="false">SUM(T1571:Z1571)</f>
        <v>200.47196</v>
      </c>
      <c r="AB1571" s="61" t="n">
        <f aca="false">AA1571/(1-Resumo!$B$5)</f>
        <v>227.809045454545</v>
      </c>
      <c r="AC1571" s="61" t="n">
        <f aca="false">AB1571-S1571</f>
        <v>81.8491090909091</v>
      </c>
      <c r="AD1571" s="62" t="n">
        <f aca="false">AB1571/S1571-1</f>
        <v>0.560764214688302</v>
      </c>
      <c r="AE1571" s="60" t="str">
        <f aca="false">IF(AB1571&lt;S1571,"SIM","NÃO")</f>
        <v>NÃO</v>
      </c>
      <c r="AF1571" s="60" t="n">
        <v>13</v>
      </c>
      <c r="AG1571" s="60" t="n">
        <v>11</v>
      </c>
      <c r="AH1571" s="60" t="s">
        <v>382</v>
      </c>
      <c r="AI1571" s="61" t="n">
        <f aca="false">(T1571*(1-Painel!$C$40)+U1571+V1571+Painel!$C$41+Painel!$C$42*CEILING(G1571/100,1)+Painel!$C$43*CEILING(G1571,1)+Z1571)/(1-Resumo!$B$5)</f>
        <v>159.032681818182</v>
      </c>
      <c r="AJ1571" s="60" t="str">
        <f aca="false">IF(AI1571&lt;S1571,"SIM","NÃO")</f>
        <v>NÃO</v>
      </c>
    </row>
    <row r="1572" customFormat="false" ht="15" hidden="false" customHeight="false" outlineLevel="0" collapsed="false">
      <c r="A1572" s="59" t="n">
        <v>46269.4585648148</v>
      </c>
      <c r="B1572" s="60" t="s">
        <v>1812</v>
      </c>
      <c r="C1572" s="60" t="n">
        <v>25660004</v>
      </c>
      <c r="D1572" s="60" t="s">
        <v>219</v>
      </c>
      <c r="E1572" s="60" t="s">
        <v>24</v>
      </c>
      <c r="F1572" s="60" t="s">
        <v>236</v>
      </c>
      <c r="G1572" s="60" t="n">
        <v>60</v>
      </c>
      <c r="H1572" s="61" t="n">
        <v>777.32</v>
      </c>
      <c r="I1572" s="61" t="n">
        <v>83.58</v>
      </c>
      <c r="J1572" s="61" t="n">
        <f aca="false">H1572*Resumo!$C$6</f>
        <v>0</v>
      </c>
      <c r="K1572" s="61" t="n">
        <f aca="false">H1572*Resumo!$C$7</f>
        <v>1.632372</v>
      </c>
      <c r="L1572" s="61" t="n">
        <f aca="false">H1572*Resumo!$C$8</f>
        <v>1.632372</v>
      </c>
      <c r="M1572" s="61" t="n">
        <f aca="false">Resumo!$C$10*CEILING(G1572/100,1)</f>
        <v>1.05</v>
      </c>
      <c r="N1572" s="61" t="n">
        <f aca="false">Resumo!$C$9</f>
        <v>0</v>
      </c>
      <c r="O1572" s="61" t="n">
        <f aca="false">Resumo!$C$13</f>
        <v>13.55</v>
      </c>
      <c r="P1572" s="61" t="n">
        <f aca="false">Resumo!$C$14*CEILING(G1572,1)</f>
        <v>27</v>
      </c>
      <c r="Q1572" s="61" t="n">
        <f aca="false">SUM(I1572:P1572)*Resumo!$C$11</f>
        <v>0</v>
      </c>
      <c r="R1572" s="61" t="n">
        <f aca="false">SUM(I1572:Q1572)</f>
        <v>128.444744</v>
      </c>
      <c r="S1572" s="61" t="n">
        <f aca="false">R1572/(1-Resumo!$C$5)</f>
        <v>145.959936363636</v>
      </c>
      <c r="T1572" s="61" t="n">
        <v>142.32</v>
      </c>
      <c r="U1572" s="61" t="n">
        <f aca="false">H1572*Resumo!$B$6</f>
        <v>0.77732</v>
      </c>
      <c r="V1572" s="61" t="n">
        <f aca="false">H1572*Resumo!$B$7</f>
        <v>1.55464</v>
      </c>
      <c r="W1572" s="61" t="n">
        <f aca="false">Resumo!$B$9</f>
        <v>1</v>
      </c>
      <c r="X1572" s="61" t="n">
        <f aca="false">Resumo!$B$10*CEILING(G1572/100,1)</f>
        <v>4.5</v>
      </c>
      <c r="Y1572" s="61" t="n">
        <f aca="false">Resumo!$B$12*CEILING(G1572,1)</f>
        <v>3.6</v>
      </c>
      <c r="Z1572" s="61" t="n">
        <f aca="false">Resumo!$B$14*CEILING(G1572,1)</f>
        <v>27</v>
      </c>
      <c r="AA1572" s="61" t="n">
        <f aca="false">SUM(T1572:Z1572)</f>
        <v>180.75196</v>
      </c>
      <c r="AB1572" s="61" t="n">
        <f aca="false">AA1572/(1-Resumo!$B$5)</f>
        <v>205.399954545455</v>
      </c>
      <c r="AC1572" s="61" t="n">
        <f aca="false">AB1572-S1572</f>
        <v>59.4400181818182</v>
      </c>
      <c r="AD1572" s="62" t="n">
        <f aca="false">AB1572/S1572-1</f>
        <v>0.407235160980974</v>
      </c>
      <c r="AE1572" s="60" t="str">
        <f aca="false">IF(AB1572&lt;S1572,"SIM","NÃO")</f>
        <v>NÃO</v>
      </c>
      <c r="AF1572" s="60" t="n">
        <v>13</v>
      </c>
      <c r="AG1572" s="60" t="n">
        <v>8</v>
      </c>
      <c r="AH1572" s="60" t="s">
        <v>382</v>
      </c>
      <c r="AI1572" s="61" t="n">
        <f aca="false">(T1572*(1-Painel!$C$40)+U1572+V1572+Painel!$C$41+Painel!$C$42*CEILING(G1572/100,1)+Painel!$C$43*CEILING(G1572,1)+Z1572)/(1-Resumo!$B$5)</f>
        <v>144.018590909091</v>
      </c>
      <c r="AJ1572" s="60" t="str">
        <f aca="false">IF(AI1572&lt;S1572,"SIM","NÃO")</f>
        <v>SIM</v>
      </c>
    </row>
    <row r="1573" customFormat="false" ht="15" hidden="false" customHeight="false" outlineLevel="0" collapsed="false">
      <c r="A1573" s="59" t="n">
        <v>46269.4869097222</v>
      </c>
      <c r="B1573" s="60" t="s">
        <v>1813</v>
      </c>
      <c r="C1573" s="60" t="n">
        <v>27321320</v>
      </c>
      <c r="D1573" s="60" t="s">
        <v>293</v>
      </c>
      <c r="E1573" s="60" t="s">
        <v>24</v>
      </c>
      <c r="F1573" s="60" t="s">
        <v>233</v>
      </c>
      <c r="G1573" s="60" t="n">
        <v>24.4</v>
      </c>
      <c r="H1573" s="61" t="n">
        <v>297.49</v>
      </c>
      <c r="I1573" s="61" t="n">
        <v>65.63</v>
      </c>
      <c r="J1573" s="61" t="n">
        <f aca="false">H1573*Resumo!$C$6</f>
        <v>0</v>
      </c>
      <c r="K1573" s="61" t="n">
        <f aca="false">H1573*Resumo!$C$7</f>
        <v>0.624729</v>
      </c>
      <c r="L1573" s="61" t="n">
        <f aca="false">H1573*Resumo!$C$8</f>
        <v>0.624729</v>
      </c>
      <c r="M1573" s="61" t="n">
        <f aca="false">Resumo!$C$10*CEILING(G1573/100,1)</f>
        <v>1.05</v>
      </c>
      <c r="N1573" s="61" t="n">
        <f aca="false">Resumo!$C$9</f>
        <v>0</v>
      </c>
      <c r="O1573" s="61" t="n">
        <f aca="false">Resumo!$C$13</f>
        <v>13.55</v>
      </c>
      <c r="P1573" s="61" t="n">
        <f aca="false">Resumo!$C$14*CEILING(G1573,1)</f>
        <v>11.25</v>
      </c>
      <c r="Q1573" s="61" t="n">
        <f aca="false">SUM(I1573:P1573)*Resumo!$C$11</f>
        <v>0</v>
      </c>
      <c r="R1573" s="61" t="n">
        <f aca="false">SUM(I1573:Q1573)</f>
        <v>92.729458</v>
      </c>
      <c r="S1573" s="61" t="n">
        <f aca="false">R1573/(1-Resumo!$C$5)</f>
        <v>105.374384090909</v>
      </c>
      <c r="T1573" s="61" t="n">
        <v>108.83</v>
      </c>
      <c r="U1573" s="61" t="n">
        <f aca="false">H1573*Resumo!$B$6</f>
        <v>0.29749</v>
      </c>
      <c r="V1573" s="61" t="n">
        <f aca="false">H1573*Resumo!$B$7</f>
        <v>0.59498</v>
      </c>
      <c r="W1573" s="61" t="n">
        <f aca="false">Resumo!$B$9</f>
        <v>1</v>
      </c>
      <c r="X1573" s="61" t="n">
        <f aca="false">Resumo!$B$10*CEILING(G1573/100,1)</f>
        <v>4.5</v>
      </c>
      <c r="Y1573" s="61" t="n">
        <f aca="false">Resumo!$B$12*CEILING(G1573,1)</f>
        <v>1.5</v>
      </c>
      <c r="Z1573" s="61" t="n">
        <f aca="false">Resumo!$B$14*CEILING(G1573,1)</f>
        <v>11.25</v>
      </c>
      <c r="AA1573" s="61" t="n">
        <f aca="false">SUM(T1573:Z1573)</f>
        <v>127.97247</v>
      </c>
      <c r="AB1573" s="61" t="n">
        <f aca="false">AA1573/(1-Resumo!$B$5)</f>
        <v>145.423261363636</v>
      </c>
      <c r="AC1573" s="61" t="n">
        <f aca="false">AB1573-S1573</f>
        <v>40.0488772727273</v>
      </c>
      <c r="AD1573" s="62" t="n">
        <f aca="false">AB1573/S1573-1</f>
        <v>0.380062741227281</v>
      </c>
      <c r="AE1573" s="60" t="str">
        <f aca="false">IF(AB1573&lt;S1573,"SIM","NÃO")</f>
        <v>NÃO</v>
      </c>
      <c r="AF1573" s="60" t="n">
        <v>13</v>
      </c>
      <c r="AG1573" s="60" t="n">
        <v>10</v>
      </c>
      <c r="AH1573" s="60" t="s">
        <v>385</v>
      </c>
      <c r="AI1573" s="61" t="n">
        <f aca="false">(T1573*(1-Painel!$C$40)+U1573+V1573+Painel!$C$41+Painel!$C$42*CEILING(G1573/100,1)+Painel!$C$43*CEILING(G1573,1)+Z1573)/(1-Resumo!$B$5)</f>
        <v>98.9870113636363</v>
      </c>
      <c r="AJ1573" s="60" t="str">
        <f aca="false">IF(AI1573&lt;S1573,"SIM","NÃO")</f>
        <v>SIM</v>
      </c>
    </row>
    <row r="1574" customFormat="false" ht="15" hidden="false" customHeight="false" outlineLevel="0" collapsed="false">
      <c r="A1574" s="59" t="n">
        <v>46269.4895717593</v>
      </c>
      <c r="B1574" s="60" t="s">
        <v>1814</v>
      </c>
      <c r="C1574" s="60" t="n">
        <v>23020110</v>
      </c>
      <c r="D1574" s="60" t="s">
        <v>46</v>
      </c>
      <c r="E1574" s="60" t="s">
        <v>22</v>
      </c>
      <c r="F1574" s="60" t="s">
        <v>235</v>
      </c>
      <c r="G1574" s="60" t="n">
        <v>41</v>
      </c>
      <c r="H1574" s="61" t="n">
        <v>499.2</v>
      </c>
      <c r="I1574" s="61" t="n">
        <v>53.55</v>
      </c>
      <c r="J1574" s="61" t="n">
        <f aca="false">H1574*Resumo!$C$6</f>
        <v>0</v>
      </c>
      <c r="K1574" s="61" t="n">
        <f aca="false">H1574*Resumo!$C$7</f>
        <v>1.04832</v>
      </c>
      <c r="L1574" s="61" t="n">
        <f aca="false">H1574*Resumo!$C$8</f>
        <v>1.04832</v>
      </c>
      <c r="M1574" s="61" t="n">
        <f aca="false">Resumo!$C$10*CEILING(G1574/100,1)</f>
        <v>1.05</v>
      </c>
      <c r="N1574" s="61" t="n">
        <f aca="false">Resumo!$C$9</f>
        <v>0</v>
      </c>
      <c r="O1574" s="61" t="n">
        <f aca="false">Resumo!$C$13</f>
        <v>13.55</v>
      </c>
      <c r="P1574" s="61" t="n">
        <f aca="false">Resumo!$C$14*CEILING(G1574,1)</f>
        <v>18.45</v>
      </c>
      <c r="Q1574" s="61" t="n">
        <f aca="false">SUM(I1574:P1574)*Resumo!$C$11</f>
        <v>0</v>
      </c>
      <c r="R1574" s="61" t="n">
        <f aca="false">SUM(I1574:Q1574)</f>
        <v>88.69664</v>
      </c>
      <c r="S1574" s="61" t="n">
        <f aca="false">R1574/(1-Resumo!$C$5)</f>
        <v>100.791636363636</v>
      </c>
      <c r="T1574" s="61" t="n">
        <v>93.97</v>
      </c>
      <c r="U1574" s="61" t="n">
        <f aca="false">H1574*Resumo!$B$6</f>
        <v>0.4992</v>
      </c>
      <c r="V1574" s="61" t="n">
        <f aca="false">H1574*Resumo!$B$7</f>
        <v>0.9984</v>
      </c>
      <c r="W1574" s="61" t="n">
        <f aca="false">Resumo!$B$9</f>
        <v>1</v>
      </c>
      <c r="X1574" s="61" t="n">
        <f aca="false">Resumo!$B$10*CEILING(G1574/100,1)</f>
        <v>4.5</v>
      </c>
      <c r="Y1574" s="61" t="n">
        <f aca="false">Resumo!$B$12*CEILING(G1574,1)</f>
        <v>2.46</v>
      </c>
      <c r="Z1574" s="61" t="n">
        <f aca="false">Resumo!$B$14*CEILING(G1574,1)</f>
        <v>18.45</v>
      </c>
      <c r="AA1574" s="61" t="n">
        <f aca="false">SUM(T1574:Z1574)</f>
        <v>121.8776</v>
      </c>
      <c r="AB1574" s="61" t="n">
        <f aca="false">AA1574/(1-Resumo!$B$5)</f>
        <v>138.497272727273</v>
      </c>
      <c r="AC1574" s="61" t="n">
        <f aca="false">AB1574-S1574</f>
        <v>37.7056363636364</v>
      </c>
      <c r="AD1574" s="62" t="n">
        <f aca="false">AB1574/S1574-1</f>
        <v>0.374094892433355</v>
      </c>
      <c r="AE1574" s="60" t="str">
        <f aca="false">IF(AB1574&lt;S1574,"SIM","NÃO")</f>
        <v>NÃO</v>
      </c>
      <c r="AF1574" s="60" t="n">
        <v>2</v>
      </c>
      <c r="AG1574" s="60" t="n">
        <v>5</v>
      </c>
      <c r="AH1574" s="60" t="s">
        <v>382</v>
      </c>
      <c r="AI1574" s="61" t="n">
        <f aca="false">(T1574*(1-Painel!$C$40)+U1574+V1574+Painel!$C$41+Painel!$C$42*CEILING(G1574/100,1)+Painel!$C$43*CEILING(G1574,1)+Z1574)/(1-Resumo!$B$5)</f>
        <v>96.5426136363636</v>
      </c>
      <c r="AJ1574" s="60" t="str">
        <f aca="false">IF(AI1574&lt;S1574,"SIM","NÃO")</f>
        <v>SIM</v>
      </c>
    </row>
    <row r="1575" customFormat="false" ht="15" hidden="false" customHeight="false" outlineLevel="0" collapsed="false">
      <c r="A1575" s="59" t="n">
        <v>46269.5004513889</v>
      </c>
      <c r="B1575" s="60" t="s">
        <v>1815</v>
      </c>
      <c r="C1575" s="60" t="n">
        <v>25936110</v>
      </c>
      <c r="D1575" s="60" t="s">
        <v>225</v>
      </c>
      <c r="E1575" s="60" t="s">
        <v>24</v>
      </c>
      <c r="F1575" s="60" t="s">
        <v>237</v>
      </c>
      <c r="G1575" s="60" t="n">
        <v>63</v>
      </c>
      <c r="H1575" s="61" t="n">
        <v>702.57</v>
      </c>
      <c r="I1575" s="61" t="n">
        <v>90.2</v>
      </c>
      <c r="J1575" s="61" t="n">
        <f aca="false">H1575*Resumo!$C$6</f>
        <v>0</v>
      </c>
      <c r="K1575" s="61" t="n">
        <f aca="false">H1575*Resumo!$C$7</f>
        <v>1.475397</v>
      </c>
      <c r="L1575" s="61" t="n">
        <f aca="false">H1575*Resumo!$C$8</f>
        <v>1.475397</v>
      </c>
      <c r="M1575" s="61" t="n">
        <f aca="false">Resumo!$C$10*CEILING(G1575/100,1)</f>
        <v>1.05</v>
      </c>
      <c r="N1575" s="61" t="n">
        <f aca="false">Resumo!$C$9</f>
        <v>0</v>
      </c>
      <c r="O1575" s="61" t="n">
        <f aca="false">Resumo!$C$13</f>
        <v>13.55</v>
      </c>
      <c r="P1575" s="61" t="n">
        <f aca="false">Resumo!$C$14*CEILING(G1575,1)</f>
        <v>28.35</v>
      </c>
      <c r="Q1575" s="61" t="n">
        <f aca="false">SUM(I1575:P1575)*Resumo!$C$11</f>
        <v>0</v>
      </c>
      <c r="R1575" s="61" t="n">
        <f aca="false">SUM(I1575:Q1575)</f>
        <v>136.100794</v>
      </c>
      <c r="S1575" s="61" t="n">
        <f aca="false">R1575/(1-Resumo!$C$5)</f>
        <v>154.659993181818</v>
      </c>
      <c r="T1575" s="61" t="n">
        <v>136.53</v>
      </c>
      <c r="U1575" s="61" t="n">
        <f aca="false">H1575*Resumo!$B$6</f>
        <v>0.70257</v>
      </c>
      <c r="V1575" s="61" t="n">
        <f aca="false">H1575*Resumo!$B$7</f>
        <v>1.40514</v>
      </c>
      <c r="W1575" s="61" t="n">
        <f aca="false">Resumo!$B$9</f>
        <v>1</v>
      </c>
      <c r="X1575" s="61" t="n">
        <f aca="false">Resumo!$B$10*CEILING(G1575/100,1)</f>
        <v>4.5</v>
      </c>
      <c r="Y1575" s="61" t="n">
        <f aca="false">Resumo!$B$12*CEILING(G1575,1)</f>
        <v>3.78</v>
      </c>
      <c r="Z1575" s="61" t="n">
        <f aca="false">Resumo!$B$14*CEILING(G1575,1)</f>
        <v>28.35</v>
      </c>
      <c r="AA1575" s="61" t="n">
        <f aca="false">SUM(T1575:Z1575)</f>
        <v>176.26771</v>
      </c>
      <c r="AB1575" s="61" t="n">
        <f aca="false">AA1575/(1-Resumo!$B$5)</f>
        <v>200.304215909091</v>
      </c>
      <c r="AC1575" s="61" t="n">
        <f aca="false">AB1575-S1575</f>
        <v>45.6442227272727</v>
      </c>
      <c r="AD1575" s="62" t="n">
        <f aca="false">AB1575/S1575-1</f>
        <v>0.29512624298136</v>
      </c>
      <c r="AE1575" s="60" t="str">
        <f aca="false">IF(AB1575&lt;S1575,"SIM","NÃO")</f>
        <v>NÃO</v>
      </c>
      <c r="AF1575" s="60" t="n">
        <v>13</v>
      </c>
      <c r="AG1575" s="60" t="n">
        <v>6</v>
      </c>
      <c r="AH1575" s="60" t="s">
        <v>382</v>
      </c>
      <c r="AI1575" s="61" t="n">
        <f aca="false">(T1575*(1-Painel!$C$40)+U1575+V1575+Painel!$C$41+Painel!$C$42*CEILING(G1575/100,1)+Painel!$C$43*CEILING(G1575,1)+Z1575)/(1-Resumo!$B$5)</f>
        <v>140.889556818182</v>
      </c>
      <c r="AJ1575" s="60" t="str">
        <f aca="false">IF(AI1575&lt;S1575,"SIM","NÃO")</f>
        <v>SIM</v>
      </c>
    </row>
    <row r="1576" customFormat="false" ht="15" hidden="false" customHeight="false" outlineLevel="0" collapsed="false">
      <c r="A1576" s="59" t="n">
        <v>46269.5840277778</v>
      </c>
      <c r="B1576" s="60" t="s">
        <v>1816</v>
      </c>
      <c r="C1576" s="60" t="n">
        <v>21831445</v>
      </c>
      <c r="D1576" s="60" t="s">
        <v>46</v>
      </c>
      <c r="E1576" s="60" t="s">
        <v>22</v>
      </c>
      <c r="F1576" s="60" t="s">
        <v>236</v>
      </c>
      <c r="G1576" s="60" t="n">
        <v>60</v>
      </c>
      <c r="H1576" s="61" t="n">
        <v>777.32</v>
      </c>
      <c r="I1576" s="61" t="n">
        <v>58.6</v>
      </c>
      <c r="J1576" s="61" t="n">
        <f aca="false">H1576*Resumo!$C$6</f>
        <v>0</v>
      </c>
      <c r="K1576" s="61" t="n">
        <f aca="false">H1576*Resumo!$C$7</f>
        <v>1.632372</v>
      </c>
      <c r="L1576" s="61" t="n">
        <f aca="false">H1576*Resumo!$C$8</f>
        <v>1.632372</v>
      </c>
      <c r="M1576" s="61" t="n">
        <f aca="false">Resumo!$C$10*CEILING(G1576/100,1)</f>
        <v>1.05</v>
      </c>
      <c r="N1576" s="61" t="n">
        <f aca="false">Resumo!$C$9</f>
        <v>0</v>
      </c>
      <c r="O1576" s="61" t="n">
        <f aca="false">Resumo!$C$13</f>
        <v>13.55</v>
      </c>
      <c r="P1576" s="61" t="n">
        <f aca="false">Resumo!$C$14*CEILING(G1576,1)</f>
        <v>27</v>
      </c>
      <c r="Q1576" s="61" t="n">
        <f aca="false">SUM(I1576:P1576)*Resumo!$C$11</f>
        <v>0</v>
      </c>
      <c r="R1576" s="61" t="n">
        <f aca="false">SUM(I1576:Q1576)</f>
        <v>103.464744</v>
      </c>
      <c r="S1576" s="61" t="n">
        <f aca="false">R1576/(1-Resumo!$C$5)</f>
        <v>117.573572727273</v>
      </c>
      <c r="T1576" s="61" t="n">
        <v>112.3</v>
      </c>
      <c r="U1576" s="61" t="n">
        <f aca="false">H1576*Resumo!$B$6</f>
        <v>0.77732</v>
      </c>
      <c r="V1576" s="61" t="n">
        <f aca="false">H1576*Resumo!$B$7</f>
        <v>1.55464</v>
      </c>
      <c r="W1576" s="61" t="n">
        <f aca="false">Resumo!$B$9</f>
        <v>1</v>
      </c>
      <c r="X1576" s="61" t="n">
        <f aca="false">Resumo!$B$10*CEILING(G1576/100,1)</f>
        <v>4.5</v>
      </c>
      <c r="Y1576" s="61" t="n">
        <f aca="false">Resumo!$B$12*CEILING(G1576,1)</f>
        <v>3.6</v>
      </c>
      <c r="Z1576" s="61" t="n">
        <f aca="false">Resumo!$B$14*CEILING(G1576,1)</f>
        <v>27</v>
      </c>
      <c r="AA1576" s="61" t="n">
        <f aca="false">SUM(T1576:Z1576)</f>
        <v>150.73196</v>
      </c>
      <c r="AB1576" s="61" t="n">
        <f aca="false">AA1576/(1-Resumo!$B$5)</f>
        <v>171.286318181818</v>
      </c>
      <c r="AC1576" s="61" t="n">
        <f aca="false">AB1576-S1576</f>
        <v>53.7127454545455</v>
      </c>
      <c r="AD1576" s="62" t="n">
        <f aca="false">AB1576/S1576-1</f>
        <v>0.456843695471764</v>
      </c>
      <c r="AE1576" s="60" t="str">
        <f aca="false">IF(AB1576&lt;S1576,"SIM","NÃO")</f>
        <v>NÃO</v>
      </c>
      <c r="AF1576" s="60" t="n">
        <v>2</v>
      </c>
      <c r="AG1576" s="60" t="n">
        <v>5</v>
      </c>
      <c r="AH1576" s="60" t="s">
        <v>382</v>
      </c>
      <c r="AI1576" s="61" t="n">
        <f aca="false">(T1576*(1-Painel!$C$40)+U1576+V1576+Painel!$C$41+Painel!$C$42*CEILING(G1576/100,1)+Painel!$C$43*CEILING(G1576,1)+Z1576)/(1-Resumo!$B$5)</f>
        <v>121.162454545455</v>
      </c>
      <c r="AJ1576" s="60" t="str">
        <f aca="false">IF(AI1576&lt;S1576,"SIM","NÃO")</f>
        <v>NÃO</v>
      </c>
    </row>
    <row r="1577" customFormat="false" ht="15" hidden="false" customHeight="false" outlineLevel="0" collapsed="false">
      <c r="A1577" s="59" t="n">
        <v>46269.6619097222</v>
      </c>
      <c r="B1577" s="60" t="s">
        <v>1817</v>
      </c>
      <c r="C1577" s="60" t="n">
        <v>24435140</v>
      </c>
      <c r="D1577" s="60" t="s">
        <v>47</v>
      </c>
      <c r="E1577" s="60" t="s">
        <v>23</v>
      </c>
      <c r="F1577" s="60" t="s">
        <v>235</v>
      </c>
      <c r="G1577" s="60" t="n">
        <v>48.3</v>
      </c>
      <c r="H1577" s="61" t="n">
        <v>559.99</v>
      </c>
      <c r="I1577" s="61" t="n">
        <v>65.36</v>
      </c>
      <c r="J1577" s="61" t="n">
        <f aca="false">H1577*Resumo!$C$6</f>
        <v>0</v>
      </c>
      <c r="K1577" s="61" t="n">
        <f aca="false">H1577*Resumo!$C$7</f>
        <v>1.175979</v>
      </c>
      <c r="L1577" s="61" t="n">
        <f aca="false">H1577*Resumo!$C$8</f>
        <v>1.175979</v>
      </c>
      <c r="M1577" s="61" t="n">
        <f aca="false">Resumo!$C$10*CEILING(G1577/100,1)</f>
        <v>1.05</v>
      </c>
      <c r="N1577" s="61" t="n">
        <f aca="false">Resumo!$C$9</f>
        <v>0</v>
      </c>
      <c r="O1577" s="61" t="n">
        <f aca="false">Resumo!$C$13</f>
        <v>13.55</v>
      </c>
      <c r="P1577" s="61" t="n">
        <f aca="false">Resumo!$C$14*CEILING(G1577,1)</f>
        <v>22.05</v>
      </c>
      <c r="Q1577" s="61" t="n">
        <f aca="false">SUM(I1577:P1577)*Resumo!$C$11</f>
        <v>0</v>
      </c>
      <c r="R1577" s="61" t="n">
        <f aca="false">SUM(I1577:Q1577)</f>
        <v>104.361958</v>
      </c>
      <c r="S1577" s="61" t="n">
        <f aca="false">R1577/(1-Resumo!$C$5)</f>
        <v>118.593134090909</v>
      </c>
      <c r="T1577" s="61" t="n">
        <v>114.95</v>
      </c>
      <c r="U1577" s="61" t="n">
        <f aca="false">H1577*Resumo!$B$6</f>
        <v>0.55999</v>
      </c>
      <c r="V1577" s="61" t="n">
        <f aca="false">H1577*Resumo!$B$7</f>
        <v>1.11998</v>
      </c>
      <c r="W1577" s="61" t="n">
        <f aca="false">Resumo!$B$9</f>
        <v>1</v>
      </c>
      <c r="X1577" s="61" t="n">
        <f aca="false">Resumo!$B$10*CEILING(G1577/100,1)</f>
        <v>4.5</v>
      </c>
      <c r="Y1577" s="61" t="n">
        <f aca="false">Resumo!$B$12*CEILING(G1577,1)</f>
        <v>2.94</v>
      </c>
      <c r="Z1577" s="61" t="n">
        <f aca="false">Resumo!$B$14*CEILING(G1577,1)</f>
        <v>22.05</v>
      </c>
      <c r="AA1577" s="61" t="n">
        <f aca="false">SUM(T1577:Z1577)</f>
        <v>147.11997</v>
      </c>
      <c r="AB1577" s="61" t="n">
        <f aca="false">AA1577/(1-Resumo!$B$5)</f>
        <v>167.181784090909</v>
      </c>
      <c r="AC1577" s="61" t="n">
        <f aca="false">AB1577-S1577</f>
        <v>48.58865</v>
      </c>
      <c r="AD1577" s="62" t="n">
        <f aca="false">AB1577/S1577-1</f>
        <v>0.409708794463209</v>
      </c>
      <c r="AE1577" s="60" t="str">
        <f aca="false">IF(AB1577&lt;S1577,"SIM","NÃO")</f>
        <v>NÃO</v>
      </c>
      <c r="AF1577" s="60" t="n">
        <v>2</v>
      </c>
      <c r="AG1577" s="60" t="n">
        <v>7</v>
      </c>
      <c r="AH1577" s="60" t="s">
        <v>382</v>
      </c>
      <c r="AI1577" s="61" t="n">
        <f aca="false">(T1577*(1-Painel!$C$40)+U1577+V1577+Painel!$C$41+Painel!$C$42*CEILING(G1577/100,1)+Painel!$C$43*CEILING(G1577,1)+Z1577)/(1-Resumo!$B$5)</f>
        <v>116.814170454545</v>
      </c>
      <c r="AJ1577" s="60" t="str">
        <f aca="false">IF(AI1577&lt;S1577,"SIM","NÃO")</f>
        <v>SIM</v>
      </c>
    </row>
    <row r="1578" customFormat="false" ht="15" hidden="false" customHeight="false" outlineLevel="0" collapsed="false">
      <c r="A1578" s="59" t="n">
        <v>46269.7653125</v>
      </c>
      <c r="B1578" s="60" t="s">
        <v>1818</v>
      </c>
      <c r="C1578" s="60" t="n">
        <v>21010570</v>
      </c>
      <c r="D1578" s="60" t="s">
        <v>46</v>
      </c>
      <c r="E1578" s="60" t="s">
        <v>22</v>
      </c>
      <c r="F1578" s="60" t="s">
        <v>233</v>
      </c>
      <c r="G1578" s="60" t="n">
        <v>22.4</v>
      </c>
      <c r="H1578" s="61" t="n">
        <v>489.69</v>
      </c>
      <c r="I1578" s="61" t="n">
        <v>42.11</v>
      </c>
      <c r="J1578" s="61" t="n">
        <f aca="false">H1578*Resumo!$C$6</f>
        <v>0</v>
      </c>
      <c r="K1578" s="61" t="n">
        <f aca="false">H1578*Resumo!$C$7</f>
        <v>1.028349</v>
      </c>
      <c r="L1578" s="61" t="n">
        <f aca="false">H1578*Resumo!$C$8</f>
        <v>1.028349</v>
      </c>
      <c r="M1578" s="61" t="n">
        <f aca="false">Resumo!$C$10*CEILING(G1578/100,1)</f>
        <v>1.05</v>
      </c>
      <c r="N1578" s="61" t="n">
        <f aca="false">Resumo!$C$9</f>
        <v>0</v>
      </c>
      <c r="O1578" s="61" t="n">
        <f aca="false">Resumo!$C$13</f>
        <v>13.55</v>
      </c>
      <c r="P1578" s="61" t="n">
        <f aca="false">Resumo!$C$14*CEILING(G1578,1)</f>
        <v>10.35</v>
      </c>
      <c r="Q1578" s="61" t="n">
        <f aca="false">SUM(I1578:P1578)*Resumo!$C$11</f>
        <v>0</v>
      </c>
      <c r="R1578" s="61" t="n">
        <f aca="false">SUM(I1578:Q1578)</f>
        <v>69.116698</v>
      </c>
      <c r="S1578" s="61" t="n">
        <f aca="false">R1578/(1-Resumo!$C$5)</f>
        <v>78.5417022727273</v>
      </c>
      <c r="T1578" s="61" t="n">
        <v>82.21</v>
      </c>
      <c r="U1578" s="61" t="n">
        <f aca="false">H1578*Resumo!$B$6</f>
        <v>0.48969</v>
      </c>
      <c r="V1578" s="61" t="n">
        <f aca="false">H1578*Resumo!$B$7</f>
        <v>0.97938</v>
      </c>
      <c r="W1578" s="61" t="n">
        <f aca="false">Resumo!$B$9</f>
        <v>1</v>
      </c>
      <c r="X1578" s="61" t="n">
        <f aca="false">Resumo!$B$10*CEILING(G1578/100,1)</f>
        <v>4.5</v>
      </c>
      <c r="Y1578" s="61" t="n">
        <f aca="false">Resumo!$B$12*CEILING(G1578,1)</f>
        <v>1.38</v>
      </c>
      <c r="Z1578" s="61" t="n">
        <f aca="false">Resumo!$B$14*CEILING(G1578,1)</f>
        <v>10.35</v>
      </c>
      <c r="AA1578" s="61" t="n">
        <f aca="false">SUM(T1578:Z1578)</f>
        <v>100.90907</v>
      </c>
      <c r="AB1578" s="61" t="n">
        <f aca="false">AA1578/(1-Resumo!$B$5)</f>
        <v>114.669397727273</v>
      </c>
      <c r="AC1578" s="61" t="n">
        <f aca="false">AB1578-S1578</f>
        <v>36.1276954545454</v>
      </c>
      <c r="AD1578" s="62" t="n">
        <f aca="false">AB1578/S1578-1</f>
        <v>0.45998105985908</v>
      </c>
      <c r="AE1578" s="60" t="str">
        <f aca="false">IF(AB1578&lt;S1578,"SIM","NÃO")</f>
        <v>NÃO</v>
      </c>
      <c r="AF1578" s="60" t="n">
        <v>2</v>
      </c>
      <c r="AG1578" s="60" t="n">
        <v>5</v>
      </c>
      <c r="AH1578" s="60" t="s">
        <v>382</v>
      </c>
      <c r="AI1578" s="61" t="n">
        <f aca="false">(T1578*(1-Painel!$C$40)+U1578+V1578+Painel!$C$41+Painel!$C$42*CEILING(G1578/100,1)+Painel!$C$43*CEILING(G1578,1)+Z1578)/(1-Resumo!$B$5)</f>
        <v>78.3520113636364</v>
      </c>
      <c r="AJ1578" s="60" t="str">
        <f aca="false">IF(AI1578&lt;S1578,"SIM","NÃO")</f>
        <v>SIM</v>
      </c>
    </row>
    <row r="1579" customFormat="false" ht="15" hidden="false" customHeight="false" outlineLevel="0" collapsed="false">
      <c r="A1579" s="59" t="n">
        <v>46269.8088078704</v>
      </c>
      <c r="B1579" s="60" t="s">
        <v>1819</v>
      </c>
      <c r="C1579" s="60" t="n">
        <v>20765240</v>
      </c>
      <c r="D1579" s="60" t="s">
        <v>46</v>
      </c>
      <c r="E1579" s="60" t="s">
        <v>22</v>
      </c>
      <c r="F1579" s="60" t="s">
        <v>239</v>
      </c>
      <c r="G1579" s="60" t="n">
        <v>93.8</v>
      </c>
      <c r="H1579" s="61" t="n">
        <v>979.99</v>
      </c>
      <c r="I1579" s="61" t="n">
        <v>83.79</v>
      </c>
      <c r="J1579" s="61" t="n">
        <f aca="false">H1579*Resumo!$C$6</f>
        <v>0</v>
      </c>
      <c r="K1579" s="61" t="n">
        <f aca="false">H1579*Resumo!$C$7</f>
        <v>2.057979</v>
      </c>
      <c r="L1579" s="61" t="n">
        <f aca="false">H1579*Resumo!$C$8</f>
        <v>2.057979</v>
      </c>
      <c r="M1579" s="61" t="n">
        <f aca="false">Resumo!$C$10*CEILING(G1579/100,1)</f>
        <v>1.05</v>
      </c>
      <c r="N1579" s="61" t="n">
        <f aca="false">Resumo!$C$9</f>
        <v>0</v>
      </c>
      <c r="O1579" s="61" t="n">
        <f aca="false">Resumo!$C$13</f>
        <v>13.55</v>
      </c>
      <c r="P1579" s="61" t="n">
        <f aca="false">Resumo!$C$14*CEILING(G1579,1)</f>
        <v>42.3</v>
      </c>
      <c r="Q1579" s="61" t="n">
        <f aca="false">SUM(I1579:P1579)*Resumo!$C$11</f>
        <v>0</v>
      </c>
      <c r="R1579" s="61" t="n">
        <f aca="false">SUM(I1579:Q1579)</f>
        <v>144.805958</v>
      </c>
      <c r="S1579" s="61" t="n">
        <f aca="false">R1579/(1-Resumo!$C$5)</f>
        <v>164.552225</v>
      </c>
      <c r="T1579" s="61" t="n">
        <v>167.99</v>
      </c>
      <c r="U1579" s="61" t="n">
        <f aca="false">H1579*Resumo!$B$6</f>
        <v>0.97999</v>
      </c>
      <c r="V1579" s="61" t="n">
        <f aca="false">H1579*Resumo!$B$7</f>
        <v>1.95998</v>
      </c>
      <c r="W1579" s="61" t="n">
        <f aca="false">Resumo!$B$9</f>
        <v>1</v>
      </c>
      <c r="X1579" s="61" t="n">
        <f aca="false">Resumo!$B$10*CEILING(G1579/100,1)</f>
        <v>4.5</v>
      </c>
      <c r="Y1579" s="61" t="n">
        <f aca="false">Resumo!$B$12*CEILING(G1579,1)</f>
        <v>5.64</v>
      </c>
      <c r="Z1579" s="61" t="n">
        <f aca="false">Resumo!$B$14*CEILING(G1579,1)</f>
        <v>42.3</v>
      </c>
      <c r="AA1579" s="61" t="n">
        <f aca="false">SUM(T1579:Z1579)</f>
        <v>224.36997</v>
      </c>
      <c r="AB1579" s="61" t="n">
        <f aca="false">AA1579/(1-Resumo!$B$5)</f>
        <v>254.965875</v>
      </c>
      <c r="AC1579" s="61" t="n">
        <f aca="false">AB1579-S1579</f>
        <v>90.4136500000001</v>
      </c>
      <c r="AD1579" s="62" t="n">
        <f aca="false">AB1579/S1579-1</f>
        <v>0.549452612992623</v>
      </c>
      <c r="AE1579" s="60" t="str">
        <f aca="false">IF(AB1579&lt;S1579,"SIM","NÃO")</f>
        <v>NÃO</v>
      </c>
      <c r="AF1579" s="60" t="n">
        <v>2</v>
      </c>
      <c r="AG1579" s="60" t="n">
        <v>5</v>
      </c>
      <c r="AH1579" s="60" t="s">
        <v>382</v>
      </c>
      <c r="AI1579" s="61" t="n">
        <f aca="false">(T1579*(1-Painel!$C$40)+U1579+V1579+Painel!$C$41+Painel!$C$42*CEILING(G1579/100,1)+Painel!$C$43*CEILING(G1579,1)+Z1579)/(1-Resumo!$B$5)</f>
        <v>181.640079545455</v>
      </c>
      <c r="AJ1579" s="60" t="str">
        <f aca="false">IF(AI1579&lt;S1579,"SIM","NÃO")</f>
        <v>NÃO</v>
      </c>
    </row>
    <row r="1580" customFormat="false" ht="15" hidden="false" customHeight="false" outlineLevel="0" collapsed="false">
      <c r="A1580" s="59" t="n">
        <v>46269.8916087963</v>
      </c>
      <c r="B1580" s="60" t="s">
        <v>1658</v>
      </c>
      <c r="C1580" s="60" t="n">
        <v>21321560</v>
      </c>
      <c r="D1580" s="60" t="s">
        <v>46</v>
      </c>
      <c r="E1580" s="60" t="s">
        <v>22</v>
      </c>
      <c r="F1580" s="60" t="s">
        <v>233</v>
      </c>
      <c r="G1580" s="60" t="n">
        <v>21.75</v>
      </c>
      <c r="H1580" s="61" t="n">
        <v>249</v>
      </c>
      <c r="I1580" s="61" t="n">
        <v>42.11</v>
      </c>
      <c r="J1580" s="61" t="n">
        <f aca="false">H1580*Resumo!$C$6</f>
        <v>0</v>
      </c>
      <c r="K1580" s="61" t="n">
        <f aca="false">H1580*Resumo!$C$7</f>
        <v>0.5229</v>
      </c>
      <c r="L1580" s="61" t="n">
        <f aca="false">H1580*Resumo!$C$8</f>
        <v>0.5229</v>
      </c>
      <c r="M1580" s="61" t="n">
        <f aca="false">Resumo!$C$10*CEILING(G1580/100,1)</f>
        <v>1.05</v>
      </c>
      <c r="N1580" s="61" t="n">
        <f aca="false">Resumo!$C$9</f>
        <v>0</v>
      </c>
      <c r="O1580" s="61" t="n">
        <f aca="false">Resumo!$C$13</f>
        <v>13.55</v>
      </c>
      <c r="P1580" s="61" t="n">
        <f aca="false">Resumo!$C$14*CEILING(G1580,1)</f>
        <v>9.9</v>
      </c>
      <c r="Q1580" s="61" t="n">
        <f aca="false">SUM(I1580:P1580)*Resumo!$C$11</f>
        <v>0</v>
      </c>
      <c r="R1580" s="61" t="n">
        <f aca="false">SUM(I1580:Q1580)</f>
        <v>67.6558</v>
      </c>
      <c r="S1580" s="61" t="n">
        <f aca="false">R1580/(1-Resumo!$C$5)</f>
        <v>76.8815909090909</v>
      </c>
      <c r="T1580" s="61" t="n">
        <v>82.21</v>
      </c>
      <c r="U1580" s="61" t="n">
        <f aca="false">H1580*Resumo!$B$6</f>
        <v>0.249</v>
      </c>
      <c r="V1580" s="61" t="n">
        <f aca="false">H1580*Resumo!$B$7</f>
        <v>0.498</v>
      </c>
      <c r="W1580" s="61" t="n">
        <f aca="false">Resumo!$B$9</f>
        <v>1</v>
      </c>
      <c r="X1580" s="61" t="n">
        <f aca="false">Resumo!$B$10*CEILING(G1580/100,1)</f>
        <v>4.5</v>
      </c>
      <c r="Y1580" s="61" t="n">
        <f aca="false">Resumo!$B$12*CEILING(G1580,1)</f>
        <v>1.32</v>
      </c>
      <c r="Z1580" s="61" t="n">
        <f aca="false">Resumo!$B$14*CEILING(G1580,1)</f>
        <v>9.9</v>
      </c>
      <c r="AA1580" s="61" t="n">
        <f aca="false">SUM(T1580:Z1580)</f>
        <v>99.677</v>
      </c>
      <c r="AB1580" s="61" t="n">
        <f aca="false">AA1580/(1-Resumo!$B$5)</f>
        <v>113.269318181818</v>
      </c>
      <c r="AC1580" s="61" t="n">
        <f aca="false">AB1580-S1580</f>
        <v>36.3877272727273</v>
      </c>
      <c r="AD1580" s="62" t="n">
        <f aca="false">AB1580/S1580-1</f>
        <v>0.473295711528058</v>
      </c>
      <c r="AE1580" s="60" t="str">
        <f aca="false">IF(AB1580&lt;S1580,"SIM","NÃO")</f>
        <v>NÃO</v>
      </c>
      <c r="AF1580" s="60" t="n">
        <v>2</v>
      </c>
      <c r="AG1580" s="60" t="n">
        <v>5</v>
      </c>
      <c r="AH1580" s="60" t="s">
        <v>382</v>
      </c>
      <c r="AI1580" s="61" t="n">
        <f aca="false">(T1580*(1-Painel!$C$40)+U1580+V1580+Painel!$C$41+Painel!$C$42*CEILING(G1580/100,1)+Painel!$C$43*CEILING(G1580,1)+Z1580)/(1-Resumo!$B$5)</f>
        <v>77.0201136363636</v>
      </c>
      <c r="AJ1580" s="60" t="str">
        <f aca="false">IF(AI1580&lt;S1580,"SIM","NÃO")</f>
        <v>NÃO</v>
      </c>
    </row>
    <row r="1581" customFormat="false" ht="15" hidden="false" customHeight="false" outlineLevel="0" collapsed="false">
      <c r="A1581" s="59" t="n">
        <v>46269.9372337963</v>
      </c>
      <c r="B1581" s="60" t="s">
        <v>1820</v>
      </c>
      <c r="C1581" s="60" t="n">
        <v>28928368</v>
      </c>
      <c r="D1581" s="60" t="s">
        <v>221</v>
      </c>
      <c r="E1581" s="60" t="s">
        <v>24</v>
      </c>
      <c r="F1581" s="60" t="s">
        <v>235</v>
      </c>
      <c r="G1581" s="60" t="n">
        <v>48.3</v>
      </c>
      <c r="H1581" s="61" t="n">
        <v>459.69</v>
      </c>
      <c r="I1581" s="61" t="n">
        <v>77.7</v>
      </c>
      <c r="J1581" s="61" t="n">
        <f aca="false">H1581*Resumo!$C$6</f>
        <v>0</v>
      </c>
      <c r="K1581" s="61" t="n">
        <f aca="false">H1581*Resumo!$C$7</f>
        <v>0.965349</v>
      </c>
      <c r="L1581" s="61" t="n">
        <f aca="false">H1581*Resumo!$C$8</f>
        <v>0.965349</v>
      </c>
      <c r="M1581" s="61" t="n">
        <f aca="false">Resumo!$C$10*CEILING(G1581/100,1)</f>
        <v>1.05</v>
      </c>
      <c r="N1581" s="61" t="n">
        <f aca="false">Resumo!$C$9</f>
        <v>0</v>
      </c>
      <c r="O1581" s="61" t="n">
        <f aca="false">Resumo!$C$13</f>
        <v>13.55</v>
      </c>
      <c r="P1581" s="61" t="n">
        <f aca="false">Resumo!$C$14*CEILING(G1581,1)</f>
        <v>22.05</v>
      </c>
      <c r="Q1581" s="61" t="n">
        <f aca="false">SUM(I1581:P1581)*Resumo!$C$11</f>
        <v>0</v>
      </c>
      <c r="R1581" s="61" t="n">
        <f aca="false">SUM(I1581:Q1581)</f>
        <v>116.280698</v>
      </c>
      <c r="S1581" s="61" t="n">
        <f aca="false">R1581/(1-Resumo!$C$5)</f>
        <v>132.137156818182</v>
      </c>
      <c r="T1581" s="61" t="n">
        <v>129.29</v>
      </c>
      <c r="U1581" s="61" t="n">
        <f aca="false">H1581*Resumo!$B$6</f>
        <v>0.45969</v>
      </c>
      <c r="V1581" s="61" t="n">
        <f aca="false">H1581*Resumo!$B$7</f>
        <v>0.91938</v>
      </c>
      <c r="W1581" s="61" t="n">
        <f aca="false">Resumo!$B$9</f>
        <v>1</v>
      </c>
      <c r="X1581" s="61" t="n">
        <f aca="false">Resumo!$B$10*CEILING(G1581/100,1)</f>
        <v>4.5</v>
      </c>
      <c r="Y1581" s="61" t="n">
        <f aca="false">Resumo!$B$12*CEILING(G1581,1)</f>
        <v>2.94</v>
      </c>
      <c r="Z1581" s="61" t="n">
        <f aca="false">Resumo!$B$14*CEILING(G1581,1)</f>
        <v>22.05</v>
      </c>
      <c r="AA1581" s="61" t="n">
        <f aca="false">SUM(T1581:Z1581)</f>
        <v>161.15907</v>
      </c>
      <c r="AB1581" s="61" t="n">
        <f aca="false">AA1581/(1-Resumo!$B$5)</f>
        <v>183.135306818182</v>
      </c>
      <c r="AC1581" s="61" t="n">
        <f aca="false">AB1581-S1581</f>
        <v>50.99815</v>
      </c>
      <c r="AD1581" s="62" t="n">
        <f aca="false">AB1581/S1581-1</f>
        <v>0.385948594839016</v>
      </c>
      <c r="AE1581" s="60" t="str">
        <f aca="false">IF(AB1581&lt;S1581,"SIM","NÃO")</f>
        <v>NÃO</v>
      </c>
      <c r="AF1581" s="60" t="n">
        <v>13</v>
      </c>
      <c r="AG1581" s="60" t="n">
        <v>10</v>
      </c>
      <c r="AH1581" s="60" t="s">
        <v>382</v>
      </c>
      <c r="AI1581" s="61" t="n">
        <f aca="false">(T1581*(1-Painel!$C$40)+U1581+V1581+Painel!$C$41+Painel!$C$42*CEILING(G1581/100,1)+Painel!$C$43*CEILING(G1581,1)+Z1581)/(1-Resumo!$B$5)</f>
        <v>127.390193181818</v>
      </c>
      <c r="AJ1581" s="60" t="str">
        <f aca="false">IF(AI1581&lt;S1581,"SIM","NÃO")</f>
        <v>SIM</v>
      </c>
    </row>
    <row r="1582" customFormat="false" ht="15" hidden="false" customHeight="false" outlineLevel="0" collapsed="false">
      <c r="A1582" s="59" t="n">
        <v>46269.9689699074</v>
      </c>
      <c r="B1582" s="60" t="s">
        <v>1821</v>
      </c>
      <c r="C1582" s="60" t="n">
        <v>21775420</v>
      </c>
      <c r="D1582" s="60" t="s">
        <v>46</v>
      </c>
      <c r="E1582" s="60" t="s">
        <v>22</v>
      </c>
      <c r="F1582" s="60" t="s">
        <v>234</v>
      </c>
      <c r="G1582" s="60" t="n">
        <v>36.8</v>
      </c>
      <c r="H1582" s="61" t="n">
        <v>431.64</v>
      </c>
      <c r="I1582" s="61" t="n">
        <v>48.35</v>
      </c>
      <c r="J1582" s="61" t="n">
        <f aca="false">H1582*Resumo!$C$6</f>
        <v>0</v>
      </c>
      <c r="K1582" s="61" t="n">
        <f aca="false">H1582*Resumo!$C$7</f>
        <v>0.906444</v>
      </c>
      <c r="L1582" s="61" t="n">
        <f aca="false">H1582*Resumo!$C$8</f>
        <v>0.906444</v>
      </c>
      <c r="M1582" s="61" t="n">
        <f aca="false">Resumo!$C$10*CEILING(G1582/100,1)</f>
        <v>1.05</v>
      </c>
      <c r="N1582" s="61" t="n">
        <f aca="false">Resumo!$C$9</f>
        <v>0</v>
      </c>
      <c r="O1582" s="61" t="n">
        <f aca="false">Resumo!$C$13</f>
        <v>13.55</v>
      </c>
      <c r="P1582" s="61" t="n">
        <f aca="false">Resumo!$C$14*CEILING(G1582,1)</f>
        <v>16.65</v>
      </c>
      <c r="Q1582" s="61" t="n">
        <f aca="false">SUM(I1582:P1582)*Resumo!$C$11</f>
        <v>0</v>
      </c>
      <c r="R1582" s="61" t="n">
        <f aca="false">SUM(I1582:Q1582)</f>
        <v>81.412888</v>
      </c>
      <c r="S1582" s="61" t="n">
        <f aca="false">R1582/(1-Resumo!$C$5)</f>
        <v>92.5146454545455</v>
      </c>
      <c r="T1582" s="61" t="n">
        <v>93.97</v>
      </c>
      <c r="U1582" s="61" t="n">
        <f aca="false">H1582*Resumo!$B$6</f>
        <v>0.43164</v>
      </c>
      <c r="V1582" s="61" t="n">
        <f aca="false">H1582*Resumo!$B$7</f>
        <v>0.86328</v>
      </c>
      <c r="W1582" s="61" t="n">
        <f aca="false">Resumo!$B$9</f>
        <v>1</v>
      </c>
      <c r="X1582" s="61" t="n">
        <f aca="false">Resumo!$B$10*CEILING(G1582/100,1)</f>
        <v>4.5</v>
      </c>
      <c r="Y1582" s="61" t="n">
        <f aca="false">Resumo!$B$12*CEILING(G1582,1)</f>
        <v>2.22</v>
      </c>
      <c r="Z1582" s="61" t="n">
        <f aca="false">Resumo!$B$14*CEILING(G1582,1)</f>
        <v>16.65</v>
      </c>
      <c r="AA1582" s="61" t="n">
        <f aca="false">SUM(T1582:Z1582)</f>
        <v>119.63492</v>
      </c>
      <c r="AB1582" s="61" t="n">
        <f aca="false">AA1582/(1-Resumo!$B$5)</f>
        <v>135.948772727273</v>
      </c>
      <c r="AC1582" s="61" t="n">
        <f aca="false">AB1582-S1582</f>
        <v>43.4341272727273</v>
      </c>
      <c r="AD1582" s="62" t="n">
        <f aca="false">AB1582/S1582-1</f>
        <v>0.469483799665724</v>
      </c>
      <c r="AE1582" s="60" t="str">
        <f aca="false">IF(AB1582&lt;S1582,"SIM","NÃO")</f>
        <v>NÃO</v>
      </c>
      <c r="AF1582" s="60" t="n">
        <v>2</v>
      </c>
      <c r="AG1582" s="60" t="n">
        <v>5</v>
      </c>
      <c r="AH1582" s="60" t="s">
        <v>382</v>
      </c>
      <c r="AI1582" s="61" t="n">
        <f aca="false">(T1582*(1-Painel!$C$40)+U1582+V1582+Painel!$C$41+Painel!$C$42*CEILING(G1582/100,1)+Painel!$C$43*CEILING(G1582,1)+Z1582)/(1-Resumo!$B$5)</f>
        <v>94.2668409090909</v>
      </c>
      <c r="AJ1582" s="60" t="str">
        <f aca="false">IF(AI1582&lt;S1582,"SIM","NÃO")</f>
        <v>NÃO</v>
      </c>
    </row>
    <row r="1583" customFormat="false" ht="15" hidden="false" customHeight="false" outlineLevel="0" collapsed="false">
      <c r="A1583" s="59" t="n">
        <v>46270.0036574074</v>
      </c>
      <c r="B1583" s="60" t="s">
        <v>1822</v>
      </c>
      <c r="C1583" s="60" t="n">
        <v>21044550</v>
      </c>
      <c r="D1583" s="60" t="s">
        <v>46</v>
      </c>
      <c r="E1583" s="60" t="s">
        <v>22</v>
      </c>
      <c r="F1583" s="60" t="s">
        <v>237</v>
      </c>
      <c r="G1583" s="60" t="n">
        <v>65.1</v>
      </c>
      <c r="H1583" s="61" t="n">
        <v>718.95</v>
      </c>
      <c r="I1583" s="61" t="n">
        <v>63.21</v>
      </c>
      <c r="J1583" s="61" t="n">
        <f aca="false">H1583*Resumo!$C$6</f>
        <v>0</v>
      </c>
      <c r="K1583" s="61" t="n">
        <f aca="false">H1583*Resumo!$C$7</f>
        <v>1.509795</v>
      </c>
      <c r="L1583" s="61" t="n">
        <f aca="false">H1583*Resumo!$C$8</f>
        <v>1.509795</v>
      </c>
      <c r="M1583" s="61" t="n">
        <f aca="false">Resumo!$C$10*CEILING(G1583/100,1)</f>
        <v>1.05</v>
      </c>
      <c r="N1583" s="61" t="n">
        <f aca="false">Resumo!$C$9</f>
        <v>0</v>
      </c>
      <c r="O1583" s="61" t="n">
        <f aca="false">Resumo!$C$13</f>
        <v>13.55</v>
      </c>
      <c r="P1583" s="61" t="n">
        <f aca="false">Resumo!$C$14*CEILING(G1583,1)</f>
        <v>29.7</v>
      </c>
      <c r="Q1583" s="61" t="n">
        <f aca="false">SUM(I1583:P1583)*Resumo!$C$11</f>
        <v>0</v>
      </c>
      <c r="R1583" s="61" t="n">
        <f aca="false">SUM(I1583:Q1583)</f>
        <v>110.52959</v>
      </c>
      <c r="S1583" s="61" t="n">
        <f aca="false">R1583/(1-Resumo!$C$5)</f>
        <v>125.601806818182</v>
      </c>
      <c r="T1583" s="61" t="n">
        <v>131.02</v>
      </c>
      <c r="U1583" s="61" t="n">
        <f aca="false">H1583*Resumo!$B$6</f>
        <v>0.71895</v>
      </c>
      <c r="V1583" s="61" t="n">
        <f aca="false">H1583*Resumo!$B$7</f>
        <v>1.4379</v>
      </c>
      <c r="W1583" s="61" t="n">
        <f aca="false">Resumo!$B$9</f>
        <v>1</v>
      </c>
      <c r="X1583" s="61" t="n">
        <f aca="false">Resumo!$B$10*CEILING(G1583/100,1)</f>
        <v>4.5</v>
      </c>
      <c r="Y1583" s="61" t="n">
        <f aca="false">Resumo!$B$12*CEILING(G1583,1)</f>
        <v>3.96</v>
      </c>
      <c r="Z1583" s="61" t="n">
        <f aca="false">Resumo!$B$14*CEILING(G1583,1)</f>
        <v>29.7</v>
      </c>
      <c r="AA1583" s="61" t="n">
        <f aca="false">SUM(T1583:Z1583)</f>
        <v>172.33685</v>
      </c>
      <c r="AB1583" s="61" t="n">
        <f aca="false">AA1583/(1-Resumo!$B$5)</f>
        <v>195.837329545455</v>
      </c>
      <c r="AC1583" s="61" t="n">
        <f aca="false">AB1583-S1583</f>
        <v>70.2355227272727</v>
      </c>
      <c r="AD1583" s="62" t="n">
        <f aca="false">AB1583/S1583-1</f>
        <v>0.559191977460515</v>
      </c>
      <c r="AE1583" s="60" t="str">
        <f aca="false">IF(AB1583&lt;S1583,"SIM","NÃO")</f>
        <v>NÃO</v>
      </c>
      <c r="AF1583" s="60" t="n">
        <v>2</v>
      </c>
      <c r="AG1583" s="60" t="n">
        <v>5</v>
      </c>
      <c r="AH1583" s="60" t="s">
        <v>382</v>
      </c>
      <c r="AI1583" s="61" t="n">
        <f aca="false">(T1583*(1-Painel!$C$40)+U1583+V1583+Painel!$C$41+Painel!$C$42*CEILING(G1583/100,1)+Painel!$C$43*CEILING(G1583,1)+Z1583)/(1-Resumo!$B$5)</f>
        <v>138.284375</v>
      </c>
      <c r="AJ1583" s="60" t="str">
        <f aca="false">IF(AI1583&lt;S1583,"SIM","NÃO")</f>
        <v>NÃO</v>
      </c>
    </row>
    <row r="1584" customFormat="false" ht="15" hidden="false" customHeight="false" outlineLevel="0" collapsed="false">
      <c r="A1584" s="59" t="n">
        <v>46270.3630439815</v>
      </c>
      <c r="B1584" s="60" t="s">
        <v>1823</v>
      </c>
      <c r="C1584" s="60" t="n">
        <v>28920225</v>
      </c>
      <c r="D1584" s="60" t="s">
        <v>221</v>
      </c>
      <c r="E1584" s="60" t="s">
        <v>24</v>
      </c>
      <c r="F1584" s="60" t="s">
        <v>236</v>
      </c>
      <c r="G1584" s="60" t="n">
        <v>59.9</v>
      </c>
      <c r="H1584" s="61" t="n">
        <v>944.56</v>
      </c>
      <c r="I1584" s="61" t="n">
        <v>83.58</v>
      </c>
      <c r="J1584" s="61" t="n">
        <f aca="false">H1584*Resumo!$C$6</f>
        <v>0</v>
      </c>
      <c r="K1584" s="61" t="n">
        <f aca="false">H1584*Resumo!$C$7</f>
        <v>1.983576</v>
      </c>
      <c r="L1584" s="61" t="n">
        <f aca="false">H1584*Resumo!$C$8</f>
        <v>1.983576</v>
      </c>
      <c r="M1584" s="61" t="n">
        <f aca="false">Resumo!$C$10*CEILING(G1584/100,1)</f>
        <v>1.05</v>
      </c>
      <c r="N1584" s="61" t="n">
        <f aca="false">Resumo!$C$9</f>
        <v>0</v>
      </c>
      <c r="O1584" s="61" t="n">
        <f aca="false">Resumo!$C$13</f>
        <v>13.55</v>
      </c>
      <c r="P1584" s="61" t="n">
        <f aca="false">Resumo!$C$14*CEILING(G1584,1)</f>
        <v>27</v>
      </c>
      <c r="Q1584" s="61" t="n">
        <f aca="false">SUM(I1584:P1584)*Resumo!$C$11</f>
        <v>0</v>
      </c>
      <c r="R1584" s="61" t="n">
        <f aca="false">SUM(I1584:Q1584)</f>
        <v>129.147152</v>
      </c>
      <c r="S1584" s="61" t="n">
        <f aca="false">R1584/(1-Resumo!$C$5)</f>
        <v>146.758127272727</v>
      </c>
      <c r="T1584" s="61" t="n">
        <v>142.32</v>
      </c>
      <c r="U1584" s="61" t="n">
        <f aca="false">H1584*Resumo!$B$6</f>
        <v>0.94456</v>
      </c>
      <c r="V1584" s="61" t="n">
        <f aca="false">H1584*Resumo!$B$7</f>
        <v>1.88912</v>
      </c>
      <c r="W1584" s="61" t="n">
        <f aca="false">Resumo!$B$9</f>
        <v>1</v>
      </c>
      <c r="X1584" s="61" t="n">
        <f aca="false">Resumo!$B$10*CEILING(G1584/100,1)</f>
        <v>4.5</v>
      </c>
      <c r="Y1584" s="61" t="n">
        <f aca="false">Resumo!$B$12*CEILING(G1584,1)</f>
        <v>3.6</v>
      </c>
      <c r="Z1584" s="61" t="n">
        <f aca="false">Resumo!$B$14*CEILING(G1584,1)</f>
        <v>27</v>
      </c>
      <c r="AA1584" s="61" t="n">
        <f aca="false">SUM(T1584:Z1584)</f>
        <v>181.25368</v>
      </c>
      <c r="AB1584" s="61" t="n">
        <f aca="false">AA1584/(1-Resumo!$B$5)</f>
        <v>205.970090909091</v>
      </c>
      <c r="AC1584" s="61" t="n">
        <f aca="false">AB1584-S1584</f>
        <v>59.2119636363636</v>
      </c>
      <c r="AD1584" s="62" t="n">
        <f aca="false">AB1584/S1584-1</f>
        <v>0.403466334278901</v>
      </c>
      <c r="AE1584" s="60" t="str">
        <f aca="false">IF(AB1584&lt;S1584,"SIM","NÃO")</f>
        <v>NÃO</v>
      </c>
      <c r="AF1584" s="60" t="n">
        <v>13</v>
      </c>
      <c r="AG1584" s="60" t="n">
        <v>10</v>
      </c>
      <c r="AH1584" s="60" t="s">
        <v>382</v>
      </c>
      <c r="AI1584" s="61" t="n">
        <f aca="false">(T1584*(1-Painel!$C$40)+U1584+V1584+Painel!$C$41+Painel!$C$42*CEILING(G1584/100,1)+Painel!$C$43*CEILING(G1584,1)+Z1584)/(1-Resumo!$B$5)</f>
        <v>144.588727272727</v>
      </c>
      <c r="AJ1584" s="60" t="str">
        <f aca="false">IF(AI1584&lt;S1584,"SIM","NÃO")</f>
        <v>SIM</v>
      </c>
    </row>
    <row r="1585" customFormat="false" ht="15" hidden="false" customHeight="false" outlineLevel="0" collapsed="false">
      <c r="A1585" s="59" t="n">
        <v>46270.4415393519</v>
      </c>
      <c r="B1585" s="60" t="s">
        <v>517</v>
      </c>
      <c r="C1585" s="60" t="n">
        <v>28660000</v>
      </c>
      <c r="D1585" s="60" t="s">
        <v>328</v>
      </c>
      <c r="E1585" s="60" t="s">
        <v>24</v>
      </c>
      <c r="F1585" s="60" t="s">
        <v>233</v>
      </c>
      <c r="G1585" s="60" t="n">
        <v>22.4</v>
      </c>
      <c r="H1585" s="61" t="n">
        <v>489.69</v>
      </c>
      <c r="I1585" s="61" t="n">
        <v>65.63</v>
      </c>
      <c r="J1585" s="61" t="n">
        <f aca="false">H1585*Resumo!$C$6</f>
        <v>0</v>
      </c>
      <c r="K1585" s="61" t="n">
        <f aca="false">H1585*Resumo!$C$7</f>
        <v>1.028349</v>
      </c>
      <c r="L1585" s="61" t="n">
        <f aca="false">H1585*Resumo!$C$8</f>
        <v>1.028349</v>
      </c>
      <c r="M1585" s="61" t="n">
        <f aca="false">Resumo!$C$10*CEILING(G1585/100,1)</f>
        <v>1.05</v>
      </c>
      <c r="N1585" s="61" t="n">
        <f aca="false">Resumo!$C$9</f>
        <v>0</v>
      </c>
      <c r="O1585" s="61" t="n">
        <f aca="false">Resumo!$C$13</f>
        <v>13.55</v>
      </c>
      <c r="P1585" s="61" t="n">
        <f aca="false">Resumo!$C$14*CEILING(G1585,1)</f>
        <v>10.35</v>
      </c>
      <c r="Q1585" s="61" t="n">
        <f aca="false">SUM(I1585:P1585)*Resumo!$C$11</f>
        <v>0</v>
      </c>
      <c r="R1585" s="61" t="n">
        <f aca="false">SUM(I1585:Q1585)</f>
        <v>92.636698</v>
      </c>
      <c r="S1585" s="61" t="n">
        <f aca="false">R1585/(1-Resumo!$C$5)</f>
        <v>105.268975</v>
      </c>
      <c r="T1585" s="61" t="n">
        <v>120.78</v>
      </c>
      <c r="U1585" s="61" t="n">
        <f aca="false">H1585*Resumo!$B$6</f>
        <v>0.48969</v>
      </c>
      <c r="V1585" s="61" t="n">
        <f aca="false">H1585*Resumo!$B$7</f>
        <v>0.97938</v>
      </c>
      <c r="W1585" s="61" t="n">
        <f aca="false">Resumo!$B$9</f>
        <v>1</v>
      </c>
      <c r="X1585" s="61" t="n">
        <f aca="false">Resumo!$B$10*CEILING(G1585/100,1)</f>
        <v>4.5</v>
      </c>
      <c r="Y1585" s="61" t="n">
        <f aca="false">Resumo!$B$12*CEILING(G1585,1)</f>
        <v>1.38</v>
      </c>
      <c r="Z1585" s="61" t="n">
        <f aca="false">Resumo!$B$14*CEILING(G1585,1)</f>
        <v>10.35</v>
      </c>
      <c r="AA1585" s="61" t="n">
        <f aca="false">SUM(T1585:Z1585)</f>
        <v>139.47907</v>
      </c>
      <c r="AB1585" s="61" t="n">
        <f aca="false">AA1585/(1-Resumo!$B$5)</f>
        <v>158.498943181818</v>
      </c>
      <c r="AC1585" s="61" t="n">
        <f aca="false">AB1585-S1585</f>
        <v>53.2299681818182</v>
      </c>
      <c r="AD1585" s="62" t="n">
        <f aca="false">AB1585/S1585-1</f>
        <v>0.505656753870912</v>
      </c>
      <c r="AE1585" s="60" t="str">
        <f aca="false">IF(AB1585&lt;S1585,"SIM","NÃO")</f>
        <v>NÃO</v>
      </c>
      <c r="AF1585" s="60" t="n">
        <v>13</v>
      </c>
      <c r="AG1585" s="60" t="n">
        <v>10</v>
      </c>
      <c r="AH1585" s="60" t="s">
        <v>385</v>
      </c>
      <c r="AI1585" s="61" t="n">
        <f aca="false">(T1585*(1-Painel!$C$40)+U1585+V1585+Painel!$C$41+Painel!$C$42*CEILING(G1585/100,1)+Painel!$C$43*CEILING(G1585,1)+Z1585)/(1-Resumo!$B$5)</f>
        <v>107.717806818182</v>
      </c>
      <c r="AJ1585" s="60" t="str">
        <f aca="false">IF(AI1585&lt;S1585,"SIM","NÃO")</f>
        <v>NÃO</v>
      </c>
    </row>
    <row r="1586" customFormat="false" ht="15" hidden="false" customHeight="false" outlineLevel="0" collapsed="false">
      <c r="A1586" s="59" t="n">
        <v>46270.5257060185</v>
      </c>
      <c r="B1586" s="60" t="s">
        <v>1824</v>
      </c>
      <c r="C1586" s="60" t="n">
        <v>23935105</v>
      </c>
      <c r="D1586" s="60" t="s">
        <v>218</v>
      </c>
      <c r="E1586" s="60" t="s">
        <v>24</v>
      </c>
      <c r="F1586" s="60" t="s">
        <v>236</v>
      </c>
      <c r="G1586" s="60" t="n">
        <v>51</v>
      </c>
      <c r="H1586" s="61" t="n">
        <v>793.98</v>
      </c>
      <c r="I1586" s="61" t="n">
        <v>83.58</v>
      </c>
      <c r="J1586" s="61" t="n">
        <f aca="false">H1586*Resumo!$C$6</f>
        <v>0</v>
      </c>
      <c r="K1586" s="61" t="n">
        <f aca="false">H1586*Resumo!$C$7</f>
        <v>1.667358</v>
      </c>
      <c r="L1586" s="61" t="n">
        <f aca="false">H1586*Resumo!$C$8</f>
        <v>1.667358</v>
      </c>
      <c r="M1586" s="61" t="n">
        <f aca="false">Resumo!$C$10*CEILING(G1586/100,1)</f>
        <v>1.05</v>
      </c>
      <c r="N1586" s="61" t="n">
        <f aca="false">Resumo!$C$9</f>
        <v>0</v>
      </c>
      <c r="O1586" s="61" t="n">
        <f aca="false">Resumo!$C$13</f>
        <v>13.55</v>
      </c>
      <c r="P1586" s="61" t="n">
        <f aca="false">Resumo!$C$14*CEILING(G1586,1)</f>
        <v>22.95</v>
      </c>
      <c r="Q1586" s="61" t="n">
        <f aca="false">SUM(I1586:P1586)*Resumo!$C$11</f>
        <v>0</v>
      </c>
      <c r="R1586" s="61" t="n">
        <f aca="false">SUM(I1586:Q1586)</f>
        <v>124.464716</v>
      </c>
      <c r="S1586" s="61" t="n">
        <f aca="false">R1586/(1-Resumo!$C$5)</f>
        <v>141.437177272727</v>
      </c>
      <c r="T1586" s="61" t="n">
        <v>142.32</v>
      </c>
      <c r="U1586" s="61" t="n">
        <f aca="false">H1586*Resumo!$B$6</f>
        <v>0.79398</v>
      </c>
      <c r="V1586" s="61" t="n">
        <f aca="false">H1586*Resumo!$B$7</f>
        <v>1.58796</v>
      </c>
      <c r="W1586" s="61" t="n">
        <f aca="false">Resumo!$B$9</f>
        <v>1</v>
      </c>
      <c r="X1586" s="61" t="n">
        <f aca="false">Resumo!$B$10*CEILING(G1586/100,1)</f>
        <v>4.5</v>
      </c>
      <c r="Y1586" s="61" t="n">
        <f aca="false">Resumo!$B$12*CEILING(G1586,1)</f>
        <v>3.06</v>
      </c>
      <c r="Z1586" s="61" t="n">
        <f aca="false">Resumo!$B$14*CEILING(G1586,1)</f>
        <v>22.95</v>
      </c>
      <c r="AA1586" s="61" t="n">
        <f aca="false">SUM(T1586:Z1586)</f>
        <v>176.21194</v>
      </c>
      <c r="AB1586" s="61" t="n">
        <f aca="false">AA1586/(1-Resumo!$B$5)</f>
        <v>200.240840909091</v>
      </c>
      <c r="AC1586" s="61" t="n">
        <f aca="false">AB1586-S1586</f>
        <v>58.8036636363636</v>
      </c>
      <c r="AD1586" s="62" t="n">
        <f aca="false">AB1586/S1586-1</f>
        <v>0.415758181619922</v>
      </c>
      <c r="AE1586" s="60" t="str">
        <f aca="false">IF(AB1586&lt;S1586,"SIM","NÃO")</f>
        <v>NÃO</v>
      </c>
      <c r="AF1586" s="60" t="n">
        <v>13</v>
      </c>
      <c r="AG1586" s="60" t="n">
        <v>10</v>
      </c>
      <c r="AH1586" s="60" t="s">
        <v>382</v>
      </c>
      <c r="AI1586" s="61" t="n">
        <f aca="false">(T1586*(1-Painel!$C$40)+U1586+V1586+Painel!$C$41+Painel!$C$42*CEILING(G1586/100,1)+Painel!$C$43*CEILING(G1586,1)+Z1586)/(1-Resumo!$B$5)</f>
        <v>139.473113636364</v>
      </c>
      <c r="AJ1586" s="60" t="str">
        <f aca="false">IF(AI1586&lt;S1586,"SIM","NÃO")</f>
        <v>SIM</v>
      </c>
    </row>
    <row r="1587" customFormat="false" ht="15" hidden="false" customHeight="false" outlineLevel="0" collapsed="false">
      <c r="A1587" s="59" t="n">
        <v>46270.6068518519</v>
      </c>
      <c r="B1587" s="60" t="s">
        <v>1825</v>
      </c>
      <c r="C1587" s="60" t="n">
        <v>23047530</v>
      </c>
      <c r="D1587" s="60" t="s">
        <v>46</v>
      </c>
      <c r="E1587" s="60" t="s">
        <v>22</v>
      </c>
      <c r="F1587" s="60" t="s">
        <v>237</v>
      </c>
      <c r="G1587" s="60" t="n">
        <v>69</v>
      </c>
      <c r="H1587" s="61" t="n">
        <v>959.99</v>
      </c>
      <c r="I1587" s="61" t="n">
        <v>63.21</v>
      </c>
      <c r="J1587" s="61" t="n">
        <f aca="false">H1587*Resumo!$C$6</f>
        <v>0</v>
      </c>
      <c r="K1587" s="61" t="n">
        <f aca="false">H1587*Resumo!$C$7</f>
        <v>2.015979</v>
      </c>
      <c r="L1587" s="61" t="n">
        <f aca="false">H1587*Resumo!$C$8</f>
        <v>2.015979</v>
      </c>
      <c r="M1587" s="61" t="n">
        <f aca="false">Resumo!$C$10*CEILING(G1587/100,1)</f>
        <v>1.05</v>
      </c>
      <c r="N1587" s="61" t="n">
        <f aca="false">Resumo!$C$9</f>
        <v>0</v>
      </c>
      <c r="O1587" s="61" t="n">
        <f aca="false">Resumo!$C$13</f>
        <v>13.55</v>
      </c>
      <c r="P1587" s="61" t="n">
        <f aca="false">Resumo!$C$14*CEILING(G1587,1)</f>
        <v>31.05</v>
      </c>
      <c r="Q1587" s="61" t="n">
        <f aca="false">SUM(I1587:P1587)*Resumo!$C$11</f>
        <v>0</v>
      </c>
      <c r="R1587" s="61" t="n">
        <f aca="false">SUM(I1587:Q1587)</f>
        <v>112.891958</v>
      </c>
      <c r="S1587" s="61" t="n">
        <f aca="false">R1587/(1-Resumo!$C$5)</f>
        <v>128.286315909091</v>
      </c>
      <c r="T1587" s="61" t="n">
        <v>131.02</v>
      </c>
      <c r="U1587" s="61" t="n">
        <f aca="false">H1587*Resumo!$B$6</f>
        <v>0.95999</v>
      </c>
      <c r="V1587" s="61" t="n">
        <f aca="false">H1587*Resumo!$B$7</f>
        <v>1.91998</v>
      </c>
      <c r="W1587" s="61" t="n">
        <f aca="false">Resumo!$B$9</f>
        <v>1</v>
      </c>
      <c r="X1587" s="61" t="n">
        <f aca="false">Resumo!$B$10*CEILING(G1587/100,1)</f>
        <v>4.5</v>
      </c>
      <c r="Y1587" s="61" t="n">
        <f aca="false">Resumo!$B$12*CEILING(G1587,1)</f>
        <v>4.14</v>
      </c>
      <c r="Z1587" s="61" t="n">
        <f aca="false">Resumo!$B$14*CEILING(G1587,1)</f>
        <v>31.05</v>
      </c>
      <c r="AA1587" s="61" t="n">
        <f aca="false">SUM(T1587:Z1587)</f>
        <v>174.58997</v>
      </c>
      <c r="AB1587" s="61" t="n">
        <f aca="false">AA1587/(1-Resumo!$B$5)</f>
        <v>198.397693181818</v>
      </c>
      <c r="AC1587" s="61" t="n">
        <f aca="false">AB1587-S1587</f>
        <v>70.1113772727273</v>
      </c>
      <c r="AD1587" s="62" t="n">
        <f aca="false">AB1587/S1587-1</f>
        <v>0.546522649558439</v>
      </c>
      <c r="AE1587" s="60" t="str">
        <f aca="false">IF(AB1587&lt;S1587,"SIM","NÃO")</f>
        <v>NÃO</v>
      </c>
      <c r="AF1587" s="60" t="n">
        <v>2</v>
      </c>
      <c r="AG1587" s="60" t="n">
        <v>5</v>
      </c>
      <c r="AH1587" s="60" t="s">
        <v>382</v>
      </c>
      <c r="AI1587" s="61" t="n">
        <f aca="false">(T1587*(1-Painel!$C$40)+U1587+V1587+Painel!$C$41+Painel!$C$42*CEILING(G1587/100,1)+Painel!$C$43*CEILING(G1587,1)+Z1587)/(1-Resumo!$B$5)</f>
        <v>140.640193181818</v>
      </c>
      <c r="AJ1587" s="60" t="str">
        <f aca="false">IF(AI1587&lt;S1587,"SIM","NÃO")</f>
        <v>NÃO</v>
      </c>
    </row>
    <row r="1588" customFormat="false" ht="15" hidden="false" customHeight="false" outlineLevel="0" collapsed="false">
      <c r="A1588" s="59" t="n">
        <v>46270.6228819444</v>
      </c>
      <c r="B1588" s="60" t="s">
        <v>1826</v>
      </c>
      <c r="C1588" s="60" t="n">
        <v>22221140</v>
      </c>
      <c r="D1588" s="60" t="s">
        <v>46</v>
      </c>
      <c r="E1588" s="60" t="s">
        <v>22</v>
      </c>
      <c r="F1588" s="60" t="s">
        <v>233</v>
      </c>
      <c r="G1588" s="60" t="n">
        <v>27</v>
      </c>
      <c r="H1588" s="61" t="n">
        <v>339.99</v>
      </c>
      <c r="I1588" s="61" t="n">
        <v>42.11</v>
      </c>
      <c r="J1588" s="61" t="n">
        <f aca="false">H1588*Resumo!$C$6</f>
        <v>0</v>
      </c>
      <c r="K1588" s="61" t="n">
        <f aca="false">H1588*Resumo!$C$7</f>
        <v>0.713979</v>
      </c>
      <c r="L1588" s="61" t="n">
        <f aca="false">H1588*Resumo!$C$8</f>
        <v>0.713979</v>
      </c>
      <c r="M1588" s="61" t="n">
        <f aca="false">Resumo!$C$10*CEILING(G1588/100,1)</f>
        <v>1.05</v>
      </c>
      <c r="N1588" s="61" t="n">
        <f aca="false">Resumo!$C$9</f>
        <v>0</v>
      </c>
      <c r="O1588" s="61" t="n">
        <f aca="false">Resumo!$C$13</f>
        <v>13.55</v>
      </c>
      <c r="P1588" s="61" t="n">
        <f aca="false">Resumo!$C$14*CEILING(G1588,1)</f>
        <v>12.15</v>
      </c>
      <c r="Q1588" s="61" t="n">
        <f aca="false">SUM(I1588:P1588)*Resumo!$C$11</f>
        <v>0</v>
      </c>
      <c r="R1588" s="61" t="n">
        <f aca="false">SUM(I1588:Q1588)</f>
        <v>70.287958</v>
      </c>
      <c r="S1588" s="61" t="n">
        <f aca="false">R1588/(1-Resumo!$C$5)</f>
        <v>79.8726795454546</v>
      </c>
      <c r="T1588" s="61" t="n">
        <v>82.21</v>
      </c>
      <c r="U1588" s="61" t="n">
        <f aca="false">H1588*Resumo!$B$6</f>
        <v>0.33999</v>
      </c>
      <c r="V1588" s="61" t="n">
        <f aca="false">H1588*Resumo!$B$7</f>
        <v>0.67998</v>
      </c>
      <c r="W1588" s="61" t="n">
        <f aca="false">Resumo!$B$9</f>
        <v>1</v>
      </c>
      <c r="X1588" s="61" t="n">
        <f aca="false">Resumo!$B$10*CEILING(G1588/100,1)</f>
        <v>4.5</v>
      </c>
      <c r="Y1588" s="61" t="n">
        <f aca="false">Resumo!$B$12*CEILING(G1588,1)</f>
        <v>1.62</v>
      </c>
      <c r="Z1588" s="61" t="n">
        <f aca="false">Resumo!$B$14*CEILING(G1588,1)</f>
        <v>12.15</v>
      </c>
      <c r="AA1588" s="61" t="n">
        <f aca="false">SUM(T1588:Z1588)</f>
        <v>102.49997</v>
      </c>
      <c r="AB1588" s="61" t="n">
        <f aca="false">AA1588/(1-Resumo!$B$5)</f>
        <v>116.477238636364</v>
      </c>
      <c r="AC1588" s="61" t="n">
        <f aca="false">AB1588-S1588</f>
        <v>36.6045590909091</v>
      </c>
      <c r="AD1588" s="62" t="n">
        <f aca="false">AB1588/S1588-1</f>
        <v>0.458286353972611</v>
      </c>
      <c r="AE1588" s="60" t="str">
        <f aca="false">IF(AB1588&lt;S1588,"SIM","NÃO")</f>
        <v>NÃO</v>
      </c>
      <c r="AF1588" s="60" t="n">
        <v>2</v>
      </c>
      <c r="AG1588" s="60" t="n">
        <v>5</v>
      </c>
      <c r="AH1588" s="60" t="s">
        <v>382</v>
      </c>
      <c r="AI1588" s="61" t="n">
        <f aca="false">(T1588*(1-Painel!$C$40)+U1588+V1588+Painel!$C$41+Painel!$C$42*CEILING(G1588/100,1)+Painel!$C$43*CEILING(G1588,1)+Z1588)/(1-Resumo!$B$5)</f>
        <v>79.887125</v>
      </c>
      <c r="AJ1588" s="60" t="str">
        <f aca="false">IF(AI1588&lt;S1588,"SIM","NÃO")</f>
        <v>NÃO</v>
      </c>
    </row>
    <row r="1589" customFormat="false" ht="15" hidden="false" customHeight="false" outlineLevel="0" collapsed="false">
      <c r="A1589" s="59" t="n">
        <v>46270.6863310185</v>
      </c>
      <c r="B1589" s="60" t="s">
        <v>1827</v>
      </c>
      <c r="C1589" s="60" t="n">
        <v>27603051</v>
      </c>
      <c r="D1589" s="60" t="s">
        <v>299</v>
      </c>
      <c r="E1589" s="60" t="s">
        <v>24</v>
      </c>
      <c r="F1589" s="60" t="s">
        <v>241</v>
      </c>
      <c r="G1589" s="60" t="n">
        <v>124.2</v>
      </c>
      <c r="H1589" s="61" t="n">
        <v>1699.99</v>
      </c>
      <c r="I1589" s="61" t="n">
        <v>144.24</v>
      </c>
      <c r="J1589" s="61" t="n">
        <f aca="false">H1589*Resumo!$C$6</f>
        <v>0</v>
      </c>
      <c r="K1589" s="61" t="n">
        <f aca="false">H1589*Resumo!$C$7</f>
        <v>3.569979</v>
      </c>
      <c r="L1589" s="61" t="n">
        <f aca="false">H1589*Resumo!$C$8</f>
        <v>3.569979</v>
      </c>
      <c r="M1589" s="61" t="n">
        <f aca="false">Resumo!$C$10*CEILING(G1589/100,1)</f>
        <v>2.1</v>
      </c>
      <c r="N1589" s="61" t="n">
        <f aca="false">Resumo!$C$9</f>
        <v>0</v>
      </c>
      <c r="O1589" s="61" t="n">
        <f aca="false">Resumo!$C$13</f>
        <v>13.55</v>
      </c>
      <c r="P1589" s="61" t="n">
        <f aca="false">Resumo!$C$14*CEILING(G1589,1)</f>
        <v>56.25</v>
      </c>
      <c r="Q1589" s="61" t="n">
        <f aca="false">SUM(I1589:P1589)*Resumo!$C$11</f>
        <v>0</v>
      </c>
      <c r="R1589" s="61" t="n">
        <f aca="false">SUM(I1589:Q1589)</f>
        <v>223.279958</v>
      </c>
      <c r="S1589" s="61" t="n">
        <f aca="false">R1589/(1-Resumo!$C$5)</f>
        <v>253.727225</v>
      </c>
      <c r="T1589" s="61" t="n">
        <v>264.84</v>
      </c>
      <c r="U1589" s="61" t="n">
        <f aca="false">H1589*Resumo!$B$6</f>
        <v>1.69999</v>
      </c>
      <c r="V1589" s="61" t="n">
        <f aca="false">H1589*Resumo!$B$7</f>
        <v>3.39998</v>
      </c>
      <c r="W1589" s="61" t="n">
        <f aca="false">Resumo!$B$9</f>
        <v>1</v>
      </c>
      <c r="X1589" s="61" t="n">
        <f aca="false">Resumo!$B$10*CEILING(G1589/100,1)</f>
        <v>9</v>
      </c>
      <c r="Y1589" s="61" t="n">
        <f aca="false">Resumo!$B$12*CEILING(G1589,1)</f>
        <v>7.5</v>
      </c>
      <c r="Z1589" s="61" t="n">
        <f aca="false">Resumo!$B$14*CEILING(G1589,1)</f>
        <v>56.25</v>
      </c>
      <c r="AA1589" s="61" t="n">
        <f aca="false">SUM(T1589:Z1589)</f>
        <v>343.68997</v>
      </c>
      <c r="AB1589" s="61" t="n">
        <f aca="false">AA1589/(1-Resumo!$B$5)</f>
        <v>390.556784090909</v>
      </c>
      <c r="AC1589" s="61" t="n">
        <f aca="false">AB1589-S1589</f>
        <v>136.829559090909</v>
      </c>
      <c r="AD1589" s="62" t="n">
        <f aca="false">AB1589/S1589-1</f>
        <v>0.539278191730939</v>
      </c>
      <c r="AE1589" s="60" t="str">
        <f aca="false">IF(AB1589&lt;S1589,"SIM","NÃO")</f>
        <v>NÃO</v>
      </c>
      <c r="AF1589" s="60" t="n">
        <v>13</v>
      </c>
      <c r="AG1589" s="60" t="n">
        <v>10</v>
      </c>
      <c r="AH1589" s="60" t="s">
        <v>385</v>
      </c>
      <c r="AI1589" s="61" t="n">
        <f aca="false">(T1589*(1-Painel!$C$40)+U1589+V1589+Painel!$C$41+Painel!$C$42*CEILING(G1589/100,1)+Painel!$C$43*CEILING(G1589,1)+Z1589)/(1-Resumo!$B$5)</f>
        <v>274.878147727273</v>
      </c>
      <c r="AJ1589" s="60" t="str">
        <f aca="false">IF(AI1589&lt;S1589,"SIM","NÃO")</f>
        <v>NÃO</v>
      </c>
    </row>
    <row r="1590" customFormat="false" ht="15" hidden="false" customHeight="false" outlineLevel="0" collapsed="false">
      <c r="A1590" s="59" t="n">
        <v>46270.6887962963</v>
      </c>
      <c r="B1590" s="60" t="s">
        <v>596</v>
      </c>
      <c r="C1590" s="60" t="n">
        <v>23036060</v>
      </c>
      <c r="D1590" s="60" t="s">
        <v>46</v>
      </c>
      <c r="E1590" s="60" t="s">
        <v>22</v>
      </c>
      <c r="F1590" s="60" t="s">
        <v>234</v>
      </c>
      <c r="G1590" s="60" t="n">
        <v>37.6</v>
      </c>
      <c r="H1590" s="61" t="n">
        <v>449.99</v>
      </c>
      <c r="I1590" s="61" t="n">
        <v>48.35</v>
      </c>
      <c r="J1590" s="61" t="n">
        <f aca="false">H1590*Resumo!$C$6</f>
        <v>0</v>
      </c>
      <c r="K1590" s="61" t="n">
        <f aca="false">H1590*Resumo!$C$7</f>
        <v>0.944979</v>
      </c>
      <c r="L1590" s="61" t="n">
        <f aca="false">H1590*Resumo!$C$8</f>
        <v>0.944979</v>
      </c>
      <c r="M1590" s="61" t="n">
        <f aca="false">Resumo!$C$10*CEILING(G1590/100,1)</f>
        <v>1.05</v>
      </c>
      <c r="N1590" s="61" t="n">
        <f aca="false">Resumo!$C$9</f>
        <v>0</v>
      </c>
      <c r="O1590" s="61" t="n">
        <f aca="false">Resumo!$C$13</f>
        <v>13.55</v>
      </c>
      <c r="P1590" s="61" t="n">
        <f aca="false">Resumo!$C$14*CEILING(G1590,1)</f>
        <v>17.1</v>
      </c>
      <c r="Q1590" s="61" t="n">
        <f aca="false">SUM(I1590:P1590)*Resumo!$C$11</f>
        <v>0</v>
      </c>
      <c r="R1590" s="61" t="n">
        <f aca="false">SUM(I1590:Q1590)</f>
        <v>81.939958</v>
      </c>
      <c r="S1590" s="61" t="n">
        <f aca="false">R1590/(1-Resumo!$C$5)</f>
        <v>93.1135886363636</v>
      </c>
      <c r="T1590" s="61" t="n">
        <v>93.97</v>
      </c>
      <c r="U1590" s="61" t="n">
        <f aca="false">H1590*Resumo!$B$6</f>
        <v>0.44999</v>
      </c>
      <c r="V1590" s="61" t="n">
        <f aca="false">H1590*Resumo!$B$7</f>
        <v>0.89998</v>
      </c>
      <c r="W1590" s="61" t="n">
        <f aca="false">Resumo!$B$9</f>
        <v>1</v>
      </c>
      <c r="X1590" s="61" t="n">
        <f aca="false">Resumo!$B$10*CEILING(G1590/100,1)</f>
        <v>4.5</v>
      </c>
      <c r="Y1590" s="61" t="n">
        <f aca="false">Resumo!$B$12*CEILING(G1590,1)</f>
        <v>2.28</v>
      </c>
      <c r="Z1590" s="61" t="n">
        <f aca="false">Resumo!$B$14*CEILING(G1590,1)</f>
        <v>17.1</v>
      </c>
      <c r="AA1590" s="61" t="n">
        <f aca="false">SUM(T1590:Z1590)</f>
        <v>120.19997</v>
      </c>
      <c r="AB1590" s="61" t="n">
        <f aca="false">AA1590/(1-Resumo!$B$5)</f>
        <v>136.590875</v>
      </c>
      <c r="AC1590" s="61" t="n">
        <f aca="false">AB1590-S1590</f>
        <v>43.4772863636364</v>
      </c>
      <c r="AD1590" s="62" t="n">
        <f aca="false">AB1590/S1590-1</f>
        <v>0.466927405552246</v>
      </c>
      <c r="AE1590" s="60" t="str">
        <f aca="false">IF(AB1590&lt;S1590,"SIM","NÃO")</f>
        <v>NÃO</v>
      </c>
      <c r="AF1590" s="60" t="n">
        <v>2</v>
      </c>
      <c r="AG1590" s="60" t="n">
        <v>5</v>
      </c>
      <c r="AH1590" s="60" t="s">
        <v>382</v>
      </c>
      <c r="AI1590" s="61" t="n">
        <f aca="false">(T1590*(1-Painel!$C$40)+U1590+V1590+Painel!$C$41+Painel!$C$42*CEILING(G1590/100,1)+Painel!$C$43*CEILING(G1590,1)+Z1590)/(1-Resumo!$B$5)</f>
        <v>94.8407613636364</v>
      </c>
      <c r="AJ1590" s="60" t="str">
        <f aca="false">IF(AI1590&lt;S1590,"SIM","NÃO")</f>
        <v>NÃO</v>
      </c>
    </row>
    <row r="1591" customFormat="false" ht="15" hidden="false" customHeight="false" outlineLevel="0" collapsed="false">
      <c r="A1591" s="59" t="n">
        <v>46270.6918981482</v>
      </c>
      <c r="B1591" s="60" t="s">
        <v>1828</v>
      </c>
      <c r="C1591" s="60" t="n">
        <v>22783360</v>
      </c>
      <c r="D1591" s="60" t="s">
        <v>46</v>
      </c>
      <c r="E1591" s="60" t="s">
        <v>22</v>
      </c>
      <c r="F1591" s="60" t="s">
        <v>234</v>
      </c>
      <c r="G1591" s="60" t="n">
        <v>38.6</v>
      </c>
      <c r="H1591" s="61" t="n">
        <v>579.99</v>
      </c>
      <c r="I1591" s="61" t="n">
        <v>48.35</v>
      </c>
      <c r="J1591" s="61" t="n">
        <f aca="false">H1591*Resumo!$C$6</f>
        <v>0</v>
      </c>
      <c r="K1591" s="61" t="n">
        <f aca="false">H1591*Resumo!$C$7</f>
        <v>1.217979</v>
      </c>
      <c r="L1591" s="61" t="n">
        <f aca="false">H1591*Resumo!$C$8</f>
        <v>1.217979</v>
      </c>
      <c r="M1591" s="61" t="n">
        <f aca="false">Resumo!$C$10*CEILING(G1591/100,1)</f>
        <v>1.05</v>
      </c>
      <c r="N1591" s="61" t="n">
        <f aca="false">Resumo!$C$9</f>
        <v>0</v>
      </c>
      <c r="O1591" s="61" t="n">
        <f aca="false">Resumo!$C$13</f>
        <v>13.55</v>
      </c>
      <c r="P1591" s="61" t="n">
        <f aca="false">Resumo!$C$14*CEILING(G1591,1)</f>
        <v>17.55</v>
      </c>
      <c r="Q1591" s="61" t="n">
        <f aca="false">SUM(I1591:P1591)*Resumo!$C$11</f>
        <v>0</v>
      </c>
      <c r="R1591" s="61" t="n">
        <f aca="false">SUM(I1591:Q1591)</f>
        <v>82.935958</v>
      </c>
      <c r="S1591" s="61" t="n">
        <f aca="false">R1591/(1-Resumo!$C$5)</f>
        <v>94.2454068181818</v>
      </c>
      <c r="T1591" s="61" t="n">
        <v>93.97</v>
      </c>
      <c r="U1591" s="61" t="n">
        <f aca="false">H1591*Resumo!$B$6</f>
        <v>0.57999</v>
      </c>
      <c r="V1591" s="61" t="n">
        <f aca="false">H1591*Resumo!$B$7</f>
        <v>1.15998</v>
      </c>
      <c r="W1591" s="61" t="n">
        <f aca="false">Resumo!$B$9</f>
        <v>1</v>
      </c>
      <c r="X1591" s="61" t="n">
        <f aca="false">Resumo!$B$10*CEILING(G1591/100,1)</f>
        <v>4.5</v>
      </c>
      <c r="Y1591" s="61" t="n">
        <f aca="false">Resumo!$B$12*CEILING(G1591,1)</f>
        <v>2.34</v>
      </c>
      <c r="Z1591" s="61" t="n">
        <f aca="false">Resumo!$B$14*CEILING(G1591,1)</f>
        <v>17.55</v>
      </c>
      <c r="AA1591" s="61" t="n">
        <f aca="false">SUM(T1591:Z1591)</f>
        <v>121.09997</v>
      </c>
      <c r="AB1591" s="61" t="n">
        <f aca="false">AA1591/(1-Resumo!$B$5)</f>
        <v>137.613602272727</v>
      </c>
      <c r="AC1591" s="61" t="n">
        <f aca="false">AB1591-S1591</f>
        <v>43.3681954545454</v>
      </c>
      <c r="AD1591" s="62" t="n">
        <f aca="false">AB1591/S1591-1</f>
        <v>0.460162430389964</v>
      </c>
      <c r="AE1591" s="60" t="str">
        <f aca="false">IF(AB1591&lt;S1591,"SIM","NÃO")</f>
        <v>NÃO</v>
      </c>
      <c r="AF1591" s="60" t="n">
        <v>2</v>
      </c>
      <c r="AG1591" s="60" t="n">
        <v>5</v>
      </c>
      <c r="AH1591" s="60" t="s">
        <v>382</v>
      </c>
      <c r="AI1591" s="61" t="n">
        <f aca="false">(T1591*(1-Painel!$C$40)+U1591+V1591+Painel!$C$41+Painel!$C$42*CEILING(G1591/100,1)+Painel!$C$43*CEILING(G1591,1)+Z1591)/(1-Resumo!$B$5)</f>
        <v>95.7953068181818</v>
      </c>
      <c r="AJ1591" s="60" t="str">
        <f aca="false">IF(AI1591&lt;S1591,"SIM","NÃO")</f>
        <v>NÃO</v>
      </c>
    </row>
    <row r="1592" customFormat="false" ht="15" hidden="false" customHeight="false" outlineLevel="0" collapsed="false">
      <c r="A1592" s="59" t="n">
        <v>46270.6933912037</v>
      </c>
      <c r="B1592" s="60" t="s">
        <v>1829</v>
      </c>
      <c r="C1592" s="60" t="n">
        <v>22250040</v>
      </c>
      <c r="D1592" s="60" t="s">
        <v>46</v>
      </c>
      <c r="E1592" s="60" t="s">
        <v>22</v>
      </c>
      <c r="F1592" s="60" t="s">
        <v>235</v>
      </c>
      <c r="G1592" s="60" t="n">
        <v>49.6</v>
      </c>
      <c r="H1592" s="61" t="n">
        <v>555.29</v>
      </c>
      <c r="I1592" s="61" t="n">
        <v>53.55</v>
      </c>
      <c r="J1592" s="61" t="n">
        <f aca="false">H1592*Resumo!$C$6</f>
        <v>0</v>
      </c>
      <c r="K1592" s="61" t="n">
        <f aca="false">H1592*Resumo!$C$7</f>
        <v>1.166109</v>
      </c>
      <c r="L1592" s="61" t="n">
        <f aca="false">H1592*Resumo!$C$8</f>
        <v>1.166109</v>
      </c>
      <c r="M1592" s="61" t="n">
        <f aca="false">Resumo!$C$10*CEILING(G1592/100,1)</f>
        <v>1.05</v>
      </c>
      <c r="N1592" s="61" t="n">
        <f aca="false">Resumo!$C$9</f>
        <v>0</v>
      </c>
      <c r="O1592" s="61" t="n">
        <f aca="false">Resumo!$C$13</f>
        <v>13.55</v>
      </c>
      <c r="P1592" s="61" t="n">
        <f aca="false">Resumo!$C$14*CEILING(G1592,1)</f>
        <v>22.5</v>
      </c>
      <c r="Q1592" s="61" t="n">
        <f aca="false">SUM(I1592:P1592)*Resumo!$C$11</f>
        <v>0</v>
      </c>
      <c r="R1592" s="61" t="n">
        <f aca="false">SUM(I1592:Q1592)</f>
        <v>92.982218</v>
      </c>
      <c r="S1592" s="61" t="n">
        <f aca="false">R1592/(1-Resumo!$C$5)</f>
        <v>105.661611363636</v>
      </c>
      <c r="T1592" s="61" t="n">
        <v>93.97</v>
      </c>
      <c r="U1592" s="61" t="n">
        <f aca="false">H1592*Resumo!$B$6</f>
        <v>0.55529</v>
      </c>
      <c r="V1592" s="61" t="n">
        <f aca="false">H1592*Resumo!$B$7</f>
        <v>1.11058</v>
      </c>
      <c r="W1592" s="61" t="n">
        <f aca="false">Resumo!$B$9</f>
        <v>1</v>
      </c>
      <c r="X1592" s="61" t="n">
        <f aca="false">Resumo!$B$10*CEILING(G1592/100,1)</f>
        <v>4.5</v>
      </c>
      <c r="Y1592" s="61" t="n">
        <f aca="false">Resumo!$B$12*CEILING(G1592,1)</f>
        <v>3</v>
      </c>
      <c r="Z1592" s="61" t="n">
        <f aca="false">Resumo!$B$14*CEILING(G1592,1)</f>
        <v>22.5</v>
      </c>
      <c r="AA1592" s="61" t="n">
        <f aca="false">SUM(T1592:Z1592)</f>
        <v>126.63587</v>
      </c>
      <c r="AB1592" s="61" t="n">
        <f aca="false">AA1592/(1-Resumo!$B$5)</f>
        <v>143.904397727273</v>
      </c>
      <c r="AC1592" s="61" t="n">
        <f aca="false">AB1592-S1592</f>
        <v>38.2427863636363</v>
      </c>
      <c r="AD1592" s="62" t="n">
        <f aca="false">AB1592/S1592-1</f>
        <v>0.361936429608508</v>
      </c>
      <c r="AE1592" s="60" t="str">
        <f aca="false">IF(AB1592&lt;S1592,"SIM","NÃO")</f>
        <v>NÃO</v>
      </c>
      <c r="AF1592" s="60" t="n">
        <v>2</v>
      </c>
      <c r="AG1592" s="60" t="n">
        <v>5</v>
      </c>
      <c r="AH1592" s="60" t="s">
        <v>382</v>
      </c>
      <c r="AI1592" s="61" t="n">
        <f aca="false">(T1592*(1-Painel!$C$40)+U1592+V1592+Painel!$C$41+Painel!$C$42*CEILING(G1592/100,1)+Painel!$C$43*CEILING(G1592,1)+Z1592)/(1-Resumo!$B$5)</f>
        <v>101.336102272727</v>
      </c>
      <c r="AJ1592" s="60" t="str">
        <f aca="false">IF(AI1592&lt;S1592,"SIM","NÃO")</f>
        <v>SIM</v>
      </c>
    </row>
    <row r="1593" customFormat="false" ht="15" hidden="false" customHeight="false" outlineLevel="0" collapsed="false">
      <c r="A1593" s="59" t="n">
        <v>46270.7212847222</v>
      </c>
      <c r="B1593" s="60" t="s">
        <v>1830</v>
      </c>
      <c r="C1593" s="60" t="n">
        <v>28922470</v>
      </c>
      <c r="D1593" s="60" t="s">
        <v>221</v>
      </c>
      <c r="E1593" s="60" t="s">
        <v>24</v>
      </c>
      <c r="F1593" s="60" t="s">
        <v>234</v>
      </c>
      <c r="G1593" s="60" t="n">
        <v>40</v>
      </c>
      <c r="H1593" s="61" t="n">
        <v>579.99</v>
      </c>
      <c r="I1593" s="61" t="n">
        <v>74.97</v>
      </c>
      <c r="J1593" s="61" t="n">
        <f aca="false">H1593*Resumo!$C$6</f>
        <v>0</v>
      </c>
      <c r="K1593" s="61" t="n">
        <f aca="false">H1593*Resumo!$C$7</f>
        <v>1.217979</v>
      </c>
      <c r="L1593" s="61" t="n">
        <f aca="false">H1593*Resumo!$C$8</f>
        <v>1.217979</v>
      </c>
      <c r="M1593" s="61" t="n">
        <f aca="false">Resumo!$C$10*CEILING(G1593/100,1)</f>
        <v>1.05</v>
      </c>
      <c r="N1593" s="61" t="n">
        <f aca="false">Resumo!$C$9</f>
        <v>0</v>
      </c>
      <c r="O1593" s="61" t="n">
        <f aca="false">Resumo!$C$13</f>
        <v>13.55</v>
      </c>
      <c r="P1593" s="61" t="n">
        <f aca="false">Resumo!$C$14*CEILING(G1593,1)</f>
        <v>18</v>
      </c>
      <c r="Q1593" s="61" t="n">
        <f aca="false">SUM(I1593:P1593)*Resumo!$C$11</f>
        <v>0</v>
      </c>
      <c r="R1593" s="61" t="n">
        <f aca="false">SUM(I1593:Q1593)</f>
        <v>110.005958</v>
      </c>
      <c r="S1593" s="61" t="n">
        <f aca="false">R1593/(1-Resumo!$C$5)</f>
        <v>125.006770454545</v>
      </c>
      <c r="T1593" s="61" t="n">
        <v>124.38</v>
      </c>
      <c r="U1593" s="61" t="n">
        <f aca="false">H1593*Resumo!$B$6</f>
        <v>0.57999</v>
      </c>
      <c r="V1593" s="61" t="n">
        <f aca="false">H1593*Resumo!$B$7</f>
        <v>1.15998</v>
      </c>
      <c r="W1593" s="61" t="n">
        <f aca="false">Resumo!$B$9</f>
        <v>1</v>
      </c>
      <c r="X1593" s="61" t="n">
        <f aca="false">Resumo!$B$10*CEILING(G1593/100,1)</f>
        <v>4.5</v>
      </c>
      <c r="Y1593" s="61" t="n">
        <f aca="false">Resumo!$B$12*CEILING(G1593,1)</f>
        <v>2.4</v>
      </c>
      <c r="Z1593" s="61" t="n">
        <f aca="false">Resumo!$B$14*CEILING(G1593,1)</f>
        <v>18</v>
      </c>
      <c r="AA1593" s="61" t="n">
        <f aca="false">SUM(T1593:Z1593)</f>
        <v>152.01997</v>
      </c>
      <c r="AB1593" s="61" t="n">
        <f aca="false">AA1593/(1-Resumo!$B$5)</f>
        <v>172.749965909091</v>
      </c>
      <c r="AC1593" s="61" t="n">
        <f aca="false">AB1593-S1593</f>
        <v>47.7431954545455</v>
      </c>
      <c r="AD1593" s="62" t="n">
        <f aca="false">AB1593/S1593-1</f>
        <v>0.381924877196197</v>
      </c>
      <c r="AE1593" s="60" t="str">
        <f aca="false">IF(AB1593&lt;S1593,"SIM","NÃO")</f>
        <v>NÃO</v>
      </c>
      <c r="AF1593" s="60" t="n">
        <v>13</v>
      </c>
      <c r="AG1593" s="60" t="n">
        <v>10</v>
      </c>
      <c r="AH1593" s="60" t="s">
        <v>382</v>
      </c>
      <c r="AI1593" s="61" t="n">
        <f aca="false">(T1593*(1-Painel!$C$40)+U1593+V1593+Painel!$C$41+Painel!$C$42*CEILING(G1593/100,1)+Painel!$C$43*CEILING(G1593,1)+Z1593)/(1-Resumo!$B$5)</f>
        <v>119.459738636364</v>
      </c>
      <c r="AJ1593" s="60" t="str">
        <f aca="false">IF(AI1593&lt;S1593,"SIM","NÃO")</f>
        <v>SIM</v>
      </c>
    </row>
    <row r="1594" customFormat="false" ht="15" hidden="false" customHeight="false" outlineLevel="0" collapsed="false">
      <c r="A1594" s="59" t="n">
        <v>46270.7288657407</v>
      </c>
      <c r="B1594" s="60" t="s">
        <v>1831</v>
      </c>
      <c r="C1594" s="60" t="n">
        <v>23587415</v>
      </c>
      <c r="D1594" s="60" t="s">
        <v>46</v>
      </c>
      <c r="E1594" s="60" t="s">
        <v>22</v>
      </c>
      <c r="F1594" s="60" t="s">
        <v>237</v>
      </c>
      <c r="G1594" s="60" t="n">
        <v>66.8</v>
      </c>
      <c r="H1594" s="61" t="n">
        <v>666.29</v>
      </c>
      <c r="I1594" s="61" t="n">
        <v>63.21</v>
      </c>
      <c r="J1594" s="61" t="n">
        <f aca="false">H1594*Resumo!$C$6</f>
        <v>0</v>
      </c>
      <c r="K1594" s="61" t="n">
        <f aca="false">H1594*Resumo!$C$7</f>
        <v>1.399209</v>
      </c>
      <c r="L1594" s="61" t="n">
        <f aca="false">H1594*Resumo!$C$8</f>
        <v>1.399209</v>
      </c>
      <c r="M1594" s="61" t="n">
        <f aca="false">Resumo!$C$10*CEILING(G1594/100,1)</f>
        <v>1.05</v>
      </c>
      <c r="N1594" s="61" t="n">
        <f aca="false">Resumo!$C$9</f>
        <v>0</v>
      </c>
      <c r="O1594" s="61" t="n">
        <f aca="false">Resumo!$C$13</f>
        <v>13.55</v>
      </c>
      <c r="P1594" s="61" t="n">
        <f aca="false">Resumo!$C$14*CEILING(G1594,1)</f>
        <v>30.15</v>
      </c>
      <c r="Q1594" s="61" t="n">
        <f aca="false">SUM(I1594:P1594)*Resumo!$C$11</f>
        <v>0</v>
      </c>
      <c r="R1594" s="61" t="n">
        <f aca="false">SUM(I1594:Q1594)</f>
        <v>110.758418</v>
      </c>
      <c r="S1594" s="61" t="n">
        <f aca="false">R1594/(1-Resumo!$C$5)</f>
        <v>125.861838636364</v>
      </c>
      <c r="T1594" s="61" t="n">
        <v>131.02</v>
      </c>
      <c r="U1594" s="61" t="n">
        <f aca="false">H1594*Resumo!$B$6</f>
        <v>0.66629</v>
      </c>
      <c r="V1594" s="61" t="n">
        <f aca="false">H1594*Resumo!$B$7</f>
        <v>1.33258</v>
      </c>
      <c r="W1594" s="61" t="n">
        <f aca="false">Resumo!$B$9</f>
        <v>1</v>
      </c>
      <c r="X1594" s="61" t="n">
        <f aca="false">Resumo!$B$10*CEILING(G1594/100,1)</f>
        <v>4.5</v>
      </c>
      <c r="Y1594" s="61" t="n">
        <f aca="false">Resumo!$B$12*CEILING(G1594,1)</f>
        <v>4.02</v>
      </c>
      <c r="Z1594" s="61" t="n">
        <f aca="false">Resumo!$B$14*CEILING(G1594,1)</f>
        <v>30.15</v>
      </c>
      <c r="AA1594" s="61" t="n">
        <f aca="false">SUM(T1594:Z1594)</f>
        <v>172.68887</v>
      </c>
      <c r="AB1594" s="61" t="n">
        <f aca="false">AA1594/(1-Resumo!$B$5)</f>
        <v>196.237352272727</v>
      </c>
      <c r="AC1594" s="61" t="n">
        <f aca="false">AB1594-S1594</f>
        <v>70.3755136363637</v>
      </c>
      <c r="AD1594" s="62" t="n">
        <f aca="false">AB1594/S1594-1</f>
        <v>0.559148939812412</v>
      </c>
      <c r="AE1594" s="60" t="str">
        <f aca="false">IF(AB1594&lt;S1594,"SIM","NÃO")</f>
        <v>NÃO</v>
      </c>
      <c r="AF1594" s="60" t="n">
        <v>2</v>
      </c>
      <c r="AG1594" s="60" t="n">
        <v>5</v>
      </c>
      <c r="AH1594" s="60" t="s">
        <v>382</v>
      </c>
      <c r="AI1594" s="61" t="n">
        <f aca="false">(T1594*(1-Painel!$C$40)+U1594+V1594+Painel!$C$41+Painel!$C$42*CEILING(G1594/100,1)+Painel!$C$43*CEILING(G1594,1)+Z1594)/(1-Resumo!$B$5)</f>
        <v>138.616215909091</v>
      </c>
      <c r="AJ1594" s="60" t="str">
        <f aca="false">IF(AI1594&lt;S1594,"SIM","NÃO")</f>
        <v>NÃO</v>
      </c>
    </row>
    <row r="1595" customFormat="false" ht="15" hidden="false" customHeight="false" outlineLevel="0" collapsed="false">
      <c r="A1595" s="59" t="n">
        <v>46270.7510648148</v>
      </c>
      <c r="B1595" s="60" t="s">
        <v>1832</v>
      </c>
      <c r="C1595" s="60" t="n">
        <v>24710210</v>
      </c>
      <c r="D1595" s="60" t="s">
        <v>47</v>
      </c>
      <c r="E1595" s="60" t="s">
        <v>23</v>
      </c>
      <c r="F1595" s="60" t="s">
        <v>233</v>
      </c>
      <c r="G1595" s="60" t="n">
        <v>27.4</v>
      </c>
      <c r="H1595" s="61" t="n">
        <v>369.99</v>
      </c>
      <c r="I1595" s="61" t="n">
        <v>58.8</v>
      </c>
      <c r="J1595" s="61" t="n">
        <f aca="false">H1595*Resumo!$C$6</f>
        <v>0</v>
      </c>
      <c r="K1595" s="61" t="n">
        <f aca="false">H1595*Resumo!$C$7</f>
        <v>0.776979</v>
      </c>
      <c r="L1595" s="61" t="n">
        <f aca="false">H1595*Resumo!$C$8</f>
        <v>0.776979</v>
      </c>
      <c r="M1595" s="61" t="n">
        <f aca="false">Resumo!$C$10*CEILING(G1595/100,1)</f>
        <v>1.05</v>
      </c>
      <c r="N1595" s="61" t="n">
        <f aca="false">Resumo!$C$9</f>
        <v>0</v>
      </c>
      <c r="O1595" s="61" t="n">
        <f aca="false">Resumo!$C$13</f>
        <v>13.55</v>
      </c>
      <c r="P1595" s="61" t="n">
        <f aca="false">Resumo!$C$14*CEILING(G1595,1)</f>
        <v>12.6</v>
      </c>
      <c r="Q1595" s="61" t="n">
        <f aca="false">SUM(I1595:P1595)*Resumo!$C$11</f>
        <v>0</v>
      </c>
      <c r="R1595" s="61" t="n">
        <f aca="false">SUM(I1595:Q1595)</f>
        <v>87.553958</v>
      </c>
      <c r="S1595" s="61" t="n">
        <f aca="false">R1595/(1-Resumo!$C$5)</f>
        <v>99.4931340909091</v>
      </c>
      <c r="T1595" s="61" t="n">
        <v>100.58</v>
      </c>
      <c r="U1595" s="61" t="n">
        <f aca="false">H1595*Resumo!$B$6</f>
        <v>0.36999</v>
      </c>
      <c r="V1595" s="61" t="n">
        <f aca="false">H1595*Resumo!$B$7</f>
        <v>0.73998</v>
      </c>
      <c r="W1595" s="61" t="n">
        <f aca="false">Resumo!$B$9</f>
        <v>1</v>
      </c>
      <c r="X1595" s="61" t="n">
        <f aca="false">Resumo!$B$10*CEILING(G1595/100,1)</f>
        <v>4.5</v>
      </c>
      <c r="Y1595" s="61" t="n">
        <f aca="false">Resumo!$B$12*CEILING(G1595,1)</f>
        <v>1.68</v>
      </c>
      <c r="Z1595" s="61" t="n">
        <f aca="false">Resumo!$B$14*CEILING(G1595,1)</f>
        <v>12.6</v>
      </c>
      <c r="AA1595" s="61" t="n">
        <f aca="false">SUM(T1595:Z1595)</f>
        <v>121.46997</v>
      </c>
      <c r="AB1595" s="61" t="n">
        <f aca="false">AA1595/(1-Resumo!$B$5)</f>
        <v>138.034056818182</v>
      </c>
      <c r="AC1595" s="61" t="n">
        <f aca="false">AB1595-S1595</f>
        <v>38.5409227272727</v>
      </c>
      <c r="AD1595" s="62" t="n">
        <f aca="false">AB1595/S1595-1</f>
        <v>0.387372687366115</v>
      </c>
      <c r="AE1595" s="60" t="str">
        <f aca="false">IF(AB1595&lt;S1595,"SIM","NÃO")</f>
        <v>NÃO</v>
      </c>
      <c r="AF1595" s="60" t="n">
        <v>2</v>
      </c>
      <c r="AG1595" s="60" t="n">
        <v>7</v>
      </c>
      <c r="AH1595" s="60" t="s">
        <v>382</v>
      </c>
      <c r="AI1595" s="61" t="n">
        <f aca="false">(T1595*(1-Painel!$C$40)+U1595+V1595+Painel!$C$41+Painel!$C$42*CEILING(G1595/100,1)+Painel!$C$43*CEILING(G1595,1)+Z1595)/(1-Resumo!$B$5)</f>
        <v>94.4870113636364</v>
      </c>
      <c r="AJ1595" s="60" t="str">
        <f aca="false">IF(AI1595&lt;S1595,"SIM","NÃO")</f>
        <v>SIM</v>
      </c>
    </row>
    <row r="1596" customFormat="false" ht="15" hidden="false" customHeight="false" outlineLevel="0" collapsed="false">
      <c r="A1596" s="59" t="n">
        <v>46270.7566666667</v>
      </c>
      <c r="B1596" s="60" t="s">
        <v>754</v>
      </c>
      <c r="C1596" s="60" t="n">
        <v>22753005</v>
      </c>
      <c r="D1596" s="60" t="s">
        <v>46</v>
      </c>
      <c r="E1596" s="60" t="s">
        <v>22</v>
      </c>
      <c r="F1596" s="60" t="s">
        <v>233</v>
      </c>
      <c r="G1596" s="60" t="n">
        <v>34.1</v>
      </c>
      <c r="H1596" s="61" t="n">
        <v>399.99</v>
      </c>
      <c r="I1596" s="61" t="n">
        <v>42.11</v>
      </c>
      <c r="J1596" s="61" t="n">
        <f aca="false">H1596*Resumo!$C$6</f>
        <v>0</v>
      </c>
      <c r="K1596" s="61" t="n">
        <f aca="false">H1596*Resumo!$C$7</f>
        <v>0.839979</v>
      </c>
      <c r="L1596" s="61" t="n">
        <f aca="false">H1596*Resumo!$C$8</f>
        <v>0.839979</v>
      </c>
      <c r="M1596" s="61" t="n">
        <f aca="false">Resumo!$C$10*CEILING(G1596/100,1)</f>
        <v>1.05</v>
      </c>
      <c r="N1596" s="61" t="n">
        <f aca="false">Resumo!$C$9</f>
        <v>0</v>
      </c>
      <c r="O1596" s="61" t="n">
        <f aca="false">Resumo!$C$13</f>
        <v>13.55</v>
      </c>
      <c r="P1596" s="61" t="n">
        <f aca="false">Resumo!$C$14*CEILING(G1596,1)</f>
        <v>15.75</v>
      </c>
      <c r="Q1596" s="61" t="n">
        <f aca="false">SUM(I1596:P1596)*Resumo!$C$11</f>
        <v>0</v>
      </c>
      <c r="R1596" s="61" t="n">
        <f aca="false">SUM(I1596:Q1596)</f>
        <v>74.139958</v>
      </c>
      <c r="S1596" s="61" t="n">
        <f aca="false">R1596/(1-Resumo!$C$5)</f>
        <v>84.2499522727273</v>
      </c>
      <c r="T1596" s="61" t="n">
        <v>82.21</v>
      </c>
      <c r="U1596" s="61" t="n">
        <f aca="false">H1596*Resumo!$B$6</f>
        <v>0.39999</v>
      </c>
      <c r="V1596" s="61" t="n">
        <f aca="false">H1596*Resumo!$B$7</f>
        <v>0.79998</v>
      </c>
      <c r="W1596" s="61" t="n">
        <f aca="false">Resumo!$B$9</f>
        <v>1</v>
      </c>
      <c r="X1596" s="61" t="n">
        <f aca="false">Resumo!$B$10*CEILING(G1596/100,1)</f>
        <v>4.5</v>
      </c>
      <c r="Y1596" s="61" t="n">
        <f aca="false">Resumo!$B$12*CEILING(G1596,1)</f>
        <v>2.1</v>
      </c>
      <c r="Z1596" s="61" t="n">
        <f aca="false">Resumo!$B$14*CEILING(G1596,1)</f>
        <v>15.75</v>
      </c>
      <c r="AA1596" s="61" t="n">
        <f aca="false">SUM(T1596:Z1596)</f>
        <v>106.75997</v>
      </c>
      <c r="AB1596" s="61" t="n">
        <f aca="false">AA1596/(1-Resumo!$B$5)</f>
        <v>121.318147727273</v>
      </c>
      <c r="AC1596" s="61" t="n">
        <f aca="false">AB1596-S1596</f>
        <v>37.0681954545454</v>
      </c>
      <c r="AD1596" s="62" t="n">
        <f aca="false">AB1596/S1596-1</f>
        <v>0.439978830309022</v>
      </c>
      <c r="AE1596" s="60" t="str">
        <f aca="false">IF(AB1596&lt;S1596,"SIM","NÃO")</f>
        <v>NÃO</v>
      </c>
      <c r="AF1596" s="60" t="n">
        <v>2</v>
      </c>
      <c r="AG1596" s="60" t="n">
        <v>5</v>
      </c>
      <c r="AH1596" s="60" t="s">
        <v>382</v>
      </c>
      <c r="AI1596" s="61" t="n">
        <f aca="false">(T1596*(1-Painel!$C$40)+U1596+V1596+Painel!$C$41+Painel!$C$42*CEILING(G1596/100,1)+Painel!$C$43*CEILING(G1596,1)+Z1596)/(1-Resumo!$B$5)</f>
        <v>84.1825795454545</v>
      </c>
      <c r="AJ1596" s="60" t="str">
        <f aca="false">IF(AI1596&lt;S1596,"SIM","NÃO")</f>
        <v>SIM</v>
      </c>
    </row>
    <row r="1597" customFormat="false" ht="15" hidden="false" customHeight="false" outlineLevel="0" collapsed="false">
      <c r="A1597" s="59" t="n">
        <v>46270.8719907407</v>
      </c>
      <c r="B1597" s="60" t="s">
        <v>1833</v>
      </c>
      <c r="C1597" s="60" t="n">
        <v>23935172</v>
      </c>
      <c r="D1597" s="60" t="s">
        <v>218</v>
      </c>
      <c r="E1597" s="60" t="s">
        <v>24</v>
      </c>
      <c r="F1597" s="60" t="s">
        <v>235</v>
      </c>
      <c r="G1597" s="60" t="n">
        <v>48.3</v>
      </c>
      <c r="H1597" s="61" t="n">
        <v>499.99</v>
      </c>
      <c r="I1597" s="61" t="n">
        <v>77.7</v>
      </c>
      <c r="J1597" s="61" t="n">
        <f aca="false">H1597*Resumo!$C$6</f>
        <v>0</v>
      </c>
      <c r="K1597" s="61" t="n">
        <f aca="false">H1597*Resumo!$C$7</f>
        <v>1.049979</v>
      </c>
      <c r="L1597" s="61" t="n">
        <f aca="false">H1597*Resumo!$C$8</f>
        <v>1.049979</v>
      </c>
      <c r="M1597" s="61" t="n">
        <f aca="false">Resumo!$C$10*CEILING(G1597/100,1)</f>
        <v>1.05</v>
      </c>
      <c r="N1597" s="61" t="n">
        <f aca="false">Resumo!$C$9</f>
        <v>0</v>
      </c>
      <c r="O1597" s="61" t="n">
        <f aca="false">Resumo!$C$13</f>
        <v>13.55</v>
      </c>
      <c r="P1597" s="61" t="n">
        <f aca="false">Resumo!$C$14*CEILING(G1597,1)</f>
        <v>22.05</v>
      </c>
      <c r="Q1597" s="61" t="n">
        <f aca="false">SUM(I1597:P1597)*Resumo!$C$11</f>
        <v>0</v>
      </c>
      <c r="R1597" s="61" t="n">
        <f aca="false">SUM(I1597:Q1597)</f>
        <v>116.449958</v>
      </c>
      <c r="S1597" s="61" t="n">
        <f aca="false">R1597/(1-Resumo!$C$5)</f>
        <v>132.329497727273</v>
      </c>
      <c r="T1597" s="61" t="n">
        <v>124.38</v>
      </c>
      <c r="U1597" s="61" t="n">
        <f aca="false">H1597*Resumo!$B$6</f>
        <v>0.49999</v>
      </c>
      <c r="V1597" s="61" t="n">
        <f aca="false">H1597*Resumo!$B$7</f>
        <v>0.99998</v>
      </c>
      <c r="W1597" s="61" t="n">
        <f aca="false">Resumo!$B$9</f>
        <v>1</v>
      </c>
      <c r="X1597" s="61" t="n">
        <f aca="false">Resumo!$B$10*CEILING(G1597/100,1)</f>
        <v>4.5</v>
      </c>
      <c r="Y1597" s="61" t="n">
        <f aca="false">Resumo!$B$12*CEILING(G1597,1)</f>
        <v>2.94</v>
      </c>
      <c r="Z1597" s="61" t="n">
        <f aca="false">Resumo!$B$14*CEILING(G1597,1)</f>
        <v>22.05</v>
      </c>
      <c r="AA1597" s="61" t="n">
        <f aca="false">SUM(T1597:Z1597)</f>
        <v>156.36997</v>
      </c>
      <c r="AB1597" s="61" t="n">
        <f aca="false">AA1597/(1-Resumo!$B$5)</f>
        <v>177.693147727273</v>
      </c>
      <c r="AC1597" s="61" t="n">
        <f aca="false">AB1597-S1597</f>
        <v>45.36365</v>
      </c>
      <c r="AD1597" s="62" t="n">
        <f aca="false">AB1597/S1597-1</f>
        <v>0.342808298823088</v>
      </c>
      <c r="AE1597" s="60" t="str">
        <f aca="false">IF(AB1597&lt;S1597,"SIM","NÃO")</f>
        <v>NÃO</v>
      </c>
      <c r="AF1597" s="60" t="n">
        <v>13</v>
      </c>
      <c r="AG1597" s="60" t="n">
        <v>10</v>
      </c>
      <c r="AH1597" s="60" t="s">
        <v>382</v>
      </c>
      <c r="AI1597" s="61" t="n">
        <f aca="false">(T1597*(1-Painel!$C$40)+U1597+V1597+Painel!$C$41+Painel!$C$42*CEILING(G1597/100,1)+Painel!$C$43*CEILING(G1597,1)+Z1597)/(1-Resumo!$B$5)</f>
        <v>123.789284090909</v>
      </c>
      <c r="AJ1597" s="60" t="str">
        <f aca="false">IF(AI1597&lt;S1597,"SIM","NÃO")</f>
        <v>SIM</v>
      </c>
    </row>
    <row r="1598" customFormat="false" ht="15" hidden="false" customHeight="false" outlineLevel="0" collapsed="false">
      <c r="A1598" s="59" t="n">
        <v>46270.9671180556</v>
      </c>
      <c r="B1598" s="60" t="s">
        <v>1834</v>
      </c>
      <c r="C1598" s="60" t="n">
        <v>23067430</v>
      </c>
      <c r="D1598" s="60" t="s">
        <v>46</v>
      </c>
      <c r="E1598" s="60" t="s">
        <v>22</v>
      </c>
      <c r="F1598" s="60" t="s">
        <v>239</v>
      </c>
      <c r="G1598" s="60" t="n">
        <v>83.9</v>
      </c>
      <c r="H1598" s="61" t="n">
        <v>937.49</v>
      </c>
      <c r="I1598" s="61" t="n">
        <v>83.79</v>
      </c>
      <c r="J1598" s="61" t="n">
        <f aca="false">H1598*Resumo!$C$6</f>
        <v>0</v>
      </c>
      <c r="K1598" s="61" t="n">
        <f aca="false">H1598*Resumo!$C$7</f>
        <v>1.968729</v>
      </c>
      <c r="L1598" s="61" t="n">
        <f aca="false">H1598*Resumo!$C$8</f>
        <v>1.968729</v>
      </c>
      <c r="M1598" s="61" t="n">
        <f aca="false">Resumo!$C$10*CEILING(G1598/100,1)</f>
        <v>1.05</v>
      </c>
      <c r="N1598" s="61" t="n">
        <f aca="false">Resumo!$C$9</f>
        <v>0</v>
      </c>
      <c r="O1598" s="61" t="n">
        <f aca="false">Resumo!$C$13</f>
        <v>13.55</v>
      </c>
      <c r="P1598" s="61" t="n">
        <f aca="false">Resumo!$C$14*CEILING(G1598,1)</f>
        <v>37.8</v>
      </c>
      <c r="Q1598" s="61" t="n">
        <f aca="false">SUM(I1598:P1598)*Resumo!$C$11</f>
        <v>0</v>
      </c>
      <c r="R1598" s="61" t="n">
        <f aca="false">SUM(I1598:Q1598)</f>
        <v>140.127458</v>
      </c>
      <c r="S1598" s="61" t="n">
        <f aca="false">R1598/(1-Resumo!$C$5)</f>
        <v>159.235747727273</v>
      </c>
      <c r="T1598" s="61" t="n">
        <v>167.99</v>
      </c>
      <c r="U1598" s="61" t="n">
        <f aca="false">H1598*Resumo!$B$6</f>
        <v>0.93749</v>
      </c>
      <c r="V1598" s="61" t="n">
        <f aca="false">H1598*Resumo!$B$7</f>
        <v>1.87498</v>
      </c>
      <c r="W1598" s="61" t="n">
        <f aca="false">Resumo!$B$9</f>
        <v>1</v>
      </c>
      <c r="X1598" s="61" t="n">
        <f aca="false">Resumo!$B$10*CEILING(G1598/100,1)</f>
        <v>4.5</v>
      </c>
      <c r="Y1598" s="61" t="n">
        <f aca="false">Resumo!$B$12*CEILING(G1598,1)</f>
        <v>5.04</v>
      </c>
      <c r="Z1598" s="61" t="n">
        <f aca="false">Resumo!$B$14*CEILING(G1598,1)</f>
        <v>37.8</v>
      </c>
      <c r="AA1598" s="61" t="n">
        <f aca="false">SUM(T1598:Z1598)</f>
        <v>219.14247</v>
      </c>
      <c r="AB1598" s="61" t="n">
        <f aca="false">AA1598/(1-Resumo!$B$5)</f>
        <v>249.025534090909</v>
      </c>
      <c r="AC1598" s="61" t="n">
        <f aca="false">AB1598-S1598</f>
        <v>89.7897863636364</v>
      </c>
      <c r="AD1598" s="62" t="n">
        <f aca="false">AB1598/S1598-1</f>
        <v>0.563879578833151</v>
      </c>
      <c r="AE1598" s="60" t="str">
        <f aca="false">IF(AB1598&lt;S1598,"SIM","NÃO")</f>
        <v>NÃO</v>
      </c>
      <c r="AF1598" s="60" t="n">
        <v>2</v>
      </c>
      <c r="AG1598" s="60" t="n">
        <v>5</v>
      </c>
      <c r="AH1598" s="60" t="s">
        <v>382</v>
      </c>
      <c r="AI1598" s="61" t="n">
        <f aca="false">(T1598*(1-Painel!$C$40)+U1598+V1598+Painel!$C$41+Painel!$C$42*CEILING(G1598/100,1)+Painel!$C$43*CEILING(G1598,1)+Z1598)/(1-Resumo!$B$5)</f>
        <v>176.381556818182</v>
      </c>
      <c r="AJ1598" s="60" t="str">
        <f aca="false">IF(AI1598&lt;S1598,"SIM","NÃO")</f>
        <v>NÃO</v>
      </c>
    </row>
    <row r="1599" customFormat="false" ht="15" hidden="false" customHeight="false" outlineLevel="0" collapsed="false">
      <c r="A1599" s="59" t="n">
        <v>46271.2654861111</v>
      </c>
      <c r="B1599" s="60" t="s">
        <v>1835</v>
      </c>
      <c r="C1599" s="60" t="n">
        <v>26270100</v>
      </c>
      <c r="D1599" s="60" t="s">
        <v>49</v>
      </c>
      <c r="E1599" s="60" t="s">
        <v>23</v>
      </c>
      <c r="F1599" s="60" t="s">
        <v>236</v>
      </c>
      <c r="G1599" s="60" t="n">
        <v>53.3</v>
      </c>
      <c r="H1599" s="61" t="n">
        <v>759.99</v>
      </c>
      <c r="I1599" s="61" t="n">
        <v>70.98</v>
      </c>
      <c r="J1599" s="61" t="n">
        <f aca="false">H1599*Resumo!$C$6</f>
        <v>0</v>
      </c>
      <c r="K1599" s="61" t="n">
        <f aca="false">H1599*Resumo!$C$7</f>
        <v>1.595979</v>
      </c>
      <c r="L1599" s="61" t="n">
        <f aca="false">H1599*Resumo!$C$8</f>
        <v>1.595979</v>
      </c>
      <c r="M1599" s="61" t="n">
        <f aca="false">Resumo!$C$10*CEILING(G1599/100,1)</f>
        <v>1.05</v>
      </c>
      <c r="N1599" s="61" t="n">
        <f aca="false">Resumo!$C$9</f>
        <v>0</v>
      </c>
      <c r="O1599" s="61" t="n">
        <f aca="false">Resumo!$C$13</f>
        <v>13.55</v>
      </c>
      <c r="P1599" s="61" t="n">
        <f aca="false">Resumo!$C$14*CEILING(G1599,1)</f>
        <v>24.3</v>
      </c>
      <c r="Q1599" s="61" t="n">
        <f aca="false">SUM(I1599:P1599)*Resumo!$C$11</f>
        <v>0</v>
      </c>
      <c r="R1599" s="61" t="n">
        <f aca="false">SUM(I1599:Q1599)</f>
        <v>113.071958</v>
      </c>
      <c r="S1599" s="61" t="n">
        <f aca="false">R1599/(1-Resumo!$C$5)</f>
        <v>128.490861363636</v>
      </c>
      <c r="T1599" s="61" t="n">
        <v>112.3</v>
      </c>
      <c r="U1599" s="61" t="n">
        <f aca="false">H1599*Resumo!$B$6</f>
        <v>0.75999</v>
      </c>
      <c r="V1599" s="61" t="n">
        <f aca="false">H1599*Resumo!$B$7</f>
        <v>1.51998</v>
      </c>
      <c r="W1599" s="61" t="n">
        <f aca="false">Resumo!$B$9</f>
        <v>1</v>
      </c>
      <c r="X1599" s="61" t="n">
        <f aca="false">Resumo!$B$10*CEILING(G1599/100,1)</f>
        <v>4.5</v>
      </c>
      <c r="Y1599" s="61" t="n">
        <f aca="false">Resumo!$B$12*CEILING(G1599,1)</f>
        <v>3.24</v>
      </c>
      <c r="Z1599" s="61" t="n">
        <f aca="false">Resumo!$B$14*CEILING(G1599,1)</f>
        <v>24.3</v>
      </c>
      <c r="AA1599" s="61" t="n">
        <f aca="false">SUM(T1599:Z1599)</f>
        <v>147.61997</v>
      </c>
      <c r="AB1599" s="61" t="n">
        <f aca="false">AA1599/(1-Resumo!$B$5)</f>
        <v>167.749965909091</v>
      </c>
      <c r="AC1599" s="61" t="n">
        <f aca="false">AB1599-S1599</f>
        <v>39.2591045454545</v>
      </c>
      <c r="AD1599" s="62" t="n">
        <f aca="false">AB1599/S1599-1</f>
        <v>0.30554005264506</v>
      </c>
      <c r="AE1599" s="60" t="str">
        <f aca="false">IF(AB1599&lt;S1599,"SIM","NÃO")</f>
        <v>NÃO</v>
      </c>
      <c r="AF1599" s="60" t="n">
        <v>2</v>
      </c>
      <c r="AG1599" s="60" t="n">
        <v>5</v>
      </c>
      <c r="AH1599" s="60" t="s">
        <v>382</v>
      </c>
      <c r="AI1599" s="61" t="n">
        <f aca="false">(T1599*(1-Painel!$C$40)+U1599+V1599+Painel!$C$41+Painel!$C$42*CEILING(G1599/100,1)+Painel!$C$43*CEILING(G1599,1)+Z1599)/(1-Resumo!$B$5)</f>
        <v>118.035193181818</v>
      </c>
      <c r="AJ1599" s="60" t="str">
        <f aca="false">IF(AI1599&lt;S1599,"SIM","NÃO")</f>
        <v>SIM</v>
      </c>
    </row>
    <row r="1600" customFormat="false" ht="15" hidden="false" customHeight="false" outlineLevel="0" collapsed="false">
      <c r="A1600" s="59" t="n">
        <v>46271.3189814815</v>
      </c>
      <c r="B1600" s="60" t="s">
        <v>1836</v>
      </c>
      <c r="C1600" s="60" t="n">
        <v>26377300</v>
      </c>
      <c r="D1600" s="60" t="s">
        <v>282</v>
      </c>
      <c r="E1600" s="60" t="s">
        <v>23</v>
      </c>
      <c r="F1600" s="60" t="s">
        <v>233</v>
      </c>
      <c r="G1600" s="60" t="n">
        <v>23.1</v>
      </c>
      <c r="H1600" s="61" t="n">
        <v>379.99</v>
      </c>
      <c r="I1600" s="61" t="n">
        <v>58.8</v>
      </c>
      <c r="J1600" s="61" t="n">
        <f aca="false">H1600*Resumo!$C$6</f>
        <v>0</v>
      </c>
      <c r="K1600" s="61" t="n">
        <f aca="false">H1600*Resumo!$C$7</f>
        <v>0.797979</v>
      </c>
      <c r="L1600" s="61" t="n">
        <f aca="false">H1600*Resumo!$C$8</f>
        <v>0.797979</v>
      </c>
      <c r="M1600" s="61" t="n">
        <f aca="false">Resumo!$C$10*CEILING(G1600/100,1)</f>
        <v>1.05</v>
      </c>
      <c r="N1600" s="61" t="n">
        <f aca="false">Resumo!$C$9</f>
        <v>0</v>
      </c>
      <c r="O1600" s="61" t="n">
        <f aca="false">Resumo!$C$13</f>
        <v>13.55</v>
      </c>
      <c r="P1600" s="61" t="n">
        <f aca="false">Resumo!$C$14*CEILING(G1600,1)</f>
        <v>10.8</v>
      </c>
      <c r="Q1600" s="61" t="n">
        <f aca="false">SUM(I1600:P1600)*Resumo!$C$11</f>
        <v>0</v>
      </c>
      <c r="R1600" s="61" t="n">
        <f aca="false">SUM(I1600:Q1600)</f>
        <v>85.795958</v>
      </c>
      <c r="S1600" s="61" t="n">
        <f aca="false">R1600/(1-Resumo!$C$5)</f>
        <v>97.4954068181818</v>
      </c>
      <c r="T1600" s="61" t="n">
        <v>82.21</v>
      </c>
      <c r="U1600" s="61" t="n">
        <f aca="false">H1600*Resumo!$B$6</f>
        <v>0.37999</v>
      </c>
      <c r="V1600" s="61" t="n">
        <f aca="false">H1600*Resumo!$B$7</f>
        <v>0.75998</v>
      </c>
      <c r="W1600" s="61" t="n">
        <f aca="false">Resumo!$B$9</f>
        <v>1</v>
      </c>
      <c r="X1600" s="61" t="n">
        <f aca="false">Resumo!$B$10*CEILING(G1600/100,1)</f>
        <v>4.5</v>
      </c>
      <c r="Y1600" s="61" t="n">
        <f aca="false">Resumo!$B$12*CEILING(G1600,1)</f>
        <v>1.44</v>
      </c>
      <c r="Z1600" s="61" t="n">
        <f aca="false">Resumo!$B$14*CEILING(G1600,1)</f>
        <v>10.8</v>
      </c>
      <c r="AA1600" s="61" t="n">
        <f aca="false">SUM(T1600:Z1600)</f>
        <v>101.08997</v>
      </c>
      <c r="AB1600" s="61" t="n">
        <f aca="false">AA1600/(1-Resumo!$B$5)</f>
        <v>114.874965909091</v>
      </c>
      <c r="AC1600" s="61" t="n">
        <f aca="false">AB1600-S1600</f>
        <v>17.3795590909091</v>
      </c>
      <c r="AD1600" s="62" t="n">
        <f aca="false">AB1600/S1600-1</f>
        <v>0.178260285875006</v>
      </c>
      <c r="AE1600" s="60" t="str">
        <f aca="false">IF(AB1600&lt;S1600,"SIM","NÃO")</f>
        <v>NÃO</v>
      </c>
      <c r="AF1600" s="60" t="n">
        <v>2</v>
      </c>
      <c r="AG1600" s="60" t="n">
        <v>5</v>
      </c>
      <c r="AH1600" s="60" t="s">
        <v>385</v>
      </c>
      <c r="AI1600" s="61" t="n">
        <f aca="false">(T1600*(1-Painel!$C$40)+U1600+V1600+Painel!$C$41+Painel!$C$42*CEILING(G1600/100,1)+Painel!$C$43*CEILING(G1600,1)+Z1600)/(1-Resumo!$B$5)</f>
        <v>78.4893977272727</v>
      </c>
      <c r="AJ1600" s="60" t="str">
        <f aca="false">IF(AI1600&lt;S1600,"SIM","NÃO")</f>
        <v>SIM</v>
      </c>
    </row>
    <row r="1601" customFormat="false" ht="15" hidden="false" customHeight="false" outlineLevel="0" collapsed="false">
      <c r="A1601" s="59" t="n">
        <v>46271.3335416667</v>
      </c>
      <c r="B1601" s="60" t="s">
        <v>1837</v>
      </c>
      <c r="C1601" s="60" t="n">
        <v>28893513</v>
      </c>
      <c r="D1601" s="60" t="s">
        <v>227</v>
      </c>
      <c r="E1601" s="60" t="s">
        <v>24</v>
      </c>
      <c r="F1601" s="60" t="s">
        <v>234</v>
      </c>
      <c r="G1601" s="60" t="n">
        <v>36.8</v>
      </c>
      <c r="H1601" s="61" t="n">
        <v>479.99</v>
      </c>
      <c r="I1601" s="61" t="n">
        <v>74.97</v>
      </c>
      <c r="J1601" s="61" t="n">
        <f aca="false">H1601*Resumo!$C$6</f>
        <v>0</v>
      </c>
      <c r="K1601" s="61" t="n">
        <f aca="false">H1601*Resumo!$C$7</f>
        <v>1.007979</v>
      </c>
      <c r="L1601" s="61" t="n">
        <f aca="false">H1601*Resumo!$C$8</f>
        <v>1.007979</v>
      </c>
      <c r="M1601" s="61" t="n">
        <f aca="false">Resumo!$C$10*CEILING(G1601/100,1)</f>
        <v>1.05</v>
      </c>
      <c r="N1601" s="61" t="n">
        <f aca="false">Resumo!$C$9</f>
        <v>0</v>
      </c>
      <c r="O1601" s="61" t="n">
        <f aca="false">Resumo!$C$13</f>
        <v>13.55</v>
      </c>
      <c r="P1601" s="61" t="n">
        <f aca="false">Resumo!$C$14*CEILING(G1601,1)</f>
        <v>16.65</v>
      </c>
      <c r="Q1601" s="61" t="n">
        <f aca="false">SUM(I1601:P1601)*Resumo!$C$11</f>
        <v>0</v>
      </c>
      <c r="R1601" s="61" t="n">
        <f aca="false">SUM(I1601:Q1601)</f>
        <v>108.235958</v>
      </c>
      <c r="S1601" s="61" t="n">
        <f aca="false">R1601/(1-Resumo!$C$5)</f>
        <v>122.995406818182</v>
      </c>
      <c r="T1601" s="61" t="n">
        <v>124.38</v>
      </c>
      <c r="U1601" s="61" t="n">
        <f aca="false">H1601*Resumo!$B$6</f>
        <v>0.47999</v>
      </c>
      <c r="V1601" s="61" t="n">
        <f aca="false">H1601*Resumo!$B$7</f>
        <v>0.95998</v>
      </c>
      <c r="W1601" s="61" t="n">
        <f aca="false">Resumo!$B$9</f>
        <v>1</v>
      </c>
      <c r="X1601" s="61" t="n">
        <f aca="false">Resumo!$B$10*CEILING(G1601/100,1)</f>
        <v>4.5</v>
      </c>
      <c r="Y1601" s="61" t="n">
        <f aca="false">Resumo!$B$12*CEILING(G1601,1)</f>
        <v>2.22</v>
      </c>
      <c r="Z1601" s="61" t="n">
        <f aca="false">Resumo!$B$14*CEILING(G1601,1)</f>
        <v>16.65</v>
      </c>
      <c r="AA1601" s="61" t="n">
        <f aca="false">SUM(T1601:Z1601)</f>
        <v>150.18997</v>
      </c>
      <c r="AB1601" s="61" t="n">
        <f aca="false">AA1601/(1-Resumo!$B$5)</f>
        <v>170.670420454545</v>
      </c>
      <c r="AC1601" s="61" t="n">
        <f aca="false">AB1601-S1601</f>
        <v>47.6750136363636</v>
      </c>
      <c r="AD1601" s="62" t="n">
        <f aca="false">AB1601/S1601-1</f>
        <v>0.387616211610563</v>
      </c>
      <c r="AE1601" s="60" t="str">
        <f aca="false">IF(AB1601&lt;S1601,"SIM","NÃO")</f>
        <v>NÃO</v>
      </c>
      <c r="AF1601" s="60" t="n">
        <v>13</v>
      </c>
      <c r="AG1601" s="60" t="n">
        <v>10</v>
      </c>
      <c r="AH1601" s="60" t="s">
        <v>382</v>
      </c>
      <c r="AI1601" s="61" t="n">
        <f aca="false">(T1601*(1-Painel!$C$40)+U1601+V1601+Painel!$C$41+Painel!$C$42*CEILING(G1601/100,1)+Painel!$C$43*CEILING(G1601,1)+Z1601)/(1-Resumo!$B$5)</f>
        <v>117.584738636364</v>
      </c>
      <c r="AJ1601" s="60" t="str">
        <f aca="false">IF(AI1601&lt;S1601,"SIM","NÃO")</f>
        <v>SIM</v>
      </c>
    </row>
    <row r="1602" customFormat="false" ht="15" hidden="false" customHeight="false" outlineLevel="0" collapsed="false">
      <c r="A1602" s="59" t="n">
        <v>46271.4304976852</v>
      </c>
      <c r="B1602" s="60" t="s">
        <v>1838</v>
      </c>
      <c r="C1602" s="60" t="n">
        <v>25804130</v>
      </c>
      <c r="D1602" s="60" t="s">
        <v>274</v>
      </c>
      <c r="E1602" s="60" t="s">
        <v>24</v>
      </c>
      <c r="F1602" s="60" t="s">
        <v>234</v>
      </c>
      <c r="G1602" s="60" t="n">
        <v>40</v>
      </c>
      <c r="H1602" s="61" t="n">
        <v>579.99</v>
      </c>
      <c r="I1602" s="61" t="n">
        <v>74.97</v>
      </c>
      <c r="J1602" s="61" t="n">
        <f aca="false">H1602*Resumo!$C$6</f>
        <v>0</v>
      </c>
      <c r="K1602" s="61" t="n">
        <f aca="false">H1602*Resumo!$C$7</f>
        <v>1.217979</v>
      </c>
      <c r="L1602" s="61" t="n">
        <f aca="false">H1602*Resumo!$C$8</f>
        <v>1.217979</v>
      </c>
      <c r="M1602" s="61" t="n">
        <f aca="false">Resumo!$C$10*CEILING(G1602/100,1)</f>
        <v>1.05</v>
      </c>
      <c r="N1602" s="61" t="n">
        <f aca="false">Resumo!$C$9</f>
        <v>0</v>
      </c>
      <c r="O1602" s="61" t="n">
        <f aca="false">Resumo!$C$13</f>
        <v>13.55</v>
      </c>
      <c r="P1602" s="61" t="n">
        <f aca="false">Resumo!$C$14*CEILING(G1602,1)</f>
        <v>18</v>
      </c>
      <c r="Q1602" s="61" t="n">
        <f aca="false">SUM(I1602:P1602)*Resumo!$C$11</f>
        <v>0</v>
      </c>
      <c r="R1602" s="61" t="n">
        <f aca="false">SUM(I1602:Q1602)</f>
        <v>110.005958</v>
      </c>
      <c r="S1602" s="61" t="n">
        <f aca="false">R1602/(1-Resumo!$C$5)</f>
        <v>125.006770454545</v>
      </c>
      <c r="T1602" s="61" t="n">
        <v>124.38</v>
      </c>
      <c r="U1602" s="61" t="n">
        <f aca="false">H1602*Resumo!$B$6</f>
        <v>0.57999</v>
      </c>
      <c r="V1602" s="61" t="n">
        <f aca="false">H1602*Resumo!$B$7</f>
        <v>1.15998</v>
      </c>
      <c r="W1602" s="61" t="n">
        <f aca="false">Resumo!$B$9</f>
        <v>1</v>
      </c>
      <c r="X1602" s="61" t="n">
        <f aca="false">Resumo!$B$10*CEILING(G1602/100,1)</f>
        <v>4.5</v>
      </c>
      <c r="Y1602" s="61" t="n">
        <f aca="false">Resumo!$B$12*CEILING(G1602,1)</f>
        <v>2.4</v>
      </c>
      <c r="Z1602" s="61" t="n">
        <f aca="false">Resumo!$B$14*CEILING(G1602,1)</f>
        <v>18</v>
      </c>
      <c r="AA1602" s="61" t="n">
        <f aca="false">SUM(T1602:Z1602)</f>
        <v>152.01997</v>
      </c>
      <c r="AB1602" s="61" t="n">
        <f aca="false">AA1602/(1-Resumo!$B$5)</f>
        <v>172.749965909091</v>
      </c>
      <c r="AC1602" s="61" t="n">
        <f aca="false">AB1602-S1602</f>
        <v>47.7431954545455</v>
      </c>
      <c r="AD1602" s="62" t="n">
        <f aca="false">AB1602/S1602-1</f>
        <v>0.381924877196197</v>
      </c>
      <c r="AE1602" s="60" t="str">
        <f aca="false">IF(AB1602&lt;S1602,"SIM","NÃO")</f>
        <v>NÃO</v>
      </c>
      <c r="AF1602" s="60" t="n">
        <v>13</v>
      </c>
      <c r="AG1602" s="60" t="n">
        <v>8</v>
      </c>
      <c r="AH1602" s="60" t="s">
        <v>385</v>
      </c>
      <c r="AI1602" s="61" t="n">
        <f aca="false">(T1602*(1-Painel!$C$40)+U1602+V1602+Painel!$C$41+Painel!$C$42*CEILING(G1602/100,1)+Painel!$C$43*CEILING(G1602,1)+Z1602)/(1-Resumo!$B$5)</f>
        <v>119.459738636364</v>
      </c>
      <c r="AJ1602" s="60" t="str">
        <f aca="false">IF(AI1602&lt;S1602,"SIM","NÃO")</f>
        <v>SIM</v>
      </c>
    </row>
    <row r="1603" customFormat="false" ht="15" hidden="false" customHeight="false" outlineLevel="0" collapsed="false">
      <c r="A1603" s="59" t="n">
        <v>46271.4484953704</v>
      </c>
      <c r="B1603" s="60" t="s">
        <v>1839</v>
      </c>
      <c r="C1603" s="60" t="n">
        <v>23933600</v>
      </c>
      <c r="D1603" s="60" t="s">
        <v>218</v>
      </c>
      <c r="E1603" s="60" t="s">
        <v>24</v>
      </c>
      <c r="F1603" s="60" t="s">
        <v>237</v>
      </c>
      <c r="G1603" s="60" t="n">
        <v>61.4</v>
      </c>
      <c r="H1603" s="61" t="n">
        <v>999.99</v>
      </c>
      <c r="I1603" s="61" t="n">
        <v>90.2</v>
      </c>
      <c r="J1603" s="61" t="n">
        <f aca="false">H1603*Resumo!$C$6</f>
        <v>0</v>
      </c>
      <c r="K1603" s="61" t="n">
        <f aca="false">H1603*Resumo!$C$7</f>
        <v>2.099979</v>
      </c>
      <c r="L1603" s="61" t="n">
        <f aca="false">H1603*Resumo!$C$8</f>
        <v>2.099979</v>
      </c>
      <c r="M1603" s="61" t="n">
        <f aca="false">Resumo!$C$10*CEILING(G1603/100,1)</f>
        <v>1.05</v>
      </c>
      <c r="N1603" s="61" t="n">
        <f aca="false">Resumo!$C$9</f>
        <v>0</v>
      </c>
      <c r="O1603" s="61" t="n">
        <f aca="false">Resumo!$C$13</f>
        <v>13.55</v>
      </c>
      <c r="P1603" s="61" t="n">
        <f aca="false">Resumo!$C$14*CEILING(G1603,1)</f>
        <v>27.9</v>
      </c>
      <c r="Q1603" s="61" t="n">
        <f aca="false">SUM(I1603:P1603)*Resumo!$C$11</f>
        <v>0</v>
      </c>
      <c r="R1603" s="61" t="n">
        <f aca="false">SUM(I1603:Q1603)</f>
        <v>136.899958</v>
      </c>
      <c r="S1603" s="61" t="n">
        <f aca="false">R1603/(1-Resumo!$C$5)</f>
        <v>155.568134090909</v>
      </c>
      <c r="T1603" s="61" t="n">
        <v>166.05</v>
      </c>
      <c r="U1603" s="61" t="n">
        <f aca="false">H1603*Resumo!$B$6</f>
        <v>0.99999</v>
      </c>
      <c r="V1603" s="61" t="n">
        <f aca="false">H1603*Resumo!$B$7</f>
        <v>1.99998</v>
      </c>
      <c r="W1603" s="61" t="n">
        <f aca="false">Resumo!$B$9</f>
        <v>1</v>
      </c>
      <c r="X1603" s="61" t="n">
        <f aca="false">Resumo!$B$10*CEILING(G1603/100,1)</f>
        <v>4.5</v>
      </c>
      <c r="Y1603" s="61" t="n">
        <f aca="false">Resumo!$B$12*CEILING(G1603,1)</f>
        <v>3.72</v>
      </c>
      <c r="Z1603" s="61" t="n">
        <f aca="false">Resumo!$B$14*CEILING(G1603,1)</f>
        <v>27.9</v>
      </c>
      <c r="AA1603" s="61" t="n">
        <f aca="false">SUM(T1603:Z1603)</f>
        <v>206.16997</v>
      </c>
      <c r="AB1603" s="61" t="n">
        <f aca="false">AA1603/(1-Resumo!$B$5)</f>
        <v>234.284056818182</v>
      </c>
      <c r="AC1603" s="61" t="n">
        <f aca="false">AB1603-S1603</f>
        <v>78.7159227272727</v>
      </c>
      <c r="AD1603" s="62" t="n">
        <f aca="false">AB1603/S1603-1</f>
        <v>0.505990016446901</v>
      </c>
      <c r="AE1603" s="60" t="str">
        <f aca="false">IF(AB1603&lt;S1603,"SIM","NÃO")</f>
        <v>NÃO</v>
      </c>
      <c r="AF1603" s="60" t="n">
        <v>13</v>
      </c>
      <c r="AG1603" s="60" t="n">
        <v>10</v>
      </c>
      <c r="AH1603" s="60" t="s">
        <v>382</v>
      </c>
      <c r="AI1603" s="61" t="n">
        <f aca="false">(T1603*(1-Painel!$C$40)+U1603+V1603+Painel!$C$41+Painel!$C$42*CEILING(G1603/100,1)+Painel!$C$43*CEILING(G1603,1)+Z1603)/(1-Resumo!$B$5)</f>
        <v>163.867579545455</v>
      </c>
      <c r="AJ1603" s="60" t="str">
        <f aca="false">IF(AI1603&lt;S1603,"SIM","NÃO")</f>
        <v>NÃO</v>
      </c>
    </row>
    <row r="1604" customFormat="false" ht="15" hidden="false" customHeight="false" outlineLevel="0" collapsed="false">
      <c r="A1604" s="59" t="n">
        <v>46271.4698726852</v>
      </c>
      <c r="B1604" s="60" t="s">
        <v>1840</v>
      </c>
      <c r="C1604" s="60" t="n">
        <v>21361140</v>
      </c>
      <c r="D1604" s="60" t="s">
        <v>46</v>
      </c>
      <c r="E1604" s="60" t="s">
        <v>22</v>
      </c>
      <c r="F1604" s="60" t="s">
        <v>237</v>
      </c>
      <c r="G1604" s="60" t="n">
        <v>66.8</v>
      </c>
      <c r="H1604" s="61" t="n">
        <v>666.23</v>
      </c>
      <c r="I1604" s="61" t="n">
        <v>63.21</v>
      </c>
      <c r="J1604" s="61" t="n">
        <f aca="false">H1604*Resumo!$C$6</f>
        <v>0</v>
      </c>
      <c r="K1604" s="61" t="n">
        <f aca="false">H1604*Resumo!$C$7</f>
        <v>1.399083</v>
      </c>
      <c r="L1604" s="61" t="n">
        <f aca="false">H1604*Resumo!$C$8</f>
        <v>1.399083</v>
      </c>
      <c r="M1604" s="61" t="n">
        <f aca="false">Resumo!$C$10*CEILING(G1604/100,1)</f>
        <v>1.05</v>
      </c>
      <c r="N1604" s="61" t="n">
        <f aca="false">Resumo!$C$9</f>
        <v>0</v>
      </c>
      <c r="O1604" s="61" t="n">
        <f aca="false">Resumo!$C$13</f>
        <v>13.55</v>
      </c>
      <c r="P1604" s="61" t="n">
        <f aca="false">Resumo!$C$14*CEILING(G1604,1)</f>
        <v>30.15</v>
      </c>
      <c r="Q1604" s="61" t="n">
        <f aca="false">SUM(I1604:P1604)*Resumo!$C$11</f>
        <v>0</v>
      </c>
      <c r="R1604" s="61" t="n">
        <f aca="false">SUM(I1604:Q1604)</f>
        <v>110.758166</v>
      </c>
      <c r="S1604" s="61" t="n">
        <f aca="false">R1604/(1-Resumo!$C$5)</f>
        <v>125.861552272727</v>
      </c>
      <c r="T1604" s="61" t="n">
        <v>131.02</v>
      </c>
      <c r="U1604" s="61" t="n">
        <f aca="false">H1604*Resumo!$B$6</f>
        <v>0.66623</v>
      </c>
      <c r="V1604" s="61" t="n">
        <f aca="false">H1604*Resumo!$B$7</f>
        <v>1.33246</v>
      </c>
      <c r="W1604" s="61" t="n">
        <f aca="false">Resumo!$B$9</f>
        <v>1</v>
      </c>
      <c r="X1604" s="61" t="n">
        <f aca="false">Resumo!$B$10*CEILING(G1604/100,1)</f>
        <v>4.5</v>
      </c>
      <c r="Y1604" s="61" t="n">
        <f aca="false">Resumo!$B$12*CEILING(G1604,1)</f>
        <v>4.02</v>
      </c>
      <c r="Z1604" s="61" t="n">
        <f aca="false">Resumo!$B$14*CEILING(G1604,1)</f>
        <v>30.15</v>
      </c>
      <c r="AA1604" s="61" t="n">
        <f aca="false">SUM(T1604:Z1604)</f>
        <v>172.68869</v>
      </c>
      <c r="AB1604" s="61" t="n">
        <f aca="false">AA1604/(1-Resumo!$B$5)</f>
        <v>196.237147727273</v>
      </c>
      <c r="AC1604" s="61" t="n">
        <f aca="false">AB1604-S1604</f>
        <v>70.3755954545455</v>
      </c>
      <c r="AD1604" s="62" t="n">
        <f aca="false">AB1604/S1604-1</f>
        <v>0.559150862068265</v>
      </c>
      <c r="AE1604" s="60" t="str">
        <f aca="false">IF(AB1604&lt;S1604,"SIM","NÃO")</f>
        <v>NÃO</v>
      </c>
      <c r="AF1604" s="60" t="n">
        <v>2</v>
      </c>
      <c r="AG1604" s="60" t="n">
        <v>5</v>
      </c>
      <c r="AH1604" s="60" t="s">
        <v>382</v>
      </c>
      <c r="AI1604" s="61" t="n">
        <f aca="false">(T1604*(1-Painel!$C$40)+U1604+V1604+Painel!$C$41+Painel!$C$42*CEILING(G1604/100,1)+Painel!$C$43*CEILING(G1604,1)+Z1604)/(1-Resumo!$B$5)</f>
        <v>138.616011363636</v>
      </c>
      <c r="AJ1604" s="60" t="str">
        <f aca="false">IF(AI1604&lt;S1604,"SIM","NÃO")</f>
        <v>NÃO</v>
      </c>
    </row>
    <row r="1605" customFormat="false" ht="15" hidden="false" customHeight="false" outlineLevel="0" collapsed="false">
      <c r="A1605" s="59" t="n">
        <v>46271.4882523148</v>
      </c>
      <c r="B1605" s="60" t="s">
        <v>1841</v>
      </c>
      <c r="C1605" s="60" t="n">
        <v>23058281</v>
      </c>
      <c r="D1605" s="60" t="s">
        <v>46</v>
      </c>
      <c r="E1605" s="60" t="s">
        <v>22</v>
      </c>
      <c r="F1605" s="60" t="s">
        <v>234</v>
      </c>
      <c r="G1605" s="60" t="n">
        <v>36.8</v>
      </c>
      <c r="H1605" s="61" t="n">
        <v>434.53</v>
      </c>
      <c r="I1605" s="61" t="n">
        <v>48.35</v>
      </c>
      <c r="J1605" s="61" t="n">
        <f aca="false">H1605*Resumo!$C$6</f>
        <v>0</v>
      </c>
      <c r="K1605" s="61" t="n">
        <f aca="false">H1605*Resumo!$C$7</f>
        <v>0.912513</v>
      </c>
      <c r="L1605" s="61" t="n">
        <f aca="false">H1605*Resumo!$C$8</f>
        <v>0.912513</v>
      </c>
      <c r="M1605" s="61" t="n">
        <f aca="false">Resumo!$C$10*CEILING(G1605/100,1)</f>
        <v>1.05</v>
      </c>
      <c r="N1605" s="61" t="n">
        <f aca="false">Resumo!$C$9</f>
        <v>0</v>
      </c>
      <c r="O1605" s="61" t="n">
        <f aca="false">Resumo!$C$13</f>
        <v>13.55</v>
      </c>
      <c r="P1605" s="61" t="n">
        <f aca="false">Resumo!$C$14*CEILING(G1605,1)</f>
        <v>16.65</v>
      </c>
      <c r="Q1605" s="61" t="n">
        <f aca="false">SUM(I1605:P1605)*Resumo!$C$11</f>
        <v>0</v>
      </c>
      <c r="R1605" s="61" t="n">
        <f aca="false">SUM(I1605:Q1605)</f>
        <v>81.425026</v>
      </c>
      <c r="S1605" s="61" t="n">
        <f aca="false">R1605/(1-Resumo!$C$5)</f>
        <v>92.5284386363637</v>
      </c>
      <c r="T1605" s="61" t="n">
        <v>93.97</v>
      </c>
      <c r="U1605" s="61" t="n">
        <f aca="false">H1605*Resumo!$B$6</f>
        <v>0.43453</v>
      </c>
      <c r="V1605" s="61" t="n">
        <f aca="false">H1605*Resumo!$B$7</f>
        <v>0.86906</v>
      </c>
      <c r="W1605" s="61" t="n">
        <f aca="false">Resumo!$B$9</f>
        <v>1</v>
      </c>
      <c r="X1605" s="61" t="n">
        <f aca="false">Resumo!$B$10*CEILING(G1605/100,1)</f>
        <v>4.5</v>
      </c>
      <c r="Y1605" s="61" t="n">
        <f aca="false">Resumo!$B$12*CEILING(G1605,1)</f>
        <v>2.22</v>
      </c>
      <c r="Z1605" s="61" t="n">
        <f aca="false">Resumo!$B$14*CEILING(G1605,1)</f>
        <v>16.65</v>
      </c>
      <c r="AA1605" s="61" t="n">
        <f aca="false">SUM(T1605:Z1605)</f>
        <v>119.64359</v>
      </c>
      <c r="AB1605" s="61" t="n">
        <f aca="false">AA1605/(1-Resumo!$B$5)</f>
        <v>135.958625</v>
      </c>
      <c r="AC1605" s="61" t="n">
        <f aca="false">AB1605-S1605</f>
        <v>43.4301863636364</v>
      </c>
      <c r="AD1605" s="62" t="n">
        <f aca="false">AB1605/S1605-1</f>
        <v>0.469371222552634</v>
      </c>
      <c r="AE1605" s="60" t="str">
        <f aca="false">IF(AB1605&lt;S1605,"SIM","NÃO")</f>
        <v>NÃO</v>
      </c>
      <c r="AF1605" s="60" t="n">
        <v>2</v>
      </c>
      <c r="AG1605" s="60" t="n">
        <v>5</v>
      </c>
      <c r="AH1605" s="60" t="s">
        <v>382</v>
      </c>
      <c r="AI1605" s="61" t="n">
        <f aca="false">(T1605*(1-Painel!$C$40)+U1605+V1605+Painel!$C$41+Painel!$C$42*CEILING(G1605/100,1)+Painel!$C$43*CEILING(G1605,1)+Z1605)/(1-Resumo!$B$5)</f>
        <v>94.2766931818182</v>
      </c>
      <c r="AJ1605" s="60" t="str">
        <f aca="false">IF(AI1605&lt;S1605,"SIM","NÃO")</f>
        <v>NÃO</v>
      </c>
    </row>
    <row r="1606" customFormat="false" ht="15" hidden="false" customHeight="false" outlineLevel="0" collapsed="false">
      <c r="A1606" s="59" t="n">
        <v>46271.5297569444</v>
      </c>
      <c r="B1606" s="60" t="s">
        <v>658</v>
      </c>
      <c r="C1606" s="60" t="n">
        <v>23520560</v>
      </c>
      <c r="D1606" s="60" t="s">
        <v>46</v>
      </c>
      <c r="E1606" s="60" t="s">
        <v>22</v>
      </c>
      <c r="F1606" s="60" t="s">
        <v>237</v>
      </c>
      <c r="G1606" s="60" t="n">
        <v>63.9</v>
      </c>
      <c r="H1606" s="61" t="n">
        <v>716.35</v>
      </c>
      <c r="I1606" s="61" t="n">
        <v>63.21</v>
      </c>
      <c r="J1606" s="61" t="n">
        <f aca="false">H1606*Resumo!$C$6</f>
        <v>0</v>
      </c>
      <c r="K1606" s="61" t="n">
        <f aca="false">H1606*Resumo!$C$7</f>
        <v>1.504335</v>
      </c>
      <c r="L1606" s="61" t="n">
        <f aca="false">H1606*Resumo!$C$8</f>
        <v>1.504335</v>
      </c>
      <c r="M1606" s="61" t="n">
        <f aca="false">Resumo!$C$10*CEILING(G1606/100,1)</f>
        <v>1.05</v>
      </c>
      <c r="N1606" s="61" t="n">
        <f aca="false">Resumo!$C$9</f>
        <v>0</v>
      </c>
      <c r="O1606" s="61" t="n">
        <f aca="false">Resumo!$C$13</f>
        <v>13.55</v>
      </c>
      <c r="P1606" s="61" t="n">
        <f aca="false">Resumo!$C$14*CEILING(G1606,1)</f>
        <v>28.8</v>
      </c>
      <c r="Q1606" s="61" t="n">
        <f aca="false">SUM(I1606:P1606)*Resumo!$C$11</f>
        <v>0</v>
      </c>
      <c r="R1606" s="61" t="n">
        <f aca="false">SUM(I1606:Q1606)</f>
        <v>109.61867</v>
      </c>
      <c r="S1606" s="61" t="n">
        <f aca="false">R1606/(1-Resumo!$C$5)</f>
        <v>124.566670454545</v>
      </c>
      <c r="T1606" s="61" t="n">
        <v>131.02</v>
      </c>
      <c r="U1606" s="61" t="n">
        <f aca="false">H1606*Resumo!$B$6</f>
        <v>0.71635</v>
      </c>
      <c r="V1606" s="61" t="n">
        <f aca="false">H1606*Resumo!$B$7</f>
        <v>1.4327</v>
      </c>
      <c r="W1606" s="61" t="n">
        <f aca="false">Resumo!$B$9</f>
        <v>1</v>
      </c>
      <c r="X1606" s="61" t="n">
        <f aca="false">Resumo!$B$10*CEILING(G1606/100,1)</f>
        <v>4.5</v>
      </c>
      <c r="Y1606" s="61" t="n">
        <f aca="false">Resumo!$B$12*CEILING(G1606,1)</f>
        <v>3.84</v>
      </c>
      <c r="Z1606" s="61" t="n">
        <f aca="false">Resumo!$B$14*CEILING(G1606,1)</f>
        <v>28.8</v>
      </c>
      <c r="AA1606" s="61" t="n">
        <f aca="false">SUM(T1606:Z1606)</f>
        <v>171.30905</v>
      </c>
      <c r="AB1606" s="61" t="n">
        <f aca="false">AA1606/(1-Resumo!$B$5)</f>
        <v>194.669375</v>
      </c>
      <c r="AC1606" s="61" t="n">
        <f aca="false">AB1606-S1606</f>
        <v>70.1027045454546</v>
      </c>
      <c r="AD1606" s="62" t="n">
        <f aca="false">AB1606/S1606-1</f>
        <v>0.562772564199146</v>
      </c>
      <c r="AE1606" s="60" t="str">
        <f aca="false">IF(AB1606&lt;S1606,"SIM","NÃO")</f>
        <v>NÃO</v>
      </c>
      <c r="AF1606" s="60" t="n">
        <v>2</v>
      </c>
      <c r="AG1606" s="60" t="n">
        <v>5</v>
      </c>
      <c r="AH1606" s="60" t="s">
        <v>382</v>
      </c>
      <c r="AI1606" s="61" t="n">
        <f aca="false">(T1606*(1-Painel!$C$40)+U1606+V1606+Painel!$C$41+Painel!$C$42*CEILING(G1606/100,1)+Painel!$C$43*CEILING(G1606,1)+Z1606)/(1-Resumo!$B$5)</f>
        <v>137.252784090909</v>
      </c>
      <c r="AJ1606" s="60" t="str">
        <f aca="false">IF(AI1606&lt;S1606,"SIM","NÃO")</f>
        <v>NÃO</v>
      </c>
    </row>
    <row r="1607" customFormat="false" ht="15" hidden="false" customHeight="false" outlineLevel="0" collapsed="false">
      <c r="A1607" s="59" t="n">
        <v>46271.5615162037</v>
      </c>
      <c r="B1607" s="60" t="s">
        <v>1842</v>
      </c>
      <c r="C1607" s="60" t="n">
        <v>23085570</v>
      </c>
      <c r="D1607" s="60" t="s">
        <v>46</v>
      </c>
      <c r="E1607" s="60" t="s">
        <v>22</v>
      </c>
      <c r="F1607" s="60" t="s">
        <v>235</v>
      </c>
      <c r="G1607" s="60" t="n">
        <v>49.6</v>
      </c>
      <c r="H1607" s="61" t="n">
        <v>683.99</v>
      </c>
      <c r="I1607" s="61" t="n">
        <v>53.55</v>
      </c>
      <c r="J1607" s="61" t="n">
        <f aca="false">H1607*Resumo!$C$6</f>
        <v>0</v>
      </c>
      <c r="K1607" s="61" t="n">
        <f aca="false">H1607*Resumo!$C$7</f>
        <v>1.436379</v>
      </c>
      <c r="L1607" s="61" t="n">
        <f aca="false">H1607*Resumo!$C$8</f>
        <v>1.436379</v>
      </c>
      <c r="M1607" s="61" t="n">
        <f aca="false">Resumo!$C$10*CEILING(G1607/100,1)</f>
        <v>1.05</v>
      </c>
      <c r="N1607" s="61" t="n">
        <f aca="false">Resumo!$C$9</f>
        <v>0</v>
      </c>
      <c r="O1607" s="61" t="n">
        <f aca="false">Resumo!$C$13</f>
        <v>13.55</v>
      </c>
      <c r="P1607" s="61" t="n">
        <f aca="false">Resumo!$C$14*CEILING(G1607,1)</f>
        <v>22.5</v>
      </c>
      <c r="Q1607" s="61" t="n">
        <f aca="false">SUM(I1607:P1607)*Resumo!$C$11</f>
        <v>0</v>
      </c>
      <c r="R1607" s="61" t="n">
        <f aca="false">SUM(I1607:Q1607)</f>
        <v>93.522758</v>
      </c>
      <c r="S1607" s="61" t="n">
        <f aca="false">R1607/(1-Resumo!$C$5)</f>
        <v>106.275861363636</v>
      </c>
      <c r="T1607" s="61" t="n">
        <v>93.97</v>
      </c>
      <c r="U1607" s="61" t="n">
        <f aca="false">H1607*Resumo!$B$6</f>
        <v>0.68399</v>
      </c>
      <c r="V1607" s="61" t="n">
        <f aca="false">H1607*Resumo!$B$7</f>
        <v>1.36798</v>
      </c>
      <c r="W1607" s="61" t="n">
        <f aca="false">Resumo!$B$9</f>
        <v>1</v>
      </c>
      <c r="X1607" s="61" t="n">
        <f aca="false">Resumo!$B$10*CEILING(G1607/100,1)</f>
        <v>4.5</v>
      </c>
      <c r="Y1607" s="61" t="n">
        <f aca="false">Resumo!$B$12*CEILING(G1607,1)</f>
        <v>3</v>
      </c>
      <c r="Z1607" s="61" t="n">
        <f aca="false">Resumo!$B$14*CEILING(G1607,1)</f>
        <v>22.5</v>
      </c>
      <c r="AA1607" s="61" t="n">
        <f aca="false">SUM(T1607:Z1607)</f>
        <v>127.02197</v>
      </c>
      <c r="AB1607" s="61" t="n">
        <f aca="false">AA1607/(1-Resumo!$B$5)</f>
        <v>144.343147727273</v>
      </c>
      <c r="AC1607" s="61" t="n">
        <f aca="false">AB1607-S1607</f>
        <v>38.0672863636364</v>
      </c>
      <c r="AD1607" s="62" t="n">
        <f aca="false">AB1607/S1607-1</f>
        <v>0.358193157648324</v>
      </c>
      <c r="AE1607" s="60" t="str">
        <f aca="false">IF(AB1607&lt;S1607,"SIM","NÃO")</f>
        <v>NÃO</v>
      </c>
      <c r="AF1607" s="60" t="n">
        <v>2</v>
      </c>
      <c r="AG1607" s="60" t="n">
        <v>5</v>
      </c>
      <c r="AH1607" s="60" t="s">
        <v>382</v>
      </c>
      <c r="AI1607" s="61" t="n">
        <f aca="false">(T1607*(1-Painel!$C$40)+U1607+V1607+Painel!$C$41+Painel!$C$42*CEILING(G1607/100,1)+Painel!$C$43*CEILING(G1607,1)+Z1607)/(1-Resumo!$B$5)</f>
        <v>101.774852272727</v>
      </c>
      <c r="AJ1607" s="60" t="str">
        <f aca="false">IF(AI1607&lt;S1607,"SIM","NÃO")</f>
        <v>SIM</v>
      </c>
    </row>
    <row r="1608" customFormat="false" ht="15" hidden="false" customHeight="false" outlineLevel="0" collapsed="false">
      <c r="A1608" s="59" t="n">
        <v>46271.581400463</v>
      </c>
      <c r="B1608" s="60" t="s">
        <v>1843</v>
      </c>
      <c r="C1608" s="60" t="n">
        <v>24916000</v>
      </c>
      <c r="D1608" s="60" t="s">
        <v>220</v>
      </c>
      <c r="E1608" s="60" t="s">
        <v>24</v>
      </c>
      <c r="F1608" s="60" t="s">
        <v>234</v>
      </c>
      <c r="G1608" s="60" t="n">
        <v>36.9</v>
      </c>
      <c r="H1608" s="61" t="n">
        <v>399.99</v>
      </c>
      <c r="I1608" s="61" t="n">
        <v>74.97</v>
      </c>
      <c r="J1608" s="61" t="n">
        <f aca="false">H1608*Resumo!$C$6</f>
        <v>0</v>
      </c>
      <c r="K1608" s="61" t="n">
        <f aca="false">H1608*Resumo!$C$7</f>
        <v>0.839979</v>
      </c>
      <c r="L1608" s="61" t="n">
        <f aca="false">H1608*Resumo!$C$8</f>
        <v>0.839979</v>
      </c>
      <c r="M1608" s="61" t="n">
        <f aca="false">Resumo!$C$10*CEILING(G1608/100,1)</f>
        <v>1.05</v>
      </c>
      <c r="N1608" s="61" t="n">
        <f aca="false">Resumo!$C$9</f>
        <v>0</v>
      </c>
      <c r="O1608" s="61" t="n">
        <f aca="false">Resumo!$C$13</f>
        <v>13.55</v>
      </c>
      <c r="P1608" s="61" t="n">
        <f aca="false">Resumo!$C$14*CEILING(G1608,1)</f>
        <v>16.65</v>
      </c>
      <c r="Q1608" s="61" t="n">
        <f aca="false">SUM(I1608:P1608)*Resumo!$C$11</f>
        <v>0</v>
      </c>
      <c r="R1608" s="61" t="n">
        <f aca="false">SUM(I1608:Q1608)</f>
        <v>107.899958</v>
      </c>
      <c r="S1608" s="61" t="n">
        <f aca="false">R1608/(1-Resumo!$C$5)</f>
        <v>122.613588636364</v>
      </c>
      <c r="T1608" s="61" t="n">
        <v>114.95</v>
      </c>
      <c r="U1608" s="61" t="n">
        <f aca="false">H1608*Resumo!$B$6</f>
        <v>0.39999</v>
      </c>
      <c r="V1608" s="61" t="n">
        <f aca="false">H1608*Resumo!$B$7</f>
        <v>0.79998</v>
      </c>
      <c r="W1608" s="61" t="n">
        <f aca="false">Resumo!$B$9</f>
        <v>1</v>
      </c>
      <c r="X1608" s="61" t="n">
        <f aca="false">Resumo!$B$10*CEILING(G1608/100,1)</f>
        <v>4.5</v>
      </c>
      <c r="Y1608" s="61" t="n">
        <f aca="false">Resumo!$B$12*CEILING(G1608,1)</f>
        <v>2.22</v>
      </c>
      <c r="Z1608" s="61" t="n">
        <f aca="false">Resumo!$B$14*CEILING(G1608,1)</f>
        <v>16.65</v>
      </c>
      <c r="AA1608" s="61" t="n">
        <f aca="false">SUM(T1608:Z1608)</f>
        <v>140.51997</v>
      </c>
      <c r="AB1608" s="61" t="n">
        <f aca="false">AA1608/(1-Resumo!$B$5)</f>
        <v>159.681784090909</v>
      </c>
      <c r="AC1608" s="61" t="n">
        <f aca="false">AB1608-S1608</f>
        <v>37.0681954545455</v>
      </c>
      <c r="AD1608" s="62" t="n">
        <f aca="false">AB1608/S1608-1</f>
        <v>0.302317189039129</v>
      </c>
      <c r="AE1608" s="60" t="str">
        <f aca="false">IF(AB1608&lt;S1608,"SIM","NÃO")</f>
        <v>NÃO</v>
      </c>
      <c r="AF1608" s="60" t="n">
        <v>13</v>
      </c>
      <c r="AG1608" s="60" t="n">
        <v>7</v>
      </c>
      <c r="AH1608" s="60" t="s">
        <v>382</v>
      </c>
      <c r="AI1608" s="61" t="n">
        <f aca="false">(T1608*(1-Painel!$C$40)+U1608+V1608+Painel!$C$41+Painel!$C$42*CEILING(G1608/100,1)+Painel!$C$43*CEILING(G1608,1)+Z1608)/(1-Resumo!$B$5)</f>
        <v>110.132352272727</v>
      </c>
      <c r="AJ1608" s="60" t="str">
        <f aca="false">IF(AI1608&lt;S1608,"SIM","NÃO")</f>
        <v>SIM</v>
      </c>
    </row>
    <row r="1609" customFormat="false" ht="15" hidden="false" customHeight="false" outlineLevel="0" collapsed="false">
      <c r="A1609" s="59" t="n">
        <v>46271.6548958333</v>
      </c>
      <c r="B1609" s="60" t="s">
        <v>1844</v>
      </c>
      <c r="C1609" s="60" t="n">
        <v>21012351</v>
      </c>
      <c r="D1609" s="60" t="s">
        <v>46</v>
      </c>
      <c r="E1609" s="60" t="s">
        <v>22</v>
      </c>
      <c r="F1609" s="60" t="s">
        <v>234</v>
      </c>
      <c r="G1609" s="60" t="n">
        <v>37.6</v>
      </c>
      <c r="H1609" s="61" t="n">
        <v>469.99</v>
      </c>
      <c r="I1609" s="61" t="n">
        <v>48.35</v>
      </c>
      <c r="J1609" s="61" t="n">
        <f aca="false">H1609*Resumo!$C$6</f>
        <v>0</v>
      </c>
      <c r="K1609" s="61" t="n">
        <f aca="false">H1609*Resumo!$C$7</f>
        <v>0.986979</v>
      </c>
      <c r="L1609" s="61" t="n">
        <f aca="false">H1609*Resumo!$C$8</f>
        <v>0.986979</v>
      </c>
      <c r="M1609" s="61" t="n">
        <f aca="false">Resumo!$C$10*CEILING(G1609/100,1)</f>
        <v>1.05</v>
      </c>
      <c r="N1609" s="61" t="n">
        <f aca="false">Resumo!$C$9</f>
        <v>0</v>
      </c>
      <c r="O1609" s="61" t="n">
        <f aca="false">Resumo!$C$13</f>
        <v>13.55</v>
      </c>
      <c r="P1609" s="61" t="n">
        <f aca="false">Resumo!$C$14*CEILING(G1609,1)</f>
        <v>17.1</v>
      </c>
      <c r="Q1609" s="61" t="n">
        <f aca="false">SUM(I1609:P1609)*Resumo!$C$11</f>
        <v>0</v>
      </c>
      <c r="R1609" s="61" t="n">
        <f aca="false">SUM(I1609:Q1609)</f>
        <v>82.023958</v>
      </c>
      <c r="S1609" s="61" t="n">
        <f aca="false">R1609/(1-Resumo!$C$5)</f>
        <v>93.2090431818182</v>
      </c>
      <c r="T1609" s="61" t="n">
        <v>93.97</v>
      </c>
      <c r="U1609" s="61" t="n">
        <f aca="false">H1609*Resumo!$B$6</f>
        <v>0.46999</v>
      </c>
      <c r="V1609" s="61" t="n">
        <f aca="false">H1609*Resumo!$B$7</f>
        <v>0.93998</v>
      </c>
      <c r="W1609" s="61" t="n">
        <f aca="false">Resumo!$B$9</f>
        <v>1</v>
      </c>
      <c r="X1609" s="61" t="n">
        <f aca="false">Resumo!$B$10*CEILING(G1609/100,1)</f>
        <v>4.5</v>
      </c>
      <c r="Y1609" s="61" t="n">
        <f aca="false">Resumo!$B$12*CEILING(G1609,1)</f>
        <v>2.28</v>
      </c>
      <c r="Z1609" s="61" t="n">
        <f aca="false">Resumo!$B$14*CEILING(G1609,1)</f>
        <v>17.1</v>
      </c>
      <c r="AA1609" s="61" t="n">
        <f aca="false">SUM(T1609:Z1609)</f>
        <v>120.25997</v>
      </c>
      <c r="AB1609" s="61" t="n">
        <f aca="false">AA1609/(1-Resumo!$B$5)</f>
        <v>136.659056818182</v>
      </c>
      <c r="AC1609" s="61" t="n">
        <f aca="false">AB1609-S1609</f>
        <v>43.4500136363637</v>
      </c>
      <c r="AD1609" s="62" t="n">
        <f aca="false">AB1609/S1609-1</f>
        <v>0.466156631944048</v>
      </c>
      <c r="AE1609" s="60" t="str">
        <f aca="false">IF(AB1609&lt;S1609,"SIM","NÃO")</f>
        <v>NÃO</v>
      </c>
      <c r="AF1609" s="60" t="n">
        <v>2</v>
      </c>
      <c r="AG1609" s="60" t="n">
        <v>5</v>
      </c>
      <c r="AH1609" s="60" t="s">
        <v>382</v>
      </c>
      <c r="AI1609" s="61" t="n">
        <f aca="false">(T1609*(1-Painel!$C$40)+U1609+V1609+Painel!$C$41+Painel!$C$42*CEILING(G1609/100,1)+Painel!$C$43*CEILING(G1609,1)+Z1609)/(1-Resumo!$B$5)</f>
        <v>94.9089431818182</v>
      </c>
      <c r="AJ1609" s="60" t="str">
        <f aca="false">IF(AI1609&lt;S1609,"SIM","NÃO")</f>
        <v>NÃO</v>
      </c>
    </row>
    <row r="1610" customFormat="false" ht="15" hidden="false" customHeight="false" outlineLevel="0" collapsed="false">
      <c r="A1610" s="59" t="n">
        <v>46271.6679398148</v>
      </c>
      <c r="B1610" s="60" t="s">
        <v>1845</v>
      </c>
      <c r="C1610" s="60" t="n">
        <v>28928510</v>
      </c>
      <c r="D1610" s="60" t="s">
        <v>221</v>
      </c>
      <c r="E1610" s="60" t="s">
        <v>24</v>
      </c>
      <c r="F1610" s="60" t="s">
        <v>234</v>
      </c>
      <c r="G1610" s="60" t="n">
        <v>37.6</v>
      </c>
      <c r="H1610" s="61" t="n">
        <v>378.18</v>
      </c>
      <c r="I1610" s="61" t="n">
        <v>74.97</v>
      </c>
      <c r="J1610" s="61" t="n">
        <f aca="false">H1610*Resumo!$C$6</f>
        <v>0</v>
      </c>
      <c r="K1610" s="61" t="n">
        <f aca="false">H1610*Resumo!$C$7</f>
        <v>0.794178</v>
      </c>
      <c r="L1610" s="61" t="n">
        <f aca="false">H1610*Resumo!$C$8</f>
        <v>0.794178</v>
      </c>
      <c r="M1610" s="61" t="n">
        <f aca="false">Resumo!$C$10*CEILING(G1610/100,1)</f>
        <v>1.05</v>
      </c>
      <c r="N1610" s="61" t="n">
        <f aca="false">Resumo!$C$9</f>
        <v>0</v>
      </c>
      <c r="O1610" s="61" t="n">
        <f aca="false">Resumo!$C$13</f>
        <v>13.55</v>
      </c>
      <c r="P1610" s="61" t="n">
        <f aca="false">Resumo!$C$14*CEILING(G1610,1)</f>
        <v>17.1</v>
      </c>
      <c r="Q1610" s="61" t="n">
        <f aca="false">SUM(I1610:P1610)*Resumo!$C$11</f>
        <v>0</v>
      </c>
      <c r="R1610" s="61" t="n">
        <f aca="false">SUM(I1610:Q1610)</f>
        <v>108.258356</v>
      </c>
      <c r="S1610" s="61" t="n">
        <f aca="false">R1610/(1-Resumo!$C$5)</f>
        <v>123.020859090909</v>
      </c>
      <c r="T1610" s="61" t="n">
        <v>124.38</v>
      </c>
      <c r="U1610" s="61" t="n">
        <f aca="false">H1610*Resumo!$B$6</f>
        <v>0.37818</v>
      </c>
      <c r="V1610" s="61" t="n">
        <f aca="false">H1610*Resumo!$B$7</f>
        <v>0.75636</v>
      </c>
      <c r="W1610" s="61" t="n">
        <f aca="false">Resumo!$B$9</f>
        <v>1</v>
      </c>
      <c r="X1610" s="61" t="n">
        <f aca="false">Resumo!$B$10*CEILING(G1610/100,1)</f>
        <v>4.5</v>
      </c>
      <c r="Y1610" s="61" t="n">
        <f aca="false">Resumo!$B$12*CEILING(G1610,1)</f>
        <v>2.28</v>
      </c>
      <c r="Z1610" s="61" t="n">
        <f aca="false">Resumo!$B$14*CEILING(G1610,1)</f>
        <v>17.1</v>
      </c>
      <c r="AA1610" s="61" t="n">
        <f aca="false">SUM(T1610:Z1610)</f>
        <v>150.39454</v>
      </c>
      <c r="AB1610" s="61" t="n">
        <f aca="false">AA1610/(1-Resumo!$B$5)</f>
        <v>170.902886363636</v>
      </c>
      <c r="AC1610" s="61" t="n">
        <f aca="false">AB1610-S1610</f>
        <v>47.8820272727272</v>
      </c>
      <c r="AD1610" s="62" t="n">
        <f aca="false">AB1610/S1610-1</f>
        <v>0.389218768480098</v>
      </c>
      <c r="AE1610" s="60" t="str">
        <f aca="false">IF(AB1610&lt;S1610,"SIM","NÃO")</f>
        <v>NÃO</v>
      </c>
      <c r="AF1610" s="60" t="n">
        <v>13</v>
      </c>
      <c r="AG1610" s="60" t="n">
        <v>10</v>
      </c>
      <c r="AH1610" s="60" t="s">
        <v>382</v>
      </c>
      <c r="AI1610" s="61" t="n">
        <f aca="false">(T1610*(1-Painel!$C$40)+U1610+V1610+Painel!$C$41+Painel!$C$42*CEILING(G1610/100,1)+Painel!$C$43*CEILING(G1610,1)+Z1610)/(1-Resumo!$B$5)</f>
        <v>117.749022727273</v>
      </c>
      <c r="AJ1610" s="60" t="str">
        <f aca="false">IF(AI1610&lt;S1610,"SIM","NÃO")</f>
        <v>SIM</v>
      </c>
    </row>
    <row r="1611" customFormat="false" ht="15" hidden="false" customHeight="false" outlineLevel="0" collapsed="false">
      <c r="A1611" s="59" t="n">
        <v>46271.6702777778</v>
      </c>
      <c r="B1611" s="60" t="s">
        <v>1846</v>
      </c>
      <c r="C1611" s="60" t="n">
        <v>22471270</v>
      </c>
      <c r="D1611" s="60" t="s">
        <v>46</v>
      </c>
      <c r="E1611" s="60" t="s">
        <v>22</v>
      </c>
      <c r="F1611" s="60" t="s">
        <v>232</v>
      </c>
      <c r="G1611" s="60" t="n">
        <v>15</v>
      </c>
      <c r="H1611" s="61" t="n">
        <v>255.19</v>
      </c>
      <c r="I1611" s="61" t="n">
        <v>33.42</v>
      </c>
      <c r="J1611" s="61" t="n">
        <f aca="false">H1611*Resumo!$C$6</f>
        <v>0</v>
      </c>
      <c r="K1611" s="61" t="n">
        <f aca="false">H1611*Resumo!$C$7</f>
        <v>0.535899</v>
      </c>
      <c r="L1611" s="61" t="n">
        <f aca="false">H1611*Resumo!$C$8</f>
        <v>0.535899</v>
      </c>
      <c r="M1611" s="61" t="n">
        <f aca="false">Resumo!$C$10*CEILING(G1611/100,1)</f>
        <v>1.05</v>
      </c>
      <c r="N1611" s="61" t="n">
        <f aca="false">Resumo!$C$9</f>
        <v>0</v>
      </c>
      <c r="O1611" s="61" t="n">
        <f aca="false">Resumo!$C$13</f>
        <v>13.55</v>
      </c>
      <c r="P1611" s="61" t="n">
        <f aca="false">Resumo!$C$14*CEILING(G1611,1)</f>
        <v>6.75</v>
      </c>
      <c r="Q1611" s="61" t="n">
        <f aca="false">SUM(I1611:P1611)*Resumo!$C$11</f>
        <v>0</v>
      </c>
      <c r="R1611" s="61" t="n">
        <f aca="false">SUM(I1611:Q1611)</f>
        <v>55.841798</v>
      </c>
      <c r="S1611" s="61" t="n">
        <f aca="false">R1611/(1-Resumo!$C$5)</f>
        <v>63.4565886363636</v>
      </c>
      <c r="T1611" s="61" t="n">
        <v>46.98</v>
      </c>
      <c r="U1611" s="61" t="n">
        <f aca="false">H1611*Resumo!$B$6</f>
        <v>0.25519</v>
      </c>
      <c r="V1611" s="61" t="n">
        <f aca="false">H1611*Resumo!$B$7</f>
        <v>0.51038</v>
      </c>
      <c r="W1611" s="61" t="n">
        <f aca="false">Resumo!$B$9</f>
        <v>1</v>
      </c>
      <c r="X1611" s="61" t="n">
        <f aca="false">Resumo!$B$10*CEILING(G1611/100,1)</f>
        <v>4.5</v>
      </c>
      <c r="Y1611" s="61" t="n">
        <f aca="false">Resumo!$B$12*CEILING(G1611,1)</f>
        <v>0.9</v>
      </c>
      <c r="Z1611" s="61" t="n">
        <f aca="false">Resumo!$B$14*CEILING(G1611,1)</f>
        <v>6.75</v>
      </c>
      <c r="AA1611" s="61" t="n">
        <f aca="false">SUM(T1611:Z1611)</f>
        <v>60.89557</v>
      </c>
      <c r="AB1611" s="61" t="n">
        <f aca="false">AA1611/(1-Resumo!$B$5)</f>
        <v>69.1995113636364</v>
      </c>
      <c r="AC1611" s="61" t="n">
        <f aca="false">AB1611-S1611</f>
        <v>5.74292272727272</v>
      </c>
      <c r="AD1611" s="62" t="n">
        <f aca="false">AB1611/S1611-1</f>
        <v>0.0905015988202957</v>
      </c>
      <c r="AE1611" s="60" t="str">
        <f aca="false">IF(AB1611&lt;S1611,"SIM","NÃO")</f>
        <v>NÃO</v>
      </c>
      <c r="AF1611" s="60" t="n">
        <v>2</v>
      </c>
      <c r="AG1611" s="60" t="n">
        <v>5</v>
      </c>
      <c r="AH1611" s="60" t="s">
        <v>382</v>
      </c>
      <c r="AI1611" s="61" t="n">
        <f aca="false">(T1611*(1-Painel!$C$40)+U1611+V1611+Painel!$C$41+Painel!$C$42*CEILING(G1611/100,1)+Painel!$C$43*CEILING(G1611,1)+Z1611)/(1-Resumo!$B$5)</f>
        <v>46.6388295454545</v>
      </c>
      <c r="AJ1611" s="60" t="str">
        <f aca="false">IF(AI1611&lt;S1611,"SIM","NÃO")</f>
        <v>SIM</v>
      </c>
    </row>
    <row r="1612" customFormat="false" ht="15" hidden="false" customHeight="false" outlineLevel="0" collapsed="false">
      <c r="A1612" s="59" t="n">
        <v>46271.6786342593</v>
      </c>
      <c r="B1612" s="60" t="s">
        <v>1847</v>
      </c>
      <c r="C1612" s="60" t="n">
        <v>22631030</v>
      </c>
      <c r="D1612" s="60" t="s">
        <v>46</v>
      </c>
      <c r="E1612" s="60" t="s">
        <v>22</v>
      </c>
      <c r="F1612" s="60" t="s">
        <v>235</v>
      </c>
      <c r="G1612" s="60" t="n">
        <v>46.8</v>
      </c>
      <c r="H1612" s="61" t="n">
        <v>599.99</v>
      </c>
      <c r="I1612" s="61" t="n">
        <v>53.55</v>
      </c>
      <c r="J1612" s="61" t="n">
        <f aca="false">H1612*Resumo!$C$6</f>
        <v>0</v>
      </c>
      <c r="K1612" s="61" t="n">
        <f aca="false">H1612*Resumo!$C$7</f>
        <v>1.259979</v>
      </c>
      <c r="L1612" s="61" t="n">
        <f aca="false">H1612*Resumo!$C$8</f>
        <v>1.259979</v>
      </c>
      <c r="M1612" s="61" t="n">
        <f aca="false">Resumo!$C$10*CEILING(G1612/100,1)</f>
        <v>1.05</v>
      </c>
      <c r="N1612" s="61" t="n">
        <f aca="false">Resumo!$C$9</f>
        <v>0</v>
      </c>
      <c r="O1612" s="61" t="n">
        <f aca="false">Resumo!$C$13</f>
        <v>13.55</v>
      </c>
      <c r="P1612" s="61" t="n">
        <f aca="false">Resumo!$C$14*CEILING(G1612,1)</f>
        <v>21.15</v>
      </c>
      <c r="Q1612" s="61" t="n">
        <f aca="false">SUM(I1612:P1612)*Resumo!$C$11</f>
        <v>0</v>
      </c>
      <c r="R1612" s="61" t="n">
        <f aca="false">SUM(I1612:Q1612)</f>
        <v>91.819958</v>
      </c>
      <c r="S1612" s="61" t="n">
        <f aca="false">R1612/(1-Resumo!$C$5)</f>
        <v>104.340861363636</v>
      </c>
      <c r="T1612" s="61" t="n">
        <v>93.97</v>
      </c>
      <c r="U1612" s="61" t="n">
        <f aca="false">H1612*Resumo!$B$6</f>
        <v>0.59999</v>
      </c>
      <c r="V1612" s="61" t="n">
        <f aca="false">H1612*Resumo!$B$7</f>
        <v>1.19998</v>
      </c>
      <c r="W1612" s="61" t="n">
        <f aca="false">Resumo!$B$9</f>
        <v>1</v>
      </c>
      <c r="X1612" s="61" t="n">
        <f aca="false">Resumo!$B$10*CEILING(G1612/100,1)</f>
        <v>4.5</v>
      </c>
      <c r="Y1612" s="61" t="n">
        <f aca="false">Resumo!$B$12*CEILING(G1612,1)</f>
        <v>2.82</v>
      </c>
      <c r="Z1612" s="61" t="n">
        <f aca="false">Resumo!$B$14*CEILING(G1612,1)</f>
        <v>21.15</v>
      </c>
      <c r="AA1612" s="61" t="n">
        <f aca="false">SUM(T1612:Z1612)</f>
        <v>125.23997</v>
      </c>
      <c r="AB1612" s="61" t="n">
        <f aca="false">AA1612/(1-Resumo!$B$5)</f>
        <v>142.318147727273</v>
      </c>
      <c r="AC1612" s="61" t="n">
        <f aca="false">AB1612-S1612</f>
        <v>37.9772863636364</v>
      </c>
      <c r="AD1612" s="62" t="n">
        <f aca="false">AB1612/S1612-1</f>
        <v>0.363973287811785</v>
      </c>
      <c r="AE1612" s="60" t="str">
        <f aca="false">IF(AB1612&lt;S1612,"SIM","NÃO")</f>
        <v>NÃO</v>
      </c>
      <c r="AF1612" s="60" t="n">
        <v>2</v>
      </c>
      <c r="AG1612" s="60" t="n">
        <v>5</v>
      </c>
      <c r="AH1612" s="60" t="s">
        <v>382</v>
      </c>
      <c r="AI1612" s="61" t="n">
        <f aca="false">(T1612*(1-Painel!$C$40)+U1612+V1612+Painel!$C$41+Painel!$C$42*CEILING(G1612/100,1)+Painel!$C$43*CEILING(G1612,1)+Z1612)/(1-Resumo!$B$5)</f>
        <v>99.9543977272727</v>
      </c>
      <c r="AJ1612" s="60" t="str">
        <f aca="false">IF(AI1612&lt;S1612,"SIM","NÃO")</f>
        <v>SIM</v>
      </c>
    </row>
    <row r="1613" customFormat="false" ht="15" hidden="false" customHeight="false" outlineLevel="0" collapsed="false">
      <c r="A1613" s="59" t="n">
        <v>46271.751724537</v>
      </c>
      <c r="B1613" s="60" t="s">
        <v>1848</v>
      </c>
      <c r="C1613" s="60" t="n">
        <v>21340440</v>
      </c>
      <c r="D1613" s="60" t="s">
        <v>46</v>
      </c>
      <c r="E1613" s="60" t="s">
        <v>22</v>
      </c>
      <c r="F1613" s="60" t="s">
        <v>234</v>
      </c>
      <c r="G1613" s="60" t="n">
        <v>37.6</v>
      </c>
      <c r="H1613" s="61" t="n">
        <v>443.87</v>
      </c>
      <c r="I1613" s="61" t="n">
        <v>48.35</v>
      </c>
      <c r="J1613" s="61" t="n">
        <f aca="false">H1613*Resumo!$C$6</f>
        <v>0</v>
      </c>
      <c r="K1613" s="61" t="n">
        <f aca="false">H1613*Resumo!$C$7</f>
        <v>0.932127</v>
      </c>
      <c r="L1613" s="61" t="n">
        <f aca="false">H1613*Resumo!$C$8</f>
        <v>0.932127</v>
      </c>
      <c r="M1613" s="61" t="n">
        <f aca="false">Resumo!$C$10*CEILING(G1613/100,1)</f>
        <v>1.05</v>
      </c>
      <c r="N1613" s="61" t="n">
        <f aca="false">Resumo!$C$9</f>
        <v>0</v>
      </c>
      <c r="O1613" s="61" t="n">
        <f aca="false">Resumo!$C$13</f>
        <v>13.55</v>
      </c>
      <c r="P1613" s="61" t="n">
        <f aca="false">Resumo!$C$14*CEILING(G1613,1)</f>
        <v>17.1</v>
      </c>
      <c r="Q1613" s="61" t="n">
        <f aca="false">SUM(I1613:P1613)*Resumo!$C$11</f>
        <v>0</v>
      </c>
      <c r="R1613" s="61" t="n">
        <f aca="false">SUM(I1613:Q1613)</f>
        <v>81.914254</v>
      </c>
      <c r="S1613" s="61" t="n">
        <f aca="false">R1613/(1-Resumo!$C$5)</f>
        <v>93.0843795454545</v>
      </c>
      <c r="T1613" s="61" t="n">
        <v>93.97</v>
      </c>
      <c r="U1613" s="61" t="n">
        <f aca="false">H1613*Resumo!$B$6</f>
        <v>0.44387</v>
      </c>
      <c r="V1613" s="61" t="n">
        <f aca="false">H1613*Resumo!$B$7</f>
        <v>0.88774</v>
      </c>
      <c r="W1613" s="61" t="n">
        <f aca="false">Resumo!$B$9</f>
        <v>1</v>
      </c>
      <c r="X1613" s="61" t="n">
        <f aca="false">Resumo!$B$10*CEILING(G1613/100,1)</f>
        <v>4.5</v>
      </c>
      <c r="Y1613" s="61" t="n">
        <f aca="false">Resumo!$B$12*CEILING(G1613,1)</f>
        <v>2.28</v>
      </c>
      <c r="Z1613" s="61" t="n">
        <f aca="false">Resumo!$B$14*CEILING(G1613,1)</f>
        <v>17.1</v>
      </c>
      <c r="AA1613" s="61" t="n">
        <f aca="false">SUM(T1613:Z1613)</f>
        <v>120.18161</v>
      </c>
      <c r="AB1613" s="61" t="n">
        <f aca="false">AA1613/(1-Resumo!$B$5)</f>
        <v>136.570011363636</v>
      </c>
      <c r="AC1613" s="61" t="n">
        <f aca="false">AB1613-S1613</f>
        <v>43.4856318181818</v>
      </c>
      <c r="AD1613" s="62" t="n">
        <f aca="false">AB1613/S1613-1</f>
        <v>0.467163578148438</v>
      </c>
      <c r="AE1613" s="60" t="str">
        <f aca="false">IF(AB1613&lt;S1613,"SIM","NÃO")</f>
        <v>NÃO</v>
      </c>
      <c r="AF1613" s="60" t="n">
        <v>2</v>
      </c>
      <c r="AG1613" s="60" t="n">
        <v>5</v>
      </c>
      <c r="AH1613" s="60" t="s">
        <v>382</v>
      </c>
      <c r="AI1613" s="61" t="n">
        <f aca="false">(T1613*(1-Painel!$C$40)+U1613+V1613+Painel!$C$41+Painel!$C$42*CEILING(G1613/100,1)+Painel!$C$43*CEILING(G1613,1)+Z1613)/(1-Resumo!$B$5)</f>
        <v>94.8198977272727</v>
      </c>
      <c r="AJ1613" s="60" t="str">
        <f aca="false">IF(AI1613&lt;S1613,"SIM","NÃO")</f>
        <v>NÃO</v>
      </c>
    </row>
    <row r="1614" customFormat="false" ht="15" hidden="false" customHeight="false" outlineLevel="0" collapsed="false">
      <c r="A1614" s="59" t="n">
        <v>46271.7612152778</v>
      </c>
      <c r="B1614" s="60" t="s">
        <v>1849</v>
      </c>
      <c r="C1614" s="60" t="n">
        <v>20560050</v>
      </c>
      <c r="D1614" s="60" t="s">
        <v>46</v>
      </c>
      <c r="E1614" s="60" t="s">
        <v>22</v>
      </c>
      <c r="F1614" s="60" t="s">
        <v>234</v>
      </c>
      <c r="G1614" s="60" t="n">
        <v>40</v>
      </c>
      <c r="H1614" s="61" t="n">
        <v>539.99</v>
      </c>
      <c r="I1614" s="61" t="n">
        <v>48.35</v>
      </c>
      <c r="J1614" s="61" t="n">
        <f aca="false">H1614*Resumo!$C$6</f>
        <v>0</v>
      </c>
      <c r="K1614" s="61" t="n">
        <f aca="false">H1614*Resumo!$C$7</f>
        <v>1.133979</v>
      </c>
      <c r="L1614" s="61" t="n">
        <f aca="false">H1614*Resumo!$C$8</f>
        <v>1.133979</v>
      </c>
      <c r="M1614" s="61" t="n">
        <f aca="false">Resumo!$C$10*CEILING(G1614/100,1)</f>
        <v>1.05</v>
      </c>
      <c r="N1614" s="61" t="n">
        <f aca="false">Resumo!$C$9</f>
        <v>0</v>
      </c>
      <c r="O1614" s="61" t="n">
        <f aca="false">Resumo!$C$13</f>
        <v>13.55</v>
      </c>
      <c r="P1614" s="61" t="n">
        <f aca="false">Resumo!$C$14*CEILING(G1614,1)</f>
        <v>18</v>
      </c>
      <c r="Q1614" s="61" t="n">
        <f aca="false">SUM(I1614:P1614)*Resumo!$C$11</f>
        <v>0</v>
      </c>
      <c r="R1614" s="61" t="n">
        <f aca="false">SUM(I1614:Q1614)</f>
        <v>83.217958</v>
      </c>
      <c r="S1614" s="61" t="n">
        <f aca="false">R1614/(1-Resumo!$C$5)</f>
        <v>94.5658613636364</v>
      </c>
      <c r="T1614" s="61" t="n">
        <v>93.97</v>
      </c>
      <c r="U1614" s="61" t="n">
        <f aca="false">H1614*Resumo!$B$6</f>
        <v>0.53999</v>
      </c>
      <c r="V1614" s="61" t="n">
        <f aca="false">H1614*Resumo!$B$7</f>
        <v>1.07998</v>
      </c>
      <c r="W1614" s="61" t="n">
        <f aca="false">Resumo!$B$9</f>
        <v>1</v>
      </c>
      <c r="X1614" s="61" t="n">
        <f aca="false">Resumo!$B$10*CEILING(G1614/100,1)</f>
        <v>4.5</v>
      </c>
      <c r="Y1614" s="61" t="n">
        <f aca="false">Resumo!$B$12*CEILING(G1614,1)</f>
        <v>2.4</v>
      </c>
      <c r="Z1614" s="61" t="n">
        <f aca="false">Resumo!$B$14*CEILING(G1614,1)</f>
        <v>18</v>
      </c>
      <c r="AA1614" s="61" t="n">
        <f aca="false">SUM(T1614:Z1614)</f>
        <v>121.48997</v>
      </c>
      <c r="AB1614" s="61" t="n">
        <f aca="false">AA1614/(1-Resumo!$B$5)</f>
        <v>138.056784090909</v>
      </c>
      <c r="AC1614" s="61" t="n">
        <f aca="false">AB1614-S1614</f>
        <v>43.4909227272727</v>
      </c>
      <c r="AD1614" s="62" t="n">
        <f aca="false">AB1614/S1614-1</f>
        <v>0.459900878606033</v>
      </c>
      <c r="AE1614" s="60" t="str">
        <f aca="false">IF(AB1614&lt;S1614,"SIM","NÃO")</f>
        <v>NÃO</v>
      </c>
      <c r="AF1614" s="60" t="n">
        <v>2</v>
      </c>
      <c r="AG1614" s="60" t="n">
        <v>5</v>
      </c>
      <c r="AH1614" s="60" t="s">
        <v>382</v>
      </c>
      <c r="AI1614" s="61" t="n">
        <f aca="false">(T1614*(1-Painel!$C$40)+U1614+V1614+Painel!$C$41+Painel!$C$42*CEILING(G1614/100,1)+Painel!$C$43*CEILING(G1614,1)+Z1614)/(1-Resumo!$B$5)</f>
        <v>96.1703068181818</v>
      </c>
      <c r="AJ1614" s="60" t="str">
        <f aca="false">IF(AI1614&lt;S1614,"SIM","NÃO")</f>
        <v>NÃO</v>
      </c>
    </row>
    <row r="1615" customFormat="false" ht="15" hidden="false" customHeight="false" outlineLevel="0" collapsed="false">
      <c r="A1615" s="59" t="n">
        <v>46271.7924537037</v>
      </c>
      <c r="B1615" s="60" t="s">
        <v>1850</v>
      </c>
      <c r="C1615" s="60" t="n">
        <v>28740000</v>
      </c>
      <c r="D1615" s="60" t="s">
        <v>331</v>
      </c>
      <c r="E1615" s="60" t="s">
        <v>24</v>
      </c>
      <c r="F1615" s="60" t="s">
        <v>235</v>
      </c>
      <c r="G1615" s="60" t="n">
        <v>48.3</v>
      </c>
      <c r="H1615" s="61" t="n">
        <v>459.69</v>
      </c>
      <c r="I1615" s="61" t="n">
        <v>77.7</v>
      </c>
      <c r="J1615" s="61" t="n">
        <f aca="false">H1615*Resumo!$C$6</f>
        <v>0</v>
      </c>
      <c r="K1615" s="61" t="n">
        <f aca="false">H1615*Resumo!$C$7</f>
        <v>0.965349</v>
      </c>
      <c r="L1615" s="61" t="n">
        <f aca="false">H1615*Resumo!$C$8</f>
        <v>0.965349</v>
      </c>
      <c r="M1615" s="61" t="n">
        <f aca="false">Resumo!$C$10*CEILING(G1615/100,1)</f>
        <v>1.05</v>
      </c>
      <c r="N1615" s="61" t="n">
        <f aca="false">Resumo!$C$9</f>
        <v>0</v>
      </c>
      <c r="O1615" s="61" t="n">
        <f aca="false">Resumo!$C$13</f>
        <v>13.55</v>
      </c>
      <c r="P1615" s="61" t="n">
        <f aca="false">Resumo!$C$14*CEILING(G1615,1)</f>
        <v>22.05</v>
      </c>
      <c r="Q1615" s="61" t="n">
        <f aca="false">SUM(I1615:P1615)*Resumo!$C$11</f>
        <v>0</v>
      </c>
      <c r="R1615" s="61" t="n">
        <f aca="false">SUM(I1615:Q1615)</f>
        <v>116.280698</v>
      </c>
      <c r="S1615" s="61" t="n">
        <f aca="false">R1615/(1-Resumo!$C$5)</f>
        <v>132.137156818182</v>
      </c>
      <c r="T1615" s="61" t="n">
        <v>152.54</v>
      </c>
      <c r="U1615" s="61" t="n">
        <f aca="false">H1615*Resumo!$B$6</f>
        <v>0.45969</v>
      </c>
      <c r="V1615" s="61" t="n">
        <f aca="false">H1615*Resumo!$B$7</f>
        <v>0.91938</v>
      </c>
      <c r="W1615" s="61" t="n">
        <f aca="false">Resumo!$B$9</f>
        <v>1</v>
      </c>
      <c r="X1615" s="61" t="n">
        <f aca="false">Resumo!$B$10*CEILING(G1615/100,1)</f>
        <v>4.5</v>
      </c>
      <c r="Y1615" s="61" t="n">
        <f aca="false">Resumo!$B$12*CEILING(G1615,1)</f>
        <v>2.94</v>
      </c>
      <c r="Z1615" s="61" t="n">
        <f aca="false">Resumo!$B$14*CEILING(G1615,1)</f>
        <v>22.05</v>
      </c>
      <c r="AA1615" s="61" t="n">
        <f aca="false">SUM(T1615:Z1615)</f>
        <v>184.40907</v>
      </c>
      <c r="AB1615" s="61" t="n">
        <f aca="false">AA1615/(1-Resumo!$B$5)</f>
        <v>209.555761363636</v>
      </c>
      <c r="AC1615" s="61" t="n">
        <f aca="false">AB1615-S1615</f>
        <v>77.4186045454546</v>
      </c>
      <c r="AD1615" s="62" t="n">
        <f aca="false">AB1615/S1615-1</f>
        <v>0.585895795018362</v>
      </c>
      <c r="AE1615" s="60" t="str">
        <f aca="false">IF(AB1615&lt;S1615,"SIM","NÃO")</f>
        <v>NÃO</v>
      </c>
      <c r="AF1615" s="60" t="n">
        <v>13</v>
      </c>
      <c r="AG1615" s="60" t="n">
        <v>11</v>
      </c>
      <c r="AH1615" s="60" t="s">
        <v>385</v>
      </c>
      <c r="AI1615" s="61" t="n">
        <f aca="false">(T1615*(1-Painel!$C$40)+U1615+V1615+Painel!$C$41+Painel!$C$42*CEILING(G1615/100,1)+Painel!$C$43*CEILING(G1615,1)+Z1615)/(1-Resumo!$B$5)</f>
        <v>145.091897727273</v>
      </c>
      <c r="AJ1615" s="60" t="str">
        <f aca="false">IF(AI1615&lt;S1615,"SIM","NÃO")</f>
        <v>NÃO</v>
      </c>
    </row>
    <row r="1616" customFormat="false" ht="15" hidden="false" customHeight="false" outlineLevel="0" collapsed="false">
      <c r="A1616" s="59" t="n">
        <v>46271.804525463</v>
      </c>
      <c r="B1616" s="60" t="s">
        <v>1851</v>
      </c>
      <c r="C1616" s="60" t="n">
        <v>21820097</v>
      </c>
      <c r="D1616" s="60" t="s">
        <v>46</v>
      </c>
      <c r="E1616" s="60" t="s">
        <v>22</v>
      </c>
      <c r="F1616" s="60" t="s">
        <v>233</v>
      </c>
      <c r="G1616" s="60" t="n">
        <v>21.5</v>
      </c>
      <c r="H1616" s="61" t="n">
        <v>299.99</v>
      </c>
      <c r="I1616" s="61" t="n">
        <v>42.11</v>
      </c>
      <c r="J1616" s="61" t="n">
        <f aca="false">H1616*Resumo!$C$6</f>
        <v>0</v>
      </c>
      <c r="K1616" s="61" t="n">
        <f aca="false">H1616*Resumo!$C$7</f>
        <v>0.629979</v>
      </c>
      <c r="L1616" s="61" t="n">
        <f aca="false">H1616*Resumo!$C$8</f>
        <v>0.629979</v>
      </c>
      <c r="M1616" s="61" t="n">
        <f aca="false">Resumo!$C$10*CEILING(G1616/100,1)</f>
        <v>1.05</v>
      </c>
      <c r="N1616" s="61" t="n">
        <f aca="false">Resumo!$C$9</f>
        <v>0</v>
      </c>
      <c r="O1616" s="61" t="n">
        <f aca="false">Resumo!$C$13</f>
        <v>13.55</v>
      </c>
      <c r="P1616" s="61" t="n">
        <f aca="false">Resumo!$C$14*CEILING(G1616,1)</f>
        <v>9.9</v>
      </c>
      <c r="Q1616" s="61" t="n">
        <f aca="false">SUM(I1616:P1616)*Resumo!$C$11</f>
        <v>0</v>
      </c>
      <c r="R1616" s="61" t="n">
        <f aca="false">SUM(I1616:Q1616)</f>
        <v>67.869958</v>
      </c>
      <c r="S1616" s="61" t="n">
        <f aca="false">R1616/(1-Resumo!$C$5)</f>
        <v>77.1249522727273</v>
      </c>
      <c r="T1616" s="61" t="n">
        <v>82.21</v>
      </c>
      <c r="U1616" s="61" t="n">
        <f aca="false">H1616*Resumo!$B$6</f>
        <v>0.29999</v>
      </c>
      <c r="V1616" s="61" t="n">
        <f aca="false">H1616*Resumo!$B$7</f>
        <v>0.59998</v>
      </c>
      <c r="W1616" s="61" t="n">
        <f aca="false">Resumo!$B$9</f>
        <v>1</v>
      </c>
      <c r="X1616" s="61" t="n">
        <f aca="false">Resumo!$B$10*CEILING(G1616/100,1)</f>
        <v>4.5</v>
      </c>
      <c r="Y1616" s="61" t="n">
        <f aca="false">Resumo!$B$12*CEILING(G1616,1)</f>
        <v>1.32</v>
      </c>
      <c r="Z1616" s="61" t="n">
        <f aca="false">Resumo!$B$14*CEILING(G1616,1)</f>
        <v>9.9</v>
      </c>
      <c r="AA1616" s="61" t="n">
        <f aca="false">SUM(T1616:Z1616)</f>
        <v>99.82997</v>
      </c>
      <c r="AB1616" s="61" t="n">
        <f aca="false">AA1616/(1-Resumo!$B$5)</f>
        <v>113.443147727273</v>
      </c>
      <c r="AC1616" s="61" t="n">
        <f aca="false">AB1616-S1616</f>
        <v>36.3181954545455</v>
      </c>
      <c r="AD1616" s="62" t="n">
        <f aca="false">AB1616/S1616-1</f>
        <v>0.470900718695008</v>
      </c>
      <c r="AE1616" s="60" t="str">
        <f aca="false">IF(AB1616&lt;S1616,"SIM","NÃO")</f>
        <v>NÃO</v>
      </c>
      <c r="AF1616" s="60" t="n">
        <v>2</v>
      </c>
      <c r="AG1616" s="60" t="n">
        <v>5</v>
      </c>
      <c r="AH1616" s="60" t="s">
        <v>382</v>
      </c>
      <c r="AI1616" s="61" t="n">
        <f aca="false">(T1616*(1-Painel!$C$40)+U1616+V1616+Painel!$C$41+Painel!$C$42*CEILING(G1616/100,1)+Painel!$C$43*CEILING(G1616,1)+Z1616)/(1-Resumo!$B$5)</f>
        <v>77.1939431818182</v>
      </c>
      <c r="AJ1616" s="60" t="str">
        <f aca="false">IF(AI1616&lt;S1616,"SIM","NÃO")</f>
        <v>NÃO</v>
      </c>
    </row>
    <row r="1617" customFormat="false" ht="15" hidden="false" customHeight="false" outlineLevel="0" collapsed="false">
      <c r="A1617" s="59" t="n">
        <v>46271.8769444445</v>
      </c>
      <c r="B1617" s="60" t="s">
        <v>1852</v>
      </c>
      <c r="C1617" s="60" t="n">
        <v>22735020</v>
      </c>
      <c r="D1617" s="60" t="s">
        <v>46</v>
      </c>
      <c r="E1617" s="60" t="s">
        <v>22</v>
      </c>
      <c r="F1617" s="60" t="s">
        <v>233</v>
      </c>
      <c r="G1617" s="60" t="n">
        <v>31</v>
      </c>
      <c r="H1617" s="61" t="n">
        <v>329.99</v>
      </c>
      <c r="I1617" s="61" t="n">
        <v>42.11</v>
      </c>
      <c r="J1617" s="61" t="n">
        <f aca="false">H1617*Resumo!$C$6</f>
        <v>0</v>
      </c>
      <c r="K1617" s="61" t="n">
        <f aca="false">H1617*Resumo!$C$7</f>
        <v>0.692979</v>
      </c>
      <c r="L1617" s="61" t="n">
        <f aca="false">H1617*Resumo!$C$8</f>
        <v>0.692979</v>
      </c>
      <c r="M1617" s="61" t="n">
        <f aca="false">Resumo!$C$10*CEILING(G1617/100,1)</f>
        <v>1.05</v>
      </c>
      <c r="N1617" s="61" t="n">
        <f aca="false">Resumo!$C$9</f>
        <v>0</v>
      </c>
      <c r="O1617" s="61" t="n">
        <f aca="false">Resumo!$C$13</f>
        <v>13.55</v>
      </c>
      <c r="P1617" s="61" t="n">
        <f aca="false">Resumo!$C$14*CEILING(G1617,1)</f>
        <v>13.95</v>
      </c>
      <c r="Q1617" s="61" t="n">
        <f aca="false">SUM(I1617:P1617)*Resumo!$C$11</f>
        <v>0</v>
      </c>
      <c r="R1617" s="61" t="n">
        <f aca="false">SUM(I1617:Q1617)</f>
        <v>72.045958</v>
      </c>
      <c r="S1617" s="61" t="n">
        <f aca="false">R1617/(1-Resumo!$C$5)</f>
        <v>81.8704068181818</v>
      </c>
      <c r="T1617" s="61" t="n">
        <v>82.21</v>
      </c>
      <c r="U1617" s="61" t="n">
        <f aca="false">H1617*Resumo!$B$6</f>
        <v>0.32999</v>
      </c>
      <c r="V1617" s="61" t="n">
        <f aca="false">H1617*Resumo!$B$7</f>
        <v>0.65998</v>
      </c>
      <c r="W1617" s="61" t="n">
        <f aca="false">Resumo!$B$9</f>
        <v>1</v>
      </c>
      <c r="X1617" s="61" t="n">
        <f aca="false">Resumo!$B$10*CEILING(G1617/100,1)</f>
        <v>4.5</v>
      </c>
      <c r="Y1617" s="61" t="n">
        <f aca="false">Resumo!$B$12*CEILING(G1617,1)</f>
        <v>1.86</v>
      </c>
      <c r="Z1617" s="61" t="n">
        <f aca="false">Resumo!$B$14*CEILING(G1617,1)</f>
        <v>13.95</v>
      </c>
      <c r="AA1617" s="61" t="n">
        <f aca="false">SUM(T1617:Z1617)</f>
        <v>104.50997</v>
      </c>
      <c r="AB1617" s="61" t="n">
        <f aca="false">AA1617/(1-Resumo!$B$5)</f>
        <v>118.761329545455</v>
      </c>
      <c r="AC1617" s="61" t="n">
        <f aca="false">AB1617-S1617</f>
        <v>36.8909227272727</v>
      </c>
      <c r="AD1617" s="62" t="n">
        <f aca="false">AB1617/S1617-1</f>
        <v>0.450601434156792</v>
      </c>
      <c r="AE1617" s="60" t="str">
        <f aca="false">IF(AB1617&lt;S1617,"SIM","NÃO")</f>
        <v>NÃO</v>
      </c>
      <c r="AF1617" s="60" t="n">
        <v>2</v>
      </c>
      <c r="AG1617" s="60" t="n">
        <v>5</v>
      </c>
      <c r="AH1617" s="60" t="s">
        <v>382</v>
      </c>
      <c r="AI1617" s="61" t="n">
        <f aca="false">(T1617*(1-Painel!$C$40)+U1617+V1617+Painel!$C$41+Painel!$C$42*CEILING(G1617/100,1)+Painel!$C$43*CEILING(G1617,1)+Z1617)/(1-Resumo!$B$5)</f>
        <v>81.8984886363636</v>
      </c>
      <c r="AJ1617" s="60" t="str">
        <f aca="false">IF(AI1617&lt;S1617,"SIM","NÃO")</f>
        <v>NÃO</v>
      </c>
    </row>
    <row r="1618" customFormat="false" ht="15" hidden="false" customHeight="false" outlineLevel="0" collapsed="false">
      <c r="A1618" s="59" t="n">
        <v>46271.8812152778</v>
      </c>
      <c r="B1618" s="60" t="s">
        <v>1853</v>
      </c>
      <c r="C1618" s="60" t="n">
        <v>28110000</v>
      </c>
      <c r="D1618" s="60" t="s">
        <v>51</v>
      </c>
      <c r="E1618" s="60" t="s">
        <v>24</v>
      </c>
      <c r="F1618" s="60" t="s">
        <v>233</v>
      </c>
      <c r="G1618" s="60" t="n">
        <v>20.9</v>
      </c>
      <c r="H1618" s="61" t="n">
        <v>470.09</v>
      </c>
      <c r="I1618" s="61" t="n">
        <v>65.63</v>
      </c>
      <c r="J1618" s="61" t="n">
        <f aca="false">H1618*Resumo!$C$6</f>
        <v>0</v>
      </c>
      <c r="K1618" s="61" t="n">
        <f aca="false">H1618*Resumo!$C$7</f>
        <v>0.987189</v>
      </c>
      <c r="L1618" s="61" t="n">
        <f aca="false">H1618*Resumo!$C$8</f>
        <v>0.987189</v>
      </c>
      <c r="M1618" s="61" t="n">
        <f aca="false">Resumo!$C$10*CEILING(G1618/100,1)</f>
        <v>1.05</v>
      </c>
      <c r="N1618" s="61" t="n">
        <f aca="false">Resumo!$C$9</f>
        <v>0</v>
      </c>
      <c r="O1618" s="61" t="n">
        <f aca="false">Resumo!$C$13</f>
        <v>13.55</v>
      </c>
      <c r="P1618" s="61" t="n">
        <f aca="false">Resumo!$C$14*CEILING(G1618,1)</f>
        <v>9.45</v>
      </c>
      <c r="Q1618" s="61" t="n">
        <f aca="false">SUM(I1618:P1618)*Resumo!$C$11</f>
        <v>0</v>
      </c>
      <c r="R1618" s="61" t="n">
        <f aca="false">SUM(I1618:Q1618)</f>
        <v>91.654378</v>
      </c>
      <c r="S1618" s="61" t="n">
        <f aca="false">R1618/(1-Resumo!$C$5)</f>
        <v>104.152702272727</v>
      </c>
      <c r="T1618" s="61" t="n">
        <v>138.29</v>
      </c>
      <c r="U1618" s="61" t="n">
        <f aca="false">H1618*Resumo!$B$6</f>
        <v>0.47009</v>
      </c>
      <c r="V1618" s="61" t="n">
        <f aca="false">H1618*Resumo!$B$7</f>
        <v>0.94018</v>
      </c>
      <c r="W1618" s="61" t="n">
        <f aca="false">Resumo!$B$9</f>
        <v>1</v>
      </c>
      <c r="X1618" s="61" t="n">
        <f aca="false">Resumo!$B$10*CEILING(G1618/100,1)</f>
        <v>4.5</v>
      </c>
      <c r="Y1618" s="61" t="n">
        <f aca="false">Resumo!$B$12*CEILING(G1618,1)</f>
        <v>1.26</v>
      </c>
      <c r="Z1618" s="61" t="n">
        <f aca="false">Resumo!$B$14*CEILING(G1618,1)</f>
        <v>9.45</v>
      </c>
      <c r="AA1618" s="61" t="n">
        <f aca="false">SUM(T1618:Z1618)</f>
        <v>155.91027</v>
      </c>
      <c r="AB1618" s="61" t="n">
        <f aca="false">AA1618/(1-Resumo!$B$5)</f>
        <v>177.170761363636</v>
      </c>
      <c r="AC1618" s="61" t="n">
        <f aca="false">AB1618-S1618</f>
        <v>73.0180590909091</v>
      </c>
      <c r="AD1618" s="62" t="n">
        <f aca="false">AB1618/S1618-1</f>
        <v>0.701067351087146</v>
      </c>
      <c r="AE1618" s="60" t="str">
        <f aca="false">IF(AB1618&lt;S1618,"SIM","NÃO")</f>
        <v>NÃO</v>
      </c>
      <c r="AF1618" s="60" t="n">
        <v>13</v>
      </c>
      <c r="AG1618" s="60" t="n">
        <v>11</v>
      </c>
      <c r="AH1618" s="60" t="s">
        <v>382</v>
      </c>
      <c r="AI1618" s="61" t="n">
        <f aca="false">(T1618*(1-Painel!$C$40)+U1618+V1618+Painel!$C$41+Painel!$C$42*CEILING(G1618/100,1)+Painel!$C$43*CEILING(G1618,1)+Z1618)/(1-Resumo!$B$5)</f>
        <v>119.959738636364</v>
      </c>
      <c r="AJ1618" s="60" t="str">
        <f aca="false">IF(AI1618&lt;S1618,"SIM","NÃO")</f>
        <v>NÃO</v>
      </c>
    </row>
    <row r="1619" customFormat="false" ht="15" hidden="false" customHeight="false" outlineLevel="0" collapsed="false">
      <c r="A1619" s="59" t="n">
        <v>46271.8851041667</v>
      </c>
      <c r="B1619" s="60" t="s">
        <v>1854</v>
      </c>
      <c r="C1619" s="60" t="n">
        <v>22723002</v>
      </c>
      <c r="D1619" s="60" t="s">
        <v>46</v>
      </c>
      <c r="E1619" s="60" t="s">
        <v>22</v>
      </c>
      <c r="F1619" s="60" t="s">
        <v>233</v>
      </c>
      <c r="G1619" s="60" t="n">
        <v>28.8</v>
      </c>
      <c r="H1619" s="61" t="n">
        <v>783.38</v>
      </c>
      <c r="I1619" s="61" t="n">
        <v>42.11</v>
      </c>
      <c r="J1619" s="61" t="n">
        <f aca="false">H1619*Resumo!$C$6</f>
        <v>0</v>
      </c>
      <c r="K1619" s="61" t="n">
        <f aca="false">H1619*Resumo!$C$7</f>
        <v>1.645098</v>
      </c>
      <c r="L1619" s="61" t="n">
        <f aca="false">H1619*Resumo!$C$8</f>
        <v>1.645098</v>
      </c>
      <c r="M1619" s="61" t="n">
        <f aca="false">Resumo!$C$10*CEILING(G1619/100,1)</f>
        <v>1.05</v>
      </c>
      <c r="N1619" s="61" t="n">
        <f aca="false">Resumo!$C$9</f>
        <v>0</v>
      </c>
      <c r="O1619" s="61" t="n">
        <f aca="false">Resumo!$C$13</f>
        <v>13.55</v>
      </c>
      <c r="P1619" s="61" t="n">
        <f aca="false">Resumo!$C$14*CEILING(G1619,1)</f>
        <v>13.05</v>
      </c>
      <c r="Q1619" s="61" t="n">
        <f aca="false">SUM(I1619:P1619)*Resumo!$C$11</f>
        <v>0</v>
      </c>
      <c r="R1619" s="61" t="n">
        <f aca="false">SUM(I1619:Q1619)</f>
        <v>73.050196</v>
      </c>
      <c r="S1619" s="61" t="n">
        <f aca="false">R1619/(1-Resumo!$C$5)</f>
        <v>83.0115863636364</v>
      </c>
      <c r="T1619" s="61" t="n">
        <v>82.21</v>
      </c>
      <c r="U1619" s="61" t="n">
        <f aca="false">H1619*Resumo!$B$6</f>
        <v>0.78338</v>
      </c>
      <c r="V1619" s="61" t="n">
        <f aca="false">H1619*Resumo!$B$7</f>
        <v>1.56676</v>
      </c>
      <c r="W1619" s="61" t="n">
        <f aca="false">Resumo!$B$9</f>
        <v>1</v>
      </c>
      <c r="X1619" s="61" t="n">
        <f aca="false">Resumo!$B$10*CEILING(G1619/100,1)</f>
        <v>4.5</v>
      </c>
      <c r="Y1619" s="61" t="n">
        <f aca="false">Resumo!$B$12*CEILING(G1619,1)</f>
        <v>1.74</v>
      </c>
      <c r="Z1619" s="61" t="n">
        <f aca="false">Resumo!$B$14*CEILING(G1619,1)</f>
        <v>13.05</v>
      </c>
      <c r="AA1619" s="61" t="n">
        <f aca="false">SUM(T1619:Z1619)</f>
        <v>104.85014</v>
      </c>
      <c r="AB1619" s="61" t="n">
        <f aca="false">AA1619/(1-Resumo!$B$5)</f>
        <v>119.147886363636</v>
      </c>
      <c r="AC1619" s="61" t="n">
        <f aca="false">AB1619-S1619</f>
        <v>36.1363</v>
      </c>
      <c r="AD1619" s="62" t="n">
        <f aca="false">AB1619/S1619-1</f>
        <v>0.435316340561222</v>
      </c>
      <c r="AE1619" s="60" t="str">
        <f aca="false">IF(AB1619&lt;S1619,"SIM","NÃO")</f>
        <v>NÃO</v>
      </c>
      <c r="AF1619" s="60" t="n">
        <v>2</v>
      </c>
      <c r="AG1619" s="60" t="n">
        <v>5</v>
      </c>
      <c r="AH1619" s="60" t="s">
        <v>382</v>
      </c>
      <c r="AI1619" s="61" t="n">
        <f aca="false">(T1619*(1-Painel!$C$40)+U1619+V1619+Painel!$C$41+Painel!$C$42*CEILING(G1619/100,1)+Painel!$C$43*CEILING(G1619,1)+Z1619)/(1-Resumo!$B$5)</f>
        <v>82.4214090909091</v>
      </c>
      <c r="AJ1619" s="60" t="str">
        <f aca="false">IF(AI1619&lt;S1619,"SIM","NÃO")</f>
        <v>SIM</v>
      </c>
    </row>
    <row r="1620" customFormat="false" ht="15" hidden="false" customHeight="false" outlineLevel="0" collapsed="false">
      <c r="A1620" s="59" t="n">
        <v>46271.9381018519</v>
      </c>
      <c r="B1620" s="60" t="s">
        <v>1855</v>
      </c>
      <c r="C1620" s="60" t="n">
        <v>24350242</v>
      </c>
      <c r="D1620" s="60" t="s">
        <v>50</v>
      </c>
      <c r="E1620" s="60" t="s">
        <v>23</v>
      </c>
      <c r="F1620" s="60" t="s">
        <v>235</v>
      </c>
      <c r="G1620" s="60" t="n">
        <v>41</v>
      </c>
      <c r="H1620" s="61" t="n">
        <v>559.94</v>
      </c>
      <c r="I1620" s="61" t="n">
        <v>65.36</v>
      </c>
      <c r="J1620" s="61" t="n">
        <f aca="false">H1620*Resumo!$C$6</f>
        <v>0</v>
      </c>
      <c r="K1620" s="61" t="n">
        <f aca="false">H1620*Resumo!$C$7</f>
        <v>1.175874</v>
      </c>
      <c r="L1620" s="61" t="n">
        <f aca="false">H1620*Resumo!$C$8</f>
        <v>1.175874</v>
      </c>
      <c r="M1620" s="61" t="n">
        <f aca="false">Resumo!$C$10*CEILING(G1620/100,1)</f>
        <v>1.05</v>
      </c>
      <c r="N1620" s="61" t="n">
        <f aca="false">Resumo!$C$9</f>
        <v>0</v>
      </c>
      <c r="O1620" s="61" t="n">
        <f aca="false">Resumo!$C$13</f>
        <v>13.55</v>
      </c>
      <c r="P1620" s="61" t="n">
        <f aca="false">Resumo!$C$14*CEILING(G1620,1)</f>
        <v>18.45</v>
      </c>
      <c r="Q1620" s="61" t="n">
        <f aca="false">SUM(I1620:P1620)*Resumo!$C$11</f>
        <v>0</v>
      </c>
      <c r="R1620" s="61" t="n">
        <f aca="false">SUM(I1620:Q1620)</f>
        <v>100.761748</v>
      </c>
      <c r="S1620" s="61" t="n">
        <f aca="false">R1620/(1-Resumo!$C$5)</f>
        <v>114.501986363636</v>
      </c>
      <c r="T1620" s="61" t="n">
        <v>114.95</v>
      </c>
      <c r="U1620" s="61" t="n">
        <f aca="false">H1620*Resumo!$B$6</f>
        <v>0.55994</v>
      </c>
      <c r="V1620" s="61" t="n">
        <f aca="false">H1620*Resumo!$B$7</f>
        <v>1.11988</v>
      </c>
      <c r="W1620" s="61" t="n">
        <f aca="false">Resumo!$B$9</f>
        <v>1</v>
      </c>
      <c r="X1620" s="61" t="n">
        <f aca="false">Resumo!$B$10*CEILING(G1620/100,1)</f>
        <v>4.5</v>
      </c>
      <c r="Y1620" s="61" t="n">
        <f aca="false">Resumo!$B$12*CEILING(G1620,1)</f>
        <v>2.46</v>
      </c>
      <c r="Z1620" s="61" t="n">
        <f aca="false">Resumo!$B$14*CEILING(G1620,1)</f>
        <v>18.45</v>
      </c>
      <c r="AA1620" s="61" t="n">
        <f aca="false">SUM(T1620:Z1620)</f>
        <v>143.03982</v>
      </c>
      <c r="AB1620" s="61" t="n">
        <f aca="false">AA1620/(1-Resumo!$B$5)</f>
        <v>162.54525</v>
      </c>
      <c r="AC1620" s="61" t="n">
        <f aca="false">AB1620-S1620</f>
        <v>48.0432636363636</v>
      </c>
      <c r="AD1620" s="62" t="n">
        <f aca="false">AB1620/S1620-1</f>
        <v>0.419584543134365</v>
      </c>
      <c r="AE1620" s="60" t="str">
        <f aca="false">IF(AB1620&lt;S1620,"SIM","NÃO")</f>
        <v>NÃO</v>
      </c>
      <c r="AF1620" s="60" t="n">
        <v>2</v>
      </c>
      <c r="AG1620" s="60" t="n">
        <v>7</v>
      </c>
      <c r="AH1620" s="60" t="s">
        <v>382</v>
      </c>
      <c r="AI1620" s="61" t="n">
        <f aca="false">(T1620*(1-Painel!$C$40)+U1620+V1620+Painel!$C$41+Painel!$C$42*CEILING(G1620/100,1)+Painel!$C$43*CEILING(G1620,1)+Z1620)/(1-Resumo!$B$5)</f>
        <v>112.723090909091</v>
      </c>
      <c r="AJ1620" s="60" t="str">
        <f aca="false">IF(AI1620&lt;S1620,"SIM","NÃO")</f>
        <v>SIM</v>
      </c>
    </row>
    <row r="1621" customFormat="false" ht="15" hidden="false" customHeight="false" outlineLevel="0" collapsed="false">
      <c r="A1621" s="59" t="n">
        <v>46271.9387962963</v>
      </c>
      <c r="B1621" s="60" t="s">
        <v>1856</v>
      </c>
      <c r="C1621" s="60" t="n">
        <v>24744720</v>
      </c>
      <c r="D1621" s="60" t="s">
        <v>47</v>
      </c>
      <c r="E1621" s="60" t="s">
        <v>23</v>
      </c>
      <c r="F1621" s="60" t="s">
        <v>237</v>
      </c>
      <c r="G1621" s="60" t="n">
        <v>66.8</v>
      </c>
      <c r="H1621" s="61" t="n">
        <v>666.29</v>
      </c>
      <c r="I1621" s="61" t="n">
        <v>76.55</v>
      </c>
      <c r="J1621" s="61" t="n">
        <f aca="false">H1621*Resumo!$C$6</f>
        <v>0</v>
      </c>
      <c r="K1621" s="61" t="n">
        <f aca="false">H1621*Resumo!$C$7</f>
        <v>1.399209</v>
      </c>
      <c r="L1621" s="61" t="n">
        <f aca="false">H1621*Resumo!$C$8</f>
        <v>1.399209</v>
      </c>
      <c r="M1621" s="61" t="n">
        <f aca="false">Resumo!$C$10*CEILING(G1621/100,1)</f>
        <v>1.05</v>
      </c>
      <c r="N1621" s="61" t="n">
        <f aca="false">Resumo!$C$9</f>
        <v>0</v>
      </c>
      <c r="O1621" s="61" t="n">
        <f aca="false">Resumo!$C$13</f>
        <v>13.55</v>
      </c>
      <c r="P1621" s="61" t="n">
        <f aca="false">Resumo!$C$14*CEILING(G1621,1)</f>
        <v>30.15</v>
      </c>
      <c r="Q1621" s="61" t="n">
        <f aca="false">SUM(I1621:P1621)*Resumo!$C$11</f>
        <v>0</v>
      </c>
      <c r="R1621" s="61" t="n">
        <f aca="false">SUM(I1621:Q1621)</f>
        <v>124.098418</v>
      </c>
      <c r="S1621" s="61" t="n">
        <f aca="false">R1621/(1-Resumo!$C$5)</f>
        <v>141.020929545455</v>
      </c>
      <c r="T1621" s="61" t="n">
        <v>149.5</v>
      </c>
      <c r="U1621" s="61" t="n">
        <f aca="false">H1621*Resumo!$B$6</f>
        <v>0.66629</v>
      </c>
      <c r="V1621" s="61" t="n">
        <f aca="false">H1621*Resumo!$B$7</f>
        <v>1.33258</v>
      </c>
      <c r="W1621" s="61" t="n">
        <f aca="false">Resumo!$B$9</f>
        <v>1</v>
      </c>
      <c r="X1621" s="61" t="n">
        <f aca="false">Resumo!$B$10*CEILING(G1621/100,1)</f>
        <v>4.5</v>
      </c>
      <c r="Y1621" s="61" t="n">
        <f aca="false">Resumo!$B$12*CEILING(G1621,1)</f>
        <v>4.02</v>
      </c>
      <c r="Z1621" s="61" t="n">
        <f aca="false">Resumo!$B$14*CEILING(G1621,1)</f>
        <v>30.15</v>
      </c>
      <c r="AA1621" s="61" t="n">
        <f aca="false">SUM(T1621:Z1621)</f>
        <v>191.16887</v>
      </c>
      <c r="AB1621" s="61" t="n">
        <f aca="false">AA1621/(1-Resumo!$B$5)</f>
        <v>217.237352272727</v>
      </c>
      <c r="AC1621" s="61" t="n">
        <f aca="false">AB1621-S1621</f>
        <v>76.2164227272727</v>
      </c>
      <c r="AD1621" s="62" t="n">
        <f aca="false">AB1621/S1621-1</f>
        <v>0.540461780906828</v>
      </c>
      <c r="AE1621" s="60" t="str">
        <f aca="false">IF(AB1621&lt;S1621,"SIM","NÃO")</f>
        <v>NÃO</v>
      </c>
      <c r="AF1621" s="60" t="n">
        <v>2</v>
      </c>
      <c r="AG1621" s="60" t="n">
        <v>7</v>
      </c>
      <c r="AH1621" s="60" t="s">
        <v>382</v>
      </c>
      <c r="AI1621" s="61" t="n">
        <f aca="false">(T1621*(1-Painel!$C$40)+U1621+V1621+Painel!$C$41+Painel!$C$42*CEILING(G1621/100,1)+Painel!$C$43*CEILING(G1621,1)+Z1621)/(1-Resumo!$B$5)</f>
        <v>152.686215909091</v>
      </c>
      <c r="AJ1621" s="60" t="str">
        <f aca="false">IF(AI1621&lt;S1621,"SIM","NÃO")</f>
        <v>NÃO</v>
      </c>
    </row>
    <row r="1622" customFormat="false" ht="15" hidden="false" customHeight="false" outlineLevel="0" collapsed="false">
      <c r="A1622" s="59" t="n">
        <v>46272.004537037</v>
      </c>
      <c r="B1622" s="60" t="s">
        <v>1857</v>
      </c>
      <c r="C1622" s="60" t="n">
        <v>26195140</v>
      </c>
      <c r="D1622" s="60" t="s">
        <v>52</v>
      </c>
      <c r="E1622" s="60" t="s">
        <v>23</v>
      </c>
      <c r="F1622" s="60" t="s">
        <v>234</v>
      </c>
      <c r="G1622" s="60" t="n">
        <v>35.4</v>
      </c>
      <c r="H1622" s="61" t="n">
        <v>499.99</v>
      </c>
      <c r="I1622" s="61" t="n">
        <v>66.83</v>
      </c>
      <c r="J1622" s="61" t="n">
        <f aca="false">H1622*Resumo!$C$6</f>
        <v>0</v>
      </c>
      <c r="K1622" s="61" t="n">
        <f aca="false">H1622*Resumo!$C$7</f>
        <v>1.049979</v>
      </c>
      <c r="L1622" s="61" t="n">
        <f aca="false">H1622*Resumo!$C$8</f>
        <v>1.049979</v>
      </c>
      <c r="M1622" s="61" t="n">
        <f aca="false">Resumo!$C$10*CEILING(G1622/100,1)</f>
        <v>1.05</v>
      </c>
      <c r="N1622" s="61" t="n">
        <f aca="false">Resumo!$C$9</f>
        <v>0</v>
      </c>
      <c r="O1622" s="61" t="n">
        <f aca="false">Resumo!$C$13</f>
        <v>13.55</v>
      </c>
      <c r="P1622" s="61" t="n">
        <f aca="false">Resumo!$C$14*CEILING(G1622,1)</f>
        <v>16.2</v>
      </c>
      <c r="Q1622" s="61" t="n">
        <f aca="false">SUM(I1622:P1622)*Resumo!$C$11</f>
        <v>0</v>
      </c>
      <c r="R1622" s="61" t="n">
        <f aca="false">SUM(I1622:Q1622)</f>
        <v>99.729958</v>
      </c>
      <c r="S1622" s="61" t="n">
        <f aca="false">R1622/(1-Resumo!$C$5)</f>
        <v>113.329497727273</v>
      </c>
      <c r="T1622" s="61" t="n">
        <v>93.97</v>
      </c>
      <c r="U1622" s="61" t="n">
        <f aca="false">H1622*Resumo!$B$6</f>
        <v>0.49999</v>
      </c>
      <c r="V1622" s="61" t="n">
        <f aca="false">H1622*Resumo!$B$7</f>
        <v>0.99998</v>
      </c>
      <c r="W1622" s="61" t="n">
        <f aca="false">Resumo!$B$9</f>
        <v>1</v>
      </c>
      <c r="X1622" s="61" t="n">
        <f aca="false">Resumo!$B$10*CEILING(G1622/100,1)</f>
        <v>4.5</v>
      </c>
      <c r="Y1622" s="61" t="n">
        <f aca="false">Resumo!$B$12*CEILING(G1622,1)</f>
        <v>2.16</v>
      </c>
      <c r="Z1622" s="61" t="n">
        <f aca="false">Resumo!$B$14*CEILING(G1622,1)</f>
        <v>16.2</v>
      </c>
      <c r="AA1622" s="61" t="n">
        <f aca="false">SUM(T1622:Z1622)</f>
        <v>119.32997</v>
      </c>
      <c r="AB1622" s="61" t="n">
        <f aca="false">AA1622/(1-Resumo!$B$5)</f>
        <v>135.602238636364</v>
      </c>
      <c r="AC1622" s="61" t="n">
        <f aca="false">AB1622-S1622</f>
        <v>22.2727409090909</v>
      </c>
      <c r="AD1622" s="62" t="n">
        <f aca="false">AB1622/S1622-1</f>
        <v>0.19653083579961</v>
      </c>
      <c r="AE1622" s="60" t="str">
        <f aca="false">IF(AB1622&lt;S1622,"SIM","NÃO")</f>
        <v>NÃO</v>
      </c>
      <c r="AF1622" s="60" t="n">
        <v>2</v>
      </c>
      <c r="AG1622" s="60" t="n">
        <v>5</v>
      </c>
      <c r="AH1622" s="60" t="s">
        <v>382</v>
      </c>
      <c r="AI1622" s="61" t="n">
        <f aca="false">(T1622*(1-Painel!$C$40)+U1622+V1622+Painel!$C$41+Painel!$C$42*CEILING(G1622/100,1)+Painel!$C$43*CEILING(G1622,1)+Z1622)/(1-Resumo!$B$5)</f>
        <v>93.9884886363636</v>
      </c>
      <c r="AJ1622" s="60" t="str">
        <f aca="false">IF(AI1622&lt;S1622,"SIM","NÃO")</f>
        <v>SIM</v>
      </c>
    </row>
    <row r="1623" customFormat="false" ht="15" hidden="false" customHeight="false" outlineLevel="0" collapsed="false">
      <c r="A1623" s="59" t="n">
        <v>46272.3095949074</v>
      </c>
      <c r="B1623" s="60" t="s">
        <v>1858</v>
      </c>
      <c r="C1623" s="60" t="n">
        <v>24430210</v>
      </c>
      <c r="D1623" s="60" t="s">
        <v>47</v>
      </c>
      <c r="E1623" s="60" t="s">
        <v>23</v>
      </c>
      <c r="F1623" s="60" t="s">
        <v>237</v>
      </c>
      <c r="G1623" s="60" t="n">
        <v>68.7</v>
      </c>
      <c r="H1623" s="61" t="n">
        <v>749.99</v>
      </c>
      <c r="I1623" s="61" t="n">
        <v>76.55</v>
      </c>
      <c r="J1623" s="61" t="n">
        <f aca="false">H1623*Resumo!$C$6</f>
        <v>0</v>
      </c>
      <c r="K1623" s="61" t="n">
        <f aca="false">H1623*Resumo!$C$7</f>
        <v>1.574979</v>
      </c>
      <c r="L1623" s="61" t="n">
        <f aca="false">H1623*Resumo!$C$8</f>
        <v>1.574979</v>
      </c>
      <c r="M1623" s="61" t="n">
        <f aca="false">Resumo!$C$10*CEILING(G1623/100,1)</f>
        <v>1.05</v>
      </c>
      <c r="N1623" s="61" t="n">
        <f aca="false">Resumo!$C$9</f>
        <v>0</v>
      </c>
      <c r="O1623" s="61" t="n">
        <f aca="false">Resumo!$C$13</f>
        <v>13.55</v>
      </c>
      <c r="P1623" s="61" t="n">
        <f aca="false">Resumo!$C$14*CEILING(G1623,1)</f>
        <v>31.05</v>
      </c>
      <c r="Q1623" s="61" t="n">
        <f aca="false">SUM(I1623:P1623)*Resumo!$C$11</f>
        <v>0</v>
      </c>
      <c r="R1623" s="61" t="n">
        <f aca="false">SUM(I1623:Q1623)</f>
        <v>125.349958</v>
      </c>
      <c r="S1623" s="61" t="n">
        <f aca="false">R1623/(1-Resumo!$C$5)</f>
        <v>142.443134090909</v>
      </c>
      <c r="T1623" s="61" t="n">
        <v>149.5</v>
      </c>
      <c r="U1623" s="61" t="n">
        <f aca="false">H1623*Resumo!$B$6</f>
        <v>0.74999</v>
      </c>
      <c r="V1623" s="61" t="n">
        <f aca="false">H1623*Resumo!$B$7</f>
        <v>1.49998</v>
      </c>
      <c r="W1623" s="61" t="n">
        <f aca="false">Resumo!$B$9</f>
        <v>1</v>
      </c>
      <c r="X1623" s="61" t="n">
        <f aca="false">Resumo!$B$10*CEILING(G1623/100,1)</f>
        <v>4.5</v>
      </c>
      <c r="Y1623" s="61" t="n">
        <f aca="false">Resumo!$B$12*CEILING(G1623,1)</f>
        <v>4.14</v>
      </c>
      <c r="Z1623" s="61" t="n">
        <f aca="false">Resumo!$B$14*CEILING(G1623,1)</f>
        <v>31.05</v>
      </c>
      <c r="AA1623" s="61" t="n">
        <f aca="false">SUM(T1623:Z1623)</f>
        <v>192.43997</v>
      </c>
      <c r="AB1623" s="61" t="n">
        <f aca="false">AA1623/(1-Resumo!$B$5)</f>
        <v>218.681784090909</v>
      </c>
      <c r="AC1623" s="61" t="n">
        <f aca="false">AB1623-S1623</f>
        <v>76.23865</v>
      </c>
      <c r="AD1623" s="62" t="n">
        <f aca="false">AB1623/S1623-1</f>
        <v>0.535221655199917</v>
      </c>
      <c r="AE1623" s="60" t="str">
        <f aca="false">IF(AB1623&lt;S1623,"SIM","NÃO")</f>
        <v>NÃO</v>
      </c>
      <c r="AF1623" s="60" t="n">
        <v>2</v>
      </c>
      <c r="AG1623" s="60" t="n">
        <v>7</v>
      </c>
      <c r="AH1623" s="60" t="s">
        <v>382</v>
      </c>
      <c r="AI1623" s="61" t="n">
        <f aca="false">(T1623*(1-Painel!$C$40)+U1623+V1623+Painel!$C$41+Painel!$C$42*CEILING(G1623/100,1)+Painel!$C$43*CEILING(G1623,1)+Z1623)/(1-Resumo!$B$5)</f>
        <v>153.994284090909</v>
      </c>
      <c r="AJ1623" s="60" t="str">
        <f aca="false">IF(AI1623&lt;S1623,"SIM","NÃO")</f>
        <v>NÃO</v>
      </c>
    </row>
    <row r="1624" customFormat="false" ht="15" hidden="false" customHeight="false" outlineLevel="0" collapsed="false">
      <c r="A1624" s="59" t="n">
        <v>46272.3848032407</v>
      </c>
      <c r="B1624" s="60" t="s">
        <v>1548</v>
      </c>
      <c r="C1624" s="60" t="n">
        <v>26553360</v>
      </c>
      <c r="D1624" s="60" t="s">
        <v>224</v>
      </c>
      <c r="E1624" s="60" t="s">
        <v>23</v>
      </c>
      <c r="F1624" s="60" t="s">
        <v>234</v>
      </c>
      <c r="G1624" s="60" t="n">
        <v>40</v>
      </c>
      <c r="H1624" s="61" t="n">
        <v>599.99</v>
      </c>
      <c r="I1624" s="61" t="n">
        <v>66.83</v>
      </c>
      <c r="J1624" s="61" t="n">
        <f aca="false">H1624*Resumo!$C$6</f>
        <v>0</v>
      </c>
      <c r="K1624" s="61" t="n">
        <f aca="false">H1624*Resumo!$C$7</f>
        <v>1.259979</v>
      </c>
      <c r="L1624" s="61" t="n">
        <f aca="false">H1624*Resumo!$C$8</f>
        <v>1.259979</v>
      </c>
      <c r="M1624" s="61" t="n">
        <f aca="false">Resumo!$C$10*CEILING(G1624/100,1)</f>
        <v>1.05</v>
      </c>
      <c r="N1624" s="61" t="n">
        <f aca="false">Resumo!$C$9</f>
        <v>0</v>
      </c>
      <c r="O1624" s="61" t="n">
        <f aca="false">Resumo!$C$13</f>
        <v>13.55</v>
      </c>
      <c r="P1624" s="61" t="n">
        <f aca="false">Resumo!$C$14*CEILING(G1624,1)</f>
        <v>18</v>
      </c>
      <c r="Q1624" s="61" t="n">
        <f aca="false">SUM(I1624:P1624)*Resumo!$C$11</f>
        <v>0</v>
      </c>
      <c r="R1624" s="61" t="n">
        <f aca="false">SUM(I1624:Q1624)</f>
        <v>101.949958</v>
      </c>
      <c r="S1624" s="61" t="n">
        <f aca="false">R1624/(1-Resumo!$C$5)</f>
        <v>115.852225</v>
      </c>
      <c r="T1624" s="61" t="n">
        <v>93.97</v>
      </c>
      <c r="U1624" s="61" t="n">
        <f aca="false">H1624*Resumo!$B$6</f>
        <v>0.59999</v>
      </c>
      <c r="V1624" s="61" t="n">
        <f aca="false">H1624*Resumo!$B$7</f>
        <v>1.19998</v>
      </c>
      <c r="W1624" s="61" t="n">
        <f aca="false">Resumo!$B$9</f>
        <v>1</v>
      </c>
      <c r="X1624" s="61" t="n">
        <f aca="false">Resumo!$B$10*CEILING(G1624/100,1)</f>
        <v>4.5</v>
      </c>
      <c r="Y1624" s="61" t="n">
        <f aca="false">Resumo!$B$12*CEILING(G1624,1)</f>
        <v>2.4</v>
      </c>
      <c r="Z1624" s="61" t="n">
        <f aca="false">Resumo!$B$14*CEILING(G1624,1)</f>
        <v>18</v>
      </c>
      <c r="AA1624" s="61" t="n">
        <f aca="false">SUM(T1624:Z1624)</f>
        <v>121.66997</v>
      </c>
      <c r="AB1624" s="61" t="n">
        <f aca="false">AA1624/(1-Resumo!$B$5)</f>
        <v>138.261329545455</v>
      </c>
      <c r="AC1624" s="61" t="n">
        <f aca="false">AB1624-S1624</f>
        <v>22.4091045454546</v>
      </c>
      <c r="AD1624" s="62" t="n">
        <f aca="false">AB1624/S1624-1</f>
        <v>0.193428348445225</v>
      </c>
      <c r="AE1624" s="60" t="str">
        <f aca="false">IF(AB1624&lt;S1624,"SIM","NÃO")</f>
        <v>NÃO</v>
      </c>
      <c r="AF1624" s="60" t="n">
        <v>2</v>
      </c>
      <c r="AG1624" s="60" t="n">
        <v>5</v>
      </c>
      <c r="AH1624" s="60" t="s">
        <v>382</v>
      </c>
      <c r="AI1624" s="61" t="n">
        <f aca="false">(T1624*(1-Painel!$C$40)+U1624+V1624+Painel!$C$41+Painel!$C$42*CEILING(G1624/100,1)+Painel!$C$43*CEILING(G1624,1)+Z1624)/(1-Resumo!$B$5)</f>
        <v>96.3748522727273</v>
      </c>
      <c r="AJ1624" s="60" t="str">
        <f aca="false">IF(AI1624&lt;S1624,"SIM","NÃO")</f>
        <v>SIM</v>
      </c>
    </row>
    <row r="1625" customFormat="false" ht="15" hidden="false" customHeight="false" outlineLevel="0" collapsed="false">
      <c r="A1625" s="59" t="n">
        <v>46272.4100694444</v>
      </c>
      <c r="B1625" s="60" t="s">
        <v>1859</v>
      </c>
      <c r="C1625" s="60" t="n">
        <v>27925396</v>
      </c>
      <c r="D1625" s="60" t="s">
        <v>53</v>
      </c>
      <c r="E1625" s="60" t="s">
        <v>24</v>
      </c>
      <c r="F1625" s="60" t="s">
        <v>233</v>
      </c>
      <c r="G1625" s="60" t="n">
        <v>24.8</v>
      </c>
      <c r="H1625" s="61" t="n">
        <v>299.99</v>
      </c>
      <c r="I1625" s="61" t="n">
        <v>65.63</v>
      </c>
      <c r="J1625" s="61" t="n">
        <f aca="false">H1625*Resumo!$C$6</f>
        <v>0</v>
      </c>
      <c r="K1625" s="61" t="n">
        <f aca="false">H1625*Resumo!$C$7</f>
        <v>0.629979</v>
      </c>
      <c r="L1625" s="61" t="n">
        <f aca="false">H1625*Resumo!$C$8</f>
        <v>0.629979</v>
      </c>
      <c r="M1625" s="61" t="n">
        <f aca="false">Resumo!$C$10*CEILING(G1625/100,1)</f>
        <v>1.05</v>
      </c>
      <c r="N1625" s="61" t="n">
        <f aca="false">Resumo!$C$9</f>
        <v>0</v>
      </c>
      <c r="O1625" s="61" t="n">
        <f aca="false">Resumo!$C$13</f>
        <v>13.55</v>
      </c>
      <c r="P1625" s="61" t="n">
        <f aca="false">Resumo!$C$14*CEILING(G1625,1)</f>
        <v>11.25</v>
      </c>
      <c r="Q1625" s="61" t="n">
        <f aca="false">SUM(I1625:P1625)*Resumo!$C$11</f>
        <v>0</v>
      </c>
      <c r="R1625" s="61" t="n">
        <f aca="false">SUM(I1625:Q1625)</f>
        <v>92.739958</v>
      </c>
      <c r="S1625" s="61" t="n">
        <f aca="false">R1625/(1-Resumo!$C$5)</f>
        <v>105.386315909091</v>
      </c>
      <c r="T1625" s="61" t="n">
        <v>138.29</v>
      </c>
      <c r="U1625" s="61" t="n">
        <f aca="false">H1625*Resumo!$B$6</f>
        <v>0.29999</v>
      </c>
      <c r="V1625" s="61" t="n">
        <f aca="false">H1625*Resumo!$B$7</f>
        <v>0.59998</v>
      </c>
      <c r="W1625" s="61" t="n">
        <f aca="false">Resumo!$B$9</f>
        <v>1</v>
      </c>
      <c r="X1625" s="61" t="n">
        <f aca="false">Resumo!$B$10*CEILING(G1625/100,1)</f>
        <v>4.5</v>
      </c>
      <c r="Y1625" s="61" t="n">
        <f aca="false">Resumo!$B$12*CEILING(G1625,1)</f>
        <v>1.5</v>
      </c>
      <c r="Z1625" s="61" t="n">
        <f aca="false">Resumo!$B$14*CEILING(G1625,1)</f>
        <v>11.25</v>
      </c>
      <c r="AA1625" s="61" t="n">
        <f aca="false">SUM(T1625:Z1625)</f>
        <v>157.43997</v>
      </c>
      <c r="AB1625" s="61" t="n">
        <f aca="false">AA1625/(1-Resumo!$B$5)</f>
        <v>178.909056818182</v>
      </c>
      <c r="AC1625" s="61" t="n">
        <f aca="false">AB1625-S1625</f>
        <v>73.5227409090909</v>
      </c>
      <c r="AD1625" s="62" t="n">
        <f aca="false">AB1625/S1625-1</f>
        <v>0.697649787592097</v>
      </c>
      <c r="AE1625" s="60" t="str">
        <f aca="false">IF(AB1625&lt;S1625,"SIM","NÃO")</f>
        <v>NÃO</v>
      </c>
      <c r="AF1625" s="60" t="n">
        <v>13</v>
      </c>
      <c r="AG1625" s="60" t="n">
        <v>11</v>
      </c>
      <c r="AH1625" s="60" t="s">
        <v>382</v>
      </c>
      <c r="AI1625" s="61" t="n">
        <f aca="false">(T1625*(1-Painel!$C$40)+U1625+V1625+Painel!$C$41+Painel!$C$42*CEILING(G1625/100,1)+Painel!$C$43*CEILING(G1625,1)+Z1625)/(1-Resumo!$B$5)</f>
        <v>121.425306818182</v>
      </c>
      <c r="AJ1625" s="60" t="str">
        <f aca="false">IF(AI1625&lt;S1625,"SIM","NÃO")</f>
        <v>NÃO</v>
      </c>
    </row>
    <row r="1626" customFormat="false" ht="15" hidden="false" customHeight="false" outlineLevel="0" collapsed="false">
      <c r="A1626" s="59" t="n">
        <v>46272.432037037</v>
      </c>
      <c r="B1626" s="60" t="s">
        <v>1860</v>
      </c>
      <c r="C1626" s="60" t="n">
        <v>25221124</v>
      </c>
      <c r="D1626" s="60" t="s">
        <v>48</v>
      </c>
      <c r="E1626" s="60" t="s">
        <v>23</v>
      </c>
      <c r="F1626" s="60" t="s">
        <v>235</v>
      </c>
      <c r="G1626" s="60" t="n">
        <v>48.3</v>
      </c>
      <c r="H1626" s="61" t="n">
        <v>459.69</v>
      </c>
      <c r="I1626" s="61" t="n">
        <v>65.36</v>
      </c>
      <c r="J1626" s="61" t="n">
        <f aca="false">H1626*Resumo!$C$6</f>
        <v>0</v>
      </c>
      <c r="K1626" s="61" t="n">
        <f aca="false">H1626*Resumo!$C$7</f>
        <v>0.965349</v>
      </c>
      <c r="L1626" s="61" t="n">
        <f aca="false">H1626*Resumo!$C$8</f>
        <v>0.965349</v>
      </c>
      <c r="M1626" s="61" t="n">
        <f aca="false">Resumo!$C$10*CEILING(G1626/100,1)</f>
        <v>1.05</v>
      </c>
      <c r="N1626" s="61" t="n">
        <f aca="false">Resumo!$C$9</f>
        <v>0</v>
      </c>
      <c r="O1626" s="61" t="n">
        <f aca="false">Resumo!$C$13</f>
        <v>13.55</v>
      </c>
      <c r="P1626" s="61" t="n">
        <f aca="false">Resumo!$C$14*CEILING(G1626,1)</f>
        <v>22.05</v>
      </c>
      <c r="Q1626" s="61" t="n">
        <f aca="false">SUM(I1626:P1626)*Resumo!$C$11</f>
        <v>0</v>
      </c>
      <c r="R1626" s="61" t="n">
        <f aca="false">SUM(I1626:Q1626)</f>
        <v>103.940698</v>
      </c>
      <c r="S1626" s="61" t="n">
        <f aca="false">R1626/(1-Resumo!$C$5)</f>
        <v>118.114429545455</v>
      </c>
      <c r="T1626" s="61" t="n">
        <v>93.97</v>
      </c>
      <c r="U1626" s="61" t="n">
        <f aca="false">H1626*Resumo!$B$6</f>
        <v>0.45969</v>
      </c>
      <c r="V1626" s="61" t="n">
        <f aca="false">H1626*Resumo!$B$7</f>
        <v>0.91938</v>
      </c>
      <c r="W1626" s="61" t="n">
        <f aca="false">Resumo!$B$9</f>
        <v>1</v>
      </c>
      <c r="X1626" s="61" t="n">
        <f aca="false">Resumo!$B$10*CEILING(G1626/100,1)</f>
        <v>4.5</v>
      </c>
      <c r="Y1626" s="61" t="n">
        <f aca="false">Resumo!$B$12*CEILING(G1626,1)</f>
        <v>2.94</v>
      </c>
      <c r="Z1626" s="61" t="n">
        <f aca="false">Resumo!$B$14*CEILING(G1626,1)</f>
        <v>22.05</v>
      </c>
      <c r="AA1626" s="61" t="n">
        <f aca="false">SUM(T1626:Z1626)</f>
        <v>125.83907</v>
      </c>
      <c r="AB1626" s="61" t="n">
        <f aca="false">AA1626/(1-Resumo!$B$5)</f>
        <v>142.998943181818</v>
      </c>
      <c r="AC1626" s="61" t="n">
        <f aca="false">AB1626-S1626</f>
        <v>24.8845136363636</v>
      </c>
      <c r="AD1626" s="62" t="n">
        <f aca="false">AB1626/S1626-1</f>
        <v>0.210681402197241</v>
      </c>
      <c r="AE1626" s="60" t="str">
        <f aca="false">IF(AB1626&lt;S1626,"SIM","NÃO")</f>
        <v>NÃO</v>
      </c>
      <c r="AF1626" s="60" t="n">
        <v>2</v>
      </c>
      <c r="AG1626" s="60" t="n">
        <v>5</v>
      </c>
      <c r="AH1626" s="60" t="s">
        <v>382</v>
      </c>
      <c r="AI1626" s="61" t="n">
        <f aca="false">(T1626*(1-Painel!$C$40)+U1626+V1626+Painel!$C$41+Painel!$C$42*CEILING(G1626/100,1)+Painel!$C$43*CEILING(G1626,1)+Z1626)/(1-Resumo!$B$5)</f>
        <v>100.498829545455</v>
      </c>
      <c r="AJ1626" s="60" t="str">
        <f aca="false">IF(AI1626&lt;S1626,"SIM","NÃO")</f>
        <v>SIM</v>
      </c>
    </row>
    <row r="1627" customFormat="false" ht="15" hidden="false" customHeight="false" outlineLevel="0" collapsed="false">
      <c r="A1627" s="59" t="n">
        <v>46272.5534027778</v>
      </c>
      <c r="B1627" s="60" t="s">
        <v>1861</v>
      </c>
      <c r="C1627" s="60" t="n">
        <v>28692632</v>
      </c>
      <c r="D1627" s="60" t="s">
        <v>329</v>
      </c>
      <c r="E1627" s="60" t="s">
        <v>24</v>
      </c>
      <c r="F1627" s="60" t="s">
        <v>233</v>
      </c>
      <c r="G1627" s="60" t="n">
        <v>20.9</v>
      </c>
      <c r="H1627" s="61" t="n">
        <v>440.99</v>
      </c>
      <c r="I1627" s="61" t="n">
        <v>65.63</v>
      </c>
      <c r="J1627" s="61" t="n">
        <f aca="false">H1627*Resumo!$C$6</f>
        <v>0</v>
      </c>
      <c r="K1627" s="61" t="n">
        <f aca="false">H1627*Resumo!$C$7</f>
        <v>0.926079</v>
      </c>
      <c r="L1627" s="61" t="n">
        <f aca="false">H1627*Resumo!$C$8</f>
        <v>0.926079</v>
      </c>
      <c r="M1627" s="61" t="n">
        <f aca="false">Resumo!$C$10*CEILING(G1627/100,1)</f>
        <v>1.05</v>
      </c>
      <c r="N1627" s="61" t="n">
        <f aca="false">Resumo!$C$9</f>
        <v>0</v>
      </c>
      <c r="O1627" s="61" t="n">
        <f aca="false">Resumo!$C$13</f>
        <v>13.55</v>
      </c>
      <c r="P1627" s="61" t="n">
        <f aca="false">Resumo!$C$14*CEILING(G1627,1)</f>
        <v>9.45</v>
      </c>
      <c r="Q1627" s="61" t="n">
        <f aca="false">SUM(I1627:P1627)*Resumo!$C$11</f>
        <v>0</v>
      </c>
      <c r="R1627" s="61" t="n">
        <f aca="false">SUM(I1627:Q1627)</f>
        <v>91.532158</v>
      </c>
      <c r="S1627" s="61" t="n">
        <f aca="false">R1627/(1-Resumo!$C$5)</f>
        <v>104.013815909091</v>
      </c>
      <c r="T1627" s="61" t="n">
        <v>120.78</v>
      </c>
      <c r="U1627" s="61" t="n">
        <f aca="false">H1627*Resumo!$B$6</f>
        <v>0.44099</v>
      </c>
      <c r="V1627" s="61" t="n">
        <f aca="false">H1627*Resumo!$B$7</f>
        <v>0.88198</v>
      </c>
      <c r="W1627" s="61" t="n">
        <f aca="false">Resumo!$B$9</f>
        <v>1</v>
      </c>
      <c r="X1627" s="61" t="n">
        <f aca="false">Resumo!$B$10*CEILING(G1627/100,1)</f>
        <v>4.5</v>
      </c>
      <c r="Y1627" s="61" t="n">
        <f aca="false">Resumo!$B$12*CEILING(G1627,1)</f>
        <v>1.26</v>
      </c>
      <c r="Z1627" s="61" t="n">
        <f aca="false">Resumo!$B$14*CEILING(G1627,1)</f>
        <v>9.45</v>
      </c>
      <c r="AA1627" s="61" t="n">
        <f aca="false">SUM(T1627:Z1627)</f>
        <v>138.31297</v>
      </c>
      <c r="AB1627" s="61" t="n">
        <f aca="false">AA1627/(1-Resumo!$B$5)</f>
        <v>157.173829545455</v>
      </c>
      <c r="AC1627" s="61" t="n">
        <f aca="false">AB1627-S1627</f>
        <v>53.1600136363636</v>
      </c>
      <c r="AD1627" s="62" t="n">
        <f aca="false">AB1627/S1627-1</f>
        <v>0.511086081899216</v>
      </c>
      <c r="AE1627" s="60" t="str">
        <f aca="false">IF(AB1627&lt;S1627,"SIM","NÃO")</f>
        <v>NÃO</v>
      </c>
      <c r="AF1627" s="60" t="n">
        <v>13</v>
      </c>
      <c r="AG1627" s="60" t="n">
        <v>10</v>
      </c>
      <c r="AH1627" s="60" t="s">
        <v>385</v>
      </c>
      <c r="AI1627" s="61" t="n">
        <f aca="false">(T1627*(1-Painel!$C$40)+U1627+V1627+Painel!$C$41+Painel!$C$42*CEILING(G1627/100,1)+Painel!$C$43*CEILING(G1627,1)+Z1627)/(1-Resumo!$B$5)</f>
        <v>106.529056818182</v>
      </c>
      <c r="AJ1627" s="60" t="str">
        <f aca="false">IF(AI1627&lt;S1627,"SIM","NÃO")</f>
        <v>NÃO</v>
      </c>
    </row>
    <row r="1628" customFormat="false" ht="15" hidden="false" customHeight="false" outlineLevel="0" collapsed="false">
      <c r="A1628" s="59" t="n">
        <v>46272.6176851852</v>
      </c>
      <c r="B1628" s="60" t="s">
        <v>437</v>
      </c>
      <c r="C1628" s="60" t="n">
        <v>20251440</v>
      </c>
      <c r="D1628" s="60" t="s">
        <v>46</v>
      </c>
      <c r="E1628" s="60" t="s">
        <v>22</v>
      </c>
      <c r="F1628" s="60" t="s">
        <v>235</v>
      </c>
      <c r="G1628" s="60" t="n">
        <v>41.6</v>
      </c>
      <c r="H1628" s="61" t="n">
        <v>679.98</v>
      </c>
      <c r="I1628" s="61" t="n">
        <v>53.55</v>
      </c>
      <c r="J1628" s="61" t="n">
        <f aca="false">H1628*Resumo!$C$6</f>
        <v>0</v>
      </c>
      <c r="K1628" s="61" t="n">
        <f aca="false">H1628*Resumo!$C$7</f>
        <v>1.427958</v>
      </c>
      <c r="L1628" s="61" t="n">
        <f aca="false">H1628*Resumo!$C$8</f>
        <v>1.427958</v>
      </c>
      <c r="M1628" s="61" t="n">
        <f aca="false">Resumo!$C$10*CEILING(G1628/100,1)</f>
        <v>1.05</v>
      </c>
      <c r="N1628" s="61" t="n">
        <f aca="false">Resumo!$C$9</f>
        <v>0</v>
      </c>
      <c r="O1628" s="61" t="n">
        <f aca="false">Resumo!$C$13</f>
        <v>13.55</v>
      </c>
      <c r="P1628" s="61" t="n">
        <f aca="false">Resumo!$C$14*CEILING(G1628,1)</f>
        <v>18.9</v>
      </c>
      <c r="Q1628" s="61" t="n">
        <f aca="false">SUM(I1628:P1628)*Resumo!$C$11</f>
        <v>0</v>
      </c>
      <c r="R1628" s="61" t="n">
        <f aca="false">SUM(I1628:Q1628)</f>
        <v>89.905916</v>
      </c>
      <c r="S1628" s="61" t="n">
        <f aca="false">R1628/(1-Resumo!$C$5)</f>
        <v>102.165813636364</v>
      </c>
      <c r="T1628" s="61" t="n">
        <v>93.97</v>
      </c>
      <c r="U1628" s="61" t="n">
        <f aca="false">H1628*Resumo!$B$6</f>
        <v>0.67998</v>
      </c>
      <c r="V1628" s="61" t="n">
        <f aca="false">H1628*Resumo!$B$7</f>
        <v>1.35996</v>
      </c>
      <c r="W1628" s="61" t="n">
        <f aca="false">Resumo!$B$9</f>
        <v>1</v>
      </c>
      <c r="X1628" s="61" t="n">
        <f aca="false">Resumo!$B$10*CEILING(G1628/100,1)</f>
        <v>4.5</v>
      </c>
      <c r="Y1628" s="61" t="n">
        <f aca="false">Resumo!$B$12*CEILING(G1628,1)</f>
        <v>2.52</v>
      </c>
      <c r="Z1628" s="61" t="n">
        <f aca="false">Resumo!$B$14*CEILING(G1628,1)</f>
        <v>18.9</v>
      </c>
      <c r="AA1628" s="61" t="n">
        <f aca="false">SUM(T1628:Z1628)</f>
        <v>122.92994</v>
      </c>
      <c r="AB1628" s="61" t="n">
        <f aca="false">AA1628/(1-Resumo!$B$5)</f>
        <v>139.693113636364</v>
      </c>
      <c r="AC1628" s="61" t="n">
        <f aca="false">AB1628-S1628</f>
        <v>37.5273</v>
      </c>
      <c r="AD1628" s="62" t="n">
        <f aca="false">AB1628/S1628-1</f>
        <v>0.367317585641417</v>
      </c>
      <c r="AE1628" s="60" t="str">
        <f aca="false">IF(AB1628&lt;S1628,"SIM","NÃO")</f>
        <v>NÃO</v>
      </c>
      <c r="AF1628" s="60" t="n">
        <v>2</v>
      </c>
      <c r="AG1628" s="60" t="n">
        <v>5</v>
      </c>
      <c r="AH1628" s="60" t="s">
        <v>382</v>
      </c>
      <c r="AI1628" s="61" t="n">
        <f aca="false">(T1628*(1-Painel!$C$40)+U1628+V1628+Painel!$C$41+Painel!$C$42*CEILING(G1628/100,1)+Painel!$C$43*CEILING(G1628,1)+Z1628)/(1-Resumo!$B$5)</f>
        <v>97.6702727272727</v>
      </c>
      <c r="AJ1628" s="60" t="str">
        <f aca="false">IF(AI1628&lt;S1628,"SIM","NÃO")</f>
        <v>SIM</v>
      </c>
    </row>
    <row r="1629" customFormat="false" ht="15" hidden="false" customHeight="false" outlineLevel="0" collapsed="false">
      <c r="A1629" s="59" t="n">
        <v>46272.6717013889</v>
      </c>
      <c r="B1629" s="60" t="s">
        <v>1862</v>
      </c>
      <c r="C1629" s="60" t="n">
        <v>21042431</v>
      </c>
      <c r="D1629" s="60" t="s">
        <v>46</v>
      </c>
      <c r="E1629" s="60" t="s">
        <v>22</v>
      </c>
      <c r="F1629" s="60" t="s">
        <v>234</v>
      </c>
      <c r="G1629" s="60" t="n">
        <v>37.6</v>
      </c>
      <c r="H1629" s="61" t="n">
        <v>378.18</v>
      </c>
      <c r="I1629" s="61" t="n">
        <v>48.35</v>
      </c>
      <c r="J1629" s="61" t="n">
        <f aca="false">H1629*Resumo!$C$6</f>
        <v>0</v>
      </c>
      <c r="K1629" s="61" t="n">
        <f aca="false">H1629*Resumo!$C$7</f>
        <v>0.794178</v>
      </c>
      <c r="L1629" s="61" t="n">
        <f aca="false">H1629*Resumo!$C$8</f>
        <v>0.794178</v>
      </c>
      <c r="M1629" s="61" t="n">
        <f aca="false">Resumo!$C$10*CEILING(G1629/100,1)</f>
        <v>1.05</v>
      </c>
      <c r="N1629" s="61" t="n">
        <f aca="false">Resumo!$C$9</f>
        <v>0</v>
      </c>
      <c r="O1629" s="61" t="n">
        <f aca="false">Resumo!$C$13</f>
        <v>13.55</v>
      </c>
      <c r="P1629" s="61" t="n">
        <f aca="false">Resumo!$C$14*CEILING(G1629,1)</f>
        <v>17.1</v>
      </c>
      <c r="Q1629" s="61" t="n">
        <f aca="false">SUM(I1629:P1629)*Resumo!$C$11</f>
        <v>0</v>
      </c>
      <c r="R1629" s="61" t="n">
        <f aca="false">SUM(I1629:Q1629)</f>
        <v>81.638356</v>
      </c>
      <c r="S1629" s="61" t="n">
        <f aca="false">R1629/(1-Resumo!$C$5)</f>
        <v>92.7708590909091</v>
      </c>
      <c r="T1629" s="61" t="n">
        <v>93.97</v>
      </c>
      <c r="U1629" s="61" t="n">
        <f aca="false">H1629*Resumo!$B$6</f>
        <v>0.37818</v>
      </c>
      <c r="V1629" s="61" t="n">
        <f aca="false">H1629*Resumo!$B$7</f>
        <v>0.75636</v>
      </c>
      <c r="W1629" s="61" t="n">
        <f aca="false">Resumo!$B$9</f>
        <v>1</v>
      </c>
      <c r="X1629" s="61" t="n">
        <f aca="false">Resumo!$B$10*CEILING(G1629/100,1)</f>
        <v>4.5</v>
      </c>
      <c r="Y1629" s="61" t="n">
        <f aca="false">Resumo!$B$12*CEILING(G1629,1)</f>
        <v>2.28</v>
      </c>
      <c r="Z1629" s="61" t="n">
        <f aca="false">Resumo!$B$14*CEILING(G1629,1)</f>
        <v>17.1</v>
      </c>
      <c r="AA1629" s="61" t="n">
        <f aca="false">SUM(T1629:Z1629)</f>
        <v>119.98454</v>
      </c>
      <c r="AB1629" s="61" t="n">
        <f aca="false">AA1629/(1-Resumo!$B$5)</f>
        <v>136.346068181818</v>
      </c>
      <c r="AC1629" s="61" t="n">
        <f aca="false">AB1629-S1629</f>
        <v>43.5752090909091</v>
      </c>
      <c r="AD1629" s="62" t="n">
        <f aca="false">AB1629/S1629-1</f>
        <v>0.469707939733622</v>
      </c>
      <c r="AE1629" s="60" t="str">
        <f aca="false">IF(AB1629&lt;S1629,"SIM","NÃO")</f>
        <v>NÃO</v>
      </c>
      <c r="AF1629" s="60" t="n">
        <v>2</v>
      </c>
      <c r="AG1629" s="60" t="n">
        <v>5</v>
      </c>
      <c r="AH1629" s="60" t="s">
        <v>382</v>
      </c>
      <c r="AI1629" s="61" t="n">
        <f aca="false">(T1629*(1-Painel!$C$40)+U1629+V1629+Painel!$C$41+Painel!$C$42*CEILING(G1629/100,1)+Painel!$C$43*CEILING(G1629,1)+Z1629)/(1-Resumo!$B$5)</f>
        <v>94.5959545454546</v>
      </c>
      <c r="AJ1629" s="60" t="str">
        <f aca="false">IF(AI1629&lt;S1629,"SIM","NÃO")</f>
        <v>NÃO</v>
      </c>
    </row>
    <row r="1630" customFormat="false" ht="15" hidden="false" customHeight="false" outlineLevel="0" collapsed="false">
      <c r="A1630" s="59" t="n">
        <v>46272.7024768519</v>
      </c>
      <c r="B1630" s="60" t="s">
        <v>1863</v>
      </c>
      <c r="C1630" s="60" t="n">
        <v>23565450</v>
      </c>
      <c r="D1630" s="60" t="s">
        <v>46</v>
      </c>
      <c r="E1630" s="60" t="s">
        <v>22</v>
      </c>
      <c r="F1630" s="60" t="s">
        <v>234</v>
      </c>
      <c r="G1630" s="60" t="n">
        <v>36.8</v>
      </c>
      <c r="H1630" s="61" t="n">
        <v>464.95</v>
      </c>
      <c r="I1630" s="61" t="n">
        <v>48.35</v>
      </c>
      <c r="J1630" s="61" t="n">
        <f aca="false">H1630*Resumo!$C$6</f>
        <v>0</v>
      </c>
      <c r="K1630" s="61" t="n">
        <f aca="false">H1630*Resumo!$C$7</f>
        <v>0.976395</v>
      </c>
      <c r="L1630" s="61" t="n">
        <f aca="false">H1630*Resumo!$C$8</f>
        <v>0.976395</v>
      </c>
      <c r="M1630" s="61" t="n">
        <f aca="false">Resumo!$C$10*CEILING(G1630/100,1)</f>
        <v>1.05</v>
      </c>
      <c r="N1630" s="61" t="n">
        <f aca="false">Resumo!$C$9</f>
        <v>0</v>
      </c>
      <c r="O1630" s="61" t="n">
        <f aca="false">Resumo!$C$13</f>
        <v>13.55</v>
      </c>
      <c r="P1630" s="61" t="n">
        <f aca="false">Resumo!$C$14*CEILING(G1630,1)</f>
        <v>16.65</v>
      </c>
      <c r="Q1630" s="61" t="n">
        <f aca="false">SUM(I1630:P1630)*Resumo!$C$11</f>
        <v>0</v>
      </c>
      <c r="R1630" s="61" t="n">
        <f aca="false">SUM(I1630:Q1630)</f>
        <v>81.55279</v>
      </c>
      <c r="S1630" s="61" t="n">
        <f aca="false">R1630/(1-Resumo!$C$5)</f>
        <v>92.673625</v>
      </c>
      <c r="T1630" s="61" t="n">
        <v>93.97</v>
      </c>
      <c r="U1630" s="61" t="n">
        <f aca="false">H1630*Resumo!$B$6</f>
        <v>0.46495</v>
      </c>
      <c r="V1630" s="61" t="n">
        <f aca="false">H1630*Resumo!$B$7</f>
        <v>0.9299</v>
      </c>
      <c r="W1630" s="61" t="n">
        <f aca="false">Resumo!$B$9</f>
        <v>1</v>
      </c>
      <c r="X1630" s="61" t="n">
        <f aca="false">Resumo!$B$10*CEILING(G1630/100,1)</f>
        <v>4.5</v>
      </c>
      <c r="Y1630" s="61" t="n">
        <f aca="false">Resumo!$B$12*CEILING(G1630,1)</f>
        <v>2.22</v>
      </c>
      <c r="Z1630" s="61" t="n">
        <f aca="false">Resumo!$B$14*CEILING(G1630,1)</f>
        <v>16.65</v>
      </c>
      <c r="AA1630" s="61" t="n">
        <f aca="false">SUM(T1630:Z1630)</f>
        <v>119.73485</v>
      </c>
      <c r="AB1630" s="61" t="n">
        <f aca="false">AA1630/(1-Resumo!$B$5)</f>
        <v>136.062329545455</v>
      </c>
      <c r="AC1630" s="61" t="n">
        <f aca="false">AB1630-S1630</f>
        <v>43.3887045454546</v>
      </c>
      <c r="AD1630" s="62" t="n">
        <f aca="false">AB1630/S1630-1</f>
        <v>0.468188274122811</v>
      </c>
      <c r="AE1630" s="60" t="str">
        <f aca="false">IF(AB1630&lt;S1630,"SIM","NÃO")</f>
        <v>NÃO</v>
      </c>
      <c r="AF1630" s="60" t="n">
        <v>2</v>
      </c>
      <c r="AG1630" s="60" t="n">
        <v>5</v>
      </c>
      <c r="AH1630" s="60" t="s">
        <v>382</v>
      </c>
      <c r="AI1630" s="61" t="n">
        <f aca="false">(T1630*(1-Painel!$C$40)+U1630+V1630+Painel!$C$41+Painel!$C$42*CEILING(G1630/100,1)+Painel!$C$43*CEILING(G1630,1)+Z1630)/(1-Resumo!$B$5)</f>
        <v>94.3803977272727</v>
      </c>
      <c r="AJ1630" s="60" t="str">
        <f aca="false">IF(AI1630&lt;S1630,"SIM","NÃO")</f>
        <v>NÃO</v>
      </c>
    </row>
    <row r="1631" customFormat="false" ht="15" hidden="false" customHeight="false" outlineLevel="0" collapsed="false">
      <c r="A1631" s="59" t="n">
        <v>46272.7301273148</v>
      </c>
      <c r="B1631" s="60" t="s">
        <v>1691</v>
      </c>
      <c r="C1631" s="60" t="n">
        <v>25651075</v>
      </c>
      <c r="D1631" s="60" t="s">
        <v>219</v>
      </c>
      <c r="E1631" s="60" t="s">
        <v>24</v>
      </c>
      <c r="F1631" s="60" t="s">
        <v>237</v>
      </c>
      <c r="G1631" s="60" t="n">
        <v>66.8</v>
      </c>
      <c r="H1631" s="61" t="n">
        <v>651</v>
      </c>
      <c r="I1631" s="61" t="n">
        <v>90.2</v>
      </c>
      <c r="J1631" s="61" t="n">
        <f aca="false">H1631*Resumo!$C$6</f>
        <v>0</v>
      </c>
      <c r="K1631" s="61" t="n">
        <f aca="false">H1631*Resumo!$C$7</f>
        <v>1.3671</v>
      </c>
      <c r="L1631" s="61" t="n">
        <f aca="false">H1631*Resumo!$C$8</f>
        <v>1.3671</v>
      </c>
      <c r="M1631" s="61" t="n">
        <f aca="false">Resumo!$C$10*CEILING(G1631/100,1)</f>
        <v>1.05</v>
      </c>
      <c r="N1631" s="61" t="n">
        <f aca="false">Resumo!$C$9</f>
        <v>0</v>
      </c>
      <c r="O1631" s="61" t="n">
        <f aca="false">Resumo!$C$13</f>
        <v>13.55</v>
      </c>
      <c r="P1631" s="61" t="n">
        <f aca="false">Resumo!$C$14*CEILING(G1631,1)</f>
        <v>30.15</v>
      </c>
      <c r="Q1631" s="61" t="n">
        <f aca="false">SUM(I1631:P1631)*Resumo!$C$11</f>
        <v>0</v>
      </c>
      <c r="R1631" s="61" t="n">
        <f aca="false">SUM(I1631:Q1631)</f>
        <v>137.6842</v>
      </c>
      <c r="S1631" s="61" t="n">
        <f aca="false">R1631/(1-Resumo!$C$5)</f>
        <v>156.459318181818</v>
      </c>
      <c r="T1631" s="61" t="n">
        <v>166.05</v>
      </c>
      <c r="U1631" s="61" t="n">
        <f aca="false">H1631*Resumo!$B$6</f>
        <v>0.651</v>
      </c>
      <c r="V1631" s="61" t="n">
        <f aca="false">H1631*Resumo!$B$7</f>
        <v>1.302</v>
      </c>
      <c r="W1631" s="61" t="n">
        <f aca="false">Resumo!$B$9</f>
        <v>1</v>
      </c>
      <c r="X1631" s="61" t="n">
        <f aca="false">Resumo!$B$10*CEILING(G1631/100,1)</f>
        <v>4.5</v>
      </c>
      <c r="Y1631" s="61" t="n">
        <f aca="false">Resumo!$B$12*CEILING(G1631,1)</f>
        <v>4.02</v>
      </c>
      <c r="Z1631" s="61" t="n">
        <f aca="false">Resumo!$B$14*CEILING(G1631,1)</f>
        <v>30.15</v>
      </c>
      <c r="AA1631" s="61" t="n">
        <f aca="false">SUM(T1631:Z1631)</f>
        <v>207.673</v>
      </c>
      <c r="AB1631" s="61" t="n">
        <f aca="false">AA1631/(1-Resumo!$B$5)</f>
        <v>235.992045454546</v>
      </c>
      <c r="AC1631" s="61" t="n">
        <f aca="false">AB1631-S1631</f>
        <v>79.5327272727273</v>
      </c>
      <c r="AD1631" s="62" t="n">
        <f aca="false">AB1631/S1631-1</f>
        <v>0.508328479230006</v>
      </c>
      <c r="AE1631" s="60" t="str">
        <f aca="false">IF(AB1631&lt;S1631,"SIM","NÃO")</f>
        <v>NÃO</v>
      </c>
      <c r="AF1631" s="60" t="n">
        <v>13</v>
      </c>
      <c r="AG1631" s="60" t="n">
        <v>8</v>
      </c>
      <c r="AH1631" s="60" t="s">
        <v>382</v>
      </c>
      <c r="AI1631" s="61" t="n">
        <f aca="false">(T1631*(1-Painel!$C$40)+U1631+V1631+Painel!$C$41+Painel!$C$42*CEILING(G1631/100,1)+Painel!$C$43*CEILING(G1631,1)+Z1631)/(1-Resumo!$B$5)</f>
        <v>165.234659090909</v>
      </c>
      <c r="AJ1631" s="60" t="str">
        <f aca="false">IF(AI1631&lt;S1631,"SIM","NÃO")</f>
        <v>NÃO</v>
      </c>
    </row>
    <row r="1632" customFormat="false" ht="15" hidden="false" customHeight="false" outlineLevel="0" collapsed="false">
      <c r="A1632" s="59" t="n">
        <v>46272.7945023148</v>
      </c>
      <c r="B1632" s="60" t="s">
        <v>1864</v>
      </c>
      <c r="C1632" s="60" t="n">
        <v>22790495</v>
      </c>
      <c r="D1632" s="60" t="s">
        <v>46</v>
      </c>
      <c r="E1632" s="60" t="s">
        <v>22</v>
      </c>
      <c r="F1632" s="60" t="s">
        <v>237</v>
      </c>
      <c r="G1632" s="60" t="n">
        <v>66.8</v>
      </c>
      <c r="H1632" s="61" t="n">
        <v>699.99</v>
      </c>
      <c r="I1632" s="61" t="n">
        <v>63.21</v>
      </c>
      <c r="J1632" s="61" t="n">
        <f aca="false">H1632*Resumo!$C$6</f>
        <v>0</v>
      </c>
      <c r="K1632" s="61" t="n">
        <f aca="false">H1632*Resumo!$C$7</f>
        <v>1.469979</v>
      </c>
      <c r="L1632" s="61" t="n">
        <f aca="false">H1632*Resumo!$C$8</f>
        <v>1.469979</v>
      </c>
      <c r="M1632" s="61" t="n">
        <f aca="false">Resumo!$C$10*CEILING(G1632/100,1)</f>
        <v>1.05</v>
      </c>
      <c r="N1632" s="61" t="n">
        <f aca="false">Resumo!$C$9</f>
        <v>0</v>
      </c>
      <c r="O1632" s="61" t="n">
        <f aca="false">Resumo!$C$13</f>
        <v>13.55</v>
      </c>
      <c r="P1632" s="61" t="n">
        <f aca="false">Resumo!$C$14*CEILING(G1632,1)</f>
        <v>30.15</v>
      </c>
      <c r="Q1632" s="61" t="n">
        <f aca="false">SUM(I1632:P1632)*Resumo!$C$11</f>
        <v>0</v>
      </c>
      <c r="R1632" s="61" t="n">
        <f aca="false">SUM(I1632:Q1632)</f>
        <v>110.899958</v>
      </c>
      <c r="S1632" s="61" t="n">
        <f aca="false">R1632/(1-Resumo!$C$5)</f>
        <v>126.022679545455</v>
      </c>
      <c r="T1632" s="61" t="n">
        <v>131.02</v>
      </c>
      <c r="U1632" s="61" t="n">
        <f aca="false">H1632*Resumo!$B$6</f>
        <v>0.69999</v>
      </c>
      <c r="V1632" s="61" t="n">
        <f aca="false">H1632*Resumo!$B$7</f>
        <v>1.39998</v>
      </c>
      <c r="W1632" s="61" t="n">
        <f aca="false">Resumo!$B$9</f>
        <v>1</v>
      </c>
      <c r="X1632" s="61" t="n">
        <f aca="false">Resumo!$B$10*CEILING(G1632/100,1)</f>
        <v>4.5</v>
      </c>
      <c r="Y1632" s="61" t="n">
        <f aca="false">Resumo!$B$12*CEILING(G1632,1)</f>
        <v>4.02</v>
      </c>
      <c r="Z1632" s="61" t="n">
        <f aca="false">Resumo!$B$14*CEILING(G1632,1)</f>
        <v>30.15</v>
      </c>
      <c r="AA1632" s="61" t="n">
        <f aca="false">SUM(T1632:Z1632)</f>
        <v>172.78997</v>
      </c>
      <c r="AB1632" s="61" t="n">
        <f aca="false">AA1632/(1-Resumo!$B$5)</f>
        <v>196.352238636364</v>
      </c>
      <c r="AC1632" s="61" t="n">
        <f aca="false">AB1632-S1632</f>
        <v>70.3295590909091</v>
      </c>
      <c r="AD1632" s="62" t="n">
        <f aca="false">AB1632/S1632-1</f>
        <v>0.558070653191771</v>
      </c>
      <c r="AE1632" s="60" t="str">
        <f aca="false">IF(AB1632&lt;S1632,"SIM","NÃO")</f>
        <v>NÃO</v>
      </c>
      <c r="AF1632" s="60" t="n">
        <v>2</v>
      </c>
      <c r="AG1632" s="60" t="n">
        <v>5</v>
      </c>
      <c r="AH1632" s="60" t="s">
        <v>382</v>
      </c>
      <c r="AI1632" s="61" t="n">
        <f aca="false">(T1632*(1-Painel!$C$40)+U1632+V1632+Painel!$C$41+Painel!$C$42*CEILING(G1632/100,1)+Painel!$C$43*CEILING(G1632,1)+Z1632)/(1-Resumo!$B$5)</f>
        <v>138.731102272727</v>
      </c>
      <c r="AJ1632" s="60" t="str">
        <f aca="false">IF(AI1632&lt;S1632,"SIM","NÃO")</f>
        <v>NÃO</v>
      </c>
    </row>
    <row r="1633" customFormat="false" ht="15" hidden="false" customHeight="false" outlineLevel="0" collapsed="false">
      <c r="A1633" s="59" t="n">
        <v>46272.8297453704</v>
      </c>
      <c r="B1633" s="60" t="s">
        <v>1865</v>
      </c>
      <c r="C1633" s="60" t="n">
        <v>21832310</v>
      </c>
      <c r="D1633" s="60" t="s">
        <v>46</v>
      </c>
      <c r="E1633" s="60" t="s">
        <v>22</v>
      </c>
      <c r="F1633" s="60" t="s">
        <v>233</v>
      </c>
      <c r="G1633" s="60" t="n">
        <v>20.9</v>
      </c>
      <c r="H1633" s="61" t="n">
        <v>470.09</v>
      </c>
      <c r="I1633" s="61" t="n">
        <v>42.11</v>
      </c>
      <c r="J1633" s="61" t="n">
        <f aca="false">H1633*Resumo!$C$6</f>
        <v>0</v>
      </c>
      <c r="K1633" s="61" t="n">
        <f aca="false">H1633*Resumo!$C$7</f>
        <v>0.987189</v>
      </c>
      <c r="L1633" s="61" t="n">
        <f aca="false">H1633*Resumo!$C$8</f>
        <v>0.987189</v>
      </c>
      <c r="M1633" s="61" t="n">
        <f aca="false">Resumo!$C$10*CEILING(G1633/100,1)</f>
        <v>1.05</v>
      </c>
      <c r="N1633" s="61" t="n">
        <f aca="false">Resumo!$C$9</f>
        <v>0</v>
      </c>
      <c r="O1633" s="61" t="n">
        <f aca="false">Resumo!$C$13</f>
        <v>13.55</v>
      </c>
      <c r="P1633" s="61" t="n">
        <f aca="false">Resumo!$C$14*CEILING(G1633,1)</f>
        <v>9.45</v>
      </c>
      <c r="Q1633" s="61" t="n">
        <f aca="false">SUM(I1633:P1633)*Resumo!$C$11</f>
        <v>0</v>
      </c>
      <c r="R1633" s="61" t="n">
        <f aca="false">SUM(I1633:Q1633)</f>
        <v>68.134378</v>
      </c>
      <c r="S1633" s="61" t="n">
        <f aca="false">R1633/(1-Resumo!$C$5)</f>
        <v>77.4254295454546</v>
      </c>
      <c r="T1633" s="61" t="n">
        <v>82.21</v>
      </c>
      <c r="U1633" s="61" t="n">
        <f aca="false">H1633*Resumo!$B$6</f>
        <v>0.47009</v>
      </c>
      <c r="V1633" s="61" t="n">
        <f aca="false">H1633*Resumo!$B$7</f>
        <v>0.94018</v>
      </c>
      <c r="W1633" s="61" t="n">
        <f aca="false">Resumo!$B$9</f>
        <v>1</v>
      </c>
      <c r="X1633" s="61" t="n">
        <f aca="false">Resumo!$B$10*CEILING(G1633/100,1)</f>
        <v>4.5</v>
      </c>
      <c r="Y1633" s="61" t="n">
        <f aca="false">Resumo!$B$12*CEILING(G1633,1)</f>
        <v>1.26</v>
      </c>
      <c r="Z1633" s="61" t="n">
        <f aca="false">Resumo!$B$14*CEILING(G1633,1)</f>
        <v>9.45</v>
      </c>
      <c r="AA1633" s="61" t="n">
        <f aca="false">SUM(T1633:Z1633)</f>
        <v>99.83027</v>
      </c>
      <c r="AB1633" s="61" t="n">
        <f aca="false">AA1633/(1-Resumo!$B$5)</f>
        <v>113.443488636364</v>
      </c>
      <c r="AC1633" s="61" t="n">
        <f aca="false">AB1633-S1633</f>
        <v>36.0180590909091</v>
      </c>
      <c r="AD1633" s="62" t="n">
        <f aca="false">AB1633/S1633-1</f>
        <v>0.465196761611297</v>
      </c>
      <c r="AE1633" s="60" t="str">
        <f aca="false">IF(AB1633&lt;S1633,"SIM","NÃO")</f>
        <v>NÃO</v>
      </c>
      <c r="AF1633" s="60" t="n">
        <v>2</v>
      </c>
      <c r="AG1633" s="60" t="n">
        <v>5</v>
      </c>
      <c r="AH1633" s="60" t="s">
        <v>382</v>
      </c>
      <c r="AI1633" s="61" t="n">
        <f aca="false">(T1633*(1-Painel!$C$40)+U1633+V1633+Painel!$C$41+Painel!$C$42*CEILING(G1633/100,1)+Painel!$C$43*CEILING(G1633,1)+Z1633)/(1-Resumo!$B$5)</f>
        <v>77.2624659090909</v>
      </c>
      <c r="AJ1633" s="60" t="str">
        <f aca="false">IF(AI1633&lt;S1633,"SIM","NÃO")</f>
        <v>SIM</v>
      </c>
    </row>
    <row r="1634" customFormat="false" ht="15" hidden="false" customHeight="false" outlineLevel="0" collapsed="false">
      <c r="A1634" s="59" t="n">
        <v>46273.4055324074</v>
      </c>
      <c r="B1634" s="60" t="s">
        <v>1866</v>
      </c>
      <c r="C1634" s="60" t="n">
        <v>23955385</v>
      </c>
      <c r="D1634" s="60" t="s">
        <v>218</v>
      </c>
      <c r="E1634" s="60" t="s">
        <v>24</v>
      </c>
      <c r="F1634" s="60" t="s">
        <v>234</v>
      </c>
      <c r="G1634" s="60" t="n">
        <v>40</v>
      </c>
      <c r="H1634" s="61" t="n">
        <v>495.99</v>
      </c>
      <c r="I1634" s="61" t="n">
        <v>74.97</v>
      </c>
      <c r="J1634" s="61" t="n">
        <f aca="false">H1634*Resumo!$C$6</f>
        <v>0</v>
      </c>
      <c r="K1634" s="61" t="n">
        <f aca="false">H1634*Resumo!$C$7</f>
        <v>1.041579</v>
      </c>
      <c r="L1634" s="61" t="n">
        <f aca="false">H1634*Resumo!$C$8</f>
        <v>1.041579</v>
      </c>
      <c r="M1634" s="61" t="n">
        <f aca="false">Resumo!$C$10*CEILING(G1634/100,1)</f>
        <v>1.05</v>
      </c>
      <c r="N1634" s="61" t="n">
        <f aca="false">Resumo!$C$9</f>
        <v>0</v>
      </c>
      <c r="O1634" s="61" t="n">
        <f aca="false">Resumo!$C$13</f>
        <v>13.55</v>
      </c>
      <c r="P1634" s="61" t="n">
        <f aca="false">Resumo!$C$14*CEILING(G1634,1)</f>
        <v>18</v>
      </c>
      <c r="Q1634" s="61" t="n">
        <f aca="false">SUM(I1634:P1634)*Resumo!$C$11</f>
        <v>0</v>
      </c>
      <c r="R1634" s="61" t="n">
        <f aca="false">SUM(I1634:Q1634)</f>
        <v>109.653158</v>
      </c>
      <c r="S1634" s="61" t="n">
        <f aca="false">R1634/(1-Resumo!$C$5)</f>
        <v>124.605861363636</v>
      </c>
      <c r="T1634" s="61" t="n">
        <v>124.38</v>
      </c>
      <c r="U1634" s="61" t="n">
        <f aca="false">H1634*Resumo!$B$6</f>
        <v>0.49599</v>
      </c>
      <c r="V1634" s="61" t="n">
        <f aca="false">H1634*Resumo!$B$7</f>
        <v>0.99198</v>
      </c>
      <c r="W1634" s="61" t="n">
        <f aca="false">Resumo!$B$9</f>
        <v>1</v>
      </c>
      <c r="X1634" s="61" t="n">
        <f aca="false">Resumo!$B$10*CEILING(G1634/100,1)</f>
        <v>4.5</v>
      </c>
      <c r="Y1634" s="61" t="n">
        <f aca="false">Resumo!$B$12*CEILING(G1634,1)</f>
        <v>2.4</v>
      </c>
      <c r="Z1634" s="61" t="n">
        <f aca="false">Resumo!$B$14*CEILING(G1634,1)</f>
        <v>18</v>
      </c>
      <c r="AA1634" s="61" t="n">
        <f aca="false">SUM(T1634:Z1634)</f>
        <v>151.76797</v>
      </c>
      <c r="AB1634" s="61" t="n">
        <f aca="false">AA1634/(1-Resumo!$B$5)</f>
        <v>172.463602272727</v>
      </c>
      <c r="AC1634" s="61" t="n">
        <f aca="false">AB1634-S1634</f>
        <v>47.8577409090909</v>
      </c>
      <c r="AD1634" s="62" t="n">
        <f aca="false">AB1634/S1634-1</f>
        <v>0.384072951186686</v>
      </c>
      <c r="AE1634" s="60" t="str">
        <f aca="false">IF(AB1634&lt;S1634,"SIM","NÃO")</f>
        <v>NÃO</v>
      </c>
      <c r="AF1634" s="60" t="n">
        <v>13</v>
      </c>
      <c r="AG1634" s="60" t="n">
        <v>10</v>
      </c>
      <c r="AH1634" s="60" t="s">
        <v>382</v>
      </c>
      <c r="AI1634" s="61" t="n">
        <f aca="false">(T1634*(1-Painel!$C$40)+U1634+V1634+Painel!$C$41+Painel!$C$42*CEILING(G1634/100,1)+Painel!$C$43*CEILING(G1634,1)+Z1634)/(1-Resumo!$B$5)</f>
        <v>119.173375</v>
      </c>
      <c r="AJ1634" s="60" t="str">
        <f aca="false">IF(AI1634&lt;S1634,"SIM","NÃO")</f>
        <v>SIM</v>
      </c>
    </row>
    <row r="1635" customFormat="false" ht="15" hidden="false" customHeight="false" outlineLevel="0" collapsed="false">
      <c r="A1635" s="59" t="n">
        <v>46273.4819560185</v>
      </c>
      <c r="B1635" s="60" t="s">
        <v>1867</v>
      </c>
      <c r="C1635" s="60" t="n">
        <v>22710125</v>
      </c>
      <c r="D1635" s="60" t="s">
        <v>46</v>
      </c>
      <c r="E1635" s="60" t="s">
        <v>22</v>
      </c>
      <c r="F1635" s="60" t="s">
        <v>233</v>
      </c>
      <c r="G1635" s="60" t="n">
        <v>24.4</v>
      </c>
      <c r="H1635" s="61" t="n">
        <v>301.43</v>
      </c>
      <c r="I1635" s="61" t="n">
        <v>42.11</v>
      </c>
      <c r="J1635" s="61" t="n">
        <f aca="false">H1635*Resumo!$C$6</f>
        <v>0</v>
      </c>
      <c r="K1635" s="61" t="n">
        <f aca="false">H1635*Resumo!$C$7</f>
        <v>0.633003</v>
      </c>
      <c r="L1635" s="61" t="n">
        <f aca="false">H1635*Resumo!$C$8</f>
        <v>0.633003</v>
      </c>
      <c r="M1635" s="61" t="n">
        <f aca="false">Resumo!$C$10*CEILING(G1635/100,1)</f>
        <v>1.05</v>
      </c>
      <c r="N1635" s="61" t="n">
        <f aca="false">Resumo!$C$9</f>
        <v>0</v>
      </c>
      <c r="O1635" s="61" t="n">
        <f aca="false">Resumo!$C$13</f>
        <v>13.55</v>
      </c>
      <c r="P1635" s="61" t="n">
        <f aca="false">Resumo!$C$14*CEILING(G1635,1)</f>
        <v>11.25</v>
      </c>
      <c r="Q1635" s="61" t="n">
        <f aca="false">SUM(I1635:P1635)*Resumo!$C$11</f>
        <v>0</v>
      </c>
      <c r="R1635" s="61" t="n">
        <f aca="false">SUM(I1635:Q1635)</f>
        <v>69.226006</v>
      </c>
      <c r="S1635" s="61" t="n">
        <f aca="false">R1635/(1-Resumo!$C$5)</f>
        <v>78.6659159090909</v>
      </c>
      <c r="T1635" s="61" t="n">
        <v>82.21</v>
      </c>
      <c r="U1635" s="61" t="n">
        <f aca="false">H1635*Resumo!$B$6</f>
        <v>0.30143</v>
      </c>
      <c r="V1635" s="61" t="n">
        <f aca="false">H1635*Resumo!$B$7</f>
        <v>0.60286</v>
      </c>
      <c r="W1635" s="61" t="n">
        <f aca="false">Resumo!$B$9</f>
        <v>1</v>
      </c>
      <c r="X1635" s="61" t="n">
        <f aca="false">Resumo!$B$10*CEILING(G1635/100,1)</f>
        <v>4.5</v>
      </c>
      <c r="Y1635" s="61" t="n">
        <f aca="false">Resumo!$B$12*CEILING(G1635,1)</f>
        <v>1.5</v>
      </c>
      <c r="Z1635" s="61" t="n">
        <f aca="false">Resumo!$B$14*CEILING(G1635,1)</f>
        <v>11.25</v>
      </c>
      <c r="AA1635" s="61" t="n">
        <f aca="false">SUM(T1635:Z1635)</f>
        <v>101.36429</v>
      </c>
      <c r="AB1635" s="61" t="n">
        <f aca="false">AA1635/(1-Resumo!$B$5)</f>
        <v>115.186693181818</v>
      </c>
      <c r="AC1635" s="61" t="n">
        <f aca="false">AB1635-S1635</f>
        <v>36.5207772727273</v>
      </c>
      <c r="AD1635" s="62" t="n">
        <f aca="false">AB1635/S1635-1</f>
        <v>0.464251599319481</v>
      </c>
      <c r="AE1635" s="60" t="str">
        <f aca="false">IF(AB1635&lt;S1635,"SIM","NÃO")</f>
        <v>NÃO</v>
      </c>
      <c r="AF1635" s="60" t="n">
        <v>2</v>
      </c>
      <c r="AG1635" s="60" t="n">
        <v>5</v>
      </c>
      <c r="AH1635" s="60" t="s">
        <v>382</v>
      </c>
      <c r="AI1635" s="61" t="n">
        <f aca="false">(T1635*(1-Painel!$C$40)+U1635+V1635+Painel!$C$41+Painel!$C$42*CEILING(G1635/100,1)+Painel!$C$43*CEILING(G1635,1)+Z1635)/(1-Resumo!$B$5)</f>
        <v>78.7329431818182</v>
      </c>
      <c r="AJ1635" s="60" t="str">
        <f aca="false">IF(AI1635&lt;S1635,"SIM","NÃO")</f>
        <v>NÃO</v>
      </c>
    </row>
    <row r="1636" customFormat="false" ht="15" hidden="false" customHeight="false" outlineLevel="0" collapsed="false">
      <c r="A1636" s="59" t="n">
        <v>46273.5085532407</v>
      </c>
      <c r="B1636" s="60" t="s">
        <v>1271</v>
      </c>
      <c r="C1636" s="60" t="n">
        <v>20211020</v>
      </c>
      <c r="D1636" s="60" t="s">
        <v>46</v>
      </c>
      <c r="E1636" s="60" t="s">
        <v>22</v>
      </c>
      <c r="F1636" s="60" t="s">
        <v>237</v>
      </c>
      <c r="G1636" s="60" t="n">
        <v>68.1</v>
      </c>
      <c r="H1636" s="61" t="n">
        <v>898</v>
      </c>
      <c r="I1636" s="61" t="n">
        <v>63.21</v>
      </c>
      <c r="J1636" s="61" t="n">
        <f aca="false">H1636*Resumo!$C$6</f>
        <v>0</v>
      </c>
      <c r="K1636" s="61" t="n">
        <f aca="false">H1636*Resumo!$C$7</f>
        <v>1.8858</v>
      </c>
      <c r="L1636" s="61" t="n">
        <f aca="false">H1636*Resumo!$C$8</f>
        <v>1.8858</v>
      </c>
      <c r="M1636" s="61" t="n">
        <f aca="false">Resumo!$C$10*CEILING(G1636/100,1)</f>
        <v>1.05</v>
      </c>
      <c r="N1636" s="61" t="n">
        <f aca="false">Resumo!$C$9</f>
        <v>0</v>
      </c>
      <c r="O1636" s="61" t="n">
        <f aca="false">Resumo!$C$13</f>
        <v>13.55</v>
      </c>
      <c r="P1636" s="61" t="n">
        <f aca="false">Resumo!$C$14*CEILING(G1636,1)</f>
        <v>31.05</v>
      </c>
      <c r="Q1636" s="61" t="n">
        <f aca="false">SUM(I1636:P1636)*Resumo!$C$11</f>
        <v>0</v>
      </c>
      <c r="R1636" s="61" t="n">
        <f aca="false">SUM(I1636:Q1636)</f>
        <v>112.6316</v>
      </c>
      <c r="S1636" s="61" t="n">
        <f aca="false">R1636/(1-Resumo!$C$5)</f>
        <v>127.990454545455</v>
      </c>
      <c r="T1636" s="61" t="n">
        <v>131.02</v>
      </c>
      <c r="U1636" s="61" t="n">
        <f aca="false">H1636*Resumo!$B$6</f>
        <v>0.898</v>
      </c>
      <c r="V1636" s="61" t="n">
        <f aca="false">H1636*Resumo!$B$7</f>
        <v>1.796</v>
      </c>
      <c r="W1636" s="61" t="n">
        <f aca="false">Resumo!$B$9</f>
        <v>1</v>
      </c>
      <c r="X1636" s="61" t="n">
        <f aca="false">Resumo!$B$10*CEILING(G1636/100,1)</f>
        <v>4.5</v>
      </c>
      <c r="Y1636" s="61" t="n">
        <f aca="false">Resumo!$B$12*CEILING(G1636,1)</f>
        <v>4.14</v>
      </c>
      <c r="Z1636" s="61" t="n">
        <f aca="false">Resumo!$B$14*CEILING(G1636,1)</f>
        <v>31.05</v>
      </c>
      <c r="AA1636" s="61" t="n">
        <f aca="false">SUM(T1636:Z1636)</f>
        <v>174.404</v>
      </c>
      <c r="AB1636" s="61" t="n">
        <f aca="false">AA1636/(1-Resumo!$B$5)</f>
        <v>198.186363636364</v>
      </c>
      <c r="AC1636" s="61" t="n">
        <f aca="false">AB1636-S1636</f>
        <v>70.1959090909091</v>
      </c>
      <c r="AD1636" s="62" t="n">
        <f aca="false">AB1636/S1636-1</f>
        <v>0.548446439542722</v>
      </c>
      <c r="AE1636" s="60" t="str">
        <f aca="false">IF(AB1636&lt;S1636,"SIM","NÃO")</f>
        <v>NÃO</v>
      </c>
      <c r="AF1636" s="60" t="n">
        <v>2</v>
      </c>
      <c r="AG1636" s="60" t="n">
        <v>5</v>
      </c>
      <c r="AH1636" s="60" t="s">
        <v>382</v>
      </c>
      <c r="AI1636" s="61" t="n">
        <f aca="false">(T1636*(1-Painel!$C$40)+U1636+V1636+Painel!$C$41+Painel!$C$42*CEILING(G1636/100,1)+Painel!$C$43*CEILING(G1636,1)+Z1636)/(1-Resumo!$B$5)</f>
        <v>140.428863636364</v>
      </c>
      <c r="AJ1636" s="60" t="str">
        <f aca="false">IF(AI1636&lt;S1636,"SIM","NÃO")</f>
        <v>NÃO</v>
      </c>
    </row>
    <row r="1637" customFormat="false" ht="15" hidden="false" customHeight="false" outlineLevel="0" collapsed="false">
      <c r="A1637" s="59" t="n">
        <v>46273.5942592593</v>
      </c>
      <c r="B1637" s="60" t="s">
        <v>1868</v>
      </c>
      <c r="C1637" s="60" t="n">
        <v>22251050</v>
      </c>
      <c r="D1637" s="60" t="s">
        <v>46</v>
      </c>
      <c r="E1637" s="60" t="s">
        <v>22</v>
      </c>
      <c r="F1637" s="60" t="s">
        <v>233</v>
      </c>
      <c r="G1637" s="60" t="n">
        <v>27.4</v>
      </c>
      <c r="H1637" s="61" t="n">
        <v>307.67</v>
      </c>
      <c r="I1637" s="61" t="n">
        <v>42.11</v>
      </c>
      <c r="J1637" s="61" t="n">
        <f aca="false">H1637*Resumo!$C$6</f>
        <v>0</v>
      </c>
      <c r="K1637" s="61" t="n">
        <f aca="false">H1637*Resumo!$C$7</f>
        <v>0.646107</v>
      </c>
      <c r="L1637" s="61" t="n">
        <f aca="false">H1637*Resumo!$C$8</f>
        <v>0.646107</v>
      </c>
      <c r="M1637" s="61" t="n">
        <f aca="false">Resumo!$C$10*CEILING(G1637/100,1)</f>
        <v>1.05</v>
      </c>
      <c r="N1637" s="61" t="n">
        <f aca="false">Resumo!$C$9</f>
        <v>0</v>
      </c>
      <c r="O1637" s="61" t="n">
        <f aca="false">Resumo!$C$13</f>
        <v>13.55</v>
      </c>
      <c r="P1637" s="61" t="n">
        <f aca="false">Resumo!$C$14*CEILING(G1637,1)</f>
        <v>12.6</v>
      </c>
      <c r="Q1637" s="61" t="n">
        <f aca="false">SUM(I1637:P1637)*Resumo!$C$11</f>
        <v>0</v>
      </c>
      <c r="R1637" s="61" t="n">
        <f aca="false">SUM(I1637:Q1637)</f>
        <v>70.602214</v>
      </c>
      <c r="S1637" s="61" t="n">
        <f aca="false">R1637/(1-Resumo!$C$5)</f>
        <v>80.2297886363636</v>
      </c>
      <c r="T1637" s="61" t="n">
        <v>82.21</v>
      </c>
      <c r="U1637" s="61" t="n">
        <f aca="false">H1637*Resumo!$B$6</f>
        <v>0.30767</v>
      </c>
      <c r="V1637" s="61" t="n">
        <f aca="false">H1637*Resumo!$B$7</f>
        <v>0.61534</v>
      </c>
      <c r="W1637" s="61" t="n">
        <f aca="false">Resumo!$B$9</f>
        <v>1</v>
      </c>
      <c r="X1637" s="61" t="n">
        <f aca="false">Resumo!$B$10*CEILING(G1637/100,1)</f>
        <v>4.5</v>
      </c>
      <c r="Y1637" s="61" t="n">
        <f aca="false">Resumo!$B$12*CEILING(G1637,1)</f>
        <v>1.68</v>
      </c>
      <c r="Z1637" s="61" t="n">
        <f aca="false">Resumo!$B$14*CEILING(G1637,1)</f>
        <v>12.6</v>
      </c>
      <c r="AA1637" s="61" t="n">
        <f aca="false">SUM(T1637:Z1637)</f>
        <v>102.91301</v>
      </c>
      <c r="AB1637" s="61" t="n">
        <f aca="false">AA1637/(1-Resumo!$B$5)</f>
        <v>116.946602272727</v>
      </c>
      <c r="AC1637" s="61" t="n">
        <f aca="false">AB1637-S1637</f>
        <v>36.7168136363636</v>
      </c>
      <c r="AD1637" s="62" t="n">
        <f aca="false">AB1637/S1637-1</f>
        <v>0.457645648336184</v>
      </c>
      <c r="AE1637" s="60" t="str">
        <f aca="false">IF(AB1637&lt;S1637,"SIM","NÃO")</f>
        <v>NÃO</v>
      </c>
      <c r="AF1637" s="60" t="n">
        <v>2</v>
      </c>
      <c r="AG1637" s="60" t="n">
        <v>5</v>
      </c>
      <c r="AH1637" s="60" t="s">
        <v>382</v>
      </c>
      <c r="AI1637" s="61" t="n">
        <f aca="false">(T1637*(1-Painel!$C$40)+U1637+V1637+Painel!$C$41+Painel!$C$42*CEILING(G1637/100,1)+Painel!$C$43*CEILING(G1637,1)+Z1637)/(1-Resumo!$B$5)</f>
        <v>80.2883068181818</v>
      </c>
      <c r="AJ1637" s="60" t="str">
        <f aca="false">IF(AI1637&lt;S1637,"SIM","NÃO")</f>
        <v>NÃO</v>
      </c>
    </row>
    <row r="1638" customFormat="false" ht="15" hidden="false" customHeight="false" outlineLevel="0" collapsed="false">
      <c r="A1638" s="59" t="n">
        <v>46273.6726967593</v>
      </c>
      <c r="B1638" s="60" t="s">
        <v>1869</v>
      </c>
      <c r="C1638" s="60" t="n">
        <v>23035090</v>
      </c>
      <c r="D1638" s="60" t="s">
        <v>46</v>
      </c>
      <c r="E1638" s="60" t="s">
        <v>22</v>
      </c>
      <c r="F1638" s="60" t="s">
        <v>233</v>
      </c>
      <c r="G1638" s="60" t="n">
        <v>31.9</v>
      </c>
      <c r="H1638" s="61" t="n">
        <v>560.99</v>
      </c>
      <c r="I1638" s="61" t="n">
        <v>42.11</v>
      </c>
      <c r="J1638" s="61" t="n">
        <f aca="false">H1638*Resumo!$C$6</f>
        <v>0</v>
      </c>
      <c r="K1638" s="61" t="n">
        <f aca="false">H1638*Resumo!$C$7</f>
        <v>1.178079</v>
      </c>
      <c r="L1638" s="61" t="n">
        <f aca="false">H1638*Resumo!$C$8</f>
        <v>1.178079</v>
      </c>
      <c r="M1638" s="61" t="n">
        <f aca="false">Resumo!$C$10*CEILING(G1638/100,1)</f>
        <v>1.05</v>
      </c>
      <c r="N1638" s="61" t="n">
        <f aca="false">Resumo!$C$9</f>
        <v>0</v>
      </c>
      <c r="O1638" s="61" t="n">
        <f aca="false">Resumo!$C$13</f>
        <v>13.55</v>
      </c>
      <c r="P1638" s="61" t="n">
        <f aca="false">Resumo!$C$14*CEILING(G1638,1)</f>
        <v>14.4</v>
      </c>
      <c r="Q1638" s="61" t="n">
        <f aca="false">SUM(I1638:P1638)*Resumo!$C$11</f>
        <v>0</v>
      </c>
      <c r="R1638" s="61" t="n">
        <f aca="false">SUM(I1638:Q1638)</f>
        <v>73.466158</v>
      </c>
      <c r="S1638" s="61" t="n">
        <f aca="false">R1638/(1-Resumo!$C$5)</f>
        <v>83.4842704545455</v>
      </c>
      <c r="T1638" s="61" t="n">
        <v>82.21</v>
      </c>
      <c r="U1638" s="61" t="n">
        <f aca="false">H1638*Resumo!$B$6</f>
        <v>0.56099</v>
      </c>
      <c r="V1638" s="61" t="n">
        <f aca="false">H1638*Resumo!$B$7</f>
        <v>1.12198</v>
      </c>
      <c r="W1638" s="61" t="n">
        <f aca="false">Resumo!$B$9</f>
        <v>1</v>
      </c>
      <c r="X1638" s="61" t="n">
        <f aca="false">Resumo!$B$10*CEILING(G1638/100,1)</f>
        <v>4.5</v>
      </c>
      <c r="Y1638" s="61" t="n">
        <f aca="false">Resumo!$B$12*CEILING(G1638,1)</f>
        <v>1.92</v>
      </c>
      <c r="Z1638" s="61" t="n">
        <f aca="false">Resumo!$B$14*CEILING(G1638,1)</f>
        <v>14.4</v>
      </c>
      <c r="AA1638" s="61" t="n">
        <f aca="false">SUM(T1638:Z1638)</f>
        <v>105.71297</v>
      </c>
      <c r="AB1638" s="61" t="n">
        <f aca="false">AA1638/(1-Resumo!$B$5)</f>
        <v>120.128375</v>
      </c>
      <c r="AC1638" s="61" t="n">
        <f aca="false">AB1638-S1638</f>
        <v>36.6441045454545</v>
      </c>
      <c r="AD1638" s="62" t="n">
        <f aca="false">AB1638/S1638-1</f>
        <v>0.438934236904017</v>
      </c>
      <c r="AE1638" s="60" t="str">
        <f aca="false">IF(AB1638&lt;S1638,"SIM","NÃO")</f>
        <v>NÃO</v>
      </c>
      <c r="AF1638" s="60" t="n">
        <v>2</v>
      </c>
      <c r="AG1638" s="60" t="n">
        <v>5</v>
      </c>
      <c r="AH1638" s="60" t="s">
        <v>382</v>
      </c>
      <c r="AI1638" s="61" t="n">
        <f aca="false">(T1638*(1-Painel!$C$40)+U1638+V1638+Painel!$C$41+Painel!$C$42*CEILING(G1638/100,1)+Painel!$C$43*CEILING(G1638,1)+Z1638)/(1-Resumo!$B$5)</f>
        <v>83.1973522727273</v>
      </c>
      <c r="AJ1638" s="60" t="str">
        <f aca="false">IF(AI1638&lt;S1638,"SIM","NÃO")</f>
        <v>SIM</v>
      </c>
    </row>
    <row r="1639" customFormat="false" ht="15" hidden="false" customHeight="false" outlineLevel="0" collapsed="false">
      <c r="A1639" s="59" t="n">
        <v>46273.7184259259</v>
      </c>
      <c r="B1639" s="60" t="s">
        <v>1870</v>
      </c>
      <c r="C1639" s="60" t="n">
        <v>24140590</v>
      </c>
      <c r="D1639" s="60" t="s">
        <v>50</v>
      </c>
      <c r="E1639" s="60" t="s">
        <v>23</v>
      </c>
      <c r="F1639" s="60" t="s">
        <v>237</v>
      </c>
      <c r="G1639" s="60" t="n">
        <v>63.9</v>
      </c>
      <c r="H1639" s="61" t="n">
        <v>716.35</v>
      </c>
      <c r="I1639" s="61" t="n">
        <v>76.55</v>
      </c>
      <c r="J1639" s="61" t="n">
        <f aca="false">H1639*Resumo!$C$6</f>
        <v>0</v>
      </c>
      <c r="K1639" s="61" t="n">
        <f aca="false">H1639*Resumo!$C$7</f>
        <v>1.504335</v>
      </c>
      <c r="L1639" s="61" t="n">
        <f aca="false">H1639*Resumo!$C$8</f>
        <v>1.504335</v>
      </c>
      <c r="M1639" s="61" t="n">
        <f aca="false">Resumo!$C$10*CEILING(G1639/100,1)</f>
        <v>1.05</v>
      </c>
      <c r="N1639" s="61" t="n">
        <f aca="false">Resumo!$C$9</f>
        <v>0</v>
      </c>
      <c r="O1639" s="61" t="n">
        <f aca="false">Resumo!$C$13</f>
        <v>13.55</v>
      </c>
      <c r="P1639" s="61" t="n">
        <f aca="false">Resumo!$C$14*CEILING(G1639,1)</f>
        <v>28.8</v>
      </c>
      <c r="Q1639" s="61" t="n">
        <f aca="false">SUM(I1639:P1639)*Resumo!$C$11</f>
        <v>0</v>
      </c>
      <c r="R1639" s="61" t="n">
        <f aca="false">SUM(I1639:Q1639)</f>
        <v>122.95867</v>
      </c>
      <c r="S1639" s="61" t="n">
        <f aca="false">R1639/(1-Resumo!$C$5)</f>
        <v>139.725761363636</v>
      </c>
      <c r="T1639" s="61" t="n">
        <v>149.5</v>
      </c>
      <c r="U1639" s="61" t="n">
        <f aca="false">H1639*Resumo!$B$6</f>
        <v>0.71635</v>
      </c>
      <c r="V1639" s="61" t="n">
        <f aca="false">H1639*Resumo!$B$7</f>
        <v>1.4327</v>
      </c>
      <c r="W1639" s="61" t="n">
        <f aca="false">Resumo!$B$9</f>
        <v>1</v>
      </c>
      <c r="X1639" s="61" t="n">
        <f aca="false">Resumo!$B$10*CEILING(G1639/100,1)</f>
        <v>4.5</v>
      </c>
      <c r="Y1639" s="61" t="n">
        <f aca="false">Resumo!$B$12*CEILING(G1639,1)</f>
        <v>3.84</v>
      </c>
      <c r="Z1639" s="61" t="n">
        <f aca="false">Resumo!$B$14*CEILING(G1639,1)</f>
        <v>28.8</v>
      </c>
      <c r="AA1639" s="61" t="n">
        <f aca="false">SUM(T1639:Z1639)</f>
        <v>189.78905</v>
      </c>
      <c r="AB1639" s="61" t="n">
        <f aca="false">AA1639/(1-Resumo!$B$5)</f>
        <v>215.669375</v>
      </c>
      <c r="AC1639" s="61" t="n">
        <f aca="false">AB1639-S1639</f>
        <v>75.9436136363636</v>
      </c>
      <c r="AD1639" s="62" t="n">
        <f aca="false">AB1639/S1639-1</f>
        <v>0.543519054004081</v>
      </c>
      <c r="AE1639" s="60" t="str">
        <f aca="false">IF(AB1639&lt;S1639,"SIM","NÃO")</f>
        <v>NÃO</v>
      </c>
      <c r="AF1639" s="60" t="n">
        <v>2</v>
      </c>
      <c r="AG1639" s="60" t="n">
        <v>7</v>
      </c>
      <c r="AH1639" s="60" t="s">
        <v>382</v>
      </c>
      <c r="AI1639" s="61" t="n">
        <f aca="false">(T1639*(1-Painel!$C$40)+U1639+V1639+Painel!$C$41+Painel!$C$42*CEILING(G1639/100,1)+Painel!$C$43*CEILING(G1639,1)+Z1639)/(1-Resumo!$B$5)</f>
        <v>151.322784090909</v>
      </c>
      <c r="AJ1639" s="60" t="str">
        <f aca="false">IF(AI1639&lt;S1639,"SIM","NÃO")</f>
        <v>NÃO</v>
      </c>
    </row>
    <row r="1640" customFormat="false" ht="15" hidden="false" customHeight="false" outlineLevel="0" collapsed="false">
      <c r="A1640" s="59" t="n">
        <v>46273.8181828704</v>
      </c>
      <c r="B1640" s="60" t="s">
        <v>1871</v>
      </c>
      <c r="C1640" s="60" t="n">
        <v>23075640</v>
      </c>
      <c r="D1640" s="60" t="s">
        <v>46</v>
      </c>
      <c r="E1640" s="60" t="s">
        <v>22</v>
      </c>
      <c r="F1640" s="60" t="s">
        <v>235</v>
      </c>
      <c r="G1640" s="60" t="n">
        <v>43.5</v>
      </c>
      <c r="H1640" s="61" t="n">
        <v>749.99</v>
      </c>
      <c r="I1640" s="61" t="n">
        <v>53.55</v>
      </c>
      <c r="J1640" s="61" t="n">
        <f aca="false">H1640*Resumo!$C$6</f>
        <v>0</v>
      </c>
      <c r="K1640" s="61" t="n">
        <f aca="false">H1640*Resumo!$C$7</f>
        <v>1.574979</v>
      </c>
      <c r="L1640" s="61" t="n">
        <f aca="false">H1640*Resumo!$C$8</f>
        <v>1.574979</v>
      </c>
      <c r="M1640" s="61" t="n">
        <f aca="false">Resumo!$C$10*CEILING(G1640/100,1)</f>
        <v>1.05</v>
      </c>
      <c r="N1640" s="61" t="n">
        <f aca="false">Resumo!$C$9</f>
        <v>0</v>
      </c>
      <c r="O1640" s="61" t="n">
        <f aca="false">Resumo!$C$13</f>
        <v>13.55</v>
      </c>
      <c r="P1640" s="61" t="n">
        <f aca="false">Resumo!$C$14*CEILING(G1640,1)</f>
        <v>19.8</v>
      </c>
      <c r="Q1640" s="61" t="n">
        <f aca="false">SUM(I1640:P1640)*Resumo!$C$11</f>
        <v>0</v>
      </c>
      <c r="R1640" s="61" t="n">
        <f aca="false">SUM(I1640:Q1640)</f>
        <v>91.099958</v>
      </c>
      <c r="S1640" s="61" t="n">
        <f aca="false">R1640/(1-Resumo!$C$5)</f>
        <v>103.522679545455</v>
      </c>
      <c r="T1640" s="61" t="n">
        <v>93.97</v>
      </c>
      <c r="U1640" s="61" t="n">
        <f aca="false">H1640*Resumo!$B$6</f>
        <v>0.74999</v>
      </c>
      <c r="V1640" s="61" t="n">
        <f aca="false">H1640*Resumo!$B$7</f>
        <v>1.49998</v>
      </c>
      <c r="W1640" s="61" t="n">
        <f aca="false">Resumo!$B$9</f>
        <v>1</v>
      </c>
      <c r="X1640" s="61" t="n">
        <f aca="false">Resumo!$B$10*CEILING(G1640/100,1)</f>
        <v>4.5</v>
      </c>
      <c r="Y1640" s="61" t="n">
        <f aca="false">Resumo!$B$12*CEILING(G1640,1)</f>
        <v>2.64</v>
      </c>
      <c r="Z1640" s="61" t="n">
        <f aca="false">Resumo!$B$14*CEILING(G1640,1)</f>
        <v>19.8</v>
      </c>
      <c r="AA1640" s="61" t="n">
        <f aca="false">SUM(T1640:Z1640)</f>
        <v>124.15997</v>
      </c>
      <c r="AB1640" s="61" t="n">
        <f aca="false">AA1640/(1-Resumo!$B$5)</f>
        <v>141.090875</v>
      </c>
      <c r="AC1640" s="61" t="n">
        <f aca="false">AB1640-S1640</f>
        <v>37.5681954545455</v>
      </c>
      <c r="AD1640" s="62" t="n">
        <f aca="false">AB1640/S1640-1</f>
        <v>0.362898213410812</v>
      </c>
      <c r="AE1640" s="60" t="str">
        <f aca="false">IF(AB1640&lt;S1640,"SIM","NÃO")</f>
        <v>NÃO</v>
      </c>
      <c r="AF1640" s="60" t="n">
        <v>2</v>
      </c>
      <c r="AG1640" s="60" t="n">
        <v>5</v>
      </c>
      <c r="AH1640" s="60" t="s">
        <v>382</v>
      </c>
      <c r="AI1640" s="61" t="n">
        <f aca="false">(T1640*(1-Painel!$C$40)+U1640+V1640+Painel!$C$41+Painel!$C$42*CEILING(G1640/100,1)+Painel!$C$43*CEILING(G1640,1)+Z1640)/(1-Resumo!$B$5)</f>
        <v>98.9316704545454</v>
      </c>
      <c r="AJ1640" s="60" t="str">
        <f aca="false">IF(AI1640&lt;S1640,"SIM","NÃO")</f>
        <v>SIM</v>
      </c>
    </row>
    <row r="1641" customFormat="false" ht="15" hidden="false" customHeight="false" outlineLevel="0" collapsed="false">
      <c r="A1641" s="59" t="n">
        <v>46273.836875</v>
      </c>
      <c r="B1641" s="60" t="s">
        <v>1872</v>
      </c>
      <c r="C1641" s="60" t="n">
        <v>28960289</v>
      </c>
      <c r="D1641" s="60" t="s">
        <v>340</v>
      </c>
      <c r="E1641" s="60" t="s">
        <v>24</v>
      </c>
      <c r="F1641" s="60" t="s">
        <v>233</v>
      </c>
      <c r="G1641" s="60" t="n">
        <v>22.4</v>
      </c>
      <c r="H1641" s="61" t="n">
        <v>592.48</v>
      </c>
      <c r="I1641" s="61" t="n">
        <v>65.63</v>
      </c>
      <c r="J1641" s="61" t="n">
        <f aca="false">H1641*Resumo!$C$6</f>
        <v>0</v>
      </c>
      <c r="K1641" s="61" t="n">
        <f aca="false">H1641*Resumo!$C$7</f>
        <v>1.244208</v>
      </c>
      <c r="L1641" s="61" t="n">
        <f aca="false">H1641*Resumo!$C$8</f>
        <v>1.244208</v>
      </c>
      <c r="M1641" s="61" t="n">
        <f aca="false">Resumo!$C$10*CEILING(G1641/100,1)</f>
        <v>1.05</v>
      </c>
      <c r="N1641" s="61" t="n">
        <f aca="false">Resumo!$C$9</f>
        <v>0</v>
      </c>
      <c r="O1641" s="61" t="n">
        <f aca="false">Resumo!$C$13</f>
        <v>13.55</v>
      </c>
      <c r="P1641" s="61" t="n">
        <f aca="false">Resumo!$C$14*CEILING(G1641,1)</f>
        <v>10.35</v>
      </c>
      <c r="Q1641" s="61" t="n">
        <f aca="false">SUM(I1641:P1641)*Resumo!$C$11</f>
        <v>0</v>
      </c>
      <c r="R1641" s="61" t="n">
        <f aca="false">SUM(I1641:Q1641)</f>
        <v>93.068416</v>
      </c>
      <c r="S1641" s="61" t="n">
        <f aca="false">R1641/(1-Resumo!$C$5)</f>
        <v>105.759563636364</v>
      </c>
      <c r="T1641" s="61" t="n">
        <v>114.95</v>
      </c>
      <c r="U1641" s="61" t="n">
        <f aca="false">H1641*Resumo!$B$6</f>
        <v>0.59248</v>
      </c>
      <c r="V1641" s="61" t="n">
        <f aca="false">H1641*Resumo!$B$7</f>
        <v>1.18496</v>
      </c>
      <c r="W1641" s="61" t="n">
        <f aca="false">Resumo!$B$9</f>
        <v>1</v>
      </c>
      <c r="X1641" s="61" t="n">
        <f aca="false">Resumo!$B$10*CEILING(G1641/100,1)</f>
        <v>4.5</v>
      </c>
      <c r="Y1641" s="61" t="n">
        <f aca="false">Resumo!$B$12*CEILING(G1641,1)</f>
        <v>1.38</v>
      </c>
      <c r="Z1641" s="61" t="n">
        <f aca="false">Resumo!$B$14*CEILING(G1641,1)</f>
        <v>10.35</v>
      </c>
      <c r="AA1641" s="61" t="n">
        <f aca="false">SUM(T1641:Z1641)</f>
        <v>133.95744</v>
      </c>
      <c r="AB1641" s="61" t="n">
        <f aca="false">AA1641/(1-Resumo!$B$5)</f>
        <v>152.224363636364</v>
      </c>
      <c r="AC1641" s="61" t="n">
        <f aca="false">AB1641-S1641</f>
        <v>46.4648</v>
      </c>
      <c r="AD1641" s="62" t="n">
        <f aca="false">AB1641/S1641-1</f>
        <v>0.439343718926086</v>
      </c>
      <c r="AE1641" s="60" t="str">
        <f aca="false">IF(AB1641&lt;S1641,"SIM","NÃO")</f>
        <v>NÃO</v>
      </c>
      <c r="AF1641" s="60" t="n">
        <v>13</v>
      </c>
      <c r="AG1641" s="60" t="n">
        <v>10</v>
      </c>
      <c r="AH1641" s="60" t="s">
        <v>385</v>
      </c>
      <c r="AI1641" s="61" t="n">
        <f aca="false">(T1641*(1-Painel!$C$40)+U1641+V1641+Painel!$C$41+Painel!$C$42*CEILING(G1641/100,1)+Painel!$C$43*CEILING(G1641,1)+Z1641)/(1-Resumo!$B$5)</f>
        <v>103.629477272727</v>
      </c>
      <c r="AJ1641" s="60" t="str">
        <f aca="false">IF(AI1641&lt;S1641,"SIM","NÃO")</f>
        <v>SIM</v>
      </c>
    </row>
    <row r="1642" customFormat="false" ht="15" hidden="false" customHeight="false" outlineLevel="0" collapsed="false">
      <c r="A1642" s="59" t="n">
        <v>46273.8774884259</v>
      </c>
      <c r="B1642" s="60" t="s">
        <v>1873</v>
      </c>
      <c r="C1642" s="60" t="n">
        <v>28620310</v>
      </c>
      <c r="D1642" s="60" t="s">
        <v>226</v>
      </c>
      <c r="E1642" s="60" t="s">
        <v>24</v>
      </c>
      <c r="F1642" s="60" t="s">
        <v>235</v>
      </c>
      <c r="G1642" s="60" t="n">
        <v>45.3</v>
      </c>
      <c r="H1642" s="61" t="n">
        <v>630.04</v>
      </c>
      <c r="I1642" s="61" t="n">
        <v>77.7</v>
      </c>
      <c r="J1642" s="61" t="n">
        <f aca="false">H1642*Resumo!$C$6</f>
        <v>0</v>
      </c>
      <c r="K1642" s="61" t="n">
        <f aca="false">H1642*Resumo!$C$7</f>
        <v>1.323084</v>
      </c>
      <c r="L1642" s="61" t="n">
        <f aca="false">H1642*Resumo!$C$8</f>
        <v>1.323084</v>
      </c>
      <c r="M1642" s="61" t="n">
        <f aca="false">Resumo!$C$10*CEILING(G1642/100,1)</f>
        <v>1.05</v>
      </c>
      <c r="N1642" s="61" t="n">
        <f aca="false">Resumo!$C$9</f>
        <v>0</v>
      </c>
      <c r="O1642" s="61" t="n">
        <f aca="false">Resumo!$C$13</f>
        <v>13.55</v>
      </c>
      <c r="P1642" s="61" t="n">
        <f aca="false">Resumo!$C$14*CEILING(G1642,1)</f>
        <v>20.7</v>
      </c>
      <c r="Q1642" s="61" t="n">
        <f aca="false">SUM(I1642:P1642)*Resumo!$C$11</f>
        <v>0</v>
      </c>
      <c r="R1642" s="61" t="n">
        <f aca="false">SUM(I1642:Q1642)</f>
        <v>115.646168</v>
      </c>
      <c r="S1642" s="61" t="n">
        <f aca="false">R1642/(1-Resumo!$C$5)</f>
        <v>131.4161</v>
      </c>
      <c r="T1642" s="61" t="n">
        <v>135.03</v>
      </c>
      <c r="U1642" s="61" t="n">
        <f aca="false">H1642*Resumo!$B$6</f>
        <v>0.63004</v>
      </c>
      <c r="V1642" s="61" t="n">
        <f aca="false">H1642*Resumo!$B$7</f>
        <v>1.26008</v>
      </c>
      <c r="W1642" s="61" t="n">
        <f aca="false">Resumo!$B$9</f>
        <v>1</v>
      </c>
      <c r="X1642" s="61" t="n">
        <f aca="false">Resumo!$B$10*CEILING(G1642/100,1)</f>
        <v>4.5</v>
      </c>
      <c r="Y1642" s="61" t="n">
        <f aca="false">Resumo!$B$12*CEILING(G1642,1)</f>
        <v>2.76</v>
      </c>
      <c r="Z1642" s="61" t="n">
        <f aca="false">Resumo!$B$14*CEILING(G1642,1)</f>
        <v>20.7</v>
      </c>
      <c r="AA1642" s="61" t="n">
        <f aca="false">SUM(T1642:Z1642)</f>
        <v>165.88012</v>
      </c>
      <c r="AB1642" s="61" t="n">
        <f aca="false">AA1642/(1-Resumo!$B$5)</f>
        <v>188.500136363636</v>
      </c>
      <c r="AC1642" s="61" t="n">
        <f aca="false">AB1642-S1642</f>
        <v>57.0840363636363</v>
      </c>
      <c r="AD1642" s="62" t="n">
        <f aca="false">AB1642/S1642-1</f>
        <v>0.434376277820117</v>
      </c>
      <c r="AE1642" s="60" t="str">
        <f aca="false">IF(AB1642&lt;S1642,"SIM","NÃO")</f>
        <v>NÃO</v>
      </c>
      <c r="AF1642" s="60" t="n">
        <v>13</v>
      </c>
      <c r="AG1642" s="60" t="n">
        <v>10</v>
      </c>
      <c r="AH1642" s="60" t="s">
        <v>382</v>
      </c>
      <c r="AI1642" s="61" t="n">
        <f aca="false">(T1642*(1-Painel!$C$40)+U1642+V1642+Painel!$C$41+Painel!$C$42*CEILING(G1642/100,1)+Painel!$C$43*CEILING(G1642,1)+Z1642)/(1-Resumo!$B$5)</f>
        <v>130.807068181818</v>
      </c>
      <c r="AJ1642" s="60" t="str">
        <f aca="false">IF(AI1642&lt;S1642,"SIM","NÃO")</f>
        <v>SIM</v>
      </c>
    </row>
    <row r="1643" customFormat="false" ht="15" hidden="false" customHeight="false" outlineLevel="0" collapsed="false">
      <c r="A1643" s="59" t="n">
        <v>46273.9085648148</v>
      </c>
      <c r="B1643" s="60" t="s">
        <v>711</v>
      </c>
      <c r="C1643" s="60" t="n">
        <v>28300000</v>
      </c>
      <c r="D1643" s="60" t="s">
        <v>308</v>
      </c>
      <c r="E1643" s="60" t="s">
        <v>24</v>
      </c>
      <c r="F1643" s="60" t="s">
        <v>233</v>
      </c>
      <c r="G1643" s="60" t="n">
        <v>27.4</v>
      </c>
      <c r="H1643" s="61" t="n">
        <v>349.99</v>
      </c>
      <c r="I1643" s="61" t="n">
        <v>65.63</v>
      </c>
      <c r="J1643" s="61" t="n">
        <f aca="false">H1643*Resumo!$C$6</f>
        <v>0</v>
      </c>
      <c r="K1643" s="61" t="n">
        <f aca="false">H1643*Resumo!$C$7</f>
        <v>0.734979</v>
      </c>
      <c r="L1643" s="61" t="n">
        <f aca="false">H1643*Resumo!$C$8</f>
        <v>0.734979</v>
      </c>
      <c r="M1643" s="61" t="n">
        <f aca="false">Resumo!$C$10*CEILING(G1643/100,1)</f>
        <v>1.05</v>
      </c>
      <c r="N1643" s="61" t="n">
        <f aca="false">Resumo!$C$9</f>
        <v>0</v>
      </c>
      <c r="O1643" s="61" t="n">
        <f aca="false">Resumo!$C$13</f>
        <v>13.55</v>
      </c>
      <c r="P1643" s="61" t="n">
        <f aca="false">Resumo!$C$14*CEILING(G1643,1)</f>
        <v>12.6</v>
      </c>
      <c r="Q1643" s="61" t="n">
        <f aca="false">SUM(I1643:P1643)*Resumo!$C$11</f>
        <v>0</v>
      </c>
      <c r="R1643" s="61" t="n">
        <f aca="false">SUM(I1643:Q1643)</f>
        <v>94.299958</v>
      </c>
      <c r="S1643" s="61" t="n">
        <f aca="false">R1643/(1-Resumo!$C$5)</f>
        <v>107.159043181818</v>
      </c>
      <c r="T1643" s="61" t="n">
        <v>138.29</v>
      </c>
      <c r="U1643" s="61" t="n">
        <f aca="false">H1643*Resumo!$B$6</f>
        <v>0.34999</v>
      </c>
      <c r="V1643" s="61" t="n">
        <f aca="false">H1643*Resumo!$B$7</f>
        <v>0.69998</v>
      </c>
      <c r="W1643" s="61" t="n">
        <f aca="false">Resumo!$B$9</f>
        <v>1</v>
      </c>
      <c r="X1643" s="61" t="n">
        <f aca="false">Resumo!$B$10*CEILING(G1643/100,1)</f>
        <v>4.5</v>
      </c>
      <c r="Y1643" s="61" t="n">
        <f aca="false">Resumo!$B$12*CEILING(G1643,1)</f>
        <v>1.68</v>
      </c>
      <c r="Z1643" s="61" t="n">
        <f aca="false">Resumo!$B$14*CEILING(G1643,1)</f>
        <v>12.6</v>
      </c>
      <c r="AA1643" s="61" t="n">
        <f aca="false">SUM(T1643:Z1643)</f>
        <v>159.11997</v>
      </c>
      <c r="AB1643" s="61" t="n">
        <f aca="false">AA1643/(1-Resumo!$B$5)</f>
        <v>180.818147727273</v>
      </c>
      <c r="AC1643" s="61" t="n">
        <f aca="false">AB1643-S1643</f>
        <v>73.6591045454546</v>
      </c>
      <c r="AD1643" s="62" t="n">
        <f aca="false">AB1643/S1643-1</f>
        <v>0.687381133298066</v>
      </c>
      <c r="AE1643" s="60" t="str">
        <f aca="false">IF(AB1643&lt;S1643,"SIM","NÃO")</f>
        <v>NÃO</v>
      </c>
      <c r="AF1643" s="60" t="n">
        <v>13</v>
      </c>
      <c r="AG1643" s="60" t="n">
        <v>11</v>
      </c>
      <c r="AH1643" s="60" t="s">
        <v>385</v>
      </c>
      <c r="AI1643" s="61" t="n">
        <f aca="false">(T1643*(1-Painel!$C$40)+U1643+V1643+Painel!$C$41+Painel!$C$42*CEILING(G1643/100,1)+Painel!$C$43*CEILING(G1643,1)+Z1643)/(1-Resumo!$B$5)</f>
        <v>123.129852272727</v>
      </c>
      <c r="AJ1643" s="60" t="str">
        <f aca="false">IF(AI1643&lt;S1643,"SIM","NÃO")</f>
        <v>NÃO</v>
      </c>
    </row>
    <row r="1644" customFormat="false" ht="15" hidden="false" customHeight="false" outlineLevel="0" collapsed="false">
      <c r="A1644" s="59" t="n">
        <v>46273.9715856482</v>
      </c>
      <c r="B1644" s="60" t="s">
        <v>1874</v>
      </c>
      <c r="C1644" s="60" t="n">
        <v>21231020</v>
      </c>
      <c r="D1644" s="60" t="s">
        <v>46</v>
      </c>
      <c r="E1644" s="60" t="s">
        <v>22</v>
      </c>
      <c r="F1644" s="60" t="s">
        <v>239</v>
      </c>
      <c r="G1644" s="60" t="n">
        <v>94.9</v>
      </c>
      <c r="H1644" s="61" t="n">
        <v>1399.98</v>
      </c>
      <c r="I1644" s="61" t="n">
        <v>83.79</v>
      </c>
      <c r="J1644" s="61" t="n">
        <f aca="false">H1644*Resumo!$C$6</f>
        <v>0</v>
      </c>
      <c r="K1644" s="61" t="n">
        <f aca="false">H1644*Resumo!$C$7</f>
        <v>2.939958</v>
      </c>
      <c r="L1644" s="61" t="n">
        <f aca="false">H1644*Resumo!$C$8</f>
        <v>2.939958</v>
      </c>
      <c r="M1644" s="61" t="n">
        <f aca="false">Resumo!$C$10*CEILING(G1644/100,1)</f>
        <v>1.05</v>
      </c>
      <c r="N1644" s="61" t="n">
        <f aca="false">Resumo!$C$9</f>
        <v>0</v>
      </c>
      <c r="O1644" s="61" t="n">
        <f aca="false">Resumo!$C$13</f>
        <v>13.55</v>
      </c>
      <c r="P1644" s="61" t="n">
        <f aca="false">Resumo!$C$14*CEILING(G1644,1)</f>
        <v>42.75</v>
      </c>
      <c r="Q1644" s="61" t="n">
        <f aca="false">SUM(I1644:P1644)*Resumo!$C$11</f>
        <v>0</v>
      </c>
      <c r="R1644" s="61" t="n">
        <f aca="false">SUM(I1644:Q1644)</f>
        <v>147.019916</v>
      </c>
      <c r="S1644" s="61" t="n">
        <f aca="false">R1644/(1-Resumo!$C$5)</f>
        <v>167.068086363636</v>
      </c>
      <c r="T1644" s="61" t="n">
        <v>167.99</v>
      </c>
      <c r="U1644" s="61" t="n">
        <f aca="false">H1644*Resumo!$B$6</f>
        <v>1.39998</v>
      </c>
      <c r="V1644" s="61" t="n">
        <f aca="false">H1644*Resumo!$B$7</f>
        <v>2.79996</v>
      </c>
      <c r="W1644" s="61" t="n">
        <f aca="false">Resumo!$B$9</f>
        <v>1</v>
      </c>
      <c r="X1644" s="61" t="n">
        <f aca="false">Resumo!$B$10*CEILING(G1644/100,1)</f>
        <v>4.5</v>
      </c>
      <c r="Y1644" s="61" t="n">
        <f aca="false">Resumo!$B$12*CEILING(G1644,1)</f>
        <v>5.7</v>
      </c>
      <c r="Z1644" s="61" t="n">
        <f aca="false">Resumo!$B$14*CEILING(G1644,1)</f>
        <v>42.75</v>
      </c>
      <c r="AA1644" s="61" t="n">
        <f aca="false">SUM(T1644:Z1644)</f>
        <v>226.13994</v>
      </c>
      <c r="AB1644" s="61" t="n">
        <f aca="false">AA1644/(1-Resumo!$B$5)</f>
        <v>256.977204545455</v>
      </c>
      <c r="AC1644" s="61" t="n">
        <f aca="false">AB1644-S1644</f>
        <v>89.9091181818181</v>
      </c>
      <c r="AD1644" s="62" t="n">
        <f aca="false">AB1644/S1644-1</f>
        <v>0.538158544451896</v>
      </c>
      <c r="AE1644" s="60" t="str">
        <f aca="false">IF(AB1644&lt;S1644,"SIM","NÃO")</f>
        <v>NÃO</v>
      </c>
      <c r="AF1644" s="60" t="n">
        <v>2</v>
      </c>
      <c r="AG1644" s="60" t="n">
        <v>5</v>
      </c>
      <c r="AH1644" s="60" t="s">
        <v>382</v>
      </c>
      <c r="AI1644" s="61" t="n">
        <f aca="false">(T1644*(1-Painel!$C$40)+U1644+V1644+Painel!$C$41+Painel!$C$42*CEILING(G1644/100,1)+Painel!$C$43*CEILING(G1644,1)+Z1644)/(1-Resumo!$B$5)</f>
        <v>183.583227272727</v>
      </c>
      <c r="AJ1644" s="60" t="str">
        <f aca="false">IF(AI1644&lt;S1644,"SIM","NÃO")</f>
        <v>NÃO</v>
      </c>
    </row>
    <row r="1645" customFormat="false" ht="15" hidden="false" customHeight="false" outlineLevel="0" collapsed="false">
      <c r="A1645" s="59" t="n">
        <v>46274.0048842593</v>
      </c>
      <c r="B1645" s="60" t="s">
        <v>1875</v>
      </c>
      <c r="C1645" s="60" t="n">
        <v>24921452</v>
      </c>
      <c r="D1645" s="60" t="s">
        <v>220</v>
      </c>
      <c r="E1645" s="60" t="s">
        <v>24</v>
      </c>
      <c r="F1645" s="60" t="s">
        <v>233</v>
      </c>
      <c r="G1645" s="60" t="n">
        <v>29.2</v>
      </c>
      <c r="H1645" s="61" t="n">
        <v>360.99</v>
      </c>
      <c r="I1645" s="61" t="n">
        <v>65.63</v>
      </c>
      <c r="J1645" s="61" t="n">
        <f aca="false">H1645*Resumo!$C$6</f>
        <v>0</v>
      </c>
      <c r="K1645" s="61" t="n">
        <f aca="false">H1645*Resumo!$C$7</f>
        <v>0.758079</v>
      </c>
      <c r="L1645" s="61" t="n">
        <f aca="false">H1645*Resumo!$C$8</f>
        <v>0.758079</v>
      </c>
      <c r="M1645" s="61" t="n">
        <f aca="false">Resumo!$C$10*CEILING(G1645/100,1)</f>
        <v>1.05</v>
      </c>
      <c r="N1645" s="61" t="n">
        <f aca="false">Resumo!$C$9</f>
        <v>0</v>
      </c>
      <c r="O1645" s="61" t="n">
        <f aca="false">Resumo!$C$13</f>
        <v>13.55</v>
      </c>
      <c r="P1645" s="61" t="n">
        <f aca="false">Resumo!$C$14*CEILING(G1645,1)</f>
        <v>13.5</v>
      </c>
      <c r="Q1645" s="61" t="n">
        <f aca="false">SUM(I1645:P1645)*Resumo!$C$11</f>
        <v>0</v>
      </c>
      <c r="R1645" s="61" t="n">
        <f aca="false">SUM(I1645:Q1645)</f>
        <v>95.246158</v>
      </c>
      <c r="S1645" s="61" t="n">
        <f aca="false">R1645/(1-Resumo!$C$5)</f>
        <v>108.234270454545</v>
      </c>
      <c r="T1645" s="61" t="n">
        <v>100.58</v>
      </c>
      <c r="U1645" s="61" t="n">
        <f aca="false">H1645*Resumo!$B$6</f>
        <v>0.36099</v>
      </c>
      <c r="V1645" s="61" t="n">
        <f aca="false">H1645*Resumo!$B$7</f>
        <v>0.72198</v>
      </c>
      <c r="W1645" s="61" t="n">
        <f aca="false">Resumo!$B$9</f>
        <v>1</v>
      </c>
      <c r="X1645" s="61" t="n">
        <f aca="false">Resumo!$B$10*CEILING(G1645/100,1)</f>
        <v>4.5</v>
      </c>
      <c r="Y1645" s="61" t="n">
        <f aca="false">Resumo!$B$12*CEILING(G1645,1)</f>
        <v>1.8</v>
      </c>
      <c r="Z1645" s="61" t="n">
        <f aca="false">Resumo!$B$14*CEILING(G1645,1)</f>
        <v>13.5</v>
      </c>
      <c r="AA1645" s="61" t="n">
        <f aca="false">SUM(T1645:Z1645)</f>
        <v>122.46297</v>
      </c>
      <c r="AB1645" s="61" t="n">
        <f aca="false">AA1645/(1-Resumo!$B$5)</f>
        <v>139.162465909091</v>
      </c>
      <c r="AC1645" s="61" t="n">
        <f aca="false">AB1645-S1645</f>
        <v>30.9281954545455</v>
      </c>
      <c r="AD1645" s="62" t="n">
        <f aca="false">AB1645/S1645-1</f>
        <v>0.285752334493114</v>
      </c>
      <c r="AE1645" s="60" t="str">
        <f aca="false">IF(AB1645&lt;S1645,"SIM","NÃO")</f>
        <v>NÃO</v>
      </c>
      <c r="AF1645" s="60" t="n">
        <v>13</v>
      </c>
      <c r="AG1645" s="60" t="n">
        <v>7</v>
      </c>
      <c r="AH1645" s="60" t="s">
        <v>382</v>
      </c>
      <c r="AI1645" s="61" t="n">
        <f aca="false">(T1645*(1-Painel!$C$40)+U1645+V1645+Painel!$C$41+Painel!$C$42*CEILING(G1645/100,1)+Painel!$C$43*CEILING(G1645,1)+Z1645)/(1-Resumo!$B$5)</f>
        <v>95.4790568181818</v>
      </c>
      <c r="AJ1645" s="60" t="str">
        <f aca="false">IF(AI1645&lt;S1645,"SIM","NÃO")</f>
        <v>SIM</v>
      </c>
    </row>
    <row r="1646" customFormat="false" ht="15" hidden="false" customHeight="false" outlineLevel="0" collapsed="false">
      <c r="A1646" s="59" t="n">
        <v>46274.2280324074</v>
      </c>
      <c r="B1646" s="60" t="s">
        <v>1876</v>
      </c>
      <c r="C1646" s="60" t="n">
        <v>25665400</v>
      </c>
      <c r="D1646" s="60" t="s">
        <v>219</v>
      </c>
      <c r="E1646" s="60" t="s">
        <v>24</v>
      </c>
      <c r="F1646" s="60" t="s">
        <v>233</v>
      </c>
      <c r="G1646" s="60" t="n">
        <v>34.4</v>
      </c>
      <c r="H1646" s="61" t="n">
        <v>499.98</v>
      </c>
      <c r="I1646" s="61" t="n">
        <v>65.63</v>
      </c>
      <c r="J1646" s="61" t="n">
        <f aca="false">H1646*Resumo!$C$6</f>
        <v>0</v>
      </c>
      <c r="K1646" s="61" t="n">
        <f aca="false">H1646*Resumo!$C$7</f>
        <v>1.049958</v>
      </c>
      <c r="L1646" s="61" t="n">
        <f aca="false">H1646*Resumo!$C$8</f>
        <v>1.049958</v>
      </c>
      <c r="M1646" s="61" t="n">
        <f aca="false">Resumo!$C$10*CEILING(G1646/100,1)</f>
        <v>1.05</v>
      </c>
      <c r="N1646" s="61" t="n">
        <f aca="false">Resumo!$C$9</f>
        <v>0</v>
      </c>
      <c r="O1646" s="61" t="n">
        <f aca="false">Resumo!$C$13</f>
        <v>13.55</v>
      </c>
      <c r="P1646" s="61" t="n">
        <f aca="false">Resumo!$C$14*CEILING(G1646,1)</f>
        <v>15.75</v>
      </c>
      <c r="Q1646" s="61" t="n">
        <f aca="false">SUM(I1646:P1646)*Resumo!$C$11</f>
        <v>0</v>
      </c>
      <c r="R1646" s="61" t="n">
        <f aca="false">SUM(I1646:Q1646)</f>
        <v>98.079916</v>
      </c>
      <c r="S1646" s="61" t="n">
        <f aca="false">R1646/(1-Resumo!$C$5)</f>
        <v>111.45445</v>
      </c>
      <c r="T1646" s="61" t="n">
        <v>108.83</v>
      </c>
      <c r="U1646" s="61" t="n">
        <f aca="false">H1646*Resumo!$B$6</f>
        <v>0.49998</v>
      </c>
      <c r="V1646" s="61" t="n">
        <f aca="false">H1646*Resumo!$B$7</f>
        <v>0.99996</v>
      </c>
      <c r="W1646" s="61" t="n">
        <f aca="false">Resumo!$B$9</f>
        <v>1</v>
      </c>
      <c r="X1646" s="61" t="n">
        <f aca="false">Resumo!$B$10*CEILING(G1646/100,1)</f>
        <v>4.5</v>
      </c>
      <c r="Y1646" s="61" t="n">
        <f aca="false">Resumo!$B$12*CEILING(G1646,1)</f>
        <v>2.1</v>
      </c>
      <c r="Z1646" s="61" t="n">
        <f aca="false">Resumo!$B$14*CEILING(G1646,1)</f>
        <v>15.75</v>
      </c>
      <c r="AA1646" s="61" t="n">
        <f aca="false">SUM(T1646:Z1646)</f>
        <v>133.67994</v>
      </c>
      <c r="AB1646" s="61" t="n">
        <f aca="false">AA1646/(1-Resumo!$B$5)</f>
        <v>151.909022727273</v>
      </c>
      <c r="AC1646" s="61" t="n">
        <f aca="false">AB1646-S1646</f>
        <v>40.4545727272727</v>
      </c>
      <c r="AD1646" s="62" t="n">
        <f aca="false">AB1646/S1646-1</f>
        <v>0.36296956045517</v>
      </c>
      <c r="AE1646" s="60" t="str">
        <f aca="false">IF(AB1646&lt;S1646,"SIM","NÃO")</f>
        <v>NÃO</v>
      </c>
      <c r="AF1646" s="60" t="n">
        <v>13</v>
      </c>
      <c r="AG1646" s="60" t="n">
        <v>8</v>
      </c>
      <c r="AH1646" s="60" t="s">
        <v>382</v>
      </c>
      <c r="AI1646" s="61" t="n">
        <f aca="false">(T1646*(1-Painel!$C$40)+U1646+V1646+Painel!$C$41+Painel!$C$42*CEILING(G1646/100,1)+Painel!$C$43*CEILING(G1646,1)+Z1646)/(1-Resumo!$B$5)</f>
        <v>104.790954545455</v>
      </c>
      <c r="AJ1646" s="60" t="str">
        <f aca="false">IF(AI1646&lt;S1646,"SIM","NÃO")</f>
        <v>SIM</v>
      </c>
    </row>
    <row r="1647" customFormat="false" ht="15" hidden="false" customHeight="false" outlineLevel="0" collapsed="false">
      <c r="A1647" s="59" t="n">
        <v>46274.2803240741</v>
      </c>
      <c r="B1647" s="60" t="s">
        <v>1877</v>
      </c>
      <c r="C1647" s="60" t="n">
        <v>23560510</v>
      </c>
      <c r="D1647" s="60" t="s">
        <v>46</v>
      </c>
      <c r="E1647" s="60" t="s">
        <v>22</v>
      </c>
      <c r="F1647" s="60" t="s">
        <v>233</v>
      </c>
      <c r="G1647" s="60" t="n">
        <v>24.4</v>
      </c>
      <c r="H1647" s="61" t="n">
        <v>297.99</v>
      </c>
      <c r="I1647" s="61" t="n">
        <v>42.11</v>
      </c>
      <c r="J1647" s="61" t="n">
        <f aca="false">H1647*Resumo!$C$6</f>
        <v>0</v>
      </c>
      <c r="K1647" s="61" t="n">
        <f aca="false">H1647*Resumo!$C$7</f>
        <v>0.625779</v>
      </c>
      <c r="L1647" s="61" t="n">
        <f aca="false">H1647*Resumo!$C$8</f>
        <v>0.625779</v>
      </c>
      <c r="M1647" s="61" t="n">
        <f aca="false">Resumo!$C$10*CEILING(G1647/100,1)</f>
        <v>1.05</v>
      </c>
      <c r="N1647" s="61" t="n">
        <f aca="false">Resumo!$C$9</f>
        <v>0</v>
      </c>
      <c r="O1647" s="61" t="n">
        <f aca="false">Resumo!$C$13</f>
        <v>13.55</v>
      </c>
      <c r="P1647" s="61" t="n">
        <f aca="false">Resumo!$C$14*CEILING(G1647,1)</f>
        <v>11.25</v>
      </c>
      <c r="Q1647" s="61" t="n">
        <f aca="false">SUM(I1647:P1647)*Resumo!$C$11</f>
        <v>0</v>
      </c>
      <c r="R1647" s="61" t="n">
        <f aca="false">SUM(I1647:Q1647)</f>
        <v>69.211558</v>
      </c>
      <c r="S1647" s="61" t="n">
        <f aca="false">R1647/(1-Resumo!$C$5)</f>
        <v>78.6494977272727</v>
      </c>
      <c r="T1647" s="61" t="n">
        <v>82.21</v>
      </c>
      <c r="U1647" s="61" t="n">
        <f aca="false">H1647*Resumo!$B$6</f>
        <v>0.29799</v>
      </c>
      <c r="V1647" s="61" t="n">
        <f aca="false">H1647*Resumo!$B$7</f>
        <v>0.59598</v>
      </c>
      <c r="W1647" s="61" t="n">
        <f aca="false">Resumo!$B$9</f>
        <v>1</v>
      </c>
      <c r="X1647" s="61" t="n">
        <f aca="false">Resumo!$B$10*CEILING(G1647/100,1)</f>
        <v>4.5</v>
      </c>
      <c r="Y1647" s="61" t="n">
        <f aca="false">Resumo!$B$12*CEILING(G1647,1)</f>
        <v>1.5</v>
      </c>
      <c r="Z1647" s="61" t="n">
        <f aca="false">Resumo!$B$14*CEILING(G1647,1)</f>
        <v>11.25</v>
      </c>
      <c r="AA1647" s="61" t="n">
        <f aca="false">SUM(T1647:Z1647)</f>
        <v>101.35397</v>
      </c>
      <c r="AB1647" s="61" t="n">
        <f aca="false">AA1647/(1-Resumo!$B$5)</f>
        <v>115.174965909091</v>
      </c>
      <c r="AC1647" s="61" t="n">
        <f aca="false">AB1647-S1647</f>
        <v>36.5254681818182</v>
      </c>
      <c r="AD1647" s="62" t="n">
        <f aca="false">AB1647/S1647-1</f>
        <v>0.464408155643599</v>
      </c>
      <c r="AE1647" s="60" t="str">
        <f aca="false">IF(AB1647&lt;S1647,"SIM","NÃO")</f>
        <v>NÃO</v>
      </c>
      <c r="AF1647" s="60" t="n">
        <v>2</v>
      </c>
      <c r="AG1647" s="60" t="n">
        <v>5</v>
      </c>
      <c r="AH1647" s="60" t="s">
        <v>382</v>
      </c>
      <c r="AI1647" s="61" t="n">
        <f aca="false">(T1647*(1-Painel!$C$40)+U1647+V1647+Painel!$C$41+Painel!$C$42*CEILING(G1647/100,1)+Painel!$C$43*CEILING(G1647,1)+Z1647)/(1-Resumo!$B$5)</f>
        <v>78.7212159090909</v>
      </c>
      <c r="AJ1647" s="60" t="str">
        <f aca="false">IF(AI1647&lt;S1647,"SIM","NÃO")</f>
        <v>NÃO</v>
      </c>
    </row>
    <row r="1648" customFormat="false" ht="15" hidden="false" customHeight="false" outlineLevel="0" collapsed="false">
      <c r="A1648" s="59" t="n">
        <v>46274.3362847222</v>
      </c>
      <c r="B1648" s="60" t="s">
        <v>1878</v>
      </c>
      <c r="C1648" s="60" t="n">
        <v>24240415</v>
      </c>
      <c r="D1648" s="60" t="s">
        <v>50</v>
      </c>
      <c r="E1648" s="60" t="s">
        <v>23</v>
      </c>
      <c r="F1648" s="60" t="s">
        <v>233</v>
      </c>
      <c r="G1648" s="60" t="n">
        <v>30.94</v>
      </c>
      <c r="H1648" s="61" t="n">
        <v>419.99</v>
      </c>
      <c r="I1648" s="61" t="n">
        <v>58.8</v>
      </c>
      <c r="J1648" s="61" t="n">
        <f aca="false">H1648*Resumo!$C$6</f>
        <v>0</v>
      </c>
      <c r="K1648" s="61" t="n">
        <f aca="false">H1648*Resumo!$C$7</f>
        <v>0.881979</v>
      </c>
      <c r="L1648" s="61" t="n">
        <f aca="false">H1648*Resumo!$C$8</f>
        <v>0.881979</v>
      </c>
      <c r="M1648" s="61" t="n">
        <f aca="false">Resumo!$C$10*CEILING(G1648/100,1)</f>
        <v>1.05</v>
      </c>
      <c r="N1648" s="61" t="n">
        <f aca="false">Resumo!$C$9</f>
        <v>0</v>
      </c>
      <c r="O1648" s="61" t="n">
        <f aca="false">Resumo!$C$13</f>
        <v>13.55</v>
      </c>
      <c r="P1648" s="61" t="n">
        <f aca="false">Resumo!$C$14*CEILING(G1648,1)</f>
        <v>13.95</v>
      </c>
      <c r="Q1648" s="61" t="n">
        <f aca="false">SUM(I1648:P1648)*Resumo!$C$11</f>
        <v>0</v>
      </c>
      <c r="R1648" s="61" t="n">
        <f aca="false">SUM(I1648:Q1648)</f>
        <v>89.113958</v>
      </c>
      <c r="S1648" s="61" t="n">
        <f aca="false">R1648/(1-Resumo!$C$5)</f>
        <v>101.265861363636</v>
      </c>
      <c r="T1648" s="61" t="n">
        <v>100.58</v>
      </c>
      <c r="U1648" s="61" t="n">
        <f aca="false">H1648*Resumo!$B$6</f>
        <v>0.41999</v>
      </c>
      <c r="V1648" s="61" t="n">
        <f aca="false">H1648*Resumo!$B$7</f>
        <v>0.83998</v>
      </c>
      <c r="W1648" s="61" t="n">
        <f aca="false">Resumo!$B$9</f>
        <v>1</v>
      </c>
      <c r="X1648" s="61" t="n">
        <f aca="false">Resumo!$B$10*CEILING(G1648/100,1)</f>
        <v>4.5</v>
      </c>
      <c r="Y1648" s="61" t="n">
        <f aca="false">Resumo!$B$12*CEILING(G1648,1)</f>
        <v>1.86</v>
      </c>
      <c r="Z1648" s="61" t="n">
        <f aca="false">Resumo!$B$14*CEILING(G1648,1)</f>
        <v>13.95</v>
      </c>
      <c r="AA1648" s="61" t="n">
        <f aca="false">SUM(T1648:Z1648)</f>
        <v>123.14997</v>
      </c>
      <c r="AB1648" s="61" t="n">
        <f aca="false">AA1648/(1-Resumo!$B$5)</f>
        <v>139.943147727273</v>
      </c>
      <c r="AC1648" s="61" t="n">
        <f aca="false">AB1648-S1648</f>
        <v>38.6772863636364</v>
      </c>
      <c r="AD1648" s="62" t="n">
        <f aca="false">AB1648/S1648-1</f>
        <v>0.38193805733553</v>
      </c>
      <c r="AE1648" s="60" t="str">
        <f aca="false">IF(AB1648&lt;S1648,"SIM","NÃO")</f>
        <v>NÃO</v>
      </c>
      <c r="AF1648" s="60" t="n">
        <v>2</v>
      </c>
      <c r="AG1648" s="60" t="n">
        <v>7</v>
      </c>
      <c r="AH1648" s="60" t="s">
        <v>382</v>
      </c>
      <c r="AI1648" s="61" t="n">
        <f aca="false">(T1648*(1-Painel!$C$40)+U1648+V1648+Painel!$C$41+Painel!$C$42*CEILING(G1648/100,1)+Painel!$C$43*CEILING(G1648,1)+Z1648)/(1-Resumo!$B$5)</f>
        <v>96.1915568181818</v>
      </c>
      <c r="AJ1648" s="60" t="str">
        <f aca="false">IF(AI1648&lt;S1648,"SIM","NÃO")</f>
        <v>SIM</v>
      </c>
    </row>
    <row r="1649" customFormat="false" ht="15" hidden="false" customHeight="false" outlineLevel="0" collapsed="false">
      <c r="A1649" s="59" t="n">
        <v>46274.3878935185</v>
      </c>
      <c r="B1649" s="60" t="s">
        <v>1879</v>
      </c>
      <c r="C1649" s="60" t="n">
        <v>25645260</v>
      </c>
      <c r="D1649" s="60" t="s">
        <v>219</v>
      </c>
      <c r="E1649" s="60" t="s">
        <v>24</v>
      </c>
      <c r="F1649" s="60" t="s">
        <v>233</v>
      </c>
      <c r="G1649" s="60" t="n">
        <v>29.2</v>
      </c>
      <c r="H1649" s="61" t="n">
        <v>458.18</v>
      </c>
      <c r="I1649" s="61" t="n">
        <v>65.63</v>
      </c>
      <c r="J1649" s="61" t="n">
        <f aca="false">H1649*Resumo!$C$6</f>
        <v>0</v>
      </c>
      <c r="K1649" s="61" t="n">
        <f aca="false">H1649*Resumo!$C$7</f>
        <v>0.962178</v>
      </c>
      <c r="L1649" s="61" t="n">
        <f aca="false">H1649*Resumo!$C$8</f>
        <v>0.962178</v>
      </c>
      <c r="M1649" s="61" t="n">
        <f aca="false">Resumo!$C$10*CEILING(G1649/100,1)</f>
        <v>1.05</v>
      </c>
      <c r="N1649" s="61" t="n">
        <f aca="false">Resumo!$C$9</f>
        <v>0</v>
      </c>
      <c r="O1649" s="61" t="n">
        <f aca="false">Resumo!$C$13</f>
        <v>13.55</v>
      </c>
      <c r="P1649" s="61" t="n">
        <f aca="false">Resumo!$C$14*CEILING(G1649,1)</f>
        <v>13.5</v>
      </c>
      <c r="Q1649" s="61" t="n">
        <f aca="false">SUM(I1649:P1649)*Resumo!$C$11</f>
        <v>0</v>
      </c>
      <c r="R1649" s="61" t="n">
        <f aca="false">SUM(I1649:Q1649)</f>
        <v>95.654356</v>
      </c>
      <c r="S1649" s="61" t="n">
        <f aca="false">R1649/(1-Resumo!$C$5)</f>
        <v>108.698131818182</v>
      </c>
      <c r="T1649" s="61" t="n">
        <v>108.83</v>
      </c>
      <c r="U1649" s="61" t="n">
        <f aca="false">H1649*Resumo!$B$6</f>
        <v>0.45818</v>
      </c>
      <c r="V1649" s="61" t="n">
        <f aca="false">H1649*Resumo!$B$7</f>
        <v>0.91636</v>
      </c>
      <c r="W1649" s="61" t="n">
        <f aca="false">Resumo!$B$9</f>
        <v>1</v>
      </c>
      <c r="X1649" s="61" t="n">
        <f aca="false">Resumo!$B$10*CEILING(G1649/100,1)</f>
        <v>4.5</v>
      </c>
      <c r="Y1649" s="61" t="n">
        <f aca="false">Resumo!$B$12*CEILING(G1649,1)</f>
        <v>1.8</v>
      </c>
      <c r="Z1649" s="61" t="n">
        <f aca="false">Resumo!$B$14*CEILING(G1649,1)</f>
        <v>13.5</v>
      </c>
      <c r="AA1649" s="61" t="n">
        <f aca="false">SUM(T1649:Z1649)</f>
        <v>131.00454</v>
      </c>
      <c r="AB1649" s="61" t="n">
        <f aca="false">AA1649/(1-Resumo!$B$5)</f>
        <v>148.868795454545</v>
      </c>
      <c r="AC1649" s="61" t="n">
        <f aca="false">AB1649-S1649</f>
        <v>40.1706636363636</v>
      </c>
      <c r="AD1649" s="62" t="n">
        <f aca="false">AB1649/S1649-1</f>
        <v>0.369561674744849</v>
      </c>
      <c r="AE1649" s="60" t="str">
        <f aca="false">IF(AB1649&lt;S1649,"SIM","NÃO")</f>
        <v>NÃO</v>
      </c>
      <c r="AF1649" s="60" t="n">
        <v>13</v>
      </c>
      <c r="AG1649" s="60" t="n">
        <v>8</v>
      </c>
      <c r="AH1649" s="60" t="s">
        <v>382</v>
      </c>
      <c r="AI1649" s="61" t="n">
        <f aca="false">(T1649*(1-Painel!$C$40)+U1649+V1649+Painel!$C$41+Painel!$C$42*CEILING(G1649/100,1)+Painel!$C$43*CEILING(G1649,1)+Z1649)/(1-Resumo!$B$5)</f>
        <v>102.091636363636</v>
      </c>
      <c r="AJ1649" s="60" t="str">
        <f aca="false">IF(AI1649&lt;S1649,"SIM","NÃO")</f>
        <v>SIM</v>
      </c>
    </row>
    <row r="1650" customFormat="false" ht="15" hidden="false" customHeight="false" outlineLevel="0" collapsed="false">
      <c r="A1650" s="59" t="n">
        <v>46274.3956018519</v>
      </c>
      <c r="B1650" s="60" t="s">
        <v>1880</v>
      </c>
      <c r="C1650" s="60" t="n">
        <v>24742160</v>
      </c>
      <c r="D1650" s="60" t="s">
        <v>47</v>
      </c>
      <c r="E1650" s="60" t="s">
        <v>23</v>
      </c>
      <c r="F1650" s="60" t="s">
        <v>236</v>
      </c>
      <c r="G1650" s="60" t="n">
        <v>52.3</v>
      </c>
      <c r="H1650" s="61" t="n">
        <v>602.99</v>
      </c>
      <c r="I1650" s="61" t="n">
        <v>70.98</v>
      </c>
      <c r="J1650" s="61" t="n">
        <f aca="false">H1650*Resumo!$C$6</f>
        <v>0</v>
      </c>
      <c r="K1650" s="61" t="n">
        <f aca="false">H1650*Resumo!$C$7</f>
        <v>1.266279</v>
      </c>
      <c r="L1650" s="61" t="n">
        <f aca="false">H1650*Resumo!$C$8</f>
        <v>1.266279</v>
      </c>
      <c r="M1650" s="61" t="n">
        <f aca="false">Resumo!$C$10*CEILING(G1650/100,1)</f>
        <v>1.05</v>
      </c>
      <c r="N1650" s="61" t="n">
        <f aca="false">Resumo!$C$9</f>
        <v>0</v>
      </c>
      <c r="O1650" s="61" t="n">
        <f aca="false">Resumo!$C$13</f>
        <v>13.55</v>
      </c>
      <c r="P1650" s="61" t="n">
        <f aca="false">Resumo!$C$14*CEILING(G1650,1)</f>
        <v>23.85</v>
      </c>
      <c r="Q1650" s="61" t="n">
        <f aca="false">SUM(I1650:P1650)*Resumo!$C$11</f>
        <v>0</v>
      </c>
      <c r="R1650" s="61" t="n">
        <f aca="false">SUM(I1650:Q1650)</f>
        <v>111.962558</v>
      </c>
      <c r="S1650" s="61" t="n">
        <f aca="false">R1650/(1-Resumo!$C$5)</f>
        <v>127.230179545455</v>
      </c>
      <c r="T1650" s="61" t="n">
        <v>128.14</v>
      </c>
      <c r="U1650" s="61" t="n">
        <f aca="false">H1650*Resumo!$B$6</f>
        <v>0.60299</v>
      </c>
      <c r="V1650" s="61" t="n">
        <f aca="false">H1650*Resumo!$B$7</f>
        <v>1.20598</v>
      </c>
      <c r="W1650" s="61" t="n">
        <f aca="false">Resumo!$B$9</f>
        <v>1</v>
      </c>
      <c r="X1650" s="61" t="n">
        <f aca="false">Resumo!$B$10*CEILING(G1650/100,1)</f>
        <v>4.5</v>
      </c>
      <c r="Y1650" s="61" t="n">
        <f aca="false">Resumo!$B$12*CEILING(G1650,1)</f>
        <v>3.18</v>
      </c>
      <c r="Z1650" s="61" t="n">
        <f aca="false">Resumo!$B$14*CEILING(G1650,1)</f>
        <v>23.85</v>
      </c>
      <c r="AA1650" s="61" t="n">
        <f aca="false">SUM(T1650:Z1650)</f>
        <v>162.47897</v>
      </c>
      <c r="AB1650" s="61" t="n">
        <f aca="false">AA1650/(1-Resumo!$B$5)</f>
        <v>184.635193181818</v>
      </c>
      <c r="AC1650" s="61" t="n">
        <f aca="false">AB1650-S1650</f>
        <v>57.4050136363636</v>
      </c>
      <c r="AD1650" s="62" t="n">
        <f aca="false">AB1650/S1650-1</f>
        <v>0.451190227361543</v>
      </c>
      <c r="AE1650" s="60" t="str">
        <f aca="false">IF(AB1650&lt;S1650,"SIM","NÃO")</f>
        <v>NÃO</v>
      </c>
      <c r="AF1650" s="60" t="n">
        <v>2</v>
      </c>
      <c r="AG1650" s="60" t="n">
        <v>7</v>
      </c>
      <c r="AH1650" s="60" t="s">
        <v>382</v>
      </c>
      <c r="AI1650" s="61" t="n">
        <f aca="false">(T1650*(1-Painel!$C$40)+U1650+V1650+Painel!$C$41+Painel!$C$42*CEILING(G1650/100,1)+Painel!$C$43*CEILING(G1650,1)+Z1650)/(1-Resumo!$B$5)</f>
        <v>129.048602272727</v>
      </c>
      <c r="AJ1650" s="60" t="str">
        <f aca="false">IF(AI1650&lt;S1650,"SIM","NÃO")</f>
        <v>NÃO</v>
      </c>
    </row>
    <row r="1651" customFormat="false" ht="15" hidden="false" customHeight="false" outlineLevel="0" collapsed="false">
      <c r="A1651" s="59" t="n">
        <v>46274.4358912037</v>
      </c>
      <c r="B1651" s="60" t="s">
        <v>1881</v>
      </c>
      <c r="C1651" s="60" t="n">
        <v>28085450</v>
      </c>
      <c r="D1651" s="60" t="s">
        <v>51</v>
      </c>
      <c r="E1651" s="60" t="s">
        <v>24</v>
      </c>
      <c r="F1651" s="60" t="s">
        <v>233</v>
      </c>
      <c r="G1651" s="60" t="n">
        <v>31.9</v>
      </c>
      <c r="H1651" s="61" t="n">
        <v>629.99</v>
      </c>
      <c r="I1651" s="61" t="n">
        <v>65.63</v>
      </c>
      <c r="J1651" s="61" t="n">
        <f aca="false">H1651*Resumo!$C$6</f>
        <v>0</v>
      </c>
      <c r="K1651" s="61" t="n">
        <f aca="false">H1651*Resumo!$C$7</f>
        <v>1.322979</v>
      </c>
      <c r="L1651" s="61" t="n">
        <f aca="false">H1651*Resumo!$C$8</f>
        <v>1.322979</v>
      </c>
      <c r="M1651" s="61" t="n">
        <f aca="false">Resumo!$C$10*CEILING(G1651/100,1)</f>
        <v>1.05</v>
      </c>
      <c r="N1651" s="61" t="n">
        <f aca="false">Resumo!$C$9</f>
        <v>0</v>
      </c>
      <c r="O1651" s="61" t="n">
        <f aca="false">Resumo!$C$13</f>
        <v>13.55</v>
      </c>
      <c r="P1651" s="61" t="n">
        <f aca="false">Resumo!$C$14*CEILING(G1651,1)</f>
        <v>14.4</v>
      </c>
      <c r="Q1651" s="61" t="n">
        <f aca="false">SUM(I1651:P1651)*Resumo!$C$11</f>
        <v>0</v>
      </c>
      <c r="R1651" s="61" t="n">
        <f aca="false">SUM(I1651:Q1651)</f>
        <v>97.275958</v>
      </c>
      <c r="S1651" s="61" t="n">
        <f aca="false">R1651/(1-Resumo!$C$5)</f>
        <v>110.540861363636</v>
      </c>
      <c r="T1651" s="61" t="n">
        <v>138.29</v>
      </c>
      <c r="U1651" s="61" t="n">
        <f aca="false">H1651*Resumo!$B$6</f>
        <v>0.62999</v>
      </c>
      <c r="V1651" s="61" t="n">
        <f aca="false">H1651*Resumo!$B$7</f>
        <v>1.25998</v>
      </c>
      <c r="W1651" s="61" t="n">
        <f aca="false">Resumo!$B$9</f>
        <v>1</v>
      </c>
      <c r="X1651" s="61" t="n">
        <f aca="false">Resumo!$B$10*CEILING(G1651/100,1)</f>
        <v>4.5</v>
      </c>
      <c r="Y1651" s="61" t="n">
        <f aca="false">Resumo!$B$12*CEILING(G1651,1)</f>
        <v>1.92</v>
      </c>
      <c r="Z1651" s="61" t="n">
        <f aca="false">Resumo!$B$14*CEILING(G1651,1)</f>
        <v>14.4</v>
      </c>
      <c r="AA1651" s="61" t="n">
        <f aca="false">SUM(T1651:Z1651)</f>
        <v>161.99997</v>
      </c>
      <c r="AB1651" s="61" t="n">
        <f aca="false">AA1651/(1-Resumo!$B$5)</f>
        <v>184.090875</v>
      </c>
      <c r="AC1651" s="61" t="n">
        <f aca="false">AB1651-S1651</f>
        <v>73.5500136363636</v>
      </c>
      <c r="AD1651" s="62" t="n">
        <f aca="false">AB1651/S1651-1</f>
        <v>0.665364940430604</v>
      </c>
      <c r="AE1651" s="60" t="str">
        <f aca="false">IF(AB1651&lt;S1651,"SIM","NÃO")</f>
        <v>NÃO</v>
      </c>
      <c r="AF1651" s="60" t="n">
        <v>13</v>
      </c>
      <c r="AG1651" s="60" t="n">
        <v>11</v>
      </c>
      <c r="AH1651" s="60" t="s">
        <v>382</v>
      </c>
      <c r="AI1651" s="61" t="n">
        <f aca="false">(T1651*(1-Painel!$C$40)+U1651+V1651+Painel!$C$41+Painel!$C$42*CEILING(G1651/100,1)+Painel!$C$43*CEILING(G1651,1)+Z1651)/(1-Resumo!$B$5)</f>
        <v>126.129852272727</v>
      </c>
      <c r="AJ1651" s="60" t="str">
        <f aca="false">IF(AI1651&lt;S1651,"SIM","NÃO")</f>
        <v>NÃO</v>
      </c>
    </row>
    <row r="1652" customFormat="false" ht="15" hidden="false" customHeight="false" outlineLevel="0" collapsed="false">
      <c r="A1652" s="59" t="n">
        <v>46274.4430324074</v>
      </c>
      <c r="B1652" s="60" t="s">
        <v>1882</v>
      </c>
      <c r="C1652" s="60" t="n">
        <v>27277030</v>
      </c>
      <c r="D1652" s="60" t="s">
        <v>217</v>
      </c>
      <c r="E1652" s="60" t="s">
        <v>24</v>
      </c>
      <c r="F1652" s="60" t="s">
        <v>234</v>
      </c>
      <c r="G1652" s="60" t="n">
        <v>37.2</v>
      </c>
      <c r="H1652" s="61" t="n">
        <v>360.99</v>
      </c>
      <c r="I1652" s="61" t="n">
        <v>74.97</v>
      </c>
      <c r="J1652" s="61" t="n">
        <f aca="false">H1652*Resumo!$C$6</f>
        <v>0</v>
      </c>
      <c r="K1652" s="61" t="n">
        <f aca="false">H1652*Resumo!$C$7</f>
        <v>0.758079</v>
      </c>
      <c r="L1652" s="61" t="n">
        <f aca="false">H1652*Resumo!$C$8</f>
        <v>0.758079</v>
      </c>
      <c r="M1652" s="61" t="n">
        <f aca="false">Resumo!$C$10*CEILING(G1652/100,1)</f>
        <v>1.05</v>
      </c>
      <c r="N1652" s="61" t="n">
        <f aca="false">Resumo!$C$9</f>
        <v>0</v>
      </c>
      <c r="O1652" s="61" t="n">
        <f aca="false">Resumo!$C$13</f>
        <v>13.55</v>
      </c>
      <c r="P1652" s="61" t="n">
        <f aca="false">Resumo!$C$14*CEILING(G1652,1)</f>
        <v>17.1</v>
      </c>
      <c r="Q1652" s="61" t="n">
        <f aca="false">SUM(I1652:P1652)*Resumo!$C$11</f>
        <v>0</v>
      </c>
      <c r="R1652" s="61" t="n">
        <f aca="false">SUM(I1652:Q1652)</f>
        <v>108.186158</v>
      </c>
      <c r="S1652" s="61" t="n">
        <f aca="false">R1652/(1-Resumo!$C$5)</f>
        <v>122.938815909091</v>
      </c>
      <c r="T1652" s="61" t="n">
        <v>124.38</v>
      </c>
      <c r="U1652" s="61" t="n">
        <f aca="false">H1652*Resumo!$B$6</f>
        <v>0.36099</v>
      </c>
      <c r="V1652" s="61" t="n">
        <f aca="false">H1652*Resumo!$B$7</f>
        <v>0.72198</v>
      </c>
      <c r="W1652" s="61" t="n">
        <f aca="false">Resumo!$B$9</f>
        <v>1</v>
      </c>
      <c r="X1652" s="61" t="n">
        <f aca="false">Resumo!$B$10*CEILING(G1652/100,1)</f>
        <v>4.5</v>
      </c>
      <c r="Y1652" s="61" t="n">
        <f aca="false">Resumo!$B$12*CEILING(G1652,1)</f>
        <v>2.28</v>
      </c>
      <c r="Z1652" s="61" t="n">
        <f aca="false">Resumo!$B$14*CEILING(G1652,1)</f>
        <v>17.1</v>
      </c>
      <c r="AA1652" s="61" t="n">
        <f aca="false">SUM(T1652:Z1652)</f>
        <v>150.34297</v>
      </c>
      <c r="AB1652" s="61" t="n">
        <f aca="false">AA1652/(1-Resumo!$B$5)</f>
        <v>170.844284090909</v>
      </c>
      <c r="AC1652" s="61" t="n">
        <f aca="false">AB1652-S1652</f>
        <v>47.9054681818182</v>
      </c>
      <c r="AD1652" s="62" t="n">
        <f aca="false">AB1652/S1652-1</f>
        <v>0.389669184850801</v>
      </c>
      <c r="AE1652" s="60" t="str">
        <f aca="false">IF(AB1652&lt;S1652,"SIM","NÃO")</f>
        <v>NÃO</v>
      </c>
      <c r="AF1652" s="60" t="n">
        <v>13</v>
      </c>
      <c r="AG1652" s="60" t="n">
        <v>10</v>
      </c>
      <c r="AH1652" s="60" t="s">
        <v>382</v>
      </c>
      <c r="AI1652" s="61" t="n">
        <f aca="false">(T1652*(1-Painel!$C$40)+U1652+V1652+Painel!$C$41+Painel!$C$42*CEILING(G1652/100,1)+Painel!$C$43*CEILING(G1652,1)+Z1652)/(1-Resumo!$B$5)</f>
        <v>117.690420454545</v>
      </c>
      <c r="AJ1652" s="60" t="str">
        <f aca="false">IF(AI1652&lt;S1652,"SIM","NÃO")</f>
        <v>SIM</v>
      </c>
    </row>
    <row r="1653" customFormat="false" ht="15" hidden="false" customHeight="false" outlineLevel="0" collapsed="false">
      <c r="A1653" s="59" t="n">
        <v>46274.4486689815</v>
      </c>
      <c r="B1653" s="60" t="s">
        <v>724</v>
      </c>
      <c r="C1653" s="60" t="n">
        <v>23092080</v>
      </c>
      <c r="D1653" s="60" t="s">
        <v>46</v>
      </c>
      <c r="E1653" s="60" t="s">
        <v>22</v>
      </c>
      <c r="F1653" s="60" t="s">
        <v>233</v>
      </c>
      <c r="G1653" s="60" t="n">
        <v>34.8</v>
      </c>
      <c r="H1653" s="61" t="n">
        <v>469.99</v>
      </c>
      <c r="I1653" s="61" t="n">
        <v>42.11</v>
      </c>
      <c r="J1653" s="61" t="n">
        <f aca="false">H1653*Resumo!$C$6</f>
        <v>0</v>
      </c>
      <c r="K1653" s="61" t="n">
        <f aca="false">H1653*Resumo!$C$7</f>
        <v>0.986979</v>
      </c>
      <c r="L1653" s="61" t="n">
        <f aca="false">H1653*Resumo!$C$8</f>
        <v>0.986979</v>
      </c>
      <c r="M1653" s="61" t="n">
        <f aca="false">Resumo!$C$10*CEILING(G1653/100,1)</f>
        <v>1.05</v>
      </c>
      <c r="N1653" s="61" t="n">
        <f aca="false">Resumo!$C$9</f>
        <v>0</v>
      </c>
      <c r="O1653" s="61" t="n">
        <f aca="false">Resumo!$C$13</f>
        <v>13.55</v>
      </c>
      <c r="P1653" s="61" t="n">
        <f aca="false">Resumo!$C$14*CEILING(G1653,1)</f>
        <v>15.75</v>
      </c>
      <c r="Q1653" s="61" t="n">
        <f aca="false">SUM(I1653:P1653)*Resumo!$C$11</f>
        <v>0</v>
      </c>
      <c r="R1653" s="61" t="n">
        <f aca="false">SUM(I1653:Q1653)</f>
        <v>74.433958</v>
      </c>
      <c r="S1653" s="61" t="n">
        <f aca="false">R1653/(1-Resumo!$C$5)</f>
        <v>84.5840431818182</v>
      </c>
      <c r="T1653" s="61" t="n">
        <v>82.21</v>
      </c>
      <c r="U1653" s="61" t="n">
        <f aca="false">H1653*Resumo!$B$6</f>
        <v>0.46999</v>
      </c>
      <c r="V1653" s="61" t="n">
        <f aca="false">H1653*Resumo!$B$7</f>
        <v>0.93998</v>
      </c>
      <c r="W1653" s="61" t="n">
        <f aca="false">Resumo!$B$9</f>
        <v>1</v>
      </c>
      <c r="X1653" s="61" t="n">
        <f aca="false">Resumo!$B$10*CEILING(G1653/100,1)</f>
        <v>4.5</v>
      </c>
      <c r="Y1653" s="61" t="n">
        <f aca="false">Resumo!$B$12*CEILING(G1653,1)</f>
        <v>2.1</v>
      </c>
      <c r="Z1653" s="61" t="n">
        <f aca="false">Resumo!$B$14*CEILING(G1653,1)</f>
        <v>15.75</v>
      </c>
      <c r="AA1653" s="61" t="n">
        <f aca="false">SUM(T1653:Z1653)</f>
        <v>106.96997</v>
      </c>
      <c r="AB1653" s="61" t="n">
        <f aca="false">AA1653/(1-Resumo!$B$5)</f>
        <v>121.556784090909</v>
      </c>
      <c r="AC1653" s="61" t="n">
        <f aca="false">AB1653-S1653</f>
        <v>36.9727409090909</v>
      </c>
      <c r="AD1653" s="62" t="n">
        <f aca="false">AB1653/S1653-1</f>
        <v>0.437112480300994</v>
      </c>
      <c r="AE1653" s="60" t="str">
        <f aca="false">IF(AB1653&lt;S1653,"SIM","NÃO")</f>
        <v>NÃO</v>
      </c>
      <c r="AF1653" s="60" t="n">
        <v>2</v>
      </c>
      <c r="AG1653" s="60" t="n">
        <v>5</v>
      </c>
      <c r="AH1653" s="60" t="s">
        <v>382</v>
      </c>
      <c r="AI1653" s="61" t="n">
        <f aca="false">(T1653*(1-Painel!$C$40)+U1653+V1653+Painel!$C$41+Painel!$C$42*CEILING(G1653/100,1)+Painel!$C$43*CEILING(G1653,1)+Z1653)/(1-Resumo!$B$5)</f>
        <v>84.4212159090909</v>
      </c>
      <c r="AJ1653" s="60" t="str">
        <f aca="false">IF(AI1653&lt;S1653,"SIM","NÃO")</f>
        <v>SIM</v>
      </c>
    </row>
    <row r="1654" customFormat="false" ht="15" hidden="false" customHeight="false" outlineLevel="0" collapsed="false">
      <c r="A1654" s="59" t="n">
        <v>46274.4997685185</v>
      </c>
      <c r="B1654" s="60" t="s">
        <v>1883</v>
      </c>
      <c r="C1654" s="60" t="n">
        <v>23028055</v>
      </c>
      <c r="D1654" s="60" t="s">
        <v>46</v>
      </c>
      <c r="E1654" s="60" t="s">
        <v>22</v>
      </c>
      <c r="F1654" s="60" t="s">
        <v>234</v>
      </c>
      <c r="G1654" s="60" t="n">
        <v>35.4</v>
      </c>
      <c r="H1654" s="61" t="n">
        <v>499.99</v>
      </c>
      <c r="I1654" s="61" t="n">
        <v>48.35</v>
      </c>
      <c r="J1654" s="61" t="n">
        <f aca="false">H1654*Resumo!$C$6</f>
        <v>0</v>
      </c>
      <c r="K1654" s="61" t="n">
        <f aca="false">H1654*Resumo!$C$7</f>
        <v>1.049979</v>
      </c>
      <c r="L1654" s="61" t="n">
        <f aca="false">H1654*Resumo!$C$8</f>
        <v>1.049979</v>
      </c>
      <c r="M1654" s="61" t="n">
        <f aca="false">Resumo!$C$10*CEILING(G1654/100,1)</f>
        <v>1.05</v>
      </c>
      <c r="N1654" s="61" t="n">
        <f aca="false">Resumo!$C$9</f>
        <v>0</v>
      </c>
      <c r="O1654" s="61" t="n">
        <f aca="false">Resumo!$C$13</f>
        <v>13.55</v>
      </c>
      <c r="P1654" s="61" t="n">
        <f aca="false">Resumo!$C$14*CEILING(G1654,1)</f>
        <v>16.2</v>
      </c>
      <c r="Q1654" s="61" t="n">
        <f aca="false">SUM(I1654:P1654)*Resumo!$C$11</f>
        <v>0</v>
      </c>
      <c r="R1654" s="61" t="n">
        <f aca="false">SUM(I1654:Q1654)</f>
        <v>81.249958</v>
      </c>
      <c r="S1654" s="61" t="n">
        <f aca="false">R1654/(1-Resumo!$C$5)</f>
        <v>92.3294977272727</v>
      </c>
      <c r="T1654" s="61" t="n">
        <v>93.97</v>
      </c>
      <c r="U1654" s="61" t="n">
        <f aca="false">H1654*Resumo!$B$6</f>
        <v>0.49999</v>
      </c>
      <c r="V1654" s="61" t="n">
        <f aca="false">H1654*Resumo!$B$7</f>
        <v>0.99998</v>
      </c>
      <c r="W1654" s="61" t="n">
        <f aca="false">Resumo!$B$9</f>
        <v>1</v>
      </c>
      <c r="X1654" s="61" t="n">
        <f aca="false">Resumo!$B$10*CEILING(G1654/100,1)</f>
        <v>4.5</v>
      </c>
      <c r="Y1654" s="61" t="n">
        <f aca="false">Resumo!$B$12*CEILING(G1654,1)</f>
        <v>2.16</v>
      </c>
      <c r="Z1654" s="61" t="n">
        <f aca="false">Resumo!$B$14*CEILING(G1654,1)</f>
        <v>16.2</v>
      </c>
      <c r="AA1654" s="61" t="n">
        <f aca="false">SUM(T1654:Z1654)</f>
        <v>119.32997</v>
      </c>
      <c r="AB1654" s="61" t="n">
        <f aca="false">AA1654/(1-Resumo!$B$5)</f>
        <v>135.602238636364</v>
      </c>
      <c r="AC1654" s="61" t="n">
        <f aca="false">AB1654-S1654</f>
        <v>43.2727409090909</v>
      </c>
      <c r="AD1654" s="62" t="n">
        <f aca="false">AB1654/S1654-1</f>
        <v>0.468677313039349</v>
      </c>
      <c r="AE1654" s="60" t="str">
        <f aca="false">IF(AB1654&lt;S1654,"SIM","NÃO")</f>
        <v>NÃO</v>
      </c>
      <c r="AF1654" s="60" t="n">
        <v>2</v>
      </c>
      <c r="AG1654" s="60" t="n">
        <v>5</v>
      </c>
      <c r="AH1654" s="60" t="s">
        <v>382</v>
      </c>
      <c r="AI1654" s="61" t="n">
        <f aca="false">(T1654*(1-Painel!$C$40)+U1654+V1654+Painel!$C$41+Painel!$C$42*CEILING(G1654/100,1)+Painel!$C$43*CEILING(G1654,1)+Z1654)/(1-Resumo!$B$5)</f>
        <v>93.9884886363636</v>
      </c>
      <c r="AJ1654" s="60" t="str">
        <f aca="false">IF(AI1654&lt;S1654,"SIM","NÃO")</f>
        <v>NÃO</v>
      </c>
    </row>
    <row r="1655" customFormat="false" ht="15" hidden="false" customHeight="false" outlineLevel="0" collapsed="false">
      <c r="A1655" s="59" t="n">
        <v>46274.5593402778</v>
      </c>
      <c r="B1655" s="60" t="s">
        <v>930</v>
      </c>
      <c r="C1655" s="60" t="n">
        <v>28930000</v>
      </c>
      <c r="D1655" s="60" t="s">
        <v>337</v>
      </c>
      <c r="E1655" s="60" t="s">
        <v>24</v>
      </c>
      <c r="F1655" s="60" t="s">
        <v>235</v>
      </c>
      <c r="G1655" s="60" t="n">
        <v>48</v>
      </c>
      <c r="H1655" s="61" t="n">
        <v>828.99</v>
      </c>
      <c r="I1655" s="61" t="n">
        <v>77.7</v>
      </c>
      <c r="J1655" s="61" t="n">
        <f aca="false">H1655*Resumo!$C$6</f>
        <v>0</v>
      </c>
      <c r="K1655" s="61" t="n">
        <f aca="false">H1655*Resumo!$C$7</f>
        <v>1.740879</v>
      </c>
      <c r="L1655" s="61" t="n">
        <f aca="false">H1655*Resumo!$C$8</f>
        <v>1.740879</v>
      </c>
      <c r="M1655" s="61" t="n">
        <f aca="false">Resumo!$C$10*CEILING(G1655/100,1)</f>
        <v>1.05</v>
      </c>
      <c r="N1655" s="61" t="n">
        <f aca="false">Resumo!$C$9</f>
        <v>0</v>
      </c>
      <c r="O1655" s="61" t="n">
        <f aca="false">Resumo!$C$13</f>
        <v>13.55</v>
      </c>
      <c r="P1655" s="61" t="n">
        <f aca="false">Resumo!$C$14*CEILING(G1655,1)</f>
        <v>21.6</v>
      </c>
      <c r="Q1655" s="61" t="n">
        <f aca="false">SUM(I1655:P1655)*Resumo!$C$11</f>
        <v>0</v>
      </c>
      <c r="R1655" s="61" t="n">
        <f aca="false">SUM(I1655:Q1655)</f>
        <v>117.381758</v>
      </c>
      <c r="S1655" s="61" t="n">
        <f aca="false">R1655/(1-Resumo!$C$5)</f>
        <v>133.388361363636</v>
      </c>
      <c r="T1655" s="61" t="n">
        <v>129.29</v>
      </c>
      <c r="U1655" s="61" t="n">
        <f aca="false">H1655*Resumo!$B$6</f>
        <v>0.82899</v>
      </c>
      <c r="V1655" s="61" t="n">
        <f aca="false">H1655*Resumo!$B$7</f>
        <v>1.65798</v>
      </c>
      <c r="W1655" s="61" t="n">
        <f aca="false">Resumo!$B$9</f>
        <v>1</v>
      </c>
      <c r="X1655" s="61" t="n">
        <f aca="false">Resumo!$B$10*CEILING(G1655/100,1)</f>
        <v>4.5</v>
      </c>
      <c r="Y1655" s="61" t="n">
        <f aca="false">Resumo!$B$12*CEILING(G1655,1)</f>
        <v>2.88</v>
      </c>
      <c r="Z1655" s="61" t="n">
        <f aca="false">Resumo!$B$14*CEILING(G1655,1)</f>
        <v>21.6</v>
      </c>
      <c r="AA1655" s="61" t="n">
        <f aca="false">SUM(T1655:Z1655)</f>
        <v>161.75697</v>
      </c>
      <c r="AB1655" s="61" t="n">
        <f aca="false">AA1655/(1-Resumo!$B$5)</f>
        <v>183.814738636364</v>
      </c>
      <c r="AC1655" s="61" t="n">
        <f aca="false">AB1655-S1655</f>
        <v>50.4263772727273</v>
      </c>
      <c r="AD1655" s="62" t="n">
        <f aca="false">AB1655/S1655-1</f>
        <v>0.378041807825029</v>
      </c>
      <c r="AE1655" s="60" t="str">
        <f aca="false">IF(AB1655&lt;S1655,"SIM","NÃO")</f>
        <v>NÃO</v>
      </c>
      <c r="AF1655" s="60" t="n">
        <v>13</v>
      </c>
      <c r="AG1655" s="60" t="n">
        <v>10</v>
      </c>
      <c r="AH1655" s="60" t="s">
        <v>385</v>
      </c>
      <c r="AI1655" s="61" t="n">
        <f aca="false">(T1655*(1-Painel!$C$40)+U1655+V1655+Painel!$C$41+Painel!$C$42*CEILING(G1655/100,1)+Painel!$C$43*CEILING(G1655,1)+Z1655)/(1-Resumo!$B$5)</f>
        <v>128.137806818182</v>
      </c>
      <c r="AJ1655" s="60" t="str">
        <f aca="false">IF(AI1655&lt;S1655,"SIM","NÃO")</f>
        <v>SIM</v>
      </c>
    </row>
    <row r="1656" customFormat="false" ht="15" hidden="false" customHeight="false" outlineLevel="0" collapsed="false">
      <c r="A1656" s="59" t="n">
        <v>46274.5672337963</v>
      </c>
      <c r="B1656" s="60" t="s">
        <v>1884</v>
      </c>
      <c r="C1656" s="60" t="n">
        <v>21012200</v>
      </c>
      <c r="D1656" s="60" t="s">
        <v>46</v>
      </c>
      <c r="E1656" s="60" t="s">
        <v>22</v>
      </c>
      <c r="F1656" s="60" t="s">
        <v>235</v>
      </c>
      <c r="G1656" s="60" t="n">
        <v>43.5</v>
      </c>
      <c r="H1656" s="61" t="n">
        <v>690.99</v>
      </c>
      <c r="I1656" s="61" t="n">
        <v>53.55</v>
      </c>
      <c r="J1656" s="61" t="n">
        <f aca="false">H1656*Resumo!$C$6</f>
        <v>0</v>
      </c>
      <c r="K1656" s="61" t="n">
        <f aca="false">H1656*Resumo!$C$7</f>
        <v>1.451079</v>
      </c>
      <c r="L1656" s="61" t="n">
        <f aca="false">H1656*Resumo!$C$8</f>
        <v>1.451079</v>
      </c>
      <c r="M1656" s="61" t="n">
        <f aca="false">Resumo!$C$10*CEILING(G1656/100,1)</f>
        <v>1.05</v>
      </c>
      <c r="N1656" s="61" t="n">
        <f aca="false">Resumo!$C$9</f>
        <v>0</v>
      </c>
      <c r="O1656" s="61" t="n">
        <f aca="false">Resumo!$C$13</f>
        <v>13.55</v>
      </c>
      <c r="P1656" s="61" t="n">
        <f aca="false">Resumo!$C$14*CEILING(G1656,1)</f>
        <v>19.8</v>
      </c>
      <c r="Q1656" s="61" t="n">
        <f aca="false">SUM(I1656:P1656)*Resumo!$C$11</f>
        <v>0</v>
      </c>
      <c r="R1656" s="61" t="n">
        <f aca="false">SUM(I1656:Q1656)</f>
        <v>90.852158</v>
      </c>
      <c r="S1656" s="61" t="n">
        <f aca="false">R1656/(1-Resumo!$C$5)</f>
        <v>103.241088636364</v>
      </c>
      <c r="T1656" s="61" t="n">
        <v>93.97</v>
      </c>
      <c r="U1656" s="61" t="n">
        <f aca="false">H1656*Resumo!$B$6</f>
        <v>0.69099</v>
      </c>
      <c r="V1656" s="61" t="n">
        <f aca="false">H1656*Resumo!$B$7</f>
        <v>1.38198</v>
      </c>
      <c r="W1656" s="61" t="n">
        <f aca="false">Resumo!$B$9</f>
        <v>1</v>
      </c>
      <c r="X1656" s="61" t="n">
        <f aca="false">Resumo!$B$10*CEILING(G1656/100,1)</f>
        <v>4.5</v>
      </c>
      <c r="Y1656" s="61" t="n">
        <f aca="false">Resumo!$B$12*CEILING(G1656,1)</f>
        <v>2.64</v>
      </c>
      <c r="Z1656" s="61" t="n">
        <f aca="false">Resumo!$B$14*CEILING(G1656,1)</f>
        <v>19.8</v>
      </c>
      <c r="AA1656" s="61" t="n">
        <f aca="false">SUM(T1656:Z1656)</f>
        <v>123.98297</v>
      </c>
      <c r="AB1656" s="61" t="n">
        <f aca="false">AA1656/(1-Resumo!$B$5)</f>
        <v>140.889738636364</v>
      </c>
      <c r="AC1656" s="61" t="n">
        <f aca="false">AB1656-S1656</f>
        <v>37.64865</v>
      </c>
      <c r="AD1656" s="62" t="n">
        <f aca="false">AB1656/S1656-1</f>
        <v>0.364667309278443</v>
      </c>
      <c r="AE1656" s="60" t="str">
        <f aca="false">IF(AB1656&lt;S1656,"SIM","NÃO")</f>
        <v>NÃO</v>
      </c>
      <c r="AF1656" s="60" t="n">
        <v>2</v>
      </c>
      <c r="AG1656" s="60" t="n">
        <v>5</v>
      </c>
      <c r="AH1656" s="60" t="s">
        <v>382</v>
      </c>
      <c r="AI1656" s="61" t="n">
        <f aca="false">(T1656*(1-Painel!$C$40)+U1656+V1656+Painel!$C$41+Painel!$C$42*CEILING(G1656/100,1)+Painel!$C$43*CEILING(G1656,1)+Z1656)/(1-Resumo!$B$5)</f>
        <v>98.7305340909091</v>
      </c>
      <c r="AJ1656" s="60" t="str">
        <f aca="false">IF(AI1656&lt;S1656,"SIM","NÃO")</f>
        <v>SIM</v>
      </c>
    </row>
    <row r="1657" customFormat="false" ht="15" hidden="false" customHeight="false" outlineLevel="0" collapsed="false">
      <c r="A1657" s="59" t="n">
        <v>46274.5730787037</v>
      </c>
      <c r="B1657" s="60" t="s">
        <v>1885</v>
      </c>
      <c r="C1657" s="60" t="n">
        <v>24715631</v>
      </c>
      <c r="D1657" s="60" t="s">
        <v>47</v>
      </c>
      <c r="E1657" s="60" t="s">
        <v>23</v>
      </c>
      <c r="F1657" s="60" t="s">
        <v>233</v>
      </c>
      <c r="G1657" s="60" t="n">
        <v>30.5</v>
      </c>
      <c r="H1657" s="61" t="n">
        <v>429.99</v>
      </c>
      <c r="I1657" s="61" t="n">
        <v>58.8</v>
      </c>
      <c r="J1657" s="61" t="n">
        <f aca="false">H1657*Resumo!$C$6</f>
        <v>0</v>
      </c>
      <c r="K1657" s="61" t="n">
        <f aca="false">H1657*Resumo!$C$7</f>
        <v>0.902979</v>
      </c>
      <c r="L1657" s="61" t="n">
        <f aca="false">H1657*Resumo!$C$8</f>
        <v>0.902979</v>
      </c>
      <c r="M1657" s="61" t="n">
        <f aca="false">Resumo!$C$10*CEILING(G1657/100,1)</f>
        <v>1.05</v>
      </c>
      <c r="N1657" s="61" t="n">
        <f aca="false">Resumo!$C$9</f>
        <v>0</v>
      </c>
      <c r="O1657" s="61" t="n">
        <f aca="false">Resumo!$C$13</f>
        <v>13.55</v>
      </c>
      <c r="P1657" s="61" t="n">
        <f aca="false">Resumo!$C$14*CEILING(G1657,1)</f>
        <v>13.95</v>
      </c>
      <c r="Q1657" s="61" t="n">
        <f aca="false">SUM(I1657:P1657)*Resumo!$C$11</f>
        <v>0</v>
      </c>
      <c r="R1657" s="61" t="n">
        <f aca="false">SUM(I1657:Q1657)</f>
        <v>89.155958</v>
      </c>
      <c r="S1657" s="61" t="n">
        <f aca="false">R1657/(1-Resumo!$C$5)</f>
        <v>101.313588636364</v>
      </c>
      <c r="T1657" s="61" t="n">
        <v>100.58</v>
      </c>
      <c r="U1657" s="61" t="n">
        <f aca="false">H1657*Resumo!$B$6</f>
        <v>0.42999</v>
      </c>
      <c r="V1657" s="61" t="n">
        <f aca="false">H1657*Resumo!$B$7</f>
        <v>0.85998</v>
      </c>
      <c r="W1657" s="61" t="n">
        <f aca="false">Resumo!$B$9</f>
        <v>1</v>
      </c>
      <c r="X1657" s="61" t="n">
        <f aca="false">Resumo!$B$10*CEILING(G1657/100,1)</f>
        <v>4.5</v>
      </c>
      <c r="Y1657" s="61" t="n">
        <f aca="false">Resumo!$B$12*CEILING(G1657,1)</f>
        <v>1.86</v>
      </c>
      <c r="Z1657" s="61" t="n">
        <f aca="false">Resumo!$B$14*CEILING(G1657,1)</f>
        <v>13.95</v>
      </c>
      <c r="AA1657" s="61" t="n">
        <f aca="false">SUM(T1657:Z1657)</f>
        <v>123.17997</v>
      </c>
      <c r="AB1657" s="61" t="n">
        <f aca="false">AA1657/(1-Resumo!$B$5)</f>
        <v>139.977238636364</v>
      </c>
      <c r="AC1657" s="61" t="n">
        <f aca="false">AB1657-S1657</f>
        <v>38.66365</v>
      </c>
      <c r="AD1657" s="62" t="n">
        <f aca="false">AB1657/S1657-1</f>
        <v>0.381623536589669</v>
      </c>
      <c r="AE1657" s="60" t="str">
        <f aca="false">IF(AB1657&lt;S1657,"SIM","NÃO")</f>
        <v>NÃO</v>
      </c>
      <c r="AF1657" s="60" t="n">
        <v>2</v>
      </c>
      <c r="AG1657" s="60" t="n">
        <v>7</v>
      </c>
      <c r="AH1657" s="60" t="s">
        <v>382</v>
      </c>
      <c r="AI1657" s="61" t="n">
        <f aca="false">(T1657*(1-Painel!$C$40)+U1657+V1657+Painel!$C$41+Painel!$C$42*CEILING(G1657/100,1)+Painel!$C$43*CEILING(G1657,1)+Z1657)/(1-Resumo!$B$5)</f>
        <v>96.2256477272727</v>
      </c>
      <c r="AJ1657" s="60" t="str">
        <f aca="false">IF(AI1657&lt;S1657,"SIM","NÃO")</f>
        <v>SIM</v>
      </c>
    </row>
    <row r="1658" customFormat="false" ht="15" hidden="false" customHeight="false" outlineLevel="0" collapsed="false">
      <c r="A1658" s="59" t="n">
        <v>46274.5741435185</v>
      </c>
      <c r="B1658" s="60" t="s">
        <v>1886</v>
      </c>
      <c r="C1658" s="60" t="n">
        <v>21842596</v>
      </c>
      <c r="D1658" s="60" t="s">
        <v>46</v>
      </c>
      <c r="E1658" s="60" t="s">
        <v>22</v>
      </c>
      <c r="F1658" s="60" t="s">
        <v>234</v>
      </c>
      <c r="G1658" s="60" t="n">
        <v>40</v>
      </c>
      <c r="H1658" s="61" t="n">
        <v>579.99</v>
      </c>
      <c r="I1658" s="61" t="n">
        <v>48.35</v>
      </c>
      <c r="J1658" s="61" t="n">
        <f aca="false">H1658*Resumo!$C$6</f>
        <v>0</v>
      </c>
      <c r="K1658" s="61" t="n">
        <f aca="false">H1658*Resumo!$C$7</f>
        <v>1.217979</v>
      </c>
      <c r="L1658" s="61" t="n">
        <f aca="false">H1658*Resumo!$C$8</f>
        <v>1.217979</v>
      </c>
      <c r="M1658" s="61" t="n">
        <f aca="false">Resumo!$C$10*CEILING(G1658/100,1)</f>
        <v>1.05</v>
      </c>
      <c r="N1658" s="61" t="n">
        <f aca="false">Resumo!$C$9</f>
        <v>0</v>
      </c>
      <c r="O1658" s="61" t="n">
        <f aca="false">Resumo!$C$13</f>
        <v>13.55</v>
      </c>
      <c r="P1658" s="61" t="n">
        <f aca="false">Resumo!$C$14*CEILING(G1658,1)</f>
        <v>18</v>
      </c>
      <c r="Q1658" s="61" t="n">
        <f aca="false">SUM(I1658:P1658)*Resumo!$C$11</f>
        <v>0</v>
      </c>
      <c r="R1658" s="61" t="n">
        <f aca="false">SUM(I1658:Q1658)</f>
        <v>83.385958</v>
      </c>
      <c r="S1658" s="61" t="n">
        <f aca="false">R1658/(1-Resumo!$C$5)</f>
        <v>94.7567704545455</v>
      </c>
      <c r="T1658" s="61" t="n">
        <v>93.97</v>
      </c>
      <c r="U1658" s="61" t="n">
        <f aca="false">H1658*Resumo!$B$6</f>
        <v>0.57999</v>
      </c>
      <c r="V1658" s="61" t="n">
        <f aca="false">H1658*Resumo!$B$7</f>
        <v>1.15998</v>
      </c>
      <c r="W1658" s="61" t="n">
        <f aca="false">Resumo!$B$9</f>
        <v>1</v>
      </c>
      <c r="X1658" s="61" t="n">
        <f aca="false">Resumo!$B$10*CEILING(G1658/100,1)</f>
        <v>4.5</v>
      </c>
      <c r="Y1658" s="61" t="n">
        <f aca="false">Resumo!$B$12*CEILING(G1658,1)</f>
        <v>2.4</v>
      </c>
      <c r="Z1658" s="61" t="n">
        <f aca="false">Resumo!$B$14*CEILING(G1658,1)</f>
        <v>18</v>
      </c>
      <c r="AA1658" s="61" t="n">
        <f aca="false">SUM(T1658:Z1658)</f>
        <v>121.60997</v>
      </c>
      <c r="AB1658" s="61" t="n">
        <f aca="false">AA1658/(1-Resumo!$B$5)</f>
        <v>138.193147727273</v>
      </c>
      <c r="AC1658" s="61" t="n">
        <f aca="false">AB1658-S1658</f>
        <v>43.4363772727273</v>
      </c>
      <c r="AD1658" s="62" t="n">
        <f aca="false">AB1658/S1658-1</f>
        <v>0.458398667075337</v>
      </c>
      <c r="AE1658" s="60" t="str">
        <f aca="false">IF(AB1658&lt;S1658,"SIM","NÃO")</f>
        <v>NÃO</v>
      </c>
      <c r="AF1658" s="60" t="n">
        <v>2</v>
      </c>
      <c r="AG1658" s="60" t="n">
        <v>5</v>
      </c>
      <c r="AH1658" s="60" t="s">
        <v>382</v>
      </c>
      <c r="AI1658" s="61" t="n">
        <f aca="false">(T1658*(1-Painel!$C$40)+U1658+V1658+Painel!$C$41+Painel!$C$42*CEILING(G1658/100,1)+Painel!$C$43*CEILING(G1658,1)+Z1658)/(1-Resumo!$B$5)</f>
        <v>96.3066704545454</v>
      </c>
      <c r="AJ1658" s="60" t="str">
        <f aca="false">IF(AI1658&lt;S1658,"SIM","NÃO")</f>
        <v>NÃO</v>
      </c>
    </row>
    <row r="1659" customFormat="false" ht="15" hidden="false" customHeight="false" outlineLevel="0" collapsed="false">
      <c r="A1659" s="59" t="n">
        <v>46274.5812615741</v>
      </c>
      <c r="B1659" s="60" t="s">
        <v>1887</v>
      </c>
      <c r="C1659" s="60" t="n">
        <v>24440900</v>
      </c>
      <c r="D1659" s="60" t="s">
        <v>47</v>
      </c>
      <c r="E1659" s="60" t="s">
        <v>23</v>
      </c>
      <c r="F1659" s="60" t="s">
        <v>235</v>
      </c>
      <c r="G1659" s="60" t="n">
        <v>48.6</v>
      </c>
      <c r="H1659" s="61" t="n">
        <v>601.74</v>
      </c>
      <c r="I1659" s="61" t="n">
        <v>65.36</v>
      </c>
      <c r="J1659" s="61" t="n">
        <f aca="false">H1659*Resumo!$C$6</f>
        <v>0</v>
      </c>
      <c r="K1659" s="61" t="n">
        <f aca="false">H1659*Resumo!$C$7</f>
        <v>1.263654</v>
      </c>
      <c r="L1659" s="61" t="n">
        <f aca="false">H1659*Resumo!$C$8</f>
        <v>1.263654</v>
      </c>
      <c r="M1659" s="61" t="n">
        <f aca="false">Resumo!$C$10*CEILING(G1659/100,1)</f>
        <v>1.05</v>
      </c>
      <c r="N1659" s="61" t="n">
        <f aca="false">Resumo!$C$9</f>
        <v>0</v>
      </c>
      <c r="O1659" s="61" t="n">
        <f aca="false">Resumo!$C$13</f>
        <v>13.55</v>
      </c>
      <c r="P1659" s="61" t="n">
        <f aca="false">Resumo!$C$14*CEILING(G1659,1)</f>
        <v>22.05</v>
      </c>
      <c r="Q1659" s="61" t="n">
        <f aca="false">SUM(I1659:P1659)*Resumo!$C$11</f>
        <v>0</v>
      </c>
      <c r="R1659" s="61" t="n">
        <f aca="false">SUM(I1659:Q1659)</f>
        <v>104.537308</v>
      </c>
      <c r="S1659" s="61" t="n">
        <f aca="false">R1659/(1-Resumo!$C$5)</f>
        <v>118.792395454545</v>
      </c>
      <c r="T1659" s="61" t="n">
        <v>114.95</v>
      </c>
      <c r="U1659" s="61" t="n">
        <f aca="false">H1659*Resumo!$B$6</f>
        <v>0.60174</v>
      </c>
      <c r="V1659" s="61" t="n">
        <f aca="false">H1659*Resumo!$B$7</f>
        <v>1.20348</v>
      </c>
      <c r="W1659" s="61" t="n">
        <f aca="false">Resumo!$B$9</f>
        <v>1</v>
      </c>
      <c r="X1659" s="61" t="n">
        <f aca="false">Resumo!$B$10*CEILING(G1659/100,1)</f>
        <v>4.5</v>
      </c>
      <c r="Y1659" s="61" t="n">
        <f aca="false">Resumo!$B$12*CEILING(G1659,1)</f>
        <v>2.94</v>
      </c>
      <c r="Z1659" s="61" t="n">
        <f aca="false">Resumo!$B$14*CEILING(G1659,1)</f>
        <v>22.05</v>
      </c>
      <c r="AA1659" s="61" t="n">
        <f aca="false">SUM(T1659:Z1659)</f>
        <v>147.24522</v>
      </c>
      <c r="AB1659" s="61" t="n">
        <f aca="false">AA1659/(1-Resumo!$B$5)</f>
        <v>167.324113636364</v>
      </c>
      <c r="AC1659" s="61" t="n">
        <f aca="false">AB1659-S1659</f>
        <v>48.5317181818182</v>
      </c>
      <c r="AD1659" s="62" t="n">
        <f aca="false">AB1659/S1659-1</f>
        <v>0.408542297645545</v>
      </c>
      <c r="AE1659" s="60" t="str">
        <f aca="false">IF(AB1659&lt;S1659,"SIM","NÃO")</f>
        <v>NÃO</v>
      </c>
      <c r="AF1659" s="60" t="n">
        <v>2</v>
      </c>
      <c r="AG1659" s="60" t="n">
        <v>7</v>
      </c>
      <c r="AH1659" s="60" t="s">
        <v>382</v>
      </c>
      <c r="AI1659" s="61" t="n">
        <f aca="false">(T1659*(1-Painel!$C$40)+U1659+V1659+Painel!$C$41+Painel!$C$42*CEILING(G1659/100,1)+Painel!$C$43*CEILING(G1659,1)+Z1659)/(1-Resumo!$B$5)</f>
        <v>116.9565</v>
      </c>
      <c r="AJ1659" s="60" t="str">
        <f aca="false">IF(AI1659&lt;S1659,"SIM","NÃO")</f>
        <v>SIM</v>
      </c>
    </row>
    <row r="1660" customFormat="false" ht="15" hidden="false" customHeight="false" outlineLevel="0" collapsed="false">
      <c r="A1660" s="59" t="n">
        <v>46274.5873958333</v>
      </c>
      <c r="B1660" s="60" t="s">
        <v>1888</v>
      </c>
      <c r="C1660" s="60" t="n">
        <v>27966690</v>
      </c>
      <c r="D1660" s="60" t="s">
        <v>53</v>
      </c>
      <c r="E1660" s="60" t="s">
        <v>24</v>
      </c>
      <c r="F1660" s="60" t="s">
        <v>233</v>
      </c>
      <c r="G1660" s="60" t="n">
        <v>27.6</v>
      </c>
      <c r="H1660" s="61" t="n">
        <v>559.99</v>
      </c>
      <c r="I1660" s="61" t="n">
        <v>65.63</v>
      </c>
      <c r="J1660" s="61" t="n">
        <f aca="false">H1660*Resumo!$C$6</f>
        <v>0</v>
      </c>
      <c r="K1660" s="61" t="n">
        <f aca="false">H1660*Resumo!$C$7</f>
        <v>1.175979</v>
      </c>
      <c r="L1660" s="61" t="n">
        <f aca="false">H1660*Resumo!$C$8</f>
        <v>1.175979</v>
      </c>
      <c r="M1660" s="61" t="n">
        <f aca="false">Resumo!$C$10*CEILING(G1660/100,1)</f>
        <v>1.05</v>
      </c>
      <c r="N1660" s="61" t="n">
        <f aca="false">Resumo!$C$9</f>
        <v>0</v>
      </c>
      <c r="O1660" s="61" t="n">
        <f aca="false">Resumo!$C$13</f>
        <v>13.55</v>
      </c>
      <c r="P1660" s="61" t="n">
        <f aca="false">Resumo!$C$14*CEILING(G1660,1)</f>
        <v>12.6</v>
      </c>
      <c r="Q1660" s="61" t="n">
        <f aca="false">SUM(I1660:P1660)*Resumo!$C$11</f>
        <v>0</v>
      </c>
      <c r="R1660" s="61" t="n">
        <f aca="false">SUM(I1660:Q1660)</f>
        <v>95.181958</v>
      </c>
      <c r="S1660" s="61" t="n">
        <f aca="false">R1660/(1-Resumo!$C$5)</f>
        <v>108.161315909091</v>
      </c>
      <c r="T1660" s="61" t="n">
        <v>138.29</v>
      </c>
      <c r="U1660" s="61" t="n">
        <f aca="false">H1660*Resumo!$B$6</f>
        <v>0.55999</v>
      </c>
      <c r="V1660" s="61" t="n">
        <f aca="false">H1660*Resumo!$B$7</f>
        <v>1.11998</v>
      </c>
      <c r="W1660" s="61" t="n">
        <f aca="false">Resumo!$B$9</f>
        <v>1</v>
      </c>
      <c r="X1660" s="61" t="n">
        <f aca="false">Resumo!$B$10*CEILING(G1660/100,1)</f>
        <v>4.5</v>
      </c>
      <c r="Y1660" s="61" t="n">
        <f aca="false">Resumo!$B$12*CEILING(G1660,1)</f>
        <v>1.68</v>
      </c>
      <c r="Z1660" s="61" t="n">
        <f aca="false">Resumo!$B$14*CEILING(G1660,1)</f>
        <v>12.6</v>
      </c>
      <c r="AA1660" s="61" t="n">
        <f aca="false">SUM(T1660:Z1660)</f>
        <v>159.74997</v>
      </c>
      <c r="AB1660" s="61" t="n">
        <f aca="false">AA1660/(1-Resumo!$B$5)</f>
        <v>181.534056818182</v>
      </c>
      <c r="AC1660" s="61" t="n">
        <f aca="false">AB1660-S1660</f>
        <v>73.3727409090909</v>
      </c>
      <c r="AD1660" s="62" t="n">
        <f aca="false">AB1660/S1660-1</f>
        <v>0.678363981543645</v>
      </c>
      <c r="AE1660" s="60" t="str">
        <f aca="false">IF(AB1660&lt;S1660,"SIM","NÃO")</f>
        <v>NÃO</v>
      </c>
      <c r="AF1660" s="60" t="n">
        <v>13</v>
      </c>
      <c r="AG1660" s="60" t="n">
        <v>11</v>
      </c>
      <c r="AH1660" s="60" t="s">
        <v>382</v>
      </c>
      <c r="AI1660" s="61" t="n">
        <f aca="false">(T1660*(1-Painel!$C$40)+U1660+V1660+Painel!$C$41+Painel!$C$42*CEILING(G1660/100,1)+Painel!$C$43*CEILING(G1660,1)+Z1660)/(1-Resumo!$B$5)</f>
        <v>123.845761363636</v>
      </c>
      <c r="AJ1660" s="60" t="str">
        <f aca="false">IF(AI1660&lt;S1660,"SIM","NÃO")</f>
        <v>NÃO</v>
      </c>
    </row>
    <row r="1661" customFormat="false" ht="15" hidden="false" customHeight="false" outlineLevel="0" collapsed="false">
      <c r="A1661" s="59" t="n">
        <v>46274.5892361111</v>
      </c>
      <c r="B1661" s="60" t="s">
        <v>1889</v>
      </c>
      <c r="C1661" s="60" t="n">
        <v>27963795</v>
      </c>
      <c r="D1661" s="60" t="s">
        <v>53</v>
      </c>
      <c r="E1661" s="60" t="s">
        <v>24</v>
      </c>
      <c r="F1661" s="60" t="s">
        <v>233</v>
      </c>
      <c r="G1661" s="60" t="n">
        <v>27</v>
      </c>
      <c r="H1661" s="61" t="n">
        <v>349.99</v>
      </c>
      <c r="I1661" s="61" t="n">
        <v>65.63</v>
      </c>
      <c r="J1661" s="61" t="n">
        <f aca="false">H1661*Resumo!$C$6</f>
        <v>0</v>
      </c>
      <c r="K1661" s="61" t="n">
        <f aca="false">H1661*Resumo!$C$7</f>
        <v>0.734979</v>
      </c>
      <c r="L1661" s="61" t="n">
        <f aca="false">H1661*Resumo!$C$8</f>
        <v>0.734979</v>
      </c>
      <c r="M1661" s="61" t="n">
        <f aca="false">Resumo!$C$10*CEILING(G1661/100,1)</f>
        <v>1.05</v>
      </c>
      <c r="N1661" s="61" t="n">
        <f aca="false">Resumo!$C$9</f>
        <v>0</v>
      </c>
      <c r="O1661" s="61" t="n">
        <f aca="false">Resumo!$C$13</f>
        <v>13.55</v>
      </c>
      <c r="P1661" s="61" t="n">
        <f aca="false">Resumo!$C$14*CEILING(G1661,1)</f>
        <v>12.15</v>
      </c>
      <c r="Q1661" s="61" t="n">
        <f aca="false">SUM(I1661:P1661)*Resumo!$C$11</f>
        <v>0</v>
      </c>
      <c r="R1661" s="61" t="n">
        <f aca="false">SUM(I1661:Q1661)</f>
        <v>93.849958</v>
      </c>
      <c r="S1661" s="61" t="n">
        <f aca="false">R1661/(1-Resumo!$C$5)</f>
        <v>106.647679545455</v>
      </c>
      <c r="T1661" s="61" t="n">
        <v>138.29</v>
      </c>
      <c r="U1661" s="61" t="n">
        <f aca="false">H1661*Resumo!$B$6</f>
        <v>0.34999</v>
      </c>
      <c r="V1661" s="61" t="n">
        <f aca="false">H1661*Resumo!$B$7</f>
        <v>0.69998</v>
      </c>
      <c r="W1661" s="61" t="n">
        <f aca="false">Resumo!$B$9</f>
        <v>1</v>
      </c>
      <c r="X1661" s="61" t="n">
        <f aca="false">Resumo!$B$10*CEILING(G1661/100,1)</f>
        <v>4.5</v>
      </c>
      <c r="Y1661" s="61" t="n">
        <f aca="false">Resumo!$B$12*CEILING(G1661,1)</f>
        <v>1.62</v>
      </c>
      <c r="Z1661" s="61" t="n">
        <f aca="false">Resumo!$B$14*CEILING(G1661,1)</f>
        <v>12.15</v>
      </c>
      <c r="AA1661" s="61" t="n">
        <f aca="false">SUM(T1661:Z1661)</f>
        <v>158.60997</v>
      </c>
      <c r="AB1661" s="61" t="n">
        <f aca="false">AA1661/(1-Resumo!$B$5)</f>
        <v>180.238602272727</v>
      </c>
      <c r="AC1661" s="61" t="n">
        <f aca="false">AB1661-S1661</f>
        <v>73.5909227272727</v>
      </c>
      <c r="AD1661" s="62" t="n">
        <f aca="false">AB1661/S1661-1</f>
        <v>0.690037730224663</v>
      </c>
      <c r="AE1661" s="60" t="str">
        <f aca="false">IF(AB1661&lt;S1661,"SIM","NÃO")</f>
        <v>NÃO</v>
      </c>
      <c r="AF1661" s="60" t="n">
        <v>13</v>
      </c>
      <c r="AG1661" s="60" t="n">
        <v>11</v>
      </c>
      <c r="AH1661" s="60" t="s">
        <v>382</v>
      </c>
      <c r="AI1661" s="61" t="n">
        <f aca="false">(T1661*(1-Painel!$C$40)+U1661+V1661+Painel!$C$41+Painel!$C$42*CEILING(G1661/100,1)+Painel!$C$43*CEILING(G1661,1)+Z1661)/(1-Resumo!$B$5)</f>
        <v>122.618488636364</v>
      </c>
      <c r="AJ1661" s="60" t="str">
        <f aca="false">IF(AI1661&lt;S1661,"SIM","NÃO")</f>
        <v>NÃO</v>
      </c>
    </row>
    <row r="1662" customFormat="false" ht="15" hidden="false" customHeight="false" outlineLevel="0" collapsed="false">
      <c r="A1662" s="59" t="n">
        <v>46274.5951388889</v>
      </c>
      <c r="B1662" s="60" t="s">
        <v>1890</v>
      </c>
      <c r="C1662" s="60" t="n">
        <v>23914325</v>
      </c>
      <c r="D1662" s="60" t="s">
        <v>218</v>
      </c>
      <c r="E1662" s="60" t="s">
        <v>24</v>
      </c>
      <c r="F1662" s="60" t="s">
        <v>232</v>
      </c>
      <c r="G1662" s="60" t="n">
        <v>15.15</v>
      </c>
      <c r="H1662" s="61" t="n">
        <v>230.54</v>
      </c>
      <c r="I1662" s="61" t="n">
        <v>46.95</v>
      </c>
      <c r="J1662" s="61" t="n">
        <f aca="false">H1662*Resumo!$C$6</f>
        <v>0</v>
      </c>
      <c r="K1662" s="61" t="n">
        <f aca="false">H1662*Resumo!$C$7</f>
        <v>0.484134</v>
      </c>
      <c r="L1662" s="61" t="n">
        <f aca="false">H1662*Resumo!$C$8</f>
        <v>0.484134</v>
      </c>
      <c r="M1662" s="61" t="n">
        <f aca="false">Resumo!$C$10*CEILING(G1662/100,1)</f>
        <v>1.05</v>
      </c>
      <c r="N1662" s="61" t="n">
        <f aca="false">Resumo!$C$9</f>
        <v>0</v>
      </c>
      <c r="O1662" s="61" t="n">
        <f aca="false">Resumo!$C$13</f>
        <v>13.55</v>
      </c>
      <c r="P1662" s="61" t="n">
        <f aca="false">Resumo!$C$14*CEILING(G1662,1)</f>
        <v>7.2</v>
      </c>
      <c r="Q1662" s="61" t="n">
        <f aca="false">SUM(I1662:P1662)*Resumo!$C$11</f>
        <v>0</v>
      </c>
      <c r="R1662" s="61" t="n">
        <f aca="false">SUM(I1662:Q1662)</f>
        <v>69.718268</v>
      </c>
      <c r="S1662" s="61" t="n">
        <f aca="false">R1662/(1-Resumo!$C$5)</f>
        <v>79.2253045454546</v>
      </c>
      <c r="T1662" s="61" t="n">
        <v>77.35</v>
      </c>
      <c r="U1662" s="61" t="n">
        <f aca="false">H1662*Resumo!$B$6</f>
        <v>0.23054</v>
      </c>
      <c r="V1662" s="61" t="n">
        <f aca="false">H1662*Resumo!$B$7</f>
        <v>0.46108</v>
      </c>
      <c r="W1662" s="61" t="n">
        <f aca="false">Resumo!$B$9</f>
        <v>1</v>
      </c>
      <c r="X1662" s="61" t="n">
        <f aca="false">Resumo!$B$10*CEILING(G1662/100,1)</f>
        <v>4.5</v>
      </c>
      <c r="Y1662" s="61" t="n">
        <f aca="false">Resumo!$B$12*CEILING(G1662,1)</f>
        <v>0.96</v>
      </c>
      <c r="Z1662" s="61" t="n">
        <f aca="false">Resumo!$B$14*CEILING(G1662,1)</f>
        <v>7.2</v>
      </c>
      <c r="AA1662" s="61" t="n">
        <f aca="false">SUM(T1662:Z1662)</f>
        <v>91.70162</v>
      </c>
      <c r="AB1662" s="61" t="n">
        <f aca="false">AA1662/(1-Resumo!$B$5)</f>
        <v>104.206386363636</v>
      </c>
      <c r="AC1662" s="61" t="n">
        <f aca="false">AB1662-S1662</f>
        <v>24.9810818181818</v>
      </c>
      <c r="AD1662" s="62" t="n">
        <f aca="false">AB1662/S1662-1</f>
        <v>0.31531695537818</v>
      </c>
      <c r="AE1662" s="60" t="str">
        <f aca="false">IF(AB1662&lt;S1662,"SIM","NÃO")</f>
        <v>NÃO</v>
      </c>
      <c r="AF1662" s="60" t="n">
        <v>13</v>
      </c>
      <c r="AG1662" s="60" t="n">
        <v>10</v>
      </c>
      <c r="AH1662" s="60" t="s">
        <v>382</v>
      </c>
      <c r="AI1662" s="61" t="n">
        <f aca="false">(T1662*(1-Painel!$C$40)+U1662+V1662+Painel!$C$41+Painel!$C$42*CEILING(G1662/100,1)+Painel!$C$43*CEILING(G1662,1)+Z1662)/(1-Resumo!$B$5)</f>
        <v>70.1887727272727</v>
      </c>
      <c r="AJ1662" s="60" t="str">
        <f aca="false">IF(AI1662&lt;S1662,"SIM","NÃO")</f>
        <v>SIM</v>
      </c>
    </row>
    <row r="1663" customFormat="false" ht="15" hidden="false" customHeight="false" outlineLevel="0" collapsed="false">
      <c r="A1663" s="59" t="n">
        <v>46274.596875</v>
      </c>
      <c r="B1663" s="60" t="s">
        <v>1334</v>
      </c>
      <c r="C1663" s="60" t="n">
        <v>23575275</v>
      </c>
      <c r="D1663" s="60" t="s">
        <v>46</v>
      </c>
      <c r="E1663" s="60" t="s">
        <v>22</v>
      </c>
      <c r="F1663" s="60" t="s">
        <v>234</v>
      </c>
      <c r="G1663" s="60" t="n">
        <v>38.15</v>
      </c>
      <c r="H1663" s="61" t="n">
        <v>459.99</v>
      </c>
      <c r="I1663" s="61" t="n">
        <v>48.35</v>
      </c>
      <c r="J1663" s="61" t="n">
        <f aca="false">H1663*Resumo!$C$6</f>
        <v>0</v>
      </c>
      <c r="K1663" s="61" t="n">
        <f aca="false">H1663*Resumo!$C$7</f>
        <v>0.965979</v>
      </c>
      <c r="L1663" s="61" t="n">
        <f aca="false">H1663*Resumo!$C$8</f>
        <v>0.965979</v>
      </c>
      <c r="M1663" s="61" t="n">
        <f aca="false">Resumo!$C$10*CEILING(G1663/100,1)</f>
        <v>1.05</v>
      </c>
      <c r="N1663" s="61" t="n">
        <f aca="false">Resumo!$C$9</f>
        <v>0</v>
      </c>
      <c r="O1663" s="61" t="n">
        <f aca="false">Resumo!$C$13</f>
        <v>13.55</v>
      </c>
      <c r="P1663" s="61" t="n">
        <f aca="false">Resumo!$C$14*CEILING(G1663,1)</f>
        <v>17.55</v>
      </c>
      <c r="Q1663" s="61" t="n">
        <f aca="false">SUM(I1663:P1663)*Resumo!$C$11</f>
        <v>0</v>
      </c>
      <c r="R1663" s="61" t="n">
        <f aca="false">SUM(I1663:Q1663)</f>
        <v>82.431958</v>
      </c>
      <c r="S1663" s="61" t="n">
        <f aca="false">R1663/(1-Resumo!$C$5)</f>
        <v>93.6726795454545</v>
      </c>
      <c r="T1663" s="61" t="n">
        <v>93.97</v>
      </c>
      <c r="U1663" s="61" t="n">
        <f aca="false">H1663*Resumo!$B$6</f>
        <v>0.45999</v>
      </c>
      <c r="V1663" s="61" t="n">
        <f aca="false">H1663*Resumo!$B$7</f>
        <v>0.91998</v>
      </c>
      <c r="W1663" s="61" t="n">
        <f aca="false">Resumo!$B$9</f>
        <v>1</v>
      </c>
      <c r="X1663" s="61" t="n">
        <f aca="false">Resumo!$B$10*CEILING(G1663/100,1)</f>
        <v>4.5</v>
      </c>
      <c r="Y1663" s="61" t="n">
        <f aca="false">Resumo!$B$12*CEILING(G1663,1)</f>
        <v>2.34</v>
      </c>
      <c r="Z1663" s="61" t="n">
        <f aca="false">Resumo!$B$14*CEILING(G1663,1)</f>
        <v>17.55</v>
      </c>
      <c r="AA1663" s="61" t="n">
        <f aca="false">SUM(T1663:Z1663)</f>
        <v>120.73997</v>
      </c>
      <c r="AB1663" s="61" t="n">
        <f aca="false">AA1663/(1-Resumo!$B$5)</f>
        <v>137.204511363636</v>
      </c>
      <c r="AC1663" s="61" t="n">
        <f aca="false">AB1663-S1663</f>
        <v>43.5318318181818</v>
      </c>
      <c r="AD1663" s="62" t="n">
        <f aca="false">AB1663/S1663-1</f>
        <v>0.464722820244061</v>
      </c>
      <c r="AE1663" s="60" t="str">
        <f aca="false">IF(AB1663&lt;S1663,"SIM","NÃO")</f>
        <v>NÃO</v>
      </c>
      <c r="AF1663" s="60" t="n">
        <v>2</v>
      </c>
      <c r="AG1663" s="60" t="n">
        <v>5</v>
      </c>
      <c r="AH1663" s="60" t="s">
        <v>382</v>
      </c>
      <c r="AI1663" s="61" t="n">
        <f aca="false">(T1663*(1-Painel!$C$40)+U1663+V1663+Painel!$C$41+Painel!$C$42*CEILING(G1663/100,1)+Painel!$C$43*CEILING(G1663,1)+Z1663)/(1-Resumo!$B$5)</f>
        <v>95.3862159090909</v>
      </c>
      <c r="AJ1663" s="60" t="str">
        <f aca="false">IF(AI1663&lt;S1663,"SIM","NÃO")</f>
        <v>NÃO</v>
      </c>
    </row>
    <row r="1664" customFormat="false" ht="15" hidden="false" customHeight="false" outlineLevel="0" collapsed="false">
      <c r="A1664" s="59" t="n">
        <v>46274.6049884259</v>
      </c>
      <c r="B1664" s="60" t="s">
        <v>1891</v>
      </c>
      <c r="C1664" s="60" t="n">
        <v>23078001</v>
      </c>
      <c r="D1664" s="60" t="s">
        <v>46</v>
      </c>
      <c r="E1664" s="60" t="s">
        <v>22</v>
      </c>
      <c r="F1664" s="60" t="s">
        <v>234</v>
      </c>
      <c r="G1664" s="60" t="n">
        <v>37.5</v>
      </c>
      <c r="H1664" s="61" t="n">
        <v>342.99</v>
      </c>
      <c r="I1664" s="61" t="n">
        <v>48.35</v>
      </c>
      <c r="J1664" s="61" t="n">
        <f aca="false">H1664*Resumo!$C$6</f>
        <v>0</v>
      </c>
      <c r="K1664" s="61" t="n">
        <f aca="false">H1664*Resumo!$C$7</f>
        <v>0.720279</v>
      </c>
      <c r="L1664" s="61" t="n">
        <f aca="false">H1664*Resumo!$C$8</f>
        <v>0.720279</v>
      </c>
      <c r="M1664" s="61" t="n">
        <f aca="false">Resumo!$C$10*CEILING(G1664/100,1)</f>
        <v>1.05</v>
      </c>
      <c r="N1664" s="61" t="n">
        <f aca="false">Resumo!$C$9</f>
        <v>0</v>
      </c>
      <c r="O1664" s="61" t="n">
        <f aca="false">Resumo!$C$13</f>
        <v>13.55</v>
      </c>
      <c r="P1664" s="61" t="n">
        <f aca="false">Resumo!$C$14*CEILING(G1664,1)</f>
        <v>17.1</v>
      </c>
      <c r="Q1664" s="61" t="n">
        <f aca="false">SUM(I1664:P1664)*Resumo!$C$11</f>
        <v>0</v>
      </c>
      <c r="R1664" s="61" t="n">
        <f aca="false">SUM(I1664:Q1664)</f>
        <v>81.490558</v>
      </c>
      <c r="S1664" s="61" t="n">
        <f aca="false">R1664/(1-Resumo!$C$5)</f>
        <v>92.6029068181818</v>
      </c>
      <c r="T1664" s="61" t="n">
        <v>93.97</v>
      </c>
      <c r="U1664" s="61" t="n">
        <f aca="false">H1664*Resumo!$B$6</f>
        <v>0.34299</v>
      </c>
      <c r="V1664" s="61" t="n">
        <f aca="false">H1664*Resumo!$B$7</f>
        <v>0.68598</v>
      </c>
      <c r="W1664" s="61" t="n">
        <f aca="false">Resumo!$B$9</f>
        <v>1</v>
      </c>
      <c r="X1664" s="61" t="n">
        <f aca="false">Resumo!$B$10*CEILING(G1664/100,1)</f>
        <v>4.5</v>
      </c>
      <c r="Y1664" s="61" t="n">
        <f aca="false">Resumo!$B$12*CEILING(G1664,1)</f>
        <v>2.28</v>
      </c>
      <c r="Z1664" s="61" t="n">
        <f aca="false">Resumo!$B$14*CEILING(G1664,1)</f>
        <v>17.1</v>
      </c>
      <c r="AA1664" s="61" t="n">
        <f aca="false">SUM(T1664:Z1664)</f>
        <v>119.87897</v>
      </c>
      <c r="AB1664" s="61" t="n">
        <f aca="false">AA1664/(1-Resumo!$B$5)</f>
        <v>136.226102272727</v>
      </c>
      <c r="AC1664" s="61" t="n">
        <f aca="false">AB1664-S1664</f>
        <v>43.6231954545455</v>
      </c>
      <c r="AD1664" s="62" t="n">
        <f aca="false">AB1664/S1664-1</f>
        <v>0.471078035813671</v>
      </c>
      <c r="AE1664" s="60" t="str">
        <f aca="false">IF(AB1664&lt;S1664,"SIM","NÃO")</f>
        <v>NÃO</v>
      </c>
      <c r="AF1664" s="60" t="n">
        <v>2</v>
      </c>
      <c r="AG1664" s="60" t="n">
        <v>5</v>
      </c>
      <c r="AH1664" s="60" t="s">
        <v>382</v>
      </c>
      <c r="AI1664" s="61" t="n">
        <f aca="false">(T1664*(1-Painel!$C$40)+U1664+V1664+Painel!$C$41+Painel!$C$42*CEILING(G1664/100,1)+Painel!$C$43*CEILING(G1664,1)+Z1664)/(1-Resumo!$B$5)</f>
        <v>94.4759886363636</v>
      </c>
      <c r="AJ1664" s="60" t="str">
        <f aca="false">IF(AI1664&lt;S1664,"SIM","NÃO")</f>
        <v>NÃO</v>
      </c>
    </row>
    <row r="1665" customFormat="false" ht="15" hidden="false" customHeight="false" outlineLevel="0" collapsed="false">
      <c r="A1665" s="59" t="n">
        <v>46274.6282638889</v>
      </c>
      <c r="B1665" s="60" t="s">
        <v>1892</v>
      </c>
      <c r="C1665" s="60" t="n">
        <v>24467000</v>
      </c>
      <c r="D1665" s="60" t="s">
        <v>47</v>
      </c>
      <c r="E1665" s="60" t="s">
        <v>23</v>
      </c>
      <c r="F1665" s="60" t="s">
        <v>233</v>
      </c>
      <c r="G1665" s="60" t="n">
        <v>33</v>
      </c>
      <c r="H1665" s="61" t="n">
        <v>449.99</v>
      </c>
      <c r="I1665" s="61" t="n">
        <v>58.8</v>
      </c>
      <c r="J1665" s="61" t="n">
        <f aca="false">H1665*Resumo!$C$6</f>
        <v>0</v>
      </c>
      <c r="K1665" s="61" t="n">
        <f aca="false">H1665*Resumo!$C$7</f>
        <v>0.944979</v>
      </c>
      <c r="L1665" s="61" t="n">
        <f aca="false">H1665*Resumo!$C$8</f>
        <v>0.944979</v>
      </c>
      <c r="M1665" s="61" t="n">
        <f aca="false">Resumo!$C$10*CEILING(G1665/100,1)</f>
        <v>1.05</v>
      </c>
      <c r="N1665" s="61" t="n">
        <f aca="false">Resumo!$C$9</f>
        <v>0</v>
      </c>
      <c r="O1665" s="61" t="n">
        <f aca="false">Resumo!$C$13</f>
        <v>13.55</v>
      </c>
      <c r="P1665" s="61" t="n">
        <f aca="false">Resumo!$C$14*CEILING(G1665,1)</f>
        <v>14.85</v>
      </c>
      <c r="Q1665" s="61" t="n">
        <f aca="false">SUM(I1665:P1665)*Resumo!$C$11</f>
        <v>0</v>
      </c>
      <c r="R1665" s="61" t="n">
        <f aca="false">SUM(I1665:Q1665)</f>
        <v>90.139958</v>
      </c>
      <c r="S1665" s="61" t="n">
        <f aca="false">R1665/(1-Resumo!$C$5)</f>
        <v>102.431770454545</v>
      </c>
      <c r="T1665" s="61" t="n">
        <v>100.58</v>
      </c>
      <c r="U1665" s="61" t="n">
        <f aca="false">H1665*Resumo!$B$6</f>
        <v>0.44999</v>
      </c>
      <c r="V1665" s="61" t="n">
        <f aca="false">H1665*Resumo!$B$7</f>
        <v>0.89998</v>
      </c>
      <c r="W1665" s="61" t="n">
        <f aca="false">Resumo!$B$9</f>
        <v>1</v>
      </c>
      <c r="X1665" s="61" t="n">
        <f aca="false">Resumo!$B$10*CEILING(G1665/100,1)</f>
        <v>4.5</v>
      </c>
      <c r="Y1665" s="61" t="n">
        <f aca="false">Resumo!$B$12*CEILING(G1665,1)</f>
        <v>1.98</v>
      </c>
      <c r="Z1665" s="61" t="n">
        <f aca="false">Resumo!$B$14*CEILING(G1665,1)</f>
        <v>14.85</v>
      </c>
      <c r="AA1665" s="61" t="n">
        <f aca="false">SUM(T1665:Z1665)</f>
        <v>124.25997</v>
      </c>
      <c r="AB1665" s="61" t="n">
        <f aca="false">AA1665/(1-Resumo!$B$5)</f>
        <v>141.204511363636</v>
      </c>
      <c r="AC1665" s="61" t="n">
        <f aca="false">AB1665-S1665</f>
        <v>38.7727409090909</v>
      </c>
      <c r="AD1665" s="62" t="n">
        <f aca="false">AB1665/S1665-1</f>
        <v>0.378522608142329</v>
      </c>
      <c r="AE1665" s="60" t="str">
        <f aca="false">IF(AB1665&lt;S1665,"SIM","NÃO")</f>
        <v>NÃO</v>
      </c>
      <c r="AF1665" s="60" t="n">
        <v>2</v>
      </c>
      <c r="AG1665" s="60" t="n">
        <v>7</v>
      </c>
      <c r="AH1665" s="60" t="s">
        <v>382</v>
      </c>
      <c r="AI1665" s="61" t="n">
        <f aca="false">(T1665*(1-Painel!$C$40)+U1665+V1665+Painel!$C$41+Painel!$C$42*CEILING(G1665/100,1)+Painel!$C$43*CEILING(G1665,1)+Z1665)/(1-Resumo!$B$5)</f>
        <v>97.3165568181818</v>
      </c>
      <c r="AJ1665" s="60" t="str">
        <f aca="false">IF(AI1665&lt;S1665,"SIM","NÃO")</f>
        <v>SIM</v>
      </c>
    </row>
    <row r="1666" customFormat="false" ht="15" hidden="false" customHeight="false" outlineLevel="0" collapsed="false">
      <c r="A1666" s="59" t="n">
        <v>46274.6552893519</v>
      </c>
      <c r="B1666" s="60" t="s">
        <v>1893</v>
      </c>
      <c r="C1666" s="60" t="n">
        <v>21321020</v>
      </c>
      <c r="D1666" s="60" t="s">
        <v>46</v>
      </c>
      <c r="E1666" s="60" t="s">
        <v>22</v>
      </c>
      <c r="F1666" s="60" t="s">
        <v>237</v>
      </c>
      <c r="G1666" s="60" t="n">
        <v>61.4</v>
      </c>
      <c r="H1666" s="61" t="n">
        <v>999.99</v>
      </c>
      <c r="I1666" s="61" t="n">
        <v>63.21</v>
      </c>
      <c r="J1666" s="61" t="n">
        <f aca="false">H1666*Resumo!$C$6</f>
        <v>0</v>
      </c>
      <c r="K1666" s="61" t="n">
        <f aca="false">H1666*Resumo!$C$7</f>
        <v>2.099979</v>
      </c>
      <c r="L1666" s="61" t="n">
        <f aca="false">H1666*Resumo!$C$8</f>
        <v>2.099979</v>
      </c>
      <c r="M1666" s="61" t="n">
        <f aca="false">Resumo!$C$10*CEILING(G1666/100,1)</f>
        <v>1.05</v>
      </c>
      <c r="N1666" s="61" t="n">
        <f aca="false">Resumo!$C$9</f>
        <v>0</v>
      </c>
      <c r="O1666" s="61" t="n">
        <f aca="false">Resumo!$C$13</f>
        <v>13.55</v>
      </c>
      <c r="P1666" s="61" t="n">
        <f aca="false">Resumo!$C$14*CEILING(G1666,1)</f>
        <v>27.9</v>
      </c>
      <c r="Q1666" s="61" t="n">
        <f aca="false">SUM(I1666:P1666)*Resumo!$C$11</f>
        <v>0</v>
      </c>
      <c r="R1666" s="61" t="n">
        <f aca="false">SUM(I1666:Q1666)</f>
        <v>109.909958</v>
      </c>
      <c r="S1666" s="61" t="n">
        <f aca="false">R1666/(1-Resumo!$C$5)</f>
        <v>124.897679545455</v>
      </c>
      <c r="T1666" s="61" t="n">
        <v>131.02</v>
      </c>
      <c r="U1666" s="61" t="n">
        <f aca="false">H1666*Resumo!$B$6</f>
        <v>0.99999</v>
      </c>
      <c r="V1666" s="61" t="n">
        <f aca="false">H1666*Resumo!$B$7</f>
        <v>1.99998</v>
      </c>
      <c r="W1666" s="61" t="n">
        <f aca="false">Resumo!$B$9</f>
        <v>1</v>
      </c>
      <c r="X1666" s="61" t="n">
        <f aca="false">Resumo!$B$10*CEILING(G1666/100,1)</f>
        <v>4.5</v>
      </c>
      <c r="Y1666" s="61" t="n">
        <f aca="false">Resumo!$B$12*CEILING(G1666,1)</f>
        <v>3.72</v>
      </c>
      <c r="Z1666" s="61" t="n">
        <f aca="false">Resumo!$B$14*CEILING(G1666,1)</f>
        <v>27.9</v>
      </c>
      <c r="AA1666" s="61" t="n">
        <f aca="false">SUM(T1666:Z1666)</f>
        <v>171.13997</v>
      </c>
      <c r="AB1666" s="61" t="n">
        <f aca="false">AA1666/(1-Resumo!$B$5)</f>
        <v>194.477238636364</v>
      </c>
      <c r="AC1666" s="61" t="n">
        <f aca="false">AB1666-S1666</f>
        <v>69.5795590909091</v>
      </c>
      <c r="AD1666" s="62" t="n">
        <f aca="false">AB1666/S1666-1</f>
        <v>0.557092488380352</v>
      </c>
      <c r="AE1666" s="60" t="str">
        <f aca="false">IF(AB1666&lt;S1666,"SIM","NÃO")</f>
        <v>NÃO</v>
      </c>
      <c r="AF1666" s="60" t="n">
        <v>2</v>
      </c>
      <c r="AG1666" s="60" t="n">
        <v>5</v>
      </c>
      <c r="AH1666" s="60" t="s">
        <v>382</v>
      </c>
      <c r="AI1666" s="61" t="n">
        <f aca="false">(T1666*(1-Painel!$C$40)+U1666+V1666+Painel!$C$41+Painel!$C$42*CEILING(G1666/100,1)+Painel!$C$43*CEILING(G1666,1)+Z1666)/(1-Resumo!$B$5)</f>
        <v>137.197011363636</v>
      </c>
      <c r="AJ1666" s="60" t="str">
        <f aca="false">IF(AI1666&lt;S1666,"SIM","NÃO")</f>
        <v>NÃO</v>
      </c>
    </row>
    <row r="1667" customFormat="false" ht="15" hidden="false" customHeight="false" outlineLevel="0" collapsed="false">
      <c r="A1667" s="59" t="n">
        <v>46274.6637731482</v>
      </c>
      <c r="B1667" s="60" t="s">
        <v>1894</v>
      </c>
      <c r="C1667" s="60" t="n">
        <v>28979801</v>
      </c>
      <c r="D1667" s="60" t="s">
        <v>222</v>
      </c>
      <c r="E1667" s="60" t="s">
        <v>24</v>
      </c>
      <c r="F1667" s="60" t="s">
        <v>237</v>
      </c>
      <c r="G1667" s="60" t="n">
        <v>61.5</v>
      </c>
      <c r="H1667" s="61" t="n">
        <v>708.99</v>
      </c>
      <c r="I1667" s="61" t="n">
        <v>90.2</v>
      </c>
      <c r="J1667" s="61" t="n">
        <f aca="false">H1667*Resumo!$C$6</f>
        <v>0</v>
      </c>
      <c r="K1667" s="61" t="n">
        <f aca="false">H1667*Resumo!$C$7</f>
        <v>1.488879</v>
      </c>
      <c r="L1667" s="61" t="n">
        <f aca="false">H1667*Resumo!$C$8</f>
        <v>1.488879</v>
      </c>
      <c r="M1667" s="61" t="n">
        <f aca="false">Resumo!$C$10*CEILING(G1667/100,1)</f>
        <v>1.05</v>
      </c>
      <c r="N1667" s="61" t="n">
        <f aca="false">Resumo!$C$9</f>
        <v>0</v>
      </c>
      <c r="O1667" s="61" t="n">
        <f aca="false">Resumo!$C$13</f>
        <v>13.55</v>
      </c>
      <c r="P1667" s="61" t="n">
        <f aca="false">Resumo!$C$14*CEILING(G1667,1)</f>
        <v>27.9</v>
      </c>
      <c r="Q1667" s="61" t="n">
        <f aca="false">SUM(I1667:P1667)*Resumo!$C$11</f>
        <v>0</v>
      </c>
      <c r="R1667" s="61" t="n">
        <f aca="false">SUM(I1667:Q1667)</f>
        <v>135.677758</v>
      </c>
      <c r="S1667" s="61" t="n">
        <f aca="false">R1667/(1-Resumo!$C$5)</f>
        <v>154.179270454545</v>
      </c>
      <c r="T1667" s="61" t="n">
        <v>166.05</v>
      </c>
      <c r="U1667" s="61" t="n">
        <f aca="false">H1667*Resumo!$B$6</f>
        <v>0.70899</v>
      </c>
      <c r="V1667" s="61" t="n">
        <f aca="false">H1667*Resumo!$B$7</f>
        <v>1.41798</v>
      </c>
      <c r="W1667" s="61" t="n">
        <f aca="false">Resumo!$B$9</f>
        <v>1</v>
      </c>
      <c r="X1667" s="61" t="n">
        <f aca="false">Resumo!$B$10*CEILING(G1667/100,1)</f>
        <v>4.5</v>
      </c>
      <c r="Y1667" s="61" t="n">
        <f aca="false">Resumo!$B$12*CEILING(G1667,1)</f>
        <v>3.72</v>
      </c>
      <c r="Z1667" s="61" t="n">
        <f aca="false">Resumo!$B$14*CEILING(G1667,1)</f>
        <v>27.9</v>
      </c>
      <c r="AA1667" s="61" t="n">
        <f aca="false">SUM(T1667:Z1667)</f>
        <v>205.29697</v>
      </c>
      <c r="AB1667" s="61" t="n">
        <f aca="false">AA1667/(1-Resumo!$B$5)</f>
        <v>233.292011363636</v>
      </c>
      <c r="AC1667" s="61" t="n">
        <f aca="false">AB1667-S1667</f>
        <v>79.1127409090909</v>
      </c>
      <c r="AD1667" s="62" t="n">
        <f aca="false">AB1667/S1667-1</f>
        <v>0.513121774904329</v>
      </c>
      <c r="AE1667" s="60" t="str">
        <f aca="false">IF(AB1667&lt;S1667,"SIM","NÃO")</f>
        <v>NÃO</v>
      </c>
      <c r="AF1667" s="60" t="n">
        <v>13</v>
      </c>
      <c r="AG1667" s="60" t="n">
        <v>10</v>
      </c>
      <c r="AH1667" s="60" t="s">
        <v>382</v>
      </c>
      <c r="AI1667" s="61" t="n">
        <f aca="false">(T1667*(1-Painel!$C$40)+U1667+V1667+Painel!$C$41+Painel!$C$42*CEILING(G1667/100,1)+Painel!$C$43*CEILING(G1667,1)+Z1667)/(1-Resumo!$B$5)</f>
        <v>162.875534090909</v>
      </c>
      <c r="AJ1667" s="60" t="str">
        <f aca="false">IF(AI1667&lt;S1667,"SIM","NÃO")</f>
        <v>NÃO</v>
      </c>
    </row>
    <row r="1668" customFormat="false" ht="15" hidden="false" customHeight="false" outlineLevel="0" collapsed="false">
      <c r="A1668" s="59" t="n">
        <v>46274.6862152778</v>
      </c>
      <c r="B1668" s="60" t="s">
        <v>1474</v>
      </c>
      <c r="C1668" s="60" t="n">
        <v>22451264</v>
      </c>
      <c r="D1668" s="60" t="s">
        <v>46</v>
      </c>
      <c r="E1668" s="60" t="s">
        <v>22</v>
      </c>
      <c r="F1668" s="60" t="s">
        <v>233</v>
      </c>
      <c r="G1668" s="60" t="n">
        <v>27.4</v>
      </c>
      <c r="H1668" s="61" t="n">
        <v>315.99</v>
      </c>
      <c r="I1668" s="61" t="n">
        <v>42.11</v>
      </c>
      <c r="J1668" s="61" t="n">
        <f aca="false">H1668*Resumo!$C$6</f>
        <v>0</v>
      </c>
      <c r="K1668" s="61" t="n">
        <f aca="false">H1668*Resumo!$C$7</f>
        <v>0.663579</v>
      </c>
      <c r="L1668" s="61" t="n">
        <f aca="false">H1668*Resumo!$C$8</f>
        <v>0.663579</v>
      </c>
      <c r="M1668" s="61" t="n">
        <f aca="false">Resumo!$C$10*CEILING(G1668/100,1)</f>
        <v>1.05</v>
      </c>
      <c r="N1668" s="61" t="n">
        <f aca="false">Resumo!$C$9</f>
        <v>0</v>
      </c>
      <c r="O1668" s="61" t="n">
        <f aca="false">Resumo!$C$13</f>
        <v>13.55</v>
      </c>
      <c r="P1668" s="61" t="n">
        <f aca="false">Resumo!$C$14*CEILING(G1668,1)</f>
        <v>12.6</v>
      </c>
      <c r="Q1668" s="61" t="n">
        <f aca="false">SUM(I1668:P1668)*Resumo!$C$11</f>
        <v>0</v>
      </c>
      <c r="R1668" s="61" t="n">
        <f aca="false">SUM(I1668:Q1668)</f>
        <v>70.637158</v>
      </c>
      <c r="S1668" s="61" t="n">
        <f aca="false">R1668/(1-Resumo!$C$5)</f>
        <v>80.2694977272727</v>
      </c>
      <c r="T1668" s="61" t="n">
        <v>82.21</v>
      </c>
      <c r="U1668" s="61" t="n">
        <f aca="false">H1668*Resumo!$B$6</f>
        <v>0.31599</v>
      </c>
      <c r="V1668" s="61" t="n">
        <f aca="false">H1668*Resumo!$B$7</f>
        <v>0.63198</v>
      </c>
      <c r="W1668" s="61" t="n">
        <f aca="false">Resumo!$B$9</f>
        <v>1</v>
      </c>
      <c r="X1668" s="61" t="n">
        <f aca="false">Resumo!$B$10*CEILING(G1668/100,1)</f>
        <v>4.5</v>
      </c>
      <c r="Y1668" s="61" t="n">
        <f aca="false">Resumo!$B$12*CEILING(G1668,1)</f>
        <v>1.68</v>
      </c>
      <c r="Z1668" s="61" t="n">
        <f aca="false">Resumo!$B$14*CEILING(G1668,1)</f>
        <v>12.6</v>
      </c>
      <c r="AA1668" s="61" t="n">
        <f aca="false">SUM(T1668:Z1668)</f>
        <v>102.93797</v>
      </c>
      <c r="AB1668" s="61" t="n">
        <f aca="false">AA1668/(1-Resumo!$B$5)</f>
        <v>116.974965909091</v>
      </c>
      <c r="AC1668" s="61" t="n">
        <f aca="false">AB1668-S1668</f>
        <v>36.7054681818182</v>
      </c>
      <c r="AD1668" s="62" t="n">
        <f aca="false">AB1668/S1668-1</f>
        <v>0.457277910303243</v>
      </c>
      <c r="AE1668" s="60" t="str">
        <f aca="false">IF(AB1668&lt;S1668,"SIM","NÃO")</f>
        <v>NÃO</v>
      </c>
      <c r="AF1668" s="60" t="n">
        <v>2</v>
      </c>
      <c r="AG1668" s="60" t="n">
        <v>5</v>
      </c>
      <c r="AH1668" s="60" t="s">
        <v>382</v>
      </c>
      <c r="AI1668" s="61" t="n">
        <f aca="false">(T1668*(1-Painel!$C$40)+U1668+V1668+Painel!$C$41+Painel!$C$42*CEILING(G1668/100,1)+Painel!$C$43*CEILING(G1668,1)+Z1668)/(1-Resumo!$B$5)</f>
        <v>80.3166704545454</v>
      </c>
      <c r="AJ1668" s="60" t="str">
        <f aca="false">IF(AI1668&lt;S1668,"SIM","NÃO")</f>
        <v>NÃO</v>
      </c>
    </row>
    <row r="1669" customFormat="false" ht="15" hidden="false" customHeight="false" outlineLevel="0" collapsed="false">
      <c r="A1669" s="59" t="n">
        <v>46274.7007291667</v>
      </c>
      <c r="B1669" s="60" t="s">
        <v>1895</v>
      </c>
      <c r="C1669" s="60" t="n">
        <v>21341140</v>
      </c>
      <c r="D1669" s="60" t="s">
        <v>46</v>
      </c>
      <c r="E1669" s="60" t="s">
        <v>22</v>
      </c>
      <c r="F1669" s="60" t="s">
        <v>234</v>
      </c>
      <c r="G1669" s="60" t="n">
        <v>37.2</v>
      </c>
      <c r="H1669" s="61" t="n">
        <v>360.99</v>
      </c>
      <c r="I1669" s="61" t="n">
        <v>48.35</v>
      </c>
      <c r="J1669" s="61" t="n">
        <f aca="false">H1669*Resumo!$C$6</f>
        <v>0</v>
      </c>
      <c r="K1669" s="61" t="n">
        <f aca="false">H1669*Resumo!$C$7</f>
        <v>0.758079</v>
      </c>
      <c r="L1669" s="61" t="n">
        <f aca="false">H1669*Resumo!$C$8</f>
        <v>0.758079</v>
      </c>
      <c r="M1669" s="61" t="n">
        <f aca="false">Resumo!$C$10*CEILING(G1669/100,1)</f>
        <v>1.05</v>
      </c>
      <c r="N1669" s="61" t="n">
        <f aca="false">Resumo!$C$9</f>
        <v>0</v>
      </c>
      <c r="O1669" s="61" t="n">
        <f aca="false">Resumo!$C$13</f>
        <v>13.55</v>
      </c>
      <c r="P1669" s="61" t="n">
        <f aca="false">Resumo!$C$14*CEILING(G1669,1)</f>
        <v>17.1</v>
      </c>
      <c r="Q1669" s="61" t="n">
        <f aca="false">SUM(I1669:P1669)*Resumo!$C$11</f>
        <v>0</v>
      </c>
      <c r="R1669" s="61" t="n">
        <f aca="false">SUM(I1669:Q1669)</f>
        <v>81.566158</v>
      </c>
      <c r="S1669" s="61" t="n">
        <f aca="false">R1669/(1-Resumo!$C$5)</f>
        <v>92.6888159090909</v>
      </c>
      <c r="T1669" s="61" t="n">
        <v>93.97</v>
      </c>
      <c r="U1669" s="61" t="n">
        <f aca="false">H1669*Resumo!$B$6</f>
        <v>0.36099</v>
      </c>
      <c r="V1669" s="61" t="n">
        <f aca="false">H1669*Resumo!$B$7</f>
        <v>0.72198</v>
      </c>
      <c r="W1669" s="61" t="n">
        <f aca="false">Resumo!$B$9</f>
        <v>1</v>
      </c>
      <c r="X1669" s="61" t="n">
        <f aca="false">Resumo!$B$10*CEILING(G1669/100,1)</f>
        <v>4.5</v>
      </c>
      <c r="Y1669" s="61" t="n">
        <f aca="false">Resumo!$B$12*CEILING(G1669,1)</f>
        <v>2.28</v>
      </c>
      <c r="Z1669" s="61" t="n">
        <f aca="false">Resumo!$B$14*CEILING(G1669,1)</f>
        <v>17.1</v>
      </c>
      <c r="AA1669" s="61" t="n">
        <f aca="false">SUM(T1669:Z1669)</f>
        <v>119.93297</v>
      </c>
      <c r="AB1669" s="61" t="n">
        <f aca="false">AA1669/(1-Resumo!$B$5)</f>
        <v>136.287465909091</v>
      </c>
      <c r="AC1669" s="61" t="n">
        <f aca="false">AB1669-S1669</f>
        <v>43.59865</v>
      </c>
      <c r="AD1669" s="62" t="n">
        <f aca="false">AB1669/S1669-1</f>
        <v>0.470376599079241</v>
      </c>
      <c r="AE1669" s="60" t="str">
        <f aca="false">IF(AB1669&lt;S1669,"SIM","NÃO")</f>
        <v>NÃO</v>
      </c>
      <c r="AF1669" s="60" t="n">
        <v>2</v>
      </c>
      <c r="AG1669" s="60" t="n">
        <v>5</v>
      </c>
      <c r="AH1669" s="60" t="s">
        <v>382</v>
      </c>
      <c r="AI1669" s="61" t="n">
        <f aca="false">(T1669*(1-Painel!$C$40)+U1669+V1669+Painel!$C$41+Painel!$C$42*CEILING(G1669/100,1)+Painel!$C$43*CEILING(G1669,1)+Z1669)/(1-Resumo!$B$5)</f>
        <v>94.5373522727273</v>
      </c>
      <c r="AJ1669" s="60" t="str">
        <f aca="false">IF(AI1669&lt;S1669,"SIM","NÃO")</f>
        <v>NÃO</v>
      </c>
    </row>
    <row r="1670" customFormat="false" ht="15" hidden="false" customHeight="false" outlineLevel="0" collapsed="false">
      <c r="A1670" s="59" t="n">
        <v>46274.7149537037</v>
      </c>
      <c r="B1670" s="60" t="s">
        <v>1896</v>
      </c>
      <c r="C1670" s="60" t="n">
        <v>24751160</v>
      </c>
      <c r="D1670" s="60" t="s">
        <v>47</v>
      </c>
      <c r="E1670" s="60" t="s">
        <v>23</v>
      </c>
      <c r="F1670" s="60" t="s">
        <v>235</v>
      </c>
      <c r="G1670" s="60" t="n">
        <v>44.5</v>
      </c>
      <c r="H1670" s="61" t="n">
        <v>726.99</v>
      </c>
      <c r="I1670" s="61" t="n">
        <v>65.36</v>
      </c>
      <c r="J1670" s="61" t="n">
        <f aca="false">H1670*Resumo!$C$6</f>
        <v>0</v>
      </c>
      <c r="K1670" s="61" t="n">
        <f aca="false">H1670*Resumo!$C$7</f>
        <v>1.526679</v>
      </c>
      <c r="L1670" s="61" t="n">
        <f aca="false">H1670*Resumo!$C$8</f>
        <v>1.526679</v>
      </c>
      <c r="M1670" s="61" t="n">
        <f aca="false">Resumo!$C$10*CEILING(G1670/100,1)</f>
        <v>1.05</v>
      </c>
      <c r="N1670" s="61" t="n">
        <f aca="false">Resumo!$C$9</f>
        <v>0</v>
      </c>
      <c r="O1670" s="61" t="n">
        <f aca="false">Resumo!$C$13</f>
        <v>13.55</v>
      </c>
      <c r="P1670" s="61" t="n">
        <f aca="false">Resumo!$C$14*CEILING(G1670,1)</f>
        <v>20.25</v>
      </c>
      <c r="Q1670" s="61" t="n">
        <f aca="false">SUM(I1670:P1670)*Resumo!$C$11</f>
        <v>0</v>
      </c>
      <c r="R1670" s="61" t="n">
        <f aca="false">SUM(I1670:Q1670)</f>
        <v>103.263358</v>
      </c>
      <c r="S1670" s="61" t="n">
        <f aca="false">R1670/(1-Resumo!$C$5)</f>
        <v>117.344725</v>
      </c>
      <c r="T1670" s="61" t="n">
        <v>114.95</v>
      </c>
      <c r="U1670" s="61" t="n">
        <f aca="false">H1670*Resumo!$B$6</f>
        <v>0.72699</v>
      </c>
      <c r="V1670" s="61" t="n">
        <f aca="false">H1670*Resumo!$B$7</f>
        <v>1.45398</v>
      </c>
      <c r="W1670" s="61" t="n">
        <f aca="false">Resumo!$B$9</f>
        <v>1</v>
      </c>
      <c r="X1670" s="61" t="n">
        <f aca="false">Resumo!$B$10*CEILING(G1670/100,1)</f>
        <v>4.5</v>
      </c>
      <c r="Y1670" s="61" t="n">
        <f aca="false">Resumo!$B$12*CEILING(G1670,1)</f>
        <v>2.7</v>
      </c>
      <c r="Z1670" s="61" t="n">
        <f aca="false">Resumo!$B$14*CEILING(G1670,1)</f>
        <v>20.25</v>
      </c>
      <c r="AA1670" s="61" t="n">
        <f aca="false">SUM(T1670:Z1670)</f>
        <v>145.58097</v>
      </c>
      <c r="AB1670" s="61" t="n">
        <f aca="false">AA1670/(1-Resumo!$B$5)</f>
        <v>165.432920454545</v>
      </c>
      <c r="AC1670" s="61" t="n">
        <f aca="false">AB1670-S1670</f>
        <v>48.0881954545455</v>
      </c>
      <c r="AD1670" s="62" t="n">
        <f aca="false">AB1670/S1670-1</f>
        <v>0.409802787935678</v>
      </c>
      <c r="AE1670" s="60" t="str">
        <f aca="false">IF(AB1670&lt;S1670,"SIM","NÃO")</f>
        <v>NÃO</v>
      </c>
      <c r="AF1670" s="60" t="n">
        <v>2</v>
      </c>
      <c r="AG1670" s="60" t="n">
        <v>7</v>
      </c>
      <c r="AH1670" s="60" t="s">
        <v>382</v>
      </c>
      <c r="AI1670" s="61" t="n">
        <f aca="false">(T1670*(1-Painel!$C$40)+U1670+V1670+Painel!$C$41+Painel!$C$42*CEILING(G1670/100,1)+Painel!$C$43*CEILING(G1670,1)+Z1670)/(1-Resumo!$B$5)</f>
        <v>115.338034090909</v>
      </c>
      <c r="AJ1670" s="60" t="str">
        <f aca="false">IF(AI1670&lt;S1670,"SIM","NÃO")</f>
        <v>SIM</v>
      </c>
    </row>
    <row r="1671" customFormat="false" ht="15" hidden="false" customHeight="false" outlineLevel="0" collapsed="false">
      <c r="A1671" s="59" t="n">
        <v>46274.7197222222</v>
      </c>
      <c r="B1671" s="60" t="s">
        <v>1897</v>
      </c>
      <c r="C1671" s="60" t="n">
        <v>27966610</v>
      </c>
      <c r="D1671" s="60" t="s">
        <v>53</v>
      </c>
      <c r="E1671" s="60" t="s">
        <v>24</v>
      </c>
      <c r="F1671" s="60" t="s">
        <v>237</v>
      </c>
      <c r="G1671" s="60" t="n">
        <v>63.9</v>
      </c>
      <c r="H1671" s="61" t="n">
        <v>719.99</v>
      </c>
      <c r="I1671" s="61" t="n">
        <v>90.2</v>
      </c>
      <c r="J1671" s="61" t="n">
        <f aca="false">H1671*Resumo!$C$6</f>
        <v>0</v>
      </c>
      <c r="K1671" s="61" t="n">
        <f aca="false">H1671*Resumo!$C$7</f>
        <v>1.511979</v>
      </c>
      <c r="L1671" s="61" t="n">
        <f aca="false">H1671*Resumo!$C$8</f>
        <v>1.511979</v>
      </c>
      <c r="M1671" s="61" t="n">
        <f aca="false">Resumo!$C$10*CEILING(G1671/100,1)</f>
        <v>1.05</v>
      </c>
      <c r="N1671" s="61" t="n">
        <f aca="false">Resumo!$C$9</f>
        <v>0</v>
      </c>
      <c r="O1671" s="61" t="n">
        <f aca="false">Resumo!$C$13</f>
        <v>13.55</v>
      </c>
      <c r="P1671" s="61" t="n">
        <f aca="false">Resumo!$C$14*CEILING(G1671,1)</f>
        <v>28.8</v>
      </c>
      <c r="Q1671" s="61" t="n">
        <f aca="false">SUM(I1671:P1671)*Resumo!$C$11</f>
        <v>0</v>
      </c>
      <c r="R1671" s="61" t="n">
        <f aca="false">SUM(I1671:Q1671)</f>
        <v>136.623958</v>
      </c>
      <c r="S1671" s="61" t="n">
        <f aca="false">R1671/(1-Resumo!$C$5)</f>
        <v>155.254497727273</v>
      </c>
      <c r="T1671" s="61" t="n">
        <v>171.54</v>
      </c>
      <c r="U1671" s="61" t="n">
        <f aca="false">H1671*Resumo!$B$6</f>
        <v>0.71999</v>
      </c>
      <c r="V1671" s="61" t="n">
        <f aca="false">H1671*Resumo!$B$7</f>
        <v>1.43998</v>
      </c>
      <c r="W1671" s="61" t="n">
        <f aca="false">Resumo!$B$9</f>
        <v>1</v>
      </c>
      <c r="X1671" s="61" t="n">
        <f aca="false">Resumo!$B$10*CEILING(G1671/100,1)</f>
        <v>4.5</v>
      </c>
      <c r="Y1671" s="61" t="n">
        <f aca="false">Resumo!$B$12*CEILING(G1671,1)</f>
        <v>3.84</v>
      </c>
      <c r="Z1671" s="61" t="n">
        <f aca="false">Resumo!$B$14*CEILING(G1671,1)</f>
        <v>28.8</v>
      </c>
      <c r="AA1671" s="61" t="n">
        <f aca="false">SUM(T1671:Z1671)</f>
        <v>211.83997</v>
      </c>
      <c r="AB1671" s="61" t="n">
        <f aca="false">AA1671/(1-Resumo!$B$5)</f>
        <v>240.727238636364</v>
      </c>
      <c r="AC1671" s="61" t="n">
        <f aca="false">AB1671-S1671</f>
        <v>85.4727409090909</v>
      </c>
      <c r="AD1671" s="62" t="n">
        <f aca="false">AB1671/S1671-1</f>
        <v>0.550533106353133</v>
      </c>
      <c r="AE1671" s="60" t="str">
        <f aca="false">IF(AB1671&lt;S1671,"SIM","NÃO")</f>
        <v>NÃO</v>
      </c>
      <c r="AF1671" s="60" t="n">
        <v>13</v>
      </c>
      <c r="AG1671" s="60" t="n">
        <v>11</v>
      </c>
      <c r="AH1671" s="60" t="s">
        <v>382</v>
      </c>
      <c r="AI1671" s="61" t="n">
        <f aca="false">(T1671*(1-Painel!$C$40)+U1671+V1671+Painel!$C$41+Painel!$C$42*CEILING(G1671/100,1)+Painel!$C$43*CEILING(G1671,1)+Z1671)/(1-Resumo!$B$5)</f>
        <v>168.115647727273</v>
      </c>
      <c r="AJ1671" s="60" t="str">
        <f aca="false">IF(AI1671&lt;S1671,"SIM","NÃO")</f>
        <v>NÃO</v>
      </c>
    </row>
    <row r="1672" customFormat="false" ht="15" hidden="false" customHeight="false" outlineLevel="0" collapsed="false">
      <c r="A1672" s="59" t="n">
        <v>46274.7281018519</v>
      </c>
      <c r="B1672" s="60" t="s">
        <v>1898</v>
      </c>
      <c r="C1672" s="60" t="n">
        <v>25655363</v>
      </c>
      <c r="D1672" s="60" t="s">
        <v>219</v>
      </c>
      <c r="E1672" s="60" t="s">
        <v>24</v>
      </c>
      <c r="F1672" s="60" t="s">
        <v>237</v>
      </c>
      <c r="G1672" s="60" t="n">
        <v>69.45</v>
      </c>
      <c r="H1672" s="61" t="n">
        <v>859.99</v>
      </c>
      <c r="I1672" s="61" t="n">
        <v>90.2</v>
      </c>
      <c r="J1672" s="61" t="n">
        <f aca="false">H1672*Resumo!$C$6</f>
        <v>0</v>
      </c>
      <c r="K1672" s="61" t="n">
        <f aca="false">H1672*Resumo!$C$7</f>
        <v>1.805979</v>
      </c>
      <c r="L1672" s="61" t="n">
        <f aca="false">H1672*Resumo!$C$8</f>
        <v>1.805979</v>
      </c>
      <c r="M1672" s="61" t="n">
        <f aca="false">Resumo!$C$10*CEILING(G1672/100,1)</f>
        <v>1.05</v>
      </c>
      <c r="N1672" s="61" t="n">
        <f aca="false">Resumo!$C$9</f>
        <v>0</v>
      </c>
      <c r="O1672" s="61" t="n">
        <f aca="false">Resumo!$C$13</f>
        <v>13.55</v>
      </c>
      <c r="P1672" s="61" t="n">
        <f aca="false">Resumo!$C$14*CEILING(G1672,1)</f>
        <v>31.5</v>
      </c>
      <c r="Q1672" s="61" t="n">
        <f aca="false">SUM(I1672:P1672)*Resumo!$C$11</f>
        <v>0</v>
      </c>
      <c r="R1672" s="61" t="n">
        <f aca="false">SUM(I1672:Q1672)</f>
        <v>139.911958</v>
      </c>
      <c r="S1672" s="61" t="n">
        <f aca="false">R1672/(1-Resumo!$C$5)</f>
        <v>158.990861363636</v>
      </c>
      <c r="T1672" s="61" t="n">
        <v>166.05</v>
      </c>
      <c r="U1672" s="61" t="n">
        <f aca="false">H1672*Resumo!$B$6</f>
        <v>0.85999</v>
      </c>
      <c r="V1672" s="61" t="n">
        <f aca="false">H1672*Resumo!$B$7</f>
        <v>1.71998</v>
      </c>
      <c r="W1672" s="61" t="n">
        <f aca="false">Resumo!$B$9</f>
        <v>1</v>
      </c>
      <c r="X1672" s="61" t="n">
        <f aca="false">Resumo!$B$10*CEILING(G1672/100,1)</f>
        <v>4.5</v>
      </c>
      <c r="Y1672" s="61" t="n">
        <f aca="false">Resumo!$B$12*CEILING(G1672,1)</f>
        <v>4.2</v>
      </c>
      <c r="Z1672" s="61" t="n">
        <f aca="false">Resumo!$B$14*CEILING(G1672,1)</f>
        <v>31.5</v>
      </c>
      <c r="AA1672" s="61" t="n">
        <f aca="false">SUM(T1672:Z1672)</f>
        <v>209.82997</v>
      </c>
      <c r="AB1672" s="61" t="n">
        <f aca="false">AA1672/(1-Resumo!$B$5)</f>
        <v>238.443147727273</v>
      </c>
      <c r="AC1672" s="61" t="n">
        <f aca="false">AB1672-S1672</f>
        <v>79.4522863636364</v>
      </c>
      <c r="AD1672" s="62" t="n">
        <f aca="false">AB1672/S1672-1</f>
        <v>0.499728636490099</v>
      </c>
      <c r="AE1672" s="60" t="str">
        <f aca="false">IF(AB1672&lt;S1672,"SIM","NÃO")</f>
        <v>NÃO</v>
      </c>
      <c r="AF1672" s="60" t="n">
        <v>13</v>
      </c>
      <c r="AG1672" s="60" t="n">
        <v>8</v>
      </c>
      <c r="AH1672" s="60" t="s">
        <v>382</v>
      </c>
      <c r="AI1672" s="61" t="n">
        <f aca="false">(T1672*(1-Painel!$C$40)+U1672+V1672+Painel!$C$41+Painel!$C$42*CEILING(G1672/100,1)+Painel!$C$43*CEILING(G1672,1)+Z1672)/(1-Resumo!$B$5)</f>
        <v>167.481215909091</v>
      </c>
      <c r="AJ1672" s="60" t="str">
        <f aca="false">IF(AI1672&lt;S1672,"SIM","NÃO")</f>
        <v>NÃO</v>
      </c>
    </row>
    <row r="1673" customFormat="false" ht="15" hidden="false" customHeight="false" outlineLevel="0" collapsed="false">
      <c r="A1673" s="59" t="n">
        <v>46274.7646527778</v>
      </c>
      <c r="B1673" s="60" t="s">
        <v>1899</v>
      </c>
      <c r="C1673" s="60" t="n">
        <v>23943120</v>
      </c>
      <c r="D1673" s="60" t="s">
        <v>218</v>
      </c>
      <c r="E1673" s="60" t="s">
        <v>24</v>
      </c>
      <c r="F1673" s="60" t="s">
        <v>232</v>
      </c>
      <c r="G1673" s="60" t="n">
        <v>17</v>
      </c>
      <c r="H1673" s="61" t="n">
        <v>281.59</v>
      </c>
      <c r="I1673" s="61" t="n">
        <v>46.95</v>
      </c>
      <c r="J1673" s="61" t="n">
        <f aca="false">H1673*Resumo!$C$6</f>
        <v>0</v>
      </c>
      <c r="K1673" s="61" t="n">
        <f aca="false">H1673*Resumo!$C$7</f>
        <v>0.591339</v>
      </c>
      <c r="L1673" s="61" t="n">
        <f aca="false">H1673*Resumo!$C$8</f>
        <v>0.591339</v>
      </c>
      <c r="M1673" s="61" t="n">
        <f aca="false">Resumo!$C$10*CEILING(G1673/100,1)</f>
        <v>1.05</v>
      </c>
      <c r="N1673" s="61" t="n">
        <f aca="false">Resumo!$C$9</f>
        <v>0</v>
      </c>
      <c r="O1673" s="61" t="n">
        <f aca="false">Resumo!$C$13</f>
        <v>13.55</v>
      </c>
      <c r="P1673" s="61" t="n">
        <f aca="false">Resumo!$C$14*CEILING(G1673,1)</f>
        <v>7.65</v>
      </c>
      <c r="Q1673" s="61" t="n">
        <f aca="false">SUM(I1673:P1673)*Resumo!$C$11</f>
        <v>0</v>
      </c>
      <c r="R1673" s="61" t="n">
        <f aca="false">SUM(I1673:Q1673)</f>
        <v>70.382678</v>
      </c>
      <c r="S1673" s="61" t="n">
        <f aca="false">R1673/(1-Resumo!$C$5)</f>
        <v>79.9803159090909</v>
      </c>
      <c r="T1673" s="61" t="n">
        <v>77.35</v>
      </c>
      <c r="U1673" s="61" t="n">
        <f aca="false">H1673*Resumo!$B$6</f>
        <v>0.28159</v>
      </c>
      <c r="V1673" s="61" t="n">
        <f aca="false">H1673*Resumo!$B$7</f>
        <v>0.56318</v>
      </c>
      <c r="W1673" s="61" t="n">
        <f aca="false">Resumo!$B$9</f>
        <v>1</v>
      </c>
      <c r="X1673" s="61" t="n">
        <f aca="false">Resumo!$B$10*CEILING(G1673/100,1)</f>
        <v>4.5</v>
      </c>
      <c r="Y1673" s="61" t="n">
        <f aca="false">Resumo!$B$12*CEILING(G1673,1)</f>
        <v>1.02</v>
      </c>
      <c r="Z1673" s="61" t="n">
        <f aca="false">Resumo!$B$14*CEILING(G1673,1)</f>
        <v>7.65</v>
      </c>
      <c r="AA1673" s="61" t="n">
        <f aca="false">SUM(T1673:Z1673)</f>
        <v>92.36477</v>
      </c>
      <c r="AB1673" s="61" t="n">
        <f aca="false">AA1673/(1-Resumo!$B$5)</f>
        <v>104.959965909091</v>
      </c>
      <c r="AC1673" s="61" t="n">
        <f aca="false">AB1673-S1673</f>
        <v>24.97965</v>
      </c>
      <c r="AD1673" s="62" t="n">
        <f aca="false">AB1673/S1673-1</f>
        <v>0.312322472299221</v>
      </c>
      <c r="AE1673" s="60" t="str">
        <f aca="false">IF(AB1673&lt;S1673,"SIM","NÃO")</f>
        <v>NÃO</v>
      </c>
      <c r="AF1673" s="60" t="n">
        <v>13</v>
      </c>
      <c r="AG1673" s="60" t="n">
        <v>10</v>
      </c>
      <c r="AH1673" s="60" t="s">
        <v>382</v>
      </c>
      <c r="AI1673" s="61" t="n">
        <f aca="false">(T1673*(1-Painel!$C$40)+U1673+V1673+Painel!$C$41+Painel!$C$42*CEILING(G1673/100,1)+Painel!$C$43*CEILING(G1673,1)+Z1673)/(1-Resumo!$B$5)</f>
        <v>70.8741704545455</v>
      </c>
      <c r="AJ1673" s="60" t="str">
        <f aca="false">IF(AI1673&lt;S1673,"SIM","NÃO")</f>
        <v>SIM</v>
      </c>
    </row>
    <row r="1674" customFormat="false" ht="15" hidden="false" customHeight="false" outlineLevel="0" collapsed="false">
      <c r="A1674" s="59" t="n">
        <v>46274.7714467593</v>
      </c>
      <c r="B1674" s="60" t="s">
        <v>486</v>
      </c>
      <c r="C1674" s="60" t="n">
        <v>28200000</v>
      </c>
      <c r="D1674" s="60" t="s">
        <v>305</v>
      </c>
      <c r="E1674" s="60" t="s">
        <v>24</v>
      </c>
      <c r="F1674" s="60" t="s">
        <v>237</v>
      </c>
      <c r="G1674" s="60" t="n">
        <v>68.1</v>
      </c>
      <c r="H1674" s="61" t="n">
        <v>884.99</v>
      </c>
      <c r="I1674" s="61" t="n">
        <v>90.2</v>
      </c>
      <c r="J1674" s="61" t="n">
        <f aca="false">H1674*Resumo!$C$6</f>
        <v>0</v>
      </c>
      <c r="K1674" s="61" t="n">
        <f aca="false">H1674*Resumo!$C$7</f>
        <v>1.858479</v>
      </c>
      <c r="L1674" s="61" t="n">
        <f aca="false">H1674*Resumo!$C$8</f>
        <v>1.858479</v>
      </c>
      <c r="M1674" s="61" t="n">
        <f aca="false">Resumo!$C$10*CEILING(G1674/100,1)</f>
        <v>1.05</v>
      </c>
      <c r="N1674" s="61" t="n">
        <f aca="false">Resumo!$C$9</f>
        <v>0</v>
      </c>
      <c r="O1674" s="61" t="n">
        <f aca="false">Resumo!$C$13</f>
        <v>13.55</v>
      </c>
      <c r="P1674" s="61" t="n">
        <f aca="false">Resumo!$C$14*CEILING(G1674,1)</f>
        <v>31.05</v>
      </c>
      <c r="Q1674" s="61" t="n">
        <f aca="false">SUM(I1674:P1674)*Resumo!$C$11</f>
        <v>0</v>
      </c>
      <c r="R1674" s="61" t="n">
        <f aca="false">SUM(I1674:Q1674)</f>
        <v>139.566958</v>
      </c>
      <c r="S1674" s="61" t="n">
        <f aca="false">R1674/(1-Resumo!$C$5)</f>
        <v>158.598815909091</v>
      </c>
      <c r="T1674" s="61" t="n">
        <v>171.54</v>
      </c>
      <c r="U1674" s="61" t="n">
        <f aca="false">H1674*Resumo!$B$6</f>
        <v>0.88499</v>
      </c>
      <c r="V1674" s="61" t="n">
        <f aca="false">H1674*Resumo!$B$7</f>
        <v>1.76998</v>
      </c>
      <c r="W1674" s="61" t="n">
        <f aca="false">Resumo!$B$9</f>
        <v>1</v>
      </c>
      <c r="X1674" s="61" t="n">
        <f aca="false">Resumo!$B$10*CEILING(G1674/100,1)</f>
        <v>4.5</v>
      </c>
      <c r="Y1674" s="61" t="n">
        <f aca="false">Resumo!$B$12*CEILING(G1674,1)</f>
        <v>4.14</v>
      </c>
      <c r="Z1674" s="61" t="n">
        <f aca="false">Resumo!$B$14*CEILING(G1674,1)</f>
        <v>31.05</v>
      </c>
      <c r="AA1674" s="61" t="n">
        <f aca="false">SUM(T1674:Z1674)</f>
        <v>214.88497</v>
      </c>
      <c r="AB1674" s="61" t="n">
        <f aca="false">AA1674/(1-Resumo!$B$5)</f>
        <v>244.187465909091</v>
      </c>
      <c r="AC1674" s="61" t="n">
        <f aca="false">AB1674-S1674</f>
        <v>85.58865</v>
      </c>
      <c r="AD1674" s="62" t="n">
        <f aca="false">AB1674/S1674-1</f>
        <v>0.539655037834958</v>
      </c>
      <c r="AE1674" s="60" t="str">
        <f aca="false">IF(AB1674&lt;S1674,"SIM","NÃO")</f>
        <v>NÃO</v>
      </c>
      <c r="AF1674" s="60" t="n">
        <v>13</v>
      </c>
      <c r="AG1674" s="60" t="n">
        <v>11</v>
      </c>
      <c r="AH1674" s="60" t="s">
        <v>385</v>
      </c>
      <c r="AI1674" s="61" t="n">
        <f aca="false">(T1674*(1-Painel!$C$40)+U1674+V1674+Painel!$C$41+Painel!$C$42*CEILING(G1674/100,1)+Painel!$C$43*CEILING(G1674,1)+Z1674)/(1-Resumo!$B$5)</f>
        <v>171.234965909091</v>
      </c>
      <c r="AJ1674" s="60" t="str">
        <f aca="false">IF(AI1674&lt;S1674,"SIM","NÃO")</f>
        <v>NÃO</v>
      </c>
    </row>
    <row r="1675" customFormat="false" ht="15" hidden="false" customHeight="false" outlineLevel="0" collapsed="false">
      <c r="A1675" s="59" t="n">
        <v>46274.7729398148</v>
      </c>
      <c r="B1675" s="60" t="s">
        <v>1900</v>
      </c>
      <c r="C1675" s="60" t="n">
        <v>27140290</v>
      </c>
      <c r="D1675" s="60" t="s">
        <v>290</v>
      </c>
      <c r="E1675" s="60" t="s">
        <v>24</v>
      </c>
      <c r="F1675" s="60" t="s">
        <v>234</v>
      </c>
      <c r="G1675" s="60" t="n">
        <v>37.5</v>
      </c>
      <c r="H1675" s="61" t="n">
        <v>387.99</v>
      </c>
      <c r="I1675" s="61" t="n">
        <v>74.97</v>
      </c>
      <c r="J1675" s="61" t="n">
        <f aca="false">H1675*Resumo!$C$6</f>
        <v>0</v>
      </c>
      <c r="K1675" s="61" t="n">
        <f aca="false">H1675*Resumo!$C$7</f>
        <v>0.814779</v>
      </c>
      <c r="L1675" s="61" t="n">
        <f aca="false">H1675*Resumo!$C$8</f>
        <v>0.814779</v>
      </c>
      <c r="M1675" s="61" t="n">
        <f aca="false">Resumo!$C$10*CEILING(G1675/100,1)</f>
        <v>1.05</v>
      </c>
      <c r="N1675" s="61" t="n">
        <f aca="false">Resumo!$C$9</f>
        <v>0</v>
      </c>
      <c r="O1675" s="61" t="n">
        <f aca="false">Resumo!$C$13</f>
        <v>13.55</v>
      </c>
      <c r="P1675" s="61" t="n">
        <f aca="false">Resumo!$C$14*CEILING(G1675,1)</f>
        <v>17.1</v>
      </c>
      <c r="Q1675" s="61" t="n">
        <f aca="false">SUM(I1675:P1675)*Resumo!$C$11</f>
        <v>0</v>
      </c>
      <c r="R1675" s="61" t="n">
        <f aca="false">SUM(I1675:Q1675)</f>
        <v>108.299558</v>
      </c>
      <c r="S1675" s="61" t="n">
        <f aca="false">R1675/(1-Resumo!$C$5)</f>
        <v>123.067679545455</v>
      </c>
      <c r="T1675" s="61" t="n">
        <v>124.38</v>
      </c>
      <c r="U1675" s="61" t="n">
        <f aca="false">H1675*Resumo!$B$6</f>
        <v>0.38799</v>
      </c>
      <c r="V1675" s="61" t="n">
        <f aca="false">H1675*Resumo!$B$7</f>
        <v>0.77598</v>
      </c>
      <c r="W1675" s="61" t="n">
        <f aca="false">Resumo!$B$9</f>
        <v>1</v>
      </c>
      <c r="X1675" s="61" t="n">
        <f aca="false">Resumo!$B$10*CEILING(G1675/100,1)</f>
        <v>4.5</v>
      </c>
      <c r="Y1675" s="61" t="n">
        <f aca="false">Resumo!$B$12*CEILING(G1675,1)</f>
        <v>2.28</v>
      </c>
      <c r="Z1675" s="61" t="n">
        <f aca="false">Resumo!$B$14*CEILING(G1675,1)</f>
        <v>17.1</v>
      </c>
      <c r="AA1675" s="61" t="n">
        <f aca="false">SUM(T1675:Z1675)</f>
        <v>150.42397</v>
      </c>
      <c r="AB1675" s="61" t="n">
        <f aca="false">AA1675/(1-Resumo!$B$5)</f>
        <v>170.936329545455</v>
      </c>
      <c r="AC1675" s="61" t="n">
        <f aca="false">AB1675-S1675</f>
        <v>47.86865</v>
      </c>
      <c r="AD1675" s="62" t="n">
        <f aca="false">AB1675/S1675-1</f>
        <v>0.388961993732237</v>
      </c>
      <c r="AE1675" s="60" t="str">
        <f aca="false">IF(AB1675&lt;S1675,"SIM","NÃO")</f>
        <v>NÃO</v>
      </c>
      <c r="AF1675" s="60" t="n">
        <v>13</v>
      </c>
      <c r="AG1675" s="60" t="n">
        <v>10</v>
      </c>
      <c r="AH1675" s="60" t="s">
        <v>385</v>
      </c>
      <c r="AI1675" s="61" t="n">
        <f aca="false">(T1675*(1-Painel!$C$40)+U1675+V1675+Painel!$C$41+Painel!$C$42*CEILING(G1675/100,1)+Painel!$C$43*CEILING(G1675,1)+Z1675)/(1-Resumo!$B$5)</f>
        <v>117.782465909091</v>
      </c>
      <c r="AJ1675" s="60" t="str">
        <f aca="false">IF(AI1675&lt;S1675,"SIM","NÃO")</f>
        <v>SIM</v>
      </c>
    </row>
    <row r="1676" customFormat="false" ht="15" hidden="false" customHeight="false" outlineLevel="0" collapsed="false">
      <c r="A1676" s="59" t="n">
        <v>46274.785474537</v>
      </c>
      <c r="B1676" s="60" t="s">
        <v>1260</v>
      </c>
      <c r="C1676" s="60" t="n">
        <v>24340105</v>
      </c>
      <c r="D1676" s="60" t="s">
        <v>50</v>
      </c>
      <c r="E1676" s="60" t="s">
        <v>23</v>
      </c>
      <c r="F1676" s="60" t="s">
        <v>234</v>
      </c>
      <c r="G1676" s="60" t="n">
        <v>40</v>
      </c>
      <c r="H1676" s="61" t="n">
        <v>579.99</v>
      </c>
      <c r="I1676" s="61" t="n">
        <v>66.83</v>
      </c>
      <c r="J1676" s="61" t="n">
        <f aca="false">H1676*Resumo!$C$6</f>
        <v>0</v>
      </c>
      <c r="K1676" s="61" t="n">
        <f aca="false">H1676*Resumo!$C$7</f>
        <v>1.217979</v>
      </c>
      <c r="L1676" s="61" t="n">
        <f aca="false">H1676*Resumo!$C$8</f>
        <v>1.217979</v>
      </c>
      <c r="M1676" s="61" t="n">
        <f aca="false">Resumo!$C$10*CEILING(G1676/100,1)</f>
        <v>1.05</v>
      </c>
      <c r="N1676" s="61" t="n">
        <f aca="false">Resumo!$C$9</f>
        <v>0</v>
      </c>
      <c r="O1676" s="61" t="n">
        <f aca="false">Resumo!$C$13</f>
        <v>13.55</v>
      </c>
      <c r="P1676" s="61" t="n">
        <f aca="false">Resumo!$C$14*CEILING(G1676,1)</f>
        <v>18</v>
      </c>
      <c r="Q1676" s="61" t="n">
        <f aca="false">SUM(I1676:P1676)*Resumo!$C$11</f>
        <v>0</v>
      </c>
      <c r="R1676" s="61" t="n">
        <f aca="false">SUM(I1676:Q1676)</f>
        <v>101.865958</v>
      </c>
      <c r="S1676" s="61" t="n">
        <f aca="false">R1676/(1-Resumo!$C$5)</f>
        <v>115.756770454545</v>
      </c>
      <c r="T1676" s="61" t="n">
        <v>114.95</v>
      </c>
      <c r="U1676" s="61" t="n">
        <f aca="false">H1676*Resumo!$B$6</f>
        <v>0.57999</v>
      </c>
      <c r="V1676" s="61" t="n">
        <f aca="false">H1676*Resumo!$B$7</f>
        <v>1.15998</v>
      </c>
      <c r="W1676" s="61" t="n">
        <f aca="false">Resumo!$B$9</f>
        <v>1</v>
      </c>
      <c r="X1676" s="61" t="n">
        <f aca="false">Resumo!$B$10*CEILING(G1676/100,1)</f>
        <v>4.5</v>
      </c>
      <c r="Y1676" s="61" t="n">
        <f aca="false">Resumo!$B$12*CEILING(G1676,1)</f>
        <v>2.4</v>
      </c>
      <c r="Z1676" s="61" t="n">
        <f aca="false">Resumo!$B$14*CEILING(G1676,1)</f>
        <v>18</v>
      </c>
      <c r="AA1676" s="61" t="n">
        <f aca="false">SUM(T1676:Z1676)</f>
        <v>142.58997</v>
      </c>
      <c r="AB1676" s="61" t="n">
        <f aca="false">AA1676/(1-Resumo!$B$5)</f>
        <v>162.034056818182</v>
      </c>
      <c r="AC1676" s="61" t="n">
        <f aca="false">AB1676-S1676</f>
        <v>46.2772863636364</v>
      </c>
      <c r="AD1676" s="62" t="n">
        <f aca="false">AB1676/S1676-1</f>
        <v>0.399780385906742</v>
      </c>
      <c r="AE1676" s="60" t="str">
        <f aca="false">IF(AB1676&lt;S1676,"SIM","NÃO")</f>
        <v>NÃO</v>
      </c>
      <c r="AF1676" s="60" t="n">
        <v>2</v>
      </c>
      <c r="AG1676" s="60" t="n">
        <v>7</v>
      </c>
      <c r="AH1676" s="60" t="s">
        <v>382</v>
      </c>
      <c r="AI1676" s="61" t="n">
        <f aca="false">(T1676*(1-Painel!$C$40)+U1676+V1676+Painel!$C$41+Painel!$C$42*CEILING(G1676/100,1)+Painel!$C$43*CEILING(G1676,1)+Z1676)/(1-Resumo!$B$5)</f>
        <v>112.280079545455</v>
      </c>
      <c r="AJ1676" s="60" t="str">
        <f aca="false">IF(AI1676&lt;S1676,"SIM","NÃO")</f>
        <v>SIM</v>
      </c>
    </row>
    <row r="1677" customFormat="false" ht="15" hidden="false" customHeight="false" outlineLevel="0" collapsed="false">
      <c r="A1677" s="59" t="n">
        <v>46274.7899421296</v>
      </c>
      <c r="B1677" s="60" t="s">
        <v>1901</v>
      </c>
      <c r="C1677" s="60" t="n">
        <v>24474215</v>
      </c>
      <c r="D1677" s="60" t="s">
        <v>47</v>
      </c>
      <c r="E1677" s="60" t="s">
        <v>23</v>
      </c>
      <c r="F1677" s="60" t="s">
        <v>237</v>
      </c>
      <c r="G1677" s="60" t="n">
        <v>68.7</v>
      </c>
      <c r="H1677" s="61" t="n">
        <v>749.99</v>
      </c>
      <c r="I1677" s="61" t="n">
        <v>76.55</v>
      </c>
      <c r="J1677" s="61" t="n">
        <f aca="false">H1677*Resumo!$C$6</f>
        <v>0</v>
      </c>
      <c r="K1677" s="61" t="n">
        <f aca="false">H1677*Resumo!$C$7</f>
        <v>1.574979</v>
      </c>
      <c r="L1677" s="61" t="n">
        <f aca="false">H1677*Resumo!$C$8</f>
        <v>1.574979</v>
      </c>
      <c r="M1677" s="61" t="n">
        <f aca="false">Resumo!$C$10*CEILING(G1677/100,1)</f>
        <v>1.05</v>
      </c>
      <c r="N1677" s="61" t="n">
        <f aca="false">Resumo!$C$9</f>
        <v>0</v>
      </c>
      <c r="O1677" s="61" t="n">
        <f aca="false">Resumo!$C$13</f>
        <v>13.55</v>
      </c>
      <c r="P1677" s="61" t="n">
        <f aca="false">Resumo!$C$14*CEILING(G1677,1)</f>
        <v>31.05</v>
      </c>
      <c r="Q1677" s="61" t="n">
        <f aca="false">SUM(I1677:P1677)*Resumo!$C$11</f>
        <v>0</v>
      </c>
      <c r="R1677" s="61" t="n">
        <f aca="false">SUM(I1677:Q1677)</f>
        <v>125.349958</v>
      </c>
      <c r="S1677" s="61" t="n">
        <f aca="false">R1677/(1-Resumo!$C$5)</f>
        <v>142.443134090909</v>
      </c>
      <c r="T1677" s="61" t="n">
        <v>149.5</v>
      </c>
      <c r="U1677" s="61" t="n">
        <f aca="false">H1677*Resumo!$B$6</f>
        <v>0.74999</v>
      </c>
      <c r="V1677" s="61" t="n">
        <f aca="false">H1677*Resumo!$B$7</f>
        <v>1.49998</v>
      </c>
      <c r="W1677" s="61" t="n">
        <f aca="false">Resumo!$B$9</f>
        <v>1</v>
      </c>
      <c r="X1677" s="61" t="n">
        <f aca="false">Resumo!$B$10*CEILING(G1677/100,1)</f>
        <v>4.5</v>
      </c>
      <c r="Y1677" s="61" t="n">
        <f aca="false">Resumo!$B$12*CEILING(G1677,1)</f>
        <v>4.14</v>
      </c>
      <c r="Z1677" s="61" t="n">
        <f aca="false">Resumo!$B$14*CEILING(G1677,1)</f>
        <v>31.05</v>
      </c>
      <c r="AA1677" s="61" t="n">
        <f aca="false">SUM(T1677:Z1677)</f>
        <v>192.43997</v>
      </c>
      <c r="AB1677" s="61" t="n">
        <f aca="false">AA1677/(1-Resumo!$B$5)</f>
        <v>218.681784090909</v>
      </c>
      <c r="AC1677" s="61" t="n">
        <f aca="false">AB1677-S1677</f>
        <v>76.23865</v>
      </c>
      <c r="AD1677" s="62" t="n">
        <f aca="false">AB1677/S1677-1</f>
        <v>0.535221655199917</v>
      </c>
      <c r="AE1677" s="60" t="str">
        <f aca="false">IF(AB1677&lt;S1677,"SIM","NÃO")</f>
        <v>NÃO</v>
      </c>
      <c r="AF1677" s="60" t="n">
        <v>2</v>
      </c>
      <c r="AG1677" s="60" t="n">
        <v>7</v>
      </c>
      <c r="AH1677" s="60" t="s">
        <v>382</v>
      </c>
      <c r="AI1677" s="61" t="n">
        <f aca="false">(T1677*(1-Painel!$C$40)+U1677+V1677+Painel!$C$41+Painel!$C$42*CEILING(G1677/100,1)+Painel!$C$43*CEILING(G1677,1)+Z1677)/(1-Resumo!$B$5)</f>
        <v>153.994284090909</v>
      </c>
      <c r="AJ1677" s="60" t="str">
        <f aca="false">IF(AI1677&lt;S1677,"SIM","NÃO")</f>
        <v>NÃO</v>
      </c>
    </row>
    <row r="1678" customFormat="false" ht="15" hidden="false" customHeight="false" outlineLevel="0" collapsed="false">
      <c r="A1678" s="59" t="n">
        <v>46274.8138194445</v>
      </c>
      <c r="B1678" s="60" t="s">
        <v>1902</v>
      </c>
      <c r="C1678" s="60" t="n">
        <v>24730530</v>
      </c>
      <c r="D1678" s="60" t="s">
        <v>47</v>
      </c>
      <c r="E1678" s="60" t="s">
        <v>23</v>
      </c>
      <c r="F1678" s="60" t="s">
        <v>233</v>
      </c>
      <c r="G1678" s="60" t="n">
        <v>30.5</v>
      </c>
      <c r="H1678" s="61" t="n">
        <v>499.99</v>
      </c>
      <c r="I1678" s="61" t="n">
        <v>58.8</v>
      </c>
      <c r="J1678" s="61" t="n">
        <f aca="false">H1678*Resumo!$C$6</f>
        <v>0</v>
      </c>
      <c r="K1678" s="61" t="n">
        <f aca="false">H1678*Resumo!$C$7</f>
        <v>1.049979</v>
      </c>
      <c r="L1678" s="61" t="n">
        <f aca="false">H1678*Resumo!$C$8</f>
        <v>1.049979</v>
      </c>
      <c r="M1678" s="61" t="n">
        <f aca="false">Resumo!$C$10*CEILING(G1678/100,1)</f>
        <v>1.05</v>
      </c>
      <c r="N1678" s="61" t="n">
        <f aca="false">Resumo!$C$9</f>
        <v>0</v>
      </c>
      <c r="O1678" s="61" t="n">
        <f aca="false">Resumo!$C$13</f>
        <v>13.55</v>
      </c>
      <c r="P1678" s="61" t="n">
        <f aca="false">Resumo!$C$14*CEILING(G1678,1)</f>
        <v>13.95</v>
      </c>
      <c r="Q1678" s="61" t="n">
        <f aca="false">SUM(I1678:P1678)*Resumo!$C$11</f>
        <v>0</v>
      </c>
      <c r="R1678" s="61" t="n">
        <f aca="false">SUM(I1678:Q1678)</f>
        <v>89.449958</v>
      </c>
      <c r="S1678" s="61" t="n">
        <f aca="false">R1678/(1-Resumo!$C$5)</f>
        <v>101.647679545455</v>
      </c>
      <c r="T1678" s="61" t="n">
        <v>100.58</v>
      </c>
      <c r="U1678" s="61" t="n">
        <f aca="false">H1678*Resumo!$B$6</f>
        <v>0.49999</v>
      </c>
      <c r="V1678" s="61" t="n">
        <f aca="false">H1678*Resumo!$B$7</f>
        <v>0.99998</v>
      </c>
      <c r="W1678" s="61" t="n">
        <f aca="false">Resumo!$B$9</f>
        <v>1</v>
      </c>
      <c r="X1678" s="61" t="n">
        <f aca="false">Resumo!$B$10*CEILING(G1678/100,1)</f>
        <v>4.5</v>
      </c>
      <c r="Y1678" s="61" t="n">
        <f aca="false">Resumo!$B$12*CEILING(G1678,1)</f>
        <v>1.86</v>
      </c>
      <c r="Z1678" s="61" t="n">
        <f aca="false">Resumo!$B$14*CEILING(G1678,1)</f>
        <v>13.95</v>
      </c>
      <c r="AA1678" s="61" t="n">
        <f aca="false">SUM(T1678:Z1678)</f>
        <v>123.38997</v>
      </c>
      <c r="AB1678" s="61" t="n">
        <f aca="false">AA1678/(1-Resumo!$B$5)</f>
        <v>140.215875</v>
      </c>
      <c r="AC1678" s="61" t="n">
        <f aca="false">AB1678-S1678</f>
        <v>38.5681954545455</v>
      </c>
      <c r="AD1678" s="62" t="n">
        <f aca="false">AB1678/S1678-1</f>
        <v>0.379430161386996</v>
      </c>
      <c r="AE1678" s="60" t="str">
        <f aca="false">IF(AB1678&lt;S1678,"SIM","NÃO")</f>
        <v>NÃO</v>
      </c>
      <c r="AF1678" s="60" t="n">
        <v>2</v>
      </c>
      <c r="AG1678" s="60" t="n">
        <v>7</v>
      </c>
      <c r="AH1678" s="60" t="s">
        <v>382</v>
      </c>
      <c r="AI1678" s="61" t="n">
        <f aca="false">(T1678*(1-Painel!$C$40)+U1678+V1678+Painel!$C$41+Painel!$C$42*CEILING(G1678/100,1)+Painel!$C$43*CEILING(G1678,1)+Z1678)/(1-Resumo!$B$5)</f>
        <v>96.4642840909091</v>
      </c>
      <c r="AJ1678" s="60" t="str">
        <f aca="false">IF(AI1678&lt;S1678,"SIM","NÃO")</f>
        <v>SIM</v>
      </c>
    </row>
    <row r="1679" customFormat="false" ht="15" hidden="false" customHeight="false" outlineLevel="0" collapsed="false">
      <c r="A1679" s="59" t="n">
        <v>46274.8152893519</v>
      </c>
      <c r="B1679" s="60" t="s">
        <v>1903</v>
      </c>
      <c r="C1679" s="60" t="n">
        <v>25936840</v>
      </c>
      <c r="D1679" s="60" t="s">
        <v>225</v>
      </c>
      <c r="E1679" s="60" t="s">
        <v>24</v>
      </c>
      <c r="F1679" s="60" t="s">
        <v>233</v>
      </c>
      <c r="G1679" s="60" t="n">
        <v>35</v>
      </c>
      <c r="H1679" s="61" t="n">
        <v>499.99</v>
      </c>
      <c r="I1679" s="61" t="n">
        <v>65.63</v>
      </c>
      <c r="J1679" s="61" t="n">
        <f aca="false">H1679*Resumo!$C$6</f>
        <v>0</v>
      </c>
      <c r="K1679" s="61" t="n">
        <f aca="false">H1679*Resumo!$C$7</f>
        <v>1.049979</v>
      </c>
      <c r="L1679" s="61" t="n">
        <f aca="false">H1679*Resumo!$C$8</f>
        <v>1.049979</v>
      </c>
      <c r="M1679" s="61" t="n">
        <f aca="false">Resumo!$C$10*CEILING(G1679/100,1)</f>
        <v>1.05</v>
      </c>
      <c r="N1679" s="61" t="n">
        <f aca="false">Resumo!$C$9</f>
        <v>0</v>
      </c>
      <c r="O1679" s="61" t="n">
        <f aca="false">Resumo!$C$13</f>
        <v>13.55</v>
      </c>
      <c r="P1679" s="61" t="n">
        <f aca="false">Resumo!$C$14*CEILING(G1679,1)</f>
        <v>15.75</v>
      </c>
      <c r="Q1679" s="61" t="n">
        <f aca="false">SUM(I1679:P1679)*Resumo!$C$11</f>
        <v>0</v>
      </c>
      <c r="R1679" s="61" t="n">
        <f aca="false">SUM(I1679:Q1679)</f>
        <v>98.079958</v>
      </c>
      <c r="S1679" s="61" t="n">
        <f aca="false">R1679/(1-Resumo!$C$5)</f>
        <v>111.454497727273</v>
      </c>
      <c r="T1679" s="61" t="n">
        <v>103.28</v>
      </c>
      <c r="U1679" s="61" t="n">
        <f aca="false">H1679*Resumo!$B$6</f>
        <v>0.49999</v>
      </c>
      <c r="V1679" s="61" t="n">
        <f aca="false">H1679*Resumo!$B$7</f>
        <v>0.99998</v>
      </c>
      <c r="W1679" s="61" t="n">
        <f aca="false">Resumo!$B$9</f>
        <v>1</v>
      </c>
      <c r="X1679" s="61" t="n">
        <f aca="false">Resumo!$B$10*CEILING(G1679/100,1)</f>
        <v>4.5</v>
      </c>
      <c r="Y1679" s="61" t="n">
        <f aca="false">Resumo!$B$12*CEILING(G1679,1)</f>
        <v>2.1</v>
      </c>
      <c r="Z1679" s="61" t="n">
        <f aca="false">Resumo!$B$14*CEILING(G1679,1)</f>
        <v>15.75</v>
      </c>
      <c r="AA1679" s="61" t="n">
        <f aca="false">SUM(T1679:Z1679)</f>
        <v>128.12997</v>
      </c>
      <c r="AB1679" s="61" t="n">
        <f aca="false">AA1679/(1-Resumo!$B$5)</f>
        <v>145.602238636364</v>
      </c>
      <c r="AC1679" s="61" t="n">
        <f aca="false">AB1679-S1679</f>
        <v>34.147740909091</v>
      </c>
      <c r="AD1679" s="62" t="n">
        <f aca="false">AB1679/S1679-1</f>
        <v>0.306382798410253</v>
      </c>
      <c r="AE1679" s="60" t="str">
        <f aca="false">IF(AB1679&lt;S1679,"SIM","NÃO")</f>
        <v>NÃO</v>
      </c>
      <c r="AF1679" s="60" t="n">
        <v>13</v>
      </c>
      <c r="AG1679" s="60" t="n">
        <v>6</v>
      </c>
      <c r="AH1679" s="60" t="s">
        <v>382</v>
      </c>
      <c r="AI1679" s="61" t="n">
        <f aca="false">(T1679*(1-Painel!$C$40)+U1679+V1679+Painel!$C$41+Painel!$C$42*CEILING(G1679/100,1)+Painel!$C$43*CEILING(G1679,1)+Z1679)/(1-Resumo!$B$5)</f>
        <v>100.565420454545</v>
      </c>
      <c r="AJ1679" s="60" t="str">
        <f aca="false">IF(AI1679&lt;S1679,"SIM","NÃO")</f>
        <v>SIM</v>
      </c>
    </row>
    <row r="1680" customFormat="false" ht="15" hidden="false" customHeight="false" outlineLevel="0" collapsed="false">
      <c r="A1680" s="59" t="n">
        <v>46274.8171990741</v>
      </c>
      <c r="B1680" s="60" t="s">
        <v>1904</v>
      </c>
      <c r="C1680" s="60" t="n">
        <v>21046630</v>
      </c>
      <c r="D1680" s="60" t="s">
        <v>46</v>
      </c>
      <c r="E1680" s="60" t="s">
        <v>22</v>
      </c>
      <c r="F1680" s="60" t="s">
        <v>232</v>
      </c>
      <c r="G1680" s="60" t="n">
        <v>19.9</v>
      </c>
      <c r="H1680" s="61" t="n">
        <v>252.99</v>
      </c>
      <c r="I1680" s="61" t="n">
        <v>33.42</v>
      </c>
      <c r="J1680" s="61" t="n">
        <f aca="false">H1680*Resumo!$C$6</f>
        <v>0</v>
      </c>
      <c r="K1680" s="61" t="n">
        <f aca="false">H1680*Resumo!$C$7</f>
        <v>0.531279</v>
      </c>
      <c r="L1680" s="61" t="n">
        <f aca="false">H1680*Resumo!$C$8</f>
        <v>0.531279</v>
      </c>
      <c r="M1680" s="61" t="n">
        <f aca="false">Resumo!$C$10*CEILING(G1680/100,1)</f>
        <v>1.05</v>
      </c>
      <c r="N1680" s="61" t="n">
        <f aca="false">Resumo!$C$9</f>
        <v>0</v>
      </c>
      <c r="O1680" s="61" t="n">
        <f aca="false">Resumo!$C$13</f>
        <v>13.55</v>
      </c>
      <c r="P1680" s="61" t="n">
        <f aca="false">Resumo!$C$14*CEILING(G1680,1)</f>
        <v>9</v>
      </c>
      <c r="Q1680" s="61" t="n">
        <f aca="false">SUM(I1680:P1680)*Resumo!$C$11</f>
        <v>0</v>
      </c>
      <c r="R1680" s="61" t="n">
        <f aca="false">SUM(I1680:Q1680)</f>
        <v>58.082558</v>
      </c>
      <c r="S1680" s="61" t="n">
        <f aca="false">R1680/(1-Resumo!$C$5)</f>
        <v>66.0029068181818</v>
      </c>
      <c r="T1680" s="61" t="n">
        <v>46.98</v>
      </c>
      <c r="U1680" s="61" t="n">
        <f aca="false">H1680*Resumo!$B$6</f>
        <v>0.25299</v>
      </c>
      <c r="V1680" s="61" t="n">
        <f aca="false">H1680*Resumo!$B$7</f>
        <v>0.50598</v>
      </c>
      <c r="W1680" s="61" t="n">
        <f aca="false">Resumo!$B$9</f>
        <v>1</v>
      </c>
      <c r="X1680" s="61" t="n">
        <f aca="false">Resumo!$B$10*CEILING(G1680/100,1)</f>
        <v>4.5</v>
      </c>
      <c r="Y1680" s="61" t="n">
        <f aca="false">Resumo!$B$12*CEILING(G1680,1)</f>
        <v>1.2</v>
      </c>
      <c r="Z1680" s="61" t="n">
        <f aca="false">Resumo!$B$14*CEILING(G1680,1)</f>
        <v>9</v>
      </c>
      <c r="AA1680" s="61" t="n">
        <f aca="false">SUM(T1680:Z1680)</f>
        <v>63.43897</v>
      </c>
      <c r="AB1680" s="61" t="n">
        <f aca="false">AA1680/(1-Resumo!$B$5)</f>
        <v>72.0897386363636</v>
      </c>
      <c r="AC1680" s="61" t="n">
        <f aca="false">AB1680-S1680</f>
        <v>6.08683181818181</v>
      </c>
      <c r="AD1680" s="62" t="n">
        <f aca="false">AB1680/S1680-1</f>
        <v>0.092220662870943</v>
      </c>
      <c r="AE1680" s="60" t="str">
        <f aca="false">IF(AB1680&lt;S1680,"SIM","NÃO")</f>
        <v>NÃO</v>
      </c>
      <c r="AF1680" s="60" t="n">
        <v>2</v>
      </c>
      <c r="AG1680" s="60" t="n">
        <v>5</v>
      </c>
      <c r="AH1680" s="60" t="s">
        <v>382</v>
      </c>
      <c r="AI1680" s="61" t="n">
        <f aca="false">(T1680*(1-Painel!$C$40)+U1680+V1680+Painel!$C$41+Painel!$C$42*CEILING(G1680/100,1)+Painel!$C$43*CEILING(G1680,1)+Z1680)/(1-Resumo!$B$5)</f>
        <v>49.1881477272727</v>
      </c>
      <c r="AJ1680" s="60" t="str">
        <f aca="false">IF(AI1680&lt;S1680,"SIM","NÃO")</f>
        <v>SIM</v>
      </c>
    </row>
    <row r="1681" customFormat="false" ht="15" hidden="false" customHeight="false" outlineLevel="0" collapsed="false">
      <c r="A1681" s="59" t="n">
        <v>46274.8332638889</v>
      </c>
      <c r="B1681" s="60" t="s">
        <v>1905</v>
      </c>
      <c r="C1681" s="60" t="n">
        <v>28943770</v>
      </c>
      <c r="D1681" s="60" t="s">
        <v>338</v>
      </c>
      <c r="E1681" s="60" t="s">
        <v>24</v>
      </c>
      <c r="F1681" s="60" t="s">
        <v>237</v>
      </c>
      <c r="G1681" s="60" t="n">
        <v>61.5</v>
      </c>
      <c r="H1681" s="61" t="n">
        <v>708.99</v>
      </c>
      <c r="I1681" s="61" t="n">
        <v>90.2</v>
      </c>
      <c r="J1681" s="61" t="n">
        <f aca="false">H1681*Resumo!$C$6</f>
        <v>0</v>
      </c>
      <c r="K1681" s="61" t="n">
        <f aca="false">H1681*Resumo!$C$7</f>
        <v>1.488879</v>
      </c>
      <c r="L1681" s="61" t="n">
        <f aca="false">H1681*Resumo!$C$8</f>
        <v>1.488879</v>
      </c>
      <c r="M1681" s="61" t="n">
        <f aca="false">Resumo!$C$10*CEILING(G1681/100,1)</f>
        <v>1.05</v>
      </c>
      <c r="N1681" s="61" t="n">
        <f aca="false">Resumo!$C$9</f>
        <v>0</v>
      </c>
      <c r="O1681" s="61" t="n">
        <f aca="false">Resumo!$C$13</f>
        <v>13.55</v>
      </c>
      <c r="P1681" s="61" t="n">
        <f aca="false">Resumo!$C$14*CEILING(G1681,1)</f>
        <v>27.9</v>
      </c>
      <c r="Q1681" s="61" t="n">
        <f aca="false">SUM(I1681:P1681)*Resumo!$C$11</f>
        <v>0</v>
      </c>
      <c r="R1681" s="61" t="n">
        <f aca="false">SUM(I1681:Q1681)</f>
        <v>135.677758</v>
      </c>
      <c r="S1681" s="61" t="n">
        <f aca="false">R1681/(1-Resumo!$C$5)</f>
        <v>154.179270454545</v>
      </c>
      <c r="T1681" s="61" t="n">
        <v>166.05</v>
      </c>
      <c r="U1681" s="61" t="n">
        <f aca="false">H1681*Resumo!$B$6</f>
        <v>0.70899</v>
      </c>
      <c r="V1681" s="61" t="n">
        <f aca="false">H1681*Resumo!$B$7</f>
        <v>1.41798</v>
      </c>
      <c r="W1681" s="61" t="n">
        <f aca="false">Resumo!$B$9</f>
        <v>1</v>
      </c>
      <c r="X1681" s="61" t="n">
        <f aca="false">Resumo!$B$10*CEILING(G1681/100,1)</f>
        <v>4.5</v>
      </c>
      <c r="Y1681" s="61" t="n">
        <f aca="false">Resumo!$B$12*CEILING(G1681,1)</f>
        <v>3.72</v>
      </c>
      <c r="Z1681" s="61" t="n">
        <f aca="false">Resumo!$B$14*CEILING(G1681,1)</f>
        <v>27.9</v>
      </c>
      <c r="AA1681" s="61" t="n">
        <f aca="false">SUM(T1681:Z1681)</f>
        <v>205.29697</v>
      </c>
      <c r="AB1681" s="61" t="n">
        <f aca="false">AA1681/(1-Resumo!$B$5)</f>
        <v>233.292011363636</v>
      </c>
      <c r="AC1681" s="61" t="n">
        <f aca="false">AB1681-S1681</f>
        <v>79.1127409090909</v>
      </c>
      <c r="AD1681" s="62" t="n">
        <f aca="false">AB1681/S1681-1</f>
        <v>0.513121774904329</v>
      </c>
      <c r="AE1681" s="60" t="str">
        <f aca="false">IF(AB1681&lt;S1681,"SIM","NÃO")</f>
        <v>NÃO</v>
      </c>
      <c r="AF1681" s="60" t="n">
        <v>13</v>
      </c>
      <c r="AG1681" s="60" t="n">
        <v>10</v>
      </c>
      <c r="AH1681" s="60" t="s">
        <v>385</v>
      </c>
      <c r="AI1681" s="61" t="n">
        <f aca="false">(T1681*(1-Painel!$C$40)+U1681+V1681+Painel!$C$41+Painel!$C$42*CEILING(G1681/100,1)+Painel!$C$43*CEILING(G1681,1)+Z1681)/(1-Resumo!$B$5)</f>
        <v>162.875534090909</v>
      </c>
      <c r="AJ1681" s="60" t="str">
        <f aca="false">IF(AI1681&lt;S1681,"SIM","NÃO")</f>
        <v>NÃO</v>
      </c>
    </row>
    <row r="1682" customFormat="false" ht="15" hidden="false" customHeight="false" outlineLevel="0" collapsed="false">
      <c r="A1682" s="59" t="n">
        <v>46274.8413078704</v>
      </c>
      <c r="B1682" s="60" t="s">
        <v>1906</v>
      </c>
      <c r="C1682" s="60" t="n">
        <v>21250391</v>
      </c>
      <c r="D1682" s="60" t="s">
        <v>46</v>
      </c>
      <c r="E1682" s="60" t="s">
        <v>22</v>
      </c>
      <c r="F1682" s="60" t="s">
        <v>233</v>
      </c>
      <c r="G1682" s="60" t="n">
        <v>22.4</v>
      </c>
      <c r="H1682" s="61" t="n">
        <v>629.99</v>
      </c>
      <c r="I1682" s="61" t="n">
        <v>42.11</v>
      </c>
      <c r="J1682" s="61" t="n">
        <f aca="false">H1682*Resumo!$C$6</f>
        <v>0</v>
      </c>
      <c r="K1682" s="61" t="n">
        <f aca="false">H1682*Resumo!$C$7</f>
        <v>1.322979</v>
      </c>
      <c r="L1682" s="61" t="n">
        <f aca="false">H1682*Resumo!$C$8</f>
        <v>1.322979</v>
      </c>
      <c r="M1682" s="61" t="n">
        <f aca="false">Resumo!$C$10*CEILING(G1682/100,1)</f>
        <v>1.05</v>
      </c>
      <c r="N1682" s="61" t="n">
        <f aca="false">Resumo!$C$9</f>
        <v>0</v>
      </c>
      <c r="O1682" s="61" t="n">
        <f aca="false">Resumo!$C$13</f>
        <v>13.55</v>
      </c>
      <c r="P1682" s="61" t="n">
        <f aca="false">Resumo!$C$14*CEILING(G1682,1)</f>
        <v>10.35</v>
      </c>
      <c r="Q1682" s="61" t="n">
        <f aca="false">SUM(I1682:P1682)*Resumo!$C$11</f>
        <v>0</v>
      </c>
      <c r="R1682" s="61" t="n">
        <f aca="false">SUM(I1682:Q1682)</f>
        <v>69.705958</v>
      </c>
      <c r="S1682" s="61" t="n">
        <f aca="false">R1682/(1-Resumo!$C$5)</f>
        <v>79.2113159090909</v>
      </c>
      <c r="T1682" s="61" t="n">
        <v>82.21</v>
      </c>
      <c r="U1682" s="61" t="n">
        <f aca="false">H1682*Resumo!$B$6</f>
        <v>0.62999</v>
      </c>
      <c r="V1682" s="61" t="n">
        <f aca="false">H1682*Resumo!$B$7</f>
        <v>1.25998</v>
      </c>
      <c r="W1682" s="61" t="n">
        <f aca="false">Resumo!$B$9</f>
        <v>1</v>
      </c>
      <c r="X1682" s="61" t="n">
        <f aca="false">Resumo!$B$10*CEILING(G1682/100,1)</f>
        <v>4.5</v>
      </c>
      <c r="Y1682" s="61" t="n">
        <f aca="false">Resumo!$B$12*CEILING(G1682,1)</f>
        <v>1.38</v>
      </c>
      <c r="Z1682" s="61" t="n">
        <f aca="false">Resumo!$B$14*CEILING(G1682,1)</f>
        <v>10.35</v>
      </c>
      <c r="AA1682" s="61" t="n">
        <f aca="false">SUM(T1682:Z1682)</f>
        <v>101.32997</v>
      </c>
      <c r="AB1682" s="61" t="n">
        <f aca="false">AA1682/(1-Resumo!$B$5)</f>
        <v>115.147693181818</v>
      </c>
      <c r="AC1682" s="61" t="n">
        <f aca="false">AB1682-S1682</f>
        <v>35.9363772727273</v>
      </c>
      <c r="AD1682" s="62" t="n">
        <f aca="false">AB1682/S1682-1</f>
        <v>0.453677316937528</v>
      </c>
      <c r="AE1682" s="60" t="str">
        <f aca="false">IF(AB1682&lt;S1682,"SIM","NÃO")</f>
        <v>NÃO</v>
      </c>
      <c r="AF1682" s="60" t="n">
        <v>2</v>
      </c>
      <c r="AG1682" s="60" t="n">
        <v>5</v>
      </c>
      <c r="AH1682" s="60" t="s">
        <v>382</v>
      </c>
      <c r="AI1682" s="61" t="n">
        <f aca="false">(T1682*(1-Painel!$C$40)+U1682+V1682+Painel!$C$41+Painel!$C$42*CEILING(G1682/100,1)+Painel!$C$43*CEILING(G1682,1)+Z1682)/(1-Resumo!$B$5)</f>
        <v>78.8303068181818</v>
      </c>
      <c r="AJ1682" s="60" t="str">
        <f aca="false">IF(AI1682&lt;S1682,"SIM","NÃO")</f>
        <v>SIM</v>
      </c>
    </row>
    <row r="1683" customFormat="false" ht="15" hidden="false" customHeight="false" outlineLevel="0" collapsed="false">
      <c r="A1683" s="59" t="n">
        <v>46274.8485532407</v>
      </c>
      <c r="B1683" s="60" t="s">
        <v>1907</v>
      </c>
      <c r="C1683" s="60" t="n">
        <v>21625130</v>
      </c>
      <c r="D1683" s="60" t="s">
        <v>46</v>
      </c>
      <c r="E1683" s="60" t="s">
        <v>22</v>
      </c>
      <c r="F1683" s="60" t="s">
        <v>233</v>
      </c>
      <c r="G1683" s="60" t="n">
        <v>22.4</v>
      </c>
      <c r="H1683" s="61" t="n">
        <v>599.99</v>
      </c>
      <c r="I1683" s="61" t="n">
        <v>42.11</v>
      </c>
      <c r="J1683" s="61" t="n">
        <f aca="false">H1683*Resumo!$C$6</f>
        <v>0</v>
      </c>
      <c r="K1683" s="61" t="n">
        <f aca="false">H1683*Resumo!$C$7</f>
        <v>1.259979</v>
      </c>
      <c r="L1683" s="61" t="n">
        <f aca="false">H1683*Resumo!$C$8</f>
        <v>1.259979</v>
      </c>
      <c r="M1683" s="61" t="n">
        <f aca="false">Resumo!$C$10*CEILING(G1683/100,1)</f>
        <v>1.05</v>
      </c>
      <c r="N1683" s="61" t="n">
        <f aca="false">Resumo!$C$9</f>
        <v>0</v>
      </c>
      <c r="O1683" s="61" t="n">
        <f aca="false">Resumo!$C$13</f>
        <v>13.55</v>
      </c>
      <c r="P1683" s="61" t="n">
        <f aca="false">Resumo!$C$14*CEILING(G1683,1)</f>
        <v>10.35</v>
      </c>
      <c r="Q1683" s="61" t="n">
        <f aca="false">SUM(I1683:P1683)*Resumo!$C$11</f>
        <v>0</v>
      </c>
      <c r="R1683" s="61" t="n">
        <f aca="false">SUM(I1683:Q1683)</f>
        <v>69.579958</v>
      </c>
      <c r="S1683" s="61" t="n">
        <f aca="false">R1683/(1-Resumo!$C$5)</f>
        <v>79.0681340909091</v>
      </c>
      <c r="T1683" s="61" t="n">
        <v>82.21</v>
      </c>
      <c r="U1683" s="61" t="n">
        <f aca="false">H1683*Resumo!$B$6</f>
        <v>0.59999</v>
      </c>
      <c r="V1683" s="61" t="n">
        <f aca="false">H1683*Resumo!$B$7</f>
        <v>1.19998</v>
      </c>
      <c r="W1683" s="61" t="n">
        <f aca="false">Resumo!$B$9</f>
        <v>1</v>
      </c>
      <c r="X1683" s="61" t="n">
        <f aca="false">Resumo!$B$10*CEILING(G1683/100,1)</f>
        <v>4.5</v>
      </c>
      <c r="Y1683" s="61" t="n">
        <f aca="false">Resumo!$B$12*CEILING(G1683,1)</f>
        <v>1.38</v>
      </c>
      <c r="Z1683" s="61" t="n">
        <f aca="false">Resumo!$B$14*CEILING(G1683,1)</f>
        <v>10.35</v>
      </c>
      <c r="AA1683" s="61" t="n">
        <f aca="false">SUM(T1683:Z1683)</f>
        <v>101.23997</v>
      </c>
      <c r="AB1683" s="61" t="n">
        <f aca="false">AA1683/(1-Resumo!$B$5)</f>
        <v>115.045420454545</v>
      </c>
      <c r="AC1683" s="61" t="n">
        <f aca="false">AB1683-S1683</f>
        <v>35.9772863636363</v>
      </c>
      <c r="AD1683" s="62" t="n">
        <f aca="false">AB1683/S1683-1</f>
        <v>0.455016256261609</v>
      </c>
      <c r="AE1683" s="60" t="str">
        <f aca="false">IF(AB1683&lt;S1683,"SIM","NÃO")</f>
        <v>NÃO</v>
      </c>
      <c r="AF1683" s="60" t="n">
        <v>2</v>
      </c>
      <c r="AG1683" s="60" t="n">
        <v>5</v>
      </c>
      <c r="AH1683" s="60" t="s">
        <v>382</v>
      </c>
      <c r="AI1683" s="61" t="n">
        <f aca="false">(T1683*(1-Painel!$C$40)+U1683+V1683+Painel!$C$41+Painel!$C$42*CEILING(G1683/100,1)+Painel!$C$43*CEILING(G1683,1)+Z1683)/(1-Resumo!$B$5)</f>
        <v>78.7280340909091</v>
      </c>
      <c r="AJ1683" s="60" t="str">
        <f aca="false">IF(AI1683&lt;S1683,"SIM","NÃO")</f>
        <v>SIM</v>
      </c>
    </row>
    <row r="1684" customFormat="false" ht="15" hidden="false" customHeight="false" outlineLevel="0" collapsed="false">
      <c r="A1684" s="59" t="n">
        <v>46274.8581481482</v>
      </c>
      <c r="B1684" s="60" t="s">
        <v>1908</v>
      </c>
      <c r="C1684" s="60" t="n">
        <v>21535330</v>
      </c>
      <c r="D1684" s="60" t="s">
        <v>46</v>
      </c>
      <c r="E1684" s="60" t="s">
        <v>22</v>
      </c>
      <c r="F1684" s="60" t="s">
        <v>233</v>
      </c>
      <c r="G1684" s="60" t="n">
        <v>25.8</v>
      </c>
      <c r="H1684" s="61" t="n">
        <v>309.58</v>
      </c>
      <c r="I1684" s="61" t="n">
        <v>42.11</v>
      </c>
      <c r="J1684" s="61" t="n">
        <f aca="false">H1684*Resumo!$C$6</f>
        <v>0</v>
      </c>
      <c r="K1684" s="61" t="n">
        <f aca="false">H1684*Resumo!$C$7</f>
        <v>0.650118</v>
      </c>
      <c r="L1684" s="61" t="n">
        <f aca="false">H1684*Resumo!$C$8</f>
        <v>0.650118</v>
      </c>
      <c r="M1684" s="61" t="n">
        <f aca="false">Resumo!$C$10*CEILING(G1684/100,1)</f>
        <v>1.05</v>
      </c>
      <c r="N1684" s="61" t="n">
        <f aca="false">Resumo!$C$9</f>
        <v>0</v>
      </c>
      <c r="O1684" s="61" t="n">
        <f aca="false">Resumo!$C$13</f>
        <v>13.55</v>
      </c>
      <c r="P1684" s="61" t="n">
        <f aca="false">Resumo!$C$14*CEILING(G1684,1)</f>
        <v>11.7</v>
      </c>
      <c r="Q1684" s="61" t="n">
        <f aca="false">SUM(I1684:P1684)*Resumo!$C$11</f>
        <v>0</v>
      </c>
      <c r="R1684" s="61" t="n">
        <f aca="false">SUM(I1684:Q1684)</f>
        <v>69.710236</v>
      </c>
      <c r="S1684" s="61" t="n">
        <f aca="false">R1684/(1-Resumo!$C$5)</f>
        <v>79.2161772727273</v>
      </c>
      <c r="T1684" s="61" t="n">
        <v>82.21</v>
      </c>
      <c r="U1684" s="61" t="n">
        <f aca="false">H1684*Resumo!$B$6</f>
        <v>0.30958</v>
      </c>
      <c r="V1684" s="61" t="n">
        <f aca="false">H1684*Resumo!$B$7</f>
        <v>0.61916</v>
      </c>
      <c r="W1684" s="61" t="n">
        <f aca="false">Resumo!$B$9</f>
        <v>1</v>
      </c>
      <c r="X1684" s="61" t="n">
        <f aca="false">Resumo!$B$10*CEILING(G1684/100,1)</f>
        <v>4.5</v>
      </c>
      <c r="Y1684" s="61" t="n">
        <f aca="false">Resumo!$B$12*CEILING(G1684,1)</f>
        <v>1.56</v>
      </c>
      <c r="Z1684" s="61" t="n">
        <f aca="false">Resumo!$B$14*CEILING(G1684,1)</f>
        <v>11.7</v>
      </c>
      <c r="AA1684" s="61" t="n">
        <f aca="false">SUM(T1684:Z1684)</f>
        <v>101.89874</v>
      </c>
      <c r="AB1684" s="61" t="n">
        <f aca="false">AA1684/(1-Resumo!$B$5)</f>
        <v>115.794022727273</v>
      </c>
      <c r="AC1684" s="61" t="n">
        <f aca="false">AB1684-S1684</f>
        <v>36.5778454545455</v>
      </c>
      <c r="AD1684" s="62" t="n">
        <f aca="false">AB1684/S1684-1</f>
        <v>0.461747167230936</v>
      </c>
      <c r="AE1684" s="60" t="str">
        <f aca="false">IF(AB1684&lt;S1684,"SIM","NÃO")</f>
        <v>NÃO</v>
      </c>
      <c r="AF1684" s="60" t="n">
        <v>2</v>
      </c>
      <c r="AG1684" s="60" t="n">
        <v>5</v>
      </c>
      <c r="AH1684" s="60" t="s">
        <v>382</v>
      </c>
      <c r="AI1684" s="61" t="n">
        <f aca="false">(T1684*(1-Painel!$C$40)+U1684+V1684+Painel!$C$41+Painel!$C$42*CEILING(G1684/100,1)+Painel!$C$43*CEILING(G1684,1)+Z1684)/(1-Resumo!$B$5)</f>
        <v>79.2720909090909</v>
      </c>
      <c r="AJ1684" s="60" t="str">
        <f aca="false">IF(AI1684&lt;S1684,"SIM","NÃO")</f>
        <v>NÃO</v>
      </c>
    </row>
    <row r="1685" customFormat="false" ht="15" hidden="false" customHeight="false" outlineLevel="0" collapsed="false">
      <c r="A1685" s="59" t="n">
        <v>46274.8591435185</v>
      </c>
      <c r="B1685" s="60" t="s">
        <v>559</v>
      </c>
      <c r="C1685" s="60" t="n">
        <v>21031700</v>
      </c>
      <c r="D1685" s="60" t="s">
        <v>46</v>
      </c>
      <c r="E1685" s="60" t="s">
        <v>22</v>
      </c>
      <c r="F1685" s="60" t="s">
        <v>233</v>
      </c>
      <c r="G1685" s="60" t="n">
        <v>31.9</v>
      </c>
      <c r="H1685" s="61" t="n">
        <v>483.99</v>
      </c>
      <c r="I1685" s="61" t="n">
        <v>42.11</v>
      </c>
      <c r="J1685" s="61" t="n">
        <f aca="false">H1685*Resumo!$C$6</f>
        <v>0</v>
      </c>
      <c r="K1685" s="61" t="n">
        <f aca="false">H1685*Resumo!$C$7</f>
        <v>1.016379</v>
      </c>
      <c r="L1685" s="61" t="n">
        <f aca="false">H1685*Resumo!$C$8</f>
        <v>1.016379</v>
      </c>
      <c r="M1685" s="61" t="n">
        <f aca="false">Resumo!$C$10*CEILING(G1685/100,1)</f>
        <v>1.05</v>
      </c>
      <c r="N1685" s="61" t="n">
        <f aca="false">Resumo!$C$9</f>
        <v>0</v>
      </c>
      <c r="O1685" s="61" t="n">
        <f aca="false">Resumo!$C$13</f>
        <v>13.55</v>
      </c>
      <c r="P1685" s="61" t="n">
        <f aca="false">Resumo!$C$14*CEILING(G1685,1)</f>
        <v>14.4</v>
      </c>
      <c r="Q1685" s="61" t="n">
        <f aca="false">SUM(I1685:P1685)*Resumo!$C$11</f>
        <v>0</v>
      </c>
      <c r="R1685" s="61" t="n">
        <f aca="false">SUM(I1685:Q1685)</f>
        <v>73.142758</v>
      </c>
      <c r="S1685" s="61" t="n">
        <f aca="false">R1685/(1-Resumo!$C$5)</f>
        <v>83.1167704545455</v>
      </c>
      <c r="T1685" s="61" t="n">
        <v>82.21</v>
      </c>
      <c r="U1685" s="61" t="n">
        <f aca="false">H1685*Resumo!$B$6</f>
        <v>0.48399</v>
      </c>
      <c r="V1685" s="61" t="n">
        <f aca="false">H1685*Resumo!$B$7</f>
        <v>0.96798</v>
      </c>
      <c r="W1685" s="61" t="n">
        <f aca="false">Resumo!$B$9</f>
        <v>1</v>
      </c>
      <c r="X1685" s="61" t="n">
        <f aca="false">Resumo!$B$10*CEILING(G1685/100,1)</f>
        <v>4.5</v>
      </c>
      <c r="Y1685" s="61" t="n">
        <f aca="false">Resumo!$B$12*CEILING(G1685,1)</f>
        <v>1.92</v>
      </c>
      <c r="Z1685" s="61" t="n">
        <f aca="false">Resumo!$B$14*CEILING(G1685,1)</f>
        <v>14.4</v>
      </c>
      <c r="AA1685" s="61" t="n">
        <f aca="false">SUM(T1685:Z1685)</f>
        <v>105.48197</v>
      </c>
      <c r="AB1685" s="61" t="n">
        <f aca="false">AA1685/(1-Resumo!$B$5)</f>
        <v>119.865875</v>
      </c>
      <c r="AC1685" s="61" t="n">
        <f aca="false">AB1685-S1685</f>
        <v>36.7491045454545</v>
      </c>
      <c r="AD1685" s="62" t="n">
        <f aca="false">AB1685/S1685-1</f>
        <v>0.442138263367099</v>
      </c>
      <c r="AE1685" s="60" t="str">
        <f aca="false">IF(AB1685&lt;S1685,"SIM","NÃO")</f>
        <v>NÃO</v>
      </c>
      <c r="AF1685" s="60" t="n">
        <v>2</v>
      </c>
      <c r="AG1685" s="60" t="n">
        <v>5</v>
      </c>
      <c r="AH1685" s="60" t="s">
        <v>382</v>
      </c>
      <c r="AI1685" s="61" t="n">
        <f aca="false">(T1685*(1-Painel!$C$40)+U1685+V1685+Painel!$C$41+Painel!$C$42*CEILING(G1685/100,1)+Painel!$C$43*CEILING(G1685,1)+Z1685)/(1-Resumo!$B$5)</f>
        <v>82.9348522727273</v>
      </c>
      <c r="AJ1685" s="60" t="str">
        <f aca="false">IF(AI1685&lt;S1685,"SIM","NÃO")</f>
        <v>SIM</v>
      </c>
    </row>
    <row r="1686" customFormat="false" ht="15" hidden="false" customHeight="false" outlineLevel="0" collapsed="false">
      <c r="A1686" s="59" t="n">
        <v>46274.8636111111</v>
      </c>
      <c r="B1686" s="60" t="s">
        <v>930</v>
      </c>
      <c r="C1686" s="60" t="n">
        <v>28930000</v>
      </c>
      <c r="D1686" s="60" t="s">
        <v>337</v>
      </c>
      <c r="E1686" s="60" t="s">
        <v>24</v>
      </c>
      <c r="F1686" s="60" t="s">
        <v>235</v>
      </c>
      <c r="G1686" s="60" t="n">
        <v>48.6</v>
      </c>
      <c r="H1686" s="61" t="n">
        <v>604.3</v>
      </c>
      <c r="I1686" s="61" t="n">
        <v>77.7</v>
      </c>
      <c r="J1686" s="61" t="n">
        <f aca="false">H1686*Resumo!$C$6</f>
        <v>0</v>
      </c>
      <c r="K1686" s="61" t="n">
        <f aca="false">H1686*Resumo!$C$7</f>
        <v>1.26903</v>
      </c>
      <c r="L1686" s="61" t="n">
        <f aca="false">H1686*Resumo!$C$8</f>
        <v>1.26903</v>
      </c>
      <c r="M1686" s="61" t="n">
        <f aca="false">Resumo!$C$10*CEILING(G1686/100,1)</f>
        <v>1.05</v>
      </c>
      <c r="N1686" s="61" t="n">
        <f aca="false">Resumo!$C$9</f>
        <v>0</v>
      </c>
      <c r="O1686" s="61" t="n">
        <f aca="false">Resumo!$C$13</f>
        <v>13.55</v>
      </c>
      <c r="P1686" s="61" t="n">
        <f aca="false">Resumo!$C$14*CEILING(G1686,1)</f>
        <v>22.05</v>
      </c>
      <c r="Q1686" s="61" t="n">
        <f aca="false">SUM(I1686:P1686)*Resumo!$C$11</f>
        <v>0</v>
      </c>
      <c r="R1686" s="61" t="n">
        <f aca="false">SUM(I1686:Q1686)</f>
        <v>116.88806</v>
      </c>
      <c r="S1686" s="61" t="n">
        <f aca="false">R1686/(1-Resumo!$C$5)</f>
        <v>132.827340909091</v>
      </c>
      <c r="T1686" s="61" t="n">
        <v>129.29</v>
      </c>
      <c r="U1686" s="61" t="n">
        <f aca="false">H1686*Resumo!$B$6</f>
        <v>0.6043</v>
      </c>
      <c r="V1686" s="61" t="n">
        <f aca="false">H1686*Resumo!$B$7</f>
        <v>1.2086</v>
      </c>
      <c r="W1686" s="61" t="n">
        <f aca="false">Resumo!$B$9</f>
        <v>1</v>
      </c>
      <c r="X1686" s="61" t="n">
        <f aca="false">Resumo!$B$10*CEILING(G1686/100,1)</f>
        <v>4.5</v>
      </c>
      <c r="Y1686" s="61" t="n">
        <f aca="false">Resumo!$B$12*CEILING(G1686,1)</f>
        <v>2.94</v>
      </c>
      <c r="Z1686" s="61" t="n">
        <f aca="false">Resumo!$B$14*CEILING(G1686,1)</f>
        <v>22.05</v>
      </c>
      <c r="AA1686" s="61" t="n">
        <f aca="false">SUM(T1686:Z1686)</f>
        <v>161.5929</v>
      </c>
      <c r="AB1686" s="61" t="n">
        <f aca="false">AA1686/(1-Resumo!$B$5)</f>
        <v>183.628295454545</v>
      </c>
      <c r="AC1686" s="61" t="n">
        <f aca="false">AB1686-S1686</f>
        <v>50.8009545454546</v>
      </c>
      <c r="AD1686" s="62" t="n">
        <f aca="false">AB1686/S1686-1</f>
        <v>0.382458567624444</v>
      </c>
      <c r="AE1686" s="60" t="str">
        <f aca="false">IF(AB1686&lt;S1686,"SIM","NÃO")</f>
        <v>NÃO</v>
      </c>
      <c r="AF1686" s="60" t="n">
        <v>13</v>
      </c>
      <c r="AG1686" s="60" t="n">
        <v>10</v>
      </c>
      <c r="AH1686" s="60" t="s">
        <v>385</v>
      </c>
      <c r="AI1686" s="61" t="n">
        <f aca="false">(T1686*(1-Painel!$C$40)+U1686+V1686+Painel!$C$41+Painel!$C$42*CEILING(G1686/100,1)+Painel!$C$43*CEILING(G1686,1)+Z1686)/(1-Resumo!$B$5)</f>
        <v>127.883181818182</v>
      </c>
      <c r="AJ1686" s="60" t="str">
        <f aca="false">IF(AI1686&lt;S1686,"SIM","NÃO")</f>
        <v>SIM</v>
      </c>
    </row>
    <row r="1687" customFormat="false" ht="15" hidden="false" customHeight="false" outlineLevel="0" collapsed="false">
      <c r="A1687" s="59" t="n">
        <v>46274.8779976852</v>
      </c>
      <c r="B1687" s="60" t="s">
        <v>1909</v>
      </c>
      <c r="C1687" s="60" t="n">
        <v>24456050</v>
      </c>
      <c r="D1687" s="60" t="s">
        <v>47</v>
      </c>
      <c r="E1687" s="60" t="s">
        <v>23</v>
      </c>
      <c r="F1687" s="60" t="s">
        <v>239</v>
      </c>
      <c r="G1687" s="60" t="n">
        <v>81.7</v>
      </c>
      <c r="H1687" s="61" t="n">
        <v>645.99</v>
      </c>
      <c r="I1687" s="61" t="n">
        <v>92.32</v>
      </c>
      <c r="J1687" s="61" t="n">
        <f aca="false">H1687*Resumo!$C$6</f>
        <v>0</v>
      </c>
      <c r="K1687" s="61" t="n">
        <f aca="false">H1687*Resumo!$C$7</f>
        <v>1.356579</v>
      </c>
      <c r="L1687" s="61" t="n">
        <f aca="false">H1687*Resumo!$C$8</f>
        <v>1.356579</v>
      </c>
      <c r="M1687" s="61" t="n">
        <f aca="false">Resumo!$C$10*CEILING(G1687/100,1)</f>
        <v>1.05</v>
      </c>
      <c r="N1687" s="61" t="n">
        <f aca="false">Resumo!$C$9</f>
        <v>0</v>
      </c>
      <c r="O1687" s="61" t="n">
        <f aca="false">Resumo!$C$13</f>
        <v>13.55</v>
      </c>
      <c r="P1687" s="61" t="n">
        <f aca="false">Resumo!$C$14*CEILING(G1687,1)</f>
        <v>36.9</v>
      </c>
      <c r="Q1687" s="61" t="n">
        <f aca="false">SUM(I1687:P1687)*Resumo!$C$11</f>
        <v>0</v>
      </c>
      <c r="R1687" s="61" t="n">
        <f aca="false">SUM(I1687:Q1687)</f>
        <v>146.533158</v>
      </c>
      <c r="S1687" s="61" t="n">
        <f aca="false">R1687/(1-Resumo!$C$5)</f>
        <v>166.514952272727</v>
      </c>
      <c r="T1687" s="61" t="n">
        <v>178.42</v>
      </c>
      <c r="U1687" s="61" t="n">
        <f aca="false">H1687*Resumo!$B$6</f>
        <v>0.64599</v>
      </c>
      <c r="V1687" s="61" t="n">
        <f aca="false">H1687*Resumo!$B$7</f>
        <v>1.29198</v>
      </c>
      <c r="W1687" s="61" t="n">
        <f aca="false">Resumo!$B$9</f>
        <v>1</v>
      </c>
      <c r="X1687" s="61" t="n">
        <f aca="false">Resumo!$B$10*CEILING(G1687/100,1)</f>
        <v>4.5</v>
      </c>
      <c r="Y1687" s="61" t="n">
        <f aca="false">Resumo!$B$12*CEILING(G1687,1)</f>
        <v>4.92</v>
      </c>
      <c r="Z1687" s="61" t="n">
        <f aca="false">Resumo!$B$14*CEILING(G1687,1)</f>
        <v>36.9</v>
      </c>
      <c r="AA1687" s="61" t="n">
        <f aca="false">SUM(T1687:Z1687)</f>
        <v>227.67797</v>
      </c>
      <c r="AB1687" s="61" t="n">
        <f aca="false">AA1687/(1-Resumo!$B$5)</f>
        <v>258.724965909091</v>
      </c>
      <c r="AC1687" s="61" t="n">
        <f aca="false">AB1687-S1687</f>
        <v>92.2100136363636</v>
      </c>
      <c r="AD1687" s="62" t="n">
        <f aca="false">AB1687/S1687-1</f>
        <v>0.553764165786968</v>
      </c>
      <c r="AE1687" s="60" t="str">
        <f aca="false">IF(AB1687&lt;S1687,"SIM","NÃO")</f>
        <v>NÃO</v>
      </c>
      <c r="AF1687" s="60" t="n">
        <v>2</v>
      </c>
      <c r="AG1687" s="60" t="n">
        <v>7</v>
      </c>
      <c r="AH1687" s="60" t="s">
        <v>382</v>
      </c>
      <c r="AI1687" s="61" t="n">
        <f aca="false">(T1687*(1-Painel!$C$40)+U1687+V1687+Painel!$C$41+Painel!$C$42*CEILING(G1687/100,1)+Painel!$C$43*CEILING(G1687,1)+Z1687)/(1-Resumo!$B$5)</f>
        <v>182.306102272727</v>
      </c>
      <c r="AJ1687" s="60" t="str">
        <f aca="false">IF(AI1687&lt;S1687,"SIM","NÃO")</f>
        <v>NÃO</v>
      </c>
    </row>
    <row r="1688" customFormat="false" ht="15" hidden="false" customHeight="false" outlineLevel="0" collapsed="false">
      <c r="A1688" s="59" t="n">
        <v>46274.8781481482</v>
      </c>
      <c r="B1688" s="60" t="s">
        <v>1910</v>
      </c>
      <c r="C1688" s="60" t="n">
        <v>20541200</v>
      </c>
      <c r="D1688" s="60" t="s">
        <v>46</v>
      </c>
      <c r="E1688" s="60" t="s">
        <v>22</v>
      </c>
      <c r="F1688" s="60" t="s">
        <v>233</v>
      </c>
      <c r="G1688" s="60" t="n">
        <v>27</v>
      </c>
      <c r="H1688" s="61" t="n">
        <v>369.99</v>
      </c>
      <c r="I1688" s="61" t="n">
        <v>42.11</v>
      </c>
      <c r="J1688" s="61" t="n">
        <f aca="false">H1688*Resumo!$C$6</f>
        <v>0</v>
      </c>
      <c r="K1688" s="61" t="n">
        <f aca="false">H1688*Resumo!$C$7</f>
        <v>0.776979</v>
      </c>
      <c r="L1688" s="61" t="n">
        <f aca="false">H1688*Resumo!$C$8</f>
        <v>0.776979</v>
      </c>
      <c r="M1688" s="61" t="n">
        <f aca="false">Resumo!$C$10*CEILING(G1688/100,1)</f>
        <v>1.05</v>
      </c>
      <c r="N1688" s="61" t="n">
        <f aca="false">Resumo!$C$9</f>
        <v>0</v>
      </c>
      <c r="O1688" s="61" t="n">
        <f aca="false">Resumo!$C$13</f>
        <v>13.55</v>
      </c>
      <c r="P1688" s="61" t="n">
        <f aca="false">Resumo!$C$14*CEILING(G1688,1)</f>
        <v>12.15</v>
      </c>
      <c r="Q1688" s="61" t="n">
        <f aca="false">SUM(I1688:P1688)*Resumo!$C$11</f>
        <v>0</v>
      </c>
      <c r="R1688" s="61" t="n">
        <f aca="false">SUM(I1688:Q1688)</f>
        <v>70.413958</v>
      </c>
      <c r="S1688" s="61" t="n">
        <f aca="false">R1688/(1-Resumo!$C$5)</f>
        <v>80.0158613636364</v>
      </c>
      <c r="T1688" s="61" t="n">
        <v>82.21</v>
      </c>
      <c r="U1688" s="61" t="n">
        <f aca="false">H1688*Resumo!$B$6</f>
        <v>0.36999</v>
      </c>
      <c r="V1688" s="61" t="n">
        <f aca="false">H1688*Resumo!$B$7</f>
        <v>0.73998</v>
      </c>
      <c r="W1688" s="61" t="n">
        <f aca="false">Resumo!$B$9</f>
        <v>1</v>
      </c>
      <c r="X1688" s="61" t="n">
        <f aca="false">Resumo!$B$10*CEILING(G1688/100,1)</f>
        <v>4.5</v>
      </c>
      <c r="Y1688" s="61" t="n">
        <f aca="false">Resumo!$B$12*CEILING(G1688,1)</f>
        <v>1.62</v>
      </c>
      <c r="Z1688" s="61" t="n">
        <f aca="false">Resumo!$B$14*CEILING(G1688,1)</f>
        <v>12.15</v>
      </c>
      <c r="AA1688" s="61" t="n">
        <f aca="false">SUM(T1688:Z1688)</f>
        <v>102.58997</v>
      </c>
      <c r="AB1688" s="61" t="n">
        <f aca="false">AA1688/(1-Resumo!$B$5)</f>
        <v>116.579511363636</v>
      </c>
      <c r="AC1688" s="61" t="n">
        <f aca="false">AB1688-S1688</f>
        <v>36.56365</v>
      </c>
      <c r="AD1688" s="62" t="n">
        <f aca="false">AB1688/S1688-1</f>
        <v>0.456955025877113</v>
      </c>
      <c r="AE1688" s="60" t="str">
        <f aca="false">IF(AB1688&lt;S1688,"SIM","NÃO")</f>
        <v>NÃO</v>
      </c>
      <c r="AF1688" s="60" t="n">
        <v>2</v>
      </c>
      <c r="AG1688" s="60" t="n">
        <v>5</v>
      </c>
      <c r="AH1688" s="60" t="s">
        <v>382</v>
      </c>
      <c r="AI1688" s="61" t="n">
        <f aca="false">(T1688*(1-Painel!$C$40)+U1688+V1688+Painel!$C$41+Painel!$C$42*CEILING(G1688/100,1)+Painel!$C$43*CEILING(G1688,1)+Z1688)/(1-Resumo!$B$5)</f>
        <v>79.9893977272727</v>
      </c>
      <c r="AJ1688" s="60" t="str">
        <f aca="false">IF(AI1688&lt;S1688,"SIM","NÃO")</f>
        <v>SIM</v>
      </c>
    </row>
    <row r="1689" customFormat="false" ht="15" hidden="false" customHeight="false" outlineLevel="0" collapsed="false">
      <c r="A1689" s="59" t="n">
        <v>46274.893125</v>
      </c>
      <c r="B1689" s="60" t="s">
        <v>1911</v>
      </c>
      <c r="C1689" s="60" t="n">
        <v>24931410</v>
      </c>
      <c r="D1689" s="60" t="s">
        <v>220</v>
      </c>
      <c r="E1689" s="60" t="s">
        <v>24</v>
      </c>
      <c r="F1689" s="60" t="s">
        <v>235</v>
      </c>
      <c r="G1689" s="60" t="n">
        <v>45.3</v>
      </c>
      <c r="H1689" s="61" t="n">
        <v>625.99</v>
      </c>
      <c r="I1689" s="61" t="n">
        <v>77.7</v>
      </c>
      <c r="J1689" s="61" t="n">
        <f aca="false">H1689*Resumo!$C$6</f>
        <v>0</v>
      </c>
      <c r="K1689" s="61" t="n">
        <f aca="false">H1689*Resumo!$C$7</f>
        <v>1.314579</v>
      </c>
      <c r="L1689" s="61" t="n">
        <f aca="false">H1689*Resumo!$C$8</f>
        <v>1.314579</v>
      </c>
      <c r="M1689" s="61" t="n">
        <f aca="false">Resumo!$C$10*CEILING(G1689/100,1)</f>
        <v>1.05</v>
      </c>
      <c r="N1689" s="61" t="n">
        <f aca="false">Resumo!$C$9</f>
        <v>0</v>
      </c>
      <c r="O1689" s="61" t="n">
        <f aca="false">Resumo!$C$13</f>
        <v>13.55</v>
      </c>
      <c r="P1689" s="61" t="n">
        <f aca="false">Resumo!$C$14*CEILING(G1689,1)</f>
        <v>20.7</v>
      </c>
      <c r="Q1689" s="61" t="n">
        <f aca="false">SUM(I1689:P1689)*Resumo!$C$11</f>
        <v>0</v>
      </c>
      <c r="R1689" s="61" t="n">
        <f aca="false">SUM(I1689:Q1689)</f>
        <v>115.629158</v>
      </c>
      <c r="S1689" s="61" t="n">
        <f aca="false">R1689/(1-Resumo!$C$5)</f>
        <v>131.396770454545</v>
      </c>
      <c r="T1689" s="61" t="n">
        <v>114.95</v>
      </c>
      <c r="U1689" s="61" t="n">
        <f aca="false">H1689*Resumo!$B$6</f>
        <v>0.62599</v>
      </c>
      <c r="V1689" s="61" t="n">
        <f aca="false">H1689*Resumo!$B$7</f>
        <v>1.25198</v>
      </c>
      <c r="W1689" s="61" t="n">
        <f aca="false">Resumo!$B$9</f>
        <v>1</v>
      </c>
      <c r="X1689" s="61" t="n">
        <f aca="false">Resumo!$B$10*CEILING(G1689/100,1)</f>
        <v>4.5</v>
      </c>
      <c r="Y1689" s="61" t="n">
        <f aca="false">Resumo!$B$12*CEILING(G1689,1)</f>
        <v>2.76</v>
      </c>
      <c r="Z1689" s="61" t="n">
        <f aca="false">Resumo!$B$14*CEILING(G1689,1)</f>
        <v>20.7</v>
      </c>
      <c r="AA1689" s="61" t="n">
        <f aca="false">SUM(T1689:Z1689)</f>
        <v>145.78797</v>
      </c>
      <c r="AB1689" s="61" t="n">
        <f aca="false">AA1689/(1-Resumo!$B$5)</f>
        <v>165.668147727273</v>
      </c>
      <c r="AC1689" s="61" t="n">
        <f aca="false">AB1689-S1689</f>
        <v>34.2713772727273</v>
      </c>
      <c r="AD1689" s="62" t="n">
        <f aca="false">AB1689/S1689-1</f>
        <v>0.260823589150411</v>
      </c>
      <c r="AE1689" s="60" t="str">
        <f aca="false">IF(AB1689&lt;S1689,"SIM","NÃO")</f>
        <v>NÃO</v>
      </c>
      <c r="AF1689" s="60" t="n">
        <v>13</v>
      </c>
      <c r="AG1689" s="60" t="n">
        <v>7</v>
      </c>
      <c r="AH1689" s="60" t="s">
        <v>382</v>
      </c>
      <c r="AI1689" s="61" t="n">
        <f aca="false">(T1689*(1-Painel!$C$40)+U1689+V1689+Painel!$C$41+Painel!$C$42*CEILING(G1689/100,1)+Painel!$C$43*CEILING(G1689,1)+Z1689)/(1-Resumo!$B$5)</f>
        <v>115.505079545455</v>
      </c>
      <c r="AJ1689" s="60" t="str">
        <f aca="false">IF(AI1689&lt;S1689,"SIM","NÃO")</f>
        <v>SIM</v>
      </c>
    </row>
    <row r="1690" customFormat="false" ht="15" hidden="false" customHeight="false" outlineLevel="0" collapsed="false">
      <c r="A1690" s="59" t="n">
        <v>46274.8934143519</v>
      </c>
      <c r="B1690" s="60" t="s">
        <v>1912</v>
      </c>
      <c r="C1690" s="60" t="n">
        <v>23587565</v>
      </c>
      <c r="D1690" s="60" t="s">
        <v>46</v>
      </c>
      <c r="E1690" s="60" t="s">
        <v>22</v>
      </c>
      <c r="F1690" s="60" t="s">
        <v>234</v>
      </c>
      <c r="G1690" s="60" t="n">
        <v>35.3</v>
      </c>
      <c r="H1690" s="61" t="n">
        <v>432.99</v>
      </c>
      <c r="I1690" s="61" t="n">
        <v>48.35</v>
      </c>
      <c r="J1690" s="61" t="n">
        <f aca="false">H1690*Resumo!$C$6</f>
        <v>0</v>
      </c>
      <c r="K1690" s="61" t="n">
        <f aca="false">H1690*Resumo!$C$7</f>
        <v>0.909279</v>
      </c>
      <c r="L1690" s="61" t="n">
        <f aca="false">H1690*Resumo!$C$8</f>
        <v>0.909279</v>
      </c>
      <c r="M1690" s="61" t="n">
        <f aca="false">Resumo!$C$10*CEILING(G1690/100,1)</f>
        <v>1.05</v>
      </c>
      <c r="N1690" s="61" t="n">
        <f aca="false">Resumo!$C$9</f>
        <v>0</v>
      </c>
      <c r="O1690" s="61" t="n">
        <f aca="false">Resumo!$C$13</f>
        <v>13.55</v>
      </c>
      <c r="P1690" s="61" t="n">
        <f aca="false">Resumo!$C$14*CEILING(G1690,1)</f>
        <v>16.2</v>
      </c>
      <c r="Q1690" s="61" t="n">
        <f aca="false">SUM(I1690:P1690)*Resumo!$C$11</f>
        <v>0</v>
      </c>
      <c r="R1690" s="61" t="n">
        <f aca="false">SUM(I1690:Q1690)</f>
        <v>80.968558</v>
      </c>
      <c r="S1690" s="61" t="n">
        <f aca="false">R1690/(1-Resumo!$C$5)</f>
        <v>92.009725</v>
      </c>
      <c r="T1690" s="61" t="n">
        <v>93.97</v>
      </c>
      <c r="U1690" s="61" t="n">
        <f aca="false">H1690*Resumo!$B$6</f>
        <v>0.43299</v>
      </c>
      <c r="V1690" s="61" t="n">
        <f aca="false">H1690*Resumo!$B$7</f>
        <v>0.86598</v>
      </c>
      <c r="W1690" s="61" t="n">
        <f aca="false">Resumo!$B$9</f>
        <v>1</v>
      </c>
      <c r="X1690" s="61" t="n">
        <f aca="false">Resumo!$B$10*CEILING(G1690/100,1)</f>
        <v>4.5</v>
      </c>
      <c r="Y1690" s="61" t="n">
        <f aca="false">Resumo!$B$12*CEILING(G1690,1)</f>
        <v>2.16</v>
      </c>
      <c r="Z1690" s="61" t="n">
        <f aca="false">Resumo!$B$14*CEILING(G1690,1)</f>
        <v>16.2</v>
      </c>
      <c r="AA1690" s="61" t="n">
        <f aca="false">SUM(T1690:Z1690)</f>
        <v>119.12897</v>
      </c>
      <c r="AB1690" s="61" t="n">
        <f aca="false">AA1690/(1-Resumo!$B$5)</f>
        <v>135.373829545455</v>
      </c>
      <c r="AC1690" s="61" t="n">
        <f aca="false">AB1690-S1690</f>
        <v>43.3641045454545</v>
      </c>
      <c r="AD1690" s="62" t="n">
        <f aca="false">AB1690/S1690-1</f>
        <v>0.471299143057481</v>
      </c>
      <c r="AE1690" s="60" t="str">
        <f aca="false">IF(AB1690&lt;S1690,"SIM","NÃO")</f>
        <v>NÃO</v>
      </c>
      <c r="AF1690" s="60" t="n">
        <v>2</v>
      </c>
      <c r="AG1690" s="60" t="n">
        <v>5</v>
      </c>
      <c r="AH1690" s="60" t="s">
        <v>382</v>
      </c>
      <c r="AI1690" s="61" t="n">
        <f aca="false">(T1690*(1-Painel!$C$40)+U1690+V1690+Painel!$C$41+Painel!$C$42*CEILING(G1690/100,1)+Painel!$C$43*CEILING(G1690,1)+Z1690)/(1-Resumo!$B$5)</f>
        <v>93.7600795454545</v>
      </c>
      <c r="AJ1690" s="60" t="str">
        <f aca="false">IF(AI1690&lt;S1690,"SIM","NÃO")</f>
        <v>NÃO</v>
      </c>
    </row>
    <row r="1691" customFormat="false" ht="15" hidden="false" customHeight="false" outlineLevel="0" collapsed="false">
      <c r="A1691" s="59" t="n">
        <v>46274.9019328704</v>
      </c>
      <c r="B1691" s="60" t="s">
        <v>1134</v>
      </c>
      <c r="C1691" s="60" t="n">
        <v>24415000</v>
      </c>
      <c r="D1691" s="60" t="s">
        <v>47</v>
      </c>
      <c r="E1691" s="60" t="s">
        <v>23</v>
      </c>
      <c r="F1691" s="60" t="s">
        <v>237</v>
      </c>
      <c r="G1691" s="60" t="n">
        <v>66.8</v>
      </c>
      <c r="H1691" s="61" t="n">
        <v>643.99</v>
      </c>
      <c r="I1691" s="61" t="n">
        <v>76.55</v>
      </c>
      <c r="J1691" s="61" t="n">
        <f aca="false">H1691*Resumo!$C$6</f>
        <v>0</v>
      </c>
      <c r="K1691" s="61" t="n">
        <f aca="false">H1691*Resumo!$C$7</f>
        <v>1.352379</v>
      </c>
      <c r="L1691" s="61" t="n">
        <f aca="false">H1691*Resumo!$C$8</f>
        <v>1.352379</v>
      </c>
      <c r="M1691" s="61" t="n">
        <f aca="false">Resumo!$C$10*CEILING(G1691/100,1)</f>
        <v>1.05</v>
      </c>
      <c r="N1691" s="61" t="n">
        <f aca="false">Resumo!$C$9</f>
        <v>0</v>
      </c>
      <c r="O1691" s="61" t="n">
        <f aca="false">Resumo!$C$13</f>
        <v>13.55</v>
      </c>
      <c r="P1691" s="61" t="n">
        <f aca="false">Resumo!$C$14*CEILING(G1691,1)</f>
        <v>30.15</v>
      </c>
      <c r="Q1691" s="61" t="n">
        <f aca="false">SUM(I1691:P1691)*Resumo!$C$11</f>
        <v>0</v>
      </c>
      <c r="R1691" s="61" t="n">
        <f aca="false">SUM(I1691:Q1691)</f>
        <v>124.004758</v>
      </c>
      <c r="S1691" s="61" t="n">
        <f aca="false">R1691/(1-Resumo!$C$5)</f>
        <v>140.914497727273</v>
      </c>
      <c r="T1691" s="61" t="n">
        <v>149.5</v>
      </c>
      <c r="U1691" s="61" t="n">
        <f aca="false">H1691*Resumo!$B$6</f>
        <v>0.64399</v>
      </c>
      <c r="V1691" s="61" t="n">
        <f aca="false">H1691*Resumo!$B$7</f>
        <v>1.28798</v>
      </c>
      <c r="W1691" s="61" t="n">
        <f aca="false">Resumo!$B$9</f>
        <v>1</v>
      </c>
      <c r="X1691" s="61" t="n">
        <f aca="false">Resumo!$B$10*CEILING(G1691/100,1)</f>
        <v>4.5</v>
      </c>
      <c r="Y1691" s="61" t="n">
        <f aca="false">Resumo!$B$12*CEILING(G1691,1)</f>
        <v>4.02</v>
      </c>
      <c r="Z1691" s="61" t="n">
        <f aca="false">Resumo!$B$14*CEILING(G1691,1)</f>
        <v>30.15</v>
      </c>
      <c r="AA1691" s="61" t="n">
        <f aca="false">SUM(T1691:Z1691)</f>
        <v>191.10197</v>
      </c>
      <c r="AB1691" s="61" t="n">
        <f aca="false">AA1691/(1-Resumo!$B$5)</f>
        <v>217.161329545455</v>
      </c>
      <c r="AC1691" s="61" t="n">
        <f aca="false">AB1691-S1691</f>
        <v>76.2468318181818</v>
      </c>
      <c r="AD1691" s="62" t="n">
        <f aca="false">AB1691/S1691-1</f>
        <v>0.541085786401841</v>
      </c>
      <c r="AE1691" s="60" t="str">
        <f aca="false">IF(AB1691&lt;S1691,"SIM","NÃO")</f>
        <v>NÃO</v>
      </c>
      <c r="AF1691" s="60" t="n">
        <v>2</v>
      </c>
      <c r="AG1691" s="60" t="n">
        <v>7</v>
      </c>
      <c r="AH1691" s="60" t="s">
        <v>382</v>
      </c>
      <c r="AI1691" s="61" t="n">
        <f aca="false">(T1691*(1-Painel!$C$40)+U1691+V1691+Painel!$C$41+Painel!$C$42*CEILING(G1691/100,1)+Painel!$C$43*CEILING(G1691,1)+Z1691)/(1-Resumo!$B$5)</f>
        <v>152.610193181818</v>
      </c>
      <c r="AJ1691" s="60" t="str">
        <f aca="false">IF(AI1691&lt;S1691,"SIM","NÃO")</f>
        <v>NÃO</v>
      </c>
    </row>
    <row r="1692" customFormat="false" ht="15" hidden="false" customHeight="false" outlineLevel="0" collapsed="false">
      <c r="A1692" s="59" t="n">
        <v>46274.9568865741</v>
      </c>
      <c r="B1692" s="60" t="s">
        <v>1913</v>
      </c>
      <c r="C1692" s="60" t="n">
        <v>24901640</v>
      </c>
      <c r="D1692" s="60" t="s">
        <v>220</v>
      </c>
      <c r="E1692" s="60" t="s">
        <v>24</v>
      </c>
      <c r="F1692" s="60" t="s">
        <v>233</v>
      </c>
      <c r="G1692" s="60" t="n">
        <v>24.4</v>
      </c>
      <c r="H1692" s="61" t="n">
        <v>359.99</v>
      </c>
      <c r="I1692" s="61" t="n">
        <v>65.63</v>
      </c>
      <c r="J1692" s="61" t="n">
        <f aca="false">H1692*Resumo!$C$6</f>
        <v>0</v>
      </c>
      <c r="K1692" s="61" t="n">
        <f aca="false">H1692*Resumo!$C$7</f>
        <v>0.755979</v>
      </c>
      <c r="L1692" s="61" t="n">
        <f aca="false">H1692*Resumo!$C$8</f>
        <v>0.755979</v>
      </c>
      <c r="M1692" s="61" t="n">
        <f aca="false">Resumo!$C$10*CEILING(G1692/100,1)</f>
        <v>1.05</v>
      </c>
      <c r="N1692" s="61" t="n">
        <f aca="false">Resumo!$C$9</f>
        <v>0</v>
      </c>
      <c r="O1692" s="61" t="n">
        <f aca="false">Resumo!$C$13</f>
        <v>13.55</v>
      </c>
      <c r="P1692" s="61" t="n">
        <f aca="false">Resumo!$C$14*CEILING(G1692,1)</f>
        <v>11.25</v>
      </c>
      <c r="Q1692" s="61" t="n">
        <f aca="false">SUM(I1692:P1692)*Resumo!$C$11</f>
        <v>0</v>
      </c>
      <c r="R1692" s="61" t="n">
        <f aca="false">SUM(I1692:Q1692)</f>
        <v>92.991958</v>
      </c>
      <c r="S1692" s="61" t="n">
        <f aca="false">R1692/(1-Resumo!$C$5)</f>
        <v>105.672679545455</v>
      </c>
      <c r="T1692" s="61" t="n">
        <v>100.58</v>
      </c>
      <c r="U1692" s="61" t="n">
        <f aca="false">H1692*Resumo!$B$6</f>
        <v>0.35999</v>
      </c>
      <c r="V1692" s="61" t="n">
        <f aca="false">H1692*Resumo!$B$7</f>
        <v>0.71998</v>
      </c>
      <c r="W1692" s="61" t="n">
        <f aca="false">Resumo!$B$9</f>
        <v>1</v>
      </c>
      <c r="X1692" s="61" t="n">
        <f aca="false">Resumo!$B$10*CEILING(G1692/100,1)</f>
        <v>4.5</v>
      </c>
      <c r="Y1692" s="61" t="n">
        <f aca="false">Resumo!$B$12*CEILING(G1692,1)</f>
        <v>1.5</v>
      </c>
      <c r="Z1692" s="61" t="n">
        <f aca="false">Resumo!$B$14*CEILING(G1692,1)</f>
        <v>11.25</v>
      </c>
      <c r="AA1692" s="61" t="n">
        <f aca="false">SUM(T1692:Z1692)</f>
        <v>119.90997</v>
      </c>
      <c r="AB1692" s="61" t="n">
        <f aca="false">AA1692/(1-Resumo!$B$5)</f>
        <v>136.261329545455</v>
      </c>
      <c r="AC1692" s="61" t="n">
        <f aca="false">AB1692-S1692</f>
        <v>30.58865</v>
      </c>
      <c r="AD1692" s="62" t="n">
        <f aca="false">AB1692/S1692-1</f>
        <v>0.289466020276721</v>
      </c>
      <c r="AE1692" s="60" t="str">
        <f aca="false">IF(AB1692&lt;S1692,"SIM","NÃO")</f>
        <v>NÃO</v>
      </c>
      <c r="AF1692" s="60" t="n">
        <v>13</v>
      </c>
      <c r="AG1692" s="60" t="n">
        <v>7</v>
      </c>
      <c r="AH1692" s="60" t="s">
        <v>382</v>
      </c>
      <c r="AI1692" s="61" t="n">
        <f aca="false">(T1692*(1-Painel!$C$40)+U1692+V1692+Painel!$C$41+Painel!$C$42*CEILING(G1692/100,1)+Painel!$C$43*CEILING(G1692,1)+Z1692)/(1-Resumo!$B$5)</f>
        <v>92.9188295454545</v>
      </c>
      <c r="AJ1692" s="60" t="str">
        <f aca="false">IF(AI1692&lt;S1692,"SIM","NÃO")</f>
        <v>SIM</v>
      </c>
    </row>
    <row r="1693" customFormat="false" ht="15" hidden="false" customHeight="false" outlineLevel="0" collapsed="false">
      <c r="A1693" s="59" t="n">
        <v>46274.960625</v>
      </c>
      <c r="B1693" s="60" t="s">
        <v>1914</v>
      </c>
      <c r="C1693" s="60" t="n">
        <v>27930805</v>
      </c>
      <c r="D1693" s="60" t="s">
        <v>53</v>
      </c>
      <c r="E1693" s="60" t="s">
        <v>24</v>
      </c>
      <c r="F1693" s="60" t="s">
        <v>236</v>
      </c>
      <c r="G1693" s="60" t="n">
        <v>51.06</v>
      </c>
      <c r="H1693" s="61" t="n">
        <v>749.99</v>
      </c>
      <c r="I1693" s="61" t="n">
        <v>83.58</v>
      </c>
      <c r="J1693" s="61" t="n">
        <f aca="false">H1693*Resumo!$C$6</f>
        <v>0</v>
      </c>
      <c r="K1693" s="61" t="n">
        <f aca="false">H1693*Resumo!$C$7</f>
        <v>1.574979</v>
      </c>
      <c r="L1693" s="61" t="n">
        <f aca="false">H1693*Resumo!$C$8</f>
        <v>1.574979</v>
      </c>
      <c r="M1693" s="61" t="n">
        <f aca="false">Resumo!$C$10*CEILING(G1693/100,1)</f>
        <v>1.05</v>
      </c>
      <c r="N1693" s="61" t="n">
        <f aca="false">Resumo!$C$9</f>
        <v>0</v>
      </c>
      <c r="O1693" s="61" t="n">
        <f aca="false">Resumo!$C$13</f>
        <v>13.55</v>
      </c>
      <c r="P1693" s="61" t="n">
        <f aca="false">Resumo!$C$14*CEILING(G1693,1)</f>
        <v>23.4</v>
      </c>
      <c r="Q1693" s="61" t="n">
        <f aca="false">SUM(I1693:P1693)*Resumo!$C$11</f>
        <v>0</v>
      </c>
      <c r="R1693" s="61" t="n">
        <f aca="false">SUM(I1693:Q1693)</f>
        <v>124.729958</v>
      </c>
      <c r="S1693" s="61" t="n">
        <f aca="false">R1693/(1-Resumo!$C$5)</f>
        <v>141.738588636364</v>
      </c>
      <c r="T1693" s="61" t="n">
        <v>162.04</v>
      </c>
      <c r="U1693" s="61" t="n">
        <f aca="false">H1693*Resumo!$B$6</f>
        <v>0.74999</v>
      </c>
      <c r="V1693" s="61" t="n">
        <f aca="false">H1693*Resumo!$B$7</f>
        <v>1.49998</v>
      </c>
      <c r="W1693" s="61" t="n">
        <f aca="false">Resumo!$B$9</f>
        <v>1</v>
      </c>
      <c r="X1693" s="61" t="n">
        <f aca="false">Resumo!$B$10*CEILING(G1693/100,1)</f>
        <v>4.5</v>
      </c>
      <c r="Y1693" s="61" t="n">
        <f aca="false">Resumo!$B$12*CEILING(G1693,1)</f>
        <v>3.12</v>
      </c>
      <c r="Z1693" s="61" t="n">
        <f aca="false">Resumo!$B$14*CEILING(G1693,1)</f>
        <v>23.4</v>
      </c>
      <c r="AA1693" s="61" t="n">
        <f aca="false">SUM(T1693:Z1693)</f>
        <v>196.30997</v>
      </c>
      <c r="AB1693" s="61" t="n">
        <f aca="false">AA1693/(1-Resumo!$B$5)</f>
        <v>223.079511363636</v>
      </c>
      <c r="AC1693" s="61" t="n">
        <f aca="false">AB1693-S1693</f>
        <v>81.3409227272727</v>
      </c>
      <c r="AD1693" s="62" t="n">
        <f aca="false">AB1693/S1693-1</f>
        <v>0.573879869341413</v>
      </c>
      <c r="AE1693" s="60" t="str">
        <f aca="false">IF(AB1693&lt;S1693,"SIM","NÃO")</f>
        <v>NÃO</v>
      </c>
      <c r="AF1693" s="60" t="n">
        <v>13</v>
      </c>
      <c r="AG1693" s="60" t="n">
        <v>11</v>
      </c>
      <c r="AH1693" s="60" t="s">
        <v>382</v>
      </c>
      <c r="AI1693" s="61" t="n">
        <f aca="false">(T1693*(1-Painel!$C$40)+U1693+V1693+Painel!$C$41+Painel!$C$42*CEILING(G1693/100,1)+Painel!$C$43*CEILING(G1693,1)+Z1693)/(1-Resumo!$B$5)</f>
        <v>154.848602272727</v>
      </c>
      <c r="AJ1693" s="60" t="str">
        <f aca="false">IF(AI1693&lt;S1693,"SIM","NÃO")</f>
        <v>NÃO</v>
      </c>
    </row>
    <row r="1694" customFormat="false" ht="15" hidden="false" customHeight="false" outlineLevel="0" collapsed="false">
      <c r="A1694" s="59" t="n">
        <v>46274.9612037037</v>
      </c>
      <c r="B1694" s="60" t="s">
        <v>1915</v>
      </c>
      <c r="C1694" s="60" t="n">
        <v>28983816</v>
      </c>
      <c r="D1694" s="60" t="s">
        <v>222</v>
      </c>
      <c r="E1694" s="60" t="s">
        <v>24</v>
      </c>
      <c r="F1694" s="60" t="s">
        <v>235</v>
      </c>
      <c r="G1694" s="60" t="n">
        <v>41.4</v>
      </c>
      <c r="H1694" s="61" t="n">
        <v>387</v>
      </c>
      <c r="I1694" s="61" t="n">
        <v>77.7</v>
      </c>
      <c r="J1694" s="61" t="n">
        <f aca="false">H1694*Resumo!$C$6</f>
        <v>0</v>
      </c>
      <c r="K1694" s="61" t="n">
        <f aca="false">H1694*Resumo!$C$7</f>
        <v>0.8127</v>
      </c>
      <c r="L1694" s="61" t="n">
        <f aca="false">H1694*Resumo!$C$8</f>
        <v>0.8127</v>
      </c>
      <c r="M1694" s="61" t="n">
        <f aca="false">Resumo!$C$10*CEILING(G1694/100,1)</f>
        <v>1.05</v>
      </c>
      <c r="N1694" s="61" t="n">
        <f aca="false">Resumo!$C$9</f>
        <v>0</v>
      </c>
      <c r="O1694" s="61" t="n">
        <f aca="false">Resumo!$C$13</f>
        <v>13.55</v>
      </c>
      <c r="P1694" s="61" t="n">
        <f aca="false">Resumo!$C$14*CEILING(G1694,1)</f>
        <v>18.9</v>
      </c>
      <c r="Q1694" s="61" t="n">
        <f aca="false">SUM(I1694:P1694)*Resumo!$C$11</f>
        <v>0</v>
      </c>
      <c r="R1694" s="61" t="n">
        <f aca="false">SUM(I1694:Q1694)</f>
        <v>112.8254</v>
      </c>
      <c r="S1694" s="61" t="n">
        <f aca="false">R1694/(1-Resumo!$C$5)</f>
        <v>128.210681818182</v>
      </c>
      <c r="T1694" s="61" t="n">
        <v>129.29</v>
      </c>
      <c r="U1694" s="61" t="n">
        <f aca="false">H1694*Resumo!$B$6</f>
        <v>0.387</v>
      </c>
      <c r="V1694" s="61" t="n">
        <f aca="false">H1694*Resumo!$B$7</f>
        <v>0.774</v>
      </c>
      <c r="W1694" s="61" t="n">
        <f aca="false">Resumo!$B$9</f>
        <v>1</v>
      </c>
      <c r="X1694" s="61" t="n">
        <f aca="false">Resumo!$B$10*CEILING(G1694/100,1)</f>
        <v>4.5</v>
      </c>
      <c r="Y1694" s="61" t="n">
        <f aca="false">Resumo!$B$12*CEILING(G1694,1)</f>
        <v>2.52</v>
      </c>
      <c r="Z1694" s="61" t="n">
        <f aca="false">Resumo!$B$14*CEILING(G1694,1)</f>
        <v>18.9</v>
      </c>
      <c r="AA1694" s="61" t="n">
        <f aca="false">SUM(T1694:Z1694)</f>
        <v>157.371</v>
      </c>
      <c r="AB1694" s="61" t="n">
        <f aca="false">AA1694/(1-Resumo!$B$5)</f>
        <v>178.830681818182</v>
      </c>
      <c r="AC1694" s="61" t="n">
        <f aca="false">AB1694-S1694</f>
        <v>50.62</v>
      </c>
      <c r="AD1694" s="62" t="n">
        <f aca="false">AB1694/S1694-1</f>
        <v>0.394818897163227</v>
      </c>
      <c r="AE1694" s="60" t="str">
        <f aca="false">IF(AB1694&lt;S1694,"SIM","NÃO")</f>
        <v>NÃO</v>
      </c>
      <c r="AF1694" s="60" t="n">
        <v>13</v>
      </c>
      <c r="AG1694" s="60" t="n">
        <v>10</v>
      </c>
      <c r="AH1694" s="60" t="s">
        <v>382</v>
      </c>
      <c r="AI1694" s="61" t="n">
        <f aca="false">(T1694*(1-Painel!$C$40)+U1694+V1694+Painel!$C$41+Painel!$C$42*CEILING(G1694/100,1)+Painel!$C$43*CEILING(G1694,1)+Z1694)/(1-Resumo!$B$5)</f>
        <v>123.562840909091</v>
      </c>
      <c r="AJ1694" s="60" t="str">
        <f aca="false">IF(AI1694&lt;S1694,"SIM","NÃO")</f>
        <v>SIM</v>
      </c>
    </row>
    <row r="1695" customFormat="false" ht="15" hidden="false" customHeight="false" outlineLevel="0" collapsed="false">
      <c r="A1695" s="59" t="n">
        <v>46274.9727430556</v>
      </c>
      <c r="B1695" s="60" t="s">
        <v>625</v>
      </c>
      <c r="C1695" s="60" t="n">
        <v>23970000</v>
      </c>
      <c r="D1695" s="60" t="s">
        <v>268</v>
      </c>
      <c r="E1695" s="60" t="s">
        <v>24</v>
      </c>
      <c r="F1695" s="60" t="s">
        <v>233</v>
      </c>
      <c r="G1695" s="60" t="n">
        <v>33.11</v>
      </c>
      <c r="H1695" s="61" t="n">
        <v>392.24</v>
      </c>
      <c r="I1695" s="61" t="n">
        <v>65.63</v>
      </c>
      <c r="J1695" s="61" t="n">
        <f aca="false">H1695*Resumo!$C$6</f>
        <v>0</v>
      </c>
      <c r="K1695" s="61" t="n">
        <f aca="false">H1695*Resumo!$C$7</f>
        <v>0.823704</v>
      </c>
      <c r="L1695" s="61" t="n">
        <f aca="false">H1695*Resumo!$C$8</f>
        <v>0.823704</v>
      </c>
      <c r="M1695" s="61" t="n">
        <f aca="false">Resumo!$C$10*CEILING(G1695/100,1)</f>
        <v>1.05</v>
      </c>
      <c r="N1695" s="61" t="n">
        <f aca="false">Resumo!$C$9</f>
        <v>0</v>
      </c>
      <c r="O1695" s="61" t="n">
        <f aca="false">Resumo!$C$13</f>
        <v>13.55</v>
      </c>
      <c r="P1695" s="61" t="n">
        <f aca="false">Resumo!$C$14*CEILING(G1695,1)</f>
        <v>15.3</v>
      </c>
      <c r="Q1695" s="61" t="n">
        <f aca="false">SUM(I1695:P1695)*Resumo!$C$11</f>
        <v>0</v>
      </c>
      <c r="R1695" s="61" t="n">
        <f aca="false">SUM(I1695:Q1695)</f>
        <v>97.177408</v>
      </c>
      <c r="S1695" s="61" t="n">
        <f aca="false">R1695/(1-Resumo!$C$5)</f>
        <v>110.428872727273</v>
      </c>
      <c r="T1695" s="61" t="n">
        <v>108.83</v>
      </c>
      <c r="U1695" s="61" t="n">
        <f aca="false">H1695*Resumo!$B$6</f>
        <v>0.39224</v>
      </c>
      <c r="V1695" s="61" t="n">
        <f aca="false">H1695*Resumo!$B$7</f>
        <v>0.78448</v>
      </c>
      <c r="W1695" s="61" t="n">
        <f aca="false">Resumo!$B$9</f>
        <v>1</v>
      </c>
      <c r="X1695" s="61" t="n">
        <f aca="false">Resumo!$B$10*CEILING(G1695/100,1)</f>
        <v>4.5</v>
      </c>
      <c r="Y1695" s="61" t="n">
        <f aca="false">Resumo!$B$12*CEILING(G1695,1)</f>
        <v>2.04</v>
      </c>
      <c r="Z1695" s="61" t="n">
        <f aca="false">Resumo!$B$14*CEILING(G1695,1)</f>
        <v>15.3</v>
      </c>
      <c r="AA1695" s="61" t="n">
        <f aca="false">SUM(T1695:Z1695)</f>
        <v>132.84672</v>
      </c>
      <c r="AB1695" s="61" t="n">
        <f aca="false">AA1695/(1-Resumo!$B$5)</f>
        <v>150.962181818182</v>
      </c>
      <c r="AC1695" s="61" t="n">
        <f aca="false">AB1695-S1695</f>
        <v>40.5333090909091</v>
      </c>
      <c r="AD1695" s="62" t="n">
        <f aca="false">AB1695/S1695-1</f>
        <v>0.36705354396775</v>
      </c>
      <c r="AE1695" s="60" t="str">
        <f aca="false">IF(AB1695&lt;S1695,"SIM","NÃO")</f>
        <v>NÃO</v>
      </c>
      <c r="AF1695" s="60" t="n">
        <v>13</v>
      </c>
      <c r="AG1695" s="60" t="n">
        <v>10</v>
      </c>
      <c r="AH1695" s="60" t="s">
        <v>385</v>
      </c>
      <c r="AI1695" s="61" t="n">
        <f aca="false">(T1695*(1-Painel!$C$40)+U1695+V1695+Painel!$C$41+Painel!$C$42*CEILING(G1695/100,1)+Painel!$C$43*CEILING(G1695,1)+Z1695)/(1-Resumo!$B$5)</f>
        <v>103.912295454545</v>
      </c>
      <c r="AJ1695" s="60" t="str">
        <f aca="false">IF(AI1695&lt;S1695,"SIM","NÃO")</f>
        <v>SIM</v>
      </c>
    </row>
    <row r="1696" customFormat="false" ht="15" hidden="false" customHeight="false" outlineLevel="0" collapsed="false">
      <c r="A1696" s="59" t="n">
        <v>46275.0038888889</v>
      </c>
      <c r="B1696" s="60" t="s">
        <v>1916</v>
      </c>
      <c r="C1696" s="60" t="n">
        <v>27946010</v>
      </c>
      <c r="D1696" s="60" t="s">
        <v>53</v>
      </c>
      <c r="E1696" s="60" t="s">
        <v>24</v>
      </c>
      <c r="F1696" s="60" t="s">
        <v>235</v>
      </c>
      <c r="G1696" s="60" t="n">
        <v>41.2</v>
      </c>
      <c r="H1696" s="61" t="n">
        <v>620.78</v>
      </c>
      <c r="I1696" s="61" t="n">
        <v>77.7</v>
      </c>
      <c r="J1696" s="61" t="n">
        <f aca="false">H1696*Resumo!$C$6</f>
        <v>0</v>
      </c>
      <c r="K1696" s="61" t="n">
        <f aca="false">H1696*Resumo!$C$7</f>
        <v>1.303638</v>
      </c>
      <c r="L1696" s="61" t="n">
        <f aca="false">H1696*Resumo!$C$8</f>
        <v>1.303638</v>
      </c>
      <c r="M1696" s="61" t="n">
        <f aca="false">Resumo!$C$10*CEILING(G1696/100,1)</f>
        <v>1.05</v>
      </c>
      <c r="N1696" s="61" t="n">
        <f aca="false">Resumo!$C$9</f>
        <v>0</v>
      </c>
      <c r="O1696" s="61" t="n">
        <f aca="false">Resumo!$C$13</f>
        <v>13.55</v>
      </c>
      <c r="P1696" s="61" t="n">
        <f aca="false">Resumo!$C$14*CEILING(G1696,1)</f>
        <v>18.9</v>
      </c>
      <c r="Q1696" s="61" t="n">
        <f aca="false">SUM(I1696:P1696)*Resumo!$C$11</f>
        <v>0</v>
      </c>
      <c r="R1696" s="61" t="n">
        <f aca="false">SUM(I1696:Q1696)</f>
        <v>113.807276</v>
      </c>
      <c r="S1696" s="61" t="n">
        <f aca="false">R1696/(1-Resumo!$C$5)</f>
        <v>129.32645</v>
      </c>
      <c r="T1696" s="61" t="n">
        <v>152.54</v>
      </c>
      <c r="U1696" s="61" t="n">
        <f aca="false">H1696*Resumo!$B$6</f>
        <v>0.62078</v>
      </c>
      <c r="V1696" s="61" t="n">
        <f aca="false">H1696*Resumo!$B$7</f>
        <v>1.24156</v>
      </c>
      <c r="W1696" s="61" t="n">
        <f aca="false">Resumo!$B$9</f>
        <v>1</v>
      </c>
      <c r="X1696" s="61" t="n">
        <f aca="false">Resumo!$B$10*CEILING(G1696/100,1)</f>
        <v>4.5</v>
      </c>
      <c r="Y1696" s="61" t="n">
        <f aca="false">Resumo!$B$12*CEILING(G1696,1)</f>
        <v>2.52</v>
      </c>
      <c r="Z1696" s="61" t="n">
        <f aca="false">Resumo!$B$14*CEILING(G1696,1)</f>
        <v>18.9</v>
      </c>
      <c r="AA1696" s="61" t="n">
        <f aca="false">SUM(T1696:Z1696)</f>
        <v>181.32234</v>
      </c>
      <c r="AB1696" s="61" t="n">
        <f aca="false">AA1696/(1-Resumo!$B$5)</f>
        <v>206.048113636364</v>
      </c>
      <c r="AC1696" s="61" t="n">
        <f aca="false">AB1696-S1696</f>
        <v>76.7216636363636</v>
      </c>
      <c r="AD1696" s="62" t="n">
        <f aca="false">AB1696/S1696-1</f>
        <v>0.593240312684402</v>
      </c>
      <c r="AE1696" s="60" t="str">
        <f aca="false">IF(AB1696&lt;S1696,"SIM","NÃO")</f>
        <v>NÃO</v>
      </c>
      <c r="AF1696" s="60" t="n">
        <v>13</v>
      </c>
      <c r="AG1696" s="60" t="n">
        <v>11</v>
      </c>
      <c r="AH1696" s="60" t="s">
        <v>382</v>
      </c>
      <c r="AI1696" s="61" t="n">
        <f aca="false">(T1696*(1-Painel!$C$40)+U1696+V1696+Painel!$C$41+Painel!$C$42*CEILING(G1696/100,1)+Painel!$C$43*CEILING(G1696,1)+Z1696)/(1-Resumo!$B$5)</f>
        <v>142.061522727273</v>
      </c>
      <c r="AJ1696" s="60" t="str">
        <f aca="false">IF(AI1696&lt;S1696,"SIM","NÃO")</f>
        <v>NÃO</v>
      </c>
    </row>
    <row r="1697" customFormat="false" ht="15" hidden="false" customHeight="false" outlineLevel="0" collapsed="false">
      <c r="A1697" s="59" t="n">
        <v>46275.0227083333</v>
      </c>
      <c r="B1697" s="60" t="s">
        <v>1917</v>
      </c>
      <c r="C1697" s="60" t="n">
        <v>27276385</v>
      </c>
      <c r="D1697" s="60" t="s">
        <v>217</v>
      </c>
      <c r="E1697" s="60" t="s">
        <v>24</v>
      </c>
      <c r="F1697" s="60" t="s">
        <v>233</v>
      </c>
      <c r="G1697" s="60" t="n">
        <v>30.5</v>
      </c>
      <c r="H1697" s="61" t="n">
        <v>449.99</v>
      </c>
      <c r="I1697" s="61" t="n">
        <v>65.63</v>
      </c>
      <c r="J1697" s="61" t="n">
        <f aca="false">H1697*Resumo!$C$6</f>
        <v>0</v>
      </c>
      <c r="K1697" s="61" t="n">
        <f aca="false">H1697*Resumo!$C$7</f>
        <v>0.944979</v>
      </c>
      <c r="L1697" s="61" t="n">
        <f aca="false">H1697*Resumo!$C$8</f>
        <v>0.944979</v>
      </c>
      <c r="M1697" s="61" t="n">
        <f aca="false">Resumo!$C$10*CEILING(G1697/100,1)</f>
        <v>1.05</v>
      </c>
      <c r="N1697" s="61" t="n">
        <f aca="false">Resumo!$C$9</f>
        <v>0</v>
      </c>
      <c r="O1697" s="61" t="n">
        <f aca="false">Resumo!$C$13</f>
        <v>13.55</v>
      </c>
      <c r="P1697" s="61" t="n">
        <f aca="false">Resumo!$C$14*CEILING(G1697,1)</f>
        <v>13.95</v>
      </c>
      <c r="Q1697" s="61" t="n">
        <f aca="false">SUM(I1697:P1697)*Resumo!$C$11</f>
        <v>0</v>
      </c>
      <c r="R1697" s="61" t="n">
        <f aca="false">SUM(I1697:Q1697)</f>
        <v>96.069958</v>
      </c>
      <c r="S1697" s="61" t="n">
        <f aca="false">R1697/(1-Resumo!$C$5)</f>
        <v>109.170406818182</v>
      </c>
      <c r="T1697" s="61" t="n">
        <v>108.83</v>
      </c>
      <c r="U1697" s="61" t="n">
        <f aca="false">H1697*Resumo!$B$6</f>
        <v>0.44999</v>
      </c>
      <c r="V1697" s="61" t="n">
        <f aca="false">H1697*Resumo!$B$7</f>
        <v>0.89998</v>
      </c>
      <c r="W1697" s="61" t="n">
        <f aca="false">Resumo!$B$9</f>
        <v>1</v>
      </c>
      <c r="X1697" s="61" t="n">
        <f aca="false">Resumo!$B$10*CEILING(G1697/100,1)</f>
        <v>4.5</v>
      </c>
      <c r="Y1697" s="61" t="n">
        <f aca="false">Resumo!$B$12*CEILING(G1697,1)</f>
        <v>1.86</v>
      </c>
      <c r="Z1697" s="61" t="n">
        <f aca="false">Resumo!$B$14*CEILING(G1697,1)</f>
        <v>13.95</v>
      </c>
      <c r="AA1697" s="61" t="n">
        <f aca="false">SUM(T1697:Z1697)</f>
        <v>131.48997</v>
      </c>
      <c r="AB1697" s="61" t="n">
        <f aca="false">AA1697/(1-Resumo!$B$5)</f>
        <v>149.420420454545</v>
      </c>
      <c r="AC1697" s="61" t="n">
        <f aca="false">AB1697-S1697</f>
        <v>40.2500136363636</v>
      </c>
      <c r="AD1697" s="62" t="n">
        <f aca="false">AB1697/S1697-1</f>
        <v>0.368689783334765</v>
      </c>
      <c r="AE1697" s="60" t="str">
        <f aca="false">IF(AB1697&lt;S1697,"SIM","NÃO")</f>
        <v>NÃO</v>
      </c>
      <c r="AF1697" s="60" t="n">
        <v>13</v>
      </c>
      <c r="AG1697" s="60" t="n">
        <v>10</v>
      </c>
      <c r="AH1697" s="60" t="s">
        <v>382</v>
      </c>
      <c r="AI1697" s="61" t="n">
        <f aca="false">(T1697*(1-Painel!$C$40)+U1697+V1697+Painel!$C$41+Painel!$C$42*CEILING(G1697/100,1)+Painel!$C$43*CEILING(G1697,1)+Z1697)/(1-Resumo!$B$5)</f>
        <v>102.575079545455</v>
      </c>
      <c r="AJ1697" s="60" t="str">
        <f aca="false">IF(AI1697&lt;S1697,"SIM","NÃO")</f>
        <v>SIM</v>
      </c>
    </row>
    <row r="1698" customFormat="false" ht="15" hidden="false" customHeight="false" outlineLevel="0" collapsed="false">
      <c r="A1698" s="59" t="n">
        <v>46275.0656828704</v>
      </c>
      <c r="B1698" s="60" t="s">
        <v>570</v>
      </c>
      <c r="C1698" s="60" t="n">
        <v>21911310</v>
      </c>
      <c r="D1698" s="60" t="s">
        <v>46</v>
      </c>
      <c r="E1698" s="60" t="s">
        <v>22</v>
      </c>
      <c r="F1698" s="60" t="s">
        <v>233</v>
      </c>
      <c r="G1698" s="60" t="n">
        <v>24.8</v>
      </c>
      <c r="H1698" s="61" t="n">
        <v>299.99</v>
      </c>
      <c r="I1698" s="61" t="n">
        <v>42.11</v>
      </c>
      <c r="J1698" s="61" t="n">
        <f aca="false">H1698*Resumo!$C$6</f>
        <v>0</v>
      </c>
      <c r="K1698" s="61" t="n">
        <f aca="false">H1698*Resumo!$C$7</f>
        <v>0.629979</v>
      </c>
      <c r="L1698" s="61" t="n">
        <f aca="false">H1698*Resumo!$C$8</f>
        <v>0.629979</v>
      </c>
      <c r="M1698" s="61" t="n">
        <f aca="false">Resumo!$C$10*CEILING(G1698/100,1)</f>
        <v>1.05</v>
      </c>
      <c r="N1698" s="61" t="n">
        <f aca="false">Resumo!$C$9</f>
        <v>0</v>
      </c>
      <c r="O1698" s="61" t="n">
        <f aca="false">Resumo!$C$13</f>
        <v>13.55</v>
      </c>
      <c r="P1698" s="61" t="n">
        <f aca="false">Resumo!$C$14*CEILING(G1698,1)</f>
        <v>11.25</v>
      </c>
      <c r="Q1698" s="61" t="n">
        <f aca="false">SUM(I1698:P1698)*Resumo!$C$11</f>
        <v>0</v>
      </c>
      <c r="R1698" s="61" t="n">
        <f aca="false">SUM(I1698:Q1698)</f>
        <v>69.219958</v>
      </c>
      <c r="S1698" s="61" t="n">
        <f aca="false">R1698/(1-Resumo!$C$5)</f>
        <v>78.6590431818182</v>
      </c>
      <c r="T1698" s="61" t="n">
        <v>82.21</v>
      </c>
      <c r="U1698" s="61" t="n">
        <f aca="false">H1698*Resumo!$B$6</f>
        <v>0.29999</v>
      </c>
      <c r="V1698" s="61" t="n">
        <f aca="false">H1698*Resumo!$B$7</f>
        <v>0.59998</v>
      </c>
      <c r="W1698" s="61" t="n">
        <f aca="false">Resumo!$B$9</f>
        <v>1</v>
      </c>
      <c r="X1698" s="61" t="n">
        <f aca="false">Resumo!$B$10*CEILING(G1698/100,1)</f>
        <v>4.5</v>
      </c>
      <c r="Y1698" s="61" t="n">
        <f aca="false">Resumo!$B$12*CEILING(G1698,1)</f>
        <v>1.5</v>
      </c>
      <c r="Z1698" s="61" t="n">
        <f aca="false">Resumo!$B$14*CEILING(G1698,1)</f>
        <v>11.25</v>
      </c>
      <c r="AA1698" s="61" t="n">
        <f aca="false">SUM(T1698:Z1698)</f>
        <v>101.35997</v>
      </c>
      <c r="AB1698" s="61" t="n">
        <f aca="false">AA1698/(1-Resumo!$B$5)</f>
        <v>115.181784090909</v>
      </c>
      <c r="AC1698" s="61" t="n">
        <f aca="false">AB1698-S1698</f>
        <v>36.5227409090909</v>
      </c>
      <c r="AD1698" s="62" t="n">
        <f aca="false">AB1698/S1698-1</f>
        <v>0.464317126572079</v>
      </c>
      <c r="AE1698" s="60" t="str">
        <f aca="false">IF(AB1698&lt;S1698,"SIM","NÃO")</f>
        <v>NÃO</v>
      </c>
      <c r="AF1698" s="60" t="n">
        <v>2</v>
      </c>
      <c r="AG1698" s="60" t="n">
        <v>5</v>
      </c>
      <c r="AH1698" s="60" t="s">
        <v>382</v>
      </c>
      <c r="AI1698" s="61" t="n">
        <f aca="false">(T1698*(1-Painel!$C$40)+U1698+V1698+Painel!$C$41+Painel!$C$42*CEILING(G1698/100,1)+Painel!$C$43*CEILING(G1698,1)+Z1698)/(1-Resumo!$B$5)</f>
        <v>78.7280340909091</v>
      </c>
      <c r="AJ1698" s="60" t="str">
        <f aca="false">IF(AI1698&lt;S1698,"SIM","NÃO")</f>
        <v>NÃO</v>
      </c>
    </row>
    <row r="1699" customFormat="false" ht="15" hidden="false" customHeight="false" outlineLevel="0" collapsed="false">
      <c r="A1699" s="59" t="n">
        <v>46275.3884259259</v>
      </c>
      <c r="B1699" s="60" t="s">
        <v>1918</v>
      </c>
      <c r="C1699" s="60" t="n">
        <v>28165000</v>
      </c>
      <c r="D1699" s="60" t="s">
        <v>51</v>
      </c>
      <c r="E1699" s="60" t="s">
        <v>24</v>
      </c>
      <c r="F1699" s="60" t="s">
        <v>235</v>
      </c>
      <c r="G1699" s="60" t="n">
        <v>43.5</v>
      </c>
      <c r="H1699" s="61" t="n">
        <v>601.04</v>
      </c>
      <c r="I1699" s="61" t="n">
        <v>77.7</v>
      </c>
      <c r="J1699" s="61" t="n">
        <f aca="false">H1699*Resumo!$C$6</f>
        <v>0</v>
      </c>
      <c r="K1699" s="61" t="n">
        <f aca="false">H1699*Resumo!$C$7</f>
        <v>1.262184</v>
      </c>
      <c r="L1699" s="61" t="n">
        <f aca="false">H1699*Resumo!$C$8</f>
        <v>1.262184</v>
      </c>
      <c r="M1699" s="61" t="n">
        <f aca="false">Resumo!$C$10*CEILING(G1699/100,1)</f>
        <v>1.05</v>
      </c>
      <c r="N1699" s="61" t="n">
        <f aca="false">Resumo!$C$9</f>
        <v>0</v>
      </c>
      <c r="O1699" s="61" t="n">
        <f aca="false">Resumo!$C$13</f>
        <v>13.55</v>
      </c>
      <c r="P1699" s="61" t="n">
        <f aca="false">Resumo!$C$14*CEILING(G1699,1)</f>
        <v>19.8</v>
      </c>
      <c r="Q1699" s="61" t="n">
        <f aca="false">SUM(I1699:P1699)*Resumo!$C$11</f>
        <v>0</v>
      </c>
      <c r="R1699" s="61" t="n">
        <f aca="false">SUM(I1699:Q1699)</f>
        <v>114.624368</v>
      </c>
      <c r="S1699" s="61" t="n">
        <f aca="false">R1699/(1-Resumo!$C$5)</f>
        <v>130.254963636364</v>
      </c>
      <c r="T1699" s="61" t="n">
        <v>152.54</v>
      </c>
      <c r="U1699" s="61" t="n">
        <f aca="false">H1699*Resumo!$B$6</f>
        <v>0.60104</v>
      </c>
      <c r="V1699" s="61" t="n">
        <f aca="false">H1699*Resumo!$B$7</f>
        <v>1.20208</v>
      </c>
      <c r="W1699" s="61" t="n">
        <f aca="false">Resumo!$B$9</f>
        <v>1</v>
      </c>
      <c r="X1699" s="61" t="n">
        <f aca="false">Resumo!$B$10*CEILING(G1699/100,1)</f>
        <v>4.5</v>
      </c>
      <c r="Y1699" s="61" t="n">
        <f aca="false">Resumo!$B$12*CEILING(G1699,1)</f>
        <v>2.64</v>
      </c>
      <c r="Z1699" s="61" t="n">
        <f aca="false">Resumo!$B$14*CEILING(G1699,1)</f>
        <v>19.8</v>
      </c>
      <c r="AA1699" s="61" t="n">
        <f aca="false">SUM(T1699:Z1699)</f>
        <v>182.28312</v>
      </c>
      <c r="AB1699" s="61" t="n">
        <f aca="false">AA1699/(1-Resumo!$B$5)</f>
        <v>207.139909090909</v>
      </c>
      <c r="AC1699" s="61" t="n">
        <f aca="false">AB1699-S1699</f>
        <v>76.8849454545455</v>
      </c>
      <c r="AD1699" s="62" t="n">
        <f aca="false">AB1699/S1699-1</f>
        <v>0.59026499496163</v>
      </c>
      <c r="AE1699" s="60" t="str">
        <f aca="false">IF(AB1699&lt;S1699,"SIM","NÃO")</f>
        <v>NÃO</v>
      </c>
      <c r="AF1699" s="60" t="n">
        <v>13</v>
      </c>
      <c r="AG1699" s="60" t="n">
        <v>11</v>
      </c>
      <c r="AH1699" s="60" t="s">
        <v>382</v>
      </c>
      <c r="AI1699" s="61" t="n">
        <f aca="false">(T1699*(1-Painel!$C$40)+U1699+V1699+Painel!$C$41+Painel!$C$42*CEILING(G1699/100,1)+Painel!$C$43*CEILING(G1699,1)+Z1699)/(1-Resumo!$B$5)</f>
        <v>143.016954545455</v>
      </c>
      <c r="AJ1699" s="60" t="str">
        <f aca="false">IF(AI1699&lt;S1699,"SIM","NÃO")</f>
        <v>NÃO</v>
      </c>
    </row>
    <row r="1700" customFormat="false" ht="15" hidden="false" customHeight="false" outlineLevel="0" collapsed="false">
      <c r="A1700" s="59" t="n">
        <v>46275.392025463</v>
      </c>
      <c r="B1700" s="60" t="s">
        <v>1693</v>
      </c>
      <c r="C1700" s="60" t="n">
        <v>28220000</v>
      </c>
      <c r="D1700" s="60" t="s">
        <v>305</v>
      </c>
      <c r="E1700" s="60" t="s">
        <v>24</v>
      </c>
      <c r="F1700" s="60" t="s">
        <v>233</v>
      </c>
      <c r="G1700" s="60" t="n">
        <v>22.6</v>
      </c>
      <c r="H1700" s="61" t="n">
        <v>460</v>
      </c>
      <c r="I1700" s="61" t="n">
        <v>65.63</v>
      </c>
      <c r="J1700" s="61" t="n">
        <f aca="false">H1700*Resumo!$C$6</f>
        <v>0</v>
      </c>
      <c r="K1700" s="61" t="n">
        <f aca="false">H1700*Resumo!$C$7</f>
        <v>0.966</v>
      </c>
      <c r="L1700" s="61" t="n">
        <f aca="false">H1700*Resumo!$C$8</f>
        <v>0.966</v>
      </c>
      <c r="M1700" s="61" t="n">
        <f aca="false">Resumo!$C$10*CEILING(G1700/100,1)</f>
        <v>1.05</v>
      </c>
      <c r="N1700" s="61" t="n">
        <f aca="false">Resumo!$C$9</f>
        <v>0</v>
      </c>
      <c r="O1700" s="61" t="n">
        <f aca="false">Resumo!$C$13</f>
        <v>13.55</v>
      </c>
      <c r="P1700" s="61" t="n">
        <f aca="false">Resumo!$C$14*CEILING(G1700,1)</f>
        <v>10.35</v>
      </c>
      <c r="Q1700" s="61" t="n">
        <f aca="false">SUM(I1700:P1700)*Resumo!$C$11</f>
        <v>0</v>
      </c>
      <c r="R1700" s="61" t="n">
        <f aca="false">SUM(I1700:Q1700)</f>
        <v>92.512</v>
      </c>
      <c r="S1700" s="61" t="n">
        <f aca="false">R1700/(1-Resumo!$C$5)</f>
        <v>105.127272727273</v>
      </c>
      <c r="T1700" s="61" t="n">
        <v>138.29</v>
      </c>
      <c r="U1700" s="61" t="n">
        <f aca="false">H1700*Resumo!$B$6</f>
        <v>0.46</v>
      </c>
      <c r="V1700" s="61" t="n">
        <f aca="false">H1700*Resumo!$B$7</f>
        <v>0.92</v>
      </c>
      <c r="W1700" s="61" t="n">
        <f aca="false">Resumo!$B$9</f>
        <v>1</v>
      </c>
      <c r="X1700" s="61" t="n">
        <f aca="false">Resumo!$B$10*CEILING(G1700/100,1)</f>
        <v>4.5</v>
      </c>
      <c r="Y1700" s="61" t="n">
        <f aca="false">Resumo!$B$12*CEILING(G1700,1)</f>
        <v>1.38</v>
      </c>
      <c r="Z1700" s="61" t="n">
        <f aca="false">Resumo!$B$14*CEILING(G1700,1)</f>
        <v>10.35</v>
      </c>
      <c r="AA1700" s="61" t="n">
        <f aca="false">SUM(T1700:Z1700)</f>
        <v>156.9</v>
      </c>
      <c r="AB1700" s="61" t="n">
        <f aca="false">AA1700/(1-Resumo!$B$5)</f>
        <v>178.295454545455</v>
      </c>
      <c r="AC1700" s="61" t="n">
        <f aca="false">AB1700-S1700</f>
        <v>73.1681818181818</v>
      </c>
      <c r="AD1700" s="62" t="n">
        <f aca="false">AB1700/S1700-1</f>
        <v>0.695996195088205</v>
      </c>
      <c r="AE1700" s="60" t="str">
        <f aca="false">IF(AB1700&lt;S1700,"SIM","NÃO")</f>
        <v>NÃO</v>
      </c>
      <c r="AF1700" s="60" t="n">
        <v>13</v>
      </c>
      <c r="AG1700" s="60" t="n">
        <v>11</v>
      </c>
      <c r="AH1700" s="60" t="s">
        <v>385</v>
      </c>
      <c r="AI1700" s="61" t="n">
        <f aca="false">(T1700*(1-Painel!$C$40)+U1700+V1700+Painel!$C$41+Painel!$C$42*CEILING(G1700/100,1)+Painel!$C$43*CEILING(G1700,1)+Z1700)/(1-Resumo!$B$5)</f>
        <v>120.948068181818</v>
      </c>
      <c r="AJ1700" s="60" t="str">
        <f aca="false">IF(AI1700&lt;S1700,"SIM","NÃO")</f>
        <v>NÃO</v>
      </c>
    </row>
    <row r="1701" customFormat="false" ht="15" hidden="false" customHeight="false" outlineLevel="0" collapsed="false">
      <c r="A1701" s="59" t="n">
        <v>46275.4398032407</v>
      </c>
      <c r="B1701" s="60" t="s">
        <v>1919</v>
      </c>
      <c r="C1701" s="60" t="n">
        <v>25802250</v>
      </c>
      <c r="D1701" s="60" t="s">
        <v>274</v>
      </c>
      <c r="E1701" s="60" t="s">
        <v>24</v>
      </c>
      <c r="F1701" s="60" t="s">
        <v>236</v>
      </c>
      <c r="G1701" s="60" t="n">
        <v>52.3</v>
      </c>
      <c r="H1701" s="61" t="n">
        <v>620</v>
      </c>
      <c r="I1701" s="61" t="n">
        <v>83.58</v>
      </c>
      <c r="J1701" s="61" t="n">
        <f aca="false">H1701*Resumo!$C$6</f>
        <v>0</v>
      </c>
      <c r="K1701" s="61" t="n">
        <f aca="false">H1701*Resumo!$C$7</f>
        <v>1.302</v>
      </c>
      <c r="L1701" s="61" t="n">
        <f aca="false">H1701*Resumo!$C$8</f>
        <v>1.302</v>
      </c>
      <c r="M1701" s="61" t="n">
        <f aca="false">Resumo!$C$10*CEILING(G1701/100,1)</f>
        <v>1.05</v>
      </c>
      <c r="N1701" s="61" t="n">
        <f aca="false">Resumo!$C$9</f>
        <v>0</v>
      </c>
      <c r="O1701" s="61" t="n">
        <f aca="false">Resumo!$C$13</f>
        <v>13.55</v>
      </c>
      <c r="P1701" s="61" t="n">
        <f aca="false">Resumo!$C$14*CEILING(G1701,1)</f>
        <v>23.85</v>
      </c>
      <c r="Q1701" s="61" t="n">
        <f aca="false">SUM(I1701:P1701)*Resumo!$C$11</f>
        <v>0</v>
      </c>
      <c r="R1701" s="61" t="n">
        <f aca="false">SUM(I1701:Q1701)</f>
        <v>124.634</v>
      </c>
      <c r="S1701" s="61" t="n">
        <f aca="false">R1701/(1-Resumo!$C$5)</f>
        <v>141.629545454545</v>
      </c>
      <c r="T1701" s="61" t="n">
        <v>142.32</v>
      </c>
      <c r="U1701" s="61" t="n">
        <f aca="false">H1701*Resumo!$B$6</f>
        <v>0.62</v>
      </c>
      <c r="V1701" s="61" t="n">
        <f aca="false">H1701*Resumo!$B$7</f>
        <v>1.24</v>
      </c>
      <c r="W1701" s="61" t="n">
        <f aca="false">Resumo!$B$9</f>
        <v>1</v>
      </c>
      <c r="X1701" s="61" t="n">
        <f aca="false">Resumo!$B$10*CEILING(G1701/100,1)</f>
        <v>4.5</v>
      </c>
      <c r="Y1701" s="61" t="n">
        <f aca="false">Resumo!$B$12*CEILING(G1701,1)</f>
        <v>3.18</v>
      </c>
      <c r="Z1701" s="61" t="n">
        <f aca="false">Resumo!$B$14*CEILING(G1701,1)</f>
        <v>23.85</v>
      </c>
      <c r="AA1701" s="61" t="n">
        <f aca="false">SUM(T1701:Z1701)</f>
        <v>176.71</v>
      </c>
      <c r="AB1701" s="61" t="n">
        <f aca="false">AA1701/(1-Resumo!$B$5)</f>
        <v>200.806818181818</v>
      </c>
      <c r="AC1701" s="61" t="n">
        <f aca="false">AB1701-S1701</f>
        <v>59.1772727272727</v>
      </c>
      <c r="AD1701" s="62" t="n">
        <f aca="false">AB1701/S1701-1</f>
        <v>0.417831410369562</v>
      </c>
      <c r="AE1701" s="60" t="str">
        <f aca="false">IF(AB1701&lt;S1701,"SIM","NÃO")</f>
        <v>NÃO</v>
      </c>
      <c r="AF1701" s="60" t="n">
        <v>13</v>
      </c>
      <c r="AG1701" s="60" t="n">
        <v>8</v>
      </c>
      <c r="AH1701" s="60" t="s">
        <v>385</v>
      </c>
      <c r="AI1701" s="61" t="n">
        <f aca="false">(T1701*(1-Painel!$C$40)+U1701+V1701+Painel!$C$41+Painel!$C$42*CEILING(G1701/100,1)+Painel!$C$43*CEILING(G1701,1)+Z1701)/(1-Resumo!$B$5)</f>
        <v>139.902727272727</v>
      </c>
      <c r="AJ1701" s="60" t="str">
        <f aca="false">IF(AI1701&lt;S1701,"SIM","NÃO")</f>
        <v>SIM</v>
      </c>
    </row>
    <row r="1702" customFormat="false" ht="15" hidden="false" customHeight="false" outlineLevel="0" collapsed="false">
      <c r="A1702" s="59" t="n">
        <v>46275.4511805556</v>
      </c>
      <c r="B1702" s="60" t="s">
        <v>1920</v>
      </c>
      <c r="C1702" s="60" t="n">
        <v>25665442</v>
      </c>
      <c r="D1702" s="60" t="s">
        <v>219</v>
      </c>
      <c r="E1702" s="60" t="s">
        <v>24</v>
      </c>
      <c r="F1702" s="60" t="s">
        <v>236</v>
      </c>
      <c r="G1702" s="60" t="n">
        <v>60</v>
      </c>
      <c r="H1702" s="61" t="n">
        <v>879.99</v>
      </c>
      <c r="I1702" s="61" t="n">
        <v>83.58</v>
      </c>
      <c r="J1702" s="61" t="n">
        <f aca="false">H1702*Resumo!$C$6</f>
        <v>0</v>
      </c>
      <c r="K1702" s="61" t="n">
        <f aca="false">H1702*Resumo!$C$7</f>
        <v>1.847979</v>
      </c>
      <c r="L1702" s="61" t="n">
        <f aca="false">H1702*Resumo!$C$8</f>
        <v>1.847979</v>
      </c>
      <c r="M1702" s="61" t="n">
        <f aca="false">Resumo!$C$10*CEILING(G1702/100,1)</f>
        <v>1.05</v>
      </c>
      <c r="N1702" s="61" t="n">
        <f aca="false">Resumo!$C$9</f>
        <v>0</v>
      </c>
      <c r="O1702" s="61" t="n">
        <f aca="false">Resumo!$C$13</f>
        <v>13.55</v>
      </c>
      <c r="P1702" s="61" t="n">
        <f aca="false">Resumo!$C$14*CEILING(G1702,1)</f>
        <v>27</v>
      </c>
      <c r="Q1702" s="61" t="n">
        <f aca="false">SUM(I1702:P1702)*Resumo!$C$11</f>
        <v>0</v>
      </c>
      <c r="R1702" s="61" t="n">
        <f aca="false">SUM(I1702:Q1702)</f>
        <v>128.875958</v>
      </c>
      <c r="S1702" s="61" t="n">
        <f aca="false">R1702/(1-Resumo!$C$5)</f>
        <v>146.449952272727</v>
      </c>
      <c r="T1702" s="61" t="n">
        <v>142.32</v>
      </c>
      <c r="U1702" s="61" t="n">
        <f aca="false">H1702*Resumo!$B$6</f>
        <v>0.87999</v>
      </c>
      <c r="V1702" s="61" t="n">
        <f aca="false">H1702*Resumo!$B$7</f>
        <v>1.75998</v>
      </c>
      <c r="W1702" s="61" t="n">
        <f aca="false">Resumo!$B$9</f>
        <v>1</v>
      </c>
      <c r="X1702" s="61" t="n">
        <f aca="false">Resumo!$B$10*CEILING(G1702/100,1)</f>
        <v>4.5</v>
      </c>
      <c r="Y1702" s="61" t="n">
        <f aca="false">Resumo!$B$12*CEILING(G1702,1)</f>
        <v>3.6</v>
      </c>
      <c r="Z1702" s="61" t="n">
        <f aca="false">Resumo!$B$14*CEILING(G1702,1)</f>
        <v>27</v>
      </c>
      <c r="AA1702" s="61" t="n">
        <f aca="false">SUM(T1702:Z1702)</f>
        <v>181.05997</v>
      </c>
      <c r="AB1702" s="61" t="n">
        <f aca="false">AA1702/(1-Resumo!$B$5)</f>
        <v>205.749965909091</v>
      </c>
      <c r="AC1702" s="61" t="n">
        <f aca="false">AB1702-S1702</f>
        <v>59.3000136363636</v>
      </c>
      <c r="AD1702" s="62" t="n">
        <f aca="false">AB1702/S1702-1</f>
        <v>0.404916578777246</v>
      </c>
      <c r="AE1702" s="60" t="str">
        <f aca="false">IF(AB1702&lt;S1702,"SIM","NÃO")</f>
        <v>NÃO</v>
      </c>
      <c r="AF1702" s="60" t="n">
        <v>13</v>
      </c>
      <c r="AG1702" s="60" t="n">
        <v>8</v>
      </c>
      <c r="AH1702" s="60" t="s">
        <v>382</v>
      </c>
      <c r="AI1702" s="61" t="n">
        <f aca="false">(T1702*(1-Painel!$C$40)+U1702+V1702+Painel!$C$41+Painel!$C$42*CEILING(G1702/100,1)+Painel!$C$43*CEILING(G1702,1)+Z1702)/(1-Resumo!$B$5)</f>
        <v>144.368602272727</v>
      </c>
      <c r="AJ1702" s="60" t="str">
        <f aca="false">IF(AI1702&lt;S1702,"SIM","NÃO")</f>
        <v>SIM</v>
      </c>
    </row>
    <row r="1703" customFormat="false" ht="15" hidden="false" customHeight="false" outlineLevel="0" collapsed="false">
      <c r="A1703" s="59" t="n">
        <v>46275.4870486111</v>
      </c>
      <c r="B1703" s="60" t="s">
        <v>1921</v>
      </c>
      <c r="C1703" s="60" t="n">
        <v>21645521</v>
      </c>
      <c r="D1703" s="60" t="s">
        <v>46</v>
      </c>
      <c r="E1703" s="60" t="s">
        <v>22</v>
      </c>
      <c r="F1703" s="60" t="s">
        <v>233</v>
      </c>
      <c r="G1703" s="60" t="n">
        <v>26.4</v>
      </c>
      <c r="H1703" s="61" t="n">
        <v>399.99</v>
      </c>
      <c r="I1703" s="61" t="n">
        <v>42.11</v>
      </c>
      <c r="J1703" s="61" t="n">
        <f aca="false">H1703*Resumo!$C$6</f>
        <v>0</v>
      </c>
      <c r="K1703" s="61" t="n">
        <f aca="false">H1703*Resumo!$C$7</f>
        <v>0.839979</v>
      </c>
      <c r="L1703" s="61" t="n">
        <f aca="false">H1703*Resumo!$C$8</f>
        <v>0.839979</v>
      </c>
      <c r="M1703" s="61" t="n">
        <f aca="false">Resumo!$C$10*CEILING(G1703/100,1)</f>
        <v>1.05</v>
      </c>
      <c r="N1703" s="61" t="n">
        <f aca="false">Resumo!$C$9</f>
        <v>0</v>
      </c>
      <c r="O1703" s="61" t="n">
        <f aca="false">Resumo!$C$13</f>
        <v>13.55</v>
      </c>
      <c r="P1703" s="61" t="n">
        <f aca="false">Resumo!$C$14*CEILING(G1703,1)</f>
        <v>12.15</v>
      </c>
      <c r="Q1703" s="61" t="n">
        <f aca="false">SUM(I1703:P1703)*Resumo!$C$11</f>
        <v>0</v>
      </c>
      <c r="R1703" s="61" t="n">
        <f aca="false">SUM(I1703:Q1703)</f>
        <v>70.539958</v>
      </c>
      <c r="S1703" s="61" t="n">
        <f aca="false">R1703/(1-Resumo!$C$5)</f>
        <v>80.1590431818182</v>
      </c>
      <c r="T1703" s="61" t="n">
        <v>82.21</v>
      </c>
      <c r="U1703" s="61" t="n">
        <f aca="false">H1703*Resumo!$B$6</f>
        <v>0.39999</v>
      </c>
      <c r="V1703" s="61" t="n">
        <f aca="false">H1703*Resumo!$B$7</f>
        <v>0.79998</v>
      </c>
      <c r="W1703" s="61" t="n">
        <f aca="false">Resumo!$B$9</f>
        <v>1</v>
      </c>
      <c r="X1703" s="61" t="n">
        <f aca="false">Resumo!$B$10*CEILING(G1703/100,1)</f>
        <v>4.5</v>
      </c>
      <c r="Y1703" s="61" t="n">
        <f aca="false">Resumo!$B$12*CEILING(G1703,1)</f>
        <v>1.62</v>
      </c>
      <c r="Z1703" s="61" t="n">
        <f aca="false">Resumo!$B$14*CEILING(G1703,1)</f>
        <v>12.15</v>
      </c>
      <c r="AA1703" s="61" t="n">
        <f aca="false">SUM(T1703:Z1703)</f>
        <v>102.67997</v>
      </c>
      <c r="AB1703" s="61" t="n">
        <f aca="false">AA1703/(1-Resumo!$B$5)</f>
        <v>116.681784090909</v>
      </c>
      <c r="AC1703" s="61" t="n">
        <f aca="false">AB1703-S1703</f>
        <v>36.5227409090909</v>
      </c>
      <c r="AD1703" s="62" t="n">
        <f aca="false">AB1703/S1703-1</f>
        <v>0.455628453875745</v>
      </c>
      <c r="AE1703" s="60" t="str">
        <f aca="false">IF(AB1703&lt;S1703,"SIM","NÃO")</f>
        <v>NÃO</v>
      </c>
      <c r="AF1703" s="60" t="n">
        <v>2</v>
      </c>
      <c r="AG1703" s="60" t="n">
        <v>5</v>
      </c>
      <c r="AH1703" s="60" t="s">
        <v>382</v>
      </c>
      <c r="AI1703" s="61" t="n">
        <f aca="false">(T1703*(1-Painel!$C$40)+U1703+V1703+Painel!$C$41+Painel!$C$42*CEILING(G1703/100,1)+Painel!$C$43*CEILING(G1703,1)+Z1703)/(1-Resumo!$B$5)</f>
        <v>80.0916704545454</v>
      </c>
      <c r="AJ1703" s="60" t="str">
        <f aca="false">IF(AI1703&lt;S1703,"SIM","NÃO")</f>
        <v>SIM</v>
      </c>
    </row>
    <row r="1704" customFormat="false" ht="15" hidden="false" customHeight="false" outlineLevel="0" collapsed="false">
      <c r="A1704" s="59" t="n">
        <v>46275.5027430556</v>
      </c>
      <c r="B1704" s="60" t="s">
        <v>1922</v>
      </c>
      <c r="C1704" s="60" t="n">
        <v>27214615</v>
      </c>
      <c r="D1704" s="60" t="s">
        <v>217</v>
      </c>
      <c r="E1704" s="60" t="s">
        <v>24</v>
      </c>
      <c r="F1704" s="60" t="s">
        <v>233</v>
      </c>
      <c r="G1704" s="60" t="n">
        <v>27.6</v>
      </c>
      <c r="H1704" s="61" t="n">
        <v>537.45</v>
      </c>
      <c r="I1704" s="61" t="n">
        <v>65.63</v>
      </c>
      <c r="J1704" s="61" t="n">
        <f aca="false">H1704*Resumo!$C$6</f>
        <v>0</v>
      </c>
      <c r="K1704" s="61" t="n">
        <f aca="false">H1704*Resumo!$C$7</f>
        <v>1.128645</v>
      </c>
      <c r="L1704" s="61" t="n">
        <f aca="false">H1704*Resumo!$C$8</f>
        <v>1.128645</v>
      </c>
      <c r="M1704" s="61" t="n">
        <f aca="false">Resumo!$C$10*CEILING(G1704/100,1)</f>
        <v>1.05</v>
      </c>
      <c r="N1704" s="61" t="n">
        <f aca="false">Resumo!$C$9</f>
        <v>0</v>
      </c>
      <c r="O1704" s="61" t="n">
        <f aca="false">Resumo!$C$13</f>
        <v>13.55</v>
      </c>
      <c r="P1704" s="61" t="n">
        <f aca="false">Resumo!$C$14*CEILING(G1704,1)</f>
        <v>12.6</v>
      </c>
      <c r="Q1704" s="61" t="n">
        <f aca="false">SUM(I1704:P1704)*Resumo!$C$11</f>
        <v>0</v>
      </c>
      <c r="R1704" s="61" t="n">
        <f aca="false">SUM(I1704:Q1704)</f>
        <v>95.08729</v>
      </c>
      <c r="S1704" s="61" t="n">
        <f aca="false">R1704/(1-Resumo!$C$5)</f>
        <v>108.053738636364</v>
      </c>
      <c r="T1704" s="61" t="n">
        <v>108.83</v>
      </c>
      <c r="U1704" s="61" t="n">
        <f aca="false">H1704*Resumo!$B$6</f>
        <v>0.53745</v>
      </c>
      <c r="V1704" s="61" t="n">
        <f aca="false">H1704*Resumo!$B$7</f>
        <v>1.0749</v>
      </c>
      <c r="W1704" s="61" t="n">
        <f aca="false">Resumo!$B$9</f>
        <v>1</v>
      </c>
      <c r="X1704" s="61" t="n">
        <f aca="false">Resumo!$B$10*CEILING(G1704/100,1)</f>
        <v>4.5</v>
      </c>
      <c r="Y1704" s="61" t="n">
        <f aca="false">Resumo!$B$12*CEILING(G1704,1)</f>
        <v>1.68</v>
      </c>
      <c r="Z1704" s="61" t="n">
        <f aca="false">Resumo!$B$14*CEILING(G1704,1)</f>
        <v>12.6</v>
      </c>
      <c r="AA1704" s="61" t="n">
        <f aca="false">SUM(T1704:Z1704)</f>
        <v>130.22235</v>
      </c>
      <c r="AB1704" s="61" t="n">
        <f aca="false">AA1704/(1-Resumo!$B$5)</f>
        <v>147.979943181818</v>
      </c>
      <c r="AC1704" s="61" t="n">
        <f aca="false">AB1704-S1704</f>
        <v>39.9262045454546</v>
      </c>
      <c r="AD1704" s="62" t="n">
        <f aca="false">AB1704/S1704-1</f>
        <v>0.369503221723955</v>
      </c>
      <c r="AE1704" s="60" t="str">
        <f aca="false">IF(AB1704&lt;S1704,"SIM","NÃO")</f>
        <v>NÃO</v>
      </c>
      <c r="AF1704" s="60" t="n">
        <v>13</v>
      </c>
      <c r="AG1704" s="60" t="n">
        <v>10</v>
      </c>
      <c r="AH1704" s="60" t="s">
        <v>382</v>
      </c>
      <c r="AI1704" s="61" t="n">
        <f aca="false">(T1704*(1-Painel!$C$40)+U1704+V1704+Painel!$C$41+Painel!$C$42*CEILING(G1704/100,1)+Painel!$C$43*CEILING(G1704,1)+Z1704)/(1-Resumo!$B$5)</f>
        <v>101.339147727273</v>
      </c>
      <c r="AJ1704" s="60" t="str">
        <f aca="false">IF(AI1704&lt;S1704,"SIM","NÃO")</f>
        <v>SIM</v>
      </c>
    </row>
    <row r="1705" customFormat="false" ht="15" hidden="false" customHeight="false" outlineLevel="0" collapsed="false">
      <c r="A1705" s="59" t="n">
        <v>46275.5038078704</v>
      </c>
      <c r="B1705" s="60" t="s">
        <v>1923</v>
      </c>
      <c r="C1705" s="60" t="n">
        <v>24130345</v>
      </c>
      <c r="D1705" s="60" t="s">
        <v>50</v>
      </c>
      <c r="E1705" s="60" t="s">
        <v>23</v>
      </c>
      <c r="F1705" s="60" t="s">
        <v>234</v>
      </c>
      <c r="G1705" s="60" t="n">
        <v>40</v>
      </c>
      <c r="H1705" s="61" t="n">
        <v>569.99</v>
      </c>
      <c r="I1705" s="61" t="n">
        <v>66.83</v>
      </c>
      <c r="J1705" s="61" t="n">
        <f aca="false">H1705*Resumo!$C$6</f>
        <v>0</v>
      </c>
      <c r="K1705" s="61" t="n">
        <f aca="false">H1705*Resumo!$C$7</f>
        <v>1.196979</v>
      </c>
      <c r="L1705" s="61" t="n">
        <f aca="false">H1705*Resumo!$C$8</f>
        <v>1.196979</v>
      </c>
      <c r="M1705" s="61" t="n">
        <f aca="false">Resumo!$C$10*CEILING(G1705/100,1)</f>
        <v>1.05</v>
      </c>
      <c r="N1705" s="61" t="n">
        <f aca="false">Resumo!$C$9</f>
        <v>0</v>
      </c>
      <c r="O1705" s="61" t="n">
        <f aca="false">Resumo!$C$13</f>
        <v>13.55</v>
      </c>
      <c r="P1705" s="61" t="n">
        <f aca="false">Resumo!$C$14*CEILING(G1705,1)</f>
        <v>18</v>
      </c>
      <c r="Q1705" s="61" t="n">
        <f aca="false">SUM(I1705:P1705)*Resumo!$C$11</f>
        <v>0</v>
      </c>
      <c r="R1705" s="61" t="n">
        <f aca="false">SUM(I1705:Q1705)</f>
        <v>101.823958</v>
      </c>
      <c r="S1705" s="61" t="n">
        <f aca="false">R1705/(1-Resumo!$C$5)</f>
        <v>115.709043181818</v>
      </c>
      <c r="T1705" s="61" t="n">
        <v>114.95</v>
      </c>
      <c r="U1705" s="61" t="n">
        <f aca="false">H1705*Resumo!$B$6</f>
        <v>0.56999</v>
      </c>
      <c r="V1705" s="61" t="n">
        <f aca="false">H1705*Resumo!$B$7</f>
        <v>1.13998</v>
      </c>
      <c r="W1705" s="61" t="n">
        <f aca="false">Resumo!$B$9</f>
        <v>1</v>
      </c>
      <c r="X1705" s="61" t="n">
        <f aca="false">Resumo!$B$10*CEILING(G1705/100,1)</f>
        <v>4.5</v>
      </c>
      <c r="Y1705" s="61" t="n">
        <f aca="false">Resumo!$B$12*CEILING(G1705,1)</f>
        <v>2.4</v>
      </c>
      <c r="Z1705" s="61" t="n">
        <f aca="false">Resumo!$B$14*CEILING(G1705,1)</f>
        <v>18</v>
      </c>
      <c r="AA1705" s="61" t="n">
        <f aca="false">SUM(T1705:Z1705)</f>
        <v>142.55997</v>
      </c>
      <c r="AB1705" s="61" t="n">
        <f aca="false">AA1705/(1-Resumo!$B$5)</f>
        <v>161.999965909091</v>
      </c>
      <c r="AC1705" s="61" t="n">
        <f aca="false">AB1705-S1705</f>
        <v>46.2909227272728</v>
      </c>
      <c r="AD1705" s="62" t="n">
        <f aca="false">AB1705/S1705-1</f>
        <v>0.400063136418249</v>
      </c>
      <c r="AE1705" s="60" t="str">
        <f aca="false">IF(AB1705&lt;S1705,"SIM","NÃO")</f>
        <v>NÃO</v>
      </c>
      <c r="AF1705" s="60" t="n">
        <v>2</v>
      </c>
      <c r="AG1705" s="60" t="n">
        <v>7</v>
      </c>
      <c r="AH1705" s="60" t="s">
        <v>382</v>
      </c>
      <c r="AI1705" s="61" t="n">
        <f aca="false">(T1705*(1-Painel!$C$40)+U1705+V1705+Painel!$C$41+Painel!$C$42*CEILING(G1705/100,1)+Painel!$C$43*CEILING(G1705,1)+Z1705)/(1-Resumo!$B$5)</f>
        <v>112.245988636364</v>
      </c>
      <c r="AJ1705" s="60" t="str">
        <f aca="false">IF(AI1705&lt;S1705,"SIM","NÃO")</f>
        <v>SIM</v>
      </c>
    </row>
    <row r="1706" customFormat="false" ht="15" hidden="false" customHeight="false" outlineLevel="0" collapsed="false">
      <c r="A1706" s="59" t="n">
        <v>46275.5138657407</v>
      </c>
      <c r="B1706" s="60" t="s">
        <v>1271</v>
      </c>
      <c r="C1706" s="60" t="n">
        <v>20211020</v>
      </c>
      <c r="D1706" s="60" t="s">
        <v>46</v>
      </c>
      <c r="E1706" s="60" t="s">
        <v>22</v>
      </c>
      <c r="F1706" s="60" t="s">
        <v>234</v>
      </c>
      <c r="G1706" s="60" t="n">
        <v>37.2</v>
      </c>
      <c r="H1706" s="61" t="n">
        <v>444.43</v>
      </c>
      <c r="I1706" s="61" t="n">
        <v>48.35</v>
      </c>
      <c r="J1706" s="61" t="n">
        <f aca="false">H1706*Resumo!$C$6</f>
        <v>0</v>
      </c>
      <c r="K1706" s="61" t="n">
        <f aca="false">H1706*Resumo!$C$7</f>
        <v>0.933303</v>
      </c>
      <c r="L1706" s="61" t="n">
        <f aca="false">H1706*Resumo!$C$8</f>
        <v>0.933303</v>
      </c>
      <c r="M1706" s="61" t="n">
        <f aca="false">Resumo!$C$10*CEILING(G1706/100,1)</f>
        <v>1.05</v>
      </c>
      <c r="N1706" s="61" t="n">
        <f aca="false">Resumo!$C$9</f>
        <v>0</v>
      </c>
      <c r="O1706" s="61" t="n">
        <f aca="false">Resumo!$C$13</f>
        <v>13.55</v>
      </c>
      <c r="P1706" s="61" t="n">
        <f aca="false">Resumo!$C$14*CEILING(G1706,1)</f>
        <v>17.1</v>
      </c>
      <c r="Q1706" s="61" t="n">
        <f aca="false">SUM(I1706:P1706)*Resumo!$C$11</f>
        <v>0</v>
      </c>
      <c r="R1706" s="61" t="n">
        <f aca="false">SUM(I1706:Q1706)</f>
        <v>81.916606</v>
      </c>
      <c r="S1706" s="61" t="n">
        <f aca="false">R1706/(1-Resumo!$C$5)</f>
        <v>93.0870522727273</v>
      </c>
      <c r="T1706" s="61" t="n">
        <v>93.97</v>
      </c>
      <c r="U1706" s="61" t="n">
        <f aca="false">H1706*Resumo!$B$6</f>
        <v>0.44443</v>
      </c>
      <c r="V1706" s="61" t="n">
        <f aca="false">H1706*Resumo!$B$7</f>
        <v>0.88886</v>
      </c>
      <c r="W1706" s="61" t="n">
        <f aca="false">Resumo!$B$9</f>
        <v>1</v>
      </c>
      <c r="X1706" s="61" t="n">
        <f aca="false">Resumo!$B$10*CEILING(G1706/100,1)</f>
        <v>4.5</v>
      </c>
      <c r="Y1706" s="61" t="n">
        <f aca="false">Resumo!$B$12*CEILING(G1706,1)</f>
        <v>2.28</v>
      </c>
      <c r="Z1706" s="61" t="n">
        <f aca="false">Resumo!$B$14*CEILING(G1706,1)</f>
        <v>17.1</v>
      </c>
      <c r="AA1706" s="61" t="n">
        <f aca="false">SUM(T1706:Z1706)</f>
        <v>120.18329</v>
      </c>
      <c r="AB1706" s="61" t="n">
        <f aca="false">AA1706/(1-Resumo!$B$5)</f>
        <v>136.571920454545</v>
      </c>
      <c r="AC1706" s="61" t="n">
        <f aca="false">AB1706-S1706</f>
        <v>43.4848681818182</v>
      </c>
      <c r="AD1706" s="62" t="n">
        <f aca="false">AB1706/S1706-1</f>
        <v>0.467141961423548</v>
      </c>
      <c r="AE1706" s="60" t="str">
        <f aca="false">IF(AB1706&lt;S1706,"SIM","NÃO")</f>
        <v>NÃO</v>
      </c>
      <c r="AF1706" s="60" t="n">
        <v>2</v>
      </c>
      <c r="AG1706" s="60" t="n">
        <v>5</v>
      </c>
      <c r="AH1706" s="60" t="s">
        <v>382</v>
      </c>
      <c r="AI1706" s="61" t="n">
        <f aca="false">(T1706*(1-Painel!$C$40)+U1706+V1706+Painel!$C$41+Painel!$C$42*CEILING(G1706/100,1)+Painel!$C$43*CEILING(G1706,1)+Z1706)/(1-Resumo!$B$5)</f>
        <v>94.8218068181818</v>
      </c>
      <c r="AJ1706" s="60" t="str">
        <f aca="false">IF(AI1706&lt;S1706,"SIM","NÃO")</f>
        <v>NÃO</v>
      </c>
    </row>
    <row r="1707" customFormat="false" ht="15" hidden="false" customHeight="false" outlineLevel="0" collapsed="false">
      <c r="A1707" s="59" t="n">
        <v>46275.5432175926</v>
      </c>
      <c r="B1707" s="60" t="s">
        <v>1924</v>
      </c>
      <c r="C1707" s="60" t="n">
        <v>25060140</v>
      </c>
      <c r="D1707" s="60" t="s">
        <v>48</v>
      </c>
      <c r="E1707" s="60" t="s">
        <v>23</v>
      </c>
      <c r="F1707" s="60" t="s">
        <v>232</v>
      </c>
      <c r="G1707" s="60" t="n">
        <v>19.5</v>
      </c>
      <c r="H1707" s="61" t="n">
        <v>379.99</v>
      </c>
      <c r="I1707" s="61" t="n">
        <v>42.72</v>
      </c>
      <c r="J1707" s="61" t="n">
        <f aca="false">H1707*Resumo!$C$6</f>
        <v>0</v>
      </c>
      <c r="K1707" s="61" t="n">
        <f aca="false">H1707*Resumo!$C$7</f>
        <v>0.797979</v>
      </c>
      <c r="L1707" s="61" t="n">
        <f aca="false">H1707*Resumo!$C$8</f>
        <v>0.797979</v>
      </c>
      <c r="M1707" s="61" t="n">
        <f aca="false">Resumo!$C$10*CEILING(G1707/100,1)</f>
        <v>1.05</v>
      </c>
      <c r="N1707" s="61" t="n">
        <f aca="false">Resumo!$C$9</f>
        <v>0</v>
      </c>
      <c r="O1707" s="61" t="n">
        <f aca="false">Resumo!$C$13</f>
        <v>13.55</v>
      </c>
      <c r="P1707" s="61" t="n">
        <f aca="false">Resumo!$C$14*CEILING(G1707,1)</f>
        <v>9</v>
      </c>
      <c r="Q1707" s="61" t="n">
        <f aca="false">SUM(I1707:P1707)*Resumo!$C$11</f>
        <v>0</v>
      </c>
      <c r="R1707" s="61" t="n">
        <f aca="false">SUM(I1707:Q1707)</f>
        <v>67.915958</v>
      </c>
      <c r="S1707" s="61" t="n">
        <f aca="false">R1707/(1-Resumo!$C$5)</f>
        <v>77.177225</v>
      </c>
      <c r="T1707" s="61" t="n">
        <v>46.98</v>
      </c>
      <c r="U1707" s="61" t="n">
        <f aca="false">H1707*Resumo!$B$6</f>
        <v>0.37999</v>
      </c>
      <c r="V1707" s="61" t="n">
        <f aca="false">H1707*Resumo!$B$7</f>
        <v>0.75998</v>
      </c>
      <c r="W1707" s="61" t="n">
        <f aca="false">Resumo!$B$9</f>
        <v>1</v>
      </c>
      <c r="X1707" s="61" t="n">
        <f aca="false">Resumo!$B$10*CEILING(G1707/100,1)</f>
        <v>4.5</v>
      </c>
      <c r="Y1707" s="61" t="n">
        <f aca="false">Resumo!$B$12*CEILING(G1707,1)</f>
        <v>1.2</v>
      </c>
      <c r="Z1707" s="61" t="n">
        <f aca="false">Resumo!$B$14*CEILING(G1707,1)</f>
        <v>9</v>
      </c>
      <c r="AA1707" s="61" t="n">
        <f aca="false">SUM(T1707:Z1707)</f>
        <v>63.81997</v>
      </c>
      <c r="AB1707" s="61" t="n">
        <f aca="false">AA1707/(1-Resumo!$B$5)</f>
        <v>72.5226931818182</v>
      </c>
      <c r="AC1707" s="61" t="n">
        <f aca="false">AB1707-S1707</f>
        <v>-4.65453181818181</v>
      </c>
      <c r="AD1707" s="62" t="n">
        <f aca="false">AB1707/S1707-1</f>
        <v>-0.0603096550592718</v>
      </c>
      <c r="AE1707" s="60" t="str">
        <f aca="false">IF(AB1707&lt;S1707,"SIM","NÃO")</f>
        <v>SIM</v>
      </c>
      <c r="AF1707" s="60" t="n">
        <v>2</v>
      </c>
      <c r="AG1707" s="60" t="n">
        <v>5</v>
      </c>
      <c r="AH1707" s="60" t="s">
        <v>382</v>
      </c>
      <c r="AI1707" s="61" t="n">
        <f aca="false">(T1707*(1-Painel!$C$40)+U1707+V1707+Painel!$C$41+Painel!$C$42*CEILING(G1707/100,1)+Painel!$C$43*CEILING(G1707,1)+Z1707)/(1-Resumo!$B$5)</f>
        <v>49.6211022727273</v>
      </c>
      <c r="AJ1707" s="60" t="str">
        <f aca="false">IF(AI1707&lt;S1707,"SIM","NÃO")</f>
        <v>SIM</v>
      </c>
    </row>
    <row r="1708" customFormat="false" ht="15" hidden="false" customHeight="false" outlineLevel="0" collapsed="false">
      <c r="A1708" s="59" t="n">
        <v>46275.5566435185</v>
      </c>
      <c r="B1708" s="60" t="s">
        <v>1925</v>
      </c>
      <c r="C1708" s="60" t="n">
        <v>24943255</v>
      </c>
      <c r="D1708" s="60" t="s">
        <v>220</v>
      </c>
      <c r="E1708" s="60" t="s">
        <v>24</v>
      </c>
      <c r="F1708" s="60" t="s">
        <v>234</v>
      </c>
      <c r="G1708" s="60" t="n">
        <v>36.9</v>
      </c>
      <c r="H1708" s="61" t="n">
        <v>439.99</v>
      </c>
      <c r="I1708" s="61" t="n">
        <v>74.97</v>
      </c>
      <c r="J1708" s="61" t="n">
        <f aca="false">H1708*Resumo!$C$6</f>
        <v>0</v>
      </c>
      <c r="K1708" s="61" t="n">
        <f aca="false">H1708*Resumo!$C$7</f>
        <v>0.923979</v>
      </c>
      <c r="L1708" s="61" t="n">
        <f aca="false">H1708*Resumo!$C$8</f>
        <v>0.923979</v>
      </c>
      <c r="M1708" s="61" t="n">
        <f aca="false">Resumo!$C$10*CEILING(G1708/100,1)</f>
        <v>1.05</v>
      </c>
      <c r="N1708" s="61" t="n">
        <f aca="false">Resumo!$C$9</f>
        <v>0</v>
      </c>
      <c r="O1708" s="61" t="n">
        <f aca="false">Resumo!$C$13</f>
        <v>13.55</v>
      </c>
      <c r="P1708" s="61" t="n">
        <f aca="false">Resumo!$C$14*CEILING(G1708,1)</f>
        <v>16.65</v>
      </c>
      <c r="Q1708" s="61" t="n">
        <f aca="false">SUM(I1708:P1708)*Resumo!$C$11</f>
        <v>0</v>
      </c>
      <c r="R1708" s="61" t="n">
        <f aca="false">SUM(I1708:Q1708)</f>
        <v>108.067958</v>
      </c>
      <c r="S1708" s="61" t="n">
        <f aca="false">R1708/(1-Resumo!$C$5)</f>
        <v>122.804497727273</v>
      </c>
      <c r="T1708" s="61" t="n">
        <v>114.95</v>
      </c>
      <c r="U1708" s="61" t="n">
        <f aca="false">H1708*Resumo!$B$6</f>
        <v>0.43999</v>
      </c>
      <c r="V1708" s="61" t="n">
        <f aca="false">H1708*Resumo!$B$7</f>
        <v>0.87998</v>
      </c>
      <c r="W1708" s="61" t="n">
        <f aca="false">Resumo!$B$9</f>
        <v>1</v>
      </c>
      <c r="X1708" s="61" t="n">
        <f aca="false">Resumo!$B$10*CEILING(G1708/100,1)</f>
        <v>4.5</v>
      </c>
      <c r="Y1708" s="61" t="n">
        <f aca="false">Resumo!$B$12*CEILING(G1708,1)</f>
        <v>2.22</v>
      </c>
      <c r="Z1708" s="61" t="n">
        <f aca="false">Resumo!$B$14*CEILING(G1708,1)</f>
        <v>16.65</v>
      </c>
      <c r="AA1708" s="61" t="n">
        <f aca="false">SUM(T1708:Z1708)</f>
        <v>140.63997</v>
      </c>
      <c r="AB1708" s="61" t="n">
        <f aca="false">AA1708/(1-Resumo!$B$5)</f>
        <v>159.818147727273</v>
      </c>
      <c r="AC1708" s="61" t="n">
        <f aca="false">AB1708-S1708</f>
        <v>37.01365</v>
      </c>
      <c r="AD1708" s="62" t="n">
        <f aca="false">AB1708/S1708-1</f>
        <v>0.301403048626125</v>
      </c>
      <c r="AE1708" s="60" t="str">
        <f aca="false">IF(AB1708&lt;S1708,"SIM","NÃO")</f>
        <v>NÃO</v>
      </c>
      <c r="AF1708" s="60" t="n">
        <v>13</v>
      </c>
      <c r="AG1708" s="60" t="n">
        <v>7</v>
      </c>
      <c r="AH1708" s="60" t="s">
        <v>382</v>
      </c>
      <c r="AI1708" s="61" t="n">
        <f aca="false">(T1708*(1-Painel!$C$40)+U1708+V1708+Painel!$C$41+Painel!$C$42*CEILING(G1708/100,1)+Painel!$C$43*CEILING(G1708,1)+Z1708)/(1-Resumo!$B$5)</f>
        <v>110.268715909091</v>
      </c>
      <c r="AJ1708" s="60" t="str">
        <f aca="false">IF(AI1708&lt;S1708,"SIM","NÃO")</f>
        <v>SIM</v>
      </c>
    </row>
    <row r="1709" customFormat="false" ht="15" hidden="false" customHeight="false" outlineLevel="0" collapsed="false">
      <c r="A1709" s="59" t="n">
        <v>46275.5677893519</v>
      </c>
      <c r="B1709" s="60" t="s">
        <v>1926</v>
      </c>
      <c r="C1709" s="60" t="n">
        <v>24802245</v>
      </c>
      <c r="D1709" s="60" t="s">
        <v>223</v>
      </c>
      <c r="E1709" s="60" t="s">
        <v>24</v>
      </c>
      <c r="F1709" s="60" t="s">
        <v>234</v>
      </c>
      <c r="G1709" s="60" t="n">
        <v>37.2</v>
      </c>
      <c r="H1709" s="61" t="n">
        <v>366.5</v>
      </c>
      <c r="I1709" s="61" t="n">
        <v>74.97</v>
      </c>
      <c r="J1709" s="61" t="n">
        <f aca="false">H1709*Resumo!$C$6</f>
        <v>0</v>
      </c>
      <c r="K1709" s="61" t="n">
        <f aca="false">H1709*Resumo!$C$7</f>
        <v>0.76965</v>
      </c>
      <c r="L1709" s="61" t="n">
        <f aca="false">H1709*Resumo!$C$8</f>
        <v>0.76965</v>
      </c>
      <c r="M1709" s="61" t="n">
        <f aca="false">Resumo!$C$10*CEILING(G1709/100,1)</f>
        <v>1.05</v>
      </c>
      <c r="N1709" s="61" t="n">
        <f aca="false">Resumo!$C$9</f>
        <v>0</v>
      </c>
      <c r="O1709" s="61" t="n">
        <f aca="false">Resumo!$C$13</f>
        <v>13.55</v>
      </c>
      <c r="P1709" s="61" t="n">
        <f aca="false">Resumo!$C$14*CEILING(G1709,1)</f>
        <v>17.1</v>
      </c>
      <c r="Q1709" s="61" t="n">
        <f aca="false">SUM(I1709:P1709)*Resumo!$C$11</f>
        <v>0</v>
      </c>
      <c r="R1709" s="61" t="n">
        <f aca="false">SUM(I1709:Q1709)</f>
        <v>108.2093</v>
      </c>
      <c r="S1709" s="61" t="n">
        <f aca="false">R1709/(1-Resumo!$C$5)</f>
        <v>122.965113636364</v>
      </c>
      <c r="T1709" s="61" t="n">
        <v>114.95</v>
      </c>
      <c r="U1709" s="61" t="n">
        <f aca="false">H1709*Resumo!$B$6</f>
        <v>0.3665</v>
      </c>
      <c r="V1709" s="61" t="n">
        <f aca="false">H1709*Resumo!$B$7</f>
        <v>0.733</v>
      </c>
      <c r="W1709" s="61" t="n">
        <f aca="false">Resumo!$B$9</f>
        <v>1</v>
      </c>
      <c r="X1709" s="61" t="n">
        <f aca="false">Resumo!$B$10*CEILING(G1709/100,1)</f>
        <v>4.5</v>
      </c>
      <c r="Y1709" s="61" t="n">
        <f aca="false">Resumo!$B$12*CEILING(G1709,1)</f>
        <v>2.28</v>
      </c>
      <c r="Z1709" s="61" t="n">
        <f aca="false">Resumo!$B$14*CEILING(G1709,1)</f>
        <v>17.1</v>
      </c>
      <c r="AA1709" s="61" t="n">
        <f aca="false">SUM(T1709:Z1709)</f>
        <v>140.9295</v>
      </c>
      <c r="AB1709" s="61" t="n">
        <f aca="false">AA1709/(1-Resumo!$B$5)</f>
        <v>160.147159090909</v>
      </c>
      <c r="AC1709" s="61" t="n">
        <f aca="false">AB1709-S1709</f>
        <v>37.1820454545454</v>
      </c>
      <c r="AD1709" s="62" t="n">
        <f aca="false">AB1709/S1709-1</f>
        <v>0.302378815868876</v>
      </c>
      <c r="AE1709" s="60" t="str">
        <f aca="false">IF(AB1709&lt;S1709,"SIM","NÃO")</f>
        <v>NÃO</v>
      </c>
      <c r="AF1709" s="60" t="n">
        <v>13</v>
      </c>
      <c r="AG1709" s="60" t="n">
        <v>7</v>
      </c>
      <c r="AH1709" s="60" t="s">
        <v>382</v>
      </c>
      <c r="AI1709" s="61" t="n">
        <f aca="false">(T1709*(1-Painel!$C$40)+U1709+V1709+Painel!$C$41+Painel!$C$42*CEILING(G1709/100,1)+Painel!$C$43*CEILING(G1709,1)+Z1709)/(1-Resumo!$B$5)</f>
        <v>110.529545454545</v>
      </c>
      <c r="AJ1709" s="60" t="str">
        <f aca="false">IF(AI1709&lt;S1709,"SIM","NÃO")</f>
        <v>SIM</v>
      </c>
    </row>
    <row r="1710" customFormat="false" ht="15" hidden="false" customHeight="false" outlineLevel="0" collapsed="false">
      <c r="A1710" s="59" t="n">
        <v>46275.6080092593</v>
      </c>
      <c r="B1710" s="60" t="s">
        <v>1927</v>
      </c>
      <c r="C1710" s="60" t="n">
        <v>26053200</v>
      </c>
      <c r="D1710" s="60" t="s">
        <v>49</v>
      </c>
      <c r="E1710" s="60" t="s">
        <v>23</v>
      </c>
      <c r="F1710" s="60" t="s">
        <v>237</v>
      </c>
      <c r="G1710" s="60" t="n">
        <v>68.85</v>
      </c>
      <c r="H1710" s="61" t="n">
        <v>779.99</v>
      </c>
      <c r="I1710" s="61" t="n">
        <v>76.55</v>
      </c>
      <c r="J1710" s="61" t="n">
        <f aca="false">H1710*Resumo!$C$6</f>
        <v>0</v>
      </c>
      <c r="K1710" s="61" t="n">
        <f aca="false">H1710*Resumo!$C$7</f>
        <v>1.637979</v>
      </c>
      <c r="L1710" s="61" t="n">
        <f aca="false">H1710*Resumo!$C$8</f>
        <v>1.637979</v>
      </c>
      <c r="M1710" s="61" t="n">
        <f aca="false">Resumo!$C$10*CEILING(G1710/100,1)</f>
        <v>1.05</v>
      </c>
      <c r="N1710" s="61" t="n">
        <f aca="false">Resumo!$C$9</f>
        <v>0</v>
      </c>
      <c r="O1710" s="61" t="n">
        <f aca="false">Resumo!$C$13</f>
        <v>13.55</v>
      </c>
      <c r="P1710" s="61" t="n">
        <f aca="false">Resumo!$C$14*CEILING(G1710,1)</f>
        <v>31.05</v>
      </c>
      <c r="Q1710" s="61" t="n">
        <f aca="false">SUM(I1710:P1710)*Resumo!$C$11</f>
        <v>0</v>
      </c>
      <c r="R1710" s="61" t="n">
        <f aca="false">SUM(I1710:Q1710)</f>
        <v>125.475958</v>
      </c>
      <c r="S1710" s="61" t="n">
        <f aca="false">R1710/(1-Resumo!$C$5)</f>
        <v>142.586315909091</v>
      </c>
      <c r="T1710" s="61" t="n">
        <v>131.02</v>
      </c>
      <c r="U1710" s="61" t="n">
        <f aca="false">H1710*Resumo!$B$6</f>
        <v>0.77999</v>
      </c>
      <c r="V1710" s="61" t="n">
        <f aca="false">H1710*Resumo!$B$7</f>
        <v>1.55998</v>
      </c>
      <c r="W1710" s="61" t="n">
        <f aca="false">Resumo!$B$9</f>
        <v>1</v>
      </c>
      <c r="X1710" s="61" t="n">
        <f aca="false">Resumo!$B$10*CEILING(G1710/100,1)</f>
        <v>4.5</v>
      </c>
      <c r="Y1710" s="61" t="n">
        <f aca="false">Resumo!$B$12*CEILING(G1710,1)</f>
        <v>4.14</v>
      </c>
      <c r="Z1710" s="61" t="n">
        <f aca="false">Resumo!$B$14*CEILING(G1710,1)</f>
        <v>31.05</v>
      </c>
      <c r="AA1710" s="61" t="n">
        <f aca="false">SUM(T1710:Z1710)</f>
        <v>174.04997</v>
      </c>
      <c r="AB1710" s="61" t="n">
        <f aca="false">AA1710/(1-Resumo!$B$5)</f>
        <v>197.784056818182</v>
      </c>
      <c r="AC1710" s="61" t="n">
        <f aca="false">AB1710-S1710</f>
        <v>55.197740909091</v>
      </c>
      <c r="AD1710" s="62" t="n">
        <f aca="false">AB1710/S1710-1</f>
        <v>0.387118080421431</v>
      </c>
      <c r="AE1710" s="60" t="str">
        <f aca="false">IF(AB1710&lt;S1710,"SIM","NÃO")</f>
        <v>NÃO</v>
      </c>
      <c r="AF1710" s="60" t="n">
        <v>2</v>
      </c>
      <c r="AG1710" s="60" t="n">
        <v>5</v>
      </c>
      <c r="AH1710" s="60" t="s">
        <v>382</v>
      </c>
      <c r="AI1710" s="61" t="n">
        <f aca="false">(T1710*(1-Painel!$C$40)+U1710+V1710+Painel!$C$41+Painel!$C$42*CEILING(G1710/100,1)+Painel!$C$43*CEILING(G1710,1)+Z1710)/(1-Resumo!$B$5)</f>
        <v>140.026556818182</v>
      </c>
      <c r="AJ1710" s="60" t="str">
        <f aca="false">IF(AI1710&lt;S1710,"SIM","NÃO")</f>
        <v>SIM</v>
      </c>
    </row>
    <row r="1711" customFormat="false" ht="15" hidden="false" customHeight="false" outlineLevel="0" collapsed="false">
      <c r="A1711" s="59" t="n">
        <v>46275.6410416667</v>
      </c>
      <c r="B1711" s="60" t="s">
        <v>1928</v>
      </c>
      <c r="C1711" s="60" t="n">
        <v>21046035</v>
      </c>
      <c r="D1711" s="60" t="s">
        <v>46</v>
      </c>
      <c r="E1711" s="60" t="s">
        <v>22</v>
      </c>
      <c r="F1711" s="60" t="s">
        <v>234</v>
      </c>
      <c r="G1711" s="60" t="n">
        <v>37.2</v>
      </c>
      <c r="H1711" s="61" t="n">
        <v>399.99</v>
      </c>
      <c r="I1711" s="61" t="n">
        <v>48.35</v>
      </c>
      <c r="J1711" s="61" t="n">
        <f aca="false">H1711*Resumo!$C$6</f>
        <v>0</v>
      </c>
      <c r="K1711" s="61" t="n">
        <f aca="false">H1711*Resumo!$C$7</f>
        <v>0.839979</v>
      </c>
      <c r="L1711" s="61" t="n">
        <f aca="false">H1711*Resumo!$C$8</f>
        <v>0.839979</v>
      </c>
      <c r="M1711" s="61" t="n">
        <f aca="false">Resumo!$C$10*CEILING(G1711/100,1)</f>
        <v>1.05</v>
      </c>
      <c r="N1711" s="61" t="n">
        <f aca="false">Resumo!$C$9</f>
        <v>0</v>
      </c>
      <c r="O1711" s="61" t="n">
        <f aca="false">Resumo!$C$13</f>
        <v>13.55</v>
      </c>
      <c r="P1711" s="61" t="n">
        <f aca="false">Resumo!$C$14*CEILING(G1711,1)</f>
        <v>17.1</v>
      </c>
      <c r="Q1711" s="61" t="n">
        <f aca="false">SUM(I1711:P1711)*Resumo!$C$11</f>
        <v>0</v>
      </c>
      <c r="R1711" s="61" t="n">
        <f aca="false">SUM(I1711:Q1711)</f>
        <v>81.729958</v>
      </c>
      <c r="S1711" s="61" t="n">
        <f aca="false">R1711/(1-Resumo!$C$5)</f>
        <v>92.8749522727273</v>
      </c>
      <c r="T1711" s="61" t="n">
        <v>93.97</v>
      </c>
      <c r="U1711" s="61" t="n">
        <f aca="false">H1711*Resumo!$B$6</f>
        <v>0.39999</v>
      </c>
      <c r="V1711" s="61" t="n">
        <f aca="false">H1711*Resumo!$B$7</f>
        <v>0.79998</v>
      </c>
      <c r="W1711" s="61" t="n">
        <f aca="false">Resumo!$B$9</f>
        <v>1</v>
      </c>
      <c r="X1711" s="61" t="n">
        <f aca="false">Resumo!$B$10*CEILING(G1711/100,1)</f>
        <v>4.5</v>
      </c>
      <c r="Y1711" s="61" t="n">
        <f aca="false">Resumo!$B$12*CEILING(G1711,1)</f>
        <v>2.28</v>
      </c>
      <c r="Z1711" s="61" t="n">
        <f aca="false">Resumo!$B$14*CEILING(G1711,1)</f>
        <v>17.1</v>
      </c>
      <c r="AA1711" s="61" t="n">
        <f aca="false">SUM(T1711:Z1711)</f>
        <v>120.04997</v>
      </c>
      <c r="AB1711" s="61" t="n">
        <f aca="false">AA1711/(1-Resumo!$B$5)</f>
        <v>136.420420454545</v>
      </c>
      <c r="AC1711" s="61" t="n">
        <f aca="false">AB1711-S1711</f>
        <v>43.5454681818182</v>
      </c>
      <c r="AD1711" s="62" t="n">
        <f aca="false">AB1711/S1711-1</f>
        <v>0.468861271163262</v>
      </c>
      <c r="AE1711" s="60" t="str">
        <f aca="false">IF(AB1711&lt;S1711,"SIM","NÃO")</f>
        <v>NÃO</v>
      </c>
      <c r="AF1711" s="60" t="n">
        <v>2</v>
      </c>
      <c r="AG1711" s="60" t="n">
        <v>5</v>
      </c>
      <c r="AH1711" s="60" t="s">
        <v>382</v>
      </c>
      <c r="AI1711" s="61" t="n">
        <f aca="false">(T1711*(1-Painel!$C$40)+U1711+V1711+Painel!$C$41+Painel!$C$42*CEILING(G1711/100,1)+Painel!$C$43*CEILING(G1711,1)+Z1711)/(1-Resumo!$B$5)</f>
        <v>94.6703068181818</v>
      </c>
      <c r="AJ1711" s="60" t="str">
        <f aca="false">IF(AI1711&lt;S1711,"SIM","NÃO")</f>
        <v>NÃO</v>
      </c>
    </row>
    <row r="1712" customFormat="false" ht="15" hidden="false" customHeight="false" outlineLevel="0" collapsed="false">
      <c r="A1712" s="59" t="n">
        <v>46275.7028472222</v>
      </c>
      <c r="B1712" s="60" t="s">
        <v>1929</v>
      </c>
      <c r="C1712" s="60" t="n">
        <v>21775490</v>
      </c>
      <c r="D1712" s="60" t="s">
        <v>46</v>
      </c>
      <c r="E1712" s="60" t="s">
        <v>22</v>
      </c>
      <c r="F1712" s="60" t="s">
        <v>233</v>
      </c>
      <c r="G1712" s="60" t="n">
        <v>23</v>
      </c>
      <c r="H1712" s="61" t="n">
        <v>349.99</v>
      </c>
      <c r="I1712" s="61" t="n">
        <v>42.11</v>
      </c>
      <c r="J1712" s="61" t="n">
        <f aca="false">H1712*Resumo!$C$6</f>
        <v>0</v>
      </c>
      <c r="K1712" s="61" t="n">
        <f aca="false">H1712*Resumo!$C$7</f>
        <v>0.734979</v>
      </c>
      <c r="L1712" s="61" t="n">
        <f aca="false">H1712*Resumo!$C$8</f>
        <v>0.734979</v>
      </c>
      <c r="M1712" s="61" t="n">
        <f aca="false">Resumo!$C$10*CEILING(G1712/100,1)</f>
        <v>1.05</v>
      </c>
      <c r="N1712" s="61" t="n">
        <f aca="false">Resumo!$C$9</f>
        <v>0</v>
      </c>
      <c r="O1712" s="61" t="n">
        <f aca="false">Resumo!$C$13</f>
        <v>13.55</v>
      </c>
      <c r="P1712" s="61" t="n">
        <f aca="false">Resumo!$C$14*CEILING(G1712,1)</f>
        <v>10.35</v>
      </c>
      <c r="Q1712" s="61" t="n">
        <f aca="false">SUM(I1712:P1712)*Resumo!$C$11</f>
        <v>0</v>
      </c>
      <c r="R1712" s="61" t="n">
        <f aca="false">SUM(I1712:Q1712)</f>
        <v>68.529958</v>
      </c>
      <c r="S1712" s="61" t="n">
        <f aca="false">R1712/(1-Resumo!$C$5)</f>
        <v>77.8749522727273</v>
      </c>
      <c r="T1712" s="61" t="n">
        <v>82.21</v>
      </c>
      <c r="U1712" s="61" t="n">
        <f aca="false">H1712*Resumo!$B$6</f>
        <v>0.34999</v>
      </c>
      <c r="V1712" s="61" t="n">
        <f aca="false">H1712*Resumo!$B$7</f>
        <v>0.69998</v>
      </c>
      <c r="W1712" s="61" t="n">
        <f aca="false">Resumo!$B$9</f>
        <v>1</v>
      </c>
      <c r="X1712" s="61" t="n">
        <f aca="false">Resumo!$B$10*CEILING(G1712/100,1)</f>
        <v>4.5</v>
      </c>
      <c r="Y1712" s="61" t="n">
        <f aca="false">Resumo!$B$12*CEILING(G1712,1)</f>
        <v>1.38</v>
      </c>
      <c r="Z1712" s="61" t="n">
        <f aca="false">Resumo!$B$14*CEILING(G1712,1)</f>
        <v>10.35</v>
      </c>
      <c r="AA1712" s="61" t="n">
        <f aca="false">SUM(T1712:Z1712)</f>
        <v>100.48997</v>
      </c>
      <c r="AB1712" s="61" t="n">
        <f aca="false">AA1712/(1-Resumo!$B$5)</f>
        <v>114.193147727273</v>
      </c>
      <c r="AC1712" s="61" t="n">
        <f aca="false">AB1712-S1712</f>
        <v>36.3181954545454</v>
      </c>
      <c r="AD1712" s="62" t="n">
        <f aca="false">AB1712/S1712-1</f>
        <v>0.466365556505959</v>
      </c>
      <c r="AE1712" s="60" t="str">
        <f aca="false">IF(AB1712&lt;S1712,"SIM","NÃO")</f>
        <v>NÃO</v>
      </c>
      <c r="AF1712" s="60" t="n">
        <v>2</v>
      </c>
      <c r="AG1712" s="60" t="n">
        <v>5</v>
      </c>
      <c r="AH1712" s="60" t="s">
        <v>382</v>
      </c>
      <c r="AI1712" s="61" t="n">
        <f aca="false">(T1712*(1-Painel!$C$40)+U1712+V1712+Painel!$C$41+Painel!$C$42*CEILING(G1712/100,1)+Painel!$C$43*CEILING(G1712,1)+Z1712)/(1-Resumo!$B$5)</f>
        <v>77.8757613636363</v>
      </c>
      <c r="AJ1712" s="60" t="str">
        <f aca="false">IF(AI1712&lt;S1712,"SIM","NÃO")</f>
        <v>NÃO</v>
      </c>
    </row>
    <row r="1713" customFormat="false" ht="15" hidden="false" customHeight="false" outlineLevel="0" collapsed="false">
      <c r="A1713" s="59" t="n">
        <v>46275.7619675926</v>
      </c>
      <c r="B1713" s="60" t="s">
        <v>1930</v>
      </c>
      <c r="C1713" s="60" t="n">
        <v>21370650</v>
      </c>
      <c r="D1713" s="60" t="s">
        <v>46</v>
      </c>
      <c r="E1713" s="60" t="s">
        <v>22</v>
      </c>
      <c r="F1713" s="60" t="s">
        <v>237</v>
      </c>
      <c r="G1713" s="60" t="n">
        <v>66.8</v>
      </c>
      <c r="H1713" s="61" t="n">
        <v>666.29</v>
      </c>
      <c r="I1713" s="61" t="n">
        <v>63.21</v>
      </c>
      <c r="J1713" s="61" t="n">
        <f aca="false">H1713*Resumo!$C$6</f>
        <v>0</v>
      </c>
      <c r="K1713" s="61" t="n">
        <f aca="false">H1713*Resumo!$C$7</f>
        <v>1.399209</v>
      </c>
      <c r="L1713" s="61" t="n">
        <f aca="false">H1713*Resumo!$C$8</f>
        <v>1.399209</v>
      </c>
      <c r="M1713" s="61" t="n">
        <f aca="false">Resumo!$C$10*CEILING(G1713/100,1)</f>
        <v>1.05</v>
      </c>
      <c r="N1713" s="61" t="n">
        <f aca="false">Resumo!$C$9</f>
        <v>0</v>
      </c>
      <c r="O1713" s="61" t="n">
        <f aca="false">Resumo!$C$13</f>
        <v>13.55</v>
      </c>
      <c r="P1713" s="61" t="n">
        <f aca="false">Resumo!$C$14*CEILING(G1713,1)</f>
        <v>30.15</v>
      </c>
      <c r="Q1713" s="61" t="n">
        <f aca="false">SUM(I1713:P1713)*Resumo!$C$11</f>
        <v>0</v>
      </c>
      <c r="R1713" s="61" t="n">
        <f aca="false">SUM(I1713:Q1713)</f>
        <v>110.758418</v>
      </c>
      <c r="S1713" s="61" t="n">
        <f aca="false">R1713/(1-Resumo!$C$5)</f>
        <v>125.861838636364</v>
      </c>
      <c r="T1713" s="61" t="n">
        <v>131.02</v>
      </c>
      <c r="U1713" s="61" t="n">
        <f aca="false">H1713*Resumo!$B$6</f>
        <v>0.66629</v>
      </c>
      <c r="V1713" s="61" t="n">
        <f aca="false">H1713*Resumo!$B$7</f>
        <v>1.33258</v>
      </c>
      <c r="W1713" s="61" t="n">
        <f aca="false">Resumo!$B$9</f>
        <v>1</v>
      </c>
      <c r="X1713" s="61" t="n">
        <f aca="false">Resumo!$B$10*CEILING(G1713/100,1)</f>
        <v>4.5</v>
      </c>
      <c r="Y1713" s="61" t="n">
        <f aca="false">Resumo!$B$12*CEILING(G1713,1)</f>
        <v>4.02</v>
      </c>
      <c r="Z1713" s="61" t="n">
        <f aca="false">Resumo!$B$14*CEILING(G1713,1)</f>
        <v>30.15</v>
      </c>
      <c r="AA1713" s="61" t="n">
        <f aca="false">SUM(T1713:Z1713)</f>
        <v>172.68887</v>
      </c>
      <c r="AB1713" s="61" t="n">
        <f aca="false">AA1713/(1-Resumo!$B$5)</f>
        <v>196.237352272727</v>
      </c>
      <c r="AC1713" s="61" t="n">
        <f aca="false">AB1713-S1713</f>
        <v>70.3755136363637</v>
      </c>
      <c r="AD1713" s="62" t="n">
        <f aca="false">AB1713/S1713-1</f>
        <v>0.559148939812412</v>
      </c>
      <c r="AE1713" s="60" t="str">
        <f aca="false">IF(AB1713&lt;S1713,"SIM","NÃO")</f>
        <v>NÃO</v>
      </c>
      <c r="AF1713" s="60" t="n">
        <v>2</v>
      </c>
      <c r="AG1713" s="60" t="n">
        <v>5</v>
      </c>
      <c r="AH1713" s="60" t="s">
        <v>382</v>
      </c>
      <c r="AI1713" s="61" t="n">
        <f aca="false">(T1713*(1-Painel!$C$40)+U1713+V1713+Painel!$C$41+Painel!$C$42*CEILING(G1713/100,1)+Painel!$C$43*CEILING(G1713,1)+Z1713)/(1-Resumo!$B$5)</f>
        <v>138.616215909091</v>
      </c>
      <c r="AJ1713" s="60" t="str">
        <f aca="false">IF(AI1713&lt;S1713,"SIM","NÃO")</f>
        <v>NÃO</v>
      </c>
    </row>
    <row r="1714" customFormat="false" ht="15" hidden="false" customHeight="false" outlineLevel="0" collapsed="false">
      <c r="A1714" s="59" t="n">
        <v>46275.7769675926</v>
      </c>
      <c r="B1714" s="60" t="s">
        <v>1931</v>
      </c>
      <c r="C1714" s="60" t="n">
        <v>28962284</v>
      </c>
      <c r="D1714" s="60" t="s">
        <v>340</v>
      </c>
      <c r="E1714" s="60" t="s">
        <v>24</v>
      </c>
      <c r="F1714" s="60" t="s">
        <v>233</v>
      </c>
      <c r="G1714" s="60" t="n">
        <v>34.4</v>
      </c>
      <c r="H1714" s="61" t="n">
        <v>499.99</v>
      </c>
      <c r="I1714" s="61" t="n">
        <v>65.63</v>
      </c>
      <c r="J1714" s="61" t="n">
        <f aca="false">H1714*Resumo!$C$6</f>
        <v>0</v>
      </c>
      <c r="K1714" s="61" t="n">
        <f aca="false">H1714*Resumo!$C$7</f>
        <v>1.049979</v>
      </c>
      <c r="L1714" s="61" t="n">
        <f aca="false">H1714*Resumo!$C$8</f>
        <v>1.049979</v>
      </c>
      <c r="M1714" s="61" t="n">
        <f aca="false">Resumo!$C$10*CEILING(G1714/100,1)</f>
        <v>1.05</v>
      </c>
      <c r="N1714" s="61" t="n">
        <f aca="false">Resumo!$C$9</f>
        <v>0</v>
      </c>
      <c r="O1714" s="61" t="n">
        <f aca="false">Resumo!$C$13</f>
        <v>13.55</v>
      </c>
      <c r="P1714" s="61" t="n">
        <f aca="false">Resumo!$C$14*CEILING(G1714,1)</f>
        <v>15.75</v>
      </c>
      <c r="Q1714" s="61" t="n">
        <f aca="false">SUM(I1714:P1714)*Resumo!$C$11</f>
        <v>0</v>
      </c>
      <c r="R1714" s="61" t="n">
        <f aca="false">SUM(I1714:Q1714)</f>
        <v>98.079958</v>
      </c>
      <c r="S1714" s="61" t="n">
        <f aca="false">R1714/(1-Resumo!$C$5)</f>
        <v>111.454497727273</v>
      </c>
      <c r="T1714" s="61" t="n">
        <v>114.95</v>
      </c>
      <c r="U1714" s="61" t="n">
        <f aca="false">H1714*Resumo!$B$6</f>
        <v>0.49999</v>
      </c>
      <c r="V1714" s="61" t="n">
        <f aca="false">H1714*Resumo!$B$7</f>
        <v>0.99998</v>
      </c>
      <c r="W1714" s="61" t="n">
        <f aca="false">Resumo!$B$9</f>
        <v>1</v>
      </c>
      <c r="X1714" s="61" t="n">
        <f aca="false">Resumo!$B$10*CEILING(G1714/100,1)</f>
        <v>4.5</v>
      </c>
      <c r="Y1714" s="61" t="n">
        <f aca="false">Resumo!$B$12*CEILING(G1714,1)</f>
        <v>2.1</v>
      </c>
      <c r="Z1714" s="61" t="n">
        <f aca="false">Resumo!$B$14*CEILING(G1714,1)</f>
        <v>15.75</v>
      </c>
      <c r="AA1714" s="61" t="n">
        <f aca="false">SUM(T1714:Z1714)</f>
        <v>139.79997</v>
      </c>
      <c r="AB1714" s="61" t="n">
        <f aca="false">AA1714/(1-Resumo!$B$5)</f>
        <v>158.863602272727</v>
      </c>
      <c r="AC1714" s="61" t="n">
        <f aca="false">AB1714-S1714</f>
        <v>47.4091045454546</v>
      </c>
      <c r="AD1714" s="62" t="n">
        <f aca="false">AB1714/S1714-1</f>
        <v>0.425367351809021</v>
      </c>
      <c r="AE1714" s="60" t="str">
        <f aca="false">IF(AB1714&lt;S1714,"SIM","NÃO")</f>
        <v>NÃO</v>
      </c>
      <c r="AF1714" s="60" t="n">
        <v>13</v>
      </c>
      <c r="AG1714" s="60" t="n">
        <v>10</v>
      </c>
      <c r="AH1714" s="60" t="s">
        <v>385</v>
      </c>
      <c r="AI1714" s="61" t="n">
        <f aca="false">(T1714*(1-Painel!$C$40)+U1714+V1714+Painel!$C$41+Painel!$C$42*CEILING(G1714/100,1)+Painel!$C$43*CEILING(G1714,1)+Z1714)/(1-Resumo!$B$5)</f>
        <v>109.450534090909</v>
      </c>
      <c r="AJ1714" s="60" t="str">
        <f aca="false">IF(AI1714&lt;S1714,"SIM","NÃO")</f>
        <v>SIM</v>
      </c>
    </row>
    <row r="1715" customFormat="false" ht="15" hidden="false" customHeight="false" outlineLevel="0" collapsed="false">
      <c r="A1715" s="59" t="n">
        <v>46275.8004398148</v>
      </c>
      <c r="B1715" s="60" t="s">
        <v>1932</v>
      </c>
      <c r="C1715" s="60" t="n">
        <v>21073230</v>
      </c>
      <c r="D1715" s="60" t="s">
        <v>46</v>
      </c>
      <c r="E1715" s="60" t="s">
        <v>22</v>
      </c>
      <c r="F1715" s="60" t="s">
        <v>236</v>
      </c>
      <c r="G1715" s="60" t="n">
        <v>52.3</v>
      </c>
      <c r="H1715" s="61" t="n">
        <v>699.99</v>
      </c>
      <c r="I1715" s="61" t="n">
        <v>58.6</v>
      </c>
      <c r="J1715" s="61" t="n">
        <f aca="false">H1715*Resumo!$C$6</f>
        <v>0</v>
      </c>
      <c r="K1715" s="61" t="n">
        <f aca="false">H1715*Resumo!$C$7</f>
        <v>1.469979</v>
      </c>
      <c r="L1715" s="61" t="n">
        <f aca="false">H1715*Resumo!$C$8</f>
        <v>1.469979</v>
      </c>
      <c r="M1715" s="61" t="n">
        <f aca="false">Resumo!$C$10*CEILING(G1715/100,1)</f>
        <v>1.05</v>
      </c>
      <c r="N1715" s="61" t="n">
        <f aca="false">Resumo!$C$9</f>
        <v>0</v>
      </c>
      <c r="O1715" s="61" t="n">
        <f aca="false">Resumo!$C$13</f>
        <v>13.55</v>
      </c>
      <c r="P1715" s="61" t="n">
        <f aca="false">Resumo!$C$14*CEILING(G1715,1)</f>
        <v>23.85</v>
      </c>
      <c r="Q1715" s="61" t="n">
        <f aca="false">SUM(I1715:P1715)*Resumo!$C$11</f>
        <v>0</v>
      </c>
      <c r="R1715" s="61" t="n">
        <f aca="false">SUM(I1715:Q1715)</f>
        <v>99.989958</v>
      </c>
      <c r="S1715" s="61" t="n">
        <f aca="false">R1715/(1-Resumo!$C$5)</f>
        <v>113.624952272727</v>
      </c>
      <c r="T1715" s="61" t="n">
        <v>112.3</v>
      </c>
      <c r="U1715" s="61" t="n">
        <f aca="false">H1715*Resumo!$B$6</f>
        <v>0.69999</v>
      </c>
      <c r="V1715" s="61" t="n">
        <f aca="false">H1715*Resumo!$B$7</f>
        <v>1.39998</v>
      </c>
      <c r="W1715" s="61" t="n">
        <f aca="false">Resumo!$B$9</f>
        <v>1</v>
      </c>
      <c r="X1715" s="61" t="n">
        <f aca="false">Resumo!$B$10*CEILING(G1715/100,1)</f>
        <v>4.5</v>
      </c>
      <c r="Y1715" s="61" t="n">
        <f aca="false">Resumo!$B$12*CEILING(G1715,1)</f>
        <v>3.18</v>
      </c>
      <c r="Z1715" s="61" t="n">
        <f aca="false">Resumo!$B$14*CEILING(G1715,1)</f>
        <v>23.85</v>
      </c>
      <c r="AA1715" s="61" t="n">
        <f aca="false">SUM(T1715:Z1715)</f>
        <v>146.92997</v>
      </c>
      <c r="AB1715" s="61" t="n">
        <f aca="false">AA1715/(1-Resumo!$B$5)</f>
        <v>166.965875</v>
      </c>
      <c r="AC1715" s="61" t="n">
        <f aca="false">AB1715-S1715</f>
        <v>53.3409227272727</v>
      </c>
      <c r="AD1715" s="62" t="n">
        <f aca="false">AB1715/S1715-1</f>
        <v>0.469447261894039</v>
      </c>
      <c r="AE1715" s="60" t="str">
        <f aca="false">IF(AB1715&lt;S1715,"SIM","NÃO")</f>
        <v>NÃO</v>
      </c>
      <c r="AF1715" s="60" t="n">
        <v>2</v>
      </c>
      <c r="AG1715" s="60" t="n">
        <v>5</v>
      </c>
      <c r="AH1715" s="60" t="s">
        <v>382</v>
      </c>
      <c r="AI1715" s="61" t="n">
        <f aca="false">(T1715*(1-Painel!$C$40)+U1715+V1715+Painel!$C$41+Painel!$C$42*CEILING(G1715/100,1)+Painel!$C$43*CEILING(G1715,1)+Z1715)/(1-Resumo!$B$5)</f>
        <v>117.319284090909</v>
      </c>
      <c r="AJ1715" s="60" t="str">
        <f aca="false">IF(AI1715&lt;S1715,"SIM","NÃO")</f>
        <v>NÃO</v>
      </c>
    </row>
    <row r="1716" customFormat="false" ht="15" hidden="false" customHeight="false" outlineLevel="0" collapsed="false">
      <c r="A1716" s="59" t="n">
        <v>46275.804525463</v>
      </c>
      <c r="B1716" s="60" t="s">
        <v>1933</v>
      </c>
      <c r="C1716" s="60" t="n">
        <v>28994816</v>
      </c>
      <c r="D1716" s="60" t="s">
        <v>341</v>
      </c>
      <c r="E1716" s="60" t="s">
        <v>24</v>
      </c>
      <c r="F1716" s="60" t="s">
        <v>232</v>
      </c>
      <c r="G1716" s="60" t="n">
        <v>19.5</v>
      </c>
      <c r="H1716" s="61" t="n">
        <v>528.08</v>
      </c>
      <c r="I1716" s="61" t="n">
        <v>46.95</v>
      </c>
      <c r="J1716" s="61" t="n">
        <f aca="false">H1716*Resumo!$C$6</f>
        <v>0</v>
      </c>
      <c r="K1716" s="61" t="n">
        <f aca="false">H1716*Resumo!$C$7</f>
        <v>1.108968</v>
      </c>
      <c r="L1716" s="61" t="n">
        <f aca="false">H1716*Resumo!$C$8</f>
        <v>1.108968</v>
      </c>
      <c r="M1716" s="61" t="n">
        <f aca="false">Resumo!$C$10*CEILING(G1716/100,1)</f>
        <v>1.05</v>
      </c>
      <c r="N1716" s="61" t="n">
        <f aca="false">Resumo!$C$9</f>
        <v>0</v>
      </c>
      <c r="O1716" s="61" t="n">
        <f aca="false">Resumo!$C$13</f>
        <v>13.55</v>
      </c>
      <c r="P1716" s="61" t="n">
        <f aca="false">Resumo!$C$14*CEILING(G1716,1)</f>
        <v>9</v>
      </c>
      <c r="Q1716" s="61" t="n">
        <f aca="false">SUM(I1716:P1716)*Resumo!$C$11</f>
        <v>0</v>
      </c>
      <c r="R1716" s="61" t="n">
        <f aca="false">SUM(I1716:Q1716)</f>
        <v>72.767936</v>
      </c>
      <c r="S1716" s="61" t="n">
        <f aca="false">R1716/(1-Resumo!$C$5)</f>
        <v>82.6908363636364</v>
      </c>
      <c r="T1716" s="61" t="n">
        <v>100.7</v>
      </c>
      <c r="U1716" s="61" t="n">
        <f aca="false">H1716*Resumo!$B$6</f>
        <v>0.52808</v>
      </c>
      <c r="V1716" s="61" t="n">
        <f aca="false">H1716*Resumo!$B$7</f>
        <v>1.05616</v>
      </c>
      <c r="W1716" s="61" t="n">
        <f aca="false">Resumo!$B$9</f>
        <v>1</v>
      </c>
      <c r="X1716" s="61" t="n">
        <f aca="false">Resumo!$B$10*CEILING(G1716/100,1)</f>
        <v>4.5</v>
      </c>
      <c r="Y1716" s="61" t="n">
        <f aca="false">Resumo!$B$12*CEILING(G1716,1)</f>
        <v>1.2</v>
      </c>
      <c r="Z1716" s="61" t="n">
        <f aca="false">Resumo!$B$14*CEILING(G1716,1)</f>
        <v>9</v>
      </c>
      <c r="AA1716" s="61" t="n">
        <f aca="false">SUM(T1716:Z1716)</f>
        <v>117.98424</v>
      </c>
      <c r="AB1716" s="61" t="n">
        <f aca="false">AA1716/(1-Resumo!$B$5)</f>
        <v>134.073</v>
      </c>
      <c r="AC1716" s="61" t="n">
        <f aca="false">AB1716-S1716</f>
        <v>51.3821636363636</v>
      </c>
      <c r="AD1716" s="62" t="n">
        <f aca="false">AB1716/S1716-1</f>
        <v>0.621376755828281</v>
      </c>
      <c r="AE1716" s="60" t="str">
        <f aca="false">IF(AB1716&lt;S1716,"SIM","NÃO")</f>
        <v>NÃO</v>
      </c>
      <c r="AF1716" s="60" t="n">
        <v>13</v>
      </c>
      <c r="AG1716" s="60" t="n">
        <v>10</v>
      </c>
      <c r="AH1716" s="60" t="s">
        <v>385</v>
      </c>
      <c r="AI1716" s="61" t="n">
        <f aca="false">(T1716*(1-Painel!$C$40)+U1716+V1716+Painel!$C$41+Painel!$C$42*CEILING(G1716/100,1)+Painel!$C$43*CEILING(G1716,1)+Z1716)/(1-Resumo!$B$5)</f>
        <v>91.0264090909091</v>
      </c>
      <c r="AJ1716" s="60" t="str">
        <f aca="false">IF(AI1716&lt;S1716,"SIM","NÃO")</f>
        <v>NÃO</v>
      </c>
    </row>
    <row r="1717" customFormat="false" ht="15" hidden="false" customHeight="false" outlineLevel="0" collapsed="false">
      <c r="A1717" s="59" t="n">
        <v>46275.8287384259</v>
      </c>
      <c r="B1717" s="60" t="s">
        <v>1934</v>
      </c>
      <c r="C1717" s="60" t="n">
        <v>27240110</v>
      </c>
      <c r="D1717" s="60" t="s">
        <v>217</v>
      </c>
      <c r="E1717" s="60" t="s">
        <v>24</v>
      </c>
      <c r="F1717" s="60" t="s">
        <v>233</v>
      </c>
      <c r="G1717" s="60" t="n">
        <v>27.6</v>
      </c>
      <c r="H1717" s="61" t="n">
        <v>537.45</v>
      </c>
      <c r="I1717" s="61" t="n">
        <v>65.63</v>
      </c>
      <c r="J1717" s="61" t="n">
        <f aca="false">H1717*Resumo!$C$6</f>
        <v>0</v>
      </c>
      <c r="K1717" s="61" t="n">
        <f aca="false">H1717*Resumo!$C$7</f>
        <v>1.128645</v>
      </c>
      <c r="L1717" s="61" t="n">
        <f aca="false">H1717*Resumo!$C$8</f>
        <v>1.128645</v>
      </c>
      <c r="M1717" s="61" t="n">
        <f aca="false">Resumo!$C$10*CEILING(G1717/100,1)</f>
        <v>1.05</v>
      </c>
      <c r="N1717" s="61" t="n">
        <f aca="false">Resumo!$C$9</f>
        <v>0</v>
      </c>
      <c r="O1717" s="61" t="n">
        <f aca="false">Resumo!$C$13</f>
        <v>13.55</v>
      </c>
      <c r="P1717" s="61" t="n">
        <f aca="false">Resumo!$C$14*CEILING(G1717,1)</f>
        <v>12.6</v>
      </c>
      <c r="Q1717" s="61" t="n">
        <f aca="false">SUM(I1717:P1717)*Resumo!$C$11</f>
        <v>0</v>
      </c>
      <c r="R1717" s="61" t="n">
        <f aca="false">SUM(I1717:Q1717)</f>
        <v>95.08729</v>
      </c>
      <c r="S1717" s="61" t="n">
        <f aca="false">R1717/(1-Resumo!$C$5)</f>
        <v>108.053738636364</v>
      </c>
      <c r="T1717" s="61" t="n">
        <v>108.83</v>
      </c>
      <c r="U1717" s="61" t="n">
        <f aca="false">H1717*Resumo!$B$6</f>
        <v>0.53745</v>
      </c>
      <c r="V1717" s="61" t="n">
        <f aca="false">H1717*Resumo!$B$7</f>
        <v>1.0749</v>
      </c>
      <c r="W1717" s="61" t="n">
        <f aca="false">Resumo!$B$9</f>
        <v>1</v>
      </c>
      <c r="X1717" s="61" t="n">
        <f aca="false">Resumo!$B$10*CEILING(G1717/100,1)</f>
        <v>4.5</v>
      </c>
      <c r="Y1717" s="61" t="n">
        <f aca="false">Resumo!$B$12*CEILING(G1717,1)</f>
        <v>1.68</v>
      </c>
      <c r="Z1717" s="61" t="n">
        <f aca="false">Resumo!$B$14*CEILING(G1717,1)</f>
        <v>12.6</v>
      </c>
      <c r="AA1717" s="61" t="n">
        <f aca="false">SUM(T1717:Z1717)</f>
        <v>130.22235</v>
      </c>
      <c r="AB1717" s="61" t="n">
        <f aca="false">AA1717/(1-Resumo!$B$5)</f>
        <v>147.979943181818</v>
      </c>
      <c r="AC1717" s="61" t="n">
        <f aca="false">AB1717-S1717</f>
        <v>39.9262045454546</v>
      </c>
      <c r="AD1717" s="62" t="n">
        <f aca="false">AB1717/S1717-1</f>
        <v>0.369503221723955</v>
      </c>
      <c r="AE1717" s="60" t="str">
        <f aca="false">IF(AB1717&lt;S1717,"SIM","NÃO")</f>
        <v>NÃO</v>
      </c>
      <c r="AF1717" s="60" t="n">
        <v>13</v>
      </c>
      <c r="AG1717" s="60" t="n">
        <v>10</v>
      </c>
      <c r="AH1717" s="60" t="s">
        <v>382</v>
      </c>
      <c r="AI1717" s="61" t="n">
        <f aca="false">(T1717*(1-Painel!$C$40)+U1717+V1717+Painel!$C$41+Painel!$C$42*CEILING(G1717/100,1)+Painel!$C$43*CEILING(G1717,1)+Z1717)/(1-Resumo!$B$5)</f>
        <v>101.339147727273</v>
      </c>
      <c r="AJ1717" s="60" t="str">
        <f aca="false">IF(AI1717&lt;S1717,"SIM","NÃO")</f>
        <v>SIM</v>
      </c>
    </row>
    <row r="1718" customFormat="false" ht="15" hidden="false" customHeight="false" outlineLevel="0" collapsed="false">
      <c r="A1718" s="59" t="n">
        <v>46275.8341087963</v>
      </c>
      <c r="B1718" s="60" t="s">
        <v>1935</v>
      </c>
      <c r="C1718" s="60" t="n">
        <v>27276000</v>
      </c>
      <c r="D1718" s="60" t="s">
        <v>217</v>
      </c>
      <c r="E1718" s="60" t="s">
        <v>24</v>
      </c>
      <c r="F1718" s="60" t="s">
        <v>233</v>
      </c>
      <c r="G1718" s="60" t="n">
        <v>33.21</v>
      </c>
      <c r="H1718" s="61" t="n">
        <v>439.99</v>
      </c>
      <c r="I1718" s="61" t="n">
        <v>65.63</v>
      </c>
      <c r="J1718" s="61" t="n">
        <f aca="false">H1718*Resumo!$C$6</f>
        <v>0</v>
      </c>
      <c r="K1718" s="61" t="n">
        <f aca="false">H1718*Resumo!$C$7</f>
        <v>0.923979</v>
      </c>
      <c r="L1718" s="61" t="n">
        <f aca="false">H1718*Resumo!$C$8</f>
        <v>0.923979</v>
      </c>
      <c r="M1718" s="61" t="n">
        <f aca="false">Resumo!$C$10*CEILING(G1718/100,1)</f>
        <v>1.05</v>
      </c>
      <c r="N1718" s="61" t="n">
        <f aca="false">Resumo!$C$9</f>
        <v>0</v>
      </c>
      <c r="O1718" s="61" t="n">
        <f aca="false">Resumo!$C$13</f>
        <v>13.55</v>
      </c>
      <c r="P1718" s="61" t="n">
        <f aca="false">Resumo!$C$14*CEILING(G1718,1)</f>
        <v>15.3</v>
      </c>
      <c r="Q1718" s="61" t="n">
        <f aca="false">SUM(I1718:P1718)*Resumo!$C$11</f>
        <v>0</v>
      </c>
      <c r="R1718" s="61" t="n">
        <f aca="false">SUM(I1718:Q1718)</f>
        <v>97.377958</v>
      </c>
      <c r="S1718" s="61" t="n">
        <f aca="false">R1718/(1-Resumo!$C$5)</f>
        <v>110.656770454545</v>
      </c>
      <c r="T1718" s="61" t="n">
        <v>108.83</v>
      </c>
      <c r="U1718" s="61" t="n">
        <f aca="false">H1718*Resumo!$B$6</f>
        <v>0.43999</v>
      </c>
      <c r="V1718" s="61" t="n">
        <f aca="false">H1718*Resumo!$B$7</f>
        <v>0.87998</v>
      </c>
      <c r="W1718" s="61" t="n">
        <f aca="false">Resumo!$B$9</f>
        <v>1</v>
      </c>
      <c r="X1718" s="61" t="n">
        <f aca="false">Resumo!$B$10*CEILING(G1718/100,1)</f>
        <v>4.5</v>
      </c>
      <c r="Y1718" s="61" t="n">
        <f aca="false">Resumo!$B$12*CEILING(G1718,1)</f>
        <v>2.04</v>
      </c>
      <c r="Z1718" s="61" t="n">
        <f aca="false">Resumo!$B$14*CEILING(G1718,1)</f>
        <v>15.3</v>
      </c>
      <c r="AA1718" s="61" t="n">
        <f aca="false">SUM(T1718:Z1718)</f>
        <v>132.98997</v>
      </c>
      <c r="AB1718" s="61" t="n">
        <f aca="false">AA1718/(1-Resumo!$B$5)</f>
        <v>151.124965909091</v>
      </c>
      <c r="AC1718" s="61" t="n">
        <f aca="false">AB1718-S1718</f>
        <v>40.4681954545455</v>
      </c>
      <c r="AD1718" s="62" t="n">
        <f aca="false">AB1718/S1718-1</f>
        <v>0.365709167982348</v>
      </c>
      <c r="AE1718" s="60" t="str">
        <f aca="false">IF(AB1718&lt;S1718,"SIM","NÃO")</f>
        <v>NÃO</v>
      </c>
      <c r="AF1718" s="60" t="n">
        <v>13</v>
      </c>
      <c r="AG1718" s="60" t="n">
        <v>10</v>
      </c>
      <c r="AH1718" s="60" t="s">
        <v>382</v>
      </c>
      <c r="AI1718" s="61" t="n">
        <f aca="false">(T1718*(1-Painel!$C$40)+U1718+V1718+Painel!$C$41+Painel!$C$42*CEILING(G1718/100,1)+Painel!$C$43*CEILING(G1718,1)+Z1718)/(1-Resumo!$B$5)</f>
        <v>104.075079545455</v>
      </c>
      <c r="AJ1718" s="60" t="str">
        <f aca="false">IF(AI1718&lt;S1718,"SIM","NÃO")</f>
        <v>SIM</v>
      </c>
    </row>
    <row r="1719" customFormat="false" ht="15" hidden="false" customHeight="false" outlineLevel="0" collapsed="false">
      <c r="A1719" s="59" t="n">
        <v>46275.8749421296</v>
      </c>
      <c r="B1719" s="60" t="s">
        <v>596</v>
      </c>
      <c r="C1719" s="60" t="n">
        <v>23036060</v>
      </c>
      <c r="D1719" s="60" t="s">
        <v>46</v>
      </c>
      <c r="E1719" s="60" t="s">
        <v>22</v>
      </c>
      <c r="F1719" s="60" t="s">
        <v>233</v>
      </c>
      <c r="G1719" s="60" t="n">
        <v>27.4</v>
      </c>
      <c r="H1719" s="61" t="n">
        <v>369.99</v>
      </c>
      <c r="I1719" s="61" t="n">
        <v>42.11</v>
      </c>
      <c r="J1719" s="61" t="n">
        <f aca="false">H1719*Resumo!$C$6</f>
        <v>0</v>
      </c>
      <c r="K1719" s="61" t="n">
        <f aca="false">H1719*Resumo!$C$7</f>
        <v>0.776979</v>
      </c>
      <c r="L1719" s="61" t="n">
        <f aca="false">H1719*Resumo!$C$8</f>
        <v>0.776979</v>
      </c>
      <c r="M1719" s="61" t="n">
        <f aca="false">Resumo!$C$10*CEILING(G1719/100,1)</f>
        <v>1.05</v>
      </c>
      <c r="N1719" s="61" t="n">
        <f aca="false">Resumo!$C$9</f>
        <v>0</v>
      </c>
      <c r="O1719" s="61" t="n">
        <f aca="false">Resumo!$C$13</f>
        <v>13.55</v>
      </c>
      <c r="P1719" s="61" t="n">
        <f aca="false">Resumo!$C$14*CEILING(G1719,1)</f>
        <v>12.6</v>
      </c>
      <c r="Q1719" s="61" t="n">
        <f aca="false">SUM(I1719:P1719)*Resumo!$C$11</f>
        <v>0</v>
      </c>
      <c r="R1719" s="61" t="n">
        <f aca="false">SUM(I1719:Q1719)</f>
        <v>70.863958</v>
      </c>
      <c r="S1719" s="61" t="n">
        <f aca="false">R1719/(1-Resumo!$C$5)</f>
        <v>80.527225</v>
      </c>
      <c r="T1719" s="61" t="n">
        <v>82.21</v>
      </c>
      <c r="U1719" s="61" t="n">
        <f aca="false">H1719*Resumo!$B$6</f>
        <v>0.36999</v>
      </c>
      <c r="V1719" s="61" t="n">
        <f aca="false">H1719*Resumo!$B$7</f>
        <v>0.73998</v>
      </c>
      <c r="W1719" s="61" t="n">
        <f aca="false">Resumo!$B$9</f>
        <v>1</v>
      </c>
      <c r="X1719" s="61" t="n">
        <f aca="false">Resumo!$B$10*CEILING(G1719/100,1)</f>
        <v>4.5</v>
      </c>
      <c r="Y1719" s="61" t="n">
        <f aca="false">Resumo!$B$12*CEILING(G1719,1)</f>
        <v>1.68</v>
      </c>
      <c r="Z1719" s="61" t="n">
        <f aca="false">Resumo!$B$14*CEILING(G1719,1)</f>
        <v>12.6</v>
      </c>
      <c r="AA1719" s="61" t="n">
        <f aca="false">SUM(T1719:Z1719)</f>
        <v>103.09997</v>
      </c>
      <c r="AB1719" s="61" t="n">
        <f aca="false">AA1719/(1-Resumo!$B$5)</f>
        <v>117.159056818182</v>
      </c>
      <c r="AC1719" s="61" t="n">
        <f aca="false">AB1719-S1719</f>
        <v>36.6318318181818</v>
      </c>
      <c r="AD1719" s="62" t="n">
        <f aca="false">AB1719/S1719-1</f>
        <v>0.454899964802982</v>
      </c>
      <c r="AE1719" s="60" t="str">
        <f aca="false">IF(AB1719&lt;S1719,"SIM","NÃO")</f>
        <v>NÃO</v>
      </c>
      <c r="AF1719" s="60" t="n">
        <v>2</v>
      </c>
      <c r="AG1719" s="60" t="n">
        <v>5</v>
      </c>
      <c r="AH1719" s="60" t="s">
        <v>382</v>
      </c>
      <c r="AI1719" s="61" t="n">
        <f aca="false">(T1719*(1-Painel!$C$40)+U1719+V1719+Painel!$C$41+Painel!$C$42*CEILING(G1719/100,1)+Painel!$C$43*CEILING(G1719,1)+Z1719)/(1-Resumo!$B$5)</f>
        <v>80.5007613636364</v>
      </c>
      <c r="AJ1719" s="60" t="str">
        <f aca="false">IF(AI1719&lt;S1719,"SIM","NÃO")</f>
        <v>SIM</v>
      </c>
    </row>
    <row r="1720" customFormat="false" ht="15" hidden="false" customHeight="false" outlineLevel="0" collapsed="false">
      <c r="A1720" s="59" t="n">
        <v>46275.9489467593</v>
      </c>
      <c r="B1720" s="60" t="s">
        <v>1936</v>
      </c>
      <c r="C1720" s="60" t="n">
        <v>20750310</v>
      </c>
      <c r="D1720" s="60" t="s">
        <v>46</v>
      </c>
      <c r="E1720" s="60" t="s">
        <v>22</v>
      </c>
      <c r="F1720" s="60" t="s">
        <v>235</v>
      </c>
      <c r="G1720" s="60" t="n">
        <v>46.8</v>
      </c>
      <c r="H1720" s="61" t="n">
        <v>599.99</v>
      </c>
      <c r="I1720" s="61" t="n">
        <v>53.55</v>
      </c>
      <c r="J1720" s="61" t="n">
        <f aca="false">H1720*Resumo!$C$6</f>
        <v>0</v>
      </c>
      <c r="K1720" s="61" t="n">
        <f aca="false">H1720*Resumo!$C$7</f>
        <v>1.259979</v>
      </c>
      <c r="L1720" s="61" t="n">
        <f aca="false">H1720*Resumo!$C$8</f>
        <v>1.259979</v>
      </c>
      <c r="M1720" s="61" t="n">
        <f aca="false">Resumo!$C$10*CEILING(G1720/100,1)</f>
        <v>1.05</v>
      </c>
      <c r="N1720" s="61" t="n">
        <f aca="false">Resumo!$C$9</f>
        <v>0</v>
      </c>
      <c r="O1720" s="61" t="n">
        <f aca="false">Resumo!$C$13</f>
        <v>13.55</v>
      </c>
      <c r="P1720" s="61" t="n">
        <f aca="false">Resumo!$C$14*CEILING(G1720,1)</f>
        <v>21.15</v>
      </c>
      <c r="Q1720" s="61" t="n">
        <f aca="false">SUM(I1720:P1720)*Resumo!$C$11</f>
        <v>0</v>
      </c>
      <c r="R1720" s="61" t="n">
        <f aca="false">SUM(I1720:Q1720)</f>
        <v>91.819958</v>
      </c>
      <c r="S1720" s="61" t="n">
        <f aca="false">R1720/(1-Resumo!$C$5)</f>
        <v>104.340861363636</v>
      </c>
      <c r="T1720" s="61" t="n">
        <v>93.97</v>
      </c>
      <c r="U1720" s="61" t="n">
        <f aca="false">H1720*Resumo!$B$6</f>
        <v>0.59999</v>
      </c>
      <c r="V1720" s="61" t="n">
        <f aca="false">H1720*Resumo!$B$7</f>
        <v>1.19998</v>
      </c>
      <c r="W1720" s="61" t="n">
        <f aca="false">Resumo!$B$9</f>
        <v>1</v>
      </c>
      <c r="X1720" s="61" t="n">
        <f aca="false">Resumo!$B$10*CEILING(G1720/100,1)</f>
        <v>4.5</v>
      </c>
      <c r="Y1720" s="61" t="n">
        <f aca="false">Resumo!$B$12*CEILING(G1720,1)</f>
        <v>2.82</v>
      </c>
      <c r="Z1720" s="61" t="n">
        <f aca="false">Resumo!$B$14*CEILING(G1720,1)</f>
        <v>21.15</v>
      </c>
      <c r="AA1720" s="61" t="n">
        <f aca="false">SUM(T1720:Z1720)</f>
        <v>125.23997</v>
      </c>
      <c r="AB1720" s="61" t="n">
        <f aca="false">AA1720/(1-Resumo!$B$5)</f>
        <v>142.318147727273</v>
      </c>
      <c r="AC1720" s="61" t="n">
        <f aca="false">AB1720-S1720</f>
        <v>37.9772863636364</v>
      </c>
      <c r="AD1720" s="62" t="n">
        <f aca="false">AB1720/S1720-1</f>
        <v>0.363973287811785</v>
      </c>
      <c r="AE1720" s="60" t="str">
        <f aca="false">IF(AB1720&lt;S1720,"SIM","NÃO")</f>
        <v>NÃO</v>
      </c>
      <c r="AF1720" s="60" t="n">
        <v>2</v>
      </c>
      <c r="AG1720" s="60" t="n">
        <v>5</v>
      </c>
      <c r="AH1720" s="60" t="s">
        <v>382</v>
      </c>
      <c r="AI1720" s="61" t="n">
        <f aca="false">(T1720*(1-Painel!$C$40)+U1720+V1720+Painel!$C$41+Painel!$C$42*CEILING(G1720/100,1)+Painel!$C$43*CEILING(G1720,1)+Z1720)/(1-Resumo!$B$5)</f>
        <v>99.9543977272727</v>
      </c>
      <c r="AJ1720" s="60" t="str">
        <f aca="false">IF(AI1720&lt;S1720,"SIM","NÃO")</f>
        <v>SIM</v>
      </c>
    </row>
    <row r="1721" customFormat="false" ht="15" hidden="false" customHeight="false" outlineLevel="0" collapsed="false">
      <c r="A1721" s="59" t="n">
        <v>46276.2527546296</v>
      </c>
      <c r="B1721" s="60" t="s">
        <v>1937</v>
      </c>
      <c r="C1721" s="60" t="n">
        <v>22240006</v>
      </c>
      <c r="D1721" s="60" t="s">
        <v>46</v>
      </c>
      <c r="E1721" s="60" t="s">
        <v>22</v>
      </c>
      <c r="F1721" s="60" t="s">
        <v>233</v>
      </c>
      <c r="G1721" s="60" t="n">
        <v>34.4</v>
      </c>
      <c r="H1721" s="61" t="n">
        <v>439.95</v>
      </c>
      <c r="I1721" s="61" t="n">
        <v>42.11</v>
      </c>
      <c r="J1721" s="61" t="n">
        <f aca="false">H1721*Resumo!$C$6</f>
        <v>0</v>
      </c>
      <c r="K1721" s="61" t="n">
        <f aca="false">H1721*Resumo!$C$7</f>
        <v>0.923895</v>
      </c>
      <c r="L1721" s="61" t="n">
        <f aca="false">H1721*Resumo!$C$8</f>
        <v>0.923895</v>
      </c>
      <c r="M1721" s="61" t="n">
        <f aca="false">Resumo!$C$10*CEILING(G1721/100,1)</f>
        <v>1.05</v>
      </c>
      <c r="N1721" s="61" t="n">
        <f aca="false">Resumo!$C$9</f>
        <v>0</v>
      </c>
      <c r="O1721" s="61" t="n">
        <f aca="false">Resumo!$C$13</f>
        <v>13.55</v>
      </c>
      <c r="P1721" s="61" t="n">
        <f aca="false">Resumo!$C$14*CEILING(G1721,1)</f>
        <v>15.75</v>
      </c>
      <c r="Q1721" s="61" t="n">
        <f aca="false">SUM(I1721:P1721)*Resumo!$C$11</f>
        <v>0</v>
      </c>
      <c r="R1721" s="61" t="n">
        <f aca="false">SUM(I1721:Q1721)</f>
        <v>74.30779</v>
      </c>
      <c r="S1721" s="61" t="n">
        <f aca="false">R1721/(1-Resumo!$C$5)</f>
        <v>84.4406704545455</v>
      </c>
      <c r="T1721" s="61" t="n">
        <v>82.21</v>
      </c>
      <c r="U1721" s="61" t="n">
        <f aca="false">H1721*Resumo!$B$6</f>
        <v>0.43995</v>
      </c>
      <c r="V1721" s="61" t="n">
        <f aca="false">H1721*Resumo!$B$7</f>
        <v>0.8799</v>
      </c>
      <c r="W1721" s="61" t="n">
        <f aca="false">Resumo!$B$9</f>
        <v>1</v>
      </c>
      <c r="X1721" s="61" t="n">
        <f aca="false">Resumo!$B$10*CEILING(G1721/100,1)</f>
        <v>4.5</v>
      </c>
      <c r="Y1721" s="61" t="n">
        <f aca="false">Resumo!$B$12*CEILING(G1721,1)</f>
        <v>2.1</v>
      </c>
      <c r="Z1721" s="61" t="n">
        <f aca="false">Resumo!$B$14*CEILING(G1721,1)</f>
        <v>15.75</v>
      </c>
      <c r="AA1721" s="61" t="n">
        <f aca="false">SUM(T1721:Z1721)</f>
        <v>106.87985</v>
      </c>
      <c r="AB1721" s="61" t="n">
        <f aca="false">AA1721/(1-Resumo!$B$5)</f>
        <v>121.454375</v>
      </c>
      <c r="AC1721" s="61" t="n">
        <f aca="false">AB1721-S1721</f>
        <v>37.0137045454545</v>
      </c>
      <c r="AD1721" s="62" t="n">
        <f aca="false">AB1721/S1721-1</f>
        <v>0.438339775681661</v>
      </c>
      <c r="AE1721" s="60" t="str">
        <f aca="false">IF(AB1721&lt;S1721,"SIM","NÃO")</f>
        <v>NÃO</v>
      </c>
      <c r="AF1721" s="60" t="n">
        <v>2</v>
      </c>
      <c r="AG1721" s="60" t="n">
        <v>5</v>
      </c>
      <c r="AH1721" s="60" t="s">
        <v>382</v>
      </c>
      <c r="AI1721" s="61" t="n">
        <f aca="false">(T1721*(1-Painel!$C$40)+U1721+V1721+Painel!$C$41+Painel!$C$42*CEILING(G1721/100,1)+Painel!$C$43*CEILING(G1721,1)+Z1721)/(1-Resumo!$B$5)</f>
        <v>84.3188068181818</v>
      </c>
      <c r="AJ1721" s="60" t="str">
        <f aca="false">IF(AI1721&lt;S1721,"SIM","NÃO")</f>
        <v>SIM</v>
      </c>
    </row>
    <row r="1722" customFormat="false" ht="15" hidden="false" customHeight="false" outlineLevel="0" collapsed="false">
      <c r="A1722" s="59" t="n">
        <v>46276.4425231482</v>
      </c>
      <c r="B1722" s="60" t="s">
        <v>1938</v>
      </c>
      <c r="C1722" s="60" t="n">
        <v>20961130</v>
      </c>
      <c r="D1722" s="60" t="s">
        <v>46</v>
      </c>
      <c r="E1722" s="60" t="s">
        <v>22</v>
      </c>
      <c r="F1722" s="60" t="s">
        <v>232</v>
      </c>
      <c r="G1722" s="60" t="n">
        <v>19.5</v>
      </c>
      <c r="H1722" s="61" t="n">
        <v>379.99</v>
      </c>
      <c r="I1722" s="61" t="n">
        <v>33.42</v>
      </c>
      <c r="J1722" s="61" t="n">
        <f aca="false">H1722*Resumo!$C$6</f>
        <v>0</v>
      </c>
      <c r="K1722" s="61" t="n">
        <f aca="false">H1722*Resumo!$C$7</f>
        <v>0.797979</v>
      </c>
      <c r="L1722" s="61" t="n">
        <f aca="false">H1722*Resumo!$C$8</f>
        <v>0.797979</v>
      </c>
      <c r="M1722" s="61" t="n">
        <f aca="false">Resumo!$C$10*CEILING(G1722/100,1)</f>
        <v>1.05</v>
      </c>
      <c r="N1722" s="61" t="n">
        <f aca="false">Resumo!$C$9</f>
        <v>0</v>
      </c>
      <c r="O1722" s="61" t="n">
        <f aca="false">Resumo!$C$13</f>
        <v>13.55</v>
      </c>
      <c r="P1722" s="61" t="n">
        <f aca="false">Resumo!$C$14*CEILING(G1722,1)</f>
        <v>9</v>
      </c>
      <c r="Q1722" s="61" t="n">
        <f aca="false">SUM(I1722:P1722)*Resumo!$C$11</f>
        <v>0</v>
      </c>
      <c r="R1722" s="61" t="n">
        <f aca="false">SUM(I1722:Q1722)</f>
        <v>58.615958</v>
      </c>
      <c r="S1722" s="61" t="n">
        <f aca="false">R1722/(1-Resumo!$C$5)</f>
        <v>66.6090431818182</v>
      </c>
      <c r="T1722" s="61" t="n">
        <v>46.98</v>
      </c>
      <c r="U1722" s="61" t="n">
        <f aca="false">H1722*Resumo!$B$6</f>
        <v>0.37999</v>
      </c>
      <c r="V1722" s="61" t="n">
        <f aca="false">H1722*Resumo!$B$7</f>
        <v>0.75998</v>
      </c>
      <c r="W1722" s="61" t="n">
        <f aca="false">Resumo!$B$9</f>
        <v>1</v>
      </c>
      <c r="X1722" s="61" t="n">
        <f aca="false">Resumo!$B$10*CEILING(G1722/100,1)</f>
        <v>4.5</v>
      </c>
      <c r="Y1722" s="61" t="n">
        <f aca="false">Resumo!$B$12*CEILING(G1722,1)</f>
        <v>1.2</v>
      </c>
      <c r="Z1722" s="61" t="n">
        <f aca="false">Resumo!$B$14*CEILING(G1722,1)</f>
        <v>9</v>
      </c>
      <c r="AA1722" s="61" t="n">
        <f aca="false">SUM(T1722:Z1722)</f>
        <v>63.81997</v>
      </c>
      <c r="AB1722" s="61" t="n">
        <f aca="false">AA1722/(1-Resumo!$B$5)</f>
        <v>72.5226931818182</v>
      </c>
      <c r="AC1722" s="61" t="n">
        <f aca="false">AB1722-S1722</f>
        <v>5.91365</v>
      </c>
      <c r="AD1722" s="62" t="n">
        <f aca="false">AB1722/S1722-1</f>
        <v>0.0887814884813449</v>
      </c>
      <c r="AE1722" s="60" t="str">
        <f aca="false">IF(AB1722&lt;S1722,"SIM","NÃO")</f>
        <v>NÃO</v>
      </c>
      <c r="AF1722" s="60" t="n">
        <v>2</v>
      </c>
      <c r="AG1722" s="60" t="n">
        <v>5</v>
      </c>
      <c r="AH1722" s="60" t="s">
        <v>382</v>
      </c>
      <c r="AI1722" s="61" t="n">
        <f aca="false">(T1722*(1-Painel!$C$40)+U1722+V1722+Painel!$C$41+Painel!$C$42*CEILING(G1722/100,1)+Painel!$C$43*CEILING(G1722,1)+Z1722)/(1-Resumo!$B$5)</f>
        <v>49.6211022727273</v>
      </c>
      <c r="AJ1722" s="60" t="str">
        <f aca="false">IF(AI1722&lt;S1722,"SIM","NÃO")</f>
        <v>SIM</v>
      </c>
    </row>
    <row r="1723" customFormat="false" ht="15" hidden="false" customHeight="false" outlineLevel="0" collapsed="false">
      <c r="A1723" s="59" t="n">
        <v>46276.4608101852</v>
      </c>
      <c r="B1723" s="60" t="s">
        <v>1939</v>
      </c>
      <c r="C1723" s="60" t="n">
        <v>22715090</v>
      </c>
      <c r="D1723" s="60" t="s">
        <v>46</v>
      </c>
      <c r="E1723" s="60" t="s">
        <v>22</v>
      </c>
      <c r="F1723" s="60" t="s">
        <v>236</v>
      </c>
      <c r="G1723" s="60" t="n">
        <v>52.3</v>
      </c>
      <c r="H1723" s="61" t="n">
        <v>572.88</v>
      </c>
      <c r="I1723" s="61" t="n">
        <v>58.6</v>
      </c>
      <c r="J1723" s="61" t="n">
        <f aca="false">H1723*Resumo!$C$6</f>
        <v>0</v>
      </c>
      <c r="K1723" s="61" t="n">
        <f aca="false">H1723*Resumo!$C$7</f>
        <v>1.203048</v>
      </c>
      <c r="L1723" s="61" t="n">
        <f aca="false">H1723*Resumo!$C$8</f>
        <v>1.203048</v>
      </c>
      <c r="M1723" s="61" t="n">
        <f aca="false">Resumo!$C$10*CEILING(G1723/100,1)</f>
        <v>1.05</v>
      </c>
      <c r="N1723" s="61" t="n">
        <f aca="false">Resumo!$C$9</f>
        <v>0</v>
      </c>
      <c r="O1723" s="61" t="n">
        <f aca="false">Resumo!$C$13</f>
        <v>13.55</v>
      </c>
      <c r="P1723" s="61" t="n">
        <f aca="false">Resumo!$C$14*CEILING(G1723,1)</f>
        <v>23.85</v>
      </c>
      <c r="Q1723" s="61" t="n">
        <f aca="false">SUM(I1723:P1723)*Resumo!$C$11</f>
        <v>0</v>
      </c>
      <c r="R1723" s="61" t="n">
        <f aca="false">SUM(I1723:Q1723)</f>
        <v>99.456096</v>
      </c>
      <c r="S1723" s="61" t="n">
        <f aca="false">R1723/(1-Resumo!$C$5)</f>
        <v>113.018290909091</v>
      </c>
      <c r="T1723" s="61" t="n">
        <v>112.3</v>
      </c>
      <c r="U1723" s="61" t="n">
        <f aca="false">H1723*Resumo!$B$6</f>
        <v>0.57288</v>
      </c>
      <c r="V1723" s="61" t="n">
        <f aca="false">H1723*Resumo!$B$7</f>
        <v>1.14576</v>
      </c>
      <c r="W1723" s="61" t="n">
        <f aca="false">Resumo!$B$9</f>
        <v>1</v>
      </c>
      <c r="X1723" s="61" t="n">
        <f aca="false">Resumo!$B$10*CEILING(G1723/100,1)</f>
        <v>4.5</v>
      </c>
      <c r="Y1723" s="61" t="n">
        <f aca="false">Resumo!$B$12*CEILING(G1723,1)</f>
        <v>3.18</v>
      </c>
      <c r="Z1723" s="61" t="n">
        <f aca="false">Resumo!$B$14*CEILING(G1723,1)</f>
        <v>23.85</v>
      </c>
      <c r="AA1723" s="61" t="n">
        <f aca="false">SUM(T1723:Z1723)</f>
        <v>146.54864</v>
      </c>
      <c r="AB1723" s="61" t="n">
        <f aca="false">AA1723/(1-Resumo!$B$5)</f>
        <v>166.532545454545</v>
      </c>
      <c r="AC1723" s="61" t="n">
        <f aca="false">AB1723-S1723</f>
        <v>53.5142545454546</v>
      </c>
      <c r="AD1723" s="62" t="n">
        <f aca="false">AB1723/S1723-1</f>
        <v>0.473500829954154</v>
      </c>
      <c r="AE1723" s="60" t="str">
        <f aca="false">IF(AB1723&lt;S1723,"SIM","NÃO")</f>
        <v>NÃO</v>
      </c>
      <c r="AF1723" s="60" t="n">
        <v>2</v>
      </c>
      <c r="AG1723" s="60" t="n">
        <v>5</v>
      </c>
      <c r="AH1723" s="60" t="s">
        <v>382</v>
      </c>
      <c r="AI1723" s="61" t="n">
        <f aca="false">(T1723*(1-Painel!$C$40)+U1723+V1723+Painel!$C$41+Painel!$C$42*CEILING(G1723/100,1)+Painel!$C$43*CEILING(G1723,1)+Z1723)/(1-Resumo!$B$5)</f>
        <v>116.885954545455</v>
      </c>
      <c r="AJ1723" s="60" t="str">
        <f aca="false">IF(AI1723&lt;S1723,"SIM","NÃO")</f>
        <v>NÃO</v>
      </c>
    </row>
    <row r="1724" customFormat="false" ht="15" hidden="false" customHeight="false" outlineLevel="0" collapsed="false">
      <c r="A1724" s="59" t="n">
        <v>46276.4725</v>
      </c>
      <c r="B1724" s="60" t="s">
        <v>1134</v>
      </c>
      <c r="C1724" s="60" t="n">
        <v>24415000</v>
      </c>
      <c r="D1724" s="60" t="s">
        <v>47</v>
      </c>
      <c r="E1724" s="60" t="s">
        <v>23</v>
      </c>
      <c r="F1724" s="60" t="s">
        <v>240</v>
      </c>
      <c r="G1724" s="60" t="n">
        <v>106.5</v>
      </c>
      <c r="H1724" s="61" t="n">
        <v>1112.08</v>
      </c>
      <c r="I1724" s="61" t="n">
        <v>101.26</v>
      </c>
      <c r="J1724" s="61" t="n">
        <f aca="false">H1724*Resumo!$C$6</f>
        <v>0</v>
      </c>
      <c r="K1724" s="61" t="n">
        <f aca="false">H1724*Resumo!$C$7</f>
        <v>2.335368</v>
      </c>
      <c r="L1724" s="61" t="n">
        <f aca="false">H1724*Resumo!$C$8</f>
        <v>2.335368</v>
      </c>
      <c r="M1724" s="61" t="n">
        <f aca="false">Resumo!$C$10*CEILING(G1724/100,1)</f>
        <v>2.1</v>
      </c>
      <c r="N1724" s="61" t="n">
        <f aca="false">Resumo!$C$9</f>
        <v>0</v>
      </c>
      <c r="O1724" s="61" t="n">
        <f aca="false">Resumo!$C$13</f>
        <v>13.55</v>
      </c>
      <c r="P1724" s="61" t="n">
        <f aca="false">Resumo!$C$14*CEILING(G1724,1)</f>
        <v>48.15</v>
      </c>
      <c r="Q1724" s="61" t="n">
        <f aca="false">SUM(I1724:P1724)*Resumo!$C$11</f>
        <v>0</v>
      </c>
      <c r="R1724" s="61" t="n">
        <f aca="false">SUM(I1724:Q1724)</f>
        <v>169.730736</v>
      </c>
      <c r="S1724" s="61" t="n">
        <f aca="false">R1724/(1-Resumo!$C$5)</f>
        <v>192.875836363636</v>
      </c>
      <c r="T1724" s="61" t="n">
        <v>214.11</v>
      </c>
      <c r="U1724" s="61" t="n">
        <f aca="false">H1724*Resumo!$B$6</f>
        <v>1.11208</v>
      </c>
      <c r="V1724" s="61" t="n">
        <f aca="false">H1724*Resumo!$B$7</f>
        <v>2.22416</v>
      </c>
      <c r="W1724" s="61" t="n">
        <f aca="false">Resumo!$B$9</f>
        <v>1</v>
      </c>
      <c r="X1724" s="61" t="n">
        <f aca="false">Resumo!$B$10*CEILING(G1724/100,1)</f>
        <v>9</v>
      </c>
      <c r="Y1724" s="61" t="n">
        <f aca="false">Resumo!$B$12*CEILING(G1724,1)</f>
        <v>6.42</v>
      </c>
      <c r="Z1724" s="61" t="n">
        <f aca="false">Resumo!$B$14*CEILING(G1724,1)</f>
        <v>48.15</v>
      </c>
      <c r="AA1724" s="61" t="n">
        <f aca="false">SUM(T1724:Z1724)</f>
        <v>282.01624</v>
      </c>
      <c r="AB1724" s="61" t="n">
        <f aca="false">AA1724/(1-Resumo!$B$5)</f>
        <v>320.473</v>
      </c>
      <c r="AC1724" s="61" t="n">
        <f aca="false">AB1724-S1724</f>
        <v>127.597163636364</v>
      </c>
      <c r="AD1724" s="62" t="n">
        <f aca="false">AB1724/S1724-1</f>
        <v>0.661550798907747</v>
      </c>
      <c r="AE1724" s="60" t="str">
        <f aca="false">IF(AB1724&lt;S1724,"SIM","NÃO")</f>
        <v>NÃO</v>
      </c>
      <c r="AF1724" s="60" t="n">
        <v>2</v>
      </c>
      <c r="AG1724" s="60" t="n">
        <v>7</v>
      </c>
      <c r="AH1724" s="60" t="s">
        <v>382</v>
      </c>
      <c r="AI1724" s="61" t="n">
        <f aca="false">(T1724*(1-Painel!$C$40)+U1724+V1724+Painel!$C$41+Painel!$C$42*CEILING(G1724/100,1)+Painel!$C$43*CEILING(G1724,1)+Z1724)/(1-Resumo!$B$5)</f>
        <v>225.045386363636</v>
      </c>
      <c r="AJ1724" s="60" t="str">
        <f aca="false">IF(AI1724&lt;S1724,"SIM","NÃO")</f>
        <v>NÃO</v>
      </c>
    </row>
    <row r="1725" customFormat="false" ht="15" hidden="false" customHeight="false" outlineLevel="0" collapsed="false">
      <c r="A1725" s="59" t="n">
        <v>46276.4936342593</v>
      </c>
      <c r="B1725" s="60" t="s">
        <v>430</v>
      </c>
      <c r="C1725" s="60" t="n">
        <v>23520400</v>
      </c>
      <c r="D1725" s="60" t="s">
        <v>46</v>
      </c>
      <c r="E1725" s="60" t="s">
        <v>22</v>
      </c>
      <c r="F1725" s="60" t="s">
        <v>233</v>
      </c>
      <c r="G1725" s="60" t="n">
        <v>27.4</v>
      </c>
      <c r="H1725" s="61" t="n">
        <v>315</v>
      </c>
      <c r="I1725" s="61" t="n">
        <v>42.11</v>
      </c>
      <c r="J1725" s="61" t="n">
        <f aca="false">H1725*Resumo!$C$6</f>
        <v>0</v>
      </c>
      <c r="K1725" s="61" t="n">
        <f aca="false">H1725*Resumo!$C$7</f>
        <v>0.6615</v>
      </c>
      <c r="L1725" s="61" t="n">
        <f aca="false">H1725*Resumo!$C$8</f>
        <v>0.6615</v>
      </c>
      <c r="M1725" s="61" t="n">
        <f aca="false">Resumo!$C$10*CEILING(G1725/100,1)</f>
        <v>1.05</v>
      </c>
      <c r="N1725" s="61" t="n">
        <f aca="false">Resumo!$C$9</f>
        <v>0</v>
      </c>
      <c r="O1725" s="61" t="n">
        <f aca="false">Resumo!$C$13</f>
        <v>13.55</v>
      </c>
      <c r="P1725" s="61" t="n">
        <f aca="false">Resumo!$C$14*CEILING(G1725,1)</f>
        <v>12.6</v>
      </c>
      <c r="Q1725" s="61" t="n">
        <f aca="false">SUM(I1725:P1725)*Resumo!$C$11</f>
        <v>0</v>
      </c>
      <c r="R1725" s="61" t="n">
        <f aca="false">SUM(I1725:Q1725)</f>
        <v>70.633</v>
      </c>
      <c r="S1725" s="61" t="n">
        <f aca="false">R1725/(1-Resumo!$C$5)</f>
        <v>80.2647727272727</v>
      </c>
      <c r="T1725" s="61" t="n">
        <v>82.21</v>
      </c>
      <c r="U1725" s="61" t="n">
        <f aca="false">H1725*Resumo!$B$6</f>
        <v>0.315</v>
      </c>
      <c r="V1725" s="61" t="n">
        <f aca="false">H1725*Resumo!$B$7</f>
        <v>0.63</v>
      </c>
      <c r="W1725" s="61" t="n">
        <f aca="false">Resumo!$B$9</f>
        <v>1</v>
      </c>
      <c r="X1725" s="61" t="n">
        <f aca="false">Resumo!$B$10*CEILING(G1725/100,1)</f>
        <v>4.5</v>
      </c>
      <c r="Y1725" s="61" t="n">
        <f aca="false">Resumo!$B$12*CEILING(G1725,1)</f>
        <v>1.68</v>
      </c>
      <c r="Z1725" s="61" t="n">
        <f aca="false">Resumo!$B$14*CEILING(G1725,1)</f>
        <v>12.6</v>
      </c>
      <c r="AA1725" s="61" t="n">
        <f aca="false">SUM(T1725:Z1725)</f>
        <v>102.935</v>
      </c>
      <c r="AB1725" s="61" t="n">
        <f aca="false">AA1725/(1-Resumo!$B$5)</f>
        <v>116.971590909091</v>
      </c>
      <c r="AC1725" s="61" t="n">
        <f aca="false">AB1725-S1725</f>
        <v>36.7068181818182</v>
      </c>
      <c r="AD1725" s="62" t="n">
        <f aca="false">AB1725/S1725-1</f>
        <v>0.457321648521229</v>
      </c>
      <c r="AE1725" s="60" t="str">
        <f aca="false">IF(AB1725&lt;S1725,"SIM","NÃO")</f>
        <v>NÃO</v>
      </c>
      <c r="AF1725" s="60" t="n">
        <v>2</v>
      </c>
      <c r="AG1725" s="60" t="n">
        <v>5</v>
      </c>
      <c r="AH1725" s="60" t="s">
        <v>382</v>
      </c>
      <c r="AI1725" s="61" t="n">
        <f aca="false">(T1725*(1-Painel!$C$40)+U1725+V1725+Painel!$C$41+Painel!$C$42*CEILING(G1725/100,1)+Painel!$C$43*CEILING(G1725,1)+Z1725)/(1-Resumo!$B$5)</f>
        <v>80.3132954545454</v>
      </c>
      <c r="AJ1725" s="60" t="str">
        <f aca="false">IF(AI1725&lt;S1725,"SIM","NÃO")</f>
        <v>NÃO</v>
      </c>
    </row>
    <row r="1726" customFormat="false" ht="15" hidden="false" customHeight="false" outlineLevel="0" collapsed="false">
      <c r="A1726" s="59" t="n">
        <v>46276.5057060185</v>
      </c>
      <c r="B1726" s="60" t="s">
        <v>1940</v>
      </c>
      <c r="C1726" s="60" t="n">
        <v>24350105</v>
      </c>
      <c r="D1726" s="60" t="s">
        <v>50</v>
      </c>
      <c r="E1726" s="60" t="s">
        <v>23</v>
      </c>
      <c r="F1726" s="60" t="s">
        <v>236</v>
      </c>
      <c r="G1726" s="60" t="n">
        <v>52.3</v>
      </c>
      <c r="H1726" s="61" t="n">
        <v>614.63</v>
      </c>
      <c r="I1726" s="61" t="n">
        <v>70.98</v>
      </c>
      <c r="J1726" s="61" t="n">
        <f aca="false">H1726*Resumo!$C$6</f>
        <v>0</v>
      </c>
      <c r="K1726" s="61" t="n">
        <f aca="false">H1726*Resumo!$C$7</f>
        <v>1.290723</v>
      </c>
      <c r="L1726" s="61" t="n">
        <f aca="false">H1726*Resumo!$C$8</f>
        <v>1.290723</v>
      </c>
      <c r="M1726" s="61" t="n">
        <f aca="false">Resumo!$C$10*CEILING(G1726/100,1)</f>
        <v>1.05</v>
      </c>
      <c r="N1726" s="61" t="n">
        <f aca="false">Resumo!$C$9</f>
        <v>0</v>
      </c>
      <c r="O1726" s="61" t="n">
        <f aca="false">Resumo!$C$13</f>
        <v>13.55</v>
      </c>
      <c r="P1726" s="61" t="n">
        <f aca="false">Resumo!$C$14*CEILING(G1726,1)</f>
        <v>23.85</v>
      </c>
      <c r="Q1726" s="61" t="n">
        <f aca="false">SUM(I1726:P1726)*Resumo!$C$11</f>
        <v>0</v>
      </c>
      <c r="R1726" s="61" t="n">
        <f aca="false">SUM(I1726:Q1726)</f>
        <v>112.011446</v>
      </c>
      <c r="S1726" s="61" t="n">
        <f aca="false">R1726/(1-Resumo!$C$5)</f>
        <v>127.285734090909</v>
      </c>
      <c r="T1726" s="61" t="n">
        <v>128.14</v>
      </c>
      <c r="U1726" s="61" t="n">
        <f aca="false">H1726*Resumo!$B$6</f>
        <v>0.61463</v>
      </c>
      <c r="V1726" s="61" t="n">
        <f aca="false">H1726*Resumo!$B$7</f>
        <v>1.22926</v>
      </c>
      <c r="W1726" s="61" t="n">
        <f aca="false">Resumo!$B$9</f>
        <v>1</v>
      </c>
      <c r="X1726" s="61" t="n">
        <f aca="false">Resumo!$B$10*CEILING(G1726/100,1)</f>
        <v>4.5</v>
      </c>
      <c r="Y1726" s="61" t="n">
        <f aca="false">Resumo!$B$12*CEILING(G1726,1)</f>
        <v>3.18</v>
      </c>
      <c r="Z1726" s="61" t="n">
        <f aca="false">Resumo!$B$14*CEILING(G1726,1)</f>
        <v>23.85</v>
      </c>
      <c r="AA1726" s="61" t="n">
        <f aca="false">SUM(T1726:Z1726)</f>
        <v>162.51389</v>
      </c>
      <c r="AB1726" s="61" t="n">
        <f aca="false">AA1726/(1-Resumo!$B$5)</f>
        <v>184.674875</v>
      </c>
      <c r="AC1726" s="61" t="n">
        <f aca="false">AB1726-S1726</f>
        <v>57.3891409090909</v>
      </c>
      <c r="AD1726" s="62" t="n">
        <f aca="false">AB1726/S1726-1</f>
        <v>0.450868601410609</v>
      </c>
      <c r="AE1726" s="60" t="str">
        <f aca="false">IF(AB1726&lt;S1726,"SIM","NÃO")</f>
        <v>NÃO</v>
      </c>
      <c r="AF1726" s="60" t="n">
        <v>2</v>
      </c>
      <c r="AG1726" s="60" t="n">
        <v>7</v>
      </c>
      <c r="AH1726" s="60" t="s">
        <v>382</v>
      </c>
      <c r="AI1726" s="61" t="n">
        <f aca="false">(T1726*(1-Painel!$C$40)+U1726+V1726+Painel!$C$41+Painel!$C$42*CEILING(G1726/100,1)+Painel!$C$43*CEILING(G1726,1)+Z1726)/(1-Resumo!$B$5)</f>
        <v>129.088284090909</v>
      </c>
      <c r="AJ1726" s="60" t="str">
        <f aca="false">IF(AI1726&lt;S1726,"SIM","NÃO")</f>
        <v>NÃO</v>
      </c>
    </row>
    <row r="1727" customFormat="false" ht="15" hidden="false" customHeight="false" outlineLevel="0" collapsed="false">
      <c r="A1727" s="59" t="n">
        <v>46276.5098148148</v>
      </c>
      <c r="B1727" s="60" t="s">
        <v>1941</v>
      </c>
      <c r="C1727" s="60" t="n">
        <v>25847140</v>
      </c>
      <c r="D1727" s="60" t="s">
        <v>275</v>
      </c>
      <c r="E1727" s="60" t="s">
        <v>24</v>
      </c>
      <c r="F1727" s="60" t="s">
        <v>234</v>
      </c>
      <c r="G1727" s="60" t="n">
        <v>36.8</v>
      </c>
      <c r="H1727" s="61" t="n">
        <v>499.99</v>
      </c>
      <c r="I1727" s="61" t="n">
        <v>74.97</v>
      </c>
      <c r="J1727" s="61" t="n">
        <f aca="false">H1727*Resumo!$C$6</f>
        <v>0</v>
      </c>
      <c r="K1727" s="61" t="n">
        <f aca="false">H1727*Resumo!$C$7</f>
        <v>1.049979</v>
      </c>
      <c r="L1727" s="61" t="n">
        <f aca="false">H1727*Resumo!$C$8</f>
        <v>1.049979</v>
      </c>
      <c r="M1727" s="61" t="n">
        <f aca="false">Resumo!$C$10*CEILING(G1727/100,1)</f>
        <v>1.05</v>
      </c>
      <c r="N1727" s="61" t="n">
        <f aca="false">Resumo!$C$9</f>
        <v>0</v>
      </c>
      <c r="O1727" s="61" t="n">
        <f aca="false">Resumo!$C$13</f>
        <v>13.55</v>
      </c>
      <c r="P1727" s="61" t="n">
        <f aca="false">Resumo!$C$14*CEILING(G1727,1)</f>
        <v>16.65</v>
      </c>
      <c r="Q1727" s="61" t="n">
        <f aca="false">SUM(I1727:P1727)*Resumo!$C$11</f>
        <v>0</v>
      </c>
      <c r="R1727" s="61" t="n">
        <f aca="false">SUM(I1727:Q1727)</f>
        <v>108.319958</v>
      </c>
      <c r="S1727" s="61" t="n">
        <f aca="false">R1727/(1-Resumo!$C$5)</f>
        <v>123.090861363636</v>
      </c>
      <c r="T1727" s="61" t="n">
        <v>124.38</v>
      </c>
      <c r="U1727" s="61" t="n">
        <f aca="false">H1727*Resumo!$B$6</f>
        <v>0.49999</v>
      </c>
      <c r="V1727" s="61" t="n">
        <f aca="false">H1727*Resumo!$B$7</f>
        <v>0.99998</v>
      </c>
      <c r="W1727" s="61" t="n">
        <f aca="false">Resumo!$B$9</f>
        <v>1</v>
      </c>
      <c r="X1727" s="61" t="n">
        <f aca="false">Resumo!$B$10*CEILING(G1727/100,1)</f>
        <v>4.5</v>
      </c>
      <c r="Y1727" s="61" t="n">
        <f aca="false">Resumo!$B$12*CEILING(G1727,1)</f>
        <v>2.22</v>
      </c>
      <c r="Z1727" s="61" t="n">
        <f aca="false">Resumo!$B$14*CEILING(G1727,1)</f>
        <v>16.65</v>
      </c>
      <c r="AA1727" s="61" t="n">
        <f aca="false">SUM(T1727:Z1727)</f>
        <v>150.24997</v>
      </c>
      <c r="AB1727" s="61" t="n">
        <f aca="false">AA1727/(1-Resumo!$B$5)</f>
        <v>170.738602272727</v>
      </c>
      <c r="AC1727" s="61" t="n">
        <f aca="false">AB1727-S1727</f>
        <v>47.6477409090909</v>
      </c>
      <c r="AD1727" s="62" t="n">
        <f aca="false">AB1727/S1727-1</f>
        <v>0.387094057034254</v>
      </c>
      <c r="AE1727" s="60" t="str">
        <f aca="false">IF(AB1727&lt;S1727,"SIM","NÃO")</f>
        <v>NÃO</v>
      </c>
      <c r="AF1727" s="60" t="n">
        <v>13</v>
      </c>
      <c r="AG1727" s="60" t="n">
        <v>8</v>
      </c>
      <c r="AH1727" s="60" t="s">
        <v>385</v>
      </c>
      <c r="AI1727" s="61" t="n">
        <f aca="false">(T1727*(1-Painel!$C$40)+U1727+V1727+Painel!$C$41+Painel!$C$42*CEILING(G1727/100,1)+Painel!$C$43*CEILING(G1727,1)+Z1727)/(1-Resumo!$B$5)</f>
        <v>117.652920454545</v>
      </c>
      <c r="AJ1727" s="60" t="str">
        <f aca="false">IF(AI1727&lt;S1727,"SIM","NÃO")</f>
        <v>SIM</v>
      </c>
    </row>
    <row r="1728" customFormat="false" ht="15" hidden="false" customHeight="false" outlineLevel="0" collapsed="false">
      <c r="A1728" s="59" t="n">
        <v>46276.5326273148</v>
      </c>
      <c r="B1728" s="60" t="s">
        <v>1499</v>
      </c>
      <c r="C1728" s="60" t="n">
        <v>27943120</v>
      </c>
      <c r="D1728" s="60" t="s">
        <v>53</v>
      </c>
      <c r="E1728" s="60" t="s">
        <v>24</v>
      </c>
      <c r="F1728" s="60" t="s">
        <v>237</v>
      </c>
      <c r="G1728" s="60" t="n">
        <v>63.9</v>
      </c>
      <c r="H1728" s="61" t="n">
        <v>716.35</v>
      </c>
      <c r="I1728" s="61" t="n">
        <v>90.2</v>
      </c>
      <c r="J1728" s="61" t="n">
        <f aca="false">H1728*Resumo!$C$6</f>
        <v>0</v>
      </c>
      <c r="K1728" s="61" t="n">
        <f aca="false">H1728*Resumo!$C$7</f>
        <v>1.504335</v>
      </c>
      <c r="L1728" s="61" t="n">
        <f aca="false">H1728*Resumo!$C$8</f>
        <v>1.504335</v>
      </c>
      <c r="M1728" s="61" t="n">
        <f aca="false">Resumo!$C$10*CEILING(G1728/100,1)</f>
        <v>1.05</v>
      </c>
      <c r="N1728" s="61" t="n">
        <f aca="false">Resumo!$C$9</f>
        <v>0</v>
      </c>
      <c r="O1728" s="61" t="n">
        <f aca="false">Resumo!$C$13</f>
        <v>13.55</v>
      </c>
      <c r="P1728" s="61" t="n">
        <f aca="false">Resumo!$C$14*CEILING(G1728,1)</f>
        <v>28.8</v>
      </c>
      <c r="Q1728" s="61" t="n">
        <f aca="false">SUM(I1728:P1728)*Resumo!$C$11</f>
        <v>0</v>
      </c>
      <c r="R1728" s="61" t="n">
        <f aca="false">SUM(I1728:Q1728)</f>
        <v>136.60867</v>
      </c>
      <c r="S1728" s="61" t="n">
        <f aca="false">R1728/(1-Resumo!$C$5)</f>
        <v>155.237125</v>
      </c>
      <c r="T1728" s="61" t="n">
        <v>171.54</v>
      </c>
      <c r="U1728" s="61" t="n">
        <f aca="false">H1728*Resumo!$B$6</f>
        <v>0.71635</v>
      </c>
      <c r="V1728" s="61" t="n">
        <f aca="false">H1728*Resumo!$B$7</f>
        <v>1.4327</v>
      </c>
      <c r="W1728" s="61" t="n">
        <f aca="false">Resumo!$B$9</f>
        <v>1</v>
      </c>
      <c r="X1728" s="61" t="n">
        <f aca="false">Resumo!$B$10*CEILING(G1728/100,1)</f>
        <v>4.5</v>
      </c>
      <c r="Y1728" s="61" t="n">
        <f aca="false">Resumo!$B$12*CEILING(G1728,1)</f>
        <v>3.84</v>
      </c>
      <c r="Z1728" s="61" t="n">
        <f aca="false">Resumo!$B$14*CEILING(G1728,1)</f>
        <v>28.8</v>
      </c>
      <c r="AA1728" s="61" t="n">
        <f aca="false">SUM(T1728:Z1728)</f>
        <v>211.82905</v>
      </c>
      <c r="AB1728" s="61" t="n">
        <f aca="false">AA1728/(1-Resumo!$B$5)</f>
        <v>240.714829545455</v>
      </c>
      <c r="AC1728" s="61" t="n">
        <f aca="false">AB1728-S1728</f>
        <v>85.4777045454545</v>
      </c>
      <c r="AD1728" s="62" t="n">
        <f aca="false">AB1728/S1728-1</f>
        <v>0.550626691556253</v>
      </c>
      <c r="AE1728" s="60" t="str">
        <f aca="false">IF(AB1728&lt;S1728,"SIM","NÃO")</f>
        <v>NÃO</v>
      </c>
      <c r="AF1728" s="60" t="n">
        <v>13</v>
      </c>
      <c r="AG1728" s="60" t="n">
        <v>11</v>
      </c>
      <c r="AH1728" s="60" t="s">
        <v>382</v>
      </c>
      <c r="AI1728" s="61" t="n">
        <f aca="false">(T1728*(1-Painel!$C$40)+U1728+V1728+Painel!$C$41+Painel!$C$42*CEILING(G1728/100,1)+Painel!$C$43*CEILING(G1728,1)+Z1728)/(1-Resumo!$B$5)</f>
        <v>168.103238636364</v>
      </c>
      <c r="AJ1728" s="60" t="str">
        <f aca="false">IF(AI1728&lt;S1728,"SIM","NÃO")</f>
        <v>NÃO</v>
      </c>
    </row>
    <row r="1729" customFormat="false" ht="15" hidden="false" customHeight="false" outlineLevel="0" collapsed="false">
      <c r="A1729" s="59" t="n">
        <v>46276.5671875</v>
      </c>
      <c r="B1729" s="60" t="s">
        <v>1942</v>
      </c>
      <c r="C1729" s="60" t="n">
        <v>27197868</v>
      </c>
      <c r="D1729" s="60" t="s">
        <v>292</v>
      </c>
      <c r="E1729" s="60" t="s">
        <v>24</v>
      </c>
      <c r="F1729" s="60" t="s">
        <v>237</v>
      </c>
      <c r="G1729" s="60" t="n">
        <v>68.1</v>
      </c>
      <c r="H1729" s="61" t="n">
        <v>898</v>
      </c>
      <c r="I1729" s="61" t="n">
        <v>90.2</v>
      </c>
      <c r="J1729" s="61" t="n">
        <f aca="false">H1729*Resumo!$C$6</f>
        <v>0</v>
      </c>
      <c r="K1729" s="61" t="n">
        <f aca="false">H1729*Resumo!$C$7</f>
        <v>1.8858</v>
      </c>
      <c r="L1729" s="61" t="n">
        <f aca="false">H1729*Resumo!$C$8</f>
        <v>1.8858</v>
      </c>
      <c r="M1729" s="61" t="n">
        <f aca="false">Resumo!$C$10*CEILING(G1729/100,1)</f>
        <v>1.05</v>
      </c>
      <c r="N1729" s="61" t="n">
        <f aca="false">Resumo!$C$9</f>
        <v>0</v>
      </c>
      <c r="O1729" s="61" t="n">
        <f aca="false">Resumo!$C$13</f>
        <v>13.55</v>
      </c>
      <c r="P1729" s="61" t="n">
        <f aca="false">Resumo!$C$14*CEILING(G1729,1)</f>
        <v>31.05</v>
      </c>
      <c r="Q1729" s="61" t="n">
        <f aca="false">SUM(I1729:P1729)*Resumo!$C$11</f>
        <v>0</v>
      </c>
      <c r="R1729" s="61" t="n">
        <f aca="false">SUM(I1729:Q1729)</f>
        <v>139.6216</v>
      </c>
      <c r="S1729" s="61" t="n">
        <f aca="false">R1729/(1-Resumo!$C$5)</f>
        <v>158.660909090909</v>
      </c>
      <c r="T1729" s="61" t="n">
        <v>166.05</v>
      </c>
      <c r="U1729" s="61" t="n">
        <f aca="false">H1729*Resumo!$B$6</f>
        <v>0.898</v>
      </c>
      <c r="V1729" s="61" t="n">
        <f aca="false">H1729*Resumo!$B$7</f>
        <v>1.796</v>
      </c>
      <c r="W1729" s="61" t="n">
        <f aca="false">Resumo!$B$9</f>
        <v>1</v>
      </c>
      <c r="X1729" s="61" t="n">
        <f aca="false">Resumo!$B$10*CEILING(G1729/100,1)</f>
        <v>4.5</v>
      </c>
      <c r="Y1729" s="61" t="n">
        <f aca="false">Resumo!$B$12*CEILING(G1729,1)</f>
        <v>4.14</v>
      </c>
      <c r="Z1729" s="61" t="n">
        <f aca="false">Resumo!$B$14*CEILING(G1729,1)</f>
        <v>31.05</v>
      </c>
      <c r="AA1729" s="61" t="n">
        <f aca="false">SUM(T1729:Z1729)</f>
        <v>209.434</v>
      </c>
      <c r="AB1729" s="61" t="n">
        <f aca="false">AA1729/(1-Resumo!$B$5)</f>
        <v>237.993181818182</v>
      </c>
      <c r="AC1729" s="61" t="n">
        <f aca="false">AB1729-S1729</f>
        <v>79.3322727272728</v>
      </c>
      <c r="AD1729" s="62" t="n">
        <f aca="false">AB1729/S1729-1</f>
        <v>0.500011459544942</v>
      </c>
      <c r="AE1729" s="60" t="str">
        <f aca="false">IF(AB1729&lt;S1729,"SIM","NÃO")</f>
        <v>NÃO</v>
      </c>
      <c r="AF1729" s="60" t="n">
        <v>13</v>
      </c>
      <c r="AG1729" s="60" t="n">
        <v>10</v>
      </c>
      <c r="AH1729" s="60" t="s">
        <v>385</v>
      </c>
      <c r="AI1729" s="61" t="n">
        <f aca="false">(T1729*(1-Painel!$C$40)+U1729+V1729+Painel!$C$41+Painel!$C$42*CEILING(G1729/100,1)+Painel!$C$43*CEILING(G1729,1)+Z1729)/(1-Resumo!$B$5)</f>
        <v>167.099431818182</v>
      </c>
      <c r="AJ1729" s="60" t="str">
        <f aca="false">IF(AI1729&lt;S1729,"SIM","NÃO")</f>
        <v>NÃO</v>
      </c>
    </row>
    <row r="1730" customFormat="false" ht="15" hidden="false" customHeight="false" outlineLevel="0" collapsed="false">
      <c r="A1730" s="59" t="n">
        <v>46276.5677546296</v>
      </c>
      <c r="B1730" s="60" t="s">
        <v>1943</v>
      </c>
      <c r="C1730" s="60" t="n">
        <v>28148000</v>
      </c>
      <c r="D1730" s="60" t="s">
        <v>51</v>
      </c>
      <c r="E1730" s="60" t="s">
        <v>24</v>
      </c>
      <c r="F1730" s="60" t="s">
        <v>234</v>
      </c>
      <c r="G1730" s="60" t="n">
        <v>38.2</v>
      </c>
      <c r="H1730" s="61" t="n">
        <v>676</v>
      </c>
      <c r="I1730" s="61" t="n">
        <v>74.97</v>
      </c>
      <c r="J1730" s="61" t="n">
        <f aca="false">H1730*Resumo!$C$6</f>
        <v>0</v>
      </c>
      <c r="K1730" s="61" t="n">
        <f aca="false">H1730*Resumo!$C$7</f>
        <v>1.4196</v>
      </c>
      <c r="L1730" s="61" t="n">
        <f aca="false">H1730*Resumo!$C$8</f>
        <v>1.4196</v>
      </c>
      <c r="M1730" s="61" t="n">
        <f aca="false">Resumo!$C$10*CEILING(G1730/100,1)</f>
        <v>1.05</v>
      </c>
      <c r="N1730" s="61" t="n">
        <f aca="false">Resumo!$C$9</f>
        <v>0</v>
      </c>
      <c r="O1730" s="61" t="n">
        <f aca="false">Resumo!$C$13</f>
        <v>13.55</v>
      </c>
      <c r="P1730" s="61" t="n">
        <f aca="false">Resumo!$C$14*CEILING(G1730,1)</f>
        <v>17.55</v>
      </c>
      <c r="Q1730" s="61" t="n">
        <f aca="false">SUM(I1730:P1730)*Resumo!$C$11</f>
        <v>0</v>
      </c>
      <c r="R1730" s="61" t="n">
        <f aca="false">SUM(I1730:Q1730)</f>
        <v>109.9592</v>
      </c>
      <c r="S1730" s="61" t="n">
        <f aca="false">R1730/(1-Resumo!$C$5)</f>
        <v>124.953636363636</v>
      </c>
      <c r="T1730" s="61" t="n">
        <v>143.04</v>
      </c>
      <c r="U1730" s="61" t="n">
        <f aca="false">H1730*Resumo!$B$6</f>
        <v>0.676</v>
      </c>
      <c r="V1730" s="61" t="n">
        <f aca="false">H1730*Resumo!$B$7</f>
        <v>1.352</v>
      </c>
      <c r="W1730" s="61" t="n">
        <f aca="false">Resumo!$B$9</f>
        <v>1</v>
      </c>
      <c r="X1730" s="61" t="n">
        <f aca="false">Resumo!$B$10*CEILING(G1730/100,1)</f>
        <v>4.5</v>
      </c>
      <c r="Y1730" s="61" t="n">
        <f aca="false">Resumo!$B$12*CEILING(G1730,1)</f>
        <v>2.34</v>
      </c>
      <c r="Z1730" s="61" t="n">
        <f aca="false">Resumo!$B$14*CEILING(G1730,1)</f>
        <v>17.55</v>
      </c>
      <c r="AA1730" s="61" t="n">
        <f aca="false">SUM(T1730:Z1730)</f>
        <v>170.458</v>
      </c>
      <c r="AB1730" s="61" t="n">
        <f aca="false">AA1730/(1-Resumo!$B$5)</f>
        <v>193.702272727273</v>
      </c>
      <c r="AC1730" s="61" t="n">
        <f aca="false">AB1730-S1730</f>
        <v>68.7486363636364</v>
      </c>
      <c r="AD1730" s="62" t="n">
        <f aca="false">AB1730/S1730-1</f>
        <v>0.550193162554838</v>
      </c>
      <c r="AE1730" s="60" t="str">
        <f aca="false">IF(AB1730&lt;S1730,"SIM","NÃO")</f>
        <v>NÃO</v>
      </c>
      <c r="AF1730" s="60" t="n">
        <v>13</v>
      </c>
      <c r="AG1730" s="60" t="n">
        <v>11</v>
      </c>
      <c r="AH1730" s="60" t="s">
        <v>382</v>
      </c>
      <c r="AI1730" s="61" t="n">
        <f aca="false">(T1730*(1-Painel!$C$40)+U1730+V1730+Painel!$C$41+Painel!$C$42*CEILING(G1730/100,1)+Painel!$C$43*CEILING(G1730,1)+Z1730)/(1-Resumo!$B$5)</f>
        <v>133.482727272727</v>
      </c>
      <c r="AJ1730" s="60" t="str">
        <f aca="false">IF(AI1730&lt;S1730,"SIM","NÃO")</f>
        <v>NÃO</v>
      </c>
    </row>
    <row r="1731" customFormat="false" ht="15" hidden="false" customHeight="false" outlineLevel="0" collapsed="false">
      <c r="A1731" s="59" t="n">
        <v>46276.5726967593</v>
      </c>
      <c r="B1731" s="60" t="s">
        <v>1313</v>
      </c>
      <c r="C1731" s="60" t="n">
        <v>23098393</v>
      </c>
      <c r="D1731" s="60" t="s">
        <v>46</v>
      </c>
      <c r="E1731" s="60" t="s">
        <v>22</v>
      </c>
      <c r="F1731" s="60" t="s">
        <v>236</v>
      </c>
      <c r="G1731" s="60" t="n">
        <v>51.06</v>
      </c>
      <c r="H1731" s="61" t="n">
        <v>749.99</v>
      </c>
      <c r="I1731" s="61" t="n">
        <v>58.6</v>
      </c>
      <c r="J1731" s="61" t="n">
        <f aca="false">H1731*Resumo!$C$6</f>
        <v>0</v>
      </c>
      <c r="K1731" s="61" t="n">
        <f aca="false">H1731*Resumo!$C$7</f>
        <v>1.574979</v>
      </c>
      <c r="L1731" s="61" t="n">
        <f aca="false">H1731*Resumo!$C$8</f>
        <v>1.574979</v>
      </c>
      <c r="M1731" s="61" t="n">
        <f aca="false">Resumo!$C$10*CEILING(G1731/100,1)</f>
        <v>1.05</v>
      </c>
      <c r="N1731" s="61" t="n">
        <f aca="false">Resumo!$C$9</f>
        <v>0</v>
      </c>
      <c r="O1731" s="61" t="n">
        <f aca="false">Resumo!$C$13</f>
        <v>13.55</v>
      </c>
      <c r="P1731" s="61" t="n">
        <f aca="false">Resumo!$C$14*CEILING(G1731,1)</f>
        <v>23.4</v>
      </c>
      <c r="Q1731" s="61" t="n">
        <f aca="false">SUM(I1731:P1731)*Resumo!$C$11</f>
        <v>0</v>
      </c>
      <c r="R1731" s="61" t="n">
        <f aca="false">SUM(I1731:Q1731)</f>
        <v>99.749958</v>
      </c>
      <c r="S1731" s="61" t="n">
        <f aca="false">R1731/(1-Resumo!$C$5)</f>
        <v>113.352225</v>
      </c>
      <c r="T1731" s="61" t="n">
        <v>112.3</v>
      </c>
      <c r="U1731" s="61" t="n">
        <f aca="false">H1731*Resumo!$B$6</f>
        <v>0.74999</v>
      </c>
      <c r="V1731" s="61" t="n">
        <f aca="false">H1731*Resumo!$B$7</f>
        <v>1.49998</v>
      </c>
      <c r="W1731" s="61" t="n">
        <f aca="false">Resumo!$B$9</f>
        <v>1</v>
      </c>
      <c r="X1731" s="61" t="n">
        <f aca="false">Resumo!$B$10*CEILING(G1731/100,1)</f>
        <v>4.5</v>
      </c>
      <c r="Y1731" s="61" t="n">
        <f aca="false">Resumo!$B$12*CEILING(G1731,1)</f>
        <v>3.12</v>
      </c>
      <c r="Z1731" s="61" t="n">
        <f aca="false">Resumo!$B$14*CEILING(G1731,1)</f>
        <v>23.4</v>
      </c>
      <c r="AA1731" s="61" t="n">
        <f aca="false">SUM(T1731:Z1731)</f>
        <v>146.56997</v>
      </c>
      <c r="AB1731" s="61" t="n">
        <f aca="false">AA1731/(1-Resumo!$B$5)</f>
        <v>166.556784090909</v>
      </c>
      <c r="AC1731" s="61" t="n">
        <f aca="false">AB1731-S1731</f>
        <v>53.2045590909091</v>
      </c>
      <c r="AD1731" s="62" t="n">
        <f aca="false">AB1731/S1731-1</f>
        <v>0.469373751515765</v>
      </c>
      <c r="AE1731" s="60" t="str">
        <f aca="false">IF(AB1731&lt;S1731,"SIM","NÃO")</f>
        <v>NÃO</v>
      </c>
      <c r="AF1731" s="60" t="n">
        <v>2</v>
      </c>
      <c r="AG1731" s="60" t="n">
        <v>5</v>
      </c>
      <c r="AH1731" s="60" t="s">
        <v>382</v>
      </c>
      <c r="AI1731" s="61" t="n">
        <f aca="false">(T1731*(1-Painel!$C$40)+U1731+V1731+Painel!$C$41+Painel!$C$42*CEILING(G1731/100,1)+Painel!$C$43*CEILING(G1731,1)+Z1731)/(1-Resumo!$B$5)</f>
        <v>116.978375</v>
      </c>
      <c r="AJ1731" s="60" t="str">
        <f aca="false">IF(AI1731&lt;S1731,"SIM","NÃO")</f>
        <v>NÃO</v>
      </c>
    </row>
    <row r="1732" customFormat="false" ht="15" hidden="false" customHeight="false" outlineLevel="0" collapsed="false">
      <c r="A1732" s="59" t="n">
        <v>46276.5732407407</v>
      </c>
      <c r="B1732" s="60" t="s">
        <v>1944</v>
      </c>
      <c r="C1732" s="60" t="n">
        <v>24241001</v>
      </c>
      <c r="D1732" s="60" t="s">
        <v>50</v>
      </c>
      <c r="E1732" s="60" t="s">
        <v>23</v>
      </c>
      <c r="F1732" s="60" t="s">
        <v>233</v>
      </c>
      <c r="G1732" s="60" t="n">
        <v>27.4</v>
      </c>
      <c r="H1732" s="61" t="n">
        <v>320</v>
      </c>
      <c r="I1732" s="61" t="n">
        <v>58.8</v>
      </c>
      <c r="J1732" s="61" t="n">
        <f aca="false">H1732*Resumo!$C$6</f>
        <v>0</v>
      </c>
      <c r="K1732" s="61" t="n">
        <f aca="false">H1732*Resumo!$C$7</f>
        <v>0.672</v>
      </c>
      <c r="L1732" s="61" t="n">
        <f aca="false">H1732*Resumo!$C$8</f>
        <v>0.672</v>
      </c>
      <c r="M1732" s="61" t="n">
        <f aca="false">Resumo!$C$10*CEILING(G1732/100,1)</f>
        <v>1.05</v>
      </c>
      <c r="N1732" s="61" t="n">
        <f aca="false">Resumo!$C$9</f>
        <v>0</v>
      </c>
      <c r="O1732" s="61" t="n">
        <f aca="false">Resumo!$C$13</f>
        <v>13.55</v>
      </c>
      <c r="P1732" s="61" t="n">
        <f aca="false">Resumo!$C$14*CEILING(G1732,1)</f>
        <v>12.6</v>
      </c>
      <c r="Q1732" s="61" t="n">
        <f aca="false">SUM(I1732:P1732)*Resumo!$C$11</f>
        <v>0</v>
      </c>
      <c r="R1732" s="61" t="n">
        <f aca="false">SUM(I1732:Q1732)</f>
        <v>87.344</v>
      </c>
      <c r="S1732" s="61" t="n">
        <f aca="false">R1732/(1-Resumo!$C$5)</f>
        <v>99.2545454545455</v>
      </c>
      <c r="T1732" s="61" t="n">
        <v>100.58</v>
      </c>
      <c r="U1732" s="61" t="n">
        <f aca="false">H1732*Resumo!$B$6</f>
        <v>0.32</v>
      </c>
      <c r="V1732" s="61" t="n">
        <f aca="false">H1732*Resumo!$B$7</f>
        <v>0.64</v>
      </c>
      <c r="W1732" s="61" t="n">
        <f aca="false">Resumo!$B$9</f>
        <v>1</v>
      </c>
      <c r="X1732" s="61" t="n">
        <f aca="false">Resumo!$B$10*CEILING(G1732/100,1)</f>
        <v>4.5</v>
      </c>
      <c r="Y1732" s="61" t="n">
        <f aca="false">Resumo!$B$12*CEILING(G1732,1)</f>
        <v>1.68</v>
      </c>
      <c r="Z1732" s="61" t="n">
        <f aca="false">Resumo!$B$14*CEILING(G1732,1)</f>
        <v>12.6</v>
      </c>
      <c r="AA1732" s="61" t="n">
        <f aca="false">SUM(T1732:Z1732)</f>
        <v>121.32</v>
      </c>
      <c r="AB1732" s="61" t="n">
        <f aca="false">AA1732/(1-Resumo!$B$5)</f>
        <v>137.863636363636</v>
      </c>
      <c r="AC1732" s="61" t="n">
        <f aca="false">AB1732-S1732</f>
        <v>38.6090909090909</v>
      </c>
      <c r="AD1732" s="62" t="n">
        <f aca="false">AB1732/S1732-1</f>
        <v>0.388990657629602</v>
      </c>
      <c r="AE1732" s="60" t="str">
        <f aca="false">IF(AB1732&lt;S1732,"SIM","NÃO")</f>
        <v>NÃO</v>
      </c>
      <c r="AF1732" s="60" t="n">
        <v>2</v>
      </c>
      <c r="AG1732" s="60" t="n">
        <v>7</v>
      </c>
      <c r="AH1732" s="60" t="s">
        <v>382</v>
      </c>
      <c r="AI1732" s="61" t="n">
        <f aca="false">(T1732*(1-Painel!$C$40)+U1732+V1732+Painel!$C$41+Painel!$C$42*CEILING(G1732/100,1)+Painel!$C$43*CEILING(G1732,1)+Z1732)/(1-Resumo!$B$5)</f>
        <v>94.3165909090909</v>
      </c>
      <c r="AJ1732" s="60" t="str">
        <f aca="false">IF(AI1732&lt;S1732,"SIM","NÃO")</f>
        <v>SIM</v>
      </c>
    </row>
    <row r="1733" customFormat="false" ht="15" hidden="false" customHeight="false" outlineLevel="0" collapsed="false">
      <c r="A1733" s="59" t="n">
        <v>46276.5846296296</v>
      </c>
      <c r="B1733" s="60" t="s">
        <v>1945</v>
      </c>
      <c r="C1733" s="60" t="n">
        <v>28897364</v>
      </c>
      <c r="D1733" s="60" t="s">
        <v>227</v>
      </c>
      <c r="E1733" s="60" t="s">
        <v>24</v>
      </c>
      <c r="F1733" s="60" t="s">
        <v>233</v>
      </c>
      <c r="G1733" s="60" t="n">
        <v>33</v>
      </c>
      <c r="H1733" s="61" t="n">
        <v>439.99</v>
      </c>
      <c r="I1733" s="61" t="n">
        <v>65.63</v>
      </c>
      <c r="J1733" s="61" t="n">
        <f aca="false">H1733*Resumo!$C$6</f>
        <v>0</v>
      </c>
      <c r="K1733" s="61" t="n">
        <f aca="false">H1733*Resumo!$C$7</f>
        <v>0.923979</v>
      </c>
      <c r="L1733" s="61" t="n">
        <f aca="false">H1733*Resumo!$C$8</f>
        <v>0.923979</v>
      </c>
      <c r="M1733" s="61" t="n">
        <f aca="false">Resumo!$C$10*CEILING(G1733/100,1)</f>
        <v>1.05</v>
      </c>
      <c r="N1733" s="61" t="n">
        <f aca="false">Resumo!$C$9</f>
        <v>0</v>
      </c>
      <c r="O1733" s="61" t="n">
        <f aca="false">Resumo!$C$13</f>
        <v>13.55</v>
      </c>
      <c r="P1733" s="61" t="n">
        <f aca="false">Resumo!$C$14*CEILING(G1733,1)</f>
        <v>14.85</v>
      </c>
      <c r="Q1733" s="61" t="n">
        <f aca="false">SUM(I1733:P1733)*Resumo!$C$11</f>
        <v>0</v>
      </c>
      <c r="R1733" s="61" t="n">
        <f aca="false">SUM(I1733:Q1733)</f>
        <v>96.927958</v>
      </c>
      <c r="S1733" s="61" t="n">
        <f aca="false">R1733/(1-Resumo!$C$5)</f>
        <v>110.145406818182</v>
      </c>
      <c r="T1733" s="61" t="n">
        <v>114.95</v>
      </c>
      <c r="U1733" s="61" t="n">
        <f aca="false">H1733*Resumo!$B$6</f>
        <v>0.43999</v>
      </c>
      <c r="V1733" s="61" t="n">
        <f aca="false">H1733*Resumo!$B$7</f>
        <v>0.87998</v>
      </c>
      <c r="W1733" s="61" t="n">
        <f aca="false">Resumo!$B$9</f>
        <v>1</v>
      </c>
      <c r="X1733" s="61" t="n">
        <f aca="false">Resumo!$B$10*CEILING(G1733/100,1)</f>
        <v>4.5</v>
      </c>
      <c r="Y1733" s="61" t="n">
        <f aca="false">Resumo!$B$12*CEILING(G1733,1)</f>
        <v>1.98</v>
      </c>
      <c r="Z1733" s="61" t="n">
        <f aca="false">Resumo!$B$14*CEILING(G1733,1)</f>
        <v>14.85</v>
      </c>
      <c r="AA1733" s="61" t="n">
        <f aca="false">SUM(T1733:Z1733)</f>
        <v>138.59997</v>
      </c>
      <c r="AB1733" s="61" t="n">
        <f aca="false">AA1733/(1-Resumo!$B$5)</f>
        <v>157.499965909091</v>
      </c>
      <c r="AC1733" s="61" t="n">
        <f aca="false">AB1733-S1733</f>
        <v>47.3545590909091</v>
      </c>
      <c r="AD1733" s="62" t="n">
        <f aca="false">AB1733/S1733-1</f>
        <v>0.429927678864338</v>
      </c>
      <c r="AE1733" s="60" t="str">
        <f aca="false">IF(AB1733&lt;S1733,"SIM","NÃO")</f>
        <v>NÃO</v>
      </c>
      <c r="AF1733" s="60" t="n">
        <v>13</v>
      </c>
      <c r="AG1733" s="60" t="n">
        <v>10</v>
      </c>
      <c r="AH1733" s="60" t="s">
        <v>382</v>
      </c>
      <c r="AI1733" s="61" t="n">
        <f aca="false">(T1733*(1-Painel!$C$40)+U1733+V1733+Painel!$C$41+Painel!$C$42*CEILING(G1733/100,1)+Painel!$C$43*CEILING(G1733,1)+Z1733)/(1-Resumo!$B$5)</f>
        <v>108.223261363636</v>
      </c>
      <c r="AJ1733" s="60" t="str">
        <f aca="false">IF(AI1733&lt;S1733,"SIM","NÃO")</f>
        <v>SIM</v>
      </c>
    </row>
    <row r="1734" customFormat="false" ht="15" hidden="false" customHeight="false" outlineLevel="0" collapsed="false">
      <c r="A1734" s="59" t="n">
        <v>46276.5866550926</v>
      </c>
      <c r="B1734" s="60" t="s">
        <v>1946</v>
      </c>
      <c r="C1734" s="60" t="n">
        <v>20972450</v>
      </c>
      <c r="D1734" s="60" t="s">
        <v>46</v>
      </c>
      <c r="E1734" s="60" t="s">
        <v>22</v>
      </c>
      <c r="F1734" s="60" t="s">
        <v>233</v>
      </c>
      <c r="G1734" s="60" t="n">
        <v>34.8</v>
      </c>
      <c r="H1734" s="61" t="n">
        <v>469.99</v>
      </c>
      <c r="I1734" s="61" t="n">
        <v>42.11</v>
      </c>
      <c r="J1734" s="61" t="n">
        <f aca="false">H1734*Resumo!$C$6</f>
        <v>0</v>
      </c>
      <c r="K1734" s="61" t="n">
        <f aca="false">H1734*Resumo!$C$7</f>
        <v>0.986979</v>
      </c>
      <c r="L1734" s="61" t="n">
        <f aca="false">H1734*Resumo!$C$8</f>
        <v>0.986979</v>
      </c>
      <c r="M1734" s="61" t="n">
        <f aca="false">Resumo!$C$10*CEILING(G1734/100,1)</f>
        <v>1.05</v>
      </c>
      <c r="N1734" s="61" t="n">
        <f aca="false">Resumo!$C$9</f>
        <v>0</v>
      </c>
      <c r="O1734" s="61" t="n">
        <f aca="false">Resumo!$C$13</f>
        <v>13.55</v>
      </c>
      <c r="P1734" s="61" t="n">
        <f aca="false">Resumo!$C$14*CEILING(G1734,1)</f>
        <v>15.75</v>
      </c>
      <c r="Q1734" s="61" t="n">
        <f aca="false">SUM(I1734:P1734)*Resumo!$C$11</f>
        <v>0</v>
      </c>
      <c r="R1734" s="61" t="n">
        <f aca="false">SUM(I1734:Q1734)</f>
        <v>74.433958</v>
      </c>
      <c r="S1734" s="61" t="n">
        <f aca="false">R1734/(1-Resumo!$C$5)</f>
        <v>84.5840431818182</v>
      </c>
      <c r="T1734" s="61" t="n">
        <v>82.21</v>
      </c>
      <c r="U1734" s="61" t="n">
        <f aca="false">H1734*Resumo!$B$6</f>
        <v>0.46999</v>
      </c>
      <c r="V1734" s="61" t="n">
        <f aca="false">H1734*Resumo!$B$7</f>
        <v>0.93998</v>
      </c>
      <c r="W1734" s="61" t="n">
        <f aca="false">Resumo!$B$9</f>
        <v>1</v>
      </c>
      <c r="X1734" s="61" t="n">
        <f aca="false">Resumo!$B$10*CEILING(G1734/100,1)</f>
        <v>4.5</v>
      </c>
      <c r="Y1734" s="61" t="n">
        <f aca="false">Resumo!$B$12*CEILING(G1734,1)</f>
        <v>2.1</v>
      </c>
      <c r="Z1734" s="61" t="n">
        <f aca="false">Resumo!$B$14*CEILING(G1734,1)</f>
        <v>15.75</v>
      </c>
      <c r="AA1734" s="61" t="n">
        <f aca="false">SUM(T1734:Z1734)</f>
        <v>106.96997</v>
      </c>
      <c r="AB1734" s="61" t="n">
        <f aca="false">AA1734/(1-Resumo!$B$5)</f>
        <v>121.556784090909</v>
      </c>
      <c r="AC1734" s="61" t="n">
        <f aca="false">AB1734-S1734</f>
        <v>36.9727409090909</v>
      </c>
      <c r="AD1734" s="62" t="n">
        <f aca="false">AB1734/S1734-1</f>
        <v>0.437112480300994</v>
      </c>
      <c r="AE1734" s="60" t="str">
        <f aca="false">IF(AB1734&lt;S1734,"SIM","NÃO")</f>
        <v>NÃO</v>
      </c>
      <c r="AF1734" s="60" t="n">
        <v>2</v>
      </c>
      <c r="AG1734" s="60" t="n">
        <v>5</v>
      </c>
      <c r="AH1734" s="60" t="s">
        <v>382</v>
      </c>
      <c r="AI1734" s="61" t="n">
        <f aca="false">(T1734*(1-Painel!$C$40)+U1734+V1734+Painel!$C$41+Painel!$C$42*CEILING(G1734/100,1)+Painel!$C$43*CEILING(G1734,1)+Z1734)/(1-Resumo!$B$5)</f>
        <v>84.4212159090909</v>
      </c>
      <c r="AJ1734" s="60" t="str">
        <f aca="false">IF(AI1734&lt;S1734,"SIM","NÃO")</f>
        <v>SIM</v>
      </c>
    </row>
    <row r="1735" customFormat="false" ht="15" hidden="false" customHeight="false" outlineLevel="0" collapsed="false">
      <c r="A1735" s="59" t="n">
        <v>46276.6275115741</v>
      </c>
      <c r="B1735" s="60" t="s">
        <v>1947</v>
      </c>
      <c r="C1735" s="60" t="n">
        <v>24360005</v>
      </c>
      <c r="D1735" s="60" t="s">
        <v>50</v>
      </c>
      <c r="E1735" s="60" t="s">
        <v>23</v>
      </c>
      <c r="F1735" s="60" t="s">
        <v>236</v>
      </c>
      <c r="G1735" s="60" t="n">
        <v>52.3</v>
      </c>
      <c r="H1735" s="61" t="n">
        <v>620</v>
      </c>
      <c r="I1735" s="61" t="n">
        <v>70.98</v>
      </c>
      <c r="J1735" s="61" t="n">
        <f aca="false">H1735*Resumo!$C$6</f>
        <v>0</v>
      </c>
      <c r="K1735" s="61" t="n">
        <f aca="false">H1735*Resumo!$C$7</f>
        <v>1.302</v>
      </c>
      <c r="L1735" s="61" t="n">
        <f aca="false">H1735*Resumo!$C$8</f>
        <v>1.302</v>
      </c>
      <c r="M1735" s="61" t="n">
        <f aca="false">Resumo!$C$10*CEILING(G1735/100,1)</f>
        <v>1.05</v>
      </c>
      <c r="N1735" s="61" t="n">
        <f aca="false">Resumo!$C$9</f>
        <v>0</v>
      </c>
      <c r="O1735" s="61" t="n">
        <f aca="false">Resumo!$C$13</f>
        <v>13.55</v>
      </c>
      <c r="P1735" s="61" t="n">
        <f aca="false">Resumo!$C$14*CEILING(G1735,1)</f>
        <v>23.85</v>
      </c>
      <c r="Q1735" s="61" t="n">
        <f aca="false">SUM(I1735:P1735)*Resumo!$C$11</f>
        <v>0</v>
      </c>
      <c r="R1735" s="61" t="n">
        <f aca="false">SUM(I1735:Q1735)</f>
        <v>112.034</v>
      </c>
      <c r="S1735" s="61" t="n">
        <f aca="false">R1735/(1-Resumo!$C$5)</f>
        <v>127.311363636364</v>
      </c>
      <c r="T1735" s="61" t="n">
        <v>128.14</v>
      </c>
      <c r="U1735" s="61" t="n">
        <f aca="false">H1735*Resumo!$B$6</f>
        <v>0.62</v>
      </c>
      <c r="V1735" s="61" t="n">
        <f aca="false">H1735*Resumo!$B$7</f>
        <v>1.24</v>
      </c>
      <c r="W1735" s="61" t="n">
        <f aca="false">Resumo!$B$9</f>
        <v>1</v>
      </c>
      <c r="X1735" s="61" t="n">
        <f aca="false">Resumo!$B$10*CEILING(G1735/100,1)</f>
        <v>4.5</v>
      </c>
      <c r="Y1735" s="61" t="n">
        <f aca="false">Resumo!$B$12*CEILING(G1735,1)</f>
        <v>3.18</v>
      </c>
      <c r="Z1735" s="61" t="n">
        <f aca="false">Resumo!$B$14*CEILING(G1735,1)</f>
        <v>23.85</v>
      </c>
      <c r="AA1735" s="61" t="n">
        <f aca="false">SUM(T1735:Z1735)</f>
        <v>162.53</v>
      </c>
      <c r="AB1735" s="61" t="n">
        <f aca="false">AA1735/(1-Resumo!$B$5)</f>
        <v>184.693181818182</v>
      </c>
      <c r="AC1735" s="61" t="n">
        <f aca="false">AB1735-S1735</f>
        <v>57.3818181818182</v>
      </c>
      <c r="AD1735" s="62" t="n">
        <f aca="false">AB1735/S1735-1</f>
        <v>0.450720317046611</v>
      </c>
      <c r="AE1735" s="60" t="str">
        <f aca="false">IF(AB1735&lt;S1735,"SIM","NÃO")</f>
        <v>NÃO</v>
      </c>
      <c r="AF1735" s="60" t="n">
        <v>2</v>
      </c>
      <c r="AG1735" s="60" t="n">
        <v>7</v>
      </c>
      <c r="AH1735" s="60" t="s">
        <v>382</v>
      </c>
      <c r="AI1735" s="61" t="n">
        <f aca="false">(T1735*(1-Painel!$C$40)+U1735+V1735+Painel!$C$41+Painel!$C$42*CEILING(G1735/100,1)+Painel!$C$43*CEILING(G1735,1)+Z1735)/(1-Resumo!$B$5)</f>
        <v>129.106590909091</v>
      </c>
      <c r="AJ1735" s="60" t="str">
        <f aca="false">IF(AI1735&lt;S1735,"SIM","NÃO")</f>
        <v>NÃO</v>
      </c>
    </row>
    <row r="1736" customFormat="false" ht="15" hidden="false" customHeight="false" outlineLevel="0" collapsed="false">
      <c r="A1736" s="59" t="n">
        <v>46276.7347337963</v>
      </c>
      <c r="B1736" s="60" t="s">
        <v>1948</v>
      </c>
      <c r="C1736" s="60" t="n">
        <v>23062220</v>
      </c>
      <c r="D1736" s="60" t="s">
        <v>46</v>
      </c>
      <c r="E1736" s="60" t="s">
        <v>22</v>
      </c>
      <c r="F1736" s="60" t="s">
        <v>236</v>
      </c>
      <c r="G1736" s="60" t="n">
        <v>59.9</v>
      </c>
      <c r="H1736" s="61" t="n">
        <v>883.45</v>
      </c>
      <c r="I1736" s="61" t="n">
        <v>58.6</v>
      </c>
      <c r="J1736" s="61" t="n">
        <f aca="false">H1736*Resumo!$C$6</f>
        <v>0</v>
      </c>
      <c r="K1736" s="61" t="n">
        <f aca="false">H1736*Resumo!$C$7</f>
        <v>1.855245</v>
      </c>
      <c r="L1736" s="61" t="n">
        <f aca="false">H1736*Resumo!$C$8</f>
        <v>1.855245</v>
      </c>
      <c r="M1736" s="61" t="n">
        <f aca="false">Resumo!$C$10*CEILING(G1736/100,1)</f>
        <v>1.05</v>
      </c>
      <c r="N1736" s="61" t="n">
        <f aca="false">Resumo!$C$9</f>
        <v>0</v>
      </c>
      <c r="O1736" s="61" t="n">
        <f aca="false">Resumo!$C$13</f>
        <v>13.55</v>
      </c>
      <c r="P1736" s="61" t="n">
        <f aca="false">Resumo!$C$14*CEILING(G1736,1)</f>
        <v>27</v>
      </c>
      <c r="Q1736" s="61" t="n">
        <f aca="false">SUM(I1736:P1736)*Resumo!$C$11</f>
        <v>0</v>
      </c>
      <c r="R1736" s="61" t="n">
        <f aca="false">SUM(I1736:Q1736)</f>
        <v>103.91049</v>
      </c>
      <c r="S1736" s="61" t="n">
        <f aca="false">R1736/(1-Resumo!$C$5)</f>
        <v>118.080102272727</v>
      </c>
      <c r="T1736" s="61" t="n">
        <v>112.3</v>
      </c>
      <c r="U1736" s="61" t="n">
        <f aca="false">H1736*Resumo!$B$6</f>
        <v>0.88345</v>
      </c>
      <c r="V1736" s="61" t="n">
        <f aca="false">H1736*Resumo!$B$7</f>
        <v>1.7669</v>
      </c>
      <c r="W1736" s="61" t="n">
        <f aca="false">Resumo!$B$9</f>
        <v>1</v>
      </c>
      <c r="X1736" s="61" t="n">
        <f aca="false">Resumo!$B$10*CEILING(G1736/100,1)</f>
        <v>4.5</v>
      </c>
      <c r="Y1736" s="61" t="n">
        <f aca="false">Resumo!$B$12*CEILING(G1736,1)</f>
        <v>3.6</v>
      </c>
      <c r="Z1736" s="61" t="n">
        <f aca="false">Resumo!$B$14*CEILING(G1736,1)</f>
        <v>27</v>
      </c>
      <c r="AA1736" s="61" t="n">
        <f aca="false">SUM(T1736:Z1736)</f>
        <v>151.05035</v>
      </c>
      <c r="AB1736" s="61" t="n">
        <f aca="false">AA1736/(1-Resumo!$B$5)</f>
        <v>171.648125</v>
      </c>
      <c r="AC1736" s="61" t="n">
        <f aca="false">AB1736-S1736</f>
        <v>53.5680227272727</v>
      </c>
      <c r="AD1736" s="62" t="n">
        <f aca="false">AB1736/S1736-1</f>
        <v>0.453658336131414</v>
      </c>
      <c r="AE1736" s="60" t="str">
        <f aca="false">IF(AB1736&lt;S1736,"SIM","NÃO")</f>
        <v>NÃO</v>
      </c>
      <c r="AF1736" s="60" t="n">
        <v>2</v>
      </c>
      <c r="AG1736" s="60" t="n">
        <v>5</v>
      </c>
      <c r="AH1736" s="60" t="s">
        <v>382</v>
      </c>
      <c r="AI1736" s="61" t="n">
        <f aca="false">(T1736*(1-Painel!$C$40)+U1736+V1736+Painel!$C$41+Painel!$C$42*CEILING(G1736/100,1)+Painel!$C$43*CEILING(G1736,1)+Z1736)/(1-Resumo!$B$5)</f>
        <v>121.524261363636</v>
      </c>
      <c r="AJ1736" s="60" t="str">
        <f aca="false">IF(AI1736&lt;S1736,"SIM","NÃO")</f>
        <v>NÃO</v>
      </c>
    </row>
    <row r="1737" customFormat="false" ht="15" hidden="false" customHeight="false" outlineLevel="0" collapsed="false">
      <c r="A1737" s="59" t="n">
        <v>46276.7762962963</v>
      </c>
      <c r="B1737" s="60" t="s">
        <v>1949</v>
      </c>
      <c r="C1737" s="60" t="n">
        <v>21941480</v>
      </c>
      <c r="D1737" s="60" t="s">
        <v>46</v>
      </c>
      <c r="E1737" s="60" t="s">
        <v>22</v>
      </c>
      <c r="F1737" s="60" t="s">
        <v>234</v>
      </c>
      <c r="G1737" s="60" t="n">
        <v>36.8</v>
      </c>
      <c r="H1737" s="61" t="n">
        <v>549.99</v>
      </c>
      <c r="I1737" s="61" t="n">
        <v>48.35</v>
      </c>
      <c r="J1737" s="61" t="n">
        <f aca="false">H1737*Resumo!$C$6</f>
        <v>0</v>
      </c>
      <c r="K1737" s="61" t="n">
        <f aca="false">H1737*Resumo!$C$7</f>
        <v>1.154979</v>
      </c>
      <c r="L1737" s="61" t="n">
        <f aca="false">H1737*Resumo!$C$8</f>
        <v>1.154979</v>
      </c>
      <c r="M1737" s="61" t="n">
        <f aca="false">Resumo!$C$10*CEILING(G1737/100,1)</f>
        <v>1.05</v>
      </c>
      <c r="N1737" s="61" t="n">
        <f aca="false">Resumo!$C$9</f>
        <v>0</v>
      </c>
      <c r="O1737" s="61" t="n">
        <f aca="false">Resumo!$C$13</f>
        <v>13.55</v>
      </c>
      <c r="P1737" s="61" t="n">
        <f aca="false">Resumo!$C$14*CEILING(G1737,1)</f>
        <v>16.65</v>
      </c>
      <c r="Q1737" s="61" t="n">
        <f aca="false">SUM(I1737:P1737)*Resumo!$C$11</f>
        <v>0</v>
      </c>
      <c r="R1737" s="61" t="n">
        <f aca="false">SUM(I1737:Q1737)</f>
        <v>81.909958</v>
      </c>
      <c r="S1737" s="61" t="n">
        <f aca="false">R1737/(1-Resumo!$C$5)</f>
        <v>93.0794977272727</v>
      </c>
      <c r="T1737" s="61" t="n">
        <v>93.97</v>
      </c>
      <c r="U1737" s="61" t="n">
        <f aca="false">H1737*Resumo!$B$6</f>
        <v>0.54999</v>
      </c>
      <c r="V1737" s="61" t="n">
        <f aca="false">H1737*Resumo!$B$7</f>
        <v>1.09998</v>
      </c>
      <c r="W1737" s="61" t="n">
        <f aca="false">Resumo!$B$9</f>
        <v>1</v>
      </c>
      <c r="X1737" s="61" t="n">
        <f aca="false">Resumo!$B$10*CEILING(G1737/100,1)</f>
        <v>4.5</v>
      </c>
      <c r="Y1737" s="61" t="n">
        <f aca="false">Resumo!$B$12*CEILING(G1737,1)</f>
        <v>2.22</v>
      </c>
      <c r="Z1737" s="61" t="n">
        <f aca="false">Resumo!$B$14*CEILING(G1737,1)</f>
        <v>16.65</v>
      </c>
      <c r="AA1737" s="61" t="n">
        <f aca="false">SUM(T1737:Z1737)</f>
        <v>119.98997</v>
      </c>
      <c r="AB1737" s="61" t="n">
        <f aca="false">AA1737/(1-Resumo!$B$5)</f>
        <v>136.352238636364</v>
      </c>
      <c r="AC1737" s="61" t="n">
        <f aca="false">AB1737-S1737</f>
        <v>43.2727409090909</v>
      </c>
      <c r="AD1737" s="62" t="n">
        <f aca="false">AB1737/S1737-1</f>
        <v>0.464900885433246</v>
      </c>
      <c r="AE1737" s="60" t="str">
        <f aca="false">IF(AB1737&lt;S1737,"SIM","NÃO")</f>
        <v>NÃO</v>
      </c>
      <c r="AF1737" s="60" t="n">
        <v>2</v>
      </c>
      <c r="AG1737" s="60" t="n">
        <v>5</v>
      </c>
      <c r="AH1737" s="60" t="s">
        <v>382</v>
      </c>
      <c r="AI1737" s="61" t="n">
        <f aca="false">(T1737*(1-Painel!$C$40)+U1737+V1737+Painel!$C$41+Painel!$C$42*CEILING(G1737/100,1)+Painel!$C$43*CEILING(G1737,1)+Z1737)/(1-Resumo!$B$5)</f>
        <v>94.6703068181818</v>
      </c>
      <c r="AJ1737" s="60" t="str">
        <f aca="false">IF(AI1737&lt;S1737,"SIM","NÃO")</f>
        <v>NÃO</v>
      </c>
    </row>
    <row r="1738" customFormat="false" ht="15" hidden="false" customHeight="false" outlineLevel="0" collapsed="false">
      <c r="A1738" s="59" t="n">
        <v>46276.7889583333</v>
      </c>
      <c r="B1738" s="60" t="s">
        <v>1950</v>
      </c>
      <c r="C1738" s="60" t="n">
        <v>21610520</v>
      </c>
      <c r="D1738" s="60" t="s">
        <v>46</v>
      </c>
      <c r="E1738" s="60" t="s">
        <v>22</v>
      </c>
      <c r="F1738" s="60" t="s">
        <v>237</v>
      </c>
      <c r="G1738" s="60" t="n">
        <v>63.9</v>
      </c>
      <c r="H1738" s="61" t="n">
        <v>716.35</v>
      </c>
      <c r="I1738" s="61" t="n">
        <v>63.21</v>
      </c>
      <c r="J1738" s="61" t="n">
        <f aca="false">H1738*Resumo!$C$6</f>
        <v>0</v>
      </c>
      <c r="K1738" s="61" t="n">
        <f aca="false">H1738*Resumo!$C$7</f>
        <v>1.504335</v>
      </c>
      <c r="L1738" s="61" t="n">
        <f aca="false">H1738*Resumo!$C$8</f>
        <v>1.504335</v>
      </c>
      <c r="M1738" s="61" t="n">
        <f aca="false">Resumo!$C$10*CEILING(G1738/100,1)</f>
        <v>1.05</v>
      </c>
      <c r="N1738" s="61" t="n">
        <f aca="false">Resumo!$C$9</f>
        <v>0</v>
      </c>
      <c r="O1738" s="61" t="n">
        <f aca="false">Resumo!$C$13</f>
        <v>13.55</v>
      </c>
      <c r="P1738" s="61" t="n">
        <f aca="false">Resumo!$C$14*CEILING(G1738,1)</f>
        <v>28.8</v>
      </c>
      <c r="Q1738" s="61" t="n">
        <f aca="false">SUM(I1738:P1738)*Resumo!$C$11</f>
        <v>0</v>
      </c>
      <c r="R1738" s="61" t="n">
        <f aca="false">SUM(I1738:Q1738)</f>
        <v>109.61867</v>
      </c>
      <c r="S1738" s="61" t="n">
        <f aca="false">R1738/(1-Resumo!$C$5)</f>
        <v>124.566670454545</v>
      </c>
      <c r="T1738" s="61" t="n">
        <v>131.02</v>
      </c>
      <c r="U1738" s="61" t="n">
        <f aca="false">H1738*Resumo!$B$6</f>
        <v>0.71635</v>
      </c>
      <c r="V1738" s="61" t="n">
        <f aca="false">H1738*Resumo!$B$7</f>
        <v>1.4327</v>
      </c>
      <c r="W1738" s="61" t="n">
        <f aca="false">Resumo!$B$9</f>
        <v>1</v>
      </c>
      <c r="X1738" s="61" t="n">
        <f aca="false">Resumo!$B$10*CEILING(G1738/100,1)</f>
        <v>4.5</v>
      </c>
      <c r="Y1738" s="61" t="n">
        <f aca="false">Resumo!$B$12*CEILING(G1738,1)</f>
        <v>3.84</v>
      </c>
      <c r="Z1738" s="61" t="n">
        <f aca="false">Resumo!$B$14*CEILING(G1738,1)</f>
        <v>28.8</v>
      </c>
      <c r="AA1738" s="61" t="n">
        <f aca="false">SUM(T1738:Z1738)</f>
        <v>171.30905</v>
      </c>
      <c r="AB1738" s="61" t="n">
        <f aca="false">AA1738/(1-Resumo!$B$5)</f>
        <v>194.669375</v>
      </c>
      <c r="AC1738" s="61" t="n">
        <f aca="false">AB1738-S1738</f>
        <v>70.1027045454546</v>
      </c>
      <c r="AD1738" s="62" t="n">
        <f aca="false">AB1738/S1738-1</f>
        <v>0.562772564199146</v>
      </c>
      <c r="AE1738" s="60" t="str">
        <f aca="false">IF(AB1738&lt;S1738,"SIM","NÃO")</f>
        <v>NÃO</v>
      </c>
      <c r="AF1738" s="60" t="n">
        <v>2</v>
      </c>
      <c r="AG1738" s="60" t="n">
        <v>5</v>
      </c>
      <c r="AH1738" s="60" t="s">
        <v>382</v>
      </c>
      <c r="AI1738" s="61" t="n">
        <f aca="false">(T1738*(1-Painel!$C$40)+U1738+V1738+Painel!$C$41+Painel!$C$42*CEILING(G1738/100,1)+Painel!$C$43*CEILING(G1738,1)+Z1738)/(1-Resumo!$B$5)</f>
        <v>137.252784090909</v>
      </c>
      <c r="AJ1738" s="60" t="str">
        <f aca="false">IF(AI1738&lt;S1738,"SIM","NÃO")</f>
        <v>NÃO</v>
      </c>
    </row>
    <row r="1739" customFormat="false" ht="15" hidden="false" customHeight="false" outlineLevel="0" collapsed="false">
      <c r="A1739" s="59" t="n">
        <v>46276.8066203704</v>
      </c>
      <c r="B1739" s="60" t="s">
        <v>1159</v>
      </c>
      <c r="C1739" s="60" t="n">
        <v>21725180</v>
      </c>
      <c r="D1739" s="60" t="s">
        <v>46</v>
      </c>
      <c r="E1739" s="60" t="s">
        <v>22</v>
      </c>
      <c r="F1739" s="60" t="s">
        <v>233</v>
      </c>
      <c r="G1739" s="60" t="n">
        <v>31.2</v>
      </c>
      <c r="H1739" s="61" t="n">
        <v>399.99</v>
      </c>
      <c r="I1739" s="61" t="n">
        <v>42.11</v>
      </c>
      <c r="J1739" s="61" t="n">
        <f aca="false">H1739*Resumo!$C$6</f>
        <v>0</v>
      </c>
      <c r="K1739" s="61" t="n">
        <f aca="false">H1739*Resumo!$C$7</f>
        <v>0.839979</v>
      </c>
      <c r="L1739" s="61" t="n">
        <f aca="false">H1739*Resumo!$C$8</f>
        <v>0.839979</v>
      </c>
      <c r="M1739" s="61" t="n">
        <f aca="false">Resumo!$C$10*CEILING(G1739/100,1)</f>
        <v>1.05</v>
      </c>
      <c r="N1739" s="61" t="n">
        <f aca="false">Resumo!$C$9</f>
        <v>0</v>
      </c>
      <c r="O1739" s="61" t="n">
        <f aca="false">Resumo!$C$13</f>
        <v>13.55</v>
      </c>
      <c r="P1739" s="61" t="n">
        <f aca="false">Resumo!$C$14*CEILING(G1739,1)</f>
        <v>14.4</v>
      </c>
      <c r="Q1739" s="61" t="n">
        <f aca="false">SUM(I1739:P1739)*Resumo!$C$11</f>
        <v>0</v>
      </c>
      <c r="R1739" s="61" t="n">
        <f aca="false">SUM(I1739:Q1739)</f>
        <v>72.789958</v>
      </c>
      <c r="S1739" s="61" t="n">
        <f aca="false">R1739/(1-Resumo!$C$5)</f>
        <v>82.7158613636364</v>
      </c>
      <c r="T1739" s="61" t="n">
        <v>82.21</v>
      </c>
      <c r="U1739" s="61" t="n">
        <f aca="false">H1739*Resumo!$B$6</f>
        <v>0.39999</v>
      </c>
      <c r="V1739" s="61" t="n">
        <f aca="false">H1739*Resumo!$B$7</f>
        <v>0.79998</v>
      </c>
      <c r="W1739" s="61" t="n">
        <f aca="false">Resumo!$B$9</f>
        <v>1</v>
      </c>
      <c r="X1739" s="61" t="n">
        <f aca="false">Resumo!$B$10*CEILING(G1739/100,1)</f>
        <v>4.5</v>
      </c>
      <c r="Y1739" s="61" t="n">
        <f aca="false">Resumo!$B$12*CEILING(G1739,1)</f>
        <v>1.92</v>
      </c>
      <c r="Z1739" s="61" t="n">
        <f aca="false">Resumo!$B$14*CEILING(G1739,1)</f>
        <v>14.4</v>
      </c>
      <c r="AA1739" s="61" t="n">
        <f aca="false">SUM(T1739:Z1739)</f>
        <v>105.22997</v>
      </c>
      <c r="AB1739" s="61" t="n">
        <f aca="false">AA1739/(1-Resumo!$B$5)</f>
        <v>119.579511363636</v>
      </c>
      <c r="AC1739" s="61" t="n">
        <f aca="false">AB1739-S1739</f>
        <v>36.86365</v>
      </c>
      <c r="AD1739" s="62" t="n">
        <f aca="false">AB1739/S1739-1</f>
        <v>0.445666035416588</v>
      </c>
      <c r="AE1739" s="60" t="str">
        <f aca="false">IF(AB1739&lt;S1739,"SIM","NÃO")</f>
        <v>NÃO</v>
      </c>
      <c r="AF1739" s="60" t="n">
        <v>2</v>
      </c>
      <c r="AG1739" s="60" t="n">
        <v>5</v>
      </c>
      <c r="AH1739" s="60" t="s">
        <v>382</v>
      </c>
      <c r="AI1739" s="61" t="n">
        <f aca="false">(T1739*(1-Painel!$C$40)+U1739+V1739+Painel!$C$41+Painel!$C$42*CEILING(G1739/100,1)+Painel!$C$43*CEILING(G1739,1)+Z1739)/(1-Resumo!$B$5)</f>
        <v>82.6484886363636</v>
      </c>
      <c r="AJ1739" s="60" t="str">
        <f aca="false">IF(AI1739&lt;S1739,"SIM","NÃO")</f>
        <v>SIM</v>
      </c>
    </row>
    <row r="1740" customFormat="false" ht="15" hidden="false" customHeight="false" outlineLevel="0" collapsed="false">
      <c r="A1740" s="59" t="n">
        <v>46276.8157291667</v>
      </c>
      <c r="B1740" s="60" t="s">
        <v>1951</v>
      </c>
      <c r="C1740" s="60" t="n">
        <v>21250392</v>
      </c>
      <c r="D1740" s="60" t="s">
        <v>46</v>
      </c>
      <c r="E1740" s="60" t="s">
        <v>22</v>
      </c>
      <c r="F1740" s="60" t="s">
        <v>233</v>
      </c>
      <c r="G1740" s="60" t="n">
        <v>31.9</v>
      </c>
      <c r="H1740" s="61" t="n">
        <v>483.99</v>
      </c>
      <c r="I1740" s="61" t="n">
        <v>42.11</v>
      </c>
      <c r="J1740" s="61" t="n">
        <f aca="false">H1740*Resumo!$C$6</f>
        <v>0</v>
      </c>
      <c r="K1740" s="61" t="n">
        <f aca="false">H1740*Resumo!$C$7</f>
        <v>1.016379</v>
      </c>
      <c r="L1740" s="61" t="n">
        <f aca="false">H1740*Resumo!$C$8</f>
        <v>1.016379</v>
      </c>
      <c r="M1740" s="61" t="n">
        <f aca="false">Resumo!$C$10*CEILING(G1740/100,1)</f>
        <v>1.05</v>
      </c>
      <c r="N1740" s="61" t="n">
        <f aca="false">Resumo!$C$9</f>
        <v>0</v>
      </c>
      <c r="O1740" s="61" t="n">
        <f aca="false">Resumo!$C$13</f>
        <v>13.55</v>
      </c>
      <c r="P1740" s="61" t="n">
        <f aca="false">Resumo!$C$14*CEILING(G1740,1)</f>
        <v>14.4</v>
      </c>
      <c r="Q1740" s="61" t="n">
        <f aca="false">SUM(I1740:P1740)*Resumo!$C$11</f>
        <v>0</v>
      </c>
      <c r="R1740" s="61" t="n">
        <f aca="false">SUM(I1740:Q1740)</f>
        <v>73.142758</v>
      </c>
      <c r="S1740" s="61" t="n">
        <f aca="false">R1740/(1-Resumo!$C$5)</f>
        <v>83.1167704545455</v>
      </c>
      <c r="T1740" s="61" t="n">
        <v>82.21</v>
      </c>
      <c r="U1740" s="61" t="n">
        <f aca="false">H1740*Resumo!$B$6</f>
        <v>0.48399</v>
      </c>
      <c r="V1740" s="61" t="n">
        <f aca="false">H1740*Resumo!$B$7</f>
        <v>0.96798</v>
      </c>
      <c r="W1740" s="61" t="n">
        <f aca="false">Resumo!$B$9</f>
        <v>1</v>
      </c>
      <c r="X1740" s="61" t="n">
        <f aca="false">Resumo!$B$10*CEILING(G1740/100,1)</f>
        <v>4.5</v>
      </c>
      <c r="Y1740" s="61" t="n">
        <f aca="false">Resumo!$B$12*CEILING(G1740,1)</f>
        <v>1.92</v>
      </c>
      <c r="Z1740" s="61" t="n">
        <f aca="false">Resumo!$B$14*CEILING(G1740,1)</f>
        <v>14.4</v>
      </c>
      <c r="AA1740" s="61" t="n">
        <f aca="false">SUM(T1740:Z1740)</f>
        <v>105.48197</v>
      </c>
      <c r="AB1740" s="61" t="n">
        <f aca="false">AA1740/(1-Resumo!$B$5)</f>
        <v>119.865875</v>
      </c>
      <c r="AC1740" s="61" t="n">
        <f aca="false">AB1740-S1740</f>
        <v>36.7491045454545</v>
      </c>
      <c r="AD1740" s="62" t="n">
        <f aca="false">AB1740/S1740-1</f>
        <v>0.442138263367099</v>
      </c>
      <c r="AE1740" s="60" t="str">
        <f aca="false">IF(AB1740&lt;S1740,"SIM","NÃO")</f>
        <v>NÃO</v>
      </c>
      <c r="AF1740" s="60" t="n">
        <v>2</v>
      </c>
      <c r="AG1740" s="60" t="n">
        <v>5</v>
      </c>
      <c r="AH1740" s="60" t="s">
        <v>382</v>
      </c>
      <c r="AI1740" s="61" t="n">
        <f aca="false">(T1740*(1-Painel!$C$40)+U1740+V1740+Painel!$C$41+Painel!$C$42*CEILING(G1740/100,1)+Painel!$C$43*CEILING(G1740,1)+Z1740)/(1-Resumo!$B$5)</f>
        <v>82.9348522727273</v>
      </c>
      <c r="AJ1740" s="60" t="str">
        <f aca="false">IF(AI1740&lt;S1740,"SIM","NÃO")</f>
        <v>SIM</v>
      </c>
    </row>
    <row r="1741" customFormat="false" ht="15" hidden="false" customHeight="false" outlineLevel="0" collapsed="false">
      <c r="A1741" s="59" t="n">
        <v>46276.8487384259</v>
      </c>
      <c r="B1741" s="60" t="s">
        <v>459</v>
      </c>
      <c r="C1741" s="60" t="n">
        <v>22755155</v>
      </c>
      <c r="D1741" s="60" t="s">
        <v>46</v>
      </c>
      <c r="E1741" s="60" t="s">
        <v>22</v>
      </c>
      <c r="F1741" s="60" t="s">
        <v>233</v>
      </c>
      <c r="G1741" s="60" t="n">
        <v>31.2</v>
      </c>
      <c r="H1741" s="61" t="n">
        <v>323</v>
      </c>
      <c r="I1741" s="61" t="n">
        <v>42.11</v>
      </c>
      <c r="J1741" s="61" t="n">
        <f aca="false">H1741*Resumo!$C$6</f>
        <v>0</v>
      </c>
      <c r="K1741" s="61" t="n">
        <f aca="false">H1741*Resumo!$C$7</f>
        <v>0.6783</v>
      </c>
      <c r="L1741" s="61" t="n">
        <f aca="false">H1741*Resumo!$C$8</f>
        <v>0.6783</v>
      </c>
      <c r="M1741" s="61" t="n">
        <f aca="false">Resumo!$C$10*CEILING(G1741/100,1)</f>
        <v>1.05</v>
      </c>
      <c r="N1741" s="61" t="n">
        <f aca="false">Resumo!$C$9</f>
        <v>0</v>
      </c>
      <c r="O1741" s="61" t="n">
        <f aca="false">Resumo!$C$13</f>
        <v>13.55</v>
      </c>
      <c r="P1741" s="61" t="n">
        <f aca="false">Resumo!$C$14*CEILING(G1741,1)</f>
        <v>14.4</v>
      </c>
      <c r="Q1741" s="61" t="n">
        <f aca="false">SUM(I1741:P1741)*Resumo!$C$11</f>
        <v>0</v>
      </c>
      <c r="R1741" s="61" t="n">
        <f aca="false">SUM(I1741:Q1741)</f>
        <v>72.4666</v>
      </c>
      <c r="S1741" s="61" t="n">
        <f aca="false">R1741/(1-Resumo!$C$5)</f>
        <v>82.3484090909091</v>
      </c>
      <c r="T1741" s="61" t="n">
        <v>82.21</v>
      </c>
      <c r="U1741" s="61" t="n">
        <f aca="false">H1741*Resumo!$B$6</f>
        <v>0.323</v>
      </c>
      <c r="V1741" s="61" t="n">
        <f aca="false">H1741*Resumo!$B$7</f>
        <v>0.646</v>
      </c>
      <c r="W1741" s="61" t="n">
        <f aca="false">Resumo!$B$9</f>
        <v>1</v>
      </c>
      <c r="X1741" s="61" t="n">
        <f aca="false">Resumo!$B$10*CEILING(G1741/100,1)</f>
        <v>4.5</v>
      </c>
      <c r="Y1741" s="61" t="n">
        <f aca="false">Resumo!$B$12*CEILING(G1741,1)</f>
        <v>1.92</v>
      </c>
      <c r="Z1741" s="61" t="n">
        <f aca="false">Resumo!$B$14*CEILING(G1741,1)</f>
        <v>14.4</v>
      </c>
      <c r="AA1741" s="61" t="n">
        <f aca="false">SUM(T1741:Z1741)</f>
        <v>104.999</v>
      </c>
      <c r="AB1741" s="61" t="n">
        <f aca="false">AA1741/(1-Resumo!$B$5)</f>
        <v>119.317045454545</v>
      </c>
      <c r="AC1741" s="61" t="n">
        <f aca="false">AB1741-S1741</f>
        <v>36.9686363636364</v>
      </c>
      <c r="AD1741" s="62" t="n">
        <f aca="false">AB1741/S1741-1</f>
        <v>0.448929575832177</v>
      </c>
      <c r="AE1741" s="60" t="str">
        <f aca="false">IF(AB1741&lt;S1741,"SIM","NÃO")</f>
        <v>NÃO</v>
      </c>
      <c r="AF1741" s="60" t="n">
        <v>2</v>
      </c>
      <c r="AG1741" s="60" t="n">
        <v>5</v>
      </c>
      <c r="AH1741" s="60" t="s">
        <v>382</v>
      </c>
      <c r="AI1741" s="61" t="n">
        <f aca="false">(T1741*(1-Painel!$C$40)+U1741+V1741+Painel!$C$41+Painel!$C$42*CEILING(G1741/100,1)+Painel!$C$43*CEILING(G1741,1)+Z1741)/(1-Resumo!$B$5)</f>
        <v>82.3860227272727</v>
      </c>
      <c r="AJ1741" s="60" t="str">
        <f aca="false">IF(AI1741&lt;S1741,"SIM","NÃO")</f>
        <v>NÃO</v>
      </c>
    </row>
    <row r="1742" customFormat="false" ht="15" hidden="false" customHeight="false" outlineLevel="0" collapsed="false">
      <c r="A1742" s="59" t="n">
        <v>46276.8626041667</v>
      </c>
      <c r="B1742" s="60" t="s">
        <v>1952</v>
      </c>
      <c r="C1742" s="60" t="n">
        <v>27212050</v>
      </c>
      <c r="D1742" s="60" t="s">
        <v>217</v>
      </c>
      <c r="E1742" s="60" t="s">
        <v>24</v>
      </c>
      <c r="F1742" s="60" t="s">
        <v>234</v>
      </c>
      <c r="G1742" s="60" t="n">
        <v>35.3</v>
      </c>
      <c r="H1742" s="61" t="n">
        <v>434.97</v>
      </c>
      <c r="I1742" s="61" t="n">
        <v>74.97</v>
      </c>
      <c r="J1742" s="61" t="n">
        <f aca="false">H1742*Resumo!$C$6</f>
        <v>0</v>
      </c>
      <c r="K1742" s="61" t="n">
        <f aca="false">H1742*Resumo!$C$7</f>
        <v>0.913437</v>
      </c>
      <c r="L1742" s="61" t="n">
        <f aca="false">H1742*Resumo!$C$8</f>
        <v>0.913437</v>
      </c>
      <c r="M1742" s="61" t="n">
        <f aca="false">Resumo!$C$10*CEILING(G1742/100,1)</f>
        <v>1.05</v>
      </c>
      <c r="N1742" s="61" t="n">
        <f aca="false">Resumo!$C$9</f>
        <v>0</v>
      </c>
      <c r="O1742" s="61" t="n">
        <f aca="false">Resumo!$C$13</f>
        <v>13.55</v>
      </c>
      <c r="P1742" s="61" t="n">
        <f aca="false">Resumo!$C$14*CEILING(G1742,1)</f>
        <v>16.2</v>
      </c>
      <c r="Q1742" s="61" t="n">
        <f aca="false">SUM(I1742:P1742)*Resumo!$C$11</f>
        <v>0</v>
      </c>
      <c r="R1742" s="61" t="n">
        <f aca="false">SUM(I1742:Q1742)</f>
        <v>107.596874</v>
      </c>
      <c r="S1742" s="61" t="n">
        <f aca="false">R1742/(1-Resumo!$C$5)</f>
        <v>122.269175</v>
      </c>
      <c r="T1742" s="61" t="n">
        <v>124.38</v>
      </c>
      <c r="U1742" s="61" t="n">
        <f aca="false">H1742*Resumo!$B$6</f>
        <v>0.43497</v>
      </c>
      <c r="V1742" s="61" t="n">
        <f aca="false">H1742*Resumo!$B$7</f>
        <v>0.86994</v>
      </c>
      <c r="W1742" s="61" t="n">
        <f aca="false">Resumo!$B$9</f>
        <v>1</v>
      </c>
      <c r="X1742" s="61" t="n">
        <f aca="false">Resumo!$B$10*CEILING(G1742/100,1)</f>
        <v>4.5</v>
      </c>
      <c r="Y1742" s="61" t="n">
        <f aca="false">Resumo!$B$12*CEILING(G1742,1)</f>
        <v>2.16</v>
      </c>
      <c r="Z1742" s="61" t="n">
        <f aca="false">Resumo!$B$14*CEILING(G1742,1)</f>
        <v>16.2</v>
      </c>
      <c r="AA1742" s="61" t="n">
        <f aca="false">SUM(T1742:Z1742)</f>
        <v>149.54491</v>
      </c>
      <c r="AB1742" s="61" t="n">
        <f aca="false">AA1742/(1-Resumo!$B$5)</f>
        <v>169.937397727273</v>
      </c>
      <c r="AC1742" s="61" t="n">
        <f aca="false">AB1742-S1742</f>
        <v>47.6682227272727</v>
      </c>
      <c r="AD1742" s="62" t="n">
        <f aca="false">AB1742/S1742-1</f>
        <v>0.389862962003896</v>
      </c>
      <c r="AE1742" s="60" t="str">
        <f aca="false">IF(AB1742&lt;S1742,"SIM","NÃO")</f>
        <v>NÃO</v>
      </c>
      <c r="AF1742" s="60" t="n">
        <v>13</v>
      </c>
      <c r="AG1742" s="60" t="n">
        <v>10</v>
      </c>
      <c r="AH1742" s="60" t="s">
        <v>382</v>
      </c>
      <c r="AI1742" s="61" t="n">
        <f aca="false">(T1742*(1-Painel!$C$40)+U1742+V1742+Painel!$C$41+Painel!$C$42*CEILING(G1742/100,1)+Painel!$C$43*CEILING(G1742,1)+Z1742)/(1-Resumo!$B$5)</f>
        <v>116.919897727273</v>
      </c>
      <c r="AJ1742" s="60" t="str">
        <f aca="false">IF(AI1742&lt;S1742,"SIM","NÃO")</f>
        <v>SIM</v>
      </c>
    </row>
    <row r="1743" customFormat="false" ht="15" hidden="false" customHeight="false" outlineLevel="0" collapsed="false">
      <c r="A1743" s="59" t="n">
        <v>46276.9223263889</v>
      </c>
      <c r="B1743" s="60" t="s">
        <v>1953</v>
      </c>
      <c r="C1743" s="60" t="n">
        <v>26520332</v>
      </c>
      <c r="D1743" s="60" t="s">
        <v>284</v>
      </c>
      <c r="E1743" s="60" t="s">
        <v>23</v>
      </c>
      <c r="F1743" s="60" t="s">
        <v>233</v>
      </c>
      <c r="G1743" s="60" t="n">
        <v>27</v>
      </c>
      <c r="H1743" s="61" t="n">
        <v>349.99</v>
      </c>
      <c r="I1743" s="61" t="n">
        <v>58.8</v>
      </c>
      <c r="J1743" s="61" t="n">
        <f aca="false">H1743*Resumo!$C$6</f>
        <v>0</v>
      </c>
      <c r="K1743" s="61" t="n">
        <f aca="false">H1743*Resumo!$C$7</f>
        <v>0.734979</v>
      </c>
      <c r="L1743" s="61" t="n">
        <f aca="false">H1743*Resumo!$C$8</f>
        <v>0.734979</v>
      </c>
      <c r="M1743" s="61" t="n">
        <f aca="false">Resumo!$C$10*CEILING(G1743/100,1)</f>
        <v>1.05</v>
      </c>
      <c r="N1743" s="61" t="n">
        <f aca="false">Resumo!$C$9</f>
        <v>0</v>
      </c>
      <c r="O1743" s="61" t="n">
        <f aca="false">Resumo!$C$13</f>
        <v>13.55</v>
      </c>
      <c r="P1743" s="61" t="n">
        <f aca="false">Resumo!$C$14*CEILING(G1743,1)</f>
        <v>12.15</v>
      </c>
      <c r="Q1743" s="61" t="n">
        <f aca="false">SUM(I1743:P1743)*Resumo!$C$11</f>
        <v>0</v>
      </c>
      <c r="R1743" s="61" t="n">
        <f aca="false">SUM(I1743:Q1743)</f>
        <v>87.019958</v>
      </c>
      <c r="S1743" s="61" t="n">
        <f aca="false">R1743/(1-Resumo!$C$5)</f>
        <v>98.8863159090909</v>
      </c>
      <c r="T1743" s="61" t="n">
        <v>82.21</v>
      </c>
      <c r="U1743" s="61" t="n">
        <f aca="false">H1743*Resumo!$B$6</f>
        <v>0.34999</v>
      </c>
      <c r="V1743" s="61" t="n">
        <f aca="false">H1743*Resumo!$B$7</f>
        <v>0.69998</v>
      </c>
      <c r="W1743" s="61" t="n">
        <f aca="false">Resumo!$B$9</f>
        <v>1</v>
      </c>
      <c r="X1743" s="61" t="n">
        <f aca="false">Resumo!$B$10*CEILING(G1743/100,1)</f>
        <v>4.5</v>
      </c>
      <c r="Y1743" s="61" t="n">
        <f aca="false">Resumo!$B$12*CEILING(G1743,1)</f>
        <v>1.62</v>
      </c>
      <c r="Z1743" s="61" t="n">
        <f aca="false">Resumo!$B$14*CEILING(G1743,1)</f>
        <v>12.15</v>
      </c>
      <c r="AA1743" s="61" t="n">
        <f aca="false">SUM(T1743:Z1743)</f>
        <v>102.52997</v>
      </c>
      <c r="AB1743" s="61" t="n">
        <f aca="false">AA1743/(1-Resumo!$B$5)</f>
        <v>116.511329545455</v>
      </c>
      <c r="AC1743" s="61" t="n">
        <f aca="false">AB1743-S1743</f>
        <v>17.6250136363636</v>
      </c>
      <c r="AD1743" s="62" t="n">
        <f aca="false">AB1743/S1743-1</f>
        <v>0.178235112455467</v>
      </c>
      <c r="AE1743" s="60" t="str">
        <f aca="false">IF(AB1743&lt;S1743,"SIM","NÃO")</f>
        <v>NÃO</v>
      </c>
      <c r="AF1743" s="60" t="n">
        <v>2</v>
      </c>
      <c r="AG1743" s="60" t="n">
        <v>5</v>
      </c>
      <c r="AH1743" s="60" t="s">
        <v>385</v>
      </c>
      <c r="AI1743" s="61" t="n">
        <f aca="false">(T1743*(1-Painel!$C$40)+U1743+V1743+Painel!$C$41+Painel!$C$42*CEILING(G1743/100,1)+Painel!$C$43*CEILING(G1743,1)+Z1743)/(1-Resumo!$B$5)</f>
        <v>79.9212159090909</v>
      </c>
      <c r="AJ1743" s="60" t="str">
        <f aca="false">IF(AI1743&lt;S1743,"SIM","NÃO")</f>
        <v>SIM</v>
      </c>
    </row>
    <row r="1744" customFormat="false" ht="15" hidden="false" customHeight="false" outlineLevel="0" collapsed="false">
      <c r="A1744" s="59" t="n">
        <v>46277.011099537</v>
      </c>
      <c r="B1744" s="60" t="s">
        <v>1954</v>
      </c>
      <c r="C1744" s="60" t="n">
        <v>24715316</v>
      </c>
      <c r="D1744" s="60" t="s">
        <v>47</v>
      </c>
      <c r="E1744" s="60" t="s">
        <v>23</v>
      </c>
      <c r="F1744" s="60" t="s">
        <v>236</v>
      </c>
      <c r="G1744" s="60" t="n">
        <v>58.6</v>
      </c>
      <c r="H1744" s="61" t="n">
        <v>658.98</v>
      </c>
      <c r="I1744" s="61" t="n">
        <v>70.98</v>
      </c>
      <c r="J1744" s="61" t="n">
        <f aca="false">H1744*Resumo!$C$6</f>
        <v>0</v>
      </c>
      <c r="K1744" s="61" t="n">
        <f aca="false">H1744*Resumo!$C$7</f>
        <v>1.383858</v>
      </c>
      <c r="L1744" s="61" t="n">
        <f aca="false">H1744*Resumo!$C$8</f>
        <v>1.383858</v>
      </c>
      <c r="M1744" s="61" t="n">
        <f aca="false">Resumo!$C$10*CEILING(G1744/100,1)</f>
        <v>1.05</v>
      </c>
      <c r="N1744" s="61" t="n">
        <f aca="false">Resumo!$C$9</f>
        <v>0</v>
      </c>
      <c r="O1744" s="61" t="n">
        <f aca="false">Resumo!$C$13</f>
        <v>13.55</v>
      </c>
      <c r="P1744" s="61" t="n">
        <f aca="false">Resumo!$C$14*CEILING(G1744,1)</f>
        <v>26.55</v>
      </c>
      <c r="Q1744" s="61" t="n">
        <f aca="false">SUM(I1744:P1744)*Resumo!$C$11</f>
        <v>0</v>
      </c>
      <c r="R1744" s="61" t="n">
        <f aca="false">SUM(I1744:Q1744)</f>
        <v>114.897716</v>
      </c>
      <c r="S1744" s="61" t="n">
        <f aca="false">R1744/(1-Resumo!$C$5)</f>
        <v>130.565586363636</v>
      </c>
      <c r="T1744" s="61" t="n">
        <v>128.14</v>
      </c>
      <c r="U1744" s="61" t="n">
        <f aca="false">H1744*Resumo!$B$6</f>
        <v>0.65898</v>
      </c>
      <c r="V1744" s="61" t="n">
        <f aca="false">H1744*Resumo!$B$7</f>
        <v>1.31796</v>
      </c>
      <c r="W1744" s="61" t="n">
        <f aca="false">Resumo!$B$9</f>
        <v>1</v>
      </c>
      <c r="X1744" s="61" t="n">
        <f aca="false">Resumo!$B$10*CEILING(G1744/100,1)</f>
        <v>4.5</v>
      </c>
      <c r="Y1744" s="61" t="n">
        <f aca="false">Resumo!$B$12*CEILING(G1744,1)</f>
        <v>3.54</v>
      </c>
      <c r="Z1744" s="61" t="n">
        <f aca="false">Resumo!$B$14*CEILING(G1744,1)</f>
        <v>26.55</v>
      </c>
      <c r="AA1744" s="61" t="n">
        <f aca="false">SUM(T1744:Z1744)</f>
        <v>165.70694</v>
      </c>
      <c r="AB1744" s="61" t="n">
        <f aca="false">AA1744/(1-Resumo!$B$5)</f>
        <v>188.303340909091</v>
      </c>
      <c r="AC1744" s="61" t="n">
        <f aca="false">AB1744-S1744</f>
        <v>57.7377545454546</v>
      </c>
      <c r="AD1744" s="62" t="n">
        <f aca="false">AB1744/S1744-1</f>
        <v>0.44221265460142</v>
      </c>
      <c r="AE1744" s="60" t="str">
        <f aca="false">IF(AB1744&lt;S1744,"SIM","NÃO")</f>
        <v>NÃO</v>
      </c>
      <c r="AF1744" s="60" t="n">
        <v>2</v>
      </c>
      <c r="AG1744" s="60" t="n">
        <v>7</v>
      </c>
      <c r="AH1744" s="60" t="s">
        <v>382</v>
      </c>
      <c r="AI1744" s="61" t="n">
        <f aca="false">(T1744*(1-Painel!$C$40)+U1744+V1744+Painel!$C$41+Painel!$C$42*CEILING(G1744/100,1)+Painel!$C$43*CEILING(G1744,1)+Z1744)/(1-Resumo!$B$5)</f>
        <v>132.307659090909</v>
      </c>
      <c r="AJ1744" s="60" t="str">
        <f aca="false">IF(AI1744&lt;S1744,"SIM","NÃO")</f>
        <v>NÃO</v>
      </c>
    </row>
    <row r="1745" customFormat="false" ht="15" hidden="false" customHeight="false" outlineLevel="0" collapsed="false">
      <c r="A1745" s="59" t="n">
        <v>46277.0288078704</v>
      </c>
      <c r="B1745" s="60" t="s">
        <v>1955</v>
      </c>
      <c r="C1745" s="60" t="n">
        <v>27273480</v>
      </c>
      <c r="D1745" s="60" t="s">
        <v>217</v>
      </c>
      <c r="E1745" s="60" t="s">
        <v>24</v>
      </c>
      <c r="F1745" s="60" t="s">
        <v>235</v>
      </c>
      <c r="G1745" s="60" t="n">
        <v>41.6</v>
      </c>
      <c r="H1745" s="61" t="n">
        <v>523.75</v>
      </c>
      <c r="I1745" s="61" t="n">
        <v>77.7</v>
      </c>
      <c r="J1745" s="61" t="n">
        <f aca="false">H1745*Resumo!$C$6</f>
        <v>0</v>
      </c>
      <c r="K1745" s="61" t="n">
        <f aca="false">H1745*Resumo!$C$7</f>
        <v>1.099875</v>
      </c>
      <c r="L1745" s="61" t="n">
        <f aca="false">H1745*Resumo!$C$8</f>
        <v>1.099875</v>
      </c>
      <c r="M1745" s="61" t="n">
        <f aca="false">Resumo!$C$10*CEILING(G1745/100,1)</f>
        <v>1.05</v>
      </c>
      <c r="N1745" s="61" t="n">
        <f aca="false">Resumo!$C$9</f>
        <v>0</v>
      </c>
      <c r="O1745" s="61" t="n">
        <f aca="false">Resumo!$C$13</f>
        <v>13.55</v>
      </c>
      <c r="P1745" s="61" t="n">
        <f aca="false">Resumo!$C$14*CEILING(G1745,1)</f>
        <v>18.9</v>
      </c>
      <c r="Q1745" s="61" t="n">
        <f aca="false">SUM(I1745:P1745)*Resumo!$C$11</f>
        <v>0</v>
      </c>
      <c r="R1745" s="61" t="n">
        <f aca="false">SUM(I1745:Q1745)</f>
        <v>113.39975</v>
      </c>
      <c r="S1745" s="61" t="n">
        <f aca="false">R1745/(1-Resumo!$C$5)</f>
        <v>128.863352272727</v>
      </c>
      <c r="T1745" s="61" t="n">
        <v>124.38</v>
      </c>
      <c r="U1745" s="61" t="n">
        <f aca="false">H1745*Resumo!$B$6</f>
        <v>0.52375</v>
      </c>
      <c r="V1745" s="61" t="n">
        <f aca="false">H1745*Resumo!$B$7</f>
        <v>1.0475</v>
      </c>
      <c r="W1745" s="61" t="n">
        <f aca="false">Resumo!$B$9</f>
        <v>1</v>
      </c>
      <c r="X1745" s="61" t="n">
        <f aca="false">Resumo!$B$10*CEILING(G1745/100,1)</f>
        <v>4.5</v>
      </c>
      <c r="Y1745" s="61" t="n">
        <f aca="false">Resumo!$B$12*CEILING(G1745,1)</f>
        <v>2.52</v>
      </c>
      <c r="Z1745" s="61" t="n">
        <f aca="false">Resumo!$B$14*CEILING(G1745,1)</f>
        <v>18.9</v>
      </c>
      <c r="AA1745" s="61" t="n">
        <f aca="false">SUM(T1745:Z1745)</f>
        <v>152.87125</v>
      </c>
      <c r="AB1745" s="61" t="n">
        <f aca="false">AA1745/(1-Resumo!$B$5)</f>
        <v>173.717329545455</v>
      </c>
      <c r="AC1745" s="61" t="n">
        <f aca="false">AB1745-S1745</f>
        <v>44.8539772727273</v>
      </c>
      <c r="AD1745" s="62" t="n">
        <f aca="false">AB1745/S1745-1</f>
        <v>0.348073959598676</v>
      </c>
      <c r="AE1745" s="60" t="str">
        <f aca="false">IF(AB1745&lt;S1745,"SIM","NÃO")</f>
        <v>NÃO</v>
      </c>
      <c r="AF1745" s="60" t="n">
        <v>13</v>
      </c>
      <c r="AG1745" s="60" t="n">
        <v>10</v>
      </c>
      <c r="AH1745" s="60" t="s">
        <v>382</v>
      </c>
      <c r="AI1745" s="61" t="n">
        <f aca="false">(T1745*(1-Painel!$C$40)+U1745+V1745+Painel!$C$41+Painel!$C$42*CEILING(G1745/100,1)+Painel!$C$43*CEILING(G1745,1)+Z1745)/(1-Resumo!$B$5)</f>
        <v>120.290738636364</v>
      </c>
      <c r="AJ1745" s="60" t="str">
        <f aca="false">IF(AI1745&lt;S1745,"SIM","NÃO")</f>
        <v>SIM</v>
      </c>
    </row>
    <row r="1746" customFormat="false" ht="15" hidden="false" customHeight="false" outlineLevel="0" collapsed="false">
      <c r="A1746" s="59" t="n">
        <v>46277.3816666667</v>
      </c>
      <c r="B1746" s="60" t="s">
        <v>1956</v>
      </c>
      <c r="C1746" s="60" t="n">
        <v>27943210</v>
      </c>
      <c r="D1746" s="60" t="s">
        <v>53</v>
      </c>
      <c r="E1746" s="60" t="s">
        <v>24</v>
      </c>
      <c r="F1746" s="60" t="s">
        <v>234</v>
      </c>
      <c r="G1746" s="60" t="n">
        <v>36.9</v>
      </c>
      <c r="H1746" s="61" t="n">
        <v>373.99</v>
      </c>
      <c r="I1746" s="61" t="n">
        <v>74.97</v>
      </c>
      <c r="J1746" s="61" t="n">
        <f aca="false">H1746*Resumo!$C$6</f>
        <v>0</v>
      </c>
      <c r="K1746" s="61" t="n">
        <f aca="false">H1746*Resumo!$C$7</f>
        <v>0.785379</v>
      </c>
      <c r="L1746" s="61" t="n">
        <f aca="false">H1746*Resumo!$C$8</f>
        <v>0.785379</v>
      </c>
      <c r="M1746" s="61" t="n">
        <f aca="false">Resumo!$C$10*CEILING(G1746/100,1)</f>
        <v>1.05</v>
      </c>
      <c r="N1746" s="61" t="n">
        <f aca="false">Resumo!$C$9</f>
        <v>0</v>
      </c>
      <c r="O1746" s="61" t="n">
        <f aca="false">Resumo!$C$13</f>
        <v>13.55</v>
      </c>
      <c r="P1746" s="61" t="n">
        <f aca="false">Resumo!$C$14*CEILING(G1746,1)</f>
        <v>16.65</v>
      </c>
      <c r="Q1746" s="61" t="n">
        <f aca="false">SUM(I1746:P1746)*Resumo!$C$11</f>
        <v>0</v>
      </c>
      <c r="R1746" s="61" t="n">
        <f aca="false">SUM(I1746:Q1746)</f>
        <v>107.790758</v>
      </c>
      <c r="S1746" s="61" t="n">
        <f aca="false">R1746/(1-Resumo!$C$5)</f>
        <v>122.489497727273</v>
      </c>
      <c r="T1746" s="61" t="n">
        <v>143.04</v>
      </c>
      <c r="U1746" s="61" t="n">
        <f aca="false">H1746*Resumo!$B$6</f>
        <v>0.37399</v>
      </c>
      <c r="V1746" s="61" t="n">
        <f aca="false">H1746*Resumo!$B$7</f>
        <v>0.74798</v>
      </c>
      <c r="W1746" s="61" t="n">
        <f aca="false">Resumo!$B$9</f>
        <v>1</v>
      </c>
      <c r="X1746" s="61" t="n">
        <f aca="false">Resumo!$B$10*CEILING(G1746/100,1)</f>
        <v>4.5</v>
      </c>
      <c r="Y1746" s="61" t="n">
        <f aca="false">Resumo!$B$12*CEILING(G1746,1)</f>
        <v>2.22</v>
      </c>
      <c r="Z1746" s="61" t="n">
        <f aca="false">Resumo!$B$14*CEILING(G1746,1)</f>
        <v>16.65</v>
      </c>
      <c r="AA1746" s="61" t="n">
        <f aca="false">SUM(T1746:Z1746)</f>
        <v>168.53197</v>
      </c>
      <c r="AB1746" s="61" t="n">
        <f aca="false">AA1746/(1-Resumo!$B$5)</f>
        <v>191.513602272727</v>
      </c>
      <c r="AC1746" s="61" t="n">
        <f aca="false">AB1746-S1746</f>
        <v>69.0241045454545</v>
      </c>
      <c r="AD1746" s="62" t="n">
        <f aca="false">AB1746/S1746-1</f>
        <v>0.563510389267325</v>
      </c>
      <c r="AE1746" s="60" t="str">
        <f aca="false">IF(AB1746&lt;S1746,"SIM","NÃO")</f>
        <v>NÃO</v>
      </c>
      <c r="AF1746" s="60" t="n">
        <v>13</v>
      </c>
      <c r="AG1746" s="60" t="n">
        <v>11</v>
      </c>
      <c r="AH1746" s="60" t="s">
        <v>382</v>
      </c>
      <c r="AI1746" s="61" t="n">
        <f aca="false">(T1746*(1-Painel!$C$40)+U1746+V1746+Painel!$C$41+Painel!$C$42*CEILING(G1746/100,1)+Painel!$C$43*CEILING(G1746,1)+Z1746)/(1-Resumo!$B$5)</f>
        <v>131.430420454545</v>
      </c>
      <c r="AJ1746" s="60" t="str">
        <f aca="false">IF(AI1746&lt;S1746,"SIM","NÃO")</f>
        <v>NÃO</v>
      </c>
    </row>
    <row r="1747" customFormat="false" ht="15" hidden="false" customHeight="false" outlineLevel="0" collapsed="false">
      <c r="A1747" s="59" t="n">
        <v>46277.4853125</v>
      </c>
      <c r="B1747" s="60" t="s">
        <v>1678</v>
      </c>
      <c r="C1747" s="60" t="n">
        <v>22031071</v>
      </c>
      <c r="D1747" s="60" t="s">
        <v>46</v>
      </c>
      <c r="E1747" s="60" t="s">
        <v>22</v>
      </c>
      <c r="F1747" s="60" t="s">
        <v>236</v>
      </c>
      <c r="G1747" s="60" t="n">
        <v>52.3</v>
      </c>
      <c r="H1747" s="61" t="n">
        <v>645.14</v>
      </c>
      <c r="I1747" s="61" t="n">
        <v>58.6</v>
      </c>
      <c r="J1747" s="61" t="n">
        <f aca="false">H1747*Resumo!$C$6</f>
        <v>0</v>
      </c>
      <c r="K1747" s="61" t="n">
        <f aca="false">H1747*Resumo!$C$7</f>
        <v>1.354794</v>
      </c>
      <c r="L1747" s="61" t="n">
        <f aca="false">H1747*Resumo!$C$8</f>
        <v>1.354794</v>
      </c>
      <c r="M1747" s="61" t="n">
        <f aca="false">Resumo!$C$10*CEILING(G1747/100,1)</f>
        <v>1.05</v>
      </c>
      <c r="N1747" s="61" t="n">
        <f aca="false">Resumo!$C$9</f>
        <v>0</v>
      </c>
      <c r="O1747" s="61" t="n">
        <f aca="false">Resumo!$C$13</f>
        <v>13.55</v>
      </c>
      <c r="P1747" s="61" t="n">
        <f aca="false">Resumo!$C$14*CEILING(G1747,1)</f>
        <v>23.85</v>
      </c>
      <c r="Q1747" s="61" t="n">
        <f aca="false">SUM(I1747:P1747)*Resumo!$C$11</f>
        <v>0</v>
      </c>
      <c r="R1747" s="61" t="n">
        <f aca="false">SUM(I1747:Q1747)</f>
        <v>99.759588</v>
      </c>
      <c r="S1747" s="61" t="n">
        <f aca="false">R1747/(1-Resumo!$C$5)</f>
        <v>113.363168181818</v>
      </c>
      <c r="T1747" s="61" t="n">
        <v>112.3</v>
      </c>
      <c r="U1747" s="61" t="n">
        <f aca="false">H1747*Resumo!$B$6</f>
        <v>0.64514</v>
      </c>
      <c r="V1747" s="61" t="n">
        <f aca="false">H1747*Resumo!$B$7</f>
        <v>1.29028</v>
      </c>
      <c r="W1747" s="61" t="n">
        <f aca="false">Resumo!$B$9</f>
        <v>1</v>
      </c>
      <c r="X1747" s="61" t="n">
        <f aca="false">Resumo!$B$10*CEILING(G1747/100,1)</f>
        <v>4.5</v>
      </c>
      <c r="Y1747" s="61" t="n">
        <f aca="false">Resumo!$B$12*CEILING(G1747,1)</f>
        <v>3.18</v>
      </c>
      <c r="Z1747" s="61" t="n">
        <f aca="false">Resumo!$B$14*CEILING(G1747,1)</f>
        <v>23.85</v>
      </c>
      <c r="AA1747" s="61" t="n">
        <f aca="false">SUM(T1747:Z1747)</f>
        <v>146.76542</v>
      </c>
      <c r="AB1747" s="61" t="n">
        <f aca="false">AA1747/(1-Resumo!$B$5)</f>
        <v>166.778886363636</v>
      </c>
      <c r="AC1747" s="61" t="n">
        <f aca="false">AB1747-S1747</f>
        <v>53.4157181818182</v>
      </c>
      <c r="AD1747" s="62" t="n">
        <f aca="false">AB1747/S1747-1</f>
        <v>0.471191119995403</v>
      </c>
      <c r="AE1747" s="60" t="str">
        <f aca="false">IF(AB1747&lt;S1747,"SIM","NÃO")</f>
        <v>NÃO</v>
      </c>
      <c r="AF1747" s="60" t="n">
        <v>2</v>
      </c>
      <c r="AG1747" s="60" t="n">
        <v>5</v>
      </c>
      <c r="AH1747" s="60" t="s">
        <v>382</v>
      </c>
      <c r="AI1747" s="61" t="n">
        <f aca="false">(T1747*(1-Painel!$C$40)+U1747+V1747+Painel!$C$41+Painel!$C$42*CEILING(G1747/100,1)+Painel!$C$43*CEILING(G1747,1)+Z1747)/(1-Resumo!$B$5)</f>
        <v>117.132295454545</v>
      </c>
      <c r="AJ1747" s="60" t="str">
        <f aca="false">IF(AI1747&lt;S1747,"SIM","NÃO")</f>
        <v>NÃO</v>
      </c>
    </row>
    <row r="1748" customFormat="false" ht="15" hidden="false" customHeight="false" outlineLevel="0" collapsed="false">
      <c r="A1748" s="59" t="n">
        <v>46277.5101736111</v>
      </c>
      <c r="B1748" s="60" t="s">
        <v>1957</v>
      </c>
      <c r="C1748" s="60" t="n">
        <v>27948075</v>
      </c>
      <c r="D1748" s="60" t="s">
        <v>53</v>
      </c>
      <c r="E1748" s="60" t="s">
        <v>24</v>
      </c>
      <c r="F1748" s="60" t="s">
        <v>235</v>
      </c>
      <c r="G1748" s="60" t="n">
        <v>41</v>
      </c>
      <c r="H1748" s="61" t="n">
        <v>559.99</v>
      </c>
      <c r="I1748" s="61" t="n">
        <v>77.7</v>
      </c>
      <c r="J1748" s="61" t="n">
        <f aca="false">H1748*Resumo!$C$6</f>
        <v>0</v>
      </c>
      <c r="K1748" s="61" t="n">
        <f aca="false">H1748*Resumo!$C$7</f>
        <v>1.175979</v>
      </c>
      <c r="L1748" s="61" t="n">
        <f aca="false">H1748*Resumo!$C$8</f>
        <v>1.175979</v>
      </c>
      <c r="M1748" s="61" t="n">
        <f aca="false">Resumo!$C$10*CEILING(G1748/100,1)</f>
        <v>1.05</v>
      </c>
      <c r="N1748" s="61" t="n">
        <f aca="false">Resumo!$C$9</f>
        <v>0</v>
      </c>
      <c r="O1748" s="61" t="n">
        <f aca="false">Resumo!$C$13</f>
        <v>13.55</v>
      </c>
      <c r="P1748" s="61" t="n">
        <f aca="false">Resumo!$C$14*CEILING(G1748,1)</f>
        <v>18.45</v>
      </c>
      <c r="Q1748" s="61" t="n">
        <f aca="false">SUM(I1748:P1748)*Resumo!$C$11</f>
        <v>0</v>
      </c>
      <c r="R1748" s="61" t="n">
        <f aca="false">SUM(I1748:Q1748)</f>
        <v>113.101958</v>
      </c>
      <c r="S1748" s="61" t="n">
        <f aca="false">R1748/(1-Resumo!$C$5)</f>
        <v>128.524952272727</v>
      </c>
      <c r="T1748" s="61" t="n">
        <v>152.54</v>
      </c>
      <c r="U1748" s="61" t="n">
        <f aca="false">H1748*Resumo!$B$6</f>
        <v>0.55999</v>
      </c>
      <c r="V1748" s="61" t="n">
        <f aca="false">H1748*Resumo!$B$7</f>
        <v>1.11998</v>
      </c>
      <c r="W1748" s="61" t="n">
        <f aca="false">Resumo!$B$9</f>
        <v>1</v>
      </c>
      <c r="X1748" s="61" t="n">
        <f aca="false">Resumo!$B$10*CEILING(G1748/100,1)</f>
        <v>4.5</v>
      </c>
      <c r="Y1748" s="61" t="n">
        <f aca="false">Resumo!$B$12*CEILING(G1748,1)</f>
        <v>2.46</v>
      </c>
      <c r="Z1748" s="61" t="n">
        <f aca="false">Resumo!$B$14*CEILING(G1748,1)</f>
        <v>18.45</v>
      </c>
      <c r="AA1748" s="61" t="n">
        <f aca="false">SUM(T1748:Z1748)</f>
        <v>180.62997</v>
      </c>
      <c r="AB1748" s="61" t="n">
        <f aca="false">AA1748/(1-Resumo!$B$5)</f>
        <v>205.261329545455</v>
      </c>
      <c r="AC1748" s="61" t="n">
        <f aca="false">AB1748-S1748</f>
        <v>76.7363772727272</v>
      </c>
      <c r="AD1748" s="62" t="n">
        <f aca="false">AB1748/S1748-1</f>
        <v>0.597054314479683</v>
      </c>
      <c r="AE1748" s="60" t="str">
        <f aca="false">IF(AB1748&lt;S1748,"SIM","NÃO")</f>
        <v>NÃO</v>
      </c>
      <c r="AF1748" s="60" t="n">
        <v>13</v>
      </c>
      <c r="AG1748" s="60" t="n">
        <v>11</v>
      </c>
      <c r="AH1748" s="60" t="s">
        <v>382</v>
      </c>
      <c r="AI1748" s="61" t="n">
        <f aca="false">(T1748*(1-Painel!$C$40)+U1748+V1748+Painel!$C$41+Painel!$C$42*CEILING(G1748/100,1)+Painel!$C$43*CEILING(G1748,1)+Z1748)/(1-Resumo!$B$5)</f>
        <v>141.342920454545</v>
      </c>
      <c r="AJ1748" s="60" t="str">
        <f aca="false">IF(AI1748&lt;S1748,"SIM","NÃO")</f>
        <v>NÃO</v>
      </c>
    </row>
    <row r="1749" customFormat="false" ht="15" hidden="false" customHeight="false" outlineLevel="0" collapsed="false">
      <c r="A1749" s="59" t="n">
        <v>46277.5209143519</v>
      </c>
      <c r="B1749" s="60" t="s">
        <v>1958</v>
      </c>
      <c r="C1749" s="60" t="n">
        <v>27251085</v>
      </c>
      <c r="D1749" s="60" t="s">
        <v>217</v>
      </c>
      <c r="E1749" s="60" t="s">
        <v>24</v>
      </c>
      <c r="F1749" s="60" t="s">
        <v>233</v>
      </c>
      <c r="G1749" s="60" t="n">
        <v>27.6</v>
      </c>
      <c r="H1749" s="61" t="n">
        <v>552.49</v>
      </c>
      <c r="I1749" s="61" t="n">
        <v>65.63</v>
      </c>
      <c r="J1749" s="61" t="n">
        <f aca="false">H1749*Resumo!$C$6</f>
        <v>0</v>
      </c>
      <c r="K1749" s="61" t="n">
        <f aca="false">H1749*Resumo!$C$7</f>
        <v>1.160229</v>
      </c>
      <c r="L1749" s="61" t="n">
        <f aca="false">H1749*Resumo!$C$8</f>
        <v>1.160229</v>
      </c>
      <c r="M1749" s="61" t="n">
        <f aca="false">Resumo!$C$10*CEILING(G1749/100,1)</f>
        <v>1.05</v>
      </c>
      <c r="N1749" s="61" t="n">
        <f aca="false">Resumo!$C$9</f>
        <v>0</v>
      </c>
      <c r="O1749" s="61" t="n">
        <f aca="false">Resumo!$C$13</f>
        <v>13.55</v>
      </c>
      <c r="P1749" s="61" t="n">
        <f aca="false">Resumo!$C$14*CEILING(G1749,1)</f>
        <v>12.6</v>
      </c>
      <c r="Q1749" s="61" t="n">
        <f aca="false">SUM(I1749:P1749)*Resumo!$C$11</f>
        <v>0</v>
      </c>
      <c r="R1749" s="61" t="n">
        <f aca="false">SUM(I1749:Q1749)</f>
        <v>95.150458</v>
      </c>
      <c r="S1749" s="61" t="n">
        <f aca="false">R1749/(1-Resumo!$C$5)</f>
        <v>108.125520454545</v>
      </c>
      <c r="T1749" s="61" t="n">
        <v>108.83</v>
      </c>
      <c r="U1749" s="61" t="n">
        <f aca="false">H1749*Resumo!$B$6</f>
        <v>0.55249</v>
      </c>
      <c r="V1749" s="61" t="n">
        <f aca="false">H1749*Resumo!$B$7</f>
        <v>1.10498</v>
      </c>
      <c r="W1749" s="61" t="n">
        <f aca="false">Resumo!$B$9</f>
        <v>1</v>
      </c>
      <c r="X1749" s="61" t="n">
        <f aca="false">Resumo!$B$10*CEILING(G1749/100,1)</f>
        <v>4.5</v>
      </c>
      <c r="Y1749" s="61" t="n">
        <f aca="false">Resumo!$B$12*CEILING(G1749,1)</f>
        <v>1.68</v>
      </c>
      <c r="Z1749" s="61" t="n">
        <f aca="false">Resumo!$B$14*CEILING(G1749,1)</f>
        <v>12.6</v>
      </c>
      <c r="AA1749" s="61" t="n">
        <f aca="false">SUM(T1749:Z1749)</f>
        <v>130.26747</v>
      </c>
      <c r="AB1749" s="61" t="n">
        <f aca="false">AA1749/(1-Resumo!$B$5)</f>
        <v>148.031215909091</v>
      </c>
      <c r="AC1749" s="61" t="n">
        <f aca="false">AB1749-S1749</f>
        <v>39.9056954545455</v>
      </c>
      <c r="AD1749" s="62" t="n">
        <f aca="false">AB1749/S1749-1</f>
        <v>0.369068239272165</v>
      </c>
      <c r="AE1749" s="60" t="str">
        <f aca="false">IF(AB1749&lt;S1749,"SIM","NÃO")</f>
        <v>NÃO</v>
      </c>
      <c r="AF1749" s="60" t="n">
        <v>13</v>
      </c>
      <c r="AG1749" s="60" t="n">
        <v>10</v>
      </c>
      <c r="AH1749" s="60" t="s">
        <v>382</v>
      </c>
      <c r="AI1749" s="61" t="n">
        <f aca="false">(T1749*(1-Painel!$C$40)+U1749+V1749+Painel!$C$41+Painel!$C$42*CEILING(G1749/100,1)+Painel!$C$43*CEILING(G1749,1)+Z1749)/(1-Resumo!$B$5)</f>
        <v>101.390420454545</v>
      </c>
      <c r="AJ1749" s="60" t="str">
        <f aca="false">IF(AI1749&lt;S1749,"SIM","NÃO")</f>
        <v>SIM</v>
      </c>
    </row>
    <row r="1750" customFormat="false" ht="15" hidden="false" customHeight="false" outlineLevel="0" collapsed="false">
      <c r="A1750" s="59" t="n">
        <v>46277.5400115741</v>
      </c>
      <c r="B1750" s="60" t="s">
        <v>1959</v>
      </c>
      <c r="C1750" s="60" t="n">
        <v>22723320</v>
      </c>
      <c r="D1750" s="60" t="s">
        <v>46</v>
      </c>
      <c r="E1750" s="60" t="s">
        <v>22</v>
      </c>
      <c r="F1750" s="60" t="s">
        <v>236</v>
      </c>
      <c r="G1750" s="60" t="n">
        <v>56.6</v>
      </c>
      <c r="H1750" s="61" t="n">
        <v>1249.99</v>
      </c>
      <c r="I1750" s="61" t="n">
        <v>58.6</v>
      </c>
      <c r="J1750" s="61" t="n">
        <f aca="false">H1750*Resumo!$C$6</f>
        <v>0</v>
      </c>
      <c r="K1750" s="61" t="n">
        <f aca="false">H1750*Resumo!$C$7</f>
        <v>2.624979</v>
      </c>
      <c r="L1750" s="61" t="n">
        <f aca="false">H1750*Resumo!$C$8</f>
        <v>2.624979</v>
      </c>
      <c r="M1750" s="61" t="n">
        <f aca="false">Resumo!$C$10*CEILING(G1750/100,1)</f>
        <v>1.05</v>
      </c>
      <c r="N1750" s="61" t="n">
        <f aca="false">Resumo!$C$9</f>
        <v>0</v>
      </c>
      <c r="O1750" s="61" t="n">
        <f aca="false">Resumo!$C$13</f>
        <v>13.55</v>
      </c>
      <c r="P1750" s="61" t="n">
        <f aca="false">Resumo!$C$14*CEILING(G1750,1)</f>
        <v>25.65</v>
      </c>
      <c r="Q1750" s="61" t="n">
        <f aca="false">SUM(I1750:P1750)*Resumo!$C$11</f>
        <v>0</v>
      </c>
      <c r="R1750" s="61" t="n">
        <f aca="false">SUM(I1750:Q1750)</f>
        <v>104.099958</v>
      </c>
      <c r="S1750" s="61" t="n">
        <f aca="false">R1750/(1-Resumo!$C$5)</f>
        <v>118.295406818182</v>
      </c>
      <c r="T1750" s="61" t="n">
        <v>112.3</v>
      </c>
      <c r="U1750" s="61" t="n">
        <f aca="false">H1750*Resumo!$B$6</f>
        <v>1.24999</v>
      </c>
      <c r="V1750" s="61" t="n">
        <f aca="false">H1750*Resumo!$B$7</f>
        <v>2.49998</v>
      </c>
      <c r="W1750" s="61" t="n">
        <f aca="false">Resumo!$B$9</f>
        <v>1</v>
      </c>
      <c r="X1750" s="61" t="n">
        <f aca="false">Resumo!$B$10*CEILING(G1750/100,1)</f>
        <v>4.5</v>
      </c>
      <c r="Y1750" s="61" t="n">
        <f aca="false">Resumo!$B$12*CEILING(G1750,1)</f>
        <v>3.42</v>
      </c>
      <c r="Z1750" s="61" t="n">
        <f aca="false">Resumo!$B$14*CEILING(G1750,1)</f>
        <v>25.65</v>
      </c>
      <c r="AA1750" s="61" t="n">
        <f aca="false">SUM(T1750:Z1750)</f>
        <v>150.61997</v>
      </c>
      <c r="AB1750" s="61" t="n">
        <f aca="false">AA1750/(1-Resumo!$B$5)</f>
        <v>171.159056818182</v>
      </c>
      <c r="AC1750" s="61" t="n">
        <f aca="false">AB1750-S1750</f>
        <v>52.86365</v>
      </c>
      <c r="AD1750" s="62" t="n">
        <f aca="false">AB1750/S1750-1</f>
        <v>0.446878297491724</v>
      </c>
      <c r="AE1750" s="60" t="str">
        <f aca="false">IF(AB1750&lt;S1750,"SIM","NÃO")</f>
        <v>NÃO</v>
      </c>
      <c r="AF1750" s="60" t="n">
        <v>2</v>
      </c>
      <c r="AG1750" s="60" t="n">
        <v>5</v>
      </c>
      <c r="AH1750" s="60" t="s">
        <v>382</v>
      </c>
      <c r="AI1750" s="61" t="n">
        <f aca="false">(T1750*(1-Painel!$C$40)+U1750+V1750+Painel!$C$41+Painel!$C$42*CEILING(G1750/100,1)+Painel!$C$43*CEILING(G1750,1)+Z1750)/(1-Resumo!$B$5)</f>
        <v>121.239738636364</v>
      </c>
      <c r="AJ1750" s="60" t="str">
        <f aca="false">IF(AI1750&lt;S1750,"SIM","NÃO")</f>
        <v>NÃO</v>
      </c>
    </row>
    <row r="1751" customFormat="false" ht="15" hidden="false" customHeight="false" outlineLevel="0" collapsed="false">
      <c r="A1751" s="59" t="n">
        <v>46277.6137152778</v>
      </c>
      <c r="B1751" s="60" t="s">
        <v>1960</v>
      </c>
      <c r="C1751" s="60" t="n">
        <v>20770150</v>
      </c>
      <c r="D1751" s="60" t="s">
        <v>46</v>
      </c>
      <c r="E1751" s="60" t="s">
        <v>22</v>
      </c>
      <c r="F1751" s="60" t="s">
        <v>232</v>
      </c>
      <c r="G1751" s="60" t="n">
        <v>13.18</v>
      </c>
      <c r="H1751" s="61" t="n">
        <v>239</v>
      </c>
      <c r="I1751" s="61" t="n">
        <v>33.42</v>
      </c>
      <c r="J1751" s="61" t="n">
        <f aca="false">H1751*Resumo!$C$6</f>
        <v>0</v>
      </c>
      <c r="K1751" s="61" t="n">
        <f aca="false">H1751*Resumo!$C$7</f>
        <v>0.5019</v>
      </c>
      <c r="L1751" s="61" t="n">
        <f aca="false">H1751*Resumo!$C$8</f>
        <v>0.5019</v>
      </c>
      <c r="M1751" s="61" t="n">
        <f aca="false">Resumo!$C$10*CEILING(G1751/100,1)</f>
        <v>1.05</v>
      </c>
      <c r="N1751" s="61" t="n">
        <f aca="false">Resumo!$C$9</f>
        <v>0</v>
      </c>
      <c r="O1751" s="61" t="n">
        <f aca="false">Resumo!$C$13</f>
        <v>13.55</v>
      </c>
      <c r="P1751" s="61" t="n">
        <f aca="false">Resumo!$C$14*CEILING(G1751,1)</f>
        <v>6.3</v>
      </c>
      <c r="Q1751" s="61" t="n">
        <f aca="false">SUM(I1751:P1751)*Resumo!$C$11</f>
        <v>0</v>
      </c>
      <c r="R1751" s="61" t="n">
        <f aca="false">SUM(I1751:Q1751)</f>
        <v>55.3238</v>
      </c>
      <c r="S1751" s="61" t="n">
        <f aca="false">R1751/(1-Resumo!$C$5)</f>
        <v>62.8679545454545</v>
      </c>
      <c r="T1751" s="61" t="n">
        <v>46.98</v>
      </c>
      <c r="U1751" s="61" t="n">
        <f aca="false">H1751*Resumo!$B$6</f>
        <v>0.239</v>
      </c>
      <c r="V1751" s="61" t="n">
        <f aca="false">H1751*Resumo!$B$7</f>
        <v>0.478</v>
      </c>
      <c r="W1751" s="61" t="n">
        <f aca="false">Resumo!$B$9</f>
        <v>1</v>
      </c>
      <c r="X1751" s="61" t="n">
        <f aca="false">Resumo!$B$10*CEILING(G1751/100,1)</f>
        <v>4.5</v>
      </c>
      <c r="Y1751" s="61" t="n">
        <f aca="false">Resumo!$B$12*CEILING(G1751,1)</f>
        <v>0.84</v>
      </c>
      <c r="Z1751" s="61" t="n">
        <f aca="false">Resumo!$B$14*CEILING(G1751,1)</f>
        <v>6.3</v>
      </c>
      <c r="AA1751" s="61" t="n">
        <f aca="false">SUM(T1751:Z1751)</f>
        <v>60.337</v>
      </c>
      <c r="AB1751" s="61" t="n">
        <f aca="false">AA1751/(1-Resumo!$B$5)</f>
        <v>68.5647727272727</v>
      </c>
      <c r="AC1751" s="61" t="n">
        <f aca="false">AB1751-S1751</f>
        <v>5.69681818181818</v>
      </c>
      <c r="AD1751" s="62" t="n">
        <f aca="false">AB1751/S1751-1</f>
        <v>0.0906156120873838</v>
      </c>
      <c r="AE1751" s="60" t="str">
        <f aca="false">IF(AB1751&lt;S1751,"SIM","NÃO")</f>
        <v>NÃO</v>
      </c>
      <c r="AF1751" s="60" t="n">
        <v>2</v>
      </c>
      <c r="AG1751" s="60" t="n">
        <v>5</v>
      </c>
      <c r="AH1751" s="60" t="s">
        <v>382</v>
      </c>
      <c r="AI1751" s="61" t="n">
        <f aca="false">(T1751*(1-Painel!$C$40)+U1751+V1751+Painel!$C$41+Painel!$C$42*CEILING(G1751/100,1)+Painel!$C$43*CEILING(G1751,1)+Z1751)/(1-Resumo!$B$5)</f>
        <v>46.0722727272727</v>
      </c>
      <c r="AJ1751" s="60" t="str">
        <f aca="false">IF(AI1751&lt;S1751,"SIM","NÃO")</f>
        <v>SIM</v>
      </c>
    </row>
    <row r="1752" customFormat="false" ht="15" hidden="false" customHeight="false" outlineLevel="0" collapsed="false">
      <c r="A1752" s="59" t="n">
        <v>46277.6144212963</v>
      </c>
      <c r="B1752" s="60" t="s">
        <v>1006</v>
      </c>
      <c r="C1752" s="60" t="n">
        <v>21215060</v>
      </c>
      <c r="D1752" s="60" t="s">
        <v>46</v>
      </c>
      <c r="E1752" s="60" t="s">
        <v>22</v>
      </c>
      <c r="F1752" s="60" t="s">
        <v>236</v>
      </c>
      <c r="G1752" s="60" t="n">
        <v>52.3</v>
      </c>
      <c r="H1752" s="61" t="n">
        <v>614.63</v>
      </c>
      <c r="I1752" s="61" t="n">
        <v>58.6</v>
      </c>
      <c r="J1752" s="61" t="n">
        <f aca="false">H1752*Resumo!$C$6</f>
        <v>0</v>
      </c>
      <c r="K1752" s="61" t="n">
        <f aca="false">H1752*Resumo!$C$7</f>
        <v>1.290723</v>
      </c>
      <c r="L1752" s="61" t="n">
        <f aca="false">H1752*Resumo!$C$8</f>
        <v>1.290723</v>
      </c>
      <c r="M1752" s="61" t="n">
        <f aca="false">Resumo!$C$10*CEILING(G1752/100,1)</f>
        <v>1.05</v>
      </c>
      <c r="N1752" s="61" t="n">
        <f aca="false">Resumo!$C$9</f>
        <v>0</v>
      </c>
      <c r="O1752" s="61" t="n">
        <f aca="false">Resumo!$C$13</f>
        <v>13.55</v>
      </c>
      <c r="P1752" s="61" t="n">
        <f aca="false">Resumo!$C$14*CEILING(G1752,1)</f>
        <v>23.85</v>
      </c>
      <c r="Q1752" s="61" t="n">
        <f aca="false">SUM(I1752:P1752)*Resumo!$C$11</f>
        <v>0</v>
      </c>
      <c r="R1752" s="61" t="n">
        <f aca="false">SUM(I1752:Q1752)</f>
        <v>99.631446</v>
      </c>
      <c r="S1752" s="61" t="n">
        <f aca="false">R1752/(1-Resumo!$C$5)</f>
        <v>113.217552272727</v>
      </c>
      <c r="T1752" s="61" t="n">
        <v>112.3</v>
      </c>
      <c r="U1752" s="61" t="n">
        <f aca="false">H1752*Resumo!$B$6</f>
        <v>0.61463</v>
      </c>
      <c r="V1752" s="61" t="n">
        <f aca="false">H1752*Resumo!$B$7</f>
        <v>1.22926</v>
      </c>
      <c r="W1752" s="61" t="n">
        <f aca="false">Resumo!$B$9</f>
        <v>1</v>
      </c>
      <c r="X1752" s="61" t="n">
        <f aca="false">Resumo!$B$10*CEILING(G1752/100,1)</f>
        <v>4.5</v>
      </c>
      <c r="Y1752" s="61" t="n">
        <f aca="false">Resumo!$B$12*CEILING(G1752,1)</f>
        <v>3.18</v>
      </c>
      <c r="Z1752" s="61" t="n">
        <f aca="false">Resumo!$B$14*CEILING(G1752,1)</f>
        <v>23.85</v>
      </c>
      <c r="AA1752" s="61" t="n">
        <f aca="false">SUM(T1752:Z1752)</f>
        <v>146.67389</v>
      </c>
      <c r="AB1752" s="61" t="n">
        <f aca="false">AA1752/(1-Resumo!$B$5)</f>
        <v>166.674875</v>
      </c>
      <c r="AC1752" s="61" t="n">
        <f aca="false">AB1752-S1752</f>
        <v>53.4573227272727</v>
      </c>
      <c r="AD1752" s="62" t="n">
        <f aca="false">AB1752/S1752-1</f>
        <v>0.472164621599489</v>
      </c>
      <c r="AE1752" s="60" t="str">
        <f aca="false">IF(AB1752&lt;S1752,"SIM","NÃO")</f>
        <v>NÃO</v>
      </c>
      <c r="AF1752" s="60" t="n">
        <v>2</v>
      </c>
      <c r="AG1752" s="60" t="n">
        <v>5</v>
      </c>
      <c r="AH1752" s="60" t="s">
        <v>382</v>
      </c>
      <c r="AI1752" s="61" t="n">
        <f aca="false">(T1752*(1-Painel!$C$40)+U1752+V1752+Painel!$C$41+Painel!$C$42*CEILING(G1752/100,1)+Painel!$C$43*CEILING(G1752,1)+Z1752)/(1-Resumo!$B$5)</f>
        <v>117.028284090909</v>
      </c>
      <c r="AJ1752" s="60" t="str">
        <f aca="false">IF(AI1752&lt;S1752,"SIM","NÃO")</f>
        <v>NÃO</v>
      </c>
    </row>
    <row r="1753" customFormat="false" ht="15" hidden="false" customHeight="false" outlineLevel="0" collapsed="false">
      <c r="A1753" s="59" t="n">
        <v>46277.6431828704</v>
      </c>
      <c r="B1753" s="60" t="s">
        <v>1961</v>
      </c>
      <c r="C1753" s="60" t="n">
        <v>20031204</v>
      </c>
      <c r="D1753" s="60" t="s">
        <v>46</v>
      </c>
      <c r="E1753" s="60" t="s">
        <v>22</v>
      </c>
      <c r="F1753" s="60" t="s">
        <v>236</v>
      </c>
      <c r="G1753" s="60" t="n">
        <v>52.3</v>
      </c>
      <c r="H1753" s="61" t="n">
        <v>614.63</v>
      </c>
      <c r="I1753" s="61" t="n">
        <v>58.6</v>
      </c>
      <c r="J1753" s="61" t="n">
        <f aca="false">H1753*Resumo!$C$6</f>
        <v>0</v>
      </c>
      <c r="K1753" s="61" t="n">
        <f aca="false">H1753*Resumo!$C$7</f>
        <v>1.290723</v>
      </c>
      <c r="L1753" s="61" t="n">
        <f aca="false">H1753*Resumo!$C$8</f>
        <v>1.290723</v>
      </c>
      <c r="M1753" s="61" t="n">
        <f aca="false">Resumo!$C$10*CEILING(G1753/100,1)</f>
        <v>1.05</v>
      </c>
      <c r="N1753" s="61" t="n">
        <f aca="false">Resumo!$C$9</f>
        <v>0</v>
      </c>
      <c r="O1753" s="61" t="n">
        <f aca="false">Resumo!$C$13</f>
        <v>13.55</v>
      </c>
      <c r="P1753" s="61" t="n">
        <f aca="false">Resumo!$C$14*CEILING(G1753,1)</f>
        <v>23.85</v>
      </c>
      <c r="Q1753" s="61" t="n">
        <f aca="false">SUM(I1753:P1753)*Resumo!$C$11</f>
        <v>0</v>
      </c>
      <c r="R1753" s="61" t="n">
        <f aca="false">SUM(I1753:Q1753)</f>
        <v>99.631446</v>
      </c>
      <c r="S1753" s="61" t="n">
        <f aca="false">R1753/(1-Resumo!$C$5)</f>
        <v>113.217552272727</v>
      </c>
      <c r="T1753" s="61" t="n">
        <v>112.3</v>
      </c>
      <c r="U1753" s="61" t="n">
        <f aca="false">H1753*Resumo!$B$6</f>
        <v>0.61463</v>
      </c>
      <c r="V1753" s="61" t="n">
        <f aca="false">H1753*Resumo!$B$7</f>
        <v>1.22926</v>
      </c>
      <c r="W1753" s="61" t="n">
        <f aca="false">Resumo!$B$9</f>
        <v>1</v>
      </c>
      <c r="X1753" s="61" t="n">
        <f aca="false">Resumo!$B$10*CEILING(G1753/100,1)</f>
        <v>4.5</v>
      </c>
      <c r="Y1753" s="61" t="n">
        <f aca="false">Resumo!$B$12*CEILING(G1753,1)</f>
        <v>3.18</v>
      </c>
      <c r="Z1753" s="61" t="n">
        <f aca="false">Resumo!$B$14*CEILING(G1753,1)</f>
        <v>23.85</v>
      </c>
      <c r="AA1753" s="61" t="n">
        <f aca="false">SUM(T1753:Z1753)</f>
        <v>146.67389</v>
      </c>
      <c r="AB1753" s="61" t="n">
        <f aca="false">AA1753/(1-Resumo!$B$5)</f>
        <v>166.674875</v>
      </c>
      <c r="AC1753" s="61" t="n">
        <f aca="false">AB1753-S1753</f>
        <v>53.4573227272727</v>
      </c>
      <c r="AD1753" s="62" t="n">
        <f aca="false">AB1753/S1753-1</f>
        <v>0.472164621599489</v>
      </c>
      <c r="AE1753" s="60" t="str">
        <f aca="false">IF(AB1753&lt;S1753,"SIM","NÃO")</f>
        <v>NÃO</v>
      </c>
      <c r="AF1753" s="60" t="n">
        <v>2</v>
      </c>
      <c r="AG1753" s="60" t="n">
        <v>5</v>
      </c>
      <c r="AH1753" s="60" t="s">
        <v>382</v>
      </c>
      <c r="AI1753" s="61" t="n">
        <f aca="false">(T1753*(1-Painel!$C$40)+U1753+V1753+Painel!$C$41+Painel!$C$42*CEILING(G1753/100,1)+Painel!$C$43*CEILING(G1753,1)+Z1753)/(1-Resumo!$B$5)</f>
        <v>117.028284090909</v>
      </c>
      <c r="AJ1753" s="60" t="str">
        <f aca="false">IF(AI1753&lt;S1753,"SIM","NÃO")</f>
        <v>NÃO</v>
      </c>
    </row>
    <row r="1754" customFormat="false" ht="15" hidden="false" customHeight="false" outlineLevel="0" collapsed="false">
      <c r="A1754" s="59" t="n">
        <v>46277.6495949074</v>
      </c>
      <c r="B1754" s="60" t="s">
        <v>1962</v>
      </c>
      <c r="C1754" s="60" t="n">
        <v>25015370</v>
      </c>
      <c r="D1754" s="60" t="s">
        <v>48</v>
      </c>
      <c r="E1754" s="60" t="s">
        <v>23</v>
      </c>
      <c r="F1754" s="60" t="s">
        <v>236</v>
      </c>
      <c r="G1754" s="60" t="n">
        <v>52.3</v>
      </c>
      <c r="H1754" s="61" t="n">
        <v>614.63</v>
      </c>
      <c r="I1754" s="61" t="n">
        <v>70.98</v>
      </c>
      <c r="J1754" s="61" t="n">
        <f aca="false">H1754*Resumo!$C$6</f>
        <v>0</v>
      </c>
      <c r="K1754" s="61" t="n">
        <f aca="false">H1754*Resumo!$C$7</f>
        <v>1.290723</v>
      </c>
      <c r="L1754" s="61" t="n">
        <f aca="false">H1754*Resumo!$C$8</f>
        <v>1.290723</v>
      </c>
      <c r="M1754" s="61" t="n">
        <f aca="false">Resumo!$C$10*CEILING(G1754/100,1)</f>
        <v>1.05</v>
      </c>
      <c r="N1754" s="61" t="n">
        <f aca="false">Resumo!$C$9</f>
        <v>0</v>
      </c>
      <c r="O1754" s="61" t="n">
        <f aca="false">Resumo!$C$13</f>
        <v>13.55</v>
      </c>
      <c r="P1754" s="61" t="n">
        <f aca="false">Resumo!$C$14*CEILING(G1754,1)</f>
        <v>23.85</v>
      </c>
      <c r="Q1754" s="61" t="n">
        <f aca="false">SUM(I1754:P1754)*Resumo!$C$11</f>
        <v>0</v>
      </c>
      <c r="R1754" s="61" t="n">
        <f aca="false">SUM(I1754:Q1754)</f>
        <v>112.011446</v>
      </c>
      <c r="S1754" s="61" t="n">
        <f aca="false">R1754/(1-Resumo!$C$5)</f>
        <v>127.285734090909</v>
      </c>
      <c r="T1754" s="61" t="n">
        <v>112.3</v>
      </c>
      <c r="U1754" s="61" t="n">
        <f aca="false">H1754*Resumo!$B$6</f>
        <v>0.61463</v>
      </c>
      <c r="V1754" s="61" t="n">
        <f aca="false">H1754*Resumo!$B$7</f>
        <v>1.22926</v>
      </c>
      <c r="W1754" s="61" t="n">
        <f aca="false">Resumo!$B$9</f>
        <v>1</v>
      </c>
      <c r="X1754" s="61" t="n">
        <f aca="false">Resumo!$B$10*CEILING(G1754/100,1)</f>
        <v>4.5</v>
      </c>
      <c r="Y1754" s="61" t="n">
        <f aca="false">Resumo!$B$12*CEILING(G1754,1)</f>
        <v>3.18</v>
      </c>
      <c r="Z1754" s="61" t="n">
        <f aca="false">Resumo!$B$14*CEILING(G1754,1)</f>
        <v>23.85</v>
      </c>
      <c r="AA1754" s="61" t="n">
        <f aca="false">SUM(T1754:Z1754)</f>
        <v>146.67389</v>
      </c>
      <c r="AB1754" s="61" t="n">
        <f aca="false">AA1754/(1-Resumo!$B$5)</f>
        <v>166.674875</v>
      </c>
      <c r="AC1754" s="61" t="n">
        <f aca="false">AB1754-S1754</f>
        <v>39.3891409090909</v>
      </c>
      <c r="AD1754" s="62" t="n">
        <f aca="false">AB1754/S1754-1</f>
        <v>0.309454481999991</v>
      </c>
      <c r="AE1754" s="60" t="str">
        <f aca="false">IF(AB1754&lt;S1754,"SIM","NÃO")</f>
        <v>NÃO</v>
      </c>
      <c r="AF1754" s="60" t="n">
        <v>2</v>
      </c>
      <c r="AG1754" s="60" t="n">
        <v>5</v>
      </c>
      <c r="AH1754" s="60" t="s">
        <v>382</v>
      </c>
      <c r="AI1754" s="61" t="n">
        <f aca="false">(T1754*(1-Painel!$C$40)+U1754+V1754+Painel!$C$41+Painel!$C$42*CEILING(G1754/100,1)+Painel!$C$43*CEILING(G1754,1)+Z1754)/(1-Resumo!$B$5)</f>
        <v>117.028284090909</v>
      </c>
      <c r="AJ1754" s="60" t="str">
        <f aca="false">IF(AI1754&lt;S1754,"SIM","NÃO")</f>
        <v>SIM</v>
      </c>
    </row>
    <row r="1755" customFormat="false" ht="15" hidden="false" customHeight="false" outlineLevel="0" collapsed="false">
      <c r="A1755" s="59" t="n">
        <v>46277.68875</v>
      </c>
      <c r="B1755" s="60" t="s">
        <v>1963</v>
      </c>
      <c r="C1755" s="60" t="n">
        <v>22790728</v>
      </c>
      <c r="D1755" s="60" t="s">
        <v>46</v>
      </c>
      <c r="E1755" s="60" t="s">
        <v>22</v>
      </c>
      <c r="F1755" s="60" t="s">
        <v>235</v>
      </c>
      <c r="G1755" s="60" t="n">
        <v>40.6</v>
      </c>
      <c r="H1755" s="61" t="n">
        <v>444.42</v>
      </c>
      <c r="I1755" s="61" t="n">
        <v>53.55</v>
      </c>
      <c r="J1755" s="61" t="n">
        <f aca="false">H1755*Resumo!$C$6</f>
        <v>0</v>
      </c>
      <c r="K1755" s="61" t="n">
        <f aca="false">H1755*Resumo!$C$7</f>
        <v>0.933282</v>
      </c>
      <c r="L1755" s="61" t="n">
        <f aca="false">H1755*Resumo!$C$8</f>
        <v>0.933282</v>
      </c>
      <c r="M1755" s="61" t="n">
        <f aca="false">Resumo!$C$10*CEILING(G1755/100,1)</f>
        <v>1.05</v>
      </c>
      <c r="N1755" s="61" t="n">
        <f aca="false">Resumo!$C$9</f>
        <v>0</v>
      </c>
      <c r="O1755" s="61" t="n">
        <f aca="false">Resumo!$C$13</f>
        <v>13.55</v>
      </c>
      <c r="P1755" s="61" t="n">
        <f aca="false">Resumo!$C$14*CEILING(G1755,1)</f>
        <v>18.45</v>
      </c>
      <c r="Q1755" s="61" t="n">
        <f aca="false">SUM(I1755:P1755)*Resumo!$C$11</f>
        <v>0</v>
      </c>
      <c r="R1755" s="61" t="n">
        <f aca="false">SUM(I1755:Q1755)</f>
        <v>88.466564</v>
      </c>
      <c r="S1755" s="61" t="n">
        <f aca="false">R1755/(1-Resumo!$C$5)</f>
        <v>100.530186363636</v>
      </c>
      <c r="T1755" s="61" t="n">
        <v>93.97</v>
      </c>
      <c r="U1755" s="61" t="n">
        <f aca="false">H1755*Resumo!$B$6</f>
        <v>0.44442</v>
      </c>
      <c r="V1755" s="61" t="n">
        <f aca="false">H1755*Resumo!$B$7</f>
        <v>0.88884</v>
      </c>
      <c r="W1755" s="61" t="n">
        <f aca="false">Resumo!$B$9</f>
        <v>1</v>
      </c>
      <c r="X1755" s="61" t="n">
        <f aca="false">Resumo!$B$10*CEILING(G1755/100,1)</f>
        <v>4.5</v>
      </c>
      <c r="Y1755" s="61" t="n">
        <f aca="false">Resumo!$B$12*CEILING(G1755,1)</f>
        <v>2.46</v>
      </c>
      <c r="Z1755" s="61" t="n">
        <f aca="false">Resumo!$B$14*CEILING(G1755,1)</f>
        <v>18.45</v>
      </c>
      <c r="AA1755" s="61" t="n">
        <f aca="false">SUM(T1755:Z1755)</f>
        <v>121.71326</v>
      </c>
      <c r="AB1755" s="61" t="n">
        <f aca="false">AA1755/(1-Resumo!$B$5)</f>
        <v>138.310522727273</v>
      </c>
      <c r="AC1755" s="61" t="n">
        <f aca="false">AB1755-S1755</f>
        <v>37.7803363636364</v>
      </c>
      <c r="AD1755" s="62" t="n">
        <f aca="false">AB1755/S1755-1</f>
        <v>0.375810865673499</v>
      </c>
      <c r="AE1755" s="60" t="str">
        <f aca="false">IF(AB1755&lt;S1755,"SIM","NÃO")</f>
        <v>NÃO</v>
      </c>
      <c r="AF1755" s="60" t="n">
        <v>2</v>
      </c>
      <c r="AG1755" s="60" t="n">
        <v>5</v>
      </c>
      <c r="AH1755" s="60" t="s">
        <v>382</v>
      </c>
      <c r="AI1755" s="61" t="n">
        <f aca="false">(T1755*(1-Painel!$C$40)+U1755+V1755+Painel!$C$41+Painel!$C$42*CEILING(G1755/100,1)+Painel!$C$43*CEILING(G1755,1)+Z1755)/(1-Resumo!$B$5)</f>
        <v>96.3558636363636</v>
      </c>
      <c r="AJ1755" s="60" t="str">
        <f aca="false">IF(AI1755&lt;S1755,"SIM","NÃO")</f>
        <v>SIM</v>
      </c>
    </row>
    <row r="1756" customFormat="false" ht="15" hidden="false" customHeight="false" outlineLevel="0" collapsed="false">
      <c r="A1756" s="59" t="n">
        <v>46277.7167708333</v>
      </c>
      <c r="B1756" s="60" t="s">
        <v>1964</v>
      </c>
      <c r="C1756" s="60" t="n">
        <v>21750320</v>
      </c>
      <c r="D1756" s="60" t="s">
        <v>46</v>
      </c>
      <c r="E1756" s="60" t="s">
        <v>22</v>
      </c>
      <c r="F1756" s="60" t="s">
        <v>232</v>
      </c>
      <c r="G1756" s="60" t="n">
        <v>19.5</v>
      </c>
      <c r="H1756" s="61" t="n">
        <v>379.99</v>
      </c>
      <c r="I1756" s="61" t="n">
        <v>33.42</v>
      </c>
      <c r="J1756" s="61" t="n">
        <f aca="false">H1756*Resumo!$C$6</f>
        <v>0</v>
      </c>
      <c r="K1756" s="61" t="n">
        <f aca="false">H1756*Resumo!$C$7</f>
        <v>0.797979</v>
      </c>
      <c r="L1756" s="61" t="n">
        <f aca="false">H1756*Resumo!$C$8</f>
        <v>0.797979</v>
      </c>
      <c r="M1756" s="61" t="n">
        <f aca="false">Resumo!$C$10*CEILING(G1756/100,1)</f>
        <v>1.05</v>
      </c>
      <c r="N1756" s="61" t="n">
        <f aca="false">Resumo!$C$9</f>
        <v>0</v>
      </c>
      <c r="O1756" s="61" t="n">
        <f aca="false">Resumo!$C$13</f>
        <v>13.55</v>
      </c>
      <c r="P1756" s="61" t="n">
        <f aca="false">Resumo!$C$14*CEILING(G1756,1)</f>
        <v>9</v>
      </c>
      <c r="Q1756" s="61" t="n">
        <f aca="false">SUM(I1756:P1756)*Resumo!$C$11</f>
        <v>0</v>
      </c>
      <c r="R1756" s="61" t="n">
        <f aca="false">SUM(I1756:Q1756)</f>
        <v>58.615958</v>
      </c>
      <c r="S1756" s="61" t="n">
        <f aca="false">R1756/(1-Resumo!$C$5)</f>
        <v>66.6090431818182</v>
      </c>
      <c r="T1756" s="61" t="n">
        <v>46.98</v>
      </c>
      <c r="U1756" s="61" t="n">
        <f aca="false">H1756*Resumo!$B$6</f>
        <v>0.37999</v>
      </c>
      <c r="V1756" s="61" t="n">
        <f aca="false">H1756*Resumo!$B$7</f>
        <v>0.75998</v>
      </c>
      <c r="W1756" s="61" t="n">
        <f aca="false">Resumo!$B$9</f>
        <v>1</v>
      </c>
      <c r="X1756" s="61" t="n">
        <f aca="false">Resumo!$B$10*CEILING(G1756/100,1)</f>
        <v>4.5</v>
      </c>
      <c r="Y1756" s="61" t="n">
        <f aca="false">Resumo!$B$12*CEILING(G1756,1)</f>
        <v>1.2</v>
      </c>
      <c r="Z1756" s="61" t="n">
        <f aca="false">Resumo!$B$14*CEILING(G1756,1)</f>
        <v>9</v>
      </c>
      <c r="AA1756" s="61" t="n">
        <f aca="false">SUM(T1756:Z1756)</f>
        <v>63.81997</v>
      </c>
      <c r="AB1756" s="61" t="n">
        <f aca="false">AA1756/(1-Resumo!$B$5)</f>
        <v>72.5226931818182</v>
      </c>
      <c r="AC1756" s="61" t="n">
        <f aca="false">AB1756-S1756</f>
        <v>5.91365</v>
      </c>
      <c r="AD1756" s="62" t="n">
        <f aca="false">AB1756/S1756-1</f>
        <v>0.0887814884813449</v>
      </c>
      <c r="AE1756" s="60" t="str">
        <f aca="false">IF(AB1756&lt;S1756,"SIM","NÃO")</f>
        <v>NÃO</v>
      </c>
      <c r="AF1756" s="60" t="n">
        <v>2</v>
      </c>
      <c r="AG1756" s="60" t="n">
        <v>5</v>
      </c>
      <c r="AH1756" s="60" t="s">
        <v>382</v>
      </c>
      <c r="AI1756" s="61" t="n">
        <f aca="false">(T1756*(1-Painel!$C$40)+U1756+V1756+Painel!$C$41+Painel!$C$42*CEILING(G1756/100,1)+Painel!$C$43*CEILING(G1756,1)+Z1756)/(1-Resumo!$B$5)</f>
        <v>49.6211022727273</v>
      </c>
      <c r="AJ1756" s="60" t="str">
        <f aca="false">IF(AI1756&lt;S1756,"SIM","NÃO")</f>
        <v>SIM</v>
      </c>
    </row>
    <row r="1757" customFormat="false" ht="15" hidden="false" customHeight="false" outlineLevel="0" collapsed="false">
      <c r="A1757" s="59" t="n">
        <v>46277.7187152778</v>
      </c>
      <c r="B1757" s="60" t="s">
        <v>1965</v>
      </c>
      <c r="C1757" s="60" t="n">
        <v>28800000</v>
      </c>
      <c r="D1757" s="60" t="s">
        <v>334</v>
      </c>
      <c r="E1757" s="60" t="s">
        <v>24</v>
      </c>
      <c r="F1757" s="60" t="s">
        <v>236</v>
      </c>
      <c r="G1757" s="60" t="n">
        <v>52.3</v>
      </c>
      <c r="H1757" s="61" t="n">
        <v>614.63</v>
      </c>
      <c r="I1757" s="61" t="n">
        <v>83.58</v>
      </c>
      <c r="J1757" s="61" t="n">
        <f aca="false">H1757*Resumo!$C$6</f>
        <v>0</v>
      </c>
      <c r="K1757" s="61" t="n">
        <f aca="false">H1757*Resumo!$C$7</f>
        <v>1.290723</v>
      </c>
      <c r="L1757" s="61" t="n">
        <f aca="false">H1757*Resumo!$C$8</f>
        <v>1.290723</v>
      </c>
      <c r="M1757" s="61" t="n">
        <f aca="false">Resumo!$C$10*CEILING(G1757/100,1)</f>
        <v>1.05</v>
      </c>
      <c r="N1757" s="61" t="n">
        <f aca="false">Resumo!$C$9</f>
        <v>0</v>
      </c>
      <c r="O1757" s="61" t="n">
        <f aca="false">Resumo!$C$13</f>
        <v>13.55</v>
      </c>
      <c r="P1757" s="61" t="n">
        <f aca="false">Resumo!$C$14*CEILING(G1757,1)</f>
        <v>23.85</v>
      </c>
      <c r="Q1757" s="61" t="n">
        <f aca="false">SUM(I1757:P1757)*Resumo!$C$11</f>
        <v>0</v>
      </c>
      <c r="R1757" s="61" t="n">
        <f aca="false">SUM(I1757:Q1757)</f>
        <v>124.611446</v>
      </c>
      <c r="S1757" s="61" t="n">
        <f aca="false">R1757/(1-Resumo!$C$5)</f>
        <v>141.603915909091</v>
      </c>
      <c r="T1757" s="61" t="n">
        <v>128.14</v>
      </c>
      <c r="U1757" s="61" t="n">
        <f aca="false">H1757*Resumo!$B$6</f>
        <v>0.61463</v>
      </c>
      <c r="V1757" s="61" t="n">
        <f aca="false">H1757*Resumo!$B$7</f>
        <v>1.22926</v>
      </c>
      <c r="W1757" s="61" t="n">
        <f aca="false">Resumo!$B$9</f>
        <v>1</v>
      </c>
      <c r="X1757" s="61" t="n">
        <f aca="false">Resumo!$B$10*CEILING(G1757/100,1)</f>
        <v>4.5</v>
      </c>
      <c r="Y1757" s="61" t="n">
        <f aca="false">Resumo!$B$12*CEILING(G1757,1)</f>
        <v>3.18</v>
      </c>
      <c r="Z1757" s="61" t="n">
        <f aca="false">Resumo!$B$14*CEILING(G1757,1)</f>
        <v>23.85</v>
      </c>
      <c r="AA1757" s="61" t="n">
        <f aca="false">SUM(T1757:Z1757)</f>
        <v>162.51389</v>
      </c>
      <c r="AB1757" s="61" t="n">
        <f aca="false">AA1757/(1-Resumo!$B$5)</f>
        <v>184.674875</v>
      </c>
      <c r="AC1757" s="61" t="n">
        <f aca="false">AB1757-S1757</f>
        <v>43.070959090909</v>
      </c>
      <c r="AD1757" s="62" t="n">
        <f aca="false">AB1757/S1757-1</f>
        <v>0.304165028307271</v>
      </c>
      <c r="AE1757" s="60" t="str">
        <f aca="false">IF(AB1757&lt;S1757,"SIM","NÃO")</f>
        <v>NÃO</v>
      </c>
      <c r="AF1757" s="60" t="n">
        <v>13</v>
      </c>
      <c r="AG1757" s="60" t="n">
        <v>7</v>
      </c>
      <c r="AH1757" s="60" t="s">
        <v>385</v>
      </c>
      <c r="AI1757" s="61" t="n">
        <f aca="false">(T1757*(1-Painel!$C$40)+U1757+V1757+Painel!$C$41+Painel!$C$42*CEILING(G1757/100,1)+Painel!$C$43*CEILING(G1757,1)+Z1757)/(1-Resumo!$B$5)</f>
        <v>129.088284090909</v>
      </c>
      <c r="AJ1757" s="60" t="str">
        <f aca="false">IF(AI1757&lt;S1757,"SIM","NÃO")</f>
        <v>SIM</v>
      </c>
    </row>
    <row r="1758" customFormat="false" ht="15" hidden="false" customHeight="false" outlineLevel="0" collapsed="false">
      <c r="A1758" s="59" t="n">
        <v>46277.7330902778</v>
      </c>
      <c r="B1758" s="60" t="s">
        <v>1966</v>
      </c>
      <c r="C1758" s="60" t="n">
        <v>27935070</v>
      </c>
      <c r="D1758" s="60" t="s">
        <v>53</v>
      </c>
      <c r="E1758" s="60" t="s">
        <v>24</v>
      </c>
      <c r="F1758" s="60" t="s">
        <v>237</v>
      </c>
      <c r="G1758" s="60" t="n">
        <v>63.9</v>
      </c>
      <c r="H1758" s="61" t="n">
        <v>716.35</v>
      </c>
      <c r="I1758" s="61" t="n">
        <v>90.2</v>
      </c>
      <c r="J1758" s="61" t="n">
        <f aca="false">H1758*Resumo!$C$6</f>
        <v>0</v>
      </c>
      <c r="K1758" s="61" t="n">
        <f aca="false">H1758*Resumo!$C$7</f>
        <v>1.504335</v>
      </c>
      <c r="L1758" s="61" t="n">
        <f aca="false">H1758*Resumo!$C$8</f>
        <v>1.504335</v>
      </c>
      <c r="M1758" s="61" t="n">
        <f aca="false">Resumo!$C$10*CEILING(G1758/100,1)</f>
        <v>1.05</v>
      </c>
      <c r="N1758" s="61" t="n">
        <f aca="false">Resumo!$C$9</f>
        <v>0</v>
      </c>
      <c r="O1758" s="61" t="n">
        <f aca="false">Resumo!$C$13</f>
        <v>13.55</v>
      </c>
      <c r="P1758" s="61" t="n">
        <f aca="false">Resumo!$C$14*CEILING(G1758,1)</f>
        <v>28.8</v>
      </c>
      <c r="Q1758" s="61" t="n">
        <f aca="false">SUM(I1758:P1758)*Resumo!$C$11</f>
        <v>0</v>
      </c>
      <c r="R1758" s="61" t="n">
        <f aca="false">SUM(I1758:Q1758)</f>
        <v>136.60867</v>
      </c>
      <c r="S1758" s="61" t="n">
        <f aca="false">R1758/(1-Resumo!$C$5)</f>
        <v>155.237125</v>
      </c>
      <c r="T1758" s="61" t="n">
        <v>171.54</v>
      </c>
      <c r="U1758" s="61" t="n">
        <f aca="false">H1758*Resumo!$B$6</f>
        <v>0.71635</v>
      </c>
      <c r="V1758" s="61" t="n">
        <f aca="false">H1758*Resumo!$B$7</f>
        <v>1.4327</v>
      </c>
      <c r="W1758" s="61" t="n">
        <f aca="false">Resumo!$B$9</f>
        <v>1</v>
      </c>
      <c r="X1758" s="61" t="n">
        <f aca="false">Resumo!$B$10*CEILING(G1758/100,1)</f>
        <v>4.5</v>
      </c>
      <c r="Y1758" s="61" t="n">
        <f aca="false">Resumo!$B$12*CEILING(G1758,1)</f>
        <v>3.84</v>
      </c>
      <c r="Z1758" s="61" t="n">
        <f aca="false">Resumo!$B$14*CEILING(G1758,1)</f>
        <v>28.8</v>
      </c>
      <c r="AA1758" s="61" t="n">
        <f aca="false">SUM(T1758:Z1758)</f>
        <v>211.82905</v>
      </c>
      <c r="AB1758" s="61" t="n">
        <f aca="false">AA1758/(1-Resumo!$B$5)</f>
        <v>240.714829545455</v>
      </c>
      <c r="AC1758" s="61" t="n">
        <f aca="false">AB1758-S1758</f>
        <v>85.4777045454545</v>
      </c>
      <c r="AD1758" s="62" t="n">
        <f aca="false">AB1758/S1758-1</f>
        <v>0.550626691556253</v>
      </c>
      <c r="AE1758" s="60" t="str">
        <f aca="false">IF(AB1758&lt;S1758,"SIM","NÃO")</f>
        <v>NÃO</v>
      </c>
      <c r="AF1758" s="60" t="n">
        <v>13</v>
      </c>
      <c r="AG1758" s="60" t="n">
        <v>11</v>
      </c>
      <c r="AH1758" s="60" t="s">
        <v>382</v>
      </c>
      <c r="AI1758" s="61" t="n">
        <f aca="false">(T1758*(1-Painel!$C$40)+U1758+V1758+Painel!$C$41+Painel!$C$42*CEILING(G1758/100,1)+Painel!$C$43*CEILING(G1758,1)+Z1758)/(1-Resumo!$B$5)</f>
        <v>168.103238636364</v>
      </c>
      <c r="AJ1758" s="60" t="str">
        <f aca="false">IF(AI1758&lt;S1758,"SIM","NÃO")</f>
        <v>NÃO</v>
      </c>
    </row>
    <row r="1759" customFormat="false" ht="15" hidden="false" customHeight="false" outlineLevel="0" collapsed="false">
      <c r="A1759" s="59" t="n">
        <v>46277.7675578704</v>
      </c>
      <c r="B1759" s="60" t="s">
        <v>1967</v>
      </c>
      <c r="C1759" s="60" t="n">
        <v>23895340</v>
      </c>
      <c r="D1759" s="60" t="s">
        <v>267</v>
      </c>
      <c r="E1759" s="60" t="s">
        <v>24</v>
      </c>
      <c r="F1759" s="60" t="s">
        <v>236</v>
      </c>
      <c r="G1759" s="60" t="n">
        <v>52.3</v>
      </c>
      <c r="H1759" s="61" t="n">
        <v>645.14</v>
      </c>
      <c r="I1759" s="61" t="n">
        <v>83.58</v>
      </c>
      <c r="J1759" s="61" t="n">
        <f aca="false">H1759*Resumo!$C$6</f>
        <v>0</v>
      </c>
      <c r="K1759" s="61" t="n">
        <f aca="false">H1759*Resumo!$C$7</f>
        <v>1.354794</v>
      </c>
      <c r="L1759" s="61" t="n">
        <f aca="false">H1759*Resumo!$C$8</f>
        <v>1.354794</v>
      </c>
      <c r="M1759" s="61" t="n">
        <f aca="false">Resumo!$C$10*CEILING(G1759/100,1)</f>
        <v>1.05</v>
      </c>
      <c r="N1759" s="61" t="n">
        <f aca="false">Resumo!$C$9</f>
        <v>0</v>
      </c>
      <c r="O1759" s="61" t="n">
        <f aca="false">Resumo!$C$13</f>
        <v>13.55</v>
      </c>
      <c r="P1759" s="61" t="n">
        <f aca="false">Resumo!$C$14*CEILING(G1759,1)</f>
        <v>23.85</v>
      </c>
      <c r="Q1759" s="61" t="n">
        <f aca="false">SUM(I1759:P1759)*Resumo!$C$11</f>
        <v>0</v>
      </c>
      <c r="R1759" s="61" t="n">
        <f aca="false">SUM(I1759:Q1759)</f>
        <v>124.739588</v>
      </c>
      <c r="S1759" s="61" t="n">
        <f aca="false">R1759/(1-Resumo!$C$5)</f>
        <v>141.749531818182</v>
      </c>
      <c r="T1759" s="61" t="n">
        <v>122.3</v>
      </c>
      <c r="U1759" s="61" t="n">
        <f aca="false">H1759*Resumo!$B$6</f>
        <v>0.64514</v>
      </c>
      <c r="V1759" s="61" t="n">
        <f aca="false">H1759*Resumo!$B$7</f>
        <v>1.29028</v>
      </c>
      <c r="W1759" s="61" t="n">
        <f aca="false">Resumo!$B$9</f>
        <v>1</v>
      </c>
      <c r="X1759" s="61" t="n">
        <f aca="false">Resumo!$B$10*CEILING(G1759/100,1)</f>
        <v>4.5</v>
      </c>
      <c r="Y1759" s="61" t="n">
        <f aca="false">Resumo!$B$12*CEILING(G1759,1)</f>
        <v>3.18</v>
      </c>
      <c r="Z1759" s="61" t="n">
        <f aca="false">Resumo!$B$14*CEILING(G1759,1)</f>
        <v>23.85</v>
      </c>
      <c r="AA1759" s="61" t="n">
        <f aca="false">SUM(T1759:Z1759)</f>
        <v>156.76542</v>
      </c>
      <c r="AB1759" s="61" t="n">
        <f aca="false">AA1759/(1-Resumo!$B$5)</f>
        <v>178.142522727273</v>
      </c>
      <c r="AC1759" s="61" t="n">
        <f aca="false">AB1759-S1759</f>
        <v>36.3929909090909</v>
      </c>
      <c r="AD1759" s="62" t="n">
        <f aca="false">AB1759/S1759-1</f>
        <v>0.256741524591215</v>
      </c>
      <c r="AE1759" s="60" t="str">
        <f aca="false">IF(AB1759&lt;S1759,"SIM","NÃO")</f>
        <v>NÃO</v>
      </c>
      <c r="AF1759" s="60" t="n">
        <v>13</v>
      </c>
      <c r="AG1759" s="60" t="n">
        <v>5</v>
      </c>
      <c r="AH1759" s="60" t="s">
        <v>385</v>
      </c>
      <c r="AI1759" s="61" t="n">
        <f aca="false">(T1759*(1-Painel!$C$40)+U1759+V1759+Painel!$C$41+Painel!$C$42*CEILING(G1759/100,1)+Painel!$C$43*CEILING(G1759,1)+Z1759)/(1-Resumo!$B$5)</f>
        <v>124.745931818182</v>
      </c>
      <c r="AJ1759" s="60" t="str">
        <f aca="false">IF(AI1759&lt;S1759,"SIM","NÃO")</f>
        <v>SIM</v>
      </c>
    </row>
    <row r="1760" customFormat="false" ht="15" hidden="false" customHeight="false" outlineLevel="0" collapsed="false">
      <c r="A1760" s="59" t="n">
        <v>46277.8421875</v>
      </c>
      <c r="B1760" s="60" t="s">
        <v>1676</v>
      </c>
      <c r="C1760" s="60" t="n">
        <v>28053100</v>
      </c>
      <c r="D1760" s="60" t="s">
        <v>51</v>
      </c>
      <c r="E1760" s="60" t="s">
        <v>24</v>
      </c>
      <c r="F1760" s="60" t="s">
        <v>233</v>
      </c>
      <c r="G1760" s="60" t="n">
        <v>27.5</v>
      </c>
      <c r="H1760" s="61" t="n">
        <v>399.99</v>
      </c>
      <c r="I1760" s="61" t="n">
        <v>65.63</v>
      </c>
      <c r="J1760" s="61" t="n">
        <f aca="false">H1760*Resumo!$C$6</f>
        <v>0</v>
      </c>
      <c r="K1760" s="61" t="n">
        <f aca="false">H1760*Resumo!$C$7</f>
        <v>0.839979</v>
      </c>
      <c r="L1760" s="61" t="n">
        <f aca="false">H1760*Resumo!$C$8</f>
        <v>0.839979</v>
      </c>
      <c r="M1760" s="61" t="n">
        <f aca="false">Resumo!$C$10*CEILING(G1760/100,1)</f>
        <v>1.05</v>
      </c>
      <c r="N1760" s="61" t="n">
        <f aca="false">Resumo!$C$9</f>
        <v>0</v>
      </c>
      <c r="O1760" s="61" t="n">
        <f aca="false">Resumo!$C$13</f>
        <v>13.55</v>
      </c>
      <c r="P1760" s="61" t="n">
        <f aca="false">Resumo!$C$14*CEILING(G1760,1)</f>
        <v>12.6</v>
      </c>
      <c r="Q1760" s="61" t="n">
        <f aca="false">SUM(I1760:P1760)*Resumo!$C$11</f>
        <v>0</v>
      </c>
      <c r="R1760" s="61" t="n">
        <f aca="false">SUM(I1760:Q1760)</f>
        <v>94.509958</v>
      </c>
      <c r="S1760" s="61" t="n">
        <f aca="false">R1760/(1-Resumo!$C$5)</f>
        <v>107.397679545455</v>
      </c>
      <c r="T1760" s="61" t="n">
        <v>138.29</v>
      </c>
      <c r="U1760" s="61" t="n">
        <f aca="false">H1760*Resumo!$B$6</f>
        <v>0.39999</v>
      </c>
      <c r="V1760" s="61" t="n">
        <f aca="false">H1760*Resumo!$B$7</f>
        <v>0.79998</v>
      </c>
      <c r="W1760" s="61" t="n">
        <f aca="false">Resumo!$B$9</f>
        <v>1</v>
      </c>
      <c r="X1760" s="61" t="n">
        <f aca="false">Resumo!$B$10*CEILING(G1760/100,1)</f>
        <v>4.5</v>
      </c>
      <c r="Y1760" s="61" t="n">
        <f aca="false">Resumo!$B$12*CEILING(G1760,1)</f>
        <v>1.68</v>
      </c>
      <c r="Z1760" s="61" t="n">
        <f aca="false">Resumo!$B$14*CEILING(G1760,1)</f>
        <v>12.6</v>
      </c>
      <c r="AA1760" s="61" t="n">
        <f aca="false">SUM(T1760:Z1760)</f>
        <v>159.26997</v>
      </c>
      <c r="AB1760" s="61" t="n">
        <f aca="false">AA1760/(1-Resumo!$B$5)</f>
        <v>180.988602272727</v>
      </c>
      <c r="AC1760" s="61" t="n">
        <f aca="false">AB1760-S1760</f>
        <v>73.5909227272727</v>
      </c>
      <c r="AD1760" s="62" t="n">
        <f aca="false">AB1760/S1760-1</f>
        <v>0.685218926877526</v>
      </c>
      <c r="AE1760" s="60" t="str">
        <f aca="false">IF(AB1760&lt;S1760,"SIM","NÃO")</f>
        <v>NÃO</v>
      </c>
      <c r="AF1760" s="60" t="n">
        <v>13</v>
      </c>
      <c r="AG1760" s="60" t="n">
        <v>11</v>
      </c>
      <c r="AH1760" s="60" t="s">
        <v>382</v>
      </c>
      <c r="AI1760" s="61" t="n">
        <f aca="false">(T1760*(1-Painel!$C$40)+U1760+V1760+Painel!$C$41+Painel!$C$42*CEILING(G1760/100,1)+Painel!$C$43*CEILING(G1760,1)+Z1760)/(1-Resumo!$B$5)</f>
        <v>123.300306818182</v>
      </c>
      <c r="AJ1760" s="60" t="str">
        <f aca="false">IF(AI1760&lt;S1760,"SIM","NÃO")</f>
        <v>NÃO</v>
      </c>
    </row>
    <row r="1761" customFormat="false" ht="15" hidden="false" customHeight="false" outlineLevel="0" collapsed="false">
      <c r="A1761" s="59" t="n">
        <v>46277.8628819444</v>
      </c>
      <c r="B1761" s="60" t="s">
        <v>1968</v>
      </c>
      <c r="C1761" s="60" t="n">
        <v>27940700</v>
      </c>
      <c r="D1761" s="60" t="s">
        <v>53</v>
      </c>
      <c r="E1761" s="60" t="s">
        <v>24</v>
      </c>
      <c r="F1761" s="60" t="s">
        <v>232</v>
      </c>
      <c r="G1761" s="60" t="n">
        <v>15</v>
      </c>
      <c r="H1761" s="61" t="n">
        <v>219.99</v>
      </c>
      <c r="I1761" s="61" t="n">
        <v>46.95</v>
      </c>
      <c r="J1761" s="61" t="n">
        <f aca="false">H1761*Resumo!$C$6</f>
        <v>0</v>
      </c>
      <c r="K1761" s="61" t="n">
        <f aca="false">H1761*Resumo!$C$7</f>
        <v>0.461979</v>
      </c>
      <c r="L1761" s="61" t="n">
        <f aca="false">H1761*Resumo!$C$8</f>
        <v>0.461979</v>
      </c>
      <c r="M1761" s="61" t="n">
        <f aca="false">Resumo!$C$10*CEILING(G1761/100,1)</f>
        <v>1.05</v>
      </c>
      <c r="N1761" s="61" t="n">
        <f aca="false">Resumo!$C$9</f>
        <v>0</v>
      </c>
      <c r="O1761" s="61" t="n">
        <f aca="false">Resumo!$C$13</f>
        <v>13.55</v>
      </c>
      <c r="P1761" s="61" t="n">
        <f aca="false">Resumo!$C$14*CEILING(G1761,1)</f>
        <v>6.75</v>
      </c>
      <c r="Q1761" s="61" t="n">
        <f aca="false">SUM(I1761:P1761)*Resumo!$C$11</f>
        <v>0</v>
      </c>
      <c r="R1761" s="61" t="n">
        <f aca="false">SUM(I1761:Q1761)</f>
        <v>69.223958</v>
      </c>
      <c r="S1761" s="61" t="n">
        <f aca="false">R1761/(1-Resumo!$C$5)</f>
        <v>78.6635886363636</v>
      </c>
      <c r="T1761" s="61" t="n">
        <v>124.04</v>
      </c>
      <c r="U1761" s="61" t="n">
        <f aca="false">H1761*Resumo!$B$6</f>
        <v>0.21999</v>
      </c>
      <c r="V1761" s="61" t="n">
        <f aca="false">H1761*Resumo!$B$7</f>
        <v>0.43998</v>
      </c>
      <c r="W1761" s="61" t="n">
        <f aca="false">Resumo!$B$9</f>
        <v>1</v>
      </c>
      <c r="X1761" s="61" t="n">
        <f aca="false">Resumo!$B$10*CEILING(G1761/100,1)</f>
        <v>4.5</v>
      </c>
      <c r="Y1761" s="61" t="n">
        <f aca="false">Resumo!$B$12*CEILING(G1761,1)</f>
        <v>0.9</v>
      </c>
      <c r="Z1761" s="61" t="n">
        <f aca="false">Resumo!$B$14*CEILING(G1761,1)</f>
        <v>6.75</v>
      </c>
      <c r="AA1761" s="61" t="n">
        <f aca="false">SUM(T1761:Z1761)</f>
        <v>137.84997</v>
      </c>
      <c r="AB1761" s="61" t="n">
        <f aca="false">AA1761/(1-Resumo!$B$5)</f>
        <v>156.647693181818</v>
      </c>
      <c r="AC1761" s="61" t="n">
        <f aca="false">AB1761-S1761</f>
        <v>77.9841045454546</v>
      </c>
      <c r="AD1761" s="62" t="n">
        <f aca="false">AB1761/S1761-1</f>
        <v>0.991362152392384</v>
      </c>
      <c r="AE1761" s="60" t="str">
        <f aca="false">IF(AB1761&lt;S1761,"SIM","NÃO")</f>
        <v>NÃO</v>
      </c>
      <c r="AF1761" s="60" t="n">
        <v>13</v>
      </c>
      <c r="AG1761" s="60" t="n">
        <v>11</v>
      </c>
      <c r="AH1761" s="60" t="s">
        <v>382</v>
      </c>
      <c r="AI1761" s="61" t="n">
        <f aca="false">(T1761*(1-Painel!$C$40)+U1761+V1761+Painel!$C$41+Painel!$C$42*CEILING(G1761/100,1)+Painel!$C$43*CEILING(G1761,1)+Z1761)/(1-Resumo!$B$5)</f>
        <v>105.189511363636</v>
      </c>
      <c r="AJ1761" s="60" t="str">
        <f aca="false">IF(AI1761&lt;S1761,"SIM","NÃO")</f>
        <v>NÃO</v>
      </c>
    </row>
    <row r="1762" customFormat="false" ht="15" hidden="false" customHeight="false" outlineLevel="0" collapsed="false">
      <c r="A1762" s="59" t="n">
        <v>46277.889224537</v>
      </c>
      <c r="B1762" s="60" t="s">
        <v>1969</v>
      </c>
      <c r="C1762" s="60" t="n">
        <v>24724310</v>
      </c>
      <c r="D1762" s="60" t="s">
        <v>47</v>
      </c>
      <c r="E1762" s="60" t="s">
        <v>23</v>
      </c>
      <c r="F1762" s="60" t="s">
        <v>237</v>
      </c>
      <c r="G1762" s="60" t="n">
        <v>69</v>
      </c>
      <c r="H1762" s="61" t="n">
        <v>699.18</v>
      </c>
      <c r="I1762" s="61" t="n">
        <v>76.55</v>
      </c>
      <c r="J1762" s="61" t="n">
        <f aca="false">H1762*Resumo!$C$6</f>
        <v>0</v>
      </c>
      <c r="K1762" s="61" t="n">
        <f aca="false">H1762*Resumo!$C$7</f>
        <v>1.468278</v>
      </c>
      <c r="L1762" s="61" t="n">
        <f aca="false">H1762*Resumo!$C$8</f>
        <v>1.468278</v>
      </c>
      <c r="M1762" s="61" t="n">
        <f aca="false">Resumo!$C$10*CEILING(G1762/100,1)</f>
        <v>1.05</v>
      </c>
      <c r="N1762" s="61" t="n">
        <f aca="false">Resumo!$C$9</f>
        <v>0</v>
      </c>
      <c r="O1762" s="61" t="n">
        <f aca="false">Resumo!$C$13</f>
        <v>13.55</v>
      </c>
      <c r="P1762" s="61" t="n">
        <f aca="false">Resumo!$C$14*CEILING(G1762,1)</f>
        <v>31.05</v>
      </c>
      <c r="Q1762" s="61" t="n">
        <f aca="false">SUM(I1762:P1762)*Resumo!$C$11</f>
        <v>0</v>
      </c>
      <c r="R1762" s="61" t="n">
        <f aca="false">SUM(I1762:Q1762)</f>
        <v>125.136556</v>
      </c>
      <c r="S1762" s="61" t="n">
        <f aca="false">R1762/(1-Resumo!$C$5)</f>
        <v>142.200631818182</v>
      </c>
      <c r="T1762" s="61" t="n">
        <v>149.5</v>
      </c>
      <c r="U1762" s="61" t="n">
        <f aca="false">H1762*Resumo!$B$6</f>
        <v>0.69918</v>
      </c>
      <c r="V1762" s="61" t="n">
        <f aca="false">H1762*Resumo!$B$7</f>
        <v>1.39836</v>
      </c>
      <c r="W1762" s="61" t="n">
        <f aca="false">Resumo!$B$9</f>
        <v>1</v>
      </c>
      <c r="X1762" s="61" t="n">
        <f aca="false">Resumo!$B$10*CEILING(G1762/100,1)</f>
        <v>4.5</v>
      </c>
      <c r="Y1762" s="61" t="n">
        <f aca="false">Resumo!$B$12*CEILING(G1762,1)</f>
        <v>4.14</v>
      </c>
      <c r="Z1762" s="61" t="n">
        <f aca="false">Resumo!$B$14*CEILING(G1762,1)</f>
        <v>31.05</v>
      </c>
      <c r="AA1762" s="61" t="n">
        <f aca="false">SUM(T1762:Z1762)</f>
        <v>192.28754</v>
      </c>
      <c r="AB1762" s="61" t="n">
        <f aca="false">AA1762/(1-Resumo!$B$5)</f>
        <v>218.508568181818</v>
      </c>
      <c r="AC1762" s="61" t="n">
        <f aca="false">AB1762-S1762</f>
        <v>76.3079363636364</v>
      </c>
      <c r="AD1762" s="62" t="n">
        <f aca="false">AB1762/S1762-1</f>
        <v>0.536621640761793</v>
      </c>
      <c r="AE1762" s="60" t="str">
        <f aca="false">IF(AB1762&lt;S1762,"SIM","NÃO")</f>
        <v>NÃO</v>
      </c>
      <c r="AF1762" s="60" t="n">
        <v>2</v>
      </c>
      <c r="AG1762" s="60" t="n">
        <v>7</v>
      </c>
      <c r="AH1762" s="60" t="s">
        <v>382</v>
      </c>
      <c r="AI1762" s="61" t="n">
        <f aca="false">(T1762*(1-Painel!$C$40)+U1762+V1762+Painel!$C$41+Painel!$C$42*CEILING(G1762/100,1)+Painel!$C$43*CEILING(G1762,1)+Z1762)/(1-Resumo!$B$5)</f>
        <v>153.821068181818</v>
      </c>
      <c r="AJ1762" s="60" t="str">
        <f aca="false">IF(AI1762&lt;S1762,"SIM","NÃO")</f>
        <v>NÃO</v>
      </c>
    </row>
    <row r="1763" customFormat="false" ht="15" hidden="false" customHeight="false" outlineLevel="0" collapsed="false">
      <c r="A1763" s="59" t="n">
        <v>46277.8933101852</v>
      </c>
      <c r="B1763" s="60" t="s">
        <v>1902</v>
      </c>
      <c r="C1763" s="60" t="n">
        <v>24730530</v>
      </c>
      <c r="D1763" s="60" t="s">
        <v>47</v>
      </c>
      <c r="E1763" s="60" t="s">
        <v>23</v>
      </c>
      <c r="F1763" s="60" t="s">
        <v>233</v>
      </c>
      <c r="G1763" s="60" t="n">
        <v>31.9</v>
      </c>
      <c r="H1763" s="61" t="n">
        <v>649.99</v>
      </c>
      <c r="I1763" s="61" t="n">
        <v>58.8</v>
      </c>
      <c r="J1763" s="61" t="n">
        <f aca="false">H1763*Resumo!$C$6</f>
        <v>0</v>
      </c>
      <c r="K1763" s="61" t="n">
        <f aca="false">H1763*Resumo!$C$7</f>
        <v>1.364979</v>
      </c>
      <c r="L1763" s="61" t="n">
        <f aca="false">H1763*Resumo!$C$8</f>
        <v>1.364979</v>
      </c>
      <c r="M1763" s="61" t="n">
        <f aca="false">Resumo!$C$10*CEILING(G1763/100,1)</f>
        <v>1.05</v>
      </c>
      <c r="N1763" s="61" t="n">
        <f aca="false">Resumo!$C$9</f>
        <v>0</v>
      </c>
      <c r="O1763" s="61" t="n">
        <f aca="false">Resumo!$C$13</f>
        <v>13.55</v>
      </c>
      <c r="P1763" s="61" t="n">
        <f aca="false">Resumo!$C$14*CEILING(G1763,1)</f>
        <v>14.4</v>
      </c>
      <c r="Q1763" s="61" t="n">
        <f aca="false">SUM(I1763:P1763)*Resumo!$C$11</f>
        <v>0</v>
      </c>
      <c r="R1763" s="61" t="n">
        <f aca="false">SUM(I1763:Q1763)</f>
        <v>90.529958</v>
      </c>
      <c r="S1763" s="61" t="n">
        <f aca="false">R1763/(1-Resumo!$C$5)</f>
        <v>102.874952272727</v>
      </c>
      <c r="T1763" s="61" t="n">
        <v>100.58</v>
      </c>
      <c r="U1763" s="61" t="n">
        <f aca="false">H1763*Resumo!$B$6</f>
        <v>0.64999</v>
      </c>
      <c r="V1763" s="61" t="n">
        <f aca="false">H1763*Resumo!$B$7</f>
        <v>1.29998</v>
      </c>
      <c r="W1763" s="61" t="n">
        <f aca="false">Resumo!$B$9</f>
        <v>1</v>
      </c>
      <c r="X1763" s="61" t="n">
        <f aca="false">Resumo!$B$10*CEILING(G1763/100,1)</f>
        <v>4.5</v>
      </c>
      <c r="Y1763" s="61" t="n">
        <f aca="false">Resumo!$B$12*CEILING(G1763,1)</f>
        <v>1.92</v>
      </c>
      <c r="Z1763" s="61" t="n">
        <f aca="false">Resumo!$B$14*CEILING(G1763,1)</f>
        <v>14.4</v>
      </c>
      <c r="AA1763" s="61" t="n">
        <f aca="false">SUM(T1763:Z1763)</f>
        <v>124.34997</v>
      </c>
      <c r="AB1763" s="61" t="n">
        <f aca="false">AA1763/(1-Resumo!$B$5)</f>
        <v>141.306784090909</v>
      </c>
      <c r="AC1763" s="61" t="n">
        <f aca="false">AB1763-S1763</f>
        <v>38.4318318181818</v>
      </c>
      <c r="AD1763" s="62" t="n">
        <f aca="false">AB1763/S1763-1</f>
        <v>0.373578125375911</v>
      </c>
      <c r="AE1763" s="60" t="str">
        <f aca="false">IF(AB1763&lt;S1763,"SIM","NÃO")</f>
        <v>NÃO</v>
      </c>
      <c r="AF1763" s="60" t="n">
        <v>2</v>
      </c>
      <c r="AG1763" s="60" t="n">
        <v>7</v>
      </c>
      <c r="AH1763" s="60" t="s">
        <v>382</v>
      </c>
      <c r="AI1763" s="61" t="n">
        <f aca="false">(T1763*(1-Painel!$C$40)+U1763+V1763+Painel!$C$41+Painel!$C$42*CEILING(G1763/100,1)+Painel!$C$43*CEILING(G1763,1)+Z1763)/(1-Resumo!$B$5)</f>
        <v>97.4870113636364</v>
      </c>
      <c r="AJ1763" s="60" t="str">
        <f aca="false">IF(AI1763&lt;S1763,"SIM","NÃO")</f>
        <v>SIM</v>
      </c>
    </row>
    <row r="1764" customFormat="false" ht="15" hidden="false" customHeight="false" outlineLevel="0" collapsed="false">
      <c r="A1764" s="59" t="n">
        <v>46277.910787037</v>
      </c>
      <c r="B1764" s="60" t="s">
        <v>1970</v>
      </c>
      <c r="C1764" s="60" t="n">
        <v>27347370</v>
      </c>
      <c r="D1764" s="60" t="s">
        <v>293</v>
      </c>
      <c r="E1764" s="60" t="s">
        <v>24</v>
      </c>
      <c r="F1764" s="60" t="s">
        <v>237</v>
      </c>
      <c r="G1764" s="60" t="n">
        <v>63.9</v>
      </c>
      <c r="H1764" s="61" t="n">
        <v>716.35</v>
      </c>
      <c r="I1764" s="61" t="n">
        <v>90.2</v>
      </c>
      <c r="J1764" s="61" t="n">
        <f aca="false">H1764*Resumo!$C$6</f>
        <v>0</v>
      </c>
      <c r="K1764" s="61" t="n">
        <f aca="false">H1764*Resumo!$C$7</f>
        <v>1.504335</v>
      </c>
      <c r="L1764" s="61" t="n">
        <f aca="false">H1764*Resumo!$C$8</f>
        <v>1.504335</v>
      </c>
      <c r="M1764" s="61" t="n">
        <f aca="false">Resumo!$C$10*CEILING(G1764/100,1)</f>
        <v>1.05</v>
      </c>
      <c r="N1764" s="61" t="n">
        <f aca="false">Resumo!$C$9</f>
        <v>0</v>
      </c>
      <c r="O1764" s="61" t="n">
        <f aca="false">Resumo!$C$13</f>
        <v>13.55</v>
      </c>
      <c r="P1764" s="61" t="n">
        <f aca="false">Resumo!$C$14*CEILING(G1764,1)</f>
        <v>28.8</v>
      </c>
      <c r="Q1764" s="61" t="n">
        <f aca="false">SUM(I1764:P1764)*Resumo!$C$11</f>
        <v>0</v>
      </c>
      <c r="R1764" s="61" t="n">
        <f aca="false">SUM(I1764:Q1764)</f>
        <v>136.60867</v>
      </c>
      <c r="S1764" s="61" t="n">
        <f aca="false">R1764/(1-Resumo!$C$5)</f>
        <v>155.237125</v>
      </c>
      <c r="T1764" s="61" t="n">
        <v>166.05</v>
      </c>
      <c r="U1764" s="61" t="n">
        <f aca="false">H1764*Resumo!$B$6</f>
        <v>0.71635</v>
      </c>
      <c r="V1764" s="61" t="n">
        <f aca="false">H1764*Resumo!$B$7</f>
        <v>1.4327</v>
      </c>
      <c r="W1764" s="61" t="n">
        <f aca="false">Resumo!$B$9</f>
        <v>1</v>
      </c>
      <c r="X1764" s="61" t="n">
        <f aca="false">Resumo!$B$10*CEILING(G1764/100,1)</f>
        <v>4.5</v>
      </c>
      <c r="Y1764" s="61" t="n">
        <f aca="false">Resumo!$B$12*CEILING(G1764,1)</f>
        <v>3.84</v>
      </c>
      <c r="Z1764" s="61" t="n">
        <f aca="false">Resumo!$B$14*CEILING(G1764,1)</f>
        <v>28.8</v>
      </c>
      <c r="AA1764" s="61" t="n">
        <f aca="false">SUM(T1764:Z1764)</f>
        <v>206.33905</v>
      </c>
      <c r="AB1764" s="61" t="n">
        <f aca="false">AA1764/(1-Resumo!$B$5)</f>
        <v>234.476193181818</v>
      </c>
      <c r="AC1764" s="61" t="n">
        <f aca="false">AB1764-S1764</f>
        <v>79.2390681818182</v>
      </c>
      <c r="AD1764" s="62" t="n">
        <f aca="false">AB1764/S1764-1</f>
        <v>0.51043890552481</v>
      </c>
      <c r="AE1764" s="60" t="str">
        <f aca="false">IF(AB1764&lt;S1764,"SIM","NÃO")</f>
        <v>NÃO</v>
      </c>
      <c r="AF1764" s="60" t="n">
        <v>13</v>
      </c>
      <c r="AG1764" s="60" t="n">
        <v>10</v>
      </c>
      <c r="AH1764" s="60" t="s">
        <v>385</v>
      </c>
      <c r="AI1764" s="61" t="n">
        <f aca="false">(T1764*(1-Painel!$C$40)+U1764+V1764+Painel!$C$41+Painel!$C$42*CEILING(G1764/100,1)+Painel!$C$43*CEILING(G1764,1)+Z1764)/(1-Resumo!$B$5)</f>
        <v>163.923352272727</v>
      </c>
      <c r="AJ1764" s="60" t="str">
        <f aca="false">IF(AI1764&lt;S1764,"SIM","NÃO")</f>
        <v>NÃO</v>
      </c>
    </row>
    <row r="1765" customFormat="false" ht="15" hidden="false" customHeight="false" outlineLevel="0" collapsed="false">
      <c r="A1765" s="59" t="n">
        <v>46277.9111226852</v>
      </c>
      <c r="B1765" s="60" t="s">
        <v>1971</v>
      </c>
      <c r="C1765" s="60" t="n">
        <v>20960045</v>
      </c>
      <c r="D1765" s="60" t="s">
        <v>46</v>
      </c>
      <c r="E1765" s="60" t="s">
        <v>22</v>
      </c>
      <c r="F1765" s="60" t="s">
        <v>241</v>
      </c>
      <c r="G1765" s="60" t="n">
        <v>124.2</v>
      </c>
      <c r="H1765" s="61" t="n">
        <v>1699.99</v>
      </c>
      <c r="I1765" s="61" t="n">
        <v>120.59</v>
      </c>
      <c r="J1765" s="61" t="n">
        <f aca="false">H1765*Resumo!$C$6</f>
        <v>0</v>
      </c>
      <c r="K1765" s="61" t="n">
        <f aca="false">H1765*Resumo!$C$7</f>
        <v>3.569979</v>
      </c>
      <c r="L1765" s="61" t="n">
        <f aca="false">H1765*Resumo!$C$8</f>
        <v>3.569979</v>
      </c>
      <c r="M1765" s="61" t="n">
        <f aca="false">Resumo!$C$10*CEILING(G1765/100,1)</f>
        <v>2.1</v>
      </c>
      <c r="N1765" s="61" t="n">
        <f aca="false">Resumo!$C$9</f>
        <v>0</v>
      </c>
      <c r="O1765" s="61" t="n">
        <f aca="false">Resumo!$C$13</f>
        <v>13.55</v>
      </c>
      <c r="P1765" s="61" t="n">
        <f aca="false">Resumo!$C$14*CEILING(G1765,1)</f>
        <v>56.25</v>
      </c>
      <c r="Q1765" s="61" t="n">
        <f aca="false">SUM(I1765:P1765)*Resumo!$C$11</f>
        <v>0</v>
      </c>
      <c r="R1765" s="61" t="n">
        <f aca="false">SUM(I1765:Q1765)</f>
        <v>199.629958</v>
      </c>
      <c r="S1765" s="61" t="n">
        <f aca="false">R1765/(1-Resumo!$C$5)</f>
        <v>226.852225</v>
      </c>
      <c r="T1765" s="61" t="n">
        <v>239.25</v>
      </c>
      <c r="U1765" s="61" t="n">
        <f aca="false">H1765*Resumo!$B$6</f>
        <v>1.69999</v>
      </c>
      <c r="V1765" s="61" t="n">
        <f aca="false">H1765*Resumo!$B$7</f>
        <v>3.39998</v>
      </c>
      <c r="W1765" s="61" t="n">
        <f aca="false">Resumo!$B$9</f>
        <v>1</v>
      </c>
      <c r="X1765" s="61" t="n">
        <f aca="false">Resumo!$B$10*CEILING(G1765/100,1)</f>
        <v>9</v>
      </c>
      <c r="Y1765" s="61" t="n">
        <f aca="false">Resumo!$B$12*CEILING(G1765,1)</f>
        <v>7.5</v>
      </c>
      <c r="Z1765" s="61" t="n">
        <f aca="false">Resumo!$B$14*CEILING(G1765,1)</f>
        <v>56.25</v>
      </c>
      <c r="AA1765" s="61" t="n">
        <f aca="false">SUM(T1765:Z1765)</f>
        <v>318.09997</v>
      </c>
      <c r="AB1765" s="61" t="n">
        <f aca="false">AA1765/(1-Resumo!$B$5)</f>
        <v>361.477238636364</v>
      </c>
      <c r="AC1765" s="61" t="n">
        <f aca="false">AB1765-S1765</f>
        <v>134.625013636364</v>
      </c>
      <c r="AD1765" s="62" t="n">
        <f aca="false">AB1765/S1765-1</f>
        <v>0.593448063541645</v>
      </c>
      <c r="AE1765" s="60" t="str">
        <f aca="false">IF(AB1765&lt;S1765,"SIM","NÃO")</f>
        <v>NÃO</v>
      </c>
      <c r="AF1765" s="60" t="n">
        <v>2</v>
      </c>
      <c r="AG1765" s="60" t="n">
        <v>5</v>
      </c>
      <c r="AH1765" s="60" t="s">
        <v>382</v>
      </c>
      <c r="AI1765" s="61" t="n">
        <f aca="false">(T1765*(1-Painel!$C$40)+U1765+V1765+Painel!$C$41+Painel!$C$42*CEILING(G1765/100,1)+Painel!$C$43*CEILING(G1765,1)+Z1765)/(1-Resumo!$B$5)</f>
        <v>255.394852272727</v>
      </c>
      <c r="AJ1765" s="60" t="str">
        <f aca="false">IF(AI1765&lt;S1765,"SIM","NÃO")</f>
        <v>NÃO</v>
      </c>
    </row>
    <row r="1766" customFormat="false" ht="15" hidden="false" customHeight="false" outlineLevel="0" collapsed="false">
      <c r="A1766" s="59" t="n">
        <v>46277.9438194444</v>
      </c>
      <c r="B1766" s="60" t="s">
        <v>1972</v>
      </c>
      <c r="C1766" s="60" t="n">
        <v>24330060</v>
      </c>
      <c r="D1766" s="60" t="s">
        <v>50</v>
      </c>
      <c r="E1766" s="60" t="s">
        <v>23</v>
      </c>
      <c r="F1766" s="60" t="s">
        <v>236</v>
      </c>
      <c r="G1766" s="60" t="n">
        <v>52.3</v>
      </c>
      <c r="H1766" s="61" t="n">
        <v>645.14</v>
      </c>
      <c r="I1766" s="61" t="n">
        <v>70.98</v>
      </c>
      <c r="J1766" s="61" t="n">
        <f aca="false">H1766*Resumo!$C$6</f>
        <v>0</v>
      </c>
      <c r="K1766" s="61" t="n">
        <f aca="false">H1766*Resumo!$C$7</f>
        <v>1.354794</v>
      </c>
      <c r="L1766" s="61" t="n">
        <f aca="false">H1766*Resumo!$C$8</f>
        <v>1.354794</v>
      </c>
      <c r="M1766" s="61" t="n">
        <f aca="false">Resumo!$C$10*CEILING(G1766/100,1)</f>
        <v>1.05</v>
      </c>
      <c r="N1766" s="61" t="n">
        <f aca="false">Resumo!$C$9</f>
        <v>0</v>
      </c>
      <c r="O1766" s="61" t="n">
        <f aca="false">Resumo!$C$13</f>
        <v>13.55</v>
      </c>
      <c r="P1766" s="61" t="n">
        <f aca="false">Resumo!$C$14*CEILING(G1766,1)</f>
        <v>23.85</v>
      </c>
      <c r="Q1766" s="61" t="n">
        <f aca="false">SUM(I1766:P1766)*Resumo!$C$11</f>
        <v>0</v>
      </c>
      <c r="R1766" s="61" t="n">
        <f aca="false">SUM(I1766:Q1766)</f>
        <v>112.139588</v>
      </c>
      <c r="S1766" s="61" t="n">
        <f aca="false">R1766/(1-Resumo!$C$5)</f>
        <v>127.43135</v>
      </c>
      <c r="T1766" s="61" t="n">
        <v>128.14</v>
      </c>
      <c r="U1766" s="61" t="n">
        <f aca="false">H1766*Resumo!$B$6</f>
        <v>0.64514</v>
      </c>
      <c r="V1766" s="61" t="n">
        <f aca="false">H1766*Resumo!$B$7</f>
        <v>1.29028</v>
      </c>
      <c r="W1766" s="61" t="n">
        <f aca="false">Resumo!$B$9</f>
        <v>1</v>
      </c>
      <c r="X1766" s="61" t="n">
        <f aca="false">Resumo!$B$10*CEILING(G1766/100,1)</f>
        <v>4.5</v>
      </c>
      <c r="Y1766" s="61" t="n">
        <f aca="false">Resumo!$B$12*CEILING(G1766,1)</f>
        <v>3.18</v>
      </c>
      <c r="Z1766" s="61" t="n">
        <f aca="false">Resumo!$B$14*CEILING(G1766,1)</f>
        <v>23.85</v>
      </c>
      <c r="AA1766" s="61" t="n">
        <f aca="false">SUM(T1766:Z1766)</f>
        <v>162.60542</v>
      </c>
      <c r="AB1766" s="61" t="n">
        <f aca="false">AA1766/(1-Resumo!$B$5)</f>
        <v>184.778886363636</v>
      </c>
      <c r="AC1766" s="61" t="n">
        <f aca="false">AB1766-S1766</f>
        <v>57.3475363636363</v>
      </c>
      <c r="AD1766" s="62" t="n">
        <f aca="false">AB1766/S1766-1</f>
        <v>0.45002690753599</v>
      </c>
      <c r="AE1766" s="60" t="str">
        <f aca="false">IF(AB1766&lt;S1766,"SIM","NÃO")</f>
        <v>NÃO</v>
      </c>
      <c r="AF1766" s="60" t="n">
        <v>2</v>
      </c>
      <c r="AG1766" s="60" t="n">
        <v>7</v>
      </c>
      <c r="AH1766" s="60" t="s">
        <v>382</v>
      </c>
      <c r="AI1766" s="61" t="n">
        <f aca="false">(T1766*(1-Painel!$C$40)+U1766+V1766+Painel!$C$41+Painel!$C$42*CEILING(G1766/100,1)+Painel!$C$43*CEILING(G1766,1)+Z1766)/(1-Resumo!$B$5)</f>
        <v>129.192295454545</v>
      </c>
      <c r="AJ1766" s="60" t="str">
        <f aca="false">IF(AI1766&lt;S1766,"SIM","NÃO")</f>
        <v>NÃO</v>
      </c>
    </row>
    <row r="1767" customFormat="false" ht="15" hidden="false" customHeight="false" outlineLevel="0" collapsed="false">
      <c r="A1767" s="59" t="n">
        <v>46278.0131134259</v>
      </c>
      <c r="B1767" s="60" t="s">
        <v>1973</v>
      </c>
      <c r="C1767" s="60" t="n">
        <v>24460310</v>
      </c>
      <c r="D1767" s="60" t="s">
        <v>47</v>
      </c>
      <c r="E1767" s="60" t="s">
        <v>23</v>
      </c>
      <c r="F1767" s="60" t="s">
        <v>237</v>
      </c>
      <c r="G1767" s="60" t="n">
        <v>66.8</v>
      </c>
      <c r="H1767" s="61" t="n">
        <v>719.99</v>
      </c>
      <c r="I1767" s="61" t="n">
        <v>76.55</v>
      </c>
      <c r="J1767" s="61" t="n">
        <f aca="false">H1767*Resumo!$C$6</f>
        <v>0</v>
      </c>
      <c r="K1767" s="61" t="n">
        <f aca="false">H1767*Resumo!$C$7</f>
        <v>1.511979</v>
      </c>
      <c r="L1767" s="61" t="n">
        <f aca="false">H1767*Resumo!$C$8</f>
        <v>1.511979</v>
      </c>
      <c r="M1767" s="61" t="n">
        <f aca="false">Resumo!$C$10*CEILING(G1767/100,1)</f>
        <v>1.05</v>
      </c>
      <c r="N1767" s="61" t="n">
        <f aca="false">Resumo!$C$9</f>
        <v>0</v>
      </c>
      <c r="O1767" s="61" t="n">
        <f aca="false">Resumo!$C$13</f>
        <v>13.55</v>
      </c>
      <c r="P1767" s="61" t="n">
        <f aca="false">Resumo!$C$14*CEILING(G1767,1)</f>
        <v>30.15</v>
      </c>
      <c r="Q1767" s="61" t="n">
        <f aca="false">SUM(I1767:P1767)*Resumo!$C$11</f>
        <v>0</v>
      </c>
      <c r="R1767" s="61" t="n">
        <f aca="false">SUM(I1767:Q1767)</f>
        <v>124.323958</v>
      </c>
      <c r="S1767" s="61" t="n">
        <f aca="false">R1767/(1-Resumo!$C$5)</f>
        <v>141.277225</v>
      </c>
      <c r="T1767" s="61" t="n">
        <v>149.5</v>
      </c>
      <c r="U1767" s="61" t="n">
        <f aca="false">H1767*Resumo!$B$6</f>
        <v>0.71999</v>
      </c>
      <c r="V1767" s="61" t="n">
        <f aca="false">H1767*Resumo!$B$7</f>
        <v>1.43998</v>
      </c>
      <c r="W1767" s="61" t="n">
        <f aca="false">Resumo!$B$9</f>
        <v>1</v>
      </c>
      <c r="X1767" s="61" t="n">
        <f aca="false">Resumo!$B$10*CEILING(G1767/100,1)</f>
        <v>4.5</v>
      </c>
      <c r="Y1767" s="61" t="n">
        <f aca="false">Resumo!$B$12*CEILING(G1767,1)</f>
        <v>4.02</v>
      </c>
      <c r="Z1767" s="61" t="n">
        <f aca="false">Resumo!$B$14*CEILING(G1767,1)</f>
        <v>30.15</v>
      </c>
      <c r="AA1767" s="61" t="n">
        <f aca="false">SUM(T1767:Z1767)</f>
        <v>191.32997</v>
      </c>
      <c r="AB1767" s="61" t="n">
        <f aca="false">AA1767/(1-Resumo!$B$5)</f>
        <v>217.420420454545</v>
      </c>
      <c r="AC1767" s="61" t="n">
        <f aca="false">AB1767-S1767</f>
        <v>76.1431954545454</v>
      </c>
      <c r="AD1767" s="62" t="n">
        <f aca="false">AB1767/S1767-1</f>
        <v>0.538962988935729</v>
      </c>
      <c r="AE1767" s="60" t="str">
        <f aca="false">IF(AB1767&lt;S1767,"SIM","NÃO")</f>
        <v>NÃO</v>
      </c>
      <c r="AF1767" s="60" t="n">
        <v>2</v>
      </c>
      <c r="AG1767" s="60" t="n">
        <v>7</v>
      </c>
      <c r="AH1767" s="60" t="s">
        <v>382</v>
      </c>
      <c r="AI1767" s="61" t="n">
        <f aca="false">(T1767*(1-Painel!$C$40)+U1767+V1767+Painel!$C$41+Painel!$C$42*CEILING(G1767/100,1)+Painel!$C$43*CEILING(G1767,1)+Z1767)/(1-Resumo!$B$5)</f>
        <v>152.869284090909</v>
      </c>
      <c r="AJ1767" s="60" t="str">
        <f aca="false">IF(AI1767&lt;S1767,"SIM","NÃO")</f>
        <v>NÃO</v>
      </c>
    </row>
    <row r="1768" customFormat="false" ht="15" hidden="false" customHeight="false" outlineLevel="0" collapsed="false">
      <c r="A1768" s="59" t="n">
        <v>46278.2715856481</v>
      </c>
      <c r="B1768" s="60" t="s">
        <v>1974</v>
      </c>
      <c r="C1768" s="60" t="n">
        <v>21921525</v>
      </c>
      <c r="D1768" s="60" t="s">
        <v>46</v>
      </c>
      <c r="E1768" s="60" t="s">
        <v>22</v>
      </c>
      <c r="F1768" s="60" t="s">
        <v>236</v>
      </c>
      <c r="G1768" s="60" t="n">
        <v>52.3</v>
      </c>
      <c r="H1768" s="61" t="n">
        <v>645.14</v>
      </c>
      <c r="I1768" s="61" t="n">
        <v>58.6</v>
      </c>
      <c r="J1768" s="61" t="n">
        <f aca="false">H1768*Resumo!$C$6</f>
        <v>0</v>
      </c>
      <c r="K1768" s="61" t="n">
        <f aca="false">H1768*Resumo!$C$7</f>
        <v>1.354794</v>
      </c>
      <c r="L1768" s="61" t="n">
        <f aca="false">H1768*Resumo!$C$8</f>
        <v>1.354794</v>
      </c>
      <c r="M1768" s="61" t="n">
        <f aca="false">Resumo!$C$10*CEILING(G1768/100,1)</f>
        <v>1.05</v>
      </c>
      <c r="N1768" s="61" t="n">
        <f aca="false">Resumo!$C$9</f>
        <v>0</v>
      </c>
      <c r="O1768" s="61" t="n">
        <f aca="false">Resumo!$C$13</f>
        <v>13.55</v>
      </c>
      <c r="P1768" s="61" t="n">
        <f aca="false">Resumo!$C$14*CEILING(G1768,1)</f>
        <v>23.85</v>
      </c>
      <c r="Q1768" s="61" t="n">
        <f aca="false">SUM(I1768:P1768)*Resumo!$C$11</f>
        <v>0</v>
      </c>
      <c r="R1768" s="61" t="n">
        <f aca="false">SUM(I1768:Q1768)</f>
        <v>99.759588</v>
      </c>
      <c r="S1768" s="61" t="n">
        <f aca="false">R1768/(1-Resumo!$C$5)</f>
        <v>113.363168181818</v>
      </c>
      <c r="T1768" s="61" t="n">
        <v>112.3</v>
      </c>
      <c r="U1768" s="61" t="n">
        <f aca="false">H1768*Resumo!$B$6</f>
        <v>0.64514</v>
      </c>
      <c r="V1768" s="61" t="n">
        <f aca="false">H1768*Resumo!$B$7</f>
        <v>1.29028</v>
      </c>
      <c r="W1768" s="61" t="n">
        <f aca="false">Resumo!$B$9</f>
        <v>1</v>
      </c>
      <c r="X1768" s="61" t="n">
        <f aca="false">Resumo!$B$10*CEILING(G1768/100,1)</f>
        <v>4.5</v>
      </c>
      <c r="Y1768" s="61" t="n">
        <f aca="false">Resumo!$B$12*CEILING(G1768,1)</f>
        <v>3.18</v>
      </c>
      <c r="Z1768" s="61" t="n">
        <f aca="false">Resumo!$B$14*CEILING(G1768,1)</f>
        <v>23.85</v>
      </c>
      <c r="AA1768" s="61" t="n">
        <f aca="false">SUM(T1768:Z1768)</f>
        <v>146.76542</v>
      </c>
      <c r="AB1768" s="61" t="n">
        <f aca="false">AA1768/(1-Resumo!$B$5)</f>
        <v>166.778886363636</v>
      </c>
      <c r="AC1768" s="61" t="n">
        <f aca="false">AB1768-S1768</f>
        <v>53.4157181818182</v>
      </c>
      <c r="AD1768" s="62" t="n">
        <f aca="false">AB1768/S1768-1</f>
        <v>0.471191119995403</v>
      </c>
      <c r="AE1768" s="60" t="str">
        <f aca="false">IF(AB1768&lt;S1768,"SIM","NÃO")</f>
        <v>NÃO</v>
      </c>
      <c r="AF1768" s="60" t="n">
        <v>2</v>
      </c>
      <c r="AG1768" s="60" t="n">
        <v>5</v>
      </c>
      <c r="AH1768" s="60" t="s">
        <v>382</v>
      </c>
      <c r="AI1768" s="61" t="n">
        <f aca="false">(T1768*(1-Painel!$C$40)+U1768+V1768+Painel!$C$41+Painel!$C$42*CEILING(G1768/100,1)+Painel!$C$43*CEILING(G1768,1)+Z1768)/(1-Resumo!$B$5)</f>
        <v>117.132295454545</v>
      </c>
      <c r="AJ1768" s="60" t="str">
        <f aca="false">IF(AI1768&lt;S1768,"SIM","NÃO")</f>
        <v>NÃO</v>
      </c>
    </row>
    <row r="1769" customFormat="false" ht="15" hidden="false" customHeight="false" outlineLevel="0" collapsed="false">
      <c r="A1769" s="59" t="n">
        <v>46278.3925925926</v>
      </c>
      <c r="B1769" s="60" t="s">
        <v>1975</v>
      </c>
      <c r="C1769" s="60" t="n">
        <v>24717070</v>
      </c>
      <c r="D1769" s="60" t="s">
        <v>47</v>
      </c>
      <c r="E1769" s="60" t="s">
        <v>23</v>
      </c>
      <c r="F1769" s="60" t="s">
        <v>233</v>
      </c>
      <c r="G1769" s="60" t="n">
        <v>33</v>
      </c>
      <c r="H1769" s="61" t="n">
        <v>344.13</v>
      </c>
      <c r="I1769" s="61" t="n">
        <v>58.8</v>
      </c>
      <c r="J1769" s="61" t="n">
        <f aca="false">H1769*Resumo!$C$6</f>
        <v>0</v>
      </c>
      <c r="K1769" s="61" t="n">
        <f aca="false">H1769*Resumo!$C$7</f>
        <v>0.722673</v>
      </c>
      <c r="L1769" s="61" t="n">
        <f aca="false">H1769*Resumo!$C$8</f>
        <v>0.722673</v>
      </c>
      <c r="M1769" s="61" t="n">
        <f aca="false">Resumo!$C$10*CEILING(G1769/100,1)</f>
        <v>1.05</v>
      </c>
      <c r="N1769" s="61" t="n">
        <f aca="false">Resumo!$C$9</f>
        <v>0</v>
      </c>
      <c r="O1769" s="61" t="n">
        <f aca="false">Resumo!$C$13</f>
        <v>13.55</v>
      </c>
      <c r="P1769" s="61" t="n">
        <f aca="false">Resumo!$C$14*CEILING(G1769,1)</f>
        <v>14.85</v>
      </c>
      <c r="Q1769" s="61" t="n">
        <f aca="false">SUM(I1769:P1769)*Resumo!$C$11</f>
        <v>0</v>
      </c>
      <c r="R1769" s="61" t="n">
        <f aca="false">SUM(I1769:Q1769)</f>
        <v>89.695346</v>
      </c>
      <c r="S1769" s="61" t="n">
        <f aca="false">R1769/(1-Resumo!$C$5)</f>
        <v>101.926529545455</v>
      </c>
      <c r="T1769" s="61" t="n">
        <v>100.58</v>
      </c>
      <c r="U1769" s="61" t="n">
        <f aca="false">H1769*Resumo!$B$6</f>
        <v>0.34413</v>
      </c>
      <c r="V1769" s="61" t="n">
        <f aca="false">H1769*Resumo!$B$7</f>
        <v>0.68826</v>
      </c>
      <c r="W1769" s="61" t="n">
        <f aca="false">Resumo!$B$9</f>
        <v>1</v>
      </c>
      <c r="X1769" s="61" t="n">
        <f aca="false">Resumo!$B$10*CEILING(G1769/100,1)</f>
        <v>4.5</v>
      </c>
      <c r="Y1769" s="61" t="n">
        <f aca="false">Resumo!$B$12*CEILING(G1769,1)</f>
        <v>1.98</v>
      </c>
      <c r="Z1769" s="61" t="n">
        <f aca="false">Resumo!$B$14*CEILING(G1769,1)</f>
        <v>14.85</v>
      </c>
      <c r="AA1769" s="61" t="n">
        <f aca="false">SUM(T1769:Z1769)</f>
        <v>123.94239</v>
      </c>
      <c r="AB1769" s="61" t="n">
        <f aca="false">AA1769/(1-Resumo!$B$5)</f>
        <v>140.843625</v>
      </c>
      <c r="AC1769" s="61" t="n">
        <f aca="false">AB1769-S1769</f>
        <v>38.9170954545454</v>
      </c>
      <c r="AD1769" s="62" t="n">
        <f aca="false">AB1769/S1769-1</f>
        <v>0.381815172439382</v>
      </c>
      <c r="AE1769" s="60" t="str">
        <f aca="false">IF(AB1769&lt;S1769,"SIM","NÃO")</f>
        <v>NÃO</v>
      </c>
      <c r="AF1769" s="60" t="n">
        <v>2</v>
      </c>
      <c r="AG1769" s="60" t="n">
        <v>7</v>
      </c>
      <c r="AH1769" s="60" t="s">
        <v>382</v>
      </c>
      <c r="AI1769" s="61" t="n">
        <f aca="false">(T1769*(1-Painel!$C$40)+U1769+V1769+Painel!$C$41+Painel!$C$42*CEILING(G1769/100,1)+Painel!$C$43*CEILING(G1769,1)+Z1769)/(1-Resumo!$B$5)</f>
        <v>96.9556704545455</v>
      </c>
      <c r="AJ1769" s="60" t="str">
        <f aca="false">IF(AI1769&lt;S1769,"SIM","NÃO")</f>
        <v>SIM</v>
      </c>
    </row>
    <row r="1770" customFormat="false" ht="15" hidden="false" customHeight="false" outlineLevel="0" collapsed="false">
      <c r="A1770" s="59" t="n">
        <v>46278.3935069444</v>
      </c>
      <c r="B1770" s="60" t="s">
        <v>1736</v>
      </c>
      <c r="C1770" s="60" t="n">
        <v>22745270</v>
      </c>
      <c r="D1770" s="60" t="s">
        <v>46</v>
      </c>
      <c r="E1770" s="60" t="s">
        <v>22</v>
      </c>
      <c r="F1770" s="60" t="s">
        <v>237</v>
      </c>
      <c r="G1770" s="60" t="n">
        <v>69.15</v>
      </c>
      <c r="H1770" s="61" t="n">
        <v>740.03</v>
      </c>
      <c r="I1770" s="61" t="n">
        <v>63.21</v>
      </c>
      <c r="J1770" s="61" t="n">
        <f aca="false">H1770*Resumo!$C$6</f>
        <v>0</v>
      </c>
      <c r="K1770" s="61" t="n">
        <f aca="false">H1770*Resumo!$C$7</f>
        <v>1.554063</v>
      </c>
      <c r="L1770" s="61" t="n">
        <f aca="false">H1770*Resumo!$C$8</f>
        <v>1.554063</v>
      </c>
      <c r="M1770" s="61" t="n">
        <f aca="false">Resumo!$C$10*CEILING(G1770/100,1)</f>
        <v>1.05</v>
      </c>
      <c r="N1770" s="61" t="n">
        <f aca="false">Resumo!$C$9</f>
        <v>0</v>
      </c>
      <c r="O1770" s="61" t="n">
        <f aca="false">Resumo!$C$13</f>
        <v>13.55</v>
      </c>
      <c r="P1770" s="61" t="n">
        <f aca="false">Resumo!$C$14*CEILING(G1770,1)</f>
        <v>31.5</v>
      </c>
      <c r="Q1770" s="61" t="n">
        <f aca="false">SUM(I1770:P1770)*Resumo!$C$11</f>
        <v>0</v>
      </c>
      <c r="R1770" s="61" t="n">
        <f aca="false">SUM(I1770:Q1770)</f>
        <v>112.418126</v>
      </c>
      <c r="S1770" s="61" t="n">
        <f aca="false">R1770/(1-Resumo!$C$5)</f>
        <v>127.747870454545</v>
      </c>
      <c r="T1770" s="61" t="n">
        <v>131.02</v>
      </c>
      <c r="U1770" s="61" t="n">
        <f aca="false">H1770*Resumo!$B$6</f>
        <v>0.74003</v>
      </c>
      <c r="V1770" s="61" t="n">
        <f aca="false">H1770*Resumo!$B$7</f>
        <v>1.48006</v>
      </c>
      <c r="W1770" s="61" t="n">
        <f aca="false">Resumo!$B$9</f>
        <v>1</v>
      </c>
      <c r="X1770" s="61" t="n">
        <f aca="false">Resumo!$B$10*CEILING(G1770/100,1)</f>
        <v>4.5</v>
      </c>
      <c r="Y1770" s="61" t="n">
        <f aca="false">Resumo!$B$12*CEILING(G1770,1)</f>
        <v>4.2</v>
      </c>
      <c r="Z1770" s="61" t="n">
        <f aca="false">Resumo!$B$14*CEILING(G1770,1)</f>
        <v>31.5</v>
      </c>
      <c r="AA1770" s="61" t="n">
        <f aca="false">SUM(T1770:Z1770)</f>
        <v>174.44009</v>
      </c>
      <c r="AB1770" s="61" t="n">
        <f aca="false">AA1770/(1-Resumo!$B$5)</f>
        <v>198.227375</v>
      </c>
      <c r="AC1770" s="61" t="n">
        <f aca="false">AB1770-S1770</f>
        <v>70.4795045454546</v>
      </c>
      <c r="AD1770" s="62" t="n">
        <f aca="false">AB1770/S1770-1</f>
        <v>0.551707862484739</v>
      </c>
      <c r="AE1770" s="60" t="str">
        <f aca="false">IF(AB1770&lt;S1770,"SIM","NÃO")</f>
        <v>NÃO</v>
      </c>
      <c r="AF1770" s="60" t="n">
        <v>2</v>
      </c>
      <c r="AG1770" s="60" t="n">
        <v>5</v>
      </c>
      <c r="AH1770" s="60" t="s">
        <v>382</v>
      </c>
      <c r="AI1770" s="61" t="n">
        <f aca="false">(T1770*(1-Painel!$C$40)+U1770+V1770+Painel!$C$41+Painel!$C$42*CEILING(G1770/100,1)+Painel!$C$43*CEILING(G1770,1)+Z1770)/(1-Resumo!$B$5)</f>
        <v>140.401693181818</v>
      </c>
      <c r="AJ1770" s="60" t="str">
        <f aca="false">IF(AI1770&lt;S1770,"SIM","NÃO")</f>
        <v>NÃO</v>
      </c>
    </row>
    <row r="1771" customFormat="false" ht="15" hidden="false" customHeight="false" outlineLevel="0" collapsed="false">
      <c r="A1771" s="59" t="n">
        <v>46278.4333796296</v>
      </c>
      <c r="B1771" s="60" t="s">
        <v>1976</v>
      </c>
      <c r="C1771" s="60" t="n">
        <v>22710092</v>
      </c>
      <c r="D1771" s="60" t="s">
        <v>46</v>
      </c>
      <c r="E1771" s="60" t="s">
        <v>22</v>
      </c>
      <c r="F1771" s="60" t="s">
        <v>233</v>
      </c>
      <c r="G1771" s="60" t="n">
        <v>31.9</v>
      </c>
      <c r="H1771" s="61" t="n">
        <v>599.99</v>
      </c>
      <c r="I1771" s="61" t="n">
        <v>42.11</v>
      </c>
      <c r="J1771" s="61" t="n">
        <f aca="false">H1771*Resumo!$C$6</f>
        <v>0</v>
      </c>
      <c r="K1771" s="61" t="n">
        <f aca="false">H1771*Resumo!$C$7</f>
        <v>1.259979</v>
      </c>
      <c r="L1771" s="61" t="n">
        <f aca="false">H1771*Resumo!$C$8</f>
        <v>1.259979</v>
      </c>
      <c r="M1771" s="61" t="n">
        <f aca="false">Resumo!$C$10*CEILING(G1771/100,1)</f>
        <v>1.05</v>
      </c>
      <c r="N1771" s="61" t="n">
        <f aca="false">Resumo!$C$9</f>
        <v>0</v>
      </c>
      <c r="O1771" s="61" t="n">
        <f aca="false">Resumo!$C$13</f>
        <v>13.55</v>
      </c>
      <c r="P1771" s="61" t="n">
        <f aca="false">Resumo!$C$14*CEILING(G1771,1)</f>
        <v>14.4</v>
      </c>
      <c r="Q1771" s="61" t="n">
        <f aca="false">SUM(I1771:P1771)*Resumo!$C$11</f>
        <v>0</v>
      </c>
      <c r="R1771" s="61" t="n">
        <f aca="false">SUM(I1771:Q1771)</f>
        <v>73.629958</v>
      </c>
      <c r="S1771" s="61" t="n">
        <f aca="false">R1771/(1-Resumo!$C$5)</f>
        <v>83.6704068181818</v>
      </c>
      <c r="T1771" s="61" t="n">
        <v>82.21</v>
      </c>
      <c r="U1771" s="61" t="n">
        <f aca="false">H1771*Resumo!$B$6</f>
        <v>0.59999</v>
      </c>
      <c r="V1771" s="61" t="n">
        <f aca="false">H1771*Resumo!$B$7</f>
        <v>1.19998</v>
      </c>
      <c r="W1771" s="61" t="n">
        <f aca="false">Resumo!$B$9</f>
        <v>1</v>
      </c>
      <c r="X1771" s="61" t="n">
        <f aca="false">Resumo!$B$10*CEILING(G1771/100,1)</f>
        <v>4.5</v>
      </c>
      <c r="Y1771" s="61" t="n">
        <f aca="false">Resumo!$B$12*CEILING(G1771,1)</f>
        <v>1.92</v>
      </c>
      <c r="Z1771" s="61" t="n">
        <f aca="false">Resumo!$B$14*CEILING(G1771,1)</f>
        <v>14.4</v>
      </c>
      <c r="AA1771" s="61" t="n">
        <f aca="false">SUM(T1771:Z1771)</f>
        <v>105.82997</v>
      </c>
      <c r="AB1771" s="61" t="n">
        <f aca="false">AA1771/(1-Resumo!$B$5)</f>
        <v>120.261329545455</v>
      </c>
      <c r="AC1771" s="61" t="n">
        <f aca="false">AB1771-S1771</f>
        <v>36.5909227272727</v>
      </c>
      <c r="AD1771" s="62" t="n">
        <f aca="false">AB1771/S1771-1</f>
        <v>0.437322156288613</v>
      </c>
      <c r="AE1771" s="60" t="str">
        <f aca="false">IF(AB1771&lt;S1771,"SIM","NÃO")</f>
        <v>NÃO</v>
      </c>
      <c r="AF1771" s="60" t="n">
        <v>2</v>
      </c>
      <c r="AG1771" s="60" t="n">
        <v>5</v>
      </c>
      <c r="AH1771" s="60" t="s">
        <v>382</v>
      </c>
      <c r="AI1771" s="61" t="n">
        <f aca="false">(T1771*(1-Painel!$C$40)+U1771+V1771+Painel!$C$41+Painel!$C$42*CEILING(G1771/100,1)+Painel!$C$43*CEILING(G1771,1)+Z1771)/(1-Resumo!$B$5)</f>
        <v>83.3303068181818</v>
      </c>
      <c r="AJ1771" s="60" t="str">
        <f aca="false">IF(AI1771&lt;S1771,"SIM","NÃO")</f>
        <v>SIM</v>
      </c>
    </row>
    <row r="1772" customFormat="false" ht="15" hidden="false" customHeight="false" outlineLevel="0" collapsed="false">
      <c r="A1772" s="59" t="n">
        <v>46278.481712963</v>
      </c>
      <c r="B1772" s="60" t="s">
        <v>1977</v>
      </c>
      <c r="C1772" s="60" t="n">
        <v>20760005</v>
      </c>
      <c r="D1772" s="60" t="s">
        <v>46</v>
      </c>
      <c r="E1772" s="60" t="s">
        <v>22</v>
      </c>
      <c r="F1772" s="60" t="s">
        <v>237</v>
      </c>
      <c r="G1772" s="60" t="n">
        <v>67.3</v>
      </c>
      <c r="H1772" s="61" t="n">
        <v>789.99</v>
      </c>
      <c r="I1772" s="61" t="n">
        <v>63.21</v>
      </c>
      <c r="J1772" s="61" t="n">
        <f aca="false">H1772*Resumo!$C$6</f>
        <v>0</v>
      </c>
      <c r="K1772" s="61" t="n">
        <f aca="false">H1772*Resumo!$C$7</f>
        <v>1.658979</v>
      </c>
      <c r="L1772" s="61" t="n">
        <f aca="false">H1772*Resumo!$C$8</f>
        <v>1.658979</v>
      </c>
      <c r="M1772" s="61" t="n">
        <f aca="false">Resumo!$C$10*CEILING(G1772/100,1)</f>
        <v>1.05</v>
      </c>
      <c r="N1772" s="61" t="n">
        <f aca="false">Resumo!$C$9</f>
        <v>0</v>
      </c>
      <c r="O1772" s="61" t="n">
        <f aca="false">Resumo!$C$13</f>
        <v>13.55</v>
      </c>
      <c r="P1772" s="61" t="n">
        <f aca="false">Resumo!$C$14*CEILING(G1772,1)</f>
        <v>30.6</v>
      </c>
      <c r="Q1772" s="61" t="n">
        <f aca="false">SUM(I1772:P1772)*Resumo!$C$11</f>
        <v>0</v>
      </c>
      <c r="R1772" s="61" t="n">
        <f aca="false">SUM(I1772:Q1772)</f>
        <v>111.727958</v>
      </c>
      <c r="S1772" s="61" t="n">
        <f aca="false">R1772/(1-Resumo!$C$5)</f>
        <v>126.963588636364</v>
      </c>
      <c r="T1772" s="61" t="n">
        <v>131.02</v>
      </c>
      <c r="U1772" s="61" t="n">
        <f aca="false">H1772*Resumo!$B$6</f>
        <v>0.78999</v>
      </c>
      <c r="V1772" s="61" t="n">
        <f aca="false">H1772*Resumo!$B$7</f>
        <v>1.57998</v>
      </c>
      <c r="W1772" s="61" t="n">
        <f aca="false">Resumo!$B$9</f>
        <v>1</v>
      </c>
      <c r="X1772" s="61" t="n">
        <f aca="false">Resumo!$B$10*CEILING(G1772/100,1)</f>
        <v>4.5</v>
      </c>
      <c r="Y1772" s="61" t="n">
        <f aca="false">Resumo!$B$12*CEILING(G1772,1)</f>
        <v>4.08</v>
      </c>
      <c r="Z1772" s="61" t="n">
        <f aca="false">Resumo!$B$14*CEILING(G1772,1)</f>
        <v>30.6</v>
      </c>
      <c r="AA1772" s="61" t="n">
        <f aca="false">SUM(T1772:Z1772)</f>
        <v>173.56997</v>
      </c>
      <c r="AB1772" s="61" t="n">
        <f aca="false">AA1772/(1-Resumo!$B$5)</f>
        <v>197.238602272727</v>
      </c>
      <c r="AC1772" s="61" t="n">
        <f aca="false">AB1772-S1772</f>
        <v>70.2750136363637</v>
      </c>
      <c r="AD1772" s="62" t="n">
        <f aca="false">AB1772/S1772-1</f>
        <v>0.553505256043434</v>
      </c>
      <c r="AE1772" s="60" t="str">
        <f aca="false">IF(AB1772&lt;S1772,"SIM","NÃO")</f>
        <v>NÃO</v>
      </c>
      <c r="AF1772" s="60" t="n">
        <v>2</v>
      </c>
      <c r="AG1772" s="60" t="n">
        <v>5</v>
      </c>
      <c r="AH1772" s="60" t="s">
        <v>382</v>
      </c>
      <c r="AI1772" s="61" t="n">
        <f aca="false">(T1772*(1-Painel!$C$40)+U1772+V1772+Painel!$C$41+Painel!$C$42*CEILING(G1772/100,1)+Painel!$C$43*CEILING(G1772,1)+Z1772)/(1-Resumo!$B$5)</f>
        <v>139.549284090909</v>
      </c>
      <c r="AJ1772" s="60" t="str">
        <f aca="false">IF(AI1772&lt;S1772,"SIM","NÃO")</f>
        <v>NÃO</v>
      </c>
    </row>
    <row r="1773" customFormat="false" ht="15" hidden="false" customHeight="false" outlineLevel="0" collapsed="false">
      <c r="A1773" s="59" t="n">
        <v>46278.4972685185</v>
      </c>
      <c r="B1773" s="60" t="s">
        <v>1159</v>
      </c>
      <c r="C1773" s="60" t="n">
        <v>21725180</v>
      </c>
      <c r="D1773" s="60" t="s">
        <v>46</v>
      </c>
      <c r="E1773" s="60" t="s">
        <v>22</v>
      </c>
      <c r="F1773" s="60" t="s">
        <v>236</v>
      </c>
      <c r="G1773" s="60" t="n">
        <v>52.3</v>
      </c>
      <c r="H1773" s="61" t="n">
        <v>609.99</v>
      </c>
      <c r="I1773" s="61" t="n">
        <v>58.6</v>
      </c>
      <c r="J1773" s="61" t="n">
        <f aca="false">H1773*Resumo!$C$6</f>
        <v>0</v>
      </c>
      <c r="K1773" s="61" t="n">
        <f aca="false">H1773*Resumo!$C$7</f>
        <v>1.280979</v>
      </c>
      <c r="L1773" s="61" t="n">
        <f aca="false">H1773*Resumo!$C$8</f>
        <v>1.280979</v>
      </c>
      <c r="M1773" s="61" t="n">
        <f aca="false">Resumo!$C$10*CEILING(G1773/100,1)</f>
        <v>1.05</v>
      </c>
      <c r="N1773" s="61" t="n">
        <f aca="false">Resumo!$C$9</f>
        <v>0</v>
      </c>
      <c r="O1773" s="61" t="n">
        <f aca="false">Resumo!$C$13</f>
        <v>13.55</v>
      </c>
      <c r="P1773" s="61" t="n">
        <f aca="false">Resumo!$C$14*CEILING(G1773,1)</f>
        <v>23.85</v>
      </c>
      <c r="Q1773" s="61" t="n">
        <f aca="false">SUM(I1773:P1773)*Resumo!$C$11</f>
        <v>0</v>
      </c>
      <c r="R1773" s="61" t="n">
        <f aca="false">SUM(I1773:Q1773)</f>
        <v>99.611958</v>
      </c>
      <c r="S1773" s="61" t="n">
        <f aca="false">R1773/(1-Resumo!$C$5)</f>
        <v>113.195406818182</v>
      </c>
      <c r="T1773" s="61" t="n">
        <v>112.3</v>
      </c>
      <c r="U1773" s="61" t="n">
        <f aca="false">H1773*Resumo!$B$6</f>
        <v>0.60999</v>
      </c>
      <c r="V1773" s="61" t="n">
        <f aca="false">H1773*Resumo!$B$7</f>
        <v>1.21998</v>
      </c>
      <c r="W1773" s="61" t="n">
        <f aca="false">Resumo!$B$9</f>
        <v>1</v>
      </c>
      <c r="X1773" s="61" t="n">
        <f aca="false">Resumo!$B$10*CEILING(G1773/100,1)</f>
        <v>4.5</v>
      </c>
      <c r="Y1773" s="61" t="n">
        <f aca="false">Resumo!$B$12*CEILING(G1773,1)</f>
        <v>3.18</v>
      </c>
      <c r="Z1773" s="61" t="n">
        <f aca="false">Resumo!$B$14*CEILING(G1773,1)</f>
        <v>23.85</v>
      </c>
      <c r="AA1773" s="61" t="n">
        <f aca="false">SUM(T1773:Z1773)</f>
        <v>146.65997</v>
      </c>
      <c r="AB1773" s="61" t="n">
        <f aca="false">AA1773/(1-Resumo!$B$5)</f>
        <v>166.659056818182</v>
      </c>
      <c r="AC1773" s="61" t="n">
        <f aca="false">AB1773-S1773</f>
        <v>53.46365</v>
      </c>
      <c r="AD1773" s="62" t="n">
        <f aca="false">AB1773/S1773-1</f>
        <v>0.472312892393903</v>
      </c>
      <c r="AE1773" s="60" t="str">
        <f aca="false">IF(AB1773&lt;S1773,"SIM","NÃO")</f>
        <v>NÃO</v>
      </c>
      <c r="AF1773" s="60" t="n">
        <v>2</v>
      </c>
      <c r="AG1773" s="60" t="n">
        <v>5</v>
      </c>
      <c r="AH1773" s="60" t="s">
        <v>382</v>
      </c>
      <c r="AI1773" s="61" t="n">
        <f aca="false">(T1773*(1-Painel!$C$40)+U1773+V1773+Painel!$C$41+Painel!$C$42*CEILING(G1773/100,1)+Painel!$C$43*CEILING(G1773,1)+Z1773)/(1-Resumo!$B$5)</f>
        <v>117.012465909091</v>
      </c>
      <c r="AJ1773" s="60" t="str">
        <f aca="false">IF(AI1773&lt;S1773,"SIM","NÃO")</f>
        <v>NÃO</v>
      </c>
    </row>
    <row r="1774" customFormat="false" ht="15" hidden="false" customHeight="false" outlineLevel="0" collapsed="false">
      <c r="A1774" s="59" t="n">
        <v>46278.5045833333</v>
      </c>
      <c r="B1774" s="60" t="s">
        <v>1978</v>
      </c>
      <c r="C1774" s="60" t="n">
        <v>20943000</v>
      </c>
      <c r="D1774" s="60" t="s">
        <v>46</v>
      </c>
      <c r="E1774" s="60" t="s">
        <v>22</v>
      </c>
      <c r="F1774" s="60" t="s">
        <v>234</v>
      </c>
      <c r="G1774" s="60" t="n">
        <v>37.2</v>
      </c>
      <c r="H1774" s="61" t="n">
        <v>399.99</v>
      </c>
      <c r="I1774" s="61" t="n">
        <v>48.35</v>
      </c>
      <c r="J1774" s="61" t="n">
        <f aca="false">H1774*Resumo!$C$6</f>
        <v>0</v>
      </c>
      <c r="K1774" s="61" t="n">
        <f aca="false">H1774*Resumo!$C$7</f>
        <v>0.839979</v>
      </c>
      <c r="L1774" s="61" t="n">
        <f aca="false">H1774*Resumo!$C$8</f>
        <v>0.839979</v>
      </c>
      <c r="M1774" s="61" t="n">
        <f aca="false">Resumo!$C$10*CEILING(G1774/100,1)</f>
        <v>1.05</v>
      </c>
      <c r="N1774" s="61" t="n">
        <f aca="false">Resumo!$C$9</f>
        <v>0</v>
      </c>
      <c r="O1774" s="61" t="n">
        <f aca="false">Resumo!$C$13</f>
        <v>13.55</v>
      </c>
      <c r="P1774" s="61" t="n">
        <f aca="false">Resumo!$C$14*CEILING(G1774,1)</f>
        <v>17.1</v>
      </c>
      <c r="Q1774" s="61" t="n">
        <f aca="false">SUM(I1774:P1774)*Resumo!$C$11</f>
        <v>0</v>
      </c>
      <c r="R1774" s="61" t="n">
        <f aca="false">SUM(I1774:Q1774)</f>
        <v>81.729958</v>
      </c>
      <c r="S1774" s="61" t="n">
        <f aca="false">R1774/(1-Resumo!$C$5)</f>
        <v>92.8749522727273</v>
      </c>
      <c r="T1774" s="61" t="n">
        <v>93.97</v>
      </c>
      <c r="U1774" s="61" t="n">
        <f aca="false">H1774*Resumo!$B$6</f>
        <v>0.39999</v>
      </c>
      <c r="V1774" s="61" t="n">
        <f aca="false">H1774*Resumo!$B$7</f>
        <v>0.79998</v>
      </c>
      <c r="W1774" s="61" t="n">
        <f aca="false">Resumo!$B$9</f>
        <v>1</v>
      </c>
      <c r="X1774" s="61" t="n">
        <f aca="false">Resumo!$B$10*CEILING(G1774/100,1)</f>
        <v>4.5</v>
      </c>
      <c r="Y1774" s="61" t="n">
        <f aca="false">Resumo!$B$12*CEILING(G1774,1)</f>
        <v>2.28</v>
      </c>
      <c r="Z1774" s="61" t="n">
        <f aca="false">Resumo!$B$14*CEILING(G1774,1)</f>
        <v>17.1</v>
      </c>
      <c r="AA1774" s="61" t="n">
        <f aca="false">SUM(T1774:Z1774)</f>
        <v>120.04997</v>
      </c>
      <c r="AB1774" s="61" t="n">
        <f aca="false">AA1774/(1-Resumo!$B$5)</f>
        <v>136.420420454545</v>
      </c>
      <c r="AC1774" s="61" t="n">
        <f aca="false">AB1774-S1774</f>
        <v>43.5454681818182</v>
      </c>
      <c r="AD1774" s="62" t="n">
        <f aca="false">AB1774/S1774-1</f>
        <v>0.468861271163262</v>
      </c>
      <c r="AE1774" s="60" t="str">
        <f aca="false">IF(AB1774&lt;S1774,"SIM","NÃO")</f>
        <v>NÃO</v>
      </c>
      <c r="AF1774" s="60" t="n">
        <v>2</v>
      </c>
      <c r="AG1774" s="60" t="n">
        <v>5</v>
      </c>
      <c r="AH1774" s="60" t="s">
        <v>382</v>
      </c>
      <c r="AI1774" s="61" t="n">
        <f aca="false">(T1774*(1-Painel!$C$40)+U1774+V1774+Painel!$C$41+Painel!$C$42*CEILING(G1774/100,1)+Painel!$C$43*CEILING(G1774,1)+Z1774)/(1-Resumo!$B$5)</f>
        <v>94.6703068181818</v>
      </c>
      <c r="AJ1774" s="60" t="str">
        <f aca="false">IF(AI1774&lt;S1774,"SIM","NÃO")</f>
        <v>NÃO</v>
      </c>
    </row>
    <row r="1775" customFormat="false" ht="15" hidden="false" customHeight="false" outlineLevel="0" collapsed="false">
      <c r="A1775" s="59" t="n">
        <v>46278.5187962963</v>
      </c>
      <c r="B1775" s="60" t="s">
        <v>1979</v>
      </c>
      <c r="C1775" s="60" t="n">
        <v>26053440</v>
      </c>
      <c r="D1775" s="60" t="s">
        <v>49</v>
      </c>
      <c r="E1775" s="60" t="s">
        <v>23</v>
      </c>
      <c r="F1775" s="60" t="s">
        <v>240</v>
      </c>
      <c r="G1775" s="60" t="n">
        <v>117</v>
      </c>
      <c r="H1775" s="61" t="n">
        <v>1201.97</v>
      </c>
      <c r="I1775" s="61" t="n">
        <v>101.26</v>
      </c>
      <c r="J1775" s="61" t="n">
        <f aca="false">H1775*Resumo!$C$6</f>
        <v>0</v>
      </c>
      <c r="K1775" s="61" t="n">
        <f aca="false">H1775*Resumo!$C$7</f>
        <v>2.524137</v>
      </c>
      <c r="L1775" s="61" t="n">
        <f aca="false">H1775*Resumo!$C$8</f>
        <v>2.524137</v>
      </c>
      <c r="M1775" s="61" t="n">
        <f aca="false">Resumo!$C$10*CEILING(G1775/100,1)</f>
        <v>2.1</v>
      </c>
      <c r="N1775" s="61" t="n">
        <f aca="false">Resumo!$C$9</f>
        <v>0</v>
      </c>
      <c r="O1775" s="61" t="n">
        <f aca="false">Resumo!$C$13</f>
        <v>13.55</v>
      </c>
      <c r="P1775" s="61" t="n">
        <f aca="false">Resumo!$C$14*CEILING(G1775,1)</f>
        <v>52.65</v>
      </c>
      <c r="Q1775" s="61" t="n">
        <f aca="false">SUM(I1775:P1775)*Resumo!$C$11</f>
        <v>0</v>
      </c>
      <c r="R1775" s="61" t="n">
        <f aca="false">SUM(I1775:Q1775)</f>
        <v>174.608274</v>
      </c>
      <c r="S1775" s="61" t="n">
        <f aca="false">R1775/(1-Resumo!$C$5)</f>
        <v>198.418493181818</v>
      </c>
      <c r="T1775" s="61" t="n">
        <v>201.59</v>
      </c>
      <c r="U1775" s="61" t="n">
        <f aca="false">H1775*Resumo!$B$6</f>
        <v>1.20197</v>
      </c>
      <c r="V1775" s="61" t="n">
        <f aca="false">H1775*Resumo!$B$7</f>
        <v>2.40394</v>
      </c>
      <c r="W1775" s="61" t="n">
        <f aca="false">Resumo!$B$9</f>
        <v>1</v>
      </c>
      <c r="X1775" s="61" t="n">
        <f aca="false">Resumo!$B$10*CEILING(G1775/100,1)</f>
        <v>9</v>
      </c>
      <c r="Y1775" s="61" t="n">
        <f aca="false">Resumo!$B$12*CEILING(G1775,1)</f>
        <v>7.02</v>
      </c>
      <c r="Z1775" s="61" t="n">
        <f aca="false">Resumo!$B$14*CEILING(G1775,1)</f>
        <v>52.65</v>
      </c>
      <c r="AA1775" s="61" t="n">
        <f aca="false">SUM(T1775:Z1775)</f>
        <v>274.86591</v>
      </c>
      <c r="AB1775" s="61" t="n">
        <f aca="false">AA1775/(1-Resumo!$B$5)</f>
        <v>312.347625</v>
      </c>
      <c r="AC1775" s="61" t="n">
        <f aca="false">AB1775-S1775</f>
        <v>113.929131818182</v>
      </c>
      <c r="AD1775" s="62" t="n">
        <f aca="false">AB1775/S1775-1</f>
        <v>0.574186054894512</v>
      </c>
      <c r="AE1775" s="60" t="str">
        <f aca="false">IF(AB1775&lt;S1775,"SIM","NÃO")</f>
        <v>NÃO</v>
      </c>
      <c r="AF1775" s="60" t="n">
        <v>2</v>
      </c>
      <c r="AG1775" s="60" t="n">
        <v>5</v>
      </c>
      <c r="AH1775" s="60" t="s">
        <v>382</v>
      </c>
      <c r="AI1775" s="61" t="n">
        <f aca="false">(T1775*(1-Painel!$C$40)+U1775+V1775+Painel!$C$41+Painel!$C$42*CEILING(G1775/100,1)+Painel!$C$43*CEILING(G1775,1)+Z1775)/(1-Resumo!$B$5)</f>
        <v>220.933193181818</v>
      </c>
      <c r="AJ1775" s="60" t="str">
        <f aca="false">IF(AI1775&lt;S1775,"SIM","NÃO")</f>
        <v>NÃO</v>
      </c>
    </row>
    <row r="1776" customFormat="false" ht="15" hidden="false" customHeight="false" outlineLevel="0" collapsed="false">
      <c r="A1776" s="59" t="n">
        <v>46278.5229513889</v>
      </c>
      <c r="B1776" s="60" t="s">
        <v>1980</v>
      </c>
      <c r="C1776" s="60" t="n">
        <v>27185000</v>
      </c>
      <c r="D1776" s="60" t="s">
        <v>291</v>
      </c>
      <c r="E1776" s="60" t="s">
        <v>24</v>
      </c>
      <c r="F1776" s="60" t="s">
        <v>233</v>
      </c>
      <c r="G1776" s="60" t="n">
        <v>30.5</v>
      </c>
      <c r="H1776" s="61" t="n">
        <v>449.99</v>
      </c>
      <c r="I1776" s="61" t="n">
        <v>65.63</v>
      </c>
      <c r="J1776" s="61" t="n">
        <f aca="false">H1776*Resumo!$C$6</f>
        <v>0</v>
      </c>
      <c r="K1776" s="61" t="n">
        <f aca="false">H1776*Resumo!$C$7</f>
        <v>0.944979</v>
      </c>
      <c r="L1776" s="61" t="n">
        <f aca="false">H1776*Resumo!$C$8</f>
        <v>0.944979</v>
      </c>
      <c r="M1776" s="61" t="n">
        <f aca="false">Resumo!$C$10*CEILING(G1776/100,1)</f>
        <v>1.05</v>
      </c>
      <c r="N1776" s="61" t="n">
        <f aca="false">Resumo!$C$9</f>
        <v>0</v>
      </c>
      <c r="O1776" s="61" t="n">
        <f aca="false">Resumo!$C$13</f>
        <v>13.55</v>
      </c>
      <c r="P1776" s="61" t="n">
        <f aca="false">Resumo!$C$14*CEILING(G1776,1)</f>
        <v>13.95</v>
      </c>
      <c r="Q1776" s="61" t="n">
        <f aca="false">SUM(I1776:P1776)*Resumo!$C$11</f>
        <v>0</v>
      </c>
      <c r="R1776" s="61" t="n">
        <f aca="false">SUM(I1776:Q1776)</f>
        <v>96.069958</v>
      </c>
      <c r="S1776" s="61" t="n">
        <f aca="false">R1776/(1-Resumo!$C$5)</f>
        <v>109.170406818182</v>
      </c>
      <c r="T1776" s="61" t="n">
        <v>108.83</v>
      </c>
      <c r="U1776" s="61" t="n">
        <f aca="false">H1776*Resumo!$B$6</f>
        <v>0.44999</v>
      </c>
      <c r="V1776" s="61" t="n">
        <f aca="false">H1776*Resumo!$B$7</f>
        <v>0.89998</v>
      </c>
      <c r="W1776" s="61" t="n">
        <f aca="false">Resumo!$B$9</f>
        <v>1</v>
      </c>
      <c r="X1776" s="61" t="n">
        <f aca="false">Resumo!$B$10*CEILING(G1776/100,1)</f>
        <v>4.5</v>
      </c>
      <c r="Y1776" s="61" t="n">
        <f aca="false">Resumo!$B$12*CEILING(G1776,1)</f>
        <v>1.86</v>
      </c>
      <c r="Z1776" s="61" t="n">
        <f aca="false">Resumo!$B$14*CEILING(G1776,1)</f>
        <v>13.95</v>
      </c>
      <c r="AA1776" s="61" t="n">
        <f aca="false">SUM(T1776:Z1776)</f>
        <v>131.48997</v>
      </c>
      <c r="AB1776" s="61" t="n">
        <f aca="false">AA1776/(1-Resumo!$B$5)</f>
        <v>149.420420454545</v>
      </c>
      <c r="AC1776" s="61" t="n">
        <f aca="false">AB1776-S1776</f>
        <v>40.2500136363636</v>
      </c>
      <c r="AD1776" s="62" t="n">
        <f aca="false">AB1776/S1776-1</f>
        <v>0.368689783334765</v>
      </c>
      <c r="AE1776" s="60" t="str">
        <f aca="false">IF(AB1776&lt;S1776,"SIM","NÃO")</f>
        <v>NÃO</v>
      </c>
      <c r="AF1776" s="60" t="n">
        <v>13</v>
      </c>
      <c r="AG1776" s="60" t="n">
        <v>10</v>
      </c>
      <c r="AH1776" s="60" t="s">
        <v>385</v>
      </c>
      <c r="AI1776" s="61" t="n">
        <f aca="false">(T1776*(1-Painel!$C$40)+U1776+V1776+Painel!$C$41+Painel!$C$42*CEILING(G1776/100,1)+Painel!$C$43*CEILING(G1776,1)+Z1776)/(1-Resumo!$B$5)</f>
        <v>102.575079545455</v>
      </c>
      <c r="AJ1776" s="60" t="str">
        <f aca="false">IF(AI1776&lt;S1776,"SIM","NÃO")</f>
        <v>SIM</v>
      </c>
    </row>
    <row r="1777" customFormat="false" ht="15" hidden="false" customHeight="false" outlineLevel="0" collapsed="false">
      <c r="A1777" s="59" t="n">
        <v>46278.5268865741</v>
      </c>
      <c r="B1777" s="60" t="s">
        <v>1981</v>
      </c>
      <c r="C1777" s="60" t="n">
        <v>27460000</v>
      </c>
      <c r="D1777" s="60" t="s">
        <v>295</v>
      </c>
      <c r="E1777" s="60" t="s">
        <v>24</v>
      </c>
      <c r="F1777" s="60" t="s">
        <v>237</v>
      </c>
      <c r="G1777" s="60" t="n">
        <v>63.9</v>
      </c>
      <c r="H1777" s="61" t="n">
        <v>716.35</v>
      </c>
      <c r="I1777" s="61" t="n">
        <v>90.2</v>
      </c>
      <c r="J1777" s="61" t="n">
        <f aca="false">H1777*Resumo!$C$6</f>
        <v>0</v>
      </c>
      <c r="K1777" s="61" t="n">
        <f aca="false">H1777*Resumo!$C$7</f>
        <v>1.504335</v>
      </c>
      <c r="L1777" s="61" t="n">
        <f aca="false">H1777*Resumo!$C$8</f>
        <v>1.504335</v>
      </c>
      <c r="M1777" s="61" t="n">
        <f aca="false">Resumo!$C$10*CEILING(G1777/100,1)</f>
        <v>1.05</v>
      </c>
      <c r="N1777" s="61" t="n">
        <f aca="false">Resumo!$C$9</f>
        <v>0</v>
      </c>
      <c r="O1777" s="61" t="n">
        <f aca="false">Resumo!$C$13</f>
        <v>13.55</v>
      </c>
      <c r="P1777" s="61" t="n">
        <f aca="false">Resumo!$C$14*CEILING(G1777,1)</f>
        <v>28.8</v>
      </c>
      <c r="Q1777" s="61" t="n">
        <f aca="false">SUM(I1777:P1777)*Resumo!$C$11</f>
        <v>0</v>
      </c>
      <c r="R1777" s="61" t="n">
        <f aca="false">SUM(I1777:Q1777)</f>
        <v>136.60867</v>
      </c>
      <c r="S1777" s="61" t="n">
        <f aca="false">R1777/(1-Resumo!$C$5)</f>
        <v>155.237125</v>
      </c>
      <c r="T1777" s="61" t="n">
        <v>166.05</v>
      </c>
      <c r="U1777" s="61" t="n">
        <f aca="false">H1777*Resumo!$B$6</f>
        <v>0.71635</v>
      </c>
      <c r="V1777" s="61" t="n">
        <f aca="false">H1777*Resumo!$B$7</f>
        <v>1.4327</v>
      </c>
      <c r="W1777" s="61" t="n">
        <f aca="false">Resumo!$B$9</f>
        <v>1</v>
      </c>
      <c r="X1777" s="61" t="n">
        <f aca="false">Resumo!$B$10*CEILING(G1777/100,1)</f>
        <v>4.5</v>
      </c>
      <c r="Y1777" s="61" t="n">
        <f aca="false">Resumo!$B$12*CEILING(G1777,1)</f>
        <v>3.84</v>
      </c>
      <c r="Z1777" s="61" t="n">
        <f aca="false">Resumo!$B$14*CEILING(G1777,1)</f>
        <v>28.8</v>
      </c>
      <c r="AA1777" s="61" t="n">
        <f aca="false">SUM(T1777:Z1777)</f>
        <v>206.33905</v>
      </c>
      <c r="AB1777" s="61" t="n">
        <f aca="false">AA1777/(1-Resumo!$B$5)</f>
        <v>234.476193181818</v>
      </c>
      <c r="AC1777" s="61" t="n">
        <f aca="false">AB1777-S1777</f>
        <v>79.2390681818182</v>
      </c>
      <c r="AD1777" s="62" t="n">
        <f aca="false">AB1777/S1777-1</f>
        <v>0.51043890552481</v>
      </c>
      <c r="AE1777" s="60" t="str">
        <f aca="false">IF(AB1777&lt;S1777,"SIM","NÃO")</f>
        <v>NÃO</v>
      </c>
      <c r="AF1777" s="60" t="n">
        <v>13</v>
      </c>
      <c r="AG1777" s="60" t="n">
        <v>10</v>
      </c>
      <c r="AH1777" s="60" t="s">
        <v>385</v>
      </c>
      <c r="AI1777" s="61" t="n">
        <f aca="false">(T1777*(1-Painel!$C$40)+U1777+V1777+Painel!$C$41+Painel!$C$42*CEILING(G1777/100,1)+Painel!$C$43*CEILING(G1777,1)+Z1777)/(1-Resumo!$B$5)</f>
        <v>163.923352272727</v>
      </c>
      <c r="AJ1777" s="60" t="str">
        <f aca="false">IF(AI1777&lt;S1777,"SIM","NÃO")</f>
        <v>NÃO</v>
      </c>
    </row>
    <row r="1778" customFormat="false" ht="15" hidden="false" customHeight="false" outlineLevel="0" collapsed="false">
      <c r="A1778" s="59" t="n">
        <v>46278.5345833333</v>
      </c>
      <c r="B1778" s="60" t="s">
        <v>1982</v>
      </c>
      <c r="C1778" s="60" t="n">
        <v>28943784</v>
      </c>
      <c r="D1778" s="60" t="s">
        <v>338</v>
      </c>
      <c r="E1778" s="60" t="s">
        <v>24</v>
      </c>
      <c r="F1778" s="60" t="s">
        <v>236</v>
      </c>
      <c r="G1778" s="60" t="n">
        <v>52.3</v>
      </c>
      <c r="H1778" s="61" t="n">
        <v>699.99</v>
      </c>
      <c r="I1778" s="61" t="n">
        <v>83.58</v>
      </c>
      <c r="J1778" s="61" t="n">
        <f aca="false">H1778*Resumo!$C$6</f>
        <v>0</v>
      </c>
      <c r="K1778" s="61" t="n">
        <f aca="false">H1778*Resumo!$C$7</f>
        <v>1.469979</v>
      </c>
      <c r="L1778" s="61" t="n">
        <f aca="false">H1778*Resumo!$C$8</f>
        <v>1.469979</v>
      </c>
      <c r="M1778" s="61" t="n">
        <f aca="false">Resumo!$C$10*CEILING(G1778/100,1)</f>
        <v>1.05</v>
      </c>
      <c r="N1778" s="61" t="n">
        <f aca="false">Resumo!$C$9</f>
        <v>0</v>
      </c>
      <c r="O1778" s="61" t="n">
        <f aca="false">Resumo!$C$13</f>
        <v>13.55</v>
      </c>
      <c r="P1778" s="61" t="n">
        <f aca="false">Resumo!$C$14*CEILING(G1778,1)</f>
        <v>23.85</v>
      </c>
      <c r="Q1778" s="61" t="n">
        <f aca="false">SUM(I1778:P1778)*Resumo!$C$11</f>
        <v>0</v>
      </c>
      <c r="R1778" s="61" t="n">
        <f aca="false">SUM(I1778:Q1778)</f>
        <v>124.969958</v>
      </c>
      <c r="S1778" s="61" t="n">
        <f aca="false">R1778/(1-Resumo!$C$5)</f>
        <v>142.011315909091</v>
      </c>
      <c r="T1778" s="61" t="n">
        <v>142.32</v>
      </c>
      <c r="U1778" s="61" t="n">
        <f aca="false">H1778*Resumo!$B$6</f>
        <v>0.69999</v>
      </c>
      <c r="V1778" s="61" t="n">
        <f aca="false">H1778*Resumo!$B$7</f>
        <v>1.39998</v>
      </c>
      <c r="W1778" s="61" t="n">
        <f aca="false">Resumo!$B$9</f>
        <v>1</v>
      </c>
      <c r="X1778" s="61" t="n">
        <f aca="false">Resumo!$B$10*CEILING(G1778/100,1)</f>
        <v>4.5</v>
      </c>
      <c r="Y1778" s="61" t="n">
        <f aca="false">Resumo!$B$12*CEILING(G1778,1)</f>
        <v>3.18</v>
      </c>
      <c r="Z1778" s="61" t="n">
        <f aca="false">Resumo!$B$14*CEILING(G1778,1)</f>
        <v>23.85</v>
      </c>
      <c r="AA1778" s="61" t="n">
        <f aca="false">SUM(T1778:Z1778)</f>
        <v>176.94997</v>
      </c>
      <c r="AB1778" s="61" t="n">
        <f aca="false">AA1778/(1-Resumo!$B$5)</f>
        <v>201.079511363636</v>
      </c>
      <c r="AC1778" s="61" t="n">
        <f aca="false">AB1778-S1778</f>
        <v>59.0681954545454</v>
      </c>
      <c r="AD1778" s="62" t="n">
        <f aca="false">AB1778/S1778-1</f>
        <v>0.415940061370589</v>
      </c>
      <c r="AE1778" s="60" t="str">
        <f aca="false">IF(AB1778&lt;S1778,"SIM","NÃO")</f>
        <v>NÃO</v>
      </c>
      <c r="AF1778" s="60" t="n">
        <v>13</v>
      </c>
      <c r="AG1778" s="60" t="n">
        <v>10</v>
      </c>
      <c r="AH1778" s="60" t="s">
        <v>385</v>
      </c>
      <c r="AI1778" s="61" t="n">
        <f aca="false">(T1778*(1-Painel!$C$40)+U1778+V1778+Painel!$C$41+Painel!$C$42*CEILING(G1778/100,1)+Painel!$C$43*CEILING(G1778,1)+Z1778)/(1-Resumo!$B$5)</f>
        <v>140.175420454545</v>
      </c>
      <c r="AJ1778" s="60" t="str">
        <f aca="false">IF(AI1778&lt;S1778,"SIM","NÃO")</f>
        <v>SIM</v>
      </c>
    </row>
    <row r="1779" customFormat="false" ht="15" hidden="false" customHeight="false" outlineLevel="0" collapsed="false">
      <c r="A1779" s="59" t="n">
        <v>46278.6224652778</v>
      </c>
      <c r="B1779" s="60" t="s">
        <v>1864</v>
      </c>
      <c r="C1779" s="60" t="n">
        <v>22790495</v>
      </c>
      <c r="D1779" s="60" t="s">
        <v>46</v>
      </c>
      <c r="E1779" s="60" t="s">
        <v>22</v>
      </c>
      <c r="F1779" s="60" t="s">
        <v>233</v>
      </c>
      <c r="G1779" s="60" t="n">
        <v>33</v>
      </c>
      <c r="H1779" s="61" t="n">
        <v>535.79</v>
      </c>
      <c r="I1779" s="61" t="n">
        <v>42.11</v>
      </c>
      <c r="J1779" s="61" t="n">
        <f aca="false">H1779*Resumo!$C$6</f>
        <v>0</v>
      </c>
      <c r="K1779" s="61" t="n">
        <f aca="false">H1779*Resumo!$C$7</f>
        <v>1.125159</v>
      </c>
      <c r="L1779" s="61" t="n">
        <f aca="false">H1779*Resumo!$C$8</f>
        <v>1.125159</v>
      </c>
      <c r="M1779" s="61" t="n">
        <f aca="false">Resumo!$C$10*CEILING(G1779/100,1)</f>
        <v>1.05</v>
      </c>
      <c r="N1779" s="61" t="n">
        <f aca="false">Resumo!$C$9</f>
        <v>0</v>
      </c>
      <c r="O1779" s="61" t="n">
        <f aca="false">Resumo!$C$13</f>
        <v>13.55</v>
      </c>
      <c r="P1779" s="61" t="n">
        <f aca="false">Resumo!$C$14*CEILING(G1779,1)</f>
        <v>14.85</v>
      </c>
      <c r="Q1779" s="61" t="n">
        <f aca="false">SUM(I1779:P1779)*Resumo!$C$11</f>
        <v>0</v>
      </c>
      <c r="R1779" s="61" t="n">
        <f aca="false">SUM(I1779:Q1779)</f>
        <v>73.810318</v>
      </c>
      <c r="S1779" s="61" t="n">
        <f aca="false">R1779/(1-Resumo!$C$5)</f>
        <v>83.8753613636364</v>
      </c>
      <c r="T1779" s="61" t="n">
        <v>82.21</v>
      </c>
      <c r="U1779" s="61" t="n">
        <f aca="false">H1779*Resumo!$B$6</f>
        <v>0.53579</v>
      </c>
      <c r="V1779" s="61" t="n">
        <f aca="false">H1779*Resumo!$B$7</f>
        <v>1.07158</v>
      </c>
      <c r="W1779" s="61" t="n">
        <f aca="false">Resumo!$B$9</f>
        <v>1</v>
      </c>
      <c r="X1779" s="61" t="n">
        <f aca="false">Resumo!$B$10*CEILING(G1779/100,1)</f>
        <v>4.5</v>
      </c>
      <c r="Y1779" s="61" t="n">
        <f aca="false">Resumo!$B$12*CEILING(G1779,1)</f>
        <v>1.98</v>
      </c>
      <c r="Z1779" s="61" t="n">
        <f aca="false">Resumo!$B$14*CEILING(G1779,1)</f>
        <v>14.85</v>
      </c>
      <c r="AA1779" s="61" t="n">
        <f aca="false">SUM(T1779:Z1779)</f>
        <v>106.14737</v>
      </c>
      <c r="AB1779" s="61" t="n">
        <f aca="false">AA1779/(1-Resumo!$B$5)</f>
        <v>120.622011363636</v>
      </c>
      <c r="AC1779" s="61" t="n">
        <f aca="false">AB1779-S1779</f>
        <v>36.74665</v>
      </c>
      <c r="AD1779" s="62" t="n">
        <f aca="false">AB1779/S1779-1</f>
        <v>0.438110183998936</v>
      </c>
      <c r="AE1779" s="60" t="str">
        <f aca="false">IF(AB1779&lt;S1779,"SIM","NÃO")</f>
        <v>NÃO</v>
      </c>
      <c r="AF1779" s="60" t="n">
        <v>2</v>
      </c>
      <c r="AG1779" s="60" t="n">
        <v>5</v>
      </c>
      <c r="AH1779" s="60" t="s">
        <v>382</v>
      </c>
      <c r="AI1779" s="61" t="n">
        <f aca="false">(T1779*(1-Painel!$C$40)+U1779+V1779+Painel!$C$41+Painel!$C$42*CEILING(G1779/100,1)+Painel!$C$43*CEILING(G1779,1)+Z1779)/(1-Resumo!$B$5)</f>
        <v>83.6228068181818</v>
      </c>
      <c r="AJ1779" s="60" t="str">
        <f aca="false">IF(AI1779&lt;S1779,"SIM","NÃO")</f>
        <v>SIM</v>
      </c>
    </row>
    <row r="1780" customFormat="false" ht="15" hidden="false" customHeight="false" outlineLevel="0" collapsed="false">
      <c r="A1780" s="59" t="n">
        <v>46278.6375694444</v>
      </c>
      <c r="B1780" s="60" t="s">
        <v>1983</v>
      </c>
      <c r="C1780" s="60" t="n">
        <v>23020240</v>
      </c>
      <c r="D1780" s="60" t="s">
        <v>46</v>
      </c>
      <c r="E1780" s="60" t="s">
        <v>22</v>
      </c>
      <c r="F1780" s="60" t="s">
        <v>232</v>
      </c>
      <c r="G1780" s="60" t="n">
        <v>19.9</v>
      </c>
      <c r="H1780" s="61" t="n">
        <v>299.99</v>
      </c>
      <c r="I1780" s="61" t="n">
        <v>33.42</v>
      </c>
      <c r="J1780" s="61" t="n">
        <f aca="false">H1780*Resumo!$C$6</f>
        <v>0</v>
      </c>
      <c r="K1780" s="61" t="n">
        <f aca="false">H1780*Resumo!$C$7</f>
        <v>0.629979</v>
      </c>
      <c r="L1780" s="61" t="n">
        <f aca="false">H1780*Resumo!$C$8</f>
        <v>0.629979</v>
      </c>
      <c r="M1780" s="61" t="n">
        <f aca="false">Resumo!$C$10*CEILING(G1780/100,1)</f>
        <v>1.05</v>
      </c>
      <c r="N1780" s="61" t="n">
        <f aca="false">Resumo!$C$9</f>
        <v>0</v>
      </c>
      <c r="O1780" s="61" t="n">
        <f aca="false">Resumo!$C$13</f>
        <v>13.55</v>
      </c>
      <c r="P1780" s="61" t="n">
        <f aca="false">Resumo!$C$14*CEILING(G1780,1)</f>
        <v>9</v>
      </c>
      <c r="Q1780" s="61" t="n">
        <f aca="false">SUM(I1780:P1780)*Resumo!$C$11</f>
        <v>0</v>
      </c>
      <c r="R1780" s="61" t="n">
        <f aca="false">SUM(I1780:Q1780)</f>
        <v>58.279958</v>
      </c>
      <c r="S1780" s="61" t="n">
        <f aca="false">R1780/(1-Resumo!$C$5)</f>
        <v>66.227225</v>
      </c>
      <c r="T1780" s="61" t="n">
        <v>46.98</v>
      </c>
      <c r="U1780" s="61" t="n">
        <f aca="false">H1780*Resumo!$B$6</f>
        <v>0.29999</v>
      </c>
      <c r="V1780" s="61" t="n">
        <f aca="false">H1780*Resumo!$B$7</f>
        <v>0.59998</v>
      </c>
      <c r="W1780" s="61" t="n">
        <f aca="false">Resumo!$B$9</f>
        <v>1</v>
      </c>
      <c r="X1780" s="61" t="n">
        <f aca="false">Resumo!$B$10*CEILING(G1780/100,1)</f>
        <v>4.5</v>
      </c>
      <c r="Y1780" s="61" t="n">
        <f aca="false">Resumo!$B$12*CEILING(G1780,1)</f>
        <v>1.2</v>
      </c>
      <c r="Z1780" s="61" t="n">
        <f aca="false">Resumo!$B$14*CEILING(G1780,1)</f>
        <v>9</v>
      </c>
      <c r="AA1780" s="61" t="n">
        <f aca="false">SUM(T1780:Z1780)</f>
        <v>63.57997</v>
      </c>
      <c r="AB1780" s="61" t="n">
        <f aca="false">AA1780/(1-Resumo!$B$5)</f>
        <v>72.2499659090909</v>
      </c>
      <c r="AC1780" s="61" t="n">
        <f aca="false">AB1780-S1780</f>
        <v>6.0227409090909</v>
      </c>
      <c r="AD1780" s="62" t="n">
        <f aca="false">AB1780/S1780-1</f>
        <v>0.0909405597032171</v>
      </c>
      <c r="AE1780" s="60" t="str">
        <f aca="false">IF(AB1780&lt;S1780,"SIM","NÃO")</f>
        <v>NÃO</v>
      </c>
      <c r="AF1780" s="60" t="n">
        <v>2</v>
      </c>
      <c r="AG1780" s="60" t="n">
        <v>5</v>
      </c>
      <c r="AH1780" s="60" t="s">
        <v>382</v>
      </c>
      <c r="AI1780" s="61" t="n">
        <f aca="false">(T1780*(1-Painel!$C$40)+U1780+V1780+Painel!$C$41+Painel!$C$42*CEILING(G1780/100,1)+Painel!$C$43*CEILING(G1780,1)+Z1780)/(1-Resumo!$B$5)</f>
        <v>49.348375</v>
      </c>
      <c r="AJ1780" s="60" t="str">
        <f aca="false">IF(AI1780&lt;S1780,"SIM","NÃO")</f>
        <v>SIM</v>
      </c>
    </row>
    <row r="1781" customFormat="false" ht="15" hidden="false" customHeight="false" outlineLevel="0" collapsed="false">
      <c r="A1781" s="59" t="n">
        <v>46278.6413888889</v>
      </c>
      <c r="B1781" s="60" t="s">
        <v>968</v>
      </c>
      <c r="C1781" s="60" t="n">
        <v>22753050</v>
      </c>
      <c r="D1781" s="60" t="s">
        <v>46</v>
      </c>
      <c r="E1781" s="60" t="s">
        <v>22</v>
      </c>
      <c r="F1781" s="60" t="s">
        <v>233</v>
      </c>
      <c r="G1781" s="60" t="n">
        <v>20.9</v>
      </c>
      <c r="H1781" s="61" t="n">
        <v>499.99</v>
      </c>
      <c r="I1781" s="61" t="n">
        <v>42.11</v>
      </c>
      <c r="J1781" s="61" t="n">
        <f aca="false">H1781*Resumo!$C$6</f>
        <v>0</v>
      </c>
      <c r="K1781" s="61" t="n">
        <f aca="false">H1781*Resumo!$C$7</f>
        <v>1.049979</v>
      </c>
      <c r="L1781" s="61" t="n">
        <f aca="false">H1781*Resumo!$C$8</f>
        <v>1.049979</v>
      </c>
      <c r="M1781" s="61" t="n">
        <f aca="false">Resumo!$C$10*CEILING(G1781/100,1)</f>
        <v>1.05</v>
      </c>
      <c r="N1781" s="61" t="n">
        <f aca="false">Resumo!$C$9</f>
        <v>0</v>
      </c>
      <c r="O1781" s="61" t="n">
        <f aca="false">Resumo!$C$13</f>
        <v>13.55</v>
      </c>
      <c r="P1781" s="61" t="n">
        <f aca="false">Resumo!$C$14*CEILING(G1781,1)</f>
        <v>9.45</v>
      </c>
      <c r="Q1781" s="61" t="n">
        <f aca="false">SUM(I1781:P1781)*Resumo!$C$11</f>
        <v>0</v>
      </c>
      <c r="R1781" s="61" t="n">
        <f aca="false">SUM(I1781:Q1781)</f>
        <v>68.259958</v>
      </c>
      <c r="S1781" s="61" t="n">
        <f aca="false">R1781/(1-Resumo!$C$5)</f>
        <v>77.5681340909091</v>
      </c>
      <c r="T1781" s="61" t="n">
        <v>82.21</v>
      </c>
      <c r="U1781" s="61" t="n">
        <f aca="false">H1781*Resumo!$B$6</f>
        <v>0.49999</v>
      </c>
      <c r="V1781" s="61" t="n">
        <f aca="false">H1781*Resumo!$B$7</f>
        <v>0.99998</v>
      </c>
      <c r="W1781" s="61" t="n">
        <f aca="false">Resumo!$B$9</f>
        <v>1</v>
      </c>
      <c r="X1781" s="61" t="n">
        <f aca="false">Resumo!$B$10*CEILING(G1781/100,1)</f>
        <v>4.5</v>
      </c>
      <c r="Y1781" s="61" t="n">
        <f aca="false">Resumo!$B$12*CEILING(G1781,1)</f>
        <v>1.26</v>
      </c>
      <c r="Z1781" s="61" t="n">
        <f aca="false">Resumo!$B$14*CEILING(G1781,1)</f>
        <v>9.45</v>
      </c>
      <c r="AA1781" s="61" t="n">
        <f aca="false">SUM(T1781:Z1781)</f>
        <v>99.91997</v>
      </c>
      <c r="AB1781" s="61" t="n">
        <f aca="false">AA1781/(1-Resumo!$B$5)</f>
        <v>113.545420454545</v>
      </c>
      <c r="AC1781" s="61" t="n">
        <f aca="false">AB1781-S1781</f>
        <v>35.9772863636364</v>
      </c>
      <c r="AD1781" s="62" t="n">
        <f aca="false">AB1781/S1781-1</f>
        <v>0.463815286847964</v>
      </c>
      <c r="AE1781" s="60" t="str">
        <f aca="false">IF(AB1781&lt;S1781,"SIM","NÃO")</f>
        <v>NÃO</v>
      </c>
      <c r="AF1781" s="60" t="n">
        <v>2</v>
      </c>
      <c r="AG1781" s="60" t="n">
        <v>5</v>
      </c>
      <c r="AH1781" s="60" t="s">
        <v>382</v>
      </c>
      <c r="AI1781" s="61" t="n">
        <f aca="false">(T1781*(1-Painel!$C$40)+U1781+V1781+Painel!$C$41+Painel!$C$42*CEILING(G1781/100,1)+Painel!$C$43*CEILING(G1781,1)+Z1781)/(1-Resumo!$B$5)</f>
        <v>77.3643977272727</v>
      </c>
      <c r="AJ1781" s="60" t="str">
        <f aca="false">IF(AI1781&lt;S1781,"SIM","NÃO")</f>
        <v>SIM</v>
      </c>
    </row>
    <row r="1782" customFormat="false" ht="15" hidden="false" customHeight="false" outlineLevel="0" collapsed="false">
      <c r="A1782" s="59" t="n">
        <v>46278.6924189815</v>
      </c>
      <c r="B1782" s="60" t="s">
        <v>1984</v>
      </c>
      <c r="C1782" s="60" t="n">
        <v>21725500</v>
      </c>
      <c r="D1782" s="60" t="s">
        <v>46</v>
      </c>
      <c r="E1782" s="60" t="s">
        <v>22</v>
      </c>
      <c r="F1782" s="60" t="s">
        <v>236</v>
      </c>
      <c r="G1782" s="60" t="n">
        <v>52.3</v>
      </c>
      <c r="H1782" s="61" t="n">
        <v>614.63</v>
      </c>
      <c r="I1782" s="61" t="n">
        <v>58.6</v>
      </c>
      <c r="J1782" s="61" t="n">
        <f aca="false">H1782*Resumo!$C$6</f>
        <v>0</v>
      </c>
      <c r="K1782" s="61" t="n">
        <f aca="false">H1782*Resumo!$C$7</f>
        <v>1.290723</v>
      </c>
      <c r="L1782" s="61" t="n">
        <f aca="false">H1782*Resumo!$C$8</f>
        <v>1.290723</v>
      </c>
      <c r="M1782" s="61" t="n">
        <f aca="false">Resumo!$C$10*CEILING(G1782/100,1)</f>
        <v>1.05</v>
      </c>
      <c r="N1782" s="61" t="n">
        <f aca="false">Resumo!$C$9</f>
        <v>0</v>
      </c>
      <c r="O1782" s="61" t="n">
        <f aca="false">Resumo!$C$13</f>
        <v>13.55</v>
      </c>
      <c r="P1782" s="61" t="n">
        <f aca="false">Resumo!$C$14*CEILING(G1782,1)</f>
        <v>23.85</v>
      </c>
      <c r="Q1782" s="61" t="n">
        <f aca="false">SUM(I1782:P1782)*Resumo!$C$11</f>
        <v>0</v>
      </c>
      <c r="R1782" s="61" t="n">
        <f aca="false">SUM(I1782:Q1782)</f>
        <v>99.631446</v>
      </c>
      <c r="S1782" s="61" t="n">
        <f aca="false">R1782/(1-Resumo!$C$5)</f>
        <v>113.217552272727</v>
      </c>
      <c r="T1782" s="61" t="n">
        <v>112.3</v>
      </c>
      <c r="U1782" s="61" t="n">
        <f aca="false">H1782*Resumo!$B$6</f>
        <v>0.61463</v>
      </c>
      <c r="V1782" s="61" t="n">
        <f aca="false">H1782*Resumo!$B$7</f>
        <v>1.22926</v>
      </c>
      <c r="W1782" s="61" t="n">
        <f aca="false">Resumo!$B$9</f>
        <v>1</v>
      </c>
      <c r="X1782" s="61" t="n">
        <f aca="false">Resumo!$B$10*CEILING(G1782/100,1)</f>
        <v>4.5</v>
      </c>
      <c r="Y1782" s="61" t="n">
        <f aca="false">Resumo!$B$12*CEILING(G1782,1)</f>
        <v>3.18</v>
      </c>
      <c r="Z1782" s="61" t="n">
        <f aca="false">Resumo!$B$14*CEILING(G1782,1)</f>
        <v>23.85</v>
      </c>
      <c r="AA1782" s="61" t="n">
        <f aca="false">SUM(T1782:Z1782)</f>
        <v>146.67389</v>
      </c>
      <c r="AB1782" s="61" t="n">
        <f aca="false">AA1782/(1-Resumo!$B$5)</f>
        <v>166.674875</v>
      </c>
      <c r="AC1782" s="61" t="n">
        <f aca="false">AB1782-S1782</f>
        <v>53.4573227272727</v>
      </c>
      <c r="AD1782" s="62" t="n">
        <f aca="false">AB1782/S1782-1</f>
        <v>0.472164621599489</v>
      </c>
      <c r="AE1782" s="60" t="str">
        <f aca="false">IF(AB1782&lt;S1782,"SIM","NÃO")</f>
        <v>NÃO</v>
      </c>
      <c r="AF1782" s="60" t="n">
        <v>2</v>
      </c>
      <c r="AG1782" s="60" t="n">
        <v>5</v>
      </c>
      <c r="AH1782" s="60" t="s">
        <v>382</v>
      </c>
      <c r="AI1782" s="61" t="n">
        <f aca="false">(T1782*(1-Painel!$C$40)+U1782+V1782+Painel!$C$41+Painel!$C$42*CEILING(G1782/100,1)+Painel!$C$43*CEILING(G1782,1)+Z1782)/(1-Resumo!$B$5)</f>
        <v>117.028284090909</v>
      </c>
      <c r="AJ1782" s="60" t="str">
        <f aca="false">IF(AI1782&lt;S1782,"SIM","NÃO")</f>
        <v>NÃO</v>
      </c>
    </row>
    <row r="1783" customFormat="false" ht="15" hidden="false" customHeight="false" outlineLevel="0" collapsed="false">
      <c r="A1783" s="59" t="n">
        <v>46278.721400463</v>
      </c>
      <c r="B1783" s="60" t="s">
        <v>1985</v>
      </c>
      <c r="C1783" s="60" t="n">
        <v>24410230</v>
      </c>
      <c r="D1783" s="60" t="s">
        <v>47</v>
      </c>
      <c r="E1783" s="60" t="s">
        <v>23</v>
      </c>
      <c r="F1783" s="60" t="s">
        <v>234</v>
      </c>
      <c r="G1783" s="60" t="n">
        <v>36.55</v>
      </c>
      <c r="H1783" s="61" t="n">
        <v>449.99</v>
      </c>
      <c r="I1783" s="61" t="n">
        <v>66.83</v>
      </c>
      <c r="J1783" s="61" t="n">
        <f aca="false">H1783*Resumo!$C$6</f>
        <v>0</v>
      </c>
      <c r="K1783" s="61" t="n">
        <f aca="false">H1783*Resumo!$C$7</f>
        <v>0.944979</v>
      </c>
      <c r="L1783" s="61" t="n">
        <f aca="false">H1783*Resumo!$C$8</f>
        <v>0.944979</v>
      </c>
      <c r="M1783" s="61" t="n">
        <f aca="false">Resumo!$C$10*CEILING(G1783/100,1)</f>
        <v>1.05</v>
      </c>
      <c r="N1783" s="61" t="n">
        <f aca="false">Resumo!$C$9</f>
        <v>0</v>
      </c>
      <c r="O1783" s="61" t="n">
        <f aca="false">Resumo!$C$13</f>
        <v>13.55</v>
      </c>
      <c r="P1783" s="61" t="n">
        <f aca="false">Resumo!$C$14*CEILING(G1783,1)</f>
        <v>16.65</v>
      </c>
      <c r="Q1783" s="61" t="n">
        <f aca="false">SUM(I1783:P1783)*Resumo!$C$11</f>
        <v>0</v>
      </c>
      <c r="R1783" s="61" t="n">
        <f aca="false">SUM(I1783:Q1783)</f>
        <v>99.969958</v>
      </c>
      <c r="S1783" s="61" t="n">
        <f aca="false">R1783/(1-Resumo!$C$5)</f>
        <v>113.602225</v>
      </c>
      <c r="T1783" s="61" t="n">
        <v>114.95</v>
      </c>
      <c r="U1783" s="61" t="n">
        <f aca="false">H1783*Resumo!$B$6</f>
        <v>0.44999</v>
      </c>
      <c r="V1783" s="61" t="n">
        <f aca="false">H1783*Resumo!$B$7</f>
        <v>0.89998</v>
      </c>
      <c r="W1783" s="61" t="n">
        <f aca="false">Resumo!$B$9</f>
        <v>1</v>
      </c>
      <c r="X1783" s="61" t="n">
        <f aca="false">Resumo!$B$10*CEILING(G1783/100,1)</f>
        <v>4.5</v>
      </c>
      <c r="Y1783" s="61" t="n">
        <f aca="false">Resumo!$B$12*CEILING(G1783,1)</f>
        <v>2.22</v>
      </c>
      <c r="Z1783" s="61" t="n">
        <f aca="false">Resumo!$B$14*CEILING(G1783,1)</f>
        <v>16.65</v>
      </c>
      <c r="AA1783" s="61" t="n">
        <f aca="false">SUM(T1783:Z1783)</f>
        <v>140.66997</v>
      </c>
      <c r="AB1783" s="61" t="n">
        <f aca="false">AA1783/(1-Resumo!$B$5)</f>
        <v>159.852238636364</v>
      </c>
      <c r="AC1783" s="61" t="n">
        <f aca="false">AB1783-S1783</f>
        <v>46.2500136363636</v>
      </c>
      <c r="AD1783" s="62" t="n">
        <f aca="false">AB1783/S1783-1</f>
        <v>0.407122427719736</v>
      </c>
      <c r="AE1783" s="60" t="str">
        <f aca="false">IF(AB1783&lt;S1783,"SIM","NÃO")</f>
        <v>NÃO</v>
      </c>
      <c r="AF1783" s="60" t="n">
        <v>2</v>
      </c>
      <c r="AG1783" s="60" t="n">
        <v>7</v>
      </c>
      <c r="AH1783" s="60" t="s">
        <v>382</v>
      </c>
      <c r="AI1783" s="61" t="n">
        <f aca="false">(T1783*(1-Painel!$C$40)+U1783+V1783+Painel!$C$41+Painel!$C$42*CEILING(G1783/100,1)+Painel!$C$43*CEILING(G1783,1)+Z1783)/(1-Resumo!$B$5)</f>
        <v>110.302806818182</v>
      </c>
      <c r="AJ1783" s="60" t="str">
        <f aca="false">IF(AI1783&lt;S1783,"SIM","NÃO")</f>
        <v>SIM</v>
      </c>
    </row>
    <row r="1784" customFormat="false" ht="15" hidden="false" customHeight="false" outlineLevel="0" collapsed="false">
      <c r="A1784" s="59" t="n">
        <v>46278.727337963</v>
      </c>
      <c r="B1784" s="60" t="s">
        <v>1986</v>
      </c>
      <c r="C1784" s="60" t="n">
        <v>21050320</v>
      </c>
      <c r="D1784" s="60" t="s">
        <v>46</v>
      </c>
      <c r="E1784" s="60" t="s">
        <v>22</v>
      </c>
      <c r="F1784" s="60" t="s">
        <v>234</v>
      </c>
      <c r="G1784" s="60" t="n">
        <v>37.2</v>
      </c>
      <c r="H1784" s="61" t="n">
        <v>399.99</v>
      </c>
      <c r="I1784" s="61" t="n">
        <v>48.35</v>
      </c>
      <c r="J1784" s="61" t="n">
        <f aca="false">H1784*Resumo!$C$6</f>
        <v>0</v>
      </c>
      <c r="K1784" s="61" t="n">
        <f aca="false">H1784*Resumo!$C$7</f>
        <v>0.839979</v>
      </c>
      <c r="L1784" s="61" t="n">
        <f aca="false">H1784*Resumo!$C$8</f>
        <v>0.839979</v>
      </c>
      <c r="M1784" s="61" t="n">
        <f aca="false">Resumo!$C$10*CEILING(G1784/100,1)</f>
        <v>1.05</v>
      </c>
      <c r="N1784" s="61" t="n">
        <f aca="false">Resumo!$C$9</f>
        <v>0</v>
      </c>
      <c r="O1784" s="61" t="n">
        <f aca="false">Resumo!$C$13</f>
        <v>13.55</v>
      </c>
      <c r="P1784" s="61" t="n">
        <f aca="false">Resumo!$C$14*CEILING(G1784,1)</f>
        <v>17.1</v>
      </c>
      <c r="Q1784" s="61" t="n">
        <f aca="false">SUM(I1784:P1784)*Resumo!$C$11</f>
        <v>0</v>
      </c>
      <c r="R1784" s="61" t="n">
        <f aca="false">SUM(I1784:Q1784)</f>
        <v>81.729958</v>
      </c>
      <c r="S1784" s="61" t="n">
        <f aca="false">R1784/(1-Resumo!$C$5)</f>
        <v>92.8749522727273</v>
      </c>
      <c r="T1784" s="61" t="n">
        <v>93.97</v>
      </c>
      <c r="U1784" s="61" t="n">
        <f aca="false">H1784*Resumo!$B$6</f>
        <v>0.39999</v>
      </c>
      <c r="V1784" s="61" t="n">
        <f aca="false">H1784*Resumo!$B$7</f>
        <v>0.79998</v>
      </c>
      <c r="W1784" s="61" t="n">
        <f aca="false">Resumo!$B$9</f>
        <v>1</v>
      </c>
      <c r="X1784" s="61" t="n">
        <f aca="false">Resumo!$B$10*CEILING(G1784/100,1)</f>
        <v>4.5</v>
      </c>
      <c r="Y1784" s="61" t="n">
        <f aca="false">Resumo!$B$12*CEILING(G1784,1)</f>
        <v>2.28</v>
      </c>
      <c r="Z1784" s="61" t="n">
        <f aca="false">Resumo!$B$14*CEILING(G1784,1)</f>
        <v>17.1</v>
      </c>
      <c r="AA1784" s="61" t="n">
        <f aca="false">SUM(T1784:Z1784)</f>
        <v>120.04997</v>
      </c>
      <c r="AB1784" s="61" t="n">
        <f aca="false">AA1784/(1-Resumo!$B$5)</f>
        <v>136.420420454545</v>
      </c>
      <c r="AC1784" s="61" t="n">
        <f aca="false">AB1784-S1784</f>
        <v>43.5454681818182</v>
      </c>
      <c r="AD1784" s="62" t="n">
        <f aca="false">AB1784/S1784-1</f>
        <v>0.468861271163262</v>
      </c>
      <c r="AE1784" s="60" t="str">
        <f aca="false">IF(AB1784&lt;S1784,"SIM","NÃO")</f>
        <v>NÃO</v>
      </c>
      <c r="AF1784" s="60" t="n">
        <v>2</v>
      </c>
      <c r="AG1784" s="60" t="n">
        <v>5</v>
      </c>
      <c r="AH1784" s="60" t="s">
        <v>382</v>
      </c>
      <c r="AI1784" s="61" t="n">
        <f aca="false">(T1784*(1-Painel!$C$40)+U1784+V1784+Painel!$C$41+Painel!$C$42*CEILING(G1784/100,1)+Painel!$C$43*CEILING(G1784,1)+Z1784)/(1-Resumo!$B$5)</f>
        <v>94.6703068181818</v>
      </c>
      <c r="AJ1784" s="60" t="str">
        <f aca="false">IF(AI1784&lt;S1784,"SIM","NÃO")</f>
        <v>NÃO</v>
      </c>
    </row>
    <row r="1785" customFormat="false" ht="15" hidden="false" customHeight="false" outlineLevel="0" collapsed="false">
      <c r="A1785" s="59" t="n">
        <v>46278.7392361111</v>
      </c>
      <c r="B1785" s="60" t="s">
        <v>1987</v>
      </c>
      <c r="C1785" s="60" t="n">
        <v>20720011</v>
      </c>
      <c r="D1785" s="60" t="s">
        <v>46</v>
      </c>
      <c r="E1785" s="60" t="s">
        <v>22</v>
      </c>
      <c r="F1785" s="60" t="s">
        <v>233</v>
      </c>
      <c r="G1785" s="60" t="n">
        <v>27.4</v>
      </c>
      <c r="H1785" s="61" t="n">
        <v>349.99</v>
      </c>
      <c r="I1785" s="61" t="n">
        <v>42.11</v>
      </c>
      <c r="J1785" s="61" t="n">
        <f aca="false">H1785*Resumo!$C$6</f>
        <v>0</v>
      </c>
      <c r="K1785" s="61" t="n">
        <f aca="false">H1785*Resumo!$C$7</f>
        <v>0.734979</v>
      </c>
      <c r="L1785" s="61" t="n">
        <f aca="false">H1785*Resumo!$C$8</f>
        <v>0.734979</v>
      </c>
      <c r="M1785" s="61" t="n">
        <f aca="false">Resumo!$C$10*CEILING(G1785/100,1)</f>
        <v>1.05</v>
      </c>
      <c r="N1785" s="61" t="n">
        <f aca="false">Resumo!$C$9</f>
        <v>0</v>
      </c>
      <c r="O1785" s="61" t="n">
        <f aca="false">Resumo!$C$13</f>
        <v>13.55</v>
      </c>
      <c r="P1785" s="61" t="n">
        <f aca="false">Resumo!$C$14*CEILING(G1785,1)</f>
        <v>12.6</v>
      </c>
      <c r="Q1785" s="61" t="n">
        <f aca="false">SUM(I1785:P1785)*Resumo!$C$11</f>
        <v>0</v>
      </c>
      <c r="R1785" s="61" t="n">
        <f aca="false">SUM(I1785:Q1785)</f>
        <v>70.779958</v>
      </c>
      <c r="S1785" s="61" t="n">
        <f aca="false">R1785/(1-Resumo!$C$5)</f>
        <v>80.4317704545454</v>
      </c>
      <c r="T1785" s="61" t="n">
        <v>82.21</v>
      </c>
      <c r="U1785" s="61" t="n">
        <f aca="false">H1785*Resumo!$B$6</f>
        <v>0.34999</v>
      </c>
      <c r="V1785" s="61" t="n">
        <f aca="false">H1785*Resumo!$B$7</f>
        <v>0.69998</v>
      </c>
      <c r="W1785" s="61" t="n">
        <f aca="false">Resumo!$B$9</f>
        <v>1</v>
      </c>
      <c r="X1785" s="61" t="n">
        <f aca="false">Resumo!$B$10*CEILING(G1785/100,1)</f>
        <v>4.5</v>
      </c>
      <c r="Y1785" s="61" t="n">
        <f aca="false">Resumo!$B$12*CEILING(G1785,1)</f>
        <v>1.68</v>
      </c>
      <c r="Z1785" s="61" t="n">
        <f aca="false">Resumo!$B$14*CEILING(G1785,1)</f>
        <v>12.6</v>
      </c>
      <c r="AA1785" s="61" t="n">
        <f aca="false">SUM(T1785:Z1785)</f>
        <v>103.03997</v>
      </c>
      <c r="AB1785" s="61" t="n">
        <f aca="false">AA1785/(1-Resumo!$B$5)</f>
        <v>117.090875</v>
      </c>
      <c r="AC1785" s="61" t="n">
        <f aca="false">AB1785-S1785</f>
        <v>36.6591045454545</v>
      </c>
      <c r="AD1785" s="62" t="n">
        <f aca="false">AB1785/S1785-1</f>
        <v>0.455778908487061</v>
      </c>
      <c r="AE1785" s="60" t="str">
        <f aca="false">IF(AB1785&lt;S1785,"SIM","NÃO")</f>
        <v>NÃO</v>
      </c>
      <c r="AF1785" s="60" t="n">
        <v>2</v>
      </c>
      <c r="AG1785" s="60" t="n">
        <v>5</v>
      </c>
      <c r="AH1785" s="60" t="s">
        <v>382</v>
      </c>
      <c r="AI1785" s="61" t="n">
        <f aca="false">(T1785*(1-Painel!$C$40)+U1785+V1785+Painel!$C$41+Painel!$C$42*CEILING(G1785/100,1)+Painel!$C$43*CEILING(G1785,1)+Z1785)/(1-Resumo!$B$5)</f>
        <v>80.4325795454545</v>
      </c>
      <c r="AJ1785" s="60" t="str">
        <f aca="false">IF(AI1785&lt;S1785,"SIM","NÃO")</f>
        <v>NÃO</v>
      </c>
    </row>
    <row r="1786" customFormat="false" ht="15" hidden="false" customHeight="false" outlineLevel="0" collapsed="false">
      <c r="A1786" s="59" t="n">
        <v>46278.7406018519</v>
      </c>
      <c r="B1786" s="60" t="s">
        <v>1988</v>
      </c>
      <c r="C1786" s="60" t="n">
        <v>25953600</v>
      </c>
      <c r="D1786" s="60" t="s">
        <v>281</v>
      </c>
      <c r="E1786" s="60" t="s">
        <v>24</v>
      </c>
      <c r="F1786" s="60" t="s">
        <v>233</v>
      </c>
      <c r="G1786" s="60" t="n">
        <v>27.5</v>
      </c>
      <c r="H1786" s="61" t="n">
        <v>332.86</v>
      </c>
      <c r="I1786" s="61" t="n">
        <v>65.63</v>
      </c>
      <c r="J1786" s="61" t="n">
        <f aca="false">H1786*Resumo!$C$6</f>
        <v>0</v>
      </c>
      <c r="K1786" s="61" t="n">
        <f aca="false">H1786*Resumo!$C$7</f>
        <v>0.699006</v>
      </c>
      <c r="L1786" s="61" t="n">
        <f aca="false">H1786*Resumo!$C$8</f>
        <v>0.699006</v>
      </c>
      <c r="M1786" s="61" t="n">
        <f aca="false">Resumo!$C$10*CEILING(G1786/100,1)</f>
        <v>1.05</v>
      </c>
      <c r="N1786" s="61" t="n">
        <f aca="false">Resumo!$C$9</f>
        <v>0</v>
      </c>
      <c r="O1786" s="61" t="n">
        <f aca="false">Resumo!$C$13</f>
        <v>13.55</v>
      </c>
      <c r="P1786" s="61" t="n">
        <f aca="false">Resumo!$C$14*CEILING(G1786,1)</f>
        <v>12.6</v>
      </c>
      <c r="Q1786" s="61" t="n">
        <f aca="false">SUM(I1786:P1786)*Resumo!$C$11</f>
        <v>0</v>
      </c>
      <c r="R1786" s="61" t="n">
        <f aca="false">SUM(I1786:Q1786)</f>
        <v>94.228012</v>
      </c>
      <c r="S1786" s="61" t="n">
        <f aca="false">R1786/(1-Resumo!$C$5)</f>
        <v>107.077286363636</v>
      </c>
      <c r="T1786" s="61" t="n">
        <v>120.78</v>
      </c>
      <c r="U1786" s="61" t="n">
        <f aca="false">H1786*Resumo!$B$6</f>
        <v>0.33286</v>
      </c>
      <c r="V1786" s="61" t="n">
        <f aca="false">H1786*Resumo!$B$7</f>
        <v>0.66572</v>
      </c>
      <c r="W1786" s="61" t="n">
        <f aca="false">Resumo!$B$9</f>
        <v>1</v>
      </c>
      <c r="X1786" s="61" t="n">
        <f aca="false">Resumo!$B$10*CEILING(G1786/100,1)</f>
        <v>4.5</v>
      </c>
      <c r="Y1786" s="61" t="n">
        <f aca="false">Resumo!$B$12*CEILING(G1786,1)</f>
        <v>1.68</v>
      </c>
      <c r="Z1786" s="61" t="n">
        <f aca="false">Resumo!$B$14*CEILING(G1786,1)</f>
        <v>12.6</v>
      </c>
      <c r="AA1786" s="61" t="n">
        <f aca="false">SUM(T1786:Z1786)</f>
        <v>141.55858</v>
      </c>
      <c r="AB1786" s="61" t="n">
        <f aca="false">AA1786/(1-Resumo!$B$5)</f>
        <v>160.862022727273</v>
      </c>
      <c r="AC1786" s="61" t="n">
        <f aca="false">AB1786-S1786</f>
        <v>53.7847363636364</v>
      </c>
      <c r="AD1786" s="62" t="n">
        <f aca="false">AB1786/S1786-1</f>
        <v>0.502298276228093</v>
      </c>
      <c r="AE1786" s="60" t="str">
        <f aca="false">IF(AB1786&lt;S1786,"SIM","NÃO")</f>
        <v>NÃO</v>
      </c>
      <c r="AF1786" s="60" t="n">
        <v>13</v>
      </c>
      <c r="AG1786" s="60" t="n">
        <v>10</v>
      </c>
      <c r="AH1786" s="60" t="s">
        <v>385</v>
      </c>
      <c r="AI1786" s="61" t="n">
        <f aca="false">(T1786*(1-Painel!$C$40)+U1786+V1786+Painel!$C$41+Painel!$C$42*CEILING(G1786/100,1)+Painel!$C$43*CEILING(G1786,1)+Z1786)/(1-Resumo!$B$5)</f>
        <v>109.739977272727</v>
      </c>
      <c r="AJ1786" s="60" t="str">
        <f aca="false">IF(AI1786&lt;S1786,"SIM","NÃO")</f>
        <v>NÃO</v>
      </c>
    </row>
    <row r="1787" customFormat="false" ht="15" hidden="false" customHeight="false" outlineLevel="0" collapsed="false">
      <c r="A1787" s="59" t="n">
        <v>46278.7458796296</v>
      </c>
      <c r="B1787" s="60" t="s">
        <v>478</v>
      </c>
      <c r="C1787" s="60" t="n">
        <v>22790587</v>
      </c>
      <c r="D1787" s="60" t="s">
        <v>46</v>
      </c>
      <c r="E1787" s="60" t="s">
        <v>22</v>
      </c>
      <c r="F1787" s="60" t="s">
        <v>236</v>
      </c>
      <c r="G1787" s="60" t="n">
        <v>52.3</v>
      </c>
      <c r="H1787" s="61" t="n">
        <v>649.99</v>
      </c>
      <c r="I1787" s="61" t="n">
        <v>58.6</v>
      </c>
      <c r="J1787" s="61" t="n">
        <f aca="false">H1787*Resumo!$C$6</f>
        <v>0</v>
      </c>
      <c r="K1787" s="61" t="n">
        <f aca="false">H1787*Resumo!$C$7</f>
        <v>1.364979</v>
      </c>
      <c r="L1787" s="61" t="n">
        <f aca="false">H1787*Resumo!$C$8</f>
        <v>1.364979</v>
      </c>
      <c r="M1787" s="61" t="n">
        <f aca="false">Resumo!$C$10*CEILING(G1787/100,1)</f>
        <v>1.05</v>
      </c>
      <c r="N1787" s="61" t="n">
        <f aca="false">Resumo!$C$9</f>
        <v>0</v>
      </c>
      <c r="O1787" s="61" t="n">
        <f aca="false">Resumo!$C$13</f>
        <v>13.55</v>
      </c>
      <c r="P1787" s="61" t="n">
        <f aca="false">Resumo!$C$14*CEILING(G1787,1)</f>
        <v>23.85</v>
      </c>
      <c r="Q1787" s="61" t="n">
        <f aca="false">SUM(I1787:P1787)*Resumo!$C$11</f>
        <v>0</v>
      </c>
      <c r="R1787" s="61" t="n">
        <f aca="false">SUM(I1787:Q1787)</f>
        <v>99.779958</v>
      </c>
      <c r="S1787" s="61" t="n">
        <f aca="false">R1787/(1-Resumo!$C$5)</f>
        <v>113.386315909091</v>
      </c>
      <c r="T1787" s="61" t="n">
        <v>112.3</v>
      </c>
      <c r="U1787" s="61" t="n">
        <f aca="false">H1787*Resumo!$B$6</f>
        <v>0.64999</v>
      </c>
      <c r="V1787" s="61" t="n">
        <f aca="false">H1787*Resumo!$B$7</f>
        <v>1.29998</v>
      </c>
      <c r="W1787" s="61" t="n">
        <f aca="false">Resumo!$B$9</f>
        <v>1</v>
      </c>
      <c r="X1787" s="61" t="n">
        <f aca="false">Resumo!$B$10*CEILING(G1787/100,1)</f>
        <v>4.5</v>
      </c>
      <c r="Y1787" s="61" t="n">
        <f aca="false">Resumo!$B$12*CEILING(G1787,1)</f>
        <v>3.18</v>
      </c>
      <c r="Z1787" s="61" t="n">
        <f aca="false">Resumo!$B$14*CEILING(G1787,1)</f>
        <v>23.85</v>
      </c>
      <c r="AA1787" s="61" t="n">
        <f aca="false">SUM(T1787:Z1787)</f>
        <v>146.77997</v>
      </c>
      <c r="AB1787" s="61" t="n">
        <f aca="false">AA1787/(1-Resumo!$B$5)</f>
        <v>166.795420454545</v>
      </c>
      <c r="AC1787" s="61" t="n">
        <f aca="false">AB1787-S1787</f>
        <v>53.4091045454546</v>
      </c>
      <c r="AD1787" s="62" t="n">
        <f aca="false">AB1787/S1787-1</f>
        <v>0.471036598351745</v>
      </c>
      <c r="AE1787" s="60" t="str">
        <f aca="false">IF(AB1787&lt;S1787,"SIM","NÃO")</f>
        <v>NÃO</v>
      </c>
      <c r="AF1787" s="60" t="n">
        <v>2</v>
      </c>
      <c r="AG1787" s="60" t="n">
        <v>5</v>
      </c>
      <c r="AH1787" s="60" t="s">
        <v>382</v>
      </c>
      <c r="AI1787" s="61" t="n">
        <f aca="false">(T1787*(1-Painel!$C$40)+U1787+V1787+Painel!$C$41+Painel!$C$42*CEILING(G1787/100,1)+Painel!$C$43*CEILING(G1787,1)+Z1787)/(1-Resumo!$B$5)</f>
        <v>117.148829545455</v>
      </c>
      <c r="AJ1787" s="60" t="str">
        <f aca="false">IF(AI1787&lt;S1787,"SIM","NÃO")</f>
        <v>NÃO</v>
      </c>
    </row>
    <row r="1788" customFormat="false" ht="15" hidden="false" customHeight="false" outlineLevel="0" collapsed="false">
      <c r="A1788" s="59" t="n">
        <v>46278.7617592593</v>
      </c>
      <c r="B1788" s="60" t="s">
        <v>1989</v>
      </c>
      <c r="C1788" s="60" t="n">
        <v>20715010</v>
      </c>
      <c r="D1788" s="60" t="s">
        <v>46</v>
      </c>
      <c r="E1788" s="60" t="s">
        <v>22</v>
      </c>
      <c r="F1788" s="60" t="s">
        <v>236</v>
      </c>
      <c r="G1788" s="60" t="n">
        <v>52.3</v>
      </c>
      <c r="H1788" s="61" t="n">
        <v>614.63</v>
      </c>
      <c r="I1788" s="61" t="n">
        <v>58.6</v>
      </c>
      <c r="J1788" s="61" t="n">
        <f aca="false">H1788*Resumo!$C$6</f>
        <v>0</v>
      </c>
      <c r="K1788" s="61" t="n">
        <f aca="false">H1788*Resumo!$C$7</f>
        <v>1.290723</v>
      </c>
      <c r="L1788" s="61" t="n">
        <f aca="false">H1788*Resumo!$C$8</f>
        <v>1.290723</v>
      </c>
      <c r="M1788" s="61" t="n">
        <f aca="false">Resumo!$C$10*CEILING(G1788/100,1)</f>
        <v>1.05</v>
      </c>
      <c r="N1788" s="61" t="n">
        <f aca="false">Resumo!$C$9</f>
        <v>0</v>
      </c>
      <c r="O1788" s="61" t="n">
        <f aca="false">Resumo!$C$13</f>
        <v>13.55</v>
      </c>
      <c r="P1788" s="61" t="n">
        <f aca="false">Resumo!$C$14*CEILING(G1788,1)</f>
        <v>23.85</v>
      </c>
      <c r="Q1788" s="61" t="n">
        <f aca="false">SUM(I1788:P1788)*Resumo!$C$11</f>
        <v>0</v>
      </c>
      <c r="R1788" s="61" t="n">
        <f aca="false">SUM(I1788:Q1788)</f>
        <v>99.631446</v>
      </c>
      <c r="S1788" s="61" t="n">
        <f aca="false">R1788/(1-Resumo!$C$5)</f>
        <v>113.217552272727</v>
      </c>
      <c r="T1788" s="61" t="n">
        <v>112.3</v>
      </c>
      <c r="U1788" s="61" t="n">
        <f aca="false">H1788*Resumo!$B$6</f>
        <v>0.61463</v>
      </c>
      <c r="V1788" s="61" t="n">
        <f aca="false">H1788*Resumo!$B$7</f>
        <v>1.22926</v>
      </c>
      <c r="W1788" s="61" t="n">
        <f aca="false">Resumo!$B$9</f>
        <v>1</v>
      </c>
      <c r="X1788" s="61" t="n">
        <f aca="false">Resumo!$B$10*CEILING(G1788/100,1)</f>
        <v>4.5</v>
      </c>
      <c r="Y1788" s="61" t="n">
        <f aca="false">Resumo!$B$12*CEILING(G1788,1)</f>
        <v>3.18</v>
      </c>
      <c r="Z1788" s="61" t="n">
        <f aca="false">Resumo!$B$14*CEILING(G1788,1)</f>
        <v>23.85</v>
      </c>
      <c r="AA1788" s="61" t="n">
        <f aca="false">SUM(T1788:Z1788)</f>
        <v>146.67389</v>
      </c>
      <c r="AB1788" s="61" t="n">
        <f aca="false">AA1788/(1-Resumo!$B$5)</f>
        <v>166.674875</v>
      </c>
      <c r="AC1788" s="61" t="n">
        <f aca="false">AB1788-S1788</f>
        <v>53.4573227272727</v>
      </c>
      <c r="AD1788" s="62" t="n">
        <f aca="false">AB1788/S1788-1</f>
        <v>0.472164621599489</v>
      </c>
      <c r="AE1788" s="60" t="str">
        <f aca="false">IF(AB1788&lt;S1788,"SIM","NÃO")</f>
        <v>NÃO</v>
      </c>
      <c r="AF1788" s="60" t="n">
        <v>2</v>
      </c>
      <c r="AG1788" s="60" t="n">
        <v>5</v>
      </c>
      <c r="AH1788" s="60" t="s">
        <v>382</v>
      </c>
      <c r="AI1788" s="61" t="n">
        <f aca="false">(T1788*(1-Painel!$C$40)+U1788+V1788+Painel!$C$41+Painel!$C$42*CEILING(G1788/100,1)+Painel!$C$43*CEILING(G1788,1)+Z1788)/(1-Resumo!$B$5)</f>
        <v>117.028284090909</v>
      </c>
      <c r="AJ1788" s="60" t="str">
        <f aca="false">IF(AI1788&lt;S1788,"SIM","NÃO")</f>
        <v>NÃO</v>
      </c>
    </row>
    <row r="1789" customFormat="false" ht="15" hidden="false" customHeight="false" outlineLevel="0" collapsed="false">
      <c r="A1789" s="59" t="n">
        <v>46278.7636342593</v>
      </c>
      <c r="B1789" s="60" t="s">
        <v>1990</v>
      </c>
      <c r="C1789" s="60" t="n">
        <v>25044030</v>
      </c>
      <c r="D1789" s="60" t="s">
        <v>48</v>
      </c>
      <c r="E1789" s="60" t="s">
        <v>23</v>
      </c>
      <c r="F1789" s="60" t="s">
        <v>236</v>
      </c>
      <c r="G1789" s="60" t="n">
        <v>52.3</v>
      </c>
      <c r="H1789" s="61" t="n">
        <v>614.63</v>
      </c>
      <c r="I1789" s="61" t="n">
        <v>70.98</v>
      </c>
      <c r="J1789" s="61" t="n">
        <f aca="false">H1789*Resumo!$C$6</f>
        <v>0</v>
      </c>
      <c r="K1789" s="61" t="n">
        <f aca="false">H1789*Resumo!$C$7</f>
        <v>1.290723</v>
      </c>
      <c r="L1789" s="61" t="n">
        <f aca="false">H1789*Resumo!$C$8</f>
        <v>1.290723</v>
      </c>
      <c r="M1789" s="61" t="n">
        <f aca="false">Resumo!$C$10*CEILING(G1789/100,1)</f>
        <v>1.05</v>
      </c>
      <c r="N1789" s="61" t="n">
        <f aca="false">Resumo!$C$9</f>
        <v>0</v>
      </c>
      <c r="O1789" s="61" t="n">
        <f aca="false">Resumo!$C$13</f>
        <v>13.55</v>
      </c>
      <c r="P1789" s="61" t="n">
        <f aca="false">Resumo!$C$14*CEILING(G1789,1)</f>
        <v>23.85</v>
      </c>
      <c r="Q1789" s="61" t="n">
        <f aca="false">SUM(I1789:P1789)*Resumo!$C$11</f>
        <v>0</v>
      </c>
      <c r="R1789" s="61" t="n">
        <f aca="false">SUM(I1789:Q1789)</f>
        <v>112.011446</v>
      </c>
      <c r="S1789" s="61" t="n">
        <f aca="false">R1789/(1-Resumo!$C$5)</f>
        <v>127.285734090909</v>
      </c>
      <c r="T1789" s="61" t="n">
        <v>112.3</v>
      </c>
      <c r="U1789" s="61" t="n">
        <f aca="false">H1789*Resumo!$B$6</f>
        <v>0.61463</v>
      </c>
      <c r="V1789" s="61" t="n">
        <f aca="false">H1789*Resumo!$B$7</f>
        <v>1.22926</v>
      </c>
      <c r="W1789" s="61" t="n">
        <f aca="false">Resumo!$B$9</f>
        <v>1</v>
      </c>
      <c r="X1789" s="61" t="n">
        <f aca="false">Resumo!$B$10*CEILING(G1789/100,1)</f>
        <v>4.5</v>
      </c>
      <c r="Y1789" s="61" t="n">
        <f aca="false">Resumo!$B$12*CEILING(G1789,1)</f>
        <v>3.18</v>
      </c>
      <c r="Z1789" s="61" t="n">
        <f aca="false">Resumo!$B$14*CEILING(G1789,1)</f>
        <v>23.85</v>
      </c>
      <c r="AA1789" s="61" t="n">
        <f aca="false">SUM(T1789:Z1789)</f>
        <v>146.67389</v>
      </c>
      <c r="AB1789" s="61" t="n">
        <f aca="false">AA1789/(1-Resumo!$B$5)</f>
        <v>166.674875</v>
      </c>
      <c r="AC1789" s="61" t="n">
        <f aca="false">AB1789-S1789</f>
        <v>39.3891409090909</v>
      </c>
      <c r="AD1789" s="62" t="n">
        <f aca="false">AB1789/S1789-1</f>
        <v>0.309454481999991</v>
      </c>
      <c r="AE1789" s="60" t="str">
        <f aca="false">IF(AB1789&lt;S1789,"SIM","NÃO")</f>
        <v>NÃO</v>
      </c>
      <c r="AF1789" s="60" t="n">
        <v>2</v>
      </c>
      <c r="AG1789" s="60" t="n">
        <v>5</v>
      </c>
      <c r="AH1789" s="60" t="s">
        <v>382</v>
      </c>
      <c r="AI1789" s="61" t="n">
        <f aca="false">(T1789*(1-Painel!$C$40)+U1789+V1789+Painel!$C$41+Painel!$C$42*CEILING(G1789/100,1)+Painel!$C$43*CEILING(G1789,1)+Z1789)/(1-Resumo!$B$5)</f>
        <v>117.028284090909</v>
      </c>
      <c r="AJ1789" s="60" t="str">
        <f aca="false">IF(AI1789&lt;S1789,"SIM","NÃO")</f>
        <v>SIM</v>
      </c>
    </row>
    <row r="1790" customFormat="false" ht="15" hidden="false" customHeight="false" outlineLevel="0" collapsed="false">
      <c r="A1790" s="59" t="n">
        <v>46278.7755439815</v>
      </c>
      <c r="B1790" s="60" t="s">
        <v>1991</v>
      </c>
      <c r="C1790" s="60" t="n">
        <v>22790703</v>
      </c>
      <c r="D1790" s="60" t="s">
        <v>46</v>
      </c>
      <c r="E1790" s="60" t="s">
        <v>22</v>
      </c>
      <c r="F1790" s="60" t="s">
        <v>236</v>
      </c>
      <c r="G1790" s="60" t="n">
        <v>52.3</v>
      </c>
      <c r="H1790" s="61" t="n">
        <v>645.14</v>
      </c>
      <c r="I1790" s="61" t="n">
        <v>58.6</v>
      </c>
      <c r="J1790" s="61" t="n">
        <f aca="false">H1790*Resumo!$C$6</f>
        <v>0</v>
      </c>
      <c r="K1790" s="61" t="n">
        <f aca="false">H1790*Resumo!$C$7</f>
        <v>1.354794</v>
      </c>
      <c r="L1790" s="61" t="n">
        <f aca="false">H1790*Resumo!$C$8</f>
        <v>1.354794</v>
      </c>
      <c r="M1790" s="61" t="n">
        <f aca="false">Resumo!$C$10*CEILING(G1790/100,1)</f>
        <v>1.05</v>
      </c>
      <c r="N1790" s="61" t="n">
        <f aca="false">Resumo!$C$9</f>
        <v>0</v>
      </c>
      <c r="O1790" s="61" t="n">
        <f aca="false">Resumo!$C$13</f>
        <v>13.55</v>
      </c>
      <c r="P1790" s="61" t="n">
        <f aca="false">Resumo!$C$14*CEILING(G1790,1)</f>
        <v>23.85</v>
      </c>
      <c r="Q1790" s="61" t="n">
        <f aca="false">SUM(I1790:P1790)*Resumo!$C$11</f>
        <v>0</v>
      </c>
      <c r="R1790" s="61" t="n">
        <f aca="false">SUM(I1790:Q1790)</f>
        <v>99.759588</v>
      </c>
      <c r="S1790" s="61" t="n">
        <f aca="false">R1790/(1-Resumo!$C$5)</f>
        <v>113.363168181818</v>
      </c>
      <c r="T1790" s="61" t="n">
        <v>112.3</v>
      </c>
      <c r="U1790" s="61" t="n">
        <f aca="false">H1790*Resumo!$B$6</f>
        <v>0.64514</v>
      </c>
      <c r="V1790" s="61" t="n">
        <f aca="false">H1790*Resumo!$B$7</f>
        <v>1.29028</v>
      </c>
      <c r="W1790" s="61" t="n">
        <f aca="false">Resumo!$B$9</f>
        <v>1</v>
      </c>
      <c r="X1790" s="61" t="n">
        <f aca="false">Resumo!$B$10*CEILING(G1790/100,1)</f>
        <v>4.5</v>
      </c>
      <c r="Y1790" s="61" t="n">
        <f aca="false">Resumo!$B$12*CEILING(G1790,1)</f>
        <v>3.18</v>
      </c>
      <c r="Z1790" s="61" t="n">
        <f aca="false">Resumo!$B$14*CEILING(G1790,1)</f>
        <v>23.85</v>
      </c>
      <c r="AA1790" s="61" t="n">
        <f aca="false">SUM(T1790:Z1790)</f>
        <v>146.76542</v>
      </c>
      <c r="AB1790" s="61" t="n">
        <f aca="false">AA1790/(1-Resumo!$B$5)</f>
        <v>166.778886363636</v>
      </c>
      <c r="AC1790" s="61" t="n">
        <f aca="false">AB1790-S1790</f>
        <v>53.4157181818182</v>
      </c>
      <c r="AD1790" s="62" t="n">
        <f aca="false">AB1790/S1790-1</f>
        <v>0.471191119995403</v>
      </c>
      <c r="AE1790" s="60" t="str">
        <f aca="false">IF(AB1790&lt;S1790,"SIM","NÃO")</f>
        <v>NÃO</v>
      </c>
      <c r="AF1790" s="60" t="n">
        <v>2</v>
      </c>
      <c r="AG1790" s="60" t="n">
        <v>5</v>
      </c>
      <c r="AH1790" s="60" t="s">
        <v>382</v>
      </c>
      <c r="AI1790" s="61" t="n">
        <f aca="false">(T1790*(1-Painel!$C$40)+U1790+V1790+Painel!$C$41+Painel!$C$42*CEILING(G1790/100,1)+Painel!$C$43*CEILING(G1790,1)+Z1790)/(1-Resumo!$B$5)</f>
        <v>117.132295454545</v>
      </c>
      <c r="AJ1790" s="60" t="str">
        <f aca="false">IF(AI1790&lt;S1790,"SIM","NÃO")</f>
        <v>NÃO</v>
      </c>
    </row>
    <row r="1791" customFormat="false" ht="15" hidden="false" customHeight="false" outlineLevel="0" collapsed="false">
      <c r="A1791" s="59" t="n">
        <v>46278.7782060185</v>
      </c>
      <c r="B1791" s="60" t="s">
        <v>1992</v>
      </c>
      <c r="C1791" s="60" t="n">
        <v>21930135</v>
      </c>
      <c r="D1791" s="60" t="s">
        <v>46</v>
      </c>
      <c r="E1791" s="60" t="s">
        <v>22</v>
      </c>
      <c r="F1791" s="60" t="s">
        <v>236</v>
      </c>
      <c r="G1791" s="60" t="n">
        <v>52.3</v>
      </c>
      <c r="H1791" s="61" t="n">
        <v>645.14</v>
      </c>
      <c r="I1791" s="61" t="n">
        <v>58.6</v>
      </c>
      <c r="J1791" s="61" t="n">
        <f aca="false">H1791*Resumo!$C$6</f>
        <v>0</v>
      </c>
      <c r="K1791" s="61" t="n">
        <f aca="false">H1791*Resumo!$C$7</f>
        <v>1.354794</v>
      </c>
      <c r="L1791" s="61" t="n">
        <f aca="false">H1791*Resumo!$C$8</f>
        <v>1.354794</v>
      </c>
      <c r="M1791" s="61" t="n">
        <f aca="false">Resumo!$C$10*CEILING(G1791/100,1)</f>
        <v>1.05</v>
      </c>
      <c r="N1791" s="61" t="n">
        <f aca="false">Resumo!$C$9</f>
        <v>0</v>
      </c>
      <c r="O1791" s="61" t="n">
        <f aca="false">Resumo!$C$13</f>
        <v>13.55</v>
      </c>
      <c r="P1791" s="61" t="n">
        <f aca="false">Resumo!$C$14*CEILING(G1791,1)</f>
        <v>23.85</v>
      </c>
      <c r="Q1791" s="61" t="n">
        <f aca="false">SUM(I1791:P1791)*Resumo!$C$11</f>
        <v>0</v>
      </c>
      <c r="R1791" s="61" t="n">
        <f aca="false">SUM(I1791:Q1791)</f>
        <v>99.759588</v>
      </c>
      <c r="S1791" s="61" t="n">
        <f aca="false">R1791/(1-Resumo!$C$5)</f>
        <v>113.363168181818</v>
      </c>
      <c r="T1791" s="61" t="n">
        <v>112.3</v>
      </c>
      <c r="U1791" s="61" t="n">
        <f aca="false">H1791*Resumo!$B$6</f>
        <v>0.64514</v>
      </c>
      <c r="V1791" s="61" t="n">
        <f aca="false">H1791*Resumo!$B$7</f>
        <v>1.29028</v>
      </c>
      <c r="W1791" s="61" t="n">
        <f aca="false">Resumo!$B$9</f>
        <v>1</v>
      </c>
      <c r="X1791" s="61" t="n">
        <f aca="false">Resumo!$B$10*CEILING(G1791/100,1)</f>
        <v>4.5</v>
      </c>
      <c r="Y1791" s="61" t="n">
        <f aca="false">Resumo!$B$12*CEILING(G1791,1)</f>
        <v>3.18</v>
      </c>
      <c r="Z1791" s="61" t="n">
        <f aca="false">Resumo!$B$14*CEILING(G1791,1)</f>
        <v>23.85</v>
      </c>
      <c r="AA1791" s="61" t="n">
        <f aca="false">SUM(T1791:Z1791)</f>
        <v>146.76542</v>
      </c>
      <c r="AB1791" s="61" t="n">
        <f aca="false">AA1791/(1-Resumo!$B$5)</f>
        <v>166.778886363636</v>
      </c>
      <c r="AC1791" s="61" t="n">
        <f aca="false">AB1791-S1791</f>
        <v>53.4157181818182</v>
      </c>
      <c r="AD1791" s="62" t="n">
        <f aca="false">AB1791/S1791-1</f>
        <v>0.471191119995403</v>
      </c>
      <c r="AE1791" s="60" t="str">
        <f aca="false">IF(AB1791&lt;S1791,"SIM","NÃO")</f>
        <v>NÃO</v>
      </c>
      <c r="AF1791" s="60" t="n">
        <v>2</v>
      </c>
      <c r="AG1791" s="60" t="n">
        <v>5</v>
      </c>
      <c r="AH1791" s="60" t="s">
        <v>382</v>
      </c>
      <c r="AI1791" s="61" t="n">
        <f aca="false">(T1791*(1-Painel!$C$40)+U1791+V1791+Painel!$C$41+Painel!$C$42*CEILING(G1791/100,1)+Painel!$C$43*CEILING(G1791,1)+Z1791)/(1-Resumo!$B$5)</f>
        <v>117.132295454545</v>
      </c>
      <c r="AJ1791" s="60" t="str">
        <f aca="false">IF(AI1791&lt;S1791,"SIM","NÃO")</f>
        <v>NÃO</v>
      </c>
    </row>
    <row r="1792" customFormat="false" ht="15" hidden="false" customHeight="false" outlineLevel="0" collapsed="false">
      <c r="A1792" s="59" t="n">
        <v>46278.7806481482</v>
      </c>
      <c r="B1792" s="60" t="s">
        <v>836</v>
      </c>
      <c r="C1792" s="60" t="n">
        <v>22783410</v>
      </c>
      <c r="D1792" s="60" t="s">
        <v>46</v>
      </c>
      <c r="E1792" s="60" t="s">
        <v>22</v>
      </c>
      <c r="F1792" s="60" t="s">
        <v>237</v>
      </c>
      <c r="G1792" s="60" t="n">
        <v>63.9</v>
      </c>
      <c r="H1792" s="61" t="n">
        <v>716.35</v>
      </c>
      <c r="I1792" s="61" t="n">
        <v>63.21</v>
      </c>
      <c r="J1792" s="61" t="n">
        <f aca="false">H1792*Resumo!$C$6</f>
        <v>0</v>
      </c>
      <c r="K1792" s="61" t="n">
        <f aca="false">H1792*Resumo!$C$7</f>
        <v>1.504335</v>
      </c>
      <c r="L1792" s="61" t="n">
        <f aca="false">H1792*Resumo!$C$8</f>
        <v>1.504335</v>
      </c>
      <c r="M1792" s="61" t="n">
        <f aca="false">Resumo!$C$10*CEILING(G1792/100,1)</f>
        <v>1.05</v>
      </c>
      <c r="N1792" s="61" t="n">
        <f aca="false">Resumo!$C$9</f>
        <v>0</v>
      </c>
      <c r="O1792" s="61" t="n">
        <f aca="false">Resumo!$C$13</f>
        <v>13.55</v>
      </c>
      <c r="P1792" s="61" t="n">
        <f aca="false">Resumo!$C$14*CEILING(G1792,1)</f>
        <v>28.8</v>
      </c>
      <c r="Q1792" s="61" t="n">
        <f aca="false">SUM(I1792:P1792)*Resumo!$C$11</f>
        <v>0</v>
      </c>
      <c r="R1792" s="61" t="n">
        <f aca="false">SUM(I1792:Q1792)</f>
        <v>109.61867</v>
      </c>
      <c r="S1792" s="61" t="n">
        <f aca="false">R1792/(1-Resumo!$C$5)</f>
        <v>124.566670454545</v>
      </c>
      <c r="T1792" s="61" t="n">
        <v>131.02</v>
      </c>
      <c r="U1792" s="61" t="n">
        <f aca="false">H1792*Resumo!$B$6</f>
        <v>0.71635</v>
      </c>
      <c r="V1792" s="61" t="n">
        <f aca="false">H1792*Resumo!$B$7</f>
        <v>1.4327</v>
      </c>
      <c r="W1792" s="61" t="n">
        <f aca="false">Resumo!$B$9</f>
        <v>1</v>
      </c>
      <c r="X1792" s="61" t="n">
        <f aca="false">Resumo!$B$10*CEILING(G1792/100,1)</f>
        <v>4.5</v>
      </c>
      <c r="Y1792" s="61" t="n">
        <f aca="false">Resumo!$B$12*CEILING(G1792,1)</f>
        <v>3.84</v>
      </c>
      <c r="Z1792" s="61" t="n">
        <f aca="false">Resumo!$B$14*CEILING(G1792,1)</f>
        <v>28.8</v>
      </c>
      <c r="AA1792" s="61" t="n">
        <f aca="false">SUM(T1792:Z1792)</f>
        <v>171.30905</v>
      </c>
      <c r="AB1792" s="61" t="n">
        <f aca="false">AA1792/(1-Resumo!$B$5)</f>
        <v>194.669375</v>
      </c>
      <c r="AC1792" s="61" t="n">
        <f aca="false">AB1792-S1792</f>
        <v>70.1027045454546</v>
      </c>
      <c r="AD1792" s="62" t="n">
        <f aca="false">AB1792/S1792-1</f>
        <v>0.562772564199146</v>
      </c>
      <c r="AE1792" s="60" t="str">
        <f aca="false">IF(AB1792&lt;S1792,"SIM","NÃO")</f>
        <v>NÃO</v>
      </c>
      <c r="AF1792" s="60" t="n">
        <v>2</v>
      </c>
      <c r="AG1792" s="60" t="n">
        <v>5</v>
      </c>
      <c r="AH1792" s="60" t="s">
        <v>382</v>
      </c>
      <c r="AI1792" s="61" t="n">
        <f aca="false">(T1792*(1-Painel!$C$40)+U1792+V1792+Painel!$C$41+Painel!$C$42*CEILING(G1792/100,1)+Painel!$C$43*CEILING(G1792,1)+Z1792)/(1-Resumo!$B$5)</f>
        <v>137.252784090909</v>
      </c>
      <c r="AJ1792" s="60" t="str">
        <f aca="false">IF(AI1792&lt;S1792,"SIM","NÃO")</f>
        <v>NÃO</v>
      </c>
    </row>
    <row r="1793" customFormat="false" ht="15" hidden="false" customHeight="false" outlineLevel="0" collapsed="false">
      <c r="A1793" s="59" t="n">
        <v>46278.7966550926</v>
      </c>
      <c r="B1793" s="60" t="s">
        <v>518</v>
      </c>
      <c r="C1793" s="60" t="n">
        <v>22765240</v>
      </c>
      <c r="D1793" s="60" t="s">
        <v>46</v>
      </c>
      <c r="E1793" s="60" t="s">
        <v>22</v>
      </c>
      <c r="F1793" s="60" t="s">
        <v>232</v>
      </c>
      <c r="G1793" s="60" t="n">
        <v>15.15</v>
      </c>
      <c r="H1793" s="61" t="n">
        <v>269.99</v>
      </c>
      <c r="I1793" s="61" t="n">
        <v>33.42</v>
      </c>
      <c r="J1793" s="61" t="n">
        <f aca="false">H1793*Resumo!$C$6</f>
        <v>0</v>
      </c>
      <c r="K1793" s="61" t="n">
        <f aca="false">H1793*Resumo!$C$7</f>
        <v>0.566979</v>
      </c>
      <c r="L1793" s="61" t="n">
        <f aca="false">H1793*Resumo!$C$8</f>
        <v>0.566979</v>
      </c>
      <c r="M1793" s="61" t="n">
        <f aca="false">Resumo!$C$10*CEILING(G1793/100,1)</f>
        <v>1.05</v>
      </c>
      <c r="N1793" s="61" t="n">
        <f aca="false">Resumo!$C$9</f>
        <v>0</v>
      </c>
      <c r="O1793" s="61" t="n">
        <f aca="false">Resumo!$C$13</f>
        <v>13.55</v>
      </c>
      <c r="P1793" s="61" t="n">
        <f aca="false">Resumo!$C$14*CEILING(G1793,1)</f>
        <v>7.2</v>
      </c>
      <c r="Q1793" s="61" t="n">
        <f aca="false">SUM(I1793:P1793)*Resumo!$C$11</f>
        <v>0</v>
      </c>
      <c r="R1793" s="61" t="n">
        <f aca="false">SUM(I1793:Q1793)</f>
        <v>56.353958</v>
      </c>
      <c r="S1793" s="61" t="n">
        <f aca="false">R1793/(1-Resumo!$C$5)</f>
        <v>64.0385886363636</v>
      </c>
      <c r="T1793" s="61" t="n">
        <v>46.98</v>
      </c>
      <c r="U1793" s="61" t="n">
        <f aca="false">H1793*Resumo!$B$6</f>
        <v>0.26999</v>
      </c>
      <c r="V1793" s="61" t="n">
        <f aca="false">H1793*Resumo!$B$7</f>
        <v>0.53998</v>
      </c>
      <c r="W1793" s="61" t="n">
        <f aca="false">Resumo!$B$9</f>
        <v>1</v>
      </c>
      <c r="X1793" s="61" t="n">
        <f aca="false">Resumo!$B$10*CEILING(G1793/100,1)</f>
        <v>4.5</v>
      </c>
      <c r="Y1793" s="61" t="n">
        <f aca="false">Resumo!$B$12*CEILING(G1793,1)</f>
        <v>0.96</v>
      </c>
      <c r="Z1793" s="61" t="n">
        <f aca="false">Resumo!$B$14*CEILING(G1793,1)</f>
        <v>7.2</v>
      </c>
      <c r="AA1793" s="61" t="n">
        <f aca="false">SUM(T1793:Z1793)</f>
        <v>61.44997</v>
      </c>
      <c r="AB1793" s="61" t="n">
        <f aca="false">AA1793/(1-Resumo!$B$5)</f>
        <v>69.8295113636364</v>
      </c>
      <c r="AC1793" s="61" t="n">
        <f aca="false">AB1793-S1793</f>
        <v>5.79092272727272</v>
      </c>
      <c r="AD1793" s="62" t="n">
        <f aca="false">AB1793/S1793-1</f>
        <v>0.0904286438940098</v>
      </c>
      <c r="AE1793" s="60" t="str">
        <f aca="false">IF(AB1793&lt;S1793,"SIM","NÃO")</f>
        <v>NÃO</v>
      </c>
      <c r="AF1793" s="60" t="n">
        <v>2</v>
      </c>
      <c r="AG1793" s="60" t="n">
        <v>5</v>
      </c>
      <c r="AH1793" s="60" t="s">
        <v>382</v>
      </c>
      <c r="AI1793" s="61" t="n">
        <f aca="false">(T1793*(1-Painel!$C$40)+U1793+V1793+Painel!$C$41+Painel!$C$42*CEILING(G1793/100,1)+Painel!$C$43*CEILING(G1793,1)+Z1793)/(1-Resumo!$B$5)</f>
        <v>47.2006477272727</v>
      </c>
      <c r="AJ1793" s="60" t="str">
        <f aca="false">IF(AI1793&lt;S1793,"SIM","NÃO")</f>
        <v>SIM</v>
      </c>
    </row>
    <row r="1794" customFormat="false" ht="15" hidden="false" customHeight="false" outlineLevel="0" collapsed="false">
      <c r="A1794" s="59" t="n">
        <v>46278.8783680556</v>
      </c>
      <c r="B1794" s="60" t="s">
        <v>1993</v>
      </c>
      <c r="C1794" s="60" t="n">
        <v>23068155</v>
      </c>
      <c r="D1794" s="60" t="s">
        <v>46</v>
      </c>
      <c r="E1794" s="60" t="s">
        <v>22</v>
      </c>
      <c r="F1794" s="60" t="s">
        <v>236</v>
      </c>
      <c r="G1794" s="60" t="n">
        <v>56.7</v>
      </c>
      <c r="H1794" s="61" t="n">
        <v>645.77</v>
      </c>
      <c r="I1794" s="61" t="n">
        <v>58.6</v>
      </c>
      <c r="J1794" s="61" t="n">
        <f aca="false">H1794*Resumo!$C$6</f>
        <v>0</v>
      </c>
      <c r="K1794" s="61" t="n">
        <f aca="false">H1794*Resumo!$C$7</f>
        <v>1.356117</v>
      </c>
      <c r="L1794" s="61" t="n">
        <f aca="false">H1794*Resumo!$C$8</f>
        <v>1.356117</v>
      </c>
      <c r="M1794" s="61" t="n">
        <f aca="false">Resumo!$C$10*CEILING(G1794/100,1)</f>
        <v>1.05</v>
      </c>
      <c r="N1794" s="61" t="n">
        <f aca="false">Resumo!$C$9</f>
        <v>0</v>
      </c>
      <c r="O1794" s="61" t="n">
        <f aca="false">Resumo!$C$13</f>
        <v>13.55</v>
      </c>
      <c r="P1794" s="61" t="n">
        <f aca="false">Resumo!$C$14*CEILING(G1794,1)</f>
        <v>25.65</v>
      </c>
      <c r="Q1794" s="61" t="n">
        <f aca="false">SUM(I1794:P1794)*Resumo!$C$11</f>
        <v>0</v>
      </c>
      <c r="R1794" s="61" t="n">
        <f aca="false">SUM(I1794:Q1794)</f>
        <v>101.562234</v>
      </c>
      <c r="S1794" s="61" t="n">
        <f aca="false">R1794/(1-Resumo!$C$5)</f>
        <v>115.411629545455</v>
      </c>
      <c r="T1794" s="61" t="n">
        <v>112.3</v>
      </c>
      <c r="U1794" s="61" t="n">
        <f aca="false">H1794*Resumo!$B$6</f>
        <v>0.64577</v>
      </c>
      <c r="V1794" s="61" t="n">
        <f aca="false">H1794*Resumo!$B$7</f>
        <v>1.29154</v>
      </c>
      <c r="W1794" s="61" t="n">
        <f aca="false">Resumo!$B$9</f>
        <v>1</v>
      </c>
      <c r="X1794" s="61" t="n">
        <f aca="false">Resumo!$B$10*CEILING(G1794/100,1)</f>
        <v>4.5</v>
      </c>
      <c r="Y1794" s="61" t="n">
        <f aca="false">Resumo!$B$12*CEILING(G1794,1)</f>
        <v>3.42</v>
      </c>
      <c r="Z1794" s="61" t="n">
        <f aca="false">Resumo!$B$14*CEILING(G1794,1)</f>
        <v>25.65</v>
      </c>
      <c r="AA1794" s="61" t="n">
        <f aca="false">SUM(T1794:Z1794)</f>
        <v>148.80731</v>
      </c>
      <c r="AB1794" s="61" t="n">
        <f aca="false">AA1794/(1-Resumo!$B$5)</f>
        <v>169.099215909091</v>
      </c>
      <c r="AC1794" s="61" t="n">
        <f aca="false">AB1794-S1794</f>
        <v>53.6875863636364</v>
      </c>
      <c r="AD1794" s="62" t="n">
        <f aca="false">AB1794/S1794-1</f>
        <v>0.465183505120614</v>
      </c>
      <c r="AE1794" s="60" t="str">
        <f aca="false">IF(AB1794&lt;S1794,"SIM","NÃO")</f>
        <v>NÃO</v>
      </c>
      <c r="AF1794" s="60" t="n">
        <v>2</v>
      </c>
      <c r="AG1794" s="60" t="n">
        <v>5</v>
      </c>
      <c r="AH1794" s="60" t="s">
        <v>382</v>
      </c>
      <c r="AI1794" s="61" t="n">
        <f aca="false">(T1794*(1-Painel!$C$40)+U1794+V1794+Painel!$C$41+Painel!$C$42*CEILING(G1794/100,1)+Painel!$C$43*CEILING(G1794,1)+Z1794)/(1-Resumo!$B$5)</f>
        <v>119.179897727273</v>
      </c>
      <c r="AJ1794" s="60" t="str">
        <f aca="false">IF(AI1794&lt;S1794,"SIM","NÃO")</f>
        <v>NÃO</v>
      </c>
    </row>
    <row r="1795" customFormat="false" ht="15" hidden="false" customHeight="false" outlineLevel="0" collapsed="false">
      <c r="A1795" s="59" t="n">
        <v>46278.8900231482</v>
      </c>
      <c r="B1795" s="60" t="s">
        <v>1994</v>
      </c>
      <c r="C1795" s="60" t="n">
        <v>23050360</v>
      </c>
      <c r="D1795" s="60" t="s">
        <v>46</v>
      </c>
      <c r="E1795" s="60" t="s">
        <v>22</v>
      </c>
      <c r="F1795" s="60" t="s">
        <v>237</v>
      </c>
      <c r="G1795" s="60" t="n">
        <v>67.3</v>
      </c>
      <c r="H1795" s="61" t="n">
        <v>779.99</v>
      </c>
      <c r="I1795" s="61" t="n">
        <v>63.21</v>
      </c>
      <c r="J1795" s="61" t="n">
        <f aca="false">H1795*Resumo!$C$6</f>
        <v>0</v>
      </c>
      <c r="K1795" s="61" t="n">
        <f aca="false">H1795*Resumo!$C$7</f>
        <v>1.637979</v>
      </c>
      <c r="L1795" s="61" t="n">
        <f aca="false">H1795*Resumo!$C$8</f>
        <v>1.637979</v>
      </c>
      <c r="M1795" s="61" t="n">
        <f aca="false">Resumo!$C$10*CEILING(G1795/100,1)</f>
        <v>1.05</v>
      </c>
      <c r="N1795" s="61" t="n">
        <f aca="false">Resumo!$C$9</f>
        <v>0</v>
      </c>
      <c r="O1795" s="61" t="n">
        <f aca="false">Resumo!$C$13</f>
        <v>13.55</v>
      </c>
      <c r="P1795" s="61" t="n">
        <f aca="false">Resumo!$C$14*CEILING(G1795,1)</f>
        <v>30.6</v>
      </c>
      <c r="Q1795" s="61" t="n">
        <f aca="false">SUM(I1795:P1795)*Resumo!$C$11</f>
        <v>0</v>
      </c>
      <c r="R1795" s="61" t="n">
        <f aca="false">SUM(I1795:Q1795)</f>
        <v>111.685958</v>
      </c>
      <c r="S1795" s="61" t="n">
        <f aca="false">R1795/(1-Resumo!$C$5)</f>
        <v>126.915861363636</v>
      </c>
      <c r="T1795" s="61" t="n">
        <v>131.02</v>
      </c>
      <c r="U1795" s="61" t="n">
        <f aca="false">H1795*Resumo!$B$6</f>
        <v>0.77999</v>
      </c>
      <c r="V1795" s="61" t="n">
        <f aca="false">H1795*Resumo!$B$7</f>
        <v>1.55998</v>
      </c>
      <c r="W1795" s="61" t="n">
        <f aca="false">Resumo!$B$9</f>
        <v>1</v>
      </c>
      <c r="X1795" s="61" t="n">
        <f aca="false">Resumo!$B$10*CEILING(G1795/100,1)</f>
        <v>4.5</v>
      </c>
      <c r="Y1795" s="61" t="n">
        <f aca="false">Resumo!$B$12*CEILING(G1795,1)</f>
        <v>4.08</v>
      </c>
      <c r="Z1795" s="61" t="n">
        <f aca="false">Resumo!$B$14*CEILING(G1795,1)</f>
        <v>30.6</v>
      </c>
      <c r="AA1795" s="61" t="n">
        <f aca="false">SUM(T1795:Z1795)</f>
        <v>173.53997</v>
      </c>
      <c r="AB1795" s="61" t="n">
        <f aca="false">AA1795/(1-Resumo!$B$5)</f>
        <v>197.204511363636</v>
      </c>
      <c r="AC1795" s="61" t="n">
        <f aca="false">AB1795-S1795</f>
        <v>70.28865</v>
      </c>
      <c r="AD1795" s="62" t="n">
        <f aca="false">AB1795/S1795-1</f>
        <v>0.553820848275304</v>
      </c>
      <c r="AE1795" s="60" t="str">
        <f aca="false">IF(AB1795&lt;S1795,"SIM","NÃO")</f>
        <v>NÃO</v>
      </c>
      <c r="AF1795" s="60" t="n">
        <v>2</v>
      </c>
      <c r="AG1795" s="60" t="n">
        <v>5</v>
      </c>
      <c r="AH1795" s="60" t="s">
        <v>382</v>
      </c>
      <c r="AI1795" s="61" t="n">
        <f aca="false">(T1795*(1-Painel!$C$40)+U1795+V1795+Painel!$C$41+Painel!$C$42*CEILING(G1795/100,1)+Painel!$C$43*CEILING(G1795,1)+Z1795)/(1-Resumo!$B$5)</f>
        <v>139.515193181818</v>
      </c>
      <c r="AJ1795" s="60" t="str">
        <f aca="false">IF(AI1795&lt;S1795,"SIM","NÃO")</f>
        <v>NÃO</v>
      </c>
    </row>
    <row r="1796" customFormat="false" ht="15" hidden="false" customHeight="false" outlineLevel="0" collapsed="false">
      <c r="A1796" s="59" t="n">
        <v>46278.9387615741</v>
      </c>
      <c r="B1796" s="60" t="s">
        <v>1995</v>
      </c>
      <c r="C1796" s="60" t="n">
        <v>21931242</v>
      </c>
      <c r="D1796" s="60" t="s">
        <v>46</v>
      </c>
      <c r="E1796" s="60" t="s">
        <v>22</v>
      </c>
      <c r="F1796" s="60" t="s">
        <v>237</v>
      </c>
      <c r="G1796" s="60" t="n">
        <v>67.3</v>
      </c>
      <c r="H1796" s="61" t="n">
        <v>709</v>
      </c>
      <c r="I1796" s="61" t="n">
        <v>63.21</v>
      </c>
      <c r="J1796" s="61" t="n">
        <f aca="false">H1796*Resumo!$C$6</f>
        <v>0</v>
      </c>
      <c r="K1796" s="61" t="n">
        <f aca="false">H1796*Resumo!$C$7</f>
        <v>1.4889</v>
      </c>
      <c r="L1796" s="61" t="n">
        <f aca="false">H1796*Resumo!$C$8</f>
        <v>1.4889</v>
      </c>
      <c r="M1796" s="61" t="n">
        <f aca="false">Resumo!$C$10*CEILING(G1796/100,1)</f>
        <v>1.05</v>
      </c>
      <c r="N1796" s="61" t="n">
        <f aca="false">Resumo!$C$9</f>
        <v>0</v>
      </c>
      <c r="O1796" s="61" t="n">
        <f aca="false">Resumo!$C$13</f>
        <v>13.55</v>
      </c>
      <c r="P1796" s="61" t="n">
        <f aca="false">Resumo!$C$14*CEILING(G1796,1)</f>
        <v>30.6</v>
      </c>
      <c r="Q1796" s="61" t="n">
        <f aca="false">SUM(I1796:P1796)*Resumo!$C$11</f>
        <v>0</v>
      </c>
      <c r="R1796" s="61" t="n">
        <f aca="false">SUM(I1796:Q1796)</f>
        <v>111.3878</v>
      </c>
      <c r="S1796" s="61" t="n">
        <f aca="false">R1796/(1-Resumo!$C$5)</f>
        <v>126.577045454545</v>
      </c>
      <c r="T1796" s="61" t="n">
        <v>131.02</v>
      </c>
      <c r="U1796" s="61" t="n">
        <f aca="false">H1796*Resumo!$B$6</f>
        <v>0.709</v>
      </c>
      <c r="V1796" s="61" t="n">
        <f aca="false">H1796*Resumo!$B$7</f>
        <v>1.418</v>
      </c>
      <c r="W1796" s="61" t="n">
        <f aca="false">Resumo!$B$9</f>
        <v>1</v>
      </c>
      <c r="X1796" s="61" t="n">
        <f aca="false">Resumo!$B$10*CEILING(G1796/100,1)</f>
        <v>4.5</v>
      </c>
      <c r="Y1796" s="61" t="n">
        <f aca="false">Resumo!$B$12*CEILING(G1796,1)</f>
        <v>4.08</v>
      </c>
      <c r="Z1796" s="61" t="n">
        <f aca="false">Resumo!$B$14*CEILING(G1796,1)</f>
        <v>30.6</v>
      </c>
      <c r="AA1796" s="61" t="n">
        <f aca="false">SUM(T1796:Z1796)</f>
        <v>173.327</v>
      </c>
      <c r="AB1796" s="61" t="n">
        <f aca="false">AA1796/(1-Resumo!$B$5)</f>
        <v>196.9625</v>
      </c>
      <c r="AC1796" s="61" t="n">
        <f aca="false">AB1796-S1796</f>
        <v>70.3854545454546</v>
      </c>
      <c r="AD1796" s="62" t="n">
        <f aca="false">AB1796/S1796-1</f>
        <v>0.556068079269004</v>
      </c>
      <c r="AE1796" s="60" t="str">
        <f aca="false">IF(AB1796&lt;S1796,"SIM","NÃO")</f>
        <v>NÃO</v>
      </c>
      <c r="AF1796" s="60" t="n">
        <v>2</v>
      </c>
      <c r="AG1796" s="60" t="n">
        <v>5</v>
      </c>
      <c r="AH1796" s="60" t="s">
        <v>382</v>
      </c>
      <c r="AI1796" s="61" t="n">
        <f aca="false">(T1796*(1-Painel!$C$40)+U1796+V1796+Painel!$C$41+Painel!$C$42*CEILING(G1796/100,1)+Painel!$C$43*CEILING(G1796,1)+Z1796)/(1-Resumo!$B$5)</f>
        <v>139.273181818182</v>
      </c>
      <c r="AJ1796" s="60" t="str">
        <f aca="false">IF(AI1796&lt;S1796,"SIM","NÃO")</f>
        <v>NÃO</v>
      </c>
    </row>
    <row r="1797" customFormat="false" ht="15" hidden="false" customHeight="false" outlineLevel="0" collapsed="false">
      <c r="A1797" s="59" t="n">
        <v>46278.9438541667</v>
      </c>
      <c r="B1797" s="60" t="s">
        <v>1996</v>
      </c>
      <c r="C1797" s="60" t="n">
        <v>23020715</v>
      </c>
      <c r="D1797" s="60" t="s">
        <v>46</v>
      </c>
      <c r="E1797" s="60" t="s">
        <v>22</v>
      </c>
      <c r="F1797" s="60" t="s">
        <v>233</v>
      </c>
      <c r="G1797" s="60" t="n">
        <v>27</v>
      </c>
      <c r="H1797" s="61" t="n">
        <v>486.62</v>
      </c>
      <c r="I1797" s="61" t="n">
        <v>42.11</v>
      </c>
      <c r="J1797" s="61" t="n">
        <f aca="false">H1797*Resumo!$C$6</f>
        <v>0</v>
      </c>
      <c r="K1797" s="61" t="n">
        <f aca="false">H1797*Resumo!$C$7</f>
        <v>1.021902</v>
      </c>
      <c r="L1797" s="61" t="n">
        <f aca="false">H1797*Resumo!$C$8</f>
        <v>1.021902</v>
      </c>
      <c r="M1797" s="61" t="n">
        <f aca="false">Resumo!$C$10*CEILING(G1797/100,1)</f>
        <v>1.05</v>
      </c>
      <c r="N1797" s="61" t="n">
        <f aca="false">Resumo!$C$9</f>
        <v>0</v>
      </c>
      <c r="O1797" s="61" t="n">
        <f aca="false">Resumo!$C$13</f>
        <v>13.55</v>
      </c>
      <c r="P1797" s="61" t="n">
        <f aca="false">Resumo!$C$14*CEILING(G1797,1)</f>
        <v>12.15</v>
      </c>
      <c r="Q1797" s="61" t="n">
        <f aca="false">SUM(I1797:P1797)*Resumo!$C$11</f>
        <v>0</v>
      </c>
      <c r="R1797" s="61" t="n">
        <f aca="false">SUM(I1797:Q1797)</f>
        <v>70.903804</v>
      </c>
      <c r="S1797" s="61" t="n">
        <f aca="false">R1797/(1-Resumo!$C$5)</f>
        <v>80.5725045454546</v>
      </c>
      <c r="T1797" s="61" t="n">
        <v>82.21</v>
      </c>
      <c r="U1797" s="61" t="n">
        <f aca="false">H1797*Resumo!$B$6</f>
        <v>0.48662</v>
      </c>
      <c r="V1797" s="61" t="n">
        <f aca="false">H1797*Resumo!$B$7</f>
        <v>0.97324</v>
      </c>
      <c r="W1797" s="61" t="n">
        <f aca="false">Resumo!$B$9</f>
        <v>1</v>
      </c>
      <c r="X1797" s="61" t="n">
        <f aca="false">Resumo!$B$10*CEILING(G1797/100,1)</f>
        <v>4.5</v>
      </c>
      <c r="Y1797" s="61" t="n">
        <f aca="false">Resumo!$B$12*CEILING(G1797,1)</f>
        <v>1.62</v>
      </c>
      <c r="Z1797" s="61" t="n">
        <f aca="false">Resumo!$B$14*CEILING(G1797,1)</f>
        <v>12.15</v>
      </c>
      <c r="AA1797" s="61" t="n">
        <f aca="false">SUM(T1797:Z1797)</f>
        <v>102.93986</v>
      </c>
      <c r="AB1797" s="61" t="n">
        <f aca="false">AA1797/(1-Resumo!$B$5)</f>
        <v>116.977113636364</v>
      </c>
      <c r="AC1797" s="61" t="n">
        <f aca="false">AB1797-S1797</f>
        <v>36.4046090909091</v>
      </c>
      <c r="AD1797" s="62" t="n">
        <f aca="false">AB1797/S1797-1</f>
        <v>0.451824220883833</v>
      </c>
      <c r="AE1797" s="60" t="str">
        <f aca="false">IF(AB1797&lt;S1797,"SIM","NÃO")</f>
        <v>NÃO</v>
      </c>
      <c r="AF1797" s="60" t="n">
        <v>2</v>
      </c>
      <c r="AG1797" s="60" t="n">
        <v>5</v>
      </c>
      <c r="AH1797" s="60" t="s">
        <v>382</v>
      </c>
      <c r="AI1797" s="61" t="n">
        <f aca="false">(T1797*(1-Painel!$C$40)+U1797+V1797+Painel!$C$41+Painel!$C$42*CEILING(G1797/100,1)+Painel!$C$43*CEILING(G1797,1)+Z1797)/(1-Resumo!$B$5)</f>
        <v>80.387</v>
      </c>
      <c r="AJ1797" s="60" t="str">
        <f aca="false">IF(AI1797&lt;S1797,"SIM","NÃO")</f>
        <v>SIM</v>
      </c>
    </row>
    <row r="1798" customFormat="false" ht="15" hidden="false" customHeight="false" outlineLevel="0" collapsed="false">
      <c r="A1798" s="59" t="n">
        <v>46278.9808449074</v>
      </c>
      <c r="B1798" s="60" t="s">
        <v>1997</v>
      </c>
      <c r="C1798" s="60" t="n">
        <v>28750000</v>
      </c>
      <c r="D1798" s="60" t="s">
        <v>332</v>
      </c>
      <c r="E1798" s="60" t="s">
        <v>24</v>
      </c>
      <c r="F1798" s="60" t="s">
        <v>233</v>
      </c>
      <c r="G1798" s="60" t="n">
        <v>27</v>
      </c>
      <c r="H1798" s="61" t="n">
        <v>339.99</v>
      </c>
      <c r="I1798" s="61" t="n">
        <v>65.63</v>
      </c>
      <c r="J1798" s="61" t="n">
        <f aca="false">H1798*Resumo!$C$6</f>
        <v>0</v>
      </c>
      <c r="K1798" s="61" t="n">
        <f aca="false">H1798*Resumo!$C$7</f>
        <v>0.713979</v>
      </c>
      <c r="L1798" s="61" t="n">
        <f aca="false">H1798*Resumo!$C$8</f>
        <v>0.713979</v>
      </c>
      <c r="M1798" s="61" t="n">
        <f aca="false">Resumo!$C$10*CEILING(G1798/100,1)</f>
        <v>1.05</v>
      </c>
      <c r="N1798" s="61" t="n">
        <f aca="false">Resumo!$C$9</f>
        <v>0</v>
      </c>
      <c r="O1798" s="61" t="n">
        <f aca="false">Resumo!$C$13</f>
        <v>13.55</v>
      </c>
      <c r="P1798" s="61" t="n">
        <f aca="false">Resumo!$C$14*CEILING(G1798,1)</f>
        <v>12.15</v>
      </c>
      <c r="Q1798" s="61" t="n">
        <f aca="false">SUM(I1798:P1798)*Resumo!$C$11</f>
        <v>0</v>
      </c>
      <c r="R1798" s="61" t="n">
        <f aca="false">SUM(I1798:Q1798)</f>
        <v>93.807958</v>
      </c>
      <c r="S1798" s="61" t="n">
        <f aca="false">R1798/(1-Resumo!$C$5)</f>
        <v>106.599952272727</v>
      </c>
      <c r="T1798" s="61" t="n">
        <v>138.29</v>
      </c>
      <c r="U1798" s="61" t="n">
        <f aca="false">H1798*Resumo!$B$6</f>
        <v>0.33999</v>
      </c>
      <c r="V1798" s="61" t="n">
        <f aca="false">H1798*Resumo!$B$7</f>
        <v>0.67998</v>
      </c>
      <c r="W1798" s="61" t="n">
        <f aca="false">Resumo!$B$9</f>
        <v>1</v>
      </c>
      <c r="X1798" s="61" t="n">
        <f aca="false">Resumo!$B$10*CEILING(G1798/100,1)</f>
        <v>4.5</v>
      </c>
      <c r="Y1798" s="61" t="n">
        <f aca="false">Resumo!$B$12*CEILING(G1798,1)</f>
        <v>1.62</v>
      </c>
      <c r="Z1798" s="61" t="n">
        <f aca="false">Resumo!$B$14*CEILING(G1798,1)</f>
        <v>12.15</v>
      </c>
      <c r="AA1798" s="61" t="n">
        <f aca="false">SUM(T1798:Z1798)</f>
        <v>158.57997</v>
      </c>
      <c r="AB1798" s="61" t="n">
        <f aca="false">AA1798/(1-Resumo!$B$5)</f>
        <v>180.204511363636</v>
      </c>
      <c r="AC1798" s="61" t="n">
        <f aca="false">AB1798-S1798</f>
        <v>73.6045590909091</v>
      </c>
      <c r="AD1798" s="62" t="n">
        <f aca="false">AB1798/S1798-1</f>
        <v>0.690474597048579</v>
      </c>
      <c r="AE1798" s="60" t="str">
        <f aca="false">IF(AB1798&lt;S1798,"SIM","NÃO")</f>
        <v>NÃO</v>
      </c>
      <c r="AF1798" s="60" t="n">
        <v>13</v>
      </c>
      <c r="AG1798" s="60" t="n">
        <v>11</v>
      </c>
      <c r="AH1798" s="60" t="s">
        <v>385</v>
      </c>
      <c r="AI1798" s="61" t="n">
        <f aca="false">(T1798*(1-Painel!$C$40)+U1798+V1798+Painel!$C$41+Painel!$C$42*CEILING(G1798/100,1)+Painel!$C$43*CEILING(G1798,1)+Z1798)/(1-Resumo!$B$5)</f>
        <v>122.584397727273</v>
      </c>
      <c r="AJ1798" s="60" t="str">
        <f aca="false">IF(AI1798&lt;S1798,"SIM","NÃO")</f>
        <v>NÃO</v>
      </c>
    </row>
    <row r="1799" customFormat="false" ht="15" hidden="false" customHeight="false" outlineLevel="0" collapsed="false">
      <c r="A1799" s="59" t="n">
        <v>46279.5200115741</v>
      </c>
      <c r="B1799" s="60" t="s">
        <v>1998</v>
      </c>
      <c r="C1799" s="60" t="n">
        <v>27581714</v>
      </c>
      <c r="D1799" s="60" t="s">
        <v>298</v>
      </c>
      <c r="E1799" s="60" t="s">
        <v>24</v>
      </c>
      <c r="F1799" s="60" t="s">
        <v>233</v>
      </c>
      <c r="G1799" s="60" t="n">
        <v>33</v>
      </c>
      <c r="H1799" s="61" t="n">
        <v>344.13</v>
      </c>
      <c r="I1799" s="61" t="n">
        <v>65.63</v>
      </c>
      <c r="J1799" s="61" t="n">
        <f aca="false">H1799*Resumo!$C$6</f>
        <v>0</v>
      </c>
      <c r="K1799" s="61" t="n">
        <f aca="false">H1799*Resumo!$C$7</f>
        <v>0.722673</v>
      </c>
      <c r="L1799" s="61" t="n">
        <f aca="false">H1799*Resumo!$C$8</f>
        <v>0.722673</v>
      </c>
      <c r="M1799" s="61" t="n">
        <f aca="false">Resumo!$C$10*CEILING(G1799/100,1)</f>
        <v>1.05</v>
      </c>
      <c r="N1799" s="61" t="n">
        <f aca="false">Resumo!$C$9</f>
        <v>0</v>
      </c>
      <c r="O1799" s="61" t="n">
        <f aca="false">Resumo!$C$13</f>
        <v>13.55</v>
      </c>
      <c r="P1799" s="61" t="n">
        <f aca="false">Resumo!$C$14*CEILING(G1799,1)</f>
        <v>14.85</v>
      </c>
      <c r="Q1799" s="61" t="n">
        <f aca="false">SUM(I1799:P1799)*Resumo!$C$11</f>
        <v>0</v>
      </c>
      <c r="R1799" s="61" t="n">
        <f aca="false">SUM(I1799:Q1799)</f>
        <v>96.525346</v>
      </c>
      <c r="S1799" s="61" t="n">
        <f aca="false">R1799/(1-Resumo!$C$5)</f>
        <v>109.687893181818</v>
      </c>
      <c r="T1799" s="61" t="n">
        <v>108.83</v>
      </c>
      <c r="U1799" s="61" t="n">
        <f aca="false">H1799*Resumo!$B$6</f>
        <v>0.34413</v>
      </c>
      <c r="V1799" s="61" t="n">
        <f aca="false">H1799*Resumo!$B$7</f>
        <v>0.68826</v>
      </c>
      <c r="W1799" s="61" t="n">
        <f aca="false">Resumo!$B$9</f>
        <v>1</v>
      </c>
      <c r="X1799" s="61" t="n">
        <f aca="false">Resumo!$B$10*CEILING(G1799/100,1)</f>
        <v>4.5</v>
      </c>
      <c r="Y1799" s="61" t="n">
        <f aca="false">Resumo!$B$12*CEILING(G1799,1)</f>
        <v>1.98</v>
      </c>
      <c r="Z1799" s="61" t="n">
        <f aca="false">Resumo!$B$14*CEILING(G1799,1)</f>
        <v>14.85</v>
      </c>
      <c r="AA1799" s="61" t="n">
        <f aca="false">SUM(T1799:Z1799)</f>
        <v>132.19239</v>
      </c>
      <c r="AB1799" s="61" t="n">
        <f aca="false">AA1799/(1-Resumo!$B$5)</f>
        <v>150.218625</v>
      </c>
      <c r="AC1799" s="61" t="n">
        <f aca="false">AB1799-S1799</f>
        <v>40.5307318181818</v>
      </c>
      <c r="AD1799" s="62" t="n">
        <f aca="false">AB1799/S1799-1</f>
        <v>0.369509620820214</v>
      </c>
      <c r="AE1799" s="60" t="str">
        <f aca="false">IF(AB1799&lt;S1799,"SIM","NÃO")</f>
        <v>NÃO</v>
      </c>
      <c r="AF1799" s="60" t="n">
        <v>13</v>
      </c>
      <c r="AG1799" s="60" t="n">
        <v>10</v>
      </c>
      <c r="AH1799" s="60" t="s">
        <v>385</v>
      </c>
      <c r="AI1799" s="61" t="n">
        <f aca="false">(T1799*(1-Painel!$C$40)+U1799+V1799+Painel!$C$41+Painel!$C$42*CEILING(G1799/100,1)+Painel!$C$43*CEILING(G1799,1)+Z1799)/(1-Resumo!$B$5)</f>
        <v>103.236920454545</v>
      </c>
      <c r="AJ1799" s="60" t="str">
        <f aca="false">IF(AI1799&lt;S1799,"SIM","NÃO")</f>
        <v>SIM</v>
      </c>
    </row>
    <row r="1800" customFormat="false" ht="15" hidden="false" customHeight="false" outlineLevel="0" collapsed="false">
      <c r="A1800" s="59" t="n">
        <v>46279.5240277778</v>
      </c>
      <c r="B1800" s="60" t="s">
        <v>1999</v>
      </c>
      <c r="C1800" s="60" t="n">
        <v>22220030</v>
      </c>
      <c r="D1800" s="60" t="s">
        <v>46</v>
      </c>
      <c r="E1800" s="60" t="s">
        <v>22</v>
      </c>
      <c r="F1800" s="60" t="s">
        <v>233</v>
      </c>
      <c r="G1800" s="60" t="n">
        <v>21.3</v>
      </c>
      <c r="H1800" s="61" t="n">
        <v>299.96</v>
      </c>
      <c r="I1800" s="61" t="n">
        <v>42.11</v>
      </c>
      <c r="J1800" s="61" t="n">
        <f aca="false">H1800*Resumo!$C$6</f>
        <v>0</v>
      </c>
      <c r="K1800" s="61" t="n">
        <f aca="false">H1800*Resumo!$C$7</f>
        <v>0.629916</v>
      </c>
      <c r="L1800" s="61" t="n">
        <f aca="false">H1800*Resumo!$C$8</f>
        <v>0.629916</v>
      </c>
      <c r="M1800" s="61" t="n">
        <f aca="false">Resumo!$C$10*CEILING(G1800/100,1)</f>
        <v>1.05</v>
      </c>
      <c r="N1800" s="61" t="n">
        <f aca="false">Resumo!$C$9</f>
        <v>0</v>
      </c>
      <c r="O1800" s="61" t="n">
        <f aca="false">Resumo!$C$13</f>
        <v>13.55</v>
      </c>
      <c r="P1800" s="61" t="n">
        <f aca="false">Resumo!$C$14*CEILING(G1800,1)</f>
        <v>9.9</v>
      </c>
      <c r="Q1800" s="61" t="n">
        <f aca="false">SUM(I1800:P1800)*Resumo!$C$11</f>
        <v>0</v>
      </c>
      <c r="R1800" s="61" t="n">
        <f aca="false">SUM(I1800:Q1800)</f>
        <v>67.869832</v>
      </c>
      <c r="S1800" s="61" t="n">
        <f aca="false">R1800/(1-Resumo!$C$5)</f>
        <v>77.1248090909091</v>
      </c>
      <c r="T1800" s="61" t="n">
        <v>82.21</v>
      </c>
      <c r="U1800" s="61" t="n">
        <f aca="false">H1800*Resumo!$B$6</f>
        <v>0.29996</v>
      </c>
      <c r="V1800" s="61" t="n">
        <f aca="false">H1800*Resumo!$B$7</f>
        <v>0.59992</v>
      </c>
      <c r="W1800" s="61" t="n">
        <f aca="false">Resumo!$B$9</f>
        <v>1</v>
      </c>
      <c r="X1800" s="61" t="n">
        <f aca="false">Resumo!$B$10*CEILING(G1800/100,1)</f>
        <v>4.5</v>
      </c>
      <c r="Y1800" s="61" t="n">
        <f aca="false">Resumo!$B$12*CEILING(G1800,1)</f>
        <v>1.32</v>
      </c>
      <c r="Z1800" s="61" t="n">
        <f aca="false">Resumo!$B$14*CEILING(G1800,1)</f>
        <v>9.9</v>
      </c>
      <c r="AA1800" s="61" t="n">
        <f aca="false">SUM(T1800:Z1800)</f>
        <v>99.82988</v>
      </c>
      <c r="AB1800" s="61" t="n">
        <f aca="false">AA1800/(1-Resumo!$B$5)</f>
        <v>113.443045454545</v>
      </c>
      <c r="AC1800" s="61" t="n">
        <f aca="false">AB1800-S1800</f>
        <v>36.3182363636364</v>
      </c>
      <c r="AD1800" s="62" t="n">
        <f aca="false">AB1800/S1800-1</f>
        <v>0.470902123346939</v>
      </c>
      <c r="AE1800" s="60" t="str">
        <f aca="false">IF(AB1800&lt;S1800,"SIM","NÃO")</f>
        <v>NÃO</v>
      </c>
      <c r="AF1800" s="60" t="n">
        <v>2</v>
      </c>
      <c r="AG1800" s="60" t="n">
        <v>5</v>
      </c>
      <c r="AH1800" s="60" t="s">
        <v>382</v>
      </c>
      <c r="AI1800" s="61" t="n">
        <f aca="false">(T1800*(1-Painel!$C$40)+U1800+V1800+Painel!$C$41+Painel!$C$42*CEILING(G1800/100,1)+Painel!$C$43*CEILING(G1800,1)+Z1800)/(1-Resumo!$B$5)</f>
        <v>77.1938409090909</v>
      </c>
      <c r="AJ1800" s="60" t="str">
        <f aca="false">IF(AI1800&lt;S1800,"SIM","NÃO")</f>
        <v>NÃO</v>
      </c>
    </row>
    <row r="1801" customFormat="false" ht="15" hidden="false" customHeight="false" outlineLevel="0" collapsed="false">
      <c r="A1801" s="59" t="n">
        <v>46279.5285185185</v>
      </c>
      <c r="B1801" s="60" t="s">
        <v>2000</v>
      </c>
      <c r="C1801" s="60" t="n">
        <v>28635000</v>
      </c>
      <c r="D1801" s="60" t="s">
        <v>226</v>
      </c>
      <c r="E1801" s="60" t="s">
        <v>24</v>
      </c>
      <c r="F1801" s="60" t="s">
        <v>235</v>
      </c>
      <c r="G1801" s="60" t="n">
        <v>45.4</v>
      </c>
      <c r="H1801" s="61" t="n">
        <v>579.93</v>
      </c>
      <c r="I1801" s="61" t="n">
        <v>77.7</v>
      </c>
      <c r="J1801" s="61" t="n">
        <f aca="false">H1801*Resumo!$C$6</f>
        <v>0</v>
      </c>
      <c r="K1801" s="61" t="n">
        <f aca="false">H1801*Resumo!$C$7</f>
        <v>1.217853</v>
      </c>
      <c r="L1801" s="61" t="n">
        <f aca="false">H1801*Resumo!$C$8</f>
        <v>1.217853</v>
      </c>
      <c r="M1801" s="61" t="n">
        <f aca="false">Resumo!$C$10*CEILING(G1801/100,1)</f>
        <v>1.05</v>
      </c>
      <c r="N1801" s="61" t="n">
        <f aca="false">Resumo!$C$9</f>
        <v>0</v>
      </c>
      <c r="O1801" s="61" t="n">
        <f aca="false">Resumo!$C$13</f>
        <v>13.55</v>
      </c>
      <c r="P1801" s="61" t="n">
        <f aca="false">Resumo!$C$14*CEILING(G1801,1)</f>
        <v>20.7</v>
      </c>
      <c r="Q1801" s="61" t="n">
        <f aca="false">SUM(I1801:P1801)*Resumo!$C$11</f>
        <v>0</v>
      </c>
      <c r="R1801" s="61" t="n">
        <f aca="false">SUM(I1801:Q1801)</f>
        <v>115.435706</v>
      </c>
      <c r="S1801" s="61" t="n">
        <f aca="false">R1801/(1-Resumo!$C$5)</f>
        <v>131.176938636364</v>
      </c>
      <c r="T1801" s="61" t="n">
        <v>135.03</v>
      </c>
      <c r="U1801" s="61" t="n">
        <f aca="false">H1801*Resumo!$B$6</f>
        <v>0.57993</v>
      </c>
      <c r="V1801" s="61" t="n">
        <f aca="false">H1801*Resumo!$B$7</f>
        <v>1.15986</v>
      </c>
      <c r="W1801" s="61" t="n">
        <f aca="false">Resumo!$B$9</f>
        <v>1</v>
      </c>
      <c r="X1801" s="61" t="n">
        <f aca="false">Resumo!$B$10*CEILING(G1801/100,1)</f>
        <v>4.5</v>
      </c>
      <c r="Y1801" s="61" t="n">
        <f aca="false">Resumo!$B$12*CEILING(G1801,1)</f>
        <v>2.76</v>
      </c>
      <c r="Z1801" s="61" t="n">
        <f aca="false">Resumo!$B$14*CEILING(G1801,1)</f>
        <v>20.7</v>
      </c>
      <c r="AA1801" s="61" t="n">
        <f aca="false">SUM(T1801:Z1801)</f>
        <v>165.72979</v>
      </c>
      <c r="AB1801" s="61" t="n">
        <f aca="false">AA1801/(1-Resumo!$B$5)</f>
        <v>188.329306818182</v>
      </c>
      <c r="AC1801" s="61" t="n">
        <f aca="false">AB1801-S1801</f>
        <v>57.1523681818182</v>
      </c>
      <c r="AD1801" s="62" t="n">
        <f aca="false">AB1801/S1801-1</f>
        <v>0.435689144570225</v>
      </c>
      <c r="AE1801" s="60" t="str">
        <f aca="false">IF(AB1801&lt;S1801,"SIM","NÃO")</f>
        <v>NÃO</v>
      </c>
      <c r="AF1801" s="60" t="n">
        <v>13</v>
      </c>
      <c r="AG1801" s="60" t="n">
        <v>10</v>
      </c>
      <c r="AH1801" s="60" t="s">
        <v>382</v>
      </c>
      <c r="AI1801" s="61" t="n">
        <f aca="false">(T1801*(1-Painel!$C$40)+U1801+V1801+Painel!$C$41+Painel!$C$42*CEILING(G1801/100,1)+Painel!$C$43*CEILING(G1801,1)+Z1801)/(1-Resumo!$B$5)</f>
        <v>130.636238636364</v>
      </c>
      <c r="AJ1801" s="60" t="str">
        <f aca="false">IF(AI1801&lt;S1801,"SIM","NÃO")</f>
        <v>SIM</v>
      </c>
    </row>
    <row r="1802" customFormat="false" ht="15" hidden="false" customHeight="false" outlineLevel="0" collapsed="false">
      <c r="A1802" s="59" t="n">
        <v>46279.5723842593</v>
      </c>
      <c r="B1802" s="60" t="s">
        <v>2001</v>
      </c>
      <c r="C1802" s="60" t="n">
        <v>24210130</v>
      </c>
      <c r="D1802" s="60" t="s">
        <v>50</v>
      </c>
      <c r="E1802" s="60" t="s">
        <v>23</v>
      </c>
      <c r="F1802" s="60" t="s">
        <v>235</v>
      </c>
      <c r="G1802" s="60" t="n">
        <v>48</v>
      </c>
      <c r="H1802" s="61" t="n">
        <v>929.99</v>
      </c>
      <c r="I1802" s="61" t="n">
        <v>65.36</v>
      </c>
      <c r="J1802" s="61" t="n">
        <f aca="false">H1802*Resumo!$C$6</f>
        <v>0</v>
      </c>
      <c r="K1802" s="61" t="n">
        <f aca="false">H1802*Resumo!$C$7</f>
        <v>1.952979</v>
      </c>
      <c r="L1802" s="61" t="n">
        <f aca="false">H1802*Resumo!$C$8</f>
        <v>1.952979</v>
      </c>
      <c r="M1802" s="61" t="n">
        <f aca="false">Resumo!$C$10*CEILING(G1802/100,1)</f>
        <v>1.05</v>
      </c>
      <c r="N1802" s="61" t="n">
        <f aca="false">Resumo!$C$9</f>
        <v>0</v>
      </c>
      <c r="O1802" s="61" t="n">
        <f aca="false">Resumo!$C$13</f>
        <v>13.55</v>
      </c>
      <c r="P1802" s="61" t="n">
        <f aca="false">Resumo!$C$14*CEILING(G1802,1)</f>
        <v>21.6</v>
      </c>
      <c r="Q1802" s="61" t="n">
        <f aca="false">SUM(I1802:P1802)*Resumo!$C$11</f>
        <v>0</v>
      </c>
      <c r="R1802" s="61" t="n">
        <f aca="false">SUM(I1802:Q1802)</f>
        <v>105.465958</v>
      </c>
      <c r="S1802" s="61" t="n">
        <f aca="false">R1802/(1-Resumo!$C$5)</f>
        <v>119.847679545455</v>
      </c>
      <c r="T1802" s="61" t="n">
        <v>114.95</v>
      </c>
      <c r="U1802" s="61" t="n">
        <f aca="false">H1802*Resumo!$B$6</f>
        <v>0.92999</v>
      </c>
      <c r="V1802" s="61" t="n">
        <f aca="false">H1802*Resumo!$B$7</f>
        <v>1.85998</v>
      </c>
      <c r="W1802" s="61" t="n">
        <f aca="false">Resumo!$B$9</f>
        <v>1</v>
      </c>
      <c r="X1802" s="61" t="n">
        <f aca="false">Resumo!$B$10*CEILING(G1802/100,1)</f>
        <v>4.5</v>
      </c>
      <c r="Y1802" s="61" t="n">
        <f aca="false">Resumo!$B$12*CEILING(G1802,1)</f>
        <v>2.88</v>
      </c>
      <c r="Z1802" s="61" t="n">
        <f aca="false">Resumo!$B$14*CEILING(G1802,1)</f>
        <v>21.6</v>
      </c>
      <c r="AA1802" s="61" t="n">
        <f aca="false">SUM(T1802:Z1802)</f>
        <v>147.71997</v>
      </c>
      <c r="AB1802" s="61" t="n">
        <f aca="false">AA1802/(1-Resumo!$B$5)</f>
        <v>167.863602272727</v>
      </c>
      <c r="AC1802" s="61" t="n">
        <f aca="false">AB1802-S1802</f>
        <v>48.0159227272728</v>
      </c>
      <c r="AD1802" s="62" t="n">
        <f aca="false">AB1802/S1802-1</f>
        <v>0.400641238189862</v>
      </c>
      <c r="AE1802" s="60" t="str">
        <f aca="false">IF(AB1802&lt;S1802,"SIM","NÃO")</f>
        <v>NÃO</v>
      </c>
      <c r="AF1802" s="60" t="n">
        <v>2</v>
      </c>
      <c r="AG1802" s="60" t="n">
        <v>7</v>
      </c>
      <c r="AH1802" s="60" t="s">
        <v>382</v>
      </c>
      <c r="AI1802" s="61" t="n">
        <f aca="false">(T1802*(1-Painel!$C$40)+U1802+V1802+Painel!$C$41+Painel!$C$42*CEILING(G1802/100,1)+Painel!$C$43*CEILING(G1802,1)+Z1802)/(1-Resumo!$B$5)</f>
        <v>117.564170454545</v>
      </c>
      <c r="AJ1802" s="60" t="str">
        <f aca="false">IF(AI1802&lt;S1802,"SIM","NÃO")</f>
        <v>SIM</v>
      </c>
    </row>
    <row r="1803" customFormat="false" ht="15" hidden="false" customHeight="false" outlineLevel="0" collapsed="false">
      <c r="A1803" s="59" t="n">
        <v>46279.626400463</v>
      </c>
      <c r="B1803" s="60" t="s">
        <v>2002</v>
      </c>
      <c r="C1803" s="60" t="n">
        <v>21021422</v>
      </c>
      <c r="D1803" s="60" t="s">
        <v>46</v>
      </c>
      <c r="E1803" s="60" t="s">
        <v>22</v>
      </c>
      <c r="F1803" s="60" t="s">
        <v>237</v>
      </c>
      <c r="G1803" s="60" t="n">
        <v>69.3</v>
      </c>
      <c r="H1803" s="61" t="n">
        <v>879.99</v>
      </c>
      <c r="I1803" s="61" t="n">
        <v>63.21</v>
      </c>
      <c r="J1803" s="61" t="n">
        <f aca="false">H1803*Resumo!$C$6</f>
        <v>0</v>
      </c>
      <c r="K1803" s="61" t="n">
        <f aca="false">H1803*Resumo!$C$7</f>
        <v>1.847979</v>
      </c>
      <c r="L1803" s="61" t="n">
        <f aca="false">H1803*Resumo!$C$8</f>
        <v>1.847979</v>
      </c>
      <c r="M1803" s="61" t="n">
        <f aca="false">Resumo!$C$10*CEILING(G1803/100,1)</f>
        <v>1.05</v>
      </c>
      <c r="N1803" s="61" t="n">
        <f aca="false">Resumo!$C$9</f>
        <v>0</v>
      </c>
      <c r="O1803" s="61" t="n">
        <f aca="false">Resumo!$C$13</f>
        <v>13.55</v>
      </c>
      <c r="P1803" s="61" t="n">
        <f aca="false">Resumo!$C$14*CEILING(G1803,1)</f>
        <v>31.5</v>
      </c>
      <c r="Q1803" s="61" t="n">
        <f aca="false">SUM(I1803:P1803)*Resumo!$C$11</f>
        <v>0</v>
      </c>
      <c r="R1803" s="61" t="n">
        <f aca="false">SUM(I1803:Q1803)</f>
        <v>113.005958</v>
      </c>
      <c r="S1803" s="61" t="n">
        <f aca="false">R1803/(1-Resumo!$C$5)</f>
        <v>128.415861363636</v>
      </c>
      <c r="T1803" s="61" t="n">
        <v>131.02</v>
      </c>
      <c r="U1803" s="61" t="n">
        <f aca="false">H1803*Resumo!$B$6</f>
        <v>0.87999</v>
      </c>
      <c r="V1803" s="61" t="n">
        <f aca="false">H1803*Resumo!$B$7</f>
        <v>1.75998</v>
      </c>
      <c r="W1803" s="61" t="n">
        <f aca="false">Resumo!$B$9</f>
        <v>1</v>
      </c>
      <c r="X1803" s="61" t="n">
        <f aca="false">Resumo!$B$10*CEILING(G1803/100,1)</f>
        <v>4.5</v>
      </c>
      <c r="Y1803" s="61" t="n">
        <f aca="false">Resumo!$B$12*CEILING(G1803,1)</f>
        <v>4.2</v>
      </c>
      <c r="Z1803" s="61" t="n">
        <f aca="false">Resumo!$B$14*CEILING(G1803,1)</f>
        <v>31.5</v>
      </c>
      <c r="AA1803" s="61" t="n">
        <f aca="false">SUM(T1803:Z1803)</f>
        <v>174.85997</v>
      </c>
      <c r="AB1803" s="61" t="n">
        <f aca="false">AA1803/(1-Resumo!$B$5)</f>
        <v>198.704511363636</v>
      </c>
      <c r="AC1803" s="61" t="n">
        <f aca="false">AB1803-S1803</f>
        <v>70.28865</v>
      </c>
      <c r="AD1803" s="62" t="n">
        <f aca="false">AB1803/S1803-1</f>
        <v>0.547351777682377</v>
      </c>
      <c r="AE1803" s="60" t="str">
        <f aca="false">IF(AB1803&lt;S1803,"SIM","NÃO")</f>
        <v>NÃO</v>
      </c>
      <c r="AF1803" s="60" t="n">
        <v>2</v>
      </c>
      <c r="AG1803" s="60" t="n">
        <v>5</v>
      </c>
      <c r="AH1803" s="60" t="s">
        <v>382</v>
      </c>
      <c r="AI1803" s="61" t="n">
        <f aca="false">(T1803*(1-Painel!$C$40)+U1803+V1803+Painel!$C$41+Painel!$C$42*CEILING(G1803/100,1)+Painel!$C$43*CEILING(G1803,1)+Z1803)/(1-Resumo!$B$5)</f>
        <v>140.878829545455</v>
      </c>
      <c r="AJ1803" s="60" t="str">
        <f aca="false">IF(AI1803&lt;S1803,"SIM","NÃO")</f>
        <v>NÃO</v>
      </c>
    </row>
    <row r="1804" customFormat="false" ht="15" hidden="false" customHeight="false" outlineLevel="0" collapsed="false">
      <c r="A1804" s="59" t="n">
        <v>46279.6336342593</v>
      </c>
      <c r="B1804" s="60" t="s">
        <v>2003</v>
      </c>
      <c r="C1804" s="60" t="n">
        <v>20920350</v>
      </c>
      <c r="D1804" s="60" t="s">
        <v>46</v>
      </c>
      <c r="E1804" s="60" t="s">
        <v>22</v>
      </c>
      <c r="F1804" s="60" t="s">
        <v>233</v>
      </c>
      <c r="G1804" s="60" t="n">
        <v>33.7</v>
      </c>
      <c r="H1804" s="61" t="n">
        <v>374.53</v>
      </c>
      <c r="I1804" s="61" t="n">
        <v>42.11</v>
      </c>
      <c r="J1804" s="61" t="n">
        <f aca="false">H1804*Resumo!$C$6</f>
        <v>0</v>
      </c>
      <c r="K1804" s="61" t="n">
        <f aca="false">H1804*Resumo!$C$7</f>
        <v>0.786513</v>
      </c>
      <c r="L1804" s="61" t="n">
        <f aca="false">H1804*Resumo!$C$8</f>
        <v>0.786513</v>
      </c>
      <c r="M1804" s="61" t="n">
        <f aca="false">Resumo!$C$10*CEILING(G1804/100,1)</f>
        <v>1.05</v>
      </c>
      <c r="N1804" s="61" t="n">
        <f aca="false">Resumo!$C$9</f>
        <v>0</v>
      </c>
      <c r="O1804" s="61" t="n">
        <f aca="false">Resumo!$C$13</f>
        <v>13.55</v>
      </c>
      <c r="P1804" s="61" t="n">
        <f aca="false">Resumo!$C$14*CEILING(G1804,1)</f>
        <v>15.3</v>
      </c>
      <c r="Q1804" s="61" t="n">
        <f aca="false">SUM(I1804:P1804)*Resumo!$C$11</f>
        <v>0</v>
      </c>
      <c r="R1804" s="61" t="n">
        <f aca="false">SUM(I1804:Q1804)</f>
        <v>73.583026</v>
      </c>
      <c r="S1804" s="61" t="n">
        <f aca="false">R1804/(1-Resumo!$C$5)</f>
        <v>83.617075</v>
      </c>
      <c r="T1804" s="61" t="n">
        <v>82.21</v>
      </c>
      <c r="U1804" s="61" t="n">
        <f aca="false">H1804*Resumo!$B$6</f>
        <v>0.37453</v>
      </c>
      <c r="V1804" s="61" t="n">
        <f aca="false">H1804*Resumo!$B$7</f>
        <v>0.74906</v>
      </c>
      <c r="W1804" s="61" t="n">
        <f aca="false">Resumo!$B$9</f>
        <v>1</v>
      </c>
      <c r="X1804" s="61" t="n">
        <f aca="false">Resumo!$B$10*CEILING(G1804/100,1)</f>
        <v>4.5</v>
      </c>
      <c r="Y1804" s="61" t="n">
        <f aca="false">Resumo!$B$12*CEILING(G1804,1)</f>
        <v>2.04</v>
      </c>
      <c r="Z1804" s="61" t="n">
        <f aca="false">Resumo!$B$14*CEILING(G1804,1)</f>
        <v>15.3</v>
      </c>
      <c r="AA1804" s="61" t="n">
        <f aca="false">SUM(T1804:Z1804)</f>
        <v>106.17359</v>
      </c>
      <c r="AB1804" s="61" t="n">
        <f aca="false">AA1804/(1-Resumo!$B$5)</f>
        <v>120.651806818182</v>
      </c>
      <c r="AC1804" s="61" t="n">
        <f aca="false">AB1804-S1804</f>
        <v>37.0347318181818</v>
      </c>
      <c r="AD1804" s="62" t="n">
        <f aca="false">AB1804/S1804-1</f>
        <v>0.442908721910947</v>
      </c>
      <c r="AE1804" s="60" t="str">
        <f aca="false">IF(AB1804&lt;S1804,"SIM","NÃO")</f>
        <v>NÃO</v>
      </c>
      <c r="AF1804" s="60" t="n">
        <v>2</v>
      </c>
      <c r="AG1804" s="60" t="n">
        <v>5</v>
      </c>
      <c r="AH1804" s="60" t="s">
        <v>382</v>
      </c>
      <c r="AI1804" s="61" t="n">
        <f aca="false">(T1804*(1-Painel!$C$40)+U1804+V1804+Painel!$C$41+Painel!$C$42*CEILING(G1804/100,1)+Painel!$C$43*CEILING(G1804,1)+Z1804)/(1-Resumo!$B$5)</f>
        <v>83.5844204545455</v>
      </c>
      <c r="AJ1804" s="60" t="str">
        <f aca="false">IF(AI1804&lt;S1804,"SIM","NÃO")</f>
        <v>SIM</v>
      </c>
    </row>
    <row r="1805" customFormat="false" ht="15" hidden="false" customHeight="false" outlineLevel="0" collapsed="false">
      <c r="A1805" s="59" t="n">
        <v>46279.6344097222</v>
      </c>
      <c r="B1805" s="60" t="s">
        <v>2004</v>
      </c>
      <c r="C1805" s="60" t="n">
        <v>20521060</v>
      </c>
      <c r="D1805" s="60" t="s">
        <v>46</v>
      </c>
      <c r="E1805" s="60" t="s">
        <v>22</v>
      </c>
      <c r="F1805" s="60" t="s">
        <v>237</v>
      </c>
      <c r="G1805" s="60" t="n">
        <v>67.3</v>
      </c>
      <c r="H1805" s="61" t="n">
        <v>999.99</v>
      </c>
      <c r="I1805" s="61" t="n">
        <v>63.21</v>
      </c>
      <c r="J1805" s="61" t="n">
        <f aca="false">H1805*Resumo!$C$6</f>
        <v>0</v>
      </c>
      <c r="K1805" s="61" t="n">
        <f aca="false">H1805*Resumo!$C$7</f>
        <v>2.099979</v>
      </c>
      <c r="L1805" s="61" t="n">
        <f aca="false">H1805*Resumo!$C$8</f>
        <v>2.099979</v>
      </c>
      <c r="M1805" s="61" t="n">
        <f aca="false">Resumo!$C$10*CEILING(G1805/100,1)</f>
        <v>1.05</v>
      </c>
      <c r="N1805" s="61" t="n">
        <f aca="false">Resumo!$C$9</f>
        <v>0</v>
      </c>
      <c r="O1805" s="61" t="n">
        <f aca="false">Resumo!$C$13</f>
        <v>13.55</v>
      </c>
      <c r="P1805" s="61" t="n">
        <f aca="false">Resumo!$C$14*CEILING(G1805,1)</f>
        <v>30.6</v>
      </c>
      <c r="Q1805" s="61" t="n">
        <f aca="false">SUM(I1805:P1805)*Resumo!$C$11</f>
        <v>0</v>
      </c>
      <c r="R1805" s="61" t="n">
        <f aca="false">SUM(I1805:Q1805)</f>
        <v>112.609958</v>
      </c>
      <c r="S1805" s="61" t="n">
        <f aca="false">R1805/(1-Resumo!$C$5)</f>
        <v>127.965861363636</v>
      </c>
      <c r="T1805" s="61" t="n">
        <v>131.02</v>
      </c>
      <c r="U1805" s="61" t="n">
        <f aca="false">H1805*Resumo!$B$6</f>
        <v>0.99999</v>
      </c>
      <c r="V1805" s="61" t="n">
        <f aca="false">H1805*Resumo!$B$7</f>
        <v>1.99998</v>
      </c>
      <c r="W1805" s="61" t="n">
        <f aca="false">Resumo!$B$9</f>
        <v>1</v>
      </c>
      <c r="X1805" s="61" t="n">
        <f aca="false">Resumo!$B$10*CEILING(G1805/100,1)</f>
        <v>4.5</v>
      </c>
      <c r="Y1805" s="61" t="n">
        <f aca="false">Resumo!$B$12*CEILING(G1805,1)</f>
        <v>4.08</v>
      </c>
      <c r="Z1805" s="61" t="n">
        <f aca="false">Resumo!$B$14*CEILING(G1805,1)</f>
        <v>30.6</v>
      </c>
      <c r="AA1805" s="61" t="n">
        <f aca="false">SUM(T1805:Z1805)</f>
        <v>174.19997</v>
      </c>
      <c r="AB1805" s="61" t="n">
        <f aca="false">AA1805/(1-Resumo!$B$5)</f>
        <v>197.954511363636</v>
      </c>
      <c r="AC1805" s="61" t="n">
        <f aca="false">AB1805-S1805</f>
        <v>69.98865</v>
      </c>
      <c r="AD1805" s="62" t="n">
        <f aca="false">AB1805/S1805-1</f>
        <v>0.546932199370859</v>
      </c>
      <c r="AE1805" s="60" t="str">
        <f aca="false">IF(AB1805&lt;S1805,"SIM","NÃO")</f>
        <v>NÃO</v>
      </c>
      <c r="AF1805" s="60" t="n">
        <v>2</v>
      </c>
      <c r="AG1805" s="60" t="n">
        <v>5</v>
      </c>
      <c r="AH1805" s="60" t="s">
        <v>382</v>
      </c>
      <c r="AI1805" s="61" t="n">
        <f aca="false">(T1805*(1-Painel!$C$40)+U1805+V1805+Painel!$C$41+Painel!$C$42*CEILING(G1805/100,1)+Painel!$C$43*CEILING(G1805,1)+Z1805)/(1-Resumo!$B$5)</f>
        <v>140.265193181818</v>
      </c>
      <c r="AJ1805" s="60" t="str">
        <f aca="false">IF(AI1805&lt;S1805,"SIM","NÃO")</f>
        <v>NÃO</v>
      </c>
    </row>
    <row r="1806" customFormat="false" ht="15" hidden="false" customHeight="false" outlineLevel="0" collapsed="false">
      <c r="A1806" s="59" t="n">
        <v>46279.713275463</v>
      </c>
      <c r="B1806" s="60" t="s">
        <v>2005</v>
      </c>
      <c r="C1806" s="60" t="n">
        <v>25931858</v>
      </c>
      <c r="D1806" s="60" t="s">
        <v>225</v>
      </c>
      <c r="E1806" s="60" t="s">
        <v>24</v>
      </c>
      <c r="F1806" s="60" t="s">
        <v>237</v>
      </c>
      <c r="G1806" s="60" t="n">
        <v>69.15</v>
      </c>
      <c r="H1806" s="61" t="n">
        <v>859.99</v>
      </c>
      <c r="I1806" s="61" t="n">
        <v>90.2</v>
      </c>
      <c r="J1806" s="61" t="n">
        <f aca="false">H1806*Resumo!$C$6</f>
        <v>0</v>
      </c>
      <c r="K1806" s="61" t="n">
        <f aca="false">H1806*Resumo!$C$7</f>
        <v>1.805979</v>
      </c>
      <c r="L1806" s="61" t="n">
        <f aca="false">H1806*Resumo!$C$8</f>
        <v>1.805979</v>
      </c>
      <c r="M1806" s="61" t="n">
        <f aca="false">Resumo!$C$10*CEILING(G1806/100,1)</f>
        <v>1.05</v>
      </c>
      <c r="N1806" s="61" t="n">
        <f aca="false">Resumo!$C$9</f>
        <v>0</v>
      </c>
      <c r="O1806" s="61" t="n">
        <f aca="false">Resumo!$C$13</f>
        <v>13.55</v>
      </c>
      <c r="P1806" s="61" t="n">
        <f aca="false">Resumo!$C$14*CEILING(G1806,1)</f>
        <v>31.5</v>
      </c>
      <c r="Q1806" s="61" t="n">
        <f aca="false">SUM(I1806:P1806)*Resumo!$C$11</f>
        <v>0</v>
      </c>
      <c r="R1806" s="61" t="n">
        <f aca="false">SUM(I1806:Q1806)</f>
        <v>139.911958</v>
      </c>
      <c r="S1806" s="61" t="n">
        <f aca="false">R1806/(1-Resumo!$C$5)</f>
        <v>158.990861363636</v>
      </c>
      <c r="T1806" s="61" t="n">
        <v>136.53</v>
      </c>
      <c r="U1806" s="61" t="n">
        <f aca="false">H1806*Resumo!$B$6</f>
        <v>0.85999</v>
      </c>
      <c r="V1806" s="61" t="n">
        <f aca="false">H1806*Resumo!$B$7</f>
        <v>1.71998</v>
      </c>
      <c r="W1806" s="61" t="n">
        <f aca="false">Resumo!$B$9</f>
        <v>1</v>
      </c>
      <c r="X1806" s="61" t="n">
        <f aca="false">Resumo!$B$10*CEILING(G1806/100,1)</f>
        <v>4.5</v>
      </c>
      <c r="Y1806" s="61" t="n">
        <f aca="false">Resumo!$B$12*CEILING(G1806,1)</f>
        <v>4.2</v>
      </c>
      <c r="Z1806" s="61" t="n">
        <f aca="false">Resumo!$B$14*CEILING(G1806,1)</f>
        <v>31.5</v>
      </c>
      <c r="AA1806" s="61" t="n">
        <f aca="false">SUM(T1806:Z1806)</f>
        <v>180.30997</v>
      </c>
      <c r="AB1806" s="61" t="n">
        <f aca="false">AA1806/(1-Resumo!$B$5)</f>
        <v>204.897693181818</v>
      </c>
      <c r="AC1806" s="61" t="n">
        <f aca="false">AB1806-S1806</f>
        <v>45.9068318181818</v>
      </c>
      <c r="AD1806" s="62" t="n">
        <f aca="false">AB1806/S1806-1</f>
        <v>0.288738808158199</v>
      </c>
      <c r="AE1806" s="60" t="str">
        <f aca="false">IF(AB1806&lt;S1806,"SIM","NÃO")</f>
        <v>NÃO</v>
      </c>
      <c r="AF1806" s="60" t="n">
        <v>13</v>
      </c>
      <c r="AG1806" s="60" t="n">
        <v>6</v>
      </c>
      <c r="AH1806" s="60" t="s">
        <v>382</v>
      </c>
      <c r="AI1806" s="61" t="n">
        <f aca="false">(T1806*(1-Painel!$C$40)+U1806+V1806+Painel!$C$41+Painel!$C$42*CEILING(G1806/100,1)+Painel!$C$43*CEILING(G1806,1)+Z1806)/(1-Resumo!$B$5)</f>
        <v>145.005761363636</v>
      </c>
      <c r="AJ1806" s="60" t="str">
        <f aca="false">IF(AI1806&lt;S1806,"SIM","NÃO")</f>
        <v>SIM</v>
      </c>
    </row>
    <row r="1807" customFormat="false" ht="15" hidden="false" customHeight="false" outlineLevel="0" collapsed="false">
      <c r="A1807" s="59" t="n">
        <v>46279.7135069444</v>
      </c>
      <c r="B1807" s="60" t="s">
        <v>2006</v>
      </c>
      <c r="C1807" s="60" t="n">
        <v>27525500</v>
      </c>
      <c r="D1807" s="60" t="s">
        <v>296</v>
      </c>
      <c r="E1807" s="60" t="s">
        <v>24</v>
      </c>
      <c r="F1807" s="60" t="s">
        <v>233</v>
      </c>
      <c r="G1807" s="60" t="n">
        <v>27.6</v>
      </c>
      <c r="H1807" s="61" t="n">
        <v>399.99</v>
      </c>
      <c r="I1807" s="61" t="n">
        <v>65.63</v>
      </c>
      <c r="J1807" s="61" t="n">
        <f aca="false">H1807*Resumo!$C$6</f>
        <v>0</v>
      </c>
      <c r="K1807" s="61" t="n">
        <f aca="false">H1807*Resumo!$C$7</f>
        <v>0.839979</v>
      </c>
      <c r="L1807" s="61" t="n">
        <f aca="false">H1807*Resumo!$C$8</f>
        <v>0.839979</v>
      </c>
      <c r="M1807" s="61" t="n">
        <f aca="false">Resumo!$C$10*CEILING(G1807/100,1)</f>
        <v>1.05</v>
      </c>
      <c r="N1807" s="61" t="n">
        <f aca="false">Resumo!$C$9</f>
        <v>0</v>
      </c>
      <c r="O1807" s="61" t="n">
        <f aca="false">Resumo!$C$13</f>
        <v>13.55</v>
      </c>
      <c r="P1807" s="61" t="n">
        <f aca="false">Resumo!$C$14*CEILING(G1807,1)</f>
        <v>12.6</v>
      </c>
      <c r="Q1807" s="61" t="n">
        <f aca="false">SUM(I1807:P1807)*Resumo!$C$11</f>
        <v>0</v>
      </c>
      <c r="R1807" s="61" t="n">
        <f aca="false">SUM(I1807:Q1807)</f>
        <v>94.509958</v>
      </c>
      <c r="S1807" s="61" t="n">
        <f aca="false">R1807/(1-Resumo!$C$5)</f>
        <v>107.397679545455</v>
      </c>
      <c r="T1807" s="61" t="n">
        <v>108.83</v>
      </c>
      <c r="U1807" s="61" t="n">
        <f aca="false">H1807*Resumo!$B$6</f>
        <v>0.39999</v>
      </c>
      <c r="V1807" s="61" t="n">
        <f aca="false">H1807*Resumo!$B$7</f>
        <v>0.79998</v>
      </c>
      <c r="W1807" s="61" t="n">
        <f aca="false">Resumo!$B$9</f>
        <v>1</v>
      </c>
      <c r="X1807" s="61" t="n">
        <f aca="false">Resumo!$B$10*CEILING(G1807/100,1)</f>
        <v>4.5</v>
      </c>
      <c r="Y1807" s="61" t="n">
        <f aca="false">Resumo!$B$12*CEILING(G1807,1)</f>
        <v>1.68</v>
      </c>
      <c r="Z1807" s="61" t="n">
        <f aca="false">Resumo!$B$14*CEILING(G1807,1)</f>
        <v>12.6</v>
      </c>
      <c r="AA1807" s="61" t="n">
        <f aca="false">SUM(T1807:Z1807)</f>
        <v>129.80997</v>
      </c>
      <c r="AB1807" s="61" t="n">
        <f aca="false">AA1807/(1-Resumo!$B$5)</f>
        <v>147.511329545455</v>
      </c>
      <c r="AC1807" s="61" t="n">
        <f aca="false">AB1807-S1807</f>
        <v>40.11365</v>
      </c>
      <c r="AD1807" s="62" t="n">
        <f aca="false">AB1807/S1807-1</f>
        <v>0.373505742114498</v>
      </c>
      <c r="AE1807" s="60" t="str">
        <f aca="false">IF(AB1807&lt;S1807,"SIM","NÃO")</f>
        <v>NÃO</v>
      </c>
      <c r="AF1807" s="60" t="n">
        <v>13</v>
      </c>
      <c r="AG1807" s="60" t="n">
        <v>10</v>
      </c>
      <c r="AH1807" s="60" t="s">
        <v>385</v>
      </c>
      <c r="AI1807" s="61" t="n">
        <f aca="false">(T1807*(1-Painel!$C$40)+U1807+V1807+Painel!$C$41+Painel!$C$42*CEILING(G1807/100,1)+Painel!$C$43*CEILING(G1807,1)+Z1807)/(1-Resumo!$B$5)</f>
        <v>100.870534090909</v>
      </c>
      <c r="AJ1807" s="60" t="str">
        <f aca="false">IF(AI1807&lt;S1807,"SIM","NÃO")</f>
        <v>SIM</v>
      </c>
    </row>
    <row r="1808" customFormat="false" ht="15" hidden="false" customHeight="false" outlineLevel="0" collapsed="false">
      <c r="A1808" s="59" t="n">
        <v>46279.7192708333</v>
      </c>
      <c r="B1808" s="60" t="s">
        <v>2007</v>
      </c>
      <c r="C1808" s="60" t="n">
        <v>27240050</v>
      </c>
      <c r="D1808" s="60" t="s">
        <v>217</v>
      </c>
      <c r="E1808" s="60" t="s">
        <v>24</v>
      </c>
      <c r="F1808" s="60" t="s">
        <v>234</v>
      </c>
      <c r="G1808" s="60" t="n">
        <v>37.2</v>
      </c>
      <c r="H1808" s="61" t="n">
        <v>366.5</v>
      </c>
      <c r="I1808" s="61" t="n">
        <v>74.97</v>
      </c>
      <c r="J1808" s="61" t="n">
        <f aca="false">H1808*Resumo!$C$6</f>
        <v>0</v>
      </c>
      <c r="K1808" s="61" t="n">
        <f aca="false">H1808*Resumo!$C$7</f>
        <v>0.76965</v>
      </c>
      <c r="L1808" s="61" t="n">
        <f aca="false">H1808*Resumo!$C$8</f>
        <v>0.76965</v>
      </c>
      <c r="M1808" s="61" t="n">
        <f aca="false">Resumo!$C$10*CEILING(G1808/100,1)</f>
        <v>1.05</v>
      </c>
      <c r="N1808" s="61" t="n">
        <f aca="false">Resumo!$C$9</f>
        <v>0</v>
      </c>
      <c r="O1808" s="61" t="n">
        <f aca="false">Resumo!$C$13</f>
        <v>13.55</v>
      </c>
      <c r="P1808" s="61" t="n">
        <f aca="false">Resumo!$C$14*CEILING(G1808,1)</f>
        <v>17.1</v>
      </c>
      <c r="Q1808" s="61" t="n">
        <f aca="false">SUM(I1808:P1808)*Resumo!$C$11</f>
        <v>0</v>
      </c>
      <c r="R1808" s="61" t="n">
        <f aca="false">SUM(I1808:Q1808)</f>
        <v>108.2093</v>
      </c>
      <c r="S1808" s="61" t="n">
        <f aca="false">R1808/(1-Resumo!$C$5)</f>
        <v>122.965113636364</v>
      </c>
      <c r="T1808" s="61" t="n">
        <v>124.38</v>
      </c>
      <c r="U1808" s="61" t="n">
        <f aca="false">H1808*Resumo!$B$6</f>
        <v>0.3665</v>
      </c>
      <c r="V1808" s="61" t="n">
        <f aca="false">H1808*Resumo!$B$7</f>
        <v>0.733</v>
      </c>
      <c r="W1808" s="61" t="n">
        <f aca="false">Resumo!$B$9</f>
        <v>1</v>
      </c>
      <c r="X1808" s="61" t="n">
        <f aca="false">Resumo!$B$10*CEILING(G1808/100,1)</f>
        <v>4.5</v>
      </c>
      <c r="Y1808" s="61" t="n">
        <f aca="false">Resumo!$B$12*CEILING(G1808,1)</f>
        <v>2.28</v>
      </c>
      <c r="Z1808" s="61" t="n">
        <f aca="false">Resumo!$B$14*CEILING(G1808,1)</f>
        <v>17.1</v>
      </c>
      <c r="AA1808" s="61" t="n">
        <f aca="false">SUM(T1808:Z1808)</f>
        <v>150.3595</v>
      </c>
      <c r="AB1808" s="61" t="n">
        <f aca="false">AA1808/(1-Resumo!$B$5)</f>
        <v>170.863068181818</v>
      </c>
      <c r="AC1808" s="61" t="n">
        <f aca="false">AB1808-S1808</f>
        <v>47.8979545454545</v>
      </c>
      <c r="AD1808" s="62" t="n">
        <f aca="false">AB1808/S1808-1</f>
        <v>0.389524745100467</v>
      </c>
      <c r="AE1808" s="60" t="str">
        <f aca="false">IF(AB1808&lt;S1808,"SIM","NÃO")</f>
        <v>NÃO</v>
      </c>
      <c r="AF1808" s="60" t="n">
        <v>13</v>
      </c>
      <c r="AG1808" s="60" t="n">
        <v>10</v>
      </c>
      <c r="AH1808" s="60" t="s">
        <v>382</v>
      </c>
      <c r="AI1808" s="61" t="n">
        <f aca="false">(T1808*(1-Painel!$C$40)+U1808+V1808+Painel!$C$41+Painel!$C$42*CEILING(G1808/100,1)+Painel!$C$43*CEILING(G1808,1)+Z1808)/(1-Resumo!$B$5)</f>
        <v>117.709204545455</v>
      </c>
      <c r="AJ1808" s="60" t="str">
        <f aca="false">IF(AI1808&lt;S1808,"SIM","NÃO")</f>
        <v>SIM</v>
      </c>
    </row>
    <row r="1809" customFormat="false" ht="15" hidden="false" customHeight="false" outlineLevel="0" collapsed="false">
      <c r="A1809" s="59" t="n">
        <v>46279.7370949074</v>
      </c>
      <c r="B1809" s="60" t="s">
        <v>2008</v>
      </c>
      <c r="C1809" s="60" t="n">
        <v>20745110</v>
      </c>
      <c r="D1809" s="60" t="s">
        <v>46</v>
      </c>
      <c r="E1809" s="60" t="s">
        <v>22</v>
      </c>
      <c r="F1809" s="60" t="s">
        <v>233</v>
      </c>
      <c r="G1809" s="60" t="n">
        <v>33.3</v>
      </c>
      <c r="H1809" s="61" t="n">
        <v>439.99</v>
      </c>
      <c r="I1809" s="61" t="n">
        <v>42.11</v>
      </c>
      <c r="J1809" s="61" t="n">
        <f aca="false">H1809*Resumo!$C$6</f>
        <v>0</v>
      </c>
      <c r="K1809" s="61" t="n">
        <f aca="false">H1809*Resumo!$C$7</f>
        <v>0.923979</v>
      </c>
      <c r="L1809" s="61" t="n">
        <f aca="false">H1809*Resumo!$C$8</f>
        <v>0.923979</v>
      </c>
      <c r="M1809" s="61" t="n">
        <f aca="false">Resumo!$C$10*CEILING(G1809/100,1)</f>
        <v>1.05</v>
      </c>
      <c r="N1809" s="61" t="n">
        <f aca="false">Resumo!$C$9</f>
        <v>0</v>
      </c>
      <c r="O1809" s="61" t="n">
        <f aca="false">Resumo!$C$13</f>
        <v>13.55</v>
      </c>
      <c r="P1809" s="61" t="n">
        <f aca="false">Resumo!$C$14*CEILING(G1809,1)</f>
        <v>15.3</v>
      </c>
      <c r="Q1809" s="61" t="n">
        <f aca="false">SUM(I1809:P1809)*Resumo!$C$11</f>
        <v>0</v>
      </c>
      <c r="R1809" s="61" t="n">
        <f aca="false">SUM(I1809:Q1809)</f>
        <v>73.857958</v>
      </c>
      <c r="S1809" s="61" t="n">
        <f aca="false">R1809/(1-Resumo!$C$5)</f>
        <v>83.9294977272727</v>
      </c>
      <c r="T1809" s="61" t="n">
        <v>82.21</v>
      </c>
      <c r="U1809" s="61" t="n">
        <f aca="false">H1809*Resumo!$B$6</f>
        <v>0.43999</v>
      </c>
      <c r="V1809" s="61" t="n">
        <f aca="false">H1809*Resumo!$B$7</f>
        <v>0.87998</v>
      </c>
      <c r="W1809" s="61" t="n">
        <f aca="false">Resumo!$B$9</f>
        <v>1</v>
      </c>
      <c r="X1809" s="61" t="n">
        <f aca="false">Resumo!$B$10*CEILING(G1809/100,1)</f>
        <v>4.5</v>
      </c>
      <c r="Y1809" s="61" t="n">
        <f aca="false">Resumo!$B$12*CEILING(G1809,1)</f>
        <v>2.04</v>
      </c>
      <c r="Z1809" s="61" t="n">
        <f aca="false">Resumo!$B$14*CEILING(G1809,1)</f>
        <v>15.3</v>
      </c>
      <c r="AA1809" s="61" t="n">
        <f aca="false">SUM(T1809:Z1809)</f>
        <v>106.36997</v>
      </c>
      <c r="AB1809" s="61" t="n">
        <f aca="false">AA1809/(1-Resumo!$B$5)</f>
        <v>120.874965909091</v>
      </c>
      <c r="AC1809" s="61" t="n">
        <f aca="false">AB1809-S1809</f>
        <v>36.9454681818182</v>
      </c>
      <c r="AD1809" s="62" t="n">
        <f aca="false">AB1809/S1809-1</f>
        <v>0.440196464678864</v>
      </c>
      <c r="AE1809" s="60" t="str">
        <f aca="false">IF(AB1809&lt;S1809,"SIM","NÃO")</f>
        <v>NÃO</v>
      </c>
      <c r="AF1809" s="60" t="n">
        <v>2</v>
      </c>
      <c r="AG1809" s="60" t="n">
        <v>5</v>
      </c>
      <c r="AH1809" s="60" t="s">
        <v>382</v>
      </c>
      <c r="AI1809" s="61" t="n">
        <f aca="false">(T1809*(1-Painel!$C$40)+U1809+V1809+Painel!$C$41+Painel!$C$42*CEILING(G1809/100,1)+Painel!$C$43*CEILING(G1809,1)+Z1809)/(1-Resumo!$B$5)</f>
        <v>83.8075795454545</v>
      </c>
      <c r="AJ1809" s="60" t="str">
        <f aca="false">IF(AI1809&lt;S1809,"SIM","NÃO")</f>
        <v>SIM</v>
      </c>
    </row>
    <row r="1810" customFormat="false" ht="15" hidden="false" customHeight="false" outlineLevel="0" collapsed="false">
      <c r="A1810" s="59" t="n">
        <v>46279.740474537</v>
      </c>
      <c r="B1810" s="60" t="s">
        <v>2009</v>
      </c>
      <c r="C1810" s="60" t="n">
        <v>21755380</v>
      </c>
      <c r="D1810" s="60" t="s">
        <v>46</v>
      </c>
      <c r="E1810" s="60" t="s">
        <v>22</v>
      </c>
      <c r="F1810" s="60" t="s">
        <v>233</v>
      </c>
      <c r="G1810" s="60" t="n">
        <v>31.9</v>
      </c>
      <c r="H1810" s="61" t="n">
        <v>483.99</v>
      </c>
      <c r="I1810" s="61" t="n">
        <v>42.11</v>
      </c>
      <c r="J1810" s="61" t="n">
        <f aca="false">H1810*Resumo!$C$6</f>
        <v>0</v>
      </c>
      <c r="K1810" s="61" t="n">
        <f aca="false">H1810*Resumo!$C$7</f>
        <v>1.016379</v>
      </c>
      <c r="L1810" s="61" t="n">
        <f aca="false">H1810*Resumo!$C$8</f>
        <v>1.016379</v>
      </c>
      <c r="M1810" s="61" t="n">
        <f aca="false">Resumo!$C$10*CEILING(G1810/100,1)</f>
        <v>1.05</v>
      </c>
      <c r="N1810" s="61" t="n">
        <f aca="false">Resumo!$C$9</f>
        <v>0</v>
      </c>
      <c r="O1810" s="61" t="n">
        <f aca="false">Resumo!$C$13</f>
        <v>13.55</v>
      </c>
      <c r="P1810" s="61" t="n">
        <f aca="false">Resumo!$C$14*CEILING(G1810,1)</f>
        <v>14.4</v>
      </c>
      <c r="Q1810" s="61" t="n">
        <f aca="false">SUM(I1810:P1810)*Resumo!$C$11</f>
        <v>0</v>
      </c>
      <c r="R1810" s="61" t="n">
        <f aca="false">SUM(I1810:Q1810)</f>
        <v>73.142758</v>
      </c>
      <c r="S1810" s="61" t="n">
        <f aca="false">R1810/(1-Resumo!$C$5)</f>
        <v>83.1167704545455</v>
      </c>
      <c r="T1810" s="61" t="n">
        <v>82.21</v>
      </c>
      <c r="U1810" s="61" t="n">
        <f aca="false">H1810*Resumo!$B$6</f>
        <v>0.48399</v>
      </c>
      <c r="V1810" s="61" t="n">
        <f aca="false">H1810*Resumo!$B$7</f>
        <v>0.96798</v>
      </c>
      <c r="W1810" s="61" t="n">
        <f aca="false">Resumo!$B$9</f>
        <v>1</v>
      </c>
      <c r="X1810" s="61" t="n">
        <f aca="false">Resumo!$B$10*CEILING(G1810/100,1)</f>
        <v>4.5</v>
      </c>
      <c r="Y1810" s="61" t="n">
        <f aca="false">Resumo!$B$12*CEILING(G1810,1)</f>
        <v>1.92</v>
      </c>
      <c r="Z1810" s="61" t="n">
        <f aca="false">Resumo!$B$14*CEILING(G1810,1)</f>
        <v>14.4</v>
      </c>
      <c r="AA1810" s="61" t="n">
        <f aca="false">SUM(T1810:Z1810)</f>
        <v>105.48197</v>
      </c>
      <c r="AB1810" s="61" t="n">
        <f aca="false">AA1810/(1-Resumo!$B$5)</f>
        <v>119.865875</v>
      </c>
      <c r="AC1810" s="61" t="n">
        <f aca="false">AB1810-S1810</f>
        <v>36.7491045454545</v>
      </c>
      <c r="AD1810" s="62" t="n">
        <f aca="false">AB1810/S1810-1</f>
        <v>0.442138263367099</v>
      </c>
      <c r="AE1810" s="60" t="str">
        <f aca="false">IF(AB1810&lt;S1810,"SIM","NÃO")</f>
        <v>NÃO</v>
      </c>
      <c r="AF1810" s="60" t="n">
        <v>2</v>
      </c>
      <c r="AG1810" s="60" t="n">
        <v>5</v>
      </c>
      <c r="AH1810" s="60" t="s">
        <v>382</v>
      </c>
      <c r="AI1810" s="61" t="n">
        <f aca="false">(T1810*(1-Painel!$C$40)+U1810+V1810+Painel!$C$41+Painel!$C$42*CEILING(G1810/100,1)+Painel!$C$43*CEILING(G1810,1)+Z1810)/(1-Resumo!$B$5)</f>
        <v>82.9348522727273</v>
      </c>
      <c r="AJ1810" s="60" t="str">
        <f aca="false">IF(AI1810&lt;S1810,"SIM","NÃO")</f>
        <v>SIM</v>
      </c>
    </row>
    <row r="1811" customFormat="false" ht="15" hidden="false" customHeight="false" outlineLevel="0" collapsed="false">
      <c r="A1811" s="59" t="n">
        <v>46279.7512962963</v>
      </c>
      <c r="B1811" s="60" t="s">
        <v>2010</v>
      </c>
      <c r="C1811" s="60" t="n">
        <v>23575920</v>
      </c>
      <c r="D1811" s="60" t="s">
        <v>46</v>
      </c>
      <c r="E1811" s="60" t="s">
        <v>22</v>
      </c>
      <c r="F1811" s="60" t="s">
        <v>233</v>
      </c>
      <c r="G1811" s="60" t="n">
        <v>27.6</v>
      </c>
      <c r="H1811" s="61" t="n">
        <v>332.45</v>
      </c>
      <c r="I1811" s="61" t="n">
        <v>42.11</v>
      </c>
      <c r="J1811" s="61" t="n">
        <f aca="false">H1811*Resumo!$C$6</f>
        <v>0</v>
      </c>
      <c r="K1811" s="61" t="n">
        <f aca="false">H1811*Resumo!$C$7</f>
        <v>0.698145</v>
      </c>
      <c r="L1811" s="61" t="n">
        <f aca="false">H1811*Resumo!$C$8</f>
        <v>0.698145</v>
      </c>
      <c r="M1811" s="61" t="n">
        <f aca="false">Resumo!$C$10*CEILING(G1811/100,1)</f>
        <v>1.05</v>
      </c>
      <c r="N1811" s="61" t="n">
        <f aca="false">Resumo!$C$9</f>
        <v>0</v>
      </c>
      <c r="O1811" s="61" t="n">
        <f aca="false">Resumo!$C$13</f>
        <v>13.55</v>
      </c>
      <c r="P1811" s="61" t="n">
        <f aca="false">Resumo!$C$14*CEILING(G1811,1)</f>
        <v>12.6</v>
      </c>
      <c r="Q1811" s="61" t="n">
        <f aca="false">SUM(I1811:P1811)*Resumo!$C$11</f>
        <v>0</v>
      </c>
      <c r="R1811" s="61" t="n">
        <f aca="false">SUM(I1811:Q1811)</f>
        <v>70.70629</v>
      </c>
      <c r="S1811" s="61" t="n">
        <f aca="false">R1811/(1-Resumo!$C$5)</f>
        <v>80.3480568181818</v>
      </c>
      <c r="T1811" s="61" t="n">
        <v>82.21</v>
      </c>
      <c r="U1811" s="61" t="n">
        <f aca="false">H1811*Resumo!$B$6</f>
        <v>0.33245</v>
      </c>
      <c r="V1811" s="61" t="n">
        <f aca="false">H1811*Resumo!$B$7</f>
        <v>0.6649</v>
      </c>
      <c r="W1811" s="61" t="n">
        <f aca="false">Resumo!$B$9</f>
        <v>1</v>
      </c>
      <c r="X1811" s="61" t="n">
        <f aca="false">Resumo!$B$10*CEILING(G1811/100,1)</f>
        <v>4.5</v>
      </c>
      <c r="Y1811" s="61" t="n">
        <f aca="false">Resumo!$B$12*CEILING(G1811,1)</f>
        <v>1.68</v>
      </c>
      <c r="Z1811" s="61" t="n">
        <f aca="false">Resumo!$B$14*CEILING(G1811,1)</f>
        <v>12.6</v>
      </c>
      <c r="AA1811" s="61" t="n">
        <f aca="false">SUM(T1811:Z1811)</f>
        <v>102.98735</v>
      </c>
      <c r="AB1811" s="61" t="n">
        <f aca="false">AA1811/(1-Resumo!$B$5)</f>
        <v>117.031079545455</v>
      </c>
      <c r="AC1811" s="61" t="n">
        <f aca="false">AB1811-S1811</f>
        <v>36.6830227272727</v>
      </c>
      <c r="AD1811" s="62" t="n">
        <f aca="false">AB1811/S1811-1</f>
        <v>0.456551460980345</v>
      </c>
      <c r="AE1811" s="60" t="str">
        <f aca="false">IF(AB1811&lt;S1811,"SIM","NÃO")</f>
        <v>NÃO</v>
      </c>
      <c r="AF1811" s="60" t="n">
        <v>2</v>
      </c>
      <c r="AG1811" s="60" t="n">
        <v>5</v>
      </c>
      <c r="AH1811" s="60" t="s">
        <v>382</v>
      </c>
      <c r="AI1811" s="61" t="n">
        <f aca="false">(T1811*(1-Painel!$C$40)+U1811+V1811+Painel!$C$41+Painel!$C$42*CEILING(G1811/100,1)+Painel!$C$43*CEILING(G1811,1)+Z1811)/(1-Resumo!$B$5)</f>
        <v>80.3727840909091</v>
      </c>
      <c r="AJ1811" s="60" t="str">
        <f aca="false">IF(AI1811&lt;S1811,"SIM","NÃO")</f>
        <v>NÃO</v>
      </c>
    </row>
    <row r="1812" customFormat="false" ht="15" hidden="false" customHeight="false" outlineLevel="0" collapsed="false">
      <c r="A1812" s="59" t="n">
        <v>46279.7655671296</v>
      </c>
      <c r="B1812" s="60" t="s">
        <v>2011</v>
      </c>
      <c r="C1812" s="60" t="n">
        <v>27603830</v>
      </c>
      <c r="D1812" s="60" t="s">
        <v>299</v>
      </c>
      <c r="E1812" s="60" t="s">
        <v>24</v>
      </c>
      <c r="F1812" s="60" t="s">
        <v>236</v>
      </c>
      <c r="G1812" s="60" t="n">
        <v>51.3</v>
      </c>
      <c r="H1812" s="61" t="n">
        <v>552.32</v>
      </c>
      <c r="I1812" s="61" t="n">
        <v>83.58</v>
      </c>
      <c r="J1812" s="61" t="n">
        <f aca="false">H1812*Resumo!$C$6</f>
        <v>0</v>
      </c>
      <c r="K1812" s="61" t="n">
        <f aca="false">H1812*Resumo!$C$7</f>
        <v>1.159872</v>
      </c>
      <c r="L1812" s="61" t="n">
        <f aca="false">H1812*Resumo!$C$8</f>
        <v>1.159872</v>
      </c>
      <c r="M1812" s="61" t="n">
        <f aca="false">Resumo!$C$10*CEILING(G1812/100,1)</f>
        <v>1.05</v>
      </c>
      <c r="N1812" s="61" t="n">
        <f aca="false">Resumo!$C$9</f>
        <v>0</v>
      </c>
      <c r="O1812" s="61" t="n">
        <f aca="false">Resumo!$C$13</f>
        <v>13.55</v>
      </c>
      <c r="P1812" s="61" t="n">
        <f aca="false">Resumo!$C$14*CEILING(G1812,1)</f>
        <v>23.4</v>
      </c>
      <c r="Q1812" s="61" t="n">
        <f aca="false">SUM(I1812:P1812)*Resumo!$C$11</f>
        <v>0</v>
      </c>
      <c r="R1812" s="61" t="n">
        <f aca="false">SUM(I1812:Q1812)</f>
        <v>123.899744</v>
      </c>
      <c r="S1812" s="61" t="n">
        <f aca="false">R1812/(1-Resumo!$C$5)</f>
        <v>140.795163636364</v>
      </c>
      <c r="T1812" s="61" t="n">
        <v>142.32</v>
      </c>
      <c r="U1812" s="61" t="n">
        <f aca="false">H1812*Resumo!$B$6</f>
        <v>0.55232</v>
      </c>
      <c r="V1812" s="61" t="n">
        <f aca="false">H1812*Resumo!$B$7</f>
        <v>1.10464</v>
      </c>
      <c r="W1812" s="61" t="n">
        <f aca="false">Resumo!$B$9</f>
        <v>1</v>
      </c>
      <c r="X1812" s="61" t="n">
        <f aca="false">Resumo!$B$10*CEILING(G1812/100,1)</f>
        <v>4.5</v>
      </c>
      <c r="Y1812" s="61" t="n">
        <f aca="false">Resumo!$B$12*CEILING(G1812,1)</f>
        <v>3.12</v>
      </c>
      <c r="Z1812" s="61" t="n">
        <f aca="false">Resumo!$B$14*CEILING(G1812,1)</f>
        <v>23.4</v>
      </c>
      <c r="AA1812" s="61" t="n">
        <f aca="false">SUM(T1812:Z1812)</f>
        <v>175.99696</v>
      </c>
      <c r="AB1812" s="61" t="n">
        <f aca="false">AA1812/(1-Resumo!$B$5)</f>
        <v>199.996545454545</v>
      </c>
      <c r="AC1812" s="61" t="n">
        <f aca="false">AB1812-S1812</f>
        <v>59.2013818181818</v>
      </c>
      <c r="AD1812" s="62" t="n">
        <f aca="false">AB1812/S1812-1</f>
        <v>0.420478802603499</v>
      </c>
      <c r="AE1812" s="60" t="str">
        <f aca="false">IF(AB1812&lt;S1812,"SIM","NÃO")</f>
        <v>NÃO</v>
      </c>
      <c r="AF1812" s="60" t="n">
        <v>13</v>
      </c>
      <c r="AG1812" s="60" t="n">
        <v>10</v>
      </c>
      <c r="AH1812" s="60" t="s">
        <v>385</v>
      </c>
      <c r="AI1812" s="61" t="n">
        <f aca="false">(T1812*(1-Painel!$C$40)+U1812+V1812+Painel!$C$41+Painel!$C$42*CEILING(G1812/100,1)+Painel!$C$43*CEILING(G1812,1)+Z1812)/(1-Resumo!$B$5)</f>
        <v>139.160636363636</v>
      </c>
      <c r="AJ1812" s="60" t="str">
        <f aca="false">IF(AI1812&lt;S1812,"SIM","NÃO")</f>
        <v>SIM</v>
      </c>
    </row>
    <row r="1813" customFormat="false" ht="15" hidden="false" customHeight="false" outlineLevel="0" collapsed="false">
      <c r="A1813" s="59" t="n">
        <v>46279.8032523148</v>
      </c>
      <c r="B1813" s="60" t="s">
        <v>2012</v>
      </c>
      <c r="C1813" s="60" t="n">
        <v>27175000</v>
      </c>
      <c r="D1813" s="60" t="s">
        <v>291</v>
      </c>
      <c r="E1813" s="60" t="s">
        <v>24</v>
      </c>
      <c r="F1813" s="60" t="s">
        <v>236</v>
      </c>
      <c r="G1813" s="60" t="n">
        <v>60</v>
      </c>
      <c r="H1813" s="61" t="n">
        <v>823.09</v>
      </c>
      <c r="I1813" s="61" t="n">
        <v>83.58</v>
      </c>
      <c r="J1813" s="61" t="n">
        <f aca="false">H1813*Resumo!$C$6</f>
        <v>0</v>
      </c>
      <c r="K1813" s="61" t="n">
        <f aca="false">H1813*Resumo!$C$7</f>
        <v>1.728489</v>
      </c>
      <c r="L1813" s="61" t="n">
        <f aca="false">H1813*Resumo!$C$8</f>
        <v>1.728489</v>
      </c>
      <c r="M1813" s="61" t="n">
        <f aca="false">Resumo!$C$10*CEILING(G1813/100,1)</f>
        <v>1.05</v>
      </c>
      <c r="N1813" s="61" t="n">
        <f aca="false">Resumo!$C$9</f>
        <v>0</v>
      </c>
      <c r="O1813" s="61" t="n">
        <f aca="false">Resumo!$C$13</f>
        <v>13.55</v>
      </c>
      <c r="P1813" s="61" t="n">
        <f aca="false">Resumo!$C$14*CEILING(G1813,1)</f>
        <v>27</v>
      </c>
      <c r="Q1813" s="61" t="n">
        <f aca="false">SUM(I1813:P1813)*Resumo!$C$11</f>
        <v>0</v>
      </c>
      <c r="R1813" s="61" t="n">
        <f aca="false">SUM(I1813:Q1813)</f>
        <v>128.636978</v>
      </c>
      <c r="S1813" s="61" t="n">
        <f aca="false">R1813/(1-Resumo!$C$5)</f>
        <v>146.178384090909</v>
      </c>
      <c r="T1813" s="61" t="n">
        <v>142.32</v>
      </c>
      <c r="U1813" s="61" t="n">
        <f aca="false">H1813*Resumo!$B$6</f>
        <v>0.82309</v>
      </c>
      <c r="V1813" s="61" t="n">
        <f aca="false">H1813*Resumo!$B$7</f>
        <v>1.64618</v>
      </c>
      <c r="W1813" s="61" t="n">
        <f aca="false">Resumo!$B$9</f>
        <v>1</v>
      </c>
      <c r="X1813" s="61" t="n">
        <f aca="false">Resumo!$B$10*CEILING(G1813/100,1)</f>
        <v>4.5</v>
      </c>
      <c r="Y1813" s="61" t="n">
        <f aca="false">Resumo!$B$12*CEILING(G1813,1)</f>
        <v>3.6</v>
      </c>
      <c r="Z1813" s="61" t="n">
        <f aca="false">Resumo!$B$14*CEILING(G1813,1)</f>
        <v>27</v>
      </c>
      <c r="AA1813" s="61" t="n">
        <f aca="false">SUM(T1813:Z1813)</f>
        <v>180.88927</v>
      </c>
      <c r="AB1813" s="61" t="n">
        <f aca="false">AA1813/(1-Resumo!$B$5)</f>
        <v>205.555988636364</v>
      </c>
      <c r="AC1813" s="61" t="n">
        <f aca="false">AB1813-S1813</f>
        <v>59.3776045454545</v>
      </c>
      <c r="AD1813" s="62" t="n">
        <f aca="false">AB1813/S1813-1</f>
        <v>0.406199623252965</v>
      </c>
      <c r="AE1813" s="60" t="str">
        <f aca="false">IF(AB1813&lt;S1813,"SIM","NÃO")</f>
        <v>NÃO</v>
      </c>
      <c r="AF1813" s="60" t="n">
        <v>13</v>
      </c>
      <c r="AG1813" s="60" t="n">
        <v>10</v>
      </c>
      <c r="AH1813" s="60" t="s">
        <v>385</v>
      </c>
      <c r="AI1813" s="61" t="n">
        <f aca="false">(T1813*(1-Painel!$C$40)+U1813+V1813+Painel!$C$41+Painel!$C$42*CEILING(G1813/100,1)+Painel!$C$43*CEILING(G1813,1)+Z1813)/(1-Resumo!$B$5)</f>
        <v>144.174625</v>
      </c>
      <c r="AJ1813" s="60" t="str">
        <f aca="false">IF(AI1813&lt;S1813,"SIM","NÃO")</f>
        <v>SIM</v>
      </c>
    </row>
    <row r="1814" customFormat="false" ht="15" hidden="false" customHeight="false" outlineLevel="0" collapsed="false">
      <c r="A1814" s="59" t="n">
        <v>46279.8598263889</v>
      </c>
      <c r="B1814" s="60" t="s">
        <v>2013</v>
      </c>
      <c r="C1814" s="60" t="n">
        <v>21250520</v>
      </c>
      <c r="D1814" s="60" t="s">
        <v>46</v>
      </c>
      <c r="E1814" s="60" t="s">
        <v>22</v>
      </c>
      <c r="F1814" s="60" t="s">
        <v>233</v>
      </c>
      <c r="G1814" s="60" t="n">
        <v>27.6</v>
      </c>
      <c r="H1814" s="61" t="n">
        <v>331.25</v>
      </c>
      <c r="I1814" s="61" t="n">
        <v>42.11</v>
      </c>
      <c r="J1814" s="61" t="n">
        <f aca="false">H1814*Resumo!$C$6</f>
        <v>0</v>
      </c>
      <c r="K1814" s="61" t="n">
        <f aca="false">H1814*Resumo!$C$7</f>
        <v>0.695625</v>
      </c>
      <c r="L1814" s="61" t="n">
        <f aca="false">H1814*Resumo!$C$8</f>
        <v>0.695625</v>
      </c>
      <c r="M1814" s="61" t="n">
        <f aca="false">Resumo!$C$10*CEILING(G1814/100,1)</f>
        <v>1.05</v>
      </c>
      <c r="N1814" s="61" t="n">
        <f aca="false">Resumo!$C$9</f>
        <v>0</v>
      </c>
      <c r="O1814" s="61" t="n">
        <f aca="false">Resumo!$C$13</f>
        <v>13.55</v>
      </c>
      <c r="P1814" s="61" t="n">
        <f aca="false">Resumo!$C$14*CEILING(G1814,1)</f>
        <v>12.6</v>
      </c>
      <c r="Q1814" s="61" t="n">
        <f aca="false">SUM(I1814:P1814)*Resumo!$C$11</f>
        <v>0</v>
      </c>
      <c r="R1814" s="61" t="n">
        <f aca="false">SUM(I1814:Q1814)</f>
        <v>70.70125</v>
      </c>
      <c r="S1814" s="61" t="n">
        <f aca="false">R1814/(1-Resumo!$C$5)</f>
        <v>80.3423295454546</v>
      </c>
      <c r="T1814" s="61" t="n">
        <v>82.21</v>
      </c>
      <c r="U1814" s="61" t="n">
        <f aca="false">H1814*Resumo!$B$6</f>
        <v>0.33125</v>
      </c>
      <c r="V1814" s="61" t="n">
        <f aca="false">H1814*Resumo!$B$7</f>
        <v>0.6625</v>
      </c>
      <c r="W1814" s="61" t="n">
        <f aca="false">Resumo!$B$9</f>
        <v>1</v>
      </c>
      <c r="X1814" s="61" t="n">
        <f aca="false">Resumo!$B$10*CEILING(G1814/100,1)</f>
        <v>4.5</v>
      </c>
      <c r="Y1814" s="61" t="n">
        <f aca="false">Resumo!$B$12*CEILING(G1814,1)</f>
        <v>1.68</v>
      </c>
      <c r="Z1814" s="61" t="n">
        <f aca="false">Resumo!$B$14*CEILING(G1814,1)</f>
        <v>12.6</v>
      </c>
      <c r="AA1814" s="61" t="n">
        <f aca="false">SUM(T1814:Z1814)</f>
        <v>102.98375</v>
      </c>
      <c r="AB1814" s="61" t="n">
        <f aca="false">AA1814/(1-Resumo!$B$5)</f>
        <v>117.026988636364</v>
      </c>
      <c r="AC1814" s="61" t="n">
        <f aca="false">AB1814-S1814</f>
        <v>36.6846590909091</v>
      </c>
      <c r="AD1814" s="62" t="n">
        <f aca="false">AB1814/S1814-1</f>
        <v>0.456604374038648</v>
      </c>
      <c r="AE1814" s="60" t="str">
        <f aca="false">IF(AB1814&lt;S1814,"SIM","NÃO")</f>
        <v>NÃO</v>
      </c>
      <c r="AF1814" s="60" t="n">
        <v>2</v>
      </c>
      <c r="AG1814" s="60" t="n">
        <v>5</v>
      </c>
      <c r="AH1814" s="60" t="s">
        <v>382</v>
      </c>
      <c r="AI1814" s="61" t="n">
        <f aca="false">(T1814*(1-Painel!$C$40)+U1814+V1814+Painel!$C$41+Painel!$C$42*CEILING(G1814/100,1)+Painel!$C$43*CEILING(G1814,1)+Z1814)/(1-Resumo!$B$5)</f>
        <v>80.3686931818182</v>
      </c>
      <c r="AJ1814" s="60" t="str">
        <f aca="false">IF(AI1814&lt;S1814,"SIM","NÃO")</f>
        <v>NÃO</v>
      </c>
    </row>
    <row r="1815" customFormat="false" ht="15" hidden="false" customHeight="false" outlineLevel="0" collapsed="false">
      <c r="A1815" s="59" t="n">
        <v>46279.8917592593</v>
      </c>
      <c r="B1815" s="60" t="s">
        <v>2014</v>
      </c>
      <c r="C1815" s="60" t="n">
        <v>23943140</v>
      </c>
      <c r="D1815" s="60" t="s">
        <v>218</v>
      </c>
      <c r="E1815" s="60" t="s">
        <v>24</v>
      </c>
      <c r="F1815" s="60" t="s">
        <v>233</v>
      </c>
      <c r="G1815" s="60" t="n">
        <v>33.3</v>
      </c>
      <c r="H1815" s="61" t="n">
        <v>389.28</v>
      </c>
      <c r="I1815" s="61" t="n">
        <v>65.63</v>
      </c>
      <c r="J1815" s="61" t="n">
        <f aca="false">H1815*Resumo!$C$6</f>
        <v>0</v>
      </c>
      <c r="K1815" s="61" t="n">
        <f aca="false">H1815*Resumo!$C$7</f>
        <v>0.817488</v>
      </c>
      <c r="L1815" s="61" t="n">
        <f aca="false">H1815*Resumo!$C$8</f>
        <v>0.817488</v>
      </c>
      <c r="M1815" s="61" t="n">
        <f aca="false">Resumo!$C$10*CEILING(G1815/100,1)</f>
        <v>1.05</v>
      </c>
      <c r="N1815" s="61" t="n">
        <f aca="false">Resumo!$C$9</f>
        <v>0</v>
      </c>
      <c r="O1815" s="61" t="n">
        <f aca="false">Resumo!$C$13</f>
        <v>13.55</v>
      </c>
      <c r="P1815" s="61" t="n">
        <f aca="false">Resumo!$C$14*CEILING(G1815,1)</f>
        <v>15.3</v>
      </c>
      <c r="Q1815" s="61" t="n">
        <f aca="false">SUM(I1815:P1815)*Resumo!$C$11</f>
        <v>0</v>
      </c>
      <c r="R1815" s="61" t="n">
        <f aca="false">SUM(I1815:Q1815)</f>
        <v>97.164976</v>
      </c>
      <c r="S1815" s="61" t="n">
        <f aca="false">R1815/(1-Resumo!$C$5)</f>
        <v>110.414745454545</v>
      </c>
      <c r="T1815" s="61" t="n">
        <v>108.83</v>
      </c>
      <c r="U1815" s="61" t="n">
        <f aca="false">H1815*Resumo!$B$6</f>
        <v>0.38928</v>
      </c>
      <c r="V1815" s="61" t="n">
        <f aca="false">H1815*Resumo!$B$7</f>
        <v>0.77856</v>
      </c>
      <c r="W1815" s="61" t="n">
        <f aca="false">Resumo!$B$9</f>
        <v>1</v>
      </c>
      <c r="X1815" s="61" t="n">
        <f aca="false">Resumo!$B$10*CEILING(G1815/100,1)</f>
        <v>4.5</v>
      </c>
      <c r="Y1815" s="61" t="n">
        <f aca="false">Resumo!$B$12*CEILING(G1815,1)</f>
        <v>2.04</v>
      </c>
      <c r="Z1815" s="61" t="n">
        <f aca="false">Resumo!$B$14*CEILING(G1815,1)</f>
        <v>15.3</v>
      </c>
      <c r="AA1815" s="61" t="n">
        <f aca="false">SUM(T1815:Z1815)</f>
        <v>132.83784</v>
      </c>
      <c r="AB1815" s="61" t="n">
        <f aca="false">AA1815/(1-Resumo!$B$5)</f>
        <v>150.952090909091</v>
      </c>
      <c r="AC1815" s="61" t="n">
        <f aca="false">AB1815-S1815</f>
        <v>40.5373454545455</v>
      </c>
      <c r="AD1815" s="62" t="n">
        <f aca="false">AB1815/S1815-1</f>
        <v>0.367137063873715</v>
      </c>
      <c r="AE1815" s="60" t="str">
        <f aca="false">IF(AB1815&lt;S1815,"SIM","NÃO")</f>
        <v>NÃO</v>
      </c>
      <c r="AF1815" s="60" t="n">
        <v>13</v>
      </c>
      <c r="AG1815" s="60" t="n">
        <v>10</v>
      </c>
      <c r="AH1815" s="60" t="s">
        <v>382</v>
      </c>
      <c r="AI1815" s="61" t="n">
        <f aca="false">(T1815*(1-Painel!$C$40)+U1815+V1815+Painel!$C$41+Painel!$C$42*CEILING(G1815/100,1)+Painel!$C$43*CEILING(G1815,1)+Z1815)/(1-Resumo!$B$5)</f>
        <v>103.902204545455</v>
      </c>
      <c r="AJ1815" s="60" t="str">
        <f aca="false">IF(AI1815&lt;S1815,"SIM","NÃO")</f>
        <v>SIM</v>
      </c>
    </row>
    <row r="1816" customFormat="false" ht="15" hidden="false" customHeight="false" outlineLevel="0" collapsed="false">
      <c r="A1816" s="59" t="n">
        <v>46279.9203703704</v>
      </c>
      <c r="B1816" s="60" t="s">
        <v>2015</v>
      </c>
      <c r="C1816" s="60" t="n">
        <v>20940010</v>
      </c>
      <c r="D1816" s="60" t="s">
        <v>46</v>
      </c>
      <c r="E1816" s="60" t="s">
        <v>22</v>
      </c>
      <c r="F1816" s="60" t="s">
        <v>237</v>
      </c>
      <c r="G1816" s="60" t="n">
        <v>63.9</v>
      </c>
      <c r="H1816" s="61" t="n">
        <v>776</v>
      </c>
      <c r="I1816" s="61" t="n">
        <v>63.21</v>
      </c>
      <c r="J1816" s="61" t="n">
        <f aca="false">H1816*Resumo!$C$6</f>
        <v>0</v>
      </c>
      <c r="K1816" s="61" t="n">
        <f aca="false">H1816*Resumo!$C$7</f>
        <v>1.6296</v>
      </c>
      <c r="L1816" s="61" t="n">
        <f aca="false">H1816*Resumo!$C$8</f>
        <v>1.6296</v>
      </c>
      <c r="M1816" s="61" t="n">
        <f aca="false">Resumo!$C$10*CEILING(G1816/100,1)</f>
        <v>1.05</v>
      </c>
      <c r="N1816" s="61" t="n">
        <f aca="false">Resumo!$C$9</f>
        <v>0</v>
      </c>
      <c r="O1816" s="61" t="n">
        <f aca="false">Resumo!$C$13</f>
        <v>13.55</v>
      </c>
      <c r="P1816" s="61" t="n">
        <f aca="false">Resumo!$C$14*CEILING(G1816,1)</f>
        <v>28.8</v>
      </c>
      <c r="Q1816" s="61" t="n">
        <f aca="false">SUM(I1816:P1816)*Resumo!$C$11</f>
        <v>0</v>
      </c>
      <c r="R1816" s="61" t="n">
        <f aca="false">SUM(I1816:Q1816)</f>
        <v>109.8692</v>
      </c>
      <c r="S1816" s="61" t="n">
        <f aca="false">R1816/(1-Resumo!$C$5)</f>
        <v>124.851363636364</v>
      </c>
      <c r="T1816" s="61" t="n">
        <v>131.02</v>
      </c>
      <c r="U1816" s="61" t="n">
        <f aca="false">H1816*Resumo!$B$6</f>
        <v>0.776</v>
      </c>
      <c r="V1816" s="61" t="n">
        <f aca="false">H1816*Resumo!$B$7</f>
        <v>1.552</v>
      </c>
      <c r="W1816" s="61" t="n">
        <f aca="false">Resumo!$B$9</f>
        <v>1</v>
      </c>
      <c r="X1816" s="61" t="n">
        <f aca="false">Resumo!$B$10*CEILING(G1816/100,1)</f>
        <v>4.5</v>
      </c>
      <c r="Y1816" s="61" t="n">
        <f aca="false">Resumo!$B$12*CEILING(G1816,1)</f>
        <v>3.84</v>
      </c>
      <c r="Z1816" s="61" t="n">
        <f aca="false">Resumo!$B$14*CEILING(G1816,1)</f>
        <v>28.8</v>
      </c>
      <c r="AA1816" s="61" t="n">
        <f aca="false">SUM(T1816:Z1816)</f>
        <v>171.488</v>
      </c>
      <c r="AB1816" s="61" t="n">
        <f aca="false">AA1816/(1-Resumo!$B$5)</f>
        <v>194.872727272727</v>
      </c>
      <c r="AC1816" s="61" t="n">
        <f aca="false">AB1816-S1816</f>
        <v>70.0213636363637</v>
      </c>
      <c r="AD1816" s="62" t="n">
        <f aca="false">AB1816/S1816-1</f>
        <v>0.560837796215864</v>
      </c>
      <c r="AE1816" s="60" t="str">
        <f aca="false">IF(AB1816&lt;S1816,"SIM","NÃO")</f>
        <v>NÃO</v>
      </c>
      <c r="AF1816" s="60" t="n">
        <v>2</v>
      </c>
      <c r="AG1816" s="60" t="n">
        <v>5</v>
      </c>
      <c r="AH1816" s="60" t="s">
        <v>382</v>
      </c>
      <c r="AI1816" s="61" t="n">
        <f aca="false">(T1816*(1-Painel!$C$40)+U1816+V1816+Painel!$C$41+Painel!$C$42*CEILING(G1816/100,1)+Painel!$C$43*CEILING(G1816,1)+Z1816)/(1-Resumo!$B$5)</f>
        <v>137.456136363636</v>
      </c>
      <c r="AJ1816" s="60" t="str">
        <f aca="false">IF(AI1816&lt;S1816,"SIM","NÃO")</f>
        <v>NÃO</v>
      </c>
    </row>
    <row r="1817" customFormat="false" ht="15" hidden="false" customHeight="false" outlineLevel="0" collapsed="false">
      <c r="A1817" s="59" t="n">
        <v>46279.9688541667</v>
      </c>
      <c r="B1817" s="60" t="s">
        <v>497</v>
      </c>
      <c r="C1817" s="60" t="n">
        <v>21321620</v>
      </c>
      <c r="D1817" s="60" t="s">
        <v>46</v>
      </c>
      <c r="E1817" s="60" t="s">
        <v>22</v>
      </c>
      <c r="F1817" s="60" t="s">
        <v>235</v>
      </c>
      <c r="G1817" s="60" t="n">
        <v>46.8</v>
      </c>
      <c r="H1817" s="61" t="n">
        <v>492.2</v>
      </c>
      <c r="I1817" s="61" t="n">
        <v>53.55</v>
      </c>
      <c r="J1817" s="61" t="n">
        <f aca="false">H1817*Resumo!$C$6</f>
        <v>0</v>
      </c>
      <c r="K1817" s="61" t="n">
        <f aca="false">H1817*Resumo!$C$7</f>
        <v>1.03362</v>
      </c>
      <c r="L1817" s="61" t="n">
        <f aca="false">H1817*Resumo!$C$8</f>
        <v>1.03362</v>
      </c>
      <c r="M1817" s="61" t="n">
        <f aca="false">Resumo!$C$10*CEILING(G1817/100,1)</f>
        <v>1.05</v>
      </c>
      <c r="N1817" s="61" t="n">
        <f aca="false">Resumo!$C$9</f>
        <v>0</v>
      </c>
      <c r="O1817" s="61" t="n">
        <f aca="false">Resumo!$C$13</f>
        <v>13.55</v>
      </c>
      <c r="P1817" s="61" t="n">
        <f aca="false">Resumo!$C$14*CEILING(G1817,1)</f>
        <v>21.15</v>
      </c>
      <c r="Q1817" s="61" t="n">
        <f aca="false">SUM(I1817:P1817)*Resumo!$C$11</f>
        <v>0</v>
      </c>
      <c r="R1817" s="61" t="n">
        <f aca="false">SUM(I1817:Q1817)</f>
        <v>91.36724</v>
      </c>
      <c r="S1817" s="61" t="n">
        <f aca="false">R1817/(1-Resumo!$C$5)</f>
        <v>103.826409090909</v>
      </c>
      <c r="T1817" s="61" t="n">
        <v>93.97</v>
      </c>
      <c r="U1817" s="61" t="n">
        <f aca="false">H1817*Resumo!$B$6</f>
        <v>0.4922</v>
      </c>
      <c r="V1817" s="61" t="n">
        <f aca="false">H1817*Resumo!$B$7</f>
        <v>0.9844</v>
      </c>
      <c r="W1817" s="61" t="n">
        <f aca="false">Resumo!$B$9</f>
        <v>1</v>
      </c>
      <c r="X1817" s="61" t="n">
        <f aca="false">Resumo!$B$10*CEILING(G1817/100,1)</f>
        <v>4.5</v>
      </c>
      <c r="Y1817" s="61" t="n">
        <f aca="false">Resumo!$B$12*CEILING(G1817,1)</f>
        <v>2.82</v>
      </c>
      <c r="Z1817" s="61" t="n">
        <f aca="false">Resumo!$B$14*CEILING(G1817,1)</f>
        <v>21.15</v>
      </c>
      <c r="AA1817" s="61" t="n">
        <f aca="false">SUM(T1817:Z1817)</f>
        <v>124.9166</v>
      </c>
      <c r="AB1817" s="61" t="n">
        <f aca="false">AA1817/(1-Resumo!$B$5)</f>
        <v>141.950681818182</v>
      </c>
      <c r="AC1817" s="61" t="n">
        <f aca="false">AB1817-S1817</f>
        <v>38.1242727272727</v>
      </c>
      <c r="AD1817" s="62" t="n">
        <f aca="false">AB1817/S1817-1</f>
        <v>0.367192442280187</v>
      </c>
      <c r="AE1817" s="60" t="str">
        <f aca="false">IF(AB1817&lt;S1817,"SIM","NÃO")</f>
        <v>NÃO</v>
      </c>
      <c r="AF1817" s="60" t="n">
        <v>2</v>
      </c>
      <c r="AG1817" s="60" t="n">
        <v>5</v>
      </c>
      <c r="AH1817" s="60" t="s">
        <v>382</v>
      </c>
      <c r="AI1817" s="61" t="n">
        <f aca="false">(T1817*(1-Painel!$C$40)+U1817+V1817+Painel!$C$41+Painel!$C$42*CEILING(G1817/100,1)+Painel!$C$43*CEILING(G1817,1)+Z1817)/(1-Resumo!$B$5)</f>
        <v>99.5869318181818</v>
      </c>
      <c r="AJ1817" s="60" t="str">
        <f aca="false">IF(AI1817&lt;S1817,"SIM","NÃO")</f>
        <v>SIM</v>
      </c>
    </row>
    <row r="1818" customFormat="false" ht="15" hidden="false" customHeight="false" outlineLevel="0" collapsed="false">
      <c r="A1818" s="59" t="n">
        <v>46280.0072106482</v>
      </c>
      <c r="B1818" s="60" t="s">
        <v>2016</v>
      </c>
      <c r="C1818" s="60" t="n">
        <v>22793105</v>
      </c>
      <c r="D1818" s="60" t="s">
        <v>46</v>
      </c>
      <c r="E1818" s="60" t="s">
        <v>22</v>
      </c>
      <c r="F1818" s="60" t="s">
        <v>234</v>
      </c>
      <c r="G1818" s="60" t="n">
        <v>35.3</v>
      </c>
      <c r="H1818" s="61" t="n">
        <v>458.79</v>
      </c>
      <c r="I1818" s="61" t="n">
        <v>48.35</v>
      </c>
      <c r="J1818" s="61" t="n">
        <f aca="false">H1818*Resumo!$C$6</f>
        <v>0</v>
      </c>
      <c r="K1818" s="61" t="n">
        <f aca="false">H1818*Resumo!$C$7</f>
        <v>0.963459</v>
      </c>
      <c r="L1818" s="61" t="n">
        <f aca="false">H1818*Resumo!$C$8</f>
        <v>0.963459</v>
      </c>
      <c r="M1818" s="61" t="n">
        <f aca="false">Resumo!$C$10*CEILING(G1818/100,1)</f>
        <v>1.05</v>
      </c>
      <c r="N1818" s="61" t="n">
        <f aca="false">Resumo!$C$9</f>
        <v>0</v>
      </c>
      <c r="O1818" s="61" t="n">
        <f aca="false">Resumo!$C$13</f>
        <v>13.55</v>
      </c>
      <c r="P1818" s="61" t="n">
        <f aca="false">Resumo!$C$14*CEILING(G1818,1)</f>
        <v>16.2</v>
      </c>
      <c r="Q1818" s="61" t="n">
        <f aca="false">SUM(I1818:P1818)*Resumo!$C$11</f>
        <v>0</v>
      </c>
      <c r="R1818" s="61" t="n">
        <f aca="false">SUM(I1818:Q1818)</f>
        <v>81.076918</v>
      </c>
      <c r="S1818" s="61" t="n">
        <f aca="false">R1818/(1-Resumo!$C$5)</f>
        <v>92.1328613636364</v>
      </c>
      <c r="T1818" s="61" t="n">
        <v>93.97</v>
      </c>
      <c r="U1818" s="61" t="n">
        <f aca="false">H1818*Resumo!$B$6</f>
        <v>0.45879</v>
      </c>
      <c r="V1818" s="61" t="n">
        <f aca="false">H1818*Resumo!$B$7</f>
        <v>0.91758</v>
      </c>
      <c r="W1818" s="61" t="n">
        <f aca="false">Resumo!$B$9</f>
        <v>1</v>
      </c>
      <c r="X1818" s="61" t="n">
        <f aca="false">Resumo!$B$10*CEILING(G1818/100,1)</f>
        <v>4.5</v>
      </c>
      <c r="Y1818" s="61" t="n">
        <f aca="false">Resumo!$B$12*CEILING(G1818,1)</f>
        <v>2.16</v>
      </c>
      <c r="Z1818" s="61" t="n">
        <f aca="false">Resumo!$B$14*CEILING(G1818,1)</f>
        <v>16.2</v>
      </c>
      <c r="AA1818" s="61" t="n">
        <f aca="false">SUM(T1818:Z1818)</f>
        <v>119.20637</v>
      </c>
      <c r="AB1818" s="61" t="n">
        <f aca="false">AA1818/(1-Resumo!$B$5)</f>
        <v>135.461784090909</v>
      </c>
      <c r="AC1818" s="61" t="n">
        <f aca="false">AB1818-S1818</f>
        <v>43.3289227272727</v>
      </c>
      <c r="AD1818" s="62" t="n">
        <f aca="false">AB1818/S1818-1</f>
        <v>0.470287388082512</v>
      </c>
      <c r="AE1818" s="60" t="str">
        <f aca="false">IF(AB1818&lt;S1818,"SIM","NÃO")</f>
        <v>NÃO</v>
      </c>
      <c r="AF1818" s="60" t="n">
        <v>2</v>
      </c>
      <c r="AG1818" s="60" t="n">
        <v>5</v>
      </c>
      <c r="AH1818" s="60" t="s">
        <v>382</v>
      </c>
      <c r="AI1818" s="61" t="n">
        <f aca="false">(T1818*(1-Painel!$C$40)+U1818+V1818+Painel!$C$41+Painel!$C$42*CEILING(G1818/100,1)+Painel!$C$43*CEILING(G1818,1)+Z1818)/(1-Resumo!$B$5)</f>
        <v>93.8480340909091</v>
      </c>
      <c r="AJ1818" s="60" t="str">
        <f aca="false">IF(AI1818&lt;S1818,"SIM","NÃO")</f>
        <v>NÃO</v>
      </c>
    </row>
    <row r="1819" customFormat="false" ht="15" hidden="false" customHeight="false" outlineLevel="0" collapsed="false">
      <c r="A1819" s="59" t="n">
        <v>46280.2914236111</v>
      </c>
      <c r="B1819" s="60" t="s">
        <v>2017</v>
      </c>
      <c r="C1819" s="60" t="n">
        <v>23933630</v>
      </c>
      <c r="D1819" s="60" t="s">
        <v>218</v>
      </c>
      <c r="E1819" s="60" t="s">
        <v>24</v>
      </c>
      <c r="F1819" s="60" t="s">
        <v>235</v>
      </c>
      <c r="G1819" s="60" t="n">
        <v>48</v>
      </c>
      <c r="H1819" s="61" t="n">
        <v>849.99</v>
      </c>
      <c r="I1819" s="61" t="n">
        <v>77.7</v>
      </c>
      <c r="J1819" s="61" t="n">
        <f aca="false">H1819*Resumo!$C$6</f>
        <v>0</v>
      </c>
      <c r="K1819" s="61" t="n">
        <f aca="false">H1819*Resumo!$C$7</f>
        <v>1.784979</v>
      </c>
      <c r="L1819" s="61" t="n">
        <f aca="false">H1819*Resumo!$C$8</f>
        <v>1.784979</v>
      </c>
      <c r="M1819" s="61" t="n">
        <f aca="false">Resumo!$C$10*CEILING(G1819/100,1)</f>
        <v>1.05</v>
      </c>
      <c r="N1819" s="61" t="n">
        <f aca="false">Resumo!$C$9</f>
        <v>0</v>
      </c>
      <c r="O1819" s="61" t="n">
        <f aca="false">Resumo!$C$13</f>
        <v>13.55</v>
      </c>
      <c r="P1819" s="61" t="n">
        <f aca="false">Resumo!$C$14*CEILING(G1819,1)</f>
        <v>21.6</v>
      </c>
      <c r="Q1819" s="61" t="n">
        <f aca="false">SUM(I1819:P1819)*Resumo!$C$11</f>
        <v>0</v>
      </c>
      <c r="R1819" s="61" t="n">
        <f aca="false">SUM(I1819:Q1819)</f>
        <v>117.469958</v>
      </c>
      <c r="S1819" s="61" t="n">
        <f aca="false">R1819/(1-Resumo!$C$5)</f>
        <v>133.488588636364</v>
      </c>
      <c r="T1819" s="61" t="n">
        <v>124.38</v>
      </c>
      <c r="U1819" s="61" t="n">
        <f aca="false">H1819*Resumo!$B$6</f>
        <v>0.84999</v>
      </c>
      <c r="V1819" s="61" t="n">
        <f aca="false">H1819*Resumo!$B$7</f>
        <v>1.69998</v>
      </c>
      <c r="W1819" s="61" t="n">
        <f aca="false">Resumo!$B$9</f>
        <v>1</v>
      </c>
      <c r="X1819" s="61" t="n">
        <f aca="false">Resumo!$B$10*CEILING(G1819/100,1)</f>
        <v>4.5</v>
      </c>
      <c r="Y1819" s="61" t="n">
        <f aca="false">Resumo!$B$12*CEILING(G1819,1)</f>
        <v>2.88</v>
      </c>
      <c r="Z1819" s="61" t="n">
        <f aca="false">Resumo!$B$14*CEILING(G1819,1)</f>
        <v>21.6</v>
      </c>
      <c r="AA1819" s="61" t="n">
        <f aca="false">SUM(T1819:Z1819)</f>
        <v>156.90997</v>
      </c>
      <c r="AB1819" s="61" t="n">
        <f aca="false">AA1819/(1-Resumo!$B$5)</f>
        <v>178.306784090909</v>
      </c>
      <c r="AC1819" s="61" t="n">
        <f aca="false">AB1819-S1819</f>
        <v>44.8181954545454</v>
      </c>
      <c r="AD1819" s="62" t="n">
        <f aca="false">AB1819/S1819-1</f>
        <v>0.335745518867045</v>
      </c>
      <c r="AE1819" s="60" t="str">
        <f aca="false">IF(AB1819&lt;S1819,"SIM","NÃO")</f>
        <v>NÃO</v>
      </c>
      <c r="AF1819" s="60" t="n">
        <v>13</v>
      </c>
      <c r="AG1819" s="60" t="n">
        <v>10</v>
      </c>
      <c r="AH1819" s="60" t="s">
        <v>382</v>
      </c>
      <c r="AI1819" s="61" t="n">
        <f aca="false">(T1819*(1-Painel!$C$40)+U1819+V1819+Painel!$C$41+Painel!$C$42*CEILING(G1819/100,1)+Painel!$C$43*CEILING(G1819,1)+Z1819)/(1-Resumo!$B$5)</f>
        <v>124.471102272727</v>
      </c>
      <c r="AJ1819" s="60" t="str">
        <f aca="false">IF(AI1819&lt;S1819,"SIM","NÃO")</f>
        <v>SIM</v>
      </c>
    </row>
    <row r="1820" customFormat="false" ht="15" hidden="false" customHeight="false" outlineLevel="0" collapsed="false">
      <c r="A1820" s="59" t="n">
        <v>46280.3565856482</v>
      </c>
      <c r="B1820" s="60" t="s">
        <v>2018</v>
      </c>
      <c r="C1820" s="60" t="n">
        <v>20750130</v>
      </c>
      <c r="D1820" s="60" t="s">
        <v>46</v>
      </c>
      <c r="E1820" s="60" t="s">
        <v>22</v>
      </c>
      <c r="F1820" s="60" t="s">
        <v>237</v>
      </c>
      <c r="G1820" s="60" t="n">
        <v>66.8</v>
      </c>
      <c r="H1820" s="61" t="n">
        <v>719.99</v>
      </c>
      <c r="I1820" s="61" t="n">
        <v>63.21</v>
      </c>
      <c r="J1820" s="61" t="n">
        <f aca="false">H1820*Resumo!$C$6</f>
        <v>0</v>
      </c>
      <c r="K1820" s="61" t="n">
        <f aca="false">H1820*Resumo!$C$7</f>
        <v>1.511979</v>
      </c>
      <c r="L1820" s="61" t="n">
        <f aca="false">H1820*Resumo!$C$8</f>
        <v>1.511979</v>
      </c>
      <c r="M1820" s="61" t="n">
        <f aca="false">Resumo!$C$10*CEILING(G1820/100,1)</f>
        <v>1.05</v>
      </c>
      <c r="N1820" s="61" t="n">
        <f aca="false">Resumo!$C$9</f>
        <v>0</v>
      </c>
      <c r="O1820" s="61" t="n">
        <f aca="false">Resumo!$C$13</f>
        <v>13.55</v>
      </c>
      <c r="P1820" s="61" t="n">
        <f aca="false">Resumo!$C$14*CEILING(G1820,1)</f>
        <v>30.15</v>
      </c>
      <c r="Q1820" s="61" t="n">
        <f aca="false">SUM(I1820:P1820)*Resumo!$C$11</f>
        <v>0</v>
      </c>
      <c r="R1820" s="61" t="n">
        <f aca="false">SUM(I1820:Q1820)</f>
        <v>110.983958</v>
      </c>
      <c r="S1820" s="61" t="n">
        <f aca="false">R1820/(1-Resumo!$C$5)</f>
        <v>126.118134090909</v>
      </c>
      <c r="T1820" s="61" t="n">
        <v>131.02</v>
      </c>
      <c r="U1820" s="61" t="n">
        <f aca="false">H1820*Resumo!$B$6</f>
        <v>0.71999</v>
      </c>
      <c r="V1820" s="61" t="n">
        <f aca="false">H1820*Resumo!$B$7</f>
        <v>1.43998</v>
      </c>
      <c r="W1820" s="61" t="n">
        <f aca="false">Resumo!$B$9</f>
        <v>1</v>
      </c>
      <c r="X1820" s="61" t="n">
        <f aca="false">Resumo!$B$10*CEILING(G1820/100,1)</f>
        <v>4.5</v>
      </c>
      <c r="Y1820" s="61" t="n">
        <f aca="false">Resumo!$B$12*CEILING(G1820,1)</f>
        <v>4.02</v>
      </c>
      <c r="Z1820" s="61" t="n">
        <f aca="false">Resumo!$B$14*CEILING(G1820,1)</f>
        <v>30.15</v>
      </c>
      <c r="AA1820" s="61" t="n">
        <f aca="false">SUM(T1820:Z1820)</f>
        <v>172.84997</v>
      </c>
      <c r="AB1820" s="61" t="n">
        <f aca="false">AA1820/(1-Resumo!$B$5)</f>
        <v>196.420420454545</v>
      </c>
      <c r="AC1820" s="61" t="n">
        <f aca="false">AB1820-S1820</f>
        <v>70.3022863636364</v>
      </c>
      <c r="AD1820" s="62" t="n">
        <f aca="false">AB1820/S1820-1</f>
        <v>0.557432020941261</v>
      </c>
      <c r="AE1820" s="60" t="str">
        <f aca="false">IF(AB1820&lt;S1820,"SIM","NÃO")</f>
        <v>NÃO</v>
      </c>
      <c r="AF1820" s="60" t="n">
        <v>2</v>
      </c>
      <c r="AG1820" s="60" t="n">
        <v>5</v>
      </c>
      <c r="AH1820" s="60" t="s">
        <v>382</v>
      </c>
      <c r="AI1820" s="61" t="n">
        <f aca="false">(T1820*(1-Painel!$C$40)+U1820+V1820+Painel!$C$41+Painel!$C$42*CEILING(G1820/100,1)+Painel!$C$43*CEILING(G1820,1)+Z1820)/(1-Resumo!$B$5)</f>
        <v>138.799284090909</v>
      </c>
      <c r="AJ1820" s="60" t="str">
        <f aca="false">IF(AI1820&lt;S1820,"SIM","NÃO")</f>
        <v>NÃO</v>
      </c>
    </row>
    <row r="1821" customFormat="false" ht="15" hidden="false" customHeight="false" outlineLevel="0" collapsed="false">
      <c r="A1821" s="59" t="n">
        <v>46280.374224537</v>
      </c>
      <c r="B1821" s="60" t="s">
        <v>2019</v>
      </c>
      <c r="C1821" s="60" t="n">
        <v>28956144</v>
      </c>
      <c r="D1821" s="60" t="s">
        <v>339</v>
      </c>
      <c r="E1821" s="60" t="s">
        <v>24</v>
      </c>
      <c r="F1821" s="60" t="s">
        <v>235</v>
      </c>
      <c r="G1821" s="60" t="n">
        <v>41</v>
      </c>
      <c r="H1821" s="61" t="n">
        <v>559.99</v>
      </c>
      <c r="I1821" s="61" t="n">
        <v>77.7</v>
      </c>
      <c r="J1821" s="61" t="n">
        <f aca="false">H1821*Resumo!$C$6</f>
        <v>0</v>
      </c>
      <c r="K1821" s="61" t="n">
        <f aca="false">H1821*Resumo!$C$7</f>
        <v>1.175979</v>
      </c>
      <c r="L1821" s="61" t="n">
        <f aca="false">H1821*Resumo!$C$8</f>
        <v>1.175979</v>
      </c>
      <c r="M1821" s="61" t="n">
        <f aca="false">Resumo!$C$10*CEILING(G1821/100,1)</f>
        <v>1.05</v>
      </c>
      <c r="N1821" s="61" t="n">
        <f aca="false">Resumo!$C$9</f>
        <v>0</v>
      </c>
      <c r="O1821" s="61" t="n">
        <f aca="false">Resumo!$C$13</f>
        <v>13.55</v>
      </c>
      <c r="P1821" s="61" t="n">
        <f aca="false">Resumo!$C$14*CEILING(G1821,1)</f>
        <v>18.45</v>
      </c>
      <c r="Q1821" s="61" t="n">
        <f aca="false">SUM(I1821:P1821)*Resumo!$C$11</f>
        <v>0</v>
      </c>
      <c r="R1821" s="61" t="n">
        <f aca="false">SUM(I1821:Q1821)</f>
        <v>113.101958</v>
      </c>
      <c r="S1821" s="61" t="n">
        <f aca="false">R1821/(1-Resumo!$C$5)</f>
        <v>128.524952272727</v>
      </c>
      <c r="T1821" s="61" t="n">
        <v>129.29</v>
      </c>
      <c r="U1821" s="61" t="n">
        <f aca="false">H1821*Resumo!$B$6</f>
        <v>0.55999</v>
      </c>
      <c r="V1821" s="61" t="n">
        <f aca="false">H1821*Resumo!$B$7</f>
        <v>1.11998</v>
      </c>
      <c r="W1821" s="61" t="n">
        <f aca="false">Resumo!$B$9</f>
        <v>1</v>
      </c>
      <c r="X1821" s="61" t="n">
        <f aca="false">Resumo!$B$10*CEILING(G1821/100,1)</f>
        <v>4.5</v>
      </c>
      <c r="Y1821" s="61" t="n">
        <f aca="false">Resumo!$B$12*CEILING(G1821,1)</f>
        <v>2.46</v>
      </c>
      <c r="Z1821" s="61" t="n">
        <f aca="false">Resumo!$B$14*CEILING(G1821,1)</f>
        <v>18.45</v>
      </c>
      <c r="AA1821" s="61" t="n">
        <f aca="false">SUM(T1821:Z1821)</f>
        <v>157.37997</v>
      </c>
      <c r="AB1821" s="61" t="n">
        <f aca="false">AA1821/(1-Resumo!$B$5)</f>
        <v>178.840875</v>
      </c>
      <c r="AC1821" s="61" t="n">
        <f aca="false">AB1821-S1821</f>
        <v>50.3159227272727</v>
      </c>
      <c r="AD1821" s="62" t="n">
        <f aca="false">AB1821/S1821-1</f>
        <v>0.391487581497042</v>
      </c>
      <c r="AE1821" s="60" t="str">
        <f aca="false">IF(AB1821&lt;S1821,"SIM","NÃO")</f>
        <v>NÃO</v>
      </c>
      <c r="AF1821" s="60" t="n">
        <v>13</v>
      </c>
      <c r="AG1821" s="60" t="n">
        <v>10</v>
      </c>
      <c r="AH1821" s="60" t="s">
        <v>385</v>
      </c>
      <c r="AI1821" s="61" t="n">
        <f aca="false">(T1821*(1-Painel!$C$40)+U1821+V1821+Painel!$C$41+Painel!$C$42*CEILING(G1821/100,1)+Painel!$C$43*CEILING(G1821,1)+Z1821)/(1-Resumo!$B$5)</f>
        <v>123.641215909091</v>
      </c>
      <c r="AJ1821" s="60" t="str">
        <f aca="false">IF(AI1821&lt;S1821,"SIM","NÃO")</f>
        <v>SIM</v>
      </c>
    </row>
    <row r="1822" customFormat="false" ht="15" hidden="false" customHeight="false" outlineLevel="0" collapsed="false">
      <c r="A1822" s="59" t="n">
        <v>46280.438275463</v>
      </c>
      <c r="B1822" s="60" t="s">
        <v>2020</v>
      </c>
      <c r="C1822" s="60" t="n">
        <v>24240460</v>
      </c>
      <c r="D1822" s="60" t="s">
        <v>50</v>
      </c>
      <c r="E1822" s="60" t="s">
        <v>23</v>
      </c>
      <c r="F1822" s="60" t="s">
        <v>235</v>
      </c>
      <c r="G1822" s="60" t="n">
        <v>49.6</v>
      </c>
      <c r="H1822" s="61" t="n">
        <v>799.99</v>
      </c>
      <c r="I1822" s="61" t="n">
        <v>65.36</v>
      </c>
      <c r="J1822" s="61" t="n">
        <f aca="false">H1822*Resumo!$C$6</f>
        <v>0</v>
      </c>
      <c r="K1822" s="61" t="n">
        <f aca="false">H1822*Resumo!$C$7</f>
        <v>1.679979</v>
      </c>
      <c r="L1822" s="61" t="n">
        <f aca="false">H1822*Resumo!$C$8</f>
        <v>1.679979</v>
      </c>
      <c r="M1822" s="61" t="n">
        <f aca="false">Resumo!$C$10*CEILING(G1822/100,1)</f>
        <v>1.05</v>
      </c>
      <c r="N1822" s="61" t="n">
        <f aca="false">Resumo!$C$9</f>
        <v>0</v>
      </c>
      <c r="O1822" s="61" t="n">
        <f aca="false">Resumo!$C$13</f>
        <v>13.55</v>
      </c>
      <c r="P1822" s="61" t="n">
        <f aca="false">Resumo!$C$14*CEILING(G1822,1)</f>
        <v>22.5</v>
      </c>
      <c r="Q1822" s="61" t="n">
        <f aca="false">SUM(I1822:P1822)*Resumo!$C$11</f>
        <v>0</v>
      </c>
      <c r="R1822" s="61" t="n">
        <f aca="false">SUM(I1822:Q1822)</f>
        <v>105.819958</v>
      </c>
      <c r="S1822" s="61" t="n">
        <f aca="false">R1822/(1-Resumo!$C$5)</f>
        <v>120.249952272727</v>
      </c>
      <c r="T1822" s="61" t="n">
        <v>114.95</v>
      </c>
      <c r="U1822" s="61" t="n">
        <f aca="false">H1822*Resumo!$B$6</f>
        <v>0.79999</v>
      </c>
      <c r="V1822" s="61" t="n">
        <f aca="false">H1822*Resumo!$B$7</f>
        <v>1.59998</v>
      </c>
      <c r="W1822" s="61" t="n">
        <f aca="false">Resumo!$B$9</f>
        <v>1</v>
      </c>
      <c r="X1822" s="61" t="n">
        <f aca="false">Resumo!$B$10*CEILING(G1822/100,1)</f>
        <v>4.5</v>
      </c>
      <c r="Y1822" s="61" t="n">
        <f aca="false">Resumo!$B$12*CEILING(G1822,1)</f>
        <v>3</v>
      </c>
      <c r="Z1822" s="61" t="n">
        <f aca="false">Resumo!$B$14*CEILING(G1822,1)</f>
        <v>22.5</v>
      </c>
      <c r="AA1822" s="61" t="n">
        <f aca="false">SUM(T1822:Z1822)</f>
        <v>148.34997</v>
      </c>
      <c r="AB1822" s="61" t="n">
        <f aca="false">AA1822/(1-Resumo!$B$5)</f>
        <v>168.579511363636</v>
      </c>
      <c r="AC1822" s="61" t="n">
        <f aca="false">AB1822-S1822</f>
        <v>48.3295590909091</v>
      </c>
      <c r="AD1822" s="62" t="n">
        <f aca="false">AB1822/S1822-1</f>
        <v>0.401909174826926</v>
      </c>
      <c r="AE1822" s="60" t="str">
        <f aca="false">IF(AB1822&lt;S1822,"SIM","NÃO")</f>
        <v>NÃO</v>
      </c>
      <c r="AF1822" s="60" t="n">
        <v>2</v>
      </c>
      <c r="AG1822" s="60" t="n">
        <v>7</v>
      </c>
      <c r="AH1822" s="60" t="s">
        <v>382</v>
      </c>
      <c r="AI1822" s="61" t="n">
        <f aca="false">(T1822*(1-Painel!$C$40)+U1822+V1822+Painel!$C$41+Painel!$C$42*CEILING(G1822/100,1)+Painel!$C$43*CEILING(G1822,1)+Z1822)/(1-Resumo!$B$5)</f>
        <v>118.143715909091</v>
      </c>
      <c r="AJ1822" s="60" t="str">
        <f aca="false">IF(AI1822&lt;S1822,"SIM","NÃO")</f>
        <v>SIM</v>
      </c>
    </row>
    <row r="1823" customFormat="false" ht="15" hidden="false" customHeight="false" outlineLevel="0" collapsed="false">
      <c r="A1823" s="59" t="n">
        <v>46280.5351041667</v>
      </c>
      <c r="B1823" s="60" t="s">
        <v>2021</v>
      </c>
      <c r="C1823" s="60" t="n">
        <v>25922144</v>
      </c>
      <c r="D1823" s="60" t="s">
        <v>225</v>
      </c>
      <c r="E1823" s="60" t="s">
        <v>24</v>
      </c>
      <c r="F1823" s="60" t="s">
        <v>235</v>
      </c>
      <c r="G1823" s="60" t="n">
        <v>46.8</v>
      </c>
      <c r="H1823" s="61" t="n">
        <v>492.2</v>
      </c>
      <c r="I1823" s="61" t="n">
        <v>77.7</v>
      </c>
      <c r="J1823" s="61" t="n">
        <f aca="false">H1823*Resumo!$C$6</f>
        <v>0</v>
      </c>
      <c r="K1823" s="61" t="n">
        <f aca="false">H1823*Resumo!$C$7</f>
        <v>1.03362</v>
      </c>
      <c r="L1823" s="61" t="n">
        <f aca="false">H1823*Resumo!$C$8</f>
        <v>1.03362</v>
      </c>
      <c r="M1823" s="61" t="n">
        <f aca="false">Resumo!$C$10*CEILING(G1823/100,1)</f>
        <v>1.05</v>
      </c>
      <c r="N1823" s="61" t="n">
        <f aca="false">Resumo!$C$9</f>
        <v>0</v>
      </c>
      <c r="O1823" s="61" t="n">
        <f aca="false">Resumo!$C$13</f>
        <v>13.55</v>
      </c>
      <c r="P1823" s="61" t="n">
        <f aca="false">Resumo!$C$14*CEILING(G1823,1)</f>
        <v>21.15</v>
      </c>
      <c r="Q1823" s="61" t="n">
        <f aca="false">SUM(I1823:P1823)*Resumo!$C$11</f>
        <v>0</v>
      </c>
      <c r="R1823" s="61" t="n">
        <f aca="false">SUM(I1823:Q1823)</f>
        <v>115.51724</v>
      </c>
      <c r="S1823" s="61" t="n">
        <f aca="false">R1823/(1-Resumo!$C$5)</f>
        <v>131.269590909091</v>
      </c>
      <c r="T1823" s="61" t="n">
        <v>117.23</v>
      </c>
      <c r="U1823" s="61" t="n">
        <f aca="false">H1823*Resumo!$B$6</f>
        <v>0.4922</v>
      </c>
      <c r="V1823" s="61" t="n">
        <f aca="false">H1823*Resumo!$B$7</f>
        <v>0.9844</v>
      </c>
      <c r="W1823" s="61" t="n">
        <f aca="false">Resumo!$B$9</f>
        <v>1</v>
      </c>
      <c r="X1823" s="61" t="n">
        <f aca="false">Resumo!$B$10*CEILING(G1823/100,1)</f>
        <v>4.5</v>
      </c>
      <c r="Y1823" s="61" t="n">
        <f aca="false">Resumo!$B$12*CEILING(G1823,1)</f>
        <v>2.82</v>
      </c>
      <c r="Z1823" s="61" t="n">
        <f aca="false">Resumo!$B$14*CEILING(G1823,1)</f>
        <v>21.15</v>
      </c>
      <c r="AA1823" s="61" t="n">
        <f aca="false">SUM(T1823:Z1823)</f>
        <v>148.1766</v>
      </c>
      <c r="AB1823" s="61" t="n">
        <f aca="false">AA1823/(1-Resumo!$B$5)</f>
        <v>168.3825</v>
      </c>
      <c r="AC1823" s="61" t="n">
        <f aca="false">AB1823-S1823</f>
        <v>37.1129090909091</v>
      </c>
      <c r="AD1823" s="62" t="n">
        <f aca="false">AB1823/S1823-1</f>
        <v>0.282722821286243</v>
      </c>
      <c r="AE1823" s="60" t="str">
        <f aca="false">IF(AB1823&lt;S1823,"SIM","NÃO")</f>
        <v>NÃO</v>
      </c>
      <c r="AF1823" s="60" t="n">
        <v>13</v>
      </c>
      <c r="AG1823" s="60" t="n">
        <v>6</v>
      </c>
      <c r="AH1823" s="60" t="s">
        <v>382</v>
      </c>
      <c r="AI1823" s="61" t="n">
        <f aca="false">(T1823*(1-Painel!$C$40)+U1823+V1823+Painel!$C$41+Painel!$C$42*CEILING(G1823/100,1)+Painel!$C$43*CEILING(G1823,1)+Z1823)/(1-Resumo!$B$5)</f>
        <v>117.29625</v>
      </c>
      <c r="AJ1823" s="60" t="str">
        <f aca="false">IF(AI1823&lt;S1823,"SIM","NÃO")</f>
        <v>SIM</v>
      </c>
    </row>
    <row r="1824" customFormat="false" ht="15" hidden="false" customHeight="false" outlineLevel="0" collapsed="false">
      <c r="A1824" s="59" t="n">
        <v>46280.5671643519</v>
      </c>
      <c r="B1824" s="60" t="s">
        <v>1693</v>
      </c>
      <c r="C1824" s="60" t="n">
        <v>28220000</v>
      </c>
      <c r="D1824" s="60" t="s">
        <v>305</v>
      </c>
      <c r="E1824" s="60" t="s">
        <v>24</v>
      </c>
      <c r="F1824" s="60" t="s">
        <v>236</v>
      </c>
      <c r="G1824" s="60" t="n">
        <v>51.3</v>
      </c>
      <c r="H1824" s="61" t="n">
        <v>573.13</v>
      </c>
      <c r="I1824" s="61" t="n">
        <v>83.58</v>
      </c>
      <c r="J1824" s="61" t="n">
        <f aca="false">H1824*Resumo!$C$6</f>
        <v>0</v>
      </c>
      <c r="K1824" s="61" t="n">
        <f aca="false">H1824*Resumo!$C$7</f>
        <v>1.203573</v>
      </c>
      <c r="L1824" s="61" t="n">
        <f aca="false">H1824*Resumo!$C$8</f>
        <v>1.203573</v>
      </c>
      <c r="M1824" s="61" t="n">
        <f aca="false">Resumo!$C$10*CEILING(G1824/100,1)</f>
        <v>1.05</v>
      </c>
      <c r="N1824" s="61" t="n">
        <f aca="false">Resumo!$C$9</f>
        <v>0</v>
      </c>
      <c r="O1824" s="61" t="n">
        <f aca="false">Resumo!$C$13</f>
        <v>13.55</v>
      </c>
      <c r="P1824" s="61" t="n">
        <f aca="false">Resumo!$C$14*CEILING(G1824,1)</f>
        <v>23.4</v>
      </c>
      <c r="Q1824" s="61" t="n">
        <f aca="false">SUM(I1824:P1824)*Resumo!$C$11</f>
        <v>0</v>
      </c>
      <c r="R1824" s="61" t="n">
        <f aca="false">SUM(I1824:Q1824)</f>
        <v>123.987146</v>
      </c>
      <c r="S1824" s="61" t="n">
        <f aca="false">R1824/(1-Resumo!$C$5)</f>
        <v>140.894484090909</v>
      </c>
      <c r="T1824" s="61" t="n">
        <v>162.04</v>
      </c>
      <c r="U1824" s="61" t="n">
        <f aca="false">H1824*Resumo!$B$6</f>
        <v>0.57313</v>
      </c>
      <c r="V1824" s="61" t="n">
        <f aca="false">H1824*Resumo!$B$7</f>
        <v>1.14626</v>
      </c>
      <c r="W1824" s="61" t="n">
        <f aca="false">Resumo!$B$9</f>
        <v>1</v>
      </c>
      <c r="X1824" s="61" t="n">
        <f aca="false">Resumo!$B$10*CEILING(G1824/100,1)</f>
        <v>4.5</v>
      </c>
      <c r="Y1824" s="61" t="n">
        <f aca="false">Resumo!$B$12*CEILING(G1824,1)</f>
        <v>3.12</v>
      </c>
      <c r="Z1824" s="61" t="n">
        <f aca="false">Resumo!$B$14*CEILING(G1824,1)</f>
        <v>23.4</v>
      </c>
      <c r="AA1824" s="61" t="n">
        <f aca="false">SUM(T1824:Z1824)</f>
        <v>195.77939</v>
      </c>
      <c r="AB1824" s="61" t="n">
        <f aca="false">AA1824/(1-Resumo!$B$5)</f>
        <v>222.476579545455</v>
      </c>
      <c r="AC1824" s="61" t="n">
        <f aca="false">AB1824-S1824</f>
        <v>81.5820954545455</v>
      </c>
      <c r="AD1824" s="62" t="n">
        <f aca="false">AB1824/S1824-1</f>
        <v>0.579029732646641</v>
      </c>
      <c r="AE1824" s="60" t="str">
        <f aca="false">IF(AB1824&lt;S1824,"SIM","NÃO")</f>
        <v>NÃO</v>
      </c>
      <c r="AF1824" s="60" t="n">
        <v>13</v>
      </c>
      <c r="AG1824" s="60" t="n">
        <v>11</v>
      </c>
      <c r="AH1824" s="60" t="s">
        <v>385</v>
      </c>
      <c r="AI1824" s="61" t="n">
        <f aca="false">(T1824*(1-Painel!$C$40)+U1824+V1824+Painel!$C$41+Painel!$C$42*CEILING(G1824/100,1)+Painel!$C$43*CEILING(G1824,1)+Z1824)/(1-Resumo!$B$5)</f>
        <v>154.245670454545</v>
      </c>
      <c r="AJ1824" s="60" t="str">
        <f aca="false">IF(AI1824&lt;S1824,"SIM","NÃO")</f>
        <v>NÃO</v>
      </c>
    </row>
    <row r="1825" customFormat="false" ht="15" hidden="false" customHeight="false" outlineLevel="0" collapsed="false">
      <c r="A1825" s="59" t="n">
        <v>46280.6261342593</v>
      </c>
      <c r="B1825" s="60" t="s">
        <v>2022</v>
      </c>
      <c r="C1825" s="60" t="n">
        <v>23595250</v>
      </c>
      <c r="D1825" s="60" t="s">
        <v>46</v>
      </c>
      <c r="E1825" s="60" t="s">
        <v>22</v>
      </c>
      <c r="F1825" s="60" t="s">
        <v>234</v>
      </c>
      <c r="G1825" s="60" t="n">
        <v>39</v>
      </c>
      <c r="H1825" s="61" t="n">
        <v>549.99</v>
      </c>
      <c r="I1825" s="61" t="n">
        <v>48.35</v>
      </c>
      <c r="J1825" s="61" t="n">
        <f aca="false">H1825*Resumo!$C$6</f>
        <v>0</v>
      </c>
      <c r="K1825" s="61" t="n">
        <f aca="false">H1825*Resumo!$C$7</f>
        <v>1.154979</v>
      </c>
      <c r="L1825" s="61" t="n">
        <f aca="false">H1825*Resumo!$C$8</f>
        <v>1.154979</v>
      </c>
      <c r="M1825" s="61" t="n">
        <f aca="false">Resumo!$C$10*CEILING(G1825/100,1)</f>
        <v>1.05</v>
      </c>
      <c r="N1825" s="61" t="n">
        <f aca="false">Resumo!$C$9</f>
        <v>0</v>
      </c>
      <c r="O1825" s="61" t="n">
        <f aca="false">Resumo!$C$13</f>
        <v>13.55</v>
      </c>
      <c r="P1825" s="61" t="n">
        <f aca="false">Resumo!$C$14*CEILING(G1825,1)</f>
        <v>17.55</v>
      </c>
      <c r="Q1825" s="61" t="n">
        <f aca="false">SUM(I1825:P1825)*Resumo!$C$11</f>
        <v>0</v>
      </c>
      <c r="R1825" s="61" t="n">
        <f aca="false">SUM(I1825:Q1825)</f>
        <v>82.809958</v>
      </c>
      <c r="S1825" s="61" t="n">
        <f aca="false">R1825/(1-Resumo!$C$5)</f>
        <v>94.102225</v>
      </c>
      <c r="T1825" s="61" t="n">
        <v>93.97</v>
      </c>
      <c r="U1825" s="61" t="n">
        <f aca="false">H1825*Resumo!$B$6</f>
        <v>0.54999</v>
      </c>
      <c r="V1825" s="61" t="n">
        <f aca="false">H1825*Resumo!$B$7</f>
        <v>1.09998</v>
      </c>
      <c r="W1825" s="61" t="n">
        <f aca="false">Resumo!$B$9</f>
        <v>1</v>
      </c>
      <c r="X1825" s="61" t="n">
        <f aca="false">Resumo!$B$10*CEILING(G1825/100,1)</f>
        <v>4.5</v>
      </c>
      <c r="Y1825" s="61" t="n">
        <f aca="false">Resumo!$B$12*CEILING(G1825,1)</f>
        <v>2.34</v>
      </c>
      <c r="Z1825" s="61" t="n">
        <f aca="false">Resumo!$B$14*CEILING(G1825,1)</f>
        <v>17.55</v>
      </c>
      <c r="AA1825" s="61" t="n">
        <f aca="false">SUM(T1825:Z1825)</f>
        <v>121.00997</v>
      </c>
      <c r="AB1825" s="61" t="n">
        <f aca="false">AA1825/(1-Resumo!$B$5)</f>
        <v>137.511329545455</v>
      </c>
      <c r="AC1825" s="61" t="n">
        <f aca="false">AB1825-S1825</f>
        <v>43.4091045454546</v>
      </c>
      <c r="AD1825" s="62" t="n">
        <f aca="false">AB1825/S1825-1</f>
        <v>0.461297323686603</v>
      </c>
      <c r="AE1825" s="60" t="str">
        <f aca="false">IF(AB1825&lt;S1825,"SIM","NÃO")</f>
        <v>NÃO</v>
      </c>
      <c r="AF1825" s="60" t="n">
        <v>2</v>
      </c>
      <c r="AG1825" s="60" t="n">
        <v>5</v>
      </c>
      <c r="AH1825" s="60" t="s">
        <v>382</v>
      </c>
      <c r="AI1825" s="61" t="n">
        <f aca="false">(T1825*(1-Painel!$C$40)+U1825+V1825+Painel!$C$41+Painel!$C$42*CEILING(G1825/100,1)+Painel!$C$43*CEILING(G1825,1)+Z1825)/(1-Resumo!$B$5)</f>
        <v>95.6930340909091</v>
      </c>
      <c r="AJ1825" s="60" t="str">
        <f aca="false">IF(AI1825&lt;S1825,"SIM","NÃO")</f>
        <v>NÃO</v>
      </c>
    </row>
    <row r="1826" customFormat="false" ht="15" hidden="false" customHeight="false" outlineLevel="0" collapsed="false">
      <c r="A1826" s="59" t="n">
        <v>46280.6681018519</v>
      </c>
      <c r="B1826" s="60" t="s">
        <v>2023</v>
      </c>
      <c r="C1826" s="60" t="n">
        <v>22773200</v>
      </c>
      <c r="D1826" s="60" t="s">
        <v>46</v>
      </c>
      <c r="E1826" s="60" t="s">
        <v>22</v>
      </c>
      <c r="F1826" s="60" t="s">
        <v>234</v>
      </c>
      <c r="G1826" s="60" t="n">
        <v>37.5</v>
      </c>
      <c r="H1826" s="61" t="n">
        <v>399.99</v>
      </c>
      <c r="I1826" s="61" t="n">
        <v>48.35</v>
      </c>
      <c r="J1826" s="61" t="n">
        <f aca="false">H1826*Resumo!$C$6</f>
        <v>0</v>
      </c>
      <c r="K1826" s="61" t="n">
        <f aca="false">H1826*Resumo!$C$7</f>
        <v>0.839979</v>
      </c>
      <c r="L1826" s="61" t="n">
        <f aca="false">H1826*Resumo!$C$8</f>
        <v>0.839979</v>
      </c>
      <c r="M1826" s="61" t="n">
        <f aca="false">Resumo!$C$10*CEILING(G1826/100,1)</f>
        <v>1.05</v>
      </c>
      <c r="N1826" s="61" t="n">
        <f aca="false">Resumo!$C$9</f>
        <v>0</v>
      </c>
      <c r="O1826" s="61" t="n">
        <f aca="false">Resumo!$C$13</f>
        <v>13.55</v>
      </c>
      <c r="P1826" s="61" t="n">
        <f aca="false">Resumo!$C$14*CEILING(G1826,1)</f>
        <v>17.1</v>
      </c>
      <c r="Q1826" s="61" t="n">
        <f aca="false">SUM(I1826:P1826)*Resumo!$C$11</f>
        <v>0</v>
      </c>
      <c r="R1826" s="61" t="n">
        <f aca="false">SUM(I1826:Q1826)</f>
        <v>81.729958</v>
      </c>
      <c r="S1826" s="61" t="n">
        <f aca="false">R1826/(1-Resumo!$C$5)</f>
        <v>92.8749522727273</v>
      </c>
      <c r="T1826" s="61" t="n">
        <v>93.97</v>
      </c>
      <c r="U1826" s="61" t="n">
        <f aca="false">H1826*Resumo!$B$6</f>
        <v>0.39999</v>
      </c>
      <c r="V1826" s="61" t="n">
        <f aca="false">H1826*Resumo!$B$7</f>
        <v>0.79998</v>
      </c>
      <c r="W1826" s="61" t="n">
        <f aca="false">Resumo!$B$9</f>
        <v>1</v>
      </c>
      <c r="X1826" s="61" t="n">
        <f aca="false">Resumo!$B$10*CEILING(G1826/100,1)</f>
        <v>4.5</v>
      </c>
      <c r="Y1826" s="61" t="n">
        <f aca="false">Resumo!$B$12*CEILING(G1826,1)</f>
        <v>2.28</v>
      </c>
      <c r="Z1826" s="61" t="n">
        <f aca="false">Resumo!$B$14*CEILING(G1826,1)</f>
        <v>17.1</v>
      </c>
      <c r="AA1826" s="61" t="n">
        <f aca="false">SUM(T1826:Z1826)</f>
        <v>120.04997</v>
      </c>
      <c r="AB1826" s="61" t="n">
        <f aca="false">AA1826/(1-Resumo!$B$5)</f>
        <v>136.420420454545</v>
      </c>
      <c r="AC1826" s="61" t="n">
        <f aca="false">AB1826-S1826</f>
        <v>43.5454681818182</v>
      </c>
      <c r="AD1826" s="62" t="n">
        <f aca="false">AB1826/S1826-1</f>
        <v>0.468861271163262</v>
      </c>
      <c r="AE1826" s="60" t="str">
        <f aca="false">IF(AB1826&lt;S1826,"SIM","NÃO")</f>
        <v>NÃO</v>
      </c>
      <c r="AF1826" s="60" t="n">
        <v>2</v>
      </c>
      <c r="AG1826" s="60" t="n">
        <v>5</v>
      </c>
      <c r="AH1826" s="60" t="s">
        <v>382</v>
      </c>
      <c r="AI1826" s="61" t="n">
        <f aca="false">(T1826*(1-Painel!$C$40)+U1826+V1826+Painel!$C$41+Painel!$C$42*CEILING(G1826/100,1)+Painel!$C$43*CEILING(G1826,1)+Z1826)/(1-Resumo!$B$5)</f>
        <v>94.6703068181818</v>
      </c>
      <c r="AJ1826" s="60" t="str">
        <f aca="false">IF(AI1826&lt;S1826,"SIM","NÃO")</f>
        <v>NÃO</v>
      </c>
    </row>
    <row r="1827" customFormat="false" ht="15" hidden="false" customHeight="false" outlineLevel="0" collapsed="false">
      <c r="A1827" s="59" t="n">
        <v>46280.7078009259</v>
      </c>
      <c r="B1827" s="60" t="s">
        <v>2024</v>
      </c>
      <c r="C1827" s="60" t="n">
        <v>22790701</v>
      </c>
      <c r="D1827" s="60" t="s">
        <v>46</v>
      </c>
      <c r="E1827" s="60" t="s">
        <v>22</v>
      </c>
      <c r="F1827" s="60" t="s">
        <v>232</v>
      </c>
      <c r="G1827" s="60" t="n">
        <v>15.05</v>
      </c>
      <c r="H1827" s="61" t="n">
        <v>239.99</v>
      </c>
      <c r="I1827" s="61" t="n">
        <v>33.42</v>
      </c>
      <c r="J1827" s="61" t="n">
        <f aca="false">H1827*Resumo!$C$6</f>
        <v>0</v>
      </c>
      <c r="K1827" s="61" t="n">
        <f aca="false">H1827*Resumo!$C$7</f>
        <v>0.503979</v>
      </c>
      <c r="L1827" s="61" t="n">
        <f aca="false">H1827*Resumo!$C$8</f>
        <v>0.503979</v>
      </c>
      <c r="M1827" s="61" t="n">
        <f aca="false">Resumo!$C$10*CEILING(G1827/100,1)</f>
        <v>1.05</v>
      </c>
      <c r="N1827" s="61" t="n">
        <f aca="false">Resumo!$C$9</f>
        <v>0</v>
      </c>
      <c r="O1827" s="61" t="n">
        <f aca="false">Resumo!$C$13</f>
        <v>13.55</v>
      </c>
      <c r="P1827" s="61" t="n">
        <f aca="false">Resumo!$C$14*CEILING(G1827,1)</f>
        <v>7.2</v>
      </c>
      <c r="Q1827" s="61" t="n">
        <f aca="false">SUM(I1827:P1827)*Resumo!$C$11</f>
        <v>0</v>
      </c>
      <c r="R1827" s="61" t="n">
        <f aca="false">SUM(I1827:Q1827)</f>
        <v>56.227958</v>
      </c>
      <c r="S1827" s="61" t="n">
        <f aca="false">R1827/(1-Resumo!$C$5)</f>
        <v>63.8954068181818</v>
      </c>
      <c r="T1827" s="61" t="n">
        <v>46.98</v>
      </c>
      <c r="U1827" s="61" t="n">
        <f aca="false">H1827*Resumo!$B$6</f>
        <v>0.23999</v>
      </c>
      <c r="V1827" s="61" t="n">
        <f aca="false">H1827*Resumo!$B$7</f>
        <v>0.47998</v>
      </c>
      <c r="W1827" s="61" t="n">
        <f aca="false">Resumo!$B$9</f>
        <v>1</v>
      </c>
      <c r="X1827" s="61" t="n">
        <f aca="false">Resumo!$B$10*CEILING(G1827/100,1)</f>
        <v>4.5</v>
      </c>
      <c r="Y1827" s="61" t="n">
        <f aca="false">Resumo!$B$12*CEILING(G1827,1)</f>
        <v>0.96</v>
      </c>
      <c r="Z1827" s="61" t="n">
        <f aca="false">Resumo!$B$14*CEILING(G1827,1)</f>
        <v>7.2</v>
      </c>
      <c r="AA1827" s="61" t="n">
        <f aca="false">SUM(T1827:Z1827)</f>
        <v>61.35997</v>
      </c>
      <c r="AB1827" s="61" t="n">
        <f aca="false">AA1827/(1-Resumo!$B$5)</f>
        <v>69.7272386363636</v>
      </c>
      <c r="AC1827" s="61" t="n">
        <f aca="false">AB1827-S1827</f>
        <v>5.83183181818181</v>
      </c>
      <c r="AD1827" s="62" t="n">
        <f aca="false">AB1827/S1827-1</f>
        <v>0.0912715343495134</v>
      </c>
      <c r="AE1827" s="60" t="str">
        <f aca="false">IF(AB1827&lt;S1827,"SIM","NÃO")</f>
        <v>NÃO</v>
      </c>
      <c r="AF1827" s="60" t="n">
        <v>2</v>
      </c>
      <c r="AG1827" s="60" t="n">
        <v>5</v>
      </c>
      <c r="AH1827" s="60" t="s">
        <v>382</v>
      </c>
      <c r="AI1827" s="61" t="n">
        <f aca="false">(T1827*(1-Painel!$C$40)+U1827+V1827+Painel!$C$41+Painel!$C$42*CEILING(G1827/100,1)+Painel!$C$43*CEILING(G1827,1)+Z1827)/(1-Resumo!$B$5)</f>
        <v>47.098375</v>
      </c>
      <c r="AJ1827" s="60" t="str">
        <f aca="false">IF(AI1827&lt;S1827,"SIM","NÃO")</f>
        <v>SIM</v>
      </c>
    </row>
    <row r="1828" customFormat="false" ht="15" hidden="false" customHeight="false" outlineLevel="0" collapsed="false">
      <c r="A1828" s="59" t="n">
        <v>46280.7393055556</v>
      </c>
      <c r="B1828" s="60" t="s">
        <v>754</v>
      </c>
      <c r="C1828" s="60" t="n">
        <v>22753005</v>
      </c>
      <c r="D1828" s="60" t="s">
        <v>46</v>
      </c>
      <c r="E1828" s="60" t="s">
        <v>22</v>
      </c>
      <c r="F1828" s="60" t="s">
        <v>236</v>
      </c>
      <c r="G1828" s="60" t="n">
        <v>60</v>
      </c>
      <c r="H1828" s="61" t="n">
        <v>823.09</v>
      </c>
      <c r="I1828" s="61" t="n">
        <v>58.6</v>
      </c>
      <c r="J1828" s="61" t="n">
        <f aca="false">H1828*Resumo!$C$6</f>
        <v>0</v>
      </c>
      <c r="K1828" s="61" t="n">
        <f aca="false">H1828*Resumo!$C$7</f>
        <v>1.728489</v>
      </c>
      <c r="L1828" s="61" t="n">
        <f aca="false">H1828*Resumo!$C$8</f>
        <v>1.728489</v>
      </c>
      <c r="M1828" s="61" t="n">
        <f aca="false">Resumo!$C$10*CEILING(G1828/100,1)</f>
        <v>1.05</v>
      </c>
      <c r="N1828" s="61" t="n">
        <f aca="false">Resumo!$C$9</f>
        <v>0</v>
      </c>
      <c r="O1828" s="61" t="n">
        <f aca="false">Resumo!$C$13</f>
        <v>13.55</v>
      </c>
      <c r="P1828" s="61" t="n">
        <f aca="false">Resumo!$C$14*CEILING(G1828,1)</f>
        <v>27</v>
      </c>
      <c r="Q1828" s="61" t="n">
        <f aca="false">SUM(I1828:P1828)*Resumo!$C$11</f>
        <v>0</v>
      </c>
      <c r="R1828" s="61" t="n">
        <f aca="false">SUM(I1828:Q1828)</f>
        <v>103.656978</v>
      </c>
      <c r="S1828" s="61" t="n">
        <f aca="false">R1828/(1-Resumo!$C$5)</f>
        <v>117.792020454545</v>
      </c>
      <c r="T1828" s="61" t="n">
        <v>112.3</v>
      </c>
      <c r="U1828" s="61" t="n">
        <f aca="false">H1828*Resumo!$B$6</f>
        <v>0.82309</v>
      </c>
      <c r="V1828" s="61" t="n">
        <f aca="false">H1828*Resumo!$B$7</f>
        <v>1.64618</v>
      </c>
      <c r="W1828" s="61" t="n">
        <f aca="false">Resumo!$B$9</f>
        <v>1</v>
      </c>
      <c r="X1828" s="61" t="n">
        <f aca="false">Resumo!$B$10*CEILING(G1828/100,1)</f>
        <v>4.5</v>
      </c>
      <c r="Y1828" s="61" t="n">
        <f aca="false">Resumo!$B$12*CEILING(G1828,1)</f>
        <v>3.6</v>
      </c>
      <c r="Z1828" s="61" t="n">
        <f aca="false">Resumo!$B$14*CEILING(G1828,1)</f>
        <v>27</v>
      </c>
      <c r="AA1828" s="61" t="n">
        <f aca="false">SUM(T1828:Z1828)</f>
        <v>150.86927</v>
      </c>
      <c r="AB1828" s="61" t="n">
        <f aca="false">AA1828/(1-Resumo!$B$5)</f>
        <v>171.442352272727</v>
      </c>
      <c r="AC1828" s="61" t="n">
        <f aca="false">AB1828-S1828</f>
        <v>53.6503318181818</v>
      </c>
      <c r="AD1828" s="62" t="n">
        <f aca="false">AB1828/S1828-1</f>
        <v>0.455466606406372</v>
      </c>
      <c r="AE1828" s="60" t="str">
        <f aca="false">IF(AB1828&lt;S1828,"SIM","NÃO")</f>
        <v>NÃO</v>
      </c>
      <c r="AF1828" s="60" t="n">
        <v>2</v>
      </c>
      <c r="AG1828" s="60" t="n">
        <v>5</v>
      </c>
      <c r="AH1828" s="60" t="s">
        <v>382</v>
      </c>
      <c r="AI1828" s="61" t="n">
        <f aca="false">(T1828*(1-Painel!$C$40)+U1828+V1828+Painel!$C$41+Painel!$C$42*CEILING(G1828/100,1)+Painel!$C$43*CEILING(G1828,1)+Z1828)/(1-Resumo!$B$5)</f>
        <v>121.318488636364</v>
      </c>
      <c r="AJ1828" s="60" t="str">
        <f aca="false">IF(AI1828&lt;S1828,"SIM","NÃO")</f>
        <v>NÃO</v>
      </c>
    </row>
    <row r="1829" customFormat="false" ht="15" hidden="false" customHeight="false" outlineLevel="0" collapsed="false">
      <c r="A1829" s="59" t="n">
        <v>46280.7992592593</v>
      </c>
      <c r="B1829" s="60" t="s">
        <v>2025</v>
      </c>
      <c r="C1829" s="60" t="n">
        <v>23575000</v>
      </c>
      <c r="D1829" s="60" t="s">
        <v>46</v>
      </c>
      <c r="E1829" s="60" t="s">
        <v>22</v>
      </c>
      <c r="F1829" s="60" t="s">
        <v>232</v>
      </c>
      <c r="G1829" s="60" t="n">
        <v>19.9</v>
      </c>
      <c r="H1829" s="61" t="n">
        <v>299.99</v>
      </c>
      <c r="I1829" s="61" t="n">
        <v>33.42</v>
      </c>
      <c r="J1829" s="61" t="n">
        <f aca="false">H1829*Resumo!$C$6</f>
        <v>0</v>
      </c>
      <c r="K1829" s="61" t="n">
        <f aca="false">H1829*Resumo!$C$7</f>
        <v>0.629979</v>
      </c>
      <c r="L1829" s="61" t="n">
        <f aca="false">H1829*Resumo!$C$8</f>
        <v>0.629979</v>
      </c>
      <c r="M1829" s="61" t="n">
        <f aca="false">Resumo!$C$10*CEILING(G1829/100,1)</f>
        <v>1.05</v>
      </c>
      <c r="N1829" s="61" t="n">
        <f aca="false">Resumo!$C$9</f>
        <v>0</v>
      </c>
      <c r="O1829" s="61" t="n">
        <f aca="false">Resumo!$C$13</f>
        <v>13.55</v>
      </c>
      <c r="P1829" s="61" t="n">
        <f aca="false">Resumo!$C$14*CEILING(G1829,1)</f>
        <v>9</v>
      </c>
      <c r="Q1829" s="61" t="n">
        <f aca="false">SUM(I1829:P1829)*Resumo!$C$11</f>
        <v>0</v>
      </c>
      <c r="R1829" s="61" t="n">
        <f aca="false">SUM(I1829:Q1829)</f>
        <v>58.279958</v>
      </c>
      <c r="S1829" s="61" t="n">
        <f aca="false">R1829/(1-Resumo!$C$5)</f>
        <v>66.227225</v>
      </c>
      <c r="T1829" s="61" t="n">
        <v>46.98</v>
      </c>
      <c r="U1829" s="61" t="n">
        <f aca="false">H1829*Resumo!$B$6</f>
        <v>0.29999</v>
      </c>
      <c r="V1829" s="61" t="n">
        <f aca="false">H1829*Resumo!$B$7</f>
        <v>0.59998</v>
      </c>
      <c r="W1829" s="61" t="n">
        <f aca="false">Resumo!$B$9</f>
        <v>1</v>
      </c>
      <c r="X1829" s="61" t="n">
        <f aca="false">Resumo!$B$10*CEILING(G1829/100,1)</f>
        <v>4.5</v>
      </c>
      <c r="Y1829" s="61" t="n">
        <f aca="false">Resumo!$B$12*CEILING(G1829,1)</f>
        <v>1.2</v>
      </c>
      <c r="Z1829" s="61" t="n">
        <f aca="false">Resumo!$B$14*CEILING(G1829,1)</f>
        <v>9</v>
      </c>
      <c r="AA1829" s="61" t="n">
        <f aca="false">SUM(T1829:Z1829)</f>
        <v>63.57997</v>
      </c>
      <c r="AB1829" s="61" t="n">
        <f aca="false">AA1829/(1-Resumo!$B$5)</f>
        <v>72.2499659090909</v>
      </c>
      <c r="AC1829" s="61" t="n">
        <f aca="false">AB1829-S1829</f>
        <v>6.0227409090909</v>
      </c>
      <c r="AD1829" s="62" t="n">
        <f aca="false">AB1829/S1829-1</f>
        <v>0.0909405597032171</v>
      </c>
      <c r="AE1829" s="60" t="str">
        <f aca="false">IF(AB1829&lt;S1829,"SIM","NÃO")</f>
        <v>NÃO</v>
      </c>
      <c r="AF1829" s="60" t="n">
        <v>2</v>
      </c>
      <c r="AG1829" s="60" t="n">
        <v>5</v>
      </c>
      <c r="AH1829" s="60" t="s">
        <v>382</v>
      </c>
      <c r="AI1829" s="61" t="n">
        <f aca="false">(T1829*(1-Painel!$C$40)+U1829+V1829+Painel!$C$41+Painel!$C$42*CEILING(G1829/100,1)+Painel!$C$43*CEILING(G1829,1)+Z1829)/(1-Resumo!$B$5)</f>
        <v>49.348375</v>
      </c>
      <c r="AJ1829" s="60" t="str">
        <f aca="false">IF(AI1829&lt;S1829,"SIM","NÃO")</f>
        <v>SIM</v>
      </c>
    </row>
    <row r="1830" customFormat="false" ht="15" hidden="false" customHeight="false" outlineLevel="0" collapsed="false">
      <c r="A1830" s="59" t="n">
        <v>46280.819525463</v>
      </c>
      <c r="B1830" s="60" t="s">
        <v>2026</v>
      </c>
      <c r="C1830" s="60" t="n">
        <v>25959195</v>
      </c>
      <c r="D1830" s="60" t="s">
        <v>281</v>
      </c>
      <c r="E1830" s="60" t="s">
        <v>24</v>
      </c>
      <c r="F1830" s="60" t="s">
        <v>237</v>
      </c>
      <c r="G1830" s="60" t="n">
        <v>67.3</v>
      </c>
      <c r="H1830" s="61" t="n">
        <v>716</v>
      </c>
      <c r="I1830" s="61" t="n">
        <v>90.2</v>
      </c>
      <c r="J1830" s="61" t="n">
        <f aca="false">H1830*Resumo!$C$6</f>
        <v>0</v>
      </c>
      <c r="K1830" s="61" t="n">
        <f aca="false">H1830*Resumo!$C$7</f>
        <v>1.5036</v>
      </c>
      <c r="L1830" s="61" t="n">
        <f aca="false">H1830*Resumo!$C$8</f>
        <v>1.5036</v>
      </c>
      <c r="M1830" s="61" t="n">
        <f aca="false">Resumo!$C$10*CEILING(G1830/100,1)</f>
        <v>1.05</v>
      </c>
      <c r="N1830" s="61" t="n">
        <f aca="false">Resumo!$C$9</f>
        <v>0</v>
      </c>
      <c r="O1830" s="61" t="n">
        <f aca="false">Resumo!$C$13</f>
        <v>13.55</v>
      </c>
      <c r="P1830" s="61" t="n">
        <f aca="false">Resumo!$C$14*CEILING(G1830,1)</f>
        <v>30.6</v>
      </c>
      <c r="Q1830" s="61" t="n">
        <f aca="false">SUM(I1830:P1830)*Resumo!$C$11</f>
        <v>0</v>
      </c>
      <c r="R1830" s="61" t="n">
        <f aca="false">SUM(I1830:Q1830)</f>
        <v>138.4072</v>
      </c>
      <c r="S1830" s="61" t="n">
        <f aca="false">R1830/(1-Resumo!$C$5)</f>
        <v>157.280909090909</v>
      </c>
      <c r="T1830" s="61" t="n">
        <v>166.05</v>
      </c>
      <c r="U1830" s="61" t="n">
        <f aca="false">H1830*Resumo!$B$6</f>
        <v>0.716</v>
      </c>
      <c r="V1830" s="61" t="n">
        <f aca="false">H1830*Resumo!$B$7</f>
        <v>1.432</v>
      </c>
      <c r="W1830" s="61" t="n">
        <f aca="false">Resumo!$B$9</f>
        <v>1</v>
      </c>
      <c r="X1830" s="61" t="n">
        <f aca="false">Resumo!$B$10*CEILING(G1830/100,1)</f>
        <v>4.5</v>
      </c>
      <c r="Y1830" s="61" t="n">
        <f aca="false">Resumo!$B$12*CEILING(G1830,1)</f>
        <v>4.08</v>
      </c>
      <c r="Z1830" s="61" t="n">
        <f aca="false">Resumo!$B$14*CEILING(G1830,1)</f>
        <v>30.6</v>
      </c>
      <c r="AA1830" s="61" t="n">
        <f aca="false">SUM(T1830:Z1830)</f>
        <v>208.378</v>
      </c>
      <c r="AB1830" s="61" t="n">
        <f aca="false">AA1830/(1-Resumo!$B$5)</f>
        <v>236.793181818182</v>
      </c>
      <c r="AC1830" s="61" t="n">
        <f aca="false">AB1830-S1830</f>
        <v>79.5122727272727</v>
      </c>
      <c r="AD1830" s="62" t="n">
        <f aca="false">AB1830/S1830-1</f>
        <v>0.505543064233653</v>
      </c>
      <c r="AE1830" s="60" t="str">
        <f aca="false">IF(AB1830&lt;S1830,"SIM","NÃO")</f>
        <v>NÃO</v>
      </c>
      <c r="AF1830" s="60" t="n">
        <v>13</v>
      </c>
      <c r="AG1830" s="60" t="n">
        <v>10</v>
      </c>
      <c r="AH1830" s="60" t="s">
        <v>385</v>
      </c>
      <c r="AI1830" s="61" t="n">
        <f aca="false">(T1830*(1-Painel!$C$40)+U1830+V1830+Painel!$C$41+Painel!$C$42*CEILING(G1830/100,1)+Painel!$C$43*CEILING(G1830,1)+Z1830)/(1-Resumo!$B$5)</f>
        <v>165.967613636364</v>
      </c>
      <c r="AJ1830" s="60" t="str">
        <f aca="false">IF(AI1830&lt;S1830,"SIM","NÃO")</f>
        <v>NÃO</v>
      </c>
    </row>
    <row r="1831" customFormat="false" ht="15" hidden="false" customHeight="false" outlineLevel="0" collapsed="false">
      <c r="A1831" s="59" t="n">
        <v>46280.820462963</v>
      </c>
      <c r="B1831" s="60" t="s">
        <v>2027</v>
      </c>
      <c r="C1831" s="60" t="n">
        <v>21351080</v>
      </c>
      <c r="D1831" s="60" t="s">
        <v>46</v>
      </c>
      <c r="E1831" s="60" t="s">
        <v>22</v>
      </c>
      <c r="F1831" s="60" t="s">
        <v>233</v>
      </c>
      <c r="G1831" s="60" t="n">
        <v>27.5</v>
      </c>
      <c r="H1831" s="61" t="n">
        <v>359.95</v>
      </c>
      <c r="I1831" s="61" t="n">
        <v>42.11</v>
      </c>
      <c r="J1831" s="61" t="n">
        <f aca="false">H1831*Resumo!$C$6</f>
        <v>0</v>
      </c>
      <c r="K1831" s="61" t="n">
        <f aca="false">H1831*Resumo!$C$7</f>
        <v>0.755895</v>
      </c>
      <c r="L1831" s="61" t="n">
        <f aca="false">H1831*Resumo!$C$8</f>
        <v>0.755895</v>
      </c>
      <c r="M1831" s="61" t="n">
        <f aca="false">Resumo!$C$10*CEILING(G1831/100,1)</f>
        <v>1.05</v>
      </c>
      <c r="N1831" s="61" t="n">
        <f aca="false">Resumo!$C$9</f>
        <v>0</v>
      </c>
      <c r="O1831" s="61" t="n">
        <f aca="false">Resumo!$C$13</f>
        <v>13.55</v>
      </c>
      <c r="P1831" s="61" t="n">
        <f aca="false">Resumo!$C$14*CEILING(G1831,1)</f>
        <v>12.6</v>
      </c>
      <c r="Q1831" s="61" t="n">
        <f aca="false">SUM(I1831:P1831)*Resumo!$C$11</f>
        <v>0</v>
      </c>
      <c r="R1831" s="61" t="n">
        <f aca="false">SUM(I1831:Q1831)</f>
        <v>70.82179</v>
      </c>
      <c r="S1831" s="61" t="n">
        <f aca="false">R1831/(1-Resumo!$C$5)</f>
        <v>80.4793068181818</v>
      </c>
      <c r="T1831" s="61" t="n">
        <v>82.21</v>
      </c>
      <c r="U1831" s="61" t="n">
        <f aca="false">H1831*Resumo!$B$6</f>
        <v>0.35995</v>
      </c>
      <c r="V1831" s="61" t="n">
        <f aca="false">H1831*Resumo!$B$7</f>
        <v>0.7199</v>
      </c>
      <c r="W1831" s="61" t="n">
        <f aca="false">Resumo!$B$9</f>
        <v>1</v>
      </c>
      <c r="X1831" s="61" t="n">
        <f aca="false">Resumo!$B$10*CEILING(G1831/100,1)</f>
        <v>4.5</v>
      </c>
      <c r="Y1831" s="61" t="n">
        <f aca="false">Resumo!$B$12*CEILING(G1831,1)</f>
        <v>1.68</v>
      </c>
      <c r="Z1831" s="61" t="n">
        <f aca="false">Resumo!$B$14*CEILING(G1831,1)</f>
        <v>12.6</v>
      </c>
      <c r="AA1831" s="61" t="n">
        <f aca="false">SUM(T1831:Z1831)</f>
        <v>103.06985</v>
      </c>
      <c r="AB1831" s="61" t="n">
        <f aca="false">AA1831/(1-Resumo!$B$5)</f>
        <v>117.124829545455</v>
      </c>
      <c r="AC1831" s="61" t="n">
        <f aca="false">AB1831-S1831</f>
        <v>36.6455227272727</v>
      </c>
      <c r="AD1831" s="62" t="n">
        <f aca="false">AB1831/S1831-1</f>
        <v>0.455340933913136</v>
      </c>
      <c r="AE1831" s="60" t="str">
        <f aca="false">IF(AB1831&lt;S1831,"SIM","NÃO")</f>
        <v>NÃO</v>
      </c>
      <c r="AF1831" s="60" t="n">
        <v>2</v>
      </c>
      <c r="AG1831" s="60" t="n">
        <v>5</v>
      </c>
      <c r="AH1831" s="60" t="s">
        <v>382</v>
      </c>
      <c r="AI1831" s="61" t="n">
        <f aca="false">(T1831*(1-Painel!$C$40)+U1831+V1831+Painel!$C$41+Painel!$C$42*CEILING(G1831/100,1)+Painel!$C$43*CEILING(G1831,1)+Z1831)/(1-Resumo!$B$5)</f>
        <v>80.4665340909091</v>
      </c>
      <c r="AJ1831" s="60" t="str">
        <f aca="false">IF(AI1831&lt;S1831,"SIM","NÃO")</f>
        <v>SIM</v>
      </c>
    </row>
    <row r="1832" customFormat="false" ht="15" hidden="false" customHeight="false" outlineLevel="0" collapsed="false">
      <c r="A1832" s="59" t="n">
        <v>46280.8246064815</v>
      </c>
      <c r="B1832" s="60" t="s">
        <v>2028</v>
      </c>
      <c r="C1832" s="60" t="n">
        <v>21755370</v>
      </c>
      <c r="D1832" s="60" t="s">
        <v>46</v>
      </c>
      <c r="E1832" s="60" t="s">
        <v>22</v>
      </c>
      <c r="F1832" s="60" t="s">
        <v>233</v>
      </c>
      <c r="G1832" s="60" t="n">
        <v>22.57</v>
      </c>
      <c r="H1832" s="61" t="n">
        <v>299.96</v>
      </c>
      <c r="I1832" s="61" t="n">
        <v>42.11</v>
      </c>
      <c r="J1832" s="61" t="n">
        <f aca="false">H1832*Resumo!$C$6</f>
        <v>0</v>
      </c>
      <c r="K1832" s="61" t="n">
        <f aca="false">H1832*Resumo!$C$7</f>
        <v>0.629916</v>
      </c>
      <c r="L1832" s="61" t="n">
        <f aca="false">H1832*Resumo!$C$8</f>
        <v>0.629916</v>
      </c>
      <c r="M1832" s="61" t="n">
        <f aca="false">Resumo!$C$10*CEILING(G1832/100,1)</f>
        <v>1.05</v>
      </c>
      <c r="N1832" s="61" t="n">
        <f aca="false">Resumo!$C$9</f>
        <v>0</v>
      </c>
      <c r="O1832" s="61" t="n">
        <f aca="false">Resumo!$C$13</f>
        <v>13.55</v>
      </c>
      <c r="P1832" s="61" t="n">
        <f aca="false">Resumo!$C$14*CEILING(G1832,1)</f>
        <v>10.35</v>
      </c>
      <c r="Q1832" s="61" t="n">
        <f aca="false">SUM(I1832:P1832)*Resumo!$C$11</f>
        <v>0</v>
      </c>
      <c r="R1832" s="61" t="n">
        <f aca="false">SUM(I1832:Q1832)</f>
        <v>68.319832</v>
      </c>
      <c r="S1832" s="61" t="n">
        <f aca="false">R1832/(1-Resumo!$C$5)</f>
        <v>77.6361727272727</v>
      </c>
      <c r="T1832" s="61" t="n">
        <v>82.21</v>
      </c>
      <c r="U1832" s="61" t="n">
        <f aca="false">H1832*Resumo!$B$6</f>
        <v>0.29996</v>
      </c>
      <c r="V1832" s="61" t="n">
        <f aca="false">H1832*Resumo!$B$7</f>
        <v>0.59992</v>
      </c>
      <c r="W1832" s="61" t="n">
        <f aca="false">Resumo!$B$9</f>
        <v>1</v>
      </c>
      <c r="X1832" s="61" t="n">
        <f aca="false">Resumo!$B$10*CEILING(G1832/100,1)</f>
        <v>4.5</v>
      </c>
      <c r="Y1832" s="61" t="n">
        <f aca="false">Resumo!$B$12*CEILING(G1832,1)</f>
        <v>1.38</v>
      </c>
      <c r="Z1832" s="61" t="n">
        <f aca="false">Resumo!$B$14*CEILING(G1832,1)</f>
        <v>10.35</v>
      </c>
      <c r="AA1832" s="61" t="n">
        <f aca="false">SUM(T1832:Z1832)</f>
        <v>100.33988</v>
      </c>
      <c r="AB1832" s="61" t="n">
        <f aca="false">AA1832/(1-Resumo!$B$5)</f>
        <v>114.022590909091</v>
      </c>
      <c r="AC1832" s="61" t="n">
        <f aca="false">AB1832-S1832</f>
        <v>36.3864181818182</v>
      </c>
      <c r="AD1832" s="62" t="n">
        <f aca="false">AB1832/S1832-1</f>
        <v>0.468678670052936</v>
      </c>
      <c r="AE1832" s="60" t="str">
        <f aca="false">IF(AB1832&lt;S1832,"SIM","NÃO")</f>
        <v>NÃO</v>
      </c>
      <c r="AF1832" s="60" t="n">
        <v>2</v>
      </c>
      <c r="AG1832" s="60" t="n">
        <v>5</v>
      </c>
      <c r="AH1832" s="60" t="s">
        <v>382</v>
      </c>
      <c r="AI1832" s="61" t="n">
        <f aca="false">(T1832*(1-Painel!$C$40)+U1832+V1832+Painel!$C$41+Painel!$C$42*CEILING(G1832/100,1)+Painel!$C$43*CEILING(G1832,1)+Z1832)/(1-Resumo!$B$5)</f>
        <v>77.7052045454545</v>
      </c>
      <c r="AJ1832" s="60" t="str">
        <f aca="false">IF(AI1832&lt;S1832,"SIM","NÃO")</f>
        <v>NÃO</v>
      </c>
    </row>
    <row r="1833" customFormat="false" ht="15" hidden="false" customHeight="false" outlineLevel="0" collapsed="false">
      <c r="A1833" s="59" t="n">
        <v>46280.8255671296</v>
      </c>
      <c r="B1833" s="60" t="s">
        <v>2029</v>
      </c>
      <c r="C1833" s="60" t="n">
        <v>28979476</v>
      </c>
      <c r="D1833" s="60" t="s">
        <v>222</v>
      </c>
      <c r="E1833" s="60" t="s">
        <v>24</v>
      </c>
      <c r="F1833" s="60" t="s">
        <v>235</v>
      </c>
      <c r="G1833" s="60" t="n">
        <v>48.3</v>
      </c>
      <c r="H1833" s="61" t="n">
        <v>449.65</v>
      </c>
      <c r="I1833" s="61" t="n">
        <v>77.7</v>
      </c>
      <c r="J1833" s="61" t="n">
        <f aca="false">H1833*Resumo!$C$6</f>
        <v>0</v>
      </c>
      <c r="K1833" s="61" t="n">
        <f aca="false">H1833*Resumo!$C$7</f>
        <v>0.944265</v>
      </c>
      <c r="L1833" s="61" t="n">
        <f aca="false">H1833*Resumo!$C$8</f>
        <v>0.944265</v>
      </c>
      <c r="M1833" s="61" t="n">
        <f aca="false">Resumo!$C$10*CEILING(G1833/100,1)</f>
        <v>1.05</v>
      </c>
      <c r="N1833" s="61" t="n">
        <f aca="false">Resumo!$C$9</f>
        <v>0</v>
      </c>
      <c r="O1833" s="61" t="n">
        <f aca="false">Resumo!$C$13</f>
        <v>13.55</v>
      </c>
      <c r="P1833" s="61" t="n">
        <f aca="false">Resumo!$C$14*CEILING(G1833,1)</f>
        <v>22.05</v>
      </c>
      <c r="Q1833" s="61" t="n">
        <f aca="false">SUM(I1833:P1833)*Resumo!$C$11</f>
        <v>0</v>
      </c>
      <c r="R1833" s="61" t="n">
        <f aca="false">SUM(I1833:Q1833)</f>
        <v>116.23853</v>
      </c>
      <c r="S1833" s="61" t="n">
        <f aca="false">R1833/(1-Resumo!$C$5)</f>
        <v>132.089238636364</v>
      </c>
      <c r="T1833" s="61" t="n">
        <v>129.29</v>
      </c>
      <c r="U1833" s="61" t="n">
        <f aca="false">H1833*Resumo!$B$6</f>
        <v>0.44965</v>
      </c>
      <c r="V1833" s="61" t="n">
        <f aca="false">H1833*Resumo!$B$7</f>
        <v>0.8993</v>
      </c>
      <c r="W1833" s="61" t="n">
        <f aca="false">Resumo!$B$9</f>
        <v>1</v>
      </c>
      <c r="X1833" s="61" t="n">
        <f aca="false">Resumo!$B$10*CEILING(G1833/100,1)</f>
        <v>4.5</v>
      </c>
      <c r="Y1833" s="61" t="n">
        <f aca="false">Resumo!$B$12*CEILING(G1833,1)</f>
        <v>2.94</v>
      </c>
      <c r="Z1833" s="61" t="n">
        <f aca="false">Resumo!$B$14*CEILING(G1833,1)</f>
        <v>22.05</v>
      </c>
      <c r="AA1833" s="61" t="n">
        <f aca="false">SUM(T1833:Z1833)</f>
        <v>161.12895</v>
      </c>
      <c r="AB1833" s="61" t="n">
        <f aca="false">AA1833/(1-Resumo!$B$5)</f>
        <v>183.101079545455</v>
      </c>
      <c r="AC1833" s="61" t="n">
        <f aca="false">AB1833-S1833</f>
        <v>51.0118409090909</v>
      </c>
      <c r="AD1833" s="62" t="n">
        <f aca="false">AB1833/S1833-1</f>
        <v>0.386192254840112</v>
      </c>
      <c r="AE1833" s="60" t="str">
        <f aca="false">IF(AB1833&lt;S1833,"SIM","NÃO")</f>
        <v>NÃO</v>
      </c>
      <c r="AF1833" s="60" t="n">
        <v>13</v>
      </c>
      <c r="AG1833" s="60" t="n">
        <v>10</v>
      </c>
      <c r="AH1833" s="60" t="s">
        <v>382</v>
      </c>
      <c r="AI1833" s="61" t="n">
        <f aca="false">(T1833*(1-Painel!$C$40)+U1833+V1833+Painel!$C$41+Painel!$C$42*CEILING(G1833/100,1)+Painel!$C$43*CEILING(G1833,1)+Z1833)/(1-Resumo!$B$5)</f>
        <v>127.355965909091</v>
      </c>
      <c r="AJ1833" s="60" t="str">
        <f aca="false">IF(AI1833&lt;S1833,"SIM","NÃO")</f>
        <v>SIM</v>
      </c>
    </row>
    <row r="1834" customFormat="false" ht="15" hidden="false" customHeight="false" outlineLevel="0" collapsed="false">
      <c r="A1834" s="59" t="n">
        <v>46280.8543518519</v>
      </c>
      <c r="B1834" s="60" t="s">
        <v>2030</v>
      </c>
      <c r="C1834" s="60" t="n">
        <v>24110007</v>
      </c>
      <c r="D1834" s="60" t="s">
        <v>50</v>
      </c>
      <c r="E1834" s="60" t="s">
        <v>23</v>
      </c>
      <c r="F1834" s="60" t="s">
        <v>234</v>
      </c>
      <c r="G1834" s="60" t="n">
        <v>36.8</v>
      </c>
      <c r="H1834" s="61" t="n">
        <v>479.99</v>
      </c>
      <c r="I1834" s="61" t="n">
        <v>66.83</v>
      </c>
      <c r="J1834" s="61" t="n">
        <f aca="false">H1834*Resumo!$C$6</f>
        <v>0</v>
      </c>
      <c r="K1834" s="61" t="n">
        <f aca="false">H1834*Resumo!$C$7</f>
        <v>1.007979</v>
      </c>
      <c r="L1834" s="61" t="n">
        <f aca="false">H1834*Resumo!$C$8</f>
        <v>1.007979</v>
      </c>
      <c r="M1834" s="61" t="n">
        <f aca="false">Resumo!$C$10*CEILING(G1834/100,1)</f>
        <v>1.05</v>
      </c>
      <c r="N1834" s="61" t="n">
        <f aca="false">Resumo!$C$9</f>
        <v>0</v>
      </c>
      <c r="O1834" s="61" t="n">
        <f aca="false">Resumo!$C$13</f>
        <v>13.55</v>
      </c>
      <c r="P1834" s="61" t="n">
        <f aca="false">Resumo!$C$14*CEILING(G1834,1)</f>
        <v>16.65</v>
      </c>
      <c r="Q1834" s="61" t="n">
        <f aca="false">SUM(I1834:P1834)*Resumo!$C$11</f>
        <v>0</v>
      </c>
      <c r="R1834" s="61" t="n">
        <f aca="false">SUM(I1834:Q1834)</f>
        <v>100.095958</v>
      </c>
      <c r="S1834" s="61" t="n">
        <f aca="false">R1834/(1-Resumo!$C$5)</f>
        <v>113.745406818182</v>
      </c>
      <c r="T1834" s="61" t="n">
        <v>114.95</v>
      </c>
      <c r="U1834" s="61" t="n">
        <f aca="false">H1834*Resumo!$B$6</f>
        <v>0.47999</v>
      </c>
      <c r="V1834" s="61" t="n">
        <f aca="false">H1834*Resumo!$B$7</f>
        <v>0.95998</v>
      </c>
      <c r="W1834" s="61" t="n">
        <f aca="false">Resumo!$B$9</f>
        <v>1</v>
      </c>
      <c r="X1834" s="61" t="n">
        <f aca="false">Resumo!$B$10*CEILING(G1834/100,1)</f>
        <v>4.5</v>
      </c>
      <c r="Y1834" s="61" t="n">
        <f aca="false">Resumo!$B$12*CEILING(G1834,1)</f>
        <v>2.22</v>
      </c>
      <c r="Z1834" s="61" t="n">
        <f aca="false">Resumo!$B$14*CEILING(G1834,1)</f>
        <v>16.65</v>
      </c>
      <c r="AA1834" s="61" t="n">
        <f aca="false">SUM(T1834:Z1834)</f>
        <v>140.75997</v>
      </c>
      <c r="AB1834" s="61" t="n">
        <f aca="false">AA1834/(1-Resumo!$B$5)</f>
        <v>159.954511363636</v>
      </c>
      <c r="AC1834" s="61" t="n">
        <f aca="false">AB1834-S1834</f>
        <v>46.2091045454546</v>
      </c>
      <c r="AD1834" s="62" t="n">
        <f aca="false">AB1834/S1834-1</f>
        <v>0.406250290346389</v>
      </c>
      <c r="AE1834" s="60" t="str">
        <f aca="false">IF(AB1834&lt;S1834,"SIM","NÃO")</f>
        <v>NÃO</v>
      </c>
      <c r="AF1834" s="60" t="n">
        <v>2</v>
      </c>
      <c r="AG1834" s="60" t="n">
        <v>7</v>
      </c>
      <c r="AH1834" s="60" t="s">
        <v>382</v>
      </c>
      <c r="AI1834" s="61" t="n">
        <f aca="false">(T1834*(1-Painel!$C$40)+U1834+V1834+Painel!$C$41+Painel!$C$42*CEILING(G1834/100,1)+Painel!$C$43*CEILING(G1834,1)+Z1834)/(1-Resumo!$B$5)</f>
        <v>110.405079545455</v>
      </c>
      <c r="AJ1834" s="60" t="str">
        <f aca="false">IF(AI1834&lt;S1834,"SIM","NÃO")</f>
        <v>SIM</v>
      </c>
    </row>
    <row r="1835" customFormat="false" ht="15" hidden="false" customHeight="false" outlineLevel="0" collapsed="false">
      <c r="A1835" s="59" t="n">
        <v>46280.8715162037</v>
      </c>
      <c r="B1835" s="60" t="s">
        <v>2031</v>
      </c>
      <c r="C1835" s="60" t="n">
        <v>26022136</v>
      </c>
      <c r="D1835" s="60" t="s">
        <v>49</v>
      </c>
      <c r="E1835" s="60" t="s">
        <v>23</v>
      </c>
      <c r="F1835" s="60" t="s">
        <v>237</v>
      </c>
      <c r="G1835" s="60" t="n">
        <v>67.3</v>
      </c>
      <c r="H1835" s="61" t="n">
        <v>819.99</v>
      </c>
      <c r="I1835" s="61" t="n">
        <v>76.55</v>
      </c>
      <c r="J1835" s="61" t="n">
        <f aca="false">H1835*Resumo!$C$6</f>
        <v>0</v>
      </c>
      <c r="K1835" s="61" t="n">
        <f aca="false">H1835*Resumo!$C$7</f>
        <v>1.721979</v>
      </c>
      <c r="L1835" s="61" t="n">
        <f aca="false">H1835*Resumo!$C$8</f>
        <v>1.721979</v>
      </c>
      <c r="M1835" s="61" t="n">
        <f aca="false">Resumo!$C$10*CEILING(G1835/100,1)</f>
        <v>1.05</v>
      </c>
      <c r="N1835" s="61" t="n">
        <f aca="false">Resumo!$C$9</f>
        <v>0</v>
      </c>
      <c r="O1835" s="61" t="n">
        <f aca="false">Resumo!$C$13</f>
        <v>13.55</v>
      </c>
      <c r="P1835" s="61" t="n">
        <f aca="false">Resumo!$C$14*CEILING(G1835,1)</f>
        <v>30.6</v>
      </c>
      <c r="Q1835" s="61" t="n">
        <f aca="false">SUM(I1835:P1835)*Resumo!$C$11</f>
        <v>0</v>
      </c>
      <c r="R1835" s="61" t="n">
        <f aca="false">SUM(I1835:Q1835)</f>
        <v>125.193958</v>
      </c>
      <c r="S1835" s="61" t="n">
        <f aca="false">R1835/(1-Resumo!$C$5)</f>
        <v>142.265861363636</v>
      </c>
      <c r="T1835" s="61" t="n">
        <v>131.02</v>
      </c>
      <c r="U1835" s="61" t="n">
        <f aca="false">H1835*Resumo!$B$6</f>
        <v>0.81999</v>
      </c>
      <c r="V1835" s="61" t="n">
        <f aca="false">H1835*Resumo!$B$7</f>
        <v>1.63998</v>
      </c>
      <c r="W1835" s="61" t="n">
        <f aca="false">Resumo!$B$9</f>
        <v>1</v>
      </c>
      <c r="X1835" s="61" t="n">
        <f aca="false">Resumo!$B$10*CEILING(G1835/100,1)</f>
        <v>4.5</v>
      </c>
      <c r="Y1835" s="61" t="n">
        <f aca="false">Resumo!$B$12*CEILING(G1835,1)</f>
        <v>4.08</v>
      </c>
      <c r="Z1835" s="61" t="n">
        <f aca="false">Resumo!$B$14*CEILING(G1835,1)</f>
        <v>30.6</v>
      </c>
      <c r="AA1835" s="61" t="n">
        <f aca="false">SUM(T1835:Z1835)</f>
        <v>173.65997</v>
      </c>
      <c r="AB1835" s="61" t="n">
        <f aca="false">AA1835/(1-Resumo!$B$5)</f>
        <v>197.340875</v>
      </c>
      <c r="AC1835" s="61" t="n">
        <f aca="false">AB1835-S1835</f>
        <v>55.0750136363637</v>
      </c>
      <c r="AD1835" s="62" t="n">
        <f aca="false">AB1835/S1835-1</f>
        <v>0.387127404343267</v>
      </c>
      <c r="AE1835" s="60" t="str">
        <f aca="false">IF(AB1835&lt;S1835,"SIM","NÃO")</f>
        <v>NÃO</v>
      </c>
      <c r="AF1835" s="60" t="n">
        <v>2</v>
      </c>
      <c r="AG1835" s="60" t="n">
        <v>5</v>
      </c>
      <c r="AH1835" s="60" t="s">
        <v>382</v>
      </c>
      <c r="AI1835" s="61" t="n">
        <f aca="false">(T1835*(1-Painel!$C$40)+U1835+V1835+Painel!$C$41+Painel!$C$42*CEILING(G1835/100,1)+Painel!$C$43*CEILING(G1835,1)+Z1835)/(1-Resumo!$B$5)</f>
        <v>139.651556818182</v>
      </c>
      <c r="AJ1835" s="60" t="str">
        <f aca="false">IF(AI1835&lt;S1835,"SIM","NÃO")</f>
        <v>SIM</v>
      </c>
    </row>
    <row r="1836" customFormat="false" ht="15" hidden="false" customHeight="false" outlineLevel="0" collapsed="false">
      <c r="A1836" s="59" t="n">
        <v>46280.8757523148</v>
      </c>
      <c r="B1836" s="60" t="s">
        <v>2032</v>
      </c>
      <c r="C1836" s="60" t="n">
        <v>27525662</v>
      </c>
      <c r="D1836" s="60" t="s">
        <v>296</v>
      </c>
      <c r="E1836" s="60" t="s">
        <v>24</v>
      </c>
      <c r="F1836" s="60" t="s">
        <v>234</v>
      </c>
      <c r="G1836" s="60" t="n">
        <v>39</v>
      </c>
      <c r="H1836" s="61" t="n">
        <v>539.99</v>
      </c>
      <c r="I1836" s="61" t="n">
        <v>74.97</v>
      </c>
      <c r="J1836" s="61" t="n">
        <f aca="false">H1836*Resumo!$C$6</f>
        <v>0</v>
      </c>
      <c r="K1836" s="61" t="n">
        <f aca="false">H1836*Resumo!$C$7</f>
        <v>1.133979</v>
      </c>
      <c r="L1836" s="61" t="n">
        <f aca="false">H1836*Resumo!$C$8</f>
        <v>1.133979</v>
      </c>
      <c r="M1836" s="61" t="n">
        <f aca="false">Resumo!$C$10*CEILING(G1836/100,1)</f>
        <v>1.05</v>
      </c>
      <c r="N1836" s="61" t="n">
        <f aca="false">Resumo!$C$9</f>
        <v>0</v>
      </c>
      <c r="O1836" s="61" t="n">
        <f aca="false">Resumo!$C$13</f>
        <v>13.55</v>
      </c>
      <c r="P1836" s="61" t="n">
        <f aca="false">Resumo!$C$14*CEILING(G1836,1)</f>
        <v>17.55</v>
      </c>
      <c r="Q1836" s="61" t="n">
        <f aca="false">SUM(I1836:P1836)*Resumo!$C$11</f>
        <v>0</v>
      </c>
      <c r="R1836" s="61" t="n">
        <f aca="false">SUM(I1836:Q1836)</f>
        <v>109.387958</v>
      </c>
      <c r="S1836" s="61" t="n">
        <f aca="false">R1836/(1-Resumo!$C$5)</f>
        <v>124.304497727273</v>
      </c>
      <c r="T1836" s="61" t="n">
        <v>124.38</v>
      </c>
      <c r="U1836" s="61" t="n">
        <f aca="false">H1836*Resumo!$B$6</f>
        <v>0.53999</v>
      </c>
      <c r="V1836" s="61" t="n">
        <f aca="false">H1836*Resumo!$B$7</f>
        <v>1.07998</v>
      </c>
      <c r="W1836" s="61" t="n">
        <f aca="false">Resumo!$B$9</f>
        <v>1</v>
      </c>
      <c r="X1836" s="61" t="n">
        <f aca="false">Resumo!$B$10*CEILING(G1836/100,1)</f>
        <v>4.5</v>
      </c>
      <c r="Y1836" s="61" t="n">
        <f aca="false">Resumo!$B$12*CEILING(G1836,1)</f>
        <v>2.34</v>
      </c>
      <c r="Z1836" s="61" t="n">
        <f aca="false">Resumo!$B$14*CEILING(G1836,1)</f>
        <v>17.55</v>
      </c>
      <c r="AA1836" s="61" t="n">
        <f aca="false">SUM(T1836:Z1836)</f>
        <v>151.38997</v>
      </c>
      <c r="AB1836" s="61" t="n">
        <f aca="false">AA1836/(1-Resumo!$B$5)</f>
        <v>172.034056818182</v>
      </c>
      <c r="AC1836" s="61" t="n">
        <f aca="false">AB1836-S1836</f>
        <v>47.7295590909091</v>
      </c>
      <c r="AD1836" s="62" t="n">
        <f aca="false">AB1836/S1836-1</f>
        <v>0.38397290495175</v>
      </c>
      <c r="AE1836" s="60" t="str">
        <f aca="false">IF(AB1836&lt;S1836,"SIM","NÃO")</f>
        <v>NÃO</v>
      </c>
      <c r="AF1836" s="60" t="n">
        <v>13</v>
      </c>
      <c r="AG1836" s="60" t="n">
        <v>10</v>
      </c>
      <c r="AH1836" s="60" t="s">
        <v>385</v>
      </c>
      <c r="AI1836" s="61" t="n">
        <f aca="false">(T1836*(1-Painel!$C$40)+U1836+V1836+Painel!$C$41+Painel!$C$42*CEILING(G1836/100,1)+Painel!$C$43*CEILING(G1836,1)+Z1836)/(1-Resumo!$B$5)</f>
        <v>118.812011363636</v>
      </c>
      <c r="AJ1836" s="60" t="str">
        <f aca="false">IF(AI1836&lt;S1836,"SIM","NÃO")</f>
        <v>SIM</v>
      </c>
    </row>
    <row r="1837" customFormat="false" ht="15" hidden="false" customHeight="false" outlineLevel="0" collapsed="false">
      <c r="A1837" s="59" t="n">
        <v>46280.881724537</v>
      </c>
      <c r="B1837" s="60" t="s">
        <v>2033</v>
      </c>
      <c r="C1837" s="60" t="n">
        <v>28860000</v>
      </c>
      <c r="D1837" s="60" t="s">
        <v>336</v>
      </c>
      <c r="E1837" s="60" t="s">
        <v>24</v>
      </c>
      <c r="F1837" s="60" t="s">
        <v>236</v>
      </c>
      <c r="G1837" s="60" t="n">
        <v>52.3</v>
      </c>
      <c r="H1837" s="61" t="n">
        <v>614.63</v>
      </c>
      <c r="I1837" s="61" t="n">
        <v>83.58</v>
      </c>
      <c r="J1837" s="61" t="n">
        <f aca="false">H1837*Resumo!$C$6</f>
        <v>0</v>
      </c>
      <c r="K1837" s="61" t="n">
        <f aca="false">H1837*Resumo!$C$7</f>
        <v>1.290723</v>
      </c>
      <c r="L1837" s="61" t="n">
        <f aca="false">H1837*Resumo!$C$8</f>
        <v>1.290723</v>
      </c>
      <c r="M1837" s="61" t="n">
        <f aca="false">Resumo!$C$10*CEILING(G1837/100,1)</f>
        <v>1.05</v>
      </c>
      <c r="N1837" s="61" t="n">
        <f aca="false">Resumo!$C$9</f>
        <v>0</v>
      </c>
      <c r="O1837" s="61" t="n">
        <f aca="false">Resumo!$C$13</f>
        <v>13.55</v>
      </c>
      <c r="P1837" s="61" t="n">
        <f aca="false">Resumo!$C$14*CEILING(G1837,1)</f>
        <v>23.85</v>
      </c>
      <c r="Q1837" s="61" t="n">
        <f aca="false">SUM(I1837:P1837)*Resumo!$C$11</f>
        <v>0</v>
      </c>
      <c r="R1837" s="61" t="n">
        <f aca="false">SUM(I1837:Q1837)</f>
        <v>124.611446</v>
      </c>
      <c r="S1837" s="61" t="n">
        <f aca="false">R1837/(1-Resumo!$C$5)</f>
        <v>141.603915909091</v>
      </c>
      <c r="T1837" s="61" t="n">
        <v>142.32</v>
      </c>
      <c r="U1837" s="61" t="n">
        <f aca="false">H1837*Resumo!$B$6</f>
        <v>0.61463</v>
      </c>
      <c r="V1837" s="61" t="n">
        <f aca="false">H1837*Resumo!$B$7</f>
        <v>1.22926</v>
      </c>
      <c r="W1837" s="61" t="n">
        <f aca="false">Resumo!$B$9</f>
        <v>1</v>
      </c>
      <c r="X1837" s="61" t="n">
        <f aca="false">Resumo!$B$10*CEILING(G1837/100,1)</f>
        <v>4.5</v>
      </c>
      <c r="Y1837" s="61" t="n">
        <f aca="false">Resumo!$B$12*CEILING(G1837,1)</f>
        <v>3.18</v>
      </c>
      <c r="Z1837" s="61" t="n">
        <f aca="false">Resumo!$B$14*CEILING(G1837,1)</f>
        <v>23.85</v>
      </c>
      <c r="AA1837" s="61" t="n">
        <f aca="false">SUM(T1837:Z1837)</f>
        <v>176.69389</v>
      </c>
      <c r="AB1837" s="61" t="n">
        <f aca="false">AA1837/(1-Resumo!$B$5)</f>
        <v>200.788511363636</v>
      </c>
      <c r="AC1837" s="61" t="n">
        <f aca="false">AB1837-S1837</f>
        <v>59.1845954545454</v>
      </c>
      <c r="AD1837" s="62" t="n">
        <f aca="false">AB1837/S1837-1</f>
        <v>0.417958748348045</v>
      </c>
      <c r="AE1837" s="60" t="str">
        <f aca="false">IF(AB1837&lt;S1837,"SIM","NÃO")</f>
        <v>NÃO</v>
      </c>
      <c r="AF1837" s="60" t="n">
        <v>13</v>
      </c>
      <c r="AG1837" s="60" t="n">
        <v>10</v>
      </c>
      <c r="AH1837" s="60" t="s">
        <v>385</v>
      </c>
      <c r="AI1837" s="61" t="n">
        <f aca="false">(T1837*(1-Painel!$C$40)+U1837+V1837+Painel!$C$41+Painel!$C$42*CEILING(G1837/100,1)+Painel!$C$43*CEILING(G1837,1)+Z1837)/(1-Resumo!$B$5)</f>
        <v>139.884420454545</v>
      </c>
      <c r="AJ1837" s="60" t="str">
        <f aca="false">IF(AI1837&lt;S1837,"SIM","NÃO")</f>
        <v>SIM</v>
      </c>
    </row>
    <row r="1838" customFormat="false" ht="15" hidden="false" customHeight="false" outlineLevel="0" collapsed="false">
      <c r="A1838" s="59" t="n">
        <v>46280.9246875</v>
      </c>
      <c r="B1838" s="60" t="s">
        <v>2034</v>
      </c>
      <c r="C1838" s="60" t="n">
        <v>21311050</v>
      </c>
      <c r="D1838" s="60" t="s">
        <v>46</v>
      </c>
      <c r="E1838" s="60" t="s">
        <v>22</v>
      </c>
      <c r="F1838" s="60" t="s">
        <v>233</v>
      </c>
      <c r="G1838" s="60" t="n">
        <v>33</v>
      </c>
      <c r="H1838" s="61" t="n">
        <v>344.13</v>
      </c>
      <c r="I1838" s="61" t="n">
        <v>42.11</v>
      </c>
      <c r="J1838" s="61" t="n">
        <f aca="false">H1838*Resumo!$C$6</f>
        <v>0</v>
      </c>
      <c r="K1838" s="61" t="n">
        <f aca="false">H1838*Resumo!$C$7</f>
        <v>0.722673</v>
      </c>
      <c r="L1838" s="61" t="n">
        <f aca="false">H1838*Resumo!$C$8</f>
        <v>0.722673</v>
      </c>
      <c r="M1838" s="61" t="n">
        <f aca="false">Resumo!$C$10*CEILING(G1838/100,1)</f>
        <v>1.05</v>
      </c>
      <c r="N1838" s="61" t="n">
        <f aca="false">Resumo!$C$9</f>
        <v>0</v>
      </c>
      <c r="O1838" s="61" t="n">
        <f aca="false">Resumo!$C$13</f>
        <v>13.55</v>
      </c>
      <c r="P1838" s="61" t="n">
        <f aca="false">Resumo!$C$14*CEILING(G1838,1)</f>
        <v>14.85</v>
      </c>
      <c r="Q1838" s="61" t="n">
        <f aca="false">SUM(I1838:P1838)*Resumo!$C$11</f>
        <v>0</v>
      </c>
      <c r="R1838" s="61" t="n">
        <f aca="false">SUM(I1838:Q1838)</f>
        <v>73.005346</v>
      </c>
      <c r="S1838" s="61" t="n">
        <f aca="false">R1838/(1-Resumo!$C$5)</f>
        <v>82.9606204545455</v>
      </c>
      <c r="T1838" s="61" t="n">
        <v>82.21</v>
      </c>
      <c r="U1838" s="61" t="n">
        <f aca="false">H1838*Resumo!$B$6</f>
        <v>0.34413</v>
      </c>
      <c r="V1838" s="61" t="n">
        <f aca="false">H1838*Resumo!$B$7</f>
        <v>0.68826</v>
      </c>
      <c r="W1838" s="61" t="n">
        <f aca="false">Resumo!$B$9</f>
        <v>1</v>
      </c>
      <c r="X1838" s="61" t="n">
        <f aca="false">Resumo!$B$10*CEILING(G1838/100,1)</f>
        <v>4.5</v>
      </c>
      <c r="Y1838" s="61" t="n">
        <f aca="false">Resumo!$B$12*CEILING(G1838,1)</f>
        <v>1.98</v>
      </c>
      <c r="Z1838" s="61" t="n">
        <f aca="false">Resumo!$B$14*CEILING(G1838,1)</f>
        <v>14.85</v>
      </c>
      <c r="AA1838" s="61" t="n">
        <f aca="false">SUM(T1838:Z1838)</f>
        <v>105.57239</v>
      </c>
      <c r="AB1838" s="61" t="n">
        <f aca="false">AA1838/(1-Resumo!$B$5)</f>
        <v>119.968625</v>
      </c>
      <c r="AC1838" s="61" t="n">
        <f aca="false">AB1838-S1838</f>
        <v>37.0080045454545</v>
      </c>
      <c r="AD1838" s="62" t="n">
        <f aca="false">AB1838/S1838-1</f>
        <v>0.446091221867505</v>
      </c>
      <c r="AE1838" s="60" t="str">
        <f aca="false">IF(AB1838&lt;S1838,"SIM","NÃO")</f>
        <v>NÃO</v>
      </c>
      <c r="AF1838" s="60" t="n">
        <v>2</v>
      </c>
      <c r="AG1838" s="60" t="n">
        <v>5</v>
      </c>
      <c r="AH1838" s="60" t="s">
        <v>382</v>
      </c>
      <c r="AI1838" s="61" t="n">
        <f aca="false">(T1838*(1-Painel!$C$40)+U1838+V1838+Painel!$C$41+Painel!$C$42*CEILING(G1838/100,1)+Painel!$C$43*CEILING(G1838,1)+Z1838)/(1-Resumo!$B$5)</f>
        <v>82.9694204545454</v>
      </c>
      <c r="AJ1838" s="60" t="str">
        <f aca="false">IF(AI1838&lt;S1838,"SIM","NÃO")</f>
        <v>NÃO</v>
      </c>
    </row>
    <row r="1839" customFormat="false" ht="15" hidden="false" customHeight="false" outlineLevel="0" collapsed="false">
      <c r="A1839" s="59" t="n">
        <v>46280.9266782407</v>
      </c>
      <c r="B1839" s="60" t="s">
        <v>2035</v>
      </c>
      <c r="C1839" s="60" t="n">
        <v>27115270</v>
      </c>
      <c r="D1839" s="60" t="s">
        <v>290</v>
      </c>
      <c r="E1839" s="60" t="s">
        <v>24</v>
      </c>
      <c r="F1839" s="60" t="s">
        <v>237</v>
      </c>
      <c r="G1839" s="60" t="n">
        <v>68.1</v>
      </c>
      <c r="H1839" s="61" t="n">
        <v>746.99</v>
      </c>
      <c r="I1839" s="61" t="n">
        <v>90.2</v>
      </c>
      <c r="J1839" s="61" t="n">
        <f aca="false">H1839*Resumo!$C$6</f>
        <v>0</v>
      </c>
      <c r="K1839" s="61" t="n">
        <f aca="false">H1839*Resumo!$C$7</f>
        <v>1.568679</v>
      </c>
      <c r="L1839" s="61" t="n">
        <f aca="false">H1839*Resumo!$C$8</f>
        <v>1.568679</v>
      </c>
      <c r="M1839" s="61" t="n">
        <f aca="false">Resumo!$C$10*CEILING(G1839/100,1)</f>
        <v>1.05</v>
      </c>
      <c r="N1839" s="61" t="n">
        <f aca="false">Resumo!$C$9</f>
        <v>0</v>
      </c>
      <c r="O1839" s="61" t="n">
        <f aca="false">Resumo!$C$13</f>
        <v>13.55</v>
      </c>
      <c r="P1839" s="61" t="n">
        <f aca="false">Resumo!$C$14*CEILING(G1839,1)</f>
        <v>31.05</v>
      </c>
      <c r="Q1839" s="61" t="n">
        <f aca="false">SUM(I1839:P1839)*Resumo!$C$11</f>
        <v>0</v>
      </c>
      <c r="R1839" s="61" t="n">
        <f aca="false">SUM(I1839:Q1839)</f>
        <v>138.987358</v>
      </c>
      <c r="S1839" s="61" t="n">
        <f aca="false">R1839/(1-Resumo!$C$5)</f>
        <v>157.940179545455</v>
      </c>
      <c r="T1839" s="61" t="n">
        <v>166.05</v>
      </c>
      <c r="U1839" s="61" t="n">
        <f aca="false">H1839*Resumo!$B$6</f>
        <v>0.74699</v>
      </c>
      <c r="V1839" s="61" t="n">
        <f aca="false">H1839*Resumo!$B$7</f>
        <v>1.49398</v>
      </c>
      <c r="W1839" s="61" t="n">
        <f aca="false">Resumo!$B$9</f>
        <v>1</v>
      </c>
      <c r="X1839" s="61" t="n">
        <f aca="false">Resumo!$B$10*CEILING(G1839/100,1)</f>
        <v>4.5</v>
      </c>
      <c r="Y1839" s="61" t="n">
        <f aca="false">Resumo!$B$12*CEILING(G1839,1)</f>
        <v>4.14</v>
      </c>
      <c r="Z1839" s="61" t="n">
        <f aca="false">Resumo!$B$14*CEILING(G1839,1)</f>
        <v>31.05</v>
      </c>
      <c r="AA1839" s="61" t="n">
        <f aca="false">SUM(T1839:Z1839)</f>
        <v>208.98097</v>
      </c>
      <c r="AB1839" s="61" t="n">
        <f aca="false">AA1839/(1-Resumo!$B$5)</f>
        <v>237.478375</v>
      </c>
      <c r="AC1839" s="61" t="n">
        <f aca="false">AB1839-S1839</f>
        <v>79.5381954545455</v>
      </c>
      <c r="AD1839" s="62" t="n">
        <f aca="false">AB1839/S1839-1</f>
        <v>0.503596967430664</v>
      </c>
      <c r="AE1839" s="60" t="str">
        <f aca="false">IF(AB1839&lt;S1839,"SIM","NÃO")</f>
        <v>NÃO</v>
      </c>
      <c r="AF1839" s="60" t="n">
        <v>13</v>
      </c>
      <c r="AG1839" s="60" t="n">
        <v>10</v>
      </c>
      <c r="AH1839" s="60" t="s">
        <v>385</v>
      </c>
      <c r="AI1839" s="61" t="n">
        <f aca="false">(T1839*(1-Painel!$C$40)+U1839+V1839+Painel!$C$41+Painel!$C$42*CEILING(G1839/100,1)+Painel!$C$43*CEILING(G1839,1)+Z1839)/(1-Resumo!$B$5)</f>
        <v>166.584625</v>
      </c>
      <c r="AJ1839" s="60" t="str">
        <f aca="false">IF(AI1839&lt;S1839,"SIM","NÃO")</f>
        <v>NÃO</v>
      </c>
    </row>
    <row r="1840" customFormat="false" ht="15" hidden="false" customHeight="false" outlineLevel="0" collapsed="false">
      <c r="A1840" s="59" t="n">
        <v>46280.9293055556</v>
      </c>
      <c r="B1840" s="60" t="s">
        <v>2036</v>
      </c>
      <c r="C1840" s="60" t="n">
        <v>24726123</v>
      </c>
      <c r="D1840" s="60" t="s">
        <v>47</v>
      </c>
      <c r="E1840" s="60" t="s">
        <v>23</v>
      </c>
      <c r="F1840" s="60" t="s">
        <v>238</v>
      </c>
      <c r="G1840" s="60" t="n">
        <v>73</v>
      </c>
      <c r="H1840" s="61" t="n">
        <v>782.92</v>
      </c>
      <c r="I1840" s="61" t="n">
        <v>82.48</v>
      </c>
      <c r="J1840" s="61" t="n">
        <f aca="false">H1840*Resumo!$C$6</f>
        <v>0</v>
      </c>
      <c r="K1840" s="61" t="n">
        <f aca="false">H1840*Resumo!$C$7</f>
        <v>1.644132</v>
      </c>
      <c r="L1840" s="61" t="n">
        <f aca="false">H1840*Resumo!$C$8</f>
        <v>1.644132</v>
      </c>
      <c r="M1840" s="61" t="n">
        <f aca="false">Resumo!$C$10*CEILING(G1840/100,1)</f>
        <v>1.05</v>
      </c>
      <c r="N1840" s="61" t="n">
        <f aca="false">Resumo!$C$9</f>
        <v>0</v>
      </c>
      <c r="O1840" s="61" t="n">
        <f aca="false">Resumo!$C$13</f>
        <v>13.55</v>
      </c>
      <c r="P1840" s="61" t="n">
        <f aca="false">Resumo!$C$14*CEILING(G1840,1)</f>
        <v>32.85</v>
      </c>
      <c r="Q1840" s="61" t="n">
        <f aca="false">SUM(I1840:P1840)*Resumo!$C$11</f>
        <v>0</v>
      </c>
      <c r="R1840" s="61" t="n">
        <f aca="false">SUM(I1840:Q1840)</f>
        <v>133.218264</v>
      </c>
      <c r="S1840" s="61" t="n">
        <f aca="false">R1840/(1-Resumo!$C$5)</f>
        <v>151.384390909091</v>
      </c>
      <c r="T1840" s="61" t="n">
        <v>142.74</v>
      </c>
      <c r="U1840" s="61" t="n">
        <f aca="false">H1840*Resumo!$B$6</f>
        <v>0.78292</v>
      </c>
      <c r="V1840" s="61" t="n">
        <f aca="false">H1840*Resumo!$B$7</f>
        <v>1.56584</v>
      </c>
      <c r="W1840" s="61" t="n">
        <f aca="false">Resumo!$B$9</f>
        <v>1</v>
      </c>
      <c r="X1840" s="61" t="n">
        <f aca="false">Resumo!$B$10*CEILING(G1840/100,1)</f>
        <v>4.5</v>
      </c>
      <c r="Y1840" s="61" t="n">
        <f aca="false">Resumo!$B$12*CEILING(G1840,1)</f>
        <v>4.38</v>
      </c>
      <c r="Z1840" s="61" t="n">
        <f aca="false">Resumo!$B$14*CEILING(G1840,1)</f>
        <v>32.85</v>
      </c>
      <c r="AA1840" s="61" t="n">
        <f aca="false">SUM(T1840:Z1840)</f>
        <v>187.81876</v>
      </c>
      <c r="AB1840" s="61" t="n">
        <f aca="false">AA1840/(1-Resumo!$B$5)</f>
        <v>213.430409090909</v>
      </c>
      <c r="AC1840" s="61" t="n">
        <f aca="false">AB1840-S1840</f>
        <v>62.0460181818182</v>
      </c>
      <c r="AD1840" s="62" t="n">
        <f aca="false">AB1840/S1840-1</f>
        <v>0.409857435163695</v>
      </c>
      <c r="AE1840" s="60" t="str">
        <f aca="false">IF(AB1840&lt;S1840,"SIM","NÃO")</f>
        <v>NÃO</v>
      </c>
      <c r="AF1840" s="60" t="n">
        <v>2</v>
      </c>
      <c r="AG1840" s="60" t="n">
        <v>7</v>
      </c>
      <c r="AH1840" s="60" t="s">
        <v>382</v>
      </c>
      <c r="AI1840" s="61" t="n">
        <f aca="false">(T1840*(1-Painel!$C$40)+U1840+V1840+Painel!$C$41+Painel!$C$42*CEILING(G1840/100,1)+Painel!$C$43*CEILING(G1840,1)+Z1840)/(1-Resumo!$B$5)</f>
        <v>151.005181818182</v>
      </c>
      <c r="AJ1840" s="60" t="str">
        <f aca="false">IF(AI1840&lt;S1840,"SIM","NÃO")</f>
        <v>SIM</v>
      </c>
    </row>
    <row r="1841" customFormat="false" ht="15" hidden="false" customHeight="false" outlineLevel="0" collapsed="false">
      <c r="A1841" s="59" t="n">
        <v>46281.3265856481</v>
      </c>
      <c r="B1841" s="60" t="s">
        <v>2037</v>
      </c>
      <c r="C1841" s="60" t="n">
        <v>27343430</v>
      </c>
      <c r="D1841" s="60" t="s">
        <v>293</v>
      </c>
      <c r="E1841" s="60" t="s">
        <v>24</v>
      </c>
      <c r="F1841" s="60" t="s">
        <v>240</v>
      </c>
      <c r="G1841" s="60" t="n">
        <v>106.5</v>
      </c>
      <c r="H1841" s="61" t="n">
        <v>1229.99</v>
      </c>
      <c r="I1841" s="61" t="n">
        <v>119.5</v>
      </c>
      <c r="J1841" s="61" t="n">
        <f aca="false">H1841*Resumo!$C$6</f>
        <v>0</v>
      </c>
      <c r="K1841" s="61" t="n">
        <f aca="false">H1841*Resumo!$C$7</f>
        <v>2.582979</v>
      </c>
      <c r="L1841" s="61" t="n">
        <f aca="false">H1841*Resumo!$C$8</f>
        <v>2.582979</v>
      </c>
      <c r="M1841" s="61" t="n">
        <f aca="false">Resumo!$C$10*CEILING(G1841/100,1)</f>
        <v>2.1</v>
      </c>
      <c r="N1841" s="61" t="n">
        <f aca="false">Resumo!$C$9</f>
        <v>0</v>
      </c>
      <c r="O1841" s="61" t="n">
        <f aca="false">Resumo!$C$13</f>
        <v>13.55</v>
      </c>
      <c r="P1841" s="61" t="n">
        <f aca="false">Resumo!$C$14*CEILING(G1841,1)</f>
        <v>48.15</v>
      </c>
      <c r="Q1841" s="61" t="n">
        <f aca="false">SUM(I1841:P1841)*Resumo!$C$11</f>
        <v>0</v>
      </c>
      <c r="R1841" s="61" t="n">
        <f aca="false">SUM(I1841:Q1841)</f>
        <v>188.465958</v>
      </c>
      <c r="S1841" s="61" t="n">
        <f aca="false">R1841/(1-Resumo!$C$5)</f>
        <v>214.165861363636</v>
      </c>
      <c r="T1841" s="61" t="n">
        <v>236.82</v>
      </c>
      <c r="U1841" s="61" t="n">
        <f aca="false">H1841*Resumo!$B$6</f>
        <v>1.22999</v>
      </c>
      <c r="V1841" s="61" t="n">
        <f aca="false">H1841*Resumo!$B$7</f>
        <v>2.45998</v>
      </c>
      <c r="W1841" s="61" t="n">
        <f aca="false">Resumo!$B$9</f>
        <v>1</v>
      </c>
      <c r="X1841" s="61" t="n">
        <f aca="false">Resumo!$B$10*CEILING(G1841/100,1)</f>
        <v>9</v>
      </c>
      <c r="Y1841" s="61" t="n">
        <f aca="false">Resumo!$B$12*CEILING(G1841,1)</f>
        <v>6.42</v>
      </c>
      <c r="Z1841" s="61" t="n">
        <f aca="false">Resumo!$B$14*CEILING(G1841,1)</f>
        <v>48.15</v>
      </c>
      <c r="AA1841" s="61" t="n">
        <f aca="false">SUM(T1841:Z1841)</f>
        <v>305.07997</v>
      </c>
      <c r="AB1841" s="61" t="n">
        <f aca="false">AA1841/(1-Resumo!$B$5)</f>
        <v>346.681784090909</v>
      </c>
      <c r="AC1841" s="61" t="n">
        <f aca="false">AB1841-S1841</f>
        <v>132.515922727273</v>
      </c>
      <c r="AD1841" s="62" t="n">
        <f aca="false">AB1841/S1841-1</f>
        <v>0.618753716785288</v>
      </c>
      <c r="AE1841" s="60" t="str">
        <f aca="false">IF(AB1841&lt;S1841,"SIM","NÃO")</f>
        <v>NÃO</v>
      </c>
      <c r="AF1841" s="60" t="n">
        <v>13</v>
      </c>
      <c r="AG1841" s="60" t="n">
        <v>10</v>
      </c>
      <c r="AH1841" s="60" t="s">
        <v>385</v>
      </c>
      <c r="AI1841" s="61" t="n">
        <f aca="false">(T1841*(1-Painel!$C$40)+U1841+V1841+Painel!$C$41+Painel!$C$42*CEILING(G1841/100,1)+Painel!$C$43*CEILING(G1841,1)+Z1841)/(1-Resumo!$B$5)</f>
        <v>242.737920454545</v>
      </c>
      <c r="AJ1841" s="60" t="str">
        <f aca="false">IF(AI1841&lt;S1841,"SIM","NÃO")</f>
        <v>NÃO</v>
      </c>
    </row>
    <row r="1842" customFormat="false" ht="15" hidden="false" customHeight="false" outlineLevel="0" collapsed="false">
      <c r="A1842" s="59" t="n">
        <v>46281.3599421296</v>
      </c>
      <c r="B1842" s="60" t="s">
        <v>2038</v>
      </c>
      <c r="C1842" s="60" t="n">
        <v>28997710</v>
      </c>
      <c r="D1842" s="60" t="s">
        <v>341</v>
      </c>
      <c r="E1842" s="60" t="s">
        <v>24</v>
      </c>
      <c r="F1842" s="60" t="s">
        <v>237</v>
      </c>
      <c r="G1842" s="60" t="n">
        <v>69</v>
      </c>
      <c r="H1842" s="61" t="n">
        <v>772.43</v>
      </c>
      <c r="I1842" s="61" t="n">
        <v>90.2</v>
      </c>
      <c r="J1842" s="61" t="n">
        <f aca="false">H1842*Resumo!$C$6</f>
        <v>0</v>
      </c>
      <c r="K1842" s="61" t="n">
        <f aca="false">H1842*Resumo!$C$7</f>
        <v>1.622103</v>
      </c>
      <c r="L1842" s="61" t="n">
        <f aca="false">H1842*Resumo!$C$8</f>
        <v>1.622103</v>
      </c>
      <c r="M1842" s="61" t="n">
        <f aca="false">Resumo!$C$10*CEILING(G1842/100,1)</f>
        <v>1.05</v>
      </c>
      <c r="N1842" s="61" t="n">
        <f aca="false">Resumo!$C$9</f>
        <v>0</v>
      </c>
      <c r="O1842" s="61" t="n">
        <f aca="false">Resumo!$C$13</f>
        <v>13.55</v>
      </c>
      <c r="P1842" s="61" t="n">
        <f aca="false">Resumo!$C$14*CEILING(G1842,1)</f>
        <v>31.05</v>
      </c>
      <c r="Q1842" s="61" t="n">
        <f aca="false">SUM(I1842:P1842)*Resumo!$C$11</f>
        <v>0</v>
      </c>
      <c r="R1842" s="61" t="n">
        <f aca="false">SUM(I1842:Q1842)</f>
        <v>139.094206</v>
      </c>
      <c r="S1842" s="61" t="n">
        <f aca="false">R1842/(1-Resumo!$C$5)</f>
        <v>158.061597727273</v>
      </c>
      <c r="T1842" s="61" t="n">
        <v>166.05</v>
      </c>
      <c r="U1842" s="61" t="n">
        <f aca="false">H1842*Resumo!$B$6</f>
        <v>0.77243</v>
      </c>
      <c r="V1842" s="61" t="n">
        <f aca="false">H1842*Resumo!$B$7</f>
        <v>1.54486</v>
      </c>
      <c r="W1842" s="61" t="n">
        <f aca="false">Resumo!$B$9</f>
        <v>1</v>
      </c>
      <c r="X1842" s="61" t="n">
        <f aca="false">Resumo!$B$10*CEILING(G1842/100,1)</f>
        <v>4.5</v>
      </c>
      <c r="Y1842" s="61" t="n">
        <f aca="false">Resumo!$B$12*CEILING(G1842,1)</f>
        <v>4.14</v>
      </c>
      <c r="Z1842" s="61" t="n">
        <f aca="false">Resumo!$B$14*CEILING(G1842,1)</f>
        <v>31.05</v>
      </c>
      <c r="AA1842" s="61" t="n">
        <f aca="false">SUM(T1842:Z1842)</f>
        <v>209.05729</v>
      </c>
      <c r="AB1842" s="61" t="n">
        <f aca="false">AA1842/(1-Resumo!$B$5)</f>
        <v>237.565102272727</v>
      </c>
      <c r="AC1842" s="61" t="n">
        <f aca="false">AB1842-S1842</f>
        <v>79.5035045454546</v>
      </c>
      <c r="AD1842" s="62" t="n">
        <f aca="false">AB1842/S1842-1</f>
        <v>0.502990642183902</v>
      </c>
      <c r="AE1842" s="60" t="str">
        <f aca="false">IF(AB1842&lt;S1842,"SIM","NÃO")</f>
        <v>NÃO</v>
      </c>
      <c r="AF1842" s="60" t="n">
        <v>13</v>
      </c>
      <c r="AG1842" s="60" t="n">
        <v>10</v>
      </c>
      <c r="AH1842" s="60" t="s">
        <v>385</v>
      </c>
      <c r="AI1842" s="61" t="n">
        <f aca="false">(T1842*(1-Painel!$C$40)+U1842+V1842+Painel!$C$41+Painel!$C$42*CEILING(G1842/100,1)+Painel!$C$43*CEILING(G1842,1)+Z1842)/(1-Resumo!$B$5)</f>
        <v>166.671352272727</v>
      </c>
      <c r="AJ1842" s="60" t="str">
        <f aca="false">IF(AI1842&lt;S1842,"SIM","NÃO")</f>
        <v>NÃO</v>
      </c>
    </row>
    <row r="1843" customFormat="false" ht="15" hidden="false" customHeight="false" outlineLevel="0" collapsed="false">
      <c r="A1843" s="59" t="n">
        <v>46281.4181481482</v>
      </c>
      <c r="B1843" s="60" t="s">
        <v>1850</v>
      </c>
      <c r="C1843" s="60" t="n">
        <v>28740000</v>
      </c>
      <c r="D1843" s="60" t="s">
        <v>331</v>
      </c>
      <c r="E1843" s="60" t="s">
        <v>24</v>
      </c>
      <c r="F1843" s="60" t="s">
        <v>238</v>
      </c>
      <c r="G1843" s="60" t="n">
        <v>72.7</v>
      </c>
      <c r="H1843" s="61" t="n">
        <v>849.99</v>
      </c>
      <c r="I1843" s="61" t="n">
        <v>96.77</v>
      </c>
      <c r="J1843" s="61" t="n">
        <f aca="false">H1843*Resumo!$C$6</f>
        <v>0</v>
      </c>
      <c r="K1843" s="61" t="n">
        <f aca="false">H1843*Resumo!$C$7</f>
        <v>1.784979</v>
      </c>
      <c r="L1843" s="61" t="n">
        <f aca="false">H1843*Resumo!$C$8</f>
        <v>1.784979</v>
      </c>
      <c r="M1843" s="61" t="n">
        <f aca="false">Resumo!$C$10*CEILING(G1843/100,1)</f>
        <v>1.05</v>
      </c>
      <c r="N1843" s="61" t="n">
        <f aca="false">Resumo!$C$9</f>
        <v>0</v>
      </c>
      <c r="O1843" s="61" t="n">
        <f aca="false">Resumo!$C$13</f>
        <v>13.55</v>
      </c>
      <c r="P1843" s="61" t="n">
        <f aca="false">Resumo!$C$14*CEILING(G1843,1)</f>
        <v>32.85</v>
      </c>
      <c r="Q1843" s="61" t="n">
        <f aca="false">SUM(I1843:P1843)*Resumo!$C$11</f>
        <v>0</v>
      </c>
      <c r="R1843" s="61" t="n">
        <f aca="false">SUM(I1843:Q1843)</f>
        <v>147.789958</v>
      </c>
      <c r="S1843" s="61" t="n">
        <f aca="false">R1843/(1-Resumo!$C$5)</f>
        <v>167.943134090909</v>
      </c>
      <c r="T1843" s="61" t="n">
        <v>181.04</v>
      </c>
      <c r="U1843" s="61" t="n">
        <f aca="false">H1843*Resumo!$B$6</f>
        <v>0.84999</v>
      </c>
      <c r="V1843" s="61" t="n">
        <f aca="false">H1843*Resumo!$B$7</f>
        <v>1.69998</v>
      </c>
      <c r="W1843" s="61" t="n">
        <f aca="false">Resumo!$B$9</f>
        <v>1</v>
      </c>
      <c r="X1843" s="61" t="n">
        <f aca="false">Resumo!$B$10*CEILING(G1843/100,1)</f>
        <v>4.5</v>
      </c>
      <c r="Y1843" s="61" t="n">
        <f aca="false">Resumo!$B$12*CEILING(G1843,1)</f>
        <v>4.38</v>
      </c>
      <c r="Z1843" s="61" t="n">
        <f aca="false">Resumo!$B$14*CEILING(G1843,1)</f>
        <v>32.85</v>
      </c>
      <c r="AA1843" s="61" t="n">
        <f aca="false">SUM(T1843:Z1843)</f>
        <v>226.31997</v>
      </c>
      <c r="AB1843" s="61" t="n">
        <f aca="false">AA1843/(1-Resumo!$B$5)</f>
        <v>257.181784090909</v>
      </c>
      <c r="AC1843" s="61" t="n">
        <f aca="false">AB1843-S1843</f>
        <v>89.23865</v>
      </c>
      <c r="AD1843" s="62" t="n">
        <f aca="false">AB1843/S1843-1</f>
        <v>0.531362300001466</v>
      </c>
      <c r="AE1843" s="60" t="str">
        <f aca="false">IF(AB1843&lt;S1843,"SIM","NÃO")</f>
        <v>NÃO</v>
      </c>
      <c r="AF1843" s="60" t="n">
        <v>13</v>
      </c>
      <c r="AG1843" s="60" t="n">
        <v>11</v>
      </c>
      <c r="AH1843" s="60" t="s">
        <v>385</v>
      </c>
      <c r="AI1843" s="61" t="n">
        <f aca="false">(T1843*(1-Painel!$C$40)+U1843+V1843+Painel!$C$41+Painel!$C$42*CEILING(G1843/100,1)+Painel!$C$43*CEILING(G1843,1)+Z1843)/(1-Resumo!$B$5)</f>
        <v>180.394056818182</v>
      </c>
      <c r="AJ1843" s="60" t="str">
        <f aca="false">IF(AI1843&lt;S1843,"SIM","NÃO")</f>
        <v>NÃO</v>
      </c>
    </row>
    <row r="1844" customFormat="false" ht="15" hidden="false" customHeight="false" outlineLevel="0" collapsed="false">
      <c r="A1844" s="59" t="n">
        <v>46281.4804861111</v>
      </c>
      <c r="B1844" s="60" t="s">
        <v>2039</v>
      </c>
      <c r="C1844" s="60" t="n">
        <v>20770290</v>
      </c>
      <c r="D1844" s="60" t="s">
        <v>46</v>
      </c>
      <c r="E1844" s="60" t="s">
        <v>22</v>
      </c>
      <c r="F1844" s="60" t="s">
        <v>235</v>
      </c>
      <c r="G1844" s="60" t="n">
        <v>45</v>
      </c>
      <c r="H1844" s="61" t="n">
        <v>659.99</v>
      </c>
      <c r="I1844" s="61" t="n">
        <v>53.55</v>
      </c>
      <c r="J1844" s="61" t="n">
        <f aca="false">H1844*Resumo!$C$6</f>
        <v>0</v>
      </c>
      <c r="K1844" s="61" t="n">
        <f aca="false">H1844*Resumo!$C$7</f>
        <v>1.385979</v>
      </c>
      <c r="L1844" s="61" t="n">
        <f aca="false">H1844*Resumo!$C$8</f>
        <v>1.385979</v>
      </c>
      <c r="M1844" s="61" t="n">
        <f aca="false">Resumo!$C$10*CEILING(G1844/100,1)</f>
        <v>1.05</v>
      </c>
      <c r="N1844" s="61" t="n">
        <f aca="false">Resumo!$C$9</f>
        <v>0</v>
      </c>
      <c r="O1844" s="61" t="n">
        <f aca="false">Resumo!$C$13</f>
        <v>13.55</v>
      </c>
      <c r="P1844" s="61" t="n">
        <f aca="false">Resumo!$C$14*CEILING(G1844,1)</f>
        <v>20.25</v>
      </c>
      <c r="Q1844" s="61" t="n">
        <f aca="false">SUM(I1844:P1844)*Resumo!$C$11</f>
        <v>0</v>
      </c>
      <c r="R1844" s="61" t="n">
        <f aca="false">SUM(I1844:Q1844)</f>
        <v>91.171958</v>
      </c>
      <c r="S1844" s="61" t="n">
        <f aca="false">R1844/(1-Resumo!$C$5)</f>
        <v>103.604497727273</v>
      </c>
      <c r="T1844" s="61" t="n">
        <v>93.97</v>
      </c>
      <c r="U1844" s="61" t="n">
        <f aca="false">H1844*Resumo!$B$6</f>
        <v>0.65999</v>
      </c>
      <c r="V1844" s="61" t="n">
        <f aca="false">H1844*Resumo!$B$7</f>
        <v>1.31998</v>
      </c>
      <c r="W1844" s="61" t="n">
        <f aca="false">Resumo!$B$9</f>
        <v>1</v>
      </c>
      <c r="X1844" s="61" t="n">
        <f aca="false">Resumo!$B$10*CEILING(G1844/100,1)</f>
        <v>4.5</v>
      </c>
      <c r="Y1844" s="61" t="n">
        <f aca="false">Resumo!$B$12*CEILING(G1844,1)</f>
        <v>2.7</v>
      </c>
      <c r="Z1844" s="61" t="n">
        <f aca="false">Resumo!$B$14*CEILING(G1844,1)</f>
        <v>20.25</v>
      </c>
      <c r="AA1844" s="61" t="n">
        <f aca="false">SUM(T1844:Z1844)</f>
        <v>124.39997</v>
      </c>
      <c r="AB1844" s="61" t="n">
        <f aca="false">AA1844/(1-Resumo!$B$5)</f>
        <v>141.363602272727</v>
      </c>
      <c r="AC1844" s="61" t="n">
        <f aca="false">AB1844-S1844</f>
        <v>37.7591045454545</v>
      </c>
      <c r="AD1844" s="62" t="n">
        <f aca="false">AB1844/S1844-1</f>
        <v>0.364454298546489</v>
      </c>
      <c r="AE1844" s="60" t="str">
        <f aca="false">IF(AB1844&lt;S1844,"SIM","NÃO")</f>
        <v>NÃO</v>
      </c>
      <c r="AF1844" s="60" t="n">
        <v>2</v>
      </c>
      <c r="AG1844" s="60" t="n">
        <v>5</v>
      </c>
      <c r="AH1844" s="60" t="s">
        <v>382</v>
      </c>
      <c r="AI1844" s="61" t="n">
        <f aca="false">(T1844*(1-Painel!$C$40)+U1844+V1844+Painel!$C$41+Painel!$C$42*CEILING(G1844/100,1)+Painel!$C$43*CEILING(G1844,1)+Z1844)/(1-Resumo!$B$5)</f>
        <v>99.1362159090909</v>
      </c>
      <c r="AJ1844" s="60" t="str">
        <f aca="false">IF(AI1844&lt;S1844,"SIM","NÃO")</f>
        <v>SIM</v>
      </c>
    </row>
    <row r="1845" customFormat="false" ht="15" hidden="false" customHeight="false" outlineLevel="0" collapsed="false">
      <c r="A1845" s="59" t="n">
        <v>46281.569837963</v>
      </c>
      <c r="B1845" s="60" t="s">
        <v>2040</v>
      </c>
      <c r="C1845" s="60" t="n">
        <v>21510014</v>
      </c>
      <c r="D1845" s="60" t="s">
        <v>46</v>
      </c>
      <c r="E1845" s="60" t="s">
        <v>22</v>
      </c>
      <c r="F1845" s="60" t="s">
        <v>236</v>
      </c>
      <c r="G1845" s="60" t="n">
        <v>52.3</v>
      </c>
      <c r="H1845" s="61" t="n">
        <v>645.14</v>
      </c>
      <c r="I1845" s="61" t="n">
        <v>58.6</v>
      </c>
      <c r="J1845" s="61" t="n">
        <f aca="false">H1845*Resumo!$C$6</f>
        <v>0</v>
      </c>
      <c r="K1845" s="61" t="n">
        <f aca="false">H1845*Resumo!$C$7</f>
        <v>1.354794</v>
      </c>
      <c r="L1845" s="61" t="n">
        <f aca="false">H1845*Resumo!$C$8</f>
        <v>1.354794</v>
      </c>
      <c r="M1845" s="61" t="n">
        <f aca="false">Resumo!$C$10*CEILING(G1845/100,1)</f>
        <v>1.05</v>
      </c>
      <c r="N1845" s="61" t="n">
        <f aca="false">Resumo!$C$9</f>
        <v>0</v>
      </c>
      <c r="O1845" s="61" t="n">
        <f aca="false">Resumo!$C$13</f>
        <v>13.55</v>
      </c>
      <c r="P1845" s="61" t="n">
        <f aca="false">Resumo!$C$14*CEILING(G1845,1)</f>
        <v>23.85</v>
      </c>
      <c r="Q1845" s="61" t="n">
        <f aca="false">SUM(I1845:P1845)*Resumo!$C$11</f>
        <v>0</v>
      </c>
      <c r="R1845" s="61" t="n">
        <f aca="false">SUM(I1845:Q1845)</f>
        <v>99.759588</v>
      </c>
      <c r="S1845" s="61" t="n">
        <f aca="false">R1845/(1-Resumo!$C$5)</f>
        <v>113.363168181818</v>
      </c>
      <c r="T1845" s="61" t="n">
        <v>112.3</v>
      </c>
      <c r="U1845" s="61" t="n">
        <f aca="false">H1845*Resumo!$B$6</f>
        <v>0.64514</v>
      </c>
      <c r="V1845" s="61" t="n">
        <f aca="false">H1845*Resumo!$B$7</f>
        <v>1.29028</v>
      </c>
      <c r="W1845" s="61" t="n">
        <f aca="false">Resumo!$B$9</f>
        <v>1</v>
      </c>
      <c r="X1845" s="61" t="n">
        <f aca="false">Resumo!$B$10*CEILING(G1845/100,1)</f>
        <v>4.5</v>
      </c>
      <c r="Y1845" s="61" t="n">
        <f aca="false">Resumo!$B$12*CEILING(G1845,1)</f>
        <v>3.18</v>
      </c>
      <c r="Z1845" s="61" t="n">
        <f aca="false">Resumo!$B$14*CEILING(G1845,1)</f>
        <v>23.85</v>
      </c>
      <c r="AA1845" s="61" t="n">
        <f aca="false">SUM(T1845:Z1845)</f>
        <v>146.76542</v>
      </c>
      <c r="AB1845" s="61" t="n">
        <f aca="false">AA1845/(1-Resumo!$B$5)</f>
        <v>166.778886363636</v>
      </c>
      <c r="AC1845" s="61" t="n">
        <f aca="false">AB1845-S1845</f>
        <v>53.4157181818182</v>
      </c>
      <c r="AD1845" s="62" t="n">
        <f aca="false">AB1845/S1845-1</f>
        <v>0.471191119995403</v>
      </c>
      <c r="AE1845" s="60" t="str">
        <f aca="false">IF(AB1845&lt;S1845,"SIM","NÃO")</f>
        <v>NÃO</v>
      </c>
      <c r="AF1845" s="60" t="n">
        <v>2</v>
      </c>
      <c r="AG1845" s="60" t="n">
        <v>5</v>
      </c>
      <c r="AH1845" s="60" t="s">
        <v>382</v>
      </c>
      <c r="AI1845" s="61" t="n">
        <f aca="false">(T1845*(1-Painel!$C$40)+U1845+V1845+Painel!$C$41+Painel!$C$42*CEILING(G1845/100,1)+Painel!$C$43*CEILING(G1845,1)+Z1845)/(1-Resumo!$B$5)</f>
        <v>117.132295454545</v>
      </c>
      <c r="AJ1845" s="60" t="str">
        <f aca="false">IF(AI1845&lt;S1845,"SIM","NÃO")</f>
        <v>NÃO</v>
      </c>
    </row>
    <row r="1846" customFormat="false" ht="15" hidden="false" customHeight="false" outlineLevel="0" collapsed="false">
      <c r="A1846" s="59" t="n">
        <v>46281.5771990741</v>
      </c>
      <c r="B1846" s="60" t="s">
        <v>2041</v>
      </c>
      <c r="C1846" s="60" t="n">
        <v>21710000</v>
      </c>
      <c r="D1846" s="60" t="s">
        <v>46</v>
      </c>
      <c r="E1846" s="60" t="s">
        <v>22</v>
      </c>
      <c r="F1846" s="60" t="s">
        <v>233</v>
      </c>
      <c r="G1846" s="60" t="n">
        <v>20.8</v>
      </c>
      <c r="H1846" s="61" t="n">
        <v>417.99</v>
      </c>
      <c r="I1846" s="61" t="n">
        <v>42.11</v>
      </c>
      <c r="J1846" s="61" t="n">
        <f aca="false">H1846*Resumo!$C$6</f>
        <v>0</v>
      </c>
      <c r="K1846" s="61" t="n">
        <f aca="false">H1846*Resumo!$C$7</f>
        <v>0.877779</v>
      </c>
      <c r="L1846" s="61" t="n">
        <f aca="false">H1846*Resumo!$C$8</f>
        <v>0.877779</v>
      </c>
      <c r="M1846" s="61" t="n">
        <f aca="false">Resumo!$C$10*CEILING(G1846/100,1)</f>
        <v>1.05</v>
      </c>
      <c r="N1846" s="61" t="n">
        <f aca="false">Resumo!$C$9</f>
        <v>0</v>
      </c>
      <c r="O1846" s="61" t="n">
        <f aca="false">Resumo!$C$13</f>
        <v>13.55</v>
      </c>
      <c r="P1846" s="61" t="n">
        <f aca="false">Resumo!$C$14*CEILING(G1846,1)</f>
        <v>9.45</v>
      </c>
      <c r="Q1846" s="61" t="n">
        <f aca="false">SUM(I1846:P1846)*Resumo!$C$11</f>
        <v>0</v>
      </c>
      <c r="R1846" s="61" t="n">
        <f aca="false">SUM(I1846:Q1846)</f>
        <v>67.915558</v>
      </c>
      <c r="S1846" s="61" t="n">
        <f aca="false">R1846/(1-Resumo!$C$5)</f>
        <v>77.1767704545455</v>
      </c>
      <c r="T1846" s="61" t="n">
        <v>82.21</v>
      </c>
      <c r="U1846" s="61" t="n">
        <f aca="false">H1846*Resumo!$B$6</f>
        <v>0.41799</v>
      </c>
      <c r="V1846" s="61" t="n">
        <f aca="false">H1846*Resumo!$B$7</f>
        <v>0.83598</v>
      </c>
      <c r="W1846" s="61" t="n">
        <f aca="false">Resumo!$B$9</f>
        <v>1</v>
      </c>
      <c r="X1846" s="61" t="n">
        <f aca="false">Resumo!$B$10*CEILING(G1846/100,1)</f>
        <v>4.5</v>
      </c>
      <c r="Y1846" s="61" t="n">
        <f aca="false">Resumo!$B$12*CEILING(G1846,1)</f>
        <v>1.26</v>
      </c>
      <c r="Z1846" s="61" t="n">
        <f aca="false">Resumo!$B$14*CEILING(G1846,1)</f>
        <v>9.45</v>
      </c>
      <c r="AA1846" s="61" t="n">
        <f aca="false">SUM(T1846:Z1846)</f>
        <v>99.67397</v>
      </c>
      <c r="AB1846" s="61" t="n">
        <f aca="false">AA1846/(1-Resumo!$B$5)</f>
        <v>113.265875</v>
      </c>
      <c r="AC1846" s="61" t="n">
        <f aca="false">AB1846-S1846</f>
        <v>36.0891045454545</v>
      </c>
      <c r="AD1846" s="62" t="n">
        <f aca="false">AB1846/S1846-1</f>
        <v>0.467616153577064</v>
      </c>
      <c r="AE1846" s="60" t="str">
        <f aca="false">IF(AB1846&lt;S1846,"SIM","NÃO")</f>
        <v>NÃO</v>
      </c>
      <c r="AF1846" s="60" t="n">
        <v>2</v>
      </c>
      <c r="AG1846" s="60" t="n">
        <v>5</v>
      </c>
      <c r="AH1846" s="60" t="s">
        <v>382</v>
      </c>
      <c r="AI1846" s="61" t="n">
        <f aca="false">(T1846*(1-Painel!$C$40)+U1846+V1846+Painel!$C$41+Painel!$C$42*CEILING(G1846/100,1)+Painel!$C$43*CEILING(G1846,1)+Z1846)/(1-Resumo!$B$5)</f>
        <v>77.0848522727273</v>
      </c>
      <c r="AJ1846" s="60" t="str">
        <f aca="false">IF(AI1846&lt;S1846,"SIM","NÃO")</f>
        <v>SIM</v>
      </c>
    </row>
    <row r="1847" customFormat="false" ht="15" hidden="false" customHeight="false" outlineLevel="0" collapsed="false">
      <c r="A1847" s="59" t="n">
        <v>46281.5924305556</v>
      </c>
      <c r="B1847" s="60" t="s">
        <v>1706</v>
      </c>
      <c r="C1847" s="60" t="n">
        <v>22753211</v>
      </c>
      <c r="D1847" s="60" t="s">
        <v>46</v>
      </c>
      <c r="E1847" s="60" t="s">
        <v>22</v>
      </c>
      <c r="F1847" s="60" t="s">
        <v>233</v>
      </c>
      <c r="G1847" s="60" t="n">
        <v>27.6</v>
      </c>
      <c r="H1847" s="61" t="n">
        <v>514.79</v>
      </c>
      <c r="I1847" s="61" t="n">
        <v>42.11</v>
      </c>
      <c r="J1847" s="61" t="n">
        <f aca="false">H1847*Resumo!$C$6</f>
        <v>0</v>
      </c>
      <c r="K1847" s="61" t="n">
        <f aca="false">H1847*Resumo!$C$7</f>
        <v>1.081059</v>
      </c>
      <c r="L1847" s="61" t="n">
        <f aca="false">H1847*Resumo!$C$8</f>
        <v>1.081059</v>
      </c>
      <c r="M1847" s="61" t="n">
        <f aca="false">Resumo!$C$10*CEILING(G1847/100,1)</f>
        <v>1.05</v>
      </c>
      <c r="N1847" s="61" t="n">
        <f aca="false">Resumo!$C$9</f>
        <v>0</v>
      </c>
      <c r="O1847" s="61" t="n">
        <f aca="false">Resumo!$C$13</f>
        <v>13.55</v>
      </c>
      <c r="P1847" s="61" t="n">
        <f aca="false">Resumo!$C$14*CEILING(G1847,1)</f>
        <v>12.6</v>
      </c>
      <c r="Q1847" s="61" t="n">
        <f aca="false">SUM(I1847:P1847)*Resumo!$C$11</f>
        <v>0</v>
      </c>
      <c r="R1847" s="61" t="n">
        <f aca="false">SUM(I1847:Q1847)</f>
        <v>71.472118</v>
      </c>
      <c r="S1847" s="61" t="n">
        <f aca="false">R1847/(1-Resumo!$C$5)</f>
        <v>81.2183159090909</v>
      </c>
      <c r="T1847" s="61" t="n">
        <v>82.21</v>
      </c>
      <c r="U1847" s="61" t="n">
        <f aca="false">H1847*Resumo!$B$6</f>
        <v>0.51479</v>
      </c>
      <c r="V1847" s="61" t="n">
        <f aca="false">H1847*Resumo!$B$7</f>
        <v>1.02958</v>
      </c>
      <c r="W1847" s="61" t="n">
        <f aca="false">Resumo!$B$9</f>
        <v>1</v>
      </c>
      <c r="X1847" s="61" t="n">
        <f aca="false">Resumo!$B$10*CEILING(G1847/100,1)</f>
        <v>4.5</v>
      </c>
      <c r="Y1847" s="61" t="n">
        <f aca="false">Resumo!$B$12*CEILING(G1847,1)</f>
        <v>1.68</v>
      </c>
      <c r="Z1847" s="61" t="n">
        <f aca="false">Resumo!$B$14*CEILING(G1847,1)</f>
        <v>12.6</v>
      </c>
      <c r="AA1847" s="61" t="n">
        <f aca="false">SUM(T1847:Z1847)</f>
        <v>103.53437</v>
      </c>
      <c r="AB1847" s="61" t="n">
        <f aca="false">AA1847/(1-Resumo!$B$5)</f>
        <v>117.652693181818</v>
      </c>
      <c r="AC1847" s="61" t="n">
        <f aca="false">AB1847-S1847</f>
        <v>36.4343772727273</v>
      </c>
      <c r="AD1847" s="62" t="n">
        <f aca="false">AB1847/S1847-1</f>
        <v>0.44859803930814</v>
      </c>
      <c r="AE1847" s="60" t="str">
        <f aca="false">IF(AB1847&lt;S1847,"SIM","NÃO")</f>
        <v>NÃO</v>
      </c>
      <c r="AF1847" s="60" t="n">
        <v>2</v>
      </c>
      <c r="AG1847" s="60" t="n">
        <v>5</v>
      </c>
      <c r="AH1847" s="60" t="s">
        <v>382</v>
      </c>
      <c r="AI1847" s="61" t="n">
        <f aca="false">(T1847*(1-Painel!$C$40)+U1847+V1847+Painel!$C$41+Painel!$C$42*CEILING(G1847/100,1)+Painel!$C$43*CEILING(G1847,1)+Z1847)/(1-Resumo!$B$5)</f>
        <v>80.9943977272727</v>
      </c>
      <c r="AJ1847" s="60" t="str">
        <f aca="false">IF(AI1847&lt;S1847,"SIM","NÃO")</f>
        <v>SIM</v>
      </c>
    </row>
    <row r="1848" customFormat="false" ht="15" hidden="false" customHeight="false" outlineLevel="0" collapsed="false">
      <c r="A1848" s="59" t="n">
        <v>46281.6205324074</v>
      </c>
      <c r="B1848" s="60" t="s">
        <v>2042</v>
      </c>
      <c r="C1848" s="60" t="n">
        <v>26290672</v>
      </c>
      <c r="D1848" s="60" t="s">
        <v>49</v>
      </c>
      <c r="E1848" s="60" t="s">
        <v>23</v>
      </c>
      <c r="F1848" s="60" t="s">
        <v>234</v>
      </c>
      <c r="G1848" s="60" t="n">
        <v>37.2</v>
      </c>
      <c r="H1848" s="61" t="n">
        <v>373.99</v>
      </c>
      <c r="I1848" s="61" t="n">
        <v>66.83</v>
      </c>
      <c r="J1848" s="61" t="n">
        <f aca="false">H1848*Resumo!$C$6</f>
        <v>0</v>
      </c>
      <c r="K1848" s="61" t="n">
        <f aca="false">H1848*Resumo!$C$7</f>
        <v>0.785379</v>
      </c>
      <c r="L1848" s="61" t="n">
        <f aca="false">H1848*Resumo!$C$8</f>
        <v>0.785379</v>
      </c>
      <c r="M1848" s="61" t="n">
        <f aca="false">Resumo!$C$10*CEILING(G1848/100,1)</f>
        <v>1.05</v>
      </c>
      <c r="N1848" s="61" t="n">
        <f aca="false">Resumo!$C$9</f>
        <v>0</v>
      </c>
      <c r="O1848" s="61" t="n">
        <f aca="false">Resumo!$C$13</f>
        <v>13.55</v>
      </c>
      <c r="P1848" s="61" t="n">
        <f aca="false">Resumo!$C$14*CEILING(G1848,1)</f>
        <v>17.1</v>
      </c>
      <c r="Q1848" s="61" t="n">
        <f aca="false">SUM(I1848:P1848)*Resumo!$C$11</f>
        <v>0</v>
      </c>
      <c r="R1848" s="61" t="n">
        <f aca="false">SUM(I1848:Q1848)</f>
        <v>100.100758</v>
      </c>
      <c r="S1848" s="61" t="n">
        <f aca="false">R1848/(1-Resumo!$C$5)</f>
        <v>113.750861363636</v>
      </c>
      <c r="T1848" s="61" t="n">
        <v>93.97</v>
      </c>
      <c r="U1848" s="61" t="n">
        <f aca="false">H1848*Resumo!$B$6</f>
        <v>0.37399</v>
      </c>
      <c r="V1848" s="61" t="n">
        <f aca="false">H1848*Resumo!$B$7</f>
        <v>0.74798</v>
      </c>
      <c r="W1848" s="61" t="n">
        <f aca="false">Resumo!$B$9</f>
        <v>1</v>
      </c>
      <c r="X1848" s="61" t="n">
        <f aca="false">Resumo!$B$10*CEILING(G1848/100,1)</f>
        <v>4.5</v>
      </c>
      <c r="Y1848" s="61" t="n">
        <f aca="false">Resumo!$B$12*CEILING(G1848,1)</f>
        <v>2.28</v>
      </c>
      <c r="Z1848" s="61" t="n">
        <f aca="false">Resumo!$B$14*CEILING(G1848,1)</f>
        <v>17.1</v>
      </c>
      <c r="AA1848" s="61" t="n">
        <f aca="false">SUM(T1848:Z1848)</f>
        <v>119.97197</v>
      </c>
      <c r="AB1848" s="61" t="n">
        <f aca="false">AA1848/(1-Resumo!$B$5)</f>
        <v>136.331784090909</v>
      </c>
      <c r="AC1848" s="61" t="n">
        <f aca="false">AB1848-S1848</f>
        <v>22.5809227272727</v>
      </c>
      <c r="AD1848" s="62" t="n">
        <f aca="false">AB1848/S1848-1</f>
        <v>0.198512103175083</v>
      </c>
      <c r="AE1848" s="60" t="str">
        <f aca="false">IF(AB1848&lt;S1848,"SIM","NÃO")</f>
        <v>NÃO</v>
      </c>
      <c r="AF1848" s="60" t="n">
        <v>2</v>
      </c>
      <c r="AG1848" s="60" t="n">
        <v>5</v>
      </c>
      <c r="AH1848" s="60" t="s">
        <v>382</v>
      </c>
      <c r="AI1848" s="61" t="n">
        <f aca="false">(T1848*(1-Painel!$C$40)+U1848+V1848+Painel!$C$41+Painel!$C$42*CEILING(G1848/100,1)+Painel!$C$43*CEILING(G1848,1)+Z1848)/(1-Resumo!$B$5)</f>
        <v>94.5816704545455</v>
      </c>
      <c r="AJ1848" s="60" t="str">
        <f aca="false">IF(AI1848&lt;S1848,"SIM","NÃO")</f>
        <v>SIM</v>
      </c>
    </row>
    <row r="1849" customFormat="false" ht="15" hidden="false" customHeight="false" outlineLevel="0" collapsed="false">
      <c r="A1849" s="59" t="n">
        <v>46281.6356134259</v>
      </c>
      <c r="B1849" s="60" t="s">
        <v>2043</v>
      </c>
      <c r="C1849" s="60" t="n">
        <v>23062410</v>
      </c>
      <c r="D1849" s="60" t="s">
        <v>46</v>
      </c>
      <c r="E1849" s="60" t="s">
        <v>22</v>
      </c>
      <c r="F1849" s="60" t="s">
        <v>233</v>
      </c>
      <c r="G1849" s="60" t="n">
        <v>27</v>
      </c>
      <c r="H1849" s="61" t="n">
        <v>349.99</v>
      </c>
      <c r="I1849" s="61" t="n">
        <v>42.11</v>
      </c>
      <c r="J1849" s="61" t="n">
        <f aca="false">H1849*Resumo!$C$6</f>
        <v>0</v>
      </c>
      <c r="K1849" s="61" t="n">
        <f aca="false">H1849*Resumo!$C$7</f>
        <v>0.734979</v>
      </c>
      <c r="L1849" s="61" t="n">
        <f aca="false">H1849*Resumo!$C$8</f>
        <v>0.734979</v>
      </c>
      <c r="M1849" s="61" t="n">
        <f aca="false">Resumo!$C$10*CEILING(G1849/100,1)</f>
        <v>1.05</v>
      </c>
      <c r="N1849" s="61" t="n">
        <f aca="false">Resumo!$C$9</f>
        <v>0</v>
      </c>
      <c r="O1849" s="61" t="n">
        <f aca="false">Resumo!$C$13</f>
        <v>13.55</v>
      </c>
      <c r="P1849" s="61" t="n">
        <f aca="false">Resumo!$C$14*CEILING(G1849,1)</f>
        <v>12.15</v>
      </c>
      <c r="Q1849" s="61" t="n">
        <f aca="false">SUM(I1849:P1849)*Resumo!$C$11</f>
        <v>0</v>
      </c>
      <c r="R1849" s="61" t="n">
        <f aca="false">SUM(I1849:Q1849)</f>
        <v>70.329958</v>
      </c>
      <c r="S1849" s="61" t="n">
        <f aca="false">R1849/(1-Resumo!$C$5)</f>
        <v>79.9204068181818</v>
      </c>
      <c r="T1849" s="61" t="n">
        <v>82.21</v>
      </c>
      <c r="U1849" s="61" t="n">
        <f aca="false">H1849*Resumo!$B$6</f>
        <v>0.34999</v>
      </c>
      <c r="V1849" s="61" t="n">
        <f aca="false">H1849*Resumo!$B$7</f>
        <v>0.69998</v>
      </c>
      <c r="W1849" s="61" t="n">
        <f aca="false">Resumo!$B$9</f>
        <v>1</v>
      </c>
      <c r="X1849" s="61" t="n">
        <f aca="false">Resumo!$B$10*CEILING(G1849/100,1)</f>
        <v>4.5</v>
      </c>
      <c r="Y1849" s="61" t="n">
        <f aca="false">Resumo!$B$12*CEILING(G1849,1)</f>
        <v>1.62</v>
      </c>
      <c r="Z1849" s="61" t="n">
        <f aca="false">Resumo!$B$14*CEILING(G1849,1)</f>
        <v>12.15</v>
      </c>
      <c r="AA1849" s="61" t="n">
        <f aca="false">SUM(T1849:Z1849)</f>
        <v>102.52997</v>
      </c>
      <c r="AB1849" s="61" t="n">
        <f aca="false">AA1849/(1-Resumo!$B$5)</f>
        <v>116.511329545455</v>
      </c>
      <c r="AC1849" s="61" t="n">
        <f aca="false">AB1849-S1849</f>
        <v>36.5909227272727</v>
      </c>
      <c r="AD1849" s="62" t="n">
        <f aca="false">AB1849/S1849-1</f>
        <v>0.457842047907949</v>
      </c>
      <c r="AE1849" s="60" t="str">
        <f aca="false">IF(AB1849&lt;S1849,"SIM","NÃO")</f>
        <v>NÃO</v>
      </c>
      <c r="AF1849" s="60" t="n">
        <v>2</v>
      </c>
      <c r="AG1849" s="60" t="n">
        <v>5</v>
      </c>
      <c r="AH1849" s="60" t="s">
        <v>382</v>
      </c>
      <c r="AI1849" s="61" t="n">
        <f aca="false">(T1849*(1-Painel!$C$40)+U1849+V1849+Painel!$C$41+Painel!$C$42*CEILING(G1849/100,1)+Painel!$C$43*CEILING(G1849,1)+Z1849)/(1-Resumo!$B$5)</f>
        <v>79.9212159090909</v>
      </c>
      <c r="AJ1849" s="60" t="str">
        <f aca="false">IF(AI1849&lt;S1849,"SIM","NÃO")</f>
        <v>NÃO</v>
      </c>
    </row>
    <row r="1850" customFormat="false" ht="15" hidden="false" customHeight="false" outlineLevel="0" collapsed="false">
      <c r="A1850" s="59" t="n">
        <v>46281.6383217593</v>
      </c>
      <c r="B1850" s="60" t="s">
        <v>1269</v>
      </c>
      <c r="C1850" s="60" t="n">
        <v>22753155</v>
      </c>
      <c r="D1850" s="60" t="s">
        <v>46</v>
      </c>
      <c r="E1850" s="60" t="s">
        <v>22</v>
      </c>
      <c r="F1850" s="60" t="s">
        <v>233</v>
      </c>
      <c r="G1850" s="60" t="n">
        <v>20.9</v>
      </c>
      <c r="H1850" s="61" t="n">
        <v>440.99</v>
      </c>
      <c r="I1850" s="61" t="n">
        <v>42.11</v>
      </c>
      <c r="J1850" s="61" t="n">
        <f aca="false">H1850*Resumo!$C$6</f>
        <v>0</v>
      </c>
      <c r="K1850" s="61" t="n">
        <f aca="false">H1850*Resumo!$C$7</f>
        <v>0.926079</v>
      </c>
      <c r="L1850" s="61" t="n">
        <f aca="false">H1850*Resumo!$C$8</f>
        <v>0.926079</v>
      </c>
      <c r="M1850" s="61" t="n">
        <f aca="false">Resumo!$C$10*CEILING(G1850/100,1)</f>
        <v>1.05</v>
      </c>
      <c r="N1850" s="61" t="n">
        <f aca="false">Resumo!$C$9</f>
        <v>0</v>
      </c>
      <c r="O1850" s="61" t="n">
        <f aca="false">Resumo!$C$13</f>
        <v>13.55</v>
      </c>
      <c r="P1850" s="61" t="n">
        <f aca="false">Resumo!$C$14*CEILING(G1850,1)</f>
        <v>9.45</v>
      </c>
      <c r="Q1850" s="61" t="n">
        <f aca="false">SUM(I1850:P1850)*Resumo!$C$11</f>
        <v>0</v>
      </c>
      <c r="R1850" s="61" t="n">
        <f aca="false">SUM(I1850:Q1850)</f>
        <v>68.012158</v>
      </c>
      <c r="S1850" s="61" t="n">
        <f aca="false">R1850/(1-Resumo!$C$5)</f>
        <v>77.2865431818182</v>
      </c>
      <c r="T1850" s="61" t="n">
        <v>82.21</v>
      </c>
      <c r="U1850" s="61" t="n">
        <f aca="false">H1850*Resumo!$B$6</f>
        <v>0.44099</v>
      </c>
      <c r="V1850" s="61" t="n">
        <f aca="false">H1850*Resumo!$B$7</f>
        <v>0.88198</v>
      </c>
      <c r="W1850" s="61" t="n">
        <f aca="false">Resumo!$B$9</f>
        <v>1</v>
      </c>
      <c r="X1850" s="61" t="n">
        <f aca="false">Resumo!$B$10*CEILING(G1850/100,1)</f>
        <v>4.5</v>
      </c>
      <c r="Y1850" s="61" t="n">
        <f aca="false">Resumo!$B$12*CEILING(G1850,1)</f>
        <v>1.26</v>
      </c>
      <c r="Z1850" s="61" t="n">
        <f aca="false">Resumo!$B$14*CEILING(G1850,1)</f>
        <v>9.45</v>
      </c>
      <c r="AA1850" s="61" t="n">
        <f aca="false">SUM(T1850:Z1850)</f>
        <v>99.74297</v>
      </c>
      <c r="AB1850" s="61" t="n">
        <f aca="false">AA1850/(1-Resumo!$B$5)</f>
        <v>113.344284090909</v>
      </c>
      <c r="AC1850" s="61" t="n">
        <f aca="false">AB1850-S1850</f>
        <v>36.0577409090909</v>
      </c>
      <c r="AD1850" s="62" t="n">
        <f aca="false">AB1850/S1850-1</f>
        <v>0.466546172524036</v>
      </c>
      <c r="AE1850" s="60" t="str">
        <f aca="false">IF(AB1850&lt;S1850,"SIM","NÃO")</f>
        <v>NÃO</v>
      </c>
      <c r="AF1850" s="60" t="n">
        <v>2</v>
      </c>
      <c r="AG1850" s="60" t="n">
        <v>5</v>
      </c>
      <c r="AH1850" s="60" t="s">
        <v>382</v>
      </c>
      <c r="AI1850" s="61" t="n">
        <f aca="false">(T1850*(1-Painel!$C$40)+U1850+V1850+Painel!$C$41+Painel!$C$42*CEILING(G1850/100,1)+Painel!$C$43*CEILING(G1850,1)+Z1850)/(1-Resumo!$B$5)</f>
        <v>77.1632613636364</v>
      </c>
      <c r="AJ1850" s="60" t="str">
        <f aca="false">IF(AI1850&lt;S1850,"SIM","NÃO")</f>
        <v>SIM</v>
      </c>
    </row>
    <row r="1851" customFormat="false" ht="15" hidden="false" customHeight="false" outlineLevel="0" collapsed="false">
      <c r="A1851" s="59" t="n">
        <v>46281.687037037</v>
      </c>
      <c r="B1851" s="60" t="s">
        <v>2044</v>
      </c>
      <c r="C1851" s="60" t="n">
        <v>23016480</v>
      </c>
      <c r="D1851" s="60" t="s">
        <v>46</v>
      </c>
      <c r="E1851" s="60" t="s">
        <v>22</v>
      </c>
      <c r="F1851" s="60" t="s">
        <v>233</v>
      </c>
      <c r="G1851" s="60" t="n">
        <v>34.8</v>
      </c>
      <c r="H1851" s="61" t="n">
        <v>425</v>
      </c>
      <c r="I1851" s="61" t="n">
        <v>42.11</v>
      </c>
      <c r="J1851" s="61" t="n">
        <f aca="false">H1851*Resumo!$C$6</f>
        <v>0</v>
      </c>
      <c r="K1851" s="61" t="n">
        <f aca="false">H1851*Resumo!$C$7</f>
        <v>0.8925</v>
      </c>
      <c r="L1851" s="61" t="n">
        <f aca="false">H1851*Resumo!$C$8</f>
        <v>0.8925</v>
      </c>
      <c r="M1851" s="61" t="n">
        <f aca="false">Resumo!$C$10*CEILING(G1851/100,1)</f>
        <v>1.05</v>
      </c>
      <c r="N1851" s="61" t="n">
        <f aca="false">Resumo!$C$9</f>
        <v>0</v>
      </c>
      <c r="O1851" s="61" t="n">
        <f aca="false">Resumo!$C$13</f>
        <v>13.55</v>
      </c>
      <c r="P1851" s="61" t="n">
        <f aca="false">Resumo!$C$14*CEILING(G1851,1)</f>
        <v>15.75</v>
      </c>
      <c r="Q1851" s="61" t="n">
        <f aca="false">SUM(I1851:P1851)*Resumo!$C$11</f>
        <v>0</v>
      </c>
      <c r="R1851" s="61" t="n">
        <f aca="false">SUM(I1851:Q1851)</f>
        <v>74.245</v>
      </c>
      <c r="S1851" s="61" t="n">
        <f aca="false">R1851/(1-Resumo!$C$5)</f>
        <v>84.3693181818182</v>
      </c>
      <c r="T1851" s="61" t="n">
        <v>82.21</v>
      </c>
      <c r="U1851" s="61" t="n">
        <f aca="false">H1851*Resumo!$B$6</f>
        <v>0.425</v>
      </c>
      <c r="V1851" s="61" t="n">
        <f aca="false">H1851*Resumo!$B$7</f>
        <v>0.85</v>
      </c>
      <c r="W1851" s="61" t="n">
        <f aca="false">Resumo!$B$9</f>
        <v>1</v>
      </c>
      <c r="X1851" s="61" t="n">
        <f aca="false">Resumo!$B$10*CEILING(G1851/100,1)</f>
        <v>4.5</v>
      </c>
      <c r="Y1851" s="61" t="n">
        <f aca="false">Resumo!$B$12*CEILING(G1851,1)</f>
        <v>2.1</v>
      </c>
      <c r="Z1851" s="61" t="n">
        <f aca="false">Resumo!$B$14*CEILING(G1851,1)</f>
        <v>15.75</v>
      </c>
      <c r="AA1851" s="61" t="n">
        <f aca="false">SUM(T1851:Z1851)</f>
        <v>106.835</v>
      </c>
      <c r="AB1851" s="61" t="n">
        <f aca="false">AA1851/(1-Resumo!$B$5)</f>
        <v>121.403409090909</v>
      </c>
      <c r="AC1851" s="61" t="n">
        <f aca="false">AB1851-S1851</f>
        <v>37.0340909090909</v>
      </c>
      <c r="AD1851" s="62" t="n">
        <f aca="false">AB1851/S1851-1</f>
        <v>0.438952117987743</v>
      </c>
      <c r="AE1851" s="60" t="str">
        <f aca="false">IF(AB1851&lt;S1851,"SIM","NÃO")</f>
        <v>NÃO</v>
      </c>
      <c r="AF1851" s="60" t="n">
        <v>2</v>
      </c>
      <c r="AG1851" s="60" t="n">
        <v>5</v>
      </c>
      <c r="AH1851" s="60" t="s">
        <v>382</v>
      </c>
      <c r="AI1851" s="61" t="n">
        <f aca="false">(T1851*(1-Painel!$C$40)+U1851+V1851+Painel!$C$41+Painel!$C$42*CEILING(G1851/100,1)+Painel!$C$43*CEILING(G1851,1)+Z1851)/(1-Resumo!$B$5)</f>
        <v>84.2678409090909</v>
      </c>
      <c r="AJ1851" s="60" t="str">
        <f aca="false">IF(AI1851&lt;S1851,"SIM","NÃO")</f>
        <v>SIM</v>
      </c>
    </row>
    <row r="1852" customFormat="false" ht="15" hidden="false" customHeight="false" outlineLevel="0" collapsed="false">
      <c r="A1852" s="59" t="n">
        <v>46281.695462963</v>
      </c>
      <c r="B1852" s="60" t="s">
        <v>2045</v>
      </c>
      <c r="C1852" s="60" t="n">
        <v>24350068</v>
      </c>
      <c r="D1852" s="60" t="s">
        <v>50</v>
      </c>
      <c r="E1852" s="60" t="s">
        <v>23</v>
      </c>
      <c r="F1852" s="60" t="s">
        <v>233</v>
      </c>
      <c r="G1852" s="60" t="n">
        <v>34.1</v>
      </c>
      <c r="H1852" s="61" t="n">
        <v>419.6</v>
      </c>
      <c r="I1852" s="61" t="n">
        <v>58.8</v>
      </c>
      <c r="J1852" s="61" t="n">
        <f aca="false">H1852*Resumo!$C$6</f>
        <v>0</v>
      </c>
      <c r="K1852" s="61" t="n">
        <f aca="false">H1852*Resumo!$C$7</f>
        <v>0.88116</v>
      </c>
      <c r="L1852" s="61" t="n">
        <f aca="false">H1852*Resumo!$C$8</f>
        <v>0.88116</v>
      </c>
      <c r="M1852" s="61" t="n">
        <f aca="false">Resumo!$C$10*CEILING(G1852/100,1)</f>
        <v>1.05</v>
      </c>
      <c r="N1852" s="61" t="n">
        <f aca="false">Resumo!$C$9</f>
        <v>0</v>
      </c>
      <c r="O1852" s="61" t="n">
        <f aca="false">Resumo!$C$13</f>
        <v>13.55</v>
      </c>
      <c r="P1852" s="61" t="n">
        <f aca="false">Resumo!$C$14*CEILING(G1852,1)</f>
        <v>15.75</v>
      </c>
      <c r="Q1852" s="61" t="n">
        <f aca="false">SUM(I1852:P1852)*Resumo!$C$11</f>
        <v>0</v>
      </c>
      <c r="R1852" s="61" t="n">
        <f aca="false">SUM(I1852:Q1852)</f>
        <v>90.91232</v>
      </c>
      <c r="S1852" s="61" t="n">
        <f aca="false">R1852/(1-Resumo!$C$5)</f>
        <v>103.309454545455</v>
      </c>
      <c r="T1852" s="61" t="n">
        <v>100.58</v>
      </c>
      <c r="U1852" s="61" t="n">
        <f aca="false">H1852*Resumo!$B$6</f>
        <v>0.4196</v>
      </c>
      <c r="V1852" s="61" t="n">
        <f aca="false">H1852*Resumo!$B$7</f>
        <v>0.8392</v>
      </c>
      <c r="W1852" s="61" t="n">
        <f aca="false">Resumo!$B$9</f>
        <v>1</v>
      </c>
      <c r="X1852" s="61" t="n">
        <f aca="false">Resumo!$B$10*CEILING(G1852/100,1)</f>
        <v>4.5</v>
      </c>
      <c r="Y1852" s="61" t="n">
        <f aca="false">Resumo!$B$12*CEILING(G1852,1)</f>
        <v>2.1</v>
      </c>
      <c r="Z1852" s="61" t="n">
        <f aca="false">Resumo!$B$14*CEILING(G1852,1)</f>
        <v>15.75</v>
      </c>
      <c r="AA1852" s="61" t="n">
        <f aca="false">SUM(T1852:Z1852)</f>
        <v>125.1888</v>
      </c>
      <c r="AB1852" s="61" t="n">
        <f aca="false">AA1852/(1-Resumo!$B$5)</f>
        <v>142.26</v>
      </c>
      <c r="AC1852" s="61" t="n">
        <f aca="false">AB1852-S1852</f>
        <v>38.9505454545455</v>
      </c>
      <c r="AD1852" s="62" t="n">
        <f aca="false">AB1852/S1852-1</f>
        <v>0.377027887969419</v>
      </c>
      <c r="AE1852" s="60" t="str">
        <f aca="false">IF(AB1852&lt;S1852,"SIM","NÃO")</f>
        <v>NÃO</v>
      </c>
      <c r="AF1852" s="60" t="n">
        <v>2</v>
      </c>
      <c r="AG1852" s="60" t="n">
        <v>7</v>
      </c>
      <c r="AH1852" s="60" t="s">
        <v>382</v>
      </c>
      <c r="AI1852" s="61" t="n">
        <f aca="false">(T1852*(1-Painel!$C$40)+U1852+V1852+Painel!$C$41+Painel!$C$42*CEILING(G1852/100,1)+Painel!$C$43*CEILING(G1852,1)+Z1852)/(1-Resumo!$B$5)</f>
        <v>98.2356818181818</v>
      </c>
      <c r="AJ1852" s="60" t="str">
        <f aca="false">IF(AI1852&lt;S1852,"SIM","NÃO")</f>
        <v>SIM</v>
      </c>
    </row>
    <row r="1853" customFormat="false" ht="15" hidden="false" customHeight="false" outlineLevel="0" collapsed="false">
      <c r="A1853" s="59" t="n">
        <v>46281.7062268519</v>
      </c>
      <c r="B1853" s="60" t="s">
        <v>2046</v>
      </c>
      <c r="C1853" s="60" t="n">
        <v>23065620</v>
      </c>
      <c r="D1853" s="60" t="s">
        <v>46</v>
      </c>
      <c r="E1853" s="60" t="s">
        <v>22</v>
      </c>
      <c r="F1853" s="60" t="s">
        <v>235</v>
      </c>
      <c r="G1853" s="60" t="n">
        <v>48.3</v>
      </c>
      <c r="H1853" s="61" t="n">
        <v>449.65</v>
      </c>
      <c r="I1853" s="61" t="n">
        <v>53.55</v>
      </c>
      <c r="J1853" s="61" t="n">
        <f aca="false">H1853*Resumo!$C$6</f>
        <v>0</v>
      </c>
      <c r="K1853" s="61" t="n">
        <f aca="false">H1853*Resumo!$C$7</f>
        <v>0.944265</v>
      </c>
      <c r="L1853" s="61" t="n">
        <f aca="false">H1853*Resumo!$C$8</f>
        <v>0.944265</v>
      </c>
      <c r="M1853" s="61" t="n">
        <f aca="false">Resumo!$C$10*CEILING(G1853/100,1)</f>
        <v>1.05</v>
      </c>
      <c r="N1853" s="61" t="n">
        <f aca="false">Resumo!$C$9</f>
        <v>0</v>
      </c>
      <c r="O1853" s="61" t="n">
        <f aca="false">Resumo!$C$13</f>
        <v>13.55</v>
      </c>
      <c r="P1853" s="61" t="n">
        <f aca="false">Resumo!$C$14*CEILING(G1853,1)</f>
        <v>22.05</v>
      </c>
      <c r="Q1853" s="61" t="n">
        <f aca="false">SUM(I1853:P1853)*Resumo!$C$11</f>
        <v>0</v>
      </c>
      <c r="R1853" s="61" t="n">
        <f aca="false">SUM(I1853:Q1853)</f>
        <v>92.08853</v>
      </c>
      <c r="S1853" s="61" t="n">
        <f aca="false">R1853/(1-Resumo!$C$5)</f>
        <v>104.646056818182</v>
      </c>
      <c r="T1853" s="61" t="n">
        <v>93.97</v>
      </c>
      <c r="U1853" s="61" t="n">
        <f aca="false">H1853*Resumo!$B$6</f>
        <v>0.44965</v>
      </c>
      <c r="V1853" s="61" t="n">
        <f aca="false">H1853*Resumo!$B$7</f>
        <v>0.8993</v>
      </c>
      <c r="W1853" s="61" t="n">
        <f aca="false">Resumo!$B$9</f>
        <v>1</v>
      </c>
      <c r="X1853" s="61" t="n">
        <f aca="false">Resumo!$B$10*CEILING(G1853/100,1)</f>
        <v>4.5</v>
      </c>
      <c r="Y1853" s="61" t="n">
        <f aca="false">Resumo!$B$12*CEILING(G1853,1)</f>
        <v>2.94</v>
      </c>
      <c r="Z1853" s="61" t="n">
        <f aca="false">Resumo!$B$14*CEILING(G1853,1)</f>
        <v>22.05</v>
      </c>
      <c r="AA1853" s="61" t="n">
        <f aca="false">SUM(T1853:Z1853)</f>
        <v>125.80895</v>
      </c>
      <c r="AB1853" s="61" t="n">
        <f aca="false">AA1853/(1-Resumo!$B$5)</f>
        <v>142.964715909091</v>
      </c>
      <c r="AC1853" s="61" t="n">
        <f aca="false">AB1853-S1853</f>
        <v>38.3186590909091</v>
      </c>
      <c r="AD1853" s="62" t="n">
        <f aca="false">AB1853/S1853-1</f>
        <v>0.366173941532132</v>
      </c>
      <c r="AE1853" s="60" t="str">
        <f aca="false">IF(AB1853&lt;S1853,"SIM","NÃO")</f>
        <v>NÃO</v>
      </c>
      <c r="AF1853" s="60" t="n">
        <v>2</v>
      </c>
      <c r="AG1853" s="60" t="n">
        <v>5</v>
      </c>
      <c r="AH1853" s="60" t="s">
        <v>382</v>
      </c>
      <c r="AI1853" s="61" t="n">
        <f aca="false">(T1853*(1-Painel!$C$40)+U1853+V1853+Painel!$C$41+Painel!$C$42*CEILING(G1853/100,1)+Painel!$C$43*CEILING(G1853,1)+Z1853)/(1-Resumo!$B$5)</f>
        <v>100.464602272727</v>
      </c>
      <c r="AJ1853" s="60" t="str">
        <f aca="false">IF(AI1853&lt;S1853,"SIM","NÃO")</f>
        <v>SIM</v>
      </c>
    </row>
    <row r="1854" customFormat="false" ht="15" hidden="false" customHeight="false" outlineLevel="0" collapsed="false">
      <c r="A1854" s="59" t="n">
        <v>46281.7634606482</v>
      </c>
      <c r="B1854" s="60" t="s">
        <v>2047</v>
      </c>
      <c r="C1854" s="60" t="n">
        <v>25075300</v>
      </c>
      <c r="D1854" s="60" t="s">
        <v>48</v>
      </c>
      <c r="E1854" s="60" t="s">
        <v>23</v>
      </c>
      <c r="F1854" s="60" t="s">
        <v>236</v>
      </c>
      <c r="G1854" s="60" t="n">
        <v>52.3</v>
      </c>
      <c r="H1854" s="61" t="n">
        <v>612.73</v>
      </c>
      <c r="I1854" s="61" t="n">
        <v>70.98</v>
      </c>
      <c r="J1854" s="61" t="n">
        <f aca="false">H1854*Resumo!$C$6</f>
        <v>0</v>
      </c>
      <c r="K1854" s="61" t="n">
        <f aca="false">H1854*Resumo!$C$7</f>
        <v>1.286733</v>
      </c>
      <c r="L1854" s="61" t="n">
        <f aca="false">H1854*Resumo!$C$8</f>
        <v>1.286733</v>
      </c>
      <c r="M1854" s="61" t="n">
        <f aca="false">Resumo!$C$10*CEILING(G1854/100,1)</f>
        <v>1.05</v>
      </c>
      <c r="N1854" s="61" t="n">
        <f aca="false">Resumo!$C$9</f>
        <v>0</v>
      </c>
      <c r="O1854" s="61" t="n">
        <f aca="false">Resumo!$C$13</f>
        <v>13.55</v>
      </c>
      <c r="P1854" s="61" t="n">
        <f aca="false">Resumo!$C$14*CEILING(G1854,1)</f>
        <v>23.85</v>
      </c>
      <c r="Q1854" s="61" t="n">
        <f aca="false">SUM(I1854:P1854)*Resumo!$C$11</f>
        <v>0</v>
      </c>
      <c r="R1854" s="61" t="n">
        <f aca="false">SUM(I1854:Q1854)</f>
        <v>112.003466</v>
      </c>
      <c r="S1854" s="61" t="n">
        <f aca="false">R1854/(1-Resumo!$C$5)</f>
        <v>127.276665909091</v>
      </c>
      <c r="T1854" s="61" t="n">
        <v>112.3</v>
      </c>
      <c r="U1854" s="61" t="n">
        <f aca="false">H1854*Resumo!$B$6</f>
        <v>0.61273</v>
      </c>
      <c r="V1854" s="61" t="n">
        <f aca="false">H1854*Resumo!$B$7</f>
        <v>1.22546</v>
      </c>
      <c r="W1854" s="61" t="n">
        <f aca="false">Resumo!$B$9</f>
        <v>1</v>
      </c>
      <c r="X1854" s="61" t="n">
        <f aca="false">Resumo!$B$10*CEILING(G1854/100,1)</f>
        <v>4.5</v>
      </c>
      <c r="Y1854" s="61" t="n">
        <f aca="false">Resumo!$B$12*CEILING(G1854,1)</f>
        <v>3.18</v>
      </c>
      <c r="Z1854" s="61" t="n">
        <f aca="false">Resumo!$B$14*CEILING(G1854,1)</f>
        <v>23.85</v>
      </c>
      <c r="AA1854" s="61" t="n">
        <f aca="false">SUM(T1854:Z1854)</f>
        <v>146.66819</v>
      </c>
      <c r="AB1854" s="61" t="n">
        <f aca="false">AA1854/(1-Resumo!$B$5)</f>
        <v>166.668397727273</v>
      </c>
      <c r="AC1854" s="61" t="n">
        <f aca="false">AB1854-S1854</f>
        <v>39.3917318181818</v>
      </c>
      <c r="AD1854" s="62" t="n">
        <f aca="false">AB1854/S1854-1</f>
        <v>0.309496886462425</v>
      </c>
      <c r="AE1854" s="60" t="str">
        <f aca="false">IF(AB1854&lt;S1854,"SIM","NÃO")</f>
        <v>NÃO</v>
      </c>
      <c r="AF1854" s="60" t="n">
        <v>2</v>
      </c>
      <c r="AG1854" s="60" t="n">
        <v>5</v>
      </c>
      <c r="AH1854" s="60" t="s">
        <v>382</v>
      </c>
      <c r="AI1854" s="61" t="n">
        <f aca="false">(T1854*(1-Painel!$C$40)+U1854+V1854+Painel!$C$41+Painel!$C$42*CEILING(G1854/100,1)+Painel!$C$43*CEILING(G1854,1)+Z1854)/(1-Resumo!$B$5)</f>
        <v>117.021806818182</v>
      </c>
      <c r="AJ1854" s="60" t="str">
        <f aca="false">IF(AI1854&lt;S1854,"SIM","NÃO")</f>
        <v>SIM</v>
      </c>
    </row>
    <row r="1855" customFormat="false" ht="15" hidden="false" customHeight="false" outlineLevel="0" collapsed="false">
      <c r="A1855" s="59" t="n">
        <v>46281.7673032407</v>
      </c>
      <c r="B1855" s="60" t="s">
        <v>2048</v>
      </c>
      <c r="C1855" s="60" t="n">
        <v>21665062</v>
      </c>
      <c r="D1855" s="60" t="s">
        <v>46</v>
      </c>
      <c r="E1855" s="60" t="s">
        <v>22</v>
      </c>
      <c r="F1855" s="60" t="s">
        <v>237</v>
      </c>
      <c r="G1855" s="60" t="n">
        <v>69.45</v>
      </c>
      <c r="H1855" s="61" t="n">
        <v>761.79</v>
      </c>
      <c r="I1855" s="61" t="n">
        <v>63.21</v>
      </c>
      <c r="J1855" s="61" t="n">
        <f aca="false">H1855*Resumo!$C$6</f>
        <v>0</v>
      </c>
      <c r="K1855" s="61" t="n">
        <f aca="false">H1855*Resumo!$C$7</f>
        <v>1.599759</v>
      </c>
      <c r="L1855" s="61" t="n">
        <f aca="false">H1855*Resumo!$C$8</f>
        <v>1.599759</v>
      </c>
      <c r="M1855" s="61" t="n">
        <f aca="false">Resumo!$C$10*CEILING(G1855/100,1)</f>
        <v>1.05</v>
      </c>
      <c r="N1855" s="61" t="n">
        <f aca="false">Resumo!$C$9</f>
        <v>0</v>
      </c>
      <c r="O1855" s="61" t="n">
        <f aca="false">Resumo!$C$13</f>
        <v>13.55</v>
      </c>
      <c r="P1855" s="61" t="n">
        <f aca="false">Resumo!$C$14*CEILING(G1855,1)</f>
        <v>31.5</v>
      </c>
      <c r="Q1855" s="61" t="n">
        <f aca="false">SUM(I1855:P1855)*Resumo!$C$11</f>
        <v>0</v>
      </c>
      <c r="R1855" s="61" t="n">
        <f aca="false">SUM(I1855:Q1855)</f>
        <v>112.509518</v>
      </c>
      <c r="S1855" s="61" t="n">
        <f aca="false">R1855/(1-Resumo!$C$5)</f>
        <v>127.851725</v>
      </c>
      <c r="T1855" s="61" t="n">
        <v>131.02</v>
      </c>
      <c r="U1855" s="61" t="n">
        <f aca="false">H1855*Resumo!$B$6</f>
        <v>0.76179</v>
      </c>
      <c r="V1855" s="61" t="n">
        <f aca="false">H1855*Resumo!$B$7</f>
        <v>1.52358</v>
      </c>
      <c r="W1855" s="61" t="n">
        <f aca="false">Resumo!$B$9</f>
        <v>1</v>
      </c>
      <c r="X1855" s="61" t="n">
        <f aca="false">Resumo!$B$10*CEILING(G1855/100,1)</f>
        <v>4.5</v>
      </c>
      <c r="Y1855" s="61" t="n">
        <f aca="false">Resumo!$B$12*CEILING(G1855,1)</f>
        <v>4.2</v>
      </c>
      <c r="Z1855" s="61" t="n">
        <f aca="false">Resumo!$B$14*CEILING(G1855,1)</f>
        <v>31.5</v>
      </c>
      <c r="AA1855" s="61" t="n">
        <f aca="false">SUM(T1855:Z1855)</f>
        <v>174.50537</v>
      </c>
      <c r="AB1855" s="61" t="n">
        <f aca="false">AA1855/(1-Resumo!$B$5)</f>
        <v>198.301556818182</v>
      </c>
      <c r="AC1855" s="61" t="n">
        <f aca="false">AB1855-S1855</f>
        <v>70.4498318181818</v>
      </c>
      <c r="AD1855" s="62" t="n">
        <f aca="false">AB1855/S1855-1</f>
        <v>0.551027620614284</v>
      </c>
      <c r="AE1855" s="60" t="str">
        <f aca="false">IF(AB1855&lt;S1855,"SIM","NÃO")</f>
        <v>NÃO</v>
      </c>
      <c r="AF1855" s="60" t="n">
        <v>2</v>
      </c>
      <c r="AG1855" s="60" t="n">
        <v>5</v>
      </c>
      <c r="AH1855" s="60" t="s">
        <v>382</v>
      </c>
      <c r="AI1855" s="61" t="n">
        <f aca="false">(T1855*(1-Painel!$C$40)+U1855+V1855+Painel!$C$41+Painel!$C$42*CEILING(G1855/100,1)+Painel!$C$43*CEILING(G1855,1)+Z1855)/(1-Resumo!$B$5)</f>
        <v>140.475875</v>
      </c>
      <c r="AJ1855" s="60" t="str">
        <f aca="false">IF(AI1855&lt;S1855,"SIM","NÃO")</f>
        <v>NÃO</v>
      </c>
    </row>
    <row r="1856" customFormat="false" ht="15" hidden="false" customHeight="false" outlineLevel="0" collapsed="false">
      <c r="A1856" s="59" t="n">
        <v>46281.7761805556</v>
      </c>
      <c r="B1856" s="60" t="s">
        <v>916</v>
      </c>
      <c r="C1856" s="60" t="n">
        <v>28360000</v>
      </c>
      <c r="D1856" s="60" t="s">
        <v>310</v>
      </c>
      <c r="E1856" s="60" t="s">
        <v>24</v>
      </c>
      <c r="F1856" s="60" t="s">
        <v>235</v>
      </c>
      <c r="G1856" s="60" t="n">
        <v>41.4</v>
      </c>
      <c r="H1856" s="61" t="n">
        <v>413.55</v>
      </c>
      <c r="I1856" s="61" t="n">
        <v>77.7</v>
      </c>
      <c r="J1856" s="61" t="n">
        <f aca="false">H1856*Resumo!$C$6</f>
        <v>0</v>
      </c>
      <c r="K1856" s="61" t="n">
        <f aca="false">H1856*Resumo!$C$7</f>
        <v>0.868455</v>
      </c>
      <c r="L1856" s="61" t="n">
        <f aca="false">H1856*Resumo!$C$8</f>
        <v>0.868455</v>
      </c>
      <c r="M1856" s="61" t="n">
        <f aca="false">Resumo!$C$10*CEILING(G1856/100,1)</f>
        <v>1.05</v>
      </c>
      <c r="N1856" s="61" t="n">
        <f aca="false">Resumo!$C$9</f>
        <v>0</v>
      </c>
      <c r="O1856" s="61" t="n">
        <f aca="false">Resumo!$C$13</f>
        <v>13.55</v>
      </c>
      <c r="P1856" s="61" t="n">
        <f aca="false">Resumo!$C$14*CEILING(G1856,1)</f>
        <v>18.9</v>
      </c>
      <c r="Q1856" s="61" t="n">
        <f aca="false">SUM(I1856:P1856)*Resumo!$C$11</f>
        <v>0</v>
      </c>
      <c r="R1856" s="61" t="n">
        <f aca="false">SUM(I1856:Q1856)</f>
        <v>112.93691</v>
      </c>
      <c r="S1856" s="61" t="n">
        <f aca="false">R1856/(1-Resumo!$C$5)</f>
        <v>128.337397727273</v>
      </c>
      <c r="T1856" s="61" t="n">
        <v>152.54</v>
      </c>
      <c r="U1856" s="61" t="n">
        <f aca="false">H1856*Resumo!$B$6</f>
        <v>0.41355</v>
      </c>
      <c r="V1856" s="61" t="n">
        <f aca="false">H1856*Resumo!$B$7</f>
        <v>0.8271</v>
      </c>
      <c r="W1856" s="61" t="n">
        <f aca="false">Resumo!$B$9</f>
        <v>1</v>
      </c>
      <c r="X1856" s="61" t="n">
        <f aca="false">Resumo!$B$10*CEILING(G1856/100,1)</f>
        <v>4.5</v>
      </c>
      <c r="Y1856" s="61" t="n">
        <f aca="false">Resumo!$B$12*CEILING(G1856,1)</f>
        <v>2.52</v>
      </c>
      <c r="Z1856" s="61" t="n">
        <f aca="false">Resumo!$B$14*CEILING(G1856,1)</f>
        <v>18.9</v>
      </c>
      <c r="AA1856" s="61" t="n">
        <f aca="false">SUM(T1856:Z1856)</f>
        <v>180.70065</v>
      </c>
      <c r="AB1856" s="61" t="n">
        <f aca="false">AA1856/(1-Resumo!$B$5)</f>
        <v>205.341647727273</v>
      </c>
      <c r="AC1856" s="61" t="n">
        <f aca="false">AB1856-S1856</f>
        <v>77.00425</v>
      </c>
      <c r="AD1856" s="62" t="n">
        <f aca="false">AB1856/S1856-1</f>
        <v>0.600014114074841</v>
      </c>
      <c r="AE1856" s="60" t="str">
        <f aca="false">IF(AB1856&lt;S1856,"SIM","NÃO")</f>
        <v>NÃO</v>
      </c>
      <c r="AF1856" s="60" t="n">
        <v>13</v>
      </c>
      <c r="AG1856" s="60" t="n">
        <v>11</v>
      </c>
      <c r="AH1856" s="60" t="s">
        <v>385</v>
      </c>
      <c r="AI1856" s="61" t="n">
        <f aca="false">(T1856*(1-Painel!$C$40)+U1856+V1856+Painel!$C$41+Painel!$C$42*CEILING(G1856/100,1)+Painel!$C$43*CEILING(G1856,1)+Z1856)/(1-Resumo!$B$5)</f>
        <v>141.355056818182</v>
      </c>
      <c r="AJ1856" s="60" t="str">
        <f aca="false">IF(AI1856&lt;S1856,"SIM","NÃO")</f>
        <v>NÃO</v>
      </c>
    </row>
    <row r="1857" customFormat="false" ht="15" hidden="false" customHeight="false" outlineLevel="0" collapsed="false">
      <c r="A1857" s="59" t="n">
        <v>46281.788599537</v>
      </c>
      <c r="B1857" s="60" t="s">
        <v>2049</v>
      </c>
      <c r="C1857" s="60" t="n">
        <v>21060060</v>
      </c>
      <c r="D1857" s="60" t="s">
        <v>46</v>
      </c>
      <c r="E1857" s="60" t="s">
        <v>22</v>
      </c>
      <c r="F1857" s="60" t="s">
        <v>236</v>
      </c>
      <c r="G1857" s="60" t="n">
        <v>52.3</v>
      </c>
      <c r="H1857" s="61" t="n">
        <v>645.14</v>
      </c>
      <c r="I1857" s="61" t="n">
        <v>58.6</v>
      </c>
      <c r="J1857" s="61" t="n">
        <f aca="false">H1857*Resumo!$C$6</f>
        <v>0</v>
      </c>
      <c r="K1857" s="61" t="n">
        <f aca="false">H1857*Resumo!$C$7</f>
        <v>1.354794</v>
      </c>
      <c r="L1857" s="61" t="n">
        <f aca="false">H1857*Resumo!$C$8</f>
        <v>1.354794</v>
      </c>
      <c r="M1857" s="61" t="n">
        <f aca="false">Resumo!$C$10*CEILING(G1857/100,1)</f>
        <v>1.05</v>
      </c>
      <c r="N1857" s="61" t="n">
        <f aca="false">Resumo!$C$9</f>
        <v>0</v>
      </c>
      <c r="O1857" s="61" t="n">
        <f aca="false">Resumo!$C$13</f>
        <v>13.55</v>
      </c>
      <c r="P1857" s="61" t="n">
        <f aca="false">Resumo!$C$14*CEILING(G1857,1)</f>
        <v>23.85</v>
      </c>
      <c r="Q1857" s="61" t="n">
        <f aca="false">SUM(I1857:P1857)*Resumo!$C$11</f>
        <v>0</v>
      </c>
      <c r="R1857" s="61" t="n">
        <f aca="false">SUM(I1857:Q1857)</f>
        <v>99.759588</v>
      </c>
      <c r="S1857" s="61" t="n">
        <f aca="false">R1857/(1-Resumo!$C$5)</f>
        <v>113.363168181818</v>
      </c>
      <c r="T1857" s="61" t="n">
        <v>112.3</v>
      </c>
      <c r="U1857" s="61" t="n">
        <f aca="false">H1857*Resumo!$B$6</f>
        <v>0.64514</v>
      </c>
      <c r="V1857" s="61" t="n">
        <f aca="false">H1857*Resumo!$B$7</f>
        <v>1.29028</v>
      </c>
      <c r="W1857" s="61" t="n">
        <f aca="false">Resumo!$B$9</f>
        <v>1</v>
      </c>
      <c r="X1857" s="61" t="n">
        <f aca="false">Resumo!$B$10*CEILING(G1857/100,1)</f>
        <v>4.5</v>
      </c>
      <c r="Y1857" s="61" t="n">
        <f aca="false">Resumo!$B$12*CEILING(G1857,1)</f>
        <v>3.18</v>
      </c>
      <c r="Z1857" s="61" t="n">
        <f aca="false">Resumo!$B$14*CEILING(G1857,1)</f>
        <v>23.85</v>
      </c>
      <c r="AA1857" s="61" t="n">
        <f aca="false">SUM(T1857:Z1857)</f>
        <v>146.76542</v>
      </c>
      <c r="AB1857" s="61" t="n">
        <f aca="false">AA1857/(1-Resumo!$B$5)</f>
        <v>166.778886363636</v>
      </c>
      <c r="AC1857" s="61" t="n">
        <f aca="false">AB1857-S1857</f>
        <v>53.4157181818182</v>
      </c>
      <c r="AD1857" s="62" t="n">
        <f aca="false">AB1857/S1857-1</f>
        <v>0.471191119995403</v>
      </c>
      <c r="AE1857" s="60" t="str">
        <f aca="false">IF(AB1857&lt;S1857,"SIM","NÃO")</f>
        <v>NÃO</v>
      </c>
      <c r="AF1857" s="60" t="n">
        <v>2</v>
      </c>
      <c r="AG1857" s="60" t="n">
        <v>5</v>
      </c>
      <c r="AH1857" s="60" t="s">
        <v>382</v>
      </c>
      <c r="AI1857" s="61" t="n">
        <f aca="false">(T1857*(1-Painel!$C$40)+U1857+V1857+Painel!$C$41+Painel!$C$42*CEILING(G1857/100,1)+Painel!$C$43*CEILING(G1857,1)+Z1857)/(1-Resumo!$B$5)</f>
        <v>117.132295454545</v>
      </c>
      <c r="AJ1857" s="60" t="str">
        <f aca="false">IF(AI1857&lt;S1857,"SIM","NÃO")</f>
        <v>NÃO</v>
      </c>
    </row>
    <row r="1858" customFormat="false" ht="15" hidden="false" customHeight="false" outlineLevel="0" collapsed="false">
      <c r="A1858" s="59" t="n">
        <v>46281.8208333333</v>
      </c>
      <c r="B1858" s="60" t="s">
        <v>2050</v>
      </c>
      <c r="C1858" s="60" t="n">
        <v>21061520</v>
      </c>
      <c r="D1858" s="60" t="s">
        <v>46</v>
      </c>
      <c r="E1858" s="60" t="s">
        <v>22</v>
      </c>
      <c r="F1858" s="60" t="s">
        <v>236</v>
      </c>
      <c r="G1858" s="60" t="n">
        <v>52.3</v>
      </c>
      <c r="H1858" s="61" t="n">
        <v>645.14</v>
      </c>
      <c r="I1858" s="61" t="n">
        <v>58.6</v>
      </c>
      <c r="J1858" s="61" t="n">
        <f aca="false">H1858*Resumo!$C$6</f>
        <v>0</v>
      </c>
      <c r="K1858" s="61" t="n">
        <f aca="false">H1858*Resumo!$C$7</f>
        <v>1.354794</v>
      </c>
      <c r="L1858" s="61" t="n">
        <f aca="false">H1858*Resumo!$C$8</f>
        <v>1.354794</v>
      </c>
      <c r="M1858" s="61" t="n">
        <f aca="false">Resumo!$C$10*CEILING(G1858/100,1)</f>
        <v>1.05</v>
      </c>
      <c r="N1858" s="61" t="n">
        <f aca="false">Resumo!$C$9</f>
        <v>0</v>
      </c>
      <c r="O1858" s="61" t="n">
        <f aca="false">Resumo!$C$13</f>
        <v>13.55</v>
      </c>
      <c r="P1858" s="61" t="n">
        <f aca="false">Resumo!$C$14*CEILING(G1858,1)</f>
        <v>23.85</v>
      </c>
      <c r="Q1858" s="61" t="n">
        <f aca="false">SUM(I1858:P1858)*Resumo!$C$11</f>
        <v>0</v>
      </c>
      <c r="R1858" s="61" t="n">
        <f aca="false">SUM(I1858:Q1858)</f>
        <v>99.759588</v>
      </c>
      <c r="S1858" s="61" t="n">
        <f aca="false">R1858/(1-Resumo!$C$5)</f>
        <v>113.363168181818</v>
      </c>
      <c r="T1858" s="61" t="n">
        <v>112.3</v>
      </c>
      <c r="U1858" s="61" t="n">
        <f aca="false">H1858*Resumo!$B$6</f>
        <v>0.64514</v>
      </c>
      <c r="V1858" s="61" t="n">
        <f aca="false">H1858*Resumo!$B$7</f>
        <v>1.29028</v>
      </c>
      <c r="W1858" s="61" t="n">
        <f aca="false">Resumo!$B$9</f>
        <v>1</v>
      </c>
      <c r="X1858" s="61" t="n">
        <f aca="false">Resumo!$B$10*CEILING(G1858/100,1)</f>
        <v>4.5</v>
      </c>
      <c r="Y1858" s="61" t="n">
        <f aca="false">Resumo!$B$12*CEILING(G1858,1)</f>
        <v>3.18</v>
      </c>
      <c r="Z1858" s="61" t="n">
        <f aca="false">Resumo!$B$14*CEILING(G1858,1)</f>
        <v>23.85</v>
      </c>
      <c r="AA1858" s="61" t="n">
        <f aca="false">SUM(T1858:Z1858)</f>
        <v>146.76542</v>
      </c>
      <c r="AB1858" s="61" t="n">
        <f aca="false">AA1858/(1-Resumo!$B$5)</f>
        <v>166.778886363636</v>
      </c>
      <c r="AC1858" s="61" t="n">
        <f aca="false">AB1858-S1858</f>
        <v>53.4157181818182</v>
      </c>
      <c r="AD1858" s="62" t="n">
        <f aca="false">AB1858/S1858-1</f>
        <v>0.471191119995403</v>
      </c>
      <c r="AE1858" s="60" t="str">
        <f aca="false">IF(AB1858&lt;S1858,"SIM","NÃO")</f>
        <v>NÃO</v>
      </c>
      <c r="AF1858" s="60" t="n">
        <v>2</v>
      </c>
      <c r="AG1858" s="60" t="n">
        <v>5</v>
      </c>
      <c r="AH1858" s="60" t="s">
        <v>382</v>
      </c>
      <c r="AI1858" s="61" t="n">
        <f aca="false">(T1858*(1-Painel!$C$40)+U1858+V1858+Painel!$C$41+Painel!$C$42*CEILING(G1858/100,1)+Painel!$C$43*CEILING(G1858,1)+Z1858)/(1-Resumo!$B$5)</f>
        <v>117.132295454545</v>
      </c>
      <c r="AJ1858" s="60" t="str">
        <f aca="false">IF(AI1858&lt;S1858,"SIM","NÃO")</f>
        <v>NÃO</v>
      </c>
    </row>
    <row r="1859" customFormat="false" ht="15" hidden="false" customHeight="false" outlineLevel="0" collapsed="false">
      <c r="A1859" s="59" t="n">
        <v>46281.8217939815</v>
      </c>
      <c r="B1859" s="60" t="s">
        <v>1978</v>
      </c>
      <c r="C1859" s="60" t="n">
        <v>20943000</v>
      </c>
      <c r="D1859" s="60" t="s">
        <v>46</v>
      </c>
      <c r="E1859" s="60" t="s">
        <v>22</v>
      </c>
      <c r="F1859" s="60" t="s">
        <v>237</v>
      </c>
      <c r="G1859" s="60" t="n">
        <v>66.8</v>
      </c>
      <c r="H1859" s="61" t="n">
        <v>691.9</v>
      </c>
      <c r="I1859" s="61" t="n">
        <v>63.21</v>
      </c>
      <c r="J1859" s="61" t="n">
        <f aca="false">H1859*Resumo!$C$6</f>
        <v>0</v>
      </c>
      <c r="K1859" s="61" t="n">
        <f aca="false">H1859*Resumo!$C$7</f>
        <v>1.45299</v>
      </c>
      <c r="L1859" s="61" t="n">
        <f aca="false">H1859*Resumo!$C$8</f>
        <v>1.45299</v>
      </c>
      <c r="M1859" s="61" t="n">
        <f aca="false">Resumo!$C$10*CEILING(G1859/100,1)</f>
        <v>1.05</v>
      </c>
      <c r="N1859" s="61" t="n">
        <f aca="false">Resumo!$C$9</f>
        <v>0</v>
      </c>
      <c r="O1859" s="61" t="n">
        <f aca="false">Resumo!$C$13</f>
        <v>13.55</v>
      </c>
      <c r="P1859" s="61" t="n">
        <f aca="false">Resumo!$C$14*CEILING(G1859,1)</f>
        <v>30.15</v>
      </c>
      <c r="Q1859" s="61" t="n">
        <f aca="false">SUM(I1859:P1859)*Resumo!$C$11</f>
        <v>0</v>
      </c>
      <c r="R1859" s="61" t="n">
        <f aca="false">SUM(I1859:Q1859)</f>
        <v>110.86598</v>
      </c>
      <c r="S1859" s="61" t="n">
        <f aca="false">R1859/(1-Resumo!$C$5)</f>
        <v>125.984068181818</v>
      </c>
      <c r="T1859" s="61" t="n">
        <v>131.02</v>
      </c>
      <c r="U1859" s="61" t="n">
        <f aca="false">H1859*Resumo!$B$6</f>
        <v>0.6919</v>
      </c>
      <c r="V1859" s="61" t="n">
        <f aca="false">H1859*Resumo!$B$7</f>
        <v>1.3838</v>
      </c>
      <c r="W1859" s="61" t="n">
        <f aca="false">Resumo!$B$9</f>
        <v>1</v>
      </c>
      <c r="X1859" s="61" t="n">
        <f aca="false">Resumo!$B$10*CEILING(G1859/100,1)</f>
        <v>4.5</v>
      </c>
      <c r="Y1859" s="61" t="n">
        <f aca="false">Resumo!$B$12*CEILING(G1859,1)</f>
        <v>4.02</v>
      </c>
      <c r="Z1859" s="61" t="n">
        <f aca="false">Resumo!$B$14*CEILING(G1859,1)</f>
        <v>30.15</v>
      </c>
      <c r="AA1859" s="61" t="n">
        <f aca="false">SUM(T1859:Z1859)</f>
        <v>172.7657</v>
      </c>
      <c r="AB1859" s="61" t="n">
        <f aca="false">AA1859/(1-Resumo!$B$5)</f>
        <v>196.324659090909</v>
      </c>
      <c r="AC1859" s="61" t="n">
        <f aca="false">AB1859-S1859</f>
        <v>70.3405909090909</v>
      </c>
      <c r="AD1859" s="62" t="n">
        <f aca="false">AB1859/S1859-1</f>
        <v>0.558329254835433</v>
      </c>
      <c r="AE1859" s="60" t="str">
        <f aca="false">IF(AB1859&lt;S1859,"SIM","NÃO")</f>
        <v>NÃO</v>
      </c>
      <c r="AF1859" s="60" t="n">
        <v>2</v>
      </c>
      <c r="AG1859" s="60" t="n">
        <v>5</v>
      </c>
      <c r="AH1859" s="60" t="s">
        <v>382</v>
      </c>
      <c r="AI1859" s="61" t="n">
        <f aca="false">(T1859*(1-Painel!$C$40)+U1859+V1859+Painel!$C$41+Painel!$C$42*CEILING(G1859/100,1)+Painel!$C$43*CEILING(G1859,1)+Z1859)/(1-Resumo!$B$5)</f>
        <v>138.703522727273</v>
      </c>
      <c r="AJ1859" s="60" t="str">
        <f aca="false">IF(AI1859&lt;S1859,"SIM","NÃO")</f>
        <v>NÃO</v>
      </c>
    </row>
    <row r="1860" customFormat="false" ht="15" hidden="false" customHeight="false" outlineLevel="0" collapsed="false">
      <c r="A1860" s="59" t="n">
        <v>46281.8372222222</v>
      </c>
      <c r="B1860" s="60" t="s">
        <v>2051</v>
      </c>
      <c r="C1860" s="60" t="n">
        <v>22743370</v>
      </c>
      <c r="D1860" s="60" t="s">
        <v>46</v>
      </c>
      <c r="E1860" s="60" t="s">
        <v>22</v>
      </c>
      <c r="F1860" s="60" t="s">
        <v>237</v>
      </c>
      <c r="G1860" s="60" t="n">
        <v>63</v>
      </c>
      <c r="H1860" s="61" t="n">
        <v>779.95</v>
      </c>
      <c r="I1860" s="61" t="n">
        <v>63.21</v>
      </c>
      <c r="J1860" s="61" t="n">
        <f aca="false">H1860*Resumo!$C$6</f>
        <v>0</v>
      </c>
      <c r="K1860" s="61" t="n">
        <f aca="false">H1860*Resumo!$C$7</f>
        <v>1.637895</v>
      </c>
      <c r="L1860" s="61" t="n">
        <f aca="false">H1860*Resumo!$C$8</f>
        <v>1.637895</v>
      </c>
      <c r="M1860" s="61" t="n">
        <f aca="false">Resumo!$C$10*CEILING(G1860/100,1)</f>
        <v>1.05</v>
      </c>
      <c r="N1860" s="61" t="n">
        <f aca="false">Resumo!$C$9</f>
        <v>0</v>
      </c>
      <c r="O1860" s="61" t="n">
        <f aca="false">Resumo!$C$13</f>
        <v>13.55</v>
      </c>
      <c r="P1860" s="61" t="n">
        <f aca="false">Resumo!$C$14*CEILING(G1860,1)</f>
        <v>28.35</v>
      </c>
      <c r="Q1860" s="61" t="n">
        <f aca="false">SUM(I1860:P1860)*Resumo!$C$11</f>
        <v>0</v>
      </c>
      <c r="R1860" s="61" t="n">
        <f aca="false">SUM(I1860:Q1860)</f>
        <v>109.43579</v>
      </c>
      <c r="S1860" s="61" t="n">
        <f aca="false">R1860/(1-Resumo!$C$5)</f>
        <v>124.358852272727</v>
      </c>
      <c r="T1860" s="61" t="n">
        <v>131.02</v>
      </c>
      <c r="U1860" s="61" t="n">
        <f aca="false">H1860*Resumo!$B$6</f>
        <v>0.77995</v>
      </c>
      <c r="V1860" s="61" t="n">
        <f aca="false">H1860*Resumo!$B$7</f>
        <v>1.5599</v>
      </c>
      <c r="W1860" s="61" t="n">
        <f aca="false">Resumo!$B$9</f>
        <v>1</v>
      </c>
      <c r="X1860" s="61" t="n">
        <f aca="false">Resumo!$B$10*CEILING(G1860/100,1)</f>
        <v>4.5</v>
      </c>
      <c r="Y1860" s="61" t="n">
        <f aca="false">Resumo!$B$12*CEILING(G1860,1)</f>
        <v>3.78</v>
      </c>
      <c r="Z1860" s="61" t="n">
        <f aca="false">Resumo!$B$14*CEILING(G1860,1)</f>
        <v>28.35</v>
      </c>
      <c r="AA1860" s="61" t="n">
        <f aca="false">SUM(T1860:Z1860)</f>
        <v>170.98985</v>
      </c>
      <c r="AB1860" s="61" t="n">
        <f aca="false">AA1860/(1-Resumo!$B$5)</f>
        <v>194.306647727273</v>
      </c>
      <c r="AC1860" s="61" t="n">
        <f aca="false">AB1860-S1860</f>
        <v>69.9477954545455</v>
      </c>
      <c r="AD1860" s="62" t="n">
        <f aca="false">AB1860/S1860-1</f>
        <v>0.562467360997714</v>
      </c>
      <c r="AE1860" s="60" t="str">
        <f aca="false">IF(AB1860&lt;S1860,"SIM","NÃO")</f>
        <v>NÃO</v>
      </c>
      <c r="AF1860" s="60" t="n">
        <v>2</v>
      </c>
      <c r="AG1860" s="60" t="n">
        <v>5</v>
      </c>
      <c r="AH1860" s="60" t="s">
        <v>382</v>
      </c>
      <c r="AI1860" s="61" t="n">
        <f aca="false">(T1860*(1-Painel!$C$40)+U1860+V1860+Painel!$C$41+Painel!$C$42*CEILING(G1860/100,1)+Painel!$C$43*CEILING(G1860,1)+Z1860)/(1-Resumo!$B$5)</f>
        <v>136.958238636364</v>
      </c>
      <c r="AJ1860" s="60" t="str">
        <f aca="false">IF(AI1860&lt;S1860,"SIM","NÃO")</f>
        <v>NÃO</v>
      </c>
    </row>
    <row r="1861" customFormat="false" ht="15" hidden="false" customHeight="false" outlineLevel="0" collapsed="false">
      <c r="A1861" s="59" t="n">
        <v>46281.8375925926</v>
      </c>
      <c r="B1861" s="60" t="s">
        <v>2004</v>
      </c>
      <c r="C1861" s="60" t="n">
        <v>20521060</v>
      </c>
      <c r="D1861" s="60" t="s">
        <v>46</v>
      </c>
      <c r="E1861" s="60" t="s">
        <v>22</v>
      </c>
      <c r="F1861" s="60" t="s">
        <v>235</v>
      </c>
      <c r="G1861" s="60" t="n">
        <v>46.8</v>
      </c>
      <c r="H1861" s="61" t="n">
        <v>492.2</v>
      </c>
      <c r="I1861" s="61" t="n">
        <v>53.55</v>
      </c>
      <c r="J1861" s="61" t="n">
        <f aca="false">H1861*Resumo!$C$6</f>
        <v>0</v>
      </c>
      <c r="K1861" s="61" t="n">
        <f aca="false">H1861*Resumo!$C$7</f>
        <v>1.03362</v>
      </c>
      <c r="L1861" s="61" t="n">
        <f aca="false">H1861*Resumo!$C$8</f>
        <v>1.03362</v>
      </c>
      <c r="M1861" s="61" t="n">
        <f aca="false">Resumo!$C$10*CEILING(G1861/100,1)</f>
        <v>1.05</v>
      </c>
      <c r="N1861" s="61" t="n">
        <f aca="false">Resumo!$C$9</f>
        <v>0</v>
      </c>
      <c r="O1861" s="61" t="n">
        <f aca="false">Resumo!$C$13</f>
        <v>13.55</v>
      </c>
      <c r="P1861" s="61" t="n">
        <f aca="false">Resumo!$C$14*CEILING(G1861,1)</f>
        <v>21.15</v>
      </c>
      <c r="Q1861" s="61" t="n">
        <f aca="false">SUM(I1861:P1861)*Resumo!$C$11</f>
        <v>0</v>
      </c>
      <c r="R1861" s="61" t="n">
        <f aca="false">SUM(I1861:Q1861)</f>
        <v>91.36724</v>
      </c>
      <c r="S1861" s="61" t="n">
        <f aca="false">R1861/(1-Resumo!$C$5)</f>
        <v>103.826409090909</v>
      </c>
      <c r="T1861" s="61" t="n">
        <v>93.97</v>
      </c>
      <c r="U1861" s="61" t="n">
        <f aca="false">H1861*Resumo!$B$6</f>
        <v>0.4922</v>
      </c>
      <c r="V1861" s="61" t="n">
        <f aca="false">H1861*Resumo!$B$7</f>
        <v>0.9844</v>
      </c>
      <c r="W1861" s="61" t="n">
        <f aca="false">Resumo!$B$9</f>
        <v>1</v>
      </c>
      <c r="X1861" s="61" t="n">
        <f aca="false">Resumo!$B$10*CEILING(G1861/100,1)</f>
        <v>4.5</v>
      </c>
      <c r="Y1861" s="61" t="n">
        <f aca="false">Resumo!$B$12*CEILING(G1861,1)</f>
        <v>2.82</v>
      </c>
      <c r="Z1861" s="61" t="n">
        <f aca="false">Resumo!$B$14*CEILING(G1861,1)</f>
        <v>21.15</v>
      </c>
      <c r="AA1861" s="61" t="n">
        <f aca="false">SUM(T1861:Z1861)</f>
        <v>124.9166</v>
      </c>
      <c r="AB1861" s="61" t="n">
        <f aca="false">AA1861/(1-Resumo!$B$5)</f>
        <v>141.950681818182</v>
      </c>
      <c r="AC1861" s="61" t="n">
        <f aca="false">AB1861-S1861</f>
        <v>38.1242727272727</v>
      </c>
      <c r="AD1861" s="62" t="n">
        <f aca="false">AB1861/S1861-1</f>
        <v>0.367192442280187</v>
      </c>
      <c r="AE1861" s="60" t="str">
        <f aca="false">IF(AB1861&lt;S1861,"SIM","NÃO")</f>
        <v>NÃO</v>
      </c>
      <c r="AF1861" s="60" t="n">
        <v>2</v>
      </c>
      <c r="AG1861" s="60" t="n">
        <v>5</v>
      </c>
      <c r="AH1861" s="60" t="s">
        <v>382</v>
      </c>
      <c r="AI1861" s="61" t="n">
        <f aca="false">(T1861*(1-Painel!$C$40)+U1861+V1861+Painel!$C$41+Painel!$C$42*CEILING(G1861/100,1)+Painel!$C$43*CEILING(G1861,1)+Z1861)/(1-Resumo!$B$5)</f>
        <v>99.5869318181818</v>
      </c>
      <c r="AJ1861" s="60" t="str">
        <f aca="false">IF(AI1861&lt;S1861,"SIM","NÃO")</f>
        <v>SIM</v>
      </c>
    </row>
    <row r="1862" customFormat="false" ht="15" hidden="false" customHeight="false" outlineLevel="0" collapsed="false">
      <c r="A1862" s="59" t="n">
        <v>46281.8533912037</v>
      </c>
      <c r="B1862" s="60" t="s">
        <v>1727</v>
      </c>
      <c r="C1862" s="60" t="n">
        <v>28230000</v>
      </c>
      <c r="D1862" s="60" t="s">
        <v>306</v>
      </c>
      <c r="E1862" s="60" t="s">
        <v>24</v>
      </c>
      <c r="F1862" s="60" t="s">
        <v>237</v>
      </c>
      <c r="G1862" s="60" t="n">
        <v>66.8</v>
      </c>
      <c r="H1862" s="61" t="n">
        <v>666.23</v>
      </c>
      <c r="I1862" s="61" t="n">
        <v>90.2</v>
      </c>
      <c r="J1862" s="61" t="n">
        <f aca="false">H1862*Resumo!$C$6</f>
        <v>0</v>
      </c>
      <c r="K1862" s="61" t="n">
        <f aca="false">H1862*Resumo!$C$7</f>
        <v>1.399083</v>
      </c>
      <c r="L1862" s="61" t="n">
        <f aca="false">H1862*Resumo!$C$8</f>
        <v>1.399083</v>
      </c>
      <c r="M1862" s="61" t="n">
        <f aca="false">Resumo!$C$10*CEILING(G1862/100,1)</f>
        <v>1.05</v>
      </c>
      <c r="N1862" s="61" t="n">
        <f aca="false">Resumo!$C$9</f>
        <v>0</v>
      </c>
      <c r="O1862" s="61" t="n">
        <f aca="false">Resumo!$C$13</f>
        <v>13.55</v>
      </c>
      <c r="P1862" s="61" t="n">
        <f aca="false">Resumo!$C$14*CEILING(G1862,1)</f>
        <v>30.15</v>
      </c>
      <c r="Q1862" s="61" t="n">
        <f aca="false">SUM(I1862:P1862)*Resumo!$C$11</f>
        <v>0</v>
      </c>
      <c r="R1862" s="61" t="n">
        <f aca="false">SUM(I1862:Q1862)</f>
        <v>137.748166</v>
      </c>
      <c r="S1862" s="61" t="n">
        <f aca="false">R1862/(1-Resumo!$C$5)</f>
        <v>156.532006818182</v>
      </c>
      <c r="T1862" s="61" t="n">
        <v>171.54</v>
      </c>
      <c r="U1862" s="61" t="n">
        <f aca="false">H1862*Resumo!$B$6</f>
        <v>0.66623</v>
      </c>
      <c r="V1862" s="61" t="n">
        <f aca="false">H1862*Resumo!$B$7</f>
        <v>1.33246</v>
      </c>
      <c r="W1862" s="61" t="n">
        <f aca="false">Resumo!$B$9</f>
        <v>1</v>
      </c>
      <c r="X1862" s="61" t="n">
        <f aca="false">Resumo!$B$10*CEILING(G1862/100,1)</f>
        <v>4.5</v>
      </c>
      <c r="Y1862" s="61" t="n">
        <f aca="false">Resumo!$B$12*CEILING(G1862,1)</f>
        <v>4.02</v>
      </c>
      <c r="Z1862" s="61" t="n">
        <f aca="false">Resumo!$B$14*CEILING(G1862,1)</f>
        <v>30.15</v>
      </c>
      <c r="AA1862" s="61" t="n">
        <f aca="false">SUM(T1862:Z1862)</f>
        <v>213.20869</v>
      </c>
      <c r="AB1862" s="61" t="n">
        <f aca="false">AA1862/(1-Resumo!$B$5)</f>
        <v>242.282602272727</v>
      </c>
      <c r="AC1862" s="61" t="n">
        <f aca="false">AB1862-S1862</f>
        <v>85.7505954545455</v>
      </c>
      <c r="AD1862" s="62" t="n">
        <f aca="false">AB1862/S1862-1</f>
        <v>0.547815090329406</v>
      </c>
      <c r="AE1862" s="60" t="str">
        <f aca="false">IF(AB1862&lt;S1862,"SIM","NÃO")</f>
        <v>NÃO</v>
      </c>
      <c r="AF1862" s="60" t="n">
        <v>13</v>
      </c>
      <c r="AG1862" s="60" t="n">
        <v>11</v>
      </c>
      <c r="AH1862" s="60" t="s">
        <v>385</v>
      </c>
      <c r="AI1862" s="61" t="n">
        <f aca="false">(T1862*(1-Painel!$C$40)+U1862+V1862+Painel!$C$41+Painel!$C$42*CEILING(G1862/100,1)+Painel!$C$43*CEILING(G1862,1)+Z1862)/(1-Resumo!$B$5)</f>
        <v>169.466465909091</v>
      </c>
      <c r="AJ1862" s="60" t="str">
        <f aca="false">IF(AI1862&lt;S1862,"SIM","NÃO")</f>
        <v>NÃO</v>
      </c>
    </row>
    <row r="1863" customFormat="false" ht="15" hidden="false" customHeight="false" outlineLevel="0" collapsed="false">
      <c r="A1863" s="59" t="n">
        <v>46281.8899305556</v>
      </c>
      <c r="B1863" s="60" t="s">
        <v>1206</v>
      </c>
      <c r="C1863" s="60" t="n">
        <v>21215395</v>
      </c>
      <c r="D1863" s="60" t="s">
        <v>46</v>
      </c>
      <c r="E1863" s="60" t="s">
        <v>22</v>
      </c>
      <c r="F1863" s="60" t="s">
        <v>233</v>
      </c>
      <c r="G1863" s="60" t="n">
        <v>26.4</v>
      </c>
      <c r="H1863" s="61" t="n">
        <v>399.99</v>
      </c>
      <c r="I1863" s="61" t="n">
        <v>42.11</v>
      </c>
      <c r="J1863" s="61" t="n">
        <f aca="false">H1863*Resumo!$C$6</f>
        <v>0</v>
      </c>
      <c r="K1863" s="61" t="n">
        <f aca="false">H1863*Resumo!$C$7</f>
        <v>0.839979</v>
      </c>
      <c r="L1863" s="61" t="n">
        <f aca="false">H1863*Resumo!$C$8</f>
        <v>0.839979</v>
      </c>
      <c r="M1863" s="61" t="n">
        <f aca="false">Resumo!$C$10*CEILING(G1863/100,1)</f>
        <v>1.05</v>
      </c>
      <c r="N1863" s="61" t="n">
        <f aca="false">Resumo!$C$9</f>
        <v>0</v>
      </c>
      <c r="O1863" s="61" t="n">
        <f aca="false">Resumo!$C$13</f>
        <v>13.55</v>
      </c>
      <c r="P1863" s="61" t="n">
        <f aca="false">Resumo!$C$14*CEILING(G1863,1)</f>
        <v>12.15</v>
      </c>
      <c r="Q1863" s="61" t="n">
        <f aca="false">SUM(I1863:P1863)*Resumo!$C$11</f>
        <v>0</v>
      </c>
      <c r="R1863" s="61" t="n">
        <f aca="false">SUM(I1863:Q1863)</f>
        <v>70.539958</v>
      </c>
      <c r="S1863" s="61" t="n">
        <f aca="false">R1863/(1-Resumo!$C$5)</f>
        <v>80.1590431818182</v>
      </c>
      <c r="T1863" s="61" t="n">
        <v>82.21</v>
      </c>
      <c r="U1863" s="61" t="n">
        <f aca="false">H1863*Resumo!$B$6</f>
        <v>0.39999</v>
      </c>
      <c r="V1863" s="61" t="n">
        <f aca="false">H1863*Resumo!$B$7</f>
        <v>0.79998</v>
      </c>
      <c r="W1863" s="61" t="n">
        <f aca="false">Resumo!$B$9</f>
        <v>1</v>
      </c>
      <c r="X1863" s="61" t="n">
        <f aca="false">Resumo!$B$10*CEILING(G1863/100,1)</f>
        <v>4.5</v>
      </c>
      <c r="Y1863" s="61" t="n">
        <f aca="false">Resumo!$B$12*CEILING(G1863,1)</f>
        <v>1.62</v>
      </c>
      <c r="Z1863" s="61" t="n">
        <f aca="false">Resumo!$B$14*CEILING(G1863,1)</f>
        <v>12.15</v>
      </c>
      <c r="AA1863" s="61" t="n">
        <f aca="false">SUM(T1863:Z1863)</f>
        <v>102.67997</v>
      </c>
      <c r="AB1863" s="61" t="n">
        <f aca="false">AA1863/(1-Resumo!$B$5)</f>
        <v>116.681784090909</v>
      </c>
      <c r="AC1863" s="61" t="n">
        <f aca="false">AB1863-S1863</f>
        <v>36.5227409090909</v>
      </c>
      <c r="AD1863" s="62" t="n">
        <f aca="false">AB1863/S1863-1</f>
        <v>0.455628453875745</v>
      </c>
      <c r="AE1863" s="60" t="str">
        <f aca="false">IF(AB1863&lt;S1863,"SIM","NÃO")</f>
        <v>NÃO</v>
      </c>
      <c r="AF1863" s="60" t="n">
        <v>2</v>
      </c>
      <c r="AG1863" s="60" t="n">
        <v>5</v>
      </c>
      <c r="AH1863" s="60" t="s">
        <v>382</v>
      </c>
      <c r="AI1863" s="61" t="n">
        <f aca="false">(T1863*(1-Painel!$C$40)+U1863+V1863+Painel!$C$41+Painel!$C$42*CEILING(G1863/100,1)+Painel!$C$43*CEILING(G1863,1)+Z1863)/(1-Resumo!$B$5)</f>
        <v>80.0916704545454</v>
      </c>
      <c r="AJ1863" s="60" t="str">
        <f aca="false">IF(AI1863&lt;S1863,"SIM","NÃO")</f>
        <v>SIM</v>
      </c>
    </row>
    <row r="1864" customFormat="false" ht="15" hidden="false" customHeight="false" outlineLevel="0" collapsed="false">
      <c r="A1864" s="59" t="n">
        <v>46281.8965740741</v>
      </c>
      <c r="B1864" s="60" t="s">
        <v>2052</v>
      </c>
      <c r="C1864" s="60" t="n">
        <v>23028620</v>
      </c>
      <c r="D1864" s="60" t="s">
        <v>46</v>
      </c>
      <c r="E1864" s="60" t="s">
        <v>22</v>
      </c>
      <c r="F1864" s="60" t="s">
        <v>237</v>
      </c>
      <c r="G1864" s="60" t="n">
        <v>66.8</v>
      </c>
      <c r="H1864" s="61" t="n">
        <v>823.52</v>
      </c>
      <c r="I1864" s="61" t="n">
        <v>63.21</v>
      </c>
      <c r="J1864" s="61" t="n">
        <f aca="false">H1864*Resumo!$C$6</f>
        <v>0</v>
      </c>
      <c r="K1864" s="61" t="n">
        <f aca="false">H1864*Resumo!$C$7</f>
        <v>1.729392</v>
      </c>
      <c r="L1864" s="61" t="n">
        <f aca="false">H1864*Resumo!$C$8</f>
        <v>1.729392</v>
      </c>
      <c r="M1864" s="61" t="n">
        <f aca="false">Resumo!$C$10*CEILING(G1864/100,1)</f>
        <v>1.05</v>
      </c>
      <c r="N1864" s="61" t="n">
        <f aca="false">Resumo!$C$9</f>
        <v>0</v>
      </c>
      <c r="O1864" s="61" t="n">
        <f aca="false">Resumo!$C$13</f>
        <v>13.55</v>
      </c>
      <c r="P1864" s="61" t="n">
        <f aca="false">Resumo!$C$14*CEILING(G1864,1)</f>
        <v>30.15</v>
      </c>
      <c r="Q1864" s="61" t="n">
        <f aca="false">SUM(I1864:P1864)*Resumo!$C$11</f>
        <v>0</v>
      </c>
      <c r="R1864" s="61" t="n">
        <f aca="false">SUM(I1864:Q1864)</f>
        <v>111.418784</v>
      </c>
      <c r="S1864" s="61" t="n">
        <f aca="false">R1864/(1-Resumo!$C$5)</f>
        <v>126.612254545455</v>
      </c>
      <c r="T1864" s="61" t="n">
        <v>131.02</v>
      </c>
      <c r="U1864" s="61" t="n">
        <f aca="false">H1864*Resumo!$B$6</f>
        <v>0.82352</v>
      </c>
      <c r="V1864" s="61" t="n">
        <f aca="false">H1864*Resumo!$B$7</f>
        <v>1.64704</v>
      </c>
      <c r="W1864" s="61" t="n">
        <f aca="false">Resumo!$B$9</f>
        <v>1</v>
      </c>
      <c r="X1864" s="61" t="n">
        <f aca="false">Resumo!$B$10*CEILING(G1864/100,1)</f>
        <v>4.5</v>
      </c>
      <c r="Y1864" s="61" t="n">
        <f aca="false">Resumo!$B$12*CEILING(G1864,1)</f>
        <v>4.02</v>
      </c>
      <c r="Z1864" s="61" t="n">
        <f aca="false">Resumo!$B$14*CEILING(G1864,1)</f>
        <v>30.15</v>
      </c>
      <c r="AA1864" s="61" t="n">
        <f aca="false">SUM(T1864:Z1864)</f>
        <v>173.16056</v>
      </c>
      <c r="AB1864" s="61" t="n">
        <f aca="false">AA1864/(1-Resumo!$B$5)</f>
        <v>196.773363636364</v>
      </c>
      <c r="AC1864" s="61" t="n">
        <f aca="false">AB1864-S1864</f>
        <v>70.1611090909091</v>
      </c>
      <c r="AD1864" s="62" t="n">
        <f aca="false">AB1864/S1864-1</f>
        <v>0.5541415350575</v>
      </c>
      <c r="AE1864" s="60" t="str">
        <f aca="false">IF(AB1864&lt;S1864,"SIM","NÃO")</f>
        <v>NÃO</v>
      </c>
      <c r="AF1864" s="60" t="n">
        <v>2</v>
      </c>
      <c r="AG1864" s="60" t="n">
        <v>5</v>
      </c>
      <c r="AH1864" s="60" t="s">
        <v>382</v>
      </c>
      <c r="AI1864" s="61" t="n">
        <f aca="false">(T1864*(1-Painel!$C$40)+U1864+V1864+Painel!$C$41+Painel!$C$42*CEILING(G1864/100,1)+Painel!$C$43*CEILING(G1864,1)+Z1864)/(1-Resumo!$B$5)</f>
        <v>139.152227272727</v>
      </c>
      <c r="AJ1864" s="60" t="str">
        <f aca="false">IF(AI1864&lt;S1864,"SIM","NÃO")</f>
        <v>NÃO</v>
      </c>
    </row>
    <row r="1865" customFormat="false" ht="15" hidden="false" customHeight="false" outlineLevel="0" collapsed="false">
      <c r="A1865" s="59" t="n">
        <v>46281.9081712963</v>
      </c>
      <c r="B1865" s="60" t="s">
        <v>2053</v>
      </c>
      <c r="C1865" s="60" t="n">
        <v>24416170</v>
      </c>
      <c r="D1865" s="60" t="s">
        <v>47</v>
      </c>
      <c r="E1865" s="60" t="s">
        <v>23</v>
      </c>
      <c r="F1865" s="60" t="s">
        <v>236</v>
      </c>
      <c r="G1865" s="60" t="n">
        <v>52.3</v>
      </c>
      <c r="H1865" s="61" t="n">
        <v>645.14</v>
      </c>
      <c r="I1865" s="61" t="n">
        <v>70.98</v>
      </c>
      <c r="J1865" s="61" t="n">
        <f aca="false">H1865*Resumo!$C$6</f>
        <v>0</v>
      </c>
      <c r="K1865" s="61" t="n">
        <f aca="false">H1865*Resumo!$C$7</f>
        <v>1.354794</v>
      </c>
      <c r="L1865" s="61" t="n">
        <f aca="false">H1865*Resumo!$C$8</f>
        <v>1.354794</v>
      </c>
      <c r="M1865" s="61" t="n">
        <f aca="false">Resumo!$C$10*CEILING(G1865/100,1)</f>
        <v>1.05</v>
      </c>
      <c r="N1865" s="61" t="n">
        <f aca="false">Resumo!$C$9</f>
        <v>0</v>
      </c>
      <c r="O1865" s="61" t="n">
        <f aca="false">Resumo!$C$13</f>
        <v>13.55</v>
      </c>
      <c r="P1865" s="61" t="n">
        <f aca="false">Resumo!$C$14*CEILING(G1865,1)</f>
        <v>23.85</v>
      </c>
      <c r="Q1865" s="61" t="n">
        <f aca="false">SUM(I1865:P1865)*Resumo!$C$11</f>
        <v>0</v>
      </c>
      <c r="R1865" s="61" t="n">
        <f aca="false">SUM(I1865:Q1865)</f>
        <v>112.139588</v>
      </c>
      <c r="S1865" s="61" t="n">
        <f aca="false">R1865/(1-Resumo!$C$5)</f>
        <v>127.43135</v>
      </c>
      <c r="T1865" s="61" t="n">
        <v>128.14</v>
      </c>
      <c r="U1865" s="61" t="n">
        <f aca="false">H1865*Resumo!$B$6</f>
        <v>0.64514</v>
      </c>
      <c r="V1865" s="61" t="n">
        <f aca="false">H1865*Resumo!$B$7</f>
        <v>1.29028</v>
      </c>
      <c r="W1865" s="61" t="n">
        <f aca="false">Resumo!$B$9</f>
        <v>1</v>
      </c>
      <c r="X1865" s="61" t="n">
        <f aca="false">Resumo!$B$10*CEILING(G1865/100,1)</f>
        <v>4.5</v>
      </c>
      <c r="Y1865" s="61" t="n">
        <f aca="false">Resumo!$B$12*CEILING(G1865,1)</f>
        <v>3.18</v>
      </c>
      <c r="Z1865" s="61" t="n">
        <f aca="false">Resumo!$B$14*CEILING(G1865,1)</f>
        <v>23.85</v>
      </c>
      <c r="AA1865" s="61" t="n">
        <f aca="false">SUM(T1865:Z1865)</f>
        <v>162.60542</v>
      </c>
      <c r="AB1865" s="61" t="n">
        <f aca="false">AA1865/(1-Resumo!$B$5)</f>
        <v>184.778886363636</v>
      </c>
      <c r="AC1865" s="61" t="n">
        <f aca="false">AB1865-S1865</f>
        <v>57.3475363636363</v>
      </c>
      <c r="AD1865" s="62" t="n">
        <f aca="false">AB1865/S1865-1</f>
        <v>0.45002690753599</v>
      </c>
      <c r="AE1865" s="60" t="str">
        <f aca="false">IF(AB1865&lt;S1865,"SIM","NÃO")</f>
        <v>NÃO</v>
      </c>
      <c r="AF1865" s="60" t="n">
        <v>2</v>
      </c>
      <c r="AG1865" s="60" t="n">
        <v>7</v>
      </c>
      <c r="AH1865" s="60" t="s">
        <v>382</v>
      </c>
      <c r="AI1865" s="61" t="n">
        <f aca="false">(T1865*(1-Painel!$C$40)+U1865+V1865+Painel!$C$41+Painel!$C$42*CEILING(G1865/100,1)+Painel!$C$43*CEILING(G1865,1)+Z1865)/(1-Resumo!$B$5)</f>
        <v>129.192295454545</v>
      </c>
      <c r="AJ1865" s="60" t="str">
        <f aca="false">IF(AI1865&lt;S1865,"SIM","NÃO")</f>
        <v>NÃO</v>
      </c>
    </row>
    <row r="1866" customFormat="false" ht="15" hidden="false" customHeight="false" outlineLevel="0" collapsed="false">
      <c r="A1866" s="59" t="n">
        <v>46281.908599537</v>
      </c>
      <c r="B1866" s="60" t="s">
        <v>2054</v>
      </c>
      <c r="C1866" s="60" t="n">
        <v>27910060</v>
      </c>
      <c r="D1866" s="60" t="s">
        <v>53</v>
      </c>
      <c r="E1866" s="60" t="s">
        <v>24</v>
      </c>
      <c r="F1866" s="60" t="s">
        <v>239</v>
      </c>
      <c r="G1866" s="60" t="n">
        <v>81.7</v>
      </c>
      <c r="H1866" s="61" t="n">
        <v>645.99</v>
      </c>
      <c r="I1866" s="61" t="n">
        <v>109.63</v>
      </c>
      <c r="J1866" s="61" t="n">
        <f aca="false">H1866*Resumo!$C$6</f>
        <v>0</v>
      </c>
      <c r="K1866" s="61" t="n">
        <f aca="false">H1866*Resumo!$C$7</f>
        <v>1.356579</v>
      </c>
      <c r="L1866" s="61" t="n">
        <f aca="false">H1866*Resumo!$C$8</f>
        <v>1.356579</v>
      </c>
      <c r="M1866" s="61" t="n">
        <f aca="false">Resumo!$C$10*CEILING(G1866/100,1)</f>
        <v>1.05</v>
      </c>
      <c r="N1866" s="61" t="n">
        <f aca="false">Resumo!$C$9</f>
        <v>0</v>
      </c>
      <c r="O1866" s="61" t="n">
        <f aca="false">Resumo!$C$13</f>
        <v>13.55</v>
      </c>
      <c r="P1866" s="61" t="n">
        <f aca="false">Resumo!$C$14*CEILING(G1866,1)</f>
        <v>36.9</v>
      </c>
      <c r="Q1866" s="61" t="n">
        <f aca="false">SUM(I1866:P1866)*Resumo!$C$11</f>
        <v>0</v>
      </c>
      <c r="R1866" s="61" t="n">
        <f aca="false">SUM(I1866:Q1866)</f>
        <v>163.843158</v>
      </c>
      <c r="S1866" s="61" t="n">
        <f aca="false">R1866/(1-Resumo!$C$5)</f>
        <v>186.185406818182</v>
      </c>
      <c r="T1866" s="61" t="n">
        <v>200.04</v>
      </c>
      <c r="U1866" s="61" t="n">
        <f aca="false">H1866*Resumo!$B$6</f>
        <v>0.64599</v>
      </c>
      <c r="V1866" s="61" t="n">
        <f aca="false">H1866*Resumo!$B$7</f>
        <v>1.29198</v>
      </c>
      <c r="W1866" s="61" t="n">
        <f aca="false">Resumo!$B$9</f>
        <v>1</v>
      </c>
      <c r="X1866" s="61" t="n">
        <f aca="false">Resumo!$B$10*CEILING(G1866/100,1)</f>
        <v>4.5</v>
      </c>
      <c r="Y1866" s="61" t="n">
        <f aca="false">Resumo!$B$12*CEILING(G1866,1)</f>
        <v>4.92</v>
      </c>
      <c r="Z1866" s="61" t="n">
        <f aca="false">Resumo!$B$14*CEILING(G1866,1)</f>
        <v>36.9</v>
      </c>
      <c r="AA1866" s="61" t="n">
        <f aca="false">SUM(T1866:Z1866)</f>
        <v>249.29797</v>
      </c>
      <c r="AB1866" s="61" t="n">
        <f aca="false">AA1866/(1-Resumo!$B$5)</f>
        <v>283.293147727273</v>
      </c>
      <c r="AC1866" s="61" t="n">
        <f aca="false">AB1866-S1866</f>
        <v>97.1077409090909</v>
      </c>
      <c r="AD1866" s="62" t="n">
        <f aca="false">AB1866/S1866-1</f>
        <v>0.521564727164255</v>
      </c>
      <c r="AE1866" s="60" t="str">
        <f aca="false">IF(AB1866&lt;S1866,"SIM","NÃO")</f>
        <v>NÃO</v>
      </c>
      <c r="AF1866" s="60" t="n">
        <v>13</v>
      </c>
      <c r="AG1866" s="60" t="n">
        <v>11</v>
      </c>
      <c r="AH1866" s="60" t="s">
        <v>382</v>
      </c>
      <c r="AI1866" s="61" t="n">
        <f aca="false">(T1866*(1-Painel!$C$40)+U1866+V1866+Painel!$C$41+Painel!$C$42*CEILING(G1866/100,1)+Painel!$C$43*CEILING(G1866,1)+Z1866)/(1-Resumo!$B$5)</f>
        <v>198.766784090909</v>
      </c>
      <c r="AJ1866" s="60" t="str">
        <f aca="false">IF(AI1866&lt;S1866,"SIM","NÃO")</f>
        <v>NÃO</v>
      </c>
    </row>
    <row r="1867" customFormat="false" ht="15" hidden="false" customHeight="false" outlineLevel="0" collapsed="false">
      <c r="A1867" s="59" t="n">
        <v>46281.9095717593</v>
      </c>
      <c r="B1867" s="60" t="s">
        <v>2055</v>
      </c>
      <c r="C1867" s="60" t="n">
        <v>24410100</v>
      </c>
      <c r="D1867" s="60" t="s">
        <v>47</v>
      </c>
      <c r="E1867" s="60" t="s">
        <v>23</v>
      </c>
      <c r="F1867" s="60" t="s">
        <v>239</v>
      </c>
      <c r="G1867" s="60" t="n">
        <v>81.7</v>
      </c>
      <c r="H1867" s="61" t="n">
        <v>879.99</v>
      </c>
      <c r="I1867" s="61" t="n">
        <v>92.32</v>
      </c>
      <c r="J1867" s="61" t="n">
        <f aca="false">H1867*Resumo!$C$6</f>
        <v>0</v>
      </c>
      <c r="K1867" s="61" t="n">
        <f aca="false">H1867*Resumo!$C$7</f>
        <v>1.847979</v>
      </c>
      <c r="L1867" s="61" t="n">
        <f aca="false">H1867*Resumo!$C$8</f>
        <v>1.847979</v>
      </c>
      <c r="M1867" s="61" t="n">
        <f aca="false">Resumo!$C$10*CEILING(G1867/100,1)</f>
        <v>1.05</v>
      </c>
      <c r="N1867" s="61" t="n">
        <f aca="false">Resumo!$C$9</f>
        <v>0</v>
      </c>
      <c r="O1867" s="61" t="n">
        <f aca="false">Resumo!$C$13</f>
        <v>13.55</v>
      </c>
      <c r="P1867" s="61" t="n">
        <f aca="false">Resumo!$C$14*CEILING(G1867,1)</f>
        <v>36.9</v>
      </c>
      <c r="Q1867" s="61" t="n">
        <f aca="false">SUM(I1867:P1867)*Resumo!$C$11</f>
        <v>0</v>
      </c>
      <c r="R1867" s="61" t="n">
        <f aca="false">SUM(I1867:Q1867)</f>
        <v>147.515958</v>
      </c>
      <c r="S1867" s="61" t="n">
        <f aca="false">R1867/(1-Resumo!$C$5)</f>
        <v>167.631770454545</v>
      </c>
      <c r="T1867" s="61" t="n">
        <v>178.42</v>
      </c>
      <c r="U1867" s="61" t="n">
        <f aca="false">H1867*Resumo!$B$6</f>
        <v>0.87999</v>
      </c>
      <c r="V1867" s="61" t="n">
        <f aca="false">H1867*Resumo!$B$7</f>
        <v>1.75998</v>
      </c>
      <c r="W1867" s="61" t="n">
        <f aca="false">Resumo!$B$9</f>
        <v>1</v>
      </c>
      <c r="X1867" s="61" t="n">
        <f aca="false">Resumo!$B$10*CEILING(G1867/100,1)</f>
        <v>4.5</v>
      </c>
      <c r="Y1867" s="61" t="n">
        <f aca="false">Resumo!$B$12*CEILING(G1867,1)</f>
        <v>4.92</v>
      </c>
      <c r="Z1867" s="61" t="n">
        <f aca="false">Resumo!$B$14*CEILING(G1867,1)</f>
        <v>36.9</v>
      </c>
      <c r="AA1867" s="61" t="n">
        <f aca="false">SUM(T1867:Z1867)</f>
        <v>228.37997</v>
      </c>
      <c r="AB1867" s="61" t="n">
        <f aca="false">AA1867/(1-Resumo!$B$5)</f>
        <v>259.522693181818</v>
      </c>
      <c r="AC1867" s="61" t="n">
        <f aca="false">AB1867-S1867</f>
        <v>91.8909227272727</v>
      </c>
      <c r="AD1867" s="62" t="n">
        <f aca="false">AB1867/S1867-1</f>
        <v>0.548171283272282</v>
      </c>
      <c r="AE1867" s="60" t="str">
        <f aca="false">IF(AB1867&lt;S1867,"SIM","NÃO")</f>
        <v>NÃO</v>
      </c>
      <c r="AF1867" s="60" t="n">
        <v>2</v>
      </c>
      <c r="AG1867" s="60" t="n">
        <v>7</v>
      </c>
      <c r="AH1867" s="60" t="s">
        <v>382</v>
      </c>
      <c r="AI1867" s="61" t="n">
        <f aca="false">(T1867*(1-Painel!$C$40)+U1867+V1867+Painel!$C$41+Painel!$C$42*CEILING(G1867/100,1)+Painel!$C$43*CEILING(G1867,1)+Z1867)/(1-Resumo!$B$5)</f>
        <v>183.103829545455</v>
      </c>
      <c r="AJ1867" s="60" t="str">
        <f aca="false">IF(AI1867&lt;S1867,"SIM","NÃO")</f>
        <v>NÃO</v>
      </c>
    </row>
    <row r="1868" customFormat="false" ht="15" hidden="false" customHeight="false" outlineLevel="0" collapsed="false">
      <c r="A1868" s="59" t="n">
        <v>46281.9181018519</v>
      </c>
      <c r="B1868" s="60" t="s">
        <v>2056</v>
      </c>
      <c r="C1868" s="60" t="n">
        <v>21850510</v>
      </c>
      <c r="D1868" s="60" t="s">
        <v>46</v>
      </c>
      <c r="E1868" s="60" t="s">
        <v>22</v>
      </c>
      <c r="F1868" s="60" t="s">
        <v>233</v>
      </c>
      <c r="G1868" s="60" t="n">
        <v>21.3</v>
      </c>
      <c r="H1868" s="61" t="n">
        <v>299.99</v>
      </c>
      <c r="I1868" s="61" t="n">
        <v>42.11</v>
      </c>
      <c r="J1868" s="61" t="n">
        <f aca="false">H1868*Resumo!$C$6</f>
        <v>0</v>
      </c>
      <c r="K1868" s="61" t="n">
        <f aca="false">H1868*Resumo!$C$7</f>
        <v>0.629979</v>
      </c>
      <c r="L1868" s="61" t="n">
        <f aca="false">H1868*Resumo!$C$8</f>
        <v>0.629979</v>
      </c>
      <c r="M1868" s="61" t="n">
        <f aca="false">Resumo!$C$10*CEILING(G1868/100,1)</f>
        <v>1.05</v>
      </c>
      <c r="N1868" s="61" t="n">
        <f aca="false">Resumo!$C$9</f>
        <v>0</v>
      </c>
      <c r="O1868" s="61" t="n">
        <f aca="false">Resumo!$C$13</f>
        <v>13.55</v>
      </c>
      <c r="P1868" s="61" t="n">
        <f aca="false">Resumo!$C$14*CEILING(G1868,1)</f>
        <v>9.9</v>
      </c>
      <c r="Q1868" s="61" t="n">
        <f aca="false">SUM(I1868:P1868)*Resumo!$C$11</f>
        <v>0</v>
      </c>
      <c r="R1868" s="61" t="n">
        <f aca="false">SUM(I1868:Q1868)</f>
        <v>67.869958</v>
      </c>
      <c r="S1868" s="61" t="n">
        <f aca="false">R1868/(1-Resumo!$C$5)</f>
        <v>77.1249522727273</v>
      </c>
      <c r="T1868" s="61" t="n">
        <v>82.21</v>
      </c>
      <c r="U1868" s="61" t="n">
        <f aca="false">H1868*Resumo!$B$6</f>
        <v>0.29999</v>
      </c>
      <c r="V1868" s="61" t="n">
        <f aca="false">H1868*Resumo!$B$7</f>
        <v>0.59998</v>
      </c>
      <c r="W1868" s="61" t="n">
        <f aca="false">Resumo!$B$9</f>
        <v>1</v>
      </c>
      <c r="X1868" s="61" t="n">
        <f aca="false">Resumo!$B$10*CEILING(G1868/100,1)</f>
        <v>4.5</v>
      </c>
      <c r="Y1868" s="61" t="n">
        <f aca="false">Resumo!$B$12*CEILING(G1868,1)</f>
        <v>1.32</v>
      </c>
      <c r="Z1868" s="61" t="n">
        <f aca="false">Resumo!$B$14*CEILING(G1868,1)</f>
        <v>9.9</v>
      </c>
      <c r="AA1868" s="61" t="n">
        <f aca="false">SUM(T1868:Z1868)</f>
        <v>99.82997</v>
      </c>
      <c r="AB1868" s="61" t="n">
        <f aca="false">AA1868/(1-Resumo!$B$5)</f>
        <v>113.443147727273</v>
      </c>
      <c r="AC1868" s="61" t="n">
        <f aca="false">AB1868-S1868</f>
        <v>36.3181954545455</v>
      </c>
      <c r="AD1868" s="62" t="n">
        <f aca="false">AB1868/S1868-1</f>
        <v>0.470900718695008</v>
      </c>
      <c r="AE1868" s="60" t="str">
        <f aca="false">IF(AB1868&lt;S1868,"SIM","NÃO")</f>
        <v>NÃO</v>
      </c>
      <c r="AF1868" s="60" t="n">
        <v>2</v>
      </c>
      <c r="AG1868" s="60" t="n">
        <v>5</v>
      </c>
      <c r="AH1868" s="60" t="s">
        <v>382</v>
      </c>
      <c r="AI1868" s="61" t="n">
        <f aca="false">(T1868*(1-Painel!$C$40)+U1868+V1868+Painel!$C$41+Painel!$C$42*CEILING(G1868/100,1)+Painel!$C$43*CEILING(G1868,1)+Z1868)/(1-Resumo!$B$5)</f>
        <v>77.1939431818182</v>
      </c>
      <c r="AJ1868" s="60" t="str">
        <f aca="false">IF(AI1868&lt;S1868,"SIM","NÃO")</f>
        <v>NÃO</v>
      </c>
    </row>
    <row r="1869" customFormat="false" ht="15" hidden="false" customHeight="false" outlineLevel="0" collapsed="false">
      <c r="A1869" s="59" t="n">
        <v>46281.9363657407</v>
      </c>
      <c r="B1869" s="60" t="s">
        <v>2057</v>
      </c>
      <c r="C1869" s="60" t="n">
        <v>22715410</v>
      </c>
      <c r="D1869" s="60" t="s">
        <v>46</v>
      </c>
      <c r="E1869" s="60" t="s">
        <v>22</v>
      </c>
      <c r="F1869" s="60" t="s">
        <v>233</v>
      </c>
      <c r="G1869" s="60" t="n">
        <v>34</v>
      </c>
      <c r="H1869" s="61" t="n">
        <v>529.32</v>
      </c>
      <c r="I1869" s="61" t="n">
        <v>42.11</v>
      </c>
      <c r="J1869" s="61" t="n">
        <f aca="false">H1869*Resumo!$C$6</f>
        <v>0</v>
      </c>
      <c r="K1869" s="61" t="n">
        <f aca="false">H1869*Resumo!$C$7</f>
        <v>1.111572</v>
      </c>
      <c r="L1869" s="61" t="n">
        <f aca="false">H1869*Resumo!$C$8</f>
        <v>1.111572</v>
      </c>
      <c r="M1869" s="61" t="n">
        <f aca="false">Resumo!$C$10*CEILING(G1869/100,1)</f>
        <v>1.05</v>
      </c>
      <c r="N1869" s="61" t="n">
        <f aca="false">Resumo!$C$9</f>
        <v>0</v>
      </c>
      <c r="O1869" s="61" t="n">
        <f aca="false">Resumo!$C$13</f>
        <v>13.55</v>
      </c>
      <c r="P1869" s="61" t="n">
        <f aca="false">Resumo!$C$14*CEILING(G1869,1)</f>
        <v>15.3</v>
      </c>
      <c r="Q1869" s="61" t="n">
        <f aca="false">SUM(I1869:P1869)*Resumo!$C$11</f>
        <v>0</v>
      </c>
      <c r="R1869" s="61" t="n">
        <f aca="false">SUM(I1869:Q1869)</f>
        <v>74.233144</v>
      </c>
      <c r="S1869" s="61" t="n">
        <f aca="false">R1869/(1-Resumo!$C$5)</f>
        <v>84.3558454545455</v>
      </c>
      <c r="T1869" s="61" t="n">
        <v>82.21</v>
      </c>
      <c r="U1869" s="61" t="n">
        <f aca="false">H1869*Resumo!$B$6</f>
        <v>0.52932</v>
      </c>
      <c r="V1869" s="61" t="n">
        <f aca="false">H1869*Resumo!$B$7</f>
        <v>1.05864</v>
      </c>
      <c r="W1869" s="61" t="n">
        <f aca="false">Resumo!$B$9</f>
        <v>1</v>
      </c>
      <c r="X1869" s="61" t="n">
        <f aca="false">Resumo!$B$10*CEILING(G1869/100,1)</f>
        <v>4.5</v>
      </c>
      <c r="Y1869" s="61" t="n">
        <f aca="false">Resumo!$B$12*CEILING(G1869,1)</f>
        <v>2.04</v>
      </c>
      <c r="Z1869" s="61" t="n">
        <f aca="false">Resumo!$B$14*CEILING(G1869,1)</f>
        <v>15.3</v>
      </c>
      <c r="AA1869" s="61" t="n">
        <f aca="false">SUM(T1869:Z1869)</f>
        <v>106.63796</v>
      </c>
      <c r="AB1869" s="61" t="n">
        <f aca="false">AA1869/(1-Resumo!$B$5)</f>
        <v>121.1795</v>
      </c>
      <c r="AC1869" s="61" t="n">
        <f aca="false">AB1869-S1869</f>
        <v>36.8236545454545</v>
      </c>
      <c r="AD1869" s="62" t="n">
        <f aca="false">AB1869/S1869-1</f>
        <v>0.436527597430064</v>
      </c>
      <c r="AE1869" s="60" t="str">
        <f aca="false">IF(AB1869&lt;S1869,"SIM","NÃO")</f>
        <v>NÃO</v>
      </c>
      <c r="AF1869" s="60" t="n">
        <v>2</v>
      </c>
      <c r="AG1869" s="60" t="n">
        <v>5</v>
      </c>
      <c r="AH1869" s="60" t="s">
        <v>382</v>
      </c>
      <c r="AI1869" s="61" t="n">
        <f aca="false">(T1869*(1-Painel!$C$40)+U1869+V1869+Painel!$C$41+Painel!$C$42*CEILING(G1869/100,1)+Painel!$C$43*CEILING(G1869,1)+Z1869)/(1-Resumo!$B$5)</f>
        <v>84.1121136363636</v>
      </c>
      <c r="AJ1869" s="60" t="str">
        <f aca="false">IF(AI1869&lt;S1869,"SIM","NÃO")</f>
        <v>SIM</v>
      </c>
    </row>
    <row r="1870" customFormat="false" ht="15" hidden="false" customHeight="false" outlineLevel="0" collapsed="false">
      <c r="A1870" s="59" t="n">
        <v>46281.9581597222</v>
      </c>
      <c r="B1870" s="60" t="s">
        <v>2058</v>
      </c>
      <c r="C1870" s="60" t="n">
        <v>22783551</v>
      </c>
      <c r="D1870" s="60" t="s">
        <v>46</v>
      </c>
      <c r="E1870" s="60" t="s">
        <v>22</v>
      </c>
      <c r="F1870" s="60" t="s">
        <v>236</v>
      </c>
      <c r="G1870" s="60" t="n">
        <v>58.6</v>
      </c>
      <c r="H1870" s="61" t="n">
        <v>669.2</v>
      </c>
      <c r="I1870" s="61" t="n">
        <v>58.6</v>
      </c>
      <c r="J1870" s="61" t="n">
        <f aca="false">H1870*Resumo!$C$6</f>
        <v>0</v>
      </c>
      <c r="K1870" s="61" t="n">
        <f aca="false">H1870*Resumo!$C$7</f>
        <v>1.40532</v>
      </c>
      <c r="L1870" s="61" t="n">
        <f aca="false">H1870*Resumo!$C$8</f>
        <v>1.40532</v>
      </c>
      <c r="M1870" s="61" t="n">
        <f aca="false">Resumo!$C$10*CEILING(G1870/100,1)</f>
        <v>1.05</v>
      </c>
      <c r="N1870" s="61" t="n">
        <f aca="false">Resumo!$C$9</f>
        <v>0</v>
      </c>
      <c r="O1870" s="61" t="n">
        <f aca="false">Resumo!$C$13</f>
        <v>13.55</v>
      </c>
      <c r="P1870" s="61" t="n">
        <f aca="false">Resumo!$C$14*CEILING(G1870,1)</f>
        <v>26.55</v>
      </c>
      <c r="Q1870" s="61" t="n">
        <f aca="false">SUM(I1870:P1870)*Resumo!$C$11</f>
        <v>0</v>
      </c>
      <c r="R1870" s="61" t="n">
        <f aca="false">SUM(I1870:Q1870)</f>
        <v>102.56064</v>
      </c>
      <c r="S1870" s="61" t="n">
        <f aca="false">R1870/(1-Resumo!$C$5)</f>
        <v>116.546181818182</v>
      </c>
      <c r="T1870" s="61" t="n">
        <v>112.3</v>
      </c>
      <c r="U1870" s="61" t="n">
        <f aca="false">H1870*Resumo!$B$6</f>
        <v>0.6692</v>
      </c>
      <c r="V1870" s="61" t="n">
        <f aca="false">H1870*Resumo!$B$7</f>
        <v>1.3384</v>
      </c>
      <c r="W1870" s="61" t="n">
        <f aca="false">Resumo!$B$9</f>
        <v>1</v>
      </c>
      <c r="X1870" s="61" t="n">
        <f aca="false">Resumo!$B$10*CEILING(G1870/100,1)</f>
        <v>4.5</v>
      </c>
      <c r="Y1870" s="61" t="n">
        <f aca="false">Resumo!$B$12*CEILING(G1870,1)</f>
        <v>3.54</v>
      </c>
      <c r="Z1870" s="61" t="n">
        <f aca="false">Resumo!$B$14*CEILING(G1870,1)</f>
        <v>26.55</v>
      </c>
      <c r="AA1870" s="61" t="n">
        <f aca="false">SUM(T1870:Z1870)</f>
        <v>149.8976</v>
      </c>
      <c r="AB1870" s="61" t="n">
        <f aca="false">AA1870/(1-Resumo!$B$5)</f>
        <v>170.338181818182</v>
      </c>
      <c r="AC1870" s="61" t="n">
        <f aca="false">AB1870-S1870</f>
        <v>53.792</v>
      </c>
      <c r="AD1870" s="62" t="n">
        <f aca="false">AB1870/S1870-1</f>
        <v>0.461550941959801</v>
      </c>
      <c r="AE1870" s="60" t="str">
        <f aca="false">IF(AB1870&lt;S1870,"SIM","NÃO")</f>
        <v>NÃO</v>
      </c>
      <c r="AF1870" s="60" t="n">
        <v>2</v>
      </c>
      <c r="AG1870" s="60" t="n">
        <v>5</v>
      </c>
      <c r="AH1870" s="60" t="s">
        <v>382</v>
      </c>
      <c r="AI1870" s="61" t="n">
        <f aca="false">(T1870*(1-Painel!$C$40)+U1870+V1870+Painel!$C$41+Painel!$C$42*CEILING(G1870/100,1)+Painel!$C$43*CEILING(G1870,1)+Z1870)/(1-Resumo!$B$5)</f>
        <v>120.2825</v>
      </c>
      <c r="AJ1870" s="60" t="str">
        <f aca="false">IF(AI1870&lt;S1870,"SIM","NÃO")</f>
        <v>NÃO</v>
      </c>
    </row>
    <row r="1871" customFormat="false" ht="15" hidden="false" customHeight="false" outlineLevel="0" collapsed="false">
      <c r="A1871" s="59" t="n">
        <v>46281.9659606482</v>
      </c>
      <c r="B1871" s="60" t="s">
        <v>2059</v>
      </c>
      <c r="C1871" s="60" t="n">
        <v>25650390</v>
      </c>
      <c r="D1871" s="60" t="s">
        <v>219</v>
      </c>
      <c r="E1871" s="60" t="s">
        <v>24</v>
      </c>
      <c r="F1871" s="60" t="s">
        <v>234</v>
      </c>
      <c r="G1871" s="60" t="n">
        <v>37.2</v>
      </c>
      <c r="H1871" s="61" t="n">
        <v>399.99</v>
      </c>
      <c r="I1871" s="61" t="n">
        <v>74.97</v>
      </c>
      <c r="J1871" s="61" t="n">
        <f aca="false">H1871*Resumo!$C$6</f>
        <v>0</v>
      </c>
      <c r="K1871" s="61" t="n">
        <f aca="false">H1871*Resumo!$C$7</f>
        <v>0.839979</v>
      </c>
      <c r="L1871" s="61" t="n">
        <f aca="false">H1871*Resumo!$C$8</f>
        <v>0.839979</v>
      </c>
      <c r="M1871" s="61" t="n">
        <f aca="false">Resumo!$C$10*CEILING(G1871/100,1)</f>
        <v>1.05</v>
      </c>
      <c r="N1871" s="61" t="n">
        <f aca="false">Resumo!$C$9</f>
        <v>0</v>
      </c>
      <c r="O1871" s="61" t="n">
        <f aca="false">Resumo!$C$13</f>
        <v>13.55</v>
      </c>
      <c r="P1871" s="61" t="n">
        <f aca="false">Resumo!$C$14*CEILING(G1871,1)</f>
        <v>17.1</v>
      </c>
      <c r="Q1871" s="61" t="n">
        <f aca="false">SUM(I1871:P1871)*Resumo!$C$11</f>
        <v>0</v>
      </c>
      <c r="R1871" s="61" t="n">
        <f aca="false">SUM(I1871:Q1871)</f>
        <v>108.349958</v>
      </c>
      <c r="S1871" s="61" t="n">
        <f aca="false">R1871/(1-Resumo!$C$5)</f>
        <v>123.124952272727</v>
      </c>
      <c r="T1871" s="61" t="n">
        <v>124.38</v>
      </c>
      <c r="U1871" s="61" t="n">
        <f aca="false">H1871*Resumo!$B$6</f>
        <v>0.39999</v>
      </c>
      <c r="V1871" s="61" t="n">
        <f aca="false">H1871*Resumo!$B$7</f>
        <v>0.79998</v>
      </c>
      <c r="W1871" s="61" t="n">
        <f aca="false">Resumo!$B$9</f>
        <v>1</v>
      </c>
      <c r="X1871" s="61" t="n">
        <f aca="false">Resumo!$B$10*CEILING(G1871/100,1)</f>
        <v>4.5</v>
      </c>
      <c r="Y1871" s="61" t="n">
        <f aca="false">Resumo!$B$12*CEILING(G1871,1)</f>
        <v>2.28</v>
      </c>
      <c r="Z1871" s="61" t="n">
        <f aca="false">Resumo!$B$14*CEILING(G1871,1)</f>
        <v>17.1</v>
      </c>
      <c r="AA1871" s="61" t="n">
        <f aca="false">SUM(T1871:Z1871)</f>
        <v>150.45997</v>
      </c>
      <c r="AB1871" s="61" t="n">
        <f aca="false">AA1871/(1-Resumo!$B$5)</f>
        <v>170.977238636364</v>
      </c>
      <c r="AC1871" s="61" t="n">
        <f aca="false">AB1871-S1871</f>
        <v>47.8522863636364</v>
      </c>
      <c r="AD1871" s="62" t="n">
        <f aca="false">AB1871/S1871-1</f>
        <v>0.388648161727945</v>
      </c>
      <c r="AE1871" s="60" t="str">
        <f aca="false">IF(AB1871&lt;S1871,"SIM","NÃO")</f>
        <v>NÃO</v>
      </c>
      <c r="AF1871" s="60" t="n">
        <v>13</v>
      </c>
      <c r="AG1871" s="60" t="n">
        <v>8</v>
      </c>
      <c r="AH1871" s="60" t="s">
        <v>382</v>
      </c>
      <c r="AI1871" s="61" t="n">
        <f aca="false">(T1871*(1-Painel!$C$40)+U1871+V1871+Painel!$C$41+Painel!$C$42*CEILING(G1871/100,1)+Painel!$C$43*CEILING(G1871,1)+Z1871)/(1-Resumo!$B$5)</f>
        <v>117.823375</v>
      </c>
      <c r="AJ1871" s="60" t="str">
        <f aca="false">IF(AI1871&lt;S1871,"SIM","NÃO")</f>
        <v>SIM</v>
      </c>
    </row>
    <row r="1872" customFormat="false" ht="15" hidden="false" customHeight="false" outlineLevel="0" collapsed="false">
      <c r="A1872" s="59" t="n">
        <v>46281.9907060185</v>
      </c>
      <c r="B1872" s="60" t="s">
        <v>2060</v>
      </c>
      <c r="C1872" s="60" t="n">
        <v>20530420</v>
      </c>
      <c r="D1872" s="60" t="s">
        <v>46</v>
      </c>
      <c r="E1872" s="60" t="s">
        <v>22</v>
      </c>
      <c r="F1872" s="60" t="s">
        <v>234</v>
      </c>
      <c r="G1872" s="60" t="n">
        <v>39</v>
      </c>
      <c r="H1872" s="61" t="n">
        <v>819.99</v>
      </c>
      <c r="I1872" s="61" t="n">
        <v>48.35</v>
      </c>
      <c r="J1872" s="61" t="n">
        <f aca="false">H1872*Resumo!$C$6</f>
        <v>0</v>
      </c>
      <c r="K1872" s="61" t="n">
        <f aca="false">H1872*Resumo!$C$7</f>
        <v>1.721979</v>
      </c>
      <c r="L1872" s="61" t="n">
        <f aca="false">H1872*Resumo!$C$8</f>
        <v>1.721979</v>
      </c>
      <c r="M1872" s="61" t="n">
        <f aca="false">Resumo!$C$10*CEILING(G1872/100,1)</f>
        <v>1.05</v>
      </c>
      <c r="N1872" s="61" t="n">
        <f aca="false">Resumo!$C$9</f>
        <v>0</v>
      </c>
      <c r="O1872" s="61" t="n">
        <f aca="false">Resumo!$C$13</f>
        <v>13.55</v>
      </c>
      <c r="P1872" s="61" t="n">
        <f aca="false">Resumo!$C$14*CEILING(G1872,1)</f>
        <v>17.55</v>
      </c>
      <c r="Q1872" s="61" t="n">
        <f aca="false">SUM(I1872:P1872)*Resumo!$C$11</f>
        <v>0</v>
      </c>
      <c r="R1872" s="61" t="n">
        <f aca="false">SUM(I1872:Q1872)</f>
        <v>83.943958</v>
      </c>
      <c r="S1872" s="61" t="n">
        <f aca="false">R1872/(1-Resumo!$C$5)</f>
        <v>95.3908613636364</v>
      </c>
      <c r="T1872" s="61" t="n">
        <v>93.97</v>
      </c>
      <c r="U1872" s="61" t="n">
        <f aca="false">H1872*Resumo!$B$6</f>
        <v>0.81999</v>
      </c>
      <c r="V1872" s="61" t="n">
        <f aca="false">H1872*Resumo!$B$7</f>
        <v>1.63998</v>
      </c>
      <c r="W1872" s="61" t="n">
        <f aca="false">Resumo!$B$9</f>
        <v>1</v>
      </c>
      <c r="X1872" s="61" t="n">
        <f aca="false">Resumo!$B$10*CEILING(G1872/100,1)</f>
        <v>4.5</v>
      </c>
      <c r="Y1872" s="61" t="n">
        <f aca="false">Resumo!$B$12*CEILING(G1872,1)</f>
        <v>2.34</v>
      </c>
      <c r="Z1872" s="61" t="n">
        <f aca="false">Resumo!$B$14*CEILING(G1872,1)</f>
        <v>17.55</v>
      </c>
      <c r="AA1872" s="61" t="n">
        <f aca="false">SUM(T1872:Z1872)</f>
        <v>121.81997</v>
      </c>
      <c r="AB1872" s="61" t="n">
        <f aca="false">AA1872/(1-Resumo!$B$5)</f>
        <v>138.431784090909</v>
      </c>
      <c r="AC1872" s="61" t="n">
        <f aca="false">AB1872-S1872</f>
        <v>43.0409227272727</v>
      </c>
      <c r="AD1872" s="62" t="n">
        <f aca="false">AB1872/S1872-1</f>
        <v>0.451205934321086</v>
      </c>
      <c r="AE1872" s="60" t="str">
        <f aca="false">IF(AB1872&lt;S1872,"SIM","NÃO")</f>
        <v>NÃO</v>
      </c>
      <c r="AF1872" s="60" t="n">
        <v>2</v>
      </c>
      <c r="AG1872" s="60" t="n">
        <v>5</v>
      </c>
      <c r="AH1872" s="60" t="s">
        <v>382</v>
      </c>
      <c r="AI1872" s="61" t="n">
        <f aca="false">(T1872*(1-Painel!$C$40)+U1872+V1872+Painel!$C$41+Painel!$C$42*CEILING(G1872/100,1)+Painel!$C$43*CEILING(G1872,1)+Z1872)/(1-Resumo!$B$5)</f>
        <v>96.6134886363636</v>
      </c>
      <c r="AJ1872" s="60" t="str">
        <f aca="false">IF(AI1872&lt;S1872,"SIM","NÃO")</f>
        <v>NÃO</v>
      </c>
    </row>
    <row r="1873" customFormat="false" ht="15" hidden="false" customHeight="false" outlineLevel="0" collapsed="false">
      <c r="A1873" s="59" t="n">
        <v>46282.0111342593</v>
      </c>
      <c r="B1873" s="60" t="s">
        <v>2061</v>
      </c>
      <c r="C1873" s="60" t="n">
        <v>26160455</v>
      </c>
      <c r="D1873" s="60" t="s">
        <v>52</v>
      </c>
      <c r="E1873" s="60" t="s">
        <v>23</v>
      </c>
      <c r="F1873" s="60" t="s">
        <v>237</v>
      </c>
      <c r="G1873" s="60" t="n">
        <v>63</v>
      </c>
      <c r="H1873" s="61" t="n">
        <v>702.57</v>
      </c>
      <c r="I1873" s="61" t="n">
        <v>76.55</v>
      </c>
      <c r="J1873" s="61" t="n">
        <f aca="false">H1873*Resumo!$C$6</f>
        <v>0</v>
      </c>
      <c r="K1873" s="61" t="n">
        <f aca="false">H1873*Resumo!$C$7</f>
        <v>1.475397</v>
      </c>
      <c r="L1873" s="61" t="n">
        <f aca="false">H1873*Resumo!$C$8</f>
        <v>1.475397</v>
      </c>
      <c r="M1873" s="61" t="n">
        <f aca="false">Resumo!$C$10*CEILING(G1873/100,1)</f>
        <v>1.05</v>
      </c>
      <c r="N1873" s="61" t="n">
        <f aca="false">Resumo!$C$9</f>
        <v>0</v>
      </c>
      <c r="O1873" s="61" t="n">
        <f aca="false">Resumo!$C$13</f>
        <v>13.55</v>
      </c>
      <c r="P1873" s="61" t="n">
        <f aca="false">Resumo!$C$14*CEILING(G1873,1)</f>
        <v>28.35</v>
      </c>
      <c r="Q1873" s="61" t="n">
        <f aca="false">SUM(I1873:P1873)*Resumo!$C$11</f>
        <v>0</v>
      </c>
      <c r="R1873" s="61" t="n">
        <f aca="false">SUM(I1873:Q1873)</f>
        <v>122.450794</v>
      </c>
      <c r="S1873" s="61" t="n">
        <f aca="false">R1873/(1-Resumo!$C$5)</f>
        <v>139.148629545455</v>
      </c>
      <c r="T1873" s="61" t="n">
        <v>131.02</v>
      </c>
      <c r="U1873" s="61" t="n">
        <f aca="false">H1873*Resumo!$B$6</f>
        <v>0.70257</v>
      </c>
      <c r="V1873" s="61" t="n">
        <f aca="false">H1873*Resumo!$B$7</f>
        <v>1.40514</v>
      </c>
      <c r="W1873" s="61" t="n">
        <f aca="false">Resumo!$B$9</f>
        <v>1</v>
      </c>
      <c r="X1873" s="61" t="n">
        <f aca="false">Resumo!$B$10*CEILING(G1873/100,1)</f>
        <v>4.5</v>
      </c>
      <c r="Y1873" s="61" t="n">
        <f aca="false">Resumo!$B$12*CEILING(G1873,1)</f>
        <v>3.78</v>
      </c>
      <c r="Z1873" s="61" t="n">
        <f aca="false">Resumo!$B$14*CEILING(G1873,1)</f>
        <v>28.35</v>
      </c>
      <c r="AA1873" s="61" t="n">
        <f aca="false">SUM(T1873:Z1873)</f>
        <v>170.75771</v>
      </c>
      <c r="AB1873" s="61" t="n">
        <f aca="false">AA1873/(1-Resumo!$B$5)</f>
        <v>194.042852272727</v>
      </c>
      <c r="AC1873" s="61" t="n">
        <f aca="false">AB1873-S1873</f>
        <v>54.8942227272727</v>
      </c>
      <c r="AD1873" s="62" t="n">
        <f aca="false">AB1873/S1873-1</f>
        <v>0.394500635087756</v>
      </c>
      <c r="AE1873" s="60" t="str">
        <f aca="false">IF(AB1873&lt;S1873,"SIM","NÃO")</f>
        <v>NÃO</v>
      </c>
      <c r="AF1873" s="60" t="n">
        <v>2</v>
      </c>
      <c r="AG1873" s="60" t="n">
        <v>5</v>
      </c>
      <c r="AH1873" s="60" t="s">
        <v>382</v>
      </c>
      <c r="AI1873" s="61" t="n">
        <f aca="false">(T1873*(1-Painel!$C$40)+U1873+V1873+Painel!$C$41+Painel!$C$42*CEILING(G1873/100,1)+Painel!$C$43*CEILING(G1873,1)+Z1873)/(1-Resumo!$B$5)</f>
        <v>136.694443181818</v>
      </c>
      <c r="AJ1873" s="60" t="str">
        <f aca="false">IF(AI1873&lt;S1873,"SIM","NÃO")</f>
        <v>SIM</v>
      </c>
    </row>
    <row r="1874" customFormat="false" ht="15" hidden="false" customHeight="false" outlineLevel="0" collapsed="false">
      <c r="A1874" s="59" t="n">
        <v>46282.0831481482</v>
      </c>
      <c r="B1874" s="60" t="s">
        <v>2062</v>
      </c>
      <c r="C1874" s="60" t="n">
        <v>24130410</v>
      </c>
      <c r="D1874" s="60" t="s">
        <v>50</v>
      </c>
      <c r="E1874" s="60" t="s">
        <v>23</v>
      </c>
      <c r="F1874" s="60" t="s">
        <v>233</v>
      </c>
      <c r="G1874" s="60" t="n">
        <v>24.4</v>
      </c>
      <c r="H1874" s="61" t="n">
        <v>297.49</v>
      </c>
      <c r="I1874" s="61" t="n">
        <v>58.8</v>
      </c>
      <c r="J1874" s="61" t="n">
        <f aca="false">H1874*Resumo!$C$6</f>
        <v>0</v>
      </c>
      <c r="K1874" s="61" t="n">
        <f aca="false">H1874*Resumo!$C$7</f>
        <v>0.624729</v>
      </c>
      <c r="L1874" s="61" t="n">
        <f aca="false">H1874*Resumo!$C$8</f>
        <v>0.624729</v>
      </c>
      <c r="M1874" s="61" t="n">
        <f aca="false">Resumo!$C$10*CEILING(G1874/100,1)</f>
        <v>1.05</v>
      </c>
      <c r="N1874" s="61" t="n">
        <f aca="false">Resumo!$C$9</f>
        <v>0</v>
      </c>
      <c r="O1874" s="61" t="n">
        <f aca="false">Resumo!$C$13</f>
        <v>13.55</v>
      </c>
      <c r="P1874" s="61" t="n">
        <f aca="false">Resumo!$C$14*CEILING(G1874,1)</f>
        <v>11.25</v>
      </c>
      <c r="Q1874" s="61" t="n">
        <f aca="false">SUM(I1874:P1874)*Resumo!$C$11</f>
        <v>0</v>
      </c>
      <c r="R1874" s="61" t="n">
        <f aca="false">SUM(I1874:Q1874)</f>
        <v>85.899458</v>
      </c>
      <c r="S1874" s="61" t="n">
        <f aca="false">R1874/(1-Resumo!$C$5)</f>
        <v>97.6130204545455</v>
      </c>
      <c r="T1874" s="61" t="n">
        <v>100.58</v>
      </c>
      <c r="U1874" s="61" t="n">
        <f aca="false">H1874*Resumo!$B$6</f>
        <v>0.29749</v>
      </c>
      <c r="V1874" s="61" t="n">
        <f aca="false">H1874*Resumo!$B$7</f>
        <v>0.59498</v>
      </c>
      <c r="W1874" s="61" t="n">
        <f aca="false">Resumo!$B$9</f>
        <v>1</v>
      </c>
      <c r="X1874" s="61" t="n">
        <f aca="false">Resumo!$B$10*CEILING(G1874/100,1)</f>
        <v>4.5</v>
      </c>
      <c r="Y1874" s="61" t="n">
        <f aca="false">Resumo!$B$12*CEILING(G1874,1)</f>
        <v>1.5</v>
      </c>
      <c r="Z1874" s="61" t="n">
        <f aca="false">Resumo!$B$14*CEILING(G1874,1)</f>
        <v>11.25</v>
      </c>
      <c r="AA1874" s="61" t="n">
        <f aca="false">SUM(T1874:Z1874)</f>
        <v>119.72247</v>
      </c>
      <c r="AB1874" s="61" t="n">
        <f aca="false">AA1874/(1-Resumo!$B$5)</f>
        <v>136.048261363636</v>
      </c>
      <c r="AC1874" s="61" t="n">
        <f aca="false">AB1874-S1874</f>
        <v>38.4352409090909</v>
      </c>
      <c r="AD1874" s="62" t="n">
        <f aca="false">AB1874/S1874-1</f>
        <v>0.393751168953825</v>
      </c>
      <c r="AE1874" s="60" t="str">
        <f aca="false">IF(AB1874&lt;S1874,"SIM","NÃO")</f>
        <v>NÃO</v>
      </c>
      <c r="AF1874" s="60" t="n">
        <v>2</v>
      </c>
      <c r="AG1874" s="60" t="n">
        <v>7</v>
      </c>
      <c r="AH1874" s="60" t="s">
        <v>382</v>
      </c>
      <c r="AI1874" s="61" t="n">
        <f aca="false">(T1874*(1-Painel!$C$40)+U1874+V1874+Painel!$C$41+Painel!$C$42*CEILING(G1874/100,1)+Painel!$C$43*CEILING(G1874,1)+Z1874)/(1-Resumo!$B$5)</f>
        <v>92.7057613636364</v>
      </c>
      <c r="AJ1874" s="60" t="str">
        <f aca="false">IF(AI1874&lt;S1874,"SIM","NÃO")</f>
        <v>SIM</v>
      </c>
    </row>
    <row r="1875" customFormat="false" ht="15" hidden="false" customHeight="false" outlineLevel="0" collapsed="false">
      <c r="A1875" s="59" t="n">
        <v>46282.1010763889</v>
      </c>
      <c r="B1875" s="60" t="s">
        <v>2063</v>
      </c>
      <c r="C1875" s="60" t="n">
        <v>28905165</v>
      </c>
      <c r="D1875" s="60" t="s">
        <v>221</v>
      </c>
      <c r="E1875" s="60" t="s">
        <v>24</v>
      </c>
      <c r="F1875" s="60" t="s">
        <v>233</v>
      </c>
      <c r="G1875" s="60" t="n">
        <v>27.4</v>
      </c>
      <c r="H1875" s="61" t="n">
        <v>329.99</v>
      </c>
      <c r="I1875" s="61" t="n">
        <v>65.63</v>
      </c>
      <c r="J1875" s="61" t="n">
        <f aca="false">H1875*Resumo!$C$6</f>
        <v>0</v>
      </c>
      <c r="K1875" s="61" t="n">
        <f aca="false">H1875*Resumo!$C$7</f>
        <v>0.692979</v>
      </c>
      <c r="L1875" s="61" t="n">
        <f aca="false">H1875*Resumo!$C$8</f>
        <v>0.692979</v>
      </c>
      <c r="M1875" s="61" t="n">
        <f aca="false">Resumo!$C$10*CEILING(G1875/100,1)</f>
        <v>1.05</v>
      </c>
      <c r="N1875" s="61" t="n">
        <f aca="false">Resumo!$C$9</f>
        <v>0</v>
      </c>
      <c r="O1875" s="61" t="n">
        <f aca="false">Resumo!$C$13</f>
        <v>13.55</v>
      </c>
      <c r="P1875" s="61" t="n">
        <f aca="false">Resumo!$C$14*CEILING(G1875,1)</f>
        <v>12.6</v>
      </c>
      <c r="Q1875" s="61" t="n">
        <f aca="false">SUM(I1875:P1875)*Resumo!$C$11</f>
        <v>0</v>
      </c>
      <c r="R1875" s="61" t="n">
        <f aca="false">SUM(I1875:Q1875)</f>
        <v>94.215958</v>
      </c>
      <c r="S1875" s="61" t="n">
        <f aca="false">R1875/(1-Resumo!$C$5)</f>
        <v>107.063588636364</v>
      </c>
      <c r="T1875" s="61" t="n">
        <v>114.95</v>
      </c>
      <c r="U1875" s="61" t="n">
        <f aca="false">H1875*Resumo!$B$6</f>
        <v>0.32999</v>
      </c>
      <c r="V1875" s="61" t="n">
        <f aca="false">H1875*Resumo!$B$7</f>
        <v>0.65998</v>
      </c>
      <c r="W1875" s="61" t="n">
        <f aca="false">Resumo!$B$9</f>
        <v>1</v>
      </c>
      <c r="X1875" s="61" t="n">
        <f aca="false">Resumo!$B$10*CEILING(G1875/100,1)</f>
        <v>4.5</v>
      </c>
      <c r="Y1875" s="61" t="n">
        <f aca="false">Resumo!$B$12*CEILING(G1875,1)</f>
        <v>1.68</v>
      </c>
      <c r="Z1875" s="61" t="n">
        <f aca="false">Resumo!$B$14*CEILING(G1875,1)</f>
        <v>12.6</v>
      </c>
      <c r="AA1875" s="61" t="n">
        <f aca="false">SUM(T1875:Z1875)</f>
        <v>135.71997</v>
      </c>
      <c r="AB1875" s="61" t="n">
        <f aca="false">AA1875/(1-Resumo!$B$5)</f>
        <v>154.227238636364</v>
      </c>
      <c r="AC1875" s="61" t="n">
        <f aca="false">AB1875-S1875</f>
        <v>47.1636500000001</v>
      </c>
      <c r="AD1875" s="62" t="n">
        <f aca="false">AB1875/S1875-1</f>
        <v>0.440519980702208</v>
      </c>
      <c r="AE1875" s="60" t="str">
        <f aca="false">IF(AB1875&lt;S1875,"SIM","NÃO")</f>
        <v>NÃO</v>
      </c>
      <c r="AF1875" s="60" t="n">
        <v>13</v>
      </c>
      <c r="AG1875" s="60" t="n">
        <v>10</v>
      </c>
      <c r="AH1875" s="60" t="s">
        <v>382</v>
      </c>
      <c r="AI1875" s="61" t="n">
        <f aca="false">(T1875*(1-Painel!$C$40)+U1875+V1875+Painel!$C$41+Painel!$C$42*CEILING(G1875/100,1)+Painel!$C$43*CEILING(G1875,1)+Z1875)/(1-Resumo!$B$5)</f>
        <v>105.291443181818</v>
      </c>
      <c r="AJ1875" s="60" t="str">
        <f aca="false">IF(AI1875&lt;S1875,"SIM","NÃO")</f>
        <v>SIM</v>
      </c>
    </row>
    <row r="1876" customFormat="false" ht="15" hidden="false" customHeight="false" outlineLevel="0" collapsed="false">
      <c r="A1876" s="59" t="n">
        <v>46282.2219791667</v>
      </c>
      <c r="B1876" s="60" t="s">
        <v>1336</v>
      </c>
      <c r="C1876" s="60" t="n">
        <v>21725020</v>
      </c>
      <c r="D1876" s="60" t="s">
        <v>46</v>
      </c>
      <c r="E1876" s="60" t="s">
        <v>22</v>
      </c>
      <c r="F1876" s="60" t="s">
        <v>234</v>
      </c>
      <c r="G1876" s="60" t="n">
        <v>37.2</v>
      </c>
      <c r="H1876" s="61" t="n">
        <v>399.99</v>
      </c>
      <c r="I1876" s="61" t="n">
        <v>48.35</v>
      </c>
      <c r="J1876" s="61" t="n">
        <f aca="false">H1876*Resumo!$C$6</f>
        <v>0</v>
      </c>
      <c r="K1876" s="61" t="n">
        <f aca="false">H1876*Resumo!$C$7</f>
        <v>0.839979</v>
      </c>
      <c r="L1876" s="61" t="n">
        <f aca="false">H1876*Resumo!$C$8</f>
        <v>0.839979</v>
      </c>
      <c r="M1876" s="61" t="n">
        <f aca="false">Resumo!$C$10*CEILING(G1876/100,1)</f>
        <v>1.05</v>
      </c>
      <c r="N1876" s="61" t="n">
        <f aca="false">Resumo!$C$9</f>
        <v>0</v>
      </c>
      <c r="O1876" s="61" t="n">
        <f aca="false">Resumo!$C$13</f>
        <v>13.55</v>
      </c>
      <c r="P1876" s="61" t="n">
        <f aca="false">Resumo!$C$14*CEILING(G1876,1)</f>
        <v>17.1</v>
      </c>
      <c r="Q1876" s="61" t="n">
        <f aca="false">SUM(I1876:P1876)*Resumo!$C$11</f>
        <v>0</v>
      </c>
      <c r="R1876" s="61" t="n">
        <f aca="false">SUM(I1876:Q1876)</f>
        <v>81.729958</v>
      </c>
      <c r="S1876" s="61" t="n">
        <f aca="false">R1876/(1-Resumo!$C$5)</f>
        <v>92.8749522727273</v>
      </c>
      <c r="T1876" s="61" t="n">
        <v>93.97</v>
      </c>
      <c r="U1876" s="61" t="n">
        <f aca="false">H1876*Resumo!$B$6</f>
        <v>0.39999</v>
      </c>
      <c r="V1876" s="61" t="n">
        <f aca="false">H1876*Resumo!$B$7</f>
        <v>0.79998</v>
      </c>
      <c r="W1876" s="61" t="n">
        <f aca="false">Resumo!$B$9</f>
        <v>1</v>
      </c>
      <c r="X1876" s="61" t="n">
        <f aca="false">Resumo!$B$10*CEILING(G1876/100,1)</f>
        <v>4.5</v>
      </c>
      <c r="Y1876" s="61" t="n">
        <f aca="false">Resumo!$B$12*CEILING(G1876,1)</f>
        <v>2.28</v>
      </c>
      <c r="Z1876" s="61" t="n">
        <f aca="false">Resumo!$B$14*CEILING(G1876,1)</f>
        <v>17.1</v>
      </c>
      <c r="AA1876" s="61" t="n">
        <f aca="false">SUM(T1876:Z1876)</f>
        <v>120.04997</v>
      </c>
      <c r="AB1876" s="61" t="n">
        <f aca="false">AA1876/(1-Resumo!$B$5)</f>
        <v>136.420420454545</v>
      </c>
      <c r="AC1876" s="61" t="n">
        <f aca="false">AB1876-S1876</f>
        <v>43.5454681818182</v>
      </c>
      <c r="AD1876" s="62" t="n">
        <f aca="false">AB1876/S1876-1</f>
        <v>0.468861271163262</v>
      </c>
      <c r="AE1876" s="60" t="str">
        <f aca="false">IF(AB1876&lt;S1876,"SIM","NÃO")</f>
        <v>NÃO</v>
      </c>
      <c r="AF1876" s="60" t="n">
        <v>2</v>
      </c>
      <c r="AG1876" s="60" t="n">
        <v>5</v>
      </c>
      <c r="AH1876" s="60" t="s">
        <v>382</v>
      </c>
      <c r="AI1876" s="61" t="n">
        <f aca="false">(T1876*(1-Painel!$C$40)+U1876+V1876+Painel!$C$41+Painel!$C$42*CEILING(G1876/100,1)+Painel!$C$43*CEILING(G1876,1)+Z1876)/(1-Resumo!$B$5)</f>
        <v>94.6703068181818</v>
      </c>
      <c r="AJ1876" s="60" t="str">
        <f aca="false">IF(AI1876&lt;S1876,"SIM","NÃO")</f>
        <v>NÃO</v>
      </c>
    </row>
    <row r="1877" customFormat="false" ht="15" hidden="false" customHeight="false" outlineLevel="0" collapsed="false">
      <c r="A1877" s="59" t="n">
        <v>46282.3222106482</v>
      </c>
      <c r="B1877" s="60" t="s">
        <v>2064</v>
      </c>
      <c r="C1877" s="60" t="n">
        <v>27197970</v>
      </c>
      <c r="D1877" s="60" t="s">
        <v>292</v>
      </c>
      <c r="E1877" s="60" t="s">
        <v>24</v>
      </c>
      <c r="F1877" s="60" t="s">
        <v>236</v>
      </c>
      <c r="G1877" s="60" t="n">
        <v>52.3</v>
      </c>
      <c r="H1877" s="61" t="n">
        <v>645.14</v>
      </c>
      <c r="I1877" s="61" t="n">
        <v>83.58</v>
      </c>
      <c r="J1877" s="61" t="n">
        <f aca="false">H1877*Resumo!$C$6</f>
        <v>0</v>
      </c>
      <c r="K1877" s="61" t="n">
        <f aca="false">H1877*Resumo!$C$7</f>
        <v>1.354794</v>
      </c>
      <c r="L1877" s="61" t="n">
        <f aca="false">H1877*Resumo!$C$8</f>
        <v>1.354794</v>
      </c>
      <c r="M1877" s="61" t="n">
        <f aca="false">Resumo!$C$10*CEILING(G1877/100,1)</f>
        <v>1.05</v>
      </c>
      <c r="N1877" s="61" t="n">
        <f aca="false">Resumo!$C$9</f>
        <v>0</v>
      </c>
      <c r="O1877" s="61" t="n">
        <f aca="false">Resumo!$C$13</f>
        <v>13.55</v>
      </c>
      <c r="P1877" s="61" t="n">
        <f aca="false">Resumo!$C$14*CEILING(G1877,1)</f>
        <v>23.85</v>
      </c>
      <c r="Q1877" s="61" t="n">
        <f aca="false">SUM(I1877:P1877)*Resumo!$C$11</f>
        <v>0</v>
      </c>
      <c r="R1877" s="61" t="n">
        <f aca="false">SUM(I1877:Q1877)</f>
        <v>124.739588</v>
      </c>
      <c r="S1877" s="61" t="n">
        <f aca="false">R1877/(1-Resumo!$C$5)</f>
        <v>141.749531818182</v>
      </c>
      <c r="T1877" s="61" t="n">
        <v>142.32</v>
      </c>
      <c r="U1877" s="61" t="n">
        <f aca="false">H1877*Resumo!$B$6</f>
        <v>0.64514</v>
      </c>
      <c r="V1877" s="61" t="n">
        <f aca="false">H1877*Resumo!$B$7</f>
        <v>1.29028</v>
      </c>
      <c r="W1877" s="61" t="n">
        <f aca="false">Resumo!$B$9</f>
        <v>1</v>
      </c>
      <c r="X1877" s="61" t="n">
        <f aca="false">Resumo!$B$10*CEILING(G1877/100,1)</f>
        <v>4.5</v>
      </c>
      <c r="Y1877" s="61" t="n">
        <f aca="false">Resumo!$B$12*CEILING(G1877,1)</f>
        <v>3.18</v>
      </c>
      <c r="Z1877" s="61" t="n">
        <f aca="false">Resumo!$B$14*CEILING(G1877,1)</f>
        <v>23.85</v>
      </c>
      <c r="AA1877" s="61" t="n">
        <f aca="false">SUM(T1877:Z1877)</f>
        <v>176.78542</v>
      </c>
      <c r="AB1877" s="61" t="n">
        <f aca="false">AA1877/(1-Resumo!$B$5)</f>
        <v>200.892522727273</v>
      </c>
      <c r="AC1877" s="61" t="n">
        <f aca="false">AB1877-S1877</f>
        <v>59.1429909090909</v>
      </c>
      <c r="AD1877" s="62" t="n">
        <f aca="false">AB1877/S1877-1</f>
        <v>0.417235881843701</v>
      </c>
      <c r="AE1877" s="60" t="str">
        <f aca="false">IF(AB1877&lt;S1877,"SIM","NÃO")</f>
        <v>NÃO</v>
      </c>
      <c r="AF1877" s="60" t="n">
        <v>13</v>
      </c>
      <c r="AG1877" s="60" t="n">
        <v>10</v>
      </c>
      <c r="AH1877" s="60" t="s">
        <v>385</v>
      </c>
      <c r="AI1877" s="61" t="n">
        <f aca="false">(T1877*(1-Painel!$C$40)+U1877+V1877+Painel!$C$41+Painel!$C$42*CEILING(G1877/100,1)+Painel!$C$43*CEILING(G1877,1)+Z1877)/(1-Resumo!$B$5)</f>
        <v>139.988431818182</v>
      </c>
      <c r="AJ1877" s="60" t="str">
        <f aca="false">IF(AI1877&lt;S1877,"SIM","NÃO")</f>
        <v>SIM</v>
      </c>
    </row>
    <row r="1878" customFormat="false" ht="15" hidden="false" customHeight="false" outlineLevel="0" collapsed="false">
      <c r="A1878" s="59" t="n">
        <v>46282.3348263889</v>
      </c>
      <c r="B1878" s="60" t="s">
        <v>1310</v>
      </c>
      <c r="C1878" s="60" t="n">
        <v>21020160</v>
      </c>
      <c r="D1878" s="60" t="s">
        <v>46</v>
      </c>
      <c r="E1878" s="60" t="s">
        <v>22</v>
      </c>
      <c r="F1878" s="60" t="s">
        <v>236</v>
      </c>
      <c r="G1878" s="60" t="n">
        <v>58.6</v>
      </c>
      <c r="H1878" s="61" t="n">
        <v>692.99</v>
      </c>
      <c r="I1878" s="61" t="n">
        <v>58.6</v>
      </c>
      <c r="J1878" s="61" t="n">
        <f aca="false">H1878*Resumo!$C$6</f>
        <v>0</v>
      </c>
      <c r="K1878" s="61" t="n">
        <f aca="false">H1878*Resumo!$C$7</f>
        <v>1.455279</v>
      </c>
      <c r="L1878" s="61" t="n">
        <f aca="false">H1878*Resumo!$C$8</f>
        <v>1.455279</v>
      </c>
      <c r="M1878" s="61" t="n">
        <f aca="false">Resumo!$C$10*CEILING(G1878/100,1)</f>
        <v>1.05</v>
      </c>
      <c r="N1878" s="61" t="n">
        <f aca="false">Resumo!$C$9</f>
        <v>0</v>
      </c>
      <c r="O1878" s="61" t="n">
        <f aca="false">Resumo!$C$13</f>
        <v>13.55</v>
      </c>
      <c r="P1878" s="61" t="n">
        <f aca="false">Resumo!$C$14*CEILING(G1878,1)</f>
        <v>26.55</v>
      </c>
      <c r="Q1878" s="61" t="n">
        <f aca="false">SUM(I1878:P1878)*Resumo!$C$11</f>
        <v>0</v>
      </c>
      <c r="R1878" s="61" t="n">
        <f aca="false">SUM(I1878:Q1878)</f>
        <v>102.660558</v>
      </c>
      <c r="S1878" s="61" t="n">
        <f aca="false">R1878/(1-Resumo!$C$5)</f>
        <v>116.659725</v>
      </c>
      <c r="T1878" s="61" t="n">
        <v>112.3</v>
      </c>
      <c r="U1878" s="61" t="n">
        <f aca="false">H1878*Resumo!$B$6</f>
        <v>0.69299</v>
      </c>
      <c r="V1878" s="61" t="n">
        <f aca="false">H1878*Resumo!$B$7</f>
        <v>1.38598</v>
      </c>
      <c r="W1878" s="61" t="n">
        <f aca="false">Resumo!$B$9</f>
        <v>1</v>
      </c>
      <c r="X1878" s="61" t="n">
        <f aca="false">Resumo!$B$10*CEILING(G1878/100,1)</f>
        <v>4.5</v>
      </c>
      <c r="Y1878" s="61" t="n">
        <f aca="false">Resumo!$B$12*CEILING(G1878,1)</f>
        <v>3.54</v>
      </c>
      <c r="Z1878" s="61" t="n">
        <f aca="false">Resumo!$B$14*CEILING(G1878,1)</f>
        <v>26.55</v>
      </c>
      <c r="AA1878" s="61" t="n">
        <f aca="false">SUM(T1878:Z1878)</f>
        <v>149.96897</v>
      </c>
      <c r="AB1878" s="61" t="n">
        <f aca="false">AA1878/(1-Resumo!$B$5)</f>
        <v>170.419284090909</v>
      </c>
      <c r="AC1878" s="61" t="n">
        <f aca="false">AB1878-S1878</f>
        <v>53.7595590909091</v>
      </c>
      <c r="AD1878" s="62" t="n">
        <f aca="false">AB1878/S1878-1</f>
        <v>0.460823639785788</v>
      </c>
      <c r="AE1878" s="60" t="str">
        <f aca="false">IF(AB1878&lt;S1878,"SIM","NÃO")</f>
        <v>NÃO</v>
      </c>
      <c r="AF1878" s="60" t="n">
        <v>2</v>
      </c>
      <c r="AG1878" s="60" t="n">
        <v>5</v>
      </c>
      <c r="AH1878" s="60" t="s">
        <v>382</v>
      </c>
      <c r="AI1878" s="61" t="n">
        <f aca="false">(T1878*(1-Painel!$C$40)+U1878+V1878+Painel!$C$41+Painel!$C$42*CEILING(G1878/100,1)+Painel!$C$43*CEILING(G1878,1)+Z1878)/(1-Resumo!$B$5)</f>
        <v>120.363602272727</v>
      </c>
      <c r="AJ1878" s="60" t="str">
        <f aca="false">IF(AI1878&lt;S1878,"SIM","NÃO")</f>
        <v>NÃO</v>
      </c>
    </row>
    <row r="1879" customFormat="false" ht="15" hidden="false" customHeight="false" outlineLevel="0" collapsed="false">
      <c r="A1879" s="59" t="n">
        <v>46282.3651967593</v>
      </c>
      <c r="B1879" s="60" t="s">
        <v>2065</v>
      </c>
      <c r="C1879" s="60" t="n">
        <v>28090230</v>
      </c>
      <c r="D1879" s="60" t="s">
        <v>51</v>
      </c>
      <c r="E1879" s="60" t="s">
        <v>24</v>
      </c>
      <c r="F1879" s="60" t="s">
        <v>236</v>
      </c>
      <c r="G1879" s="60" t="n">
        <v>56.7</v>
      </c>
      <c r="H1879" s="61" t="n">
        <v>799.99</v>
      </c>
      <c r="I1879" s="61" t="n">
        <v>83.58</v>
      </c>
      <c r="J1879" s="61" t="n">
        <f aca="false">H1879*Resumo!$C$6</f>
        <v>0</v>
      </c>
      <c r="K1879" s="61" t="n">
        <f aca="false">H1879*Resumo!$C$7</f>
        <v>1.679979</v>
      </c>
      <c r="L1879" s="61" t="n">
        <f aca="false">H1879*Resumo!$C$8</f>
        <v>1.679979</v>
      </c>
      <c r="M1879" s="61" t="n">
        <f aca="false">Resumo!$C$10*CEILING(G1879/100,1)</f>
        <v>1.05</v>
      </c>
      <c r="N1879" s="61" t="n">
        <f aca="false">Resumo!$C$9</f>
        <v>0</v>
      </c>
      <c r="O1879" s="61" t="n">
        <f aca="false">Resumo!$C$13</f>
        <v>13.55</v>
      </c>
      <c r="P1879" s="61" t="n">
        <f aca="false">Resumo!$C$14*CEILING(G1879,1)</f>
        <v>25.65</v>
      </c>
      <c r="Q1879" s="61" t="n">
        <f aca="false">SUM(I1879:P1879)*Resumo!$C$11</f>
        <v>0</v>
      </c>
      <c r="R1879" s="61" t="n">
        <f aca="false">SUM(I1879:Q1879)</f>
        <v>127.189958</v>
      </c>
      <c r="S1879" s="61" t="n">
        <f aca="false">R1879/(1-Resumo!$C$5)</f>
        <v>144.534043181818</v>
      </c>
      <c r="T1879" s="61" t="n">
        <v>162.04</v>
      </c>
      <c r="U1879" s="61" t="n">
        <f aca="false">H1879*Resumo!$B$6</f>
        <v>0.79999</v>
      </c>
      <c r="V1879" s="61" t="n">
        <f aca="false">H1879*Resumo!$B$7</f>
        <v>1.59998</v>
      </c>
      <c r="W1879" s="61" t="n">
        <f aca="false">Resumo!$B$9</f>
        <v>1</v>
      </c>
      <c r="X1879" s="61" t="n">
        <f aca="false">Resumo!$B$10*CEILING(G1879/100,1)</f>
        <v>4.5</v>
      </c>
      <c r="Y1879" s="61" t="n">
        <f aca="false">Resumo!$B$12*CEILING(G1879,1)</f>
        <v>3.42</v>
      </c>
      <c r="Z1879" s="61" t="n">
        <f aca="false">Resumo!$B$14*CEILING(G1879,1)</f>
        <v>25.65</v>
      </c>
      <c r="AA1879" s="61" t="n">
        <f aca="false">SUM(T1879:Z1879)</f>
        <v>199.00997</v>
      </c>
      <c r="AB1879" s="61" t="n">
        <f aca="false">AA1879/(1-Resumo!$B$5)</f>
        <v>226.147693181818</v>
      </c>
      <c r="AC1879" s="61" t="n">
        <f aca="false">AB1879-S1879</f>
        <v>81.61365</v>
      </c>
      <c r="AD1879" s="62" t="n">
        <f aca="false">AB1879/S1879-1</f>
        <v>0.564667314380275</v>
      </c>
      <c r="AE1879" s="60" t="str">
        <f aca="false">IF(AB1879&lt;S1879,"SIM","NÃO")</f>
        <v>NÃO</v>
      </c>
      <c r="AF1879" s="60" t="n">
        <v>13</v>
      </c>
      <c r="AG1879" s="60" t="n">
        <v>11</v>
      </c>
      <c r="AH1879" s="60" t="s">
        <v>382</v>
      </c>
      <c r="AI1879" s="61" t="n">
        <f aca="false">(T1879*(1-Painel!$C$40)+U1879+V1879+Painel!$C$41+Painel!$C$42*CEILING(G1879/100,1)+Painel!$C$43*CEILING(G1879,1)+Z1879)/(1-Resumo!$B$5)</f>
        <v>157.575875</v>
      </c>
      <c r="AJ1879" s="60" t="str">
        <f aca="false">IF(AI1879&lt;S1879,"SIM","NÃO")</f>
        <v>NÃO</v>
      </c>
    </row>
    <row r="1880" customFormat="false" ht="15" hidden="false" customHeight="false" outlineLevel="0" collapsed="false">
      <c r="A1880" s="59" t="n">
        <v>46282.3974652778</v>
      </c>
      <c r="B1880" s="60" t="s">
        <v>2066</v>
      </c>
      <c r="C1880" s="60" t="n">
        <v>26210022</v>
      </c>
      <c r="D1880" s="60" t="s">
        <v>49</v>
      </c>
      <c r="E1880" s="60" t="s">
        <v>23</v>
      </c>
      <c r="F1880" s="60" t="s">
        <v>236</v>
      </c>
      <c r="G1880" s="60" t="n">
        <v>52.3</v>
      </c>
      <c r="H1880" s="61" t="n">
        <v>699.99</v>
      </c>
      <c r="I1880" s="61" t="n">
        <v>70.98</v>
      </c>
      <c r="J1880" s="61" t="n">
        <f aca="false">H1880*Resumo!$C$6</f>
        <v>0</v>
      </c>
      <c r="K1880" s="61" t="n">
        <f aca="false">H1880*Resumo!$C$7</f>
        <v>1.469979</v>
      </c>
      <c r="L1880" s="61" t="n">
        <f aca="false">H1880*Resumo!$C$8</f>
        <v>1.469979</v>
      </c>
      <c r="M1880" s="61" t="n">
        <f aca="false">Resumo!$C$10*CEILING(G1880/100,1)</f>
        <v>1.05</v>
      </c>
      <c r="N1880" s="61" t="n">
        <f aca="false">Resumo!$C$9</f>
        <v>0</v>
      </c>
      <c r="O1880" s="61" t="n">
        <f aca="false">Resumo!$C$13</f>
        <v>13.55</v>
      </c>
      <c r="P1880" s="61" t="n">
        <f aca="false">Resumo!$C$14*CEILING(G1880,1)</f>
        <v>23.85</v>
      </c>
      <c r="Q1880" s="61" t="n">
        <f aca="false">SUM(I1880:P1880)*Resumo!$C$11</f>
        <v>0</v>
      </c>
      <c r="R1880" s="61" t="n">
        <f aca="false">SUM(I1880:Q1880)</f>
        <v>112.369958</v>
      </c>
      <c r="S1880" s="61" t="n">
        <f aca="false">R1880/(1-Resumo!$C$5)</f>
        <v>127.693134090909</v>
      </c>
      <c r="T1880" s="61" t="n">
        <v>112.3</v>
      </c>
      <c r="U1880" s="61" t="n">
        <f aca="false">H1880*Resumo!$B$6</f>
        <v>0.69999</v>
      </c>
      <c r="V1880" s="61" t="n">
        <f aca="false">H1880*Resumo!$B$7</f>
        <v>1.39998</v>
      </c>
      <c r="W1880" s="61" t="n">
        <f aca="false">Resumo!$B$9</f>
        <v>1</v>
      </c>
      <c r="X1880" s="61" t="n">
        <f aca="false">Resumo!$B$10*CEILING(G1880/100,1)</f>
        <v>4.5</v>
      </c>
      <c r="Y1880" s="61" t="n">
        <f aca="false">Resumo!$B$12*CEILING(G1880,1)</f>
        <v>3.18</v>
      </c>
      <c r="Z1880" s="61" t="n">
        <f aca="false">Resumo!$B$14*CEILING(G1880,1)</f>
        <v>23.85</v>
      </c>
      <c r="AA1880" s="61" t="n">
        <f aca="false">SUM(T1880:Z1880)</f>
        <v>146.92997</v>
      </c>
      <c r="AB1880" s="61" t="n">
        <f aca="false">AA1880/(1-Resumo!$B$5)</f>
        <v>166.965875</v>
      </c>
      <c r="AC1880" s="61" t="n">
        <f aca="false">AB1880-S1880</f>
        <v>39.2727409090909</v>
      </c>
      <c r="AD1880" s="62" t="n">
        <f aca="false">AB1880/S1880-1</f>
        <v>0.307555619091715</v>
      </c>
      <c r="AE1880" s="60" t="str">
        <f aca="false">IF(AB1880&lt;S1880,"SIM","NÃO")</f>
        <v>NÃO</v>
      </c>
      <c r="AF1880" s="60" t="n">
        <v>2</v>
      </c>
      <c r="AG1880" s="60" t="n">
        <v>5</v>
      </c>
      <c r="AH1880" s="60" t="s">
        <v>382</v>
      </c>
      <c r="AI1880" s="61" t="n">
        <f aca="false">(T1880*(1-Painel!$C$40)+U1880+V1880+Painel!$C$41+Painel!$C$42*CEILING(G1880/100,1)+Painel!$C$43*CEILING(G1880,1)+Z1880)/(1-Resumo!$B$5)</f>
        <v>117.319284090909</v>
      </c>
      <c r="AJ1880" s="60" t="str">
        <f aca="false">IF(AI1880&lt;S1880,"SIM","NÃO")</f>
        <v>SIM</v>
      </c>
    </row>
    <row r="1881" customFormat="false" ht="15" hidden="false" customHeight="false" outlineLevel="0" collapsed="false">
      <c r="A1881" s="59" t="n">
        <v>46282.4158449074</v>
      </c>
      <c r="B1881" s="60" t="s">
        <v>2067</v>
      </c>
      <c r="C1881" s="60" t="n">
        <v>28959880</v>
      </c>
      <c r="D1881" s="60" t="s">
        <v>339</v>
      </c>
      <c r="E1881" s="60" t="s">
        <v>24</v>
      </c>
      <c r="F1881" s="60" t="s">
        <v>232</v>
      </c>
      <c r="G1881" s="60" t="n">
        <v>19.5</v>
      </c>
      <c r="H1881" s="61" t="n">
        <v>450.7</v>
      </c>
      <c r="I1881" s="61" t="n">
        <v>46.95</v>
      </c>
      <c r="J1881" s="61" t="n">
        <f aca="false">H1881*Resumo!$C$6</f>
        <v>0</v>
      </c>
      <c r="K1881" s="61" t="n">
        <f aca="false">H1881*Resumo!$C$7</f>
        <v>0.94647</v>
      </c>
      <c r="L1881" s="61" t="n">
        <f aca="false">H1881*Resumo!$C$8</f>
        <v>0.94647</v>
      </c>
      <c r="M1881" s="61" t="n">
        <f aca="false">Resumo!$C$10*CEILING(G1881/100,1)</f>
        <v>1.05</v>
      </c>
      <c r="N1881" s="61" t="n">
        <f aca="false">Resumo!$C$9</f>
        <v>0</v>
      </c>
      <c r="O1881" s="61" t="n">
        <f aca="false">Resumo!$C$13</f>
        <v>13.55</v>
      </c>
      <c r="P1881" s="61" t="n">
        <f aca="false">Resumo!$C$14*CEILING(G1881,1)</f>
        <v>9</v>
      </c>
      <c r="Q1881" s="61" t="n">
        <f aca="false">SUM(I1881:P1881)*Resumo!$C$11</f>
        <v>0</v>
      </c>
      <c r="R1881" s="61" t="n">
        <f aca="false">SUM(I1881:Q1881)</f>
        <v>72.44294</v>
      </c>
      <c r="S1881" s="61" t="n">
        <f aca="false">R1881/(1-Resumo!$C$5)</f>
        <v>82.3215227272727</v>
      </c>
      <c r="T1881" s="61" t="n">
        <v>100.7</v>
      </c>
      <c r="U1881" s="61" t="n">
        <f aca="false">H1881*Resumo!$B$6</f>
        <v>0.4507</v>
      </c>
      <c r="V1881" s="61" t="n">
        <f aca="false">H1881*Resumo!$B$7</f>
        <v>0.9014</v>
      </c>
      <c r="W1881" s="61" t="n">
        <f aca="false">Resumo!$B$9</f>
        <v>1</v>
      </c>
      <c r="X1881" s="61" t="n">
        <f aca="false">Resumo!$B$10*CEILING(G1881/100,1)</f>
        <v>4.5</v>
      </c>
      <c r="Y1881" s="61" t="n">
        <f aca="false">Resumo!$B$12*CEILING(G1881,1)</f>
        <v>1.2</v>
      </c>
      <c r="Z1881" s="61" t="n">
        <f aca="false">Resumo!$B$14*CEILING(G1881,1)</f>
        <v>9</v>
      </c>
      <c r="AA1881" s="61" t="n">
        <f aca="false">SUM(T1881:Z1881)</f>
        <v>117.7521</v>
      </c>
      <c r="AB1881" s="61" t="n">
        <f aca="false">AA1881/(1-Resumo!$B$5)</f>
        <v>133.809204545455</v>
      </c>
      <c r="AC1881" s="61" t="n">
        <f aca="false">AB1881-S1881</f>
        <v>51.4876818181818</v>
      </c>
      <c r="AD1881" s="62" t="n">
        <f aca="false">AB1881/S1881-1</f>
        <v>0.625446178744264</v>
      </c>
      <c r="AE1881" s="60" t="str">
        <f aca="false">IF(AB1881&lt;S1881,"SIM","NÃO")</f>
        <v>NÃO</v>
      </c>
      <c r="AF1881" s="60" t="n">
        <v>13</v>
      </c>
      <c r="AG1881" s="60" t="n">
        <v>10</v>
      </c>
      <c r="AH1881" s="60" t="s">
        <v>385</v>
      </c>
      <c r="AI1881" s="61" t="n">
        <f aca="false">(T1881*(1-Painel!$C$40)+U1881+V1881+Painel!$C$41+Painel!$C$42*CEILING(G1881/100,1)+Painel!$C$43*CEILING(G1881,1)+Z1881)/(1-Resumo!$B$5)</f>
        <v>90.7626136363636</v>
      </c>
      <c r="AJ1881" s="60" t="str">
        <f aca="false">IF(AI1881&lt;S1881,"SIM","NÃO")</f>
        <v>NÃO</v>
      </c>
    </row>
    <row r="1882" customFormat="false" ht="15" hidden="false" customHeight="false" outlineLevel="0" collapsed="false">
      <c r="A1882" s="59" t="n">
        <v>46282.4192361111</v>
      </c>
      <c r="B1882" s="60" t="s">
        <v>2068</v>
      </c>
      <c r="C1882" s="60" t="n">
        <v>28635010</v>
      </c>
      <c r="D1882" s="60" t="s">
        <v>226</v>
      </c>
      <c r="E1882" s="60" t="s">
        <v>24</v>
      </c>
      <c r="F1882" s="60" t="s">
        <v>236</v>
      </c>
      <c r="G1882" s="60" t="n">
        <v>52.3</v>
      </c>
      <c r="H1882" s="61" t="n">
        <v>645.14</v>
      </c>
      <c r="I1882" s="61" t="n">
        <v>83.58</v>
      </c>
      <c r="J1882" s="61" t="n">
        <f aca="false">H1882*Resumo!$C$6</f>
        <v>0</v>
      </c>
      <c r="K1882" s="61" t="n">
        <f aca="false">H1882*Resumo!$C$7</f>
        <v>1.354794</v>
      </c>
      <c r="L1882" s="61" t="n">
        <f aca="false">H1882*Resumo!$C$8</f>
        <v>1.354794</v>
      </c>
      <c r="M1882" s="61" t="n">
        <f aca="false">Resumo!$C$10*CEILING(G1882/100,1)</f>
        <v>1.05</v>
      </c>
      <c r="N1882" s="61" t="n">
        <f aca="false">Resumo!$C$9</f>
        <v>0</v>
      </c>
      <c r="O1882" s="61" t="n">
        <f aca="false">Resumo!$C$13</f>
        <v>13.55</v>
      </c>
      <c r="P1882" s="61" t="n">
        <f aca="false">Resumo!$C$14*CEILING(G1882,1)</f>
        <v>23.85</v>
      </c>
      <c r="Q1882" s="61" t="n">
        <f aca="false">SUM(I1882:P1882)*Resumo!$C$11</f>
        <v>0</v>
      </c>
      <c r="R1882" s="61" t="n">
        <f aca="false">SUM(I1882:Q1882)</f>
        <v>124.739588</v>
      </c>
      <c r="S1882" s="61" t="n">
        <f aca="false">R1882/(1-Resumo!$C$5)</f>
        <v>141.749531818182</v>
      </c>
      <c r="T1882" s="61" t="n">
        <v>144.53</v>
      </c>
      <c r="U1882" s="61" t="n">
        <f aca="false">H1882*Resumo!$B$6</f>
        <v>0.64514</v>
      </c>
      <c r="V1882" s="61" t="n">
        <f aca="false">H1882*Resumo!$B$7</f>
        <v>1.29028</v>
      </c>
      <c r="W1882" s="61" t="n">
        <f aca="false">Resumo!$B$9</f>
        <v>1</v>
      </c>
      <c r="X1882" s="61" t="n">
        <f aca="false">Resumo!$B$10*CEILING(G1882/100,1)</f>
        <v>4.5</v>
      </c>
      <c r="Y1882" s="61" t="n">
        <f aca="false">Resumo!$B$12*CEILING(G1882,1)</f>
        <v>3.18</v>
      </c>
      <c r="Z1882" s="61" t="n">
        <f aca="false">Resumo!$B$14*CEILING(G1882,1)</f>
        <v>23.85</v>
      </c>
      <c r="AA1882" s="61" t="n">
        <f aca="false">SUM(T1882:Z1882)</f>
        <v>178.99542</v>
      </c>
      <c r="AB1882" s="61" t="n">
        <f aca="false">AA1882/(1-Resumo!$B$5)</f>
        <v>203.403886363636</v>
      </c>
      <c r="AC1882" s="61" t="n">
        <f aca="false">AB1882-S1882</f>
        <v>61.6543545454545</v>
      </c>
      <c r="AD1882" s="62" t="n">
        <f aca="false">AB1882/S1882-1</f>
        <v>0.434952791410534</v>
      </c>
      <c r="AE1882" s="60" t="str">
        <f aca="false">IF(AB1882&lt;S1882,"SIM","NÃO")</f>
        <v>NÃO</v>
      </c>
      <c r="AF1882" s="60" t="n">
        <v>13</v>
      </c>
      <c r="AG1882" s="60" t="n">
        <v>10</v>
      </c>
      <c r="AH1882" s="60" t="s">
        <v>382</v>
      </c>
      <c r="AI1882" s="61" t="n">
        <f aca="false">(T1882*(1-Painel!$C$40)+U1882+V1882+Painel!$C$41+Painel!$C$42*CEILING(G1882/100,1)+Painel!$C$43*CEILING(G1882,1)+Z1882)/(1-Resumo!$B$5)</f>
        <v>141.671045454545</v>
      </c>
      <c r="AJ1882" s="60" t="str">
        <f aca="false">IF(AI1882&lt;S1882,"SIM","NÃO")</f>
        <v>SIM</v>
      </c>
    </row>
    <row r="1883" customFormat="false" ht="15" hidden="false" customHeight="false" outlineLevel="0" collapsed="false">
      <c r="A1883" s="59" t="n">
        <v>46282.4647222222</v>
      </c>
      <c r="B1883" s="60" t="s">
        <v>1401</v>
      </c>
      <c r="C1883" s="60" t="n">
        <v>24422400</v>
      </c>
      <c r="D1883" s="60" t="s">
        <v>47</v>
      </c>
      <c r="E1883" s="60" t="s">
        <v>23</v>
      </c>
      <c r="F1883" s="60" t="s">
        <v>236</v>
      </c>
      <c r="G1883" s="60" t="n">
        <v>60</v>
      </c>
      <c r="H1883" s="61" t="n">
        <v>823.09</v>
      </c>
      <c r="I1883" s="61" t="n">
        <v>70.98</v>
      </c>
      <c r="J1883" s="61" t="n">
        <f aca="false">H1883*Resumo!$C$6</f>
        <v>0</v>
      </c>
      <c r="K1883" s="61" t="n">
        <f aca="false">H1883*Resumo!$C$7</f>
        <v>1.728489</v>
      </c>
      <c r="L1883" s="61" t="n">
        <f aca="false">H1883*Resumo!$C$8</f>
        <v>1.728489</v>
      </c>
      <c r="M1883" s="61" t="n">
        <f aca="false">Resumo!$C$10*CEILING(G1883/100,1)</f>
        <v>1.05</v>
      </c>
      <c r="N1883" s="61" t="n">
        <f aca="false">Resumo!$C$9</f>
        <v>0</v>
      </c>
      <c r="O1883" s="61" t="n">
        <f aca="false">Resumo!$C$13</f>
        <v>13.55</v>
      </c>
      <c r="P1883" s="61" t="n">
        <f aca="false">Resumo!$C$14*CEILING(G1883,1)</f>
        <v>27</v>
      </c>
      <c r="Q1883" s="61" t="n">
        <f aca="false">SUM(I1883:P1883)*Resumo!$C$11</f>
        <v>0</v>
      </c>
      <c r="R1883" s="61" t="n">
        <f aca="false">SUM(I1883:Q1883)</f>
        <v>116.036978</v>
      </c>
      <c r="S1883" s="61" t="n">
        <f aca="false">R1883/(1-Resumo!$C$5)</f>
        <v>131.860202272727</v>
      </c>
      <c r="T1883" s="61" t="n">
        <v>128.14</v>
      </c>
      <c r="U1883" s="61" t="n">
        <f aca="false">H1883*Resumo!$B$6</f>
        <v>0.82309</v>
      </c>
      <c r="V1883" s="61" t="n">
        <f aca="false">H1883*Resumo!$B$7</f>
        <v>1.64618</v>
      </c>
      <c r="W1883" s="61" t="n">
        <f aca="false">Resumo!$B$9</f>
        <v>1</v>
      </c>
      <c r="X1883" s="61" t="n">
        <f aca="false">Resumo!$B$10*CEILING(G1883/100,1)</f>
        <v>4.5</v>
      </c>
      <c r="Y1883" s="61" t="n">
        <f aca="false">Resumo!$B$12*CEILING(G1883,1)</f>
        <v>3.6</v>
      </c>
      <c r="Z1883" s="61" t="n">
        <f aca="false">Resumo!$B$14*CEILING(G1883,1)</f>
        <v>27</v>
      </c>
      <c r="AA1883" s="61" t="n">
        <f aca="false">SUM(T1883:Z1883)</f>
        <v>166.70927</v>
      </c>
      <c r="AB1883" s="61" t="n">
        <f aca="false">AA1883/(1-Resumo!$B$5)</f>
        <v>189.442352272727</v>
      </c>
      <c r="AC1883" s="61" t="n">
        <f aca="false">AB1883-S1883</f>
        <v>57.58215</v>
      </c>
      <c r="AD1883" s="62" t="n">
        <f aca="false">AB1883/S1883-1</f>
        <v>0.436690896931149</v>
      </c>
      <c r="AE1883" s="60" t="str">
        <f aca="false">IF(AB1883&lt;S1883,"SIM","NÃO")</f>
        <v>NÃO</v>
      </c>
      <c r="AF1883" s="60" t="n">
        <v>2</v>
      </c>
      <c r="AG1883" s="60" t="n">
        <v>7</v>
      </c>
      <c r="AH1883" s="60" t="s">
        <v>382</v>
      </c>
      <c r="AI1883" s="61" t="n">
        <f aca="false">(T1883*(1-Painel!$C$40)+U1883+V1883+Painel!$C$41+Painel!$C$42*CEILING(G1883/100,1)+Painel!$C$43*CEILING(G1883,1)+Z1883)/(1-Resumo!$B$5)</f>
        <v>133.378488636364</v>
      </c>
      <c r="AJ1883" s="60" t="str">
        <f aca="false">IF(AI1883&lt;S1883,"SIM","NÃO")</f>
        <v>NÃO</v>
      </c>
    </row>
    <row r="1884" customFormat="false" ht="15" hidden="false" customHeight="false" outlineLevel="0" collapsed="false">
      <c r="A1884" s="59" t="n">
        <v>46282.4882175926</v>
      </c>
      <c r="B1884" s="60" t="s">
        <v>2069</v>
      </c>
      <c r="C1884" s="60" t="n">
        <v>21910160</v>
      </c>
      <c r="D1884" s="60" t="s">
        <v>46</v>
      </c>
      <c r="E1884" s="60" t="s">
        <v>22</v>
      </c>
      <c r="F1884" s="60" t="s">
        <v>234</v>
      </c>
      <c r="G1884" s="60" t="n">
        <v>40</v>
      </c>
      <c r="H1884" s="61" t="n">
        <v>562.42</v>
      </c>
      <c r="I1884" s="61" t="n">
        <v>48.35</v>
      </c>
      <c r="J1884" s="61" t="n">
        <f aca="false">H1884*Resumo!$C$6</f>
        <v>0</v>
      </c>
      <c r="K1884" s="61" t="n">
        <f aca="false">H1884*Resumo!$C$7</f>
        <v>1.181082</v>
      </c>
      <c r="L1884" s="61" t="n">
        <f aca="false">H1884*Resumo!$C$8</f>
        <v>1.181082</v>
      </c>
      <c r="M1884" s="61" t="n">
        <f aca="false">Resumo!$C$10*CEILING(G1884/100,1)</f>
        <v>1.05</v>
      </c>
      <c r="N1884" s="61" t="n">
        <f aca="false">Resumo!$C$9</f>
        <v>0</v>
      </c>
      <c r="O1884" s="61" t="n">
        <f aca="false">Resumo!$C$13</f>
        <v>13.55</v>
      </c>
      <c r="P1884" s="61" t="n">
        <f aca="false">Resumo!$C$14*CEILING(G1884,1)</f>
        <v>18</v>
      </c>
      <c r="Q1884" s="61" t="n">
        <f aca="false">SUM(I1884:P1884)*Resumo!$C$11</f>
        <v>0</v>
      </c>
      <c r="R1884" s="61" t="n">
        <f aca="false">SUM(I1884:Q1884)</f>
        <v>83.312164</v>
      </c>
      <c r="S1884" s="61" t="n">
        <f aca="false">R1884/(1-Resumo!$C$5)</f>
        <v>94.6729136363636</v>
      </c>
      <c r="T1884" s="61" t="n">
        <v>93.97</v>
      </c>
      <c r="U1884" s="61" t="n">
        <f aca="false">H1884*Resumo!$B$6</f>
        <v>0.56242</v>
      </c>
      <c r="V1884" s="61" t="n">
        <f aca="false">H1884*Resumo!$B$7</f>
        <v>1.12484</v>
      </c>
      <c r="W1884" s="61" t="n">
        <f aca="false">Resumo!$B$9</f>
        <v>1</v>
      </c>
      <c r="X1884" s="61" t="n">
        <f aca="false">Resumo!$B$10*CEILING(G1884/100,1)</f>
        <v>4.5</v>
      </c>
      <c r="Y1884" s="61" t="n">
        <f aca="false">Resumo!$B$12*CEILING(G1884,1)</f>
        <v>2.4</v>
      </c>
      <c r="Z1884" s="61" t="n">
        <f aca="false">Resumo!$B$14*CEILING(G1884,1)</f>
        <v>18</v>
      </c>
      <c r="AA1884" s="61" t="n">
        <f aca="false">SUM(T1884:Z1884)</f>
        <v>121.55726</v>
      </c>
      <c r="AB1884" s="61" t="n">
        <f aca="false">AA1884/(1-Resumo!$B$5)</f>
        <v>138.13325</v>
      </c>
      <c r="AC1884" s="61" t="n">
        <f aca="false">AB1884-S1884</f>
        <v>43.4603363636364</v>
      </c>
      <c r="AD1884" s="62" t="n">
        <f aca="false">AB1884/S1884-1</f>
        <v>0.459057767362759</v>
      </c>
      <c r="AE1884" s="60" t="str">
        <f aca="false">IF(AB1884&lt;S1884,"SIM","NÃO")</f>
        <v>NÃO</v>
      </c>
      <c r="AF1884" s="60" t="n">
        <v>2</v>
      </c>
      <c r="AG1884" s="60" t="n">
        <v>5</v>
      </c>
      <c r="AH1884" s="60" t="s">
        <v>382</v>
      </c>
      <c r="AI1884" s="61" t="n">
        <f aca="false">(T1884*(1-Painel!$C$40)+U1884+V1884+Painel!$C$41+Painel!$C$42*CEILING(G1884/100,1)+Painel!$C$43*CEILING(G1884,1)+Z1884)/(1-Resumo!$B$5)</f>
        <v>96.2467727272727</v>
      </c>
      <c r="AJ1884" s="60" t="str">
        <f aca="false">IF(AI1884&lt;S1884,"SIM","NÃO")</f>
        <v>NÃO</v>
      </c>
    </row>
    <row r="1885" customFormat="false" ht="15" hidden="false" customHeight="false" outlineLevel="0" collapsed="false">
      <c r="A1885" s="59" t="n">
        <v>46282.5369444444</v>
      </c>
      <c r="B1885" s="60" t="s">
        <v>2070</v>
      </c>
      <c r="C1885" s="60" t="n">
        <v>22471180</v>
      </c>
      <c r="D1885" s="60" t="s">
        <v>46</v>
      </c>
      <c r="E1885" s="60" t="s">
        <v>22</v>
      </c>
      <c r="F1885" s="60" t="s">
        <v>236</v>
      </c>
      <c r="G1885" s="60" t="n">
        <v>52.3</v>
      </c>
      <c r="H1885" s="61" t="n">
        <v>649.99</v>
      </c>
      <c r="I1885" s="61" t="n">
        <v>58.6</v>
      </c>
      <c r="J1885" s="61" t="n">
        <f aca="false">H1885*Resumo!$C$6</f>
        <v>0</v>
      </c>
      <c r="K1885" s="61" t="n">
        <f aca="false">H1885*Resumo!$C$7</f>
        <v>1.364979</v>
      </c>
      <c r="L1885" s="61" t="n">
        <f aca="false">H1885*Resumo!$C$8</f>
        <v>1.364979</v>
      </c>
      <c r="M1885" s="61" t="n">
        <f aca="false">Resumo!$C$10*CEILING(G1885/100,1)</f>
        <v>1.05</v>
      </c>
      <c r="N1885" s="61" t="n">
        <f aca="false">Resumo!$C$9</f>
        <v>0</v>
      </c>
      <c r="O1885" s="61" t="n">
        <f aca="false">Resumo!$C$13</f>
        <v>13.55</v>
      </c>
      <c r="P1885" s="61" t="n">
        <f aca="false">Resumo!$C$14*CEILING(G1885,1)</f>
        <v>23.85</v>
      </c>
      <c r="Q1885" s="61" t="n">
        <f aca="false">SUM(I1885:P1885)*Resumo!$C$11</f>
        <v>0</v>
      </c>
      <c r="R1885" s="61" t="n">
        <f aca="false">SUM(I1885:Q1885)</f>
        <v>99.779958</v>
      </c>
      <c r="S1885" s="61" t="n">
        <f aca="false">R1885/(1-Resumo!$C$5)</f>
        <v>113.386315909091</v>
      </c>
      <c r="T1885" s="61" t="n">
        <v>112.3</v>
      </c>
      <c r="U1885" s="61" t="n">
        <f aca="false">H1885*Resumo!$B$6</f>
        <v>0.64999</v>
      </c>
      <c r="V1885" s="61" t="n">
        <f aca="false">H1885*Resumo!$B$7</f>
        <v>1.29998</v>
      </c>
      <c r="W1885" s="61" t="n">
        <f aca="false">Resumo!$B$9</f>
        <v>1</v>
      </c>
      <c r="X1885" s="61" t="n">
        <f aca="false">Resumo!$B$10*CEILING(G1885/100,1)</f>
        <v>4.5</v>
      </c>
      <c r="Y1885" s="61" t="n">
        <f aca="false">Resumo!$B$12*CEILING(G1885,1)</f>
        <v>3.18</v>
      </c>
      <c r="Z1885" s="61" t="n">
        <f aca="false">Resumo!$B$14*CEILING(G1885,1)</f>
        <v>23.85</v>
      </c>
      <c r="AA1885" s="61" t="n">
        <f aca="false">SUM(T1885:Z1885)</f>
        <v>146.77997</v>
      </c>
      <c r="AB1885" s="61" t="n">
        <f aca="false">AA1885/(1-Resumo!$B$5)</f>
        <v>166.795420454545</v>
      </c>
      <c r="AC1885" s="61" t="n">
        <f aca="false">AB1885-S1885</f>
        <v>53.4091045454546</v>
      </c>
      <c r="AD1885" s="62" t="n">
        <f aca="false">AB1885/S1885-1</f>
        <v>0.471036598351745</v>
      </c>
      <c r="AE1885" s="60" t="str">
        <f aca="false">IF(AB1885&lt;S1885,"SIM","NÃO")</f>
        <v>NÃO</v>
      </c>
      <c r="AF1885" s="60" t="n">
        <v>2</v>
      </c>
      <c r="AG1885" s="60" t="n">
        <v>5</v>
      </c>
      <c r="AH1885" s="60" t="s">
        <v>382</v>
      </c>
      <c r="AI1885" s="61" t="n">
        <f aca="false">(T1885*(1-Painel!$C$40)+U1885+V1885+Painel!$C$41+Painel!$C$42*CEILING(G1885/100,1)+Painel!$C$43*CEILING(G1885,1)+Z1885)/(1-Resumo!$B$5)</f>
        <v>117.148829545455</v>
      </c>
      <c r="AJ1885" s="60" t="str">
        <f aca="false">IF(AI1885&lt;S1885,"SIM","NÃO")</f>
        <v>NÃO</v>
      </c>
    </row>
    <row r="1886" customFormat="false" ht="15" hidden="false" customHeight="false" outlineLevel="0" collapsed="false">
      <c r="A1886" s="59" t="n">
        <v>46282.6074768519</v>
      </c>
      <c r="B1886" s="60" t="s">
        <v>486</v>
      </c>
      <c r="C1886" s="60" t="n">
        <v>28200000</v>
      </c>
      <c r="D1886" s="60" t="s">
        <v>305</v>
      </c>
      <c r="E1886" s="60" t="s">
        <v>24</v>
      </c>
      <c r="F1886" s="60" t="s">
        <v>236</v>
      </c>
      <c r="G1886" s="60" t="n">
        <v>58.9</v>
      </c>
      <c r="H1886" s="61" t="n">
        <v>759.99</v>
      </c>
      <c r="I1886" s="61" t="n">
        <v>83.58</v>
      </c>
      <c r="J1886" s="61" t="n">
        <f aca="false">H1886*Resumo!$C$6</f>
        <v>0</v>
      </c>
      <c r="K1886" s="61" t="n">
        <f aca="false">H1886*Resumo!$C$7</f>
        <v>1.595979</v>
      </c>
      <c r="L1886" s="61" t="n">
        <f aca="false">H1886*Resumo!$C$8</f>
        <v>1.595979</v>
      </c>
      <c r="M1886" s="61" t="n">
        <f aca="false">Resumo!$C$10*CEILING(G1886/100,1)</f>
        <v>1.05</v>
      </c>
      <c r="N1886" s="61" t="n">
        <f aca="false">Resumo!$C$9</f>
        <v>0</v>
      </c>
      <c r="O1886" s="61" t="n">
        <f aca="false">Resumo!$C$13</f>
        <v>13.55</v>
      </c>
      <c r="P1886" s="61" t="n">
        <f aca="false">Resumo!$C$14*CEILING(G1886,1)</f>
        <v>26.55</v>
      </c>
      <c r="Q1886" s="61" t="n">
        <f aca="false">SUM(I1886:P1886)*Resumo!$C$11</f>
        <v>0</v>
      </c>
      <c r="R1886" s="61" t="n">
        <f aca="false">SUM(I1886:Q1886)</f>
        <v>127.921958</v>
      </c>
      <c r="S1886" s="61" t="n">
        <f aca="false">R1886/(1-Resumo!$C$5)</f>
        <v>145.365861363636</v>
      </c>
      <c r="T1886" s="61" t="n">
        <v>162.04</v>
      </c>
      <c r="U1886" s="61" t="n">
        <f aca="false">H1886*Resumo!$B$6</f>
        <v>0.75999</v>
      </c>
      <c r="V1886" s="61" t="n">
        <f aca="false">H1886*Resumo!$B$7</f>
        <v>1.51998</v>
      </c>
      <c r="W1886" s="61" t="n">
        <f aca="false">Resumo!$B$9</f>
        <v>1</v>
      </c>
      <c r="X1886" s="61" t="n">
        <f aca="false">Resumo!$B$10*CEILING(G1886/100,1)</f>
        <v>4.5</v>
      </c>
      <c r="Y1886" s="61" t="n">
        <f aca="false">Resumo!$B$12*CEILING(G1886,1)</f>
        <v>3.54</v>
      </c>
      <c r="Z1886" s="61" t="n">
        <f aca="false">Resumo!$B$14*CEILING(G1886,1)</f>
        <v>26.55</v>
      </c>
      <c r="AA1886" s="61" t="n">
        <f aca="false">SUM(T1886:Z1886)</f>
        <v>199.90997</v>
      </c>
      <c r="AB1886" s="61" t="n">
        <f aca="false">AA1886/(1-Resumo!$B$5)</f>
        <v>227.170420454545</v>
      </c>
      <c r="AC1886" s="61" t="n">
        <f aca="false">AB1886-S1886</f>
        <v>81.8045590909091</v>
      </c>
      <c r="AD1886" s="62" t="n">
        <f aca="false">AB1886/S1886-1</f>
        <v>0.562749453850605</v>
      </c>
      <c r="AE1886" s="60" t="str">
        <f aca="false">IF(AB1886&lt;S1886,"SIM","NÃO")</f>
        <v>NÃO</v>
      </c>
      <c r="AF1886" s="60" t="n">
        <v>13</v>
      </c>
      <c r="AG1886" s="60" t="n">
        <v>11</v>
      </c>
      <c r="AH1886" s="60" t="s">
        <v>385</v>
      </c>
      <c r="AI1886" s="61" t="n">
        <f aca="false">(T1886*(1-Painel!$C$40)+U1886+V1886+Painel!$C$41+Painel!$C$42*CEILING(G1886/100,1)+Painel!$C$43*CEILING(G1886,1)+Z1886)/(1-Resumo!$B$5)</f>
        <v>158.462238636364</v>
      </c>
      <c r="AJ1886" s="60" t="str">
        <f aca="false">IF(AI1886&lt;S1886,"SIM","NÃO")</f>
        <v>NÃO</v>
      </c>
    </row>
    <row r="1887" customFormat="false" ht="15" hidden="false" customHeight="false" outlineLevel="0" collapsed="false">
      <c r="A1887" s="59" t="n">
        <v>46282.6089236111</v>
      </c>
      <c r="B1887" s="60" t="s">
        <v>486</v>
      </c>
      <c r="C1887" s="60" t="n">
        <v>28200000</v>
      </c>
      <c r="D1887" s="60" t="s">
        <v>305</v>
      </c>
      <c r="E1887" s="60" t="s">
        <v>24</v>
      </c>
      <c r="F1887" s="60" t="s">
        <v>233</v>
      </c>
      <c r="G1887" s="60" t="n">
        <v>31.3</v>
      </c>
      <c r="H1887" s="61" t="n">
        <v>399.99</v>
      </c>
      <c r="I1887" s="61" t="n">
        <v>65.63</v>
      </c>
      <c r="J1887" s="61" t="n">
        <f aca="false">H1887*Resumo!$C$6</f>
        <v>0</v>
      </c>
      <c r="K1887" s="61" t="n">
        <f aca="false">H1887*Resumo!$C$7</f>
        <v>0.839979</v>
      </c>
      <c r="L1887" s="61" t="n">
        <f aca="false">H1887*Resumo!$C$8</f>
        <v>0.839979</v>
      </c>
      <c r="M1887" s="61" t="n">
        <f aca="false">Resumo!$C$10*CEILING(G1887/100,1)</f>
        <v>1.05</v>
      </c>
      <c r="N1887" s="61" t="n">
        <f aca="false">Resumo!$C$9</f>
        <v>0</v>
      </c>
      <c r="O1887" s="61" t="n">
        <f aca="false">Resumo!$C$13</f>
        <v>13.55</v>
      </c>
      <c r="P1887" s="61" t="n">
        <f aca="false">Resumo!$C$14*CEILING(G1887,1)</f>
        <v>14.4</v>
      </c>
      <c r="Q1887" s="61" t="n">
        <f aca="false">SUM(I1887:P1887)*Resumo!$C$11</f>
        <v>0</v>
      </c>
      <c r="R1887" s="61" t="n">
        <f aca="false">SUM(I1887:Q1887)</f>
        <v>96.309958</v>
      </c>
      <c r="S1887" s="61" t="n">
        <f aca="false">R1887/(1-Resumo!$C$5)</f>
        <v>109.443134090909</v>
      </c>
      <c r="T1887" s="61" t="n">
        <v>138.29</v>
      </c>
      <c r="U1887" s="61" t="n">
        <f aca="false">H1887*Resumo!$B$6</f>
        <v>0.39999</v>
      </c>
      <c r="V1887" s="61" t="n">
        <f aca="false">H1887*Resumo!$B$7</f>
        <v>0.79998</v>
      </c>
      <c r="W1887" s="61" t="n">
        <f aca="false">Resumo!$B$9</f>
        <v>1</v>
      </c>
      <c r="X1887" s="61" t="n">
        <f aca="false">Resumo!$B$10*CEILING(G1887/100,1)</f>
        <v>4.5</v>
      </c>
      <c r="Y1887" s="61" t="n">
        <f aca="false">Resumo!$B$12*CEILING(G1887,1)</f>
        <v>1.92</v>
      </c>
      <c r="Z1887" s="61" t="n">
        <f aca="false">Resumo!$B$14*CEILING(G1887,1)</f>
        <v>14.4</v>
      </c>
      <c r="AA1887" s="61" t="n">
        <f aca="false">SUM(T1887:Z1887)</f>
        <v>161.30997</v>
      </c>
      <c r="AB1887" s="61" t="n">
        <f aca="false">AA1887/(1-Resumo!$B$5)</f>
        <v>183.306784090909</v>
      </c>
      <c r="AC1887" s="61" t="n">
        <f aca="false">AB1887-S1887</f>
        <v>73.86365</v>
      </c>
      <c r="AD1887" s="62" t="n">
        <f aca="false">AB1887/S1887-1</f>
        <v>0.674904374893404</v>
      </c>
      <c r="AE1887" s="60" t="str">
        <f aca="false">IF(AB1887&lt;S1887,"SIM","NÃO")</f>
        <v>NÃO</v>
      </c>
      <c r="AF1887" s="60" t="n">
        <v>13</v>
      </c>
      <c r="AG1887" s="60" t="n">
        <v>11</v>
      </c>
      <c r="AH1887" s="60" t="s">
        <v>385</v>
      </c>
      <c r="AI1887" s="61" t="n">
        <f aca="false">(T1887*(1-Painel!$C$40)+U1887+V1887+Painel!$C$41+Painel!$C$42*CEILING(G1887/100,1)+Painel!$C$43*CEILING(G1887,1)+Z1887)/(1-Resumo!$B$5)</f>
        <v>125.345761363636</v>
      </c>
      <c r="AJ1887" s="60" t="str">
        <f aca="false">IF(AI1887&lt;S1887,"SIM","NÃO")</f>
        <v>NÃO</v>
      </c>
    </row>
    <row r="1888" customFormat="false" ht="15" hidden="false" customHeight="false" outlineLevel="0" collapsed="false">
      <c r="A1888" s="59" t="n">
        <v>46282.6327546296</v>
      </c>
      <c r="B1888" s="60" t="s">
        <v>813</v>
      </c>
      <c r="C1888" s="60" t="n">
        <v>23520286</v>
      </c>
      <c r="D1888" s="60" t="s">
        <v>46</v>
      </c>
      <c r="E1888" s="60" t="s">
        <v>22</v>
      </c>
      <c r="F1888" s="60" t="s">
        <v>233</v>
      </c>
      <c r="G1888" s="60" t="n">
        <v>24.8</v>
      </c>
      <c r="H1888" s="61" t="n">
        <v>399.99</v>
      </c>
      <c r="I1888" s="61" t="n">
        <v>42.11</v>
      </c>
      <c r="J1888" s="61" t="n">
        <f aca="false">H1888*Resumo!$C$6</f>
        <v>0</v>
      </c>
      <c r="K1888" s="61" t="n">
        <f aca="false">H1888*Resumo!$C$7</f>
        <v>0.839979</v>
      </c>
      <c r="L1888" s="61" t="n">
        <f aca="false">H1888*Resumo!$C$8</f>
        <v>0.839979</v>
      </c>
      <c r="M1888" s="61" t="n">
        <f aca="false">Resumo!$C$10*CEILING(G1888/100,1)</f>
        <v>1.05</v>
      </c>
      <c r="N1888" s="61" t="n">
        <f aca="false">Resumo!$C$9</f>
        <v>0</v>
      </c>
      <c r="O1888" s="61" t="n">
        <f aca="false">Resumo!$C$13</f>
        <v>13.55</v>
      </c>
      <c r="P1888" s="61" t="n">
        <f aca="false">Resumo!$C$14*CEILING(G1888,1)</f>
        <v>11.25</v>
      </c>
      <c r="Q1888" s="61" t="n">
        <f aca="false">SUM(I1888:P1888)*Resumo!$C$11</f>
        <v>0</v>
      </c>
      <c r="R1888" s="61" t="n">
        <f aca="false">SUM(I1888:Q1888)</f>
        <v>69.639958</v>
      </c>
      <c r="S1888" s="61" t="n">
        <f aca="false">R1888/(1-Resumo!$C$5)</f>
        <v>79.1363159090909</v>
      </c>
      <c r="T1888" s="61" t="n">
        <v>82.21</v>
      </c>
      <c r="U1888" s="61" t="n">
        <f aca="false">H1888*Resumo!$B$6</f>
        <v>0.39999</v>
      </c>
      <c r="V1888" s="61" t="n">
        <f aca="false">H1888*Resumo!$B$7</f>
        <v>0.79998</v>
      </c>
      <c r="W1888" s="61" t="n">
        <f aca="false">Resumo!$B$9</f>
        <v>1</v>
      </c>
      <c r="X1888" s="61" t="n">
        <f aca="false">Resumo!$B$10*CEILING(G1888/100,1)</f>
        <v>4.5</v>
      </c>
      <c r="Y1888" s="61" t="n">
        <f aca="false">Resumo!$B$12*CEILING(G1888,1)</f>
        <v>1.5</v>
      </c>
      <c r="Z1888" s="61" t="n">
        <f aca="false">Resumo!$B$14*CEILING(G1888,1)</f>
        <v>11.25</v>
      </c>
      <c r="AA1888" s="61" t="n">
        <f aca="false">SUM(T1888:Z1888)</f>
        <v>101.65997</v>
      </c>
      <c r="AB1888" s="61" t="n">
        <f aca="false">AA1888/(1-Resumo!$B$5)</f>
        <v>115.522693181818</v>
      </c>
      <c r="AC1888" s="61" t="n">
        <f aca="false">AB1888-S1888</f>
        <v>36.3863772727273</v>
      </c>
      <c r="AD1888" s="62" t="n">
        <f aca="false">AB1888/S1888-1</f>
        <v>0.459793671903133</v>
      </c>
      <c r="AE1888" s="60" t="str">
        <f aca="false">IF(AB1888&lt;S1888,"SIM","NÃO")</f>
        <v>NÃO</v>
      </c>
      <c r="AF1888" s="60" t="n">
        <v>2</v>
      </c>
      <c r="AG1888" s="60" t="n">
        <v>5</v>
      </c>
      <c r="AH1888" s="60" t="s">
        <v>382</v>
      </c>
      <c r="AI1888" s="61" t="n">
        <f aca="false">(T1888*(1-Painel!$C$40)+U1888+V1888+Painel!$C$41+Painel!$C$42*CEILING(G1888/100,1)+Painel!$C$43*CEILING(G1888,1)+Z1888)/(1-Resumo!$B$5)</f>
        <v>79.0689431818182</v>
      </c>
      <c r="AJ1888" s="60" t="str">
        <f aca="false">IF(AI1888&lt;S1888,"SIM","NÃO")</f>
        <v>SIM</v>
      </c>
    </row>
    <row r="1889" customFormat="false" ht="15" hidden="false" customHeight="false" outlineLevel="0" collapsed="false">
      <c r="A1889" s="59" t="n">
        <v>46282.6438425926</v>
      </c>
      <c r="B1889" s="60" t="s">
        <v>2071</v>
      </c>
      <c r="C1889" s="60" t="n">
        <v>20745230</v>
      </c>
      <c r="D1889" s="60" t="s">
        <v>46</v>
      </c>
      <c r="E1889" s="60" t="s">
        <v>22</v>
      </c>
      <c r="F1889" s="60" t="s">
        <v>234</v>
      </c>
      <c r="G1889" s="60" t="n">
        <v>40</v>
      </c>
      <c r="H1889" s="61" t="n">
        <v>579.99</v>
      </c>
      <c r="I1889" s="61" t="n">
        <v>48.35</v>
      </c>
      <c r="J1889" s="61" t="n">
        <f aca="false">H1889*Resumo!$C$6</f>
        <v>0</v>
      </c>
      <c r="K1889" s="61" t="n">
        <f aca="false">H1889*Resumo!$C$7</f>
        <v>1.217979</v>
      </c>
      <c r="L1889" s="61" t="n">
        <f aca="false">H1889*Resumo!$C$8</f>
        <v>1.217979</v>
      </c>
      <c r="M1889" s="61" t="n">
        <f aca="false">Resumo!$C$10*CEILING(G1889/100,1)</f>
        <v>1.05</v>
      </c>
      <c r="N1889" s="61" t="n">
        <f aca="false">Resumo!$C$9</f>
        <v>0</v>
      </c>
      <c r="O1889" s="61" t="n">
        <f aca="false">Resumo!$C$13</f>
        <v>13.55</v>
      </c>
      <c r="P1889" s="61" t="n">
        <f aca="false">Resumo!$C$14*CEILING(G1889,1)</f>
        <v>18</v>
      </c>
      <c r="Q1889" s="61" t="n">
        <f aca="false">SUM(I1889:P1889)*Resumo!$C$11</f>
        <v>0</v>
      </c>
      <c r="R1889" s="61" t="n">
        <f aca="false">SUM(I1889:Q1889)</f>
        <v>83.385958</v>
      </c>
      <c r="S1889" s="61" t="n">
        <f aca="false">R1889/(1-Resumo!$C$5)</f>
        <v>94.7567704545455</v>
      </c>
      <c r="T1889" s="61" t="n">
        <v>93.97</v>
      </c>
      <c r="U1889" s="61" t="n">
        <f aca="false">H1889*Resumo!$B$6</f>
        <v>0.57999</v>
      </c>
      <c r="V1889" s="61" t="n">
        <f aca="false">H1889*Resumo!$B$7</f>
        <v>1.15998</v>
      </c>
      <c r="W1889" s="61" t="n">
        <f aca="false">Resumo!$B$9</f>
        <v>1</v>
      </c>
      <c r="X1889" s="61" t="n">
        <f aca="false">Resumo!$B$10*CEILING(G1889/100,1)</f>
        <v>4.5</v>
      </c>
      <c r="Y1889" s="61" t="n">
        <f aca="false">Resumo!$B$12*CEILING(G1889,1)</f>
        <v>2.4</v>
      </c>
      <c r="Z1889" s="61" t="n">
        <f aca="false">Resumo!$B$14*CEILING(G1889,1)</f>
        <v>18</v>
      </c>
      <c r="AA1889" s="61" t="n">
        <f aca="false">SUM(T1889:Z1889)</f>
        <v>121.60997</v>
      </c>
      <c r="AB1889" s="61" t="n">
        <f aca="false">AA1889/(1-Resumo!$B$5)</f>
        <v>138.193147727273</v>
      </c>
      <c r="AC1889" s="61" t="n">
        <f aca="false">AB1889-S1889</f>
        <v>43.4363772727273</v>
      </c>
      <c r="AD1889" s="62" t="n">
        <f aca="false">AB1889/S1889-1</f>
        <v>0.458398667075337</v>
      </c>
      <c r="AE1889" s="60" t="str">
        <f aca="false">IF(AB1889&lt;S1889,"SIM","NÃO")</f>
        <v>NÃO</v>
      </c>
      <c r="AF1889" s="60" t="n">
        <v>2</v>
      </c>
      <c r="AG1889" s="60" t="n">
        <v>5</v>
      </c>
      <c r="AH1889" s="60" t="s">
        <v>382</v>
      </c>
      <c r="AI1889" s="61" t="n">
        <f aca="false">(T1889*(1-Painel!$C$40)+U1889+V1889+Painel!$C$41+Painel!$C$42*CEILING(G1889/100,1)+Painel!$C$43*CEILING(G1889,1)+Z1889)/(1-Resumo!$B$5)</f>
        <v>96.3066704545454</v>
      </c>
      <c r="AJ1889" s="60" t="str">
        <f aca="false">IF(AI1889&lt;S1889,"SIM","NÃO")</f>
        <v>NÃO</v>
      </c>
    </row>
    <row r="1890" customFormat="false" ht="15" hidden="false" customHeight="false" outlineLevel="0" collapsed="false">
      <c r="A1890" s="59" t="n">
        <v>46282.7233217593</v>
      </c>
      <c r="B1890" s="60" t="s">
        <v>2072</v>
      </c>
      <c r="C1890" s="60" t="n">
        <v>24070000</v>
      </c>
      <c r="D1890" s="60" t="s">
        <v>50</v>
      </c>
      <c r="E1890" s="60" t="s">
        <v>23</v>
      </c>
      <c r="F1890" s="60" t="s">
        <v>233</v>
      </c>
      <c r="G1890" s="60" t="n">
        <v>27</v>
      </c>
      <c r="H1890" s="61" t="n">
        <v>339.99</v>
      </c>
      <c r="I1890" s="61" t="n">
        <v>58.8</v>
      </c>
      <c r="J1890" s="61" t="n">
        <f aca="false">H1890*Resumo!$C$6</f>
        <v>0</v>
      </c>
      <c r="K1890" s="61" t="n">
        <f aca="false">H1890*Resumo!$C$7</f>
        <v>0.713979</v>
      </c>
      <c r="L1890" s="61" t="n">
        <f aca="false">H1890*Resumo!$C$8</f>
        <v>0.713979</v>
      </c>
      <c r="M1890" s="61" t="n">
        <f aca="false">Resumo!$C$10*CEILING(G1890/100,1)</f>
        <v>1.05</v>
      </c>
      <c r="N1890" s="61" t="n">
        <f aca="false">Resumo!$C$9</f>
        <v>0</v>
      </c>
      <c r="O1890" s="61" t="n">
        <f aca="false">Resumo!$C$13</f>
        <v>13.55</v>
      </c>
      <c r="P1890" s="61" t="n">
        <f aca="false">Resumo!$C$14*CEILING(G1890,1)</f>
        <v>12.15</v>
      </c>
      <c r="Q1890" s="61" t="n">
        <f aca="false">SUM(I1890:P1890)*Resumo!$C$11</f>
        <v>0</v>
      </c>
      <c r="R1890" s="61" t="n">
        <f aca="false">SUM(I1890:Q1890)</f>
        <v>86.977958</v>
      </c>
      <c r="S1890" s="61" t="n">
        <f aca="false">R1890/(1-Resumo!$C$5)</f>
        <v>98.8385886363636</v>
      </c>
      <c r="T1890" s="61" t="n">
        <v>100.58</v>
      </c>
      <c r="U1890" s="61" t="n">
        <f aca="false">H1890*Resumo!$B$6</f>
        <v>0.33999</v>
      </c>
      <c r="V1890" s="61" t="n">
        <f aca="false">H1890*Resumo!$B$7</f>
        <v>0.67998</v>
      </c>
      <c r="W1890" s="61" t="n">
        <f aca="false">Resumo!$B$9</f>
        <v>1</v>
      </c>
      <c r="X1890" s="61" t="n">
        <f aca="false">Resumo!$B$10*CEILING(G1890/100,1)</f>
        <v>4.5</v>
      </c>
      <c r="Y1890" s="61" t="n">
        <f aca="false">Resumo!$B$12*CEILING(G1890,1)</f>
        <v>1.62</v>
      </c>
      <c r="Z1890" s="61" t="n">
        <f aca="false">Resumo!$B$14*CEILING(G1890,1)</f>
        <v>12.15</v>
      </c>
      <c r="AA1890" s="61" t="n">
        <f aca="false">SUM(T1890:Z1890)</f>
        <v>120.86997</v>
      </c>
      <c r="AB1890" s="61" t="n">
        <f aca="false">AA1890/(1-Resumo!$B$5)</f>
        <v>137.352238636364</v>
      </c>
      <c r="AC1890" s="61" t="n">
        <f aca="false">AB1890-S1890</f>
        <v>38.51365</v>
      </c>
      <c r="AD1890" s="62" t="n">
        <f aca="false">AB1890/S1890-1</f>
        <v>0.389662079673105</v>
      </c>
      <c r="AE1890" s="60" t="str">
        <f aca="false">IF(AB1890&lt;S1890,"SIM","NÃO")</f>
        <v>NÃO</v>
      </c>
      <c r="AF1890" s="60" t="n">
        <v>2</v>
      </c>
      <c r="AG1890" s="60" t="n">
        <v>7</v>
      </c>
      <c r="AH1890" s="60" t="s">
        <v>382</v>
      </c>
      <c r="AI1890" s="61" t="n">
        <f aca="false">(T1890*(1-Painel!$C$40)+U1890+V1890+Painel!$C$41+Painel!$C$42*CEILING(G1890/100,1)+Painel!$C$43*CEILING(G1890,1)+Z1890)/(1-Resumo!$B$5)</f>
        <v>93.873375</v>
      </c>
      <c r="AJ1890" s="60" t="str">
        <f aca="false">IF(AI1890&lt;S1890,"SIM","NÃO")</f>
        <v>SIM</v>
      </c>
    </row>
    <row r="1891" customFormat="false" ht="15" hidden="false" customHeight="false" outlineLevel="0" collapsed="false">
      <c r="A1891" s="59" t="n">
        <v>46282.7409722222</v>
      </c>
      <c r="B1891" s="60" t="s">
        <v>2073</v>
      </c>
      <c r="C1891" s="60" t="n">
        <v>21840096</v>
      </c>
      <c r="D1891" s="60" t="s">
        <v>46</v>
      </c>
      <c r="E1891" s="60" t="s">
        <v>22</v>
      </c>
      <c r="F1891" s="60" t="s">
        <v>233</v>
      </c>
      <c r="G1891" s="60" t="n">
        <v>23</v>
      </c>
      <c r="H1891" s="61" t="n">
        <v>349.99</v>
      </c>
      <c r="I1891" s="61" t="n">
        <v>42.11</v>
      </c>
      <c r="J1891" s="61" t="n">
        <f aca="false">H1891*Resumo!$C$6</f>
        <v>0</v>
      </c>
      <c r="K1891" s="61" t="n">
        <f aca="false">H1891*Resumo!$C$7</f>
        <v>0.734979</v>
      </c>
      <c r="L1891" s="61" t="n">
        <f aca="false">H1891*Resumo!$C$8</f>
        <v>0.734979</v>
      </c>
      <c r="M1891" s="61" t="n">
        <f aca="false">Resumo!$C$10*CEILING(G1891/100,1)</f>
        <v>1.05</v>
      </c>
      <c r="N1891" s="61" t="n">
        <f aca="false">Resumo!$C$9</f>
        <v>0</v>
      </c>
      <c r="O1891" s="61" t="n">
        <f aca="false">Resumo!$C$13</f>
        <v>13.55</v>
      </c>
      <c r="P1891" s="61" t="n">
        <f aca="false">Resumo!$C$14*CEILING(G1891,1)</f>
        <v>10.35</v>
      </c>
      <c r="Q1891" s="61" t="n">
        <f aca="false">SUM(I1891:P1891)*Resumo!$C$11</f>
        <v>0</v>
      </c>
      <c r="R1891" s="61" t="n">
        <f aca="false">SUM(I1891:Q1891)</f>
        <v>68.529958</v>
      </c>
      <c r="S1891" s="61" t="n">
        <f aca="false">R1891/(1-Resumo!$C$5)</f>
        <v>77.8749522727273</v>
      </c>
      <c r="T1891" s="61" t="n">
        <v>82.21</v>
      </c>
      <c r="U1891" s="61" t="n">
        <f aca="false">H1891*Resumo!$B$6</f>
        <v>0.34999</v>
      </c>
      <c r="V1891" s="61" t="n">
        <f aca="false">H1891*Resumo!$B$7</f>
        <v>0.69998</v>
      </c>
      <c r="W1891" s="61" t="n">
        <f aca="false">Resumo!$B$9</f>
        <v>1</v>
      </c>
      <c r="X1891" s="61" t="n">
        <f aca="false">Resumo!$B$10*CEILING(G1891/100,1)</f>
        <v>4.5</v>
      </c>
      <c r="Y1891" s="61" t="n">
        <f aca="false">Resumo!$B$12*CEILING(G1891,1)</f>
        <v>1.38</v>
      </c>
      <c r="Z1891" s="61" t="n">
        <f aca="false">Resumo!$B$14*CEILING(G1891,1)</f>
        <v>10.35</v>
      </c>
      <c r="AA1891" s="61" t="n">
        <f aca="false">SUM(T1891:Z1891)</f>
        <v>100.48997</v>
      </c>
      <c r="AB1891" s="61" t="n">
        <f aca="false">AA1891/(1-Resumo!$B$5)</f>
        <v>114.193147727273</v>
      </c>
      <c r="AC1891" s="61" t="n">
        <f aca="false">AB1891-S1891</f>
        <v>36.3181954545454</v>
      </c>
      <c r="AD1891" s="62" t="n">
        <f aca="false">AB1891/S1891-1</f>
        <v>0.466365556505959</v>
      </c>
      <c r="AE1891" s="60" t="str">
        <f aca="false">IF(AB1891&lt;S1891,"SIM","NÃO")</f>
        <v>NÃO</v>
      </c>
      <c r="AF1891" s="60" t="n">
        <v>2</v>
      </c>
      <c r="AG1891" s="60" t="n">
        <v>5</v>
      </c>
      <c r="AH1891" s="60" t="s">
        <v>382</v>
      </c>
      <c r="AI1891" s="61" t="n">
        <f aca="false">(T1891*(1-Painel!$C$40)+U1891+V1891+Painel!$C$41+Painel!$C$42*CEILING(G1891/100,1)+Painel!$C$43*CEILING(G1891,1)+Z1891)/(1-Resumo!$B$5)</f>
        <v>77.8757613636363</v>
      </c>
      <c r="AJ1891" s="60" t="str">
        <f aca="false">IF(AI1891&lt;S1891,"SIM","NÃO")</f>
        <v>NÃO</v>
      </c>
    </row>
    <row r="1892" customFormat="false" ht="15" hidden="false" customHeight="false" outlineLevel="0" collapsed="false">
      <c r="A1892" s="59" t="n">
        <v>46282.7503125</v>
      </c>
      <c r="B1892" s="60" t="s">
        <v>930</v>
      </c>
      <c r="C1892" s="60" t="n">
        <v>28930000</v>
      </c>
      <c r="D1892" s="60" t="s">
        <v>337</v>
      </c>
      <c r="E1892" s="60" t="s">
        <v>24</v>
      </c>
      <c r="F1892" s="60" t="s">
        <v>236</v>
      </c>
      <c r="G1892" s="60" t="n">
        <v>56.7</v>
      </c>
      <c r="H1892" s="61" t="n">
        <v>769.91</v>
      </c>
      <c r="I1892" s="61" t="n">
        <v>83.58</v>
      </c>
      <c r="J1892" s="61" t="n">
        <f aca="false">H1892*Resumo!$C$6</f>
        <v>0</v>
      </c>
      <c r="K1892" s="61" t="n">
        <f aca="false">H1892*Resumo!$C$7</f>
        <v>1.616811</v>
      </c>
      <c r="L1892" s="61" t="n">
        <f aca="false">H1892*Resumo!$C$8</f>
        <v>1.616811</v>
      </c>
      <c r="M1892" s="61" t="n">
        <f aca="false">Resumo!$C$10*CEILING(G1892/100,1)</f>
        <v>1.05</v>
      </c>
      <c r="N1892" s="61" t="n">
        <f aca="false">Resumo!$C$9</f>
        <v>0</v>
      </c>
      <c r="O1892" s="61" t="n">
        <f aca="false">Resumo!$C$13</f>
        <v>13.55</v>
      </c>
      <c r="P1892" s="61" t="n">
        <f aca="false">Resumo!$C$14*CEILING(G1892,1)</f>
        <v>25.65</v>
      </c>
      <c r="Q1892" s="61" t="n">
        <f aca="false">SUM(I1892:P1892)*Resumo!$C$11</f>
        <v>0</v>
      </c>
      <c r="R1892" s="61" t="n">
        <f aca="false">SUM(I1892:Q1892)</f>
        <v>127.063622</v>
      </c>
      <c r="S1892" s="61" t="n">
        <f aca="false">R1892/(1-Resumo!$C$5)</f>
        <v>144.390479545455</v>
      </c>
      <c r="T1892" s="61" t="n">
        <v>142.32</v>
      </c>
      <c r="U1892" s="61" t="n">
        <f aca="false">H1892*Resumo!$B$6</f>
        <v>0.76991</v>
      </c>
      <c r="V1892" s="61" t="n">
        <f aca="false">H1892*Resumo!$B$7</f>
        <v>1.53982</v>
      </c>
      <c r="W1892" s="61" t="n">
        <f aca="false">Resumo!$B$9</f>
        <v>1</v>
      </c>
      <c r="X1892" s="61" t="n">
        <f aca="false">Resumo!$B$10*CEILING(G1892/100,1)</f>
        <v>4.5</v>
      </c>
      <c r="Y1892" s="61" t="n">
        <f aca="false">Resumo!$B$12*CEILING(G1892,1)</f>
        <v>3.42</v>
      </c>
      <c r="Z1892" s="61" t="n">
        <f aca="false">Resumo!$B$14*CEILING(G1892,1)</f>
        <v>25.65</v>
      </c>
      <c r="AA1892" s="61" t="n">
        <f aca="false">SUM(T1892:Z1892)</f>
        <v>179.19973</v>
      </c>
      <c r="AB1892" s="61" t="n">
        <f aca="false">AA1892/(1-Resumo!$B$5)</f>
        <v>203.636056818182</v>
      </c>
      <c r="AC1892" s="61" t="n">
        <f aca="false">AB1892-S1892</f>
        <v>59.2455772727272</v>
      </c>
      <c r="AD1892" s="62" t="n">
        <f aca="false">AB1892/S1892-1</f>
        <v>0.41031498378033</v>
      </c>
      <c r="AE1892" s="60" t="str">
        <f aca="false">IF(AB1892&lt;S1892,"SIM","NÃO")</f>
        <v>NÃO</v>
      </c>
      <c r="AF1892" s="60" t="n">
        <v>13</v>
      </c>
      <c r="AG1892" s="60" t="n">
        <v>10</v>
      </c>
      <c r="AH1892" s="60" t="s">
        <v>385</v>
      </c>
      <c r="AI1892" s="61" t="n">
        <f aca="false">(T1892*(1-Painel!$C$40)+U1892+V1892+Painel!$C$41+Painel!$C$42*CEILING(G1892/100,1)+Painel!$C$43*CEILING(G1892,1)+Z1892)/(1-Resumo!$B$5)</f>
        <v>142.459238636364</v>
      </c>
      <c r="AJ1892" s="60" t="str">
        <f aca="false">IF(AI1892&lt;S1892,"SIM","NÃO")</f>
        <v>SIM</v>
      </c>
    </row>
    <row r="1893" customFormat="false" ht="15" hidden="false" customHeight="false" outlineLevel="0" collapsed="false">
      <c r="A1893" s="59" t="n">
        <v>46282.7926041667</v>
      </c>
      <c r="B1893" s="60" t="s">
        <v>2074</v>
      </c>
      <c r="C1893" s="60" t="n">
        <v>21030640</v>
      </c>
      <c r="D1893" s="60" t="s">
        <v>46</v>
      </c>
      <c r="E1893" s="60" t="s">
        <v>22</v>
      </c>
      <c r="F1893" s="60" t="s">
        <v>233</v>
      </c>
      <c r="G1893" s="60" t="n">
        <v>21.5</v>
      </c>
      <c r="H1893" s="61" t="n">
        <v>299.99</v>
      </c>
      <c r="I1893" s="61" t="n">
        <v>42.11</v>
      </c>
      <c r="J1893" s="61" t="n">
        <f aca="false">H1893*Resumo!$C$6</f>
        <v>0</v>
      </c>
      <c r="K1893" s="61" t="n">
        <f aca="false">H1893*Resumo!$C$7</f>
        <v>0.629979</v>
      </c>
      <c r="L1893" s="61" t="n">
        <f aca="false">H1893*Resumo!$C$8</f>
        <v>0.629979</v>
      </c>
      <c r="M1893" s="61" t="n">
        <f aca="false">Resumo!$C$10*CEILING(G1893/100,1)</f>
        <v>1.05</v>
      </c>
      <c r="N1893" s="61" t="n">
        <f aca="false">Resumo!$C$9</f>
        <v>0</v>
      </c>
      <c r="O1893" s="61" t="n">
        <f aca="false">Resumo!$C$13</f>
        <v>13.55</v>
      </c>
      <c r="P1893" s="61" t="n">
        <f aca="false">Resumo!$C$14*CEILING(G1893,1)</f>
        <v>9.9</v>
      </c>
      <c r="Q1893" s="61" t="n">
        <f aca="false">SUM(I1893:P1893)*Resumo!$C$11</f>
        <v>0</v>
      </c>
      <c r="R1893" s="61" t="n">
        <f aca="false">SUM(I1893:Q1893)</f>
        <v>67.869958</v>
      </c>
      <c r="S1893" s="61" t="n">
        <f aca="false">R1893/(1-Resumo!$C$5)</f>
        <v>77.1249522727273</v>
      </c>
      <c r="T1893" s="61" t="n">
        <v>82.21</v>
      </c>
      <c r="U1893" s="61" t="n">
        <f aca="false">H1893*Resumo!$B$6</f>
        <v>0.29999</v>
      </c>
      <c r="V1893" s="61" t="n">
        <f aca="false">H1893*Resumo!$B$7</f>
        <v>0.59998</v>
      </c>
      <c r="W1893" s="61" t="n">
        <f aca="false">Resumo!$B$9</f>
        <v>1</v>
      </c>
      <c r="X1893" s="61" t="n">
        <f aca="false">Resumo!$B$10*CEILING(G1893/100,1)</f>
        <v>4.5</v>
      </c>
      <c r="Y1893" s="61" t="n">
        <f aca="false">Resumo!$B$12*CEILING(G1893,1)</f>
        <v>1.32</v>
      </c>
      <c r="Z1893" s="61" t="n">
        <f aca="false">Resumo!$B$14*CEILING(G1893,1)</f>
        <v>9.9</v>
      </c>
      <c r="AA1893" s="61" t="n">
        <f aca="false">SUM(T1893:Z1893)</f>
        <v>99.82997</v>
      </c>
      <c r="AB1893" s="61" t="n">
        <f aca="false">AA1893/(1-Resumo!$B$5)</f>
        <v>113.443147727273</v>
      </c>
      <c r="AC1893" s="61" t="n">
        <f aca="false">AB1893-S1893</f>
        <v>36.3181954545455</v>
      </c>
      <c r="AD1893" s="62" t="n">
        <f aca="false">AB1893/S1893-1</f>
        <v>0.470900718695008</v>
      </c>
      <c r="AE1893" s="60" t="str">
        <f aca="false">IF(AB1893&lt;S1893,"SIM","NÃO")</f>
        <v>NÃO</v>
      </c>
      <c r="AF1893" s="60" t="n">
        <v>2</v>
      </c>
      <c r="AG1893" s="60" t="n">
        <v>5</v>
      </c>
      <c r="AH1893" s="60" t="s">
        <v>382</v>
      </c>
      <c r="AI1893" s="61" t="n">
        <f aca="false">(T1893*(1-Painel!$C$40)+U1893+V1893+Painel!$C$41+Painel!$C$42*CEILING(G1893/100,1)+Painel!$C$43*CEILING(G1893,1)+Z1893)/(1-Resumo!$B$5)</f>
        <v>77.1939431818182</v>
      </c>
      <c r="AJ1893" s="60" t="str">
        <f aca="false">IF(AI1893&lt;S1893,"SIM","NÃO")</f>
        <v>NÃO</v>
      </c>
    </row>
    <row r="1894" customFormat="false" ht="15" hidden="false" customHeight="false" outlineLevel="0" collapsed="false">
      <c r="A1894" s="59" t="n">
        <v>46282.8268171296</v>
      </c>
      <c r="B1894" s="60" t="s">
        <v>2075</v>
      </c>
      <c r="C1894" s="60" t="n">
        <v>22785050</v>
      </c>
      <c r="D1894" s="60" t="s">
        <v>46</v>
      </c>
      <c r="E1894" s="60" t="s">
        <v>22</v>
      </c>
      <c r="F1894" s="60" t="s">
        <v>233</v>
      </c>
      <c r="G1894" s="60" t="n">
        <v>31.9</v>
      </c>
      <c r="H1894" s="61" t="n">
        <v>494.99</v>
      </c>
      <c r="I1894" s="61" t="n">
        <v>42.11</v>
      </c>
      <c r="J1894" s="61" t="n">
        <f aca="false">H1894*Resumo!$C$6</f>
        <v>0</v>
      </c>
      <c r="K1894" s="61" t="n">
        <f aca="false">H1894*Resumo!$C$7</f>
        <v>1.039479</v>
      </c>
      <c r="L1894" s="61" t="n">
        <f aca="false">H1894*Resumo!$C$8</f>
        <v>1.039479</v>
      </c>
      <c r="M1894" s="61" t="n">
        <f aca="false">Resumo!$C$10*CEILING(G1894/100,1)</f>
        <v>1.05</v>
      </c>
      <c r="N1894" s="61" t="n">
        <f aca="false">Resumo!$C$9</f>
        <v>0</v>
      </c>
      <c r="O1894" s="61" t="n">
        <f aca="false">Resumo!$C$13</f>
        <v>13.55</v>
      </c>
      <c r="P1894" s="61" t="n">
        <f aca="false">Resumo!$C$14*CEILING(G1894,1)</f>
        <v>14.4</v>
      </c>
      <c r="Q1894" s="61" t="n">
        <f aca="false">SUM(I1894:P1894)*Resumo!$C$11</f>
        <v>0</v>
      </c>
      <c r="R1894" s="61" t="n">
        <f aca="false">SUM(I1894:Q1894)</f>
        <v>73.188958</v>
      </c>
      <c r="S1894" s="61" t="n">
        <f aca="false">R1894/(1-Resumo!$C$5)</f>
        <v>83.1692704545455</v>
      </c>
      <c r="T1894" s="61" t="n">
        <v>82.21</v>
      </c>
      <c r="U1894" s="61" t="n">
        <f aca="false">H1894*Resumo!$B$6</f>
        <v>0.49499</v>
      </c>
      <c r="V1894" s="61" t="n">
        <f aca="false">H1894*Resumo!$B$7</f>
        <v>0.98998</v>
      </c>
      <c r="W1894" s="61" t="n">
        <f aca="false">Resumo!$B$9</f>
        <v>1</v>
      </c>
      <c r="X1894" s="61" t="n">
        <f aca="false">Resumo!$B$10*CEILING(G1894/100,1)</f>
        <v>4.5</v>
      </c>
      <c r="Y1894" s="61" t="n">
        <f aca="false">Resumo!$B$12*CEILING(G1894,1)</f>
        <v>1.92</v>
      </c>
      <c r="Z1894" s="61" t="n">
        <f aca="false">Resumo!$B$14*CEILING(G1894,1)</f>
        <v>14.4</v>
      </c>
      <c r="AA1894" s="61" t="n">
        <f aca="false">SUM(T1894:Z1894)</f>
        <v>105.51497</v>
      </c>
      <c r="AB1894" s="61" t="n">
        <f aca="false">AA1894/(1-Resumo!$B$5)</f>
        <v>119.903375</v>
      </c>
      <c r="AC1894" s="61" t="n">
        <f aca="false">AB1894-S1894</f>
        <v>36.7341045454546</v>
      </c>
      <c r="AD1894" s="62" t="n">
        <f aca="false">AB1894/S1894-1</f>
        <v>0.441678811713647</v>
      </c>
      <c r="AE1894" s="60" t="str">
        <f aca="false">IF(AB1894&lt;S1894,"SIM","NÃO")</f>
        <v>NÃO</v>
      </c>
      <c r="AF1894" s="60" t="n">
        <v>2</v>
      </c>
      <c r="AG1894" s="60" t="n">
        <v>5</v>
      </c>
      <c r="AH1894" s="60" t="s">
        <v>382</v>
      </c>
      <c r="AI1894" s="61" t="n">
        <f aca="false">(T1894*(1-Painel!$C$40)+U1894+V1894+Painel!$C$41+Painel!$C$42*CEILING(G1894/100,1)+Painel!$C$43*CEILING(G1894,1)+Z1894)/(1-Resumo!$B$5)</f>
        <v>82.9723522727273</v>
      </c>
      <c r="AJ1894" s="60" t="str">
        <f aca="false">IF(AI1894&lt;S1894,"SIM","NÃO")</f>
        <v>SIM</v>
      </c>
    </row>
    <row r="1895" customFormat="false" ht="15" hidden="false" customHeight="false" outlineLevel="0" collapsed="false">
      <c r="A1895" s="59" t="n">
        <v>46282.8336689815</v>
      </c>
      <c r="B1895" s="60" t="s">
        <v>2076</v>
      </c>
      <c r="C1895" s="60" t="n">
        <v>28920231</v>
      </c>
      <c r="D1895" s="60" t="s">
        <v>221</v>
      </c>
      <c r="E1895" s="60" t="s">
        <v>24</v>
      </c>
      <c r="F1895" s="60" t="s">
        <v>237</v>
      </c>
      <c r="G1895" s="60" t="n">
        <v>66.8</v>
      </c>
      <c r="H1895" s="61" t="n">
        <v>643.99</v>
      </c>
      <c r="I1895" s="61" t="n">
        <v>90.2</v>
      </c>
      <c r="J1895" s="61" t="n">
        <f aca="false">H1895*Resumo!$C$6</f>
        <v>0</v>
      </c>
      <c r="K1895" s="61" t="n">
        <f aca="false">H1895*Resumo!$C$7</f>
        <v>1.352379</v>
      </c>
      <c r="L1895" s="61" t="n">
        <f aca="false">H1895*Resumo!$C$8</f>
        <v>1.352379</v>
      </c>
      <c r="M1895" s="61" t="n">
        <f aca="false">Resumo!$C$10*CEILING(G1895/100,1)</f>
        <v>1.05</v>
      </c>
      <c r="N1895" s="61" t="n">
        <f aca="false">Resumo!$C$9</f>
        <v>0</v>
      </c>
      <c r="O1895" s="61" t="n">
        <f aca="false">Resumo!$C$13</f>
        <v>13.55</v>
      </c>
      <c r="P1895" s="61" t="n">
        <f aca="false">Resumo!$C$14*CEILING(G1895,1)</f>
        <v>30.15</v>
      </c>
      <c r="Q1895" s="61" t="n">
        <f aca="false">SUM(I1895:P1895)*Resumo!$C$11</f>
        <v>0</v>
      </c>
      <c r="R1895" s="61" t="n">
        <f aca="false">SUM(I1895:Q1895)</f>
        <v>137.654758</v>
      </c>
      <c r="S1895" s="61" t="n">
        <f aca="false">R1895/(1-Resumo!$C$5)</f>
        <v>156.425861363636</v>
      </c>
      <c r="T1895" s="61" t="n">
        <v>166.05</v>
      </c>
      <c r="U1895" s="61" t="n">
        <f aca="false">H1895*Resumo!$B$6</f>
        <v>0.64399</v>
      </c>
      <c r="V1895" s="61" t="n">
        <f aca="false">H1895*Resumo!$B$7</f>
        <v>1.28798</v>
      </c>
      <c r="W1895" s="61" t="n">
        <f aca="false">Resumo!$B$9</f>
        <v>1</v>
      </c>
      <c r="X1895" s="61" t="n">
        <f aca="false">Resumo!$B$10*CEILING(G1895/100,1)</f>
        <v>4.5</v>
      </c>
      <c r="Y1895" s="61" t="n">
        <f aca="false">Resumo!$B$12*CEILING(G1895,1)</f>
        <v>4.02</v>
      </c>
      <c r="Z1895" s="61" t="n">
        <f aca="false">Resumo!$B$14*CEILING(G1895,1)</f>
        <v>30.15</v>
      </c>
      <c r="AA1895" s="61" t="n">
        <f aca="false">SUM(T1895:Z1895)</f>
        <v>207.65197</v>
      </c>
      <c r="AB1895" s="61" t="n">
        <f aca="false">AA1895/(1-Resumo!$B$5)</f>
        <v>235.968147727273</v>
      </c>
      <c r="AC1895" s="61" t="n">
        <f aca="false">AB1895-S1895</f>
        <v>79.5422863636364</v>
      </c>
      <c r="AD1895" s="62" t="n">
        <f aca="false">AB1895/S1895-1</f>
        <v>0.508498311405988</v>
      </c>
      <c r="AE1895" s="60" t="str">
        <f aca="false">IF(AB1895&lt;S1895,"SIM","NÃO")</f>
        <v>NÃO</v>
      </c>
      <c r="AF1895" s="60" t="n">
        <v>13</v>
      </c>
      <c r="AG1895" s="60" t="n">
        <v>10</v>
      </c>
      <c r="AH1895" s="60" t="s">
        <v>382</v>
      </c>
      <c r="AI1895" s="61" t="n">
        <f aca="false">(T1895*(1-Painel!$C$40)+U1895+V1895+Painel!$C$41+Painel!$C$42*CEILING(G1895/100,1)+Painel!$C$43*CEILING(G1895,1)+Z1895)/(1-Resumo!$B$5)</f>
        <v>165.210761363636</v>
      </c>
      <c r="AJ1895" s="60" t="str">
        <f aca="false">IF(AI1895&lt;S1895,"SIM","NÃO")</f>
        <v>NÃO</v>
      </c>
    </row>
    <row r="1896" customFormat="false" ht="15" hidden="false" customHeight="false" outlineLevel="0" collapsed="false">
      <c r="A1896" s="59" t="n">
        <v>46282.8422337963</v>
      </c>
      <c r="B1896" s="60" t="s">
        <v>2077</v>
      </c>
      <c r="C1896" s="60" t="n">
        <v>24474655</v>
      </c>
      <c r="D1896" s="60" t="s">
        <v>47</v>
      </c>
      <c r="E1896" s="60" t="s">
        <v>23</v>
      </c>
      <c r="F1896" s="60" t="s">
        <v>233</v>
      </c>
      <c r="G1896" s="60" t="n">
        <v>34.1</v>
      </c>
      <c r="H1896" s="61" t="n">
        <v>399.99</v>
      </c>
      <c r="I1896" s="61" t="n">
        <v>58.8</v>
      </c>
      <c r="J1896" s="61" t="n">
        <f aca="false">H1896*Resumo!$C$6</f>
        <v>0</v>
      </c>
      <c r="K1896" s="61" t="n">
        <f aca="false">H1896*Resumo!$C$7</f>
        <v>0.839979</v>
      </c>
      <c r="L1896" s="61" t="n">
        <f aca="false">H1896*Resumo!$C$8</f>
        <v>0.839979</v>
      </c>
      <c r="M1896" s="61" t="n">
        <f aca="false">Resumo!$C$10*CEILING(G1896/100,1)</f>
        <v>1.05</v>
      </c>
      <c r="N1896" s="61" t="n">
        <f aca="false">Resumo!$C$9</f>
        <v>0</v>
      </c>
      <c r="O1896" s="61" t="n">
        <f aca="false">Resumo!$C$13</f>
        <v>13.55</v>
      </c>
      <c r="P1896" s="61" t="n">
        <f aca="false">Resumo!$C$14*CEILING(G1896,1)</f>
        <v>15.75</v>
      </c>
      <c r="Q1896" s="61" t="n">
        <f aca="false">SUM(I1896:P1896)*Resumo!$C$11</f>
        <v>0</v>
      </c>
      <c r="R1896" s="61" t="n">
        <f aca="false">SUM(I1896:Q1896)</f>
        <v>90.829958</v>
      </c>
      <c r="S1896" s="61" t="n">
        <f aca="false">R1896/(1-Resumo!$C$5)</f>
        <v>103.215861363636</v>
      </c>
      <c r="T1896" s="61" t="n">
        <v>100.58</v>
      </c>
      <c r="U1896" s="61" t="n">
        <f aca="false">H1896*Resumo!$B$6</f>
        <v>0.39999</v>
      </c>
      <c r="V1896" s="61" t="n">
        <f aca="false">H1896*Resumo!$B$7</f>
        <v>0.79998</v>
      </c>
      <c r="W1896" s="61" t="n">
        <f aca="false">Resumo!$B$9</f>
        <v>1</v>
      </c>
      <c r="X1896" s="61" t="n">
        <f aca="false">Resumo!$B$10*CEILING(G1896/100,1)</f>
        <v>4.5</v>
      </c>
      <c r="Y1896" s="61" t="n">
        <f aca="false">Resumo!$B$12*CEILING(G1896,1)</f>
        <v>2.1</v>
      </c>
      <c r="Z1896" s="61" t="n">
        <f aca="false">Resumo!$B$14*CEILING(G1896,1)</f>
        <v>15.75</v>
      </c>
      <c r="AA1896" s="61" t="n">
        <f aca="false">SUM(T1896:Z1896)</f>
        <v>125.12997</v>
      </c>
      <c r="AB1896" s="61" t="n">
        <f aca="false">AA1896/(1-Resumo!$B$5)</f>
        <v>142.193147727273</v>
      </c>
      <c r="AC1896" s="61" t="n">
        <f aca="false">AB1896-S1896</f>
        <v>38.9772863636364</v>
      </c>
      <c r="AD1896" s="62" t="n">
        <f aca="false">AB1896/S1896-1</f>
        <v>0.377628843558422</v>
      </c>
      <c r="AE1896" s="60" t="str">
        <f aca="false">IF(AB1896&lt;S1896,"SIM","NÃO")</f>
        <v>NÃO</v>
      </c>
      <c r="AF1896" s="60" t="n">
        <v>2</v>
      </c>
      <c r="AG1896" s="60" t="n">
        <v>7</v>
      </c>
      <c r="AH1896" s="60" t="s">
        <v>382</v>
      </c>
      <c r="AI1896" s="61" t="n">
        <f aca="false">(T1896*(1-Painel!$C$40)+U1896+V1896+Painel!$C$41+Painel!$C$42*CEILING(G1896/100,1)+Painel!$C$43*CEILING(G1896,1)+Z1896)/(1-Resumo!$B$5)</f>
        <v>98.1688295454545</v>
      </c>
      <c r="AJ1896" s="60" t="str">
        <f aca="false">IF(AI1896&lt;S1896,"SIM","NÃO")</f>
        <v>SIM</v>
      </c>
    </row>
    <row r="1897" customFormat="false" ht="15" hidden="false" customHeight="false" outlineLevel="0" collapsed="false">
      <c r="A1897" s="59" t="n">
        <v>46282.8624421296</v>
      </c>
      <c r="B1897" s="60" t="s">
        <v>2078</v>
      </c>
      <c r="C1897" s="60" t="n">
        <v>21555290</v>
      </c>
      <c r="D1897" s="60" t="s">
        <v>46</v>
      </c>
      <c r="E1897" s="60" t="s">
        <v>22</v>
      </c>
      <c r="F1897" s="60" t="s">
        <v>233</v>
      </c>
      <c r="G1897" s="60" t="n">
        <v>31</v>
      </c>
      <c r="H1897" s="61" t="n">
        <v>323.94</v>
      </c>
      <c r="I1897" s="61" t="n">
        <v>42.11</v>
      </c>
      <c r="J1897" s="61" t="n">
        <f aca="false">H1897*Resumo!$C$6</f>
        <v>0</v>
      </c>
      <c r="K1897" s="61" t="n">
        <f aca="false">H1897*Resumo!$C$7</f>
        <v>0.680274</v>
      </c>
      <c r="L1897" s="61" t="n">
        <f aca="false">H1897*Resumo!$C$8</f>
        <v>0.680274</v>
      </c>
      <c r="M1897" s="61" t="n">
        <f aca="false">Resumo!$C$10*CEILING(G1897/100,1)</f>
        <v>1.05</v>
      </c>
      <c r="N1897" s="61" t="n">
        <f aca="false">Resumo!$C$9</f>
        <v>0</v>
      </c>
      <c r="O1897" s="61" t="n">
        <f aca="false">Resumo!$C$13</f>
        <v>13.55</v>
      </c>
      <c r="P1897" s="61" t="n">
        <f aca="false">Resumo!$C$14*CEILING(G1897,1)</f>
        <v>13.95</v>
      </c>
      <c r="Q1897" s="61" t="n">
        <f aca="false">SUM(I1897:P1897)*Resumo!$C$11</f>
        <v>0</v>
      </c>
      <c r="R1897" s="61" t="n">
        <f aca="false">SUM(I1897:Q1897)</f>
        <v>72.020548</v>
      </c>
      <c r="S1897" s="61" t="n">
        <f aca="false">R1897/(1-Resumo!$C$5)</f>
        <v>81.8415318181818</v>
      </c>
      <c r="T1897" s="61" t="n">
        <v>82.21</v>
      </c>
      <c r="U1897" s="61" t="n">
        <f aca="false">H1897*Resumo!$B$6</f>
        <v>0.32394</v>
      </c>
      <c r="V1897" s="61" t="n">
        <f aca="false">H1897*Resumo!$B$7</f>
        <v>0.64788</v>
      </c>
      <c r="W1897" s="61" t="n">
        <f aca="false">Resumo!$B$9</f>
        <v>1</v>
      </c>
      <c r="X1897" s="61" t="n">
        <f aca="false">Resumo!$B$10*CEILING(G1897/100,1)</f>
        <v>4.5</v>
      </c>
      <c r="Y1897" s="61" t="n">
        <f aca="false">Resumo!$B$12*CEILING(G1897,1)</f>
        <v>1.86</v>
      </c>
      <c r="Z1897" s="61" t="n">
        <f aca="false">Resumo!$B$14*CEILING(G1897,1)</f>
        <v>13.95</v>
      </c>
      <c r="AA1897" s="61" t="n">
        <f aca="false">SUM(T1897:Z1897)</f>
        <v>104.49182</v>
      </c>
      <c r="AB1897" s="61" t="n">
        <f aca="false">AA1897/(1-Resumo!$B$5)</f>
        <v>118.740704545455</v>
      </c>
      <c r="AC1897" s="61" t="n">
        <f aca="false">AB1897-S1897</f>
        <v>36.8991727272727</v>
      </c>
      <c r="AD1897" s="62" t="n">
        <f aca="false">AB1897/S1897-1</f>
        <v>0.45086121810681</v>
      </c>
      <c r="AE1897" s="60" t="str">
        <f aca="false">IF(AB1897&lt;S1897,"SIM","NÃO")</f>
        <v>NÃO</v>
      </c>
      <c r="AF1897" s="60" t="n">
        <v>2</v>
      </c>
      <c r="AG1897" s="60" t="n">
        <v>5</v>
      </c>
      <c r="AH1897" s="60" t="s">
        <v>382</v>
      </c>
      <c r="AI1897" s="61" t="n">
        <f aca="false">(T1897*(1-Painel!$C$40)+U1897+V1897+Painel!$C$41+Painel!$C$42*CEILING(G1897/100,1)+Painel!$C$43*CEILING(G1897,1)+Z1897)/(1-Resumo!$B$5)</f>
        <v>81.8778636363636</v>
      </c>
      <c r="AJ1897" s="60" t="str">
        <f aca="false">IF(AI1897&lt;S1897,"SIM","NÃO")</f>
        <v>NÃO</v>
      </c>
    </row>
    <row r="1898" customFormat="false" ht="15" hidden="false" customHeight="false" outlineLevel="0" collapsed="false">
      <c r="A1898" s="59" t="n">
        <v>46282.8701157407</v>
      </c>
      <c r="B1898" s="60" t="s">
        <v>2079</v>
      </c>
      <c r="C1898" s="60" t="n">
        <v>24110026</v>
      </c>
      <c r="D1898" s="60" t="s">
        <v>50</v>
      </c>
      <c r="E1898" s="60" t="s">
        <v>23</v>
      </c>
      <c r="F1898" s="60" t="s">
        <v>236</v>
      </c>
      <c r="G1898" s="60" t="n">
        <v>52.3</v>
      </c>
      <c r="H1898" s="61" t="n">
        <v>645.14</v>
      </c>
      <c r="I1898" s="61" t="n">
        <v>70.98</v>
      </c>
      <c r="J1898" s="61" t="n">
        <f aca="false">H1898*Resumo!$C$6</f>
        <v>0</v>
      </c>
      <c r="K1898" s="61" t="n">
        <f aca="false">H1898*Resumo!$C$7</f>
        <v>1.354794</v>
      </c>
      <c r="L1898" s="61" t="n">
        <f aca="false">H1898*Resumo!$C$8</f>
        <v>1.354794</v>
      </c>
      <c r="M1898" s="61" t="n">
        <f aca="false">Resumo!$C$10*CEILING(G1898/100,1)</f>
        <v>1.05</v>
      </c>
      <c r="N1898" s="61" t="n">
        <f aca="false">Resumo!$C$9</f>
        <v>0</v>
      </c>
      <c r="O1898" s="61" t="n">
        <f aca="false">Resumo!$C$13</f>
        <v>13.55</v>
      </c>
      <c r="P1898" s="61" t="n">
        <f aca="false">Resumo!$C$14*CEILING(G1898,1)</f>
        <v>23.85</v>
      </c>
      <c r="Q1898" s="61" t="n">
        <f aca="false">SUM(I1898:P1898)*Resumo!$C$11</f>
        <v>0</v>
      </c>
      <c r="R1898" s="61" t="n">
        <f aca="false">SUM(I1898:Q1898)</f>
        <v>112.139588</v>
      </c>
      <c r="S1898" s="61" t="n">
        <f aca="false">R1898/(1-Resumo!$C$5)</f>
        <v>127.43135</v>
      </c>
      <c r="T1898" s="61" t="n">
        <v>128.14</v>
      </c>
      <c r="U1898" s="61" t="n">
        <f aca="false">H1898*Resumo!$B$6</f>
        <v>0.64514</v>
      </c>
      <c r="V1898" s="61" t="n">
        <f aca="false">H1898*Resumo!$B$7</f>
        <v>1.29028</v>
      </c>
      <c r="W1898" s="61" t="n">
        <f aca="false">Resumo!$B$9</f>
        <v>1</v>
      </c>
      <c r="X1898" s="61" t="n">
        <f aca="false">Resumo!$B$10*CEILING(G1898/100,1)</f>
        <v>4.5</v>
      </c>
      <c r="Y1898" s="61" t="n">
        <f aca="false">Resumo!$B$12*CEILING(G1898,1)</f>
        <v>3.18</v>
      </c>
      <c r="Z1898" s="61" t="n">
        <f aca="false">Resumo!$B$14*CEILING(G1898,1)</f>
        <v>23.85</v>
      </c>
      <c r="AA1898" s="61" t="n">
        <f aca="false">SUM(T1898:Z1898)</f>
        <v>162.60542</v>
      </c>
      <c r="AB1898" s="61" t="n">
        <f aca="false">AA1898/(1-Resumo!$B$5)</f>
        <v>184.778886363636</v>
      </c>
      <c r="AC1898" s="61" t="n">
        <f aca="false">AB1898-S1898</f>
        <v>57.3475363636363</v>
      </c>
      <c r="AD1898" s="62" t="n">
        <f aca="false">AB1898/S1898-1</f>
        <v>0.45002690753599</v>
      </c>
      <c r="AE1898" s="60" t="str">
        <f aca="false">IF(AB1898&lt;S1898,"SIM","NÃO")</f>
        <v>NÃO</v>
      </c>
      <c r="AF1898" s="60" t="n">
        <v>2</v>
      </c>
      <c r="AG1898" s="60" t="n">
        <v>7</v>
      </c>
      <c r="AH1898" s="60" t="s">
        <v>382</v>
      </c>
      <c r="AI1898" s="61" t="n">
        <f aca="false">(T1898*(1-Painel!$C$40)+U1898+V1898+Painel!$C$41+Painel!$C$42*CEILING(G1898/100,1)+Painel!$C$43*CEILING(G1898,1)+Z1898)/(1-Resumo!$B$5)</f>
        <v>129.192295454545</v>
      </c>
      <c r="AJ1898" s="60" t="str">
        <f aca="false">IF(AI1898&lt;S1898,"SIM","NÃO")</f>
        <v>NÃO</v>
      </c>
    </row>
    <row r="1899" customFormat="false" ht="15" hidden="false" customHeight="false" outlineLevel="0" collapsed="false">
      <c r="A1899" s="59" t="n">
        <v>46282.8803935185</v>
      </c>
      <c r="B1899" s="60" t="s">
        <v>2080</v>
      </c>
      <c r="C1899" s="60" t="n">
        <v>22783240</v>
      </c>
      <c r="D1899" s="60" t="s">
        <v>46</v>
      </c>
      <c r="E1899" s="60" t="s">
        <v>22</v>
      </c>
      <c r="F1899" s="60" t="s">
        <v>234</v>
      </c>
      <c r="G1899" s="60" t="n">
        <v>36.8</v>
      </c>
      <c r="H1899" s="61" t="n">
        <v>439.95</v>
      </c>
      <c r="I1899" s="61" t="n">
        <v>48.35</v>
      </c>
      <c r="J1899" s="61" t="n">
        <f aca="false">H1899*Resumo!$C$6</f>
        <v>0</v>
      </c>
      <c r="K1899" s="61" t="n">
        <f aca="false">H1899*Resumo!$C$7</f>
        <v>0.923895</v>
      </c>
      <c r="L1899" s="61" t="n">
        <f aca="false">H1899*Resumo!$C$8</f>
        <v>0.923895</v>
      </c>
      <c r="M1899" s="61" t="n">
        <f aca="false">Resumo!$C$10*CEILING(G1899/100,1)</f>
        <v>1.05</v>
      </c>
      <c r="N1899" s="61" t="n">
        <f aca="false">Resumo!$C$9</f>
        <v>0</v>
      </c>
      <c r="O1899" s="61" t="n">
        <f aca="false">Resumo!$C$13</f>
        <v>13.55</v>
      </c>
      <c r="P1899" s="61" t="n">
        <f aca="false">Resumo!$C$14*CEILING(G1899,1)</f>
        <v>16.65</v>
      </c>
      <c r="Q1899" s="61" t="n">
        <f aca="false">SUM(I1899:P1899)*Resumo!$C$11</f>
        <v>0</v>
      </c>
      <c r="R1899" s="61" t="n">
        <f aca="false">SUM(I1899:Q1899)</f>
        <v>81.44779</v>
      </c>
      <c r="S1899" s="61" t="n">
        <f aca="false">R1899/(1-Resumo!$C$5)</f>
        <v>92.5543068181818</v>
      </c>
      <c r="T1899" s="61" t="n">
        <v>93.97</v>
      </c>
      <c r="U1899" s="61" t="n">
        <f aca="false">H1899*Resumo!$B$6</f>
        <v>0.43995</v>
      </c>
      <c r="V1899" s="61" t="n">
        <f aca="false">H1899*Resumo!$B$7</f>
        <v>0.8799</v>
      </c>
      <c r="W1899" s="61" t="n">
        <f aca="false">Resumo!$B$9</f>
        <v>1</v>
      </c>
      <c r="X1899" s="61" t="n">
        <f aca="false">Resumo!$B$10*CEILING(G1899/100,1)</f>
        <v>4.5</v>
      </c>
      <c r="Y1899" s="61" t="n">
        <f aca="false">Resumo!$B$12*CEILING(G1899,1)</f>
        <v>2.22</v>
      </c>
      <c r="Z1899" s="61" t="n">
        <f aca="false">Resumo!$B$14*CEILING(G1899,1)</f>
        <v>16.65</v>
      </c>
      <c r="AA1899" s="61" t="n">
        <f aca="false">SUM(T1899:Z1899)</f>
        <v>119.65985</v>
      </c>
      <c r="AB1899" s="61" t="n">
        <f aca="false">AA1899/(1-Resumo!$B$5)</f>
        <v>135.977102272727</v>
      </c>
      <c r="AC1899" s="61" t="n">
        <f aca="false">AB1899-S1899</f>
        <v>43.4227954545455</v>
      </c>
      <c r="AD1899" s="62" t="n">
        <f aca="false">AB1899/S1899-1</f>
        <v>0.469160182246811</v>
      </c>
      <c r="AE1899" s="60" t="str">
        <f aca="false">IF(AB1899&lt;S1899,"SIM","NÃO")</f>
        <v>NÃO</v>
      </c>
      <c r="AF1899" s="60" t="n">
        <v>2</v>
      </c>
      <c r="AG1899" s="60" t="n">
        <v>5</v>
      </c>
      <c r="AH1899" s="60" t="s">
        <v>382</v>
      </c>
      <c r="AI1899" s="61" t="n">
        <f aca="false">(T1899*(1-Painel!$C$40)+U1899+V1899+Painel!$C$41+Painel!$C$42*CEILING(G1899/100,1)+Painel!$C$43*CEILING(G1899,1)+Z1899)/(1-Resumo!$B$5)</f>
        <v>94.2951704545455</v>
      </c>
      <c r="AJ1899" s="60" t="str">
        <f aca="false">IF(AI1899&lt;S1899,"SIM","NÃO")</f>
        <v>NÃO</v>
      </c>
    </row>
    <row r="1900" customFormat="false" ht="15" hidden="false" customHeight="false" outlineLevel="0" collapsed="false">
      <c r="A1900" s="59" t="n">
        <v>46282.8964583333</v>
      </c>
      <c r="B1900" s="60" t="s">
        <v>559</v>
      </c>
      <c r="C1900" s="60" t="n">
        <v>21031700</v>
      </c>
      <c r="D1900" s="60" t="s">
        <v>46</v>
      </c>
      <c r="E1900" s="60" t="s">
        <v>22</v>
      </c>
      <c r="F1900" s="60" t="s">
        <v>233</v>
      </c>
      <c r="G1900" s="60" t="n">
        <v>33</v>
      </c>
      <c r="H1900" s="61" t="n">
        <v>458.3</v>
      </c>
      <c r="I1900" s="61" t="n">
        <v>42.11</v>
      </c>
      <c r="J1900" s="61" t="n">
        <f aca="false">H1900*Resumo!$C$6</f>
        <v>0</v>
      </c>
      <c r="K1900" s="61" t="n">
        <f aca="false">H1900*Resumo!$C$7</f>
        <v>0.96243</v>
      </c>
      <c r="L1900" s="61" t="n">
        <f aca="false">H1900*Resumo!$C$8</f>
        <v>0.96243</v>
      </c>
      <c r="M1900" s="61" t="n">
        <f aca="false">Resumo!$C$10*CEILING(G1900/100,1)</f>
        <v>1.05</v>
      </c>
      <c r="N1900" s="61" t="n">
        <f aca="false">Resumo!$C$9</f>
        <v>0</v>
      </c>
      <c r="O1900" s="61" t="n">
        <f aca="false">Resumo!$C$13</f>
        <v>13.55</v>
      </c>
      <c r="P1900" s="61" t="n">
        <f aca="false">Resumo!$C$14*CEILING(G1900,1)</f>
        <v>14.85</v>
      </c>
      <c r="Q1900" s="61" t="n">
        <f aca="false">SUM(I1900:P1900)*Resumo!$C$11</f>
        <v>0</v>
      </c>
      <c r="R1900" s="61" t="n">
        <f aca="false">SUM(I1900:Q1900)</f>
        <v>73.48486</v>
      </c>
      <c r="S1900" s="61" t="n">
        <f aca="false">R1900/(1-Resumo!$C$5)</f>
        <v>83.5055227272727</v>
      </c>
      <c r="T1900" s="61" t="n">
        <v>82.21</v>
      </c>
      <c r="U1900" s="61" t="n">
        <f aca="false">H1900*Resumo!$B$6</f>
        <v>0.4583</v>
      </c>
      <c r="V1900" s="61" t="n">
        <f aca="false">H1900*Resumo!$B$7</f>
        <v>0.9166</v>
      </c>
      <c r="W1900" s="61" t="n">
        <f aca="false">Resumo!$B$9</f>
        <v>1</v>
      </c>
      <c r="X1900" s="61" t="n">
        <f aca="false">Resumo!$B$10*CEILING(G1900/100,1)</f>
        <v>4.5</v>
      </c>
      <c r="Y1900" s="61" t="n">
        <f aca="false">Resumo!$B$12*CEILING(G1900,1)</f>
        <v>1.98</v>
      </c>
      <c r="Z1900" s="61" t="n">
        <f aca="false">Resumo!$B$14*CEILING(G1900,1)</f>
        <v>14.85</v>
      </c>
      <c r="AA1900" s="61" t="n">
        <f aca="false">SUM(T1900:Z1900)</f>
        <v>105.9149</v>
      </c>
      <c r="AB1900" s="61" t="n">
        <f aca="false">AA1900/(1-Resumo!$B$5)</f>
        <v>120.357840909091</v>
      </c>
      <c r="AC1900" s="61" t="n">
        <f aca="false">AB1900-S1900</f>
        <v>36.8523181818182</v>
      </c>
      <c r="AD1900" s="62" t="n">
        <f aca="false">AB1900/S1900-1</f>
        <v>0.44131593909276</v>
      </c>
      <c r="AE1900" s="60" t="str">
        <f aca="false">IF(AB1900&lt;S1900,"SIM","NÃO")</f>
        <v>NÃO</v>
      </c>
      <c r="AF1900" s="60" t="n">
        <v>2</v>
      </c>
      <c r="AG1900" s="60" t="n">
        <v>5</v>
      </c>
      <c r="AH1900" s="60" t="s">
        <v>382</v>
      </c>
      <c r="AI1900" s="61" t="n">
        <f aca="false">(T1900*(1-Painel!$C$40)+U1900+V1900+Painel!$C$41+Painel!$C$42*CEILING(G1900/100,1)+Painel!$C$43*CEILING(G1900,1)+Z1900)/(1-Resumo!$B$5)</f>
        <v>83.3586363636364</v>
      </c>
      <c r="AJ1900" s="60" t="str">
        <f aca="false">IF(AI1900&lt;S1900,"SIM","NÃO")</f>
        <v>SIM</v>
      </c>
    </row>
    <row r="1901" customFormat="false" ht="15" hidden="false" customHeight="false" outlineLevel="0" collapsed="false">
      <c r="A1901" s="59" t="n">
        <v>46282.9242708333</v>
      </c>
      <c r="B1901" s="60" t="s">
        <v>2081</v>
      </c>
      <c r="C1901" s="60" t="n">
        <v>27963788</v>
      </c>
      <c r="D1901" s="60" t="s">
        <v>53</v>
      </c>
      <c r="E1901" s="60" t="s">
        <v>24</v>
      </c>
      <c r="F1901" s="60" t="s">
        <v>237</v>
      </c>
      <c r="G1901" s="60" t="n">
        <v>69.45</v>
      </c>
      <c r="H1901" s="61" t="n">
        <v>859.99</v>
      </c>
      <c r="I1901" s="61" t="n">
        <v>90.2</v>
      </c>
      <c r="J1901" s="61" t="n">
        <f aca="false">H1901*Resumo!$C$6</f>
        <v>0</v>
      </c>
      <c r="K1901" s="61" t="n">
        <f aca="false">H1901*Resumo!$C$7</f>
        <v>1.805979</v>
      </c>
      <c r="L1901" s="61" t="n">
        <f aca="false">H1901*Resumo!$C$8</f>
        <v>1.805979</v>
      </c>
      <c r="M1901" s="61" t="n">
        <f aca="false">Resumo!$C$10*CEILING(G1901/100,1)</f>
        <v>1.05</v>
      </c>
      <c r="N1901" s="61" t="n">
        <f aca="false">Resumo!$C$9</f>
        <v>0</v>
      </c>
      <c r="O1901" s="61" t="n">
        <f aca="false">Resumo!$C$13</f>
        <v>13.55</v>
      </c>
      <c r="P1901" s="61" t="n">
        <f aca="false">Resumo!$C$14*CEILING(G1901,1)</f>
        <v>31.5</v>
      </c>
      <c r="Q1901" s="61" t="n">
        <f aca="false">SUM(I1901:P1901)*Resumo!$C$11</f>
        <v>0</v>
      </c>
      <c r="R1901" s="61" t="n">
        <f aca="false">SUM(I1901:Q1901)</f>
        <v>139.911958</v>
      </c>
      <c r="S1901" s="61" t="n">
        <f aca="false">R1901/(1-Resumo!$C$5)</f>
        <v>158.990861363636</v>
      </c>
      <c r="T1901" s="61" t="n">
        <v>171.54</v>
      </c>
      <c r="U1901" s="61" t="n">
        <f aca="false">H1901*Resumo!$B$6</f>
        <v>0.85999</v>
      </c>
      <c r="V1901" s="61" t="n">
        <f aca="false">H1901*Resumo!$B$7</f>
        <v>1.71998</v>
      </c>
      <c r="W1901" s="61" t="n">
        <f aca="false">Resumo!$B$9</f>
        <v>1</v>
      </c>
      <c r="X1901" s="61" t="n">
        <f aca="false">Resumo!$B$10*CEILING(G1901/100,1)</f>
        <v>4.5</v>
      </c>
      <c r="Y1901" s="61" t="n">
        <f aca="false">Resumo!$B$12*CEILING(G1901,1)</f>
        <v>4.2</v>
      </c>
      <c r="Z1901" s="61" t="n">
        <f aca="false">Resumo!$B$14*CEILING(G1901,1)</f>
        <v>31.5</v>
      </c>
      <c r="AA1901" s="61" t="n">
        <f aca="false">SUM(T1901:Z1901)</f>
        <v>215.31997</v>
      </c>
      <c r="AB1901" s="61" t="n">
        <f aca="false">AA1901/(1-Resumo!$B$5)</f>
        <v>244.681784090909</v>
      </c>
      <c r="AC1901" s="61" t="n">
        <f aca="false">AB1901-S1901</f>
        <v>85.6909227272727</v>
      </c>
      <c r="AD1901" s="62" t="n">
        <f aca="false">AB1901/S1901-1</f>
        <v>0.538967598466458</v>
      </c>
      <c r="AE1901" s="60" t="str">
        <f aca="false">IF(AB1901&lt;S1901,"SIM","NÃO")</f>
        <v>NÃO</v>
      </c>
      <c r="AF1901" s="60" t="n">
        <v>13</v>
      </c>
      <c r="AG1901" s="60" t="n">
        <v>11</v>
      </c>
      <c r="AH1901" s="60" t="s">
        <v>382</v>
      </c>
      <c r="AI1901" s="61" t="n">
        <f aca="false">(T1901*(1-Painel!$C$40)+U1901+V1901+Painel!$C$41+Painel!$C$42*CEILING(G1901/100,1)+Painel!$C$43*CEILING(G1901,1)+Z1901)/(1-Resumo!$B$5)</f>
        <v>171.661102272727</v>
      </c>
      <c r="AJ1901" s="60" t="str">
        <f aca="false">IF(AI1901&lt;S1901,"SIM","NÃO")</f>
        <v>NÃO</v>
      </c>
    </row>
    <row r="1902" customFormat="false" ht="15" hidden="false" customHeight="false" outlineLevel="0" collapsed="false">
      <c r="A1902" s="59" t="n">
        <v>46282.9270949074</v>
      </c>
      <c r="B1902" s="60" t="s">
        <v>2082</v>
      </c>
      <c r="C1902" s="60" t="n">
        <v>28053600</v>
      </c>
      <c r="D1902" s="60" t="s">
        <v>51</v>
      </c>
      <c r="E1902" s="60" t="s">
        <v>24</v>
      </c>
      <c r="F1902" s="60" t="s">
        <v>233</v>
      </c>
      <c r="G1902" s="60" t="n">
        <v>27.4</v>
      </c>
      <c r="H1902" s="61" t="n">
        <v>329.99</v>
      </c>
      <c r="I1902" s="61" t="n">
        <v>65.63</v>
      </c>
      <c r="J1902" s="61" t="n">
        <f aca="false">H1902*Resumo!$C$6</f>
        <v>0</v>
      </c>
      <c r="K1902" s="61" t="n">
        <f aca="false">H1902*Resumo!$C$7</f>
        <v>0.692979</v>
      </c>
      <c r="L1902" s="61" t="n">
        <f aca="false">H1902*Resumo!$C$8</f>
        <v>0.692979</v>
      </c>
      <c r="M1902" s="61" t="n">
        <f aca="false">Resumo!$C$10*CEILING(G1902/100,1)</f>
        <v>1.05</v>
      </c>
      <c r="N1902" s="61" t="n">
        <f aca="false">Resumo!$C$9</f>
        <v>0</v>
      </c>
      <c r="O1902" s="61" t="n">
        <f aca="false">Resumo!$C$13</f>
        <v>13.55</v>
      </c>
      <c r="P1902" s="61" t="n">
        <f aca="false">Resumo!$C$14*CEILING(G1902,1)</f>
        <v>12.6</v>
      </c>
      <c r="Q1902" s="61" t="n">
        <f aca="false">SUM(I1902:P1902)*Resumo!$C$11</f>
        <v>0</v>
      </c>
      <c r="R1902" s="61" t="n">
        <f aca="false">SUM(I1902:Q1902)</f>
        <v>94.215958</v>
      </c>
      <c r="S1902" s="61" t="n">
        <f aca="false">R1902/(1-Resumo!$C$5)</f>
        <v>107.063588636364</v>
      </c>
      <c r="T1902" s="61" t="n">
        <v>138.29</v>
      </c>
      <c r="U1902" s="61" t="n">
        <f aca="false">H1902*Resumo!$B$6</f>
        <v>0.32999</v>
      </c>
      <c r="V1902" s="61" t="n">
        <f aca="false">H1902*Resumo!$B$7</f>
        <v>0.65998</v>
      </c>
      <c r="W1902" s="61" t="n">
        <f aca="false">Resumo!$B$9</f>
        <v>1</v>
      </c>
      <c r="X1902" s="61" t="n">
        <f aca="false">Resumo!$B$10*CEILING(G1902/100,1)</f>
        <v>4.5</v>
      </c>
      <c r="Y1902" s="61" t="n">
        <f aca="false">Resumo!$B$12*CEILING(G1902,1)</f>
        <v>1.68</v>
      </c>
      <c r="Z1902" s="61" t="n">
        <f aca="false">Resumo!$B$14*CEILING(G1902,1)</f>
        <v>12.6</v>
      </c>
      <c r="AA1902" s="61" t="n">
        <f aca="false">SUM(T1902:Z1902)</f>
        <v>159.05997</v>
      </c>
      <c r="AB1902" s="61" t="n">
        <f aca="false">AA1902/(1-Resumo!$B$5)</f>
        <v>180.749965909091</v>
      </c>
      <c r="AC1902" s="61" t="n">
        <f aca="false">AB1902-S1902</f>
        <v>73.6863772727273</v>
      </c>
      <c r="AD1902" s="62" t="n">
        <f aca="false">AB1902/S1902-1</f>
        <v>0.688248714724102</v>
      </c>
      <c r="AE1902" s="60" t="str">
        <f aca="false">IF(AB1902&lt;S1902,"SIM","NÃO")</f>
        <v>NÃO</v>
      </c>
      <c r="AF1902" s="60" t="n">
        <v>13</v>
      </c>
      <c r="AG1902" s="60" t="n">
        <v>11</v>
      </c>
      <c r="AH1902" s="60" t="s">
        <v>382</v>
      </c>
      <c r="AI1902" s="61" t="n">
        <f aca="false">(T1902*(1-Painel!$C$40)+U1902+V1902+Painel!$C$41+Painel!$C$42*CEILING(G1902/100,1)+Painel!$C$43*CEILING(G1902,1)+Z1902)/(1-Resumo!$B$5)</f>
        <v>123.061670454545</v>
      </c>
      <c r="AJ1902" s="60" t="str">
        <f aca="false">IF(AI1902&lt;S1902,"SIM","NÃO")</f>
        <v>NÃO</v>
      </c>
    </row>
    <row r="1903" customFormat="false" ht="15" hidden="false" customHeight="false" outlineLevel="0" collapsed="false">
      <c r="A1903" s="59" t="n">
        <v>46283.2787731482</v>
      </c>
      <c r="B1903" s="60" t="s">
        <v>2083</v>
      </c>
      <c r="C1903" s="60" t="n">
        <v>22430190</v>
      </c>
      <c r="D1903" s="60" t="s">
        <v>46</v>
      </c>
      <c r="E1903" s="60" t="s">
        <v>22</v>
      </c>
      <c r="F1903" s="60" t="s">
        <v>234</v>
      </c>
      <c r="G1903" s="60" t="n">
        <v>36.8</v>
      </c>
      <c r="H1903" s="61" t="n">
        <v>549.99</v>
      </c>
      <c r="I1903" s="61" t="n">
        <v>48.35</v>
      </c>
      <c r="J1903" s="61" t="n">
        <f aca="false">H1903*Resumo!$C$6</f>
        <v>0</v>
      </c>
      <c r="K1903" s="61" t="n">
        <f aca="false">H1903*Resumo!$C$7</f>
        <v>1.154979</v>
      </c>
      <c r="L1903" s="61" t="n">
        <f aca="false">H1903*Resumo!$C$8</f>
        <v>1.154979</v>
      </c>
      <c r="M1903" s="61" t="n">
        <f aca="false">Resumo!$C$10*CEILING(G1903/100,1)</f>
        <v>1.05</v>
      </c>
      <c r="N1903" s="61" t="n">
        <f aca="false">Resumo!$C$9</f>
        <v>0</v>
      </c>
      <c r="O1903" s="61" t="n">
        <f aca="false">Resumo!$C$13</f>
        <v>13.55</v>
      </c>
      <c r="P1903" s="61" t="n">
        <f aca="false">Resumo!$C$14*CEILING(G1903,1)</f>
        <v>16.65</v>
      </c>
      <c r="Q1903" s="61" t="n">
        <f aca="false">SUM(I1903:P1903)*Resumo!$C$11</f>
        <v>0</v>
      </c>
      <c r="R1903" s="61" t="n">
        <f aca="false">SUM(I1903:Q1903)</f>
        <v>81.909958</v>
      </c>
      <c r="S1903" s="61" t="n">
        <f aca="false">R1903/(1-Resumo!$C$5)</f>
        <v>93.0794977272727</v>
      </c>
      <c r="T1903" s="61" t="n">
        <v>93.97</v>
      </c>
      <c r="U1903" s="61" t="n">
        <f aca="false">H1903*Resumo!$B$6</f>
        <v>0.54999</v>
      </c>
      <c r="V1903" s="61" t="n">
        <f aca="false">H1903*Resumo!$B$7</f>
        <v>1.09998</v>
      </c>
      <c r="W1903" s="61" t="n">
        <f aca="false">Resumo!$B$9</f>
        <v>1</v>
      </c>
      <c r="X1903" s="61" t="n">
        <f aca="false">Resumo!$B$10*CEILING(G1903/100,1)</f>
        <v>4.5</v>
      </c>
      <c r="Y1903" s="61" t="n">
        <f aca="false">Resumo!$B$12*CEILING(G1903,1)</f>
        <v>2.22</v>
      </c>
      <c r="Z1903" s="61" t="n">
        <f aca="false">Resumo!$B$14*CEILING(G1903,1)</f>
        <v>16.65</v>
      </c>
      <c r="AA1903" s="61" t="n">
        <f aca="false">SUM(T1903:Z1903)</f>
        <v>119.98997</v>
      </c>
      <c r="AB1903" s="61" t="n">
        <f aca="false">AA1903/(1-Resumo!$B$5)</f>
        <v>136.352238636364</v>
      </c>
      <c r="AC1903" s="61" t="n">
        <f aca="false">AB1903-S1903</f>
        <v>43.2727409090909</v>
      </c>
      <c r="AD1903" s="62" t="n">
        <f aca="false">AB1903/S1903-1</f>
        <v>0.464900885433246</v>
      </c>
      <c r="AE1903" s="60" t="str">
        <f aca="false">IF(AB1903&lt;S1903,"SIM","NÃO")</f>
        <v>NÃO</v>
      </c>
      <c r="AF1903" s="60" t="n">
        <v>2</v>
      </c>
      <c r="AG1903" s="60" t="n">
        <v>5</v>
      </c>
      <c r="AH1903" s="60" t="s">
        <v>382</v>
      </c>
      <c r="AI1903" s="61" t="n">
        <f aca="false">(T1903*(1-Painel!$C$40)+U1903+V1903+Painel!$C$41+Painel!$C$42*CEILING(G1903/100,1)+Painel!$C$43*CEILING(G1903,1)+Z1903)/(1-Resumo!$B$5)</f>
        <v>94.6703068181818</v>
      </c>
      <c r="AJ1903" s="60" t="str">
        <f aca="false">IF(AI1903&lt;S1903,"SIM","NÃO")</f>
        <v>NÃO</v>
      </c>
    </row>
    <row r="1904" customFormat="false" ht="15" hidden="false" customHeight="false" outlineLevel="0" collapsed="false">
      <c r="A1904" s="59" t="n">
        <v>46283.3938425926</v>
      </c>
      <c r="B1904" s="60" t="s">
        <v>2084</v>
      </c>
      <c r="C1904" s="60" t="n">
        <v>22280030</v>
      </c>
      <c r="D1904" s="60" t="s">
        <v>46</v>
      </c>
      <c r="E1904" s="60" t="s">
        <v>22</v>
      </c>
      <c r="F1904" s="60" t="s">
        <v>235</v>
      </c>
      <c r="G1904" s="60" t="n">
        <v>49.6</v>
      </c>
      <c r="H1904" s="61" t="n">
        <v>799.99</v>
      </c>
      <c r="I1904" s="61" t="n">
        <v>53.55</v>
      </c>
      <c r="J1904" s="61" t="n">
        <f aca="false">H1904*Resumo!$C$6</f>
        <v>0</v>
      </c>
      <c r="K1904" s="61" t="n">
        <f aca="false">H1904*Resumo!$C$7</f>
        <v>1.679979</v>
      </c>
      <c r="L1904" s="61" t="n">
        <f aca="false">H1904*Resumo!$C$8</f>
        <v>1.679979</v>
      </c>
      <c r="M1904" s="61" t="n">
        <f aca="false">Resumo!$C$10*CEILING(G1904/100,1)</f>
        <v>1.05</v>
      </c>
      <c r="N1904" s="61" t="n">
        <f aca="false">Resumo!$C$9</f>
        <v>0</v>
      </c>
      <c r="O1904" s="61" t="n">
        <f aca="false">Resumo!$C$13</f>
        <v>13.55</v>
      </c>
      <c r="P1904" s="61" t="n">
        <f aca="false">Resumo!$C$14*CEILING(G1904,1)</f>
        <v>22.5</v>
      </c>
      <c r="Q1904" s="61" t="n">
        <f aca="false">SUM(I1904:P1904)*Resumo!$C$11</f>
        <v>0</v>
      </c>
      <c r="R1904" s="61" t="n">
        <f aca="false">SUM(I1904:Q1904)</f>
        <v>94.009958</v>
      </c>
      <c r="S1904" s="61" t="n">
        <f aca="false">R1904/(1-Resumo!$C$5)</f>
        <v>106.829497727273</v>
      </c>
      <c r="T1904" s="61" t="n">
        <v>93.97</v>
      </c>
      <c r="U1904" s="61" t="n">
        <f aca="false">H1904*Resumo!$B$6</f>
        <v>0.79999</v>
      </c>
      <c r="V1904" s="61" t="n">
        <f aca="false">H1904*Resumo!$B$7</f>
        <v>1.59998</v>
      </c>
      <c r="W1904" s="61" t="n">
        <f aca="false">Resumo!$B$9</f>
        <v>1</v>
      </c>
      <c r="X1904" s="61" t="n">
        <f aca="false">Resumo!$B$10*CEILING(G1904/100,1)</f>
        <v>4.5</v>
      </c>
      <c r="Y1904" s="61" t="n">
        <f aca="false">Resumo!$B$12*CEILING(G1904,1)</f>
        <v>3</v>
      </c>
      <c r="Z1904" s="61" t="n">
        <f aca="false">Resumo!$B$14*CEILING(G1904,1)</f>
        <v>22.5</v>
      </c>
      <c r="AA1904" s="61" t="n">
        <f aca="false">SUM(T1904:Z1904)</f>
        <v>127.36997</v>
      </c>
      <c r="AB1904" s="61" t="n">
        <f aca="false">AA1904/(1-Resumo!$B$5)</f>
        <v>144.738602272727</v>
      </c>
      <c r="AC1904" s="61" t="n">
        <f aca="false">AB1904-S1904</f>
        <v>37.9091045454545</v>
      </c>
      <c r="AD1904" s="62" t="n">
        <f aca="false">AB1904/S1904-1</f>
        <v>0.35485615257907</v>
      </c>
      <c r="AE1904" s="60" t="str">
        <f aca="false">IF(AB1904&lt;S1904,"SIM","NÃO")</f>
        <v>NÃO</v>
      </c>
      <c r="AF1904" s="60" t="n">
        <v>2</v>
      </c>
      <c r="AG1904" s="60" t="n">
        <v>5</v>
      </c>
      <c r="AH1904" s="60" t="s">
        <v>382</v>
      </c>
      <c r="AI1904" s="61" t="n">
        <f aca="false">(T1904*(1-Painel!$C$40)+U1904+V1904+Painel!$C$41+Painel!$C$42*CEILING(G1904/100,1)+Painel!$C$43*CEILING(G1904,1)+Z1904)/(1-Resumo!$B$5)</f>
        <v>102.170306818182</v>
      </c>
      <c r="AJ1904" s="60" t="str">
        <f aca="false">IF(AI1904&lt;S1904,"SIM","NÃO")</f>
        <v>SIM</v>
      </c>
    </row>
    <row r="1905" customFormat="false" ht="15" hidden="false" customHeight="false" outlineLevel="0" collapsed="false">
      <c r="A1905" s="59" t="n">
        <v>46283.417025463</v>
      </c>
      <c r="B1905" s="60" t="s">
        <v>2085</v>
      </c>
      <c r="C1905" s="60" t="n">
        <v>21061600</v>
      </c>
      <c r="D1905" s="60" t="s">
        <v>46</v>
      </c>
      <c r="E1905" s="60" t="s">
        <v>22</v>
      </c>
      <c r="F1905" s="60" t="s">
        <v>235</v>
      </c>
      <c r="G1905" s="60" t="n">
        <v>48</v>
      </c>
      <c r="H1905" s="61" t="n">
        <v>725.1</v>
      </c>
      <c r="I1905" s="61" t="n">
        <v>53.55</v>
      </c>
      <c r="J1905" s="61" t="n">
        <f aca="false">H1905*Resumo!$C$6</f>
        <v>0</v>
      </c>
      <c r="K1905" s="61" t="n">
        <f aca="false">H1905*Resumo!$C$7</f>
        <v>1.52271</v>
      </c>
      <c r="L1905" s="61" t="n">
        <f aca="false">H1905*Resumo!$C$8</f>
        <v>1.52271</v>
      </c>
      <c r="M1905" s="61" t="n">
        <f aca="false">Resumo!$C$10*CEILING(G1905/100,1)</f>
        <v>1.05</v>
      </c>
      <c r="N1905" s="61" t="n">
        <f aca="false">Resumo!$C$9</f>
        <v>0</v>
      </c>
      <c r="O1905" s="61" t="n">
        <f aca="false">Resumo!$C$13</f>
        <v>13.55</v>
      </c>
      <c r="P1905" s="61" t="n">
        <f aca="false">Resumo!$C$14*CEILING(G1905,1)</f>
        <v>21.6</v>
      </c>
      <c r="Q1905" s="61" t="n">
        <f aca="false">SUM(I1905:P1905)*Resumo!$C$11</f>
        <v>0</v>
      </c>
      <c r="R1905" s="61" t="n">
        <f aca="false">SUM(I1905:Q1905)</f>
        <v>92.79542</v>
      </c>
      <c r="S1905" s="61" t="n">
        <f aca="false">R1905/(1-Resumo!$C$5)</f>
        <v>105.449340909091</v>
      </c>
      <c r="T1905" s="61" t="n">
        <v>93.97</v>
      </c>
      <c r="U1905" s="61" t="n">
        <f aca="false">H1905*Resumo!$B$6</f>
        <v>0.7251</v>
      </c>
      <c r="V1905" s="61" t="n">
        <f aca="false">H1905*Resumo!$B$7</f>
        <v>1.4502</v>
      </c>
      <c r="W1905" s="61" t="n">
        <f aca="false">Resumo!$B$9</f>
        <v>1</v>
      </c>
      <c r="X1905" s="61" t="n">
        <f aca="false">Resumo!$B$10*CEILING(G1905/100,1)</f>
        <v>4.5</v>
      </c>
      <c r="Y1905" s="61" t="n">
        <f aca="false">Resumo!$B$12*CEILING(G1905,1)</f>
        <v>2.88</v>
      </c>
      <c r="Z1905" s="61" t="n">
        <f aca="false">Resumo!$B$14*CEILING(G1905,1)</f>
        <v>21.6</v>
      </c>
      <c r="AA1905" s="61" t="n">
        <f aca="false">SUM(T1905:Z1905)</f>
        <v>126.1253</v>
      </c>
      <c r="AB1905" s="61" t="n">
        <f aca="false">AA1905/(1-Resumo!$B$5)</f>
        <v>143.324204545455</v>
      </c>
      <c r="AC1905" s="61" t="n">
        <f aca="false">AB1905-S1905</f>
        <v>37.8748636363636</v>
      </c>
      <c r="AD1905" s="62" t="n">
        <f aca="false">AB1905/S1905-1</f>
        <v>0.359175916225176</v>
      </c>
      <c r="AE1905" s="60" t="str">
        <f aca="false">IF(AB1905&lt;S1905,"SIM","NÃO")</f>
        <v>NÃO</v>
      </c>
      <c r="AF1905" s="60" t="n">
        <v>2</v>
      </c>
      <c r="AG1905" s="60" t="n">
        <v>5</v>
      </c>
      <c r="AH1905" s="60" t="s">
        <v>382</v>
      </c>
      <c r="AI1905" s="61" t="n">
        <f aca="false">(T1905*(1-Painel!$C$40)+U1905+V1905+Painel!$C$41+Painel!$C$42*CEILING(G1905/100,1)+Painel!$C$43*CEILING(G1905,1)+Z1905)/(1-Resumo!$B$5)</f>
        <v>100.892272727273</v>
      </c>
      <c r="AJ1905" s="60" t="str">
        <f aca="false">IF(AI1905&lt;S1905,"SIM","NÃO")</f>
        <v>SIM</v>
      </c>
    </row>
    <row r="1906" customFormat="false" ht="15" hidden="false" customHeight="false" outlineLevel="0" collapsed="false">
      <c r="A1906" s="59" t="n">
        <v>46283.4628819445</v>
      </c>
      <c r="B1906" s="60" t="s">
        <v>1559</v>
      </c>
      <c r="C1906" s="60" t="n">
        <v>21020260</v>
      </c>
      <c r="D1906" s="60" t="s">
        <v>46</v>
      </c>
      <c r="E1906" s="60" t="s">
        <v>22</v>
      </c>
      <c r="F1906" s="60" t="s">
        <v>233</v>
      </c>
      <c r="G1906" s="60" t="n">
        <v>25.8</v>
      </c>
      <c r="H1906" s="61" t="n">
        <v>309.58</v>
      </c>
      <c r="I1906" s="61" t="n">
        <v>42.11</v>
      </c>
      <c r="J1906" s="61" t="n">
        <f aca="false">H1906*Resumo!$C$6</f>
        <v>0</v>
      </c>
      <c r="K1906" s="61" t="n">
        <f aca="false">H1906*Resumo!$C$7</f>
        <v>0.650118</v>
      </c>
      <c r="L1906" s="61" t="n">
        <f aca="false">H1906*Resumo!$C$8</f>
        <v>0.650118</v>
      </c>
      <c r="M1906" s="61" t="n">
        <f aca="false">Resumo!$C$10*CEILING(G1906/100,1)</f>
        <v>1.05</v>
      </c>
      <c r="N1906" s="61" t="n">
        <f aca="false">Resumo!$C$9</f>
        <v>0</v>
      </c>
      <c r="O1906" s="61" t="n">
        <f aca="false">Resumo!$C$13</f>
        <v>13.55</v>
      </c>
      <c r="P1906" s="61" t="n">
        <f aca="false">Resumo!$C$14*CEILING(G1906,1)</f>
        <v>11.7</v>
      </c>
      <c r="Q1906" s="61" t="n">
        <f aca="false">SUM(I1906:P1906)*Resumo!$C$11</f>
        <v>0</v>
      </c>
      <c r="R1906" s="61" t="n">
        <f aca="false">SUM(I1906:Q1906)</f>
        <v>69.710236</v>
      </c>
      <c r="S1906" s="61" t="n">
        <f aca="false">R1906/(1-Resumo!$C$5)</f>
        <v>79.2161772727273</v>
      </c>
      <c r="T1906" s="61" t="n">
        <v>82.21</v>
      </c>
      <c r="U1906" s="61" t="n">
        <f aca="false">H1906*Resumo!$B$6</f>
        <v>0.30958</v>
      </c>
      <c r="V1906" s="61" t="n">
        <f aca="false">H1906*Resumo!$B$7</f>
        <v>0.61916</v>
      </c>
      <c r="W1906" s="61" t="n">
        <f aca="false">Resumo!$B$9</f>
        <v>1</v>
      </c>
      <c r="X1906" s="61" t="n">
        <f aca="false">Resumo!$B$10*CEILING(G1906/100,1)</f>
        <v>4.5</v>
      </c>
      <c r="Y1906" s="61" t="n">
        <f aca="false">Resumo!$B$12*CEILING(G1906,1)</f>
        <v>1.56</v>
      </c>
      <c r="Z1906" s="61" t="n">
        <f aca="false">Resumo!$B$14*CEILING(G1906,1)</f>
        <v>11.7</v>
      </c>
      <c r="AA1906" s="61" t="n">
        <f aca="false">SUM(T1906:Z1906)</f>
        <v>101.89874</v>
      </c>
      <c r="AB1906" s="61" t="n">
        <f aca="false">AA1906/(1-Resumo!$B$5)</f>
        <v>115.794022727273</v>
      </c>
      <c r="AC1906" s="61" t="n">
        <f aca="false">AB1906-S1906</f>
        <v>36.5778454545455</v>
      </c>
      <c r="AD1906" s="62" t="n">
        <f aca="false">AB1906/S1906-1</f>
        <v>0.461747167230936</v>
      </c>
      <c r="AE1906" s="60" t="str">
        <f aca="false">IF(AB1906&lt;S1906,"SIM","NÃO")</f>
        <v>NÃO</v>
      </c>
      <c r="AF1906" s="60" t="n">
        <v>2</v>
      </c>
      <c r="AG1906" s="60" t="n">
        <v>5</v>
      </c>
      <c r="AH1906" s="60" t="s">
        <v>382</v>
      </c>
      <c r="AI1906" s="61" t="n">
        <f aca="false">(T1906*(1-Painel!$C$40)+U1906+V1906+Painel!$C$41+Painel!$C$42*CEILING(G1906/100,1)+Painel!$C$43*CEILING(G1906,1)+Z1906)/(1-Resumo!$B$5)</f>
        <v>79.2720909090909</v>
      </c>
      <c r="AJ1906" s="60" t="str">
        <f aca="false">IF(AI1906&lt;S1906,"SIM","NÃO")</f>
        <v>NÃO</v>
      </c>
    </row>
    <row r="1907" customFormat="false" ht="15" hidden="false" customHeight="false" outlineLevel="0" collapsed="false">
      <c r="A1907" s="59" t="n">
        <v>46283.487025463</v>
      </c>
      <c r="B1907" s="60" t="s">
        <v>754</v>
      </c>
      <c r="C1907" s="60" t="n">
        <v>22753005</v>
      </c>
      <c r="D1907" s="60" t="s">
        <v>46</v>
      </c>
      <c r="E1907" s="60" t="s">
        <v>22</v>
      </c>
      <c r="F1907" s="60" t="s">
        <v>233</v>
      </c>
      <c r="G1907" s="60" t="n">
        <v>22.4</v>
      </c>
      <c r="H1907" s="61" t="n">
        <v>599.99</v>
      </c>
      <c r="I1907" s="61" t="n">
        <v>42.11</v>
      </c>
      <c r="J1907" s="61" t="n">
        <f aca="false">H1907*Resumo!$C$6</f>
        <v>0</v>
      </c>
      <c r="K1907" s="61" t="n">
        <f aca="false">H1907*Resumo!$C$7</f>
        <v>1.259979</v>
      </c>
      <c r="L1907" s="61" t="n">
        <f aca="false">H1907*Resumo!$C$8</f>
        <v>1.259979</v>
      </c>
      <c r="M1907" s="61" t="n">
        <f aca="false">Resumo!$C$10*CEILING(G1907/100,1)</f>
        <v>1.05</v>
      </c>
      <c r="N1907" s="61" t="n">
        <f aca="false">Resumo!$C$9</f>
        <v>0</v>
      </c>
      <c r="O1907" s="61" t="n">
        <f aca="false">Resumo!$C$13</f>
        <v>13.55</v>
      </c>
      <c r="P1907" s="61" t="n">
        <f aca="false">Resumo!$C$14*CEILING(G1907,1)</f>
        <v>10.35</v>
      </c>
      <c r="Q1907" s="61" t="n">
        <f aca="false">SUM(I1907:P1907)*Resumo!$C$11</f>
        <v>0</v>
      </c>
      <c r="R1907" s="61" t="n">
        <f aca="false">SUM(I1907:Q1907)</f>
        <v>69.579958</v>
      </c>
      <c r="S1907" s="61" t="n">
        <f aca="false">R1907/(1-Resumo!$C$5)</f>
        <v>79.0681340909091</v>
      </c>
      <c r="T1907" s="61" t="n">
        <v>82.21</v>
      </c>
      <c r="U1907" s="61" t="n">
        <f aca="false">H1907*Resumo!$B$6</f>
        <v>0.59999</v>
      </c>
      <c r="V1907" s="61" t="n">
        <f aca="false">H1907*Resumo!$B$7</f>
        <v>1.19998</v>
      </c>
      <c r="W1907" s="61" t="n">
        <f aca="false">Resumo!$B$9</f>
        <v>1</v>
      </c>
      <c r="X1907" s="61" t="n">
        <f aca="false">Resumo!$B$10*CEILING(G1907/100,1)</f>
        <v>4.5</v>
      </c>
      <c r="Y1907" s="61" t="n">
        <f aca="false">Resumo!$B$12*CEILING(G1907,1)</f>
        <v>1.38</v>
      </c>
      <c r="Z1907" s="61" t="n">
        <f aca="false">Resumo!$B$14*CEILING(G1907,1)</f>
        <v>10.35</v>
      </c>
      <c r="AA1907" s="61" t="n">
        <f aca="false">SUM(T1907:Z1907)</f>
        <v>101.23997</v>
      </c>
      <c r="AB1907" s="61" t="n">
        <f aca="false">AA1907/(1-Resumo!$B$5)</f>
        <v>115.045420454545</v>
      </c>
      <c r="AC1907" s="61" t="n">
        <f aca="false">AB1907-S1907</f>
        <v>35.9772863636363</v>
      </c>
      <c r="AD1907" s="62" t="n">
        <f aca="false">AB1907/S1907-1</f>
        <v>0.455016256261609</v>
      </c>
      <c r="AE1907" s="60" t="str">
        <f aca="false">IF(AB1907&lt;S1907,"SIM","NÃO")</f>
        <v>NÃO</v>
      </c>
      <c r="AF1907" s="60" t="n">
        <v>2</v>
      </c>
      <c r="AG1907" s="60" t="n">
        <v>5</v>
      </c>
      <c r="AH1907" s="60" t="s">
        <v>382</v>
      </c>
      <c r="AI1907" s="61" t="n">
        <f aca="false">(T1907*(1-Painel!$C$40)+U1907+V1907+Painel!$C$41+Painel!$C$42*CEILING(G1907/100,1)+Painel!$C$43*CEILING(G1907,1)+Z1907)/(1-Resumo!$B$5)</f>
        <v>78.7280340909091</v>
      </c>
      <c r="AJ1907" s="60" t="str">
        <f aca="false">IF(AI1907&lt;S1907,"SIM","NÃO")</f>
        <v>SIM</v>
      </c>
    </row>
    <row r="1908" customFormat="false" ht="15" hidden="false" customHeight="false" outlineLevel="0" collapsed="false">
      <c r="A1908" s="59" t="n">
        <v>46283.4874768519</v>
      </c>
      <c r="B1908" s="60" t="s">
        <v>2086</v>
      </c>
      <c r="C1908" s="60" t="n">
        <v>28982235</v>
      </c>
      <c r="D1908" s="60" t="s">
        <v>222</v>
      </c>
      <c r="E1908" s="60" t="s">
        <v>24</v>
      </c>
      <c r="F1908" s="60" t="s">
        <v>233</v>
      </c>
      <c r="G1908" s="60" t="n">
        <v>20.8</v>
      </c>
      <c r="H1908" s="61" t="n">
        <v>339.99</v>
      </c>
      <c r="I1908" s="61" t="n">
        <v>65.63</v>
      </c>
      <c r="J1908" s="61" t="n">
        <f aca="false">H1908*Resumo!$C$6</f>
        <v>0</v>
      </c>
      <c r="K1908" s="61" t="n">
        <f aca="false">H1908*Resumo!$C$7</f>
        <v>0.713979</v>
      </c>
      <c r="L1908" s="61" t="n">
        <f aca="false">H1908*Resumo!$C$8</f>
        <v>0.713979</v>
      </c>
      <c r="M1908" s="61" t="n">
        <f aca="false">Resumo!$C$10*CEILING(G1908/100,1)</f>
        <v>1.05</v>
      </c>
      <c r="N1908" s="61" t="n">
        <f aca="false">Resumo!$C$9</f>
        <v>0</v>
      </c>
      <c r="O1908" s="61" t="n">
        <f aca="false">Resumo!$C$13</f>
        <v>13.55</v>
      </c>
      <c r="P1908" s="61" t="n">
        <f aca="false">Resumo!$C$14*CEILING(G1908,1)</f>
        <v>9.45</v>
      </c>
      <c r="Q1908" s="61" t="n">
        <f aca="false">SUM(I1908:P1908)*Resumo!$C$11</f>
        <v>0</v>
      </c>
      <c r="R1908" s="61" t="n">
        <f aca="false">SUM(I1908:Q1908)</f>
        <v>91.107958</v>
      </c>
      <c r="S1908" s="61" t="n">
        <f aca="false">R1908/(1-Resumo!$C$5)</f>
        <v>103.531770454545</v>
      </c>
      <c r="T1908" s="61" t="n">
        <v>114.95</v>
      </c>
      <c r="U1908" s="61" t="n">
        <f aca="false">H1908*Resumo!$B$6</f>
        <v>0.33999</v>
      </c>
      <c r="V1908" s="61" t="n">
        <f aca="false">H1908*Resumo!$B$7</f>
        <v>0.67998</v>
      </c>
      <c r="W1908" s="61" t="n">
        <f aca="false">Resumo!$B$9</f>
        <v>1</v>
      </c>
      <c r="X1908" s="61" t="n">
        <f aca="false">Resumo!$B$10*CEILING(G1908/100,1)</f>
        <v>4.5</v>
      </c>
      <c r="Y1908" s="61" t="n">
        <f aca="false">Resumo!$B$12*CEILING(G1908,1)</f>
        <v>1.26</v>
      </c>
      <c r="Z1908" s="61" t="n">
        <f aca="false">Resumo!$B$14*CEILING(G1908,1)</f>
        <v>9.45</v>
      </c>
      <c r="AA1908" s="61" t="n">
        <f aca="false">SUM(T1908:Z1908)</f>
        <v>132.17997</v>
      </c>
      <c r="AB1908" s="61" t="n">
        <f aca="false">AA1908/(1-Resumo!$B$5)</f>
        <v>150.204511363636</v>
      </c>
      <c r="AC1908" s="61" t="n">
        <f aca="false">AB1908-S1908</f>
        <v>46.6727409090909</v>
      </c>
      <c r="AD1908" s="62" t="n">
        <f aca="false">AB1908/S1908-1</f>
        <v>0.450805976795134</v>
      </c>
      <c r="AE1908" s="60" t="str">
        <f aca="false">IF(AB1908&lt;S1908,"SIM","NÃO")</f>
        <v>NÃO</v>
      </c>
      <c r="AF1908" s="60" t="n">
        <v>13</v>
      </c>
      <c r="AG1908" s="60" t="n">
        <v>10</v>
      </c>
      <c r="AH1908" s="60" t="s">
        <v>382</v>
      </c>
      <c r="AI1908" s="61" t="n">
        <f aca="false">(T1908*(1-Painel!$C$40)+U1908+V1908+Painel!$C$41+Painel!$C$42*CEILING(G1908/100,1)+Painel!$C$43*CEILING(G1908,1)+Z1908)/(1-Resumo!$B$5)</f>
        <v>101.745988636364</v>
      </c>
      <c r="AJ1908" s="60" t="str">
        <f aca="false">IF(AI1908&lt;S1908,"SIM","NÃO")</f>
        <v>SIM</v>
      </c>
    </row>
    <row r="1909" customFormat="false" ht="15" hidden="false" customHeight="false" outlineLevel="0" collapsed="false">
      <c r="A1909" s="59" t="n">
        <v>46283.5308564815</v>
      </c>
      <c r="B1909" s="60" t="s">
        <v>2087</v>
      </c>
      <c r="C1909" s="60" t="n">
        <v>21321624</v>
      </c>
      <c r="D1909" s="60" t="s">
        <v>46</v>
      </c>
      <c r="E1909" s="60" t="s">
        <v>22</v>
      </c>
      <c r="F1909" s="60" t="s">
        <v>236</v>
      </c>
      <c r="G1909" s="60" t="n">
        <v>52.3</v>
      </c>
      <c r="H1909" s="61" t="n">
        <v>614.63</v>
      </c>
      <c r="I1909" s="61" t="n">
        <v>58.6</v>
      </c>
      <c r="J1909" s="61" t="n">
        <f aca="false">H1909*Resumo!$C$6</f>
        <v>0</v>
      </c>
      <c r="K1909" s="61" t="n">
        <f aca="false">H1909*Resumo!$C$7</f>
        <v>1.290723</v>
      </c>
      <c r="L1909" s="61" t="n">
        <f aca="false">H1909*Resumo!$C$8</f>
        <v>1.290723</v>
      </c>
      <c r="M1909" s="61" t="n">
        <f aca="false">Resumo!$C$10*CEILING(G1909/100,1)</f>
        <v>1.05</v>
      </c>
      <c r="N1909" s="61" t="n">
        <f aca="false">Resumo!$C$9</f>
        <v>0</v>
      </c>
      <c r="O1909" s="61" t="n">
        <f aca="false">Resumo!$C$13</f>
        <v>13.55</v>
      </c>
      <c r="P1909" s="61" t="n">
        <f aca="false">Resumo!$C$14*CEILING(G1909,1)</f>
        <v>23.85</v>
      </c>
      <c r="Q1909" s="61" t="n">
        <f aca="false">SUM(I1909:P1909)*Resumo!$C$11</f>
        <v>0</v>
      </c>
      <c r="R1909" s="61" t="n">
        <f aca="false">SUM(I1909:Q1909)</f>
        <v>99.631446</v>
      </c>
      <c r="S1909" s="61" t="n">
        <f aca="false">R1909/(1-Resumo!$C$5)</f>
        <v>113.217552272727</v>
      </c>
      <c r="T1909" s="61" t="n">
        <v>112.3</v>
      </c>
      <c r="U1909" s="61" t="n">
        <f aca="false">H1909*Resumo!$B$6</f>
        <v>0.61463</v>
      </c>
      <c r="V1909" s="61" t="n">
        <f aca="false">H1909*Resumo!$B$7</f>
        <v>1.22926</v>
      </c>
      <c r="W1909" s="61" t="n">
        <f aca="false">Resumo!$B$9</f>
        <v>1</v>
      </c>
      <c r="X1909" s="61" t="n">
        <f aca="false">Resumo!$B$10*CEILING(G1909/100,1)</f>
        <v>4.5</v>
      </c>
      <c r="Y1909" s="61" t="n">
        <f aca="false">Resumo!$B$12*CEILING(G1909,1)</f>
        <v>3.18</v>
      </c>
      <c r="Z1909" s="61" t="n">
        <f aca="false">Resumo!$B$14*CEILING(G1909,1)</f>
        <v>23.85</v>
      </c>
      <c r="AA1909" s="61" t="n">
        <f aca="false">SUM(T1909:Z1909)</f>
        <v>146.67389</v>
      </c>
      <c r="AB1909" s="61" t="n">
        <f aca="false">AA1909/(1-Resumo!$B$5)</f>
        <v>166.674875</v>
      </c>
      <c r="AC1909" s="61" t="n">
        <f aca="false">AB1909-S1909</f>
        <v>53.4573227272727</v>
      </c>
      <c r="AD1909" s="62" t="n">
        <f aca="false">AB1909/S1909-1</f>
        <v>0.472164621599489</v>
      </c>
      <c r="AE1909" s="60" t="str">
        <f aca="false">IF(AB1909&lt;S1909,"SIM","NÃO")</f>
        <v>NÃO</v>
      </c>
      <c r="AF1909" s="60" t="n">
        <v>2</v>
      </c>
      <c r="AG1909" s="60" t="n">
        <v>5</v>
      </c>
      <c r="AH1909" s="60" t="s">
        <v>382</v>
      </c>
      <c r="AI1909" s="61" t="n">
        <f aca="false">(T1909*(1-Painel!$C$40)+U1909+V1909+Painel!$C$41+Painel!$C$42*CEILING(G1909/100,1)+Painel!$C$43*CEILING(G1909,1)+Z1909)/(1-Resumo!$B$5)</f>
        <v>117.028284090909</v>
      </c>
      <c r="AJ1909" s="60" t="str">
        <f aca="false">IF(AI1909&lt;S1909,"SIM","NÃO")</f>
        <v>NÃO</v>
      </c>
    </row>
    <row r="1910" customFormat="false" ht="15" hidden="false" customHeight="false" outlineLevel="0" collapsed="false">
      <c r="A1910" s="59" t="n">
        <v>46283.5845023148</v>
      </c>
      <c r="B1910" s="60" t="s">
        <v>2088</v>
      </c>
      <c r="C1910" s="60" t="n">
        <v>21842550</v>
      </c>
      <c r="D1910" s="60" t="s">
        <v>46</v>
      </c>
      <c r="E1910" s="60" t="s">
        <v>22</v>
      </c>
      <c r="F1910" s="60" t="s">
        <v>234</v>
      </c>
      <c r="G1910" s="60" t="n">
        <v>39.9</v>
      </c>
      <c r="H1910" s="61" t="n">
        <v>599.99</v>
      </c>
      <c r="I1910" s="61" t="n">
        <v>48.35</v>
      </c>
      <c r="J1910" s="61" t="n">
        <f aca="false">H1910*Resumo!$C$6</f>
        <v>0</v>
      </c>
      <c r="K1910" s="61" t="n">
        <f aca="false">H1910*Resumo!$C$7</f>
        <v>1.259979</v>
      </c>
      <c r="L1910" s="61" t="n">
        <f aca="false">H1910*Resumo!$C$8</f>
        <v>1.259979</v>
      </c>
      <c r="M1910" s="61" t="n">
        <f aca="false">Resumo!$C$10*CEILING(G1910/100,1)</f>
        <v>1.05</v>
      </c>
      <c r="N1910" s="61" t="n">
        <f aca="false">Resumo!$C$9</f>
        <v>0</v>
      </c>
      <c r="O1910" s="61" t="n">
        <f aca="false">Resumo!$C$13</f>
        <v>13.55</v>
      </c>
      <c r="P1910" s="61" t="n">
        <f aca="false">Resumo!$C$14*CEILING(G1910,1)</f>
        <v>18</v>
      </c>
      <c r="Q1910" s="61" t="n">
        <f aca="false">SUM(I1910:P1910)*Resumo!$C$11</f>
        <v>0</v>
      </c>
      <c r="R1910" s="61" t="n">
        <f aca="false">SUM(I1910:Q1910)</f>
        <v>83.469958</v>
      </c>
      <c r="S1910" s="61" t="n">
        <f aca="false">R1910/(1-Resumo!$C$5)</f>
        <v>94.852225</v>
      </c>
      <c r="T1910" s="61" t="n">
        <v>93.97</v>
      </c>
      <c r="U1910" s="61" t="n">
        <f aca="false">H1910*Resumo!$B$6</f>
        <v>0.59999</v>
      </c>
      <c r="V1910" s="61" t="n">
        <f aca="false">H1910*Resumo!$B$7</f>
        <v>1.19998</v>
      </c>
      <c r="W1910" s="61" t="n">
        <f aca="false">Resumo!$B$9</f>
        <v>1</v>
      </c>
      <c r="X1910" s="61" t="n">
        <f aca="false">Resumo!$B$10*CEILING(G1910/100,1)</f>
        <v>4.5</v>
      </c>
      <c r="Y1910" s="61" t="n">
        <f aca="false">Resumo!$B$12*CEILING(G1910,1)</f>
        <v>2.4</v>
      </c>
      <c r="Z1910" s="61" t="n">
        <f aca="false">Resumo!$B$14*CEILING(G1910,1)</f>
        <v>18</v>
      </c>
      <c r="AA1910" s="61" t="n">
        <f aca="false">SUM(T1910:Z1910)</f>
        <v>121.66997</v>
      </c>
      <c r="AB1910" s="61" t="n">
        <f aca="false">AA1910/(1-Resumo!$B$5)</f>
        <v>138.261329545455</v>
      </c>
      <c r="AC1910" s="61" t="n">
        <f aca="false">AB1910-S1910</f>
        <v>43.4091045454545</v>
      </c>
      <c r="AD1910" s="62" t="n">
        <f aca="false">AB1910/S1910-1</f>
        <v>0.457649828936059</v>
      </c>
      <c r="AE1910" s="60" t="str">
        <f aca="false">IF(AB1910&lt;S1910,"SIM","NÃO")</f>
        <v>NÃO</v>
      </c>
      <c r="AF1910" s="60" t="n">
        <v>2</v>
      </c>
      <c r="AG1910" s="60" t="n">
        <v>5</v>
      </c>
      <c r="AH1910" s="60" t="s">
        <v>382</v>
      </c>
      <c r="AI1910" s="61" t="n">
        <f aca="false">(T1910*(1-Painel!$C$40)+U1910+V1910+Painel!$C$41+Painel!$C$42*CEILING(G1910/100,1)+Painel!$C$43*CEILING(G1910,1)+Z1910)/(1-Resumo!$B$5)</f>
        <v>96.3748522727273</v>
      </c>
      <c r="AJ1910" s="60" t="str">
        <f aca="false">IF(AI1910&lt;S1910,"SIM","NÃO")</f>
        <v>NÃO</v>
      </c>
    </row>
    <row r="1911" customFormat="false" ht="15" hidden="false" customHeight="false" outlineLevel="0" collapsed="false">
      <c r="A1911" s="59" t="n">
        <v>46283.5879282407</v>
      </c>
      <c r="B1911" s="60" t="s">
        <v>1648</v>
      </c>
      <c r="C1911" s="60" t="n">
        <v>22011002</v>
      </c>
      <c r="D1911" s="60" t="s">
        <v>46</v>
      </c>
      <c r="E1911" s="60" t="s">
        <v>22</v>
      </c>
      <c r="F1911" s="60" t="s">
        <v>233</v>
      </c>
      <c r="G1911" s="60" t="n">
        <v>34.1</v>
      </c>
      <c r="H1911" s="61" t="n">
        <v>419.3</v>
      </c>
      <c r="I1911" s="61" t="n">
        <v>42.11</v>
      </c>
      <c r="J1911" s="61" t="n">
        <f aca="false">H1911*Resumo!$C$6</f>
        <v>0</v>
      </c>
      <c r="K1911" s="61" t="n">
        <f aca="false">H1911*Resumo!$C$7</f>
        <v>0.88053</v>
      </c>
      <c r="L1911" s="61" t="n">
        <f aca="false">H1911*Resumo!$C$8</f>
        <v>0.88053</v>
      </c>
      <c r="M1911" s="61" t="n">
        <f aca="false">Resumo!$C$10*CEILING(G1911/100,1)</f>
        <v>1.05</v>
      </c>
      <c r="N1911" s="61" t="n">
        <f aca="false">Resumo!$C$9</f>
        <v>0</v>
      </c>
      <c r="O1911" s="61" t="n">
        <f aca="false">Resumo!$C$13</f>
        <v>13.55</v>
      </c>
      <c r="P1911" s="61" t="n">
        <f aca="false">Resumo!$C$14*CEILING(G1911,1)</f>
        <v>15.75</v>
      </c>
      <c r="Q1911" s="61" t="n">
        <f aca="false">SUM(I1911:P1911)*Resumo!$C$11</f>
        <v>0</v>
      </c>
      <c r="R1911" s="61" t="n">
        <f aca="false">SUM(I1911:Q1911)</f>
        <v>74.22106</v>
      </c>
      <c r="S1911" s="61" t="n">
        <f aca="false">R1911/(1-Resumo!$C$5)</f>
        <v>84.3421136363636</v>
      </c>
      <c r="T1911" s="61" t="n">
        <v>82.21</v>
      </c>
      <c r="U1911" s="61" t="n">
        <f aca="false">H1911*Resumo!$B$6</f>
        <v>0.4193</v>
      </c>
      <c r="V1911" s="61" t="n">
        <f aca="false">H1911*Resumo!$B$7</f>
        <v>0.8386</v>
      </c>
      <c r="W1911" s="61" t="n">
        <f aca="false">Resumo!$B$9</f>
        <v>1</v>
      </c>
      <c r="X1911" s="61" t="n">
        <f aca="false">Resumo!$B$10*CEILING(G1911/100,1)</f>
        <v>4.5</v>
      </c>
      <c r="Y1911" s="61" t="n">
        <f aca="false">Resumo!$B$12*CEILING(G1911,1)</f>
        <v>2.1</v>
      </c>
      <c r="Z1911" s="61" t="n">
        <f aca="false">Resumo!$B$14*CEILING(G1911,1)</f>
        <v>15.75</v>
      </c>
      <c r="AA1911" s="61" t="n">
        <f aca="false">SUM(T1911:Z1911)</f>
        <v>106.8179</v>
      </c>
      <c r="AB1911" s="61" t="n">
        <f aca="false">AA1911/(1-Resumo!$B$5)</f>
        <v>121.383977272727</v>
      </c>
      <c r="AC1911" s="61" t="n">
        <f aca="false">AB1911-S1911</f>
        <v>37.0418636363636</v>
      </c>
      <c r="AD1911" s="62" t="n">
        <f aca="false">AB1911/S1911-1</f>
        <v>0.439185859107913</v>
      </c>
      <c r="AE1911" s="60" t="str">
        <f aca="false">IF(AB1911&lt;S1911,"SIM","NÃO")</f>
        <v>NÃO</v>
      </c>
      <c r="AF1911" s="60" t="n">
        <v>2</v>
      </c>
      <c r="AG1911" s="60" t="n">
        <v>5</v>
      </c>
      <c r="AH1911" s="60" t="s">
        <v>382</v>
      </c>
      <c r="AI1911" s="61" t="n">
        <f aca="false">(T1911*(1-Painel!$C$40)+U1911+V1911+Painel!$C$41+Painel!$C$42*CEILING(G1911/100,1)+Painel!$C$43*CEILING(G1911,1)+Z1911)/(1-Resumo!$B$5)</f>
        <v>84.2484090909091</v>
      </c>
      <c r="AJ1911" s="60" t="str">
        <f aca="false">IF(AI1911&lt;S1911,"SIM","NÃO")</f>
        <v>SIM</v>
      </c>
    </row>
    <row r="1912" customFormat="false" ht="15" hidden="false" customHeight="false" outlineLevel="0" collapsed="false">
      <c r="A1912" s="59" t="n">
        <v>46283.5882175926</v>
      </c>
      <c r="B1912" s="60" t="s">
        <v>2089</v>
      </c>
      <c r="C1912" s="60" t="n">
        <v>28899314</v>
      </c>
      <c r="D1912" s="60" t="s">
        <v>227</v>
      </c>
      <c r="E1912" s="60" t="s">
        <v>24</v>
      </c>
      <c r="F1912" s="60" t="s">
        <v>237</v>
      </c>
      <c r="G1912" s="60" t="n">
        <v>67.3</v>
      </c>
      <c r="H1912" s="61" t="n">
        <v>720</v>
      </c>
      <c r="I1912" s="61" t="n">
        <v>90.2</v>
      </c>
      <c r="J1912" s="61" t="n">
        <f aca="false">H1912*Resumo!$C$6</f>
        <v>0</v>
      </c>
      <c r="K1912" s="61" t="n">
        <f aca="false">H1912*Resumo!$C$7</f>
        <v>1.512</v>
      </c>
      <c r="L1912" s="61" t="n">
        <f aca="false">H1912*Resumo!$C$8</f>
        <v>1.512</v>
      </c>
      <c r="M1912" s="61" t="n">
        <f aca="false">Resumo!$C$10*CEILING(G1912/100,1)</f>
        <v>1.05</v>
      </c>
      <c r="N1912" s="61" t="n">
        <f aca="false">Resumo!$C$9</f>
        <v>0</v>
      </c>
      <c r="O1912" s="61" t="n">
        <f aca="false">Resumo!$C$13</f>
        <v>13.55</v>
      </c>
      <c r="P1912" s="61" t="n">
        <f aca="false">Resumo!$C$14*CEILING(G1912,1)</f>
        <v>30.6</v>
      </c>
      <c r="Q1912" s="61" t="n">
        <f aca="false">SUM(I1912:P1912)*Resumo!$C$11</f>
        <v>0</v>
      </c>
      <c r="R1912" s="61" t="n">
        <f aca="false">SUM(I1912:Q1912)</f>
        <v>138.424</v>
      </c>
      <c r="S1912" s="61" t="n">
        <f aca="false">R1912/(1-Resumo!$C$5)</f>
        <v>157.3</v>
      </c>
      <c r="T1912" s="61" t="n">
        <v>166.05</v>
      </c>
      <c r="U1912" s="61" t="n">
        <f aca="false">H1912*Resumo!$B$6</f>
        <v>0.72</v>
      </c>
      <c r="V1912" s="61" t="n">
        <f aca="false">H1912*Resumo!$B$7</f>
        <v>1.44</v>
      </c>
      <c r="W1912" s="61" t="n">
        <f aca="false">Resumo!$B$9</f>
        <v>1</v>
      </c>
      <c r="X1912" s="61" t="n">
        <f aca="false">Resumo!$B$10*CEILING(G1912/100,1)</f>
        <v>4.5</v>
      </c>
      <c r="Y1912" s="61" t="n">
        <f aca="false">Resumo!$B$12*CEILING(G1912,1)</f>
        <v>4.08</v>
      </c>
      <c r="Z1912" s="61" t="n">
        <f aca="false">Resumo!$B$14*CEILING(G1912,1)</f>
        <v>30.6</v>
      </c>
      <c r="AA1912" s="61" t="n">
        <f aca="false">SUM(T1912:Z1912)</f>
        <v>208.39</v>
      </c>
      <c r="AB1912" s="61" t="n">
        <f aca="false">AA1912/(1-Resumo!$B$5)</f>
        <v>236.806818181818</v>
      </c>
      <c r="AC1912" s="61" t="n">
        <f aca="false">AB1912-S1912</f>
        <v>79.5068181818182</v>
      </c>
      <c r="AD1912" s="62" t="n">
        <f aca="false">AB1912/S1912-1</f>
        <v>0.505447032306536</v>
      </c>
      <c r="AE1912" s="60" t="str">
        <f aca="false">IF(AB1912&lt;S1912,"SIM","NÃO")</f>
        <v>NÃO</v>
      </c>
      <c r="AF1912" s="60" t="n">
        <v>13</v>
      </c>
      <c r="AG1912" s="60" t="n">
        <v>10</v>
      </c>
      <c r="AH1912" s="60" t="s">
        <v>382</v>
      </c>
      <c r="AI1912" s="61" t="n">
        <f aca="false">(T1912*(1-Painel!$C$40)+U1912+V1912+Painel!$C$41+Painel!$C$42*CEILING(G1912/100,1)+Painel!$C$43*CEILING(G1912,1)+Z1912)/(1-Resumo!$B$5)</f>
        <v>165.98125</v>
      </c>
      <c r="AJ1912" s="60" t="str">
        <f aca="false">IF(AI1912&lt;S1912,"SIM","NÃO")</f>
        <v>NÃO</v>
      </c>
    </row>
    <row r="1913" customFormat="false" ht="15" hidden="false" customHeight="false" outlineLevel="0" collapsed="false">
      <c r="A1913" s="59" t="n">
        <v>46283.6419560185</v>
      </c>
      <c r="B1913" s="60" t="s">
        <v>2090</v>
      </c>
      <c r="C1913" s="60" t="n">
        <v>23032780</v>
      </c>
      <c r="D1913" s="60" t="s">
        <v>46</v>
      </c>
      <c r="E1913" s="60" t="s">
        <v>22</v>
      </c>
      <c r="F1913" s="60" t="s">
        <v>233</v>
      </c>
      <c r="G1913" s="60" t="n">
        <v>29.2</v>
      </c>
      <c r="H1913" s="61" t="n">
        <v>429.99</v>
      </c>
      <c r="I1913" s="61" t="n">
        <v>42.11</v>
      </c>
      <c r="J1913" s="61" t="n">
        <f aca="false">H1913*Resumo!$C$6</f>
        <v>0</v>
      </c>
      <c r="K1913" s="61" t="n">
        <f aca="false">H1913*Resumo!$C$7</f>
        <v>0.902979</v>
      </c>
      <c r="L1913" s="61" t="n">
        <f aca="false">H1913*Resumo!$C$8</f>
        <v>0.902979</v>
      </c>
      <c r="M1913" s="61" t="n">
        <f aca="false">Resumo!$C$10*CEILING(G1913/100,1)</f>
        <v>1.05</v>
      </c>
      <c r="N1913" s="61" t="n">
        <f aca="false">Resumo!$C$9</f>
        <v>0</v>
      </c>
      <c r="O1913" s="61" t="n">
        <f aca="false">Resumo!$C$13</f>
        <v>13.55</v>
      </c>
      <c r="P1913" s="61" t="n">
        <f aca="false">Resumo!$C$14*CEILING(G1913,1)</f>
        <v>13.5</v>
      </c>
      <c r="Q1913" s="61" t="n">
        <f aca="false">SUM(I1913:P1913)*Resumo!$C$11</f>
        <v>0</v>
      </c>
      <c r="R1913" s="61" t="n">
        <f aca="false">SUM(I1913:Q1913)</f>
        <v>72.015958</v>
      </c>
      <c r="S1913" s="61" t="n">
        <f aca="false">R1913/(1-Resumo!$C$5)</f>
        <v>81.8363159090909</v>
      </c>
      <c r="T1913" s="61" t="n">
        <v>82.21</v>
      </c>
      <c r="U1913" s="61" t="n">
        <f aca="false">H1913*Resumo!$B$6</f>
        <v>0.42999</v>
      </c>
      <c r="V1913" s="61" t="n">
        <f aca="false">H1913*Resumo!$B$7</f>
        <v>0.85998</v>
      </c>
      <c r="W1913" s="61" t="n">
        <f aca="false">Resumo!$B$9</f>
        <v>1</v>
      </c>
      <c r="X1913" s="61" t="n">
        <f aca="false">Resumo!$B$10*CEILING(G1913/100,1)</f>
        <v>4.5</v>
      </c>
      <c r="Y1913" s="61" t="n">
        <f aca="false">Resumo!$B$12*CEILING(G1913,1)</f>
        <v>1.8</v>
      </c>
      <c r="Z1913" s="61" t="n">
        <f aca="false">Resumo!$B$14*CEILING(G1913,1)</f>
        <v>13.5</v>
      </c>
      <c r="AA1913" s="61" t="n">
        <f aca="false">SUM(T1913:Z1913)</f>
        <v>104.29997</v>
      </c>
      <c r="AB1913" s="61" t="n">
        <f aca="false">AA1913/(1-Resumo!$B$5)</f>
        <v>118.522693181818</v>
      </c>
      <c r="AC1913" s="61" t="n">
        <f aca="false">AB1913-S1913</f>
        <v>36.6863772727273</v>
      </c>
      <c r="AD1913" s="62" t="n">
        <f aca="false">AB1913/S1913-1</f>
        <v>0.448289697125184</v>
      </c>
      <c r="AE1913" s="60" t="str">
        <f aca="false">IF(AB1913&lt;S1913,"SIM","NÃO")</f>
        <v>NÃO</v>
      </c>
      <c r="AF1913" s="60" t="n">
        <v>2</v>
      </c>
      <c r="AG1913" s="60" t="n">
        <v>5</v>
      </c>
      <c r="AH1913" s="60" t="s">
        <v>382</v>
      </c>
      <c r="AI1913" s="61" t="n">
        <f aca="false">(T1913*(1-Painel!$C$40)+U1913+V1913+Painel!$C$41+Painel!$C$42*CEILING(G1913/100,1)+Painel!$C$43*CEILING(G1913,1)+Z1913)/(1-Resumo!$B$5)</f>
        <v>81.7280340909091</v>
      </c>
      <c r="AJ1913" s="60" t="str">
        <f aca="false">IF(AI1913&lt;S1913,"SIM","NÃO")</f>
        <v>SIM</v>
      </c>
    </row>
    <row r="1914" customFormat="false" ht="15" hidden="false" customHeight="false" outlineLevel="0" collapsed="false">
      <c r="A1914" s="59" t="n">
        <v>46283.7087962963</v>
      </c>
      <c r="B1914" s="60" t="s">
        <v>2091</v>
      </c>
      <c r="C1914" s="60" t="n">
        <v>23030360</v>
      </c>
      <c r="D1914" s="60" t="s">
        <v>46</v>
      </c>
      <c r="E1914" s="60" t="s">
        <v>22</v>
      </c>
      <c r="F1914" s="60" t="s">
        <v>237</v>
      </c>
      <c r="G1914" s="60" t="n">
        <v>66.8</v>
      </c>
      <c r="H1914" s="61" t="n">
        <v>691.9</v>
      </c>
      <c r="I1914" s="61" t="n">
        <v>63.21</v>
      </c>
      <c r="J1914" s="61" t="n">
        <f aca="false">H1914*Resumo!$C$6</f>
        <v>0</v>
      </c>
      <c r="K1914" s="61" t="n">
        <f aca="false">H1914*Resumo!$C$7</f>
        <v>1.45299</v>
      </c>
      <c r="L1914" s="61" t="n">
        <f aca="false">H1914*Resumo!$C$8</f>
        <v>1.45299</v>
      </c>
      <c r="M1914" s="61" t="n">
        <f aca="false">Resumo!$C$10*CEILING(G1914/100,1)</f>
        <v>1.05</v>
      </c>
      <c r="N1914" s="61" t="n">
        <f aca="false">Resumo!$C$9</f>
        <v>0</v>
      </c>
      <c r="O1914" s="61" t="n">
        <f aca="false">Resumo!$C$13</f>
        <v>13.55</v>
      </c>
      <c r="P1914" s="61" t="n">
        <f aca="false">Resumo!$C$14*CEILING(G1914,1)</f>
        <v>30.15</v>
      </c>
      <c r="Q1914" s="61" t="n">
        <f aca="false">SUM(I1914:P1914)*Resumo!$C$11</f>
        <v>0</v>
      </c>
      <c r="R1914" s="61" t="n">
        <f aca="false">SUM(I1914:Q1914)</f>
        <v>110.86598</v>
      </c>
      <c r="S1914" s="61" t="n">
        <f aca="false">R1914/(1-Resumo!$C$5)</f>
        <v>125.984068181818</v>
      </c>
      <c r="T1914" s="61" t="n">
        <v>131.02</v>
      </c>
      <c r="U1914" s="61" t="n">
        <f aca="false">H1914*Resumo!$B$6</f>
        <v>0.6919</v>
      </c>
      <c r="V1914" s="61" t="n">
        <f aca="false">H1914*Resumo!$B$7</f>
        <v>1.3838</v>
      </c>
      <c r="W1914" s="61" t="n">
        <f aca="false">Resumo!$B$9</f>
        <v>1</v>
      </c>
      <c r="X1914" s="61" t="n">
        <f aca="false">Resumo!$B$10*CEILING(G1914/100,1)</f>
        <v>4.5</v>
      </c>
      <c r="Y1914" s="61" t="n">
        <f aca="false">Resumo!$B$12*CEILING(G1914,1)</f>
        <v>4.02</v>
      </c>
      <c r="Z1914" s="61" t="n">
        <f aca="false">Resumo!$B$14*CEILING(G1914,1)</f>
        <v>30.15</v>
      </c>
      <c r="AA1914" s="61" t="n">
        <f aca="false">SUM(T1914:Z1914)</f>
        <v>172.7657</v>
      </c>
      <c r="AB1914" s="61" t="n">
        <f aca="false">AA1914/(1-Resumo!$B$5)</f>
        <v>196.324659090909</v>
      </c>
      <c r="AC1914" s="61" t="n">
        <f aca="false">AB1914-S1914</f>
        <v>70.3405909090909</v>
      </c>
      <c r="AD1914" s="62" t="n">
        <f aca="false">AB1914/S1914-1</f>
        <v>0.558329254835433</v>
      </c>
      <c r="AE1914" s="60" t="str">
        <f aca="false">IF(AB1914&lt;S1914,"SIM","NÃO")</f>
        <v>NÃO</v>
      </c>
      <c r="AF1914" s="60" t="n">
        <v>2</v>
      </c>
      <c r="AG1914" s="60" t="n">
        <v>5</v>
      </c>
      <c r="AH1914" s="60" t="s">
        <v>382</v>
      </c>
      <c r="AI1914" s="61" t="n">
        <f aca="false">(T1914*(1-Painel!$C$40)+U1914+V1914+Painel!$C$41+Painel!$C$42*CEILING(G1914/100,1)+Painel!$C$43*CEILING(G1914,1)+Z1914)/(1-Resumo!$B$5)</f>
        <v>138.703522727273</v>
      </c>
      <c r="AJ1914" s="60" t="str">
        <f aca="false">IF(AI1914&lt;S1914,"SIM","NÃO")</f>
        <v>NÃO</v>
      </c>
    </row>
    <row r="1915" customFormat="false" ht="15" hidden="false" customHeight="false" outlineLevel="0" collapsed="false">
      <c r="A1915" s="59" t="n">
        <v>46283.7637615741</v>
      </c>
      <c r="B1915" s="60" t="s">
        <v>2092</v>
      </c>
      <c r="C1915" s="60" t="n">
        <v>27323340</v>
      </c>
      <c r="D1915" s="60" t="s">
        <v>293</v>
      </c>
      <c r="E1915" s="60" t="s">
        <v>24</v>
      </c>
      <c r="F1915" s="60" t="s">
        <v>236</v>
      </c>
      <c r="G1915" s="60" t="n">
        <v>60</v>
      </c>
      <c r="H1915" s="61" t="n">
        <v>762.34</v>
      </c>
      <c r="I1915" s="61" t="n">
        <v>83.58</v>
      </c>
      <c r="J1915" s="61" t="n">
        <f aca="false">H1915*Resumo!$C$6</f>
        <v>0</v>
      </c>
      <c r="K1915" s="61" t="n">
        <f aca="false">H1915*Resumo!$C$7</f>
        <v>1.600914</v>
      </c>
      <c r="L1915" s="61" t="n">
        <f aca="false">H1915*Resumo!$C$8</f>
        <v>1.600914</v>
      </c>
      <c r="M1915" s="61" t="n">
        <f aca="false">Resumo!$C$10*CEILING(G1915/100,1)</f>
        <v>1.05</v>
      </c>
      <c r="N1915" s="61" t="n">
        <f aca="false">Resumo!$C$9</f>
        <v>0</v>
      </c>
      <c r="O1915" s="61" t="n">
        <f aca="false">Resumo!$C$13</f>
        <v>13.55</v>
      </c>
      <c r="P1915" s="61" t="n">
        <f aca="false">Resumo!$C$14*CEILING(G1915,1)</f>
        <v>27</v>
      </c>
      <c r="Q1915" s="61" t="n">
        <f aca="false">SUM(I1915:P1915)*Resumo!$C$11</f>
        <v>0</v>
      </c>
      <c r="R1915" s="61" t="n">
        <f aca="false">SUM(I1915:Q1915)</f>
        <v>128.381828</v>
      </c>
      <c r="S1915" s="61" t="n">
        <f aca="false">R1915/(1-Resumo!$C$5)</f>
        <v>145.888440909091</v>
      </c>
      <c r="T1915" s="61" t="n">
        <v>142.32</v>
      </c>
      <c r="U1915" s="61" t="n">
        <f aca="false">H1915*Resumo!$B$6</f>
        <v>0.76234</v>
      </c>
      <c r="V1915" s="61" t="n">
        <f aca="false">H1915*Resumo!$B$7</f>
        <v>1.52468</v>
      </c>
      <c r="W1915" s="61" t="n">
        <f aca="false">Resumo!$B$9</f>
        <v>1</v>
      </c>
      <c r="X1915" s="61" t="n">
        <f aca="false">Resumo!$B$10*CEILING(G1915/100,1)</f>
        <v>4.5</v>
      </c>
      <c r="Y1915" s="61" t="n">
        <f aca="false">Resumo!$B$12*CEILING(G1915,1)</f>
        <v>3.6</v>
      </c>
      <c r="Z1915" s="61" t="n">
        <f aca="false">Resumo!$B$14*CEILING(G1915,1)</f>
        <v>27</v>
      </c>
      <c r="AA1915" s="61" t="n">
        <f aca="false">SUM(T1915:Z1915)</f>
        <v>180.70702</v>
      </c>
      <c r="AB1915" s="61" t="n">
        <f aca="false">AA1915/(1-Resumo!$B$5)</f>
        <v>205.348886363636</v>
      </c>
      <c r="AC1915" s="61" t="n">
        <f aca="false">AB1915-S1915</f>
        <v>59.4604454545455</v>
      </c>
      <c r="AD1915" s="62" t="n">
        <f aca="false">AB1915/S1915-1</f>
        <v>0.407574754271298</v>
      </c>
      <c r="AE1915" s="60" t="str">
        <f aca="false">IF(AB1915&lt;S1915,"SIM","NÃO")</f>
        <v>NÃO</v>
      </c>
      <c r="AF1915" s="60" t="n">
        <v>13</v>
      </c>
      <c r="AG1915" s="60" t="n">
        <v>10</v>
      </c>
      <c r="AH1915" s="60" t="s">
        <v>385</v>
      </c>
      <c r="AI1915" s="61" t="n">
        <f aca="false">(T1915*(1-Painel!$C$40)+U1915+V1915+Painel!$C$41+Painel!$C$42*CEILING(G1915/100,1)+Painel!$C$43*CEILING(G1915,1)+Z1915)/(1-Resumo!$B$5)</f>
        <v>143.967522727273</v>
      </c>
      <c r="AJ1915" s="60" t="str">
        <f aca="false">IF(AI1915&lt;S1915,"SIM","NÃO")</f>
        <v>SIM</v>
      </c>
    </row>
    <row r="1916" customFormat="false" ht="15" hidden="false" customHeight="false" outlineLevel="0" collapsed="false">
      <c r="A1916" s="59" t="n">
        <v>46283.781724537</v>
      </c>
      <c r="B1916" s="60" t="s">
        <v>2093</v>
      </c>
      <c r="C1916" s="60" t="n">
        <v>21941598</v>
      </c>
      <c r="D1916" s="60" t="s">
        <v>46</v>
      </c>
      <c r="E1916" s="60" t="s">
        <v>22</v>
      </c>
      <c r="F1916" s="60" t="s">
        <v>233</v>
      </c>
      <c r="G1916" s="60" t="n">
        <v>27.5</v>
      </c>
      <c r="H1916" s="61" t="n">
        <v>332.86</v>
      </c>
      <c r="I1916" s="61" t="n">
        <v>42.11</v>
      </c>
      <c r="J1916" s="61" t="n">
        <f aca="false">H1916*Resumo!$C$6</f>
        <v>0</v>
      </c>
      <c r="K1916" s="61" t="n">
        <f aca="false">H1916*Resumo!$C$7</f>
        <v>0.699006</v>
      </c>
      <c r="L1916" s="61" t="n">
        <f aca="false">H1916*Resumo!$C$8</f>
        <v>0.699006</v>
      </c>
      <c r="M1916" s="61" t="n">
        <f aca="false">Resumo!$C$10*CEILING(G1916/100,1)</f>
        <v>1.05</v>
      </c>
      <c r="N1916" s="61" t="n">
        <f aca="false">Resumo!$C$9</f>
        <v>0</v>
      </c>
      <c r="O1916" s="61" t="n">
        <f aca="false">Resumo!$C$13</f>
        <v>13.55</v>
      </c>
      <c r="P1916" s="61" t="n">
        <f aca="false">Resumo!$C$14*CEILING(G1916,1)</f>
        <v>12.6</v>
      </c>
      <c r="Q1916" s="61" t="n">
        <f aca="false">SUM(I1916:P1916)*Resumo!$C$11</f>
        <v>0</v>
      </c>
      <c r="R1916" s="61" t="n">
        <f aca="false">SUM(I1916:Q1916)</f>
        <v>70.708012</v>
      </c>
      <c r="S1916" s="61" t="n">
        <f aca="false">R1916/(1-Resumo!$C$5)</f>
        <v>80.3500136363636</v>
      </c>
      <c r="T1916" s="61" t="n">
        <v>82.21</v>
      </c>
      <c r="U1916" s="61" t="n">
        <f aca="false">H1916*Resumo!$B$6</f>
        <v>0.33286</v>
      </c>
      <c r="V1916" s="61" t="n">
        <f aca="false">H1916*Resumo!$B$7</f>
        <v>0.66572</v>
      </c>
      <c r="W1916" s="61" t="n">
        <f aca="false">Resumo!$B$9</f>
        <v>1</v>
      </c>
      <c r="X1916" s="61" t="n">
        <f aca="false">Resumo!$B$10*CEILING(G1916/100,1)</f>
        <v>4.5</v>
      </c>
      <c r="Y1916" s="61" t="n">
        <f aca="false">Resumo!$B$12*CEILING(G1916,1)</f>
        <v>1.68</v>
      </c>
      <c r="Z1916" s="61" t="n">
        <f aca="false">Resumo!$B$14*CEILING(G1916,1)</f>
        <v>12.6</v>
      </c>
      <c r="AA1916" s="61" t="n">
        <f aca="false">SUM(T1916:Z1916)</f>
        <v>102.98858</v>
      </c>
      <c r="AB1916" s="61" t="n">
        <f aca="false">AA1916/(1-Resumo!$B$5)</f>
        <v>117.032477272727</v>
      </c>
      <c r="AC1916" s="61" t="n">
        <f aca="false">AB1916-S1916</f>
        <v>36.6824636363636</v>
      </c>
      <c r="AD1916" s="62" t="n">
        <f aca="false">AB1916/S1916-1</f>
        <v>0.456533384081</v>
      </c>
      <c r="AE1916" s="60" t="str">
        <f aca="false">IF(AB1916&lt;S1916,"SIM","NÃO")</f>
        <v>NÃO</v>
      </c>
      <c r="AF1916" s="60" t="n">
        <v>2</v>
      </c>
      <c r="AG1916" s="60" t="n">
        <v>5</v>
      </c>
      <c r="AH1916" s="60" t="s">
        <v>382</v>
      </c>
      <c r="AI1916" s="61" t="n">
        <f aca="false">(T1916*(1-Painel!$C$40)+U1916+V1916+Painel!$C$41+Painel!$C$42*CEILING(G1916/100,1)+Painel!$C$43*CEILING(G1916,1)+Z1916)/(1-Resumo!$B$5)</f>
        <v>80.3741818181818</v>
      </c>
      <c r="AJ1916" s="60" t="str">
        <f aca="false">IF(AI1916&lt;S1916,"SIM","NÃO")</f>
        <v>NÃO</v>
      </c>
    </row>
    <row r="1917" customFormat="false" ht="15" hidden="false" customHeight="false" outlineLevel="0" collapsed="false">
      <c r="A1917" s="59" t="n">
        <v>46283.8301388889</v>
      </c>
      <c r="B1917" s="60" t="s">
        <v>2094</v>
      </c>
      <c r="C1917" s="60" t="n">
        <v>26275580</v>
      </c>
      <c r="D1917" s="60" t="s">
        <v>49</v>
      </c>
      <c r="E1917" s="60" t="s">
        <v>23</v>
      </c>
      <c r="F1917" s="60" t="s">
        <v>236</v>
      </c>
      <c r="G1917" s="60" t="n">
        <v>52.3</v>
      </c>
      <c r="H1917" s="61" t="n">
        <v>620.49</v>
      </c>
      <c r="I1917" s="61" t="n">
        <v>70.98</v>
      </c>
      <c r="J1917" s="61" t="n">
        <f aca="false">H1917*Resumo!$C$6</f>
        <v>0</v>
      </c>
      <c r="K1917" s="61" t="n">
        <f aca="false">H1917*Resumo!$C$7</f>
        <v>1.303029</v>
      </c>
      <c r="L1917" s="61" t="n">
        <f aca="false">H1917*Resumo!$C$8</f>
        <v>1.303029</v>
      </c>
      <c r="M1917" s="61" t="n">
        <f aca="false">Resumo!$C$10*CEILING(G1917/100,1)</f>
        <v>1.05</v>
      </c>
      <c r="N1917" s="61" t="n">
        <f aca="false">Resumo!$C$9</f>
        <v>0</v>
      </c>
      <c r="O1917" s="61" t="n">
        <f aca="false">Resumo!$C$13</f>
        <v>13.55</v>
      </c>
      <c r="P1917" s="61" t="n">
        <f aca="false">Resumo!$C$14*CEILING(G1917,1)</f>
        <v>23.85</v>
      </c>
      <c r="Q1917" s="61" t="n">
        <f aca="false">SUM(I1917:P1917)*Resumo!$C$11</f>
        <v>0</v>
      </c>
      <c r="R1917" s="61" t="n">
        <f aca="false">SUM(I1917:Q1917)</f>
        <v>112.036058</v>
      </c>
      <c r="S1917" s="61" t="n">
        <f aca="false">R1917/(1-Resumo!$C$5)</f>
        <v>127.313702272727</v>
      </c>
      <c r="T1917" s="61" t="n">
        <v>112.3</v>
      </c>
      <c r="U1917" s="61" t="n">
        <f aca="false">H1917*Resumo!$B$6</f>
        <v>0.62049</v>
      </c>
      <c r="V1917" s="61" t="n">
        <f aca="false">H1917*Resumo!$B$7</f>
        <v>1.24098</v>
      </c>
      <c r="W1917" s="61" t="n">
        <f aca="false">Resumo!$B$9</f>
        <v>1</v>
      </c>
      <c r="X1917" s="61" t="n">
        <f aca="false">Resumo!$B$10*CEILING(G1917/100,1)</f>
        <v>4.5</v>
      </c>
      <c r="Y1917" s="61" t="n">
        <f aca="false">Resumo!$B$12*CEILING(G1917,1)</f>
        <v>3.18</v>
      </c>
      <c r="Z1917" s="61" t="n">
        <f aca="false">Resumo!$B$14*CEILING(G1917,1)</f>
        <v>23.85</v>
      </c>
      <c r="AA1917" s="61" t="n">
        <f aca="false">SUM(T1917:Z1917)</f>
        <v>146.69147</v>
      </c>
      <c r="AB1917" s="61" t="n">
        <f aca="false">AA1917/(1-Resumo!$B$5)</f>
        <v>166.694852272727</v>
      </c>
      <c r="AC1917" s="61" t="n">
        <f aca="false">AB1917-S1917</f>
        <v>39.38115</v>
      </c>
      <c r="AD1917" s="62" t="n">
        <f aca="false">AB1917/S1917-1</f>
        <v>0.309323735756572</v>
      </c>
      <c r="AE1917" s="60" t="str">
        <f aca="false">IF(AB1917&lt;S1917,"SIM","NÃO")</f>
        <v>NÃO</v>
      </c>
      <c r="AF1917" s="60" t="n">
        <v>2</v>
      </c>
      <c r="AG1917" s="60" t="n">
        <v>5</v>
      </c>
      <c r="AH1917" s="60" t="s">
        <v>382</v>
      </c>
      <c r="AI1917" s="61" t="n">
        <f aca="false">(T1917*(1-Painel!$C$40)+U1917+V1917+Painel!$C$41+Painel!$C$42*CEILING(G1917/100,1)+Painel!$C$43*CEILING(G1917,1)+Z1917)/(1-Resumo!$B$5)</f>
        <v>117.048261363636</v>
      </c>
      <c r="AJ1917" s="60" t="str">
        <f aca="false">IF(AI1917&lt;S1917,"SIM","NÃO")</f>
        <v>SIM</v>
      </c>
    </row>
    <row r="1918" customFormat="false" ht="15" hidden="false" customHeight="false" outlineLevel="0" collapsed="false">
      <c r="A1918" s="59" t="n">
        <v>46283.8767476852</v>
      </c>
      <c r="B1918" s="60" t="s">
        <v>2095</v>
      </c>
      <c r="C1918" s="60" t="n">
        <v>23914250</v>
      </c>
      <c r="D1918" s="60" t="s">
        <v>218</v>
      </c>
      <c r="E1918" s="60" t="s">
        <v>24</v>
      </c>
      <c r="F1918" s="60" t="s">
        <v>234</v>
      </c>
      <c r="G1918" s="60" t="n">
        <v>40</v>
      </c>
      <c r="H1918" s="61" t="n">
        <v>562.42</v>
      </c>
      <c r="I1918" s="61" t="n">
        <v>74.97</v>
      </c>
      <c r="J1918" s="61" t="n">
        <f aca="false">H1918*Resumo!$C$6</f>
        <v>0</v>
      </c>
      <c r="K1918" s="61" t="n">
        <f aca="false">H1918*Resumo!$C$7</f>
        <v>1.181082</v>
      </c>
      <c r="L1918" s="61" t="n">
        <f aca="false">H1918*Resumo!$C$8</f>
        <v>1.181082</v>
      </c>
      <c r="M1918" s="61" t="n">
        <f aca="false">Resumo!$C$10*CEILING(G1918/100,1)</f>
        <v>1.05</v>
      </c>
      <c r="N1918" s="61" t="n">
        <f aca="false">Resumo!$C$9</f>
        <v>0</v>
      </c>
      <c r="O1918" s="61" t="n">
        <f aca="false">Resumo!$C$13</f>
        <v>13.55</v>
      </c>
      <c r="P1918" s="61" t="n">
        <f aca="false">Resumo!$C$14*CEILING(G1918,1)</f>
        <v>18</v>
      </c>
      <c r="Q1918" s="61" t="n">
        <f aca="false">SUM(I1918:P1918)*Resumo!$C$11</f>
        <v>0</v>
      </c>
      <c r="R1918" s="61" t="n">
        <f aca="false">SUM(I1918:Q1918)</f>
        <v>109.932164</v>
      </c>
      <c r="S1918" s="61" t="n">
        <f aca="false">R1918/(1-Resumo!$C$5)</f>
        <v>124.922913636364</v>
      </c>
      <c r="T1918" s="61" t="n">
        <v>124.38</v>
      </c>
      <c r="U1918" s="61" t="n">
        <f aca="false">H1918*Resumo!$B$6</f>
        <v>0.56242</v>
      </c>
      <c r="V1918" s="61" t="n">
        <f aca="false">H1918*Resumo!$B$7</f>
        <v>1.12484</v>
      </c>
      <c r="W1918" s="61" t="n">
        <f aca="false">Resumo!$B$9</f>
        <v>1</v>
      </c>
      <c r="X1918" s="61" t="n">
        <f aca="false">Resumo!$B$10*CEILING(G1918/100,1)</f>
        <v>4.5</v>
      </c>
      <c r="Y1918" s="61" t="n">
        <f aca="false">Resumo!$B$12*CEILING(G1918,1)</f>
        <v>2.4</v>
      </c>
      <c r="Z1918" s="61" t="n">
        <f aca="false">Resumo!$B$14*CEILING(G1918,1)</f>
        <v>18</v>
      </c>
      <c r="AA1918" s="61" t="n">
        <f aca="false">SUM(T1918:Z1918)</f>
        <v>151.96726</v>
      </c>
      <c r="AB1918" s="61" t="n">
        <f aca="false">AA1918/(1-Resumo!$B$5)</f>
        <v>172.690068181818</v>
      </c>
      <c r="AC1918" s="61" t="n">
        <f aca="false">AB1918-S1918</f>
        <v>47.7671545454545</v>
      </c>
      <c r="AD1918" s="62" t="n">
        <f aca="false">AB1918/S1918-1</f>
        <v>0.382373042342731</v>
      </c>
      <c r="AE1918" s="60" t="str">
        <f aca="false">IF(AB1918&lt;S1918,"SIM","NÃO")</f>
        <v>NÃO</v>
      </c>
      <c r="AF1918" s="60" t="n">
        <v>13</v>
      </c>
      <c r="AG1918" s="60" t="n">
        <v>10</v>
      </c>
      <c r="AH1918" s="60" t="s">
        <v>382</v>
      </c>
      <c r="AI1918" s="61" t="n">
        <f aca="false">(T1918*(1-Painel!$C$40)+U1918+V1918+Painel!$C$41+Painel!$C$42*CEILING(G1918/100,1)+Painel!$C$43*CEILING(G1918,1)+Z1918)/(1-Resumo!$B$5)</f>
        <v>119.399840909091</v>
      </c>
      <c r="AJ1918" s="60" t="str">
        <f aca="false">IF(AI1918&lt;S1918,"SIM","NÃO")</f>
        <v>SIM</v>
      </c>
    </row>
    <row r="1919" customFormat="false" ht="15" hidden="false" customHeight="false" outlineLevel="0" collapsed="false">
      <c r="A1919" s="59" t="n">
        <v>46283.8917824074</v>
      </c>
      <c r="B1919" s="60" t="s">
        <v>763</v>
      </c>
      <c r="C1919" s="60" t="n">
        <v>22031112</v>
      </c>
      <c r="D1919" s="60" t="s">
        <v>46</v>
      </c>
      <c r="E1919" s="60" t="s">
        <v>22</v>
      </c>
      <c r="F1919" s="60" t="s">
        <v>236</v>
      </c>
      <c r="G1919" s="60" t="n">
        <v>52.3</v>
      </c>
      <c r="H1919" s="61" t="n">
        <v>614.63</v>
      </c>
      <c r="I1919" s="61" t="n">
        <v>58.6</v>
      </c>
      <c r="J1919" s="61" t="n">
        <f aca="false">H1919*Resumo!$C$6</f>
        <v>0</v>
      </c>
      <c r="K1919" s="61" t="n">
        <f aca="false">H1919*Resumo!$C$7</f>
        <v>1.290723</v>
      </c>
      <c r="L1919" s="61" t="n">
        <f aca="false">H1919*Resumo!$C$8</f>
        <v>1.290723</v>
      </c>
      <c r="M1919" s="61" t="n">
        <f aca="false">Resumo!$C$10*CEILING(G1919/100,1)</f>
        <v>1.05</v>
      </c>
      <c r="N1919" s="61" t="n">
        <f aca="false">Resumo!$C$9</f>
        <v>0</v>
      </c>
      <c r="O1919" s="61" t="n">
        <f aca="false">Resumo!$C$13</f>
        <v>13.55</v>
      </c>
      <c r="P1919" s="61" t="n">
        <f aca="false">Resumo!$C$14*CEILING(G1919,1)</f>
        <v>23.85</v>
      </c>
      <c r="Q1919" s="61" t="n">
        <f aca="false">SUM(I1919:P1919)*Resumo!$C$11</f>
        <v>0</v>
      </c>
      <c r="R1919" s="61" t="n">
        <f aca="false">SUM(I1919:Q1919)</f>
        <v>99.631446</v>
      </c>
      <c r="S1919" s="61" t="n">
        <f aca="false">R1919/(1-Resumo!$C$5)</f>
        <v>113.217552272727</v>
      </c>
      <c r="T1919" s="61" t="n">
        <v>112.3</v>
      </c>
      <c r="U1919" s="61" t="n">
        <f aca="false">H1919*Resumo!$B$6</f>
        <v>0.61463</v>
      </c>
      <c r="V1919" s="61" t="n">
        <f aca="false">H1919*Resumo!$B$7</f>
        <v>1.22926</v>
      </c>
      <c r="W1919" s="61" t="n">
        <f aca="false">Resumo!$B$9</f>
        <v>1</v>
      </c>
      <c r="X1919" s="61" t="n">
        <f aca="false">Resumo!$B$10*CEILING(G1919/100,1)</f>
        <v>4.5</v>
      </c>
      <c r="Y1919" s="61" t="n">
        <f aca="false">Resumo!$B$12*CEILING(G1919,1)</f>
        <v>3.18</v>
      </c>
      <c r="Z1919" s="61" t="n">
        <f aca="false">Resumo!$B$14*CEILING(G1919,1)</f>
        <v>23.85</v>
      </c>
      <c r="AA1919" s="61" t="n">
        <f aca="false">SUM(T1919:Z1919)</f>
        <v>146.67389</v>
      </c>
      <c r="AB1919" s="61" t="n">
        <f aca="false">AA1919/(1-Resumo!$B$5)</f>
        <v>166.674875</v>
      </c>
      <c r="AC1919" s="61" t="n">
        <f aca="false">AB1919-S1919</f>
        <v>53.4573227272727</v>
      </c>
      <c r="AD1919" s="62" t="n">
        <f aca="false">AB1919/S1919-1</f>
        <v>0.472164621599489</v>
      </c>
      <c r="AE1919" s="60" t="str">
        <f aca="false">IF(AB1919&lt;S1919,"SIM","NÃO")</f>
        <v>NÃO</v>
      </c>
      <c r="AF1919" s="60" t="n">
        <v>2</v>
      </c>
      <c r="AG1919" s="60" t="n">
        <v>5</v>
      </c>
      <c r="AH1919" s="60" t="s">
        <v>382</v>
      </c>
      <c r="AI1919" s="61" t="n">
        <f aca="false">(T1919*(1-Painel!$C$40)+U1919+V1919+Painel!$C$41+Painel!$C$42*CEILING(G1919/100,1)+Painel!$C$43*CEILING(G1919,1)+Z1919)/(1-Resumo!$B$5)</f>
        <v>117.028284090909</v>
      </c>
      <c r="AJ1919" s="60" t="str">
        <f aca="false">IF(AI1919&lt;S1919,"SIM","NÃO")</f>
        <v>NÃO</v>
      </c>
    </row>
    <row r="1920" customFormat="false" ht="15" hidden="false" customHeight="false" outlineLevel="0" collapsed="false">
      <c r="A1920" s="59" t="n">
        <v>46283.906087963</v>
      </c>
      <c r="B1920" s="60" t="s">
        <v>2096</v>
      </c>
      <c r="C1920" s="60" t="n">
        <v>22610095</v>
      </c>
      <c r="D1920" s="60" t="s">
        <v>46</v>
      </c>
      <c r="E1920" s="60" t="s">
        <v>22</v>
      </c>
      <c r="F1920" s="60" t="s">
        <v>233</v>
      </c>
      <c r="G1920" s="60" t="n">
        <v>21.75</v>
      </c>
      <c r="H1920" s="61" t="n">
        <v>329.99</v>
      </c>
      <c r="I1920" s="61" t="n">
        <v>42.11</v>
      </c>
      <c r="J1920" s="61" t="n">
        <f aca="false">H1920*Resumo!$C$6</f>
        <v>0</v>
      </c>
      <c r="K1920" s="61" t="n">
        <f aca="false">H1920*Resumo!$C$7</f>
        <v>0.692979</v>
      </c>
      <c r="L1920" s="61" t="n">
        <f aca="false">H1920*Resumo!$C$8</f>
        <v>0.692979</v>
      </c>
      <c r="M1920" s="61" t="n">
        <f aca="false">Resumo!$C$10*CEILING(G1920/100,1)</f>
        <v>1.05</v>
      </c>
      <c r="N1920" s="61" t="n">
        <f aca="false">Resumo!$C$9</f>
        <v>0</v>
      </c>
      <c r="O1920" s="61" t="n">
        <f aca="false">Resumo!$C$13</f>
        <v>13.55</v>
      </c>
      <c r="P1920" s="61" t="n">
        <f aca="false">Resumo!$C$14*CEILING(G1920,1)</f>
        <v>9.9</v>
      </c>
      <c r="Q1920" s="61" t="n">
        <f aca="false">SUM(I1920:P1920)*Resumo!$C$11</f>
        <v>0</v>
      </c>
      <c r="R1920" s="61" t="n">
        <f aca="false">SUM(I1920:Q1920)</f>
        <v>67.995958</v>
      </c>
      <c r="S1920" s="61" t="n">
        <f aca="false">R1920/(1-Resumo!$C$5)</f>
        <v>77.2681340909091</v>
      </c>
      <c r="T1920" s="61" t="n">
        <v>82.21</v>
      </c>
      <c r="U1920" s="61" t="n">
        <f aca="false">H1920*Resumo!$B$6</f>
        <v>0.32999</v>
      </c>
      <c r="V1920" s="61" t="n">
        <f aca="false">H1920*Resumo!$B$7</f>
        <v>0.65998</v>
      </c>
      <c r="W1920" s="61" t="n">
        <f aca="false">Resumo!$B$9</f>
        <v>1</v>
      </c>
      <c r="X1920" s="61" t="n">
        <f aca="false">Resumo!$B$10*CEILING(G1920/100,1)</f>
        <v>4.5</v>
      </c>
      <c r="Y1920" s="61" t="n">
        <f aca="false">Resumo!$B$12*CEILING(G1920,1)</f>
        <v>1.32</v>
      </c>
      <c r="Z1920" s="61" t="n">
        <f aca="false">Resumo!$B$14*CEILING(G1920,1)</f>
        <v>9.9</v>
      </c>
      <c r="AA1920" s="61" t="n">
        <f aca="false">SUM(T1920:Z1920)</f>
        <v>99.91997</v>
      </c>
      <c r="AB1920" s="61" t="n">
        <f aca="false">AA1920/(1-Resumo!$B$5)</f>
        <v>113.545420454545</v>
      </c>
      <c r="AC1920" s="61" t="n">
        <f aca="false">AB1920-S1920</f>
        <v>36.2772863636364</v>
      </c>
      <c r="AD1920" s="62" t="n">
        <f aca="false">AB1920/S1920-1</f>
        <v>0.469498672259313</v>
      </c>
      <c r="AE1920" s="60" t="str">
        <f aca="false">IF(AB1920&lt;S1920,"SIM","NÃO")</f>
        <v>NÃO</v>
      </c>
      <c r="AF1920" s="60" t="n">
        <v>2</v>
      </c>
      <c r="AG1920" s="60" t="n">
        <v>5</v>
      </c>
      <c r="AH1920" s="60" t="s">
        <v>382</v>
      </c>
      <c r="AI1920" s="61" t="n">
        <f aca="false">(T1920*(1-Painel!$C$40)+U1920+V1920+Painel!$C$41+Painel!$C$42*CEILING(G1920/100,1)+Painel!$C$43*CEILING(G1920,1)+Z1920)/(1-Resumo!$B$5)</f>
        <v>77.2962159090909</v>
      </c>
      <c r="AJ1920" s="60" t="str">
        <f aca="false">IF(AI1920&lt;S1920,"SIM","NÃO")</f>
        <v>NÃO</v>
      </c>
    </row>
    <row r="1921" customFormat="false" ht="15" hidden="false" customHeight="false" outlineLevel="0" collapsed="false">
      <c r="A1921" s="59" t="n">
        <v>46283.9089930556</v>
      </c>
      <c r="B1921" s="60" t="s">
        <v>2097</v>
      </c>
      <c r="C1921" s="60" t="n">
        <v>26585400</v>
      </c>
      <c r="D1921" s="60" t="s">
        <v>224</v>
      </c>
      <c r="E1921" s="60" t="s">
        <v>23</v>
      </c>
      <c r="F1921" s="60" t="s">
        <v>235</v>
      </c>
      <c r="G1921" s="60" t="n">
        <v>48</v>
      </c>
      <c r="H1921" s="61" t="n">
        <v>828.99</v>
      </c>
      <c r="I1921" s="61" t="n">
        <v>65.36</v>
      </c>
      <c r="J1921" s="61" t="n">
        <f aca="false">H1921*Resumo!$C$6</f>
        <v>0</v>
      </c>
      <c r="K1921" s="61" t="n">
        <f aca="false">H1921*Resumo!$C$7</f>
        <v>1.740879</v>
      </c>
      <c r="L1921" s="61" t="n">
        <f aca="false">H1921*Resumo!$C$8</f>
        <v>1.740879</v>
      </c>
      <c r="M1921" s="61" t="n">
        <f aca="false">Resumo!$C$10*CEILING(G1921/100,1)</f>
        <v>1.05</v>
      </c>
      <c r="N1921" s="61" t="n">
        <f aca="false">Resumo!$C$9</f>
        <v>0</v>
      </c>
      <c r="O1921" s="61" t="n">
        <f aca="false">Resumo!$C$13</f>
        <v>13.55</v>
      </c>
      <c r="P1921" s="61" t="n">
        <f aca="false">Resumo!$C$14*CEILING(G1921,1)</f>
        <v>21.6</v>
      </c>
      <c r="Q1921" s="61" t="n">
        <f aca="false">SUM(I1921:P1921)*Resumo!$C$11</f>
        <v>0</v>
      </c>
      <c r="R1921" s="61" t="n">
        <f aca="false">SUM(I1921:Q1921)</f>
        <v>105.041758</v>
      </c>
      <c r="S1921" s="61" t="n">
        <f aca="false">R1921/(1-Resumo!$C$5)</f>
        <v>119.365634090909</v>
      </c>
      <c r="T1921" s="61" t="n">
        <v>93.97</v>
      </c>
      <c r="U1921" s="61" t="n">
        <f aca="false">H1921*Resumo!$B$6</f>
        <v>0.82899</v>
      </c>
      <c r="V1921" s="61" t="n">
        <f aca="false">H1921*Resumo!$B$7</f>
        <v>1.65798</v>
      </c>
      <c r="W1921" s="61" t="n">
        <f aca="false">Resumo!$B$9</f>
        <v>1</v>
      </c>
      <c r="X1921" s="61" t="n">
        <f aca="false">Resumo!$B$10*CEILING(G1921/100,1)</f>
        <v>4.5</v>
      </c>
      <c r="Y1921" s="61" t="n">
        <f aca="false">Resumo!$B$12*CEILING(G1921,1)</f>
        <v>2.88</v>
      </c>
      <c r="Z1921" s="61" t="n">
        <f aca="false">Resumo!$B$14*CEILING(G1921,1)</f>
        <v>21.6</v>
      </c>
      <c r="AA1921" s="61" t="n">
        <f aca="false">SUM(T1921:Z1921)</f>
        <v>126.43697</v>
      </c>
      <c r="AB1921" s="61" t="n">
        <f aca="false">AA1921/(1-Resumo!$B$5)</f>
        <v>143.678375</v>
      </c>
      <c r="AC1921" s="61" t="n">
        <f aca="false">AB1921-S1921</f>
        <v>24.3127409090909</v>
      </c>
      <c r="AD1921" s="62" t="n">
        <f aca="false">AB1921/S1921-1</f>
        <v>0.203682920082126</v>
      </c>
      <c r="AE1921" s="60" t="str">
        <f aca="false">IF(AB1921&lt;S1921,"SIM","NÃO")</f>
        <v>NÃO</v>
      </c>
      <c r="AF1921" s="60" t="n">
        <v>2</v>
      </c>
      <c r="AG1921" s="60" t="n">
        <v>5</v>
      </c>
      <c r="AH1921" s="60" t="s">
        <v>382</v>
      </c>
      <c r="AI1921" s="61" t="n">
        <f aca="false">(T1921*(1-Painel!$C$40)+U1921+V1921+Painel!$C$41+Painel!$C$42*CEILING(G1921/100,1)+Painel!$C$43*CEILING(G1921,1)+Z1921)/(1-Resumo!$B$5)</f>
        <v>101.246443181818</v>
      </c>
      <c r="AJ1921" s="60" t="str">
        <f aca="false">IF(AI1921&lt;S1921,"SIM","NÃO")</f>
        <v>SIM</v>
      </c>
    </row>
    <row r="1922" customFormat="false" ht="15" hidden="false" customHeight="false" outlineLevel="0" collapsed="false">
      <c r="A1922" s="59" t="n">
        <v>46283.917974537</v>
      </c>
      <c r="B1922" s="60" t="s">
        <v>2098</v>
      </c>
      <c r="C1922" s="60" t="n">
        <v>24475290</v>
      </c>
      <c r="D1922" s="60" t="s">
        <v>47</v>
      </c>
      <c r="E1922" s="60" t="s">
        <v>23</v>
      </c>
      <c r="F1922" s="60" t="s">
        <v>234</v>
      </c>
      <c r="G1922" s="60" t="n">
        <v>37.2</v>
      </c>
      <c r="H1922" s="61" t="n">
        <v>399.99</v>
      </c>
      <c r="I1922" s="61" t="n">
        <v>66.83</v>
      </c>
      <c r="J1922" s="61" t="n">
        <f aca="false">H1922*Resumo!$C$6</f>
        <v>0</v>
      </c>
      <c r="K1922" s="61" t="n">
        <f aca="false">H1922*Resumo!$C$7</f>
        <v>0.839979</v>
      </c>
      <c r="L1922" s="61" t="n">
        <f aca="false">H1922*Resumo!$C$8</f>
        <v>0.839979</v>
      </c>
      <c r="M1922" s="61" t="n">
        <f aca="false">Resumo!$C$10*CEILING(G1922/100,1)</f>
        <v>1.05</v>
      </c>
      <c r="N1922" s="61" t="n">
        <f aca="false">Resumo!$C$9</f>
        <v>0</v>
      </c>
      <c r="O1922" s="61" t="n">
        <f aca="false">Resumo!$C$13</f>
        <v>13.55</v>
      </c>
      <c r="P1922" s="61" t="n">
        <f aca="false">Resumo!$C$14*CEILING(G1922,1)</f>
        <v>17.1</v>
      </c>
      <c r="Q1922" s="61" t="n">
        <f aca="false">SUM(I1922:P1922)*Resumo!$C$11</f>
        <v>0</v>
      </c>
      <c r="R1922" s="61" t="n">
        <f aca="false">SUM(I1922:Q1922)</f>
        <v>100.209958</v>
      </c>
      <c r="S1922" s="61" t="n">
        <f aca="false">R1922/(1-Resumo!$C$5)</f>
        <v>113.874952272727</v>
      </c>
      <c r="T1922" s="61" t="n">
        <v>114.95</v>
      </c>
      <c r="U1922" s="61" t="n">
        <f aca="false">H1922*Resumo!$B$6</f>
        <v>0.39999</v>
      </c>
      <c r="V1922" s="61" t="n">
        <f aca="false">H1922*Resumo!$B$7</f>
        <v>0.79998</v>
      </c>
      <c r="W1922" s="61" t="n">
        <f aca="false">Resumo!$B$9</f>
        <v>1</v>
      </c>
      <c r="X1922" s="61" t="n">
        <f aca="false">Resumo!$B$10*CEILING(G1922/100,1)</f>
        <v>4.5</v>
      </c>
      <c r="Y1922" s="61" t="n">
        <f aca="false">Resumo!$B$12*CEILING(G1922,1)</f>
        <v>2.28</v>
      </c>
      <c r="Z1922" s="61" t="n">
        <f aca="false">Resumo!$B$14*CEILING(G1922,1)</f>
        <v>17.1</v>
      </c>
      <c r="AA1922" s="61" t="n">
        <f aca="false">SUM(T1922:Z1922)</f>
        <v>141.02997</v>
      </c>
      <c r="AB1922" s="61" t="n">
        <f aca="false">AA1922/(1-Resumo!$B$5)</f>
        <v>160.261329545455</v>
      </c>
      <c r="AC1922" s="61" t="n">
        <f aca="false">AB1922-S1922</f>
        <v>46.3863772727273</v>
      </c>
      <c r="AD1922" s="62" t="n">
        <f aca="false">AB1922/S1922-1</f>
        <v>0.407344866864429</v>
      </c>
      <c r="AE1922" s="60" t="str">
        <f aca="false">IF(AB1922&lt;S1922,"SIM","NÃO")</f>
        <v>NÃO</v>
      </c>
      <c r="AF1922" s="60" t="n">
        <v>2</v>
      </c>
      <c r="AG1922" s="60" t="n">
        <v>7</v>
      </c>
      <c r="AH1922" s="60" t="s">
        <v>382</v>
      </c>
      <c r="AI1922" s="61" t="n">
        <f aca="false">(T1922*(1-Painel!$C$40)+U1922+V1922+Painel!$C$41+Painel!$C$42*CEILING(G1922/100,1)+Painel!$C$43*CEILING(G1922,1)+Z1922)/(1-Resumo!$B$5)</f>
        <v>110.643715909091</v>
      </c>
      <c r="AJ1922" s="60" t="str">
        <f aca="false">IF(AI1922&lt;S1922,"SIM","NÃO")</f>
        <v>SIM</v>
      </c>
    </row>
    <row r="1923" customFormat="false" ht="15" hidden="false" customHeight="false" outlineLevel="0" collapsed="false">
      <c r="A1923" s="59" t="n">
        <v>46284.3352662037</v>
      </c>
      <c r="B1923" s="60" t="s">
        <v>1585</v>
      </c>
      <c r="C1923" s="60" t="n">
        <v>21770190</v>
      </c>
      <c r="D1923" s="60" t="s">
        <v>46</v>
      </c>
      <c r="E1923" s="60" t="s">
        <v>22</v>
      </c>
      <c r="F1923" s="60" t="s">
        <v>241</v>
      </c>
      <c r="G1923" s="60" t="n">
        <v>124.2</v>
      </c>
      <c r="H1923" s="61" t="n">
        <v>1475</v>
      </c>
      <c r="I1923" s="61" t="n">
        <v>120.59</v>
      </c>
      <c r="J1923" s="61" t="n">
        <f aca="false">H1923*Resumo!$C$6</f>
        <v>0</v>
      </c>
      <c r="K1923" s="61" t="n">
        <f aca="false">H1923*Resumo!$C$7</f>
        <v>3.0975</v>
      </c>
      <c r="L1923" s="61" t="n">
        <f aca="false">H1923*Resumo!$C$8</f>
        <v>3.0975</v>
      </c>
      <c r="M1923" s="61" t="n">
        <f aca="false">Resumo!$C$10*CEILING(G1923/100,1)</f>
        <v>2.1</v>
      </c>
      <c r="N1923" s="61" t="n">
        <f aca="false">Resumo!$C$9</f>
        <v>0</v>
      </c>
      <c r="O1923" s="61" t="n">
        <f aca="false">Resumo!$C$13</f>
        <v>13.55</v>
      </c>
      <c r="P1923" s="61" t="n">
        <f aca="false">Resumo!$C$14*CEILING(G1923,1)</f>
        <v>56.25</v>
      </c>
      <c r="Q1923" s="61" t="n">
        <f aca="false">SUM(I1923:P1923)*Resumo!$C$11</f>
        <v>0</v>
      </c>
      <c r="R1923" s="61" t="n">
        <f aca="false">SUM(I1923:Q1923)</f>
        <v>198.685</v>
      </c>
      <c r="S1923" s="61" t="n">
        <f aca="false">R1923/(1-Resumo!$C$5)</f>
        <v>225.778409090909</v>
      </c>
      <c r="T1923" s="61" t="n">
        <v>239.25</v>
      </c>
      <c r="U1923" s="61" t="n">
        <f aca="false">H1923*Resumo!$B$6</f>
        <v>1.475</v>
      </c>
      <c r="V1923" s="61" t="n">
        <f aca="false">H1923*Resumo!$B$7</f>
        <v>2.95</v>
      </c>
      <c r="W1923" s="61" t="n">
        <f aca="false">Resumo!$B$9</f>
        <v>1</v>
      </c>
      <c r="X1923" s="61" t="n">
        <f aca="false">Resumo!$B$10*CEILING(G1923/100,1)</f>
        <v>9</v>
      </c>
      <c r="Y1923" s="61" t="n">
        <f aca="false">Resumo!$B$12*CEILING(G1923,1)</f>
        <v>7.5</v>
      </c>
      <c r="Z1923" s="61" t="n">
        <f aca="false">Resumo!$B$14*CEILING(G1923,1)</f>
        <v>56.25</v>
      </c>
      <c r="AA1923" s="61" t="n">
        <f aca="false">SUM(T1923:Z1923)</f>
        <v>317.425</v>
      </c>
      <c r="AB1923" s="61" t="n">
        <f aca="false">AA1923/(1-Resumo!$B$5)</f>
        <v>360.710227272727</v>
      </c>
      <c r="AC1923" s="61" t="n">
        <f aca="false">AB1923-S1923</f>
        <v>134.931818181818</v>
      </c>
      <c r="AD1923" s="62" t="n">
        <f aca="false">AB1923/S1923-1</f>
        <v>0.59762941339306</v>
      </c>
      <c r="AE1923" s="60" t="str">
        <f aca="false">IF(AB1923&lt;S1923,"SIM","NÃO")</f>
        <v>NÃO</v>
      </c>
      <c r="AF1923" s="60" t="n">
        <v>2</v>
      </c>
      <c r="AG1923" s="60" t="n">
        <v>5</v>
      </c>
      <c r="AH1923" s="60" t="s">
        <v>382</v>
      </c>
      <c r="AI1923" s="61" t="n">
        <f aca="false">(T1923*(1-Painel!$C$40)+U1923+V1923+Painel!$C$41+Painel!$C$42*CEILING(G1923/100,1)+Painel!$C$43*CEILING(G1923,1)+Z1923)/(1-Resumo!$B$5)</f>
        <v>254.627840909091</v>
      </c>
      <c r="AJ1923" s="60" t="str">
        <f aca="false">IF(AI1923&lt;S1923,"SIM","NÃO")</f>
        <v>NÃO</v>
      </c>
    </row>
    <row r="1924" customFormat="false" ht="15" hidden="false" customHeight="false" outlineLevel="0" collapsed="false">
      <c r="A1924" s="59" t="n">
        <v>46284.4299652778</v>
      </c>
      <c r="B1924" s="60" t="s">
        <v>2099</v>
      </c>
      <c r="C1924" s="60" t="n">
        <v>22793084</v>
      </c>
      <c r="D1924" s="60" t="s">
        <v>46</v>
      </c>
      <c r="E1924" s="60" t="s">
        <v>22</v>
      </c>
      <c r="F1924" s="60" t="s">
        <v>238</v>
      </c>
      <c r="G1924" s="60" t="n">
        <v>78.7</v>
      </c>
      <c r="H1924" s="61" t="n">
        <v>1541</v>
      </c>
      <c r="I1924" s="61" t="n">
        <v>68.88</v>
      </c>
      <c r="J1924" s="61" t="n">
        <f aca="false">H1924*Resumo!$C$6</f>
        <v>0</v>
      </c>
      <c r="K1924" s="61" t="n">
        <f aca="false">H1924*Resumo!$C$7</f>
        <v>3.2361</v>
      </c>
      <c r="L1924" s="61" t="n">
        <f aca="false">H1924*Resumo!$C$8</f>
        <v>3.2361</v>
      </c>
      <c r="M1924" s="61" t="n">
        <f aca="false">Resumo!$C$10*CEILING(G1924/100,1)</f>
        <v>1.05</v>
      </c>
      <c r="N1924" s="61" t="n">
        <f aca="false">Resumo!$C$9</f>
        <v>0</v>
      </c>
      <c r="O1924" s="61" t="n">
        <f aca="false">Resumo!$C$13</f>
        <v>13.55</v>
      </c>
      <c r="P1924" s="61" t="n">
        <f aca="false">Resumo!$C$14*CEILING(G1924,1)</f>
        <v>35.55</v>
      </c>
      <c r="Q1924" s="61" t="n">
        <f aca="false">SUM(I1924:P1924)*Resumo!$C$11</f>
        <v>0</v>
      </c>
      <c r="R1924" s="61" t="n">
        <f aca="false">SUM(I1924:Q1924)</f>
        <v>125.5022</v>
      </c>
      <c r="S1924" s="61" t="n">
        <f aca="false">R1924/(1-Resumo!$C$5)</f>
        <v>142.616136363636</v>
      </c>
      <c r="T1924" s="61" t="n">
        <v>134.39</v>
      </c>
      <c r="U1924" s="61" t="n">
        <f aca="false">H1924*Resumo!$B$6</f>
        <v>1.541</v>
      </c>
      <c r="V1924" s="61" t="n">
        <f aca="false">H1924*Resumo!$B$7</f>
        <v>3.082</v>
      </c>
      <c r="W1924" s="61" t="n">
        <f aca="false">Resumo!$B$9</f>
        <v>1</v>
      </c>
      <c r="X1924" s="61" t="n">
        <f aca="false">Resumo!$B$10*CEILING(G1924/100,1)</f>
        <v>4.5</v>
      </c>
      <c r="Y1924" s="61" t="n">
        <f aca="false">Resumo!$B$12*CEILING(G1924,1)</f>
        <v>4.74</v>
      </c>
      <c r="Z1924" s="61" t="n">
        <f aca="false">Resumo!$B$14*CEILING(G1924,1)</f>
        <v>35.55</v>
      </c>
      <c r="AA1924" s="61" t="n">
        <f aca="false">SUM(T1924:Z1924)</f>
        <v>184.803</v>
      </c>
      <c r="AB1924" s="61" t="n">
        <f aca="false">AA1924/(1-Resumo!$B$5)</f>
        <v>210.003409090909</v>
      </c>
      <c r="AC1924" s="61" t="n">
        <f aca="false">AB1924-S1924</f>
        <v>67.3872727272727</v>
      </c>
      <c r="AD1924" s="62" t="n">
        <f aca="false">AB1924/S1924-1</f>
        <v>0.472508051651684</v>
      </c>
      <c r="AE1924" s="60" t="str">
        <f aca="false">IF(AB1924&lt;S1924,"SIM","NÃO")</f>
        <v>NÃO</v>
      </c>
      <c r="AF1924" s="60" t="n">
        <v>2</v>
      </c>
      <c r="AG1924" s="60" t="n">
        <v>5</v>
      </c>
      <c r="AH1924" s="60" t="s">
        <v>382</v>
      </c>
      <c r="AI1924" s="61" t="n">
        <f aca="false">(T1924*(1-Painel!$C$40)+U1924+V1924+Painel!$C$41+Painel!$C$42*CEILING(G1924/100,1)+Painel!$C$43*CEILING(G1924,1)+Z1924)/(1-Resumo!$B$5)</f>
        <v>150.300340909091</v>
      </c>
      <c r="AJ1924" s="60" t="str">
        <f aca="false">IF(AI1924&lt;S1924,"SIM","NÃO")</f>
        <v>NÃO</v>
      </c>
    </row>
    <row r="1925" customFormat="false" ht="15" hidden="false" customHeight="false" outlineLevel="0" collapsed="false">
      <c r="A1925" s="59" t="n">
        <v>46284.4979282407</v>
      </c>
      <c r="B1925" s="60" t="s">
        <v>2100</v>
      </c>
      <c r="C1925" s="60" t="n">
        <v>24930628</v>
      </c>
      <c r="D1925" s="60" t="s">
        <v>220</v>
      </c>
      <c r="E1925" s="60" t="s">
        <v>24</v>
      </c>
      <c r="F1925" s="60" t="s">
        <v>234</v>
      </c>
      <c r="G1925" s="60" t="n">
        <v>37.6</v>
      </c>
      <c r="H1925" s="61" t="n">
        <v>378.18</v>
      </c>
      <c r="I1925" s="61" t="n">
        <v>74.97</v>
      </c>
      <c r="J1925" s="61" t="n">
        <f aca="false">H1925*Resumo!$C$6</f>
        <v>0</v>
      </c>
      <c r="K1925" s="61" t="n">
        <f aca="false">H1925*Resumo!$C$7</f>
        <v>0.794178</v>
      </c>
      <c r="L1925" s="61" t="n">
        <f aca="false">H1925*Resumo!$C$8</f>
        <v>0.794178</v>
      </c>
      <c r="M1925" s="61" t="n">
        <f aca="false">Resumo!$C$10*CEILING(G1925/100,1)</f>
        <v>1.05</v>
      </c>
      <c r="N1925" s="61" t="n">
        <f aca="false">Resumo!$C$9</f>
        <v>0</v>
      </c>
      <c r="O1925" s="61" t="n">
        <f aca="false">Resumo!$C$13</f>
        <v>13.55</v>
      </c>
      <c r="P1925" s="61" t="n">
        <f aca="false">Resumo!$C$14*CEILING(G1925,1)</f>
        <v>17.1</v>
      </c>
      <c r="Q1925" s="61" t="n">
        <f aca="false">SUM(I1925:P1925)*Resumo!$C$11</f>
        <v>0</v>
      </c>
      <c r="R1925" s="61" t="n">
        <f aca="false">SUM(I1925:Q1925)</f>
        <v>108.258356</v>
      </c>
      <c r="S1925" s="61" t="n">
        <f aca="false">R1925/(1-Resumo!$C$5)</f>
        <v>123.020859090909</v>
      </c>
      <c r="T1925" s="61" t="n">
        <v>114.95</v>
      </c>
      <c r="U1925" s="61" t="n">
        <f aca="false">H1925*Resumo!$B$6</f>
        <v>0.37818</v>
      </c>
      <c r="V1925" s="61" t="n">
        <f aca="false">H1925*Resumo!$B$7</f>
        <v>0.75636</v>
      </c>
      <c r="W1925" s="61" t="n">
        <f aca="false">Resumo!$B$9</f>
        <v>1</v>
      </c>
      <c r="X1925" s="61" t="n">
        <f aca="false">Resumo!$B$10*CEILING(G1925/100,1)</f>
        <v>4.5</v>
      </c>
      <c r="Y1925" s="61" t="n">
        <f aca="false">Resumo!$B$12*CEILING(G1925,1)</f>
        <v>2.28</v>
      </c>
      <c r="Z1925" s="61" t="n">
        <f aca="false">Resumo!$B$14*CEILING(G1925,1)</f>
        <v>17.1</v>
      </c>
      <c r="AA1925" s="61" t="n">
        <f aca="false">SUM(T1925:Z1925)</f>
        <v>140.96454</v>
      </c>
      <c r="AB1925" s="61" t="n">
        <f aca="false">AA1925/(1-Resumo!$B$5)</f>
        <v>160.186977272727</v>
      </c>
      <c r="AC1925" s="61" t="n">
        <f aca="false">AB1925-S1925</f>
        <v>37.1661181818182</v>
      </c>
      <c r="AD1925" s="62" t="n">
        <f aca="false">AB1925/S1925-1</f>
        <v>0.302112328400775</v>
      </c>
      <c r="AE1925" s="60" t="str">
        <f aca="false">IF(AB1925&lt;S1925,"SIM","NÃO")</f>
        <v>NÃO</v>
      </c>
      <c r="AF1925" s="60" t="n">
        <v>13</v>
      </c>
      <c r="AG1925" s="60" t="n">
        <v>7</v>
      </c>
      <c r="AH1925" s="60" t="s">
        <v>382</v>
      </c>
      <c r="AI1925" s="61" t="n">
        <f aca="false">(T1925*(1-Painel!$C$40)+U1925+V1925+Painel!$C$41+Painel!$C$42*CEILING(G1925/100,1)+Painel!$C$43*CEILING(G1925,1)+Z1925)/(1-Resumo!$B$5)</f>
        <v>110.569363636364</v>
      </c>
      <c r="AJ1925" s="60" t="str">
        <f aca="false">IF(AI1925&lt;S1925,"SIM","NÃO")</f>
        <v>SIM</v>
      </c>
    </row>
    <row r="1926" customFormat="false" ht="15" hidden="false" customHeight="false" outlineLevel="0" collapsed="false">
      <c r="A1926" s="59" t="n">
        <v>46284.5028472222</v>
      </c>
      <c r="B1926" s="60" t="s">
        <v>2101</v>
      </c>
      <c r="C1926" s="60" t="n">
        <v>20250460</v>
      </c>
      <c r="D1926" s="60" t="s">
        <v>46</v>
      </c>
      <c r="E1926" s="60" t="s">
        <v>22</v>
      </c>
      <c r="F1926" s="60" t="s">
        <v>233</v>
      </c>
      <c r="G1926" s="60" t="n">
        <v>30.5</v>
      </c>
      <c r="H1926" s="61" t="n">
        <v>406.6</v>
      </c>
      <c r="I1926" s="61" t="n">
        <v>42.11</v>
      </c>
      <c r="J1926" s="61" t="n">
        <f aca="false">H1926*Resumo!$C$6</f>
        <v>0</v>
      </c>
      <c r="K1926" s="61" t="n">
        <f aca="false">H1926*Resumo!$C$7</f>
        <v>0.85386</v>
      </c>
      <c r="L1926" s="61" t="n">
        <f aca="false">H1926*Resumo!$C$8</f>
        <v>0.85386</v>
      </c>
      <c r="M1926" s="61" t="n">
        <f aca="false">Resumo!$C$10*CEILING(G1926/100,1)</f>
        <v>1.05</v>
      </c>
      <c r="N1926" s="61" t="n">
        <f aca="false">Resumo!$C$9</f>
        <v>0</v>
      </c>
      <c r="O1926" s="61" t="n">
        <f aca="false">Resumo!$C$13</f>
        <v>13.55</v>
      </c>
      <c r="P1926" s="61" t="n">
        <f aca="false">Resumo!$C$14*CEILING(G1926,1)</f>
        <v>13.95</v>
      </c>
      <c r="Q1926" s="61" t="n">
        <f aca="false">SUM(I1926:P1926)*Resumo!$C$11</f>
        <v>0</v>
      </c>
      <c r="R1926" s="61" t="n">
        <f aca="false">SUM(I1926:Q1926)</f>
        <v>72.36772</v>
      </c>
      <c r="S1926" s="61" t="n">
        <f aca="false">R1926/(1-Resumo!$C$5)</f>
        <v>82.2360454545455</v>
      </c>
      <c r="T1926" s="61" t="n">
        <v>82.21</v>
      </c>
      <c r="U1926" s="61" t="n">
        <f aca="false">H1926*Resumo!$B$6</f>
        <v>0.4066</v>
      </c>
      <c r="V1926" s="61" t="n">
        <f aca="false">H1926*Resumo!$B$7</f>
        <v>0.8132</v>
      </c>
      <c r="W1926" s="61" t="n">
        <f aca="false">Resumo!$B$9</f>
        <v>1</v>
      </c>
      <c r="X1926" s="61" t="n">
        <f aca="false">Resumo!$B$10*CEILING(G1926/100,1)</f>
        <v>4.5</v>
      </c>
      <c r="Y1926" s="61" t="n">
        <f aca="false">Resumo!$B$12*CEILING(G1926,1)</f>
        <v>1.86</v>
      </c>
      <c r="Z1926" s="61" t="n">
        <f aca="false">Resumo!$B$14*CEILING(G1926,1)</f>
        <v>13.95</v>
      </c>
      <c r="AA1926" s="61" t="n">
        <f aca="false">SUM(T1926:Z1926)</f>
        <v>104.7398</v>
      </c>
      <c r="AB1926" s="61" t="n">
        <f aca="false">AA1926/(1-Resumo!$B$5)</f>
        <v>119.0225</v>
      </c>
      <c r="AC1926" s="61" t="n">
        <f aca="false">AB1926-S1926</f>
        <v>36.7864545454545</v>
      </c>
      <c r="AD1926" s="62" t="n">
        <f aca="false">AB1926/S1926-1</f>
        <v>0.447327620657387</v>
      </c>
      <c r="AE1926" s="60" t="str">
        <f aca="false">IF(AB1926&lt;S1926,"SIM","NÃO")</f>
        <v>NÃO</v>
      </c>
      <c r="AF1926" s="60" t="n">
        <v>2</v>
      </c>
      <c r="AG1926" s="60" t="n">
        <v>5</v>
      </c>
      <c r="AH1926" s="60" t="s">
        <v>382</v>
      </c>
      <c r="AI1926" s="61" t="n">
        <f aca="false">(T1926*(1-Painel!$C$40)+U1926+V1926+Painel!$C$41+Painel!$C$42*CEILING(G1926/100,1)+Painel!$C$43*CEILING(G1926,1)+Z1926)/(1-Resumo!$B$5)</f>
        <v>82.1596590909091</v>
      </c>
      <c r="AJ1926" s="60" t="str">
        <f aca="false">IF(AI1926&lt;S1926,"SIM","NÃO")</f>
        <v>SIM</v>
      </c>
    </row>
    <row r="1927" customFormat="false" ht="15" hidden="false" customHeight="false" outlineLevel="0" collapsed="false">
      <c r="A1927" s="59" t="n">
        <v>46284.5200578704</v>
      </c>
      <c r="B1927" s="60" t="s">
        <v>2102</v>
      </c>
      <c r="C1927" s="60" t="n">
        <v>20973011</v>
      </c>
      <c r="D1927" s="60" t="s">
        <v>46</v>
      </c>
      <c r="E1927" s="60" t="s">
        <v>22</v>
      </c>
      <c r="F1927" s="60" t="s">
        <v>233</v>
      </c>
      <c r="G1927" s="60" t="n">
        <v>22.9</v>
      </c>
      <c r="H1927" s="61" t="n">
        <v>369.99</v>
      </c>
      <c r="I1927" s="61" t="n">
        <v>42.11</v>
      </c>
      <c r="J1927" s="61" t="n">
        <f aca="false">H1927*Resumo!$C$6</f>
        <v>0</v>
      </c>
      <c r="K1927" s="61" t="n">
        <f aca="false">H1927*Resumo!$C$7</f>
        <v>0.776979</v>
      </c>
      <c r="L1927" s="61" t="n">
        <f aca="false">H1927*Resumo!$C$8</f>
        <v>0.776979</v>
      </c>
      <c r="M1927" s="61" t="n">
        <f aca="false">Resumo!$C$10*CEILING(G1927/100,1)</f>
        <v>1.05</v>
      </c>
      <c r="N1927" s="61" t="n">
        <f aca="false">Resumo!$C$9</f>
        <v>0</v>
      </c>
      <c r="O1927" s="61" t="n">
        <f aca="false">Resumo!$C$13</f>
        <v>13.55</v>
      </c>
      <c r="P1927" s="61" t="n">
        <f aca="false">Resumo!$C$14*CEILING(G1927,1)</f>
        <v>10.35</v>
      </c>
      <c r="Q1927" s="61" t="n">
        <f aca="false">SUM(I1927:P1927)*Resumo!$C$11</f>
        <v>0</v>
      </c>
      <c r="R1927" s="61" t="n">
        <f aca="false">SUM(I1927:Q1927)</f>
        <v>68.613958</v>
      </c>
      <c r="S1927" s="61" t="n">
        <f aca="false">R1927/(1-Resumo!$C$5)</f>
        <v>77.9704068181818</v>
      </c>
      <c r="T1927" s="61" t="n">
        <v>82.21</v>
      </c>
      <c r="U1927" s="61" t="n">
        <f aca="false">H1927*Resumo!$B$6</f>
        <v>0.36999</v>
      </c>
      <c r="V1927" s="61" t="n">
        <f aca="false">H1927*Resumo!$B$7</f>
        <v>0.73998</v>
      </c>
      <c r="W1927" s="61" t="n">
        <f aca="false">Resumo!$B$9</f>
        <v>1</v>
      </c>
      <c r="X1927" s="61" t="n">
        <f aca="false">Resumo!$B$10*CEILING(G1927/100,1)</f>
        <v>4.5</v>
      </c>
      <c r="Y1927" s="61" t="n">
        <f aca="false">Resumo!$B$12*CEILING(G1927,1)</f>
        <v>1.38</v>
      </c>
      <c r="Z1927" s="61" t="n">
        <f aca="false">Resumo!$B$14*CEILING(G1927,1)</f>
        <v>10.35</v>
      </c>
      <c r="AA1927" s="61" t="n">
        <f aca="false">SUM(T1927:Z1927)</f>
        <v>100.54997</v>
      </c>
      <c r="AB1927" s="61" t="n">
        <f aca="false">AA1927/(1-Resumo!$B$5)</f>
        <v>114.261329545455</v>
      </c>
      <c r="AC1927" s="61" t="n">
        <f aca="false">AB1927-S1927</f>
        <v>36.2909227272727</v>
      </c>
      <c r="AD1927" s="62" t="n">
        <f aca="false">AB1927/S1927-1</f>
        <v>0.465444829753153</v>
      </c>
      <c r="AE1927" s="60" t="str">
        <f aca="false">IF(AB1927&lt;S1927,"SIM","NÃO")</f>
        <v>NÃO</v>
      </c>
      <c r="AF1927" s="60" t="n">
        <v>2</v>
      </c>
      <c r="AG1927" s="60" t="n">
        <v>5</v>
      </c>
      <c r="AH1927" s="60" t="s">
        <v>382</v>
      </c>
      <c r="AI1927" s="61" t="n">
        <f aca="false">(T1927*(1-Painel!$C$40)+U1927+V1927+Painel!$C$41+Painel!$C$42*CEILING(G1927/100,1)+Painel!$C$43*CEILING(G1927,1)+Z1927)/(1-Resumo!$B$5)</f>
        <v>77.9439431818182</v>
      </c>
      <c r="AJ1927" s="60" t="str">
        <f aca="false">IF(AI1927&lt;S1927,"SIM","NÃO")</f>
        <v>SIM</v>
      </c>
    </row>
    <row r="1928" customFormat="false" ht="15" hidden="false" customHeight="false" outlineLevel="0" collapsed="false">
      <c r="A1928" s="59" t="n">
        <v>46284.5584143519</v>
      </c>
      <c r="B1928" s="60" t="s">
        <v>2103</v>
      </c>
      <c r="C1928" s="60" t="n">
        <v>24470270</v>
      </c>
      <c r="D1928" s="60" t="s">
        <v>47</v>
      </c>
      <c r="E1928" s="60" t="s">
        <v>23</v>
      </c>
      <c r="F1928" s="60" t="s">
        <v>234</v>
      </c>
      <c r="G1928" s="60" t="n">
        <v>36.8</v>
      </c>
      <c r="H1928" s="61" t="n">
        <v>469.99</v>
      </c>
      <c r="I1928" s="61" t="n">
        <v>66.83</v>
      </c>
      <c r="J1928" s="61" t="n">
        <f aca="false">H1928*Resumo!$C$6</f>
        <v>0</v>
      </c>
      <c r="K1928" s="61" t="n">
        <f aca="false">H1928*Resumo!$C$7</f>
        <v>0.986979</v>
      </c>
      <c r="L1928" s="61" t="n">
        <f aca="false">H1928*Resumo!$C$8</f>
        <v>0.986979</v>
      </c>
      <c r="M1928" s="61" t="n">
        <f aca="false">Resumo!$C$10*CEILING(G1928/100,1)</f>
        <v>1.05</v>
      </c>
      <c r="N1928" s="61" t="n">
        <f aca="false">Resumo!$C$9</f>
        <v>0</v>
      </c>
      <c r="O1928" s="61" t="n">
        <f aca="false">Resumo!$C$13</f>
        <v>13.55</v>
      </c>
      <c r="P1928" s="61" t="n">
        <f aca="false">Resumo!$C$14*CEILING(G1928,1)</f>
        <v>16.65</v>
      </c>
      <c r="Q1928" s="61" t="n">
        <f aca="false">SUM(I1928:P1928)*Resumo!$C$11</f>
        <v>0</v>
      </c>
      <c r="R1928" s="61" t="n">
        <f aca="false">SUM(I1928:Q1928)</f>
        <v>100.053958</v>
      </c>
      <c r="S1928" s="61" t="n">
        <f aca="false">R1928/(1-Resumo!$C$5)</f>
        <v>113.697679545455</v>
      </c>
      <c r="T1928" s="61" t="n">
        <v>114.95</v>
      </c>
      <c r="U1928" s="61" t="n">
        <f aca="false">H1928*Resumo!$B$6</f>
        <v>0.46999</v>
      </c>
      <c r="V1928" s="61" t="n">
        <f aca="false">H1928*Resumo!$B$7</f>
        <v>0.93998</v>
      </c>
      <c r="W1928" s="61" t="n">
        <f aca="false">Resumo!$B$9</f>
        <v>1</v>
      </c>
      <c r="X1928" s="61" t="n">
        <f aca="false">Resumo!$B$10*CEILING(G1928/100,1)</f>
        <v>4.5</v>
      </c>
      <c r="Y1928" s="61" t="n">
        <f aca="false">Resumo!$B$12*CEILING(G1928,1)</f>
        <v>2.22</v>
      </c>
      <c r="Z1928" s="61" t="n">
        <f aca="false">Resumo!$B$14*CEILING(G1928,1)</f>
        <v>16.65</v>
      </c>
      <c r="AA1928" s="61" t="n">
        <f aca="false">SUM(T1928:Z1928)</f>
        <v>140.72997</v>
      </c>
      <c r="AB1928" s="61" t="n">
        <f aca="false">AA1928/(1-Resumo!$B$5)</f>
        <v>159.920420454545</v>
      </c>
      <c r="AC1928" s="61" t="n">
        <f aca="false">AB1928-S1928</f>
        <v>46.2227409090909</v>
      </c>
      <c r="AD1928" s="62" t="n">
        <f aca="false">AB1928/S1928-1</f>
        <v>0.4065407587374</v>
      </c>
      <c r="AE1928" s="60" t="str">
        <f aca="false">IF(AB1928&lt;S1928,"SIM","NÃO")</f>
        <v>NÃO</v>
      </c>
      <c r="AF1928" s="60" t="n">
        <v>2</v>
      </c>
      <c r="AG1928" s="60" t="n">
        <v>7</v>
      </c>
      <c r="AH1928" s="60" t="s">
        <v>382</v>
      </c>
      <c r="AI1928" s="61" t="n">
        <f aca="false">(T1928*(1-Painel!$C$40)+U1928+V1928+Painel!$C$41+Painel!$C$42*CEILING(G1928/100,1)+Painel!$C$43*CEILING(G1928,1)+Z1928)/(1-Resumo!$B$5)</f>
        <v>110.370988636364</v>
      </c>
      <c r="AJ1928" s="60" t="str">
        <f aca="false">IF(AI1928&lt;S1928,"SIM","NÃO")</f>
        <v>SIM</v>
      </c>
    </row>
    <row r="1929" customFormat="false" ht="15" hidden="false" customHeight="false" outlineLevel="0" collapsed="false">
      <c r="A1929" s="59" t="n">
        <v>46284.5639351852</v>
      </c>
      <c r="B1929" s="60" t="s">
        <v>2104</v>
      </c>
      <c r="C1929" s="60" t="n">
        <v>24921768</v>
      </c>
      <c r="D1929" s="60" t="s">
        <v>220</v>
      </c>
      <c r="E1929" s="60" t="s">
        <v>24</v>
      </c>
      <c r="F1929" s="60" t="s">
        <v>233</v>
      </c>
      <c r="G1929" s="60" t="n">
        <v>24</v>
      </c>
      <c r="H1929" s="61" t="n">
        <v>506.43</v>
      </c>
      <c r="I1929" s="61" t="n">
        <v>65.63</v>
      </c>
      <c r="J1929" s="61" t="n">
        <f aca="false">H1929*Resumo!$C$6</f>
        <v>0</v>
      </c>
      <c r="K1929" s="61" t="n">
        <f aca="false">H1929*Resumo!$C$7</f>
        <v>1.063503</v>
      </c>
      <c r="L1929" s="61" t="n">
        <f aca="false">H1929*Resumo!$C$8</f>
        <v>1.063503</v>
      </c>
      <c r="M1929" s="61" t="n">
        <f aca="false">Resumo!$C$10*CEILING(G1929/100,1)</f>
        <v>1.05</v>
      </c>
      <c r="N1929" s="61" t="n">
        <f aca="false">Resumo!$C$9</f>
        <v>0</v>
      </c>
      <c r="O1929" s="61" t="n">
        <f aca="false">Resumo!$C$13</f>
        <v>13.55</v>
      </c>
      <c r="P1929" s="61" t="n">
        <f aca="false">Resumo!$C$14*CEILING(G1929,1)</f>
        <v>10.8</v>
      </c>
      <c r="Q1929" s="61" t="n">
        <f aca="false">SUM(I1929:P1929)*Resumo!$C$11</f>
        <v>0</v>
      </c>
      <c r="R1929" s="61" t="n">
        <f aca="false">SUM(I1929:Q1929)</f>
        <v>93.157006</v>
      </c>
      <c r="S1929" s="61" t="n">
        <f aca="false">R1929/(1-Resumo!$C$5)</f>
        <v>105.860234090909</v>
      </c>
      <c r="T1929" s="61" t="n">
        <v>100.58</v>
      </c>
      <c r="U1929" s="61" t="n">
        <f aca="false">H1929*Resumo!$B$6</f>
        <v>0.50643</v>
      </c>
      <c r="V1929" s="61" t="n">
        <f aca="false">H1929*Resumo!$B$7</f>
        <v>1.01286</v>
      </c>
      <c r="W1929" s="61" t="n">
        <f aca="false">Resumo!$B$9</f>
        <v>1</v>
      </c>
      <c r="X1929" s="61" t="n">
        <f aca="false">Resumo!$B$10*CEILING(G1929/100,1)</f>
        <v>4.5</v>
      </c>
      <c r="Y1929" s="61" t="n">
        <f aca="false">Resumo!$B$12*CEILING(G1929,1)</f>
        <v>1.44</v>
      </c>
      <c r="Z1929" s="61" t="n">
        <f aca="false">Resumo!$B$14*CEILING(G1929,1)</f>
        <v>10.8</v>
      </c>
      <c r="AA1929" s="61" t="n">
        <f aca="false">SUM(T1929:Z1929)</f>
        <v>119.83929</v>
      </c>
      <c r="AB1929" s="61" t="n">
        <f aca="false">AA1929/(1-Resumo!$B$5)</f>
        <v>136.181011363636</v>
      </c>
      <c r="AC1929" s="61" t="n">
        <f aca="false">AB1929-S1929</f>
        <v>30.3207772727273</v>
      </c>
      <c r="AD1929" s="62" t="n">
        <f aca="false">AB1929/S1929-1</f>
        <v>0.286422730245324</v>
      </c>
      <c r="AE1929" s="60" t="str">
        <f aca="false">IF(AB1929&lt;S1929,"SIM","NÃO")</f>
        <v>NÃO</v>
      </c>
      <c r="AF1929" s="60" t="n">
        <v>13</v>
      </c>
      <c r="AG1929" s="60" t="n">
        <v>7</v>
      </c>
      <c r="AH1929" s="60" t="s">
        <v>382</v>
      </c>
      <c r="AI1929" s="61" t="n">
        <f aca="false">(T1929*(1-Painel!$C$40)+U1929+V1929+Painel!$C$41+Painel!$C$42*CEILING(G1929/100,1)+Painel!$C$43*CEILING(G1929,1)+Z1929)/(1-Resumo!$B$5)</f>
        <v>92.9066931818182</v>
      </c>
      <c r="AJ1929" s="60" t="str">
        <f aca="false">IF(AI1929&lt;S1929,"SIM","NÃO")</f>
        <v>SIM</v>
      </c>
    </row>
    <row r="1930" customFormat="false" ht="15" hidden="false" customHeight="false" outlineLevel="0" collapsed="false">
      <c r="A1930" s="59" t="n">
        <v>46284.6320601852</v>
      </c>
      <c r="B1930" s="60" t="s">
        <v>2105</v>
      </c>
      <c r="C1930" s="60" t="n">
        <v>27256005</v>
      </c>
      <c r="D1930" s="60" t="s">
        <v>217</v>
      </c>
      <c r="E1930" s="60" t="s">
        <v>24</v>
      </c>
      <c r="F1930" s="60" t="s">
        <v>239</v>
      </c>
      <c r="G1930" s="60" t="n">
        <v>97.2</v>
      </c>
      <c r="H1930" s="61" t="n">
        <v>1399.99</v>
      </c>
      <c r="I1930" s="61" t="n">
        <v>109.63</v>
      </c>
      <c r="J1930" s="61" t="n">
        <f aca="false">H1930*Resumo!$C$6</f>
        <v>0</v>
      </c>
      <c r="K1930" s="61" t="n">
        <f aca="false">H1930*Resumo!$C$7</f>
        <v>2.939979</v>
      </c>
      <c r="L1930" s="61" t="n">
        <f aca="false">H1930*Resumo!$C$8</f>
        <v>2.939979</v>
      </c>
      <c r="M1930" s="61" t="n">
        <f aca="false">Resumo!$C$10*CEILING(G1930/100,1)</f>
        <v>1.05</v>
      </c>
      <c r="N1930" s="61" t="n">
        <f aca="false">Resumo!$C$9</f>
        <v>0</v>
      </c>
      <c r="O1930" s="61" t="n">
        <f aca="false">Resumo!$C$13</f>
        <v>13.55</v>
      </c>
      <c r="P1930" s="61" t="n">
        <f aca="false">Resumo!$C$14*CEILING(G1930,1)</f>
        <v>44.1</v>
      </c>
      <c r="Q1930" s="61" t="n">
        <f aca="false">SUM(I1930:P1930)*Resumo!$C$11</f>
        <v>0</v>
      </c>
      <c r="R1930" s="61" t="n">
        <f aca="false">SUM(I1930:Q1930)</f>
        <v>174.209958</v>
      </c>
      <c r="S1930" s="61" t="n">
        <f aca="false">R1930/(1-Resumo!$C$5)</f>
        <v>197.965861363636</v>
      </c>
      <c r="T1930" s="61" t="n">
        <v>197.35</v>
      </c>
      <c r="U1930" s="61" t="n">
        <f aca="false">H1930*Resumo!$B$6</f>
        <v>1.39999</v>
      </c>
      <c r="V1930" s="61" t="n">
        <f aca="false">H1930*Resumo!$B$7</f>
        <v>2.79998</v>
      </c>
      <c r="W1930" s="61" t="n">
        <f aca="false">Resumo!$B$9</f>
        <v>1</v>
      </c>
      <c r="X1930" s="61" t="n">
        <f aca="false">Resumo!$B$10*CEILING(G1930/100,1)</f>
        <v>4.5</v>
      </c>
      <c r="Y1930" s="61" t="n">
        <f aca="false">Resumo!$B$12*CEILING(G1930,1)</f>
        <v>5.88</v>
      </c>
      <c r="Z1930" s="61" t="n">
        <f aca="false">Resumo!$B$14*CEILING(G1930,1)</f>
        <v>44.1</v>
      </c>
      <c r="AA1930" s="61" t="n">
        <f aca="false">SUM(T1930:Z1930)</f>
        <v>257.02997</v>
      </c>
      <c r="AB1930" s="61" t="n">
        <f aca="false">AA1930/(1-Resumo!$B$5)</f>
        <v>292.079511363636</v>
      </c>
      <c r="AC1930" s="61" t="n">
        <f aca="false">AB1930-S1930</f>
        <v>94.11365</v>
      </c>
      <c r="AD1930" s="62" t="n">
        <f aca="false">AB1930/S1930-1</f>
        <v>0.475403432449022</v>
      </c>
      <c r="AE1930" s="60" t="str">
        <f aca="false">IF(AB1930&lt;S1930,"SIM","NÃO")</f>
        <v>NÃO</v>
      </c>
      <c r="AF1930" s="60" t="n">
        <v>13</v>
      </c>
      <c r="AG1930" s="60" t="n">
        <v>10</v>
      </c>
      <c r="AH1930" s="60" t="s">
        <v>382</v>
      </c>
      <c r="AI1930" s="61" t="n">
        <f aca="false">(T1930*(1-Painel!$C$40)+U1930+V1930+Painel!$C$41+Painel!$C$42*CEILING(G1930/100,1)+Painel!$C$43*CEILING(G1930,1)+Z1930)/(1-Resumo!$B$5)</f>
        <v>207.470988636364</v>
      </c>
      <c r="AJ1930" s="60" t="str">
        <f aca="false">IF(AI1930&lt;S1930,"SIM","NÃO")</f>
        <v>NÃO</v>
      </c>
    </row>
    <row r="1931" customFormat="false" ht="15" hidden="false" customHeight="false" outlineLevel="0" collapsed="false">
      <c r="A1931" s="59" t="n">
        <v>46284.6461689815</v>
      </c>
      <c r="B1931" s="60" t="s">
        <v>2106</v>
      </c>
      <c r="C1931" s="60" t="n">
        <v>25730204</v>
      </c>
      <c r="D1931" s="60" t="s">
        <v>219</v>
      </c>
      <c r="E1931" s="60" t="s">
        <v>24</v>
      </c>
      <c r="F1931" s="60" t="s">
        <v>233</v>
      </c>
      <c r="G1931" s="60" t="n">
        <v>34.4</v>
      </c>
      <c r="H1931" s="61" t="n">
        <v>499.98</v>
      </c>
      <c r="I1931" s="61" t="n">
        <v>65.63</v>
      </c>
      <c r="J1931" s="61" t="n">
        <f aca="false">H1931*Resumo!$C$6</f>
        <v>0</v>
      </c>
      <c r="K1931" s="61" t="n">
        <f aca="false">H1931*Resumo!$C$7</f>
        <v>1.049958</v>
      </c>
      <c r="L1931" s="61" t="n">
        <f aca="false">H1931*Resumo!$C$8</f>
        <v>1.049958</v>
      </c>
      <c r="M1931" s="61" t="n">
        <f aca="false">Resumo!$C$10*CEILING(G1931/100,1)</f>
        <v>1.05</v>
      </c>
      <c r="N1931" s="61" t="n">
        <f aca="false">Resumo!$C$9</f>
        <v>0</v>
      </c>
      <c r="O1931" s="61" t="n">
        <f aca="false">Resumo!$C$13</f>
        <v>13.55</v>
      </c>
      <c r="P1931" s="61" t="n">
        <f aca="false">Resumo!$C$14*CEILING(G1931,1)</f>
        <v>15.75</v>
      </c>
      <c r="Q1931" s="61" t="n">
        <f aca="false">SUM(I1931:P1931)*Resumo!$C$11</f>
        <v>0</v>
      </c>
      <c r="R1931" s="61" t="n">
        <f aca="false">SUM(I1931:Q1931)</f>
        <v>98.079916</v>
      </c>
      <c r="S1931" s="61" t="n">
        <f aca="false">R1931/(1-Resumo!$C$5)</f>
        <v>111.45445</v>
      </c>
      <c r="T1931" s="61" t="n">
        <v>108.83</v>
      </c>
      <c r="U1931" s="61" t="n">
        <f aca="false">H1931*Resumo!$B$6</f>
        <v>0.49998</v>
      </c>
      <c r="V1931" s="61" t="n">
        <f aca="false">H1931*Resumo!$B$7</f>
        <v>0.99996</v>
      </c>
      <c r="W1931" s="61" t="n">
        <f aca="false">Resumo!$B$9</f>
        <v>1</v>
      </c>
      <c r="X1931" s="61" t="n">
        <f aca="false">Resumo!$B$10*CEILING(G1931/100,1)</f>
        <v>4.5</v>
      </c>
      <c r="Y1931" s="61" t="n">
        <f aca="false">Resumo!$B$12*CEILING(G1931,1)</f>
        <v>2.1</v>
      </c>
      <c r="Z1931" s="61" t="n">
        <f aca="false">Resumo!$B$14*CEILING(G1931,1)</f>
        <v>15.75</v>
      </c>
      <c r="AA1931" s="61" t="n">
        <f aca="false">SUM(T1931:Z1931)</f>
        <v>133.67994</v>
      </c>
      <c r="AB1931" s="61" t="n">
        <f aca="false">AA1931/(1-Resumo!$B$5)</f>
        <v>151.909022727273</v>
      </c>
      <c r="AC1931" s="61" t="n">
        <f aca="false">AB1931-S1931</f>
        <v>40.4545727272727</v>
      </c>
      <c r="AD1931" s="62" t="n">
        <f aca="false">AB1931/S1931-1</f>
        <v>0.36296956045517</v>
      </c>
      <c r="AE1931" s="60" t="str">
        <f aca="false">IF(AB1931&lt;S1931,"SIM","NÃO")</f>
        <v>NÃO</v>
      </c>
      <c r="AF1931" s="60" t="n">
        <v>13</v>
      </c>
      <c r="AG1931" s="60" t="n">
        <v>8</v>
      </c>
      <c r="AH1931" s="60" t="s">
        <v>382</v>
      </c>
      <c r="AI1931" s="61" t="n">
        <f aca="false">(T1931*(1-Painel!$C$40)+U1931+V1931+Painel!$C$41+Painel!$C$42*CEILING(G1931/100,1)+Painel!$C$43*CEILING(G1931,1)+Z1931)/(1-Resumo!$B$5)</f>
        <v>104.790954545455</v>
      </c>
      <c r="AJ1931" s="60" t="str">
        <f aca="false">IF(AI1931&lt;S1931,"SIM","NÃO")</f>
        <v>SIM</v>
      </c>
    </row>
    <row r="1932" customFormat="false" ht="15" hidden="false" customHeight="false" outlineLevel="0" collapsed="false">
      <c r="A1932" s="59" t="n">
        <v>46284.6650115741</v>
      </c>
      <c r="B1932" s="60" t="s">
        <v>570</v>
      </c>
      <c r="C1932" s="60" t="n">
        <v>21911310</v>
      </c>
      <c r="D1932" s="60" t="s">
        <v>46</v>
      </c>
      <c r="E1932" s="60" t="s">
        <v>22</v>
      </c>
      <c r="F1932" s="60" t="s">
        <v>235</v>
      </c>
      <c r="G1932" s="60" t="n">
        <v>48</v>
      </c>
      <c r="H1932" s="61" t="n">
        <v>828.99</v>
      </c>
      <c r="I1932" s="61" t="n">
        <v>53.55</v>
      </c>
      <c r="J1932" s="61" t="n">
        <f aca="false">H1932*Resumo!$C$6</f>
        <v>0</v>
      </c>
      <c r="K1932" s="61" t="n">
        <f aca="false">H1932*Resumo!$C$7</f>
        <v>1.740879</v>
      </c>
      <c r="L1932" s="61" t="n">
        <f aca="false">H1932*Resumo!$C$8</f>
        <v>1.740879</v>
      </c>
      <c r="M1932" s="61" t="n">
        <f aca="false">Resumo!$C$10*CEILING(G1932/100,1)</f>
        <v>1.05</v>
      </c>
      <c r="N1932" s="61" t="n">
        <f aca="false">Resumo!$C$9</f>
        <v>0</v>
      </c>
      <c r="O1932" s="61" t="n">
        <f aca="false">Resumo!$C$13</f>
        <v>13.55</v>
      </c>
      <c r="P1932" s="61" t="n">
        <f aca="false">Resumo!$C$14*CEILING(G1932,1)</f>
        <v>21.6</v>
      </c>
      <c r="Q1932" s="61" t="n">
        <f aca="false">SUM(I1932:P1932)*Resumo!$C$11</f>
        <v>0</v>
      </c>
      <c r="R1932" s="61" t="n">
        <f aca="false">SUM(I1932:Q1932)</f>
        <v>93.231758</v>
      </c>
      <c r="S1932" s="61" t="n">
        <f aca="false">R1932/(1-Resumo!$C$5)</f>
        <v>105.945179545455</v>
      </c>
      <c r="T1932" s="61" t="n">
        <v>93.97</v>
      </c>
      <c r="U1932" s="61" t="n">
        <f aca="false">H1932*Resumo!$B$6</f>
        <v>0.82899</v>
      </c>
      <c r="V1932" s="61" t="n">
        <f aca="false">H1932*Resumo!$B$7</f>
        <v>1.65798</v>
      </c>
      <c r="W1932" s="61" t="n">
        <f aca="false">Resumo!$B$9</f>
        <v>1</v>
      </c>
      <c r="X1932" s="61" t="n">
        <f aca="false">Resumo!$B$10*CEILING(G1932/100,1)</f>
        <v>4.5</v>
      </c>
      <c r="Y1932" s="61" t="n">
        <f aca="false">Resumo!$B$12*CEILING(G1932,1)</f>
        <v>2.88</v>
      </c>
      <c r="Z1932" s="61" t="n">
        <f aca="false">Resumo!$B$14*CEILING(G1932,1)</f>
        <v>21.6</v>
      </c>
      <c r="AA1932" s="61" t="n">
        <f aca="false">SUM(T1932:Z1932)</f>
        <v>126.43697</v>
      </c>
      <c r="AB1932" s="61" t="n">
        <f aca="false">AA1932/(1-Resumo!$B$5)</f>
        <v>143.678375</v>
      </c>
      <c r="AC1932" s="61" t="n">
        <f aca="false">AB1932-S1932</f>
        <v>37.7331954545455</v>
      </c>
      <c r="AD1932" s="62" t="n">
        <f aca="false">AB1932/S1932-1</f>
        <v>0.356157737581222</v>
      </c>
      <c r="AE1932" s="60" t="str">
        <f aca="false">IF(AB1932&lt;S1932,"SIM","NÃO")</f>
        <v>NÃO</v>
      </c>
      <c r="AF1932" s="60" t="n">
        <v>2</v>
      </c>
      <c r="AG1932" s="60" t="n">
        <v>5</v>
      </c>
      <c r="AH1932" s="60" t="s">
        <v>382</v>
      </c>
      <c r="AI1932" s="61" t="n">
        <f aca="false">(T1932*(1-Painel!$C$40)+U1932+V1932+Painel!$C$41+Painel!$C$42*CEILING(G1932/100,1)+Painel!$C$43*CEILING(G1932,1)+Z1932)/(1-Resumo!$B$5)</f>
        <v>101.246443181818</v>
      </c>
      <c r="AJ1932" s="60" t="str">
        <f aca="false">IF(AI1932&lt;S1932,"SIM","NÃO")</f>
        <v>SIM</v>
      </c>
    </row>
    <row r="1933" customFormat="false" ht="15" hidden="false" customHeight="false" outlineLevel="0" collapsed="false">
      <c r="A1933" s="59" t="n">
        <v>46284.6867708333</v>
      </c>
      <c r="B1933" s="60" t="s">
        <v>2107</v>
      </c>
      <c r="C1933" s="60" t="n">
        <v>21320080</v>
      </c>
      <c r="D1933" s="60" t="s">
        <v>46</v>
      </c>
      <c r="E1933" s="60" t="s">
        <v>22</v>
      </c>
      <c r="F1933" s="60" t="s">
        <v>234</v>
      </c>
      <c r="G1933" s="60" t="n">
        <v>37.2</v>
      </c>
      <c r="H1933" s="61" t="n">
        <v>419.99</v>
      </c>
      <c r="I1933" s="61" t="n">
        <v>48.35</v>
      </c>
      <c r="J1933" s="61" t="n">
        <f aca="false">H1933*Resumo!$C$6</f>
        <v>0</v>
      </c>
      <c r="K1933" s="61" t="n">
        <f aca="false">H1933*Resumo!$C$7</f>
        <v>0.881979</v>
      </c>
      <c r="L1933" s="61" t="n">
        <f aca="false">H1933*Resumo!$C$8</f>
        <v>0.881979</v>
      </c>
      <c r="M1933" s="61" t="n">
        <f aca="false">Resumo!$C$10*CEILING(G1933/100,1)</f>
        <v>1.05</v>
      </c>
      <c r="N1933" s="61" t="n">
        <f aca="false">Resumo!$C$9</f>
        <v>0</v>
      </c>
      <c r="O1933" s="61" t="n">
        <f aca="false">Resumo!$C$13</f>
        <v>13.55</v>
      </c>
      <c r="P1933" s="61" t="n">
        <f aca="false">Resumo!$C$14*CEILING(G1933,1)</f>
        <v>17.1</v>
      </c>
      <c r="Q1933" s="61" t="n">
        <f aca="false">SUM(I1933:P1933)*Resumo!$C$11</f>
        <v>0</v>
      </c>
      <c r="R1933" s="61" t="n">
        <f aca="false">SUM(I1933:Q1933)</f>
        <v>81.813958</v>
      </c>
      <c r="S1933" s="61" t="n">
        <f aca="false">R1933/(1-Resumo!$C$5)</f>
        <v>92.9704068181818</v>
      </c>
      <c r="T1933" s="61" t="n">
        <v>93.97</v>
      </c>
      <c r="U1933" s="61" t="n">
        <f aca="false">H1933*Resumo!$B$6</f>
        <v>0.41999</v>
      </c>
      <c r="V1933" s="61" t="n">
        <f aca="false">H1933*Resumo!$B$7</f>
        <v>0.83998</v>
      </c>
      <c r="W1933" s="61" t="n">
        <f aca="false">Resumo!$B$9</f>
        <v>1</v>
      </c>
      <c r="X1933" s="61" t="n">
        <f aca="false">Resumo!$B$10*CEILING(G1933/100,1)</f>
        <v>4.5</v>
      </c>
      <c r="Y1933" s="61" t="n">
        <f aca="false">Resumo!$B$12*CEILING(G1933,1)</f>
        <v>2.28</v>
      </c>
      <c r="Z1933" s="61" t="n">
        <f aca="false">Resumo!$B$14*CEILING(G1933,1)</f>
        <v>17.1</v>
      </c>
      <c r="AA1933" s="61" t="n">
        <f aca="false">SUM(T1933:Z1933)</f>
        <v>120.10997</v>
      </c>
      <c r="AB1933" s="61" t="n">
        <f aca="false">AA1933/(1-Resumo!$B$5)</f>
        <v>136.488602272727</v>
      </c>
      <c r="AC1933" s="61" t="n">
        <f aca="false">AB1933-S1933</f>
        <v>43.5181954545454</v>
      </c>
      <c r="AD1933" s="62" t="n">
        <f aca="false">AB1933/S1933-1</f>
        <v>0.468086533596138</v>
      </c>
      <c r="AE1933" s="60" t="str">
        <f aca="false">IF(AB1933&lt;S1933,"SIM","NÃO")</f>
        <v>NÃO</v>
      </c>
      <c r="AF1933" s="60" t="n">
        <v>2</v>
      </c>
      <c r="AG1933" s="60" t="n">
        <v>5</v>
      </c>
      <c r="AH1933" s="60" t="s">
        <v>382</v>
      </c>
      <c r="AI1933" s="61" t="n">
        <f aca="false">(T1933*(1-Painel!$C$40)+U1933+V1933+Painel!$C$41+Painel!$C$42*CEILING(G1933/100,1)+Painel!$C$43*CEILING(G1933,1)+Z1933)/(1-Resumo!$B$5)</f>
        <v>94.7384886363636</v>
      </c>
      <c r="AJ1933" s="60" t="str">
        <f aca="false">IF(AI1933&lt;S1933,"SIM","NÃO")</f>
        <v>NÃO</v>
      </c>
    </row>
    <row r="1934" customFormat="false" ht="15" hidden="false" customHeight="false" outlineLevel="0" collapsed="false">
      <c r="A1934" s="59" t="n">
        <v>46284.6896412037</v>
      </c>
      <c r="B1934" s="60" t="s">
        <v>1508</v>
      </c>
      <c r="C1934" s="60" t="n">
        <v>21815340</v>
      </c>
      <c r="D1934" s="60" t="s">
        <v>46</v>
      </c>
      <c r="E1934" s="60" t="s">
        <v>22</v>
      </c>
      <c r="F1934" s="60" t="s">
        <v>233</v>
      </c>
      <c r="G1934" s="60" t="n">
        <v>21.75</v>
      </c>
      <c r="H1934" s="61" t="n">
        <v>285</v>
      </c>
      <c r="I1934" s="61" t="n">
        <v>42.11</v>
      </c>
      <c r="J1934" s="61" t="n">
        <f aca="false">H1934*Resumo!$C$6</f>
        <v>0</v>
      </c>
      <c r="K1934" s="61" t="n">
        <f aca="false">H1934*Resumo!$C$7</f>
        <v>0.5985</v>
      </c>
      <c r="L1934" s="61" t="n">
        <f aca="false">H1934*Resumo!$C$8</f>
        <v>0.5985</v>
      </c>
      <c r="M1934" s="61" t="n">
        <f aca="false">Resumo!$C$10*CEILING(G1934/100,1)</f>
        <v>1.05</v>
      </c>
      <c r="N1934" s="61" t="n">
        <f aca="false">Resumo!$C$9</f>
        <v>0</v>
      </c>
      <c r="O1934" s="61" t="n">
        <f aca="false">Resumo!$C$13</f>
        <v>13.55</v>
      </c>
      <c r="P1934" s="61" t="n">
        <f aca="false">Resumo!$C$14*CEILING(G1934,1)</f>
        <v>9.9</v>
      </c>
      <c r="Q1934" s="61" t="n">
        <f aca="false">SUM(I1934:P1934)*Resumo!$C$11</f>
        <v>0</v>
      </c>
      <c r="R1934" s="61" t="n">
        <f aca="false">SUM(I1934:Q1934)</f>
        <v>67.807</v>
      </c>
      <c r="S1934" s="61" t="n">
        <f aca="false">R1934/(1-Resumo!$C$5)</f>
        <v>77.0534090909091</v>
      </c>
      <c r="T1934" s="61" t="n">
        <v>82.21</v>
      </c>
      <c r="U1934" s="61" t="n">
        <f aca="false">H1934*Resumo!$B$6</f>
        <v>0.285</v>
      </c>
      <c r="V1934" s="61" t="n">
        <f aca="false">H1934*Resumo!$B$7</f>
        <v>0.57</v>
      </c>
      <c r="W1934" s="61" t="n">
        <f aca="false">Resumo!$B$9</f>
        <v>1</v>
      </c>
      <c r="X1934" s="61" t="n">
        <f aca="false">Resumo!$B$10*CEILING(G1934/100,1)</f>
        <v>4.5</v>
      </c>
      <c r="Y1934" s="61" t="n">
        <f aca="false">Resumo!$B$12*CEILING(G1934,1)</f>
        <v>1.32</v>
      </c>
      <c r="Z1934" s="61" t="n">
        <f aca="false">Resumo!$B$14*CEILING(G1934,1)</f>
        <v>9.9</v>
      </c>
      <c r="AA1934" s="61" t="n">
        <f aca="false">SUM(T1934:Z1934)</f>
        <v>99.785</v>
      </c>
      <c r="AB1934" s="61" t="n">
        <f aca="false">AA1934/(1-Resumo!$B$5)</f>
        <v>113.392045454545</v>
      </c>
      <c r="AC1934" s="61" t="n">
        <f aca="false">AB1934-S1934</f>
        <v>36.3386363636364</v>
      </c>
      <c r="AD1934" s="62" t="n">
        <f aca="false">AB1934/S1934-1</f>
        <v>0.471603226805492</v>
      </c>
      <c r="AE1934" s="60" t="str">
        <f aca="false">IF(AB1934&lt;S1934,"SIM","NÃO")</f>
        <v>NÃO</v>
      </c>
      <c r="AF1934" s="60" t="n">
        <v>2</v>
      </c>
      <c r="AG1934" s="60" t="n">
        <v>5</v>
      </c>
      <c r="AH1934" s="60" t="s">
        <v>382</v>
      </c>
      <c r="AI1934" s="61" t="n">
        <f aca="false">(T1934*(1-Painel!$C$40)+U1934+V1934+Painel!$C$41+Painel!$C$42*CEILING(G1934/100,1)+Painel!$C$43*CEILING(G1934,1)+Z1934)/(1-Resumo!$B$5)</f>
        <v>77.1428409090909</v>
      </c>
      <c r="AJ1934" s="60" t="str">
        <f aca="false">IF(AI1934&lt;S1934,"SIM","NÃO")</f>
        <v>NÃO</v>
      </c>
    </row>
    <row r="1935" customFormat="false" ht="15" hidden="false" customHeight="false" outlineLevel="0" collapsed="false">
      <c r="A1935" s="59" t="n">
        <v>46284.6992939815</v>
      </c>
      <c r="B1935" s="60" t="s">
        <v>2108</v>
      </c>
      <c r="C1935" s="60" t="n">
        <v>24736050</v>
      </c>
      <c r="D1935" s="60" t="s">
        <v>47</v>
      </c>
      <c r="E1935" s="60" t="s">
        <v>23</v>
      </c>
      <c r="F1935" s="60" t="s">
        <v>241</v>
      </c>
      <c r="G1935" s="60" t="n">
        <v>124.2</v>
      </c>
      <c r="H1935" s="61" t="n">
        <v>1526.91</v>
      </c>
      <c r="I1935" s="61" t="n">
        <v>129.62</v>
      </c>
      <c r="J1935" s="61" t="n">
        <f aca="false">H1935*Resumo!$C$6</f>
        <v>0</v>
      </c>
      <c r="K1935" s="61" t="n">
        <f aca="false">H1935*Resumo!$C$7</f>
        <v>3.206511</v>
      </c>
      <c r="L1935" s="61" t="n">
        <f aca="false">H1935*Resumo!$C$8</f>
        <v>3.206511</v>
      </c>
      <c r="M1935" s="61" t="n">
        <f aca="false">Resumo!$C$10*CEILING(G1935/100,1)</f>
        <v>2.1</v>
      </c>
      <c r="N1935" s="61" t="n">
        <f aca="false">Resumo!$C$9</f>
        <v>0</v>
      </c>
      <c r="O1935" s="61" t="n">
        <f aca="false">Resumo!$C$13</f>
        <v>13.55</v>
      </c>
      <c r="P1935" s="61" t="n">
        <f aca="false">Resumo!$C$14*CEILING(G1935,1)</f>
        <v>56.25</v>
      </c>
      <c r="Q1935" s="61" t="n">
        <f aca="false">SUM(I1935:P1935)*Resumo!$C$11</f>
        <v>0</v>
      </c>
      <c r="R1935" s="61" t="n">
        <f aca="false">SUM(I1935:Q1935)</f>
        <v>207.933022</v>
      </c>
      <c r="S1935" s="61" t="n">
        <f aca="false">R1935/(1-Resumo!$C$5)</f>
        <v>236.287525</v>
      </c>
      <c r="T1935" s="61" t="n">
        <v>249.03</v>
      </c>
      <c r="U1935" s="61" t="n">
        <f aca="false">H1935*Resumo!$B$6</f>
        <v>1.52691</v>
      </c>
      <c r="V1935" s="61" t="n">
        <f aca="false">H1935*Resumo!$B$7</f>
        <v>3.05382</v>
      </c>
      <c r="W1935" s="61" t="n">
        <f aca="false">Resumo!$B$9</f>
        <v>1</v>
      </c>
      <c r="X1935" s="61" t="n">
        <f aca="false">Resumo!$B$10*CEILING(G1935/100,1)</f>
        <v>9</v>
      </c>
      <c r="Y1935" s="61" t="n">
        <f aca="false">Resumo!$B$12*CEILING(G1935,1)</f>
        <v>7.5</v>
      </c>
      <c r="Z1935" s="61" t="n">
        <f aca="false">Resumo!$B$14*CEILING(G1935,1)</f>
        <v>56.25</v>
      </c>
      <c r="AA1935" s="61" t="n">
        <f aca="false">SUM(T1935:Z1935)</f>
        <v>327.36073</v>
      </c>
      <c r="AB1935" s="61" t="n">
        <f aca="false">AA1935/(1-Resumo!$B$5)</f>
        <v>372.000829545455</v>
      </c>
      <c r="AC1935" s="61" t="n">
        <f aca="false">AB1935-S1935</f>
        <v>135.713304545455</v>
      </c>
      <c r="AD1935" s="62" t="n">
        <f aca="false">AB1935/S1935-1</f>
        <v>0.574356621431684</v>
      </c>
      <c r="AE1935" s="60" t="str">
        <f aca="false">IF(AB1935&lt;S1935,"SIM","NÃO")</f>
        <v>NÃO</v>
      </c>
      <c r="AF1935" s="60" t="n">
        <v>2</v>
      </c>
      <c r="AG1935" s="60" t="n">
        <v>7</v>
      </c>
      <c r="AH1935" s="60" t="s">
        <v>382</v>
      </c>
      <c r="AI1935" s="61" t="n">
        <f aca="false">(T1935*(1-Painel!$C$40)+U1935+V1935+Painel!$C$41+Painel!$C$42*CEILING(G1935/100,1)+Painel!$C$43*CEILING(G1935,1)+Z1935)/(1-Resumo!$B$5)</f>
        <v>262.250943181818</v>
      </c>
      <c r="AJ1935" s="60" t="str">
        <f aca="false">IF(AI1935&lt;S1935,"SIM","NÃO")</f>
        <v>NÃO</v>
      </c>
    </row>
    <row r="1936" customFormat="false" ht="15" hidden="false" customHeight="false" outlineLevel="0" collapsed="false">
      <c r="A1936" s="59" t="n">
        <v>46284.753900463</v>
      </c>
      <c r="B1936" s="60" t="s">
        <v>2109</v>
      </c>
      <c r="C1936" s="60" t="n">
        <v>21853470</v>
      </c>
      <c r="D1936" s="60" t="s">
        <v>46</v>
      </c>
      <c r="E1936" s="60" t="s">
        <v>22</v>
      </c>
      <c r="F1936" s="60" t="s">
        <v>237</v>
      </c>
      <c r="G1936" s="60" t="n">
        <v>66.8</v>
      </c>
      <c r="H1936" s="61" t="n">
        <v>719.99</v>
      </c>
      <c r="I1936" s="61" t="n">
        <v>63.21</v>
      </c>
      <c r="J1936" s="61" t="n">
        <f aca="false">H1936*Resumo!$C$6</f>
        <v>0</v>
      </c>
      <c r="K1936" s="61" t="n">
        <f aca="false">H1936*Resumo!$C$7</f>
        <v>1.511979</v>
      </c>
      <c r="L1936" s="61" t="n">
        <f aca="false">H1936*Resumo!$C$8</f>
        <v>1.511979</v>
      </c>
      <c r="M1936" s="61" t="n">
        <f aca="false">Resumo!$C$10*CEILING(G1936/100,1)</f>
        <v>1.05</v>
      </c>
      <c r="N1936" s="61" t="n">
        <f aca="false">Resumo!$C$9</f>
        <v>0</v>
      </c>
      <c r="O1936" s="61" t="n">
        <f aca="false">Resumo!$C$13</f>
        <v>13.55</v>
      </c>
      <c r="P1936" s="61" t="n">
        <f aca="false">Resumo!$C$14*CEILING(G1936,1)</f>
        <v>30.15</v>
      </c>
      <c r="Q1936" s="61" t="n">
        <f aca="false">SUM(I1936:P1936)*Resumo!$C$11</f>
        <v>0</v>
      </c>
      <c r="R1936" s="61" t="n">
        <f aca="false">SUM(I1936:Q1936)</f>
        <v>110.983958</v>
      </c>
      <c r="S1936" s="61" t="n">
        <f aca="false">R1936/(1-Resumo!$C$5)</f>
        <v>126.118134090909</v>
      </c>
      <c r="T1936" s="61" t="n">
        <v>131.02</v>
      </c>
      <c r="U1936" s="61" t="n">
        <f aca="false">H1936*Resumo!$B$6</f>
        <v>0.71999</v>
      </c>
      <c r="V1936" s="61" t="n">
        <f aca="false">H1936*Resumo!$B$7</f>
        <v>1.43998</v>
      </c>
      <c r="W1936" s="61" t="n">
        <f aca="false">Resumo!$B$9</f>
        <v>1</v>
      </c>
      <c r="X1936" s="61" t="n">
        <f aca="false">Resumo!$B$10*CEILING(G1936/100,1)</f>
        <v>4.5</v>
      </c>
      <c r="Y1936" s="61" t="n">
        <f aca="false">Resumo!$B$12*CEILING(G1936,1)</f>
        <v>4.02</v>
      </c>
      <c r="Z1936" s="61" t="n">
        <f aca="false">Resumo!$B$14*CEILING(G1936,1)</f>
        <v>30.15</v>
      </c>
      <c r="AA1936" s="61" t="n">
        <f aca="false">SUM(T1936:Z1936)</f>
        <v>172.84997</v>
      </c>
      <c r="AB1936" s="61" t="n">
        <f aca="false">AA1936/(1-Resumo!$B$5)</f>
        <v>196.420420454545</v>
      </c>
      <c r="AC1936" s="61" t="n">
        <f aca="false">AB1936-S1936</f>
        <v>70.3022863636364</v>
      </c>
      <c r="AD1936" s="62" t="n">
        <f aca="false">AB1936/S1936-1</f>
        <v>0.557432020941261</v>
      </c>
      <c r="AE1936" s="60" t="str">
        <f aca="false">IF(AB1936&lt;S1936,"SIM","NÃO")</f>
        <v>NÃO</v>
      </c>
      <c r="AF1936" s="60" t="n">
        <v>2</v>
      </c>
      <c r="AG1936" s="60" t="n">
        <v>5</v>
      </c>
      <c r="AH1936" s="60" t="s">
        <v>382</v>
      </c>
      <c r="AI1936" s="61" t="n">
        <f aca="false">(T1936*(1-Painel!$C$40)+U1936+V1936+Painel!$C$41+Painel!$C$42*CEILING(G1936/100,1)+Painel!$C$43*CEILING(G1936,1)+Z1936)/(1-Resumo!$B$5)</f>
        <v>138.799284090909</v>
      </c>
      <c r="AJ1936" s="60" t="str">
        <f aca="false">IF(AI1936&lt;S1936,"SIM","NÃO")</f>
        <v>NÃO</v>
      </c>
    </row>
    <row r="1937" customFormat="false" ht="15" hidden="false" customHeight="false" outlineLevel="0" collapsed="false">
      <c r="A1937" s="59" t="n">
        <v>46284.7961226852</v>
      </c>
      <c r="B1937" s="60" t="s">
        <v>2110</v>
      </c>
      <c r="C1937" s="60" t="n">
        <v>20745220</v>
      </c>
      <c r="D1937" s="60" t="s">
        <v>46</v>
      </c>
      <c r="E1937" s="60" t="s">
        <v>22</v>
      </c>
      <c r="F1937" s="60" t="s">
        <v>237</v>
      </c>
      <c r="G1937" s="60" t="n">
        <v>68.7</v>
      </c>
      <c r="H1937" s="61" t="n">
        <v>749.99</v>
      </c>
      <c r="I1937" s="61" t="n">
        <v>63.21</v>
      </c>
      <c r="J1937" s="61" t="n">
        <f aca="false">H1937*Resumo!$C$6</f>
        <v>0</v>
      </c>
      <c r="K1937" s="61" t="n">
        <f aca="false">H1937*Resumo!$C$7</f>
        <v>1.574979</v>
      </c>
      <c r="L1937" s="61" t="n">
        <f aca="false">H1937*Resumo!$C$8</f>
        <v>1.574979</v>
      </c>
      <c r="M1937" s="61" t="n">
        <f aca="false">Resumo!$C$10*CEILING(G1937/100,1)</f>
        <v>1.05</v>
      </c>
      <c r="N1937" s="61" t="n">
        <f aca="false">Resumo!$C$9</f>
        <v>0</v>
      </c>
      <c r="O1937" s="61" t="n">
        <f aca="false">Resumo!$C$13</f>
        <v>13.55</v>
      </c>
      <c r="P1937" s="61" t="n">
        <f aca="false">Resumo!$C$14*CEILING(G1937,1)</f>
        <v>31.05</v>
      </c>
      <c r="Q1937" s="61" t="n">
        <f aca="false">SUM(I1937:P1937)*Resumo!$C$11</f>
        <v>0</v>
      </c>
      <c r="R1937" s="61" t="n">
        <f aca="false">SUM(I1937:Q1937)</f>
        <v>112.009958</v>
      </c>
      <c r="S1937" s="61" t="n">
        <f aca="false">R1937/(1-Resumo!$C$5)</f>
        <v>127.284043181818</v>
      </c>
      <c r="T1937" s="61" t="n">
        <v>131.02</v>
      </c>
      <c r="U1937" s="61" t="n">
        <f aca="false">H1937*Resumo!$B$6</f>
        <v>0.74999</v>
      </c>
      <c r="V1937" s="61" t="n">
        <f aca="false">H1937*Resumo!$B$7</f>
        <v>1.49998</v>
      </c>
      <c r="W1937" s="61" t="n">
        <f aca="false">Resumo!$B$9</f>
        <v>1</v>
      </c>
      <c r="X1937" s="61" t="n">
        <f aca="false">Resumo!$B$10*CEILING(G1937/100,1)</f>
        <v>4.5</v>
      </c>
      <c r="Y1937" s="61" t="n">
        <f aca="false">Resumo!$B$12*CEILING(G1937,1)</f>
        <v>4.14</v>
      </c>
      <c r="Z1937" s="61" t="n">
        <f aca="false">Resumo!$B$14*CEILING(G1937,1)</f>
        <v>31.05</v>
      </c>
      <c r="AA1937" s="61" t="n">
        <f aca="false">SUM(T1937:Z1937)</f>
        <v>173.95997</v>
      </c>
      <c r="AB1937" s="61" t="n">
        <f aca="false">AA1937/(1-Resumo!$B$5)</f>
        <v>197.681784090909</v>
      </c>
      <c r="AC1937" s="61" t="n">
        <f aca="false">AB1937-S1937</f>
        <v>70.397740909091</v>
      </c>
      <c r="AD1937" s="62" t="n">
        <f aca="false">AB1937/S1937-1</f>
        <v>0.553075932766621</v>
      </c>
      <c r="AE1937" s="60" t="str">
        <f aca="false">IF(AB1937&lt;S1937,"SIM","NÃO")</f>
        <v>NÃO</v>
      </c>
      <c r="AF1937" s="60" t="n">
        <v>2</v>
      </c>
      <c r="AG1937" s="60" t="n">
        <v>5</v>
      </c>
      <c r="AH1937" s="60" t="s">
        <v>382</v>
      </c>
      <c r="AI1937" s="61" t="n">
        <f aca="false">(T1937*(1-Painel!$C$40)+U1937+V1937+Painel!$C$41+Painel!$C$42*CEILING(G1937/100,1)+Painel!$C$43*CEILING(G1937,1)+Z1937)/(1-Resumo!$B$5)</f>
        <v>139.924284090909</v>
      </c>
      <c r="AJ1937" s="60" t="str">
        <f aca="false">IF(AI1937&lt;S1937,"SIM","NÃO")</f>
        <v>NÃO</v>
      </c>
    </row>
    <row r="1938" customFormat="false" ht="15" hidden="false" customHeight="false" outlineLevel="0" collapsed="false">
      <c r="A1938" s="59" t="n">
        <v>46284.8237152778</v>
      </c>
      <c r="B1938" s="60" t="s">
        <v>2111</v>
      </c>
      <c r="C1938" s="60" t="n">
        <v>24900798</v>
      </c>
      <c r="D1938" s="60" t="s">
        <v>220</v>
      </c>
      <c r="E1938" s="60" t="s">
        <v>24</v>
      </c>
      <c r="F1938" s="60" t="s">
        <v>233</v>
      </c>
      <c r="G1938" s="60" t="n">
        <v>33</v>
      </c>
      <c r="H1938" s="61" t="n">
        <v>458.3</v>
      </c>
      <c r="I1938" s="61" t="n">
        <v>65.63</v>
      </c>
      <c r="J1938" s="61" t="n">
        <f aca="false">H1938*Resumo!$C$6</f>
        <v>0</v>
      </c>
      <c r="K1938" s="61" t="n">
        <f aca="false">H1938*Resumo!$C$7</f>
        <v>0.96243</v>
      </c>
      <c r="L1938" s="61" t="n">
        <f aca="false">H1938*Resumo!$C$8</f>
        <v>0.96243</v>
      </c>
      <c r="M1938" s="61" t="n">
        <f aca="false">Resumo!$C$10*CEILING(G1938/100,1)</f>
        <v>1.05</v>
      </c>
      <c r="N1938" s="61" t="n">
        <f aca="false">Resumo!$C$9</f>
        <v>0</v>
      </c>
      <c r="O1938" s="61" t="n">
        <f aca="false">Resumo!$C$13</f>
        <v>13.55</v>
      </c>
      <c r="P1938" s="61" t="n">
        <f aca="false">Resumo!$C$14*CEILING(G1938,1)</f>
        <v>14.85</v>
      </c>
      <c r="Q1938" s="61" t="n">
        <f aca="false">SUM(I1938:P1938)*Resumo!$C$11</f>
        <v>0</v>
      </c>
      <c r="R1938" s="61" t="n">
        <f aca="false">SUM(I1938:Q1938)</f>
        <v>97.00486</v>
      </c>
      <c r="S1938" s="61" t="n">
        <f aca="false">R1938/(1-Resumo!$C$5)</f>
        <v>110.232795454545</v>
      </c>
      <c r="T1938" s="61" t="n">
        <v>100.58</v>
      </c>
      <c r="U1938" s="61" t="n">
        <f aca="false">H1938*Resumo!$B$6</f>
        <v>0.4583</v>
      </c>
      <c r="V1938" s="61" t="n">
        <f aca="false">H1938*Resumo!$B$7</f>
        <v>0.9166</v>
      </c>
      <c r="W1938" s="61" t="n">
        <f aca="false">Resumo!$B$9</f>
        <v>1</v>
      </c>
      <c r="X1938" s="61" t="n">
        <f aca="false">Resumo!$B$10*CEILING(G1938/100,1)</f>
        <v>4.5</v>
      </c>
      <c r="Y1938" s="61" t="n">
        <f aca="false">Resumo!$B$12*CEILING(G1938,1)</f>
        <v>1.98</v>
      </c>
      <c r="Z1938" s="61" t="n">
        <f aca="false">Resumo!$B$14*CEILING(G1938,1)</f>
        <v>14.85</v>
      </c>
      <c r="AA1938" s="61" t="n">
        <f aca="false">SUM(T1938:Z1938)</f>
        <v>124.2849</v>
      </c>
      <c r="AB1938" s="61" t="n">
        <f aca="false">AA1938/(1-Resumo!$B$5)</f>
        <v>141.232840909091</v>
      </c>
      <c r="AC1938" s="61" t="n">
        <f aca="false">AB1938-S1938</f>
        <v>31.0000454545454</v>
      </c>
      <c r="AD1938" s="62" t="n">
        <f aca="false">AB1938/S1938-1</f>
        <v>0.281223435609309</v>
      </c>
      <c r="AE1938" s="60" t="str">
        <f aca="false">IF(AB1938&lt;S1938,"SIM","NÃO")</f>
        <v>NÃO</v>
      </c>
      <c r="AF1938" s="60" t="n">
        <v>13</v>
      </c>
      <c r="AG1938" s="60" t="n">
        <v>7</v>
      </c>
      <c r="AH1938" s="60" t="s">
        <v>382</v>
      </c>
      <c r="AI1938" s="61" t="n">
        <f aca="false">(T1938*(1-Painel!$C$40)+U1938+V1938+Painel!$C$41+Painel!$C$42*CEILING(G1938/100,1)+Painel!$C$43*CEILING(G1938,1)+Z1938)/(1-Resumo!$B$5)</f>
        <v>97.3448863636364</v>
      </c>
      <c r="AJ1938" s="60" t="str">
        <f aca="false">IF(AI1938&lt;S1938,"SIM","NÃO")</f>
        <v>SIM</v>
      </c>
    </row>
    <row r="1939" customFormat="false" ht="15" hidden="false" customHeight="false" outlineLevel="0" collapsed="false">
      <c r="A1939" s="59" t="n">
        <v>46284.834837963</v>
      </c>
      <c r="B1939" s="60" t="s">
        <v>2112</v>
      </c>
      <c r="C1939" s="60" t="n">
        <v>28143000</v>
      </c>
      <c r="D1939" s="60" t="s">
        <v>51</v>
      </c>
      <c r="E1939" s="60" t="s">
        <v>24</v>
      </c>
      <c r="F1939" s="60" t="s">
        <v>237</v>
      </c>
      <c r="G1939" s="60" t="n">
        <v>61.4</v>
      </c>
      <c r="H1939" s="61" t="n">
        <v>999.99</v>
      </c>
      <c r="I1939" s="61" t="n">
        <v>90.2</v>
      </c>
      <c r="J1939" s="61" t="n">
        <f aca="false">H1939*Resumo!$C$6</f>
        <v>0</v>
      </c>
      <c r="K1939" s="61" t="n">
        <f aca="false">H1939*Resumo!$C$7</f>
        <v>2.099979</v>
      </c>
      <c r="L1939" s="61" t="n">
        <f aca="false">H1939*Resumo!$C$8</f>
        <v>2.099979</v>
      </c>
      <c r="M1939" s="61" t="n">
        <f aca="false">Resumo!$C$10*CEILING(G1939/100,1)</f>
        <v>1.05</v>
      </c>
      <c r="N1939" s="61" t="n">
        <f aca="false">Resumo!$C$9</f>
        <v>0</v>
      </c>
      <c r="O1939" s="61" t="n">
        <f aca="false">Resumo!$C$13</f>
        <v>13.55</v>
      </c>
      <c r="P1939" s="61" t="n">
        <f aca="false">Resumo!$C$14*CEILING(G1939,1)</f>
        <v>27.9</v>
      </c>
      <c r="Q1939" s="61" t="n">
        <f aca="false">SUM(I1939:P1939)*Resumo!$C$11</f>
        <v>0</v>
      </c>
      <c r="R1939" s="61" t="n">
        <f aca="false">SUM(I1939:Q1939)</f>
        <v>136.899958</v>
      </c>
      <c r="S1939" s="61" t="n">
        <f aca="false">R1939/(1-Resumo!$C$5)</f>
        <v>155.568134090909</v>
      </c>
      <c r="T1939" s="61" t="n">
        <v>171.54</v>
      </c>
      <c r="U1939" s="61" t="n">
        <f aca="false">H1939*Resumo!$B$6</f>
        <v>0.99999</v>
      </c>
      <c r="V1939" s="61" t="n">
        <f aca="false">H1939*Resumo!$B$7</f>
        <v>1.99998</v>
      </c>
      <c r="W1939" s="61" t="n">
        <f aca="false">Resumo!$B$9</f>
        <v>1</v>
      </c>
      <c r="X1939" s="61" t="n">
        <f aca="false">Resumo!$B$10*CEILING(G1939/100,1)</f>
        <v>4.5</v>
      </c>
      <c r="Y1939" s="61" t="n">
        <f aca="false">Resumo!$B$12*CEILING(G1939,1)</f>
        <v>3.72</v>
      </c>
      <c r="Z1939" s="61" t="n">
        <f aca="false">Resumo!$B$14*CEILING(G1939,1)</f>
        <v>27.9</v>
      </c>
      <c r="AA1939" s="61" t="n">
        <f aca="false">SUM(T1939:Z1939)</f>
        <v>211.65997</v>
      </c>
      <c r="AB1939" s="61" t="n">
        <f aca="false">AA1939/(1-Resumo!$B$5)</f>
        <v>240.522693181818</v>
      </c>
      <c r="AC1939" s="61" t="n">
        <f aca="false">AB1939-S1939</f>
        <v>84.9545590909091</v>
      </c>
      <c r="AD1939" s="62" t="n">
        <f aca="false">AB1939/S1939-1</f>
        <v>0.546092293176598</v>
      </c>
      <c r="AE1939" s="60" t="str">
        <f aca="false">IF(AB1939&lt;S1939,"SIM","NÃO")</f>
        <v>NÃO</v>
      </c>
      <c r="AF1939" s="60" t="n">
        <v>13</v>
      </c>
      <c r="AG1939" s="60" t="n">
        <v>11</v>
      </c>
      <c r="AH1939" s="60" t="s">
        <v>382</v>
      </c>
      <c r="AI1939" s="61" t="n">
        <f aca="false">(T1939*(1-Painel!$C$40)+U1939+V1939+Painel!$C$41+Painel!$C$42*CEILING(G1939/100,1)+Painel!$C$43*CEILING(G1939,1)+Z1939)/(1-Resumo!$B$5)</f>
        <v>168.047465909091</v>
      </c>
      <c r="AJ1939" s="60" t="str">
        <f aca="false">IF(AI1939&lt;S1939,"SIM","NÃO")</f>
        <v>NÃO</v>
      </c>
    </row>
    <row r="1940" customFormat="false" ht="15" hidden="false" customHeight="false" outlineLevel="0" collapsed="false">
      <c r="A1940" s="59" t="n">
        <v>46284.8609953704</v>
      </c>
      <c r="B1940" s="60" t="s">
        <v>2113</v>
      </c>
      <c r="C1940" s="60" t="n">
        <v>23050200</v>
      </c>
      <c r="D1940" s="60" t="s">
        <v>46</v>
      </c>
      <c r="E1940" s="60" t="s">
        <v>22</v>
      </c>
      <c r="F1940" s="60" t="s">
        <v>234</v>
      </c>
      <c r="G1940" s="60" t="n">
        <v>36.8</v>
      </c>
      <c r="H1940" s="61" t="n">
        <v>467.49</v>
      </c>
      <c r="I1940" s="61" t="n">
        <v>48.35</v>
      </c>
      <c r="J1940" s="61" t="n">
        <f aca="false">H1940*Resumo!$C$6</f>
        <v>0</v>
      </c>
      <c r="K1940" s="61" t="n">
        <f aca="false">H1940*Resumo!$C$7</f>
        <v>0.981729</v>
      </c>
      <c r="L1940" s="61" t="n">
        <f aca="false">H1940*Resumo!$C$8</f>
        <v>0.981729</v>
      </c>
      <c r="M1940" s="61" t="n">
        <f aca="false">Resumo!$C$10*CEILING(G1940/100,1)</f>
        <v>1.05</v>
      </c>
      <c r="N1940" s="61" t="n">
        <f aca="false">Resumo!$C$9</f>
        <v>0</v>
      </c>
      <c r="O1940" s="61" t="n">
        <f aca="false">Resumo!$C$13</f>
        <v>13.55</v>
      </c>
      <c r="P1940" s="61" t="n">
        <f aca="false">Resumo!$C$14*CEILING(G1940,1)</f>
        <v>16.65</v>
      </c>
      <c r="Q1940" s="61" t="n">
        <f aca="false">SUM(I1940:P1940)*Resumo!$C$11</f>
        <v>0</v>
      </c>
      <c r="R1940" s="61" t="n">
        <f aca="false">SUM(I1940:Q1940)</f>
        <v>81.563458</v>
      </c>
      <c r="S1940" s="61" t="n">
        <f aca="false">R1940/(1-Resumo!$C$5)</f>
        <v>92.6857477272727</v>
      </c>
      <c r="T1940" s="61" t="n">
        <v>93.97</v>
      </c>
      <c r="U1940" s="61" t="n">
        <f aca="false">H1940*Resumo!$B$6</f>
        <v>0.46749</v>
      </c>
      <c r="V1940" s="61" t="n">
        <f aca="false">H1940*Resumo!$B$7</f>
        <v>0.93498</v>
      </c>
      <c r="W1940" s="61" t="n">
        <f aca="false">Resumo!$B$9</f>
        <v>1</v>
      </c>
      <c r="X1940" s="61" t="n">
        <f aca="false">Resumo!$B$10*CEILING(G1940/100,1)</f>
        <v>4.5</v>
      </c>
      <c r="Y1940" s="61" t="n">
        <f aca="false">Resumo!$B$12*CEILING(G1940,1)</f>
        <v>2.22</v>
      </c>
      <c r="Z1940" s="61" t="n">
        <f aca="false">Resumo!$B$14*CEILING(G1940,1)</f>
        <v>16.65</v>
      </c>
      <c r="AA1940" s="61" t="n">
        <f aca="false">SUM(T1940:Z1940)</f>
        <v>119.74247</v>
      </c>
      <c r="AB1940" s="61" t="n">
        <f aca="false">AA1940/(1-Resumo!$B$5)</f>
        <v>136.070988636364</v>
      </c>
      <c r="AC1940" s="61" t="n">
        <f aca="false">AB1940-S1940</f>
        <v>43.3852409090909</v>
      </c>
      <c r="AD1940" s="62" t="n">
        <f aca="false">AB1940/S1940-1</f>
        <v>0.468089668292386</v>
      </c>
      <c r="AE1940" s="60" t="str">
        <f aca="false">IF(AB1940&lt;S1940,"SIM","NÃO")</f>
        <v>NÃO</v>
      </c>
      <c r="AF1940" s="60" t="n">
        <v>2</v>
      </c>
      <c r="AG1940" s="60" t="n">
        <v>5</v>
      </c>
      <c r="AH1940" s="60" t="s">
        <v>382</v>
      </c>
      <c r="AI1940" s="61" t="n">
        <f aca="false">(T1940*(1-Painel!$C$40)+U1940+V1940+Painel!$C$41+Painel!$C$42*CEILING(G1940/100,1)+Painel!$C$43*CEILING(G1940,1)+Z1940)/(1-Resumo!$B$5)</f>
        <v>94.3890568181818</v>
      </c>
      <c r="AJ1940" s="60" t="str">
        <f aca="false">IF(AI1940&lt;S1940,"SIM","NÃO")</f>
        <v>NÃO</v>
      </c>
    </row>
    <row r="1941" customFormat="false" ht="15" hidden="false" customHeight="false" outlineLevel="0" collapsed="false">
      <c r="A1941" s="59" t="n">
        <v>46284.8726736111</v>
      </c>
      <c r="B1941" s="60" t="s">
        <v>813</v>
      </c>
      <c r="C1941" s="60" t="n">
        <v>23520286</v>
      </c>
      <c r="D1941" s="60" t="s">
        <v>46</v>
      </c>
      <c r="E1941" s="60" t="s">
        <v>22</v>
      </c>
      <c r="F1941" s="60" t="s">
        <v>234</v>
      </c>
      <c r="G1941" s="60" t="n">
        <v>37.6</v>
      </c>
      <c r="H1941" s="61" t="n">
        <v>459.99</v>
      </c>
      <c r="I1941" s="61" t="n">
        <v>48.35</v>
      </c>
      <c r="J1941" s="61" t="n">
        <f aca="false">H1941*Resumo!$C$6</f>
        <v>0</v>
      </c>
      <c r="K1941" s="61" t="n">
        <f aca="false">H1941*Resumo!$C$7</f>
        <v>0.965979</v>
      </c>
      <c r="L1941" s="61" t="n">
        <f aca="false">H1941*Resumo!$C$8</f>
        <v>0.965979</v>
      </c>
      <c r="M1941" s="61" t="n">
        <f aca="false">Resumo!$C$10*CEILING(G1941/100,1)</f>
        <v>1.05</v>
      </c>
      <c r="N1941" s="61" t="n">
        <f aca="false">Resumo!$C$9</f>
        <v>0</v>
      </c>
      <c r="O1941" s="61" t="n">
        <f aca="false">Resumo!$C$13</f>
        <v>13.55</v>
      </c>
      <c r="P1941" s="61" t="n">
        <f aca="false">Resumo!$C$14*CEILING(G1941,1)</f>
        <v>17.1</v>
      </c>
      <c r="Q1941" s="61" t="n">
        <f aca="false">SUM(I1941:P1941)*Resumo!$C$11</f>
        <v>0</v>
      </c>
      <c r="R1941" s="61" t="n">
        <f aca="false">SUM(I1941:Q1941)</f>
        <v>81.981958</v>
      </c>
      <c r="S1941" s="61" t="n">
        <f aca="false">R1941/(1-Resumo!$C$5)</f>
        <v>93.1613159090909</v>
      </c>
      <c r="T1941" s="61" t="n">
        <v>93.97</v>
      </c>
      <c r="U1941" s="61" t="n">
        <f aca="false">H1941*Resumo!$B$6</f>
        <v>0.45999</v>
      </c>
      <c r="V1941" s="61" t="n">
        <f aca="false">H1941*Resumo!$B$7</f>
        <v>0.91998</v>
      </c>
      <c r="W1941" s="61" t="n">
        <f aca="false">Resumo!$B$9</f>
        <v>1</v>
      </c>
      <c r="X1941" s="61" t="n">
        <f aca="false">Resumo!$B$10*CEILING(G1941/100,1)</f>
        <v>4.5</v>
      </c>
      <c r="Y1941" s="61" t="n">
        <f aca="false">Resumo!$B$12*CEILING(G1941,1)</f>
        <v>2.28</v>
      </c>
      <c r="Z1941" s="61" t="n">
        <f aca="false">Resumo!$B$14*CEILING(G1941,1)</f>
        <v>17.1</v>
      </c>
      <c r="AA1941" s="61" t="n">
        <f aca="false">SUM(T1941:Z1941)</f>
        <v>120.22997</v>
      </c>
      <c r="AB1941" s="61" t="n">
        <f aca="false">AA1941/(1-Resumo!$B$5)</f>
        <v>136.624965909091</v>
      </c>
      <c r="AC1941" s="61" t="n">
        <f aca="false">AB1941-S1941</f>
        <v>43.46365</v>
      </c>
      <c r="AD1941" s="62" t="n">
        <f aca="false">AB1941/S1941-1</f>
        <v>0.466541821311465</v>
      </c>
      <c r="AE1941" s="60" t="str">
        <f aca="false">IF(AB1941&lt;S1941,"SIM","NÃO")</f>
        <v>NÃO</v>
      </c>
      <c r="AF1941" s="60" t="n">
        <v>2</v>
      </c>
      <c r="AG1941" s="60" t="n">
        <v>5</v>
      </c>
      <c r="AH1941" s="60" t="s">
        <v>382</v>
      </c>
      <c r="AI1941" s="61" t="n">
        <f aca="false">(T1941*(1-Painel!$C$40)+U1941+V1941+Painel!$C$41+Painel!$C$42*CEILING(G1941/100,1)+Painel!$C$43*CEILING(G1941,1)+Z1941)/(1-Resumo!$B$5)</f>
        <v>94.8748522727273</v>
      </c>
      <c r="AJ1941" s="60" t="str">
        <f aca="false">IF(AI1941&lt;S1941,"SIM","NÃO")</f>
        <v>NÃO</v>
      </c>
    </row>
    <row r="1942" customFormat="false" ht="15" hidden="false" customHeight="false" outlineLevel="0" collapsed="false">
      <c r="A1942" s="59" t="n">
        <v>46284.8726736111</v>
      </c>
      <c r="B1942" s="60" t="s">
        <v>813</v>
      </c>
      <c r="C1942" s="60" t="n">
        <v>23520286</v>
      </c>
      <c r="D1942" s="60" t="s">
        <v>46</v>
      </c>
      <c r="E1942" s="60" t="s">
        <v>22</v>
      </c>
      <c r="F1942" s="60" t="s">
        <v>233</v>
      </c>
      <c r="G1942" s="60" t="n">
        <v>31.4</v>
      </c>
      <c r="H1942" s="61" t="n">
        <v>399.95</v>
      </c>
      <c r="I1942" s="61" t="n">
        <v>42.11</v>
      </c>
      <c r="J1942" s="61" t="n">
        <f aca="false">H1942*Resumo!$C$6</f>
        <v>0</v>
      </c>
      <c r="K1942" s="61" t="n">
        <f aca="false">H1942*Resumo!$C$7</f>
        <v>0.839895</v>
      </c>
      <c r="L1942" s="61" t="n">
        <f aca="false">H1942*Resumo!$C$8</f>
        <v>0.839895</v>
      </c>
      <c r="M1942" s="61" t="n">
        <f aca="false">Resumo!$C$10*CEILING(G1942/100,1)</f>
        <v>1.05</v>
      </c>
      <c r="N1942" s="61" t="n">
        <f aca="false">Resumo!$C$9</f>
        <v>0</v>
      </c>
      <c r="O1942" s="61" t="n">
        <f aca="false">Resumo!$C$13</f>
        <v>13.55</v>
      </c>
      <c r="P1942" s="61" t="n">
        <f aca="false">Resumo!$C$14*CEILING(G1942,1)</f>
        <v>14.4</v>
      </c>
      <c r="Q1942" s="61" t="n">
        <f aca="false">SUM(I1942:P1942)*Resumo!$C$11</f>
        <v>0</v>
      </c>
      <c r="R1942" s="61" t="n">
        <f aca="false">SUM(I1942:Q1942)</f>
        <v>72.78979</v>
      </c>
      <c r="S1942" s="61" t="n">
        <f aca="false">R1942/(1-Resumo!$C$5)</f>
        <v>82.7156704545455</v>
      </c>
      <c r="T1942" s="61" t="n">
        <v>82.21</v>
      </c>
      <c r="U1942" s="61" t="n">
        <f aca="false">H1942*Resumo!$B$6</f>
        <v>0.39995</v>
      </c>
      <c r="V1942" s="61" t="n">
        <f aca="false">H1942*Resumo!$B$7</f>
        <v>0.7999</v>
      </c>
      <c r="W1942" s="61" t="n">
        <f aca="false">Resumo!$B$9</f>
        <v>1</v>
      </c>
      <c r="X1942" s="61" t="n">
        <f aca="false">Resumo!$B$10*CEILING(G1942/100,1)</f>
        <v>4.5</v>
      </c>
      <c r="Y1942" s="61" t="n">
        <f aca="false">Resumo!$B$12*CEILING(G1942,1)</f>
        <v>1.92</v>
      </c>
      <c r="Z1942" s="61" t="n">
        <f aca="false">Resumo!$B$14*CEILING(G1942,1)</f>
        <v>14.4</v>
      </c>
      <c r="AA1942" s="61" t="n">
        <f aca="false">SUM(T1942:Z1942)</f>
        <v>105.22985</v>
      </c>
      <c r="AB1942" s="61" t="n">
        <f aca="false">AA1942/(1-Resumo!$B$5)</f>
        <v>119.579375</v>
      </c>
      <c r="AC1942" s="61" t="n">
        <f aca="false">AB1942-S1942</f>
        <v>36.8637045454546</v>
      </c>
      <c r="AD1942" s="62" t="n">
        <f aca="false">AB1942/S1942-1</f>
        <v>0.445667723454072</v>
      </c>
      <c r="AE1942" s="60" t="str">
        <f aca="false">IF(AB1942&lt;S1942,"SIM","NÃO")</f>
        <v>NÃO</v>
      </c>
      <c r="AF1942" s="60" t="n">
        <v>2</v>
      </c>
      <c r="AG1942" s="60" t="n">
        <v>5</v>
      </c>
      <c r="AH1942" s="60" t="s">
        <v>382</v>
      </c>
      <c r="AI1942" s="61" t="n">
        <f aca="false">(T1942*(1-Painel!$C$40)+U1942+V1942+Painel!$C$41+Painel!$C$42*CEILING(G1942/100,1)+Painel!$C$43*CEILING(G1942,1)+Z1942)/(1-Resumo!$B$5)</f>
        <v>82.6483522727273</v>
      </c>
      <c r="AJ1942" s="60" t="str">
        <f aca="false">IF(AI1942&lt;S1942,"SIM","NÃO")</f>
        <v>SIM</v>
      </c>
    </row>
    <row r="1943" customFormat="false" ht="15" hidden="false" customHeight="false" outlineLevel="0" collapsed="false">
      <c r="A1943" s="59" t="n">
        <v>46284.8932523148</v>
      </c>
      <c r="B1943" s="60" t="s">
        <v>2114</v>
      </c>
      <c r="C1943" s="60" t="n">
        <v>25808360</v>
      </c>
      <c r="D1943" s="60" t="s">
        <v>274</v>
      </c>
      <c r="E1943" s="60" t="s">
        <v>24</v>
      </c>
      <c r="F1943" s="60" t="s">
        <v>234</v>
      </c>
      <c r="G1943" s="60" t="n">
        <v>37.2</v>
      </c>
      <c r="H1943" s="61" t="n">
        <v>366.5</v>
      </c>
      <c r="I1943" s="61" t="n">
        <v>74.97</v>
      </c>
      <c r="J1943" s="61" t="n">
        <f aca="false">H1943*Resumo!$C$6</f>
        <v>0</v>
      </c>
      <c r="K1943" s="61" t="n">
        <f aca="false">H1943*Resumo!$C$7</f>
        <v>0.76965</v>
      </c>
      <c r="L1943" s="61" t="n">
        <f aca="false">H1943*Resumo!$C$8</f>
        <v>0.76965</v>
      </c>
      <c r="M1943" s="61" t="n">
        <f aca="false">Resumo!$C$10*CEILING(G1943/100,1)</f>
        <v>1.05</v>
      </c>
      <c r="N1943" s="61" t="n">
        <f aca="false">Resumo!$C$9</f>
        <v>0</v>
      </c>
      <c r="O1943" s="61" t="n">
        <f aca="false">Resumo!$C$13</f>
        <v>13.55</v>
      </c>
      <c r="P1943" s="61" t="n">
        <f aca="false">Resumo!$C$14*CEILING(G1943,1)</f>
        <v>17.1</v>
      </c>
      <c r="Q1943" s="61" t="n">
        <f aca="false">SUM(I1943:P1943)*Resumo!$C$11</f>
        <v>0</v>
      </c>
      <c r="R1943" s="61" t="n">
        <f aca="false">SUM(I1943:Q1943)</f>
        <v>108.2093</v>
      </c>
      <c r="S1943" s="61" t="n">
        <f aca="false">R1943/(1-Resumo!$C$5)</f>
        <v>122.965113636364</v>
      </c>
      <c r="T1943" s="61" t="n">
        <v>124.38</v>
      </c>
      <c r="U1943" s="61" t="n">
        <f aca="false">H1943*Resumo!$B$6</f>
        <v>0.3665</v>
      </c>
      <c r="V1943" s="61" t="n">
        <f aca="false">H1943*Resumo!$B$7</f>
        <v>0.733</v>
      </c>
      <c r="W1943" s="61" t="n">
        <f aca="false">Resumo!$B$9</f>
        <v>1</v>
      </c>
      <c r="X1943" s="61" t="n">
        <f aca="false">Resumo!$B$10*CEILING(G1943/100,1)</f>
        <v>4.5</v>
      </c>
      <c r="Y1943" s="61" t="n">
        <f aca="false">Resumo!$B$12*CEILING(G1943,1)</f>
        <v>2.28</v>
      </c>
      <c r="Z1943" s="61" t="n">
        <f aca="false">Resumo!$B$14*CEILING(G1943,1)</f>
        <v>17.1</v>
      </c>
      <c r="AA1943" s="61" t="n">
        <f aca="false">SUM(T1943:Z1943)</f>
        <v>150.3595</v>
      </c>
      <c r="AB1943" s="61" t="n">
        <f aca="false">AA1943/(1-Resumo!$B$5)</f>
        <v>170.863068181818</v>
      </c>
      <c r="AC1943" s="61" t="n">
        <f aca="false">AB1943-S1943</f>
        <v>47.8979545454545</v>
      </c>
      <c r="AD1943" s="62" t="n">
        <f aca="false">AB1943/S1943-1</f>
        <v>0.389524745100467</v>
      </c>
      <c r="AE1943" s="60" t="str">
        <f aca="false">IF(AB1943&lt;S1943,"SIM","NÃO")</f>
        <v>NÃO</v>
      </c>
      <c r="AF1943" s="60" t="n">
        <v>13</v>
      </c>
      <c r="AG1943" s="60" t="n">
        <v>8</v>
      </c>
      <c r="AH1943" s="60" t="s">
        <v>385</v>
      </c>
      <c r="AI1943" s="61" t="n">
        <f aca="false">(T1943*(1-Painel!$C$40)+U1943+V1943+Painel!$C$41+Painel!$C$42*CEILING(G1943/100,1)+Painel!$C$43*CEILING(G1943,1)+Z1943)/(1-Resumo!$B$5)</f>
        <v>117.709204545455</v>
      </c>
      <c r="AJ1943" s="60" t="str">
        <f aca="false">IF(AI1943&lt;S1943,"SIM","NÃO")</f>
        <v>SIM</v>
      </c>
    </row>
    <row r="1944" customFormat="false" ht="15" hidden="false" customHeight="false" outlineLevel="0" collapsed="false">
      <c r="A1944" s="59" t="n">
        <v>46284.9047569444</v>
      </c>
      <c r="B1944" s="60" t="s">
        <v>2115</v>
      </c>
      <c r="C1944" s="60" t="n">
        <v>23570020</v>
      </c>
      <c r="D1944" s="60" t="s">
        <v>46</v>
      </c>
      <c r="E1944" s="60" t="s">
        <v>22</v>
      </c>
      <c r="F1944" s="60" t="s">
        <v>235</v>
      </c>
      <c r="G1944" s="60" t="n">
        <v>49.6</v>
      </c>
      <c r="H1944" s="61" t="n">
        <v>769.99</v>
      </c>
      <c r="I1944" s="61" t="n">
        <v>53.55</v>
      </c>
      <c r="J1944" s="61" t="n">
        <f aca="false">H1944*Resumo!$C$6</f>
        <v>0</v>
      </c>
      <c r="K1944" s="61" t="n">
        <f aca="false">H1944*Resumo!$C$7</f>
        <v>1.616979</v>
      </c>
      <c r="L1944" s="61" t="n">
        <f aca="false">H1944*Resumo!$C$8</f>
        <v>1.616979</v>
      </c>
      <c r="M1944" s="61" t="n">
        <f aca="false">Resumo!$C$10*CEILING(G1944/100,1)</f>
        <v>1.05</v>
      </c>
      <c r="N1944" s="61" t="n">
        <f aca="false">Resumo!$C$9</f>
        <v>0</v>
      </c>
      <c r="O1944" s="61" t="n">
        <f aca="false">Resumo!$C$13</f>
        <v>13.55</v>
      </c>
      <c r="P1944" s="61" t="n">
        <f aca="false">Resumo!$C$14*CEILING(G1944,1)</f>
        <v>22.5</v>
      </c>
      <c r="Q1944" s="61" t="n">
        <f aca="false">SUM(I1944:P1944)*Resumo!$C$11</f>
        <v>0</v>
      </c>
      <c r="R1944" s="61" t="n">
        <f aca="false">SUM(I1944:Q1944)</f>
        <v>93.883958</v>
      </c>
      <c r="S1944" s="61" t="n">
        <f aca="false">R1944/(1-Resumo!$C$5)</f>
        <v>106.686315909091</v>
      </c>
      <c r="T1944" s="61" t="n">
        <v>93.97</v>
      </c>
      <c r="U1944" s="61" t="n">
        <f aca="false">H1944*Resumo!$B$6</f>
        <v>0.76999</v>
      </c>
      <c r="V1944" s="61" t="n">
        <f aca="false">H1944*Resumo!$B$7</f>
        <v>1.53998</v>
      </c>
      <c r="W1944" s="61" t="n">
        <f aca="false">Resumo!$B$9</f>
        <v>1</v>
      </c>
      <c r="X1944" s="61" t="n">
        <f aca="false">Resumo!$B$10*CEILING(G1944/100,1)</f>
        <v>4.5</v>
      </c>
      <c r="Y1944" s="61" t="n">
        <f aca="false">Resumo!$B$12*CEILING(G1944,1)</f>
        <v>3</v>
      </c>
      <c r="Z1944" s="61" t="n">
        <f aca="false">Resumo!$B$14*CEILING(G1944,1)</f>
        <v>22.5</v>
      </c>
      <c r="AA1944" s="61" t="n">
        <f aca="false">SUM(T1944:Z1944)</f>
        <v>127.27997</v>
      </c>
      <c r="AB1944" s="61" t="n">
        <f aca="false">AA1944/(1-Resumo!$B$5)</f>
        <v>144.636329545455</v>
      </c>
      <c r="AC1944" s="61" t="n">
        <f aca="false">AB1944-S1944</f>
        <v>37.9500136363637</v>
      </c>
      <c r="AD1944" s="62" t="n">
        <f aca="false">AB1944/S1944-1</f>
        <v>0.355715850837904</v>
      </c>
      <c r="AE1944" s="60" t="str">
        <f aca="false">IF(AB1944&lt;S1944,"SIM","NÃO")</f>
        <v>NÃO</v>
      </c>
      <c r="AF1944" s="60" t="n">
        <v>2</v>
      </c>
      <c r="AG1944" s="60" t="n">
        <v>5</v>
      </c>
      <c r="AH1944" s="60" t="s">
        <v>382</v>
      </c>
      <c r="AI1944" s="61" t="n">
        <f aca="false">(T1944*(1-Painel!$C$40)+U1944+V1944+Painel!$C$41+Painel!$C$42*CEILING(G1944/100,1)+Painel!$C$43*CEILING(G1944,1)+Z1944)/(1-Resumo!$B$5)</f>
        <v>102.068034090909</v>
      </c>
      <c r="AJ1944" s="60" t="str">
        <f aca="false">IF(AI1944&lt;S1944,"SIM","NÃO")</f>
        <v>SIM</v>
      </c>
    </row>
    <row r="1945" customFormat="false" ht="15" hidden="false" customHeight="false" outlineLevel="0" collapsed="false">
      <c r="A1945" s="59" t="n">
        <v>46285.0417476852</v>
      </c>
      <c r="B1945" s="60" t="s">
        <v>1921</v>
      </c>
      <c r="C1945" s="60" t="n">
        <v>21645521</v>
      </c>
      <c r="D1945" s="60" t="s">
        <v>46</v>
      </c>
      <c r="E1945" s="60" t="s">
        <v>22</v>
      </c>
      <c r="F1945" s="60" t="s">
        <v>234</v>
      </c>
      <c r="G1945" s="60" t="n">
        <v>37.2</v>
      </c>
      <c r="H1945" s="61" t="n">
        <v>366.5</v>
      </c>
      <c r="I1945" s="61" t="n">
        <v>48.35</v>
      </c>
      <c r="J1945" s="61" t="n">
        <f aca="false">H1945*Resumo!$C$6</f>
        <v>0</v>
      </c>
      <c r="K1945" s="61" t="n">
        <f aca="false">H1945*Resumo!$C$7</f>
        <v>0.76965</v>
      </c>
      <c r="L1945" s="61" t="n">
        <f aca="false">H1945*Resumo!$C$8</f>
        <v>0.76965</v>
      </c>
      <c r="M1945" s="61" t="n">
        <f aca="false">Resumo!$C$10*CEILING(G1945/100,1)</f>
        <v>1.05</v>
      </c>
      <c r="N1945" s="61" t="n">
        <f aca="false">Resumo!$C$9</f>
        <v>0</v>
      </c>
      <c r="O1945" s="61" t="n">
        <f aca="false">Resumo!$C$13</f>
        <v>13.55</v>
      </c>
      <c r="P1945" s="61" t="n">
        <f aca="false">Resumo!$C$14*CEILING(G1945,1)</f>
        <v>17.1</v>
      </c>
      <c r="Q1945" s="61" t="n">
        <f aca="false">SUM(I1945:P1945)*Resumo!$C$11</f>
        <v>0</v>
      </c>
      <c r="R1945" s="61" t="n">
        <f aca="false">SUM(I1945:Q1945)</f>
        <v>81.5893</v>
      </c>
      <c r="S1945" s="61" t="n">
        <f aca="false">R1945/(1-Resumo!$C$5)</f>
        <v>92.7151136363636</v>
      </c>
      <c r="T1945" s="61" t="n">
        <v>93.97</v>
      </c>
      <c r="U1945" s="61" t="n">
        <f aca="false">H1945*Resumo!$B$6</f>
        <v>0.3665</v>
      </c>
      <c r="V1945" s="61" t="n">
        <f aca="false">H1945*Resumo!$B$7</f>
        <v>0.733</v>
      </c>
      <c r="W1945" s="61" t="n">
        <f aca="false">Resumo!$B$9</f>
        <v>1</v>
      </c>
      <c r="X1945" s="61" t="n">
        <f aca="false">Resumo!$B$10*CEILING(G1945/100,1)</f>
        <v>4.5</v>
      </c>
      <c r="Y1945" s="61" t="n">
        <f aca="false">Resumo!$B$12*CEILING(G1945,1)</f>
        <v>2.28</v>
      </c>
      <c r="Z1945" s="61" t="n">
        <f aca="false">Resumo!$B$14*CEILING(G1945,1)</f>
        <v>17.1</v>
      </c>
      <c r="AA1945" s="61" t="n">
        <f aca="false">SUM(T1945:Z1945)</f>
        <v>119.9495</v>
      </c>
      <c r="AB1945" s="61" t="n">
        <f aca="false">AA1945/(1-Resumo!$B$5)</f>
        <v>136.30625</v>
      </c>
      <c r="AC1945" s="61" t="n">
        <f aca="false">AB1945-S1945</f>
        <v>43.5911363636364</v>
      </c>
      <c r="AD1945" s="62" t="n">
        <f aca="false">AB1945/S1945-1</f>
        <v>0.470162141359222</v>
      </c>
      <c r="AE1945" s="60" t="str">
        <f aca="false">IF(AB1945&lt;S1945,"SIM","NÃO")</f>
        <v>NÃO</v>
      </c>
      <c r="AF1945" s="60" t="n">
        <v>2</v>
      </c>
      <c r="AG1945" s="60" t="n">
        <v>5</v>
      </c>
      <c r="AH1945" s="60" t="s">
        <v>382</v>
      </c>
      <c r="AI1945" s="61" t="n">
        <f aca="false">(T1945*(1-Painel!$C$40)+U1945+V1945+Painel!$C$41+Painel!$C$42*CEILING(G1945/100,1)+Painel!$C$43*CEILING(G1945,1)+Z1945)/(1-Resumo!$B$5)</f>
        <v>94.5561363636364</v>
      </c>
      <c r="AJ1945" s="60" t="str">
        <f aca="false">IF(AI1945&lt;S1945,"SIM","NÃO")</f>
        <v>NÃO</v>
      </c>
    </row>
    <row r="1946" customFormat="false" ht="15" hidden="false" customHeight="false" outlineLevel="0" collapsed="false">
      <c r="A1946" s="59" t="n">
        <v>46285.1699768519</v>
      </c>
      <c r="B1946" s="60" t="s">
        <v>2116</v>
      </c>
      <c r="C1946" s="60" t="n">
        <v>25086540</v>
      </c>
      <c r="D1946" s="60" t="s">
        <v>48</v>
      </c>
      <c r="E1946" s="60" t="s">
        <v>23</v>
      </c>
      <c r="F1946" s="60" t="s">
        <v>235</v>
      </c>
      <c r="G1946" s="60" t="n">
        <v>43.5</v>
      </c>
      <c r="H1946" s="61" t="n">
        <v>662.38</v>
      </c>
      <c r="I1946" s="61" t="n">
        <v>65.36</v>
      </c>
      <c r="J1946" s="61" t="n">
        <f aca="false">H1946*Resumo!$C$6</f>
        <v>0</v>
      </c>
      <c r="K1946" s="61" t="n">
        <f aca="false">H1946*Resumo!$C$7</f>
        <v>1.390998</v>
      </c>
      <c r="L1946" s="61" t="n">
        <f aca="false">H1946*Resumo!$C$8</f>
        <v>1.390998</v>
      </c>
      <c r="M1946" s="61" t="n">
        <f aca="false">Resumo!$C$10*CEILING(G1946/100,1)</f>
        <v>1.05</v>
      </c>
      <c r="N1946" s="61" t="n">
        <f aca="false">Resumo!$C$9</f>
        <v>0</v>
      </c>
      <c r="O1946" s="61" t="n">
        <f aca="false">Resumo!$C$13</f>
        <v>13.55</v>
      </c>
      <c r="P1946" s="61" t="n">
        <f aca="false">Resumo!$C$14*CEILING(G1946,1)</f>
        <v>19.8</v>
      </c>
      <c r="Q1946" s="61" t="n">
        <f aca="false">SUM(I1946:P1946)*Resumo!$C$11</f>
        <v>0</v>
      </c>
      <c r="R1946" s="61" t="n">
        <f aca="false">SUM(I1946:Q1946)</f>
        <v>102.541996</v>
      </c>
      <c r="S1946" s="61" t="n">
        <f aca="false">R1946/(1-Resumo!$C$5)</f>
        <v>116.524995454545</v>
      </c>
      <c r="T1946" s="61" t="n">
        <v>93.97</v>
      </c>
      <c r="U1946" s="61" t="n">
        <f aca="false">H1946*Resumo!$B$6</f>
        <v>0.66238</v>
      </c>
      <c r="V1946" s="61" t="n">
        <f aca="false">H1946*Resumo!$B$7</f>
        <v>1.32476</v>
      </c>
      <c r="W1946" s="61" t="n">
        <f aca="false">Resumo!$B$9</f>
        <v>1</v>
      </c>
      <c r="X1946" s="61" t="n">
        <f aca="false">Resumo!$B$10*CEILING(G1946/100,1)</f>
        <v>4.5</v>
      </c>
      <c r="Y1946" s="61" t="n">
        <f aca="false">Resumo!$B$12*CEILING(G1946,1)</f>
        <v>2.64</v>
      </c>
      <c r="Z1946" s="61" t="n">
        <f aca="false">Resumo!$B$14*CEILING(G1946,1)</f>
        <v>19.8</v>
      </c>
      <c r="AA1946" s="61" t="n">
        <f aca="false">SUM(T1946:Z1946)</f>
        <v>123.89714</v>
      </c>
      <c r="AB1946" s="61" t="n">
        <f aca="false">AA1946/(1-Resumo!$B$5)</f>
        <v>140.792204545455</v>
      </c>
      <c r="AC1946" s="61" t="n">
        <f aca="false">AB1946-S1946</f>
        <v>24.2672090909091</v>
      </c>
      <c r="AD1946" s="62" t="n">
        <f aca="false">AB1946/S1946-1</f>
        <v>0.208257541622264</v>
      </c>
      <c r="AE1946" s="60" t="str">
        <f aca="false">IF(AB1946&lt;S1946,"SIM","NÃO")</f>
        <v>NÃO</v>
      </c>
      <c r="AF1946" s="60" t="n">
        <v>2</v>
      </c>
      <c r="AG1946" s="60" t="n">
        <v>5</v>
      </c>
      <c r="AH1946" s="60" t="s">
        <v>382</v>
      </c>
      <c r="AI1946" s="61" t="n">
        <f aca="false">(T1946*(1-Painel!$C$40)+U1946+V1946+Painel!$C$41+Painel!$C$42*CEILING(G1946/100,1)+Painel!$C$43*CEILING(G1946,1)+Z1946)/(1-Resumo!$B$5)</f>
        <v>98.633</v>
      </c>
      <c r="AJ1946" s="60" t="str">
        <f aca="false">IF(AI1946&lt;S1946,"SIM","NÃO")</f>
        <v>SIM</v>
      </c>
    </row>
    <row r="1947" customFormat="false" ht="15" hidden="false" customHeight="false" outlineLevel="0" collapsed="false">
      <c r="A1947" s="59" t="n">
        <v>46285.3014583333</v>
      </c>
      <c r="B1947" s="60" t="s">
        <v>2117</v>
      </c>
      <c r="C1947" s="60" t="n">
        <v>20550160</v>
      </c>
      <c r="D1947" s="60" t="s">
        <v>46</v>
      </c>
      <c r="E1947" s="60" t="s">
        <v>22</v>
      </c>
      <c r="F1947" s="60" t="s">
        <v>236</v>
      </c>
      <c r="G1947" s="60" t="n">
        <v>58.5</v>
      </c>
      <c r="H1947" s="61" t="n">
        <v>855.88</v>
      </c>
      <c r="I1947" s="61" t="n">
        <v>58.6</v>
      </c>
      <c r="J1947" s="61" t="n">
        <f aca="false">H1947*Resumo!$C$6</f>
        <v>0</v>
      </c>
      <c r="K1947" s="61" t="n">
        <f aca="false">H1947*Resumo!$C$7</f>
        <v>1.797348</v>
      </c>
      <c r="L1947" s="61" t="n">
        <f aca="false">H1947*Resumo!$C$8</f>
        <v>1.797348</v>
      </c>
      <c r="M1947" s="61" t="n">
        <f aca="false">Resumo!$C$10*CEILING(G1947/100,1)</f>
        <v>1.05</v>
      </c>
      <c r="N1947" s="61" t="n">
        <f aca="false">Resumo!$C$9</f>
        <v>0</v>
      </c>
      <c r="O1947" s="61" t="n">
        <f aca="false">Resumo!$C$13</f>
        <v>13.55</v>
      </c>
      <c r="P1947" s="61" t="n">
        <f aca="false">Resumo!$C$14*CEILING(G1947,1)</f>
        <v>26.55</v>
      </c>
      <c r="Q1947" s="61" t="n">
        <f aca="false">SUM(I1947:P1947)*Resumo!$C$11</f>
        <v>0</v>
      </c>
      <c r="R1947" s="61" t="n">
        <f aca="false">SUM(I1947:Q1947)</f>
        <v>103.344696</v>
      </c>
      <c r="S1947" s="61" t="n">
        <f aca="false">R1947/(1-Resumo!$C$5)</f>
        <v>117.437154545455</v>
      </c>
      <c r="T1947" s="61" t="n">
        <v>112.3</v>
      </c>
      <c r="U1947" s="61" t="n">
        <f aca="false">H1947*Resumo!$B$6</f>
        <v>0.85588</v>
      </c>
      <c r="V1947" s="61" t="n">
        <f aca="false">H1947*Resumo!$B$7</f>
        <v>1.71176</v>
      </c>
      <c r="W1947" s="61" t="n">
        <f aca="false">Resumo!$B$9</f>
        <v>1</v>
      </c>
      <c r="X1947" s="61" t="n">
        <f aca="false">Resumo!$B$10*CEILING(G1947/100,1)</f>
        <v>4.5</v>
      </c>
      <c r="Y1947" s="61" t="n">
        <f aca="false">Resumo!$B$12*CEILING(G1947,1)</f>
        <v>3.54</v>
      </c>
      <c r="Z1947" s="61" t="n">
        <f aca="false">Resumo!$B$14*CEILING(G1947,1)</f>
        <v>26.55</v>
      </c>
      <c r="AA1947" s="61" t="n">
        <f aca="false">SUM(T1947:Z1947)</f>
        <v>150.45764</v>
      </c>
      <c r="AB1947" s="61" t="n">
        <f aca="false">AA1947/(1-Resumo!$B$5)</f>
        <v>170.974590909091</v>
      </c>
      <c r="AC1947" s="61" t="n">
        <f aca="false">AB1947-S1947</f>
        <v>53.5374363636363</v>
      </c>
      <c r="AD1947" s="62" t="n">
        <f aca="false">AB1947/S1947-1</f>
        <v>0.455881586801513</v>
      </c>
      <c r="AE1947" s="60" t="str">
        <f aca="false">IF(AB1947&lt;S1947,"SIM","NÃO")</f>
        <v>NÃO</v>
      </c>
      <c r="AF1947" s="60" t="n">
        <v>2</v>
      </c>
      <c r="AG1947" s="60" t="n">
        <v>5</v>
      </c>
      <c r="AH1947" s="60" t="s">
        <v>382</v>
      </c>
      <c r="AI1947" s="61" t="n">
        <f aca="false">(T1947*(1-Painel!$C$40)+U1947+V1947+Painel!$C$41+Painel!$C$42*CEILING(G1947/100,1)+Painel!$C$43*CEILING(G1947,1)+Z1947)/(1-Resumo!$B$5)</f>
        <v>120.918909090909</v>
      </c>
      <c r="AJ1947" s="60" t="str">
        <f aca="false">IF(AI1947&lt;S1947,"SIM","NÃO")</f>
        <v>NÃO</v>
      </c>
    </row>
    <row r="1948" customFormat="false" ht="15" hidden="false" customHeight="false" outlineLevel="0" collapsed="false">
      <c r="A1948" s="59" t="n">
        <v>46285.3826851852</v>
      </c>
      <c r="B1948" s="60" t="s">
        <v>2118</v>
      </c>
      <c r="C1948" s="60" t="n">
        <v>24431580</v>
      </c>
      <c r="D1948" s="60" t="s">
        <v>47</v>
      </c>
      <c r="E1948" s="60" t="s">
        <v>23</v>
      </c>
      <c r="F1948" s="60" t="s">
        <v>237</v>
      </c>
      <c r="G1948" s="60" t="n">
        <v>66.8</v>
      </c>
      <c r="H1948" s="61" t="n">
        <v>691.9</v>
      </c>
      <c r="I1948" s="61" t="n">
        <v>76.55</v>
      </c>
      <c r="J1948" s="61" t="n">
        <f aca="false">H1948*Resumo!$C$6</f>
        <v>0</v>
      </c>
      <c r="K1948" s="61" t="n">
        <f aca="false">H1948*Resumo!$C$7</f>
        <v>1.45299</v>
      </c>
      <c r="L1948" s="61" t="n">
        <f aca="false">H1948*Resumo!$C$8</f>
        <v>1.45299</v>
      </c>
      <c r="M1948" s="61" t="n">
        <f aca="false">Resumo!$C$10*CEILING(G1948/100,1)</f>
        <v>1.05</v>
      </c>
      <c r="N1948" s="61" t="n">
        <f aca="false">Resumo!$C$9</f>
        <v>0</v>
      </c>
      <c r="O1948" s="61" t="n">
        <f aca="false">Resumo!$C$13</f>
        <v>13.55</v>
      </c>
      <c r="P1948" s="61" t="n">
        <f aca="false">Resumo!$C$14*CEILING(G1948,1)</f>
        <v>30.15</v>
      </c>
      <c r="Q1948" s="61" t="n">
        <f aca="false">SUM(I1948:P1948)*Resumo!$C$11</f>
        <v>0</v>
      </c>
      <c r="R1948" s="61" t="n">
        <f aca="false">SUM(I1948:Q1948)</f>
        <v>124.20598</v>
      </c>
      <c r="S1948" s="61" t="n">
        <f aca="false">R1948/(1-Resumo!$C$5)</f>
        <v>141.143159090909</v>
      </c>
      <c r="T1948" s="61" t="n">
        <v>149.5</v>
      </c>
      <c r="U1948" s="61" t="n">
        <f aca="false">H1948*Resumo!$B$6</f>
        <v>0.6919</v>
      </c>
      <c r="V1948" s="61" t="n">
        <f aca="false">H1948*Resumo!$B$7</f>
        <v>1.3838</v>
      </c>
      <c r="W1948" s="61" t="n">
        <f aca="false">Resumo!$B$9</f>
        <v>1</v>
      </c>
      <c r="X1948" s="61" t="n">
        <f aca="false">Resumo!$B$10*CEILING(G1948/100,1)</f>
        <v>4.5</v>
      </c>
      <c r="Y1948" s="61" t="n">
        <f aca="false">Resumo!$B$12*CEILING(G1948,1)</f>
        <v>4.02</v>
      </c>
      <c r="Z1948" s="61" t="n">
        <f aca="false">Resumo!$B$14*CEILING(G1948,1)</f>
        <v>30.15</v>
      </c>
      <c r="AA1948" s="61" t="n">
        <f aca="false">SUM(T1948:Z1948)</f>
        <v>191.2457</v>
      </c>
      <c r="AB1948" s="61" t="n">
        <f aca="false">AA1948/(1-Resumo!$B$5)</f>
        <v>217.324659090909</v>
      </c>
      <c r="AC1948" s="61" t="n">
        <f aca="false">AB1948-S1948</f>
        <v>76.1815</v>
      </c>
      <c r="AD1948" s="62" t="n">
        <f aca="false">AB1948/S1948-1</f>
        <v>0.539746314951985</v>
      </c>
      <c r="AE1948" s="60" t="str">
        <f aca="false">IF(AB1948&lt;S1948,"SIM","NÃO")</f>
        <v>NÃO</v>
      </c>
      <c r="AF1948" s="60" t="n">
        <v>2</v>
      </c>
      <c r="AG1948" s="60" t="n">
        <v>7</v>
      </c>
      <c r="AH1948" s="60" t="s">
        <v>382</v>
      </c>
      <c r="AI1948" s="61" t="n">
        <f aca="false">(T1948*(1-Painel!$C$40)+U1948+V1948+Painel!$C$41+Painel!$C$42*CEILING(G1948/100,1)+Painel!$C$43*CEILING(G1948,1)+Z1948)/(1-Resumo!$B$5)</f>
        <v>152.773522727273</v>
      </c>
      <c r="AJ1948" s="60" t="str">
        <f aca="false">IF(AI1948&lt;S1948,"SIM","NÃO")</f>
        <v>NÃO</v>
      </c>
    </row>
    <row r="1949" customFormat="false" ht="15" hidden="false" customHeight="false" outlineLevel="0" collapsed="false">
      <c r="A1949" s="59" t="n">
        <v>46285.442650463</v>
      </c>
      <c r="B1949" s="60" t="s">
        <v>1996</v>
      </c>
      <c r="C1949" s="60" t="n">
        <v>23020715</v>
      </c>
      <c r="D1949" s="60" t="s">
        <v>46</v>
      </c>
      <c r="E1949" s="60" t="s">
        <v>22</v>
      </c>
      <c r="F1949" s="60" t="s">
        <v>237</v>
      </c>
      <c r="G1949" s="60" t="n">
        <v>69.15</v>
      </c>
      <c r="H1949" s="61" t="n">
        <v>742.64</v>
      </c>
      <c r="I1949" s="61" t="n">
        <v>63.21</v>
      </c>
      <c r="J1949" s="61" t="n">
        <f aca="false">H1949*Resumo!$C$6</f>
        <v>0</v>
      </c>
      <c r="K1949" s="61" t="n">
        <f aca="false">H1949*Resumo!$C$7</f>
        <v>1.559544</v>
      </c>
      <c r="L1949" s="61" t="n">
        <f aca="false">H1949*Resumo!$C$8</f>
        <v>1.559544</v>
      </c>
      <c r="M1949" s="61" t="n">
        <f aca="false">Resumo!$C$10*CEILING(G1949/100,1)</f>
        <v>1.05</v>
      </c>
      <c r="N1949" s="61" t="n">
        <f aca="false">Resumo!$C$9</f>
        <v>0</v>
      </c>
      <c r="O1949" s="61" t="n">
        <f aca="false">Resumo!$C$13</f>
        <v>13.55</v>
      </c>
      <c r="P1949" s="61" t="n">
        <f aca="false">Resumo!$C$14*CEILING(G1949,1)</f>
        <v>31.5</v>
      </c>
      <c r="Q1949" s="61" t="n">
        <f aca="false">SUM(I1949:P1949)*Resumo!$C$11</f>
        <v>0</v>
      </c>
      <c r="R1949" s="61" t="n">
        <f aca="false">SUM(I1949:Q1949)</f>
        <v>112.429088</v>
      </c>
      <c r="S1949" s="61" t="n">
        <f aca="false">R1949/(1-Resumo!$C$5)</f>
        <v>127.760327272727</v>
      </c>
      <c r="T1949" s="61" t="n">
        <v>131.02</v>
      </c>
      <c r="U1949" s="61" t="n">
        <f aca="false">H1949*Resumo!$B$6</f>
        <v>0.74264</v>
      </c>
      <c r="V1949" s="61" t="n">
        <f aca="false">H1949*Resumo!$B$7</f>
        <v>1.48528</v>
      </c>
      <c r="W1949" s="61" t="n">
        <f aca="false">Resumo!$B$9</f>
        <v>1</v>
      </c>
      <c r="X1949" s="61" t="n">
        <f aca="false">Resumo!$B$10*CEILING(G1949/100,1)</f>
        <v>4.5</v>
      </c>
      <c r="Y1949" s="61" t="n">
        <f aca="false">Resumo!$B$12*CEILING(G1949,1)</f>
        <v>4.2</v>
      </c>
      <c r="Z1949" s="61" t="n">
        <f aca="false">Resumo!$B$14*CEILING(G1949,1)</f>
        <v>31.5</v>
      </c>
      <c r="AA1949" s="61" t="n">
        <f aca="false">SUM(T1949:Z1949)</f>
        <v>174.44792</v>
      </c>
      <c r="AB1949" s="61" t="n">
        <f aca="false">AA1949/(1-Resumo!$B$5)</f>
        <v>198.236272727273</v>
      </c>
      <c r="AC1949" s="61" t="n">
        <f aca="false">AB1949-S1949</f>
        <v>70.4759454545455</v>
      </c>
      <c r="AD1949" s="62" t="n">
        <f aca="false">AB1949/S1949-1</f>
        <v>0.551626212604339</v>
      </c>
      <c r="AE1949" s="60" t="str">
        <f aca="false">IF(AB1949&lt;S1949,"SIM","NÃO")</f>
        <v>NÃO</v>
      </c>
      <c r="AF1949" s="60" t="n">
        <v>2</v>
      </c>
      <c r="AG1949" s="60" t="n">
        <v>5</v>
      </c>
      <c r="AH1949" s="60" t="s">
        <v>382</v>
      </c>
      <c r="AI1949" s="61" t="n">
        <f aca="false">(T1949*(1-Painel!$C$40)+U1949+V1949+Painel!$C$41+Painel!$C$42*CEILING(G1949/100,1)+Painel!$C$43*CEILING(G1949,1)+Z1949)/(1-Resumo!$B$5)</f>
        <v>140.410590909091</v>
      </c>
      <c r="AJ1949" s="60" t="str">
        <f aca="false">IF(AI1949&lt;S1949,"SIM","NÃO")</f>
        <v>NÃO</v>
      </c>
    </row>
    <row r="1950" customFormat="false" ht="15" hidden="false" customHeight="false" outlineLevel="0" collapsed="false">
      <c r="A1950" s="59" t="n">
        <v>46285.4590972222</v>
      </c>
      <c r="B1950" s="60" t="s">
        <v>2119</v>
      </c>
      <c r="C1950" s="60" t="n">
        <v>24472090</v>
      </c>
      <c r="D1950" s="60" t="s">
        <v>47</v>
      </c>
      <c r="E1950" s="60" t="s">
        <v>23</v>
      </c>
      <c r="F1950" s="60" t="s">
        <v>236</v>
      </c>
      <c r="G1950" s="60" t="n">
        <v>60</v>
      </c>
      <c r="H1950" s="61" t="n">
        <v>762.34</v>
      </c>
      <c r="I1950" s="61" t="n">
        <v>70.98</v>
      </c>
      <c r="J1950" s="61" t="n">
        <f aca="false">H1950*Resumo!$C$6</f>
        <v>0</v>
      </c>
      <c r="K1950" s="61" t="n">
        <f aca="false">H1950*Resumo!$C$7</f>
        <v>1.600914</v>
      </c>
      <c r="L1950" s="61" t="n">
        <f aca="false">H1950*Resumo!$C$8</f>
        <v>1.600914</v>
      </c>
      <c r="M1950" s="61" t="n">
        <f aca="false">Resumo!$C$10*CEILING(G1950/100,1)</f>
        <v>1.05</v>
      </c>
      <c r="N1950" s="61" t="n">
        <f aca="false">Resumo!$C$9</f>
        <v>0</v>
      </c>
      <c r="O1950" s="61" t="n">
        <f aca="false">Resumo!$C$13</f>
        <v>13.55</v>
      </c>
      <c r="P1950" s="61" t="n">
        <f aca="false">Resumo!$C$14*CEILING(G1950,1)</f>
        <v>27</v>
      </c>
      <c r="Q1950" s="61" t="n">
        <f aca="false">SUM(I1950:P1950)*Resumo!$C$11</f>
        <v>0</v>
      </c>
      <c r="R1950" s="61" t="n">
        <f aca="false">SUM(I1950:Q1950)</f>
        <v>115.781828</v>
      </c>
      <c r="S1950" s="61" t="n">
        <f aca="false">R1950/(1-Resumo!$C$5)</f>
        <v>131.570259090909</v>
      </c>
      <c r="T1950" s="61" t="n">
        <v>128.14</v>
      </c>
      <c r="U1950" s="61" t="n">
        <f aca="false">H1950*Resumo!$B$6</f>
        <v>0.76234</v>
      </c>
      <c r="V1950" s="61" t="n">
        <f aca="false">H1950*Resumo!$B$7</f>
        <v>1.52468</v>
      </c>
      <c r="W1950" s="61" t="n">
        <f aca="false">Resumo!$B$9</f>
        <v>1</v>
      </c>
      <c r="X1950" s="61" t="n">
        <f aca="false">Resumo!$B$10*CEILING(G1950/100,1)</f>
        <v>4.5</v>
      </c>
      <c r="Y1950" s="61" t="n">
        <f aca="false">Resumo!$B$12*CEILING(G1950,1)</f>
        <v>3.6</v>
      </c>
      <c r="Z1950" s="61" t="n">
        <f aca="false">Resumo!$B$14*CEILING(G1950,1)</f>
        <v>27</v>
      </c>
      <c r="AA1950" s="61" t="n">
        <f aca="false">SUM(T1950:Z1950)</f>
        <v>166.52702</v>
      </c>
      <c r="AB1950" s="61" t="n">
        <f aca="false">AA1950/(1-Resumo!$B$5)</f>
        <v>189.23525</v>
      </c>
      <c r="AC1950" s="61" t="n">
        <f aca="false">AB1950-S1950</f>
        <v>57.6649909090909</v>
      </c>
      <c r="AD1950" s="62" t="n">
        <f aca="false">AB1950/S1950-1</f>
        <v>0.43828287112551</v>
      </c>
      <c r="AE1950" s="60" t="str">
        <f aca="false">IF(AB1950&lt;S1950,"SIM","NÃO")</f>
        <v>NÃO</v>
      </c>
      <c r="AF1950" s="60" t="n">
        <v>2</v>
      </c>
      <c r="AG1950" s="60" t="n">
        <v>7</v>
      </c>
      <c r="AH1950" s="60" t="s">
        <v>382</v>
      </c>
      <c r="AI1950" s="61" t="n">
        <f aca="false">(T1950*(1-Painel!$C$40)+U1950+V1950+Painel!$C$41+Painel!$C$42*CEILING(G1950/100,1)+Painel!$C$43*CEILING(G1950,1)+Z1950)/(1-Resumo!$B$5)</f>
        <v>133.171386363636</v>
      </c>
      <c r="AJ1950" s="60" t="str">
        <f aca="false">IF(AI1950&lt;S1950,"SIM","NÃO")</f>
        <v>NÃO</v>
      </c>
    </row>
    <row r="1951" customFormat="false" ht="15" hidden="false" customHeight="false" outlineLevel="0" collapsed="false">
      <c r="A1951" s="59" t="n">
        <v>46285.5565046296</v>
      </c>
      <c r="B1951" s="60" t="s">
        <v>2120</v>
      </c>
      <c r="C1951" s="60" t="n">
        <v>27258180</v>
      </c>
      <c r="D1951" s="60" t="s">
        <v>217</v>
      </c>
      <c r="E1951" s="60" t="s">
        <v>24</v>
      </c>
      <c r="F1951" s="60" t="s">
        <v>234</v>
      </c>
      <c r="G1951" s="60" t="n">
        <v>40</v>
      </c>
      <c r="H1951" s="61" t="n">
        <v>569.99</v>
      </c>
      <c r="I1951" s="61" t="n">
        <v>74.97</v>
      </c>
      <c r="J1951" s="61" t="n">
        <f aca="false">H1951*Resumo!$C$6</f>
        <v>0</v>
      </c>
      <c r="K1951" s="61" t="n">
        <f aca="false">H1951*Resumo!$C$7</f>
        <v>1.196979</v>
      </c>
      <c r="L1951" s="61" t="n">
        <f aca="false">H1951*Resumo!$C$8</f>
        <v>1.196979</v>
      </c>
      <c r="M1951" s="61" t="n">
        <f aca="false">Resumo!$C$10*CEILING(G1951/100,1)</f>
        <v>1.05</v>
      </c>
      <c r="N1951" s="61" t="n">
        <f aca="false">Resumo!$C$9</f>
        <v>0</v>
      </c>
      <c r="O1951" s="61" t="n">
        <f aca="false">Resumo!$C$13</f>
        <v>13.55</v>
      </c>
      <c r="P1951" s="61" t="n">
        <f aca="false">Resumo!$C$14*CEILING(G1951,1)</f>
        <v>18</v>
      </c>
      <c r="Q1951" s="61" t="n">
        <f aca="false">SUM(I1951:P1951)*Resumo!$C$11</f>
        <v>0</v>
      </c>
      <c r="R1951" s="61" t="n">
        <f aca="false">SUM(I1951:Q1951)</f>
        <v>109.963958</v>
      </c>
      <c r="S1951" s="61" t="n">
        <f aca="false">R1951/(1-Resumo!$C$5)</f>
        <v>124.959043181818</v>
      </c>
      <c r="T1951" s="61" t="n">
        <v>124.38</v>
      </c>
      <c r="U1951" s="61" t="n">
        <f aca="false">H1951*Resumo!$B$6</f>
        <v>0.56999</v>
      </c>
      <c r="V1951" s="61" t="n">
        <f aca="false">H1951*Resumo!$B$7</f>
        <v>1.13998</v>
      </c>
      <c r="W1951" s="61" t="n">
        <f aca="false">Resumo!$B$9</f>
        <v>1</v>
      </c>
      <c r="X1951" s="61" t="n">
        <f aca="false">Resumo!$B$10*CEILING(G1951/100,1)</f>
        <v>4.5</v>
      </c>
      <c r="Y1951" s="61" t="n">
        <f aca="false">Resumo!$B$12*CEILING(G1951,1)</f>
        <v>2.4</v>
      </c>
      <c r="Z1951" s="61" t="n">
        <f aca="false">Resumo!$B$14*CEILING(G1951,1)</f>
        <v>18</v>
      </c>
      <c r="AA1951" s="61" t="n">
        <f aca="false">SUM(T1951:Z1951)</f>
        <v>151.98997</v>
      </c>
      <c r="AB1951" s="61" t="n">
        <f aca="false">AA1951/(1-Resumo!$B$5)</f>
        <v>172.715875</v>
      </c>
      <c r="AC1951" s="61" t="n">
        <f aca="false">AB1951-S1951</f>
        <v>47.7568318181818</v>
      </c>
      <c r="AD1951" s="62" t="n">
        <f aca="false">AB1951/S1951-1</f>
        <v>0.382179877519505</v>
      </c>
      <c r="AE1951" s="60" t="str">
        <f aca="false">IF(AB1951&lt;S1951,"SIM","NÃO")</f>
        <v>NÃO</v>
      </c>
      <c r="AF1951" s="60" t="n">
        <v>13</v>
      </c>
      <c r="AG1951" s="60" t="n">
        <v>10</v>
      </c>
      <c r="AH1951" s="60" t="s">
        <v>382</v>
      </c>
      <c r="AI1951" s="61" t="n">
        <f aca="false">(T1951*(1-Painel!$C$40)+U1951+V1951+Painel!$C$41+Painel!$C$42*CEILING(G1951/100,1)+Painel!$C$43*CEILING(G1951,1)+Z1951)/(1-Resumo!$B$5)</f>
        <v>119.425647727273</v>
      </c>
      <c r="AJ1951" s="60" t="str">
        <f aca="false">IF(AI1951&lt;S1951,"SIM","NÃO")</f>
        <v>SIM</v>
      </c>
    </row>
    <row r="1952" customFormat="false" ht="15" hidden="false" customHeight="false" outlineLevel="0" collapsed="false">
      <c r="A1952" s="59" t="n">
        <v>46285.589375</v>
      </c>
      <c r="B1952" s="60" t="s">
        <v>2121</v>
      </c>
      <c r="C1952" s="60" t="n">
        <v>25821060</v>
      </c>
      <c r="D1952" s="60" t="s">
        <v>274</v>
      </c>
      <c r="E1952" s="60" t="s">
        <v>24</v>
      </c>
      <c r="F1952" s="60" t="s">
        <v>238</v>
      </c>
      <c r="G1952" s="60" t="n">
        <v>80</v>
      </c>
      <c r="H1952" s="61" t="n">
        <v>989.98</v>
      </c>
      <c r="I1952" s="61" t="n">
        <v>96.77</v>
      </c>
      <c r="J1952" s="61" t="n">
        <f aca="false">H1952*Resumo!$C$6</f>
        <v>0</v>
      </c>
      <c r="K1952" s="61" t="n">
        <f aca="false">H1952*Resumo!$C$7</f>
        <v>2.078958</v>
      </c>
      <c r="L1952" s="61" t="n">
        <f aca="false">H1952*Resumo!$C$8</f>
        <v>2.078958</v>
      </c>
      <c r="M1952" s="61" t="n">
        <f aca="false">Resumo!$C$10*CEILING(G1952/100,1)</f>
        <v>1.05</v>
      </c>
      <c r="N1952" s="61" t="n">
        <f aca="false">Resumo!$C$9</f>
        <v>0</v>
      </c>
      <c r="O1952" s="61" t="n">
        <f aca="false">Resumo!$C$13</f>
        <v>13.55</v>
      </c>
      <c r="P1952" s="61" t="n">
        <f aca="false">Resumo!$C$14*CEILING(G1952,1)</f>
        <v>36</v>
      </c>
      <c r="Q1952" s="61" t="n">
        <f aca="false">SUM(I1952:P1952)*Resumo!$C$11</f>
        <v>0</v>
      </c>
      <c r="R1952" s="61" t="n">
        <f aca="false">SUM(I1952:Q1952)</f>
        <v>151.527916</v>
      </c>
      <c r="S1952" s="61" t="n">
        <f aca="false">R1952/(1-Resumo!$C$5)</f>
        <v>172.190813636364</v>
      </c>
      <c r="T1952" s="61" t="n">
        <v>166.05</v>
      </c>
      <c r="U1952" s="61" t="n">
        <f aca="false">H1952*Resumo!$B$6</f>
        <v>0.98998</v>
      </c>
      <c r="V1952" s="61" t="n">
        <f aca="false">H1952*Resumo!$B$7</f>
        <v>1.97996</v>
      </c>
      <c r="W1952" s="61" t="n">
        <f aca="false">Resumo!$B$9</f>
        <v>1</v>
      </c>
      <c r="X1952" s="61" t="n">
        <f aca="false">Resumo!$B$10*CEILING(G1952/100,1)</f>
        <v>4.5</v>
      </c>
      <c r="Y1952" s="61" t="n">
        <f aca="false">Resumo!$B$12*CEILING(G1952,1)</f>
        <v>4.8</v>
      </c>
      <c r="Z1952" s="61" t="n">
        <f aca="false">Resumo!$B$14*CEILING(G1952,1)</f>
        <v>36</v>
      </c>
      <c r="AA1952" s="61" t="n">
        <f aca="false">SUM(T1952:Z1952)</f>
        <v>215.31994</v>
      </c>
      <c r="AB1952" s="61" t="n">
        <f aca="false">AA1952/(1-Resumo!$B$5)</f>
        <v>244.68175</v>
      </c>
      <c r="AC1952" s="61" t="n">
        <f aca="false">AB1952-S1952</f>
        <v>72.4909363636364</v>
      </c>
      <c r="AD1952" s="62" t="n">
        <f aca="false">AB1952/S1952-1</f>
        <v>0.42099189168549</v>
      </c>
      <c r="AE1952" s="60" t="str">
        <f aca="false">IF(AB1952&lt;S1952,"SIM","NÃO")</f>
        <v>NÃO</v>
      </c>
      <c r="AF1952" s="60" t="n">
        <v>13</v>
      </c>
      <c r="AG1952" s="60" t="n">
        <v>8</v>
      </c>
      <c r="AH1952" s="60" t="s">
        <v>385</v>
      </c>
      <c r="AI1952" s="61" t="n">
        <f aca="false">(T1952*(1-Painel!$C$40)+U1952+V1952+Painel!$C$41+Painel!$C$42*CEILING(G1952/100,1)+Painel!$C$43*CEILING(G1952,1)+Z1952)/(1-Resumo!$B$5)</f>
        <v>173.038</v>
      </c>
      <c r="AJ1952" s="60" t="str">
        <f aca="false">IF(AI1952&lt;S1952,"SIM","NÃO")</f>
        <v>NÃO</v>
      </c>
    </row>
    <row r="1953" customFormat="false" ht="15" hidden="false" customHeight="false" outlineLevel="0" collapsed="false">
      <c r="A1953" s="59" t="n">
        <v>46285.629837963</v>
      </c>
      <c r="B1953" s="60" t="s">
        <v>2122</v>
      </c>
      <c r="C1953" s="60" t="n">
        <v>25565071</v>
      </c>
      <c r="D1953" s="60" t="s">
        <v>216</v>
      </c>
      <c r="E1953" s="60" t="s">
        <v>23</v>
      </c>
      <c r="F1953" s="60" t="s">
        <v>235</v>
      </c>
      <c r="G1953" s="60" t="n">
        <v>46.8</v>
      </c>
      <c r="H1953" s="61" t="n">
        <v>492.2</v>
      </c>
      <c r="I1953" s="61" t="n">
        <v>65.36</v>
      </c>
      <c r="J1953" s="61" t="n">
        <f aca="false">H1953*Resumo!$C$6</f>
        <v>0</v>
      </c>
      <c r="K1953" s="61" t="n">
        <f aca="false">H1953*Resumo!$C$7</f>
        <v>1.03362</v>
      </c>
      <c r="L1953" s="61" t="n">
        <f aca="false">H1953*Resumo!$C$8</f>
        <v>1.03362</v>
      </c>
      <c r="M1953" s="61" t="n">
        <f aca="false">Resumo!$C$10*CEILING(G1953/100,1)</f>
        <v>1.05</v>
      </c>
      <c r="N1953" s="61" t="n">
        <f aca="false">Resumo!$C$9</f>
        <v>0</v>
      </c>
      <c r="O1953" s="61" t="n">
        <f aca="false">Resumo!$C$13</f>
        <v>13.55</v>
      </c>
      <c r="P1953" s="61" t="n">
        <f aca="false">Resumo!$C$14*CEILING(G1953,1)</f>
        <v>21.15</v>
      </c>
      <c r="Q1953" s="61" t="n">
        <f aca="false">SUM(I1953:P1953)*Resumo!$C$11</f>
        <v>0</v>
      </c>
      <c r="R1953" s="61" t="n">
        <f aca="false">SUM(I1953:Q1953)</f>
        <v>103.17724</v>
      </c>
      <c r="S1953" s="61" t="n">
        <f aca="false">R1953/(1-Resumo!$C$5)</f>
        <v>117.246863636364</v>
      </c>
      <c r="T1953" s="61" t="n">
        <v>93.97</v>
      </c>
      <c r="U1953" s="61" t="n">
        <f aca="false">H1953*Resumo!$B$6</f>
        <v>0.4922</v>
      </c>
      <c r="V1953" s="61" t="n">
        <f aca="false">H1953*Resumo!$B$7</f>
        <v>0.9844</v>
      </c>
      <c r="W1953" s="61" t="n">
        <f aca="false">Resumo!$B$9</f>
        <v>1</v>
      </c>
      <c r="X1953" s="61" t="n">
        <f aca="false">Resumo!$B$10*CEILING(G1953/100,1)</f>
        <v>4.5</v>
      </c>
      <c r="Y1953" s="61" t="n">
        <f aca="false">Resumo!$B$12*CEILING(G1953,1)</f>
        <v>2.82</v>
      </c>
      <c r="Z1953" s="61" t="n">
        <f aca="false">Resumo!$B$14*CEILING(G1953,1)</f>
        <v>21.15</v>
      </c>
      <c r="AA1953" s="61" t="n">
        <f aca="false">SUM(T1953:Z1953)</f>
        <v>124.9166</v>
      </c>
      <c r="AB1953" s="61" t="n">
        <f aca="false">AA1953/(1-Resumo!$B$5)</f>
        <v>141.950681818182</v>
      </c>
      <c r="AC1953" s="61" t="n">
        <f aca="false">AB1953-S1953</f>
        <v>24.7038181818182</v>
      </c>
      <c r="AD1953" s="62" t="n">
        <f aca="false">AB1953/S1953-1</f>
        <v>0.210699181331076</v>
      </c>
      <c r="AE1953" s="60" t="str">
        <f aca="false">IF(AB1953&lt;S1953,"SIM","NÃO")</f>
        <v>NÃO</v>
      </c>
      <c r="AF1953" s="60" t="n">
        <v>2</v>
      </c>
      <c r="AG1953" s="60" t="n">
        <v>5</v>
      </c>
      <c r="AH1953" s="60" t="s">
        <v>382</v>
      </c>
      <c r="AI1953" s="61" t="n">
        <f aca="false">(T1953*(1-Painel!$C$40)+U1953+V1953+Painel!$C$41+Painel!$C$42*CEILING(G1953/100,1)+Painel!$C$43*CEILING(G1953,1)+Z1953)/(1-Resumo!$B$5)</f>
        <v>99.5869318181818</v>
      </c>
      <c r="AJ1953" s="60" t="str">
        <f aca="false">IF(AI1953&lt;S1953,"SIM","NÃO")</f>
        <v>SIM</v>
      </c>
    </row>
    <row r="1954" customFormat="false" ht="15" hidden="false" customHeight="false" outlineLevel="0" collapsed="false">
      <c r="A1954" s="59" t="n">
        <v>46285.6419560185</v>
      </c>
      <c r="B1954" s="60" t="s">
        <v>517</v>
      </c>
      <c r="C1954" s="60" t="n">
        <v>28660000</v>
      </c>
      <c r="D1954" s="60" t="s">
        <v>328</v>
      </c>
      <c r="E1954" s="60" t="s">
        <v>24</v>
      </c>
      <c r="F1954" s="60" t="s">
        <v>236</v>
      </c>
      <c r="G1954" s="60" t="n">
        <v>52.3</v>
      </c>
      <c r="H1954" s="61" t="n">
        <v>699.99</v>
      </c>
      <c r="I1954" s="61" t="n">
        <v>83.58</v>
      </c>
      <c r="J1954" s="61" t="n">
        <f aca="false">H1954*Resumo!$C$6</f>
        <v>0</v>
      </c>
      <c r="K1954" s="61" t="n">
        <f aca="false">H1954*Resumo!$C$7</f>
        <v>1.469979</v>
      </c>
      <c r="L1954" s="61" t="n">
        <f aca="false">H1954*Resumo!$C$8</f>
        <v>1.469979</v>
      </c>
      <c r="M1954" s="61" t="n">
        <f aca="false">Resumo!$C$10*CEILING(G1954/100,1)</f>
        <v>1.05</v>
      </c>
      <c r="N1954" s="61" t="n">
        <f aca="false">Resumo!$C$9</f>
        <v>0</v>
      </c>
      <c r="O1954" s="61" t="n">
        <f aca="false">Resumo!$C$13</f>
        <v>13.55</v>
      </c>
      <c r="P1954" s="61" t="n">
        <f aca="false">Resumo!$C$14*CEILING(G1954,1)</f>
        <v>23.85</v>
      </c>
      <c r="Q1954" s="61" t="n">
        <f aca="false">SUM(I1954:P1954)*Resumo!$C$11</f>
        <v>0</v>
      </c>
      <c r="R1954" s="61" t="n">
        <f aca="false">SUM(I1954:Q1954)</f>
        <v>124.969958</v>
      </c>
      <c r="S1954" s="61" t="n">
        <f aca="false">R1954/(1-Resumo!$C$5)</f>
        <v>142.011315909091</v>
      </c>
      <c r="T1954" s="61" t="n">
        <v>144.53</v>
      </c>
      <c r="U1954" s="61" t="n">
        <f aca="false">H1954*Resumo!$B$6</f>
        <v>0.69999</v>
      </c>
      <c r="V1954" s="61" t="n">
        <f aca="false">H1954*Resumo!$B$7</f>
        <v>1.39998</v>
      </c>
      <c r="W1954" s="61" t="n">
        <f aca="false">Resumo!$B$9</f>
        <v>1</v>
      </c>
      <c r="X1954" s="61" t="n">
        <f aca="false">Resumo!$B$10*CEILING(G1954/100,1)</f>
        <v>4.5</v>
      </c>
      <c r="Y1954" s="61" t="n">
        <f aca="false">Resumo!$B$12*CEILING(G1954,1)</f>
        <v>3.18</v>
      </c>
      <c r="Z1954" s="61" t="n">
        <f aca="false">Resumo!$B$14*CEILING(G1954,1)</f>
        <v>23.85</v>
      </c>
      <c r="AA1954" s="61" t="n">
        <f aca="false">SUM(T1954:Z1954)</f>
        <v>179.15997</v>
      </c>
      <c r="AB1954" s="61" t="n">
        <f aca="false">AA1954/(1-Resumo!$B$5)</f>
        <v>203.590875</v>
      </c>
      <c r="AC1954" s="61" t="n">
        <f aca="false">AB1954-S1954</f>
        <v>61.5795590909091</v>
      </c>
      <c r="AD1954" s="62" t="n">
        <f aca="false">AB1954/S1954-1</f>
        <v>0.433624311532536</v>
      </c>
      <c r="AE1954" s="60" t="str">
        <f aca="false">IF(AB1954&lt;S1954,"SIM","NÃO")</f>
        <v>NÃO</v>
      </c>
      <c r="AF1954" s="60" t="n">
        <v>13</v>
      </c>
      <c r="AG1954" s="60" t="n">
        <v>10</v>
      </c>
      <c r="AH1954" s="60" t="s">
        <v>385</v>
      </c>
      <c r="AI1954" s="61" t="n">
        <f aca="false">(T1954*(1-Painel!$C$40)+U1954+V1954+Painel!$C$41+Painel!$C$42*CEILING(G1954/100,1)+Painel!$C$43*CEILING(G1954,1)+Z1954)/(1-Resumo!$B$5)</f>
        <v>141.858034090909</v>
      </c>
      <c r="AJ1954" s="60" t="str">
        <f aca="false">IF(AI1954&lt;S1954,"SIM","NÃO")</f>
        <v>SIM</v>
      </c>
    </row>
    <row r="1955" customFormat="false" ht="15" hidden="false" customHeight="false" outlineLevel="0" collapsed="false">
      <c r="A1955" s="59" t="n">
        <v>46285.6464814815</v>
      </c>
      <c r="B1955" s="60" t="s">
        <v>2123</v>
      </c>
      <c r="C1955" s="60" t="n">
        <v>27288450</v>
      </c>
      <c r="D1955" s="60" t="s">
        <v>217</v>
      </c>
      <c r="E1955" s="60" t="s">
        <v>24</v>
      </c>
      <c r="F1955" s="60" t="s">
        <v>237</v>
      </c>
      <c r="G1955" s="60" t="n">
        <v>66.8</v>
      </c>
      <c r="H1955" s="61" t="n">
        <v>679.99</v>
      </c>
      <c r="I1955" s="61" t="n">
        <v>90.2</v>
      </c>
      <c r="J1955" s="61" t="n">
        <f aca="false">H1955*Resumo!$C$6</f>
        <v>0</v>
      </c>
      <c r="K1955" s="61" t="n">
        <f aca="false">H1955*Resumo!$C$7</f>
        <v>1.427979</v>
      </c>
      <c r="L1955" s="61" t="n">
        <f aca="false">H1955*Resumo!$C$8</f>
        <v>1.427979</v>
      </c>
      <c r="M1955" s="61" t="n">
        <f aca="false">Resumo!$C$10*CEILING(G1955/100,1)</f>
        <v>1.05</v>
      </c>
      <c r="N1955" s="61" t="n">
        <f aca="false">Resumo!$C$9</f>
        <v>0</v>
      </c>
      <c r="O1955" s="61" t="n">
        <f aca="false">Resumo!$C$13</f>
        <v>13.55</v>
      </c>
      <c r="P1955" s="61" t="n">
        <f aca="false">Resumo!$C$14*CEILING(G1955,1)</f>
        <v>30.15</v>
      </c>
      <c r="Q1955" s="61" t="n">
        <f aca="false">SUM(I1955:P1955)*Resumo!$C$11</f>
        <v>0</v>
      </c>
      <c r="R1955" s="61" t="n">
        <f aca="false">SUM(I1955:Q1955)</f>
        <v>137.805958</v>
      </c>
      <c r="S1955" s="61" t="n">
        <f aca="false">R1955/(1-Resumo!$C$5)</f>
        <v>156.597679545455</v>
      </c>
      <c r="T1955" s="61" t="n">
        <v>166.05</v>
      </c>
      <c r="U1955" s="61" t="n">
        <f aca="false">H1955*Resumo!$B$6</f>
        <v>0.67999</v>
      </c>
      <c r="V1955" s="61" t="n">
        <f aca="false">H1955*Resumo!$B$7</f>
        <v>1.35998</v>
      </c>
      <c r="W1955" s="61" t="n">
        <f aca="false">Resumo!$B$9</f>
        <v>1</v>
      </c>
      <c r="X1955" s="61" t="n">
        <f aca="false">Resumo!$B$10*CEILING(G1955/100,1)</f>
        <v>4.5</v>
      </c>
      <c r="Y1955" s="61" t="n">
        <f aca="false">Resumo!$B$12*CEILING(G1955,1)</f>
        <v>4.02</v>
      </c>
      <c r="Z1955" s="61" t="n">
        <f aca="false">Resumo!$B$14*CEILING(G1955,1)</f>
        <v>30.15</v>
      </c>
      <c r="AA1955" s="61" t="n">
        <f aca="false">SUM(T1955:Z1955)</f>
        <v>207.75997</v>
      </c>
      <c r="AB1955" s="61" t="n">
        <f aca="false">AA1955/(1-Resumo!$B$5)</f>
        <v>236.090875</v>
      </c>
      <c r="AC1955" s="61" t="n">
        <f aca="false">AB1955-S1955</f>
        <v>79.4931954545455</v>
      </c>
      <c r="AD1955" s="62" t="n">
        <f aca="false">AB1955/S1955-1</f>
        <v>0.507626905362103</v>
      </c>
      <c r="AE1955" s="60" t="str">
        <f aca="false">IF(AB1955&lt;S1955,"SIM","NÃO")</f>
        <v>NÃO</v>
      </c>
      <c r="AF1955" s="60" t="n">
        <v>13</v>
      </c>
      <c r="AG1955" s="60" t="n">
        <v>10</v>
      </c>
      <c r="AH1955" s="60" t="s">
        <v>382</v>
      </c>
      <c r="AI1955" s="61" t="n">
        <f aca="false">(T1955*(1-Painel!$C$40)+U1955+V1955+Painel!$C$41+Painel!$C$42*CEILING(G1955/100,1)+Painel!$C$43*CEILING(G1955,1)+Z1955)/(1-Resumo!$B$5)</f>
        <v>165.333488636364</v>
      </c>
      <c r="AJ1955" s="60" t="str">
        <f aca="false">IF(AI1955&lt;S1955,"SIM","NÃO")</f>
        <v>NÃO</v>
      </c>
    </row>
    <row r="1956" customFormat="false" ht="15" hidden="false" customHeight="false" outlineLevel="0" collapsed="false">
      <c r="A1956" s="59" t="n">
        <v>46285.6499305556</v>
      </c>
      <c r="B1956" s="60" t="s">
        <v>2101</v>
      </c>
      <c r="C1956" s="60" t="n">
        <v>20250460</v>
      </c>
      <c r="D1956" s="60" t="s">
        <v>46</v>
      </c>
      <c r="E1956" s="60" t="s">
        <v>22</v>
      </c>
      <c r="F1956" s="60" t="s">
        <v>233</v>
      </c>
      <c r="G1956" s="60" t="n">
        <v>30.5</v>
      </c>
      <c r="H1956" s="61" t="n">
        <v>406.6</v>
      </c>
      <c r="I1956" s="61" t="n">
        <v>42.11</v>
      </c>
      <c r="J1956" s="61" t="n">
        <f aca="false">H1956*Resumo!$C$6</f>
        <v>0</v>
      </c>
      <c r="K1956" s="61" t="n">
        <f aca="false">H1956*Resumo!$C$7</f>
        <v>0.85386</v>
      </c>
      <c r="L1956" s="61" t="n">
        <f aca="false">H1956*Resumo!$C$8</f>
        <v>0.85386</v>
      </c>
      <c r="M1956" s="61" t="n">
        <f aca="false">Resumo!$C$10*CEILING(G1956/100,1)</f>
        <v>1.05</v>
      </c>
      <c r="N1956" s="61" t="n">
        <f aca="false">Resumo!$C$9</f>
        <v>0</v>
      </c>
      <c r="O1956" s="61" t="n">
        <f aca="false">Resumo!$C$13</f>
        <v>13.55</v>
      </c>
      <c r="P1956" s="61" t="n">
        <f aca="false">Resumo!$C$14*CEILING(G1956,1)</f>
        <v>13.95</v>
      </c>
      <c r="Q1956" s="61" t="n">
        <f aca="false">SUM(I1956:P1956)*Resumo!$C$11</f>
        <v>0</v>
      </c>
      <c r="R1956" s="61" t="n">
        <f aca="false">SUM(I1956:Q1956)</f>
        <v>72.36772</v>
      </c>
      <c r="S1956" s="61" t="n">
        <f aca="false">R1956/(1-Resumo!$C$5)</f>
        <v>82.2360454545455</v>
      </c>
      <c r="T1956" s="61" t="n">
        <v>82.21</v>
      </c>
      <c r="U1956" s="61" t="n">
        <f aca="false">H1956*Resumo!$B$6</f>
        <v>0.4066</v>
      </c>
      <c r="V1956" s="61" t="n">
        <f aca="false">H1956*Resumo!$B$7</f>
        <v>0.8132</v>
      </c>
      <c r="W1956" s="61" t="n">
        <f aca="false">Resumo!$B$9</f>
        <v>1</v>
      </c>
      <c r="X1956" s="61" t="n">
        <f aca="false">Resumo!$B$10*CEILING(G1956/100,1)</f>
        <v>4.5</v>
      </c>
      <c r="Y1956" s="61" t="n">
        <f aca="false">Resumo!$B$12*CEILING(G1956,1)</f>
        <v>1.86</v>
      </c>
      <c r="Z1956" s="61" t="n">
        <f aca="false">Resumo!$B$14*CEILING(G1956,1)</f>
        <v>13.95</v>
      </c>
      <c r="AA1956" s="61" t="n">
        <f aca="false">SUM(T1956:Z1956)</f>
        <v>104.7398</v>
      </c>
      <c r="AB1956" s="61" t="n">
        <f aca="false">AA1956/(1-Resumo!$B$5)</f>
        <v>119.0225</v>
      </c>
      <c r="AC1956" s="61" t="n">
        <f aca="false">AB1956-S1956</f>
        <v>36.7864545454545</v>
      </c>
      <c r="AD1956" s="62" t="n">
        <f aca="false">AB1956/S1956-1</f>
        <v>0.447327620657387</v>
      </c>
      <c r="AE1956" s="60" t="str">
        <f aca="false">IF(AB1956&lt;S1956,"SIM","NÃO")</f>
        <v>NÃO</v>
      </c>
      <c r="AF1956" s="60" t="n">
        <v>2</v>
      </c>
      <c r="AG1956" s="60" t="n">
        <v>5</v>
      </c>
      <c r="AH1956" s="60" t="s">
        <v>382</v>
      </c>
      <c r="AI1956" s="61" t="n">
        <f aca="false">(T1956*(1-Painel!$C$40)+U1956+V1956+Painel!$C$41+Painel!$C$42*CEILING(G1956/100,1)+Painel!$C$43*CEILING(G1956,1)+Z1956)/(1-Resumo!$B$5)</f>
        <v>82.1596590909091</v>
      </c>
      <c r="AJ1956" s="60" t="str">
        <f aca="false">IF(AI1956&lt;S1956,"SIM","NÃO")</f>
        <v>SIM</v>
      </c>
    </row>
    <row r="1957" customFormat="false" ht="15" hidden="false" customHeight="false" outlineLevel="0" collapsed="false">
      <c r="A1957" s="59" t="n">
        <v>46285.6872337963</v>
      </c>
      <c r="B1957" s="60" t="s">
        <v>2124</v>
      </c>
      <c r="C1957" s="60" t="n">
        <v>22780510</v>
      </c>
      <c r="D1957" s="60" t="s">
        <v>46</v>
      </c>
      <c r="E1957" s="60" t="s">
        <v>22</v>
      </c>
      <c r="F1957" s="60" t="s">
        <v>236</v>
      </c>
      <c r="G1957" s="60" t="n">
        <v>60</v>
      </c>
      <c r="H1957" s="61" t="n">
        <v>999.99</v>
      </c>
      <c r="I1957" s="61" t="n">
        <v>58.6</v>
      </c>
      <c r="J1957" s="61" t="n">
        <f aca="false">H1957*Resumo!$C$6</f>
        <v>0</v>
      </c>
      <c r="K1957" s="61" t="n">
        <f aca="false">H1957*Resumo!$C$7</f>
        <v>2.099979</v>
      </c>
      <c r="L1957" s="61" t="n">
        <f aca="false">H1957*Resumo!$C$8</f>
        <v>2.099979</v>
      </c>
      <c r="M1957" s="61" t="n">
        <f aca="false">Resumo!$C$10*CEILING(G1957/100,1)</f>
        <v>1.05</v>
      </c>
      <c r="N1957" s="61" t="n">
        <f aca="false">Resumo!$C$9</f>
        <v>0</v>
      </c>
      <c r="O1957" s="61" t="n">
        <f aca="false">Resumo!$C$13</f>
        <v>13.55</v>
      </c>
      <c r="P1957" s="61" t="n">
        <f aca="false">Resumo!$C$14*CEILING(G1957,1)</f>
        <v>27</v>
      </c>
      <c r="Q1957" s="61" t="n">
        <f aca="false">SUM(I1957:P1957)*Resumo!$C$11</f>
        <v>0</v>
      </c>
      <c r="R1957" s="61" t="n">
        <f aca="false">SUM(I1957:Q1957)</f>
        <v>104.399958</v>
      </c>
      <c r="S1957" s="61" t="n">
        <f aca="false">R1957/(1-Resumo!$C$5)</f>
        <v>118.636315909091</v>
      </c>
      <c r="T1957" s="61" t="n">
        <v>112.3</v>
      </c>
      <c r="U1957" s="61" t="n">
        <f aca="false">H1957*Resumo!$B$6</f>
        <v>0.99999</v>
      </c>
      <c r="V1957" s="61" t="n">
        <f aca="false">H1957*Resumo!$B$7</f>
        <v>1.99998</v>
      </c>
      <c r="W1957" s="61" t="n">
        <f aca="false">Resumo!$B$9</f>
        <v>1</v>
      </c>
      <c r="X1957" s="61" t="n">
        <f aca="false">Resumo!$B$10*CEILING(G1957/100,1)</f>
        <v>4.5</v>
      </c>
      <c r="Y1957" s="61" t="n">
        <f aca="false">Resumo!$B$12*CEILING(G1957,1)</f>
        <v>3.6</v>
      </c>
      <c r="Z1957" s="61" t="n">
        <f aca="false">Resumo!$B$14*CEILING(G1957,1)</f>
        <v>27</v>
      </c>
      <c r="AA1957" s="61" t="n">
        <f aca="false">SUM(T1957:Z1957)</f>
        <v>151.39997</v>
      </c>
      <c r="AB1957" s="61" t="n">
        <f aca="false">AA1957/(1-Resumo!$B$5)</f>
        <v>172.045420454545</v>
      </c>
      <c r="AC1957" s="61" t="n">
        <f aca="false">AB1957-S1957</f>
        <v>53.4091045454545</v>
      </c>
      <c r="AD1957" s="62" t="n">
        <f aca="false">AB1957/S1957-1</f>
        <v>0.450191866935425</v>
      </c>
      <c r="AE1957" s="60" t="str">
        <f aca="false">IF(AB1957&lt;S1957,"SIM","NÃO")</f>
        <v>NÃO</v>
      </c>
      <c r="AF1957" s="60" t="n">
        <v>2</v>
      </c>
      <c r="AG1957" s="60" t="n">
        <v>5</v>
      </c>
      <c r="AH1957" s="60" t="s">
        <v>382</v>
      </c>
      <c r="AI1957" s="61" t="n">
        <f aca="false">(T1957*(1-Painel!$C$40)+U1957+V1957+Painel!$C$41+Painel!$C$42*CEILING(G1957/100,1)+Painel!$C$43*CEILING(G1957,1)+Z1957)/(1-Resumo!$B$5)</f>
        <v>121.921556818182</v>
      </c>
      <c r="AJ1957" s="60" t="str">
        <f aca="false">IF(AI1957&lt;S1957,"SIM","NÃO")</f>
        <v>NÃO</v>
      </c>
    </row>
    <row r="1958" customFormat="false" ht="15" hidden="false" customHeight="false" outlineLevel="0" collapsed="false">
      <c r="A1958" s="59" t="n">
        <v>46285.7225578704</v>
      </c>
      <c r="B1958" s="60" t="s">
        <v>2125</v>
      </c>
      <c r="C1958" s="60" t="n">
        <v>24346040</v>
      </c>
      <c r="D1958" s="60" t="s">
        <v>50</v>
      </c>
      <c r="E1958" s="60" t="s">
        <v>23</v>
      </c>
      <c r="F1958" s="60" t="s">
        <v>235</v>
      </c>
      <c r="G1958" s="60" t="n">
        <v>49.6</v>
      </c>
      <c r="H1958" s="61" t="n">
        <v>799.99</v>
      </c>
      <c r="I1958" s="61" t="n">
        <v>65.36</v>
      </c>
      <c r="J1958" s="61" t="n">
        <f aca="false">H1958*Resumo!$C$6</f>
        <v>0</v>
      </c>
      <c r="K1958" s="61" t="n">
        <f aca="false">H1958*Resumo!$C$7</f>
        <v>1.679979</v>
      </c>
      <c r="L1958" s="61" t="n">
        <f aca="false">H1958*Resumo!$C$8</f>
        <v>1.679979</v>
      </c>
      <c r="M1958" s="61" t="n">
        <f aca="false">Resumo!$C$10*CEILING(G1958/100,1)</f>
        <v>1.05</v>
      </c>
      <c r="N1958" s="61" t="n">
        <f aca="false">Resumo!$C$9</f>
        <v>0</v>
      </c>
      <c r="O1958" s="61" t="n">
        <f aca="false">Resumo!$C$13</f>
        <v>13.55</v>
      </c>
      <c r="P1958" s="61" t="n">
        <f aca="false">Resumo!$C$14*CEILING(G1958,1)</f>
        <v>22.5</v>
      </c>
      <c r="Q1958" s="61" t="n">
        <f aca="false">SUM(I1958:P1958)*Resumo!$C$11</f>
        <v>0</v>
      </c>
      <c r="R1958" s="61" t="n">
        <f aca="false">SUM(I1958:Q1958)</f>
        <v>105.819958</v>
      </c>
      <c r="S1958" s="61" t="n">
        <f aca="false">R1958/(1-Resumo!$C$5)</f>
        <v>120.249952272727</v>
      </c>
      <c r="T1958" s="61" t="n">
        <v>114.95</v>
      </c>
      <c r="U1958" s="61" t="n">
        <f aca="false">H1958*Resumo!$B$6</f>
        <v>0.79999</v>
      </c>
      <c r="V1958" s="61" t="n">
        <f aca="false">H1958*Resumo!$B$7</f>
        <v>1.59998</v>
      </c>
      <c r="W1958" s="61" t="n">
        <f aca="false">Resumo!$B$9</f>
        <v>1</v>
      </c>
      <c r="X1958" s="61" t="n">
        <f aca="false">Resumo!$B$10*CEILING(G1958/100,1)</f>
        <v>4.5</v>
      </c>
      <c r="Y1958" s="61" t="n">
        <f aca="false">Resumo!$B$12*CEILING(G1958,1)</f>
        <v>3</v>
      </c>
      <c r="Z1958" s="61" t="n">
        <f aca="false">Resumo!$B$14*CEILING(G1958,1)</f>
        <v>22.5</v>
      </c>
      <c r="AA1958" s="61" t="n">
        <f aca="false">SUM(T1958:Z1958)</f>
        <v>148.34997</v>
      </c>
      <c r="AB1958" s="61" t="n">
        <f aca="false">AA1958/(1-Resumo!$B$5)</f>
        <v>168.579511363636</v>
      </c>
      <c r="AC1958" s="61" t="n">
        <f aca="false">AB1958-S1958</f>
        <v>48.3295590909091</v>
      </c>
      <c r="AD1958" s="62" t="n">
        <f aca="false">AB1958/S1958-1</f>
        <v>0.401909174826926</v>
      </c>
      <c r="AE1958" s="60" t="str">
        <f aca="false">IF(AB1958&lt;S1958,"SIM","NÃO")</f>
        <v>NÃO</v>
      </c>
      <c r="AF1958" s="60" t="n">
        <v>2</v>
      </c>
      <c r="AG1958" s="60" t="n">
        <v>7</v>
      </c>
      <c r="AH1958" s="60" t="s">
        <v>382</v>
      </c>
      <c r="AI1958" s="61" t="n">
        <f aca="false">(T1958*(1-Painel!$C$40)+U1958+V1958+Painel!$C$41+Painel!$C$42*CEILING(G1958/100,1)+Painel!$C$43*CEILING(G1958,1)+Z1958)/(1-Resumo!$B$5)</f>
        <v>118.143715909091</v>
      </c>
      <c r="AJ1958" s="60" t="str">
        <f aca="false">IF(AI1958&lt;S1958,"SIM","NÃO")</f>
        <v>SIM</v>
      </c>
    </row>
    <row r="1959" customFormat="false" ht="15" hidden="false" customHeight="false" outlineLevel="0" collapsed="false">
      <c r="A1959" s="59" t="n">
        <v>46285.7355555556</v>
      </c>
      <c r="B1959" s="60" t="s">
        <v>2126</v>
      </c>
      <c r="C1959" s="60" t="n">
        <v>28977010</v>
      </c>
      <c r="D1959" s="60" t="s">
        <v>222</v>
      </c>
      <c r="E1959" s="60" t="s">
        <v>24</v>
      </c>
      <c r="F1959" s="60" t="s">
        <v>236</v>
      </c>
      <c r="G1959" s="60" t="n">
        <v>54.1</v>
      </c>
      <c r="H1959" s="61" t="n">
        <v>1199.99</v>
      </c>
      <c r="I1959" s="61" t="n">
        <v>83.58</v>
      </c>
      <c r="J1959" s="61" t="n">
        <f aca="false">H1959*Resumo!$C$6</f>
        <v>0</v>
      </c>
      <c r="K1959" s="61" t="n">
        <f aca="false">H1959*Resumo!$C$7</f>
        <v>2.519979</v>
      </c>
      <c r="L1959" s="61" t="n">
        <f aca="false">H1959*Resumo!$C$8</f>
        <v>2.519979</v>
      </c>
      <c r="M1959" s="61" t="n">
        <f aca="false">Resumo!$C$10*CEILING(G1959/100,1)</f>
        <v>1.05</v>
      </c>
      <c r="N1959" s="61" t="n">
        <f aca="false">Resumo!$C$9</f>
        <v>0</v>
      </c>
      <c r="O1959" s="61" t="n">
        <f aca="false">Resumo!$C$13</f>
        <v>13.55</v>
      </c>
      <c r="P1959" s="61" t="n">
        <f aca="false">Resumo!$C$14*CEILING(G1959,1)</f>
        <v>24.75</v>
      </c>
      <c r="Q1959" s="61" t="n">
        <f aca="false">SUM(I1959:P1959)*Resumo!$C$11</f>
        <v>0</v>
      </c>
      <c r="R1959" s="61" t="n">
        <f aca="false">SUM(I1959:Q1959)</f>
        <v>127.969958</v>
      </c>
      <c r="S1959" s="61" t="n">
        <f aca="false">R1959/(1-Resumo!$C$5)</f>
        <v>145.420406818182</v>
      </c>
      <c r="T1959" s="61" t="n">
        <v>142.32</v>
      </c>
      <c r="U1959" s="61" t="n">
        <f aca="false">H1959*Resumo!$B$6</f>
        <v>1.19999</v>
      </c>
      <c r="V1959" s="61" t="n">
        <f aca="false">H1959*Resumo!$B$7</f>
        <v>2.39998</v>
      </c>
      <c r="W1959" s="61" t="n">
        <f aca="false">Resumo!$B$9</f>
        <v>1</v>
      </c>
      <c r="X1959" s="61" t="n">
        <f aca="false">Resumo!$B$10*CEILING(G1959/100,1)</f>
        <v>4.5</v>
      </c>
      <c r="Y1959" s="61" t="n">
        <f aca="false">Resumo!$B$12*CEILING(G1959,1)</f>
        <v>3.3</v>
      </c>
      <c r="Z1959" s="61" t="n">
        <f aca="false">Resumo!$B$14*CEILING(G1959,1)</f>
        <v>24.75</v>
      </c>
      <c r="AA1959" s="61" t="n">
        <f aca="false">SUM(T1959:Z1959)</f>
        <v>179.46997</v>
      </c>
      <c r="AB1959" s="61" t="n">
        <f aca="false">AA1959/(1-Resumo!$B$5)</f>
        <v>203.943147727273</v>
      </c>
      <c r="AC1959" s="61" t="n">
        <f aca="false">AB1959-S1959</f>
        <v>58.5227409090909</v>
      </c>
      <c r="AD1959" s="62" t="n">
        <f aca="false">AB1959/S1959-1</f>
        <v>0.40243829727599</v>
      </c>
      <c r="AE1959" s="60" t="str">
        <f aca="false">IF(AB1959&lt;S1959,"SIM","NÃO")</f>
        <v>NÃO</v>
      </c>
      <c r="AF1959" s="60" t="n">
        <v>13</v>
      </c>
      <c r="AG1959" s="60" t="n">
        <v>10</v>
      </c>
      <c r="AH1959" s="60" t="s">
        <v>382</v>
      </c>
      <c r="AI1959" s="61" t="n">
        <f aca="false">(T1959*(1-Painel!$C$40)+U1959+V1959+Painel!$C$41+Painel!$C$42*CEILING(G1959/100,1)+Painel!$C$43*CEILING(G1959,1)+Z1959)/(1-Resumo!$B$5)</f>
        <v>142.902693181818</v>
      </c>
      <c r="AJ1959" s="60" t="str">
        <f aca="false">IF(AI1959&lt;S1959,"SIM","NÃO")</f>
        <v>SIM</v>
      </c>
    </row>
    <row r="1960" customFormat="false" ht="15" hidden="false" customHeight="false" outlineLevel="0" collapsed="false">
      <c r="A1960" s="59" t="n">
        <v>46285.7389814815</v>
      </c>
      <c r="B1960" s="60" t="s">
        <v>2127</v>
      </c>
      <c r="C1960" s="60" t="n">
        <v>25919279</v>
      </c>
      <c r="D1960" s="60" t="s">
        <v>225</v>
      </c>
      <c r="E1960" s="60" t="s">
        <v>24</v>
      </c>
      <c r="F1960" s="60" t="s">
        <v>233</v>
      </c>
      <c r="G1960" s="60" t="n">
        <v>30.5</v>
      </c>
      <c r="H1960" s="61" t="n">
        <v>406.6</v>
      </c>
      <c r="I1960" s="61" t="n">
        <v>65.63</v>
      </c>
      <c r="J1960" s="61" t="n">
        <f aca="false">H1960*Resumo!$C$6</f>
        <v>0</v>
      </c>
      <c r="K1960" s="61" t="n">
        <f aca="false">H1960*Resumo!$C$7</f>
        <v>0.85386</v>
      </c>
      <c r="L1960" s="61" t="n">
        <f aca="false">H1960*Resumo!$C$8</f>
        <v>0.85386</v>
      </c>
      <c r="M1960" s="61" t="n">
        <f aca="false">Resumo!$C$10*CEILING(G1960/100,1)</f>
        <v>1.05</v>
      </c>
      <c r="N1960" s="61" t="n">
        <f aca="false">Resumo!$C$9</f>
        <v>0</v>
      </c>
      <c r="O1960" s="61" t="n">
        <f aca="false">Resumo!$C$13</f>
        <v>13.55</v>
      </c>
      <c r="P1960" s="61" t="n">
        <f aca="false">Resumo!$C$14*CEILING(G1960,1)</f>
        <v>13.95</v>
      </c>
      <c r="Q1960" s="61" t="n">
        <f aca="false">SUM(I1960:P1960)*Resumo!$C$11</f>
        <v>0</v>
      </c>
      <c r="R1960" s="61" t="n">
        <f aca="false">SUM(I1960:Q1960)</f>
        <v>95.88772</v>
      </c>
      <c r="S1960" s="61" t="n">
        <f aca="false">R1960/(1-Resumo!$C$5)</f>
        <v>108.963318181818</v>
      </c>
      <c r="T1960" s="61" t="n">
        <v>103.28</v>
      </c>
      <c r="U1960" s="61" t="n">
        <f aca="false">H1960*Resumo!$B$6</f>
        <v>0.4066</v>
      </c>
      <c r="V1960" s="61" t="n">
        <f aca="false">H1960*Resumo!$B$7</f>
        <v>0.8132</v>
      </c>
      <c r="W1960" s="61" t="n">
        <f aca="false">Resumo!$B$9</f>
        <v>1</v>
      </c>
      <c r="X1960" s="61" t="n">
        <f aca="false">Resumo!$B$10*CEILING(G1960/100,1)</f>
        <v>4.5</v>
      </c>
      <c r="Y1960" s="61" t="n">
        <f aca="false">Resumo!$B$12*CEILING(G1960,1)</f>
        <v>1.86</v>
      </c>
      <c r="Z1960" s="61" t="n">
        <f aca="false">Resumo!$B$14*CEILING(G1960,1)</f>
        <v>13.95</v>
      </c>
      <c r="AA1960" s="61" t="n">
        <f aca="false">SUM(T1960:Z1960)</f>
        <v>125.8098</v>
      </c>
      <c r="AB1960" s="61" t="n">
        <f aca="false">AA1960/(1-Resumo!$B$5)</f>
        <v>142.965681818182</v>
      </c>
      <c r="AC1960" s="61" t="n">
        <f aca="false">AB1960-S1960</f>
        <v>34.0023636363636</v>
      </c>
      <c r="AD1960" s="62" t="n">
        <f aca="false">AB1960/S1960-1</f>
        <v>0.312053305678767</v>
      </c>
      <c r="AE1960" s="60" t="str">
        <f aca="false">IF(AB1960&lt;S1960,"SIM","NÃO")</f>
        <v>NÃO</v>
      </c>
      <c r="AF1960" s="60" t="n">
        <v>13</v>
      </c>
      <c r="AG1960" s="60" t="n">
        <v>6</v>
      </c>
      <c r="AH1960" s="60" t="s">
        <v>382</v>
      </c>
      <c r="AI1960" s="61" t="n">
        <f aca="false">(T1960*(1-Painel!$C$40)+U1960+V1960+Painel!$C$41+Painel!$C$42*CEILING(G1960/100,1)+Painel!$C$43*CEILING(G1960,1)+Z1960)/(1-Resumo!$B$5)</f>
        <v>98.2015909090909</v>
      </c>
      <c r="AJ1960" s="60" t="str">
        <f aca="false">IF(AI1960&lt;S1960,"SIM","NÃO")</f>
        <v>SIM</v>
      </c>
    </row>
    <row r="1961" customFormat="false" ht="15" hidden="false" customHeight="false" outlineLevel="0" collapsed="false">
      <c r="A1961" s="59" t="n">
        <v>46285.7740972222</v>
      </c>
      <c r="B1961" s="60" t="s">
        <v>683</v>
      </c>
      <c r="C1961" s="60" t="n">
        <v>24241002</v>
      </c>
      <c r="D1961" s="60" t="s">
        <v>50</v>
      </c>
      <c r="E1961" s="60" t="s">
        <v>23</v>
      </c>
      <c r="F1961" s="60" t="s">
        <v>234</v>
      </c>
      <c r="G1961" s="60" t="n">
        <v>40</v>
      </c>
      <c r="H1961" s="61" t="n">
        <v>539.99</v>
      </c>
      <c r="I1961" s="61" t="n">
        <v>66.83</v>
      </c>
      <c r="J1961" s="61" t="n">
        <f aca="false">H1961*Resumo!$C$6</f>
        <v>0</v>
      </c>
      <c r="K1961" s="61" t="n">
        <f aca="false">H1961*Resumo!$C$7</f>
        <v>1.133979</v>
      </c>
      <c r="L1961" s="61" t="n">
        <f aca="false">H1961*Resumo!$C$8</f>
        <v>1.133979</v>
      </c>
      <c r="M1961" s="61" t="n">
        <f aca="false">Resumo!$C$10*CEILING(G1961/100,1)</f>
        <v>1.05</v>
      </c>
      <c r="N1961" s="61" t="n">
        <f aca="false">Resumo!$C$9</f>
        <v>0</v>
      </c>
      <c r="O1961" s="61" t="n">
        <f aca="false">Resumo!$C$13</f>
        <v>13.55</v>
      </c>
      <c r="P1961" s="61" t="n">
        <f aca="false">Resumo!$C$14*CEILING(G1961,1)</f>
        <v>18</v>
      </c>
      <c r="Q1961" s="61" t="n">
        <f aca="false">SUM(I1961:P1961)*Resumo!$C$11</f>
        <v>0</v>
      </c>
      <c r="R1961" s="61" t="n">
        <f aca="false">SUM(I1961:Q1961)</f>
        <v>101.697958</v>
      </c>
      <c r="S1961" s="61" t="n">
        <f aca="false">R1961/(1-Resumo!$C$5)</f>
        <v>115.565861363636</v>
      </c>
      <c r="T1961" s="61" t="n">
        <v>114.95</v>
      </c>
      <c r="U1961" s="61" t="n">
        <f aca="false">H1961*Resumo!$B$6</f>
        <v>0.53999</v>
      </c>
      <c r="V1961" s="61" t="n">
        <f aca="false">H1961*Resumo!$B$7</f>
        <v>1.07998</v>
      </c>
      <c r="W1961" s="61" t="n">
        <f aca="false">Resumo!$B$9</f>
        <v>1</v>
      </c>
      <c r="X1961" s="61" t="n">
        <f aca="false">Resumo!$B$10*CEILING(G1961/100,1)</f>
        <v>4.5</v>
      </c>
      <c r="Y1961" s="61" t="n">
        <f aca="false">Resumo!$B$12*CEILING(G1961,1)</f>
        <v>2.4</v>
      </c>
      <c r="Z1961" s="61" t="n">
        <f aca="false">Resumo!$B$14*CEILING(G1961,1)</f>
        <v>18</v>
      </c>
      <c r="AA1961" s="61" t="n">
        <f aca="false">SUM(T1961:Z1961)</f>
        <v>142.46997</v>
      </c>
      <c r="AB1961" s="61" t="n">
        <f aca="false">AA1961/(1-Resumo!$B$5)</f>
        <v>161.897693181818</v>
      </c>
      <c r="AC1961" s="61" t="n">
        <f aca="false">AB1961-S1961</f>
        <v>46.3318318181818</v>
      </c>
      <c r="AD1961" s="62" t="n">
        <f aca="false">AB1961/S1961-1</f>
        <v>0.400912789222375</v>
      </c>
      <c r="AE1961" s="60" t="str">
        <f aca="false">IF(AB1961&lt;S1961,"SIM","NÃO")</f>
        <v>NÃO</v>
      </c>
      <c r="AF1961" s="60" t="n">
        <v>2</v>
      </c>
      <c r="AG1961" s="60" t="n">
        <v>7</v>
      </c>
      <c r="AH1961" s="60" t="s">
        <v>382</v>
      </c>
      <c r="AI1961" s="61" t="n">
        <f aca="false">(T1961*(1-Painel!$C$40)+U1961+V1961+Painel!$C$41+Painel!$C$42*CEILING(G1961/100,1)+Painel!$C$43*CEILING(G1961,1)+Z1961)/(1-Resumo!$B$5)</f>
        <v>112.143715909091</v>
      </c>
      <c r="AJ1961" s="60" t="str">
        <f aca="false">IF(AI1961&lt;S1961,"SIM","NÃO")</f>
        <v>SIM</v>
      </c>
    </row>
    <row r="1962" customFormat="false" ht="15" hidden="false" customHeight="false" outlineLevel="0" collapsed="false">
      <c r="A1962" s="59" t="n">
        <v>46285.8024305556</v>
      </c>
      <c r="B1962" s="60" t="s">
        <v>461</v>
      </c>
      <c r="C1962" s="60" t="n">
        <v>28880000</v>
      </c>
      <c r="D1962" s="60" t="s">
        <v>336</v>
      </c>
      <c r="E1962" s="60" t="s">
        <v>24</v>
      </c>
      <c r="F1962" s="60" t="s">
        <v>237</v>
      </c>
      <c r="G1962" s="60" t="n">
        <v>67.3</v>
      </c>
      <c r="H1962" s="61" t="n">
        <v>694.72</v>
      </c>
      <c r="I1962" s="61" t="n">
        <v>90.2</v>
      </c>
      <c r="J1962" s="61" t="n">
        <f aca="false">H1962*Resumo!$C$6</f>
        <v>0</v>
      </c>
      <c r="K1962" s="61" t="n">
        <f aca="false">H1962*Resumo!$C$7</f>
        <v>1.458912</v>
      </c>
      <c r="L1962" s="61" t="n">
        <f aca="false">H1962*Resumo!$C$8</f>
        <v>1.458912</v>
      </c>
      <c r="M1962" s="61" t="n">
        <f aca="false">Resumo!$C$10*CEILING(G1962/100,1)</f>
        <v>1.05</v>
      </c>
      <c r="N1962" s="61" t="n">
        <f aca="false">Resumo!$C$9</f>
        <v>0</v>
      </c>
      <c r="O1962" s="61" t="n">
        <f aca="false">Resumo!$C$13</f>
        <v>13.55</v>
      </c>
      <c r="P1962" s="61" t="n">
        <f aca="false">Resumo!$C$14*CEILING(G1962,1)</f>
        <v>30.6</v>
      </c>
      <c r="Q1962" s="61" t="n">
        <f aca="false">SUM(I1962:P1962)*Resumo!$C$11</f>
        <v>0</v>
      </c>
      <c r="R1962" s="61" t="n">
        <f aca="false">SUM(I1962:Q1962)</f>
        <v>138.317824</v>
      </c>
      <c r="S1962" s="61" t="n">
        <f aca="false">R1962/(1-Resumo!$C$5)</f>
        <v>157.179345454545</v>
      </c>
      <c r="T1962" s="61" t="n">
        <v>166.05</v>
      </c>
      <c r="U1962" s="61" t="n">
        <f aca="false">H1962*Resumo!$B$6</f>
        <v>0.69472</v>
      </c>
      <c r="V1962" s="61" t="n">
        <f aca="false">H1962*Resumo!$B$7</f>
        <v>1.38944</v>
      </c>
      <c r="W1962" s="61" t="n">
        <f aca="false">Resumo!$B$9</f>
        <v>1</v>
      </c>
      <c r="X1962" s="61" t="n">
        <f aca="false">Resumo!$B$10*CEILING(G1962/100,1)</f>
        <v>4.5</v>
      </c>
      <c r="Y1962" s="61" t="n">
        <f aca="false">Resumo!$B$12*CEILING(G1962,1)</f>
        <v>4.08</v>
      </c>
      <c r="Z1962" s="61" t="n">
        <f aca="false">Resumo!$B$14*CEILING(G1962,1)</f>
        <v>30.6</v>
      </c>
      <c r="AA1962" s="61" t="n">
        <f aca="false">SUM(T1962:Z1962)</f>
        <v>208.31416</v>
      </c>
      <c r="AB1962" s="61" t="n">
        <f aca="false">AA1962/(1-Resumo!$B$5)</f>
        <v>236.720636363636</v>
      </c>
      <c r="AC1962" s="61" t="n">
        <f aca="false">AB1962-S1962</f>
        <v>79.5412909090909</v>
      </c>
      <c r="AD1962" s="62" t="n">
        <f aca="false">AB1962/S1962-1</f>
        <v>0.506054346256922</v>
      </c>
      <c r="AE1962" s="60" t="str">
        <f aca="false">IF(AB1962&lt;S1962,"SIM","NÃO")</f>
        <v>NÃO</v>
      </c>
      <c r="AF1962" s="60" t="n">
        <v>13</v>
      </c>
      <c r="AG1962" s="60" t="n">
        <v>10</v>
      </c>
      <c r="AH1962" s="60" t="s">
        <v>385</v>
      </c>
      <c r="AI1962" s="61" t="n">
        <f aca="false">(T1962*(1-Painel!$C$40)+U1962+V1962+Painel!$C$41+Painel!$C$42*CEILING(G1962/100,1)+Painel!$C$43*CEILING(G1962,1)+Z1962)/(1-Resumo!$B$5)</f>
        <v>165.895068181818</v>
      </c>
      <c r="AJ1962" s="60" t="str">
        <f aca="false">IF(AI1962&lt;S1962,"SIM","NÃO")</f>
        <v>NÃO</v>
      </c>
    </row>
    <row r="1963" customFormat="false" ht="15" hidden="false" customHeight="false" outlineLevel="0" collapsed="false">
      <c r="A1963" s="59" t="n">
        <v>46285.8144560185</v>
      </c>
      <c r="B1963" s="60" t="s">
        <v>2128</v>
      </c>
      <c r="C1963" s="60" t="n">
        <v>21511200</v>
      </c>
      <c r="D1963" s="60" t="s">
        <v>46</v>
      </c>
      <c r="E1963" s="60" t="s">
        <v>22</v>
      </c>
      <c r="F1963" s="60" t="s">
        <v>235</v>
      </c>
      <c r="G1963" s="60" t="n">
        <v>49.6</v>
      </c>
      <c r="H1963" s="61" t="n">
        <v>769.99</v>
      </c>
      <c r="I1963" s="61" t="n">
        <v>53.55</v>
      </c>
      <c r="J1963" s="61" t="n">
        <f aca="false">H1963*Resumo!$C$6</f>
        <v>0</v>
      </c>
      <c r="K1963" s="61" t="n">
        <f aca="false">H1963*Resumo!$C$7</f>
        <v>1.616979</v>
      </c>
      <c r="L1963" s="61" t="n">
        <f aca="false">H1963*Resumo!$C$8</f>
        <v>1.616979</v>
      </c>
      <c r="M1963" s="61" t="n">
        <f aca="false">Resumo!$C$10*CEILING(G1963/100,1)</f>
        <v>1.05</v>
      </c>
      <c r="N1963" s="61" t="n">
        <f aca="false">Resumo!$C$9</f>
        <v>0</v>
      </c>
      <c r="O1963" s="61" t="n">
        <f aca="false">Resumo!$C$13</f>
        <v>13.55</v>
      </c>
      <c r="P1963" s="61" t="n">
        <f aca="false">Resumo!$C$14*CEILING(G1963,1)</f>
        <v>22.5</v>
      </c>
      <c r="Q1963" s="61" t="n">
        <f aca="false">SUM(I1963:P1963)*Resumo!$C$11</f>
        <v>0</v>
      </c>
      <c r="R1963" s="61" t="n">
        <f aca="false">SUM(I1963:Q1963)</f>
        <v>93.883958</v>
      </c>
      <c r="S1963" s="61" t="n">
        <f aca="false">R1963/(1-Resumo!$C$5)</f>
        <v>106.686315909091</v>
      </c>
      <c r="T1963" s="61" t="n">
        <v>93.97</v>
      </c>
      <c r="U1963" s="61" t="n">
        <f aca="false">H1963*Resumo!$B$6</f>
        <v>0.76999</v>
      </c>
      <c r="V1963" s="61" t="n">
        <f aca="false">H1963*Resumo!$B$7</f>
        <v>1.53998</v>
      </c>
      <c r="W1963" s="61" t="n">
        <f aca="false">Resumo!$B$9</f>
        <v>1</v>
      </c>
      <c r="X1963" s="61" t="n">
        <f aca="false">Resumo!$B$10*CEILING(G1963/100,1)</f>
        <v>4.5</v>
      </c>
      <c r="Y1963" s="61" t="n">
        <f aca="false">Resumo!$B$12*CEILING(G1963,1)</f>
        <v>3</v>
      </c>
      <c r="Z1963" s="61" t="n">
        <f aca="false">Resumo!$B$14*CEILING(G1963,1)</f>
        <v>22.5</v>
      </c>
      <c r="AA1963" s="61" t="n">
        <f aca="false">SUM(T1963:Z1963)</f>
        <v>127.27997</v>
      </c>
      <c r="AB1963" s="61" t="n">
        <f aca="false">AA1963/(1-Resumo!$B$5)</f>
        <v>144.636329545455</v>
      </c>
      <c r="AC1963" s="61" t="n">
        <f aca="false">AB1963-S1963</f>
        <v>37.9500136363637</v>
      </c>
      <c r="AD1963" s="62" t="n">
        <f aca="false">AB1963/S1963-1</f>
        <v>0.355715850837904</v>
      </c>
      <c r="AE1963" s="60" t="str">
        <f aca="false">IF(AB1963&lt;S1963,"SIM","NÃO")</f>
        <v>NÃO</v>
      </c>
      <c r="AF1963" s="60" t="n">
        <v>2</v>
      </c>
      <c r="AG1963" s="60" t="n">
        <v>5</v>
      </c>
      <c r="AH1963" s="60" t="s">
        <v>382</v>
      </c>
      <c r="AI1963" s="61" t="n">
        <f aca="false">(T1963*(1-Painel!$C$40)+U1963+V1963+Painel!$C$41+Painel!$C$42*CEILING(G1963/100,1)+Painel!$C$43*CEILING(G1963,1)+Z1963)/(1-Resumo!$B$5)</f>
        <v>102.068034090909</v>
      </c>
      <c r="AJ1963" s="60" t="str">
        <f aca="false">IF(AI1963&lt;S1963,"SIM","NÃO")</f>
        <v>SIM</v>
      </c>
    </row>
    <row r="1964" customFormat="false" ht="15" hidden="false" customHeight="false" outlineLevel="0" collapsed="false">
      <c r="A1964" s="59" t="n">
        <v>46285.8472222222</v>
      </c>
      <c r="B1964" s="60" t="s">
        <v>2129</v>
      </c>
      <c r="C1964" s="60" t="n">
        <v>21361640</v>
      </c>
      <c r="D1964" s="60" t="s">
        <v>46</v>
      </c>
      <c r="E1964" s="60" t="s">
        <v>22</v>
      </c>
      <c r="F1964" s="60" t="s">
        <v>235</v>
      </c>
      <c r="G1964" s="60" t="n">
        <v>48.3</v>
      </c>
      <c r="H1964" s="61" t="n">
        <v>449.35</v>
      </c>
      <c r="I1964" s="61" t="n">
        <v>53.55</v>
      </c>
      <c r="J1964" s="61" t="n">
        <f aca="false">H1964*Resumo!$C$6</f>
        <v>0</v>
      </c>
      <c r="K1964" s="61" t="n">
        <f aca="false">H1964*Resumo!$C$7</f>
        <v>0.943635</v>
      </c>
      <c r="L1964" s="61" t="n">
        <f aca="false">H1964*Resumo!$C$8</f>
        <v>0.943635</v>
      </c>
      <c r="M1964" s="61" t="n">
        <f aca="false">Resumo!$C$10*CEILING(G1964/100,1)</f>
        <v>1.05</v>
      </c>
      <c r="N1964" s="61" t="n">
        <f aca="false">Resumo!$C$9</f>
        <v>0</v>
      </c>
      <c r="O1964" s="61" t="n">
        <f aca="false">Resumo!$C$13</f>
        <v>13.55</v>
      </c>
      <c r="P1964" s="61" t="n">
        <f aca="false">Resumo!$C$14*CEILING(G1964,1)</f>
        <v>22.05</v>
      </c>
      <c r="Q1964" s="61" t="n">
        <f aca="false">SUM(I1964:P1964)*Resumo!$C$11</f>
        <v>0</v>
      </c>
      <c r="R1964" s="61" t="n">
        <f aca="false">SUM(I1964:Q1964)</f>
        <v>92.08727</v>
      </c>
      <c r="S1964" s="61" t="n">
        <f aca="false">R1964/(1-Resumo!$C$5)</f>
        <v>104.644625</v>
      </c>
      <c r="T1964" s="61" t="n">
        <v>93.97</v>
      </c>
      <c r="U1964" s="61" t="n">
        <f aca="false">H1964*Resumo!$B$6</f>
        <v>0.44935</v>
      </c>
      <c r="V1964" s="61" t="n">
        <f aca="false">H1964*Resumo!$B$7</f>
        <v>0.8987</v>
      </c>
      <c r="W1964" s="61" t="n">
        <f aca="false">Resumo!$B$9</f>
        <v>1</v>
      </c>
      <c r="X1964" s="61" t="n">
        <f aca="false">Resumo!$B$10*CEILING(G1964/100,1)</f>
        <v>4.5</v>
      </c>
      <c r="Y1964" s="61" t="n">
        <f aca="false">Resumo!$B$12*CEILING(G1964,1)</f>
        <v>2.94</v>
      </c>
      <c r="Z1964" s="61" t="n">
        <f aca="false">Resumo!$B$14*CEILING(G1964,1)</f>
        <v>22.05</v>
      </c>
      <c r="AA1964" s="61" t="n">
        <f aca="false">SUM(T1964:Z1964)</f>
        <v>125.80805</v>
      </c>
      <c r="AB1964" s="61" t="n">
        <f aca="false">AA1964/(1-Resumo!$B$5)</f>
        <v>142.963693181818</v>
      </c>
      <c r="AC1964" s="61" t="n">
        <f aca="false">AB1964-S1964</f>
        <v>38.3190681818182</v>
      </c>
      <c r="AD1964" s="62" t="n">
        <f aca="false">AB1964/S1964-1</f>
        <v>0.366182861105558</v>
      </c>
      <c r="AE1964" s="60" t="str">
        <f aca="false">IF(AB1964&lt;S1964,"SIM","NÃO")</f>
        <v>NÃO</v>
      </c>
      <c r="AF1964" s="60" t="n">
        <v>2</v>
      </c>
      <c r="AG1964" s="60" t="n">
        <v>5</v>
      </c>
      <c r="AH1964" s="60" t="s">
        <v>382</v>
      </c>
      <c r="AI1964" s="61" t="n">
        <f aca="false">(T1964*(1-Painel!$C$40)+U1964+V1964+Painel!$C$41+Painel!$C$42*CEILING(G1964/100,1)+Painel!$C$43*CEILING(G1964,1)+Z1964)/(1-Resumo!$B$5)</f>
        <v>100.463579545455</v>
      </c>
      <c r="AJ1964" s="60" t="str">
        <f aca="false">IF(AI1964&lt;S1964,"SIM","NÃO")</f>
        <v>SIM</v>
      </c>
    </row>
    <row r="1965" customFormat="false" ht="15" hidden="false" customHeight="false" outlineLevel="0" collapsed="false">
      <c r="A1965" s="59" t="n">
        <v>46285.9374884259</v>
      </c>
      <c r="B1965" s="60" t="s">
        <v>2130</v>
      </c>
      <c r="C1965" s="60" t="n">
        <v>22713460</v>
      </c>
      <c r="D1965" s="60" t="s">
        <v>46</v>
      </c>
      <c r="E1965" s="60" t="s">
        <v>22</v>
      </c>
      <c r="F1965" s="60" t="s">
        <v>233</v>
      </c>
      <c r="G1965" s="60" t="n">
        <v>31</v>
      </c>
      <c r="H1965" s="61" t="n">
        <v>323.94</v>
      </c>
      <c r="I1965" s="61" t="n">
        <v>42.11</v>
      </c>
      <c r="J1965" s="61" t="n">
        <f aca="false">H1965*Resumo!$C$6</f>
        <v>0</v>
      </c>
      <c r="K1965" s="61" t="n">
        <f aca="false">H1965*Resumo!$C$7</f>
        <v>0.680274</v>
      </c>
      <c r="L1965" s="61" t="n">
        <f aca="false">H1965*Resumo!$C$8</f>
        <v>0.680274</v>
      </c>
      <c r="M1965" s="61" t="n">
        <f aca="false">Resumo!$C$10*CEILING(G1965/100,1)</f>
        <v>1.05</v>
      </c>
      <c r="N1965" s="61" t="n">
        <f aca="false">Resumo!$C$9</f>
        <v>0</v>
      </c>
      <c r="O1965" s="61" t="n">
        <f aca="false">Resumo!$C$13</f>
        <v>13.55</v>
      </c>
      <c r="P1965" s="61" t="n">
        <f aca="false">Resumo!$C$14*CEILING(G1965,1)</f>
        <v>13.95</v>
      </c>
      <c r="Q1965" s="61" t="n">
        <f aca="false">SUM(I1965:P1965)*Resumo!$C$11</f>
        <v>0</v>
      </c>
      <c r="R1965" s="61" t="n">
        <f aca="false">SUM(I1965:Q1965)</f>
        <v>72.020548</v>
      </c>
      <c r="S1965" s="61" t="n">
        <f aca="false">R1965/(1-Resumo!$C$5)</f>
        <v>81.8415318181818</v>
      </c>
      <c r="T1965" s="61" t="n">
        <v>82.21</v>
      </c>
      <c r="U1965" s="61" t="n">
        <f aca="false">H1965*Resumo!$B$6</f>
        <v>0.32394</v>
      </c>
      <c r="V1965" s="61" t="n">
        <f aca="false">H1965*Resumo!$B$7</f>
        <v>0.64788</v>
      </c>
      <c r="W1965" s="61" t="n">
        <f aca="false">Resumo!$B$9</f>
        <v>1</v>
      </c>
      <c r="X1965" s="61" t="n">
        <f aca="false">Resumo!$B$10*CEILING(G1965/100,1)</f>
        <v>4.5</v>
      </c>
      <c r="Y1965" s="61" t="n">
        <f aca="false">Resumo!$B$12*CEILING(G1965,1)</f>
        <v>1.86</v>
      </c>
      <c r="Z1965" s="61" t="n">
        <f aca="false">Resumo!$B$14*CEILING(G1965,1)</f>
        <v>13.95</v>
      </c>
      <c r="AA1965" s="61" t="n">
        <f aca="false">SUM(T1965:Z1965)</f>
        <v>104.49182</v>
      </c>
      <c r="AB1965" s="61" t="n">
        <f aca="false">AA1965/(1-Resumo!$B$5)</f>
        <v>118.740704545455</v>
      </c>
      <c r="AC1965" s="61" t="n">
        <f aca="false">AB1965-S1965</f>
        <v>36.8991727272727</v>
      </c>
      <c r="AD1965" s="62" t="n">
        <f aca="false">AB1965/S1965-1</f>
        <v>0.45086121810681</v>
      </c>
      <c r="AE1965" s="60" t="str">
        <f aca="false">IF(AB1965&lt;S1965,"SIM","NÃO")</f>
        <v>NÃO</v>
      </c>
      <c r="AF1965" s="60" t="n">
        <v>2</v>
      </c>
      <c r="AG1965" s="60" t="n">
        <v>5</v>
      </c>
      <c r="AH1965" s="60" t="s">
        <v>382</v>
      </c>
      <c r="AI1965" s="61" t="n">
        <f aca="false">(T1965*(1-Painel!$C$40)+U1965+V1965+Painel!$C$41+Painel!$C$42*CEILING(G1965/100,1)+Painel!$C$43*CEILING(G1965,1)+Z1965)/(1-Resumo!$B$5)</f>
        <v>81.8778636363636</v>
      </c>
      <c r="AJ1965" s="60" t="str">
        <f aca="false">IF(AI1965&lt;S1965,"SIM","NÃO")</f>
        <v>NÃO</v>
      </c>
    </row>
    <row r="1966" customFormat="false" ht="15" hidden="false" customHeight="false" outlineLevel="0" collapsed="false">
      <c r="A1966" s="59" t="n">
        <v>46286.2935185185</v>
      </c>
      <c r="B1966" s="60" t="s">
        <v>2131</v>
      </c>
      <c r="C1966" s="60" t="n">
        <v>27264520</v>
      </c>
      <c r="D1966" s="60" t="s">
        <v>217</v>
      </c>
      <c r="E1966" s="60" t="s">
        <v>24</v>
      </c>
      <c r="F1966" s="60" t="s">
        <v>237</v>
      </c>
      <c r="G1966" s="60" t="n">
        <v>69</v>
      </c>
      <c r="H1966" s="61" t="n">
        <v>702.39</v>
      </c>
      <c r="I1966" s="61" t="n">
        <v>90.2</v>
      </c>
      <c r="J1966" s="61" t="n">
        <f aca="false">H1966*Resumo!$C$6</f>
        <v>0</v>
      </c>
      <c r="K1966" s="61" t="n">
        <f aca="false">H1966*Resumo!$C$7</f>
        <v>1.475019</v>
      </c>
      <c r="L1966" s="61" t="n">
        <f aca="false">H1966*Resumo!$C$8</f>
        <v>1.475019</v>
      </c>
      <c r="M1966" s="61" t="n">
        <f aca="false">Resumo!$C$10*CEILING(G1966/100,1)</f>
        <v>1.05</v>
      </c>
      <c r="N1966" s="61" t="n">
        <f aca="false">Resumo!$C$9</f>
        <v>0</v>
      </c>
      <c r="O1966" s="61" t="n">
        <f aca="false">Resumo!$C$13</f>
        <v>13.55</v>
      </c>
      <c r="P1966" s="61" t="n">
        <f aca="false">Resumo!$C$14*CEILING(G1966,1)</f>
        <v>31.05</v>
      </c>
      <c r="Q1966" s="61" t="n">
        <f aca="false">SUM(I1966:P1966)*Resumo!$C$11</f>
        <v>0</v>
      </c>
      <c r="R1966" s="61" t="n">
        <f aca="false">SUM(I1966:Q1966)</f>
        <v>138.800038</v>
      </c>
      <c r="S1966" s="61" t="n">
        <f aca="false">R1966/(1-Resumo!$C$5)</f>
        <v>157.727315909091</v>
      </c>
      <c r="T1966" s="61" t="n">
        <v>166.05</v>
      </c>
      <c r="U1966" s="61" t="n">
        <f aca="false">H1966*Resumo!$B$6</f>
        <v>0.70239</v>
      </c>
      <c r="V1966" s="61" t="n">
        <f aca="false">H1966*Resumo!$B$7</f>
        <v>1.40478</v>
      </c>
      <c r="W1966" s="61" t="n">
        <f aca="false">Resumo!$B$9</f>
        <v>1</v>
      </c>
      <c r="X1966" s="61" t="n">
        <f aca="false">Resumo!$B$10*CEILING(G1966/100,1)</f>
        <v>4.5</v>
      </c>
      <c r="Y1966" s="61" t="n">
        <f aca="false">Resumo!$B$12*CEILING(G1966,1)</f>
        <v>4.14</v>
      </c>
      <c r="Z1966" s="61" t="n">
        <f aca="false">Resumo!$B$14*CEILING(G1966,1)</f>
        <v>31.05</v>
      </c>
      <c r="AA1966" s="61" t="n">
        <f aca="false">SUM(T1966:Z1966)</f>
        <v>208.84717</v>
      </c>
      <c r="AB1966" s="61" t="n">
        <f aca="false">AA1966/(1-Resumo!$B$5)</f>
        <v>237.326329545455</v>
      </c>
      <c r="AC1966" s="61" t="n">
        <f aca="false">AB1966-S1966</f>
        <v>79.5990136363637</v>
      </c>
      <c r="AD1966" s="62" t="n">
        <f aca="false">AB1966/S1966-1</f>
        <v>0.504662196129946</v>
      </c>
      <c r="AE1966" s="60" t="str">
        <f aca="false">IF(AB1966&lt;S1966,"SIM","NÃO")</f>
        <v>NÃO</v>
      </c>
      <c r="AF1966" s="60" t="n">
        <v>13</v>
      </c>
      <c r="AG1966" s="60" t="n">
        <v>10</v>
      </c>
      <c r="AH1966" s="60" t="s">
        <v>382</v>
      </c>
      <c r="AI1966" s="61" t="n">
        <f aca="false">(T1966*(1-Painel!$C$40)+U1966+V1966+Painel!$C$41+Painel!$C$42*CEILING(G1966/100,1)+Painel!$C$43*CEILING(G1966,1)+Z1966)/(1-Resumo!$B$5)</f>
        <v>166.432579545455</v>
      </c>
      <c r="AJ1966" s="60" t="str">
        <f aca="false">IF(AI1966&lt;S1966,"SIM","NÃO")</f>
        <v>NÃO</v>
      </c>
    </row>
    <row r="1967" customFormat="false" ht="15" hidden="false" customHeight="false" outlineLevel="0" collapsed="false">
      <c r="A1967" s="59" t="n">
        <v>46286.3524768519</v>
      </c>
      <c r="B1967" s="60" t="s">
        <v>2125</v>
      </c>
      <c r="C1967" s="60" t="n">
        <v>24346040</v>
      </c>
      <c r="D1967" s="60" t="s">
        <v>50</v>
      </c>
      <c r="E1967" s="60" t="s">
        <v>23</v>
      </c>
      <c r="F1967" s="60" t="s">
        <v>234</v>
      </c>
      <c r="G1967" s="60" t="n">
        <v>35.3</v>
      </c>
      <c r="H1967" s="61" t="n">
        <v>434.97</v>
      </c>
      <c r="I1967" s="61" t="n">
        <v>66.83</v>
      </c>
      <c r="J1967" s="61" t="n">
        <f aca="false">H1967*Resumo!$C$6</f>
        <v>0</v>
      </c>
      <c r="K1967" s="61" t="n">
        <f aca="false">H1967*Resumo!$C$7</f>
        <v>0.913437</v>
      </c>
      <c r="L1967" s="61" t="n">
        <f aca="false">H1967*Resumo!$C$8</f>
        <v>0.913437</v>
      </c>
      <c r="M1967" s="61" t="n">
        <f aca="false">Resumo!$C$10*CEILING(G1967/100,1)</f>
        <v>1.05</v>
      </c>
      <c r="N1967" s="61" t="n">
        <f aca="false">Resumo!$C$9</f>
        <v>0</v>
      </c>
      <c r="O1967" s="61" t="n">
        <f aca="false">Resumo!$C$13</f>
        <v>13.55</v>
      </c>
      <c r="P1967" s="61" t="n">
        <f aca="false">Resumo!$C$14*CEILING(G1967,1)</f>
        <v>16.2</v>
      </c>
      <c r="Q1967" s="61" t="n">
        <f aca="false">SUM(I1967:P1967)*Resumo!$C$11</f>
        <v>0</v>
      </c>
      <c r="R1967" s="61" t="n">
        <f aca="false">SUM(I1967:Q1967)</f>
        <v>99.456874</v>
      </c>
      <c r="S1967" s="61" t="n">
        <f aca="false">R1967/(1-Resumo!$C$5)</f>
        <v>113.019175</v>
      </c>
      <c r="T1967" s="61" t="n">
        <v>114.95</v>
      </c>
      <c r="U1967" s="61" t="n">
        <f aca="false">H1967*Resumo!$B$6</f>
        <v>0.43497</v>
      </c>
      <c r="V1967" s="61" t="n">
        <f aca="false">H1967*Resumo!$B$7</f>
        <v>0.86994</v>
      </c>
      <c r="W1967" s="61" t="n">
        <f aca="false">Resumo!$B$9</f>
        <v>1</v>
      </c>
      <c r="X1967" s="61" t="n">
        <f aca="false">Resumo!$B$10*CEILING(G1967/100,1)</f>
        <v>4.5</v>
      </c>
      <c r="Y1967" s="61" t="n">
        <f aca="false">Resumo!$B$12*CEILING(G1967,1)</f>
        <v>2.16</v>
      </c>
      <c r="Z1967" s="61" t="n">
        <f aca="false">Resumo!$B$14*CEILING(G1967,1)</f>
        <v>16.2</v>
      </c>
      <c r="AA1967" s="61" t="n">
        <f aca="false">SUM(T1967:Z1967)</f>
        <v>140.11491</v>
      </c>
      <c r="AB1967" s="61" t="n">
        <f aca="false">AA1967/(1-Resumo!$B$5)</f>
        <v>159.221488636364</v>
      </c>
      <c r="AC1967" s="61" t="n">
        <f aca="false">AB1967-S1967</f>
        <v>46.2023136363637</v>
      </c>
      <c r="AD1967" s="62" t="n">
        <f aca="false">AB1967/S1967-1</f>
        <v>0.408800662687227</v>
      </c>
      <c r="AE1967" s="60" t="str">
        <f aca="false">IF(AB1967&lt;S1967,"SIM","NÃO")</f>
        <v>NÃO</v>
      </c>
      <c r="AF1967" s="60" t="n">
        <v>2</v>
      </c>
      <c r="AG1967" s="60" t="n">
        <v>7</v>
      </c>
      <c r="AH1967" s="60" t="s">
        <v>382</v>
      </c>
      <c r="AI1967" s="61" t="n">
        <f aca="false">(T1967*(1-Painel!$C$40)+U1967+V1967+Painel!$C$41+Painel!$C$42*CEILING(G1967/100,1)+Painel!$C$43*CEILING(G1967,1)+Z1967)/(1-Resumo!$B$5)</f>
        <v>109.740238636364</v>
      </c>
      <c r="AJ1967" s="60" t="str">
        <f aca="false">IF(AI1967&lt;S1967,"SIM","NÃO")</f>
        <v>SIM</v>
      </c>
    </row>
    <row r="1968" customFormat="false" ht="15" hidden="false" customHeight="false" outlineLevel="0" collapsed="false">
      <c r="A1968" s="59" t="n">
        <v>46286.3742708333</v>
      </c>
      <c r="B1968" s="60" t="s">
        <v>2132</v>
      </c>
      <c r="C1968" s="60" t="n">
        <v>22240005</v>
      </c>
      <c r="D1968" s="60" t="s">
        <v>46</v>
      </c>
      <c r="E1968" s="60" t="s">
        <v>22</v>
      </c>
      <c r="F1968" s="60" t="s">
        <v>233</v>
      </c>
      <c r="G1968" s="60" t="n">
        <v>31.6</v>
      </c>
      <c r="H1968" s="61" t="n">
        <v>2439.99</v>
      </c>
      <c r="I1968" s="61" t="n">
        <v>42.11</v>
      </c>
      <c r="J1968" s="61" t="n">
        <f aca="false">H1968*Resumo!$C$6</f>
        <v>0</v>
      </c>
      <c r="K1968" s="61" t="n">
        <f aca="false">H1968*Resumo!$C$7</f>
        <v>5.123979</v>
      </c>
      <c r="L1968" s="61" t="n">
        <f aca="false">H1968*Resumo!$C$8</f>
        <v>5.123979</v>
      </c>
      <c r="M1968" s="61" t="n">
        <f aca="false">Resumo!$C$10*CEILING(G1968/100,1)</f>
        <v>1.05</v>
      </c>
      <c r="N1968" s="61" t="n">
        <f aca="false">Resumo!$C$9</f>
        <v>0</v>
      </c>
      <c r="O1968" s="61" t="n">
        <f aca="false">Resumo!$C$13</f>
        <v>13.55</v>
      </c>
      <c r="P1968" s="61" t="n">
        <f aca="false">Resumo!$C$14*CEILING(G1968,1)</f>
        <v>14.4</v>
      </c>
      <c r="Q1968" s="61" t="n">
        <f aca="false">SUM(I1968:P1968)*Resumo!$C$11</f>
        <v>0</v>
      </c>
      <c r="R1968" s="61" t="n">
        <f aca="false">SUM(I1968:Q1968)</f>
        <v>81.357958</v>
      </c>
      <c r="S1968" s="61" t="n">
        <f aca="false">R1968/(1-Resumo!$C$5)</f>
        <v>92.452225</v>
      </c>
      <c r="T1968" s="61" t="n">
        <v>82.21</v>
      </c>
      <c r="U1968" s="61" t="n">
        <f aca="false">H1968*Resumo!$B$6</f>
        <v>2.43999</v>
      </c>
      <c r="V1968" s="61" t="n">
        <f aca="false">H1968*Resumo!$B$7</f>
        <v>4.87998</v>
      </c>
      <c r="W1968" s="61" t="n">
        <f aca="false">Resumo!$B$9</f>
        <v>1</v>
      </c>
      <c r="X1968" s="61" t="n">
        <f aca="false">Resumo!$B$10*CEILING(G1968/100,1)</f>
        <v>4.5</v>
      </c>
      <c r="Y1968" s="61" t="n">
        <f aca="false">Resumo!$B$12*CEILING(G1968,1)</f>
        <v>1.92</v>
      </c>
      <c r="Z1968" s="61" t="n">
        <f aca="false">Resumo!$B$14*CEILING(G1968,1)</f>
        <v>14.4</v>
      </c>
      <c r="AA1968" s="61" t="n">
        <f aca="false">SUM(T1968:Z1968)</f>
        <v>111.34997</v>
      </c>
      <c r="AB1968" s="61" t="n">
        <f aca="false">AA1968/(1-Resumo!$B$5)</f>
        <v>126.534056818182</v>
      </c>
      <c r="AC1968" s="61" t="n">
        <f aca="false">AB1968-S1968</f>
        <v>34.0818318181818</v>
      </c>
      <c r="AD1968" s="62" t="n">
        <f aca="false">AB1968/S1968-1</f>
        <v>0.368642634811458</v>
      </c>
      <c r="AE1968" s="60" t="str">
        <f aca="false">IF(AB1968&lt;S1968,"SIM","NÃO")</f>
        <v>NÃO</v>
      </c>
      <c r="AF1968" s="60" t="n">
        <v>2</v>
      </c>
      <c r="AG1968" s="60" t="n">
        <v>5</v>
      </c>
      <c r="AH1968" s="60" t="s">
        <v>382</v>
      </c>
      <c r="AI1968" s="61" t="n">
        <f aca="false">(T1968*(1-Painel!$C$40)+U1968+V1968+Painel!$C$41+Painel!$C$42*CEILING(G1968/100,1)+Painel!$C$43*CEILING(G1968,1)+Z1968)/(1-Resumo!$B$5)</f>
        <v>89.6030340909091</v>
      </c>
      <c r="AJ1968" s="60" t="str">
        <f aca="false">IF(AI1968&lt;S1968,"SIM","NÃO")</f>
        <v>SIM</v>
      </c>
    </row>
    <row r="1969" customFormat="false" ht="15" hidden="false" customHeight="false" outlineLevel="0" collapsed="false">
      <c r="A1969" s="59" t="n">
        <v>46286.3870023148</v>
      </c>
      <c r="B1969" s="60" t="s">
        <v>2133</v>
      </c>
      <c r="C1969" s="60" t="n">
        <v>22723000</v>
      </c>
      <c r="D1969" s="60" t="s">
        <v>46</v>
      </c>
      <c r="E1969" s="60" t="s">
        <v>22</v>
      </c>
      <c r="F1969" s="60" t="s">
        <v>233</v>
      </c>
      <c r="G1969" s="60" t="n">
        <v>29.2</v>
      </c>
      <c r="H1969" s="61" t="n">
        <v>469.99</v>
      </c>
      <c r="I1969" s="61" t="n">
        <v>42.11</v>
      </c>
      <c r="J1969" s="61" t="n">
        <f aca="false">H1969*Resumo!$C$6</f>
        <v>0</v>
      </c>
      <c r="K1969" s="61" t="n">
        <f aca="false">H1969*Resumo!$C$7</f>
        <v>0.986979</v>
      </c>
      <c r="L1969" s="61" t="n">
        <f aca="false">H1969*Resumo!$C$8</f>
        <v>0.986979</v>
      </c>
      <c r="M1969" s="61" t="n">
        <f aca="false">Resumo!$C$10*CEILING(G1969/100,1)</f>
        <v>1.05</v>
      </c>
      <c r="N1969" s="61" t="n">
        <f aca="false">Resumo!$C$9</f>
        <v>0</v>
      </c>
      <c r="O1969" s="61" t="n">
        <f aca="false">Resumo!$C$13</f>
        <v>13.55</v>
      </c>
      <c r="P1969" s="61" t="n">
        <f aca="false">Resumo!$C$14*CEILING(G1969,1)</f>
        <v>13.5</v>
      </c>
      <c r="Q1969" s="61" t="n">
        <f aca="false">SUM(I1969:P1969)*Resumo!$C$11</f>
        <v>0</v>
      </c>
      <c r="R1969" s="61" t="n">
        <f aca="false">SUM(I1969:Q1969)</f>
        <v>72.183958</v>
      </c>
      <c r="S1969" s="61" t="n">
        <f aca="false">R1969/(1-Resumo!$C$5)</f>
        <v>82.027225</v>
      </c>
      <c r="T1969" s="61" t="n">
        <v>82.21</v>
      </c>
      <c r="U1969" s="61" t="n">
        <f aca="false">H1969*Resumo!$B$6</f>
        <v>0.46999</v>
      </c>
      <c r="V1969" s="61" t="n">
        <f aca="false">H1969*Resumo!$B$7</f>
        <v>0.93998</v>
      </c>
      <c r="W1969" s="61" t="n">
        <f aca="false">Resumo!$B$9</f>
        <v>1</v>
      </c>
      <c r="X1969" s="61" t="n">
        <f aca="false">Resumo!$B$10*CEILING(G1969/100,1)</f>
        <v>4.5</v>
      </c>
      <c r="Y1969" s="61" t="n">
        <f aca="false">Resumo!$B$12*CEILING(G1969,1)</f>
        <v>1.8</v>
      </c>
      <c r="Z1969" s="61" t="n">
        <f aca="false">Resumo!$B$14*CEILING(G1969,1)</f>
        <v>13.5</v>
      </c>
      <c r="AA1969" s="61" t="n">
        <f aca="false">SUM(T1969:Z1969)</f>
        <v>104.41997</v>
      </c>
      <c r="AB1969" s="61" t="n">
        <f aca="false">AA1969/(1-Resumo!$B$5)</f>
        <v>118.659056818182</v>
      </c>
      <c r="AC1969" s="61" t="n">
        <f aca="false">AB1969-S1969</f>
        <v>36.6318318181818</v>
      </c>
      <c r="AD1969" s="62" t="n">
        <f aca="false">AB1969/S1969-1</f>
        <v>0.446581385853073</v>
      </c>
      <c r="AE1969" s="60" t="str">
        <f aca="false">IF(AB1969&lt;S1969,"SIM","NÃO")</f>
        <v>NÃO</v>
      </c>
      <c r="AF1969" s="60" t="n">
        <v>2</v>
      </c>
      <c r="AG1969" s="60" t="n">
        <v>5</v>
      </c>
      <c r="AH1969" s="60" t="s">
        <v>382</v>
      </c>
      <c r="AI1969" s="61" t="n">
        <f aca="false">(T1969*(1-Painel!$C$40)+U1969+V1969+Painel!$C$41+Painel!$C$42*CEILING(G1969/100,1)+Painel!$C$43*CEILING(G1969,1)+Z1969)/(1-Resumo!$B$5)</f>
        <v>81.8643977272727</v>
      </c>
      <c r="AJ1969" s="60" t="str">
        <f aca="false">IF(AI1969&lt;S1969,"SIM","NÃO")</f>
        <v>SIM</v>
      </c>
    </row>
    <row r="1970" customFormat="false" ht="15" hidden="false" customHeight="false" outlineLevel="0" collapsed="false">
      <c r="A1970" s="59" t="n">
        <v>46286.3931944444</v>
      </c>
      <c r="B1970" s="60" t="s">
        <v>1108</v>
      </c>
      <c r="C1970" s="60" t="n">
        <v>28770000</v>
      </c>
      <c r="D1970" s="60" t="s">
        <v>333</v>
      </c>
      <c r="E1970" s="60" t="s">
        <v>24</v>
      </c>
      <c r="F1970" s="60" t="s">
        <v>234</v>
      </c>
      <c r="G1970" s="60" t="n">
        <v>37.2</v>
      </c>
      <c r="H1970" s="61" t="n">
        <v>366.5</v>
      </c>
      <c r="I1970" s="61" t="n">
        <v>74.97</v>
      </c>
      <c r="J1970" s="61" t="n">
        <f aca="false">H1970*Resumo!$C$6</f>
        <v>0</v>
      </c>
      <c r="K1970" s="61" t="n">
        <f aca="false">H1970*Resumo!$C$7</f>
        <v>0.76965</v>
      </c>
      <c r="L1970" s="61" t="n">
        <f aca="false">H1970*Resumo!$C$8</f>
        <v>0.76965</v>
      </c>
      <c r="M1970" s="61" t="n">
        <f aca="false">Resumo!$C$10*CEILING(G1970/100,1)</f>
        <v>1.05</v>
      </c>
      <c r="N1970" s="61" t="n">
        <f aca="false">Resumo!$C$9</f>
        <v>0</v>
      </c>
      <c r="O1970" s="61" t="n">
        <f aca="false">Resumo!$C$13</f>
        <v>13.55</v>
      </c>
      <c r="P1970" s="61" t="n">
        <f aca="false">Resumo!$C$14*CEILING(G1970,1)</f>
        <v>17.1</v>
      </c>
      <c r="Q1970" s="61" t="n">
        <f aca="false">SUM(I1970:P1970)*Resumo!$C$11</f>
        <v>0</v>
      </c>
      <c r="R1970" s="61" t="n">
        <f aca="false">SUM(I1970:Q1970)</f>
        <v>108.2093</v>
      </c>
      <c r="S1970" s="61" t="n">
        <f aca="false">R1970/(1-Resumo!$C$5)</f>
        <v>122.965113636364</v>
      </c>
      <c r="T1970" s="61" t="n">
        <v>143.04</v>
      </c>
      <c r="U1970" s="61" t="n">
        <f aca="false">H1970*Resumo!$B$6</f>
        <v>0.3665</v>
      </c>
      <c r="V1970" s="61" t="n">
        <f aca="false">H1970*Resumo!$B$7</f>
        <v>0.733</v>
      </c>
      <c r="W1970" s="61" t="n">
        <f aca="false">Resumo!$B$9</f>
        <v>1</v>
      </c>
      <c r="X1970" s="61" t="n">
        <f aca="false">Resumo!$B$10*CEILING(G1970/100,1)</f>
        <v>4.5</v>
      </c>
      <c r="Y1970" s="61" t="n">
        <f aca="false">Resumo!$B$12*CEILING(G1970,1)</f>
        <v>2.28</v>
      </c>
      <c r="Z1970" s="61" t="n">
        <f aca="false">Resumo!$B$14*CEILING(G1970,1)</f>
        <v>17.1</v>
      </c>
      <c r="AA1970" s="61" t="n">
        <f aca="false">SUM(T1970:Z1970)</f>
        <v>169.0195</v>
      </c>
      <c r="AB1970" s="61" t="n">
        <f aca="false">AA1970/(1-Resumo!$B$5)</f>
        <v>192.067613636364</v>
      </c>
      <c r="AC1970" s="61" t="n">
        <f aca="false">AB1970-S1970</f>
        <v>69.1025</v>
      </c>
      <c r="AD1970" s="62" t="n">
        <f aca="false">AB1970/S1970-1</f>
        <v>0.561968333590551</v>
      </c>
      <c r="AE1970" s="60" t="str">
        <f aca="false">IF(AB1970&lt;S1970,"SIM","NÃO")</f>
        <v>NÃO</v>
      </c>
      <c r="AF1970" s="60" t="n">
        <v>13</v>
      </c>
      <c r="AG1970" s="60" t="n">
        <v>11</v>
      </c>
      <c r="AH1970" s="60" t="s">
        <v>385</v>
      </c>
      <c r="AI1970" s="61" t="n">
        <f aca="false">(T1970*(1-Painel!$C$40)+U1970+V1970+Painel!$C$41+Painel!$C$42*CEILING(G1970/100,1)+Painel!$C$43*CEILING(G1970,1)+Z1970)/(1-Resumo!$B$5)</f>
        <v>131.91625</v>
      </c>
      <c r="AJ1970" s="60" t="str">
        <f aca="false">IF(AI1970&lt;S1970,"SIM","NÃO")</f>
        <v>NÃO</v>
      </c>
    </row>
    <row r="1971" customFormat="false" ht="15" hidden="false" customHeight="false" outlineLevel="0" collapsed="false">
      <c r="A1971" s="59" t="n">
        <v>46286.4452314815</v>
      </c>
      <c r="B1971" s="60" t="s">
        <v>625</v>
      </c>
      <c r="C1971" s="60" t="n">
        <v>23970000</v>
      </c>
      <c r="D1971" s="60" t="s">
        <v>268</v>
      </c>
      <c r="E1971" s="60" t="s">
        <v>24</v>
      </c>
      <c r="F1971" s="60" t="s">
        <v>237</v>
      </c>
      <c r="G1971" s="60" t="n">
        <v>66.8</v>
      </c>
      <c r="H1971" s="61" t="n">
        <v>691.9</v>
      </c>
      <c r="I1971" s="61" t="n">
        <v>90.2</v>
      </c>
      <c r="J1971" s="61" t="n">
        <f aca="false">H1971*Resumo!$C$6</f>
        <v>0</v>
      </c>
      <c r="K1971" s="61" t="n">
        <f aca="false">H1971*Resumo!$C$7</f>
        <v>1.45299</v>
      </c>
      <c r="L1971" s="61" t="n">
        <f aca="false">H1971*Resumo!$C$8</f>
        <v>1.45299</v>
      </c>
      <c r="M1971" s="61" t="n">
        <f aca="false">Resumo!$C$10*CEILING(G1971/100,1)</f>
        <v>1.05</v>
      </c>
      <c r="N1971" s="61" t="n">
        <f aca="false">Resumo!$C$9</f>
        <v>0</v>
      </c>
      <c r="O1971" s="61" t="n">
        <f aca="false">Resumo!$C$13</f>
        <v>13.55</v>
      </c>
      <c r="P1971" s="61" t="n">
        <f aca="false">Resumo!$C$14*CEILING(G1971,1)</f>
        <v>30.15</v>
      </c>
      <c r="Q1971" s="61" t="n">
        <f aca="false">SUM(I1971:P1971)*Resumo!$C$11</f>
        <v>0</v>
      </c>
      <c r="R1971" s="61" t="n">
        <f aca="false">SUM(I1971:Q1971)</f>
        <v>137.85598</v>
      </c>
      <c r="S1971" s="61" t="n">
        <f aca="false">R1971/(1-Resumo!$C$5)</f>
        <v>156.654522727273</v>
      </c>
      <c r="T1971" s="61" t="n">
        <v>166.05</v>
      </c>
      <c r="U1971" s="61" t="n">
        <f aca="false">H1971*Resumo!$B$6</f>
        <v>0.6919</v>
      </c>
      <c r="V1971" s="61" t="n">
        <f aca="false">H1971*Resumo!$B$7</f>
        <v>1.3838</v>
      </c>
      <c r="W1971" s="61" t="n">
        <f aca="false">Resumo!$B$9</f>
        <v>1</v>
      </c>
      <c r="X1971" s="61" t="n">
        <f aca="false">Resumo!$B$10*CEILING(G1971/100,1)</f>
        <v>4.5</v>
      </c>
      <c r="Y1971" s="61" t="n">
        <f aca="false">Resumo!$B$12*CEILING(G1971,1)</f>
        <v>4.02</v>
      </c>
      <c r="Z1971" s="61" t="n">
        <f aca="false">Resumo!$B$14*CEILING(G1971,1)</f>
        <v>30.15</v>
      </c>
      <c r="AA1971" s="61" t="n">
        <f aca="false">SUM(T1971:Z1971)</f>
        <v>207.7957</v>
      </c>
      <c r="AB1971" s="61" t="n">
        <f aca="false">AA1971/(1-Resumo!$B$5)</f>
        <v>236.131477272727</v>
      </c>
      <c r="AC1971" s="61" t="n">
        <f aca="false">AB1971-S1971</f>
        <v>79.4769545454546</v>
      </c>
      <c r="AD1971" s="62" t="n">
        <f aca="false">AB1971/S1971-1</f>
        <v>0.507339035999745</v>
      </c>
      <c r="AE1971" s="60" t="str">
        <f aca="false">IF(AB1971&lt;S1971,"SIM","NÃO")</f>
        <v>NÃO</v>
      </c>
      <c r="AF1971" s="60" t="n">
        <v>13</v>
      </c>
      <c r="AG1971" s="60" t="n">
        <v>10</v>
      </c>
      <c r="AH1971" s="60" t="s">
        <v>385</v>
      </c>
      <c r="AI1971" s="61" t="n">
        <f aca="false">(T1971*(1-Painel!$C$40)+U1971+V1971+Painel!$C$41+Painel!$C$42*CEILING(G1971/100,1)+Painel!$C$43*CEILING(G1971,1)+Z1971)/(1-Resumo!$B$5)</f>
        <v>165.374090909091</v>
      </c>
      <c r="AJ1971" s="60" t="str">
        <f aca="false">IF(AI1971&lt;S1971,"SIM","NÃO")</f>
        <v>NÃO</v>
      </c>
    </row>
    <row r="1972" customFormat="false" ht="15" hidden="false" customHeight="false" outlineLevel="0" collapsed="false">
      <c r="A1972" s="59" t="n">
        <v>46286.4523726852</v>
      </c>
      <c r="B1972" s="60" t="s">
        <v>2134</v>
      </c>
      <c r="C1972" s="60" t="n">
        <v>20931003</v>
      </c>
      <c r="D1972" s="60" t="s">
        <v>46</v>
      </c>
      <c r="E1972" s="60" t="s">
        <v>22</v>
      </c>
      <c r="F1972" s="60" t="s">
        <v>234</v>
      </c>
      <c r="G1972" s="60" t="n">
        <v>40</v>
      </c>
      <c r="H1972" s="61" t="n">
        <v>599.99</v>
      </c>
      <c r="I1972" s="61" t="n">
        <v>48.35</v>
      </c>
      <c r="J1972" s="61" t="n">
        <f aca="false">H1972*Resumo!$C$6</f>
        <v>0</v>
      </c>
      <c r="K1972" s="61" t="n">
        <f aca="false">H1972*Resumo!$C$7</f>
        <v>1.259979</v>
      </c>
      <c r="L1972" s="61" t="n">
        <f aca="false">H1972*Resumo!$C$8</f>
        <v>1.259979</v>
      </c>
      <c r="M1972" s="61" t="n">
        <f aca="false">Resumo!$C$10*CEILING(G1972/100,1)</f>
        <v>1.05</v>
      </c>
      <c r="N1972" s="61" t="n">
        <f aca="false">Resumo!$C$9</f>
        <v>0</v>
      </c>
      <c r="O1972" s="61" t="n">
        <f aca="false">Resumo!$C$13</f>
        <v>13.55</v>
      </c>
      <c r="P1972" s="61" t="n">
        <f aca="false">Resumo!$C$14*CEILING(G1972,1)</f>
        <v>18</v>
      </c>
      <c r="Q1972" s="61" t="n">
        <f aca="false">SUM(I1972:P1972)*Resumo!$C$11</f>
        <v>0</v>
      </c>
      <c r="R1972" s="61" t="n">
        <f aca="false">SUM(I1972:Q1972)</f>
        <v>83.469958</v>
      </c>
      <c r="S1972" s="61" t="n">
        <f aca="false">R1972/(1-Resumo!$C$5)</f>
        <v>94.852225</v>
      </c>
      <c r="T1972" s="61" t="n">
        <v>93.97</v>
      </c>
      <c r="U1972" s="61" t="n">
        <f aca="false">H1972*Resumo!$B$6</f>
        <v>0.59999</v>
      </c>
      <c r="V1972" s="61" t="n">
        <f aca="false">H1972*Resumo!$B$7</f>
        <v>1.19998</v>
      </c>
      <c r="W1972" s="61" t="n">
        <f aca="false">Resumo!$B$9</f>
        <v>1</v>
      </c>
      <c r="X1972" s="61" t="n">
        <f aca="false">Resumo!$B$10*CEILING(G1972/100,1)</f>
        <v>4.5</v>
      </c>
      <c r="Y1972" s="61" t="n">
        <f aca="false">Resumo!$B$12*CEILING(G1972,1)</f>
        <v>2.4</v>
      </c>
      <c r="Z1972" s="61" t="n">
        <f aca="false">Resumo!$B$14*CEILING(G1972,1)</f>
        <v>18</v>
      </c>
      <c r="AA1972" s="61" t="n">
        <f aca="false">SUM(T1972:Z1972)</f>
        <v>121.66997</v>
      </c>
      <c r="AB1972" s="61" t="n">
        <f aca="false">AA1972/(1-Resumo!$B$5)</f>
        <v>138.261329545455</v>
      </c>
      <c r="AC1972" s="61" t="n">
        <f aca="false">AB1972-S1972</f>
        <v>43.4091045454545</v>
      </c>
      <c r="AD1972" s="62" t="n">
        <f aca="false">AB1972/S1972-1</f>
        <v>0.457649828936059</v>
      </c>
      <c r="AE1972" s="60" t="str">
        <f aca="false">IF(AB1972&lt;S1972,"SIM","NÃO")</f>
        <v>NÃO</v>
      </c>
      <c r="AF1972" s="60" t="n">
        <v>2</v>
      </c>
      <c r="AG1972" s="60" t="n">
        <v>5</v>
      </c>
      <c r="AH1972" s="60" t="s">
        <v>382</v>
      </c>
      <c r="AI1972" s="61" t="n">
        <f aca="false">(T1972*(1-Painel!$C$40)+U1972+V1972+Painel!$C$41+Painel!$C$42*CEILING(G1972/100,1)+Painel!$C$43*CEILING(G1972,1)+Z1972)/(1-Resumo!$B$5)</f>
        <v>96.3748522727273</v>
      </c>
      <c r="AJ1972" s="60" t="str">
        <f aca="false">IF(AI1972&lt;S1972,"SIM","NÃO")</f>
        <v>NÃO</v>
      </c>
    </row>
    <row r="1973" customFormat="false" ht="15" hidden="false" customHeight="false" outlineLevel="0" collapsed="false">
      <c r="A1973" s="59" t="n">
        <v>46286.4631944444</v>
      </c>
      <c r="B1973" s="60" t="s">
        <v>1889</v>
      </c>
      <c r="C1973" s="60" t="n">
        <v>27963795</v>
      </c>
      <c r="D1973" s="60" t="s">
        <v>53</v>
      </c>
      <c r="E1973" s="60" t="s">
        <v>24</v>
      </c>
      <c r="F1973" s="60" t="s">
        <v>233</v>
      </c>
      <c r="G1973" s="60" t="n">
        <v>33</v>
      </c>
      <c r="H1973" s="61" t="n">
        <v>438.93</v>
      </c>
      <c r="I1973" s="61" t="n">
        <v>65.63</v>
      </c>
      <c r="J1973" s="61" t="n">
        <f aca="false">H1973*Resumo!$C$6</f>
        <v>0</v>
      </c>
      <c r="K1973" s="61" t="n">
        <f aca="false">H1973*Resumo!$C$7</f>
        <v>0.921753</v>
      </c>
      <c r="L1973" s="61" t="n">
        <f aca="false">H1973*Resumo!$C$8</f>
        <v>0.921753</v>
      </c>
      <c r="M1973" s="61" t="n">
        <f aca="false">Resumo!$C$10*CEILING(G1973/100,1)</f>
        <v>1.05</v>
      </c>
      <c r="N1973" s="61" t="n">
        <f aca="false">Resumo!$C$9</f>
        <v>0</v>
      </c>
      <c r="O1973" s="61" t="n">
        <f aca="false">Resumo!$C$13</f>
        <v>13.55</v>
      </c>
      <c r="P1973" s="61" t="n">
        <f aca="false">Resumo!$C$14*CEILING(G1973,1)</f>
        <v>14.85</v>
      </c>
      <c r="Q1973" s="61" t="n">
        <f aca="false">SUM(I1973:P1973)*Resumo!$C$11</f>
        <v>0</v>
      </c>
      <c r="R1973" s="61" t="n">
        <f aca="false">SUM(I1973:Q1973)</f>
        <v>96.923506</v>
      </c>
      <c r="S1973" s="61" t="n">
        <f aca="false">R1973/(1-Resumo!$C$5)</f>
        <v>110.140347727273</v>
      </c>
      <c r="T1973" s="61" t="n">
        <v>138.29</v>
      </c>
      <c r="U1973" s="61" t="n">
        <f aca="false">H1973*Resumo!$B$6</f>
        <v>0.43893</v>
      </c>
      <c r="V1973" s="61" t="n">
        <f aca="false">H1973*Resumo!$B$7</f>
        <v>0.87786</v>
      </c>
      <c r="W1973" s="61" t="n">
        <f aca="false">Resumo!$B$9</f>
        <v>1</v>
      </c>
      <c r="X1973" s="61" t="n">
        <f aca="false">Resumo!$B$10*CEILING(G1973/100,1)</f>
        <v>4.5</v>
      </c>
      <c r="Y1973" s="61" t="n">
        <f aca="false">Resumo!$B$12*CEILING(G1973,1)</f>
        <v>1.98</v>
      </c>
      <c r="Z1973" s="61" t="n">
        <f aca="false">Resumo!$B$14*CEILING(G1973,1)</f>
        <v>14.85</v>
      </c>
      <c r="AA1973" s="61" t="n">
        <f aca="false">SUM(T1973:Z1973)</f>
        <v>161.93679</v>
      </c>
      <c r="AB1973" s="61" t="n">
        <f aca="false">AA1973/(1-Resumo!$B$5)</f>
        <v>184.019079545455</v>
      </c>
      <c r="AC1973" s="61" t="n">
        <f aca="false">AB1973-S1973</f>
        <v>73.8787318181818</v>
      </c>
      <c r="AD1973" s="62" t="n">
        <f aca="false">AB1973/S1973-1</f>
        <v>0.670769008294025</v>
      </c>
      <c r="AE1973" s="60" t="str">
        <f aca="false">IF(AB1973&lt;S1973,"SIM","NÃO")</f>
        <v>NÃO</v>
      </c>
      <c r="AF1973" s="60" t="n">
        <v>13</v>
      </c>
      <c r="AG1973" s="60" t="n">
        <v>11</v>
      </c>
      <c r="AH1973" s="60" t="s">
        <v>382</v>
      </c>
      <c r="AI1973" s="61" t="n">
        <f aca="false">(T1973*(1-Painel!$C$40)+U1973+V1973+Painel!$C$41+Painel!$C$42*CEILING(G1973/100,1)+Painel!$C$43*CEILING(G1973,1)+Z1973)/(1-Resumo!$B$5)</f>
        <v>125.989875</v>
      </c>
      <c r="AJ1973" s="60" t="str">
        <f aca="false">IF(AI1973&lt;S1973,"SIM","NÃO")</f>
        <v>NÃO</v>
      </c>
    </row>
    <row r="1974" customFormat="false" ht="15" hidden="false" customHeight="false" outlineLevel="0" collapsed="false">
      <c r="A1974" s="59" t="n">
        <v>46286.5816782407</v>
      </c>
      <c r="B1974" s="60" t="s">
        <v>2135</v>
      </c>
      <c r="C1974" s="60" t="n">
        <v>22750006</v>
      </c>
      <c r="D1974" s="60" t="s">
        <v>46</v>
      </c>
      <c r="E1974" s="60" t="s">
        <v>22</v>
      </c>
      <c r="F1974" s="60" t="s">
        <v>236</v>
      </c>
      <c r="G1974" s="60" t="n">
        <v>52.3</v>
      </c>
      <c r="H1974" s="61" t="n">
        <v>699.99</v>
      </c>
      <c r="I1974" s="61" t="n">
        <v>58.6</v>
      </c>
      <c r="J1974" s="61" t="n">
        <f aca="false">H1974*Resumo!$C$6</f>
        <v>0</v>
      </c>
      <c r="K1974" s="61" t="n">
        <f aca="false">H1974*Resumo!$C$7</f>
        <v>1.469979</v>
      </c>
      <c r="L1974" s="61" t="n">
        <f aca="false">H1974*Resumo!$C$8</f>
        <v>1.469979</v>
      </c>
      <c r="M1974" s="61" t="n">
        <f aca="false">Resumo!$C$10*CEILING(G1974/100,1)</f>
        <v>1.05</v>
      </c>
      <c r="N1974" s="61" t="n">
        <f aca="false">Resumo!$C$9</f>
        <v>0</v>
      </c>
      <c r="O1974" s="61" t="n">
        <f aca="false">Resumo!$C$13</f>
        <v>13.55</v>
      </c>
      <c r="P1974" s="61" t="n">
        <f aca="false">Resumo!$C$14*CEILING(G1974,1)</f>
        <v>23.85</v>
      </c>
      <c r="Q1974" s="61" t="n">
        <f aca="false">SUM(I1974:P1974)*Resumo!$C$11</f>
        <v>0</v>
      </c>
      <c r="R1974" s="61" t="n">
        <f aca="false">SUM(I1974:Q1974)</f>
        <v>99.989958</v>
      </c>
      <c r="S1974" s="61" t="n">
        <f aca="false">R1974/(1-Resumo!$C$5)</f>
        <v>113.624952272727</v>
      </c>
      <c r="T1974" s="61" t="n">
        <v>112.3</v>
      </c>
      <c r="U1974" s="61" t="n">
        <f aca="false">H1974*Resumo!$B$6</f>
        <v>0.69999</v>
      </c>
      <c r="V1974" s="61" t="n">
        <f aca="false">H1974*Resumo!$B$7</f>
        <v>1.39998</v>
      </c>
      <c r="W1974" s="61" t="n">
        <f aca="false">Resumo!$B$9</f>
        <v>1</v>
      </c>
      <c r="X1974" s="61" t="n">
        <f aca="false">Resumo!$B$10*CEILING(G1974/100,1)</f>
        <v>4.5</v>
      </c>
      <c r="Y1974" s="61" t="n">
        <f aca="false">Resumo!$B$12*CEILING(G1974,1)</f>
        <v>3.18</v>
      </c>
      <c r="Z1974" s="61" t="n">
        <f aca="false">Resumo!$B$14*CEILING(G1974,1)</f>
        <v>23.85</v>
      </c>
      <c r="AA1974" s="61" t="n">
        <f aca="false">SUM(T1974:Z1974)</f>
        <v>146.92997</v>
      </c>
      <c r="AB1974" s="61" t="n">
        <f aca="false">AA1974/(1-Resumo!$B$5)</f>
        <v>166.965875</v>
      </c>
      <c r="AC1974" s="61" t="n">
        <f aca="false">AB1974-S1974</f>
        <v>53.3409227272727</v>
      </c>
      <c r="AD1974" s="62" t="n">
        <f aca="false">AB1974/S1974-1</f>
        <v>0.469447261894039</v>
      </c>
      <c r="AE1974" s="60" t="str">
        <f aca="false">IF(AB1974&lt;S1974,"SIM","NÃO")</f>
        <v>NÃO</v>
      </c>
      <c r="AF1974" s="60" t="n">
        <v>2</v>
      </c>
      <c r="AG1974" s="60" t="n">
        <v>5</v>
      </c>
      <c r="AH1974" s="60" t="s">
        <v>382</v>
      </c>
      <c r="AI1974" s="61" t="n">
        <f aca="false">(T1974*(1-Painel!$C$40)+U1974+V1974+Painel!$C$41+Painel!$C$42*CEILING(G1974/100,1)+Painel!$C$43*CEILING(G1974,1)+Z1974)/(1-Resumo!$B$5)</f>
        <v>117.319284090909</v>
      </c>
      <c r="AJ1974" s="60" t="str">
        <f aca="false">IF(AI1974&lt;S1974,"SIM","NÃO")</f>
        <v>NÃO</v>
      </c>
    </row>
    <row r="1975" customFormat="false" ht="15" hidden="false" customHeight="false" outlineLevel="0" collapsed="false">
      <c r="A1975" s="59" t="n">
        <v>46286.599212963</v>
      </c>
      <c r="B1975" s="60" t="s">
        <v>2136</v>
      </c>
      <c r="C1975" s="60" t="n">
        <v>23575080</v>
      </c>
      <c r="D1975" s="60" t="s">
        <v>46</v>
      </c>
      <c r="E1975" s="60" t="s">
        <v>22</v>
      </c>
      <c r="F1975" s="60" t="s">
        <v>236</v>
      </c>
      <c r="G1975" s="60" t="n">
        <v>50.6</v>
      </c>
      <c r="H1975" s="61" t="n">
        <v>563.75</v>
      </c>
      <c r="I1975" s="61" t="n">
        <v>58.6</v>
      </c>
      <c r="J1975" s="61" t="n">
        <f aca="false">H1975*Resumo!$C$6</f>
        <v>0</v>
      </c>
      <c r="K1975" s="61" t="n">
        <f aca="false">H1975*Resumo!$C$7</f>
        <v>1.183875</v>
      </c>
      <c r="L1975" s="61" t="n">
        <f aca="false">H1975*Resumo!$C$8</f>
        <v>1.183875</v>
      </c>
      <c r="M1975" s="61" t="n">
        <f aca="false">Resumo!$C$10*CEILING(G1975/100,1)</f>
        <v>1.05</v>
      </c>
      <c r="N1975" s="61" t="n">
        <f aca="false">Resumo!$C$9</f>
        <v>0</v>
      </c>
      <c r="O1975" s="61" t="n">
        <f aca="false">Resumo!$C$13</f>
        <v>13.55</v>
      </c>
      <c r="P1975" s="61" t="n">
        <f aca="false">Resumo!$C$14*CEILING(G1975,1)</f>
        <v>22.95</v>
      </c>
      <c r="Q1975" s="61" t="n">
        <f aca="false">SUM(I1975:P1975)*Resumo!$C$11</f>
        <v>0</v>
      </c>
      <c r="R1975" s="61" t="n">
        <f aca="false">SUM(I1975:Q1975)</f>
        <v>98.51775</v>
      </c>
      <c r="S1975" s="61" t="n">
        <f aca="false">R1975/(1-Resumo!$C$5)</f>
        <v>111.951988636364</v>
      </c>
      <c r="T1975" s="61" t="n">
        <v>112.3</v>
      </c>
      <c r="U1975" s="61" t="n">
        <f aca="false">H1975*Resumo!$B$6</f>
        <v>0.56375</v>
      </c>
      <c r="V1975" s="61" t="n">
        <f aca="false">H1975*Resumo!$B$7</f>
        <v>1.1275</v>
      </c>
      <c r="W1975" s="61" t="n">
        <f aca="false">Resumo!$B$9</f>
        <v>1</v>
      </c>
      <c r="X1975" s="61" t="n">
        <f aca="false">Resumo!$B$10*CEILING(G1975/100,1)</f>
        <v>4.5</v>
      </c>
      <c r="Y1975" s="61" t="n">
        <f aca="false">Resumo!$B$12*CEILING(G1975,1)</f>
        <v>3.06</v>
      </c>
      <c r="Z1975" s="61" t="n">
        <f aca="false">Resumo!$B$14*CEILING(G1975,1)</f>
        <v>22.95</v>
      </c>
      <c r="AA1975" s="61" t="n">
        <f aca="false">SUM(T1975:Z1975)</f>
        <v>145.50125</v>
      </c>
      <c r="AB1975" s="61" t="n">
        <f aca="false">AA1975/(1-Resumo!$B$5)</f>
        <v>165.342329545455</v>
      </c>
      <c r="AC1975" s="61" t="n">
        <f aca="false">AB1975-S1975</f>
        <v>53.3903409090909</v>
      </c>
      <c r="AD1975" s="62" t="n">
        <f aca="false">AB1975/S1975-1</f>
        <v>0.476903908178983</v>
      </c>
      <c r="AE1975" s="60" t="str">
        <f aca="false">IF(AB1975&lt;S1975,"SIM","NÃO")</f>
        <v>NÃO</v>
      </c>
      <c r="AF1975" s="60" t="n">
        <v>2</v>
      </c>
      <c r="AG1975" s="60" t="n">
        <v>5</v>
      </c>
      <c r="AH1975" s="60" t="s">
        <v>382</v>
      </c>
      <c r="AI1975" s="61" t="n">
        <f aca="false">(T1975*(1-Painel!$C$40)+U1975+V1975+Painel!$C$41+Painel!$C$42*CEILING(G1975/100,1)+Painel!$C$43*CEILING(G1975,1)+Z1975)/(1-Resumo!$B$5)</f>
        <v>115.832102272727</v>
      </c>
      <c r="AJ1975" s="60" t="str">
        <f aca="false">IF(AI1975&lt;S1975,"SIM","NÃO")</f>
        <v>NÃO</v>
      </c>
    </row>
    <row r="1976" customFormat="false" ht="15" hidden="false" customHeight="false" outlineLevel="0" collapsed="false">
      <c r="A1976" s="59" t="n">
        <v>46286.6438425926</v>
      </c>
      <c r="B1976" s="60" t="s">
        <v>2137</v>
      </c>
      <c r="C1976" s="60" t="n">
        <v>26050803</v>
      </c>
      <c r="D1976" s="60" t="s">
        <v>49</v>
      </c>
      <c r="E1976" s="60" t="s">
        <v>23</v>
      </c>
      <c r="F1976" s="60" t="s">
        <v>237</v>
      </c>
      <c r="G1976" s="60" t="n">
        <v>66.8</v>
      </c>
      <c r="H1976" s="61" t="n">
        <v>675.54</v>
      </c>
      <c r="I1976" s="61" t="n">
        <v>76.55</v>
      </c>
      <c r="J1976" s="61" t="n">
        <f aca="false">H1976*Resumo!$C$6</f>
        <v>0</v>
      </c>
      <c r="K1976" s="61" t="n">
        <f aca="false">H1976*Resumo!$C$7</f>
        <v>1.418634</v>
      </c>
      <c r="L1976" s="61" t="n">
        <f aca="false">H1976*Resumo!$C$8</f>
        <v>1.418634</v>
      </c>
      <c r="M1976" s="61" t="n">
        <f aca="false">Resumo!$C$10*CEILING(G1976/100,1)</f>
        <v>1.05</v>
      </c>
      <c r="N1976" s="61" t="n">
        <f aca="false">Resumo!$C$9</f>
        <v>0</v>
      </c>
      <c r="O1976" s="61" t="n">
        <f aca="false">Resumo!$C$13</f>
        <v>13.55</v>
      </c>
      <c r="P1976" s="61" t="n">
        <f aca="false">Resumo!$C$14*CEILING(G1976,1)</f>
        <v>30.15</v>
      </c>
      <c r="Q1976" s="61" t="n">
        <f aca="false">SUM(I1976:P1976)*Resumo!$C$11</f>
        <v>0</v>
      </c>
      <c r="R1976" s="61" t="n">
        <f aca="false">SUM(I1976:Q1976)</f>
        <v>124.137268</v>
      </c>
      <c r="S1976" s="61" t="n">
        <f aca="false">R1976/(1-Resumo!$C$5)</f>
        <v>141.065077272727</v>
      </c>
      <c r="T1976" s="61" t="n">
        <v>131.02</v>
      </c>
      <c r="U1976" s="61" t="n">
        <f aca="false">H1976*Resumo!$B$6</f>
        <v>0.67554</v>
      </c>
      <c r="V1976" s="61" t="n">
        <f aca="false">H1976*Resumo!$B$7</f>
        <v>1.35108</v>
      </c>
      <c r="W1976" s="61" t="n">
        <f aca="false">Resumo!$B$9</f>
        <v>1</v>
      </c>
      <c r="X1976" s="61" t="n">
        <f aca="false">Resumo!$B$10*CEILING(G1976/100,1)</f>
        <v>4.5</v>
      </c>
      <c r="Y1976" s="61" t="n">
        <f aca="false">Resumo!$B$12*CEILING(G1976,1)</f>
        <v>4.02</v>
      </c>
      <c r="Z1976" s="61" t="n">
        <f aca="false">Resumo!$B$14*CEILING(G1976,1)</f>
        <v>30.15</v>
      </c>
      <c r="AA1976" s="61" t="n">
        <f aca="false">SUM(T1976:Z1976)</f>
        <v>172.71662</v>
      </c>
      <c r="AB1976" s="61" t="n">
        <f aca="false">AA1976/(1-Resumo!$B$5)</f>
        <v>196.268886363636</v>
      </c>
      <c r="AC1976" s="61" t="n">
        <f aca="false">AB1976-S1976</f>
        <v>55.2038090909091</v>
      </c>
      <c r="AD1976" s="62" t="n">
        <f aca="false">AB1976/S1976-1</f>
        <v>0.39133575905666</v>
      </c>
      <c r="AE1976" s="60" t="str">
        <f aca="false">IF(AB1976&lt;S1976,"SIM","NÃO")</f>
        <v>NÃO</v>
      </c>
      <c r="AF1976" s="60" t="n">
        <v>2</v>
      </c>
      <c r="AG1976" s="60" t="n">
        <v>5</v>
      </c>
      <c r="AH1976" s="60" t="s">
        <v>382</v>
      </c>
      <c r="AI1976" s="61" t="n">
        <f aca="false">(T1976*(1-Painel!$C$40)+U1976+V1976+Painel!$C$41+Painel!$C$42*CEILING(G1976/100,1)+Painel!$C$43*CEILING(G1976,1)+Z1976)/(1-Resumo!$B$5)</f>
        <v>138.64775</v>
      </c>
      <c r="AJ1976" s="60" t="str">
        <f aca="false">IF(AI1976&lt;S1976,"SIM","NÃO")</f>
        <v>SIM</v>
      </c>
    </row>
    <row r="1977" customFormat="false" ht="15" hidden="false" customHeight="false" outlineLevel="0" collapsed="false">
      <c r="A1977" s="59" t="n">
        <v>46286.6440509259</v>
      </c>
      <c r="B1977" s="60" t="s">
        <v>2138</v>
      </c>
      <c r="C1977" s="60" t="n">
        <v>21842340</v>
      </c>
      <c r="D1977" s="60" t="s">
        <v>46</v>
      </c>
      <c r="E1977" s="60" t="s">
        <v>22</v>
      </c>
      <c r="F1977" s="60" t="s">
        <v>233</v>
      </c>
      <c r="G1977" s="60" t="n">
        <v>21.5</v>
      </c>
      <c r="H1977" s="61" t="n">
        <v>299.99</v>
      </c>
      <c r="I1977" s="61" t="n">
        <v>42.11</v>
      </c>
      <c r="J1977" s="61" t="n">
        <f aca="false">H1977*Resumo!$C$6</f>
        <v>0</v>
      </c>
      <c r="K1977" s="61" t="n">
        <f aca="false">H1977*Resumo!$C$7</f>
        <v>0.629979</v>
      </c>
      <c r="L1977" s="61" t="n">
        <f aca="false">H1977*Resumo!$C$8</f>
        <v>0.629979</v>
      </c>
      <c r="M1977" s="61" t="n">
        <f aca="false">Resumo!$C$10*CEILING(G1977/100,1)</f>
        <v>1.05</v>
      </c>
      <c r="N1977" s="61" t="n">
        <f aca="false">Resumo!$C$9</f>
        <v>0</v>
      </c>
      <c r="O1977" s="61" t="n">
        <f aca="false">Resumo!$C$13</f>
        <v>13.55</v>
      </c>
      <c r="P1977" s="61" t="n">
        <f aca="false">Resumo!$C$14*CEILING(G1977,1)</f>
        <v>9.9</v>
      </c>
      <c r="Q1977" s="61" t="n">
        <f aca="false">SUM(I1977:P1977)*Resumo!$C$11</f>
        <v>0</v>
      </c>
      <c r="R1977" s="61" t="n">
        <f aca="false">SUM(I1977:Q1977)</f>
        <v>67.869958</v>
      </c>
      <c r="S1977" s="61" t="n">
        <f aca="false">R1977/(1-Resumo!$C$5)</f>
        <v>77.1249522727273</v>
      </c>
      <c r="T1977" s="61" t="n">
        <v>82.21</v>
      </c>
      <c r="U1977" s="61" t="n">
        <f aca="false">H1977*Resumo!$B$6</f>
        <v>0.29999</v>
      </c>
      <c r="V1977" s="61" t="n">
        <f aca="false">H1977*Resumo!$B$7</f>
        <v>0.59998</v>
      </c>
      <c r="W1977" s="61" t="n">
        <f aca="false">Resumo!$B$9</f>
        <v>1</v>
      </c>
      <c r="X1977" s="61" t="n">
        <f aca="false">Resumo!$B$10*CEILING(G1977/100,1)</f>
        <v>4.5</v>
      </c>
      <c r="Y1977" s="61" t="n">
        <f aca="false">Resumo!$B$12*CEILING(G1977,1)</f>
        <v>1.32</v>
      </c>
      <c r="Z1977" s="61" t="n">
        <f aca="false">Resumo!$B$14*CEILING(G1977,1)</f>
        <v>9.9</v>
      </c>
      <c r="AA1977" s="61" t="n">
        <f aca="false">SUM(T1977:Z1977)</f>
        <v>99.82997</v>
      </c>
      <c r="AB1977" s="61" t="n">
        <f aca="false">AA1977/(1-Resumo!$B$5)</f>
        <v>113.443147727273</v>
      </c>
      <c r="AC1977" s="61" t="n">
        <f aca="false">AB1977-S1977</f>
        <v>36.3181954545455</v>
      </c>
      <c r="AD1977" s="62" t="n">
        <f aca="false">AB1977/S1977-1</f>
        <v>0.470900718695008</v>
      </c>
      <c r="AE1977" s="60" t="str">
        <f aca="false">IF(AB1977&lt;S1977,"SIM","NÃO")</f>
        <v>NÃO</v>
      </c>
      <c r="AF1977" s="60" t="n">
        <v>2</v>
      </c>
      <c r="AG1977" s="60" t="n">
        <v>5</v>
      </c>
      <c r="AH1977" s="60" t="s">
        <v>382</v>
      </c>
      <c r="AI1977" s="61" t="n">
        <f aca="false">(T1977*(1-Painel!$C$40)+U1977+V1977+Painel!$C$41+Painel!$C$42*CEILING(G1977/100,1)+Painel!$C$43*CEILING(G1977,1)+Z1977)/(1-Resumo!$B$5)</f>
        <v>77.1939431818182</v>
      </c>
      <c r="AJ1977" s="60" t="str">
        <f aca="false">IF(AI1977&lt;S1977,"SIM","NÃO")</f>
        <v>NÃO</v>
      </c>
    </row>
    <row r="1978" customFormat="false" ht="15" hidden="false" customHeight="false" outlineLevel="0" collapsed="false">
      <c r="A1978" s="59" t="n">
        <v>46286.7103125</v>
      </c>
      <c r="B1978" s="60" t="s">
        <v>2139</v>
      </c>
      <c r="C1978" s="60" t="n">
        <v>21046425</v>
      </c>
      <c r="D1978" s="60" t="s">
        <v>46</v>
      </c>
      <c r="E1978" s="60" t="s">
        <v>22</v>
      </c>
      <c r="F1978" s="60" t="s">
        <v>233</v>
      </c>
      <c r="G1978" s="60" t="n">
        <v>22.9</v>
      </c>
      <c r="H1978" s="61" t="n">
        <v>349.99</v>
      </c>
      <c r="I1978" s="61" t="n">
        <v>42.11</v>
      </c>
      <c r="J1978" s="61" t="n">
        <f aca="false">H1978*Resumo!$C$6</f>
        <v>0</v>
      </c>
      <c r="K1978" s="61" t="n">
        <f aca="false">H1978*Resumo!$C$7</f>
        <v>0.734979</v>
      </c>
      <c r="L1978" s="61" t="n">
        <f aca="false">H1978*Resumo!$C$8</f>
        <v>0.734979</v>
      </c>
      <c r="M1978" s="61" t="n">
        <f aca="false">Resumo!$C$10*CEILING(G1978/100,1)</f>
        <v>1.05</v>
      </c>
      <c r="N1978" s="61" t="n">
        <f aca="false">Resumo!$C$9</f>
        <v>0</v>
      </c>
      <c r="O1978" s="61" t="n">
        <f aca="false">Resumo!$C$13</f>
        <v>13.55</v>
      </c>
      <c r="P1978" s="61" t="n">
        <f aca="false">Resumo!$C$14*CEILING(G1978,1)</f>
        <v>10.35</v>
      </c>
      <c r="Q1978" s="61" t="n">
        <f aca="false">SUM(I1978:P1978)*Resumo!$C$11</f>
        <v>0</v>
      </c>
      <c r="R1978" s="61" t="n">
        <f aca="false">SUM(I1978:Q1978)</f>
        <v>68.529958</v>
      </c>
      <c r="S1978" s="61" t="n">
        <f aca="false">R1978/(1-Resumo!$C$5)</f>
        <v>77.8749522727273</v>
      </c>
      <c r="T1978" s="61" t="n">
        <v>82.21</v>
      </c>
      <c r="U1978" s="61" t="n">
        <f aca="false">H1978*Resumo!$B$6</f>
        <v>0.34999</v>
      </c>
      <c r="V1978" s="61" t="n">
        <f aca="false">H1978*Resumo!$B$7</f>
        <v>0.69998</v>
      </c>
      <c r="W1978" s="61" t="n">
        <f aca="false">Resumo!$B$9</f>
        <v>1</v>
      </c>
      <c r="X1978" s="61" t="n">
        <f aca="false">Resumo!$B$10*CEILING(G1978/100,1)</f>
        <v>4.5</v>
      </c>
      <c r="Y1978" s="61" t="n">
        <f aca="false">Resumo!$B$12*CEILING(G1978,1)</f>
        <v>1.38</v>
      </c>
      <c r="Z1978" s="61" t="n">
        <f aca="false">Resumo!$B$14*CEILING(G1978,1)</f>
        <v>10.35</v>
      </c>
      <c r="AA1978" s="61" t="n">
        <f aca="false">SUM(T1978:Z1978)</f>
        <v>100.48997</v>
      </c>
      <c r="AB1978" s="61" t="n">
        <f aca="false">AA1978/(1-Resumo!$B$5)</f>
        <v>114.193147727273</v>
      </c>
      <c r="AC1978" s="61" t="n">
        <f aca="false">AB1978-S1978</f>
        <v>36.3181954545454</v>
      </c>
      <c r="AD1978" s="62" t="n">
        <f aca="false">AB1978/S1978-1</f>
        <v>0.466365556505959</v>
      </c>
      <c r="AE1978" s="60" t="str">
        <f aca="false">IF(AB1978&lt;S1978,"SIM","NÃO")</f>
        <v>NÃO</v>
      </c>
      <c r="AF1978" s="60" t="n">
        <v>2</v>
      </c>
      <c r="AG1978" s="60" t="n">
        <v>5</v>
      </c>
      <c r="AH1978" s="60" t="s">
        <v>382</v>
      </c>
      <c r="AI1978" s="61" t="n">
        <f aca="false">(T1978*(1-Painel!$C$40)+U1978+V1978+Painel!$C$41+Painel!$C$42*CEILING(G1978/100,1)+Painel!$C$43*CEILING(G1978,1)+Z1978)/(1-Resumo!$B$5)</f>
        <v>77.8757613636363</v>
      </c>
      <c r="AJ1978" s="60" t="str">
        <f aca="false">IF(AI1978&lt;S1978,"SIM","NÃO")</f>
        <v>NÃO</v>
      </c>
    </row>
    <row r="1979" customFormat="false" ht="15" hidden="false" customHeight="false" outlineLevel="0" collapsed="false">
      <c r="A1979" s="59" t="n">
        <v>46286.7157060185</v>
      </c>
      <c r="B1979" s="60" t="s">
        <v>2033</v>
      </c>
      <c r="C1979" s="60" t="n">
        <v>28860000</v>
      </c>
      <c r="D1979" s="60" t="s">
        <v>336</v>
      </c>
      <c r="E1979" s="60" t="s">
        <v>24</v>
      </c>
      <c r="F1979" s="60" t="s">
        <v>233</v>
      </c>
      <c r="G1979" s="60" t="n">
        <v>30.5</v>
      </c>
      <c r="H1979" s="61" t="n">
        <v>406.6</v>
      </c>
      <c r="I1979" s="61" t="n">
        <v>65.63</v>
      </c>
      <c r="J1979" s="61" t="n">
        <f aca="false">H1979*Resumo!$C$6</f>
        <v>0</v>
      </c>
      <c r="K1979" s="61" t="n">
        <f aca="false">H1979*Resumo!$C$7</f>
        <v>0.85386</v>
      </c>
      <c r="L1979" s="61" t="n">
        <f aca="false">H1979*Resumo!$C$8</f>
        <v>0.85386</v>
      </c>
      <c r="M1979" s="61" t="n">
        <f aca="false">Resumo!$C$10*CEILING(G1979/100,1)</f>
        <v>1.05</v>
      </c>
      <c r="N1979" s="61" t="n">
        <f aca="false">Resumo!$C$9</f>
        <v>0</v>
      </c>
      <c r="O1979" s="61" t="n">
        <f aca="false">Resumo!$C$13</f>
        <v>13.55</v>
      </c>
      <c r="P1979" s="61" t="n">
        <f aca="false">Resumo!$C$14*CEILING(G1979,1)</f>
        <v>13.95</v>
      </c>
      <c r="Q1979" s="61" t="n">
        <f aca="false">SUM(I1979:P1979)*Resumo!$C$11</f>
        <v>0</v>
      </c>
      <c r="R1979" s="61" t="n">
        <f aca="false">SUM(I1979:Q1979)</f>
        <v>95.88772</v>
      </c>
      <c r="S1979" s="61" t="n">
        <f aca="false">R1979/(1-Resumo!$C$5)</f>
        <v>108.963318181818</v>
      </c>
      <c r="T1979" s="61" t="n">
        <v>114.95</v>
      </c>
      <c r="U1979" s="61" t="n">
        <f aca="false">H1979*Resumo!$B$6</f>
        <v>0.4066</v>
      </c>
      <c r="V1979" s="61" t="n">
        <f aca="false">H1979*Resumo!$B$7</f>
        <v>0.8132</v>
      </c>
      <c r="W1979" s="61" t="n">
        <f aca="false">Resumo!$B$9</f>
        <v>1</v>
      </c>
      <c r="X1979" s="61" t="n">
        <f aca="false">Resumo!$B$10*CEILING(G1979/100,1)</f>
        <v>4.5</v>
      </c>
      <c r="Y1979" s="61" t="n">
        <f aca="false">Resumo!$B$12*CEILING(G1979,1)</f>
        <v>1.86</v>
      </c>
      <c r="Z1979" s="61" t="n">
        <f aca="false">Resumo!$B$14*CEILING(G1979,1)</f>
        <v>13.95</v>
      </c>
      <c r="AA1979" s="61" t="n">
        <f aca="false">SUM(T1979:Z1979)</f>
        <v>137.4798</v>
      </c>
      <c r="AB1979" s="61" t="n">
        <f aca="false">AA1979/(1-Resumo!$B$5)</f>
        <v>156.227045454545</v>
      </c>
      <c r="AC1979" s="61" t="n">
        <f aca="false">AB1979-S1979</f>
        <v>47.2637272727273</v>
      </c>
      <c r="AD1979" s="62" t="n">
        <f aca="false">AB1979/S1979-1</f>
        <v>0.433758149635845</v>
      </c>
      <c r="AE1979" s="60" t="str">
        <f aca="false">IF(AB1979&lt;S1979,"SIM","NÃO")</f>
        <v>NÃO</v>
      </c>
      <c r="AF1979" s="60" t="n">
        <v>13</v>
      </c>
      <c r="AG1979" s="60" t="n">
        <v>10</v>
      </c>
      <c r="AH1979" s="60" t="s">
        <v>385</v>
      </c>
      <c r="AI1979" s="61" t="n">
        <f aca="false">(T1979*(1-Painel!$C$40)+U1979+V1979+Painel!$C$41+Painel!$C$42*CEILING(G1979/100,1)+Painel!$C$43*CEILING(G1979,1)+Z1979)/(1-Resumo!$B$5)</f>
        <v>107.086704545455</v>
      </c>
      <c r="AJ1979" s="60" t="str">
        <f aca="false">IF(AI1979&lt;S1979,"SIM","NÃO")</f>
        <v>SIM</v>
      </c>
    </row>
    <row r="1980" customFormat="false" ht="15" hidden="false" customHeight="false" outlineLevel="0" collapsed="false">
      <c r="A1980" s="59" t="n">
        <v>46286.7389930556</v>
      </c>
      <c r="B1980" s="60" t="s">
        <v>1585</v>
      </c>
      <c r="C1980" s="60" t="n">
        <v>21770190</v>
      </c>
      <c r="D1980" s="60" t="s">
        <v>46</v>
      </c>
      <c r="E1980" s="60" t="s">
        <v>22</v>
      </c>
      <c r="F1980" s="60" t="s">
        <v>234</v>
      </c>
      <c r="G1980" s="60" t="n">
        <v>35.3</v>
      </c>
      <c r="H1980" s="61" t="n">
        <v>434.97</v>
      </c>
      <c r="I1980" s="61" t="n">
        <v>48.35</v>
      </c>
      <c r="J1980" s="61" t="n">
        <f aca="false">H1980*Resumo!$C$6</f>
        <v>0</v>
      </c>
      <c r="K1980" s="61" t="n">
        <f aca="false">H1980*Resumo!$C$7</f>
        <v>0.913437</v>
      </c>
      <c r="L1980" s="61" t="n">
        <f aca="false">H1980*Resumo!$C$8</f>
        <v>0.913437</v>
      </c>
      <c r="M1980" s="61" t="n">
        <f aca="false">Resumo!$C$10*CEILING(G1980/100,1)</f>
        <v>1.05</v>
      </c>
      <c r="N1980" s="61" t="n">
        <f aca="false">Resumo!$C$9</f>
        <v>0</v>
      </c>
      <c r="O1980" s="61" t="n">
        <f aca="false">Resumo!$C$13</f>
        <v>13.55</v>
      </c>
      <c r="P1980" s="61" t="n">
        <f aca="false">Resumo!$C$14*CEILING(G1980,1)</f>
        <v>16.2</v>
      </c>
      <c r="Q1980" s="61" t="n">
        <f aca="false">SUM(I1980:P1980)*Resumo!$C$11</f>
        <v>0</v>
      </c>
      <c r="R1980" s="61" t="n">
        <f aca="false">SUM(I1980:Q1980)</f>
        <v>80.976874</v>
      </c>
      <c r="S1980" s="61" t="n">
        <f aca="false">R1980/(1-Resumo!$C$5)</f>
        <v>92.019175</v>
      </c>
      <c r="T1980" s="61" t="n">
        <v>93.97</v>
      </c>
      <c r="U1980" s="61" t="n">
        <f aca="false">H1980*Resumo!$B$6</f>
        <v>0.43497</v>
      </c>
      <c r="V1980" s="61" t="n">
        <f aca="false">H1980*Resumo!$B$7</f>
        <v>0.86994</v>
      </c>
      <c r="W1980" s="61" t="n">
        <f aca="false">Resumo!$B$9</f>
        <v>1</v>
      </c>
      <c r="X1980" s="61" t="n">
        <f aca="false">Resumo!$B$10*CEILING(G1980/100,1)</f>
        <v>4.5</v>
      </c>
      <c r="Y1980" s="61" t="n">
        <f aca="false">Resumo!$B$12*CEILING(G1980,1)</f>
        <v>2.16</v>
      </c>
      <c r="Z1980" s="61" t="n">
        <f aca="false">Resumo!$B$14*CEILING(G1980,1)</f>
        <v>16.2</v>
      </c>
      <c r="AA1980" s="61" t="n">
        <f aca="false">SUM(T1980:Z1980)</f>
        <v>119.13491</v>
      </c>
      <c r="AB1980" s="61" t="n">
        <f aca="false">AA1980/(1-Resumo!$B$5)</f>
        <v>135.380579545455</v>
      </c>
      <c r="AC1980" s="61" t="n">
        <f aca="false">AB1980-S1980</f>
        <v>43.3614045454545</v>
      </c>
      <c r="AD1980" s="62" t="n">
        <f aca="false">AB1980/S1980-1</f>
        <v>0.471221400816238</v>
      </c>
      <c r="AE1980" s="60" t="str">
        <f aca="false">IF(AB1980&lt;S1980,"SIM","NÃO")</f>
        <v>NÃO</v>
      </c>
      <c r="AF1980" s="60" t="n">
        <v>2</v>
      </c>
      <c r="AG1980" s="60" t="n">
        <v>5</v>
      </c>
      <c r="AH1980" s="60" t="s">
        <v>382</v>
      </c>
      <c r="AI1980" s="61" t="n">
        <f aca="false">(T1980*(1-Painel!$C$40)+U1980+V1980+Painel!$C$41+Painel!$C$42*CEILING(G1980/100,1)+Painel!$C$43*CEILING(G1980,1)+Z1980)/(1-Resumo!$B$5)</f>
        <v>93.7668295454545</v>
      </c>
      <c r="AJ1980" s="60" t="str">
        <f aca="false">IF(AI1980&lt;S1980,"SIM","NÃO")</f>
        <v>NÃO</v>
      </c>
    </row>
    <row r="1981" customFormat="false" ht="15" hidden="false" customHeight="false" outlineLevel="0" collapsed="false">
      <c r="A1981" s="59" t="n">
        <v>46286.7621990741</v>
      </c>
      <c r="B1981" s="60" t="s">
        <v>2140</v>
      </c>
      <c r="C1981" s="60" t="n">
        <v>24725040</v>
      </c>
      <c r="D1981" s="60" t="s">
        <v>47</v>
      </c>
      <c r="E1981" s="60" t="s">
        <v>23</v>
      </c>
      <c r="F1981" s="60" t="s">
        <v>235</v>
      </c>
      <c r="G1981" s="60" t="n">
        <v>49.6</v>
      </c>
      <c r="H1981" s="61" t="n">
        <v>749.99</v>
      </c>
      <c r="I1981" s="61" t="n">
        <v>65.36</v>
      </c>
      <c r="J1981" s="61" t="n">
        <f aca="false">H1981*Resumo!$C$6</f>
        <v>0</v>
      </c>
      <c r="K1981" s="61" t="n">
        <f aca="false">H1981*Resumo!$C$7</f>
        <v>1.574979</v>
      </c>
      <c r="L1981" s="61" t="n">
        <f aca="false">H1981*Resumo!$C$8</f>
        <v>1.574979</v>
      </c>
      <c r="M1981" s="61" t="n">
        <f aca="false">Resumo!$C$10*CEILING(G1981/100,1)</f>
        <v>1.05</v>
      </c>
      <c r="N1981" s="61" t="n">
        <f aca="false">Resumo!$C$9</f>
        <v>0</v>
      </c>
      <c r="O1981" s="61" t="n">
        <f aca="false">Resumo!$C$13</f>
        <v>13.55</v>
      </c>
      <c r="P1981" s="61" t="n">
        <f aca="false">Resumo!$C$14*CEILING(G1981,1)</f>
        <v>22.5</v>
      </c>
      <c r="Q1981" s="61" t="n">
        <f aca="false">SUM(I1981:P1981)*Resumo!$C$11</f>
        <v>0</v>
      </c>
      <c r="R1981" s="61" t="n">
        <f aca="false">SUM(I1981:Q1981)</f>
        <v>105.609958</v>
      </c>
      <c r="S1981" s="61" t="n">
        <f aca="false">R1981/(1-Resumo!$C$5)</f>
        <v>120.011315909091</v>
      </c>
      <c r="T1981" s="61" t="n">
        <v>114.95</v>
      </c>
      <c r="U1981" s="61" t="n">
        <f aca="false">H1981*Resumo!$B$6</f>
        <v>0.74999</v>
      </c>
      <c r="V1981" s="61" t="n">
        <f aca="false">H1981*Resumo!$B$7</f>
        <v>1.49998</v>
      </c>
      <c r="W1981" s="61" t="n">
        <f aca="false">Resumo!$B$9</f>
        <v>1</v>
      </c>
      <c r="X1981" s="61" t="n">
        <f aca="false">Resumo!$B$10*CEILING(G1981/100,1)</f>
        <v>4.5</v>
      </c>
      <c r="Y1981" s="61" t="n">
        <f aca="false">Resumo!$B$12*CEILING(G1981,1)</f>
        <v>3</v>
      </c>
      <c r="Z1981" s="61" t="n">
        <f aca="false">Resumo!$B$14*CEILING(G1981,1)</f>
        <v>22.5</v>
      </c>
      <c r="AA1981" s="61" t="n">
        <f aca="false">SUM(T1981:Z1981)</f>
        <v>148.19997</v>
      </c>
      <c r="AB1981" s="61" t="n">
        <f aca="false">AA1981/(1-Resumo!$B$5)</f>
        <v>168.409056818182</v>
      </c>
      <c r="AC1981" s="61" t="n">
        <f aca="false">AB1981-S1981</f>
        <v>48.3977409090909</v>
      </c>
      <c r="AD1981" s="62" t="n">
        <f aca="false">AB1981/S1981-1</f>
        <v>0.403276478909309</v>
      </c>
      <c r="AE1981" s="60" t="str">
        <f aca="false">IF(AB1981&lt;S1981,"SIM","NÃO")</f>
        <v>NÃO</v>
      </c>
      <c r="AF1981" s="60" t="n">
        <v>2</v>
      </c>
      <c r="AG1981" s="60" t="n">
        <v>7</v>
      </c>
      <c r="AH1981" s="60" t="s">
        <v>382</v>
      </c>
      <c r="AI1981" s="61" t="n">
        <f aca="false">(T1981*(1-Painel!$C$40)+U1981+V1981+Painel!$C$41+Painel!$C$42*CEILING(G1981/100,1)+Painel!$C$43*CEILING(G1981,1)+Z1981)/(1-Resumo!$B$5)</f>
        <v>117.973261363636</v>
      </c>
      <c r="AJ1981" s="60" t="str">
        <f aca="false">IF(AI1981&lt;S1981,"SIM","NÃO")</f>
        <v>SIM</v>
      </c>
    </row>
    <row r="1982" customFormat="false" ht="15" hidden="false" customHeight="false" outlineLevel="0" collapsed="false">
      <c r="A1982" s="59" t="n">
        <v>46286.7919444444</v>
      </c>
      <c r="B1982" s="60" t="s">
        <v>2141</v>
      </c>
      <c r="C1982" s="60" t="n">
        <v>27966031</v>
      </c>
      <c r="D1982" s="60" t="s">
        <v>53</v>
      </c>
      <c r="E1982" s="60" t="s">
        <v>24</v>
      </c>
      <c r="F1982" s="60" t="s">
        <v>233</v>
      </c>
      <c r="G1982" s="60" t="n">
        <v>33</v>
      </c>
      <c r="H1982" s="61" t="n">
        <v>438.93</v>
      </c>
      <c r="I1982" s="61" t="n">
        <v>65.63</v>
      </c>
      <c r="J1982" s="61" t="n">
        <f aca="false">H1982*Resumo!$C$6</f>
        <v>0</v>
      </c>
      <c r="K1982" s="61" t="n">
        <f aca="false">H1982*Resumo!$C$7</f>
        <v>0.921753</v>
      </c>
      <c r="L1982" s="61" t="n">
        <f aca="false">H1982*Resumo!$C$8</f>
        <v>0.921753</v>
      </c>
      <c r="M1982" s="61" t="n">
        <f aca="false">Resumo!$C$10*CEILING(G1982/100,1)</f>
        <v>1.05</v>
      </c>
      <c r="N1982" s="61" t="n">
        <f aca="false">Resumo!$C$9</f>
        <v>0</v>
      </c>
      <c r="O1982" s="61" t="n">
        <f aca="false">Resumo!$C$13</f>
        <v>13.55</v>
      </c>
      <c r="P1982" s="61" t="n">
        <f aca="false">Resumo!$C$14*CEILING(G1982,1)</f>
        <v>14.85</v>
      </c>
      <c r="Q1982" s="61" t="n">
        <f aca="false">SUM(I1982:P1982)*Resumo!$C$11</f>
        <v>0</v>
      </c>
      <c r="R1982" s="61" t="n">
        <f aca="false">SUM(I1982:Q1982)</f>
        <v>96.923506</v>
      </c>
      <c r="S1982" s="61" t="n">
        <f aca="false">R1982/(1-Resumo!$C$5)</f>
        <v>110.140347727273</v>
      </c>
      <c r="T1982" s="61" t="n">
        <v>138.29</v>
      </c>
      <c r="U1982" s="61" t="n">
        <f aca="false">H1982*Resumo!$B$6</f>
        <v>0.43893</v>
      </c>
      <c r="V1982" s="61" t="n">
        <f aca="false">H1982*Resumo!$B$7</f>
        <v>0.87786</v>
      </c>
      <c r="W1982" s="61" t="n">
        <f aca="false">Resumo!$B$9</f>
        <v>1</v>
      </c>
      <c r="X1982" s="61" t="n">
        <f aca="false">Resumo!$B$10*CEILING(G1982/100,1)</f>
        <v>4.5</v>
      </c>
      <c r="Y1982" s="61" t="n">
        <f aca="false">Resumo!$B$12*CEILING(G1982,1)</f>
        <v>1.98</v>
      </c>
      <c r="Z1982" s="61" t="n">
        <f aca="false">Resumo!$B$14*CEILING(G1982,1)</f>
        <v>14.85</v>
      </c>
      <c r="AA1982" s="61" t="n">
        <f aca="false">SUM(T1982:Z1982)</f>
        <v>161.93679</v>
      </c>
      <c r="AB1982" s="61" t="n">
        <f aca="false">AA1982/(1-Resumo!$B$5)</f>
        <v>184.019079545455</v>
      </c>
      <c r="AC1982" s="61" t="n">
        <f aca="false">AB1982-S1982</f>
        <v>73.8787318181818</v>
      </c>
      <c r="AD1982" s="62" t="n">
        <f aca="false">AB1982/S1982-1</f>
        <v>0.670769008294025</v>
      </c>
      <c r="AE1982" s="60" t="str">
        <f aca="false">IF(AB1982&lt;S1982,"SIM","NÃO")</f>
        <v>NÃO</v>
      </c>
      <c r="AF1982" s="60" t="n">
        <v>13</v>
      </c>
      <c r="AG1982" s="60" t="n">
        <v>11</v>
      </c>
      <c r="AH1982" s="60" t="s">
        <v>382</v>
      </c>
      <c r="AI1982" s="61" t="n">
        <f aca="false">(T1982*(1-Painel!$C$40)+U1982+V1982+Painel!$C$41+Painel!$C$42*CEILING(G1982/100,1)+Painel!$C$43*CEILING(G1982,1)+Z1982)/(1-Resumo!$B$5)</f>
        <v>125.989875</v>
      </c>
      <c r="AJ1982" s="60" t="str">
        <f aca="false">IF(AI1982&lt;S1982,"SIM","NÃO")</f>
        <v>NÃO</v>
      </c>
    </row>
    <row r="1983" customFormat="false" ht="15" hidden="false" customHeight="false" outlineLevel="0" collapsed="false">
      <c r="A1983" s="59" t="n">
        <v>46286.8105092593</v>
      </c>
      <c r="B1983" s="60" t="s">
        <v>2142</v>
      </c>
      <c r="C1983" s="60" t="n">
        <v>21381070</v>
      </c>
      <c r="D1983" s="60" t="s">
        <v>46</v>
      </c>
      <c r="E1983" s="60" t="s">
        <v>22</v>
      </c>
      <c r="F1983" s="60" t="s">
        <v>233</v>
      </c>
      <c r="G1983" s="60" t="n">
        <v>31.9</v>
      </c>
      <c r="H1983" s="61" t="n">
        <v>494.99</v>
      </c>
      <c r="I1983" s="61" t="n">
        <v>42.11</v>
      </c>
      <c r="J1983" s="61" t="n">
        <f aca="false">H1983*Resumo!$C$6</f>
        <v>0</v>
      </c>
      <c r="K1983" s="61" t="n">
        <f aca="false">H1983*Resumo!$C$7</f>
        <v>1.039479</v>
      </c>
      <c r="L1983" s="61" t="n">
        <f aca="false">H1983*Resumo!$C$8</f>
        <v>1.039479</v>
      </c>
      <c r="M1983" s="61" t="n">
        <f aca="false">Resumo!$C$10*CEILING(G1983/100,1)</f>
        <v>1.05</v>
      </c>
      <c r="N1983" s="61" t="n">
        <f aca="false">Resumo!$C$9</f>
        <v>0</v>
      </c>
      <c r="O1983" s="61" t="n">
        <f aca="false">Resumo!$C$13</f>
        <v>13.55</v>
      </c>
      <c r="P1983" s="61" t="n">
        <f aca="false">Resumo!$C$14*CEILING(G1983,1)</f>
        <v>14.4</v>
      </c>
      <c r="Q1983" s="61" t="n">
        <f aca="false">SUM(I1983:P1983)*Resumo!$C$11</f>
        <v>0</v>
      </c>
      <c r="R1983" s="61" t="n">
        <f aca="false">SUM(I1983:Q1983)</f>
        <v>73.188958</v>
      </c>
      <c r="S1983" s="61" t="n">
        <f aca="false">R1983/(1-Resumo!$C$5)</f>
        <v>83.1692704545455</v>
      </c>
      <c r="T1983" s="61" t="n">
        <v>82.21</v>
      </c>
      <c r="U1983" s="61" t="n">
        <f aca="false">H1983*Resumo!$B$6</f>
        <v>0.49499</v>
      </c>
      <c r="V1983" s="61" t="n">
        <f aca="false">H1983*Resumo!$B$7</f>
        <v>0.98998</v>
      </c>
      <c r="W1983" s="61" t="n">
        <f aca="false">Resumo!$B$9</f>
        <v>1</v>
      </c>
      <c r="X1983" s="61" t="n">
        <f aca="false">Resumo!$B$10*CEILING(G1983/100,1)</f>
        <v>4.5</v>
      </c>
      <c r="Y1983" s="61" t="n">
        <f aca="false">Resumo!$B$12*CEILING(G1983,1)</f>
        <v>1.92</v>
      </c>
      <c r="Z1983" s="61" t="n">
        <f aca="false">Resumo!$B$14*CEILING(G1983,1)</f>
        <v>14.4</v>
      </c>
      <c r="AA1983" s="61" t="n">
        <f aca="false">SUM(T1983:Z1983)</f>
        <v>105.51497</v>
      </c>
      <c r="AB1983" s="61" t="n">
        <f aca="false">AA1983/(1-Resumo!$B$5)</f>
        <v>119.903375</v>
      </c>
      <c r="AC1983" s="61" t="n">
        <f aca="false">AB1983-S1983</f>
        <v>36.7341045454546</v>
      </c>
      <c r="AD1983" s="62" t="n">
        <f aca="false">AB1983/S1983-1</f>
        <v>0.441678811713647</v>
      </c>
      <c r="AE1983" s="60" t="str">
        <f aca="false">IF(AB1983&lt;S1983,"SIM","NÃO")</f>
        <v>NÃO</v>
      </c>
      <c r="AF1983" s="60" t="n">
        <v>2</v>
      </c>
      <c r="AG1983" s="60" t="n">
        <v>5</v>
      </c>
      <c r="AH1983" s="60" t="s">
        <v>382</v>
      </c>
      <c r="AI1983" s="61" t="n">
        <f aca="false">(T1983*(1-Painel!$C$40)+U1983+V1983+Painel!$C$41+Painel!$C$42*CEILING(G1983/100,1)+Painel!$C$43*CEILING(G1983,1)+Z1983)/(1-Resumo!$B$5)</f>
        <v>82.9723522727273</v>
      </c>
      <c r="AJ1983" s="60" t="str">
        <f aca="false">IF(AI1983&lt;S1983,"SIM","NÃO")</f>
        <v>SIM</v>
      </c>
    </row>
    <row r="1984" customFormat="false" ht="15" hidden="false" customHeight="false" outlineLevel="0" collapsed="false">
      <c r="A1984" s="59" t="n">
        <v>46286.8386458333</v>
      </c>
      <c r="B1984" s="60" t="s">
        <v>2143</v>
      </c>
      <c r="C1984" s="60" t="n">
        <v>23050170</v>
      </c>
      <c r="D1984" s="60" t="s">
        <v>46</v>
      </c>
      <c r="E1984" s="60" t="s">
        <v>22</v>
      </c>
      <c r="F1984" s="60" t="s">
        <v>235</v>
      </c>
      <c r="G1984" s="60" t="n">
        <v>43.5</v>
      </c>
      <c r="H1984" s="61" t="n">
        <v>662.38</v>
      </c>
      <c r="I1984" s="61" t="n">
        <v>53.55</v>
      </c>
      <c r="J1984" s="61" t="n">
        <f aca="false">H1984*Resumo!$C$6</f>
        <v>0</v>
      </c>
      <c r="K1984" s="61" t="n">
        <f aca="false">H1984*Resumo!$C$7</f>
        <v>1.390998</v>
      </c>
      <c r="L1984" s="61" t="n">
        <f aca="false">H1984*Resumo!$C$8</f>
        <v>1.390998</v>
      </c>
      <c r="M1984" s="61" t="n">
        <f aca="false">Resumo!$C$10*CEILING(G1984/100,1)</f>
        <v>1.05</v>
      </c>
      <c r="N1984" s="61" t="n">
        <f aca="false">Resumo!$C$9</f>
        <v>0</v>
      </c>
      <c r="O1984" s="61" t="n">
        <f aca="false">Resumo!$C$13</f>
        <v>13.55</v>
      </c>
      <c r="P1984" s="61" t="n">
        <f aca="false">Resumo!$C$14*CEILING(G1984,1)</f>
        <v>19.8</v>
      </c>
      <c r="Q1984" s="61" t="n">
        <f aca="false">SUM(I1984:P1984)*Resumo!$C$11</f>
        <v>0</v>
      </c>
      <c r="R1984" s="61" t="n">
        <f aca="false">SUM(I1984:Q1984)</f>
        <v>90.731996</v>
      </c>
      <c r="S1984" s="61" t="n">
        <f aca="false">R1984/(1-Resumo!$C$5)</f>
        <v>103.104540909091</v>
      </c>
      <c r="T1984" s="61" t="n">
        <v>93.97</v>
      </c>
      <c r="U1984" s="61" t="n">
        <f aca="false">H1984*Resumo!$B$6</f>
        <v>0.66238</v>
      </c>
      <c r="V1984" s="61" t="n">
        <f aca="false">H1984*Resumo!$B$7</f>
        <v>1.32476</v>
      </c>
      <c r="W1984" s="61" t="n">
        <f aca="false">Resumo!$B$9</f>
        <v>1</v>
      </c>
      <c r="X1984" s="61" t="n">
        <f aca="false">Resumo!$B$10*CEILING(G1984/100,1)</f>
        <v>4.5</v>
      </c>
      <c r="Y1984" s="61" t="n">
        <f aca="false">Resumo!$B$12*CEILING(G1984,1)</f>
        <v>2.64</v>
      </c>
      <c r="Z1984" s="61" t="n">
        <f aca="false">Resumo!$B$14*CEILING(G1984,1)</f>
        <v>19.8</v>
      </c>
      <c r="AA1984" s="61" t="n">
        <f aca="false">SUM(T1984:Z1984)</f>
        <v>123.89714</v>
      </c>
      <c r="AB1984" s="61" t="n">
        <f aca="false">AA1984/(1-Resumo!$B$5)</f>
        <v>140.792204545455</v>
      </c>
      <c r="AC1984" s="61" t="n">
        <f aca="false">AB1984-S1984</f>
        <v>37.6876636363636</v>
      </c>
      <c r="AD1984" s="62" t="n">
        <f aca="false">AB1984/S1984-1</f>
        <v>0.365528649893253</v>
      </c>
      <c r="AE1984" s="60" t="str">
        <f aca="false">IF(AB1984&lt;S1984,"SIM","NÃO")</f>
        <v>NÃO</v>
      </c>
      <c r="AF1984" s="60" t="n">
        <v>2</v>
      </c>
      <c r="AG1984" s="60" t="n">
        <v>5</v>
      </c>
      <c r="AH1984" s="60" t="s">
        <v>382</v>
      </c>
      <c r="AI1984" s="61" t="n">
        <f aca="false">(T1984*(1-Painel!$C$40)+U1984+V1984+Painel!$C$41+Painel!$C$42*CEILING(G1984/100,1)+Painel!$C$43*CEILING(G1984,1)+Z1984)/(1-Resumo!$B$5)</f>
        <v>98.633</v>
      </c>
      <c r="AJ1984" s="60" t="str">
        <f aca="false">IF(AI1984&lt;S1984,"SIM","NÃO")</f>
        <v>SIM</v>
      </c>
    </row>
    <row r="1985" customFormat="false" ht="15" hidden="false" customHeight="false" outlineLevel="0" collapsed="false">
      <c r="A1985" s="59" t="n">
        <v>46286.860787037</v>
      </c>
      <c r="B1985" s="60" t="s">
        <v>2144</v>
      </c>
      <c r="C1985" s="60" t="n">
        <v>25051020</v>
      </c>
      <c r="D1985" s="60" t="s">
        <v>48</v>
      </c>
      <c r="E1985" s="60" t="s">
        <v>23</v>
      </c>
      <c r="F1985" s="60" t="s">
        <v>237</v>
      </c>
      <c r="G1985" s="60" t="n">
        <v>63.9</v>
      </c>
      <c r="H1985" s="61" t="n">
        <v>716.35</v>
      </c>
      <c r="I1985" s="61" t="n">
        <v>76.55</v>
      </c>
      <c r="J1985" s="61" t="n">
        <f aca="false">H1985*Resumo!$C$6</f>
        <v>0</v>
      </c>
      <c r="K1985" s="61" t="n">
        <f aca="false">H1985*Resumo!$C$7</f>
        <v>1.504335</v>
      </c>
      <c r="L1985" s="61" t="n">
        <f aca="false">H1985*Resumo!$C$8</f>
        <v>1.504335</v>
      </c>
      <c r="M1985" s="61" t="n">
        <f aca="false">Resumo!$C$10*CEILING(G1985/100,1)</f>
        <v>1.05</v>
      </c>
      <c r="N1985" s="61" t="n">
        <f aca="false">Resumo!$C$9</f>
        <v>0</v>
      </c>
      <c r="O1985" s="61" t="n">
        <f aca="false">Resumo!$C$13</f>
        <v>13.55</v>
      </c>
      <c r="P1985" s="61" t="n">
        <f aca="false">Resumo!$C$14*CEILING(G1985,1)</f>
        <v>28.8</v>
      </c>
      <c r="Q1985" s="61" t="n">
        <f aca="false">SUM(I1985:P1985)*Resumo!$C$11</f>
        <v>0</v>
      </c>
      <c r="R1985" s="61" t="n">
        <f aca="false">SUM(I1985:Q1985)</f>
        <v>122.95867</v>
      </c>
      <c r="S1985" s="61" t="n">
        <f aca="false">R1985/(1-Resumo!$C$5)</f>
        <v>139.725761363636</v>
      </c>
      <c r="T1985" s="61" t="n">
        <v>131.02</v>
      </c>
      <c r="U1985" s="61" t="n">
        <f aca="false">H1985*Resumo!$B$6</f>
        <v>0.71635</v>
      </c>
      <c r="V1985" s="61" t="n">
        <f aca="false">H1985*Resumo!$B$7</f>
        <v>1.4327</v>
      </c>
      <c r="W1985" s="61" t="n">
        <f aca="false">Resumo!$B$9</f>
        <v>1</v>
      </c>
      <c r="X1985" s="61" t="n">
        <f aca="false">Resumo!$B$10*CEILING(G1985/100,1)</f>
        <v>4.5</v>
      </c>
      <c r="Y1985" s="61" t="n">
        <f aca="false">Resumo!$B$12*CEILING(G1985,1)</f>
        <v>3.84</v>
      </c>
      <c r="Z1985" s="61" t="n">
        <f aca="false">Resumo!$B$14*CEILING(G1985,1)</f>
        <v>28.8</v>
      </c>
      <c r="AA1985" s="61" t="n">
        <f aca="false">SUM(T1985:Z1985)</f>
        <v>171.30905</v>
      </c>
      <c r="AB1985" s="61" t="n">
        <f aca="false">AA1985/(1-Resumo!$B$5)</f>
        <v>194.669375</v>
      </c>
      <c r="AC1985" s="61" t="n">
        <f aca="false">AB1985-S1985</f>
        <v>54.9436136363636</v>
      </c>
      <c r="AD1985" s="62" t="n">
        <f aca="false">AB1985/S1985-1</f>
        <v>0.393224650201568</v>
      </c>
      <c r="AE1985" s="60" t="str">
        <f aca="false">IF(AB1985&lt;S1985,"SIM","NÃO")</f>
        <v>NÃO</v>
      </c>
      <c r="AF1985" s="60" t="n">
        <v>2</v>
      </c>
      <c r="AG1985" s="60" t="n">
        <v>5</v>
      </c>
      <c r="AH1985" s="60" t="s">
        <v>382</v>
      </c>
      <c r="AI1985" s="61" t="n">
        <f aca="false">(T1985*(1-Painel!$C$40)+U1985+V1985+Painel!$C$41+Painel!$C$42*CEILING(G1985/100,1)+Painel!$C$43*CEILING(G1985,1)+Z1985)/(1-Resumo!$B$5)</f>
        <v>137.252784090909</v>
      </c>
      <c r="AJ1985" s="60" t="str">
        <f aca="false">IF(AI1985&lt;S1985,"SIM","NÃO")</f>
        <v>SIM</v>
      </c>
    </row>
    <row r="1986" customFormat="false" ht="15" hidden="false" customHeight="false" outlineLevel="0" collapsed="false">
      <c r="A1986" s="59" t="n">
        <v>46286.8660185185</v>
      </c>
      <c r="B1986" s="60" t="s">
        <v>2145</v>
      </c>
      <c r="C1986" s="60" t="n">
        <v>24715562</v>
      </c>
      <c r="D1986" s="60" t="s">
        <v>47</v>
      </c>
      <c r="E1986" s="60" t="s">
        <v>23</v>
      </c>
      <c r="F1986" s="60" t="s">
        <v>239</v>
      </c>
      <c r="G1986" s="60" t="n">
        <v>82.8</v>
      </c>
      <c r="H1986" s="61" t="n">
        <v>879.98</v>
      </c>
      <c r="I1986" s="61" t="n">
        <v>92.32</v>
      </c>
      <c r="J1986" s="61" t="n">
        <f aca="false">H1986*Resumo!$C$6</f>
        <v>0</v>
      </c>
      <c r="K1986" s="61" t="n">
        <f aca="false">H1986*Resumo!$C$7</f>
        <v>1.847958</v>
      </c>
      <c r="L1986" s="61" t="n">
        <f aca="false">H1986*Resumo!$C$8</f>
        <v>1.847958</v>
      </c>
      <c r="M1986" s="61" t="n">
        <f aca="false">Resumo!$C$10*CEILING(G1986/100,1)</f>
        <v>1.05</v>
      </c>
      <c r="N1986" s="61" t="n">
        <f aca="false">Resumo!$C$9</f>
        <v>0</v>
      </c>
      <c r="O1986" s="61" t="n">
        <f aca="false">Resumo!$C$13</f>
        <v>13.55</v>
      </c>
      <c r="P1986" s="61" t="n">
        <f aca="false">Resumo!$C$14*CEILING(G1986,1)</f>
        <v>37.35</v>
      </c>
      <c r="Q1986" s="61" t="n">
        <f aca="false">SUM(I1986:P1986)*Resumo!$C$11</f>
        <v>0</v>
      </c>
      <c r="R1986" s="61" t="n">
        <f aca="false">SUM(I1986:Q1986)</f>
        <v>147.965916</v>
      </c>
      <c r="S1986" s="61" t="n">
        <f aca="false">R1986/(1-Resumo!$C$5)</f>
        <v>168.143086363636</v>
      </c>
      <c r="T1986" s="61" t="n">
        <v>178.42</v>
      </c>
      <c r="U1986" s="61" t="n">
        <f aca="false">H1986*Resumo!$B$6</f>
        <v>0.87998</v>
      </c>
      <c r="V1986" s="61" t="n">
        <f aca="false">H1986*Resumo!$B$7</f>
        <v>1.75996</v>
      </c>
      <c r="W1986" s="61" t="n">
        <f aca="false">Resumo!$B$9</f>
        <v>1</v>
      </c>
      <c r="X1986" s="61" t="n">
        <f aca="false">Resumo!$B$10*CEILING(G1986/100,1)</f>
        <v>4.5</v>
      </c>
      <c r="Y1986" s="61" t="n">
        <f aca="false">Resumo!$B$12*CEILING(G1986,1)</f>
        <v>4.98</v>
      </c>
      <c r="Z1986" s="61" t="n">
        <f aca="false">Resumo!$B$14*CEILING(G1986,1)</f>
        <v>37.35</v>
      </c>
      <c r="AA1986" s="61" t="n">
        <f aca="false">SUM(T1986:Z1986)</f>
        <v>228.88994</v>
      </c>
      <c r="AB1986" s="61" t="n">
        <f aca="false">AA1986/(1-Resumo!$B$5)</f>
        <v>260.102204545455</v>
      </c>
      <c r="AC1986" s="61" t="n">
        <f aca="false">AB1986-S1986</f>
        <v>91.9591181818182</v>
      </c>
      <c r="AD1986" s="62" t="n">
        <f aca="false">AB1986/S1986-1</f>
        <v>0.546909897817278</v>
      </c>
      <c r="AE1986" s="60" t="str">
        <f aca="false">IF(AB1986&lt;S1986,"SIM","NÃO")</f>
        <v>NÃO</v>
      </c>
      <c r="AF1986" s="60" t="n">
        <v>2</v>
      </c>
      <c r="AG1986" s="60" t="n">
        <v>7</v>
      </c>
      <c r="AH1986" s="60" t="s">
        <v>382</v>
      </c>
      <c r="AI1986" s="61" t="n">
        <f aca="false">(T1986*(1-Painel!$C$40)+U1986+V1986+Painel!$C$41+Painel!$C$42*CEILING(G1986/100,1)+Painel!$C$43*CEILING(G1986,1)+Z1986)/(1-Resumo!$B$5)</f>
        <v>183.615159090909</v>
      </c>
      <c r="AJ1986" s="60" t="str">
        <f aca="false">IF(AI1986&lt;S1986,"SIM","NÃO")</f>
        <v>NÃO</v>
      </c>
    </row>
    <row r="1987" customFormat="false" ht="15" hidden="false" customHeight="false" outlineLevel="0" collapsed="false">
      <c r="A1987" s="59" t="n">
        <v>46286.8812152778</v>
      </c>
      <c r="B1987" s="60" t="s">
        <v>1542</v>
      </c>
      <c r="C1987" s="60" t="n">
        <v>20540341</v>
      </c>
      <c r="D1987" s="60" t="s">
        <v>46</v>
      </c>
      <c r="E1987" s="60" t="s">
        <v>22</v>
      </c>
      <c r="F1987" s="60" t="s">
        <v>233</v>
      </c>
      <c r="G1987" s="60" t="n">
        <v>27.6</v>
      </c>
      <c r="H1987" s="61" t="n">
        <v>329.64</v>
      </c>
      <c r="I1987" s="61" t="n">
        <v>42.11</v>
      </c>
      <c r="J1987" s="61" t="n">
        <f aca="false">H1987*Resumo!$C$6</f>
        <v>0</v>
      </c>
      <c r="K1987" s="61" t="n">
        <f aca="false">H1987*Resumo!$C$7</f>
        <v>0.692244</v>
      </c>
      <c r="L1987" s="61" t="n">
        <f aca="false">H1987*Resumo!$C$8</f>
        <v>0.692244</v>
      </c>
      <c r="M1987" s="61" t="n">
        <f aca="false">Resumo!$C$10*CEILING(G1987/100,1)</f>
        <v>1.05</v>
      </c>
      <c r="N1987" s="61" t="n">
        <f aca="false">Resumo!$C$9</f>
        <v>0</v>
      </c>
      <c r="O1987" s="61" t="n">
        <f aca="false">Resumo!$C$13</f>
        <v>13.55</v>
      </c>
      <c r="P1987" s="61" t="n">
        <f aca="false">Resumo!$C$14*CEILING(G1987,1)</f>
        <v>12.6</v>
      </c>
      <c r="Q1987" s="61" t="n">
        <f aca="false">SUM(I1987:P1987)*Resumo!$C$11</f>
        <v>0</v>
      </c>
      <c r="R1987" s="61" t="n">
        <f aca="false">SUM(I1987:Q1987)</f>
        <v>70.694488</v>
      </c>
      <c r="S1987" s="61" t="n">
        <f aca="false">R1987/(1-Resumo!$C$5)</f>
        <v>80.3346454545455</v>
      </c>
      <c r="T1987" s="61" t="n">
        <v>82.21</v>
      </c>
      <c r="U1987" s="61" t="n">
        <f aca="false">H1987*Resumo!$B$6</f>
        <v>0.32964</v>
      </c>
      <c r="V1987" s="61" t="n">
        <f aca="false">H1987*Resumo!$B$7</f>
        <v>0.65928</v>
      </c>
      <c r="W1987" s="61" t="n">
        <f aca="false">Resumo!$B$9</f>
        <v>1</v>
      </c>
      <c r="X1987" s="61" t="n">
        <f aca="false">Resumo!$B$10*CEILING(G1987/100,1)</f>
        <v>4.5</v>
      </c>
      <c r="Y1987" s="61" t="n">
        <f aca="false">Resumo!$B$12*CEILING(G1987,1)</f>
        <v>1.68</v>
      </c>
      <c r="Z1987" s="61" t="n">
        <f aca="false">Resumo!$B$14*CEILING(G1987,1)</f>
        <v>12.6</v>
      </c>
      <c r="AA1987" s="61" t="n">
        <f aca="false">SUM(T1987:Z1987)</f>
        <v>102.97892</v>
      </c>
      <c r="AB1987" s="61" t="n">
        <f aca="false">AA1987/(1-Resumo!$B$5)</f>
        <v>117.0215</v>
      </c>
      <c r="AC1987" s="61" t="n">
        <f aca="false">AB1987-S1987</f>
        <v>36.6868545454545</v>
      </c>
      <c r="AD1987" s="62" t="n">
        <f aca="false">AB1987/S1987-1</f>
        <v>0.45667537757682</v>
      </c>
      <c r="AE1987" s="60" t="str">
        <f aca="false">IF(AB1987&lt;S1987,"SIM","NÃO")</f>
        <v>NÃO</v>
      </c>
      <c r="AF1987" s="60" t="n">
        <v>2</v>
      </c>
      <c r="AG1987" s="60" t="n">
        <v>5</v>
      </c>
      <c r="AH1987" s="60" t="s">
        <v>382</v>
      </c>
      <c r="AI1987" s="61" t="n">
        <f aca="false">(T1987*(1-Painel!$C$40)+U1987+V1987+Painel!$C$41+Painel!$C$42*CEILING(G1987/100,1)+Painel!$C$43*CEILING(G1987,1)+Z1987)/(1-Resumo!$B$5)</f>
        <v>80.3632045454545</v>
      </c>
      <c r="AJ1987" s="60" t="str">
        <f aca="false">IF(AI1987&lt;S1987,"SIM","NÃO")</f>
        <v>NÃO</v>
      </c>
    </row>
    <row r="1988" customFormat="false" ht="15" hidden="false" customHeight="false" outlineLevel="0" collapsed="false">
      <c r="A1988" s="59" t="n">
        <v>46286.8981018519</v>
      </c>
      <c r="B1988" s="60" t="s">
        <v>2146</v>
      </c>
      <c r="C1988" s="60" t="n">
        <v>27966843</v>
      </c>
      <c r="D1988" s="60" t="s">
        <v>53</v>
      </c>
      <c r="E1988" s="60" t="s">
        <v>24</v>
      </c>
      <c r="F1988" s="60" t="s">
        <v>235</v>
      </c>
      <c r="G1988" s="60" t="n">
        <v>41</v>
      </c>
      <c r="H1988" s="61" t="n">
        <v>519.99</v>
      </c>
      <c r="I1988" s="61" t="n">
        <v>77.7</v>
      </c>
      <c r="J1988" s="61" t="n">
        <f aca="false">H1988*Resumo!$C$6</f>
        <v>0</v>
      </c>
      <c r="K1988" s="61" t="n">
        <f aca="false">H1988*Resumo!$C$7</f>
        <v>1.091979</v>
      </c>
      <c r="L1988" s="61" t="n">
        <f aca="false">H1988*Resumo!$C$8</f>
        <v>1.091979</v>
      </c>
      <c r="M1988" s="61" t="n">
        <f aca="false">Resumo!$C$10*CEILING(G1988/100,1)</f>
        <v>1.05</v>
      </c>
      <c r="N1988" s="61" t="n">
        <f aca="false">Resumo!$C$9</f>
        <v>0</v>
      </c>
      <c r="O1988" s="61" t="n">
        <f aca="false">Resumo!$C$13</f>
        <v>13.55</v>
      </c>
      <c r="P1988" s="61" t="n">
        <f aca="false">Resumo!$C$14*CEILING(G1988,1)</f>
        <v>18.45</v>
      </c>
      <c r="Q1988" s="61" t="n">
        <f aca="false">SUM(I1988:P1988)*Resumo!$C$11</f>
        <v>0</v>
      </c>
      <c r="R1988" s="61" t="n">
        <f aca="false">SUM(I1988:Q1988)</f>
        <v>112.933958</v>
      </c>
      <c r="S1988" s="61" t="n">
        <f aca="false">R1988/(1-Resumo!$C$5)</f>
        <v>128.334043181818</v>
      </c>
      <c r="T1988" s="61" t="n">
        <v>152.54</v>
      </c>
      <c r="U1988" s="61" t="n">
        <f aca="false">H1988*Resumo!$B$6</f>
        <v>0.51999</v>
      </c>
      <c r="V1988" s="61" t="n">
        <f aca="false">H1988*Resumo!$B$7</f>
        <v>1.03998</v>
      </c>
      <c r="W1988" s="61" t="n">
        <f aca="false">Resumo!$B$9</f>
        <v>1</v>
      </c>
      <c r="X1988" s="61" t="n">
        <f aca="false">Resumo!$B$10*CEILING(G1988/100,1)</f>
        <v>4.5</v>
      </c>
      <c r="Y1988" s="61" t="n">
        <f aca="false">Resumo!$B$12*CEILING(G1988,1)</f>
        <v>2.46</v>
      </c>
      <c r="Z1988" s="61" t="n">
        <f aca="false">Resumo!$B$14*CEILING(G1988,1)</f>
        <v>18.45</v>
      </c>
      <c r="AA1988" s="61" t="n">
        <f aca="false">SUM(T1988:Z1988)</f>
        <v>180.50997</v>
      </c>
      <c r="AB1988" s="61" t="n">
        <f aca="false">AA1988/(1-Resumo!$B$5)</f>
        <v>205.124965909091</v>
      </c>
      <c r="AC1988" s="61" t="n">
        <f aca="false">AB1988-S1988</f>
        <v>76.7909227272727</v>
      </c>
      <c r="AD1988" s="62" t="n">
        <f aca="false">AB1988/S1988-1</f>
        <v>0.598367516703877</v>
      </c>
      <c r="AE1988" s="60" t="str">
        <f aca="false">IF(AB1988&lt;S1988,"SIM","NÃO")</f>
        <v>NÃO</v>
      </c>
      <c r="AF1988" s="60" t="n">
        <v>13</v>
      </c>
      <c r="AG1988" s="60" t="n">
        <v>11</v>
      </c>
      <c r="AH1988" s="60" t="s">
        <v>382</v>
      </c>
      <c r="AI1988" s="61" t="n">
        <f aca="false">(T1988*(1-Painel!$C$40)+U1988+V1988+Painel!$C$41+Painel!$C$42*CEILING(G1988/100,1)+Painel!$C$43*CEILING(G1988,1)+Z1988)/(1-Resumo!$B$5)</f>
        <v>141.206556818182</v>
      </c>
      <c r="AJ1988" s="60" t="str">
        <f aca="false">IF(AI1988&lt;S1988,"SIM","NÃO")</f>
        <v>NÃO</v>
      </c>
    </row>
    <row r="1989" customFormat="false" ht="15" hidden="false" customHeight="false" outlineLevel="0" collapsed="false">
      <c r="A1989" s="59" t="n">
        <v>46286.912025463</v>
      </c>
      <c r="B1989" s="60" t="s">
        <v>2147</v>
      </c>
      <c r="C1989" s="60" t="n">
        <v>25908713</v>
      </c>
      <c r="D1989" s="60" t="s">
        <v>225</v>
      </c>
      <c r="E1989" s="60" t="s">
        <v>24</v>
      </c>
      <c r="F1989" s="60" t="s">
        <v>234</v>
      </c>
      <c r="G1989" s="60" t="n">
        <v>40</v>
      </c>
      <c r="H1989" s="61" t="n">
        <v>562.42</v>
      </c>
      <c r="I1989" s="61" t="n">
        <v>74.97</v>
      </c>
      <c r="J1989" s="61" t="n">
        <f aca="false">H1989*Resumo!$C$6</f>
        <v>0</v>
      </c>
      <c r="K1989" s="61" t="n">
        <f aca="false">H1989*Resumo!$C$7</f>
        <v>1.181082</v>
      </c>
      <c r="L1989" s="61" t="n">
        <f aca="false">H1989*Resumo!$C$8</f>
        <v>1.181082</v>
      </c>
      <c r="M1989" s="61" t="n">
        <f aca="false">Resumo!$C$10*CEILING(G1989/100,1)</f>
        <v>1.05</v>
      </c>
      <c r="N1989" s="61" t="n">
        <f aca="false">Resumo!$C$9</f>
        <v>0</v>
      </c>
      <c r="O1989" s="61" t="n">
        <f aca="false">Resumo!$C$13</f>
        <v>13.55</v>
      </c>
      <c r="P1989" s="61" t="n">
        <f aca="false">Resumo!$C$14*CEILING(G1989,1)</f>
        <v>18</v>
      </c>
      <c r="Q1989" s="61" t="n">
        <f aca="false">SUM(I1989:P1989)*Resumo!$C$11</f>
        <v>0</v>
      </c>
      <c r="R1989" s="61" t="n">
        <f aca="false">SUM(I1989:Q1989)</f>
        <v>109.932164</v>
      </c>
      <c r="S1989" s="61" t="n">
        <f aca="false">R1989/(1-Resumo!$C$5)</f>
        <v>124.922913636364</v>
      </c>
      <c r="T1989" s="61" t="n">
        <v>108.03</v>
      </c>
      <c r="U1989" s="61" t="n">
        <f aca="false">H1989*Resumo!$B$6</f>
        <v>0.56242</v>
      </c>
      <c r="V1989" s="61" t="n">
        <f aca="false">H1989*Resumo!$B$7</f>
        <v>1.12484</v>
      </c>
      <c r="W1989" s="61" t="n">
        <f aca="false">Resumo!$B$9</f>
        <v>1</v>
      </c>
      <c r="X1989" s="61" t="n">
        <f aca="false">Resumo!$B$10*CEILING(G1989/100,1)</f>
        <v>4.5</v>
      </c>
      <c r="Y1989" s="61" t="n">
        <f aca="false">Resumo!$B$12*CEILING(G1989,1)</f>
        <v>2.4</v>
      </c>
      <c r="Z1989" s="61" t="n">
        <f aca="false">Resumo!$B$14*CEILING(G1989,1)</f>
        <v>18</v>
      </c>
      <c r="AA1989" s="61" t="n">
        <f aca="false">SUM(T1989:Z1989)</f>
        <v>135.61726</v>
      </c>
      <c r="AB1989" s="61" t="n">
        <f aca="false">AA1989/(1-Resumo!$B$5)</f>
        <v>154.110522727273</v>
      </c>
      <c r="AC1989" s="61" t="n">
        <f aca="false">AB1989-S1989</f>
        <v>29.1876090909091</v>
      </c>
      <c r="AD1989" s="62" t="n">
        <f aca="false">AB1989/S1989-1</f>
        <v>0.23364495944972</v>
      </c>
      <c r="AE1989" s="60" t="str">
        <f aca="false">IF(AB1989&lt;S1989,"SIM","NÃO")</f>
        <v>NÃO</v>
      </c>
      <c r="AF1989" s="60" t="n">
        <v>13</v>
      </c>
      <c r="AG1989" s="60" t="n">
        <v>6</v>
      </c>
      <c r="AH1989" s="60" t="s">
        <v>382</v>
      </c>
      <c r="AI1989" s="61" t="n">
        <f aca="false">(T1989*(1-Painel!$C$40)+U1989+V1989+Painel!$C$41+Painel!$C$42*CEILING(G1989/100,1)+Painel!$C$43*CEILING(G1989,1)+Z1989)/(1-Resumo!$B$5)</f>
        <v>106.951545454545</v>
      </c>
      <c r="AJ1989" s="60" t="str">
        <f aca="false">IF(AI1989&lt;S1989,"SIM","NÃO")</f>
        <v>SIM</v>
      </c>
    </row>
    <row r="1990" customFormat="false" ht="15" hidden="false" customHeight="false" outlineLevel="0" collapsed="false">
      <c r="A1990" s="59" t="n">
        <v>46286.9173842593</v>
      </c>
      <c r="B1990" s="60" t="s">
        <v>2148</v>
      </c>
      <c r="C1990" s="60" t="n">
        <v>20766200</v>
      </c>
      <c r="D1990" s="60" t="s">
        <v>46</v>
      </c>
      <c r="E1990" s="60" t="s">
        <v>22</v>
      </c>
      <c r="F1990" s="60" t="s">
        <v>233</v>
      </c>
      <c r="G1990" s="60" t="n">
        <v>33.11</v>
      </c>
      <c r="H1990" s="61" t="n">
        <v>403.53</v>
      </c>
      <c r="I1990" s="61" t="n">
        <v>42.11</v>
      </c>
      <c r="J1990" s="61" t="n">
        <f aca="false">H1990*Resumo!$C$6</f>
        <v>0</v>
      </c>
      <c r="K1990" s="61" t="n">
        <f aca="false">H1990*Resumo!$C$7</f>
        <v>0.847413</v>
      </c>
      <c r="L1990" s="61" t="n">
        <f aca="false">H1990*Resumo!$C$8</f>
        <v>0.847413</v>
      </c>
      <c r="M1990" s="61" t="n">
        <f aca="false">Resumo!$C$10*CEILING(G1990/100,1)</f>
        <v>1.05</v>
      </c>
      <c r="N1990" s="61" t="n">
        <f aca="false">Resumo!$C$9</f>
        <v>0</v>
      </c>
      <c r="O1990" s="61" t="n">
        <f aca="false">Resumo!$C$13</f>
        <v>13.55</v>
      </c>
      <c r="P1990" s="61" t="n">
        <f aca="false">Resumo!$C$14*CEILING(G1990,1)</f>
        <v>15.3</v>
      </c>
      <c r="Q1990" s="61" t="n">
        <f aca="false">SUM(I1990:P1990)*Resumo!$C$11</f>
        <v>0</v>
      </c>
      <c r="R1990" s="61" t="n">
        <f aca="false">SUM(I1990:Q1990)</f>
        <v>73.704826</v>
      </c>
      <c r="S1990" s="61" t="n">
        <f aca="false">R1990/(1-Resumo!$C$5)</f>
        <v>83.7554840909091</v>
      </c>
      <c r="T1990" s="61" t="n">
        <v>82.21</v>
      </c>
      <c r="U1990" s="61" t="n">
        <f aca="false">H1990*Resumo!$B$6</f>
        <v>0.40353</v>
      </c>
      <c r="V1990" s="61" t="n">
        <f aca="false">H1990*Resumo!$B$7</f>
        <v>0.80706</v>
      </c>
      <c r="W1990" s="61" t="n">
        <f aca="false">Resumo!$B$9</f>
        <v>1</v>
      </c>
      <c r="X1990" s="61" t="n">
        <f aca="false">Resumo!$B$10*CEILING(G1990/100,1)</f>
        <v>4.5</v>
      </c>
      <c r="Y1990" s="61" t="n">
        <f aca="false">Resumo!$B$12*CEILING(G1990,1)</f>
        <v>2.04</v>
      </c>
      <c r="Z1990" s="61" t="n">
        <f aca="false">Resumo!$B$14*CEILING(G1990,1)</f>
        <v>15.3</v>
      </c>
      <c r="AA1990" s="61" t="n">
        <f aca="false">SUM(T1990:Z1990)</f>
        <v>106.26059</v>
      </c>
      <c r="AB1990" s="61" t="n">
        <f aca="false">AA1990/(1-Resumo!$B$5)</f>
        <v>120.750670454545</v>
      </c>
      <c r="AC1990" s="61" t="n">
        <f aca="false">AB1990-S1990</f>
        <v>36.9951863636364</v>
      </c>
      <c r="AD1990" s="62" t="n">
        <f aca="false">AB1990/S1990-1</f>
        <v>0.441704644957713</v>
      </c>
      <c r="AE1990" s="60" t="str">
        <f aca="false">IF(AB1990&lt;S1990,"SIM","NÃO")</f>
        <v>NÃO</v>
      </c>
      <c r="AF1990" s="60" t="n">
        <v>2</v>
      </c>
      <c r="AG1990" s="60" t="n">
        <v>5</v>
      </c>
      <c r="AH1990" s="60" t="s">
        <v>382</v>
      </c>
      <c r="AI1990" s="61" t="n">
        <f aca="false">(T1990*(1-Painel!$C$40)+U1990+V1990+Painel!$C$41+Painel!$C$42*CEILING(G1990/100,1)+Painel!$C$43*CEILING(G1990,1)+Z1990)/(1-Resumo!$B$5)</f>
        <v>83.6832840909091</v>
      </c>
      <c r="AJ1990" s="60" t="str">
        <f aca="false">IF(AI1990&lt;S1990,"SIM","NÃO")</f>
        <v>SIM</v>
      </c>
    </row>
    <row r="1991" customFormat="false" ht="15" hidden="false" customHeight="false" outlineLevel="0" collapsed="false">
      <c r="A1991" s="59" t="n">
        <v>46286.9613773148</v>
      </c>
      <c r="B1991" s="60" t="s">
        <v>2149</v>
      </c>
      <c r="C1991" s="60" t="n">
        <v>28620075</v>
      </c>
      <c r="D1991" s="60" t="s">
        <v>226</v>
      </c>
      <c r="E1991" s="60" t="s">
        <v>24</v>
      </c>
      <c r="F1991" s="60" t="s">
        <v>235</v>
      </c>
      <c r="G1991" s="60" t="n">
        <v>41</v>
      </c>
      <c r="H1991" s="61" t="n">
        <v>559.99</v>
      </c>
      <c r="I1991" s="61" t="n">
        <v>77.7</v>
      </c>
      <c r="J1991" s="61" t="n">
        <f aca="false">H1991*Resumo!$C$6</f>
        <v>0</v>
      </c>
      <c r="K1991" s="61" t="n">
        <f aca="false">H1991*Resumo!$C$7</f>
        <v>1.175979</v>
      </c>
      <c r="L1991" s="61" t="n">
        <f aca="false">H1991*Resumo!$C$8</f>
        <v>1.175979</v>
      </c>
      <c r="M1991" s="61" t="n">
        <f aca="false">Resumo!$C$10*CEILING(G1991/100,1)</f>
        <v>1.05</v>
      </c>
      <c r="N1991" s="61" t="n">
        <f aca="false">Resumo!$C$9</f>
        <v>0</v>
      </c>
      <c r="O1991" s="61" t="n">
        <f aca="false">Resumo!$C$13</f>
        <v>13.55</v>
      </c>
      <c r="P1991" s="61" t="n">
        <f aca="false">Resumo!$C$14*CEILING(G1991,1)</f>
        <v>18.45</v>
      </c>
      <c r="Q1991" s="61" t="n">
        <f aca="false">SUM(I1991:P1991)*Resumo!$C$11</f>
        <v>0</v>
      </c>
      <c r="R1991" s="61" t="n">
        <f aca="false">SUM(I1991:Q1991)</f>
        <v>113.101958</v>
      </c>
      <c r="S1991" s="61" t="n">
        <f aca="false">R1991/(1-Resumo!$C$5)</f>
        <v>128.524952272727</v>
      </c>
      <c r="T1991" s="61" t="n">
        <v>135.03</v>
      </c>
      <c r="U1991" s="61" t="n">
        <f aca="false">H1991*Resumo!$B$6</f>
        <v>0.55999</v>
      </c>
      <c r="V1991" s="61" t="n">
        <f aca="false">H1991*Resumo!$B$7</f>
        <v>1.11998</v>
      </c>
      <c r="W1991" s="61" t="n">
        <f aca="false">Resumo!$B$9</f>
        <v>1</v>
      </c>
      <c r="X1991" s="61" t="n">
        <f aca="false">Resumo!$B$10*CEILING(G1991/100,1)</f>
        <v>4.5</v>
      </c>
      <c r="Y1991" s="61" t="n">
        <f aca="false">Resumo!$B$12*CEILING(G1991,1)</f>
        <v>2.46</v>
      </c>
      <c r="Z1991" s="61" t="n">
        <f aca="false">Resumo!$B$14*CEILING(G1991,1)</f>
        <v>18.45</v>
      </c>
      <c r="AA1991" s="61" t="n">
        <f aca="false">SUM(T1991:Z1991)</f>
        <v>163.11997</v>
      </c>
      <c r="AB1991" s="61" t="n">
        <f aca="false">AA1991/(1-Resumo!$B$5)</f>
        <v>185.363602272727</v>
      </c>
      <c r="AC1991" s="61" t="n">
        <f aca="false">AB1991-S1991</f>
        <v>56.83865</v>
      </c>
      <c r="AD1991" s="62" t="n">
        <f aca="false">AB1991/S1991-1</f>
        <v>0.442238250198993</v>
      </c>
      <c r="AE1991" s="60" t="str">
        <f aca="false">IF(AB1991&lt;S1991,"SIM","NÃO")</f>
        <v>NÃO</v>
      </c>
      <c r="AF1991" s="60" t="n">
        <v>13</v>
      </c>
      <c r="AG1991" s="60" t="n">
        <v>10</v>
      </c>
      <c r="AH1991" s="60" t="s">
        <v>382</v>
      </c>
      <c r="AI1991" s="61" t="n">
        <f aca="false">(T1991*(1-Painel!$C$40)+U1991+V1991+Painel!$C$41+Painel!$C$42*CEILING(G1991/100,1)+Painel!$C$43*CEILING(G1991,1)+Z1991)/(1-Resumo!$B$5)</f>
        <v>128.011443181818</v>
      </c>
      <c r="AJ1991" s="60" t="str">
        <f aca="false">IF(AI1991&lt;S1991,"SIM","NÃO")</f>
        <v>SIM</v>
      </c>
    </row>
    <row r="1992" customFormat="false" ht="15" hidden="false" customHeight="false" outlineLevel="0" collapsed="false">
      <c r="A1992" s="59" t="n">
        <v>46286.9655092593</v>
      </c>
      <c r="B1992" s="60" t="s">
        <v>1740</v>
      </c>
      <c r="C1992" s="60" t="n">
        <v>23075006</v>
      </c>
      <c r="D1992" s="60" t="s">
        <v>46</v>
      </c>
      <c r="E1992" s="60" t="s">
        <v>22</v>
      </c>
      <c r="F1992" s="60" t="s">
        <v>237</v>
      </c>
      <c r="G1992" s="60" t="n">
        <v>68.1</v>
      </c>
      <c r="H1992" s="61" t="n">
        <v>899.99</v>
      </c>
      <c r="I1992" s="61" t="n">
        <v>63.21</v>
      </c>
      <c r="J1992" s="61" t="n">
        <f aca="false">H1992*Resumo!$C$6</f>
        <v>0</v>
      </c>
      <c r="K1992" s="61" t="n">
        <f aca="false">H1992*Resumo!$C$7</f>
        <v>1.889979</v>
      </c>
      <c r="L1992" s="61" t="n">
        <f aca="false">H1992*Resumo!$C$8</f>
        <v>1.889979</v>
      </c>
      <c r="M1992" s="61" t="n">
        <f aca="false">Resumo!$C$10*CEILING(G1992/100,1)</f>
        <v>1.05</v>
      </c>
      <c r="N1992" s="61" t="n">
        <f aca="false">Resumo!$C$9</f>
        <v>0</v>
      </c>
      <c r="O1992" s="61" t="n">
        <f aca="false">Resumo!$C$13</f>
        <v>13.55</v>
      </c>
      <c r="P1992" s="61" t="n">
        <f aca="false">Resumo!$C$14*CEILING(G1992,1)</f>
        <v>31.05</v>
      </c>
      <c r="Q1992" s="61" t="n">
        <f aca="false">SUM(I1992:P1992)*Resumo!$C$11</f>
        <v>0</v>
      </c>
      <c r="R1992" s="61" t="n">
        <f aca="false">SUM(I1992:Q1992)</f>
        <v>112.639958</v>
      </c>
      <c r="S1992" s="61" t="n">
        <f aca="false">R1992/(1-Resumo!$C$5)</f>
        <v>127.999952272727</v>
      </c>
      <c r="T1992" s="61" t="n">
        <v>131.02</v>
      </c>
      <c r="U1992" s="61" t="n">
        <f aca="false">H1992*Resumo!$B$6</f>
        <v>0.89999</v>
      </c>
      <c r="V1992" s="61" t="n">
        <f aca="false">H1992*Resumo!$B$7</f>
        <v>1.79998</v>
      </c>
      <c r="W1992" s="61" t="n">
        <f aca="false">Resumo!$B$9</f>
        <v>1</v>
      </c>
      <c r="X1992" s="61" t="n">
        <f aca="false">Resumo!$B$10*CEILING(G1992/100,1)</f>
        <v>4.5</v>
      </c>
      <c r="Y1992" s="61" t="n">
        <f aca="false">Resumo!$B$12*CEILING(G1992,1)</f>
        <v>4.14</v>
      </c>
      <c r="Z1992" s="61" t="n">
        <f aca="false">Resumo!$B$14*CEILING(G1992,1)</f>
        <v>31.05</v>
      </c>
      <c r="AA1992" s="61" t="n">
        <f aca="false">SUM(T1992:Z1992)</f>
        <v>174.40997</v>
      </c>
      <c r="AB1992" s="61" t="n">
        <f aca="false">AA1992/(1-Resumo!$B$5)</f>
        <v>198.193147727273</v>
      </c>
      <c r="AC1992" s="61" t="n">
        <f aca="false">AB1992-S1992</f>
        <v>70.1931954545455</v>
      </c>
      <c r="AD1992" s="62" t="n">
        <f aca="false">AB1992/S1992-1</f>
        <v>0.548384543964408</v>
      </c>
      <c r="AE1992" s="60" t="str">
        <f aca="false">IF(AB1992&lt;S1992,"SIM","NÃO")</f>
        <v>NÃO</v>
      </c>
      <c r="AF1992" s="60" t="n">
        <v>2</v>
      </c>
      <c r="AG1992" s="60" t="n">
        <v>5</v>
      </c>
      <c r="AH1992" s="60" t="s">
        <v>382</v>
      </c>
      <c r="AI1992" s="61" t="n">
        <f aca="false">(T1992*(1-Painel!$C$40)+U1992+V1992+Painel!$C$41+Painel!$C$42*CEILING(G1992/100,1)+Painel!$C$43*CEILING(G1992,1)+Z1992)/(1-Resumo!$B$5)</f>
        <v>140.435647727273</v>
      </c>
      <c r="AJ1992" s="60" t="str">
        <f aca="false">IF(AI1992&lt;S1992,"SIM","NÃO")</f>
        <v>NÃO</v>
      </c>
    </row>
    <row r="1993" customFormat="false" ht="15" hidden="false" customHeight="false" outlineLevel="0" collapsed="false">
      <c r="A1993" s="59" t="n">
        <v>46287.0436342593</v>
      </c>
      <c r="B1993" s="60" t="s">
        <v>2150</v>
      </c>
      <c r="C1993" s="60" t="n">
        <v>28010801</v>
      </c>
      <c r="D1993" s="60" t="s">
        <v>51</v>
      </c>
      <c r="E1993" s="60" t="s">
        <v>24</v>
      </c>
      <c r="F1993" s="60" t="s">
        <v>234</v>
      </c>
      <c r="G1993" s="60" t="n">
        <v>40</v>
      </c>
      <c r="H1993" s="61" t="n">
        <v>562.42</v>
      </c>
      <c r="I1993" s="61" t="n">
        <v>74.97</v>
      </c>
      <c r="J1993" s="61" t="n">
        <f aca="false">H1993*Resumo!$C$6</f>
        <v>0</v>
      </c>
      <c r="K1993" s="61" t="n">
        <f aca="false">H1993*Resumo!$C$7</f>
        <v>1.181082</v>
      </c>
      <c r="L1993" s="61" t="n">
        <f aca="false">H1993*Resumo!$C$8</f>
        <v>1.181082</v>
      </c>
      <c r="M1993" s="61" t="n">
        <f aca="false">Resumo!$C$10*CEILING(G1993/100,1)</f>
        <v>1.05</v>
      </c>
      <c r="N1993" s="61" t="n">
        <f aca="false">Resumo!$C$9</f>
        <v>0</v>
      </c>
      <c r="O1993" s="61" t="n">
        <f aca="false">Resumo!$C$13</f>
        <v>13.55</v>
      </c>
      <c r="P1993" s="61" t="n">
        <f aca="false">Resumo!$C$14*CEILING(G1993,1)</f>
        <v>18</v>
      </c>
      <c r="Q1993" s="61" t="n">
        <f aca="false">SUM(I1993:P1993)*Resumo!$C$11</f>
        <v>0</v>
      </c>
      <c r="R1993" s="61" t="n">
        <f aca="false">SUM(I1993:Q1993)</f>
        <v>109.932164</v>
      </c>
      <c r="S1993" s="61" t="n">
        <f aca="false">R1993/(1-Resumo!$C$5)</f>
        <v>124.922913636364</v>
      </c>
      <c r="T1993" s="61" t="n">
        <v>143.04</v>
      </c>
      <c r="U1993" s="61" t="n">
        <f aca="false">H1993*Resumo!$B$6</f>
        <v>0.56242</v>
      </c>
      <c r="V1993" s="61" t="n">
        <f aca="false">H1993*Resumo!$B$7</f>
        <v>1.12484</v>
      </c>
      <c r="W1993" s="61" t="n">
        <f aca="false">Resumo!$B$9</f>
        <v>1</v>
      </c>
      <c r="X1993" s="61" t="n">
        <f aca="false">Resumo!$B$10*CEILING(G1993/100,1)</f>
        <v>4.5</v>
      </c>
      <c r="Y1993" s="61" t="n">
        <f aca="false">Resumo!$B$12*CEILING(G1993,1)</f>
        <v>2.4</v>
      </c>
      <c r="Z1993" s="61" t="n">
        <f aca="false">Resumo!$B$14*CEILING(G1993,1)</f>
        <v>18</v>
      </c>
      <c r="AA1993" s="61" t="n">
        <f aca="false">SUM(T1993:Z1993)</f>
        <v>170.62726</v>
      </c>
      <c r="AB1993" s="61" t="n">
        <f aca="false">AA1993/(1-Resumo!$B$5)</f>
        <v>193.894613636364</v>
      </c>
      <c r="AC1993" s="61" t="n">
        <f aca="false">AB1993-S1993</f>
        <v>68.9717</v>
      </c>
      <c r="AD1993" s="62" t="n">
        <f aca="false">AB1993/S1993-1</f>
        <v>0.552114083736221</v>
      </c>
      <c r="AE1993" s="60" t="str">
        <f aca="false">IF(AB1993&lt;S1993,"SIM","NÃO")</f>
        <v>NÃO</v>
      </c>
      <c r="AF1993" s="60" t="n">
        <v>13</v>
      </c>
      <c r="AG1993" s="60" t="n">
        <v>11</v>
      </c>
      <c r="AH1993" s="60" t="s">
        <v>382</v>
      </c>
      <c r="AI1993" s="61" t="n">
        <f aca="false">(T1993*(1-Painel!$C$40)+U1993+V1993+Painel!$C$41+Painel!$C$42*CEILING(G1993/100,1)+Painel!$C$43*CEILING(G1993,1)+Z1993)/(1-Resumo!$B$5)</f>
        <v>133.606886363636</v>
      </c>
      <c r="AJ1993" s="60" t="str">
        <f aca="false">IF(AI1993&lt;S1993,"SIM","NÃO")</f>
        <v>NÃO</v>
      </c>
    </row>
    <row r="1994" customFormat="false" ht="15" hidden="false" customHeight="false" outlineLevel="0" collapsed="false">
      <c r="A1994" s="59" t="n">
        <v>46287.1474768519</v>
      </c>
      <c r="B1994" s="60" t="s">
        <v>2151</v>
      </c>
      <c r="C1994" s="60" t="n">
        <v>28894330</v>
      </c>
      <c r="D1994" s="60" t="s">
        <v>227</v>
      </c>
      <c r="E1994" s="60" t="s">
        <v>24</v>
      </c>
      <c r="F1994" s="60" t="s">
        <v>233</v>
      </c>
      <c r="G1994" s="60" t="n">
        <v>30.5</v>
      </c>
      <c r="H1994" s="61" t="n">
        <v>406.6</v>
      </c>
      <c r="I1994" s="61" t="n">
        <v>65.63</v>
      </c>
      <c r="J1994" s="61" t="n">
        <f aca="false">H1994*Resumo!$C$6</f>
        <v>0</v>
      </c>
      <c r="K1994" s="61" t="n">
        <f aca="false">H1994*Resumo!$C$7</f>
        <v>0.85386</v>
      </c>
      <c r="L1994" s="61" t="n">
        <f aca="false">H1994*Resumo!$C$8</f>
        <v>0.85386</v>
      </c>
      <c r="M1994" s="61" t="n">
        <f aca="false">Resumo!$C$10*CEILING(G1994/100,1)</f>
        <v>1.05</v>
      </c>
      <c r="N1994" s="61" t="n">
        <f aca="false">Resumo!$C$9</f>
        <v>0</v>
      </c>
      <c r="O1994" s="61" t="n">
        <f aca="false">Resumo!$C$13</f>
        <v>13.55</v>
      </c>
      <c r="P1994" s="61" t="n">
        <f aca="false">Resumo!$C$14*CEILING(G1994,1)</f>
        <v>13.95</v>
      </c>
      <c r="Q1994" s="61" t="n">
        <f aca="false">SUM(I1994:P1994)*Resumo!$C$11</f>
        <v>0</v>
      </c>
      <c r="R1994" s="61" t="n">
        <f aca="false">SUM(I1994:Q1994)</f>
        <v>95.88772</v>
      </c>
      <c r="S1994" s="61" t="n">
        <f aca="false">R1994/(1-Resumo!$C$5)</f>
        <v>108.963318181818</v>
      </c>
      <c r="T1994" s="61" t="n">
        <v>114.95</v>
      </c>
      <c r="U1994" s="61" t="n">
        <f aca="false">H1994*Resumo!$B$6</f>
        <v>0.4066</v>
      </c>
      <c r="V1994" s="61" t="n">
        <f aca="false">H1994*Resumo!$B$7</f>
        <v>0.8132</v>
      </c>
      <c r="W1994" s="61" t="n">
        <f aca="false">Resumo!$B$9</f>
        <v>1</v>
      </c>
      <c r="X1994" s="61" t="n">
        <f aca="false">Resumo!$B$10*CEILING(G1994/100,1)</f>
        <v>4.5</v>
      </c>
      <c r="Y1994" s="61" t="n">
        <f aca="false">Resumo!$B$12*CEILING(G1994,1)</f>
        <v>1.86</v>
      </c>
      <c r="Z1994" s="61" t="n">
        <f aca="false">Resumo!$B$14*CEILING(G1994,1)</f>
        <v>13.95</v>
      </c>
      <c r="AA1994" s="61" t="n">
        <f aca="false">SUM(T1994:Z1994)</f>
        <v>137.4798</v>
      </c>
      <c r="AB1994" s="61" t="n">
        <f aca="false">AA1994/(1-Resumo!$B$5)</f>
        <v>156.227045454545</v>
      </c>
      <c r="AC1994" s="61" t="n">
        <f aca="false">AB1994-S1994</f>
        <v>47.2637272727273</v>
      </c>
      <c r="AD1994" s="62" t="n">
        <f aca="false">AB1994/S1994-1</f>
        <v>0.433758149635845</v>
      </c>
      <c r="AE1994" s="60" t="str">
        <f aca="false">IF(AB1994&lt;S1994,"SIM","NÃO")</f>
        <v>NÃO</v>
      </c>
      <c r="AF1994" s="60" t="n">
        <v>13</v>
      </c>
      <c r="AG1994" s="60" t="n">
        <v>10</v>
      </c>
      <c r="AH1994" s="60" t="s">
        <v>382</v>
      </c>
      <c r="AI1994" s="61" t="n">
        <f aca="false">(T1994*(1-Painel!$C$40)+U1994+V1994+Painel!$C$41+Painel!$C$42*CEILING(G1994/100,1)+Painel!$C$43*CEILING(G1994,1)+Z1994)/(1-Resumo!$B$5)</f>
        <v>107.086704545455</v>
      </c>
      <c r="AJ1994" s="60" t="str">
        <f aca="false">IF(AI1994&lt;S1994,"SIM","NÃO")</f>
        <v>SIM</v>
      </c>
    </row>
    <row r="1995" customFormat="false" ht="15" hidden="false" customHeight="false" outlineLevel="0" collapsed="false">
      <c r="A1995" s="59" t="n">
        <v>46287.2041435185</v>
      </c>
      <c r="B1995" s="60" t="s">
        <v>2152</v>
      </c>
      <c r="C1995" s="60" t="n">
        <v>25685050</v>
      </c>
      <c r="D1995" s="60" t="s">
        <v>219</v>
      </c>
      <c r="E1995" s="60" t="s">
        <v>24</v>
      </c>
      <c r="F1995" s="60" t="s">
        <v>233</v>
      </c>
      <c r="G1995" s="60" t="n">
        <v>29.7</v>
      </c>
      <c r="H1995" s="61" t="n">
        <v>450.44</v>
      </c>
      <c r="I1995" s="61" t="n">
        <v>65.63</v>
      </c>
      <c r="J1995" s="61" t="n">
        <f aca="false">H1995*Resumo!$C$6</f>
        <v>0</v>
      </c>
      <c r="K1995" s="61" t="n">
        <f aca="false">H1995*Resumo!$C$7</f>
        <v>0.945924</v>
      </c>
      <c r="L1995" s="61" t="n">
        <f aca="false">H1995*Resumo!$C$8</f>
        <v>0.945924</v>
      </c>
      <c r="M1995" s="61" t="n">
        <f aca="false">Resumo!$C$10*CEILING(G1995/100,1)</f>
        <v>1.05</v>
      </c>
      <c r="N1995" s="61" t="n">
        <f aca="false">Resumo!$C$9</f>
        <v>0</v>
      </c>
      <c r="O1995" s="61" t="n">
        <f aca="false">Resumo!$C$13</f>
        <v>13.55</v>
      </c>
      <c r="P1995" s="61" t="n">
        <f aca="false">Resumo!$C$14*CEILING(G1995,1)</f>
        <v>13.5</v>
      </c>
      <c r="Q1995" s="61" t="n">
        <f aca="false">SUM(I1995:P1995)*Resumo!$C$11</f>
        <v>0</v>
      </c>
      <c r="R1995" s="61" t="n">
        <f aca="false">SUM(I1995:Q1995)</f>
        <v>95.621848</v>
      </c>
      <c r="S1995" s="61" t="n">
        <f aca="false">R1995/(1-Resumo!$C$5)</f>
        <v>108.661190909091</v>
      </c>
      <c r="T1995" s="61" t="n">
        <v>108.83</v>
      </c>
      <c r="U1995" s="61" t="n">
        <f aca="false">H1995*Resumo!$B$6</f>
        <v>0.45044</v>
      </c>
      <c r="V1995" s="61" t="n">
        <f aca="false">H1995*Resumo!$B$7</f>
        <v>0.90088</v>
      </c>
      <c r="W1995" s="61" t="n">
        <f aca="false">Resumo!$B$9</f>
        <v>1</v>
      </c>
      <c r="X1995" s="61" t="n">
        <f aca="false">Resumo!$B$10*CEILING(G1995/100,1)</f>
        <v>4.5</v>
      </c>
      <c r="Y1995" s="61" t="n">
        <f aca="false">Resumo!$B$12*CEILING(G1995,1)</f>
        <v>1.8</v>
      </c>
      <c r="Z1995" s="61" t="n">
        <f aca="false">Resumo!$B$14*CEILING(G1995,1)</f>
        <v>13.5</v>
      </c>
      <c r="AA1995" s="61" t="n">
        <f aca="false">SUM(T1995:Z1995)</f>
        <v>130.98132</v>
      </c>
      <c r="AB1995" s="61" t="n">
        <f aca="false">AA1995/(1-Resumo!$B$5)</f>
        <v>148.842409090909</v>
      </c>
      <c r="AC1995" s="61" t="n">
        <f aca="false">AB1995-S1995</f>
        <v>40.1812181818182</v>
      </c>
      <c r="AD1995" s="62" t="n">
        <f aca="false">AB1995/S1995-1</f>
        <v>0.369784445077865</v>
      </c>
      <c r="AE1995" s="60" t="str">
        <f aca="false">IF(AB1995&lt;S1995,"SIM","NÃO")</f>
        <v>NÃO</v>
      </c>
      <c r="AF1995" s="60" t="n">
        <v>13</v>
      </c>
      <c r="AG1995" s="60" t="n">
        <v>8</v>
      </c>
      <c r="AH1995" s="60" t="s">
        <v>382</v>
      </c>
      <c r="AI1995" s="61" t="n">
        <f aca="false">(T1995*(1-Painel!$C$40)+U1995+V1995+Painel!$C$41+Painel!$C$42*CEILING(G1995/100,1)+Painel!$C$43*CEILING(G1995,1)+Z1995)/(1-Resumo!$B$5)</f>
        <v>102.06525</v>
      </c>
      <c r="AJ1995" s="60" t="str">
        <f aca="false">IF(AI1995&lt;S1995,"SIM","NÃO")</f>
        <v>SIM</v>
      </c>
    </row>
    <row r="1996" customFormat="false" ht="15" hidden="false" customHeight="false" outlineLevel="0" collapsed="false">
      <c r="A1996" s="59" t="n">
        <v>46287.2049421296</v>
      </c>
      <c r="B1996" s="60" t="s">
        <v>2153</v>
      </c>
      <c r="C1996" s="60" t="n">
        <v>20040001</v>
      </c>
      <c r="D1996" s="60" t="s">
        <v>46</v>
      </c>
      <c r="E1996" s="60" t="s">
        <v>22</v>
      </c>
      <c r="F1996" s="60" t="s">
        <v>233</v>
      </c>
      <c r="G1996" s="60" t="n">
        <v>27.5</v>
      </c>
      <c r="H1996" s="61" t="n">
        <v>429.99</v>
      </c>
      <c r="I1996" s="61" t="n">
        <v>42.11</v>
      </c>
      <c r="J1996" s="61" t="n">
        <f aca="false">H1996*Resumo!$C$6</f>
        <v>0</v>
      </c>
      <c r="K1996" s="61" t="n">
        <f aca="false">H1996*Resumo!$C$7</f>
        <v>0.902979</v>
      </c>
      <c r="L1996" s="61" t="n">
        <f aca="false">H1996*Resumo!$C$8</f>
        <v>0.902979</v>
      </c>
      <c r="M1996" s="61" t="n">
        <f aca="false">Resumo!$C$10*CEILING(G1996/100,1)</f>
        <v>1.05</v>
      </c>
      <c r="N1996" s="61" t="n">
        <f aca="false">Resumo!$C$9</f>
        <v>0</v>
      </c>
      <c r="O1996" s="61" t="n">
        <f aca="false">Resumo!$C$13</f>
        <v>13.55</v>
      </c>
      <c r="P1996" s="61" t="n">
        <f aca="false">Resumo!$C$14*CEILING(G1996,1)</f>
        <v>12.6</v>
      </c>
      <c r="Q1996" s="61" t="n">
        <f aca="false">SUM(I1996:P1996)*Resumo!$C$11</f>
        <v>0</v>
      </c>
      <c r="R1996" s="61" t="n">
        <f aca="false">SUM(I1996:Q1996)</f>
        <v>71.115958</v>
      </c>
      <c r="S1996" s="61" t="n">
        <f aca="false">R1996/(1-Resumo!$C$5)</f>
        <v>80.8135886363636</v>
      </c>
      <c r="T1996" s="61" t="n">
        <v>82.21</v>
      </c>
      <c r="U1996" s="61" t="n">
        <f aca="false">H1996*Resumo!$B$6</f>
        <v>0.42999</v>
      </c>
      <c r="V1996" s="61" t="n">
        <f aca="false">H1996*Resumo!$B$7</f>
        <v>0.85998</v>
      </c>
      <c r="W1996" s="61" t="n">
        <f aca="false">Resumo!$B$9</f>
        <v>1</v>
      </c>
      <c r="X1996" s="61" t="n">
        <f aca="false">Resumo!$B$10*CEILING(G1996/100,1)</f>
        <v>4.5</v>
      </c>
      <c r="Y1996" s="61" t="n">
        <f aca="false">Resumo!$B$12*CEILING(G1996,1)</f>
        <v>1.68</v>
      </c>
      <c r="Z1996" s="61" t="n">
        <f aca="false">Resumo!$B$14*CEILING(G1996,1)</f>
        <v>12.6</v>
      </c>
      <c r="AA1996" s="61" t="n">
        <f aca="false">SUM(T1996:Z1996)</f>
        <v>103.27997</v>
      </c>
      <c r="AB1996" s="61" t="n">
        <f aca="false">AA1996/(1-Resumo!$B$5)</f>
        <v>117.363602272727</v>
      </c>
      <c r="AC1996" s="61" t="n">
        <f aca="false">AB1996-S1996</f>
        <v>36.5500136363636</v>
      </c>
      <c r="AD1996" s="62" t="n">
        <f aca="false">AB1996/S1996-1</f>
        <v>0.452275591928326</v>
      </c>
      <c r="AE1996" s="60" t="str">
        <f aca="false">IF(AB1996&lt;S1996,"SIM","NÃO")</f>
        <v>NÃO</v>
      </c>
      <c r="AF1996" s="60" t="n">
        <v>2</v>
      </c>
      <c r="AG1996" s="60" t="n">
        <v>5</v>
      </c>
      <c r="AH1996" s="60" t="s">
        <v>382</v>
      </c>
      <c r="AI1996" s="61" t="n">
        <f aca="false">(T1996*(1-Painel!$C$40)+U1996+V1996+Painel!$C$41+Painel!$C$42*CEILING(G1996/100,1)+Painel!$C$43*CEILING(G1996,1)+Z1996)/(1-Resumo!$B$5)</f>
        <v>80.7053068181818</v>
      </c>
      <c r="AJ1996" s="60" t="str">
        <f aca="false">IF(AI1996&lt;S1996,"SIM","NÃO")</f>
        <v>SIM</v>
      </c>
    </row>
    <row r="1997" customFormat="false" ht="15" hidden="false" customHeight="false" outlineLevel="0" collapsed="false">
      <c r="A1997" s="59" t="n">
        <v>46287.2930787037</v>
      </c>
      <c r="B1997" s="60" t="s">
        <v>2154</v>
      </c>
      <c r="C1997" s="60" t="n">
        <v>22641005</v>
      </c>
      <c r="D1997" s="60" t="s">
        <v>46</v>
      </c>
      <c r="E1997" s="60" t="s">
        <v>22</v>
      </c>
      <c r="F1997" s="60" t="s">
        <v>233</v>
      </c>
      <c r="G1997" s="60" t="n">
        <v>34.8</v>
      </c>
      <c r="H1997" s="61" t="n">
        <v>425</v>
      </c>
      <c r="I1997" s="61" t="n">
        <v>42.11</v>
      </c>
      <c r="J1997" s="61" t="n">
        <f aca="false">H1997*Resumo!$C$6</f>
        <v>0</v>
      </c>
      <c r="K1997" s="61" t="n">
        <f aca="false">H1997*Resumo!$C$7</f>
        <v>0.8925</v>
      </c>
      <c r="L1997" s="61" t="n">
        <f aca="false">H1997*Resumo!$C$8</f>
        <v>0.8925</v>
      </c>
      <c r="M1997" s="61" t="n">
        <f aca="false">Resumo!$C$10*CEILING(G1997/100,1)</f>
        <v>1.05</v>
      </c>
      <c r="N1997" s="61" t="n">
        <f aca="false">Resumo!$C$9</f>
        <v>0</v>
      </c>
      <c r="O1997" s="61" t="n">
        <f aca="false">Resumo!$C$13</f>
        <v>13.55</v>
      </c>
      <c r="P1997" s="61" t="n">
        <f aca="false">Resumo!$C$14*CEILING(G1997,1)</f>
        <v>15.75</v>
      </c>
      <c r="Q1997" s="61" t="n">
        <f aca="false">SUM(I1997:P1997)*Resumo!$C$11</f>
        <v>0</v>
      </c>
      <c r="R1997" s="61" t="n">
        <f aca="false">SUM(I1997:Q1997)</f>
        <v>74.245</v>
      </c>
      <c r="S1997" s="61" t="n">
        <f aca="false">R1997/(1-Resumo!$C$5)</f>
        <v>84.3693181818182</v>
      </c>
      <c r="T1997" s="61" t="n">
        <v>82.21</v>
      </c>
      <c r="U1997" s="61" t="n">
        <f aca="false">H1997*Resumo!$B$6</f>
        <v>0.425</v>
      </c>
      <c r="V1997" s="61" t="n">
        <f aca="false">H1997*Resumo!$B$7</f>
        <v>0.85</v>
      </c>
      <c r="W1997" s="61" t="n">
        <f aca="false">Resumo!$B$9</f>
        <v>1</v>
      </c>
      <c r="X1997" s="61" t="n">
        <f aca="false">Resumo!$B$10*CEILING(G1997/100,1)</f>
        <v>4.5</v>
      </c>
      <c r="Y1997" s="61" t="n">
        <f aca="false">Resumo!$B$12*CEILING(G1997,1)</f>
        <v>2.1</v>
      </c>
      <c r="Z1997" s="61" t="n">
        <f aca="false">Resumo!$B$14*CEILING(G1997,1)</f>
        <v>15.75</v>
      </c>
      <c r="AA1997" s="61" t="n">
        <f aca="false">SUM(T1997:Z1997)</f>
        <v>106.835</v>
      </c>
      <c r="AB1997" s="61" t="n">
        <f aca="false">AA1997/(1-Resumo!$B$5)</f>
        <v>121.403409090909</v>
      </c>
      <c r="AC1997" s="61" t="n">
        <f aca="false">AB1997-S1997</f>
        <v>37.0340909090909</v>
      </c>
      <c r="AD1997" s="62" t="n">
        <f aca="false">AB1997/S1997-1</f>
        <v>0.438952117987743</v>
      </c>
      <c r="AE1997" s="60" t="str">
        <f aca="false">IF(AB1997&lt;S1997,"SIM","NÃO")</f>
        <v>NÃO</v>
      </c>
      <c r="AF1997" s="60" t="n">
        <v>2</v>
      </c>
      <c r="AG1997" s="60" t="n">
        <v>5</v>
      </c>
      <c r="AH1997" s="60" t="s">
        <v>382</v>
      </c>
      <c r="AI1997" s="61" t="n">
        <f aca="false">(T1997*(1-Painel!$C$40)+U1997+V1997+Painel!$C$41+Painel!$C$42*CEILING(G1997/100,1)+Painel!$C$43*CEILING(G1997,1)+Z1997)/(1-Resumo!$B$5)</f>
        <v>84.2678409090909</v>
      </c>
      <c r="AJ1997" s="60" t="str">
        <f aca="false">IF(AI1997&lt;S1997,"SIM","NÃO")</f>
        <v>SIM</v>
      </c>
    </row>
    <row r="1998" customFormat="false" ht="15" hidden="false" customHeight="false" outlineLevel="0" collapsed="false">
      <c r="A1998" s="59" t="n">
        <v>46287.3405208333</v>
      </c>
      <c r="B1998" s="60" t="s">
        <v>2155</v>
      </c>
      <c r="C1998" s="60" t="n">
        <v>28020822</v>
      </c>
      <c r="D1998" s="60" t="s">
        <v>51</v>
      </c>
      <c r="E1998" s="60" t="s">
        <v>24</v>
      </c>
      <c r="F1998" s="60" t="s">
        <v>233</v>
      </c>
      <c r="G1998" s="60" t="n">
        <v>30.5</v>
      </c>
      <c r="H1998" s="61" t="n">
        <v>406.6</v>
      </c>
      <c r="I1998" s="61" t="n">
        <v>65.63</v>
      </c>
      <c r="J1998" s="61" t="n">
        <f aca="false">H1998*Resumo!$C$6</f>
        <v>0</v>
      </c>
      <c r="K1998" s="61" t="n">
        <f aca="false">H1998*Resumo!$C$7</f>
        <v>0.85386</v>
      </c>
      <c r="L1998" s="61" t="n">
        <f aca="false">H1998*Resumo!$C$8</f>
        <v>0.85386</v>
      </c>
      <c r="M1998" s="61" t="n">
        <f aca="false">Resumo!$C$10*CEILING(G1998/100,1)</f>
        <v>1.05</v>
      </c>
      <c r="N1998" s="61" t="n">
        <f aca="false">Resumo!$C$9</f>
        <v>0</v>
      </c>
      <c r="O1998" s="61" t="n">
        <f aca="false">Resumo!$C$13</f>
        <v>13.55</v>
      </c>
      <c r="P1998" s="61" t="n">
        <f aca="false">Resumo!$C$14*CEILING(G1998,1)</f>
        <v>13.95</v>
      </c>
      <c r="Q1998" s="61" t="n">
        <f aca="false">SUM(I1998:P1998)*Resumo!$C$11</f>
        <v>0</v>
      </c>
      <c r="R1998" s="61" t="n">
        <f aca="false">SUM(I1998:Q1998)</f>
        <v>95.88772</v>
      </c>
      <c r="S1998" s="61" t="n">
        <f aca="false">R1998/(1-Resumo!$C$5)</f>
        <v>108.963318181818</v>
      </c>
      <c r="T1998" s="61" t="n">
        <v>138.29</v>
      </c>
      <c r="U1998" s="61" t="n">
        <f aca="false">H1998*Resumo!$B$6</f>
        <v>0.4066</v>
      </c>
      <c r="V1998" s="61" t="n">
        <f aca="false">H1998*Resumo!$B$7</f>
        <v>0.8132</v>
      </c>
      <c r="W1998" s="61" t="n">
        <f aca="false">Resumo!$B$9</f>
        <v>1</v>
      </c>
      <c r="X1998" s="61" t="n">
        <f aca="false">Resumo!$B$10*CEILING(G1998/100,1)</f>
        <v>4.5</v>
      </c>
      <c r="Y1998" s="61" t="n">
        <f aca="false">Resumo!$B$12*CEILING(G1998,1)</f>
        <v>1.86</v>
      </c>
      <c r="Z1998" s="61" t="n">
        <f aca="false">Resumo!$B$14*CEILING(G1998,1)</f>
        <v>13.95</v>
      </c>
      <c r="AA1998" s="61" t="n">
        <f aca="false">SUM(T1998:Z1998)</f>
        <v>160.8198</v>
      </c>
      <c r="AB1998" s="61" t="n">
        <f aca="false">AA1998/(1-Resumo!$B$5)</f>
        <v>182.749772727273</v>
      </c>
      <c r="AC1998" s="61" t="n">
        <f aca="false">AB1998-S1998</f>
        <v>73.7864545454545</v>
      </c>
      <c r="AD1998" s="62" t="n">
        <f aca="false">AB1998/S1998-1</f>
        <v>0.677167837550001</v>
      </c>
      <c r="AE1998" s="60" t="str">
        <f aca="false">IF(AB1998&lt;S1998,"SIM","NÃO")</f>
        <v>NÃO</v>
      </c>
      <c r="AF1998" s="60" t="n">
        <v>13</v>
      </c>
      <c r="AG1998" s="60" t="n">
        <v>11</v>
      </c>
      <c r="AH1998" s="60" t="s">
        <v>382</v>
      </c>
      <c r="AI1998" s="61" t="n">
        <f aca="false">(T1998*(1-Painel!$C$40)+U1998+V1998+Painel!$C$41+Painel!$C$42*CEILING(G1998/100,1)+Painel!$C$43*CEILING(G1998,1)+Z1998)/(1-Resumo!$B$5)</f>
        <v>124.856931818182</v>
      </c>
      <c r="AJ1998" s="60" t="str">
        <f aca="false">IF(AI1998&lt;S1998,"SIM","NÃO")</f>
        <v>NÃO</v>
      </c>
    </row>
    <row r="1999" customFormat="false" ht="15" hidden="false" customHeight="false" outlineLevel="0" collapsed="false">
      <c r="A1999" s="59" t="n">
        <v>46287.3566666667</v>
      </c>
      <c r="B1999" s="60" t="s">
        <v>639</v>
      </c>
      <c r="C1999" s="60" t="n">
        <v>24736220</v>
      </c>
      <c r="D1999" s="60" t="s">
        <v>47</v>
      </c>
      <c r="E1999" s="60" t="s">
        <v>23</v>
      </c>
      <c r="F1999" s="60" t="s">
        <v>235</v>
      </c>
      <c r="G1999" s="60" t="n">
        <v>41</v>
      </c>
      <c r="H1999" s="61" t="n">
        <v>487.99</v>
      </c>
      <c r="I1999" s="61" t="n">
        <v>65.36</v>
      </c>
      <c r="J1999" s="61" t="n">
        <f aca="false">H1999*Resumo!$C$6</f>
        <v>0</v>
      </c>
      <c r="K1999" s="61" t="n">
        <f aca="false">H1999*Resumo!$C$7</f>
        <v>1.024779</v>
      </c>
      <c r="L1999" s="61" t="n">
        <f aca="false">H1999*Resumo!$C$8</f>
        <v>1.024779</v>
      </c>
      <c r="M1999" s="61" t="n">
        <f aca="false">Resumo!$C$10*CEILING(G1999/100,1)</f>
        <v>1.05</v>
      </c>
      <c r="N1999" s="61" t="n">
        <f aca="false">Resumo!$C$9</f>
        <v>0</v>
      </c>
      <c r="O1999" s="61" t="n">
        <f aca="false">Resumo!$C$13</f>
        <v>13.55</v>
      </c>
      <c r="P1999" s="61" t="n">
        <f aca="false">Resumo!$C$14*CEILING(G1999,1)</f>
        <v>18.45</v>
      </c>
      <c r="Q1999" s="61" t="n">
        <f aca="false">SUM(I1999:P1999)*Resumo!$C$11</f>
        <v>0</v>
      </c>
      <c r="R1999" s="61" t="n">
        <f aca="false">SUM(I1999:Q1999)</f>
        <v>100.459558</v>
      </c>
      <c r="S1999" s="61" t="n">
        <f aca="false">R1999/(1-Resumo!$C$5)</f>
        <v>114.158588636364</v>
      </c>
      <c r="T1999" s="61" t="n">
        <v>114.95</v>
      </c>
      <c r="U1999" s="61" t="n">
        <f aca="false">H1999*Resumo!$B$6</f>
        <v>0.48799</v>
      </c>
      <c r="V1999" s="61" t="n">
        <f aca="false">H1999*Resumo!$B$7</f>
        <v>0.97598</v>
      </c>
      <c r="W1999" s="61" t="n">
        <f aca="false">Resumo!$B$9</f>
        <v>1</v>
      </c>
      <c r="X1999" s="61" t="n">
        <f aca="false">Resumo!$B$10*CEILING(G1999/100,1)</f>
        <v>4.5</v>
      </c>
      <c r="Y1999" s="61" t="n">
        <f aca="false">Resumo!$B$12*CEILING(G1999,1)</f>
        <v>2.46</v>
      </c>
      <c r="Z1999" s="61" t="n">
        <f aca="false">Resumo!$B$14*CEILING(G1999,1)</f>
        <v>18.45</v>
      </c>
      <c r="AA1999" s="61" t="n">
        <f aca="false">SUM(T1999:Z1999)</f>
        <v>142.82397</v>
      </c>
      <c r="AB1999" s="61" t="n">
        <f aca="false">AA1999/(1-Resumo!$B$5)</f>
        <v>162.299965909091</v>
      </c>
      <c r="AC1999" s="61" t="n">
        <f aca="false">AB1999-S1999</f>
        <v>48.1413772727273</v>
      </c>
      <c r="AD1999" s="62" t="n">
        <f aca="false">AB1999/S1999-1</f>
        <v>0.421706135716822</v>
      </c>
      <c r="AE1999" s="60" t="str">
        <f aca="false">IF(AB1999&lt;S1999,"SIM","NÃO")</f>
        <v>NÃO</v>
      </c>
      <c r="AF1999" s="60" t="n">
        <v>2</v>
      </c>
      <c r="AG1999" s="60" t="n">
        <v>7</v>
      </c>
      <c r="AH1999" s="60" t="s">
        <v>382</v>
      </c>
      <c r="AI1999" s="61" t="n">
        <f aca="false">(T1999*(1-Painel!$C$40)+U1999+V1999+Painel!$C$41+Painel!$C$42*CEILING(G1999/100,1)+Painel!$C$43*CEILING(G1999,1)+Z1999)/(1-Resumo!$B$5)</f>
        <v>112.477806818182</v>
      </c>
      <c r="AJ1999" s="60" t="str">
        <f aca="false">IF(AI1999&lt;S1999,"SIM","NÃO")</f>
        <v>SIM</v>
      </c>
    </row>
    <row r="2000" customFormat="false" ht="15" hidden="false" customHeight="false" outlineLevel="0" collapsed="false">
      <c r="A2000" s="59" t="n">
        <v>46287.4282175926</v>
      </c>
      <c r="B2000" s="60" t="s">
        <v>635</v>
      </c>
      <c r="C2000" s="60" t="n">
        <v>23092093</v>
      </c>
      <c r="D2000" s="60" t="s">
        <v>46</v>
      </c>
      <c r="E2000" s="60" t="s">
        <v>22</v>
      </c>
      <c r="F2000" s="60" t="s">
        <v>234</v>
      </c>
      <c r="G2000" s="60" t="n">
        <v>40</v>
      </c>
      <c r="H2000" s="61" t="n">
        <v>562.42</v>
      </c>
      <c r="I2000" s="61" t="n">
        <v>48.35</v>
      </c>
      <c r="J2000" s="61" t="n">
        <f aca="false">H2000*Resumo!$C$6</f>
        <v>0</v>
      </c>
      <c r="K2000" s="61" t="n">
        <f aca="false">H2000*Resumo!$C$7</f>
        <v>1.181082</v>
      </c>
      <c r="L2000" s="61" t="n">
        <f aca="false">H2000*Resumo!$C$8</f>
        <v>1.181082</v>
      </c>
      <c r="M2000" s="61" t="n">
        <f aca="false">Resumo!$C$10*CEILING(G2000/100,1)</f>
        <v>1.05</v>
      </c>
      <c r="N2000" s="61" t="n">
        <f aca="false">Resumo!$C$9</f>
        <v>0</v>
      </c>
      <c r="O2000" s="61" t="n">
        <f aca="false">Resumo!$C$13</f>
        <v>13.55</v>
      </c>
      <c r="P2000" s="61" t="n">
        <f aca="false">Resumo!$C$14*CEILING(G2000,1)</f>
        <v>18</v>
      </c>
      <c r="Q2000" s="61" t="n">
        <f aca="false">SUM(I2000:P2000)*Resumo!$C$11</f>
        <v>0</v>
      </c>
      <c r="R2000" s="61" t="n">
        <f aca="false">SUM(I2000:Q2000)</f>
        <v>83.312164</v>
      </c>
      <c r="S2000" s="61" t="n">
        <f aca="false">R2000/(1-Resumo!$C$5)</f>
        <v>94.6729136363636</v>
      </c>
      <c r="T2000" s="61" t="n">
        <v>93.97</v>
      </c>
      <c r="U2000" s="61" t="n">
        <f aca="false">H2000*Resumo!$B$6</f>
        <v>0.56242</v>
      </c>
      <c r="V2000" s="61" t="n">
        <f aca="false">H2000*Resumo!$B$7</f>
        <v>1.12484</v>
      </c>
      <c r="W2000" s="61" t="n">
        <f aca="false">Resumo!$B$9</f>
        <v>1</v>
      </c>
      <c r="X2000" s="61" t="n">
        <f aca="false">Resumo!$B$10*CEILING(G2000/100,1)</f>
        <v>4.5</v>
      </c>
      <c r="Y2000" s="61" t="n">
        <f aca="false">Resumo!$B$12*CEILING(G2000,1)</f>
        <v>2.4</v>
      </c>
      <c r="Z2000" s="61" t="n">
        <f aca="false">Resumo!$B$14*CEILING(G2000,1)</f>
        <v>18</v>
      </c>
      <c r="AA2000" s="61" t="n">
        <f aca="false">SUM(T2000:Z2000)</f>
        <v>121.55726</v>
      </c>
      <c r="AB2000" s="61" t="n">
        <f aca="false">AA2000/(1-Resumo!$B$5)</f>
        <v>138.13325</v>
      </c>
      <c r="AC2000" s="61" t="n">
        <f aca="false">AB2000-S2000</f>
        <v>43.4603363636364</v>
      </c>
      <c r="AD2000" s="62" t="n">
        <f aca="false">AB2000/S2000-1</f>
        <v>0.459057767362759</v>
      </c>
      <c r="AE2000" s="60" t="str">
        <f aca="false">IF(AB2000&lt;S2000,"SIM","NÃO")</f>
        <v>NÃO</v>
      </c>
      <c r="AF2000" s="60" t="n">
        <v>2</v>
      </c>
      <c r="AG2000" s="60" t="n">
        <v>5</v>
      </c>
      <c r="AH2000" s="60" t="s">
        <v>382</v>
      </c>
      <c r="AI2000" s="61" t="n">
        <f aca="false">(T2000*(1-Painel!$C$40)+U2000+V2000+Painel!$C$41+Painel!$C$42*CEILING(G2000/100,1)+Painel!$C$43*CEILING(G2000,1)+Z2000)/(1-Resumo!$B$5)</f>
        <v>96.2467727272727</v>
      </c>
      <c r="AJ2000" s="60" t="str">
        <f aca="false">IF(AI2000&lt;S2000,"SIM","NÃO")</f>
        <v>NÃO</v>
      </c>
    </row>
    <row r="2001" customFormat="false" ht="15" hidden="false" customHeight="false" outlineLevel="0" collapsed="false">
      <c r="A2001" s="59" t="n">
        <v>46287.4486574074</v>
      </c>
      <c r="B2001" s="60" t="s">
        <v>2156</v>
      </c>
      <c r="C2001" s="60" t="n">
        <v>21381140</v>
      </c>
      <c r="D2001" s="60" t="s">
        <v>46</v>
      </c>
      <c r="E2001" s="60" t="s">
        <v>22</v>
      </c>
      <c r="F2001" s="60" t="s">
        <v>237</v>
      </c>
      <c r="G2001" s="60" t="n">
        <v>63</v>
      </c>
      <c r="H2001" s="61" t="n">
        <v>702.57</v>
      </c>
      <c r="I2001" s="61" t="n">
        <v>63.21</v>
      </c>
      <c r="J2001" s="61" t="n">
        <f aca="false">H2001*Resumo!$C$6</f>
        <v>0</v>
      </c>
      <c r="K2001" s="61" t="n">
        <f aca="false">H2001*Resumo!$C$7</f>
        <v>1.475397</v>
      </c>
      <c r="L2001" s="61" t="n">
        <f aca="false">H2001*Resumo!$C$8</f>
        <v>1.475397</v>
      </c>
      <c r="M2001" s="61" t="n">
        <f aca="false">Resumo!$C$10*CEILING(G2001/100,1)</f>
        <v>1.05</v>
      </c>
      <c r="N2001" s="61" t="n">
        <f aca="false">Resumo!$C$9</f>
        <v>0</v>
      </c>
      <c r="O2001" s="61" t="n">
        <f aca="false">Resumo!$C$13</f>
        <v>13.55</v>
      </c>
      <c r="P2001" s="61" t="n">
        <f aca="false">Resumo!$C$14*CEILING(G2001,1)</f>
        <v>28.35</v>
      </c>
      <c r="Q2001" s="61" t="n">
        <f aca="false">SUM(I2001:P2001)*Resumo!$C$11</f>
        <v>0</v>
      </c>
      <c r="R2001" s="61" t="n">
        <f aca="false">SUM(I2001:Q2001)</f>
        <v>109.110794</v>
      </c>
      <c r="S2001" s="61" t="n">
        <f aca="false">R2001/(1-Resumo!$C$5)</f>
        <v>123.989538636364</v>
      </c>
      <c r="T2001" s="61" t="n">
        <v>131.02</v>
      </c>
      <c r="U2001" s="61" t="n">
        <f aca="false">H2001*Resumo!$B$6</f>
        <v>0.70257</v>
      </c>
      <c r="V2001" s="61" t="n">
        <f aca="false">H2001*Resumo!$B$7</f>
        <v>1.40514</v>
      </c>
      <c r="W2001" s="61" t="n">
        <f aca="false">Resumo!$B$9</f>
        <v>1</v>
      </c>
      <c r="X2001" s="61" t="n">
        <f aca="false">Resumo!$B$10*CEILING(G2001/100,1)</f>
        <v>4.5</v>
      </c>
      <c r="Y2001" s="61" t="n">
        <f aca="false">Resumo!$B$12*CEILING(G2001,1)</f>
        <v>3.78</v>
      </c>
      <c r="Z2001" s="61" t="n">
        <f aca="false">Resumo!$B$14*CEILING(G2001,1)</f>
        <v>28.35</v>
      </c>
      <c r="AA2001" s="61" t="n">
        <f aca="false">SUM(T2001:Z2001)</f>
        <v>170.75771</v>
      </c>
      <c r="AB2001" s="61" t="n">
        <f aca="false">AA2001/(1-Resumo!$B$5)</f>
        <v>194.042852272727</v>
      </c>
      <c r="AC2001" s="61" t="n">
        <f aca="false">AB2001-S2001</f>
        <v>70.0533136363637</v>
      </c>
      <c r="AD2001" s="62" t="n">
        <f aca="false">AB2001/S2001-1</f>
        <v>0.564993743882022</v>
      </c>
      <c r="AE2001" s="60" t="str">
        <f aca="false">IF(AB2001&lt;S2001,"SIM","NÃO")</f>
        <v>NÃO</v>
      </c>
      <c r="AF2001" s="60" t="n">
        <v>2</v>
      </c>
      <c r="AG2001" s="60" t="n">
        <v>5</v>
      </c>
      <c r="AH2001" s="60" t="s">
        <v>382</v>
      </c>
      <c r="AI2001" s="61" t="n">
        <f aca="false">(T2001*(1-Painel!$C$40)+U2001+V2001+Painel!$C$41+Painel!$C$42*CEILING(G2001/100,1)+Painel!$C$43*CEILING(G2001,1)+Z2001)/(1-Resumo!$B$5)</f>
        <v>136.694443181818</v>
      </c>
      <c r="AJ2001" s="60" t="str">
        <f aca="false">IF(AI2001&lt;S2001,"SIM","NÃO")</f>
        <v>NÃO</v>
      </c>
    </row>
    <row r="2002" customFormat="false" ht="15" hidden="false" customHeight="false" outlineLevel="0" collapsed="false">
      <c r="A2002" s="59" t="n">
        <v>46287.4854282407</v>
      </c>
      <c r="B2002" s="60" t="s">
        <v>2157</v>
      </c>
      <c r="C2002" s="60" t="n">
        <v>20720230</v>
      </c>
      <c r="D2002" s="60" t="s">
        <v>46</v>
      </c>
      <c r="E2002" s="60" t="s">
        <v>22</v>
      </c>
      <c r="F2002" s="60" t="s">
        <v>234</v>
      </c>
      <c r="G2002" s="60" t="n">
        <v>40</v>
      </c>
      <c r="H2002" s="61" t="n">
        <v>562.42</v>
      </c>
      <c r="I2002" s="61" t="n">
        <v>48.35</v>
      </c>
      <c r="J2002" s="61" t="n">
        <f aca="false">H2002*Resumo!$C$6</f>
        <v>0</v>
      </c>
      <c r="K2002" s="61" t="n">
        <f aca="false">H2002*Resumo!$C$7</f>
        <v>1.181082</v>
      </c>
      <c r="L2002" s="61" t="n">
        <f aca="false">H2002*Resumo!$C$8</f>
        <v>1.181082</v>
      </c>
      <c r="M2002" s="61" t="n">
        <f aca="false">Resumo!$C$10*CEILING(G2002/100,1)</f>
        <v>1.05</v>
      </c>
      <c r="N2002" s="61" t="n">
        <f aca="false">Resumo!$C$9</f>
        <v>0</v>
      </c>
      <c r="O2002" s="61" t="n">
        <f aca="false">Resumo!$C$13</f>
        <v>13.55</v>
      </c>
      <c r="P2002" s="61" t="n">
        <f aca="false">Resumo!$C$14*CEILING(G2002,1)</f>
        <v>18</v>
      </c>
      <c r="Q2002" s="61" t="n">
        <f aca="false">SUM(I2002:P2002)*Resumo!$C$11</f>
        <v>0</v>
      </c>
      <c r="R2002" s="61" t="n">
        <f aca="false">SUM(I2002:Q2002)</f>
        <v>83.312164</v>
      </c>
      <c r="S2002" s="61" t="n">
        <f aca="false">R2002/(1-Resumo!$C$5)</f>
        <v>94.6729136363636</v>
      </c>
      <c r="T2002" s="61" t="n">
        <v>93.97</v>
      </c>
      <c r="U2002" s="61" t="n">
        <f aca="false">H2002*Resumo!$B$6</f>
        <v>0.56242</v>
      </c>
      <c r="V2002" s="61" t="n">
        <f aca="false">H2002*Resumo!$B$7</f>
        <v>1.12484</v>
      </c>
      <c r="W2002" s="61" t="n">
        <f aca="false">Resumo!$B$9</f>
        <v>1</v>
      </c>
      <c r="X2002" s="61" t="n">
        <f aca="false">Resumo!$B$10*CEILING(G2002/100,1)</f>
        <v>4.5</v>
      </c>
      <c r="Y2002" s="61" t="n">
        <f aca="false">Resumo!$B$12*CEILING(G2002,1)</f>
        <v>2.4</v>
      </c>
      <c r="Z2002" s="61" t="n">
        <f aca="false">Resumo!$B$14*CEILING(G2002,1)</f>
        <v>18</v>
      </c>
      <c r="AA2002" s="61" t="n">
        <f aca="false">SUM(T2002:Z2002)</f>
        <v>121.55726</v>
      </c>
      <c r="AB2002" s="61" t="n">
        <f aca="false">AA2002/(1-Resumo!$B$5)</f>
        <v>138.13325</v>
      </c>
      <c r="AC2002" s="61" t="n">
        <f aca="false">AB2002-S2002</f>
        <v>43.4603363636364</v>
      </c>
      <c r="AD2002" s="62" t="n">
        <f aca="false">AB2002/S2002-1</f>
        <v>0.459057767362759</v>
      </c>
      <c r="AE2002" s="60" t="str">
        <f aca="false">IF(AB2002&lt;S2002,"SIM","NÃO")</f>
        <v>NÃO</v>
      </c>
      <c r="AF2002" s="60" t="n">
        <v>2</v>
      </c>
      <c r="AG2002" s="60" t="n">
        <v>5</v>
      </c>
      <c r="AH2002" s="60" t="s">
        <v>382</v>
      </c>
      <c r="AI2002" s="61" t="n">
        <f aca="false">(T2002*(1-Painel!$C$40)+U2002+V2002+Painel!$C$41+Painel!$C$42*CEILING(G2002/100,1)+Painel!$C$43*CEILING(G2002,1)+Z2002)/(1-Resumo!$B$5)</f>
        <v>96.2467727272727</v>
      </c>
      <c r="AJ2002" s="60" t="str">
        <f aca="false">IF(AI2002&lt;S2002,"SIM","NÃO")</f>
        <v>NÃO</v>
      </c>
    </row>
    <row r="2003" customFormat="false" ht="15" hidden="false" customHeight="false" outlineLevel="0" collapsed="false">
      <c r="A2003" s="59" t="n">
        <v>46287.517337963</v>
      </c>
      <c r="B2003" s="60" t="s">
        <v>2158</v>
      </c>
      <c r="C2003" s="60" t="n">
        <v>28963050</v>
      </c>
      <c r="D2003" s="60" t="s">
        <v>340</v>
      </c>
      <c r="E2003" s="60" t="s">
        <v>24</v>
      </c>
      <c r="F2003" s="60" t="s">
        <v>234</v>
      </c>
      <c r="G2003" s="60" t="n">
        <v>35.3</v>
      </c>
      <c r="H2003" s="61" t="n">
        <v>432.99</v>
      </c>
      <c r="I2003" s="61" t="n">
        <v>74.97</v>
      </c>
      <c r="J2003" s="61" t="n">
        <f aca="false">H2003*Resumo!$C$6</f>
        <v>0</v>
      </c>
      <c r="K2003" s="61" t="n">
        <f aca="false">H2003*Resumo!$C$7</f>
        <v>0.909279</v>
      </c>
      <c r="L2003" s="61" t="n">
        <f aca="false">H2003*Resumo!$C$8</f>
        <v>0.909279</v>
      </c>
      <c r="M2003" s="61" t="n">
        <f aca="false">Resumo!$C$10*CEILING(G2003/100,1)</f>
        <v>1.05</v>
      </c>
      <c r="N2003" s="61" t="n">
        <f aca="false">Resumo!$C$9</f>
        <v>0</v>
      </c>
      <c r="O2003" s="61" t="n">
        <f aca="false">Resumo!$C$13</f>
        <v>13.55</v>
      </c>
      <c r="P2003" s="61" t="n">
        <f aca="false">Resumo!$C$14*CEILING(G2003,1)</f>
        <v>16.2</v>
      </c>
      <c r="Q2003" s="61" t="n">
        <f aca="false">SUM(I2003:P2003)*Resumo!$C$11</f>
        <v>0</v>
      </c>
      <c r="R2003" s="61" t="n">
        <f aca="false">SUM(I2003:Q2003)</f>
        <v>107.588558</v>
      </c>
      <c r="S2003" s="61" t="n">
        <f aca="false">R2003/(1-Resumo!$C$5)</f>
        <v>122.259725</v>
      </c>
      <c r="T2003" s="61" t="n">
        <v>124.38</v>
      </c>
      <c r="U2003" s="61" t="n">
        <f aca="false">H2003*Resumo!$B$6</f>
        <v>0.43299</v>
      </c>
      <c r="V2003" s="61" t="n">
        <f aca="false">H2003*Resumo!$B$7</f>
        <v>0.86598</v>
      </c>
      <c r="W2003" s="61" t="n">
        <f aca="false">Resumo!$B$9</f>
        <v>1</v>
      </c>
      <c r="X2003" s="61" t="n">
        <f aca="false">Resumo!$B$10*CEILING(G2003/100,1)</f>
        <v>4.5</v>
      </c>
      <c r="Y2003" s="61" t="n">
        <f aca="false">Resumo!$B$12*CEILING(G2003,1)</f>
        <v>2.16</v>
      </c>
      <c r="Z2003" s="61" t="n">
        <f aca="false">Resumo!$B$14*CEILING(G2003,1)</f>
        <v>16.2</v>
      </c>
      <c r="AA2003" s="61" t="n">
        <f aca="false">SUM(T2003:Z2003)</f>
        <v>149.53897</v>
      </c>
      <c r="AB2003" s="61" t="n">
        <f aca="false">AA2003/(1-Resumo!$B$5)</f>
        <v>169.930647727273</v>
      </c>
      <c r="AC2003" s="61" t="n">
        <f aca="false">AB2003-S2003</f>
        <v>47.6709227272727</v>
      </c>
      <c r="AD2003" s="62" t="n">
        <f aca="false">AB2003/S2003-1</f>
        <v>0.389915180385632</v>
      </c>
      <c r="AE2003" s="60" t="str">
        <f aca="false">IF(AB2003&lt;S2003,"SIM","NÃO")</f>
        <v>NÃO</v>
      </c>
      <c r="AF2003" s="60" t="n">
        <v>13</v>
      </c>
      <c r="AG2003" s="60" t="n">
        <v>10</v>
      </c>
      <c r="AH2003" s="60" t="s">
        <v>385</v>
      </c>
      <c r="AI2003" s="61" t="n">
        <f aca="false">(T2003*(1-Painel!$C$40)+U2003+V2003+Painel!$C$41+Painel!$C$42*CEILING(G2003/100,1)+Painel!$C$43*CEILING(G2003,1)+Z2003)/(1-Resumo!$B$5)</f>
        <v>116.913147727273</v>
      </c>
      <c r="AJ2003" s="60" t="str">
        <f aca="false">IF(AI2003&lt;S2003,"SIM","NÃO")</f>
        <v>SIM</v>
      </c>
    </row>
    <row r="2004" customFormat="false" ht="15" hidden="false" customHeight="false" outlineLevel="0" collapsed="false">
      <c r="A2004" s="59" t="n">
        <v>46287.5759953704</v>
      </c>
      <c r="B2004" s="60" t="s">
        <v>2159</v>
      </c>
      <c r="C2004" s="60" t="n">
        <v>28140000</v>
      </c>
      <c r="D2004" s="60" t="s">
        <v>51</v>
      </c>
      <c r="E2004" s="60" t="s">
        <v>24</v>
      </c>
      <c r="F2004" s="60" t="s">
        <v>233</v>
      </c>
      <c r="G2004" s="60" t="n">
        <v>31.9</v>
      </c>
      <c r="H2004" s="61" t="n">
        <v>559.99</v>
      </c>
      <c r="I2004" s="61" t="n">
        <v>65.63</v>
      </c>
      <c r="J2004" s="61" t="n">
        <f aca="false">H2004*Resumo!$C$6</f>
        <v>0</v>
      </c>
      <c r="K2004" s="61" t="n">
        <f aca="false">H2004*Resumo!$C$7</f>
        <v>1.175979</v>
      </c>
      <c r="L2004" s="61" t="n">
        <f aca="false">H2004*Resumo!$C$8</f>
        <v>1.175979</v>
      </c>
      <c r="M2004" s="61" t="n">
        <f aca="false">Resumo!$C$10*CEILING(G2004/100,1)</f>
        <v>1.05</v>
      </c>
      <c r="N2004" s="61" t="n">
        <f aca="false">Resumo!$C$9</f>
        <v>0</v>
      </c>
      <c r="O2004" s="61" t="n">
        <f aca="false">Resumo!$C$13</f>
        <v>13.55</v>
      </c>
      <c r="P2004" s="61" t="n">
        <f aca="false">Resumo!$C$14*CEILING(G2004,1)</f>
        <v>14.4</v>
      </c>
      <c r="Q2004" s="61" t="n">
        <f aca="false">SUM(I2004:P2004)*Resumo!$C$11</f>
        <v>0</v>
      </c>
      <c r="R2004" s="61" t="n">
        <f aca="false">SUM(I2004:Q2004)</f>
        <v>96.981958</v>
      </c>
      <c r="S2004" s="61" t="n">
        <f aca="false">R2004/(1-Resumo!$C$5)</f>
        <v>110.206770454545</v>
      </c>
      <c r="T2004" s="61" t="n">
        <v>138.29</v>
      </c>
      <c r="U2004" s="61" t="n">
        <f aca="false">H2004*Resumo!$B$6</f>
        <v>0.55999</v>
      </c>
      <c r="V2004" s="61" t="n">
        <f aca="false">H2004*Resumo!$B$7</f>
        <v>1.11998</v>
      </c>
      <c r="W2004" s="61" t="n">
        <f aca="false">Resumo!$B$9</f>
        <v>1</v>
      </c>
      <c r="X2004" s="61" t="n">
        <f aca="false">Resumo!$B$10*CEILING(G2004/100,1)</f>
        <v>4.5</v>
      </c>
      <c r="Y2004" s="61" t="n">
        <f aca="false">Resumo!$B$12*CEILING(G2004,1)</f>
        <v>1.92</v>
      </c>
      <c r="Z2004" s="61" t="n">
        <f aca="false">Resumo!$B$14*CEILING(G2004,1)</f>
        <v>14.4</v>
      </c>
      <c r="AA2004" s="61" t="n">
        <f aca="false">SUM(T2004:Z2004)</f>
        <v>161.78997</v>
      </c>
      <c r="AB2004" s="61" t="n">
        <f aca="false">AA2004/(1-Resumo!$B$5)</f>
        <v>183.852238636364</v>
      </c>
      <c r="AC2004" s="61" t="n">
        <f aca="false">AB2004-S2004</f>
        <v>73.6454681818182</v>
      </c>
      <c r="AD2004" s="62" t="n">
        <f aca="false">AB2004/S2004-1</f>
        <v>0.668248129203578</v>
      </c>
      <c r="AE2004" s="60" t="str">
        <f aca="false">IF(AB2004&lt;S2004,"SIM","NÃO")</f>
        <v>NÃO</v>
      </c>
      <c r="AF2004" s="60" t="n">
        <v>13</v>
      </c>
      <c r="AG2004" s="60" t="n">
        <v>11</v>
      </c>
      <c r="AH2004" s="60" t="s">
        <v>382</v>
      </c>
      <c r="AI2004" s="61" t="n">
        <f aca="false">(T2004*(1-Painel!$C$40)+U2004+V2004+Painel!$C$41+Painel!$C$42*CEILING(G2004/100,1)+Painel!$C$43*CEILING(G2004,1)+Z2004)/(1-Resumo!$B$5)</f>
        <v>125.891215909091</v>
      </c>
      <c r="AJ2004" s="60" t="str">
        <f aca="false">IF(AI2004&lt;S2004,"SIM","NÃO")</f>
        <v>NÃO</v>
      </c>
    </row>
    <row r="2005" customFormat="false" ht="15" hidden="false" customHeight="false" outlineLevel="0" collapsed="false">
      <c r="A2005" s="59" t="n">
        <v>46287.5958101852</v>
      </c>
      <c r="B2005" s="60" t="s">
        <v>2160</v>
      </c>
      <c r="C2005" s="60" t="n">
        <v>27143460</v>
      </c>
      <c r="D2005" s="60" t="s">
        <v>290</v>
      </c>
      <c r="E2005" s="60" t="s">
        <v>24</v>
      </c>
      <c r="F2005" s="60" t="s">
        <v>234</v>
      </c>
      <c r="G2005" s="60" t="n">
        <v>36.9</v>
      </c>
      <c r="H2005" s="61" t="n">
        <v>389.99</v>
      </c>
      <c r="I2005" s="61" t="n">
        <v>74.97</v>
      </c>
      <c r="J2005" s="61" t="n">
        <f aca="false">H2005*Resumo!$C$6</f>
        <v>0</v>
      </c>
      <c r="K2005" s="61" t="n">
        <f aca="false">H2005*Resumo!$C$7</f>
        <v>0.818979</v>
      </c>
      <c r="L2005" s="61" t="n">
        <f aca="false">H2005*Resumo!$C$8</f>
        <v>0.818979</v>
      </c>
      <c r="M2005" s="61" t="n">
        <f aca="false">Resumo!$C$10*CEILING(G2005/100,1)</f>
        <v>1.05</v>
      </c>
      <c r="N2005" s="61" t="n">
        <f aca="false">Resumo!$C$9</f>
        <v>0</v>
      </c>
      <c r="O2005" s="61" t="n">
        <f aca="false">Resumo!$C$13</f>
        <v>13.55</v>
      </c>
      <c r="P2005" s="61" t="n">
        <f aca="false">Resumo!$C$14*CEILING(G2005,1)</f>
        <v>16.65</v>
      </c>
      <c r="Q2005" s="61" t="n">
        <f aca="false">SUM(I2005:P2005)*Resumo!$C$11</f>
        <v>0</v>
      </c>
      <c r="R2005" s="61" t="n">
        <f aca="false">SUM(I2005:Q2005)</f>
        <v>107.857958</v>
      </c>
      <c r="S2005" s="61" t="n">
        <f aca="false">R2005/(1-Resumo!$C$5)</f>
        <v>122.565861363636</v>
      </c>
      <c r="T2005" s="61" t="n">
        <v>124.38</v>
      </c>
      <c r="U2005" s="61" t="n">
        <f aca="false">H2005*Resumo!$B$6</f>
        <v>0.38999</v>
      </c>
      <c r="V2005" s="61" t="n">
        <f aca="false">H2005*Resumo!$B$7</f>
        <v>0.77998</v>
      </c>
      <c r="W2005" s="61" t="n">
        <f aca="false">Resumo!$B$9</f>
        <v>1</v>
      </c>
      <c r="X2005" s="61" t="n">
        <f aca="false">Resumo!$B$10*CEILING(G2005/100,1)</f>
        <v>4.5</v>
      </c>
      <c r="Y2005" s="61" t="n">
        <f aca="false">Resumo!$B$12*CEILING(G2005,1)</f>
        <v>2.22</v>
      </c>
      <c r="Z2005" s="61" t="n">
        <f aca="false">Resumo!$B$14*CEILING(G2005,1)</f>
        <v>16.65</v>
      </c>
      <c r="AA2005" s="61" t="n">
        <f aca="false">SUM(T2005:Z2005)</f>
        <v>149.91997</v>
      </c>
      <c r="AB2005" s="61" t="n">
        <f aca="false">AA2005/(1-Resumo!$B$5)</f>
        <v>170.363602272727</v>
      </c>
      <c r="AC2005" s="61" t="n">
        <f aca="false">AB2005-S2005</f>
        <v>47.7977409090909</v>
      </c>
      <c r="AD2005" s="62" t="n">
        <f aca="false">AB2005/S2005-1</f>
        <v>0.389975971916694</v>
      </c>
      <c r="AE2005" s="60" t="str">
        <f aca="false">IF(AB2005&lt;S2005,"SIM","NÃO")</f>
        <v>NÃO</v>
      </c>
      <c r="AF2005" s="60" t="n">
        <v>13</v>
      </c>
      <c r="AG2005" s="60" t="n">
        <v>10</v>
      </c>
      <c r="AH2005" s="60" t="s">
        <v>385</v>
      </c>
      <c r="AI2005" s="61" t="n">
        <f aca="false">(T2005*(1-Painel!$C$40)+U2005+V2005+Painel!$C$41+Painel!$C$42*CEILING(G2005/100,1)+Painel!$C$43*CEILING(G2005,1)+Z2005)/(1-Resumo!$B$5)</f>
        <v>117.277920454545</v>
      </c>
      <c r="AJ2005" s="60" t="str">
        <f aca="false">IF(AI2005&lt;S2005,"SIM","NÃO")</f>
        <v>SIM</v>
      </c>
    </row>
    <row r="2006" customFormat="false" ht="15" hidden="false" customHeight="false" outlineLevel="0" collapsed="false">
      <c r="A2006" s="59" t="n">
        <v>46287.6212615741</v>
      </c>
      <c r="B2006" s="60" t="s">
        <v>2161</v>
      </c>
      <c r="C2006" s="60" t="n">
        <v>28175000</v>
      </c>
      <c r="D2006" s="60" t="s">
        <v>51</v>
      </c>
      <c r="E2006" s="60" t="s">
        <v>24</v>
      </c>
      <c r="F2006" s="60" t="s">
        <v>233</v>
      </c>
      <c r="G2006" s="60" t="n">
        <v>27.6</v>
      </c>
      <c r="H2006" s="61" t="n">
        <v>599.99</v>
      </c>
      <c r="I2006" s="61" t="n">
        <v>65.63</v>
      </c>
      <c r="J2006" s="61" t="n">
        <f aca="false">H2006*Resumo!$C$6</f>
        <v>0</v>
      </c>
      <c r="K2006" s="61" t="n">
        <f aca="false">H2006*Resumo!$C$7</f>
        <v>1.259979</v>
      </c>
      <c r="L2006" s="61" t="n">
        <f aca="false">H2006*Resumo!$C$8</f>
        <v>1.259979</v>
      </c>
      <c r="M2006" s="61" t="n">
        <f aca="false">Resumo!$C$10*CEILING(G2006/100,1)</f>
        <v>1.05</v>
      </c>
      <c r="N2006" s="61" t="n">
        <f aca="false">Resumo!$C$9</f>
        <v>0</v>
      </c>
      <c r="O2006" s="61" t="n">
        <f aca="false">Resumo!$C$13</f>
        <v>13.55</v>
      </c>
      <c r="P2006" s="61" t="n">
        <f aca="false">Resumo!$C$14*CEILING(G2006,1)</f>
        <v>12.6</v>
      </c>
      <c r="Q2006" s="61" t="n">
        <f aca="false">SUM(I2006:P2006)*Resumo!$C$11</f>
        <v>0</v>
      </c>
      <c r="R2006" s="61" t="n">
        <f aca="false">SUM(I2006:Q2006)</f>
        <v>95.349958</v>
      </c>
      <c r="S2006" s="61" t="n">
        <f aca="false">R2006/(1-Resumo!$C$5)</f>
        <v>108.352225</v>
      </c>
      <c r="T2006" s="61" t="n">
        <v>138.29</v>
      </c>
      <c r="U2006" s="61" t="n">
        <f aca="false">H2006*Resumo!$B$6</f>
        <v>0.59999</v>
      </c>
      <c r="V2006" s="61" t="n">
        <f aca="false">H2006*Resumo!$B$7</f>
        <v>1.19998</v>
      </c>
      <c r="W2006" s="61" t="n">
        <f aca="false">Resumo!$B$9</f>
        <v>1</v>
      </c>
      <c r="X2006" s="61" t="n">
        <f aca="false">Resumo!$B$10*CEILING(G2006/100,1)</f>
        <v>4.5</v>
      </c>
      <c r="Y2006" s="61" t="n">
        <f aca="false">Resumo!$B$12*CEILING(G2006,1)</f>
        <v>1.68</v>
      </c>
      <c r="Z2006" s="61" t="n">
        <f aca="false">Resumo!$B$14*CEILING(G2006,1)</f>
        <v>12.6</v>
      </c>
      <c r="AA2006" s="61" t="n">
        <f aca="false">SUM(T2006:Z2006)</f>
        <v>159.86997</v>
      </c>
      <c r="AB2006" s="61" t="n">
        <f aca="false">AA2006/(1-Resumo!$B$5)</f>
        <v>181.670420454545</v>
      </c>
      <c r="AC2006" s="61" t="n">
        <f aca="false">AB2006-S2006</f>
        <v>73.3181954545455</v>
      </c>
      <c r="AD2006" s="62" t="n">
        <f aca="false">AB2006/S2006-1</f>
        <v>0.676665342631824</v>
      </c>
      <c r="AE2006" s="60" t="str">
        <f aca="false">IF(AB2006&lt;S2006,"SIM","NÃO")</f>
        <v>NÃO</v>
      </c>
      <c r="AF2006" s="60" t="n">
        <v>13</v>
      </c>
      <c r="AG2006" s="60" t="n">
        <v>11</v>
      </c>
      <c r="AH2006" s="60" t="s">
        <v>382</v>
      </c>
      <c r="AI2006" s="61" t="n">
        <f aca="false">(T2006*(1-Painel!$C$40)+U2006+V2006+Painel!$C$41+Painel!$C$42*CEILING(G2006/100,1)+Painel!$C$43*CEILING(G2006,1)+Z2006)/(1-Resumo!$B$5)</f>
        <v>123.982125</v>
      </c>
      <c r="AJ2006" s="60" t="str">
        <f aca="false">IF(AI2006&lt;S2006,"SIM","NÃO")</f>
        <v>NÃO</v>
      </c>
    </row>
    <row r="2007" customFormat="false" ht="15" hidden="false" customHeight="false" outlineLevel="0" collapsed="false">
      <c r="A2007" s="59" t="n">
        <v>46287.640150463</v>
      </c>
      <c r="B2007" s="60" t="s">
        <v>2162</v>
      </c>
      <c r="C2007" s="60" t="n">
        <v>25635142</v>
      </c>
      <c r="D2007" s="60" t="s">
        <v>219</v>
      </c>
      <c r="E2007" s="60" t="s">
        <v>24</v>
      </c>
      <c r="F2007" s="60" t="s">
        <v>237</v>
      </c>
      <c r="G2007" s="60" t="n">
        <v>68.1</v>
      </c>
      <c r="H2007" s="61" t="n">
        <v>768.92</v>
      </c>
      <c r="I2007" s="61" t="n">
        <v>90.2</v>
      </c>
      <c r="J2007" s="61" t="n">
        <f aca="false">H2007*Resumo!$C$6</f>
        <v>0</v>
      </c>
      <c r="K2007" s="61" t="n">
        <f aca="false">H2007*Resumo!$C$7</f>
        <v>1.614732</v>
      </c>
      <c r="L2007" s="61" t="n">
        <f aca="false">H2007*Resumo!$C$8</f>
        <v>1.614732</v>
      </c>
      <c r="M2007" s="61" t="n">
        <f aca="false">Resumo!$C$10*CEILING(G2007/100,1)</f>
        <v>1.05</v>
      </c>
      <c r="N2007" s="61" t="n">
        <f aca="false">Resumo!$C$9</f>
        <v>0</v>
      </c>
      <c r="O2007" s="61" t="n">
        <f aca="false">Resumo!$C$13</f>
        <v>13.55</v>
      </c>
      <c r="P2007" s="61" t="n">
        <f aca="false">Resumo!$C$14*CEILING(G2007,1)</f>
        <v>31.05</v>
      </c>
      <c r="Q2007" s="61" t="n">
        <f aca="false">SUM(I2007:P2007)*Resumo!$C$11</f>
        <v>0</v>
      </c>
      <c r="R2007" s="61" t="n">
        <f aca="false">SUM(I2007:Q2007)</f>
        <v>139.079464</v>
      </c>
      <c r="S2007" s="61" t="n">
        <f aca="false">R2007/(1-Resumo!$C$5)</f>
        <v>158.044845454545</v>
      </c>
      <c r="T2007" s="61" t="n">
        <v>166.05</v>
      </c>
      <c r="U2007" s="61" t="n">
        <f aca="false">H2007*Resumo!$B$6</f>
        <v>0.76892</v>
      </c>
      <c r="V2007" s="61" t="n">
        <f aca="false">H2007*Resumo!$B$7</f>
        <v>1.53784</v>
      </c>
      <c r="W2007" s="61" t="n">
        <f aca="false">Resumo!$B$9</f>
        <v>1</v>
      </c>
      <c r="X2007" s="61" t="n">
        <f aca="false">Resumo!$B$10*CEILING(G2007/100,1)</f>
        <v>4.5</v>
      </c>
      <c r="Y2007" s="61" t="n">
        <f aca="false">Resumo!$B$12*CEILING(G2007,1)</f>
        <v>4.14</v>
      </c>
      <c r="Z2007" s="61" t="n">
        <f aca="false">Resumo!$B$14*CEILING(G2007,1)</f>
        <v>31.05</v>
      </c>
      <c r="AA2007" s="61" t="n">
        <f aca="false">SUM(T2007:Z2007)</f>
        <v>209.04676</v>
      </c>
      <c r="AB2007" s="61" t="n">
        <f aca="false">AA2007/(1-Resumo!$B$5)</f>
        <v>237.553136363636</v>
      </c>
      <c r="AC2007" s="61" t="n">
        <f aca="false">AB2007-S2007</f>
        <v>79.508290909091</v>
      </c>
      <c r="AD2007" s="62" t="n">
        <f aca="false">AB2007/S2007-1</f>
        <v>0.503074242506428</v>
      </c>
      <c r="AE2007" s="60" t="str">
        <f aca="false">IF(AB2007&lt;S2007,"SIM","NÃO")</f>
        <v>NÃO</v>
      </c>
      <c r="AF2007" s="60" t="n">
        <v>13</v>
      </c>
      <c r="AG2007" s="60" t="n">
        <v>8</v>
      </c>
      <c r="AH2007" s="60" t="s">
        <v>382</v>
      </c>
      <c r="AI2007" s="61" t="n">
        <f aca="false">(T2007*(1-Painel!$C$40)+U2007+V2007+Painel!$C$41+Painel!$C$42*CEILING(G2007/100,1)+Painel!$C$43*CEILING(G2007,1)+Z2007)/(1-Resumo!$B$5)</f>
        <v>166.659386363636</v>
      </c>
      <c r="AJ2007" s="60" t="str">
        <f aca="false">IF(AI2007&lt;S2007,"SIM","NÃO")</f>
        <v>NÃO</v>
      </c>
    </row>
    <row r="2008" customFormat="false" ht="15" hidden="false" customHeight="false" outlineLevel="0" collapsed="false">
      <c r="A2008" s="59" t="n">
        <v>46287.6526736111</v>
      </c>
      <c r="B2008" s="60" t="s">
        <v>2163</v>
      </c>
      <c r="C2008" s="60" t="n">
        <v>21745291</v>
      </c>
      <c r="D2008" s="60" t="s">
        <v>46</v>
      </c>
      <c r="E2008" s="60" t="s">
        <v>22</v>
      </c>
      <c r="F2008" s="60" t="s">
        <v>239</v>
      </c>
      <c r="G2008" s="60" t="n">
        <v>89</v>
      </c>
      <c r="H2008" s="61" t="n">
        <v>1371.8</v>
      </c>
      <c r="I2008" s="61" t="n">
        <v>83.79</v>
      </c>
      <c r="J2008" s="61" t="n">
        <f aca="false">H2008*Resumo!$C$6</f>
        <v>0</v>
      </c>
      <c r="K2008" s="61" t="n">
        <f aca="false">H2008*Resumo!$C$7</f>
        <v>2.88078</v>
      </c>
      <c r="L2008" s="61" t="n">
        <f aca="false">H2008*Resumo!$C$8</f>
        <v>2.88078</v>
      </c>
      <c r="M2008" s="61" t="n">
        <f aca="false">Resumo!$C$10*CEILING(G2008/100,1)</f>
        <v>1.05</v>
      </c>
      <c r="N2008" s="61" t="n">
        <f aca="false">Resumo!$C$9</f>
        <v>0</v>
      </c>
      <c r="O2008" s="61" t="n">
        <f aca="false">Resumo!$C$13</f>
        <v>13.55</v>
      </c>
      <c r="P2008" s="61" t="n">
        <f aca="false">Resumo!$C$14*CEILING(G2008,1)</f>
        <v>40.05</v>
      </c>
      <c r="Q2008" s="61" t="n">
        <f aca="false">SUM(I2008:P2008)*Resumo!$C$11</f>
        <v>0</v>
      </c>
      <c r="R2008" s="61" t="n">
        <f aca="false">SUM(I2008:Q2008)</f>
        <v>144.20156</v>
      </c>
      <c r="S2008" s="61" t="n">
        <f aca="false">R2008/(1-Resumo!$C$5)</f>
        <v>163.865409090909</v>
      </c>
      <c r="T2008" s="61" t="n">
        <v>167.99</v>
      </c>
      <c r="U2008" s="61" t="n">
        <f aca="false">H2008*Resumo!$B$6</f>
        <v>1.3718</v>
      </c>
      <c r="V2008" s="61" t="n">
        <f aca="false">H2008*Resumo!$B$7</f>
        <v>2.7436</v>
      </c>
      <c r="W2008" s="61" t="n">
        <f aca="false">Resumo!$B$9</f>
        <v>1</v>
      </c>
      <c r="X2008" s="61" t="n">
        <f aca="false">Resumo!$B$10*CEILING(G2008/100,1)</f>
        <v>4.5</v>
      </c>
      <c r="Y2008" s="61" t="n">
        <f aca="false">Resumo!$B$12*CEILING(G2008,1)</f>
        <v>5.34</v>
      </c>
      <c r="Z2008" s="61" t="n">
        <f aca="false">Resumo!$B$14*CEILING(G2008,1)</f>
        <v>40.05</v>
      </c>
      <c r="AA2008" s="61" t="n">
        <f aca="false">SUM(T2008:Z2008)</f>
        <v>222.9954</v>
      </c>
      <c r="AB2008" s="61" t="n">
        <f aca="false">AA2008/(1-Resumo!$B$5)</f>
        <v>253.403863636364</v>
      </c>
      <c r="AC2008" s="61" t="n">
        <f aca="false">AB2008-S2008</f>
        <v>89.5384545454546</v>
      </c>
      <c r="AD2008" s="62" t="n">
        <f aca="false">AB2008/S2008-1</f>
        <v>0.546414615764213</v>
      </c>
      <c r="AE2008" s="60" t="str">
        <f aca="false">IF(AB2008&lt;S2008,"SIM","NÃO")</f>
        <v>NÃO</v>
      </c>
      <c r="AF2008" s="60" t="n">
        <v>2</v>
      </c>
      <c r="AG2008" s="60" t="n">
        <v>5</v>
      </c>
      <c r="AH2008" s="60" t="s">
        <v>382</v>
      </c>
      <c r="AI2008" s="61" t="n">
        <f aca="false">(T2008*(1-Painel!$C$40)+U2008+V2008+Painel!$C$41+Painel!$C$42*CEILING(G2008/100,1)+Painel!$C$43*CEILING(G2008,1)+Z2008)/(1-Resumo!$B$5)</f>
        <v>180.418977272727</v>
      </c>
      <c r="AJ2008" s="60" t="str">
        <f aca="false">IF(AI2008&lt;S2008,"SIM","NÃO")</f>
        <v>NÃO</v>
      </c>
    </row>
    <row r="2009" customFormat="false" ht="15" hidden="false" customHeight="false" outlineLevel="0" collapsed="false">
      <c r="A2009" s="59" t="n">
        <v>46287.6598958333</v>
      </c>
      <c r="B2009" s="60" t="s">
        <v>2164</v>
      </c>
      <c r="C2009" s="60" t="n">
        <v>28894030</v>
      </c>
      <c r="D2009" s="60" t="s">
        <v>227</v>
      </c>
      <c r="E2009" s="60" t="s">
        <v>24</v>
      </c>
      <c r="F2009" s="60" t="s">
        <v>235</v>
      </c>
      <c r="G2009" s="60" t="n">
        <v>45</v>
      </c>
      <c r="H2009" s="61" t="n">
        <v>639.93</v>
      </c>
      <c r="I2009" s="61" t="n">
        <v>77.7</v>
      </c>
      <c r="J2009" s="61" t="n">
        <f aca="false">H2009*Resumo!$C$6</f>
        <v>0</v>
      </c>
      <c r="K2009" s="61" t="n">
        <f aca="false">H2009*Resumo!$C$7</f>
        <v>1.343853</v>
      </c>
      <c r="L2009" s="61" t="n">
        <f aca="false">H2009*Resumo!$C$8</f>
        <v>1.343853</v>
      </c>
      <c r="M2009" s="61" t="n">
        <f aca="false">Resumo!$C$10*CEILING(G2009/100,1)</f>
        <v>1.05</v>
      </c>
      <c r="N2009" s="61" t="n">
        <f aca="false">Resumo!$C$9</f>
        <v>0</v>
      </c>
      <c r="O2009" s="61" t="n">
        <f aca="false">Resumo!$C$13</f>
        <v>13.55</v>
      </c>
      <c r="P2009" s="61" t="n">
        <f aca="false">Resumo!$C$14*CEILING(G2009,1)</f>
        <v>20.25</v>
      </c>
      <c r="Q2009" s="61" t="n">
        <f aca="false">SUM(I2009:P2009)*Resumo!$C$11</f>
        <v>0</v>
      </c>
      <c r="R2009" s="61" t="n">
        <f aca="false">SUM(I2009:Q2009)</f>
        <v>115.237706</v>
      </c>
      <c r="S2009" s="61" t="n">
        <f aca="false">R2009/(1-Resumo!$C$5)</f>
        <v>130.951938636364</v>
      </c>
      <c r="T2009" s="61" t="n">
        <v>129.29</v>
      </c>
      <c r="U2009" s="61" t="n">
        <f aca="false">H2009*Resumo!$B$6</f>
        <v>0.63993</v>
      </c>
      <c r="V2009" s="61" t="n">
        <f aca="false">H2009*Resumo!$B$7</f>
        <v>1.27986</v>
      </c>
      <c r="W2009" s="61" t="n">
        <f aca="false">Resumo!$B$9</f>
        <v>1</v>
      </c>
      <c r="X2009" s="61" t="n">
        <f aca="false">Resumo!$B$10*CEILING(G2009/100,1)</f>
        <v>4.5</v>
      </c>
      <c r="Y2009" s="61" t="n">
        <f aca="false">Resumo!$B$12*CEILING(G2009,1)</f>
        <v>2.7</v>
      </c>
      <c r="Z2009" s="61" t="n">
        <f aca="false">Resumo!$B$14*CEILING(G2009,1)</f>
        <v>20.25</v>
      </c>
      <c r="AA2009" s="61" t="n">
        <f aca="false">SUM(T2009:Z2009)</f>
        <v>159.65979</v>
      </c>
      <c r="AB2009" s="61" t="n">
        <f aca="false">AA2009/(1-Resumo!$B$5)</f>
        <v>181.431579545455</v>
      </c>
      <c r="AC2009" s="61" t="n">
        <f aca="false">AB2009-S2009</f>
        <v>50.4796409090909</v>
      </c>
      <c r="AD2009" s="62" t="n">
        <f aca="false">AB2009/S2009-1</f>
        <v>0.385482196252674</v>
      </c>
      <c r="AE2009" s="60" t="str">
        <f aca="false">IF(AB2009&lt;S2009,"SIM","NÃO")</f>
        <v>NÃO</v>
      </c>
      <c r="AF2009" s="60" t="n">
        <v>13</v>
      </c>
      <c r="AG2009" s="60" t="n">
        <v>10</v>
      </c>
      <c r="AH2009" s="60" t="s">
        <v>382</v>
      </c>
      <c r="AI2009" s="61" t="n">
        <f aca="false">(T2009*(1-Painel!$C$40)+U2009+V2009+Painel!$C$41+Painel!$C$42*CEILING(G2009/100,1)+Painel!$C$43*CEILING(G2009,1)+Z2009)/(1-Resumo!$B$5)</f>
        <v>125.959193181818</v>
      </c>
      <c r="AJ2009" s="60" t="str">
        <f aca="false">IF(AI2009&lt;S2009,"SIM","NÃO")</f>
        <v>SIM</v>
      </c>
    </row>
    <row r="2010" customFormat="false" ht="15" hidden="false" customHeight="false" outlineLevel="0" collapsed="false">
      <c r="A2010" s="59" t="n">
        <v>46287.6690740741</v>
      </c>
      <c r="B2010" s="60" t="s">
        <v>2165</v>
      </c>
      <c r="C2010" s="60" t="n">
        <v>20755010</v>
      </c>
      <c r="D2010" s="60" t="s">
        <v>46</v>
      </c>
      <c r="E2010" s="60" t="s">
        <v>22</v>
      </c>
      <c r="F2010" s="60" t="s">
        <v>236</v>
      </c>
      <c r="G2010" s="60" t="n">
        <v>52.3</v>
      </c>
      <c r="H2010" s="61" t="n">
        <v>699.99</v>
      </c>
      <c r="I2010" s="61" t="n">
        <v>58.6</v>
      </c>
      <c r="J2010" s="61" t="n">
        <f aca="false">H2010*Resumo!$C$6</f>
        <v>0</v>
      </c>
      <c r="K2010" s="61" t="n">
        <f aca="false">H2010*Resumo!$C$7</f>
        <v>1.469979</v>
      </c>
      <c r="L2010" s="61" t="n">
        <f aca="false">H2010*Resumo!$C$8</f>
        <v>1.469979</v>
      </c>
      <c r="M2010" s="61" t="n">
        <f aca="false">Resumo!$C$10*CEILING(G2010/100,1)</f>
        <v>1.05</v>
      </c>
      <c r="N2010" s="61" t="n">
        <f aca="false">Resumo!$C$9</f>
        <v>0</v>
      </c>
      <c r="O2010" s="61" t="n">
        <f aca="false">Resumo!$C$13</f>
        <v>13.55</v>
      </c>
      <c r="P2010" s="61" t="n">
        <f aca="false">Resumo!$C$14*CEILING(G2010,1)</f>
        <v>23.85</v>
      </c>
      <c r="Q2010" s="61" t="n">
        <f aca="false">SUM(I2010:P2010)*Resumo!$C$11</f>
        <v>0</v>
      </c>
      <c r="R2010" s="61" t="n">
        <f aca="false">SUM(I2010:Q2010)</f>
        <v>99.989958</v>
      </c>
      <c r="S2010" s="61" t="n">
        <f aca="false">R2010/(1-Resumo!$C$5)</f>
        <v>113.624952272727</v>
      </c>
      <c r="T2010" s="61" t="n">
        <v>112.3</v>
      </c>
      <c r="U2010" s="61" t="n">
        <f aca="false">H2010*Resumo!$B$6</f>
        <v>0.69999</v>
      </c>
      <c r="V2010" s="61" t="n">
        <f aca="false">H2010*Resumo!$B$7</f>
        <v>1.39998</v>
      </c>
      <c r="W2010" s="61" t="n">
        <f aca="false">Resumo!$B$9</f>
        <v>1</v>
      </c>
      <c r="X2010" s="61" t="n">
        <f aca="false">Resumo!$B$10*CEILING(G2010/100,1)</f>
        <v>4.5</v>
      </c>
      <c r="Y2010" s="61" t="n">
        <f aca="false">Resumo!$B$12*CEILING(G2010,1)</f>
        <v>3.18</v>
      </c>
      <c r="Z2010" s="61" t="n">
        <f aca="false">Resumo!$B$14*CEILING(G2010,1)</f>
        <v>23.85</v>
      </c>
      <c r="AA2010" s="61" t="n">
        <f aca="false">SUM(T2010:Z2010)</f>
        <v>146.92997</v>
      </c>
      <c r="AB2010" s="61" t="n">
        <f aca="false">AA2010/(1-Resumo!$B$5)</f>
        <v>166.965875</v>
      </c>
      <c r="AC2010" s="61" t="n">
        <f aca="false">AB2010-S2010</f>
        <v>53.3409227272727</v>
      </c>
      <c r="AD2010" s="62" t="n">
        <f aca="false">AB2010/S2010-1</f>
        <v>0.469447261894039</v>
      </c>
      <c r="AE2010" s="60" t="str">
        <f aca="false">IF(AB2010&lt;S2010,"SIM","NÃO")</f>
        <v>NÃO</v>
      </c>
      <c r="AF2010" s="60" t="n">
        <v>2</v>
      </c>
      <c r="AG2010" s="60" t="n">
        <v>5</v>
      </c>
      <c r="AH2010" s="60" t="s">
        <v>382</v>
      </c>
      <c r="AI2010" s="61" t="n">
        <f aca="false">(T2010*(1-Painel!$C$40)+U2010+V2010+Painel!$C$41+Painel!$C$42*CEILING(G2010/100,1)+Painel!$C$43*CEILING(G2010,1)+Z2010)/(1-Resumo!$B$5)</f>
        <v>117.319284090909</v>
      </c>
      <c r="AJ2010" s="60" t="str">
        <f aca="false">IF(AI2010&lt;S2010,"SIM","NÃO")</f>
        <v>NÃO</v>
      </c>
    </row>
    <row r="2011" customFormat="false" ht="15" hidden="false" customHeight="false" outlineLevel="0" collapsed="false">
      <c r="A2011" s="59" t="n">
        <v>46287.6822569444</v>
      </c>
      <c r="B2011" s="60" t="s">
        <v>1033</v>
      </c>
      <c r="C2011" s="60" t="n">
        <v>24425290</v>
      </c>
      <c r="D2011" s="60" t="s">
        <v>47</v>
      </c>
      <c r="E2011" s="60" t="s">
        <v>23</v>
      </c>
      <c r="F2011" s="60" t="s">
        <v>233</v>
      </c>
      <c r="G2011" s="60" t="n">
        <v>31</v>
      </c>
      <c r="H2011" s="61" t="n">
        <v>297.99</v>
      </c>
      <c r="I2011" s="61" t="n">
        <v>58.8</v>
      </c>
      <c r="J2011" s="61" t="n">
        <f aca="false">H2011*Resumo!$C$6</f>
        <v>0</v>
      </c>
      <c r="K2011" s="61" t="n">
        <f aca="false">H2011*Resumo!$C$7</f>
        <v>0.625779</v>
      </c>
      <c r="L2011" s="61" t="n">
        <f aca="false">H2011*Resumo!$C$8</f>
        <v>0.625779</v>
      </c>
      <c r="M2011" s="61" t="n">
        <f aca="false">Resumo!$C$10*CEILING(G2011/100,1)</f>
        <v>1.05</v>
      </c>
      <c r="N2011" s="61" t="n">
        <f aca="false">Resumo!$C$9</f>
        <v>0</v>
      </c>
      <c r="O2011" s="61" t="n">
        <f aca="false">Resumo!$C$13</f>
        <v>13.55</v>
      </c>
      <c r="P2011" s="61" t="n">
        <f aca="false">Resumo!$C$14*CEILING(G2011,1)</f>
        <v>13.95</v>
      </c>
      <c r="Q2011" s="61" t="n">
        <f aca="false">SUM(I2011:P2011)*Resumo!$C$11</f>
        <v>0</v>
      </c>
      <c r="R2011" s="61" t="n">
        <f aca="false">SUM(I2011:Q2011)</f>
        <v>88.601558</v>
      </c>
      <c r="S2011" s="61" t="n">
        <f aca="false">R2011/(1-Resumo!$C$5)</f>
        <v>100.683588636364</v>
      </c>
      <c r="T2011" s="61" t="n">
        <v>100.58</v>
      </c>
      <c r="U2011" s="61" t="n">
        <f aca="false">H2011*Resumo!$B$6</f>
        <v>0.29799</v>
      </c>
      <c r="V2011" s="61" t="n">
        <f aca="false">H2011*Resumo!$B$7</f>
        <v>0.59598</v>
      </c>
      <c r="W2011" s="61" t="n">
        <f aca="false">Resumo!$B$9</f>
        <v>1</v>
      </c>
      <c r="X2011" s="61" t="n">
        <f aca="false">Resumo!$B$10*CEILING(G2011/100,1)</f>
        <v>4.5</v>
      </c>
      <c r="Y2011" s="61" t="n">
        <f aca="false">Resumo!$B$12*CEILING(G2011,1)</f>
        <v>1.86</v>
      </c>
      <c r="Z2011" s="61" t="n">
        <f aca="false">Resumo!$B$14*CEILING(G2011,1)</f>
        <v>13.95</v>
      </c>
      <c r="AA2011" s="61" t="n">
        <f aca="false">SUM(T2011:Z2011)</f>
        <v>122.78397</v>
      </c>
      <c r="AB2011" s="61" t="n">
        <f aca="false">AA2011/(1-Resumo!$B$5)</f>
        <v>139.527238636364</v>
      </c>
      <c r="AC2011" s="61" t="n">
        <f aca="false">AB2011-S2011</f>
        <v>38.84365</v>
      </c>
      <c r="AD2011" s="62" t="n">
        <f aca="false">AB2011/S2011-1</f>
        <v>0.385799220370368</v>
      </c>
      <c r="AE2011" s="60" t="str">
        <f aca="false">IF(AB2011&lt;S2011,"SIM","NÃO")</f>
        <v>NÃO</v>
      </c>
      <c r="AF2011" s="60" t="n">
        <v>2</v>
      </c>
      <c r="AG2011" s="60" t="n">
        <v>7</v>
      </c>
      <c r="AH2011" s="60" t="s">
        <v>382</v>
      </c>
      <c r="AI2011" s="61" t="n">
        <f aca="false">(T2011*(1-Painel!$C$40)+U2011+V2011+Painel!$C$41+Painel!$C$42*CEILING(G2011/100,1)+Painel!$C$43*CEILING(G2011,1)+Z2011)/(1-Resumo!$B$5)</f>
        <v>95.7756477272727</v>
      </c>
      <c r="AJ2011" s="60" t="str">
        <f aca="false">IF(AI2011&lt;S2011,"SIM","NÃO")</f>
        <v>SIM</v>
      </c>
    </row>
    <row r="2012" customFormat="false" ht="15" hidden="false" customHeight="false" outlineLevel="0" collapsed="false">
      <c r="A2012" s="59" t="n">
        <v>46287.7195833333</v>
      </c>
      <c r="B2012" s="60" t="s">
        <v>2166</v>
      </c>
      <c r="C2012" s="60" t="n">
        <v>26086195</v>
      </c>
      <c r="D2012" s="60" t="s">
        <v>49</v>
      </c>
      <c r="E2012" s="60" t="s">
        <v>23</v>
      </c>
      <c r="F2012" s="60" t="s">
        <v>234</v>
      </c>
      <c r="G2012" s="60" t="n">
        <v>37.5</v>
      </c>
      <c r="H2012" s="61" t="n">
        <v>399.99</v>
      </c>
      <c r="I2012" s="61" t="n">
        <v>66.83</v>
      </c>
      <c r="J2012" s="61" t="n">
        <f aca="false">H2012*Resumo!$C$6</f>
        <v>0</v>
      </c>
      <c r="K2012" s="61" t="n">
        <f aca="false">H2012*Resumo!$C$7</f>
        <v>0.839979</v>
      </c>
      <c r="L2012" s="61" t="n">
        <f aca="false">H2012*Resumo!$C$8</f>
        <v>0.839979</v>
      </c>
      <c r="M2012" s="61" t="n">
        <f aca="false">Resumo!$C$10*CEILING(G2012/100,1)</f>
        <v>1.05</v>
      </c>
      <c r="N2012" s="61" t="n">
        <f aca="false">Resumo!$C$9</f>
        <v>0</v>
      </c>
      <c r="O2012" s="61" t="n">
        <f aca="false">Resumo!$C$13</f>
        <v>13.55</v>
      </c>
      <c r="P2012" s="61" t="n">
        <f aca="false">Resumo!$C$14*CEILING(G2012,1)</f>
        <v>17.1</v>
      </c>
      <c r="Q2012" s="61" t="n">
        <f aca="false">SUM(I2012:P2012)*Resumo!$C$11</f>
        <v>0</v>
      </c>
      <c r="R2012" s="61" t="n">
        <f aca="false">SUM(I2012:Q2012)</f>
        <v>100.209958</v>
      </c>
      <c r="S2012" s="61" t="n">
        <f aca="false">R2012/(1-Resumo!$C$5)</f>
        <v>113.874952272727</v>
      </c>
      <c r="T2012" s="61" t="n">
        <v>93.97</v>
      </c>
      <c r="U2012" s="61" t="n">
        <f aca="false">H2012*Resumo!$B$6</f>
        <v>0.39999</v>
      </c>
      <c r="V2012" s="61" t="n">
        <f aca="false">H2012*Resumo!$B$7</f>
        <v>0.79998</v>
      </c>
      <c r="W2012" s="61" t="n">
        <f aca="false">Resumo!$B$9</f>
        <v>1</v>
      </c>
      <c r="X2012" s="61" t="n">
        <f aca="false">Resumo!$B$10*CEILING(G2012/100,1)</f>
        <v>4.5</v>
      </c>
      <c r="Y2012" s="61" t="n">
        <f aca="false">Resumo!$B$12*CEILING(G2012,1)</f>
        <v>2.28</v>
      </c>
      <c r="Z2012" s="61" t="n">
        <f aca="false">Resumo!$B$14*CEILING(G2012,1)</f>
        <v>17.1</v>
      </c>
      <c r="AA2012" s="61" t="n">
        <f aca="false">SUM(T2012:Z2012)</f>
        <v>120.04997</v>
      </c>
      <c r="AB2012" s="61" t="n">
        <f aca="false">AA2012/(1-Resumo!$B$5)</f>
        <v>136.420420454545</v>
      </c>
      <c r="AC2012" s="61" t="n">
        <f aca="false">AB2012-S2012</f>
        <v>22.5454681818182</v>
      </c>
      <c r="AD2012" s="62" t="n">
        <f aca="false">AB2012/S2012-1</f>
        <v>0.197984435838203</v>
      </c>
      <c r="AE2012" s="60" t="str">
        <f aca="false">IF(AB2012&lt;S2012,"SIM","NÃO")</f>
        <v>NÃO</v>
      </c>
      <c r="AF2012" s="60" t="n">
        <v>2</v>
      </c>
      <c r="AG2012" s="60" t="n">
        <v>5</v>
      </c>
      <c r="AH2012" s="60" t="s">
        <v>382</v>
      </c>
      <c r="AI2012" s="61" t="n">
        <f aca="false">(T2012*(1-Painel!$C$40)+U2012+V2012+Painel!$C$41+Painel!$C$42*CEILING(G2012/100,1)+Painel!$C$43*CEILING(G2012,1)+Z2012)/(1-Resumo!$B$5)</f>
        <v>94.6703068181818</v>
      </c>
      <c r="AJ2012" s="60" t="str">
        <f aca="false">IF(AI2012&lt;S2012,"SIM","NÃO")</f>
        <v>SIM</v>
      </c>
    </row>
    <row r="2013" customFormat="false" ht="15" hidden="false" customHeight="false" outlineLevel="0" collapsed="false">
      <c r="A2013" s="59" t="n">
        <v>46287.7236226852</v>
      </c>
      <c r="B2013" s="60" t="s">
        <v>2167</v>
      </c>
      <c r="C2013" s="60" t="n">
        <v>28804254</v>
      </c>
      <c r="D2013" s="60" t="s">
        <v>334</v>
      </c>
      <c r="E2013" s="60" t="s">
        <v>24</v>
      </c>
      <c r="F2013" s="60" t="s">
        <v>233</v>
      </c>
      <c r="G2013" s="60" t="n">
        <v>22.04</v>
      </c>
      <c r="H2013" s="61" t="n">
        <v>272.33</v>
      </c>
      <c r="I2013" s="61" t="n">
        <v>65.63</v>
      </c>
      <c r="J2013" s="61" t="n">
        <f aca="false">H2013*Resumo!$C$6</f>
        <v>0</v>
      </c>
      <c r="K2013" s="61" t="n">
        <f aca="false">H2013*Resumo!$C$7</f>
        <v>0.571893</v>
      </c>
      <c r="L2013" s="61" t="n">
        <f aca="false">H2013*Resumo!$C$8</f>
        <v>0.571893</v>
      </c>
      <c r="M2013" s="61" t="n">
        <f aca="false">Resumo!$C$10*CEILING(G2013/100,1)</f>
        <v>1.05</v>
      </c>
      <c r="N2013" s="61" t="n">
        <f aca="false">Resumo!$C$9</f>
        <v>0</v>
      </c>
      <c r="O2013" s="61" t="n">
        <f aca="false">Resumo!$C$13</f>
        <v>13.55</v>
      </c>
      <c r="P2013" s="61" t="n">
        <f aca="false">Resumo!$C$14*CEILING(G2013,1)</f>
        <v>10.35</v>
      </c>
      <c r="Q2013" s="61" t="n">
        <f aca="false">SUM(I2013:P2013)*Resumo!$C$11</f>
        <v>0</v>
      </c>
      <c r="R2013" s="61" t="n">
        <f aca="false">SUM(I2013:Q2013)</f>
        <v>91.723786</v>
      </c>
      <c r="S2013" s="61" t="n">
        <f aca="false">R2013/(1-Resumo!$C$5)</f>
        <v>104.231575</v>
      </c>
      <c r="T2013" s="61" t="n">
        <v>100.58</v>
      </c>
      <c r="U2013" s="61" t="n">
        <f aca="false">H2013*Resumo!$B$6</f>
        <v>0.27233</v>
      </c>
      <c r="V2013" s="61" t="n">
        <f aca="false">H2013*Resumo!$B$7</f>
        <v>0.54466</v>
      </c>
      <c r="W2013" s="61" t="n">
        <f aca="false">Resumo!$B$9</f>
        <v>1</v>
      </c>
      <c r="X2013" s="61" t="n">
        <f aca="false">Resumo!$B$10*CEILING(G2013/100,1)</f>
        <v>4.5</v>
      </c>
      <c r="Y2013" s="61" t="n">
        <f aca="false">Resumo!$B$12*CEILING(G2013,1)</f>
        <v>1.38</v>
      </c>
      <c r="Z2013" s="61" t="n">
        <f aca="false">Resumo!$B$14*CEILING(G2013,1)</f>
        <v>10.35</v>
      </c>
      <c r="AA2013" s="61" t="n">
        <f aca="false">SUM(T2013:Z2013)</f>
        <v>118.62699</v>
      </c>
      <c r="AB2013" s="61" t="n">
        <f aca="false">AA2013/(1-Resumo!$B$5)</f>
        <v>134.803397727273</v>
      </c>
      <c r="AC2013" s="61" t="n">
        <f aca="false">AB2013-S2013</f>
        <v>30.5718227272727</v>
      </c>
      <c r="AD2013" s="62" t="n">
        <f aca="false">AB2013/S2013-1</f>
        <v>0.29330673289042</v>
      </c>
      <c r="AE2013" s="60" t="str">
        <f aca="false">IF(AB2013&lt;S2013,"SIM","NÃO")</f>
        <v>NÃO</v>
      </c>
      <c r="AF2013" s="60" t="n">
        <v>13</v>
      </c>
      <c r="AG2013" s="60" t="n">
        <v>7</v>
      </c>
      <c r="AH2013" s="60" t="s">
        <v>385</v>
      </c>
      <c r="AI2013" s="61" t="n">
        <f aca="false">(T2013*(1-Painel!$C$40)+U2013+V2013+Painel!$C$41+Painel!$C$42*CEILING(G2013/100,1)+Painel!$C$43*CEILING(G2013,1)+Z2013)/(1-Resumo!$B$5)</f>
        <v>91.5972613636363</v>
      </c>
      <c r="AJ2013" s="60" t="str">
        <f aca="false">IF(AI2013&lt;S2013,"SIM","NÃO")</f>
        <v>SIM</v>
      </c>
    </row>
    <row r="2014" customFormat="false" ht="15" hidden="false" customHeight="false" outlineLevel="0" collapsed="false">
      <c r="A2014" s="59" t="n">
        <v>46287.7556828704</v>
      </c>
      <c r="B2014" s="60" t="s">
        <v>916</v>
      </c>
      <c r="C2014" s="60" t="n">
        <v>28360000</v>
      </c>
      <c r="D2014" s="60" t="s">
        <v>310</v>
      </c>
      <c r="E2014" s="60" t="s">
        <v>24</v>
      </c>
      <c r="F2014" s="60" t="s">
        <v>234</v>
      </c>
      <c r="G2014" s="60" t="n">
        <v>40</v>
      </c>
      <c r="H2014" s="61" t="n">
        <v>487.99</v>
      </c>
      <c r="I2014" s="61" t="n">
        <v>74.97</v>
      </c>
      <c r="J2014" s="61" t="n">
        <f aca="false">H2014*Resumo!$C$6</f>
        <v>0</v>
      </c>
      <c r="K2014" s="61" t="n">
        <f aca="false">H2014*Resumo!$C$7</f>
        <v>1.024779</v>
      </c>
      <c r="L2014" s="61" t="n">
        <f aca="false">H2014*Resumo!$C$8</f>
        <v>1.024779</v>
      </c>
      <c r="M2014" s="61" t="n">
        <f aca="false">Resumo!$C$10*CEILING(G2014/100,1)</f>
        <v>1.05</v>
      </c>
      <c r="N2014" s="61" t="n">
        <f aca="false">Resumo!$C$9</f>
        <v>0</v>
      </c>
      <c r="O2014" s="61" t="n">
        <f aca="false">Resumo!$C$13</f>
        <v>13.55</v>
      </c>
      <c r="P2014" s="61" t="n">
        <f aca="false">Resumo!$C$14*CEILING(G2014,1)</f>
        <v>18</v>
      </c>
      <c r="Q2014" s="61" t="n">
        <f aca="false">SUM(I2014:P2014)*Resumo!$C$11</f>
        <v>0</v>
      </c>
      <c r="R2014" s="61" t="n">
        <f aca="false">SUM(I2014:Q2014)</f>
        <v>109.619558</v>
      </c>
      <c r="S2014" s="61" t="n">
        <f aca="false">R2014/(1-Resumo!$C$5)</f>
        <v>124.567679545455</v>
      </c>
      <c r="T2014" s="61" t="n">
        <v>143.04</v>
      </c>
      <c r="U2014" s="61" t="n">
        <f aca="false">H2014*Resumo!$B$6</f>
        <v>0.48799</v>
      </c>
      <c r="V2014" s="61" t="n">
        <f aca="false">H2014*Resumo!$B$7</f>
        <v>0.97598</v>
      </c>
      <c r="W2014" s="61" t="n">
        <f aca="false">Resumo!$B$9</f>
        <v>1</v>
      </c>
      <c r="X2014" s="61" t="n">
        <f aca="false">Resumo!$B$10*CEILING(G2014/100,1)</f>
        <v>4.5</v>
      </c>
      <c r="Y2014" s="61" t="n">
        <f aca="false">Resumo!$B$12*CEILING(G2014,1)</f>
        <v>2.4</v>
      </c>
      <c r="Z2014" s="61" t="n">
        <f aca="false">Resumo!$B$14*CEILING(G2014,1)</f>
        <v>18</v>
      </c>
      <c r="AA2014" s="61" t="n">
        <f aca="false">SUM(T2014:Z2014)</f>
        <v>170.40397</v>
      </c>
      <c r="AB2014" s="61" t="n">
        <f aca="false">AA2014/(1-Resumo!$B$5)</f>
        <v>193.640875</v>
      </c>
      <c r="AC2014" s="61" t="n">
        <f aca="false">AB2014-S2014</f>
        <v>69.0731954545455</v>
      </c>
      <c r="AD2014" s="62" t="n">
        <f aca="false">AB2014/S2014-1</f>
        <v>0.554503348754608</v>
      </c>
      <c r="AE2014" s="60" t="str">
        <f aca="false">IF(AB2014&lt;S2014,"SIM","NÃO")</f>
        <v>NÃO</v>
      </c>
      <c r="AF2014" s="60" t="n">
        <v>13</v>
      </c>
      <c r="AG2014" s="60" t="n">
        <v>11</v>
      </c>
      <c r="AH2014" s="60" t="s">
        <v>385</v>
      </c>
      <c r="AI2014" s="61" t="n">
        <f aca="false">(T2014*(1-Painel!$C$40)+U2014+V2014+Painel!$C$41+Painel!$C$42*CEILING(G2014/100,1)+Painel!$C$43*CEILING(G2014,1)+Z2014)/(1-Resumo!$B$5)</f>
        <v>133.353147727273</v>
      </c>
      <c r="AJ2014" s="60" t="str">
        <f aca="false">IF(AI2014&lt;S2014,"SIM","NÃO")</f>
        <v>NÃO</v>
      </c>
    </row>
    <row r="2015" customFormat="false" ht="15" hidden="false" customHeight="false" outlineLevel="0" collapsed="false">
      <c r="A2015" s="59" t="n">
        <v>46287.8164583333</v>
      </c>
      <c r="B2015" s="60" t="s">
        <v>2009</v>
      </c>
      <c r="C2015" s="60" t="n">
        <v>21755380</v>
      </c>
      <c r="D2015" s="60" t="s">
        <v>46</v>
      </c>
      <c r="E2015" s="60" t="s">
        <v>22</v>
      </c>
      <c r="F2015" s="60" t="s">
        <v>233</v>
      </c>
      <c r="G2015" s="60" t="n">
        <v>27.5</v>
      </c>
      <c r="H2015" s="61" t="n">
        <v>343.52</v>
      </c>
      <c r="I2015" s="61" t="n">
        <v>42.11</v>
      </c>
      <c r="J2015" s="61" t="n">
        <f aca="false">H2015*Resumo!$C$6</f>
        <v>0</v>
      </c>
      <c r="K2015" s="61" t="n">
        <f aca="false">H2015*Resumo!$C$7</f>
        <v>0.721392</v>
      </c>
      <c r="L2015" s="61" t="n">
        <f aca="false">H2015*Resumo!$C$8</f>
        <v>0.721392</v>
      </c>
      <c r="M2015" s="61" t="n">
        <f aca="false">Resumo!$C$10*CEILING(G2015/100,1)</f>
        <v>1.05</v>
      </c>
      <c r="N2015" s="61" t="n">
        <f aca="false">Resumo!$C$9</f>
        <v>0</v>
      </c>
      <c r="O2015" s="61" t="n">
        <f aca="false">Resumo!$C$13</f>
        <v>13.55</v>
      </c>
      <c r="P2015" s="61" t="n">
        <f aca="false">Resumo!$C$14*CEILING(G2015,1)</f>
        <v>12.6</v>
      </c>
      <c r="Q2015" s="61" t="n">
        <f aca="false">SUM(I2015:P2015)*Resumo!$C$11</f>
        <v>0</v>
      </c>
      <c r="R2015" s="61" t="n">
        <f aca="false">SUM(I2015:Q2015)</f>
        <v>70.752784</v>
      </c>
      <c r="S2015" s="61" t="n">
        <f aca="false">R2015/(1-Resumo!$C$5)</f>
        <v>80.4008909090909</v>
      </c>
      <c r="T2015" s="61" t="n">
        <v>82.21</v>
      </c>
      <c r="U2015" s="61" t="n">
        <f aca="false">H2015*Resumo!$B$6</f>
        <v>0.34352</v>
      </c>
      <c r="V2015" s="61" t="n">
        <f aca="false">H2015*Resumo!$B$7</f>
        <v>0.68704</v>
      </c>
      <c r="W2015" s="61" t="n">
        <f aca="false">Resumo!$B$9</f>
        <v>1</v>
      </c>
      <c r="X2015" s="61" t="n">
        <f aca="false">Resumo!$B$10*CEILING(G2015/100,1)</f>
        <v>4.5</v>
      </c>
      <c r="Y2015" s="61" t="n">
        <f aca="false">Resumo!$B$12*CEILING(G2015,1)</f>
        <v>1.68</v>
      </c>
      <c r="Z2015" s="61" t="n">
        <f aca="false">Resumo!$B$14*CEILING(G2015,1)</f>
        <v>12.6</v>
      </c>
      <c r="AA2015" s="61" t="n">
        <f aca="false">SUM(T2015:Z2015)</f>
        <v>103.02056</v>
      </c>
      <c r="AB2015" s="61" t="n">
        <f aca="false">AA2015/(1-Resumo!$B$5)</f>
        <v>117.068818181818</v>
      </c>
      <c r="AC2015" s="61" t="n">
        <f aca="false">AB2015-S2015</f>
        <v>36.6679272727273</v>
      </c>
      <c r="AD2015" s="62" t="n">
        <f aca="false">AB2015/S2015-1</f>
        <v>0.456063693550207</v>
      </c>
      <c r="AE2015" s="60" t="str">
        <f aca="false">IF(AB2015&lt;S2015,"SIM","NÃO")</f>
        <v>NÃO</v>
      </c>
      <c r="AF2015" s="60" t="n">
        <v>2</v>
      </c>
      <c r="AG2015" s="60" t="n">
        <v>5</v>
      </c>
      <c r="AH2015" s="60" t="s">
        <v>382</v>
      </c>
      <c r="AI2015" s="61" t="n">
        <f aca="false">(T2015*(1-Painel!$C$40)+U2015+V2015+Painel!$C$41+Painel!$C$42*CEILING(G2015/100,1)+Painel!$C$43*CEILING(G2015,1)+Z2015)/(1-Resumo!$B$5)</f>
        <v>80.4105227272727</v>
      </c>
      <c r="AJ2015" s="60" t="str">
        <f aca="false">IF(AI2015&lt;S2015,"SIM","NÃO")</f>
        <v>NÃO</v>
      </c>
    </row>
    <row r="2016" customFormat="false" ht="15" hidden="false" customHeight="false" outlineLevel="0" collapsed="false">
      <c r="A2016" s="59" t="n">
        <v>46287.8327199074</v>
      </c>
      <c r="B2016" s="60" t="s">
        <v>2168</v>
      </c>
      <c r="C2016" s="60" t="n">
        <v>23057700</v>
      </c>
      <c r="D2016" s="60" t="s">
        <v>46</v>
      </c>
      <c r="E2016" s="60" t="s">
        <v>22</v>
      </c>
      <c r="F2016" s="60" t="s">
        <v>233</v>
      </c>
      <c r="G2016" s="60" t="n">
        <v>30.5</v>
      </c>
      <c r="H2016" s="61" t="n">
        <v>406.6</v>
      </c>
      <c r="I2016" s="61" t="n">
        <v>42.11</v>
      </c>
      <c r="J2016" s="61" t="n">
        <f aca="false">H2016*Resumo!$C$6</f>
        <v>0</v>
      </c>
      <c r="K2016" s="61" t="n">
        <f aca="false">H2016*Resumo!$C$7</f>
        <v>0.85386</v>
      </c>
      <c r="L2016" s="61" t="n">
        <f aca="false">H2016*Resumo!$C$8</f>
        <v>0.85386</v>
      </c>
      <c r="M2016" s="61" t="n">
        <f aca="false">Resumo!$C$10*CEILING(G2016/100,1)</f>
        <v>1.05</v>
      </c>
      <c r="N2016" s="61" t="n">
        <f aca="false">Resumo!$C$9</f>
        <v>0</v>
      </c>
      <c r="O2016" s="61" t="n">
        <f aca="false">Resumo!$C$13</f>
        <v>13.55</v>
      </c>
      <c r="P2016" s="61" t="n">
        <f aca="false">Resumo!$C$14*CEILING(G2016,1)</f>
        <v>13.95</v>
      </c>
      <c r="Q2016" s="61" t="n">
        <f aca="false">SUM(I2016:P2016)*Resumo!$C$11</f>
        <v>0</v>
      </c>
      <c r="R2016" s="61" t="n">
        <f aca="false">SUM(I2016:Q2016)</f>
        <v>72.36772</v>
      </c>
      <c r="S2016" s="61" t="n">
        <f aca="false">R2016/(1-Resumo!$C$5)</f>
        <v>82.2360454545455</v>
      </c>
      <c r="T2016" s="61" t="n">
        <v>82.21</v>
      </c>
      <c r="U2016" s="61" t="n">
        <f aca="false">H2016*Resumo!$B$6</f>
        <v>0.4066</v>
      </c>
      <c r="V2016" s="61" t="n">
        <f aca="false">H2016*Resumo!$B$7</f>
        <v>0.8132</v>
      </c>
      <c r="W2016" s="61" t="n">
        <f aca="false">Resumo!$B$9</f>
        <v>1</v>
      </c>
      <c r="X2016" s="61" t="n">
        <f aca="false">Resumo!$B$10*CEILING(G2016/100,1)</f>
        <v>4.5</v>
      </c>
      <c r="Y2016" s="61" t="n">
        <f aca="false">Resumo!$B$12*CEILING(G2016,1)</f>
        <v>1.86</v>
      </c>
      <c r="Z2016" s="61" t="n">
        <f aca="false">Resumo!$B$14*CEILING(G2016,1)</f>
        <v>13.95</v>
      </c>
      <c r="AA2016" s="61" t="n">
        <f aca="false">SUM(T2016:Z2016)</f>
        <v>104.7398</v>
      </c>
      <c r="AB2016" s="61" t="n">
        <f aca="false">AA2016/(1-Resumo!$B$5)</f>
        <v>119.0225</v>
      </c>
      <c r="AC2016" s="61" t="n">
        <f aca="false">AB2016-S2016</f>
        <v>36.7864545454545</v>
      </c>
      <c r="AD2016" s="62" t="n">
        <f aca="false">AB2016/S2016-1</f>
        <v>0.447327620657387</v>
      </c>
      <c r="AE2016" s="60" t="str">
        <f aca="false">IF(AB2016&lt;S2016,"SIM","NÃO")</f>
        <v>NÃO</v>
      </c>
      <c r="AF2016" s="60" t="n">
        <v>2</v>
      </c>
      <c r="AG2016" s="60" t="n">
        <v>5</v>
      </c>
      <c r="AH2016" s="60" t="s">
        <v>382</v>
      </c>
      <c r="AI2016" s="61" t="n">
        <f aca="false">(T2016*(1-Painel!$C$40)+U2016+V2016+Painel!$C$41+Painel!$C$42*CEILING(G2016/100,1)+Painel!$C$43*CEILING(G2016,1)+Z2016)/(1-Resumo!$B$5)</f>
        <v>82.1596590909091</v>
      </c>
      <c r="AJ2016" s="60" t="str">
        <f aca="false">IF(AI2016&lt;S2016,"SIM","NÃO")</f>
        <v>SIM</v>
      </c>
    </row>
    <row r="2017" customFormat="false" ht="15" hidden="false" customHeight="false" outlineLevel="0" collapsed="false">
      <c r="A2017" s="59" t="n">
        <v>46287.8519675926</v>
      </c>
      <c r="B2017" s="60" t="s">
        <v>2169</v>
      </c>
      <c r="C2017" s="60" t="n">
        <v>23082350</v>
      </c>
      <c r="D2017" s="60" t="s">
        <v>46</v>
      </c>
      <c r="E2017" s="60" t="s">
        <v>22</v>
      </c>
      <c r="F2017" s="60" t="s">
        <v>234</v>
      </c>
      <c r="G2017" s="60" t="n">
        <v>36.8</v>
      </c>
      <c r="H2017" s="61" t="n">
        <v>469.99</v>
      </c>
      <c r="I2017" s="61" t="n">
        <v>48.35</v>
      </c>
      <c r="J2017" s="61" t="n">
        <f aca="false">H2017*Resumo!$C$6</f>
        <v>0</v>
      </c>
      <c r="K2017" s="61" t="n">
        <f aca="false">H2017*Resumo!$C$7</f>
        <v>0.986979</v>
      </c>
      <c r="L2017" s="61" t="n">
        <f aca="false">H2017*Resumo!$C$8</f>
        <v>0.986979</v>
      </c>
      <c r="M2017" s="61" t="n">
        <f aca="false">Resumo!$C$10*CEILING(G2017/100,1)</f>
        <v>1.05</v>
      </c>
      <c r="N2017" s="61" t="n">
        <f aca="false">Resumo!$C$9</f>
        <v>0</v>
      </c>
      <c r="O2017" s="61" t="n">
        <f aca="false">Resumo!$C$13</f>
        <v>13.55</v>
      </c>
      <c r="P2017" s="61" t="n">
        <f aca="false">Resumo!$C$14*CEILING(G2017,1)</f>
        <v>16.65</v>
      </c>
      <c r="Q2017" s="61" t="n">
        <f aca="false">SUM(I2017:P2017)*Resumo!$C$11</f>
        <v>0</v>
      </c>
      <c r="R2017" s="61" t="n">
        <f aca="false">SUM(I2017:Q2017)</f>
        <v>81.573958</v>
      </c>
      <c r="S2017" s="61" t="n">
        <f aca="false">R2017/(1-Resumo!$C$5)</f>
        <v>92.6976795454546</v>
      </c>
      <c r="T2017" s="61" t="n">
        <v>93.97</v>
      </c>
      <c r="U2017" s="61" t="n">
        <f aca="false">H2017*Resumo!$B$6</f>
        <v>0.46999</v>
      </c>
      <c r="V2017" s="61" t="n">
        <f aca="false">H2017*Resumo!$B$7</f>
        <v>0.93998</v>
      </c>
      <c r="W2017" s="61" t="n">
        <f aca="false">Resumo!$B$9</f>
        <v>1</v>
      </c>
      <c r="X2017" s="61" t="n">
        <f aca="false">Resumo!$B$10*CEILING(G2017/100,1)</f>
        <v>4.5</v>
      </c>
      <c r="Y2017" s="61" t="n">
        <f aca="false">Resumo!$B$12*CEILING(G2017,1)</f>
        <v>2.22</v>
      </c>
      <c r="Z2017" s="61" t="n">
        <f aca="false">Resumo!$B$14*CEILING(G2017,1)</f>
        <v>16.65</v>
      </c>
      <c r="AA2017" s="61" t="n">
        <f aca="false">SUM(T2017:Z2017)</f>
        <v>119.74997</v>
      </c>
      <c r="AB2017" s="61" t="n">
        <f aca="false">AA2017/(1-Resumo!$B$5)</f>
        <v>136.079511363636</v>
      </c>
      <c r="AC2017" s="61" t="n">
        <f aca="false">AB2017-S2017</f>
        <v>43.3818318181818</v>
      </c>
      <c r="AD2017" s="62" t="n">
        <f aca="false">AB2017/S2017-1</f>
        <v>0.467992640494409</v>
      </c>
      <c r="AE2017" s="60" t="str">
        <f aca="false">IF(AB2017&lt;S2017,"SIM","NÃO")</f>
        <v>NÃO</v>
      </c>
      <c r="AF2017" s="60" t="n">
        <v>2</v>
      </c>
      <c r="AG2017" s="60" t="n">
        <v>5</v>
      </c>
      <c r="AH2017" s="60" t="s">
        <v>382</v>
      </c>
      <c r="AI2017" s="61" t="n">
        <f aca="false">(T2017*(1-Painel!$C$40)+U2017+V2017+Painel!$C$41+Painel!$C$42*CEILING(G2017/100,1)+Painel!$C$43*CEILING(G2017,1)+Z2017)/(1-Resumo!$B$5)</f>
        <v>94.3975795454545</v>
      </c>
      <c r="AJ2017" s="60" t="str">
        <f aca="false">IF(AI2017&lt;S2017,"SIM","NÃO")</f>
        <v>NÃO</v>
      </c>
    </row>
    <row r="2018" customFormat="false" ht="15" hidden="false" customHeight="false" outlineLevel="0" collapsed="false">
      <c r="A2018" s="59" t="n">
        <v>46287.8618634259</v>
      </c>
      <c r="B2018" s="60" t="s">
        <v>518</v>
      </c>
      <c r="C2018" s="60" t="n">
        <v>22765240</v>
      </c>
      <c r="D2018" s="60" t="s">
        <v>46</v>
      </c>
      <c r="E2018" s="60" t="s">
        <v>22</v>
      </c>
      <c r="F2018" s="60" t="s">
        <v>234</v>
      </c>
      <c r="G2018" s="60" t="n">
        <v>35.4</v>
      </c>
      <c r="H2018" s="61" t="n">
        <v>539.99</v>
      </c>
      <c r="I2018" s="61" t="n">
        <v>48.35</v>
      </c>
      <c r="J2018" s="61" t="n">
        <f aca="false">H2018*Resumo!$C$6</f>
        <v>0</v>
      </c>
      <c r="K2018" s="61" t="n">
        <f aca="false">H2018*Resumo!$C$7</f>
        <v>1.133979</v>
      </c>
      <c r="L2018" s="61" t="n">
        <f aca="false">H2018*Resumo!$C$8</f>
        <v>1.133979</v>
      </c>
      <c r="M2018" s="61" t="n">
        <f aca="false">Resumo!$C$10*CEILING(G2018/100,1)</f>
        <v>1.05</v>
      </c>
      <c r="N2018" s="61" t="n">
        <f aca="false">Resumo!$C$9</f>
        <v>0</v>
      </c>
      <c r="O2018" s="61" t="n">
        <f aca="false">Resumo!$C$13</f>
        <v>13.55</v>
      </c>
      <c r="P2018" s="61" t="n">
        <f aca="false">Resumo!$C$14*CEILING(G2018,1)</f>
        <v>16.2</v>
      </c>
      <c r="Q2018" s="61" t="n">
        <f aca="false">SUM(I2018:P2018)*Resumo!$C$11</f>
        <v>0</v>
      </c>
      <c r="R2018" s="61" t="n">
        <f aca="false">SUM(I2018:Q2018)</f>
        <v>81.417958</v>
      </c>
      <c r="S2018" s="61" t="n">
        <f aca="false">R2018/(1-Resumo!$C$5)</f>
        <v>92.5204068181818</v>
      </c>
      <c r="T2018" s="61" t="n">
        <v>93.97</v>
      </c>
      <c r="U2018" s="61" t="n">
        <f aca="false">H2018*Resumo!$B$6</f>
        <v>0.53999</v>
      </c>
      <c r="V2018" s="61" t="n">
        <f aca="false">H2018*Resumo!$B$7</f>
        <v>1.07998</v>
      </c>
      <c r="W2018" s="61" t="n">
        <f aca="false">Resumo!$B$9</f>
        <v>1</v>
      </c>
      <c r="X2018" s="61" t="n">
        <f aca="false">Resumo!$B$10*CEILING(G2018/100,1)</f>
        <v>4.5</v>
      </c>
      <c r="Y2018" s="61" t="n">
        <f aca="false">Resumo!$B$12*CEILING(G2018,1)</f>
        <v>2.16</v>
      </c>
      <c r="Z2018" s="61" t="n">
        <f aca="false">Resumo!$B$14*CEILING(G2018,1)</f>
        <v>16.2</v>
      </c>
      <c r="AA2018" s="61" t="n">
        <f aca="false">SUM(T2018:Z2018)</f>
        <v>119.44997</v>
      </c>
      <c r="AB2018" s="61" t="n">
        <f aca="false">AA2018/(1-Resumo!$B$5)</f>
        <v>135.738602272727</v>
      </c>
      <c r="AC2018" s="61" t="n">
        <f aca="false">AB2018-S2018</f>
        <v>43.2181954545455</v>
      </c>
      <c r="AD2018" s="62" t="n">
        <f aca="false">AB2018/S2018-1</f>
        <v>0.467120681164713</v>
      </c>
      <c r="AE2018" s="60" t="str">
        <f aca="false">IF(AB2018&lt;S2018,"SIM","NÃO")</f>
        <v>NÃO</v>
      </c>
      <c r="AF2018" s="60" t="n">
        <v>2</v>
      </c>
      <c r="AG2018" s="60" t="n">
        <v>5</v>
      </c>
      <c r="AH2018" s="60" t="s">
        <v>382</v>
      </c>
      <c r="AI2018" s="61" t="n">
        <f aca="false">(T2018*(1-Painel!$C$40)+U2018+V2018+Painel!$C$41+Painel!$C$42*CEILING(G2018/100,1)+Painel!$C$43*CEILING(G2018,1)+Z2018)/(1-Resumo!$B$5)</f>
        <v>94.1248522727273</v>
      </c>
      <c r="AJ2018" s="60" t="str">
        <f aca="false">IF(AI2018&lt;S2018,"SIM","NÃO")</f>
        <v>NÃO</v>
      </c>
    </row>
    <row r="2019" customFormat="false" ht="15" hidden="false" customHeight="false" outlineLevel="0" collapsed="false">
      <c r="A2019" s="59" t="n">
        <v>46287.8776736111</v>
      </c>
      <c r="B2019" s="60" t="s">
        <v>2170</v>
      </c>
      <c r="C2019" s="60" t="n">
        <v>21843780</v>
      </c>
      <c r="D2019" s="60" t="s">
        <v>46</v>
      </c>
      <c r="E2019" s="60" t="s">
        <v>22</v>
      </c>
      <c r="F2019" s="60" t="s">
        <v>233</v>
      </c>
      <c r="G2019" s="60" t="n">
        <v>33.3</v>
      </c>
      <c r="H2019" s="61" t="n">
        <v>389.99</v>
      </c>
      <c r="I2019" s="61" t="n">
        <v>42.11</v>
      </c>
      <c r="J2019" s="61" t="n">
        <f aca="false">H2019*Resumo!$C$6</f>
        <v>0</v>
      </c>
      <c r="K2019" s="61" t="n">
        <f aca="false">H2019*Resumo!$C$7</f>
        <v>0.818979</v>
      </c>
      <c r="L2019" s="61" t="n">
        <f aca="false">H2019*Resumo!$C$8</f>
        <v>0.818979</v>
      </c>
      <c r="M2019" s="61" t="n">
        <f aca="false">Resumo!$C$10*CEILING(G2019/100,1)</f>
        <v>1.05</v>
      </c>
      <c r="N2019" s="61" t="n">
        <f aca="false">Resumo!$C$9</f>
        <v>0</v>
      </c>
      <c r="O2019" s="61" t="n">
        <f aca="false">Resumo!$C$13</f>
        <v>13.55</v>
      </c>
      <c r="P2019" s="61" t="n">
        <f aca="false">Resumo!$C$14*CEILING(G2019,1)</f>
        <v>15.3</v>
      </c>
      <c r="Q2019" s="61" t="n">
        <f aca="false">SUM(I2019:P2019)*Resumo!$C$11</f>
        <v>0</v>
      </c>
      <c r="R2019" s="61" t="n">
        <f aca="false">SUM(I2019:Q2019)</f>
        <v>73.647958</v>
      </c>
      <c r="S2019" s="61" t="n">
        <f aca="false">R2019/(1-Resumo!$C$5)</f>
        <v>83.6908613636364</v>
      </c>
      <c r="T2019" s="61" t="n">
        <v>82.21</v>
      </c>
      <c r="U2019" s="61" t="n">
        <f aca="false">H2019*Resumo!$B$6</f>
        <v>0.38999</v>
      </c>
      <c r="V2019" s="61" t="n">
        <f aca="false">H2019*Resumo!$B$7</f>
        <v>0.77998</v>
      </c>
      <c r="W2019" s="61" t="n">
        <f aca="false">Resumo!$B$9</f>
        <v>1</v>
      </c>
      <c r="X2019" s="61" t="n">
        <f aca="false">Resumo!$B$10*CEILING(G2019/100,1)</f>
        <v>4.5</v>
      </c>
      <c r="Y2019" s="61" t="n">
        <f aca="false">Resumo!$B$12*CEILING(G2019,1)</f>
        <v>2.04</v>
      </c>
      <c r="Z2019" s="61" t="n">
        <f aca="false">Resumo!$B$14*CEILING(G2019,1)</f>
        <v>15.3</v>
      </c>
      <c r="AA2019" s="61" t="n">
        <f aca="false">SUM(T2019:Z2019)</f>
        <v>106.21997</v>
      </c>
      <c r="AB2019" s="61" t="n">
        <f aca="false">AA2019/(1-Resumo!$B$5)</f>
        <v>120.704511363636</v>
      </c>
      <c r="AC2019" s="61" t="n">
        <f aca="false">AB2019-S2019</f>
        <v>37.01365</v>
      </c>
      <c r="AD2019" s="62" t="n">
        <f aca="false">AB2019/S2019-1</f>
        <v>0.442266328687619</v>
      </c>
      <c r="AE2019" s="60" t="str">
        <f aca="false">IF(AB2019&lt;S2019,"SIM","NÃO")</f>
        <v>NÃO</v>
      </c>
      <c r="AF2019" s="60" t="n">
        <v>2</v>
      </c>
      <c r="AG2019" s="60" t="n">
        <v>5</v>
      </c>
      <c r="AH2019" s="60" t="s">
        <v>382</v>
      </c>
      <c r="AI2019" s="61" t="n">
        <f aca="false">(T2019*(1-Painel!$C$40)+U2019+V2019+Painel!$C$41+Painel!$C$42*CEILING(G2019/100,1)+Painel!$C$43*CEILING(G2019,1)+Z2019)/(1-Resumo!$B$5)</f>
        <v>83.637125</v>
      </c>
      <c r="AJ2019" s="60" t="str">
        <f aca="false">IF(AI2019&lt;S2019,"SIM","NÃO")</f>
        <v>SIM</v>
      </c>
    </row>
    <row r="2020" customFormat="false" ht="15" hidden="false" customHeight="false" outlineLevel="0" collapsed="false">
      <c r="A2020" s="59" t="n">
        <v>46287.8911458333</v>
      </c>
      <c r="B2020" s="60" t="s">
        <v>2171</v>
      </c>
      <c r="C2020" s="60" t="n">
        <v>22620172</v>
      </c>
      <c r="D2020" s="60" t="s">
        <v>46</v>
      </c>
      <c r="E2020" s="60" t="s">
        <v>22</v>
      </c>
      <c r="F2020" s="60" t="s">
        <v>233</v>
      </c>
      <c r="G2020" s="60" t="n">
        <v>22.6</v>
      </c>
      <c r="H2020" s="61" t="n">
        <v>460</v>
      </c>
      <c r="I2020" s="61" t="n">
        <v>42.11</v>
      </c>
      <c r="J2020" s="61" t="n">
        <f aca="false">H2020*Resumo!$C$6</f>
        <v>0</v>
      </c>
      <c r="K2020" s="61" t="n">
        <f aca="false">H2020*Resumo!$C$7</f>
        <v>0.966</v>
      </c>
      <c r="L2020" s="61" t="n">
        <f aca="false">H2020*Resumo!$C$8</f>
        <v>0.966</v>
      </c>
      <c r="M2020" s="61" t="n">
        <f aca="false">Resumo!$C$10*CEILING(G2020/100,1)</f>
        <v>1.05</v>
      </c>
      <c r="N2020" s="61" t="n">
        <f aca="false">Resumo!$C$9</f>
        <v>0</v>
      </c>
      <c r="O2020" s="61" t="n">
        <f aca="false">Resumo!$C$13</f>
        <v>13.55</v>
      </c>
      <c r="P2020" s="61" t="n">
        <f aca="false">Resumo!$C$14*CEILING(G2020,1)</f>
        <v>10.35</v>
      </c>
      <c r="Q2020" s="61" t="n">
        <f aca="false">SUM(I2020:P2020)*Resumo!$C$11</f>
        <v>0</v>
      </c>
      <c r="R2020" s="61" t="n">
        <f aca="false">SUM(I2020:Q2020)</f>
        <v>68.992</v>
      </c>
      <c r="S2020" s="61" t="n">
        <f aca="false">R2020/(1-Resumo!$C$5)</f>
        <v>78.4</v>
      </c>
      <c r="T2020" s="61" t="n">
        <v>82.21</v>
      </c>
      <c r="U2020" s="61" t="n">
        <f aca="false">H2020*Resumo!$B$6</f>
        <v>0.46</v>
      </c>
      <c r="V2020" s="61" t="n">
        <f aca="false">H2020*Resumo!$B$7</f>
        <v>0.92</v>
      </c>
      <c r="W2020" s="61" t="n">
        <f aca="false">Resumo!$B$9</f>
        <v>1</v>
      </c>
      <c r="X2020" s="61" t="n">
        <f aca="false">Resumo!$B$10*CEILING(G2020/100,1)</f>
        <v>4.5</v>
      </c>
      <c r="Y2020" s="61" t="n">
        <f aca="false">Resumo!$B$12*CEILING(G2020,1)</f>
        <v>1.38</v>
      </c>
      <c r="Z2020" s="61" t="n">
        <f aca="false">Resumo!$B$14*CEILING(G2020,1)</f>
        <v>10.35</v>
      </c>
      <c r="AA2020" s="61" t="n">
        <f aca="false">SUM(T2020:Z2020)</f>
        <v>100.82</v>
      </c>
      <c r="AB2020" s="61" t="n">
        <f aca="false">AA2020/(1-Resumo!$B$5)</f>
        <v>114.568181818182</v>
      </c>
      <c r="AC2020" s="61" t="n">
        <f aca="false">AB2020-S2020</f>
        <v>36.1681818181818</v>
      </c>
      <c r="AD2020" s="62" t="n">
        <f aca="false">AB2020/S2020-1</f>
        <v>0.461328849721707</v>
      </c>
      <c r="AE2020" s="60" t="str">
        <f aca="false">IF(AB2020&lt;S2020,"SIM","NÃO")</f>
        <v>NÃO</v>
      </c>
      <c r="AF2020" s="60" t="n">
        <v>2</v>
      </c>
      <c r="AG2020" s="60" t="n">
        <v>5</v>
      </c>
      <c r="AH2020" s="60" t="s">
        <v>382</v>
      </c>
      <c r="AI2020" s="61" t="n">
        <f aca="false">(T2020*(1-Painel!$C$40)+U2020+V2020+Painel!$C$41+Painel!$C$42*CEILING(G2020/100,1)+Painel!$C$43*CEILING(G2020,1)+Z2020)/(1-Resumo!$B$5)</f>
        <v>78.2507954545455</v>
      </c>
      <c r="AJ2020" s="60" t="str">
        <f aca="false">IF(AI2020&lt;S2020,"SIM","NÃO")</f>
        <v>SIM</v>
      </c>
    </row>
    <row r="2021" customFormat="false" ht="15" hidden="false" customHeight="false" outlineLevel="0" collapsed="false">
      <c r="A2021" s="59" t="n">
        <v>46287.9007175926</v>
      </c>
      <c r="B2021" s="60" t="s">
        <v>2172</v>
      </c>
      <c r="C2021" s="60" t="n">
        <v>28956048</v>
      </c>
      <c r="D2021" s="60" t="s">
        <v>339</v>
      </c>
      <c r="E2021" s="60" t="s">
        <v>24</v>
      </c>
      <c r="F2021" s="60" t="s">
        <v>233</v>
      </c>
      <c r="G2021" s="60" t="n">
        <v>33</v>
      </c>
      <c r="H2021" s="61" t="n">
        <v>438.93</v>
      </c>
      <c r="I2021" s="61" t="n">
        <v>65.63</v>
      </c>
      <c r="J2021" s="61" t="n">
        <f aca="false">H2021*Resumo!$C$6</f>
        <v>0</v>
      </c>
      <c r="K2021" s="61" t="n">
        <f aca="false">H2021*Resumo!$C$7</f>
        <v>0.921753</v>
      </c>
      <c r="L2021" s="61" t="n">
        <f aca="false">H2021*Resumo!$C$8</f>
        <v>0.921753</v>
      </c>
      <c r="M2021" s="61" t="n">
        <f aca="false">Resumo!$C$10*CEILING(G2021/100,1)</f>
        <v>1.05</v>
      </c>
      <c r="N2021" s="61" t="n">
        <f aca="false">Resumo!$C$9</f>
        <v>0</v>
      </c>
      <c r="O2021" s="61" t="n">
        <f aca="false">Resumo!$C$13</f>
        <v>13.55</v>
      </c>
      <c r="P2021" s="61" t="n">
        <f aca="false">Resumo!$C$14*CEILING(G2021,1)</f>
        <v>14.85</v>
      </c>
      <c r="Q2021" s="61" t="n">
        <f aca="false">SUM(I2021:P2021)*Resumo!$C$11</f>
        <v>0</v>
      </c>
      <c r="R2021" s="61" t="n">
        <f aca="false">SUM(I2021:Q2021)</f>
        <v>96.923506</v>
      </c>
      <c r="S2021" s="61" t="n">
        <f aca="false">R2021/(1-Resumo!$C$5)</f>
        <v>110.140347727273</v>
      </c>
      <c r="T2021" s="61" t="n">
        <v>114.95</v>
      </c>
      <c r="U2021" s="61" t="n">
        <f aca="false">H2021*Resumo!$B$6</f>
        <v>0.43893</v>
      </c>
      <c r="V2021" s="61" t="n">
        <f aca="false">H2021*Resumo!$B$7</f>
        <v>0.87786</v>
      </c>
      <c r="W2021" s="61" t="n">
        <f aca="false">Resumo!$B$9</f>
        <v>1</v>
      </c>
      <c r="X2021" s="61" t="n">
        <f aca="false">Resumo!$B$10*CEILING(G2021/100,1)</f>
        <v>4.5</v>
      </c>
      <c r="Y2021" s="61" t="n">
        <f aca="false">Resumo!$B$12*CEILING(G2021,1)</f>
        <v>1.98</v>
      </c>
      <c r="Z2021" s="61" t="n">
        <f aca="false">Resumo!$B$14*CEILING(G2021,1)</f>
        <v>14.85</v>
      </c>
      <c r="AA2021" s="61" t="n">
        <f aca="false">SUM(T2021:Z2021)</f>
        <v>138.59679</v>
      </c>
      <c r="AB2021" s="61" t="n">
        <f aca="false">AA2021/(1-Resumo!$B$5)</f>
        <v>157.496352272727</v>
      </c>
      <c r="AC2021" s="61" t="n">
        <f aca="false">AB2021-S2021</f>
        <v>47.3560045454546</v>
      </c>
      <c r="AD2021" s="62" t="n">
        <f aca="false">AB2021/S2021-1</f>
        <v>0.429960550539722</v>
      </c>
      <c r="AE2021" s="60" t="str">
        <f aca="false">IF(AB2021&lt;S2021,"SIM","NÃO")</f>
        <v>NÃO</v>
      </c>
      <c r="AF2021" s="60" t="n">
        <v>13</v>
      </c>
      <c r="AG2021" s="60" t="n">
        <v>10</v>
      </c>
      <c r="AH2021" s="60" t="s">
        <v>385</v>
      </c>
      <c r="AI2021" s="61" t="n">
        <f aca="false">(T2021*(1-Painel!$C$40)+U2021+V2021+Painel!$C$41+Painel!$C$42*CEILING(G2021/100,1)+Painel!$C$43*CEILING(G2021,1)+Z2021)/(1-Resumo!$B$5)</f>
        <v>108.219647727273</v>
      </c>
      <c r="AJ2021" s="60" t="str">
        <f aca="false">IF(AI2021&lt;S2021,"SIM","NÃO")</f>
        <v>SIM</v>
      </c>
    </row>
    <row r="2022" customFormat="false" ht="15" hidden="false" customHeight="false" outlineLevel="0" collapsed="false">
      <c r="A2022" s="59" t="n">
        <v>46287.9239814815</v>
      </c>
      <c r="B2022" s="60" t="s">
        <v>2173</v>
      </c>
      <c r="C2022" s="60" t="n">
        <v>22631004</v>
      </c>
      <c r="D2022" s="60" t="s">
        <v>46</v>
      </c>
      <c r="E2022" s="60" t="s">
        <v>22</v>
      </c>
      <c r="F2022" s="60" t="s">
        <v>233</v>
      </c>
      <c r="G2022" s="60" t="n">
        <v>22.4</v>
      </c>
      <c r="H2022" s="61" t="n">
        <v>508.23</v>
      </c>
      <c r="I2022" s="61" t="n">
        <v>42.11</v>
      </c>
      <c r="J2022" s="61" t="n">
        <f aca="false">H2022*Resumo!$C$6</f>
        <v>0</v>
      </c>
      <c r="K2022" s="61" t="n">
        <f aca="false">H2022*Resumo!$C$7</f>
        <v>1.067283</v>
      </c>
      <c r="L2022" s="61" t="n">
        <f aca="false">H2022*Resumo!$C$8</f>
        <v>1.067283</v>
      </c>
      <c r="M2022" s="61" t="n">
        <f aca="false">Resumo!$C$10*CEILING(G2022/100,1)</f>
        <v>1.05</v>
      </c>
      <c r="N2022" s="61" t="n">
        <f aca="false">Resumo!$C$9</f>
        <v>0</v>
      </c>
      <c r="O2022" s="61" t="n">
        <f aca="false">Resumo!$C$13</f>
        <v>13.55</v>
      </c>
      <c r="P2022" s="61" t="n">
        <f aca="false">Resumo!$C$14*CEILING(G2022,1)</f>
        <v>10.35</v>
      </c>
      <c r="Q2022" s="61" t="n">
        <f aca="false">SUM(I2022:P2022)*Resumo!$C$11</f>
        <v>0</v>
      </c>
      <c r="R2022" s="61" t="n">
        <f aca="false">SUM(I2022:Q2022)</f>
        <v>69.194566</v>
      </c>
      <c r="S2022" s="61" t="n">
        <f aca="false">R2022/(1-Resumo!$C$5)</f>
        <v>78.6301886363636</v>
      </c>
      <c r="T2022" s="61" t="n">
        <v>82.21</v>
      </c>
      <c r="U2022" s="61" t="n">
        <f aca="false">H2022*Resumo!$B$6</f>
        <v>0.50823</v>
      </c>
      <c r="V2022" s="61" t="n">
        <f aca="false">H2022*Resumo!$B$7</f>
        <v>1.01646</v>
      </c>
      <c r="W2022" s="61" t="n">
        <f aca="false">Resumo!$B$9</f>
        <v>1</v>
      </c>
      <c r="X2022" s="61" t="n">
        <f aca="false">Resumo!$B$10*CEILING(G2022/100,1)</f>
        <v>4.5</v>
      </c>
      <c r="Y2022" s="61" t="n">
        <f aca="false">Resumo!$B$12*CEILING(G2022,1)</f>
        <v>1.38</v>
      </c>
      <c r="Z2022" s="61" t="n">
        <f aca="false">Resumo!$B$14*CEILING(G2022,1)</f>
        <v>10.35</v>
      </c>
      <c r="AA2022" s="61" t="n">
        <f aca="false">SUM(T2022:Z2022)</f>
        <v>100.96469</v>
      </c>
      <c r="AB2022" s="61" t="n">
        <f aca="false">AA2022/(1-Resumo!$B$5)</f>
        <v>114.732602272727</v>
      </c>
      <c r="AC2022" s="61" t="n">
        <f aca="false">AB2022-S2022</f>
        <v>36.1024136363636</v>
      </c>
      <c r="AD2022" s="62" t="n">
        <f aca="false">AB2022/S2022-1</f>
        <v>0.459141892731866</v>
      </c>
      <c r="AE2022" s="60" t="str">
        <f aca="false">IF(AB2022&lt;S2022,"SIM","NÃO")</f>
        <v>NÃO</v>
      </c>
      <c r="AF2022" s="60" t="n">
        <v>2</v>
      </c>
      <c r="AG2022" s="60" t="n">
        <v>5</v>
      </c>
      <c r="AH2022" s="60" t="s">
        <v>382</v>
      </c>
      <c r="AI2022" s="61" t="n">
        <f aca="false">(T2022*(1-Painel!$C$40)+U2022+V2022+Painel!$C$41+Painel!$C$42*CEILING(G2022/100,1)+Painel!$C$43*CEILING(G2022,1)+Z2022)/(1-Resumo!$B$5)</f>
        <v>78.4152159090909</v>
      </c>
      <c r="AJ2022" s="60" t="str">
        <f aca="false">IF(AI2022&lt;S2022,"SIM","NÃO")</f>
        <v>SIM</v>
      </c>
    </row>
    <row r="2023" customFormat="false" ht="15" hidden="false" customHeight="false" outlineLevel="0" collapsed="false">
      <c r="A2023" s="59" t="n">
        <v>46287.9556365741</v>
      </c>
      <c r="B2023" s="60" t="s">
        <v>2174</v>
      </c>
      <c r="C2023" s="60" t="n">
        <v>28895620</v>
      </c>
      <c r="D2023" s="60" t="s">
        <v>227</v>
      </c>
      <c r="E2023" s="60" t="s">
        <v>24</v>
      </c>
      <c r="F2023" s="60" t="s">
        <v>235</v>
      </c>
      <c r="G2023" s="60" t="n">
        <v>49.6</v>
      </c>
      <c r="H2023" s="61" t="n">
        <v>719.99</v>
      </c>
      <c r="I2023" s="61" t="n">
        <v>77.7</v>
      </c>
      <c r="J2023" s="61" t="n">
        <f aca="false">H2023*Resumo!$C$6</f>
        <v>0</v>
      </c>
      <c r="K2023" s="61" t="n">
        <f aca="false">H2023*Resumo!$C$7</f>
        <v>1.511979</v>
      </c>
      <c r="L2023" s="61" t="n">
        <f aca="false">H2023*Resumo!$C$8</f>
        <v>1.511979</v>
      </c>
      <c r="M2023" s="61" t="n">
        <f aca="false">Resumo!$C$10*CEILING(G2023/100,1)</f>
        <v>1.05</v>
      </c>
      <c r="N2023" s="61" t="n">
        <f aca="false">Resumo!$C$9</f>
        <v>0</v>
      </c>
      <c r="O2023" s="61" t="n">
        <f aca="false">Resumo!$C$13</f>
        <v>13.55</v>
      </c>
      <c r="P2023" s="61" t="n">
        <f aca="false">Resumo!$C$14*CEILING(G2023,1)</f>
        <v>22.5</v>
      </c>
      <c r="Q2023" s="61" t="n">
        <f aca="false">SUM(I2023:P2023)*Resumo!$C$11</f>
        <v>0</v>
      </c>
      <c r="R2023" s="61" t="n">
        <f aca="false">SUM(I2023:Q2023)</f>
        <v>117.823958</v>
      </c>
      <c r="S2023" s="61" t="n">
        <f aca="false">R2023/(1-Resumo!$C$5)</f>
        <v>133.890861363636</v>
      </c>
      <c r="T2023" s="61" t="n">
        <v>129.29</v>
      </c>
      <c r="U2023" s="61" t="n">
        <f aca="false">H2023*Resumo!$B$6</f>
        <v>0.71999</v>
      </c>
      <c r="V2023" s="61" t="n">
        <f aca="false">H2023*Resumo!$B$7</f>
        <v>1.43998</v>
      </c>
      <c r="W2023" s="61" t="n">
        <f aca="false">Resumo!$B$9</f>
        <v>1</v>
      </c>
      <c r="X2023" s="61" t="n">
        <f aca="false">Resumo!$B$10*CEILING(G2023/100,1)</f>
        <v>4.5</v>
      </c>
      <c r="Y2023" s="61" t="n">
        <f aca="false">Resumo!$B$12*CEILING(G2023,1)</f>
        <v>3</v>
      </c>
      <c r="Z2023" s="61" t="n">
        <f aca="false">Resumo!$B$14*CEILING(G2023,1)</f>
        <v>22.5</v>
      </c>
      <c r="AA2023" s="61" t="n">
        <f aca="false">SUM(T2023:Z2023)</f>
        <v>162.44997</v>
      </c>
      <c r="AB2023" s="61" t="n">
        <f aca="false">AA2023/(1-Resumo!$B$5)</f>
        <v>184.602238636364</v>
      </c>
      <c r="AC2023" s="61" t="n">
        <f aca="false">AB2023-S2023</f>
        <v>50.7113772727273</v>
      </c>
      <c r="AD2023" s="62" t="n">
        <f aca="false">AB2023/S2023-1</f>
        <v>0.378751594815716</v>
      </c>
      <c r="AE2023" s="60" t="str">
        <f aca="false">IF(AB2023&lt;S2023,"SIM","NÃO")</f>
        <v>NÃO</v>
      </c>
      <c r="AF2023" s="60" t="n">
        <v>13</v>
      </c>
      <c r="AG2023" s="60" t="n">
        <v>10</v>
      </c>
      <c r="AH2023" s="60" t="s">
        <v>382</v>
      </c>
      <c r="AI2023" s="61" t="n">
        <f aca="false">(T2023*(1-Painel!$C$40)+U2023+V2023+Painel!$C$41+Painel!$C$42*CEILING(G2023/100,1)+Painel!$C$43*CEILING(G2023,1)+Z2023)/(1-Resumo!$B$5)</f>
        <v>128.788943181818</v>
      </c>
      <c r="AJ2023" s="60" t="str">
        <f aca="false">IF(AI2023&lt;S2023,"SIM","NÃO")</f>
        <v>SIM</v>
      </c>
    </row>
    <row r="2024" customFormat="false" ht="15" hidden="false" customHeight="false" outlineLevel="0" collapsed="false">
      <c r="A2024" s="59" t="n">
        <v>46288.0153703704</v>
      </c>
      <c r="B2024" s="60" t="s">
        <v>2175</v>
      </c>
      <c r="C2024" s="60" t="n">
        <v>22783117</v>
      </c>
      <c r="D2024" s="60" t="s">
        <v>46</v>
      </c>
      <c r="E2024" s="60" t="s">
        <v>22</v>
      </c>
      <c r="F2024" s="60" t="s">
        <v>234</v>
      </c>
      <c r="G2024" s="60" t="n">
        <v>37.2</v>
      </c>
      <c r="H2024" s="61" t="n">
        <v>419.99</v>
      </c>
      <c r="I2024" s="61" t="n">
        <v>48.35</v>
      </c>
      <c r="J2024" s="61" t="n">
        <f aca="false">H2024*Resumo!$C$6</f>
        <v>0</v>
      </c>
      <c r="K2024" s="61" t="n">
        <f aca="false">H2024*Resumo!$C$7</f>
        <v>0.881979</v>
      </c>
      <c r="L2024" s="61" t="n">
        <f aca="false">H2024*Resumo!$C$8</f>
        <v>0.881979</v>
      </c>
      <c r="M2024" s="61" t="n">
        <f aca="false">Resumo!$C$10*CEILING(G2024/100,1)</f>
        <v>1.05</v>
      </c>
      <c r="N2024" s="61" t="n">
        <f aca="false">Resumo!$C$9</f>
        <v>0</v>
      </c>
      <c r="O2024" s="61" t="n">
        <f aca="false">Resumo!$C$13</f>
        <v>13.55</v>
      </c>
      <c r="P2024" s="61" t="n">
        <f aca="false">Resumo!$C$14*CEILING(G2024,1)</f>
        <v>17.1</v>
      </c>
      <c r="Q2024" s="61" t="n">
        <f aca="false">SUM(I2024:P2024)*Resumo!$C$11</f>
        <v>0</v>
      </c>
      <c r="R2024" s="61" t="n">
        <f aca="false">SUM(I2024:Q2024)</f>
        <v>81.813958</v>
      </c>
      <c r="S2024" s="61" t="n">
        <f aca="false">R2024/(1-Resumo!$C$5)</f>
        <v>92.9704068181818</v>
      </c>
      <c r="T2024" s="61" t="n">
        <v>93.97</v>
      </c>
      <c r="U2024" s="61" t="n">
        <f aca="false">H2024*Resumo!$B$6</f>
        <v>0.41999</v>
      </c>
      <c r="V2024" s="61" t="n">
        <f aca="false">H2024*Resumo!$B$7</f>
        <v>0.83998</v>
      </c>
      <c r="W2024" s="61" t="n">
        <f aca="false">Resumo!$B$9</f>
        <v>1</v>
      </c>
      <c r="X2024" s="61" t="n">
        <f aca="false">Resumo!$B$10*CEILING(G2024/100,1)</f>
        <v>4.5</v>
      </c>
      <c r="Y2024" s="61" t="n">
        <f aca="false">Resumo!$B$12*CEILING(G2024,1)</f>
        <v>2.28</v>
      </c>
      <c r="Z2024" s="61" t="n">
        <f aca="false">Resumo!$B$14*CEILING(G2024,1)</f>
        <v>17.1</v>
      </c>
      <c r="AA2024" s="61" t="n">
        <f aca="false">SUM(T2024:Z2024)</f>
        <v>120.10997</v>
      </c>
      <c r="AB2024" s="61" t="n">
        <f aca="false">AA2024/(1-Resumo!$B$5)</f>
        <v>136.488602272727</v>
      </c>
      <c r="AC2024" s="61" t="n">
        <f aca="false">AB2024-S2024</f>
        <v>43.5181954545454</v>
      </c>
      <c r="AD2024" s="62" t="n">
        <f aca="false">AB2024/S2024-1</f>
        <v>0.468086533596138</v>
      </c>
      <c r="AE2024" s="60" t="str">
        <f aca="false">IF(AB2024&lt;S2024,"SIM","NÃO")</f>
        <v>NÃO</v>
      </c>
      <c r="AF2024" s="60" t="n">
        <v>2</v>
      </c>
      <c r="AG2024" s="60" t="n">
        <v>5</v>
      </c>
      <c r="AH2024" s="60" t="s">
        <v>382</v>
      </c>
      <c r="AI2024" s="61" t="n">
        <f aca="false">(T2024*(1-Painel!$C$40)+U2024+V2024+Painel!$C$41+Painel!$C$42*CEILING(G2024/100,1)+Painel!$C$43*CEILING(G2024,1)+Z2024)/(1-Resumo!$B$5)</f>
        <v>94.7384886363636</v>
      </c>
      <c r="AJ2024" s="60" t="str">
        <f aca="false">IF(AI2024&lt;S2024,"SIM","NÃO")</f>
        <v>NÃO</v>
      </c>
    </row>
    <row r="2025" customFormat="false" ht="15" hidden="false" customHeight="false" outlineLevel="0" collapsed="false">
      <c r="A2025" s="59" t="n">
        <v>46288.0337384259</v>
      </c>
      <c r="B2025" s="60" t="s">
        <v>2176</v>
      </c>
      <c r="C2025" s="60" t="n">
        <v>25685132</v>
      </c>
      <c r="D2025" s="60" t="s">
        <v>219</v>
      </c>
      <c r="E2025" s="60" t="s">
        <v>24</v>
      </c>
      <c r="F2025" s="60" t="s">
        <v>234</v>
      </c>
      <c r="G2025" s="60" t="n">
        <v>37.2</v>
      </c>
      <c r="H2025" s="61" t="n">
        <v>387.95</v>
      </c>
      <c r="I2025" s="61" t="n">
        <v>74.97</v>
      </c>
      <c r="J2025" s="61" t="n">
        <f aca="false">H2025*Resumo!$C$6</f>
        <v>0</v>
      </c>
      <c r="K2025" s="61" t="n">
        <f aca="false">H2025*Resumo!$C$7</f>
        <v>0.814695</v>
      </c>
      <c r="L2025" s="61" t="n">
        <f aca="false">H2025*Resumo!$C$8</f>
        <v>0.814695</v>
      </c>
      <c r="M2025" s="61" t="n">
        <f aca="false">Resumo!$C$10*CEILING(G2025/100,1)</f>
        <v>1.05</v>
      </c>
      <c r="N2025" s="61" t="n">
        <f aca="false">Resumo!$C$9</f>
        <v>0</v>
      </c>
      <c r="O2025" s="61" t="n">
        <f aca="false">Resumo!$C$13</f>
        <v>13.55</v>
      </c>
      <c r="P2025" s="61" t="n">
        <f aca="false">Resumo!$C$14*CEILING(G2025,1)</f>
        <v>17.1</v>
      </c>
      <c r="Q2025" s="61" t="n">
        <f aca="false">SUM(I2025:P2025)*Resumo!$C$11</f>
        <v>0</v>
      </c>
      <c r="R2025" s="61" t="n">
        <f aca="false">SUM(I2025:Q2025)</f>
        <v>108.29939</v>
      </c>
      <c r="S2025" s="61" t="n">
        <f aca="false">R2025/(1-Resumo!$C$5)</f>
        <v>123.067488636364</v>
      </c>
      <c r="T2025" s="61" t="n">
        <v>124.38</v>
      </c>
      <c r="U2025" s="61" t="n">
        <f aca="false">H2025*Resumo!$B$6</f>
        <v>0.38795</v>
      </c>
      <c r="V2025" s="61" t="n">
        <f aca="false">H2025*Resumo!$B$7</f>
        <v>0.7759</v>
      </c>
      <c r="W2025" s="61" t="n">
        <f aca="false">Resumo!$B$9</f>
        <v>1</v>
      </c>
      <c r="X2025" s="61" t="n">
        <f aca="false">Resumo!$B$10*CEILING(G2025/100,1)</f>
        <v>4.5</v>
      </c>
      <c r="Y2025" s="61" t="n">
        <f aca="false">Resumo!$B$12*CEILING(G2025,1)</f>
        <v>2.28</v>
      </c>
      <c r="Z2025" s="61" t="n">
        <f aca="false">Resumo!$B$14*CEILING(G2025,1)</f>
        <v>17.1</v>
      </c>
      <c r="AA2025" s="61" t="n">
        <f aca="false">SUM(T2025:Z2025)</f>
        <v>150.42385</v>
      </c>
      <c r="AB2025" s="61" t="n">
        <f aca="false">AA2025/(1-Resumo!$B$5)</f>
        <v>170.936193181818</v>
      </c>
      <c r="AC2025" s="61" t="n">
        <f aca="false">AB2025-S2025</f>
        <v>47.8687045454546</v>
      </c>
      <c r="AD2025" s="62" t="n">
        <f aca="false">AB2025/S2025-1</f>
        <v>0.388963040327374</v>
      </c>
      <c r="AE2025" s="60" t="str">
        <f aca="false">IF(AB2025&lt;S2025,"SIM","NÃO")</f>
        <v>NÃO</v>
      </c>
      <c r="AF2025" s="60" t="n">
        <v>13</v>
      </c>
      <c r="AG2025" s="60" t="n">
        <v>8</v>
      </c>
      <c r="AH2025" s="60" t="s">
        <v>382</v>
      </c>
      <c r="AI2025" s="61" t="n">
        <f aca="false">(T2025*(1-Painel!$C$40)+U2025+V2025+Painel!$C$41+Painel!$C$42*CEILING(G2025/100,1)+Painel!$C$43*CEILING(G2025,1)+Z2025)/(1-Resumo!$B$5)</f>
        <v>117.782329545455</v>
      </c>
      <c r="AJ2025" s="60" t="str">
        <f aca="false">IF(AI2025&lt;S2025,"SIM","NÃO")</f>
        <v>SIM</v>
      </c>
    </row>
    <row r="2026" customFormat="false" ht="15" hidden="false" customHeight="false" outlineLevel="0" collapsed="false">
      <c r="A2026" s="59" t="n">
        <v>46288.3158680556</v>
      </c>
      <c r="B2026" s="60" t="s">
        <v>2177</v>
      </c>
      <c r="C2026" s="60" t="n">
        <v>22770235</v>
      </c>
      <c r="D2026" s="60" t="s">
        <v>46</v>
      </c>
      <c r="E2026" s="60" t="s">
        <v>22</v>
      </c>
      <c r="F2026" s="60" t="s">
        <v>234</v>
      </c>
      <c r="G2026" s="60" t="n">
        <v>37.2</v>
      </c>
      <c r="H2026" s="61" t="n">
        <v>366.5</v>
      </c>
      <c r="I2026" s="61" t="n">
        <v>48.35</v>
      </c>
      <c r="J2026" s="61" t="n">
        <f aca="false">H2026*Resumo!$C$6</f>
        <v>0</v>
      </c>
      <c r="K2026" s="61" t="n">
        <f aca="false">H2026*Resumo!$C$7</f>
        <v>0.76965</v>
      </c>
      <c r="L2026" s="61" t="n">
        <f aca="false">H2026*Resumo!$C$8</f>
        <v>0.76965</v>
      </c>
      <c r="M2026" s="61" t="n">
        <f aca="false">Resumo!$C$10*CEILING(G2026/100,1)</f>
        <v>1.05</v>
      </c>
      <c r="N2026" s="61" t="n">
        <f aca="false">Resumo!$C$9</f>
        <v>0</v>
      </c>
      <c r="O2026" s="61" t="n">
        <f aca="false">Resumo!$C$13</f>
        <v>13.55</v>
      </c>
      <c r="P2026" s="61" t="n">
        <f aca="false">Resumo!$C$14*CEILING(G2026,1)</f>
        <v>17.1</v>
      </c>
      <c r="Q2026" s="61" t="n">
        <f aca="false">SUM(I2026:P2026)*Resumo!$C$11</f>
        <v>0</v>
      </c>
      <c r="R2026" s="61" t="n">
        <f aca="false">SUM(I2026:Q2026)</f>
        <v>81.5893</v>
      </c>
      <c r="S2026" s="61" t="n">
        <f aca="false">R2026/(1-Resumo!$C$5)</f>
        <v>92.7151136363636</v>
      </c>
      <c r="T2026" s="61" t="n">
        <v>93.97</v>
      </c>
      <c r="U2026" s="61" t="n">
        <f aca="false">H2026*Resumo!$B$6</f>
        <v>0.3665</v>
      </c>
      <c r="V2026" s="61" t="n">
        <f aca="false">H2026*Resumo!$B$7</f>
        <v>0.733</v>
      </c>
      <c r="W2026" s="61" t="n">
        <f aca="false">Resumo!$B$9</f>
        <v>1</v>
      </c>
      <c r="X2026" s="61" t="n">
        <f aca="false">Resumo!$B$10*CEILING(G2026/100,1)</f>
        <v>4.5</v>
      </c>
      <c r="Y2026" s="61" t="n">
        <f aca="false">Resumo!$B$12*CEILING(G2026,1)</f>
        <v>2.28</v>
      </c>
      <c r="Z2026" s="61" t="n">
        <f aca="false">Resumo!$B$14*CEILING(G2026,1)</f>
        <v>17.1</v>
      </c>
      <c r="AA2026" s="61" t="n">
        <f aca="false">SUM(T2026:Z2026)</f>
        <v>119.9495</v>
      </c>
      <c r="AB2026" s="61" t="n">
        <f aca="false">AA2026/(1-Resumo!$B$5)</f>
        <v>136.30625</v>
      </c>
      <c r="AC2026" s="61" t="n">
        <f aca="false">AB2026-S2026</f>
        <v>43.5911363636364</v>
      </c>
      <c r="AD2026" s="62" t="n">
        <f aca="false">AB2026/S2026-1</f>
        <v>0.470162141359222</v>
      </c>
      <c r="AE2026" s="60" t="str">
        <f aca="false">IF(AB2026&lt;S2026,"SIM","NÃO")</f>
        <v>NÃO</v>
      </c>
      <c r="AF2026" s="60" t="n">
        <v>2</v>
      </c>
      <c r="AG2026" s="60" t="n">
        <v>5</v>
      </c>
      <c r="AH2026" s="60" t="s">
        <v>382</v>
      </c>
      <c r="AI2026" s="61" t="n">
        <f aca="false">(T2026*(1-Painel!$C$40)+U2026+V2026+Painel!$C$41+Painel!$C$42*CEILING(G2026/100,1)+Painel!$C$43*CEILING(G2026,1)+Z2026)/(1-Resumo!$B$5)</f>
        <v>94.5561363636364</v>
      </c>
      <c r="AJ2026" s="60" t="str">
        <f aca="false">IF(AI2026&lt;S2026,"SIM","NÃO")</f>
        <v>NÃO</v>
      </c>
    </row>
    <row r="2027" customFormat="false" ht="15" hidden="false" customHeight="false" outlineLevel="0" collapsed="false">
      <c r="A2027" s="59" t="n">
        <v>46288.3858101852</v>
      </c>
      <c r="B2027" s="60" t="s">
        <v>711</v>
      </c>
      <c r="C2027" s="60" t="n">
        <v>28300000</v>
      </c>
      <c r="D2027" s="60" t="s">
        <v>308</v>
      </c>
      <c r="E2027" s="60" t="s">
        <v>24</v>
      </c>
      <c r="F2027" s="60" t="s">
        <v>233</v>
      </c>
      <c r="G2027" s="60" t="n">
        <v>33</v>
      </c>
      <c r="H2027" s="61" t="n">
        <v>438.93</v>
      </c>
      <c r="I2027" s="61" t="n">
        <v>65.63</v>
      </c>
      <c r="J2027" s="61" t="n">
        <f aca="false">H2027*Resumo!$C$6</f>
        <v>0</v>
      </c>
      <c r="K2027" s="61" t="n">
        <f aca="false">H2027*Resumo!$C$7</f>
        <v>0.921753</v>
      </c>
      <c r="L2027" s="61" t="n">
        <f aca="false">H2027*Resumo!$C$8</f>
        <v>0.921753</v>
      </c>
      <c r="M2027" s="61" t="n">
        <f aca="false">Resumo!$C$10*CEILING(G2027/100,1)</f>
        <v>1.05</v>
      </c>
      <c r="N2027" s="61" t="n">
        <f aca="false">Resumo!$C$9</f>
        <v>0</v>
      </c>
      <c r="O2027" s="61" t="n">
        <f aca="false">Resumo!$C$13</f>
        <v>13.55</v>
      </c>
      <c r="P2027" s="61" t="n">
        <f aca="false">Resumo!$C$14*CEILING(G2027,1)</f>
        <v>14.85</v>
      </c>
      <c r="Q2027" s="61" t="n">
        <f aca="false">SUM(I2027:P2027)*Resumo!$C$11</f>
        <v>0</v>
      </c>
      <c r="R2027" s="61" t="n">
        <f aca="false">SUM(I2027:Q2027)</f>
        <v>96.923506</v>
      </c>
      <c r="S2027" s="61" t="n">
        <f aca="false">R2027/(1-Resumo!$C$5)</f>
        <v>110.140347727273</v>
      </c>
      <c r="T2027" s="61" t="n">
        <v>138.29</v>
      </c>
      <c r="U2027" s="61" t="n">
        <f aca="false">H2027*Resumo!$B$6</f>
        <v>0.43893</v>
      </c>
      <c r="V2027" s="61" t="n">
        <f aca="false">H2027*Resumo!$B$7</f>
        <v>0.87786</v>
      </c>
      <c r="W2027" s="61" t="n">
        <f aca="false">Resumo!$B$9</f>
        <v>1</v>
      </c>
      <c r="X2027" s="61" t="n">
        <f aca="false">Resumo!$B$10*CEILING(G2027/100,1)</f>
        <v>4.5</v>
      </c>
      <c r="Y2027" s="61" t="n">
        <f aca="false">Resumo!$B$12*CEILING(G2027,1)</f>
        <v>1.98</v>
      </c>
      <c r="Z2027" s="61" t="n">
        <f aca="false">Resumo!$B$14*CEILING(G2027,1)</f>
        <v>14.85</v>
      </c>
      <c r="AA2027" s="61" t="n">
        <f aca="false">SUM(T2027:Z2027)</f>
        <v>161.93679</v>
      </c>
      <c r="AB2027" s="61" t="n">
        <f aca="false">AA2027/(1-Resumo!$B$5)</f>
        <v>184.019079545455</v>
      </c>
      <c r="AC2027" s="61" t="n">
        <f aca="false">AB2027-S2027</f>
        <v>73.8787318181818</v>
      </c>
      <c r="AD2027" s="62" t="n">
        <f aca="false">AB2027/S2027-1</f>
        <v>0.670769008294025</v>
      </c>
      <c r="AE2027" s="60" t="str">
        <f aca="false">IF(AB2027&lt;S2027,"SIM","NÃO")</f>
        <v>NÃO</v>
      </c>
      <c r="AF2027" s="60" t="n">
        <v>13</v>
      </c>
      <c r="AG2027" s="60" t="n">
        <v>11</v>
      </c>
      <c r="AH2027" s="60" t="s">
        <v>385</v>
      </c>
      <c r="AI2027" s="61" t="n">
        <f aca="false">(T2027*(1-Painel!$C$40)+U2027+V2027+Painel!$C$41+Painel!$C$42*CEILING(G2027/100,1)+Painel!$C$43*CEILING(G2027,1)+Z2027)/(1-Resumo!$B$5)</f>
        <v>125.989875</v>
      </c>
      <c r="AJ2027" s="60" t="str">
        <f aca="false">IF(AI2027&lt;S2027,"SIM","NÃO")</f>
        <v>NÃO</v>
      </c>
    </row>
    <row r="2028" customFormat="false" ht="15" hidden="false" customHeight="false" outlineLevel="0" collapsed="false">
      <c r="A2028" s="59" t="n">
        <v>46288.3939351852</v>
      </c>
      <c r="B2028" s="60" t="s">
        <v>1096</v>
      </c>
      <c r="C2028" s="60" t="n">
        <v>22775060</v>
      </c>
      <c r="D2028" s="60" t="s">
        <v>46</v>
      </c>
      <c r="E2028" s="60" t="s">
        <v>22</v>
      </c>
      <c r="F2028" s="60" t="s">
        <v>235</v>
      </c>
      <c r="G2028" s="60" t="n">
        <v>41.4</v>
      </c>
      <c r="H2028" s="61" t="n">
        <v>413.47</v>
      </c>
      <c r="I2028" s="61" t="n">
        <v>53.55</v>
      </c>
      <c r="J2028" s="61" t="n">
        <f aca="false">H2028*Resumo!$C$6</f>
        <v>0</v>
      </c>
      <c r="K2028" s="61" t="n">
        <f aca="false">H2028*Resumo!$C$7</f>
        <v>0.868287</v>
      </c>
      <c r="L2028" s="61" t="n">
        <f aca="false">H2028*Resumo!$C$8</f>
        <v>0.868287</v>
      </c>
      <c r="M2028" s="61" t="n">
        <f aca="false">Resumo!$C$10*CEILING(G2028/100,1)</f>
        <v>1.05</v>
      </c>
      <c r="N2028" s="61" t="n">
        <f aca="false">Resumo!$C$9</f>
        <v>0</v>
      </c>
      <c r="O2028" s="61" t="n">
        <f aca="false">Resumo!$C$13</f>
        <v>13.55</v>
      </c>
      <c r="P2028" s="61" t="n">
        <f aca="false">Resumo!$C$14*CEILING(G2028,1)</f>
        <v>18.9</v>
      </c>
      <c r="Q2028" s="61" t="n">
        <f aca="false">SUM(I2028:P2028)*Resumo!$C$11</f>
        <v>0</v>
      </c>
      <c r="R2028" s="61" t="n">
        <f aca="false">SUM(I2028:Q2028)</f>
        <v>88.786574</v>
      </c>
      <c r="S2028" s="61" t="n">
        <f aca="false">R2028/(1-Resumo!$C$5)</f>
        <v>100.893834090909</v>
      </c>
      <c r="T2028" s="61" t="n">
        <v>93.97</v>
      </c>
      <c r="U2028" s="61" t="n">
        <f aca="false">H2028*Resumo!$B$6</f>
        <v>0.41347</v>
      </c>
      <c r="V2028" s="61" t="n">
        <f aca="false">H2028*Resumo!$B$7</f>
        <v>0.82694</v>
      </c>
      <c r="W2028" s="61" t="n">
        <f aca="false">Resumo!$B$9</f>
        <v>1</v>
      </c>
      <c r="X2028" s="61" t="n">
        <f aca="false">Resumo!$B$10*CEILING(G2028/100,1)</f>
        <v>4.5</v>
      </c>
      <c r="Y2028" s="61" t="n">
        <f aca="false">Resumo!$B$12*CEILING(G2028,1)</f>
        <v>2.52</v>
      </c>
      <c r="Z2028" s="61" t="n">
        <f aca="false">Resumo!$B$14*CEILING(G2028,1)</f>
        <v>18.9</v>
      </c>
      <c r="AA2028" s="61" t="n">
        <f aca="false">SUM(T2028:Z2028)</f>
        <v>122.13041</v>
      </c>
      <c r="AB2028" s="61" t="n">
        <f aca="false">AA2028/(1-Resumo!$B$5)</f>
        <v>138.784556818182</v>
      </c>
      <c r="AC2028" s="61" t="n">
        <f aca="false">AB2028-S2028</f>
        <v>37.8907227272727</v>
      </c>
      <c r="AD2028" s="62" t="n">
        <f aca="false">AB2028/S2028-1</f>
        <v>0.375550429505254</v>
      </c>
      <c r="AE2028" s="60" t="str">
        <f aca="false">IF(AB2028&lt;S2028,"SIM","NÃO")</f>
        <v>NÃO</v>
      </c>
      <c r="AF2028" s="60" t="n">
        <v>2</v>
      </c>
      <c r="AG2028" s="60" t="n">
        <v>5</v>
      </c>
      <c r="AH2028" s="60" t="s">
        <v>382</v>
      </c>
      <c r="AI2028" s="61" t="n">
        <f aca="false">(T2028*(1-Painel!$C$40)+U2028+V2028+Painel!$C$41+Painel!$C$42*CEILING(G2028/100,1)+Painel!$C$43*CEILING(G2028,1)+Z2028)/(1-Resumo!$B$5)</f>
        <v>96.7617159090909</v>
      </c>
      <c r="AJ2028" s="60" t="str">
        <f aca="false">IF(AI2028&lt;S2028,"SIM","NÃO")</f>
        <v>SIM</v>
      </c>
    </row>
    <row r="2029" customFormat="false" ht="15" hidden="false" customHeight="false" outlineLevel="0" collapsed="false">
      <c r="A2029" s="59" t="n">
        <v>46288.3951967593</v>
      </c>
      <c r="B2029" s="60" t="s">
        <v>2178</v>
      </c>
      <c r="C2029" s="60" t="n">
        <v>28664000</v>
      </c>
      <c r="D2029" s="60" t="s">
        <v>328</v>
      </c>
      <c r="E2029" s="60" t="s">
        <v>24</v>
      </c>
      <c r="F2029" s="60" t="s">
        <v>234</v>
      </c>
      <c r="G2029" s="60" t="n">
        <v>37.5</v>
      </c>
      <c r="H2029" s="61" t="n">
        <v>399.99</v>
      </c>
      <c r="I2029" s="61" t="n">
        <v>74.97</v>
      </c>
      <c r="J2029" s="61" t="n">
        <f aca="false">H2029*Resumo!$C$6</f>
        <v>0</v>
      </c>
      <c r="K2029" s="61" t="n">
        <f aca="false">H2029*Resumo!$C$7</f>
        <v>0.839979</v>
      </c>
      <c r="L2029" s="61" t="n">
        <f aca="false">H2029*Resumo!$C$8</f>
        <v>0.839979</v>
      </c>
      <c r="M2029" s="61" t="n">
        <f aca="false">Resumo!$C$10*CEILING(G2029/100,1)</f>
        <v>1.05</v>
      </c>
      <c r="N2029" s="61" t="n">
        <f aca="false">Resumo!$C$9</f>
        <v>0</v>
      </c>
      <c r="O2029" s="61" t="n">
        <f aca="false">Resumo!$C$13</f>
        <v>13.55</v>
      </c>
      <c r="P2029" s="61" t="n">
        <f aca="false">Resumo!$C$14*CEILING(G2029,1)</f>
        <v>17.1</v>
      </c>
      <c r="Q2029" s="61" t="n">
        <f aca="false">SUM(I2029:P2029)*Resumo!$C$11</f>
        <v>0</v>
      </c>
      <c r="R2029" s="61" t="n">
        <f aca="false">SUM(I2029:Q2029)</f>
        <v>108.349958</v>
      </c>
      <c r="S2029" s="61" t="n">
        <f aca="false">R2029/(1-Resumo!$C$5)</f>
        <v>123.124952272727</v>
      </c>
      <c r="T2029" s="61" t="n">
        <v>125.63</v>
      </c>
      <c r="U2029" s="61" t="n">
        <f aca="false">H2029*Resumo!$B$6</f>
        <v>0.39999</v>
      </c>
      <c r="V2029" s="61" t="n">
        <f aca="false">H2029*Resumo!$B$7</f>
        <v>0.79998</v>
      </c>
      <c r="W2029" s="61" t="n">
        <f aca="false">Resumo!$B$9</f>
        <v>1</v>
      </c>
      <c r="X2029" s="61" t="n">
        <f aca="false">Resumo!$B$10*CEILING(G2029/100,1)</f>
        <v>4.5</v>
      </c>
      <c r="Y2029" s="61" t="n">
        <f aca="false">Resumo!$B$12*CEILING(G2029,1)</f>
        <v>2.28</v>
      </c>
      <c r="Z2029" s="61" t="n">
        <f aca="false">Resumo!$B$14*CEILING(G2029,1)</f>
        <v>17.1</v>
      </c>
      <c r="AA2029" s="61" t="n">
        <f aca="false">SUM(T2029:Z2029)</f>
        <v>151.70997</v>
      </c>
      <c r="AB2029" s="61" t="n">
        <f aca="false">AA2029/(1-Resumo!$B$5)</f>
        <v>172.397693181818</v>
      </c>
      <c r="AC2029" s="61" t="n">
        <f aca="false">AB2029-S2029</f>
        <v>49.2727409090909</v>
      </c>
      <c r="AD2029" s="62" t="n">
        <f aca="false">AB2029/S2029-1</f>
        <v>0.400184852863533</v>
      </c>
      <c r="AE2029" s="60" t="str">
        <f aca="false">IF(AB2029&lt;S2029,"SIM","NÃO")</f>
        <v>NÃO</v>
      </c>
      <c r="AF2029" s="60" t="n">
        <v>13</v>
      </c>
      <c r="AG2029" s="60" t="n">
        <v>10</v>
      </c>
      <c r="AH2029" s="60" t="s">
        <v>385</v>
      </c>
      <c r="AI2029" s="61" t="n">
        <f aca="false">(T2029*(1-Painel!$C$40)+U2029+V2029+Painel!$C$41+Painel!$C$42*CEILING(G2029/100,1)+Painel!$C$43*CEILING(G2029,1)+Z2029)/(1-Resumo!$B$5)</f>
        <v>118.775079545455</v>
      </c>
      <c r="AJ2029" s="60" t="str">
        <f aca="false">IF(AI2029&lt;S2029,"SIM","NÃO")</f>
        <v>SIM</v>
      </c>
    </row>
    <row r="2030" customFormat="false" ht="15" hidden="false" customHeight="false" outlineLevel="0" collapsed="false">
      <c r="A2030" s="59" t="n">
        <v>46288.4775925926</v>
      </c>
      <c r="B2030" s="60" t="s">
        <v>2179</v>
      </c>
      <c r="C2030" s="60" t="n">
        <v>25560581</v>
      </c>
      <c r="D2030" s="60" t="s">
        <v>216</v>
      </c>
      <c r="E2030" s="60" t="s">
        <v>23</v>
      </c>
      <c r="F2030" s="60" t="s">
        <v>236</v>
      </c>
      <c r="G2030" s="60" t="n">
        <v>52.3</v>
      </c>
      <c r="H2030" s="61" t="n">
        <v>699.99</v>
      </c>
      <c r="I2030" s="61" t="n">
        <v>70.98</v>
      </c>
      <c r="J2030" s="61" t="n">
        <f aca="false">H2030*Resumo!$C$6</f>
        <v>0</v>
      </c>
      <c r="K2030" s="61" t="n">
        <f aca="false">H2030*Resumo!$C$7</f>
        <v>1.469979</v>
      </c>
      <c r="L2030" s="61" t="n">
        <f aca="false">H2030*Resumo!$C$8</f>
        <v>1.469979</v>
      </c>
      <c r="M2030" s="61" t="n">
        <f aca="false">Resumo!$C$10*CEILING(G2030/100,1)</f>
        <v>1.05</v>
      </c>
      <c r="N2030" s="61" t="n">
        <f aca="false">Resumo!$C$9</f>
        <v>0</v>
      </c>
      <c r="O2030" s="61" t="n">
        <f aca="false">Resumo!$C$13</f>
        <v>13.55</v>
      </c>
      <c r="P2030" s="61" t="n">
        <f aca="false">Resumo!$C$14*CEILING(G2030,1)</f>
        <v>23.85</v>
      </c>
      <c r="Q2030" s="61" t="n">
        <f aca="false">SUM(I2030:P2030)*Resumo!$C$11</f>
        <v>0</v>
      </c>
      <c r="R2030" s="61" t="n">
        <f aca="false">SUM(I2030:Q2030)</f>
        <v>112.369958</v>
      </c>
      <c r="S2030" s="61" t="n">
        <f aca="false">R2030/(1-Resumo!$C$5)</f>
        <v>127.693134090909</v>
      </c>
      <c r="T2030" s="61" t="n">
        <v>112.3</v>
      </c>
      <c r="U2030" s="61" t="n">
        <f aca="false">H2030*Resumo!$B$6</f>
        <v>0.69999</v>
      </c>
      <c r="V2030" s="61" t="n">
        <f aca="false">H2030*Resumo!$B$7</f>
        <v>1.39998</v>
      </c>
      <c r="W2030" s="61" t="n">
        <f aca="false">Resumo!$B$9</f>
        <v>1</v>
      </c>
      <c r="X2030" s="61" t="n">
        <f aca="false">Resumo!$B$10*CEILING(G2030/100,1)</f>
        <v>4.5</v>
      </c>
      <c r="Y2030" s="61" t="n">
        <f aca="false">Resumo!$B$12*CEILING(G2030,1)</f>
        <v>3.18</v>
      </c>
      <c r="Z2030" s="61" t="n">
        <f aca="false">Resumo!$B$14*CEILING(G2030,1)</f>
        <v>23.85</v>
      </c>
      <c r="AA2030" s="61" t="n">
        <f aca="false">SUM(T2030:Z2030)</f>
        <v>146.92997</v>
      </c>
      <c r="AB2030" s="61" t="n">
        <f aca="false">AA2030/(1-Resumo!$B$5)</f>
        <v>166.965875</v>
      </c>
      <c r="AC2030" s="61" t="n">
        <f aca="false">AB2030-S2030</f>
        <v>39.2727409090909</v>
      </c>
      <c r="AD2030" s="62" t="n">
        <f aca="false">AB2030/S2030-1</f>
        <v>0.307555619091715</v>
      </c>
      <c r="AE2030" s="60" t="str">
        <f aca="false">IF(AB2030&lt;S2030,"SIM","NÃO")</f>
        <v>NÃO</v>
      </c>
      <c r="AF2030" s="60" t="n">
        <v>2</v>
      </c>
      <c r="AG2030" s="60" t="n">
        <v>5</v>
      </c>
      <c r="AH2030" s="60" t="s">
        <v>382</v>
      </c>
      <c r="AI2030" s="61" t="n">
        <f aca="false">(T2030*(1-Painel!$C$40)+U2030+V2030+Painel!$C$41+Painel!$C$42*CEILING(G2030/100,1)+Painel!$C$43*CEILING(G2030,1)+Z2030)/(1-Resumo!$B$5)</f>
        <v>117.319284090909</v>
      </c>
      <c r="AJ2030" s="60" t="str">
        <f aca="false">IF(AI2030&lt;S2030,"SIM","NÃO")</f>
        <v>SIM</v>
      </c>
    </row>
    <row r="2031" customFormat="false" ht="15" hidden="false" customHeight="false" outlineLevel="0" collapsed="false">
      <c r="A2031" s="59" t="n">
        <v>46288.4872916667</v>
      </c>
      <c r="B2031" s="60" t="s">
        <v>2180</v>
      </c>
      <c r="C2031" s="60" t="n">
        <v>20540140</v>
      </c>
      <c r="D2031" s="60" t="s">
        <v>46</v>
      </c>
      <c r="E2031" s="60" t="s">
        <v>22</v>
      </c>
      <c r="F2031" s="60" t="s">
        <v>233</v>
      </c>
      <c r="G2031" s="60" t="n">
        <v>27</v>
      </c>
      <c r="H2031" s="61" t="n">
        <v>349.99</v>
      </c>
      <c r="I2031" s="61" t="n">
        <v>42.11</v>
      </c>
      <c r="J2031" s="61" t="n">
        <f aca="false">H2031*Resumo!$C$6</f>
        <v>0</v>
      </c>
      <c r="K2031" s="61" t="n">
        <f aca="false">H2031*Resumo!$C$7</f>
        <v>0.734979</v>
      </c>
      <c r="L2031" s="61" t="n">
        <f aca="false">H2031*Resumo!$C$8</f>
        <v>0.734979</v>
      </c>
      <c r="M2031" s="61" t="n">
        <f aca="false">Resumo!$C$10*CEILING(G2031/100,1)</f>
        <v>1.05</v>
      </c>
      <c r="N2031" s="61" t="n">
        <f aca="false">Resumo!$C$9</f>
        <v>0</v>
      </c>
      <c r="O2031" s="61" t="n">
        <f aca="false">Resumo!$C$13</f>
        <v>13.55</v>
      </c>
      <c r="P2031" s="61" t="n">
        <f aca="false">Resumo!$C$14*CEILING(G2031,1)</f>
        <v>12.15</v>
      </c>
      <c r="Q2031" s="61" t="n">
        <f aca="false">SUM(I2031:P2031)*Resumo!$C$11</f>
        <v>0</v>
      </c>
      <c r="R2031" s="61" t="n">
        <f aca="false">SUM(I2031:Q2031)</f>
        <v>70.329958</v>
      </c>
      <c r="S2031" s="61" t="n">
        <f aca="false">R2031/(1-Resumo!$C$5)</f>
        <v>79.9204068181818</v>
      </c>
      <c r="T2031" s="61" t="n">
        <v>82.21</v>
      </c>
      <c r="U2031" s="61" t="n">
        <f aca="false">H2031*Resumo!$B$6</f>
        <v>0.34999</v>
      </c>
      <c r="V2031" s="61" t="n">
        <f aca="false">H2031*Resumo!$B$7</f>
        <v>0.69998</v>
      </c>
      <c r="W2031" s="61" t="n">
        <f aca="false">Resumo!$B$9</f>
        <v>1</v>
      </c>
      <c r="X2031" s="61" t="n">
        <f aca="false">Resumo!$B$10*CEILING(G2031/100,1)</f>
        <v>4.5</v>
      </c>
      <c r="Y2031" s="61" t="n">
        <f aca="false">Resumo!$B$12*CEILING(G2031,1)</f>
        <v>1.62</v>
      </c>
      <c r="Z2031" s="61" t="n">
        <f aca="false">Resumo!$B$14*CEILING(G2031,1)</f>
        <v>12.15</v>
      </c>
      <c r="AA2031" s="61" t="n">
        <f aca="false">SUM(T2031:Z2031)</f>
        <v>102.52997</v>
      </c>
      <c r="AB2031" s="61" t="n">
        <f aca="false">AA2031/(1-Resumo!$B$5)</f>
        <v>116.511329545455</v>
      </c>
      <c r="AC2031" s="61" t="n">
        <f aca="false">AB2031-S2031</f>
        <v>36.5909227272727</v>
      </c>
      <c r="AD2031" s="62" t="n">
        <f aca="false">AB2031/S2031-1</f>
        <v>0.457842047907949</v>
      </c>
      <c r="AE2031" s="60" t="str">
        <f aca="false">IF(AB2031&lt;S2031,"SIM","NÃO")</f>
        <v>NÃO</v>
      </c>
      <c r="AF2031" s="60" t="n">
        <v>2</v>
      </c>
      <c r="AG2031" s="60" t="n">
        <v>5</v>
      </c>
      <c r="AH2031" s="60" t="s">
        <v>382</v>
      </c>
      <c r="AI2031" s="61" t="n">
        <f aca="false">(T2031*(1-Painel!$C$40)+U2031+V2031+Painel!$C$41+Painel!$C$42*CEILING(G2031/100,1)+Painel!$C$43*CEILING(G2031,1)+Z2031)/(1-Resumo!$B$5)</f>
        <v>79.9212159090909</v>
      </c>
      <c r="AJ2031" s="60" t="str">
        <f aca="false">IF(AI2031&lt;S2031,"SIM","NÃO")</f>
        <v>NÃO</v>
      </c>
    </row>
    <row r="2032" customFormat="false" ht="15" hidden="false" customHeight="false" outlineLevel="0" collapsed="false">
      <c r="A2032" s="59" t="n">
        <v>46288.4946180556</v>
      </c>
      <c r="B2032" s="60" t="s">
        <v>2181</v>
      </c>
      <c r="C2032" s="60" t="n">
        <v>26291212</v>
      </c>
      <c r="D2032" s="60" t="s">
        <v>49</v>
      </c>
      <c r="E2032" s="60" t="s">
        <v>23</v>
      </c>
      <c r="F2032" s="60" t="s">
        <v>236</v>
      </c>
      <c r="G2032" s="60" t="n">
        <v>59.3</v>
      </c>
      <c r="H2032" s="61" t="n">
        <v>859.99</v>
      </c>
      <c r="I2032" s="61" t="n">
        <v>70.98</v>
      </c>
      <c r="J2032" s="61" t="n">
        <f aca="false">H2032*Resumo!$C$6</f>
        <v>0</v>
      </c>
      <c r="K2032" s="61" t="n">
        <f aca="false">H2032*Resumo!$C$7</f>
        <v>1.805979</v>
      </c>
      <c r="L2032" s="61" t="n">
        <f aca="false">H2032*Resumo!$C$8</f>
        <v>1.805979</v>
      </c>
      <c r="M2032" s="61" t="n">
        <f aca="false">Resumo!$C$10*CEILING(G2032/100,1)</f>
        <v>1.05</v>
      </c>
      <c r="N2032" s="61" t="n">
        <f aca="false">Resumo!$C$9</f>
        <v>0</v>
      </c>
      <c r="O2032" s="61" t="n">
        <f aca="false">Resumo!$C$13</f>
        <v>13.55</v>
      </c>
      <c r="P2032" s="61" t="n">
        <f aca="false">Resumo!$C$14*CEILING(G2032,1)</f>
        <v>27</v>
      </c>
      <c r="Q2032" s="61" t="n">
        <f aca="false">SUM(I2032:P2032)*Resumo!$C$11</f>
        <v>0</v>
      </c>
      <c r="R2032" s="61" t="n">
        <f aca="false">SUM(I2032:Q2032)</f>
        <v>116.191958</v>
      </c>
      <c r="S2032" s="61" t="n">
        <f aca="false">R2032/(1-Resumo!$C$5)</f>
        <v>132.036315909091</v>
      </c>
      <c r="T2032" s="61" t="n">
        <v>112.3</v>
      </c>
      <c r="U2032" s="61" t="n">
        <f aca="false">H2032*Resumo!$B$6</f>
        <v>0.85999</v>
      </c>
      <c r="V2032" s="61" t="n">
        <f aca="false">H2032*Resumo!$B$7</f>
        <v>1.71998</v>
      </c>
      <c r="W2032" s="61" t="n">
        <f aca="false">Resumo!$B$9</f>
        <v>1</v>
      </c>
      <c r="X2032" s="61" t="n">
        <f aca="false">Resumo!$B$10*CEILING(G2032/100,1)</f>
        <v>4.5</v>
      </c>
      <c r="Y2032" s="61" t="n">
        <f aca="false">Resumo!$B$12*CEILING(G2032,1)</f>
        <v>3.6</v>
      </c>
      <c r="Z2032" s="61" t="n">
        <f aca="false">Resumo!$B$14*CEILING(G2032,1)</f>
        <v>27</v>
      </c>
      <c r="AA2032" s="61" t="n">
        <f aca="false">SUM(T2032:Z2032)</f>
        <v>150.97997</v>
      </c>
      <c r="AB2032" s="61" t="n">
        <f aca="false">AA2032/(1-Resumo!$B$5)</f>
        <v>171.568147727273</v>
      </c>
      <c r="AC2032" s="61" t="n">
        <f aca="false">AB2032-S2032</f>
        <v>39.5318318181818</v>
      </c>
      <c r="AD2032" s="62" t="n">
        <f aca="false">AB2032/S2032-1</f>
        <v>0.299401202964494</v>
      </c>
      <c r="AE2032" s="60" t="str">
        <f aca="false">IF(AB2032&lt;S2032,"SIM","NÃO")</f>
        <v>NÃO</v>
      </c>
      <c r="AF2032" s="60" t="n">
        <v>2</v>
      </c>
      <c r="AG2032" s="60" t="n">
        <v>5</v>
      </c>
      <c r="AH2032" s="60" t="s">
        <v>382</v>
      </c>
      <c r="AI2032" s="61" t="n">
        <f aca="false">(T2032*(1-Painel!$C$40)+U2032+V2032+Painel!$C$41+Painel!$C$42*CEILING(G2032/100,1)+Painel!$C$43*CEILING(G2032,1)+Z2032)/(1-Resumo!$B$5)</f>
        <v>121.444284090909</v>
      </c>
      <c r="AJ2032" s="60" t="str">
        <f aca="false">IF(AI2032&lt;S2032,"SIM","NÃO")</f>
        <v>SIM</v>
      </c>
    </row>
    <row r="2033" customFormat="false" ht="15" hidden="false" customHeight="false" outlineLevel="0" collapsed="false">
      <c r="A2033" s="59" t="n">
        <v>46288.5146990741</v>
      </c>
      <c r="B2033" s="60" t="s">
        <v>2182</v>
      </c>
      <c r="C2033" s="60" t="n">
        <v>27520270</v>
      </c>
      <c r="D2033" s="60" t="s">
        <v>296</v>
      </c>
      <c r="E2033" s="60" t="s">
        <v>24</v>
      </c>
      <c r="F2033" s="60" t="s">
        <v>234</v>
      </c>
      <c r="G2033" s="60" t="n">
        <v>36.8</v>
      </c>
      <c r="H2033" s="61" t="n">
        <v>422.64</v>
      </c>
      <c r="I2033" s="61" t="n">
        <v>74.97</v>
      </c>
      <c r="J2033" s="61" t="n">
        <f aca="false">H2033*Resumo!$C$6</f>
        <v>0</v>
      </c>
      <c r="K2033" s="61" t="n">
        <f aca="false">H2033*Resumo!$C$7</f>
        <v>0.887544</v>
      </c>
      <c r="L2033" s="61" t="n">
        <f aca="false">H2033*Resumo!$C$8</f>
        <v>0.887544</v>
      </c>
      <c r="M2033" s="61" t="n">
        <f aca="false">Resumo!$C$10*CEILING(G2033/100,1)</f>
        <v>1.05</v>
      </c>
      <c r="N2033" s="61" t="n">
        <f aca="false">Resumo!$C$9</f>
        <v>0</v>
      </c>
      <c r="O2033" s="61" t="n">
        <f aca="false">Resumo!$C$13</f>
        <v>13.55</v>
      </c>
      <c r="P2033" s="61" t="n">
        <f aca="false">Resumo!$C$14*CEILING(G2033,1)</f>
        <v>16.65</v>
      </c>
      <c r="Q2033" s="61" t="n">
        <f aca="false">SUM(I2033:P2033)*Resumo!$C$11</f>
        <v>0</v>
      </c>
      <c r="R2033" s="61" t="n">
        <f aca="false">SUM(I2033:Q2033)</f>
        <v>107.995088</v>
      </c>
      <c r="S2033" s="61" t="n">
        <f aca="false">R2033/(1-Resumo!$C$5)</f>
        <v>122.721690909091</v>
      </c>
      <c r="T2033" s="61" t="n">
        <v>124.38</v>
      </c>
      <c r="U2033" s="61" t="n">
        <f aca="false">H2033*Resumo!$B$6</f>
        <v>0.42264</v>
      </c>
      <c r="V2033" s="61" t="n">
        <f aca="false">H2033*Resumo!$B$7</f>
        <v>0.84528</v>
      </c>
      <c r="W2033" s="61" t="n">
        <f aca="false">Resumo!$B$9</f>
        <v>1</v>
      </c>
      <c r="X2033" s="61" t="n">
        <f aca="false">Resumo!$B$10*CEILING(G2033/100,1)</f>
        <v>4.5</v>
      </c>
      <c r="Y2033" s="61" t="n">
        <f aca="false">Resumo!$B$12*CEILING(G2033,1)</f>
        <v>2.22</v>
      </c>
      <c r="Z2033" s="61" t="n">
        <f aca="false">Resumo!$B$14*CEILING(G2033,1)</f>
        <v>16.65</v>
      </c>
      <c r="AA2033" s="61" t="n">
        <f aca="false">SUM(T2033:Z2033)</f>
        <v>150.01792</v>
      </c>
      <c r="AB2033" s="61" t="n">
        <f aca="false">AA2033/(1-Resumo!$B$5)</f>
        <v>170.474909090909</v>
      </c>
      <c r="AC2033" s="61" t="n">
        <f aca="false">AB2033-S2033</f>
        <v>47.7532181818182</v>
      </c>
      <c r="AD2033" s="62" t="n">
        <f aca="false">AB2033/S2033-1</f>
        <v>0.389117993959133</v>
      </c>
      <c r="AE2033" s="60" t="str">
        <f aca="false">IF(AB2033&lt;S2033,"SIM","NÃO")</f>
        <v>NÃO</v>
      </c>
      <c r="AF2033" s="60" t="n">
        <v>13</v>
      </c>
      <c r="AG2033" s="60" t="n">
        <v>10</v>
      </c>
      <c r="AH2033" s="60" t="s">
        <v>385</v>
      </c>
      <c r="AI2033" s="61" t="n">
        <f aca="false">(T2033*(1-Painel!$C$40)+U2033+V2033+Painel!$C$41+Painel!$C$42*CEILING(G2033/100,1)+Painel!$C$43*CEILING(G2033,1)+Z2033)/(1-Resumo!$B$5)</f>
        <v>117.389227272727</v>
      </c>
      <c r="AJ2033" s="60" t="str">
        <f aca="false">IF(AI2033&lt;S2033,"SIM","NÃO")</f>
        <v>SIM</v>
      </c>
    </row>
    <row r="2034" customFormat="false" ht="15" hidden="false" customHeight="false" outlineLevel="0" collapsed="false">
      <c r="A2034" s="59" t="n">
        <v>46288.5267361111</v>
      </c>
      <c r="B2034" s="60" t="s">
        <v>2183</v>
      </c>
      <c r="C2034" s="60" t="n">
        <v>20921260</v>
      </c>
      <c r="D2034" s="60" t="s">
        <v>46</v>
      </c>
      <c r="E2034" s="60" t="s">
        <v>22</v>
      </c>
      <c r="F2034" s="60" t="s">
        <v>237</v>
      </c>
      <c r="G2034" s="60" t="n">
        <v>66.8</v>
      </c>
      <c r="H2034" s="61" t="n">
        <v>719.99</v>
      </c>
      <c r="I2034" s="61" t="n">
        <v>63.21</v>
      </c>
      <c r="J2034" s="61" t="n">
        <f aca="false">H2034*Resumo!$C$6</f>
        <v>0</v>
      </c>
      <c r="K2034" s="61" t="n">
        <f aca="false">H2034*Resumo!$C$7</f>
        <v>1.511979</v>
      </c>
      <c r="L2034" s="61" t="n">
        <f aca="false">H2034*Resumo!$C$8</f>
        <v>1.511979</v>
      </c>
      <c r="M2034" s="61" t="n">
        <f aca="false">Resumo!$C$10*CEILING(G2034/100,1)</f>
        <v>1.05</v>
      </c>
      <c r="N2034" s="61" t="n">
        <f aca="false">Resumo!$C$9</f>
        <v>0</v>
      </c>
      <c r="O2034" s="61" t="n">
        <f aca="false">Resumo!$C$13</f>
        <v>13.55</v>
      </c>
      <c r="P2034" s="61" t="n">
        <f aca="false">Resumo!$C$14*CEILING(G2034,1)</f>
        <v>30.15</v>
      </c>
      <c r="Q2034" s="61" t="n">
        <f aca="false">SUM(I2034:P2034)*Resumo!$C$11</f>
        <v>0</v>
      </c>
      <c r="R2034" s="61" t="n">
        <f aca="false">SUM(I2034:Q2034)</f>
        <v>110.983958</v>
      </c>
      <c r="S2034" s="61" t="n">
        <f aca="false">R2034/(1-Resumo!$C$5)</f>
        <v>126.118134090909</v>
      </c>
      <c r="T2034" s="61" t="n">
        <v>131.02</v>
      </c>
      <c r="U2034" s="61" t="n">
        <f aca="false">H2034*Resumo!$B$6</f>
        <v>0.71999</v>
      </c>
      <c r="V2034" s="61" t="n">
        <f aca="false">H2034*Resumo!$B$7</f>
        <v>1.43998</v>
      </c>
      <c r="W2034" s="61" t="n">
        <f aca="false">Resumo!$B$9</f>
        <v>1</v>
      </c>
      <c r="X2034" s="61" t="n">
        <f aca="false">Resumo!$B$10*CEILING(G2034/100,1)</f>
        <v>4.5</v>
      </c>
      <c r="Y2034" s="61" t="n">
        <f aca="false">Resumo!$B$12*CEILING(G2034,1)</f>
        <v>4.02</v>
      </c>
      <c r="Z2034" s="61" t="n">
        <f aca="false">Resumo!$B$14*CEILING(G2034,1)</f>
        <v>30.15</v>
      </c>
      <c r="AA2034" s="61" t="n">
        <f aca="false">SUM(T2034:Z2034)</f>
        <v>172.84997</v>
      </c>
      <c r="AB2034" s="61" t="n">
        <f aca="false">AA2034/(1-Resumo!$B$5)</f>
        <v>196.420420454545</v>
      </c>
      <c r="AC2034" s="61" t="n">
        <f aca="false">AB2034-S2034</f>
        <v>70.3022863636364</v>
      </c>
      <c r="AD2034" s="62" t="n">
        <f aca="false">AB2034/S2034-1</f>
        <v>0.557432020941261</v>
      </c>
      <c r="AE2034" s="60" t="str">
        <f aca="false">IF(AB2034&lt;S2034,"SIM","NÃO")</f>
        <v>NÃO</v>
      </c>
      <c r="AF2034" s="60" t="n">
        <v>2</v>
      </c>
      <c r="AG2034" s="60" t="n">
        <v>5</v>
      </c>
      <c r="AH2034" s="60" t="s">
        <v>382</v>
      </c>
      <c r="AI2034" s="61" t="n">
        <f aca="false">(T2034*(1-Painel!$C$40)+U2034+V2034+Painel!$C$41+Painel!$C$42*CEILING(G2034/100,1)+Painel!$C$43*CEILING(G2034,1)+Z2034)/(1-Resumo!$B$5)</f>
        <v>138.799284090909</v>
      </c>
      <c r="AJ2034" s="60" t="str">
        <f aca="false">IF(AI2034&lt;S2034,"SIM","NÃO")</f>
        <v>NÃO</v>
      </c>
    </row>
    <row r="2035" customFormat="false" ht="15" hidden="false" customHeight="false" outlineLevel="0" collapsed="false">
      <c r="A2035" s="59" t="n">
        <v>46288.5336111111</v>
      </c>
      <c r="B2035" s="60" t="s">
        <v>2184</v>
      </c>
      <c r="C2035" s="60" t="n">
        <v>25911279</v>
      </c>
      <c r="D2035" s="60" t="s">
        <v>225</v>
      </c>
      <c r="E2035" s="60" t="s">
        <v>24</v>
      </c>
      <c r="F2035" s="60" t="s">
        <v>237</v>
      </c>
      <c r="G2035" s="60" t="n">
        <v>64.7</v>
      </c>
      <c r="H2035" s="61" t="n">
        <v>767</v>
      </c>
      <c r="I2035" s="61" t="n">
        <v>90.2</v>
      </c>
      <c r="J2035" s="61" t="n">
        <f aca="false">H2035*Resumo!$C$6</f>
        <v>0</v>
      </c>
      <c r="K2035" s="61" t="n">
        <f aca="false">H2035*Resumo!$C$7</f>
        <v>1.6107</v>
      </c>
      <c r="L2035" s="61" t="n">
        <f aca="false">H2035*Resumo!$C$8</f>
        <v>1.6107</v>
      </c>
      <c r="M2035" s="61" t="n">
        <f aca="false">Resumo!$C$10*CEILING(G2035/100,1)</f>
        <v>1.05</v>
      </c>
      <c r="N2035" s="61" t="n">
        <f aca="false">Resumo!$C$9</f>
        <v>0</v>
      </c>
      <c r="O2035" s="61" t="n">
        <f aca="false">Resumo!$C$13</f>
        <v>13.55</v>
      </c>
      <c r="P2035" s="61" t="n">
        <f aca="false">Resumo!$C$14*CEILING(G2035,1)</f>
        <v>29.25</v>
      </c>
      <c r="Q2035" s="61" t="n">
        <f aca="false">SUM(I2035:P2035)*Resumo!$C$11</f>
        <v>0</v>
      </c>
      <c r="R2035" s="61" t="n">
        <f aca="false">SUM(I2035:Q2035)</f>
        <v>137.2714</v>
      </c>
      <c r="S2035" s="61" t="n">
        <f aca="false">R2035/(1-Resumo!$C$5)</f>
        <v>155.990227272727</v>
      </c>
      <c r="T2035" s="61" t="n">
        <v>136.53</v>
      </c>
      <c r="U2035" s="61" t="n">
        <f aca="false">H2035*Resumo!$B$6</f>
        <v>0.767</v>
      </c>
      <c r="V2035" s="61" t="n">
        <f aca="false">H2035*Resumo!$B$7</f>
        <v>1.534</v>
      </c>
      <c r="W2035" s="61" t="n">
        <f aca="false">Resumo!$B$9</f>
        <v>1</v>
      </c>
      <c r="X2035" s="61" t="n">
        <f aca="false">Resumo!$B$10*CEILING(G2035/100,1)</f>
        <v>4.5</v>
      </c>
      <c r="Y2035" s="61" t="n">
        <f aca="false">Resumo!$B$12*CEILING(G2035,1)</f>
        <v>3.9</v>
      </c>
      <c r="Z2035" s="61" t="n">
        <f aca="false">Resumo!$B$14*CEILING(G2035,1)</f>
        <v>29.25</v>
      </c>
      <c r="AA2035" s="61" t="n">
        <f aca="false">SUM(T2035:Z2035)</f>
        <v>177.481</v>
      </c>
      <c r="AB2035" s="61" t="n">
        <f aca="false">AA2035/(1-Resumo!$B$5)</f>
        <v>201.682954545455</v>
      </c>
      <c r="AC2035" s="61" t="n">
        <f aca="false">AB2035-S2035</f>
        <v>45.6927272727273</v>
      </c>
      <c r="AD2035" s="62" t="n">
        <f aca="false">AB2035/S2035-1</f>
        <v>0.292920448104995</v>
      </c>
      <c r="AE2035" s="60" t="str">
        <f aca="false">IF(AB2035&lt;S2035,"SIM","NÃO")</f>
        <v>NÃO</v>
      </c>
      <c r="AF2035" s="60" t="n">
        <v>13</v>
      </c>
      <c r="AG2035" s="60" t="n">
        <v>6</v>
      </c>
      <c r="AH2035" s="60" t="s">
        <v>382</v>
      </c>
      <c r="AI2035" s="61" t="n">
        <f aca="false">(T2035*(1-Painel!$C$40)+U2035+V2035+Painel!$C$41+Painel!$C$42*CEILING(G2035/100,1)+Painel!$C$43*CEILING(G2035,1)+Z2035)/(1-Resumo!$B$5)</f>
        <v>142.131931818182</v>
      </c>
      <c r="AJ2035" s="60" t="str">
        <f aca="false">IF(AI2035&lt;S2035,"SIM","NÃO")</f>
        <v>SIM</v>
      </c>
    </row>
    <row r="2036" customFormat="false" ht="15" hidden="false" customHeight="false" outlineLevel="0" collapsed="false">
      <c r="A2036" s="59" t="n">
        <v>46288.535150463</v>
      </c>
      <c r="B2036" s="60" t="s">
        <v>2185</v>
      </c>
      <c r="C2036" s="60" t="n">
        <v>21921420</v>
      </c>
      <c r="D2036" s="60" t="s">
        <v>46</v>
      </c>
      <c r="E2036" s="60" t="s">
        <v>22</v>
      </c>
      <c r="F2036" s="60" t="s">
        <v>233</v>
      </c>
      <c r="G2036" s="60" t="n">
        <v>22.4</v>
      </c>
      <c r="H2036" s="61" t="n">
        <v>480.58</v>
      </c>
      <c r="I2036" s="61" t="n">
        <v>42.11</v>
      </c>
      <c r="J2036" s="61" t="n">
        <f aca="false">H2036*Resumo!$C$6</f>
        <v>0</v>
      </c>
      <c r="K2036" s="61" t="n">
        <f aca="false">H2036*Resumo!$C$7</f>
        <v>1.009218</v>
      </c>
      <c r="L2036" s="61" t="n">
        <f aca="false">H2036*Resumo!$C$8</f>
        <v>1.009218</v>
      </c>
      <c r="M2036" s="61" t="n">
        <f aca="false">Resumo!$C$10*CEILING(G2036/100,1)</f>
        <v>1.05</v>
      </c>
      <c r="N2036" s="61" t="n">
        <f aca="false">Resumo!$C$9</f>
        <v>0</v>
      </c>
      <c r="O2036" s="61" t="n">
        <f aca="false">Resumo!$C$13</f>
        <v>13.55</v>
      </c>
      <c r="P2036" s="61" t="n">
        <f aca="false">Resumo!$C$14*CEILING(G2036,1)</f>
        <v>10.35</v>
      </c>
      <c r="Q2036" s="61" t="n">
        <f aca="false">SUM(I2036:P2036)*Resumo!$C$11</f>
        <v>0</v>
      </c>
      <c r="R2036" s="61" t="n">
        <f aca="false">SUM(I2036:Q2036)</f>
        <v>69.078436</v>
      </c>
      <c r="S2036" s="61" t="n">
        <f aca="false">R2036/(1-Resumo!$C$5)</f>
        <v>78.4982227272727</v>
      </c>
      <c r="T2036" s="61" t="n">
        <v>82.21</v>
      </c>
      <c r="U2036" s="61" t="n">
        <f aca="false">H2036*Resumo!$B$6</f>
        <v>0.48058</v>
      </c>
      <c r="V2036" s="61" t="n">
        <f aca="false">H2036*Resumo!$B$7</f>
        <v>0.96116</v>
      </c>
      <c r="W2036" s="61" t="n">
        <f aca="false">Resumo!$B$9</f>
        <v>1</v>
      </c>
      <c r="X2036" s="61" t="n">
        <f aca="false">Resumo!$B$10*CEILING(G2036/100,1)</f>
        <v>4.5</v>
      </c>
      <c r="Y2036" s="61" t="n">
        <f aca="false">Resumo!$B$12*CEILING(G2036,1)</f>
        <v>1.38</v>
      </c>
      <c r="Z2036" s="61" t="n">
        <f aca="false">Resumo!$B$14*CEILING(G2036,1)</f>
        <v>10.35</v>
      </c>
      <c r="AA2036" s="61" t="n">
        <f aca="false">SUM(T2036:Z2036)</f>
        <v>100.88174</v>
      </c>
      <c r="AB2036" s="61" t="n">
        <f aca="false">AA2036/(1-Resumo!$B$5)</f>
        <v>114.638340909091</v>
      </c>
      <c r="AC2036" s="61" t="n">
        <f aca="false">AB2036-S2036</f>
        <v>36.1401181818182</v>
      </c>
      <c r="AD2036" s="62" t="n">
        <f aca="false">AB2036/S2036-1</f>
        <v>0.460394094620208</v>
      </c>
      <c r="AE2036" s="60" t="str">
        <f aca="false">IF(AB2036&lt;S2036,"SIM","NÃO")</f>
        <v>NÃO</v>
      </c>
      <c r="AF2036" s="60" t="n">
        <v>2</v>
      </c>
      <c r="AG2036" s="60" t="n">
        <v>5</v>
      </c>
      <c r="AH2036" s="60" t="s">
        <v>382</v>
      </c>
      <c r="AI2036" s="61" t="n">
        <f aca="false">(T2036*(1-Painel!$C$40)+U2036+V2036+Painel!$C$41+Painel!$C$42*CEILING(G2036/100,1)+Painel!$C$43*CEILING(G2036,1)+Z2036)/(1-Resumo!$B$5)</f>
        <v>78.3209545454545</v>
      </c>
      <c r="AJ2036" s="60" t="str">
        <f aca="false">IF(AI2036&lt;S2036,"SIM","NÃO")</f>
        <v>SIM</v>
      </c>
    </row>
    <row r="2037" customFormat="false" ht="15" hidden="false" customHeight="false" outlineLevel="0" collapsed="false">
      <c r="A2037" s="59" t="n">
        <v>46288.5474537037</v>
      </c>
      <c r="B2037" s="60" t="s">
        <v>1943</v>
      </c>
      <c r="C2037" s="60" t="n">
        <v>28148000</v>
      </c>
      <c r="D2037" s="60" t="s">
        <v>51</v>
      </c>
      <c r="E2037" s="60" t="s">
        <v>24</v>
      </c>
      <c r="F2037" s="60" t="s">
        <v>234</v>
      </c>
      <c r="G2037" s="60" t="n">
        <v>37.59</v>
      </c>
      <c r="H2037" s="61" t="n">
        <v>469.95</v>
      </c>
      <c r="I2037" s="61" t="n">
        <v>74.97</v>
      </c>
      <c r="J2037" s="61" t="n">
        <f aca="false">H2037*Resumo!$C$6</f>
        <v>0</v>
      </c>
      <c r="K2037" s="61" t="n">
        <f aca="false">H2037*Resumo!$C$7</f>
        <v>0.986895</v>
      </c>
      <c r="L2037" s="61" t="n">
        <f aca="false">H2037*Resumo!$C$8</f>
        <v>0.986895</v>
      </c>
      <c r="M2037" s="61" t="n">
        <f aca="false">Resumo!$C$10*CEILING(G2037/100,1)</f>
        <v>1.05</v>
      </c>
      <c r="N2037" s="61" t="n">
        <f aca="false">Resumo!$C$9</f>
        <v>0</v>
      </c>
      <c r="O2037" s="61" t="n">
        <f aca="false">Resumo!$C$13</f>
        <v>13.55</v>
      </c>
      <c r="P2037" s="61" t="n">
        <f aca="false">Resumo!$C$14*CEILING(G2037,1)</f>
        <v>17.1</v>
      </c>
      <c r="Q2037" s="61" t="n">
        <f aca="false">SUM(I2037:P2037)*Resumo!$C$11</f>
        <v>0</v>
      </c>
      <c r="R2037" s="61" t="n">
        <f aca="false">SUM(I2037:Q2037)</f>
        <v>108.64379</v>
      </c>
      <c r="S2037" s="61" t="n">
        <f aca="false">R2037/(1-Resumo!$C$5)</f>
        <v>123.458852272727</v>
      </c>
      <c r="T2037" s="61" t="n">
        <v>143.04</v>
      </c>
      <c r="U2037" s="61" t="n">
        <f aca="false">H2037*Resumo!$B$6</f>
        <v>0.46995</v>
      </c>
      <c r="V2037" s="61" t="n">
        <f aca="false">H2037*Resumo!$B$7</f>
        <v>0.9399</v>
      </c>
      <c r="W2037" s="61" t="n">
        <f aca="false">Resumo!$B$9</f>
        <v>1</v>
      </c>
      <c r="X2037" s="61" t="n">
        <f aca="false">Resumo!$B$10*CEILING(G2037/100,1)</f>
        <v>4.5</v>
      </c>
      <c r="Y2037" s="61" t="n">
        <f aca="false">Resumo!$B$12*CEILING(G2037,1)</f>
        <v>2.28</v>
      </c>
      <c r="Z2037" s="61" t="n">
        <f aca="false">Resumo!$B$14*CEILING(G2037,1)</f>
        <v>17.1</v>
      </c>
      <c r="AA2037" s="61" t="n">
        <f aca="false">SUM(T2037:Z2037)</f>
        <v>169.32985</v>
      </c>
      <c r="AB2037" s="61" t="n">
        <f aca="false">AA2037/(1-Resumo!$B$5)</f>
        <v>192.420284090909</v>
      </c>
      <c r="AC2037" s="61" t="n">
        <f aca="false">AB2037-S2037</f>
        <v>68.9614318181818</v>
      </c>
      <c r="AD2037" s="62" t="n">
        <f aca="false">AB2037/S2037-1</f>
        <v>0.55857826756596</v>
      </c>
      <c r="AE2037" s="60" t="str">
        <f aca="false">IF(AB2037&lt;S2037,"SIM","NÃO")</f>
        <v>NÃO</v>
      </c>
      <c r="AF2037" s="60" t="n">
        <v>13</v>
      </c>
      <c r="AG2037" s="60" t="n">
        <v>11</v>
      </c>
      <c r="AH2037" s="60" t="s">
        <v>382</v>
      </c>
      <c r="AI2037" s="61" t="n">
        <f aca="false">(T2037*(1-Painel!$C$40)+U2037+V2037+Painel!$C$41+Painel!$C$42*CEILING(G2037/100,1)+Painel!$C$43*CEILING(G2037,1)+Z2037)/(1-Resumo!$B$5)</f>
        <v>132.268920454545</v>
      </c>
      <c r="AJ2037" s="60" t="str">
        <f aca="false">IF(AI2037&lt;S2037,"SIM","NÃO")</f>
        <v>NÃO</v>
      </c>
    </row>
    <row r="2038" customFormat="false" ht="15" hidden="false" customHeight="false" outlineLevel="0" collapsed="false">
      <c r="A2038" s="59" t="n">
        <v>46288.557974537</v>
      </c>
      <c r="B2038" s="60" t="s">
        <v>2186</v>
      </c>
      <c r="C2038" s="60" t="n">
        <v>23895160</v>
      </c>
      <c r="D2038" s="60" t="s">
        <v>267</v>
      </c>
      <c r="E2038" s="60" t="s">
        <v>24</v>
      </c>
      <c r="F2038" s="60" t="s">
        <v>239</v>
      </c>
      <c r="G2038" s="60" t="n">
        <v>85</v>
      </c>
      <c r="H2038" s="61" t="n">
        <v>1329.99</v>
      </c>
      <c r="I2038" s="61" t="n">
        <v>109.63</v>
      </c>
      <c r="J2038" s="61" t="n">
        <f aca="false">H2038*Resumo!$C$6</f>
        <v>0</v>
      </c>
      <c r="K2038" s="61" t="n">
        <f aca="false">H2038*Resumo!$C$7</f>
        <v>2.792979</v>
      </c>
      <c r="L2038" s="61" t="n">
        <f aca="false">H2038*Resumo!$C$8</f>
        <v>2.792979</v>
      </c>
      <c r="M2038" s="61" t="n">
        <f aca="false">Resumo!$C$10*CEILING(G2038/100,1)</f>
        <v>1.05</v>
      </c>
      <c r="N2038" s="61" t="n">
        <f aca="false">Resumo!$C$9</f>
        <v>0</v>
      </c>
      <c r="O2038" s="61" t="n">
        <f aca="false">Resumo!$C$13</f>
        <v>13.55</v>
      </c>
      <c r="P2038" s="61" t="n">
        <f aca="false">Resumo!$C$14*CEILING(G2038,1)</f>
        <v>38.25</v>
      </c>
      <c r="Q2038" s="61" t="n">
        <f aca="false">SUM(I2038:P2038)*Resumo!$C$11</f>
        <v>0</v>
      </c>
      <c r="R2038" s="61" t="n">
        <f aca="false">SUM(I2038:Q2038)</f>
        <v>168.065958</v>
      </c>
      <c r="S2038" s="61" t="n">
        <f aca="false">R2038/(1-Resumo!$C$5)</f>
        <v>190.984043181818</v>
      </c>
      <c r="T2038" s="61" t="n">
        <v>177.99</v>
      </c>
      <c r="U2038" s="61" t="n">
        <f aca="false">H2038*Resumo!$B$6</f>
        <v>1.32999</v>
      </c>
      <c r="V2038" s="61" t="n">
        <f aca="false">H2038*Resumo!$B$7</f>
        <v>2.65998</v>
      </c>
      <c r="W2038" s="61" t="n">
        <f aca="false">Resumo!$B$9</f>
        <v>1</v>
      </c>
      <c r="X2038" s="61" t="n">
        <f aca="false">Resumo!$B$10*CEILING(G2038/100,1)</f>
        <v>4.5</v>
      </c>
      <c r="Y2038" s="61" t="n">
        <f aca="false">Resumo!$B$12*CEILING(G2038,1)</f>
        <v>5.1</v>
      </c>
      <c r="Z2038" s="61" t="n">
        <f aca="false">Resumo!$B$14*CEILING(G2038,1)</f>
        <v>38.25</v>
      </c>
      <c r="AA2038" s="61" t="n">
        <f aca="false">SUM(T2038:Z2038)</f>
        <v>230.82997</v>
      </c>
      <c r="AB2038" s="61" t="n">
        <f aca="false">AA2038/(1-Resumo!$B$5)</f>
        <v>262.306784090909</v>
      </c>
      <c r="AC2038" s="61" t="n">
        <f aca="false">AB2038-S2038</f>
        <v>71.3227409090909</v>
      </c>
      <c r="AD2038" s="62" t="n">
        <f aca="false">AB2038/S2038-1</f>
        <v>0.373448690900271</v>
      </c>
      <c r="AE2038" s="60" t="str">
        <f aca="false">IF(AB2038&lt;S2038,"SIM","NÃO")</f>
        <v>NÃO</v>
      </c>
      <c r="AF2038" s="60" t="n">
        <v>13</v>
      </c>
      <c r="AG2038" s="60" t="n">
        <v>5</v>
      </c>
      <c r="AH2038" s="60" t="s">
        <v>385</v>
      </c>
      <c r="AI2038" s="61" t="n">
        <f aca="false">(T2038*(1-Painel!$C$40)+U2038+V2038+Painel!$C$41+Painel!$C$42*CEILING(G2038/100,1)+Painel!$C$43*CEILING(G2038,1)+Z2038)/(1-Resumo!$B$5)</f>
        <v>185.844625</v>
      </c>
      <c r="AJ2038" s="60" t="str">
        <f aca="false">IF(AI2038&lt;S2038,"SIM","NÃO")</f>
        <v>SIM</v>
      </c>
    </row>
    <row r="2039" customFormat="false" ht="15" hidden="false" customHeight="false" outlineLevel="0" collapsed="false">
      <c r="A2039" s="59" t="n">
        <v>46288.5615277778</v>
      </c>
      <c r="B2039" s="60" t="s">
        <v>2187</v>
      </c>
      <c r="C2039" s="60" t="n">
        <v>25233289</v>
      </c>
      <c r="D2039" s="60" t="s">
        <v>48</v>
      </c>
      <c r="E2039" s="60" t="s">
        <v>23</v>
      </c>
      <c r="F2039" s="60" t="s">
        <v>234</v>
      </c>
      <c r="G2039" s="60" t="n">
        <v>37.2</v>
      </c>
      <c r="H2039" s="61" t="n">
        <v>366.5</v>
      </c>
      <c r="I2039" s="61" t="n">
        <v>66.83</v>
      </c>
      <c r="J2039" s="61" t="n">
        <f aca="false">H2039*Resumo!$C$6</f>
        <v>0</v>
      </c>
      <c r="K2039" s="61" t="n">
        <f aca="false">H2039*Resumo!$C$7</f>
        <v>0.76965</v>
      </c>
      <c r="L2039" s="61" t="n">
        <f aca="false">H2039*Resumo!$C$8</f>
        <v>0.76965</v>
      </c>
      <c r="M2039" s="61" t="n">
        <f aca="false">Resumo!$C$10*CEILING(G2039/100,1)</f>
        <v>1.05</v>
      </c>
      <c r="N2039" s="61" t="n">
        <f aca="false">Resumo!$C$9</f>
        <v>0</v>
      </c>
      <c r="O2039" s="61" t="n">
        <f aca="false">Resumo!$C$13</f>
        <v>13.55</v>
      </c>
      <c r="P2039" s="61" t="n">
        <f aca="false">Resumo!$C$14*CEILING(G2039,1)</f>
        <v>17.1</v>
      </c>
      <c r="Q2039" s="61" t="n">
        <f aca="false">SUM(I2039:P2039)*Resumo!$C$11</f>
        <v>0</v>
      </c>
      <c r="R2039" s="61" t="n">
        <f aca="false">SUM(I2039:Q2039)</f>
        <v>100.0693</v>
      </c>
      <c r="S2039" s="61" t="n">
        <f aca="false">R2039/(1-Resumo!$C$5)</f>
        <v>113.715113636364</v>
      </c>
      <c r="T2039" s="61" t="n">
        <v>93.97</v>
      </c>
      <c r="U2039" s="61" t="n">
        <f aca="false">H2039*Resumo!$B$6</f>
        <v>0.3665</v>
      </c>
      <c r="V2039" s="61" t="n">
        <f aca="false">H2039*Resumo!$B$7</f>
        <v>0.733</v>
      </c>
      <c r="W2039" s="61" t="n">
        <f aca="false">Resumo!$B$9</f>
        <v>1</v>
      </c>
      <c r="X2039" s="61" t="n">
        <f aca="false">Resumo!$B$10*CEILING(G2039/100,1)</f>
        <v>4.5</v>
      </c>
      <c r="Y2039" s="61" t="n">
        <f aca="false">Resumo!$B$12*CEILING(G2039,1)</f>
        <v>2.28</v>
      </c>
      <c r="Z2039" s="61" t="n">
        <f aca="false">Resumo!$B$14*CEILING(G2039,1)</f>
        <v>17.1</v>
      </c>
      <c r="AA2039" s="61" t="n">
        <f aca="false">SUM(T2039:Z2039)</f>
        <v>119.9495</v>
      </c>
      <c r="AB2039" s="61" t="n">
        <f aca="false">AA2039/(1-Resumo!$B$5)</f>
        <v>136.30625</v>
      </c>
      <c r="AC2039" s="61" t="n">
        <f aca="false">AB2039-S2039</f>
        <v>22.5911363636364</v>
      </c>
      <c r="AD2039" s="62" t="n">
        <f aca="false">AB2039/S2039-1</f>
        <v>0.198664325622344</v>
      </c>
      <c r="AE2039" s="60" t="str">
        <f aca="false">IF(AB2039&lt;S2039,"SIM","NÃO")</f>
        <v>NÃO</v>
      </c>
      <c r="AF2039" s="60" t="n">
        <v>2</v>
      </c>
      <c r="AG2039" s="60" t="n">
        <v>5</v>
      </c>
      <c r="AH2039" s="60" t="s">
        <v>382</v>
      </c>
      <c r="AI2039" s="61" t="n">
        <f aca="false">(T2039*(1-Painel!$C$40)+U2039+V2039+Painel!$C$41+Painel!$C$42*CEILING(G2039/100,1)+Painel!$C$43*CEILING(G2039,1)+Z2039)/(1-Resumo!$B$5)</f>
        <v>94.5561363636364</v>
      </c>
      <c r="AJ2039" s="60" t="str">
        <f aca="false">IF(AI2039&lt;S2039,"SIM","NÃO")</f>
        <v>SIM</v>
      </c>
    </row>
    <row r="2040" customFormat="false" ht="15" hidden="false" customHeight="false" outlineLevel="0" collapsed="false">
      <c r="A2040" s="59" t="n">
        <v>46288.5857638889</v>
      </c>
      <c r="B2040" s="60" t="s">
        <v>2188</v>
      </c>
      <c r="C2040" s="60" t="n">
        <v>20910063</v>
      </c>
      <c r="D2040" s="60" t="s">
        <v>46</v>
      </c>
      <c r="E2040" s="60" t="s">
        <v>22</v>
      </c>
      <c r="F2040" s="60" t="s">
        <v>235</v>
      </c>
      <c r="G2040" s="60" t="n">
        <v>47.1</v>
      </c>
      <c r="H2040" s="61" t="n">
        <v>619.99</v>
      </c>
      <c r="I2040" s="61" t="n">
        <v>53.55</v>
      </c>
      <c r="J2040" s="61" t="n">
        <f aca="false">H2040*Resumo!$C$6</f>
        <v>0</v>
      </c>
      <c r="K2040" s="61" t="n">
        <f aca="false">H2040*Resumo!$C$7</f>
        <v>1.301979</v>
      </c>
      <c r="L2040" s="61" t="n">
        <f aca="false">H2040*Resumo!$C$8</f>
        <v>1.301979</v>
      </c>
      <c r="M2040" s="61" t="n">
        <f aca="false">Resumo!$C$10*CEILING(G2040/100,1)</f>
        <v>1.05</v>
      </c>
      <c r="N2040" s="61" t="n">
        <f aca="false">Resumo!$C$9</f>
        <v>0</v>
      </c>
      <c r="O2040" s="61" t="n">
        <f aca="false">Resumo!$C$13</f>
        <v>13.55</v>
      </c>
      <c r="P2040" s="61" t="n">
        <f aca="false">Resumo!$C$14*CEILING(G2040,1)</f>
        <v>21.6</v>
      </c>
      <c r="Q2040" s="61" t="n">
        <f aca="false">SUM(I2040:P2040)*Resumo!$C$11</f>
        <v>0</v>
      </c>
      <c r="R2040" s="61" t="n">
        <f aca="false">SUM(I2040:Q2040)</f>
        <v>92.353958</v>
      </c>
      <c r="S2040" s="61" t="n">
        <f aca="false">R2040/(1-Resumo!$C$5)</f>
        <v>104.947679545455</v>
      </c>
      <c r="T2040" s="61" t="n">
        <v>93.97</v>
      </c>
      <c r="U2040" s="61" t="n">
        <f aca="false">H2040*Resumo!$B$6</f>
        <v>0.61999</v>
      </c>
      <c r="V2040" s="61" t="n">
        <f aca="false">H2040*Resumo!$B$7</f>
        <v>1.23998</v>
      </c>
      <c r="W2040" s="61" t="n">
        <f aca="false">Resumo!$B$9</f>
        <v>1</v>
      </c>
      <c r="X2040" s="61" t="n">
        <f aca="false">Resumo!$B$10*CEILING(G2040/100,1)</f>
        <v>4.5</v>
      </c>
      <c r="Y2040" s="61" t="n">
        <f aca="false">Resumo!$B$12*CEILING(G2040,1)</f>
        <v>2.88</v>
      </c>
      <c r="Z2040" s="61" t="n">
        <f aca="false">Resumo!$B$14*CEILING(G2040,1)</f>
        <v>21.6</v>
      </c>
      <c r="AA2040" s="61" t="n">
        <f aca="false">SUM(T2040:Z2040)</f>
        <v>125.80997</v>
      </c>
      <c r="AB2040" s="61" t="n">
        <f aca="false">AA2040/(1-Resumo!$B$5)</f>
        <v>142.965875</v>
      </c>
      <c r="AC2040" s="61" t="n">
        <f aca="false">AB2040-S2040</f>
        <v>38.0181954545454</v>
      </c>
      <c r="AD2040" s="62" t="n">
        <f aca="false">AB2040/S2040-1</f>
        <v>0.362258561782485</v>
      </c>
      <c r="AE2040" s="60" t="str">
        <f aca="false">IF(AB2040&lt;S2040,"SIM","NÃO")</f>
        <v>NÃO</v>
      </c>
      <c r="AF2040" s="60" t="n">
        <v>2</v>
      </c>
      <c r="AG2040" s="60" t="n">
        <v>5</v>
      </c>
      <c r="AH2040" s="60" t="s">
        <v>382</v>
      </c>
      <c r="AI2040" s="61" t="n">
        <f aca="false">(T2040*(1-Painel!$C$40)+U2040+V2040+Painel!$C$41+Painel!$C$42*CEILING(G2040/100,1)+Painel!$C$43*CEILING(G2040,1)+Z2040)/(1-Resumo!$B$5)</f>
        <v>100.533943181818</v>
      </c>
      <c r="AJ2040" s="60" t="str">
        <f aca="false">IF(AI2040&lt;S2040,"SIM","NÃO")</f>
        <v>SIM</v>
      </c>
    </row>
    <row r="2041" customFormat="false" ht="15" hidden="false" customHeight="false" outlineLevel="0" collapsed="false">
      <c r="A2041" s="59" t="n">
        <v>46288.5884953704</v>
      </c>
      <c r="B2041" s="60" t="s">
        <v>2189</v>
      </c>
      <c r="C2041" s="60" t="n">
        <v>21931574</v>
      </c>
      <c r="D2041" s="60" t="s">
        <v>46</v>
      </c>
      <c r="E2041" s="60" t="s">
        <v>22</v>
      </c>
      <c r="F2041" s="60" t="s">
        <v>235</v>
      </c>
      <c r="G2041" s="60" t="n">
        <v>46.8</v>
      </c>
      <c r="H2041" s="61" t="n">
        <v>522.49</v>
      </c>
      <c r="I2041" s="61" t="n">
        <v>53.55</v>
      </c>
      <c r="J2041" s="61" t="n">
        <f aca="false">H2041*Resumo!$C$6</f>
        <v>0</v>
      </c>
      <c r="K2041" s="61" t="n">
        <f aca="false">H2041*Resumo!$C$7</f>
        <v>1.097229</v>
      </c>
      <c r="L2041" s="61" t="n">
        <f aca="false">H2041*Resumo!$C$8</f>
        <v>1.097229</v>
      </c>
      <c r="M2041" s="61" t="n">
        <f aca="false">Resumo!$C$10*CEILING(G2041/100,1)</f>
        <v>1.05</v>
      </c>
      <c r="N2041" s="61" t="n">
        <f aca="false">Resumo!$C$9</f>
        <v>0</v>
      </c>
      <c r="O2041" s="61" t="n">
        <f aca="false">Resumo!$C$13</f>
        <v>13.55</v>
      </c>
      <c r="P2041" s="61" t="n">
        <f aca="false">Resumo!$C$14*CEILING(G2041,1)</f>
        <v>21.15</v>
      </c>
      <c r="Q2041" s="61" t="n">
        <f aca="false">SUM(I2041:P2041)*Resumo!$C$11</f>
        <v>0</v>
      </c>
      <c r="R2041" s="61" t="n">
        <f aca="false">SUM(I2041:Q2041)</f>
        <v>91.494458</v>
      </c>
      <c r="S2041" s="61" t="n">
        <f aca="false">R2041/(1-Resumo!$C$5)</f>
        <v>103.970975</v>
      </c>
      <c r="T2041" s="61" t="n">
        <v>93.97</v>
      </c>
      <c r="U2041" s="61" t="n">
        <f aca="false">H2041*Resumo!$B$6</f>
        <v>0.52249</v>
      </c>
      <c r="V2041" s="61" t="n">
        <f aca="false">H2041*Resumo!$B$7</f>
        <v>1.04498</v>
      </c>
      <c r="W2041" s="61" t="n">
        <f aca="false">Resumo!$B$9</f>
        <v>1</v>
      </c>
      <c r="X2041" s="61" t="n">
        <f aca="false">Resumo!$B$10*CEILING(G2041/100,1)</f>
        <v>4.5</v>
      </c>
      <c r="Y2041" s="61" t="n">
        <f aca="false">Resumo!$B$12*CEILING(G2041,1)</f>
        <v>2.82</v>
      </c>
      <c r="Z2041" s="61" t="n">
        <f aca="false">Resumo!$B$14*CEILING(G2041,1)</f>
        <v>21.15</v>
      </c>
      <c r="AA2041" s="61" t="n">
        <f aca="false">SUM(T2041:Z2041)</f>
        <v>125.00747</v>
      </c>
      <c r="AB2041" s="61" t="n">
        <f aca="false">AA2041/(1-Resumo!$B$5)</f>
        <v>142.053943181818</v>
      </c>
      <c r="AC2041" s="61" t="n">
        <f aca="false">AB2041-S2041</f>
        <v>38.0829681818182</v>
      </c>
      <c r="AD2041" s="62" t="n">
        <f aca="false">AB2041/S2041-1</f>
        <v>0.366284611467942</v>
      </c>
      <c r="AE2041" s="60" t="str">
        <f aca="false">IF(AB2041&lt;S2041,"SIM","NÃO")</f>
        <v>NÃO</v>
      </c>
      <c r="AF2041" s="60" t="n">
        <v>2</v>
      </c>
      <c r="AG2041" s="60" t="n">
        <v>5</v>
      </c>
      <c r="AH2041" s="60" t="s">
        <v>382</v>
      </c>
      <c r="AI2041" s="61" t="n">
        <f aca="false">(T2041*(1-Painel!$C$40)+U2041+V2041+Painel!$C$41+Painel!$C$42*CEILING(G2041/100,1)+Painel!$C$43*CEILING(G2041,1)+Z2041)/(1-Resumo!$B$5)</f>
        <v>99.6901931818182</v>
      </c>
      <c r="AJ2041" s="60" t="str">
        <f aca="false">IF(AI2041&lt;S2041,"SIM","NÃO")</f>
        <v>SIM</v>
      </c>
    </row>
    <row r="2042" customFormat="false" ht="15" hidden="false" customHeight="false" outlineLevel="0" collapsed="false">
      <c r="A2042" s="59" t="n">
        <v>46288.5903125</v>
      </c>
      <c r="B2042" s="60" t="s">
        <v>955</v>
      </c>
      <c r="C2042" s="60" t="n">
        <v>22753501</v>
      </c>
      <c r="D2042" s="60" t="s">
        <v>46</v>
      </c>
      <c r="E2042" s="60" t="s">
        <v>22</v>
      </c>
      <c r="F2042" s="60" t="s">
        <v>233</v>
      </c>
      <c r="G2042" s="60" t="n">
        <v>29.2</v>
      </c>
      <c r="H2042" s="61" t="n">
        <v>474.99</v>
      </c>
      <c r="I2042" s="61" t="n">
        <v>42.11</v>
      </c>
      <c r="J2042" s="61" t="n">
        <f aca="false">H2042*Resumo!$C$6</f>
        <v>0</v>
      </c>
      <c r="K2042" s="61" t="n">
        <f aca="false">H2042*Resumo!$C$7</f>
        <v>0.997479</v>
      </c>
      <c r="L2042" s="61" t="n">
        <f aca="false">H2042*Resumo!$C$8</f>
        <v>0.997479</v>
      </c>
      <c r="M2042" s="61" t="n">
        <f aca="false">Resumo!$C$10*CEILING(G2042/100,1)</f>
        <v>1.05</v>
      </c>
      <c r="N2042" s="61" t="n">
        <f aca="false">Resumo!$C$9</f>
        <v>0</v>
      </c>
      <c r="O2042" s="61" t="n">
        <f aca="false">Resumo!$C$13</f>
        <v>13.55</v>
      </c>
      <c r="P2042" s="61" t="n">
        <f aca="false">Resumo!$C$14*CEILING(G2042,1)</f>
        <v>13.5</v>
      </c>
      <c r="Q2042" s="61" t="n">
        <f aca="false">SUM(I2042:P2042)*Resumo!$C$11</f>
        <v>0</v>
      </c>
      <c r="R2042" s="61" t="n">
        <f aca="false">SUM(I2042:Q2042)</f>
        <v>72.204958</v>
      </c>
      <c r="S2042" s="61" t="n">
        <f aca="false">R2042/(1-Resumo!$C$5)</f>
        <v>82.0510886363636</v>
      </c>
      <c r="T2042" s="61" t="n">
        <v>82.21</v>
      </c>
      <c r="U2042" s="61" t="n">
        <f aca="false">H2042*Resumo!$B$6</f>
        <v>0.47499</v>
      </c>
      <c r="V2042" s="61" t="n">
        <f aca="false">H2042*Resumo!$B$7</f>
        <v>0.94998</v>
      </c>
      <c r="W2042" s="61" t="n">
        <f aca="false">Resumo!$B$9</f>
        <v>1</v>
      </c>
      <c r="X2042" s="61" t="n">
        <f aca="false">Resumo!$B$10*CEILING(G2042/100,1)</f>
        <v>4.5</v>
      </c>
      <c r="Y2042" s="61" t="n">
        <f aca="false">Resumo!$B$12*CEILING(G2042,1)</f>
        <v>1.8</v>
      </c>
      <c r="Z2042" s="61" t="n">
        <f aca="false">Resumo!$B$14*CEILING(G2042,1)</f>
        <v>13.5</v>
      </c>
      <c r="AA2042" s="61" t="n">
        <f aca="false">SUM(T2042:Z2042)</f>
        <v>104.43497</v>
      </c>
      <c r="AB2042" s="61" t="n">
        <f aca="false">AA2042/(1-Resumo!$B$5)</f>
        <v>118.676102272727</v>
      </c>
      <c r="AC2042" s="61" t="n">
        <f aca="false">AB2042-S2042</f>
        <v>36.6250136363636</v>
      </c>
      <c r="AD2042" s="62" t="n">
        <f aca="false">AB2042/S2042-1</f>
        <v>0.44636840589257</v>
      </c>
      <c r="AE2042" s="60" t="str">
        <f aca="false">IF(AB2042&lt;S2042,"SIM","NÃO")</f>
        <v>NÃO</v>
      </c>
      <c r="AF2042" s="60" t="n">
        <v>2</v>
      </c>
      <c r="AG2042" s="60" t="n">
        <v>5</v>
      </c>
      <c r="AH2042" s="60" t="s">
        <v>382</v>
      </c>
      <c r="AI2042" s="61" t="n">
        <f aca="false">(T2042*(1-Painel!$C$40)+U2042+V2042+Painel!$C$41+Painel!$C$42*CEILING(G2042/100,1)+Painel!$C$43*CEILING(G2042,1)+Z2042)/(1-Resumo!$B$5)</f>
        <v>81.8814431818182</v>
      </c>
      <c r="AJ2042" s="60" t="str">
        <f aca="false">IF(AI2042&lt;S2042,"SIM","NÃO")</f>
        <v>SIM</v>
      </c>
    </row>
    <row r="2043" customFormat="false" ht="15" hidden="false" customHeight="false" outlineLevel="0" collapsed="false">
      <c r="A2043" s="59" t="n">
        <v>46288.6174305556</v>
      </c>
      <c r="B2043" s="60" t="s">
        <v>2190</v>
      </c>
      <c r="C2043" s="60" t="n">
        <v>27770000</v>
      </c>
      <c r="D2043" s="60" t="s">
        <v>301</v>
      </c>
      <c r="E2043" s="60" t="s">
        <v>24</v>
      </c>
      <c r="F2043" s="60" t="s">
        <v>237</v>
      </c>
      <c r="G2043" s="60" t="n">
        <v>66.8</v>
      </c>
      <c r="H2043" s="61" t="n">
        <v>691.9</v>
      </c>
      <c r="I2043" s="61" t="n">
        <v>90.2</v>
      </c>
      <c r="J2043" s="61" t="n">
        <f aca="false">H2043*Resumo!$C$6</f>
        <v>0</v>
      </c>
      <c r="K2043" s="61" t="n">
        <f aca="false">H2043*Resumo!$C$7</f>
        <v>1.45299</v>
      </c>
      <c r="L2043" s="61" t="n">
        <f aca="false">H2043*Resumo!$C$8</f>
        <v>1.45299</v>
      </c>
      <c r="M2043" s="61" t="n">
        <f aca="false">Resumo!$C$10*CEILING(G2043/100,1)</f>
        <v>1.05</v>
      </c>
      <c r="N2043" s="61" t="n">
        <f aca="false">Resumo!$C$9</f>
        <v>0</v>
      </c>
      <c r="O2043" s="61" t="n">
        <f aca="false">Resumo!$C$13</f>
        <v>13.55</v>
      </c>
      <c r="P2043" s="61" t="n">
        <f aca="false">Resumo!$C$14*CEILING(G2043,1)</f>
        <v>30.15</v>
      </c>
      <c r="Q2043" s="61" t="n">
        <f aca="false">SUM(I2043:P2043)*Resumo!$C$11</f>
        <v>0</v>
      </c>
      <c r="R2043" s="61" t="n">
        <f aca="false">SUM(I2043:Q2043)</f>
        <v>137.85598</v>
      </c>
      <c r="S2043" s="61" t="n">
        <f aca="false">R2043/(1-Resumo!$C$5)</f>
        <v>156.654522727273</v>
      </c>
      <c r="T2043" s="61" t="n">
        <v>166.05</v>
      </c>
      <c r="U2043" s="61" t="n">
        <f aca="false">H2043*Resumo!$B$6</f>
        <v>0.6919</v>
      </c>
      <c r="V2043" s="61" t="n">
        <f aca="false">H2043*Resumo!$B$7</f>
        <v>1.3838</v>
      </c>
      <c r="W2043" s="61" t="n">
        <f aca="false">Resumo!$B$9</f>
        <v>1</v>
      </c>
      <c r="X2043" s="61" t="n">
        <f aca="false">Resumo!$B$10*CEILING(G2043/100,1)</f>
        <v>4.5</v>
      </c>
      <c r="Y2043" s="61" t="n">
        <f aca="false">Resumo!$B$12*CEILING(G2043,1)</f>
        <v>4.02</v>
      </c>
      <c r="Z2043" s="61" t="n">
        <f aca="false">Resumo!$B$14*CEILING(G2043,1)</f>
        <v>30.15</v>
      </c>
      <c r="AA2043" s="61" t="n">
        <f aca="false">SUM(T2043:Z2043)</f>
        <v>207.7957</v>
      </c>
      <c r="AB2043" s="61" t="n">
        <f aca="false">AA2043/(1-Resumo!$B$5)</f>
        <v>236.131477272727</v>
      </c>
      <c r="AC2043" s="61" t="n">
        <f aca="false">AB2043-S2043</f>
        <v>79.4769545454546</v>
      </c>
      <c r="AD2043" s="62" t="n">
        <f aca="false">AB2043/S2043-1</f>
        <v>0.507339035999745</v>
      </c>
      <c r="AE2043" s="60" t="str">
        <f aca="false">IF(AB2043&lt;S2043,"SIM","NÃO")</f>
        <v>NÃO</v>
      </c>
      <c r="AF2043" s="60" t="n">
        <v>13</v>
      </c>
      <c r="AG2043" s="60" t="n">
        <v>10</v>
      </c>
      <c r="AH2043" s="60" t="s">
        <v>385</v>
      </c>
      <c r="AI2043" s="61" t="n">
        <f aca="false">(T2043*(1-Painel!$C$40)+U2043+V2043+Painel!$C$41+Painel!$C$42*CEILING(G2043/100,1)+Painel!$C$43*CEILING(G2043,1)+Z2043)/(1-Resumo!$B$5)</f>
        <v>165.374090909091</v>
      </c>
      <c r="AJ2043" s="60" t="str">
        <f aca="false">IF(AI2043&lt;S2043,"SIM","NÃO")</f>
        <v>NÃO</v>
      </c>
    </row>
    <row r="2044" customFormat="false" ht="15" hidden="false" customHeight="false" outlineLevel="0" collapsed="false">
      <c r="A2044" s="59" t="n">
        <v>46288.6230555556</v>
      </c>
      <c r="B2044" s="60" t="s">
        <v>2191</v>
      </c>
      <c r="C2044" s="60" t="n">
        <v>27966780</v>
      </c>
      <c r="D2044" s="60" t="s">
        <v>53</v>
      </c>
      <c r="E2044" s="60" t="s">
        <v>24</v>
      </c>
      <c r="F2044" s="60" t="s">
        <v>233</v>
      </c>
      <c r="G2044" s="60" t="n">
        <v>31.4</v>
      </c>
      <c r="H2044" s="61" t="n">
        <v>419.99</v>
      </c>
      <c r="I2044" s="61" t="n">
        <v>65.63</v>
      </c>
      <c r="J2044" s="61" t="n">
        <f aca="false">H2044*Resumo!$C$6</f>
        <v>0</v>
      </c>
      <c r="K2044" s="61" t="n">
        <f aca="false">H2044*Resumo!$C$7</f>
        <v>0.881979</v>
      </c>
      <c r="L2044" s="61" t="n">
        <f aca="false">H2044*Resumo!$C$8</f>
        <v>0.881979</v>
      </c>
      <c r="M2044" s="61" t="n">
        <f aca="false">Resumo!$C$10*CEILING(G2044/100,1)</f>
        <v>1.05</v>
      </c>
      <c r="N2044" s="61" t="n">
        <f aca="false">Resumo!$C$9</f>
        <v>0</v>
      </c>
      <c r="O2044" s="61" t="n">
        <f aca="false">Resumo!$C$13</f>
        <v>13.55</v>
      </c>
      <c r="P2044" s="61" t="n">
        <f aca="false">Resumo!$C$14*CEILING(G2044,1)</f>
        <v>14.4</v>
      </c>
      <c r="Q2044" s="61" t="n">
        <f aca="false">SUM(I2044:P2044)*Resumo!$C$11</f>
        <v>0</v>
      </c>
      <c r="R2044" s="61" t="n">
        <f aca="false">SUM(I2044:Q2044)</f>
        <v>96.393958</v>
      </c>
      <c r="S2044" s="61" t="n">
        <f aca="false">R2044/(1-Resumo!$C$5)</f>
        <v>109.538588636364</v>
      </c>
      <c r="T2044" s="61" t="n">
        <v>138.29</v>
      </c>
      <c r="U2044" s="61" t="n">
        <f aca="false">H2044*Resumo!$B$6</f>
        <v>0.41999</v>
      </c>
      <c r="V2044" s="61" t="n">
        <f aca="false">H2044*Resumo!$B$7</f>
        <v>0.83998</v>
      </c>
      <c r="W2044" s="61" t="n">
        <f aca="false">Resumo!$B$9</f>
        <v>1</v>
      </c>
      <c r="X2044" s="61" t="n">
        <f aca="false">Resumo!$B$10*CEILING(G2044/100,1)</f>
        <v>4.5</v>
      </c>
      <c r="Y2044" s="61" t="n">
        <f aca="false">Resumo!$B$12*CEILING(G2044,1)</f>
        <v>1.92</v>
      </c>
      <c r="Z2044" s="61" t="n">
        <f aca="false">Resumo!$B$14*CEILING(G2044,1)</f>
        <v>14.4</v>
      </c>
      <c r="AA2044" s="61" t="n">
        <f aca="false">SUM(T2044:Z2044)</f>
        <v>161.36997</v>
      </c>
      <c r="AB2044" s="61" t="n">
        <f aca="false">AA2044/(1-Resumo!$B$5)</f>
        <v>183.374965909091</v>
      </c>
      <c r="AC2044" s="61" t="n">
        <f aca="false">AB2044-S2044</f>
        <v>73.8363772727273</v>
      </c>
      <c r="AD2044" s="62" t="n">
        <f aca="false">AB2044/S2044-1</f>
        <v>0.674067268821973</v>
      </c>
      <c r="AE2044" s="60" t="str">
        <f aca="false">IF(AB2044&lt;S2044,"SIM","NÃO")</f>
        <v>NÃO</v>
      </c>
      <c r="AF2044" s="60" t="n">
        <v>13</v>
      </c>
      <c r="AG2044" s="60" t="n">
        <v>11</v>
      </c>
      <c r="AH2044" s="60" t="s">
        <v>382</v>
      </c>
      <c r="AI2044" s="61" t="n">
        <f aca="false">(T2044*(1-Painel!$C$40)+U2044+V2044+Painel!$C$41+Painel!$C$42*CEILING(G2044/100,1)+Painel!$C$43*CEILING(G2044,1)+Z2044)/(1-Resumo!$B$5)</f>
        <v>125.413943181818</v>
      </c>
      <c r="AJ2044" s="60" t="str">
        <f aca="false">IF(AI2044&lt;S2044,"SIM","NÃO")</f>
        <v>NÃO</v>
      </c>
    </row>
    <row r="2045" customFormat="false" ht="15" hidden="false" customHeight="false" outlineLevel="0" collapsed="false">
      <c r="A2045" s="59" t="n">
        <v>46288.6290046296</v>
      </c>
      <c r="B2045" s="60" t="s">
        <v>2192</v>
      </c>
      <c r="C2045" s="60" t="n">
        <v>21321250</v>
      </c>
      <c r="D2045" s="60" t="s">
        <v>46</v>
      </c>
      <c r="E2045" s="60" t="s">
        <v>22</v>
      </c>
      <c r="F2045" s="60" t="s">
        <v>234</v>
      </c>
      <c r="G2045" s="60" t="n">
        <v>36.9</v>
      </c>
      <c r="H2045" s="61" t="n">
        <v>439.99</v>
      </c>
      <c r="I2045" s="61" t="n">
        <v>48.35</v>
      </c>
      <c r="J2045" s="61" t="n">
        <f aca="false">H2045*Resumo!$C$6</f>
        <v>0</v>
      </c>
      <c r="K2045" s="61" t="n">
        <f aca="false">H2045*Resumo!$C$7</f>
        <v>0.923979</v>
      </c>
      <c r="L2045" s="61" t="n">
        <f aca="false">H2045*Resumo!$C$8</f>
        <v>0.923979</v>
      </c>
      <c r="M2045" s="61" t="n">
        <f aca="false">Resumo!$C$10*CEILING(G2045/100,1)</f>
        <v>1.05</v>
      </c>
      <c r="N2045" s="61" t="n">
        <f aca="false">Resumo!$C$9</f>
        <v>0</v>
      </c>
      <c r="O2045" s="61" t="n">
        <f aca="false">Resumo!$C$13</f>
        <v>13.55</v>
      </c>
      <c r="P2045" s="61" t="n">
        <f aca="false">Resumo!$C$14*CEILING(G2045,1)</f>
        <v>16.65</v>
      </c>
      <c r="Q2045" s="61" t="n">
        <f aca="false">SUM(I2045:P2045)*Resumo!$C$11</f>
        <v>0</v>
      </c>
      <c r="R2045" s="61" t="n">
        <f aca="false">SUM(I2045:Q2045)</f>
        <v>81.447958</v>
      </c>
      <c r="S2045" s="61" t="n">
        <f aca="false">R2045/(1-Resumo!$C$5)</f>
        <v>92.5544977272728</v>
      </c>
      <c r="T2045" s="61" t="n">
        <v>93.97</v>
      </c>
      <c r="U2045" s="61" t="n">
        <f aca="false">H2045*Resumo!$B$6</f>
        <v>0.43999</v>
      </c>
      <c r="V2045" s="61" t="n">
        <f aca="false">H2045*Resumo!$B$7</f>
        <v>0.87998</v>
      </c>
      <c r="W2045" s="61" t="n">
        <f aca="false">Resumo!$B$9</f>
        <v>1</v>
      </c>
      <c r="X2045" s="61" t="n">
        <f aca="false">Resumo!$B$10*CEILING(G2045/100,1)</f>
        <v>4.5</v>
      </c>
      <c r="Y2045" s="61" t="n">
        <f aca="false">Resumo!$B$12*CEILING(G2045,1)</f>
        <v>2.22</v>
      </c>
      <c r="Z2045" s="61" t="n">
        <f aca="false">Resumo!$B$14*CEILING(G2045,1)</f>
        <v>16.65</v>
      </c>
      <c r="AA2045" s="61" t="n">
        <f aca="false">SUM(T2045:Z2045)</f>
        <v>119.65997</v>
      </c>
      <c r="AB2045" s="61" t="n">
        <f aca="false">AA2045/(1-Resumo!$B$5)</f>
        <v>135.977238636364</v>
      </c>
      <c r="AC2045" s="61" t="n">
        <f aca="false">AB2045-S2045</f>
        <v>43.4227409090909</v>
      </c>
      <c r="AD2045" s="62" t="n">
        <f aca="false">AB2045/S2045-1</f>
        <v>0.469158625192297</v>
      </c>
      <c r="AE2045" s="60" t="str">
        <f aca="false">IF(AB2045&lt;S2045,"SIM","NÃO")</f>
        <v>NÃO</v>
      </c>
      <c r="AF2045" s="60" t="n">
        <v>2</v>
      </c>
      <c r="AG2045" s="60" t="n">
        <v>5</v>
      </c>
      <c r="AH2045" s="60" t="s">
        <v>382</v>
      </c>
      <c r="AI2045" s="61" t="n">
        <f aca="false">(T2045*(1-Painel!$C$40)+U2045+V2045+Painel!$C$41+Painel!$C$42*CEILING(G2045/100,1)+Painel!$C$43*CEILING(G2045,1)+Z2045)/(1-Resumo!$B$5)</f>
        <v>94.2953068181818</v>
      </c>
      <c r="AJ2045" s="60" t="str">
        <f aca="false">IF(AI2045&lt;S2045,"SIM","NÃO")</f>
        <v>NÃO</v>
      </c>
    </row>
    <row r="2046" customFormat="false" ht="15" hidden="false" customHeight="false" outlineLevel="0" collapsed="false">
      <c r="A2046" s="59" t="n">
        <v>46288.6371759259</v>
      </c>
      <c r="B2046" s="60" t="s">
        <v>2193</v>
      </c>
      <c r="C2046" s="60" t="n">
        <v>25520430</v>
      </c>
      <c r="D2046" s="60" t="s">
        <v>216</v>
      </c>
      <c r="E2046" s="60" t="s">
        <v>23</v>
      </c>
      <c r="F2046" s="60" t="s">
        <v>237</v>
      </c>
      <c r="G2046" s="60" t="n">
        <v>66.8</v>
      </c>
      <c r="H2046" s="61" t="n">
        <v>666.23</v>
      </c>
      <c r="I2046" s="61" t="n">
        <v>76.55</v>
      </c>
      <c r="J2046" s="61" t="n">
        <f aca="false">H2046*Resumo!$C$6</f>
        <v>0</v>
      </c>
      <c r="K2046" s="61" t="n">
        <f aca="false">H2046*Resumo!$C$7</f>
        <v>1.399083</v>
      </c>
      <c r="L2046" s="61" t="n">
        <f aca="false">H2046*Resumo!$C$8</f>
        <v>1.399083</v>
      </c>
      <c r="M2046" s="61" t="n">
        <f aca="false">Resumo!$C$10*CEILING(G2046/100,1)</f>
        <v>1.05</v>
      </c>
      <c r="N2046" s="61" t="n">
        <f aca="false">Resumo!$C$9</f>
        <v>0</v>
      </c>
      <c r="O2046" s="61" t="n">
        <f aca="false">Resumo!$C$13</f>
        <v>13.55</v>
      </c>
      <c r="P2046" s="61" t="n">
        <f aca="false">Resumo!$C$14*CEILING(G2046,1)</f>
        <v>30.15</v>
      </c>
      <c r="Q2046" s="61" t="n">
        <f aca="false">SUM(I2046:P2046)*Resumo!$C$11</f>
        <v>0</v>
      </c>
      <c r="R2046" s="61" t="n">
        <f aca="false">SUM(I2046:Q2046)</f>
        <v>124.098166</v>
      </c>
      <c r="S2046" s="61" t="n">
        <f aca="false">R2046/(1-Resumo!$C$5)</f>
        <v>141.020643181818</v>
      </c>
      <c r="T2046" s="61" t="n">
        <v>131.02</v>
      </c>
      <c r="U2046" s="61" t="n">
        <f aca="false">H2046*Resumo!$B$6</f>
        <v>0.66623</v>
      </c>
      <c r="V2046" s="61" t="n">
        <f aca="false">H2046*Resumo!$B$7</f>
        <v>1.33246</v>
      </c>
      <c r="W2046" s="61" t="n">
        <f aca="false">Resumo!$B$9</f>
        <v>1</v>
      </c>
      <c r="X2046" s="61" t="n">
        <f aca="false">Resumo!$B$10*CEILING(G2046/100,1)</f>
        <v>4.5</v>
      </c>
      <c r="Y2046" s="61" t="n">
        <f aca="false">Resumo!$B$12*CEILING(G2046,1)</f>
        <v>4.02</v>
      </c>
      <c r="Z2046" s="61" t="n">
        <f aca="false">Resumo!$B$14*CEILING(G2046,1)</f>
        <v>30.15</v>
      </c>
      <c r="AA2046" s="61" t="n">
        <f aca="false">SUM(T2046:Z2046)</f>
        <v>172.68869</v>
      </c>
      <c r="AB2046" s="61" t="n">
        <f aca="false">AA2046/(1-Resumo!$B$5)</f>
        <v>196.237147727273</v>
      </c>
      <c r="AC2046" s="61" t="n">
        <f aca="false">AB2046-S2046</f>
        <v>55.2165045454545</v>
      </c>
      <c r="AD2046" s="62" t="n">
        <f aca="false">AB2046/S2046-1</f>
        <v>0.39154909025811</v>
      </c>
      <c r="AE2046" s="60" t="str">
        <f aca="false">IF(AB2046&lt;S2046,"SIM","NÃO")</f>
        <v>NÃO</v>
      </c>
      <c r="AF2046" s="60" t="n">
        <v>2</v>
      </c>
      <c r="AG2046" s="60" t="n">
        <v>5</v>
      </c>
      <c r="AH2046" s="60" t="s">
        <v>382</v>
      </c>
      <c r="AI2046" s="61" t="n">
        <f aca="false">(T2046*(1-Painel!$C$40)+U2046+V2046+Painel!$C$41+Painel!$C$42*CEILING(G2046/100,1)+Painel!$C$43*CEILING(G2046,1)+Z2046)/(1-Resumo!$B$5)</f>
        <v>138.616011363636</v>
      </c>
      <c r="AJ2046" s="60" t="str">
        <f aca="false">IF(AI2046&lt;S2046,"SIM","NÃO")</f>
        <v>SIM</v>
      </c>
    </row>
    <row r="2047" customFormat="false" ht="15" hidden="false" customHeight="false" outlineLevel="0" collapsed="false">
      <c r="A2047" s="59" t="n">
        <v>46288.6532523148</v>
      </c>
      <c r="B2047" s="60" t="s">
        <v>2194</v>
      </c>
      <c r="C2047" s="60" t="n">
        <v>22630010</v>
      </c>
      <c r="D2047" s="60" t="s">
        <v>46</v>
      </c>
      <c r="E2047" s="60" t="s">
        <v>22</v>
      </c>
      <c r="F2047" s="60" t="s">
        <v>233</v>
      </c>
      <c r="G2047" s="60" t="n">
        <v>21.3</v>
      </c>
      <c r="H2047" s="61" t="n">
        <v>218.02</v>
      </c>
      <c r="I2047" s="61" t="n">
        <v>42.11</v>
      </c>
      <c r="J2047" s="61" t="n">
        <f aca="false">H2047*Resumo!$C$6</f>
        <v>0</v>
      </c>
      <c r="K2047" s="61" t="n">
        <f aca="false">H2047*Resumo!$C$7</f>
        <v>0.457842</v>
      </c>
      <c r="L2047" s="61" t="n">
        <f aca="false">H2047*Resumo!$C$8</f>
        <v>0.457842</v>
      </c>
      <c r="M2047" s="61" t="n">
        <f aca="false">Resumo!$C$10*CEILING(G2047/100,1)</f>
        <v>1.05</v>
      </c>
      <c r="N2047" s="61" t="n">
        <f aca="false">Resumo!$C$9</f>
        <v>0</v>
      </c>
      <c r="O2047" s="61" t="n">
        <f aca="false">Resumo!$C$13</f>
        <v>13.55</v>
      </c>
      <c r="P2047" s="61" t="n">
        <f aca="false">Resumo!$C$14*CEILING(G2047,1)</f>
        <v>9.9</v>
      </c>
      <c r="Q2047" s="61" t="n">
        <f aca="false">SUM(I2047:P2047)*Resumo!$C$11</f>
        <v>0</v>
      </c>
      <c r="R2047" s="61" t="n">
        <f aca="false">SUM(I2047:Q2047)</f>
        <v>67.525684</v>
      </c>
      <c r="S2047" s="61" t="n">
        <f aca="false">R2047/(1-Resumo!$C$5)</f>
        <v>76.7337318181818</v>
      </c>
      <c r="T2047" s="61" t="n">
        <v>82.21</v>
      </c>
      <c r="U2047" s="61" t="n">
        <f aca="false">H2047*Resumo!$B$6</f>
        <v>0.21802</v>
      </c>
      <c r="V2047" s="61" t="n">
        <f aca="false">H2047*Resumo!$B$7</f>
        <v>0.43604</v>
      </c>
      <c r="W2047" s="61" t="n">
        <f aca="false">Resumo!$B$9</f>
        <v>1</v>
      </c>
      <c r="X2047" s="61" t="n">
        <f aca="false">Resumo!$B$10*CEILING(G2047/100,1)</f>
        <v>4.5</v>
      </c>
      <c r="Y2047" s="61" t="n">
        <f aca="false">Resumo!$B$12*CEILING(G2047,1)</f>
        <v>1.32</v>
      </c>
      <c r="Z2047" s="61" t="n">
        <f aca="false">Resumo!$B$14*CEILING(G2047,1)</f>
        <v>9.9</v>
      </c>
      <c r="AA2047" s="61" t="n">
        <f aca="false">SUM(T2047:Z2047)</f>
        <v>99.58406</v>
      </c>
      <c r="AB2047" s="61" t="n">
        <f aca="false">AA2047/(1-Resumo!$B$5)</f>
        <v>113.163704545455</v>
      </c>
      <c r="AC2047" s="61" t="n">
        <f aca="false">AB2047-S2047</f>
        <v>36.4299727272727</v>
      </c>
      <c r="AD2047" s="62" t="n">
        <f aca="false">AB2047/S2047-1</f>
        <v>0.474758256428769</v>
      </c>
      <c r="AE2047" s="60" t="str">
        <f aca="false">IF(AB2047&lt;S2047,"SIM","NÃO")</f>
        <v>NÃO</v>
      </c>
      <c r="AF2047" s="60" t="n">
        <v>2</v>
      </c>
      <c r="AG2047" s="60" t="n">
        <v>5</v>
      </c>
      <c r="AH2047" s="60" t="s">
        <v>382</v>
      </c>
      <c r="AI2047" s="61" t="n">
        <f aca="false">(T2047*(1-Painel!$C$40)+U2047+V2047+Painel!$C$41+Painel!$C$42*CEILING(G2047/100,1)+Painel!$C$43*CEILING(G2047,1)+Z2047)/(1-Resumo!$B$5)</f>
        <v>76.9145</v>
      </c>
      <c r="AJ2047" s="60" t="str">
        <f aca="false">IF(AI2047&lt;S2047,"SIM","NÃO")</f>
        <v>NÃO</v>
      </c>
    </row>
    <row r="2048" customFormat="false" ht="15" hidden="false" customHeight="false" outlineLevel="0" collapsed="false">
      <c r="A2048" s="59" t="n">
        <v>46288.6967592593</v>
      </c>
      <c r="B2048" s="60" t="s">
        <v>2195</v>
      </c>
      <c r="C2048" s="60" t="n">
        <v>21310310</v>
      </c>
      <c r="D2048" s="60" t="s">
        <v>46</v>
      </c>
      <c r="E2048" s="60" t="s">
        <v>22</v>
      </c>
      <c r="F2048" s="60" t="s">
        <v>236</v>
      </c>
      <c r="G2048" s="60" t="n">
        <v>52.3</v>
      </c>
      <c r="H2048" s="61" t="n">
        <v>592.37</v>
      </c>
      <c r="I2048" s="61" t="n">
        <v>58.6</v>
      </c>
      <c r="J2048" s="61" t="n">
        <f aca="false">H2048*Resumo!$C$6</f>
        <v>0</v>
      </c>
      <c r="K2048" s="61" t="n">
        <f aca="false">H2048*Resumo!$C$7</f>
        <v>1.243977</v>
      </c>
      <c r="L2048" s="61" t="n">
        <f aca="false">H2048*Resumo!$C$8</f>
        <v>1.243977</v>
      </c>
      <c r="M2048" s="61" t="n">
        <f aca="false">Resumo!$C$10*CEILING(G2048/100,1)</f>
        <v>1.05</v>
      </c>
      <c r="N2048" s="61" t="n">
        <f aca="false">Resumo!$C$9</f>
        <v>0</v>
      </c>
      <c r="O2048" s="61" t="n">
        <f aca="false">Resumo!$C$13</f>
        <v>13.55</v>
      </c>
      <c r="P2048" s="61" t="n">
        <f aca="false">Resumo!$C$14*CEILING(G2048,1)</f>
        <v>23.85</v>
      </c>
      <c r="Q2048" s="61" t="n">
        <f aca="false">SUM(I2048:P2048)*Resumo!$C$11</f>
        <v>0</v>
      </c>
      <c r="R2048" s="61" t="n">
        <f aca="false">SUM(I2048:Q2048)</f>
        <v>99.537954</v>
      </c>
      <c r="S2048" s="61" t="n">
        <f aca="false">R2048/(1-Resumo!$C$5)</f>
        <v>113.111311363636</v>
      </c>
      <c r="T2048" s="61" t="n">
        <v>112.3</v>
      </c>
      <c r="U2048" s="61" t="n">
        <f aca="false">H2048*Resumo!$B$6</f>
        <v>0.59237</v>
      </c>
      <c r="V2048" s="61" t="n">
        <f aca="false">H2048*Resumo!$B$7</f>
        <v>1.18474</v>
      </c>
      <c r="W2048" s="61" t="n">
        <f aca="false">Resumo!$B$9</f>
        <v>1</v>
      </c>
      <c r="X2048" s="61" t="n">
        <f aca="false">Resumo!$B$10*CEILING(G2048/100,1)</f>
        <v>4.5</v>
      </c>
      <c r="Y2048" s="61" t="n">
        <f aca="false">Resumo!$B$12*CEILING(G2048,1)</f>
        <v>3.18</v>
      </c>
      <c r="Z2048" s="61" t="n">
        <f aca="false">Resumo!$B$14*CEILING(G2048,1)</f>
        <v>23.85</v>
      </c>
      <c r="AA2048" s="61" t="n">
        <f aca="false">SUM(T2048:Z2048)</f>
        <v>146.60711</v>
      </c>
      <c r="AB2048" s="61" t="n">
        <f aca="false">AA2048/(1-Resumo!$B$5)</f>
        <v>166.598988636364</v>
      </c>
      <c r="AC2048" s="61" t="n">
        <f aca="false">AB2048-S2048</f>
        <v>53.4876772727273</v>
      </c>
      <c r="AD2048" s="62" t="n">
        <f aca="false">AB2048/S2048-1</f>
        <v>0.47287646679979</v>
      </c>
      <c r="AE2048" s="60" t="str">
        <f aca="false">IF(AB2048&lt;S2048,"SIM","NÃO")</f>
        <v>NÃO</v>
      </c>
      <c r="AF2048" s="60" t="n">
        <v>2</v>
      </c>
      <c r="AG2048" s="60" t="n">
        <v>5</v>
      </c>
      <c r="AH2048" s="60" t="s">
        <v>382</v>
      </c>
      <c r="AI2048" s="61" t="n">
        <f aca="false">(T2048*(1-Painel!$C$40)+U2048+V2048+Painel!$C$41+Painel!$C$42*CEILING(G2048/100,1)+Painel!$C$43*CEILING(G2048,1)+Z2048)/(1-Resumo!$B$5)</f>
        <v>116.952397727273</v>
      </c>
      <c r="AJ2048" s="60" t="str">
        <f aca="false">IF(AI2048&lt;S2048,"SIM","NÃO")</f>
        <v>NÃO</v>
      </c>
    </row>
    <row r="2049" customFormat="false" ht="15" hidden="false" customHeight="false" outlineLevel="0" collapsed="false">
      <c r="A2049" s="59" t="n">
        <v>46288.7064467593</v>
      </c>
      <c r="B2049" s="60" t="s">
        <v>2196</v>
      </c>
      <c r="C2049" s="60" t="n">
        <v>27281422</v>
      </c>
      <c r="D2049" s="60" t="s">
        <v>217</v>
      </c>
      <c r="E2049" s="60" t="s">
        <v>24</v>
      </c>
      <c r="F2049" s="60" t="s">
        <v>233</v>
      </c>
      <c r="G2049" s="60" t="n">
        <v>27.4</v>
      </c>
      <c r="H2049" s="61" t="n">
        <v>369.99</v>
      </c>
      <c r="I2049" s="61" t="n">
        <v>65.63</v>
      </c>
      <c r="J2049" s="61" t="n">
        <f aca="false">H2049*Resumo!$C$6</f>
        <v>0</v>
      </c>
      <c r="K2049" s="61" t="n">
        <f aca="false">H2049*Resumo!$C$7</f>
        <v>0.776979</v>
      </c>
      <c r="L2049" s="61" t="n">
        <f aca="false">H2049*Resumo!$C$8</f>
        <v>0.776979</v>
      </c>
      <c r="M2049" s="61" t="n">
        <f aca="false">Resumo!$C$10*CEILING(G2049/100,1)</f>
        <v>1.05</v>
      </c>
      <c r="N2049" s="61" t="n">
        <f aca="false">Resumo!$C$9</f>
        <v>0</v>
      </c>
      <c r="O2049" s="61" t="n">
        <f aca="false">Resumo!$C$13</f>
        <v>13.55</v>
      </c>
      <c r="P2049" s="61" t="n">
        <f aca="false">Resumo!$C$14*CEILING(G2049,1)</f>
        <v>12.6</v>
      </c>
      <c r="Q2049" s="61" t="n">
        <f aca="false">SUM(I2049:P2049)*Resumo!$C$11</f>
        <v>0</v>
      </c>
      <c r="R2049" s="61" t="n">
        <f aca="false">SUM(I2049:Q2049)</f>
        <v>94.383958</v>
      </c>
      <c r="S2049" s="61" t="n">
        <f aca="false">R2049/(1-Resumo!$C$5)</f>
        <v>107.254497727273</v>
      </c>
      <c r="T2049" s="61" t="n">
        <v>108.83</v>
      </c>
      <c r="U2049" s="61" t="n">
        <f aca="false">H2049*Resumo!$B$6</f>
        <v>0.36999</v>
      </c>
      <c r="V2049" s="61" t="n">
        <f aca="false">H2049*Resumo!$B$7</f>
        <v>0.73998</v>
      </c>
      <c r="W2049" s="61" t="n">
        <f aca="false">Resumo!$B$9</f>
        <v>1</v>
      </c>
      <c r="X2049" s="61" t="n">
        <f aca="false">Resumo!$B$10*CEILING(G2049/100,1)</f>
        <v>4.5</v>
      </c>
      <c r="Y2049" s="61" t="n">
        <f aca="false">Resumo!$B$12*CEILING(G2049,1)</f>
        <v>1.68</v>
      </c>
      <c r="Z2049" s="61" t="n">
        <f aca="false">Resumo!$B$14*CEILING(G2049,1)</f>
        <v>12.6</v>
      </c>
      <c r="AA2049" s="61" t="n">
        <f aca="false">SUM(T2049:Z2049)</f>
        <v>129.71997</v>
      </c>
      <c r="AB2049" s="61" t="n">
        <f aca="false">AA2049/(1-Resumo!$B$5)</f>
        <v>147.409056818182</v>
      </c>
      <c r="AC2049" s="61" t="n">
        <f aca="false">AB2049-S2049</f>
        <v>40.1545590909091</v>
      </c>
      <c r="AD2049" s="62" t="n">
        <f aca="false">AB2049/S2049-1</f>
        <v>0.374385782804319</v>
      </c>
      <c r="AE2049" s="60" t="str">
        <f aca="false">IF(AB2049&lt;S2049,"SIM","NÃO")</f>
        <v>NÃO</v>
      </c>
      <c r="AF2049" s="60" t="n">
        <v>13</v>
      </c>
      <c r="AG2049" s="60" t="n">
        <v>10</v>
      </c>
      <c r="AH2049" s="60" t="s">
        <v>382</v>
      </c>
      <c r="AI2049" s="61" t="n">
        <f aca="false">(T2049*(1-Painel!$C$40)+U2049+V2049+Painel!$C$41+Painel!$C$42*CEILING(G2049/100,1)+Painel!$C$43*CEILING(G2049,1)+Z2049)/(1-Resumo!$B$5)</f>
        <v>100.768261363636</v>
      </c>
      <c r="AJ2049" s="60" t="str">
        <f aca="false">IF(AI2049&lt;S2049,"SIM","NÃO")</f>
        <v>SIM</v>
      </c>
    </row>
    <row r="2050" customFormat="false" ht="15" hidden="false" customHeight="false" outlineLevel="0" collapsed="false">
      <c r="A2050" s="59" t="n">
        <v>46288.7096296296</v>
      </c>
      <c r="B2050" s="60" t="s">
        <v>2197</v>
      </c>
      <c r="C2050" s="60" t="n">
        <v>24731070</v>
      </c>
      <c r="D2050" s="60" t="s">
        <v>47</v>
      </c>
      <c r="E2050" s="60" t="s">
        <v>23</v>
      </c>
      <c r="F2050" s="60" t="s">
        <v>233</v>
      </c>
      <c r="G2050" s="60" t="n">
        <v>22.4</v>
      </c>
      <c r="H2050" s="61" t="n">
        <v>559.99</v>
      </c>
      <c r="I2050" s="61" t="n">
        <v>58.8</v>
      </c>
      <c r="J2050" s="61" t="n">
        <f aca="false">H2050*Resumo!$C$6</f>
        <v>0</v>
      </c>
      <c r="K2050" s="61" t="n">
        <f aca="false">H2050*Resumo!$C$7</f>
        <v>1.175979</v>
      </c>
      <c r="L2050" s="61" t="n">
        <f aca="false">H2050*Resumo!$C$8</f>
        <v>1.175979</v>
      </c>
      <c r="M2050" s="61" t="n">
        <f aca="false">Resumo!$C$10*CEILING(G2050/100,1)</f>
        <v>1.05</v>
      </c>
      <c r="N2050" s="61" t="n">
        <f aca="false">Resumo!$C$9</f>
        <v>0</v>
      </c>
      <c r="O2050" s="61" t="n">
        <f aca="false">Resumo!$C$13</f>
        <v>13.55</v>
      </c>
      <c r="P2050" s="61" t="n">
        <f aca="false">Resumo!$C$14*CEILING(G2050,1)</f>
        <v>10.35</v>
      </c>
      <c r="Q2050" s="61" t="n">
        <f aca="false">SUM(I2050:P2050)*Resumo!$C$11</f>
        <v>0</v>
      </c>
      <c r="R2050" s="61" t="n">
        <f aca="false">SUM(I2050:Q2050)</f>
        <v>86.101958</v>
      </c>
      <c r="S2050" s="61" t="n">
        <f aca="false">R2050/(1-Resumo!$C$5)</f>
        <v>97.8431340909091</v>
      </c>
      <c r="T2050" s="61" t="n">
        <v>100.58</v>
      </c>
      <c r="U2050" s="61" t="n">
        <f aca="false">H2050*Resumo!$B$6</f>
        <v>0.55999</v>
      </c>
      <c r="V2050" s="61" t="n">
        <f aca="false">H2050*Resumo!$B$7</f>
        <v>1.11998</v>
      </c>
      <c r="W2050" s="61" t="n">
        <f aca="false">Resumo!$B$9</f>
        <v>1</v>
      </c>
      <c r="X2050" s="61" t="n">
        <f aca="false">Resumo!$B$10*CEILING(G2050/100,1)</f>
        <v>4.5</v>
      </c>
      <c r="Y2050" s="61" t="n">
        <f aca="false">Resumo!$B$12*CEILING(G2050,1)</f>
        <v>1.38</v>
      </c>
      <c r="Z2050" s="61" t="n">
        <f aca="false">Resumo!$B$14*CEILING(G2050,1)</f>
        <v>10.35</v>
      </c>
      <c r="AA2050" s="61" t="n">
        <f aca="false">SUM(T2050:Z2050)</f>
        <v>119.48997</v>
      </c>
      <c r="AB2050" s="61" t="n">
        <f aca="false">AA2050/(1-Resumo!$B$5)</f>
        <v>135.784056818182</v>
      </c>
      <c r="AC2050" s="61" t="n">
        <f aca="false">AB2050-S2050</f>
        <v>37.9409227272727</v>
      </c>
      <c r="AD2050" s="62" t="n">
        <f aca="false">AB2050/S2050-1</f>
        <v>0.38777297027322</v>
      </c>
      <c r="AE2050" s="60" t="str">
        <f aca="false">IF(AB2050&lt;S2050,"SIM","NÃO")</f>
        <v>NÃO</v>
      </c>
      <c r="AF2050" s="60" t="n">
        <v>2</v>
      </c>
      <c r="AG2050" s="60" t="n">
        <v>7</v>
      </c>
      <c r="AH2050" s="60" t="s">
        <v>382</v>
      </c>
      <c r="AI2050" s="61" t="n">
        <f aca="false">(T2050*(1-Painel!$C$40)+U2050+V2050+Painel!$C$41+Painel!$C$42*CEILING(G2050/100,1)+Painel!$C$43*CEILING(G2050,1)+Z2050)/(1-Resumo!$B$5)</f>
        <v>92.5779204545454</v>
      </c>
      <c r="AJ2050" s="60" t="str">
        <f aca="false">IF(AI2050&lt;S2050,"SIM","NÃO")</f>
        <v>SIM</v>
      </c>
    </row>
    <row r="2051" customFormat="false" ht="15" hidden="false" customHeight="false" outlineLevel="0" collapsed="false">
      <c r="A2051" s="59" t="n">
        <v>46288.7116319445</v>
      </c>
      <c r="B2051" s="60" t="s">
        <v>2198</v>
      </c>
      <c r="C2051" s="60" t="n">
        <v>23028255</v>
      </c>
      <c r="D2051" s="60" t="s">
        <v>46</v>
      </c>
      <c r="E2051" s="60" t="s">
        <v>22</v>
      </c>
      <c r="F2051" s="60" t="s">
        <v>235</v>
      </c>
      <c r="G2051" s="60" t="n">
        <v>48</v>
      </c>
      <c r="H2051" s="61" t="n">
        <v>829.99</v>
      </c>
      <c r="I2051" s="61" t="n">
        <v>53.55</v>
      </c>
      <c r="J2051" s="61" t="n">
        <f aca="false">H2051*Resumo!$C$6</f>
        <v>0</v>
      </c>
      <c r="K2051" s="61" t="n">
        <f aca="false">H2051*Resumo!$C$7</f>
        <v>1.742979</v>
      </c>
      <c r="L2051" s="61" t="n">
        <f aca="false">H2051*Resumo!$C$8</f>
        <v>1.742979</v>
      </c>
      <c r="M2051" s="61" t="n">
        <f aca="false">Resumo!$C$10*CEILING(G2051/100,1)</f>
        <v>1.05</v>
      </c>
      <c r="N2051" s="61" t="n">
        <f aca="false">Resumo!$C$9</f>
        <v>0</v>
      </c>
      <c r="O2051" s="61" t="n">
        <f aca="false">Resumo!$C$13</f>
        <v>13.55</v>
      </c>
      <c r="P2051" s="61" t="n">
        <f aca="false">Resumo!$C$14*CEILING(G2051,1)</f>
        <v>21.6</v>
      </c>
      <c r="Q2051" s="61" t="n">
        <f aca="false">SUM(I2051:P2051)*Resumo!$C$11</f>
        <v>0</v>
      </c>
      <c r="R2051" s="61" t="n">
        <f aca="false">SUM(I2051:Q2051)</f>
        <v>93.235958</v>
      </c>
      <c r="S2051" s="61" t="n">
        <f aca="false">R2051/(1-Resumo!$C$5)</f>
        <v>105.949952272727</v>
      </c>
      <c r="T2051" s="61" t="n">
        <v>93.97</v>
      </c>
      <c r="U2051" s="61" t="n">
        <f aca="false">H2051*Resumo!$B$6</f>
        <v>0.82999</v>
      </c>
      <c r="V2051" s="61" t="n">
        <f aca="false">H2051*Resumo!$B$7</f>
        <v>1.65998</v>
      </c>
      <c r="W2051" s="61" t="n">
        <f aca="false">Resumo!$B$9</f>
        <v>1</v>
      </c>
      <c r="X2051" s="61" t="n">
        <f aca="false">Resumo!$B$10*CEILING(G2051/100,1)</f>
        <v>4.5</v>
      </c>
      <c r="Y2051" s="61" t="n">
        <f aca="false">Resumo!$B$12*CEILING(G2051,1)</f>
        <v>2.88</v>
      </c>
      <c r="Z2051" s="61" t="n">
        <f aca="false">Resumo!$B$14*CEILING(G2051,1)</f>
        <v>21.6</v>
      </c>
      <c r="AA2051" s="61" t="n">
        <f aca="false">SUM(T2051:Z2051)</f>
        <v>126.43997</v>
      </c>
      <c r="AB2051" s="61" t="n">
        <f aca="false">AA2051/(1-Resumo!$B$5)</f>
        <v>143.681784090909</v>
      </c>
      <c r="AC2051" s="61" t="n">
        <f aca="false">AB2051-S2051</f>
        <v>37.7318318181818</v>
      </c>
      <c r="AD2051" s="62" t="n">
        <f aca="false">AB2051/S2051-1</f>
        <v>0.356128823173565</v>
      </c>
      <c r="AE2051" s="60" t="str">
        <f aca="false">IF(AB2051&lt;S2051,"SIM","NÃO")</f>
        <v>NÃO</v>
      </c>
      <c r="AF2051" s="60" t="n">
        <v>2</v>
      </c>
      <c r="AG2051" s="60" t="n">
        <v>5</v>
      </c>
      <c r="AH2051" s="60" t="s">
        <v>382</v>
      </c>
      <c r="AI2051" s="61" t="n">
        <f aca="false">(T2051*(1-Painel!$C$40)+U2051+V2051+Painel!$C$41+Painel!$C$42*CEILING(G2051/100,1)+Painel!$C$43*CEILING(G2051,1)+Z2051)/(1-Resumo!$B$5)</f>
        <v>101.249852272727</v>
      </c>
      <c r="AJ2051" s="60" t="str">
        <f aca="false">IF(AI2051&lt;S2051,"SIM","NÃO")</f>
        <v>SIM</v>
      </c>
    </row>
    <row r="2052" customFormat="false" ht="15" hidden="false" customHeight="false" outlineLevel="0" collapsed="false">
      <c r="A2052" s="59" t="n">
        <v>46288.7463657407</v>
      </c>
      <c r="B2052" s="60" t="s">
        <v>2199</v>
      </c>
      <c r="C2052" s="60" t="n">
        <v>28375000</v>
      </c>
      <c r="D2052" s="60" t="s">
        <v>311</v>
      </c>
      <c r="E2052" s="60" t="s">
        <v>24</v>
      </c>
      <c r="F2052" s="60" t="s">
        <v>233</v>
      </c>
      <c r="G2052" s="60" t="n">
        <v>31.9</v>
      </c>
      <c r="H2052" s="61" t="n">
        <v>494.99</v>
      </c>
      <c r="I2052" s="61" t="n">
        <v>65.63</v>
      </c>
      <c r="J2052" s="61" t="n">
        <f aca="false">H2052*Resumo!$C$6</f>
        <v>0</v>
      </c>
      <c r="K2052" s="61" t="n">
        <f aca="false">H2052*Resumo!$C$7</f>
        <v>1.039479</v>
      </c>
      <c r="L2052" s="61" t="n">
        <f aca="false">H2052*Resumo!$C$8</f>
        <v>1.039479</v>
      </c>
      <c r="M2052" s="61" t="n">
        <f aca="false">Resumo!$C$10*CEILING(G2052/100,1)</f>
        <v>1.05</v>
      </c>
      <c r="N2052" s="61" t="n">
        <f aca="false">Resumo!$C$9</f>
        <v>0</v>
      </c>
      <c r="O2052" s="61" t="n">
        <f aca="false">Resumo!$C$13</f>
        <v>13.55</v>
      </c>
      <c r="P2052" s="61" t="n">
        <f aca="false">Resumo!$C$14*CEILING(G2052,1)</f>
        <v>14.4</v>
      </c>
      <c r="Q2052" s="61" t="n">
        <f aca="false">SUM(I2052:P2052)*Resumo!$C$11</f>
        <v>0</v>
      </c>
      <c r="R2052" s="61" t="n">
        <f aca="false">SUM(I2052:Q2052)</f>
        <v>96.708958</v>
      </c>
      <c r="S2052" s="61" t="n">
        <f aca="false">R2052/(1-Resumo!$C$5)</f>
        <v>109.896543181818</v>
      </c>
      <c r="T2052" s="61" t="n">
        <v>138.29</v>
      </c>
      <c r="U2052" s="61" t="n">
        <f aca="false">H2052*Resumo!$B$6</f>
        <v>0.49499</v>
      </c>
      <c r="V2052" s="61" t="n">
        <f aca="false">H2052*Resumo!$B$7</f>
        <v>0.98998</v>
      </c>
      <c r="W2052" s="61" t="n">
        <f aca="false">Resumo!$B$9</f>
        <v>1</v>
      </c>
      <c r="X2052" s="61" t="n">
        <f aca="false">Resumo!$B$10*CEILING(G2052/100,1)</f>
        <v>4.5</v>
      </c>
      <c r="Y2052" s="61" t="n">
        <f aca="false">Resumo!$B$12*CEILING(G2052,1)</f>
        <v>1.92</v>
      </c>
      <c r="Z2052" s="61" t="n">
        <f aca="false">Resumo!$B$14*CEILING(G2052,1)</f>
        <v>14.4</v>
      </c>
      <c r="AA2052" s="61" t="n">
        <f aca="false">SUM(T2052:Z2052)</f>
        <v>161.59497</v>
      </c>
      <c r="AB2052" s="61" t="n">
        <f aca="false">AA2052/(1-Resumo!$B$5)</f>
        <v>183.630647727273</v>
      </c>
      <c r="AC2052" s="61" t="n">
        <f aca="false">AB2052-S2052</f>
        <v>73.7341045454545</v>
      </c>
      <c r="AD2052" s="62" t="n">
        <f aca="false">AB2052/S2052-1</f>
        <v>0.670941072490927</v>
      </c>
      <c r="AE2052" s="60" t="str">
        <f aca="false">IF(AB2052&lt;S2052,"SIM","NÃO")</f>
        <v>NÃO</v>
      </c>
      <c r="AF2052" s="60" t="n">
        <v>13</v>
      </c>
      <c r="AG2052" s="60" t="n">
        <v>11</v>
      </c>
      <c r="AH2052" s="60" t="s">
        <v>385</v>
      </c>
      <c r="AI2052" s="61" t="n">
        <f aca="false">(T2052*(1-Painel!$C$40)+U2052+V2052+Painel!$C$41+Painel!$C$42*CEILING(G2052/100,1)+Painel!$C$43*CEILING(G2052,1)+Z2052)/(1-Resumo!$B$5)</f>
        <v>125.669625</v>
      </c>
      <c r="AJ2052" s="60" t="str">
        <f aca="false">IF(AI2052&lt;S2052,"SIM","NÃO")</f>
        <v>NÃO</v>
      </c>
    </row>
    <row r="2053" customFormat="false" ht="15" hidden="false" customHeight="false" outlineLevel="0" collapsed="false">
      <c r="A2053" s="59" t="n">
        <v>46288.7692939815</v>
      </c>
      <c r="B2053" s="60" t="s">
        <v>968</v>
      </c>
      <c r="C2053" s="60" t="n">
        <v>22753050</v>
      </c>
      <c r="D2053" s="60" t="s">
        <v>46</v>
      </c>
      <c r="E2053" s="60" t="s">
        <v>22</v>
      </c>
      <c r="F2053" s="60" t="s">
        <v>237</v>
      </c>
      <c r="G2053" s="60" t="n">
        <v>66.8</v>
      </c>
      <c r="H2053" s="61" t="n">
        <v>666.23</v>
      </c>
      <c r="I2053" s="61" t="n">
        <v>63.21</v>
      </c>
      <c r="J2053" s="61" t="n">
        <f aca="false">H2053*Resumo!$C$6</f>
        <v>0</v>
      </c>
      <c r="K2053" s="61" t="n">
        <f aca="false">H2053*Resumo!$C$7</f>
        <v>1.399083</v>
      </c>
      <c r="L2053" s="61" t="n">
        <f aca="false">H2053*Resumo!$C$8</f>
        <v>1.399083</v>
      </c>
      <c r="M2053" s="61" t="n">
        <f aca="false">Resumo!$C$10*CEILING(G2053/100,1)</f>
        <v>1.05</v>
      </c>
      <c r="N2053" s="61" t="n">
        <f aca="false">Resumo!$C$9</f>
        <v>0</v>
      </c>
      <c r="O2053" s="61" t="n">
        <f aca="false">Resumo!$C$13</f>
        <v>13.55</v>
      </c>
      <c r="P2053" s="61" t="n">
        <f aca="false">Resumo!$C$14*CEILING(G2053,1)</f>
        <v>30.15</v>
      </c>
      <c r="Q2053" s="61" t="n">
        <f aca="false">SUM(I2053:P2053)*Resumo!$C$11</f>
        <v>0</v>
      </c>
      <c r="R2053" s="61" t="n">
        <f aca="false">SUM(I2053:Q2053)</f>
        <v>110.758166</v>
      </c>
      <c r="S2053" s="61" t="n">
        <f aca="false">R2053/(1-Resumo!$C$5)</f>
        <v>125.861552272727</v>
      </c>
      <c r="T2053" s="61" t="n">
        <v>131.02</v>
      </c>
      <c r="U2053" s="61" t="n">
        <f aca="false">H2053*Resumo!$B$6</f>
        <v>0.66623</v>
      </c>
      <c r="V2053" s="61" t="n">
        <f aca="false">H2053*Resumo!$B$7</f>
        <v>1.33246</v>
      </c>
      <c r="W2053" s="61" t="n">
        <f aca="false">Resumo!$B$9</f>
        <v>1</v>
      </c>
      <c r="X2053" s="61" t="n">
        <f aca="false">Resumo!$B$10*CEILING(G2053/100,1)</f>
        <v>4.5</v>
      </c>
      <c r="Y2053" s="61" t="n">
        <f aca="false">Resumo!$B$12*CEILING(G2053,1)</f>
        <v>4.02</v>
      </c>
      <c r="Z2053" s="61" t="n">
        <f aca="false">Resumo!$B$14*CEILING(G2053,1)</f>
        <v>30.15</v>
      </c>
      <c r="AA2053" s="61" t="n">
        <f aca="false">SUM(T2053:Z2053)</f>
        <v>172.68869</v>
      </c>
      <c r="AB2053" s="61" t="n">
        <f aca="false">AA2053/(1-Resumo!$B$5)</f>
        <v>196.237147727273</v>
      </c>
      <c r="AC2053" s="61" t="n">
        <f aca="false">AB2053-S2053</f>
        <v>70.3755954545455</v>
      </c>
      <c r="AD2053" s="62" t="n">
        <f aca="false">AB2053/S2053-1</f>
        <v>0.559150862068265</v>
      </c>
      <c r="AE2053" s="60" t="str">
        <f aca="false">IF(AB2053&lt;S2053,"SIM","NÃO")</f>
        <v>NÃO</v>
      </c>
      <c r="AF2053" s="60" t="n">
        <v>2</v>
      </c>
      <c r="AG2053" s="60" t="n">
        <v>5</v>
      </c>
      <c r="AH2053" s="60" t="s">
        <v>382</v>
      </c>
      <c r="AI2053" s="61" t="n">
        <f aca="false">(T2053*(1-Painel!$C$40)+U2053+V2053+Painel!$C$41+Painel!$C$42*CEILING(G2053/100,1)+Painel!$C$43*CEILING(G2053,1)+Z2053)/(1-Resumo!$B$5)</f>
        <v>138.616011363636</v>
      </c>
      <c r="AJ2053" s="60" t="str">
        <f aca="false">IF(AI2053&lt;S2053,"SIM","NÃO")</f>
        <v>NÃO</v>
      </c>
    </row>
    <row r="2054" customFormat="false" ht="15" hidden="false" customHeight="false" outlineLevel="0" collapsed="false">
      <c r="A2054" s="59" t="n">
        <v>46288.7808333333</v>
      </c>
      <c r="B2054" s="60" t="s">
        <v>2200</v>
      </c>
      <c r="C2054" s="60" t="n">
        <v>22765595</v>
      </c>
      <c r="D2054" s="60" t="s">
        <v>46</v>
      </c>
      <c r="E2054" s="60" t="s">
        <v>22</v>
      </c>
      <c r="F2054" s="60" t="s">
        <v>235</v>
      </c>
      <c r="G2054" s="60" t="n">
        <v>46.8</v>
      </c>
      <c r="H2054" s="61" t="n">
        <v>503.49</v>
      </c>
      <c r="I2054" s="61" t="n">
        <v>53.55</v>
      </c>
      <c r="J2054" s="61" t="n">
        <f aca="false">H2054*Resumo!$C$6</f>
        <v>0</v>
      </c>
      <c r="K2054" s="61" t="n">
        <f aca="false">H2054*Resumo!$C$7</f>
        <v>1.057329</v>
      </c>
      <c r="L2054" s="61" t="n">
        <f aca="false">H2054*Resumo!$C$8</f>
        <v>1.057329</v>
      </c>
      <c r="M2054" s="61" t="n">
        <f aca="false">Resumo!$C$10*CEILING(G2054/100,1)</f>
        <v>1.05</v>
      </c>
      <c r="N2054" s="61" t="n">
        <f aca="false">Resumo!$C$9</f>
        <v>0</v>
      </c>
      <c r="O2054" s="61" t="n">
        <f aca="false">Resumo!$C$13</f>
        <v>13.55</v>
      </c>
      <c r="P2054" s="61" t="n">
        <f aca="false">Resumo!$C$14*CEILING(G2054,1)</f>
        <v>21.15</v>
      </c>
      <c r="Q2054" s="61" t="n">
        <f aca="false">SUM(I2054:P2054)*Resumo!$C$11</f>
        <v>0</v>
      </c>
      <c r="R2054" s="61" t="n">
        <f aca="false">SUM(I2054:Q2054)</f>
        <v>91.414658</v>
      </c>
      <c r="S2054" s="61" t="n">
        <f aca="false">R2054/(1-Resumo!$C$5)</f>
        <v>103.880293181818</v>
      </c>
      <c r="T2054" s="61" t="n">
        <v>93.97</v>
      </c>
      <c r="U2054" s="61" t="n">
        <f aca="false">H2054*Resumo!$B$6</f>
        <v>0.50349</v>
      </c>
      <c r="V2054" s="61" t="n">
        <f aca="false">H2054*Resumo!$B$7</f>
        <v>1.00698</v>
      </c>
      <c r="W2054" s="61" t="n">
        <f aca="false">Resumo!$B$9</f>
        <v>1</v>
      </c>
      <c r="X2054" s="61" t="n">
        <f aca="false">Resumo!$B$10*CEILING(G2054/100,1)</f>
        <v>4.5</v>
      </c>
      <c r="Y2054" s="61" t="n">
        <f aca="false">Resumo!$B$12*CEILING(G2054,1)</f>
        <v>2.82</v>
      </c>
      <c r="Z2054" s="61" t="n">
        <f aca="false">Resumo!$B$14*CEILING(G2054,1)</f>
        <v>21.15</v>
      </c>
      <c r="AA2054" s="61" t="n">
        <f aca="false">SUM(T2054:Z2054)</f>
        <v>124.95047</v>
      </c>
      <c r="AB2054" s="61" t="n">
        <f aca="false">AA2054/(1-Resumo!$B$5)</f>
        <v>141.989170454545</v>
      </c>
      <c r="AC2054" s="61" t="n">
        <f aca="false">AB2054-S2054</f>
        <v>38.1088772727273</v>
      </c>
      <c r="AD2054" s="62" t="n">
        <f aca="false">AB2054/S2054-1</f>
        <v>0.366853770869</v>
      </c>
      <c r="AE2054" s="60" t="str">
        <f aca="false">IF(AB2054&lt;S2054,"SIM","NÃO")</f>
        <v>NÃO</v>
      </c>
      <c r="AF2054" s="60" t="n">
        <v>2</v>
      </c>
      <c r="AG2054" s="60" t="n">
        <v>5</v>
      </c>
      <c r="AH2054" s="60" t="s">
        <v>382</v>
      </c>
      <c r="AI2054" s="61" t="n">
        <f aca="false">(T2054*(1-Painel!$C$40)+U2054+V2054+Painel!$C$41+Painel!$C$42*CEILING(G2054/100,1)+Painel!$C$43*CEILING(G2054,1)+Z2054)/(1-Resumo!$B$5)</f>
        <v>99.6254204545455</v>
      </c>
      <c r="AJ2054" s="60" t="str">
        <f aca="false">IF(AI2054&lt;S2054,"SIM","NÃO")</f>
        <v>SIM</v>
      </c>
    </row>
    <row r="2055" customFormat="false" ht="15" hidden="false" customHeight="false" outlineLevel="0" collapsed="false">
      <c r="A2055" s="59" t="n">
        <v>46288.7902662037</v>
      </c>
      <c r="B2055" s="60" t="s">
        <v>711</v>
      </c>
      <c r="C2055" s="60" t="n">
        <v>28300000</v>
      </c>
      <c r="D2055" s="60" t="s">
        <v>308</v>
      </c>
      <c r="E2055" s="60" t="s">
        <v>24</v>
      </c>
      <c r="F2055" s="60" t="s">
        <v>237</v>
      </c>
      <c r="G2055" s="60" t="n">
        <v>66.8</v>
      </c>
      <c r="H2055" s="61" t="n">
        <v>666.23</v>
      </c>
      <c r="I2055" s="61" t="n">
        <v>90.2</v>
      </c>
      <c r="J2055" s="61" t="n">
        <f aca="false">H2055*Resumo!$C$6</f>
        <v>0</v>
      </c>
      <c r="K2055" s="61" t="n">
        <f aca="false">H2055*Resumo!$C$7</f>
        <v>1.399083</v>
      </c>
      <c r="L2055" s="61" t="n">
        <f aca="false">H2055*Resumo!$C$8</f>
        <v>1.399083</v>
      </c>
      <c r="M2055" s="61" t="n">
        <f aca="false">Resumo!$C$10*CEILING(G2055/100,1)</f>
        <v>1.05</v>
      </c>
      <c r="N2055" s="61" t="n">
        <f aca="false">Resumo!$C$9</f>
        <v>0</v>
      </c>
      <c r="O2055" s="61" t="n">
        <f aca="false">Resumo!$C$13</f>
        <v>13.55</v>
      </c>
      <c r="P2055" s="61" t="n">
        <f aca="false">Resumo!$C$14*CEILING(G2055,1)</f>
        <v>30.15</v>
      </c>
      <c r="Q2055" s="61" t="n">
        <f aca="false">SUM(I2055:P2055)*Resumo!$C$11</f>
        <v>0</v>
      </c>
      <c r="R2055" s="61" t="n">
        <f aca="false">SUM(I2055:Q2055)</f>
        <v>137.748166</v>
      </c>
      <c r="S2055" s="61" t="n">
        <f aca="false">R2055/(1-Resumo!$C$5)</f>
        <v>156.532006818182</v>
      </c>
      <c r="T2055" s="61" t="n">
        <v>171.54</v>
      </c>
      <c r="U2055" s="61" t="n">
        <f aca="false">H2055*Resumo!$B$6</f>
        <v>0.66623</v>
      </c>
      <c r="V2055" s="61" t="n">
        <f aca="false">H2055*Resumo!$B$7</f>
        <v>1.33246</v>
      </c>
      <c r="W2055" s="61" t="n">
        <f aca="false">Resumo!$B$9</f>
        <v>1</v>
      </c>
      <c r="X2055" s="61" t="n">
        <f aca="false">Resumo!$B$10*CEILING(G2055/100,1)</f>
        <v>4.5</v>
      </c>
      <c r="Y2055" s="61" t="n">
        <f aca="false">Resumo!$B$12*CEILING(G2055,1)</f>
        <v>4.02</v>
      </c>
      <c r="Z2055" s="61" t="n">
        <f aca="false">Resumo!$B$14*CEILING(G2055,1)</f>
        <v>30.15</v>
      </c>
      <c r="AA2055" s="61" t="n">
        <f aca="false">SUM(T2055:Z2055)</f>
        <v>213.20869</v>
      </c>
      <c r="AB2055" s="61" t="n">
        <f aca="false">AA2055/(1-Resumo!$B$5)</f>
        <v>242.282602272727</v>
      </c>
      <c r="AC2055" s="61" t="n">
        <f aca="false">AB2055-S2055</f>
        <v>85.7505954545455</v>
      </c>
      <c r="AD2055" s="62" t="n">
        <f aca="false">AB2055/S2055-1</f>
        <v>0.547815090329406</v>
      </c>
      <c r="AE2055" s="60" t="str">
        <f aca="false">IF(AB2055&lt;S2055,"SIM","NÃO")</f>
        <v>NÃO</v>
      </c>
      <c r="AF2055" s="60" t="n">
        <v>13</v>
      </c>
      <c r="AG2055" s="60" t="n">
        <v>11</v>
      </c>
      <c r="AH2055" s="60" t="s">
        <v>385</v>
      </c>
      <c r="AI2055" s="61" t="n">
        <f aca="false">(T2055*(1-Painel!$C$40)+U2055+V2055+Painel!$C$41+Painel!$C$42*CEILING(G2055/100,1)+Painel!$C$43*CEILING(G2055,1)+Z2055)/(1-Resumo!$B$5)</f>
        <v>169.466465909091</v>
      </c>
      <c r="AJ2055" s="60" t="str">
        <f aca="false">IF(AI2055&lt;S2055,"SIM","NÃO")</f>
        <v>NÃO</v>
      </c>
    </row>
    <row r="2056" customFormat="false" ht="15" hidden="false" customHeight="false" outlineLevel="0" collapsed="false">
      <c r="A2056" s="59" t="n">
        <v>46288.8142013889</v>
      </c>
      <c r="B2056" s="60" t="s">
        <v>2201</v>
      </c>
      <c r="C2056" s="60" t="n">
        <v>20230011</v>
      </c>
      <c r="D2056" s="60" t="s">
        <v>46</v>
      </c>
      <c r="E2056" s="60" t="s">
        <v>22</v>
      </c>
      <c r="F2056" s="60" t="s">
        <v>234</v>
      </c>
      <c r="G2056" s="60" t="n">
        <v>40</v>
      </c>
      <c r="H2056" s="61" t="n">
        <v>554.4</v>
      </c>
      <c r="I2056" s="61" t="n">
        <v>48.35</v>
      </c>
      <c r="J2056" s="61" t="n">
        <f aca="false">H2056*Resumo!$C$6</f>
        <v>0</v>
      </c>
      <c r="K2056" s="61" t="n">
        <f aca="false">H2056*Resumo!$C$7</f>
        <v>1.16424</v>
      </c>
      <c r="L2056" s="61" t="n">
        <f aca="false">H2056*Resumo!$C$8</f>
        <v>1.16424</v>
      </c>
      <c r="M2056" s="61" t="n">
        <f aca="false">Resumo!$C$10*CEILING(G2056/100,1)</f>
        <v>1.05</v>
      </c>
      <c r="N2056" s="61" t="n">
        <f aca="false">Resumo!$C$9</f>
        <v>0</v>
      </c>
      <c r="O2056" s="61" t="n">
        <f aca="false">Resumo!$C$13</f>
        <v>13.55</v>
      </c>
      <c r="P2056" s="61" t="n">
        <f aca="false">Resumo!$C$14*CEILING(G2056,1)</f>
        <v>18</v>
      </c>
      <c r="Q2056" s="61" t="n">
        <f aca="false">SUM(I2056:P2056)*Resumo!$C$11</f>
        <v>0</v>
      </c>
      <c r="R2056" s="61" t="n">
        <f aca="false">SUM(I2056:Q2056)</f>
        <v>83.27848</v>
      </c>
      <c r="S2056" s="61" t="n">
        <f aca="false">R2056/(1-Resumo!$C$5)</f>
        <v>94.6346363636364</v>
      </c>
      <c r="T2056" s="61" t="n">
        <v>93.97</v>
      </c>
      <c r="U2056" s="61" t="n">
        <f aca="false">H2056*Resumo!$B$6</f>
        <v>0.5544</v>
      </c>
      <c r="V2056" s="61" t="n">
        <f aca="false">H2056*Resumo!$B$7</f>
        <v>1.1088</v>
      </c>
      <c r="W2056" s="61" t="n">
        <f aca="false">Resumo!$B$9</f>
        <v>1</v>
      </c>
      <c r="X2056" s="61" t="n">
        <f aca="false">Resumo!$B$10*CEILING(G2056/100,1)</f>
        <v>4.5</v>
      </c>
      <c r="Y2056" s="61" t="n">
        <f aca="false">Resumo!$B$12*CEILING(G2056,1)</f>
        <v>2.4</v>
      </c>
      <c r="Z2056" s="61" t="n">
        <f aca="false">Resumo!$B$14*CEILING(G2056,1)</f>
        <v>18</v>
      </c>
      <c r="AA2056" s="61" t="n">
        <f aca="false">SUM(T2056:Z2056)</f>
        <v>121.5332</v>
      </c>
      <c r="AB2056" s="61" t="n">
        <f aca="false">AA2056/(1-Resumo!$B$5)</f>
        <v>138.105909090909</v>
      </c>
      <c r="AC2056" s="61" t="n">
        <f aca="false">AB2056-S2056</f>
        <v>43.4712727272727</v>
      </c>
      <c r="AD2056" s="62" t="n">
        <f aca="false">AB2056/S2056-1</f>
        <v>0.459359008473738</v>
      </c>
      <c r="AE2056" s="60" t="str">
        <f aca="false">IF(AB2056&lt;S2056,"SIM","NÃO")</f>
        <v>NÃO</v>
      </c>
      <c r="AF2056" s="60" t="n">
        <v>2</v>
      </c>
      <c r="AG2056" s="60" t="n">
        <v>5</v>
      </c>
      <c r="AH2056" s="60" t="s">
        <v>382</v>
      </c>
      <c r="AI2056" s="61" t="n">
        <f aca="false">(T2056*(1-Painel!$C$40)+U2056+V2056+Painel!$C$41+Painel!$C$42*CEILING(G2056/100,1)+Painel!$C$43*CEILING(G2056,1)+Z2056)/(1-Resumo!$B$5)</f>
        <v>96.2194318181818</v>
      </c>
      <c r="AJ2056" s="60" t="str">
        <f aca="false">IF(AI2056&lt;S2056,"SIM","NÃO")</f>
        <v>NÃO</v>
      </c>
    </row>
    <row r="2057" customFormat="false" ht="15" hidden="false" customHeight="false" outlineLevel="0" collapsed="false">
      <c r="A2057" s="59" t="n">
        <v>46288.8500347222</v>
      </c>
      <c r="B2057" s="60" t="s">
        <v>1474</v>
      </c>
      <c r="C2057" s="60" t="n">
        <v>22451264</v>
      </c>
      <c r="D2057" s="60" t="s">
        <v>46</v>
      </c>
      <c r="E2057" s="60" t="s">
        <v>22</v>
      </c>
      <c r="F2057" s="60" t="s">
        <v>233</v>
      </c>
      <c r="G2057" s="60" t="n">
        <v>33</v>
      </c>
      <c r="H2057" s="61" t="n">
        <v>355.44</v>
      </c>
      <c r="I2057" s="61" t="n">
        <v>42.11</v>
      </c>
      <c r="J2057" s="61" t="n">
        <f aca="false">H2057*Resumo!$C$6</f>
        <v>0</v>
      </c>
      <c r="K2057" s="61" t="n">
        <f aca="false">H2057*Resumo!$C$7</f>
        <v>0.746424</v>
      </c>
      <c r="L2057" s="61" t="n">
        <f aca="false">H2057*Resumo!$C$8</f>
        <v>0.746424</v>
      </c>
      <c r="M2057" s="61" t="n">
        <f aca="false">Resumo!$C$10*CEILING(G2057/100,1)</f>
        <v>1.05</v>
      </c>
      <c r="N2057" s="61" t="n">
        <f aca="false">Resumo!$C$9</f>
        <v>0</v>
      </c>
      <c r="O2057" s="61" t="n">
        <f aca="false">Resumo!$C$13</f>
        <v>13.55</v>
      </c>
      <c r="P2057" s="61" t="n">
        <f aca="false">Resumo!$C$14*CEILING(G2057,1)</f>
        <v>14.85</v>
      </c>
      <c r="Q2057" s="61" t="n">
        <f aca="false">SUM(I2057:P2057)*Resumo!$C$11</f>
        <v>0</v>
      </c>
      <c r="R2057" s="61" t="n">
        <f aca="false">SUM(I2057:Q2057)</f>
        <v>73.052848</v>
      </c>
      <c r="S2057" s="61" t="n">
        <f aca="false">R2057/(1-Resumo!$C$5)</f>
        <v>83.0146</v>
      </c>
      <c r="T2057" s="61" t="n">
        <v>82.21</v>
      </c>
      <c r="U2057" s="61" t="n">
        <f aca="false">H2057*Resumo!$B$6</f>
        <v>0.35544</v>
      </c>
      <c r="V2057" s="61" t="n">
        <f aca="false">H2057*Resumo!$B$7</f>
        <v>0.71088</v>
      </c>
      <c r="W2057" s="61" t="n">
        <f aca="false">Resumo!$B$9</f>
        <v>1</v>
      </c>
      <c r="X2057" s="61" t="n">
        <f aca="false">Resumo!$B$10*CEILING(G2057/100,1)</f>
        <v>4.5</v>
      </c>
      <c r="Y2057" s="61" t="n">
        <f aca="false">Resumo!$B$12*CEILING(G2057,1)</f>
        <v>1.98</v>
      </c>
      <c r="Z2057" s="61" t="n">
        <f aca="false">Resumo!$B$14*CEILING(G2057,1)</f>
        <v>14.85</v>
      </c>
      <c r="AA2057" s="61" t="n">
        <f aca="false">SUM(T2057:Z2057)</f>
        <v>105.60632</v>
      </c>
      <c r="AB2057" s="61" t="n">
        <f aca="false">AA2057/(1-Resumo!$B$5)</f>
        <v>120.007181818182</v>
      </c>
      <c r="AC2057" s="61" t="n">
        <f aca="false">AB2057-S2057</f>
        <v>36.9925818181818</v>
      </c>
      <c r="AD2057" s="62" t="n">
        <f aca="false">AB2057/S2057-1</f>
        <v>0.44561537149106</v>
      </c>
      <c r="AE2057" s="60" t="str">
        <f aca="false">IF(AB2057&lt;S2057,"SIM","NÃO")</f>
        <v>NÃO</v>
      </c>
      <c r="AF2057" s="60" t="n">
        <v>2</v>
      </c>
      <c r="AG2057" s="60" t="n">
        <v>5</v>
      </c>
      <c r="AH2057" s="60" t="s">
        <v>382</v>
      </c>
      <c r="AI2057" s="61" t="n">
        <f aca="false">(T2057*(1-Painel!$C$40)+U2057+V2057+Painel!$C$41+Painel!$C$42*CEILING(G2057/100,1)+Painel!$C$43*CEILING(G2057,1)+Z2057)/(1-Resumo!$B$5)</f>
        <v>83.0079772727273</v>
      </c>
      <c r="AJ2057" s="60" t="str">
        <f aca="false">IF(AI2057&lt;S2057,"SIM","NÃO")</f>
        <v>SIM</v>
      </c>
    </row>
    <row r="2058" customFormat="false" ht="15" hidden="false" customHeight="false" outlineLevel="0" collapsed="false">
      <c r="A2058" s="59" t="n">
        <v>46288.8611689815</v>
      </c>
      <c r="B2058" s="60" t="s">
        <v>2202</v>
      </c>
      <c r="C2058" s="60" t="n">
        <v>25040080</v>
      </c>
      <c r="D2058" s="60" t="s">
        <v>48</v>
      </c>
      <c r="E2058" s="60" t="s">
        <v>23</v>
      </c>
      <c r="F2058" s="60" t="s">
        <v>234</v>
      </c>
      <c r="G2058" s="60" t="n">
        <v>37.5</v>
      </c>
      <c r="H2058" s="61" t="n">
        <v>379.19</v>
      </c>
      <c r="I2058" s="61" t="n">
        <v>66.83</v>
      </c>
      <c r="J2058" s="61" t="n">
        <f aca="false">H2058*Resumo!$C$6</f>
        <v>0</v>
      </c>
      <c r="K2058" s="61" t="n">
        <f aca="false">H2058*Resumo!$C$7</f>
        <v>0.796299</v>
      </c>
      <c r="L2058" s="61" t="n">
        <f aca="false">H2058*Resumo!$C$8</f>
        <v>0.796299</v>
      </c>
      <c r="M2058" s="61" t="n">
        <f aca="false">Resumo!$C$10*CEILING(G2058/100,1)</f>
        <v>1.05</v>
      </c>
      <c r="N2058" s="61" t="n">
        <f aca="false">Resumo!$C$9</f>
        <v>0</v>
      </c>
      <c r="O2058" s="61" t="n">
        <f aca="false">Resumo!$C$13</f>
        <v>13.55</v>
      </c>
      <c r="P2058" s="61" t="n">
        <f aca="false">Resumo!$C$14*CEILING(G2058,1)</f>
        <v>17.1</v>
      </c>
      <c r="Q2058" s="61" t="n">
        <f aca="false">SUM(I2058:P2058)*Resumo!$C$11</f>
        <v>0</v>
      </c>
      <c r="R2058" s="61" t="n">
        <f aca="false">SUM(I2058:Q2058)</f>
        <v>100.122598</v>
      </c>
      <c r="S2058" s="61" t="n">
        <f aca="false">R2058/(1-Resumo!$C$5)</f>
        <v>113.775679545455</v>
      </c>
      <c r="T2058" s="61" t="n">
        <v>93.97</v>
      </c>
      <c r="U2058" s="61" t="n">
        <f aca="false">H2058*Resumo!$B$6</f>
        <v>0.37919</v>
      </c>
      <c r="V2058" s="61" t="n">
        <f aca="false">H2058*Resumo!$B$7</f>
        <v>0.75838</v>
      </c>
      <c r="W2058" s="61" t="n">
        <f aca="false">Resumo!$B$9</f>
        <v>1</v>
      </c>
      <c r="X2058" s="61" t="n">
        <f aca="false">Resumo!$B$10*CEILING(G2058/100,1)</f>
        <v>4.5</v>
      </c>
      <c r="Y2058" s="61" t="n">
        <f aca="false">Resumo!$B$12*CEILING(G2058,1)</f>
        <v>2.28</v>
      </c>
      <c r="Z2058" s="61" t="n">
        <f aca="false">Resumo!$B$14*CEILING(G2058,1)</f>
        <v>17.1</v>
      </c>
      <c r="AA2058" s="61" t="n">
        <f aca="false">SUM(T2058:Z2058)</f>
        <v>119.98757</v>
      </c>
      <c r="AB2058" s="61" t="n">
        <f aca="false">AA2058/(1-Resumo!$B$5)</f>
        <v>136.349511363636</v>
      </c>
      <c r="AC2058" s="61" t="n">
        <f aca="false">AB2058-S2058</f>
        <v>22.5738318181818</v>
      </c>
      <c r="AD2058" s="62" t="n">
        <f aca="false">AB2058/S2058-1</f>
        <v>0.198406477626559</v>
      </c>
      <c r="AE2058" s="60" t="str">
        <f aca="false">IF(AB2058&lt;S2058,"SIM","NÃO")</f>
        <v>NÃO</v>
      </c>
      <c r="AF2058" s="60" t="n">
        <v>2</v>
      </c>
      <c r="AG2058" s="60" t="n">
        <v>5</v>
      </c>
      <c r="AH2058" s="60" t="s">
        <v>382</v>
      </c>
      <c r="AI2058" s="61" t="n">
        <f aca="false">(T2058*(1-Painel!$C$40)+U2058+V2058+Painel!$C$41+Painel!$C$42*CEILING(G2058/100,1)+Painel!$C$43*CEILING(G2058,1)+Z2058)/(1-Resumo!$B$5)</f>
        <v>94.5993977272727</v>
      </c>
      <c r="AJ2058" s="60" t="str">
        <f aca="false">IF(AI2058&lt;S2058,"SIM","NÃO")</f>
        <v>SIM</v>
      </c>
    </row>
    <row r="2059" customFormat="false" ht="15" hidden="false" customHeight="false" outlineLevel="0" collapsed="false">
      <c r="A2059" s="59" t="n">
        <v>46288.8773148148</v>
      </c>
      <c r="B2059" s="60" t="s">
        <v>1965</v>
      </c>
      <c r="C2059" s="60" t="n">
        <v>28800000</v>
      </c>
      <c r="D2059" s="60" t="s">
        <v>334</v>
      </c>
      <c r="E2059" s="60" t="s">
        <v>24</v>
      </c>
      <c r="F2059" s="60" t="s">
        <v>236</v>
      </c>
      <c r="G2059" s="60" t="n">
        <v>52.3</v>
      </c>
      <c r="H2059" s="61" t="n">
        <v>592.37</v>
      </c>
      <c r="I2059" s="61" t="n">
        <v>83.58</v>
      </c>
      <c r="J2059" s="61" t="n">
        <f aca="false">H2059*Resumo!$C$6</f>
        <v>0</v>
      </c>
      <c r="K2059" s="61" t="n">
        <f aca="false">H2059*Resumo!$C$7</f>
        <v>1.243977</v>
      </c>
      <c r="L2059" s="61" t="n">
        <f aca="false">H2059*Resumo!$C$8</f>
        <v>1.243977</v>
      </c>
      <c r="M2059" s="61" t="n">
        <f aca="false">Resumo!$C$10*CEILING(G2059/100,1)</f>
        <v>1.05</v>
      </c>
      <c r="N2059" s="61" t="n">
        <f aca="false">Resumo!$C$9</f>
        <v>0</v>
      </c>
      <c r="O2059" s="61" t="n">
        <f aca="false">Resumo!$C$13</f>
        <v>13.55</v>
      </c>
      <c r="P2059" s="61" t="n">
        <f aca="false">Resumo!$C$14*CEILING(G2059,1)</f>
        <v>23.85</v>
      </c>
      <c r="Q2059" s="61" t="n">
        <f aca="false">SUM(I2059:P2059)*Resumo!$C$11</f>
        <v>0</v>
      </c>
      <c r="R2059" s="61" t="n">
        <f aca="false">SUM(I2059:Q2059)</f>
        <v>124.517954</v>
      </c>
      <c r="S2059" s="61" t="n">
        <f aca="false">R2059/(1-Resumo!$C$5)</f>
        <v>141.497675</v>
      </c>
      <c r="T2059" s="61" t="n">
        <v>128.14</v>
      </c>
      <c r="U2059" s="61" t="n">
        <f aca="false">H2059*Resumo!$B$6</f>
        <v>0.59237</v>
      </c>
      <c r="V2059" s="61" t="n">
        <f aca="false">H2059*Resumo!$B$7</f>
        <v>1.18474</v>
      </c>
      <c r="W2059" s="61" t="n">
        <f aca="false">Resumo!$B$9</f>
        <v>1</v>
      </c>
      <c r="X2059" s="61" t="n">
        <f aca="false">Resumo!$B$10*CEILING(G2059/100,1)</f>
        <v>4.5</v>
      </c>
      <c r="Y2059" s="61" t="n">
        <f aca="false">Resumo!$B$12*CEILING(G2059,1)</f>
        <v>3.18</v>
      </c>
      <c r="Z2059" s="61" t="n">
        <f aca="false">Resumo!$B$14*CEILING(G2059,1)</f>
        <v>23.85</v>
      </c>
      <c r="AA2059" s="61" t="n">
        <f aca="false">SUM(T2059:Z2059)</f>
        <v>162.44711</v>
      </c>
      <c r="AB2059" s="61" t="n">
        <f aca="false">AA2059/(1-Resumo!$B$5)</f>
        <v>184.598988636364</v>
      </c>
      <c r="AC2059" s="61" t="n">
        <f aca="false">AB2059-S2059</f>
        <v>43.1013136363636</v>
      </c>
      <c r="AD2059" s="62" t="n">
        <f aca="false">AB2059/S2059-1</f>
        <v>0.304607928267115</v>
      </c>
      <c r="AE2059" s="60" t="str">
        <f aca="false">IF(AB2059&lt;S2059,"SIM","NÃO")</f>
        <v>NÃO</v>
      </c>
      <c r="AF2059" s="60" t="n">
        <v>13</v>
      </c>
      <c r="AG2059" s="60" t="n">
        <v>7</v>
      </c>
      <c r="AH2059" s="60" t="s">
        <v>385</v>
      </c>
      <c r="AI2059" s="61" t="n">
        <f aca="false">(T2059*(1-Painel!$C$40)+U2059+V2059+Painel!$C$41+Painel!$C$42*CEILING(G2059/100,1)+Painel!$C$43*CEILING(G2059,1)+Z2059)/(1-Resumo!$B$5)</f>
        <v>129.012397727273</v>
      </c>
      <c r="AJ2059" s="60" t="str">
        <f aca="false">IF(AI2059&lt;S2059,"SIM","NÃO")</f>
        <v>SIM</v>
      </c>
    </row>
    <row r="2060" customFormat="false" ht="15" hidden="false" customHeight="false" outlineLevel="0" collapsed="false">
      <c r="A2060" s="59" t="n">
        <v>46288.9042476852</v>
      </c>
      <c r="B2060" s="60" t="s">
        <v>2203</v>
      </c>
      <c r="C2060" s="60" t="n">
        <v>26195020</v>
      </c>
      <c r="D2060" s="60" t="s">
        <v>52</v>
      </c>
      <c r="E2060" s="60" t="s">
        <v>23</v>
      </c>
      <c r="F2060" s="60" t="s">
        <v>235</v>
      </c>
      <c r="G2060" s="60" t="n">
        <v>47.1</v>
      </c>
      <c r="H2060" s="61" t="n">
        <v>619.99</v>
      </c>
      <c r="I2060" s="61" t="n">
        <v>65.36</v>
      </c>
      <c r="J2060" s="61" t="n">
        <f aca="false">H2060*Resumo!$C$6</f>
        <v>0</v>
      </c>
      <c r="K2060" s="61" t="n">
        <f aca="false">H2060*Resumo!$C$7</f>
        <v>1.301979</v>
      </c>
      <c r="L2060" s="61" t="n">
        <f aca="false">H2060*Resumo!$C$8</f>
        <v>1.301979</v>
      </c>
      <c r="M2060" s="61" t="n">
        <f aca="false">Resumo!$C$10*CEILING(G2060/100,1)</f>
        <v>1.05</v>
      </c>
      <c r="N2060" s="61" t="n">
        <f aca="false">Resumo!$C$9</f>
        <v>0</v>
      </c>
      <c r="O2060" s="61" t="n">
        <f aca="false">Resumo!$C$13</f>
        <v>13.55</v>
      </c>
      <c r="P2060" s="61" t="n">
        <f aca="false">Resumo!$C$14*CEILING(G2060,1)</f>
        <v>21.6</v>
      </c>
      <c r="Q2060" s="61" t="n">
        <f aca="false">SUM(I2060:P2060)*Resumo!$C$11</f>
        <v>0</v>
      </c>
      <c r="R2060" s="61" t="n">
        <f aca="false">SUM(I2060:Q2060)</f>
        <v>104.163958</v>
      </c>
      <c r="S2060" s="61" t="n">
        <f aca="false">R2060/(1-Resumo!$C$5)</f>
        <v>118.368134090909</v>
      </c>
      <c r="T2060" s="61" t="n">
        <v>93.97</v>
      </c>
      <c r="U2060" s="61" t="n">
        <f aca="false">H2060*Resumo!$B$6</f>
        <v>0.61999</v>
      </c>
      <c r="V2060" s="61" t="n">
        <f aca="false">H2060*Resumo!$B$7</f>
        <v>1.23998</v>
      </c>
      <c r="W2060" s="61" t="n">
        <f aca="false">Resumo!$B$9</f>
        <v>1</v>
      </c>
      <c r="X2060" s="61" t="n">
        <f aca="false">Resumo!$B$10*CEILING(G2060/100,1)</f>
        <v>4.5</v>
      </c>
      <c r="Y2060" s="61" t="n">
        <f aca="false">Resumo!$B$12*CEILING(G2060,1)</f>
        <v>2.88</v>
      </c>
      <c r="Z2060" s="61" t="n">
        <f aca="false">Resumo!$B$14*CEILING(G2060,1)</f>
        <v>21.6</v>
      </c>
      <c r="AA2060" s="61" t="n">
        <f aca="false">SUM(T2060:Z2060)</f>
        <v>125.80997</v>
      </c>
      <c r="AB2060" s="61" t="n">
        <f aca="false">AA2060/(1-Resumo!$B$5)</f>
        <v>142.965875</v>
      </c>
      <c r="AC2060" s="61" t="n">
        <f aca="false">AB2060-S2060</f>
        <v>24.5977409090909</v>
      </c>
      <c r="AD2060" s="62" t="n">
        <f aca="false">AB2060/S2060-1</f>
        <v>0.207807118850073</v>
      </c>
      <c r="AE2060" s="60" t="str">
        <f aca="false">IF(AB2060&lt;S2060,"SIM","NÃO")</f>
        <v>NÃO</v>
      </c>
      <c r="AF2060" s="60" t="n">
        <v>2</v>
      </c>
      <c r="AG2060" s="60" t="n">
        <v>5</v>
      </c>
      <c r="AH2060" s="60" t="s">
        <v>382</v>
      </c>
      <c r="AI2060" s="61" t="n">
        <f aca="false">(T2060*(1-Painel!$C$40)+U2060+V2060+Painel!$C$41+Painel!$C$42*CEILING(G2060/100,1)+Painel!$C$43*CEILING(G2060,1)+Z2060)/(1-Resumo!$B$5)</f>
        <v>100.533943181818</v>
      </c>
      <c r="AJ2060" s="60" t="str">
        <f aca="false">IF(AI2060&lt;S2060,"SIM","NÃO")</f>
        <v>SIM</v>
      </c>
    </row>
    <row r="2061" customFormat="false" ht="15" hidden="false" customHeight="false" outlineLevel="0" collapsed="false">
      <c r="A2061" s="59" t="n">
        <v>46288.9232523148</v>
      </c>
      <c r="B2061" s="60" t="s">
        <v>2204</v>
      </c>
      <c r="C2061" s="60" t="n">
        <v>26582020</v>
      </c>
      <c r="D2061" s="60" t="s">
        <v>224</v>
      </c>
      <c r="E2061" s="60" t="s">
        <v>23</v>
      </c>
      <c r="F2061" s="60" t="s">
        <v>234</v>
      </c>
      <c r="G2061" s="60" t="n">
        <v>40</v>
      </c>
      <c r="H2061" s="61" t="n">
        <v>636.49</v>
      </c>
      <c r="I2061" s="61" t="n">
        <v>66.83</v>
      </c>
      <c r="J2061" s="61" t="n">
        <f aca="false">H2061*Resumo!$C$6</f>
        <v>0</v>
      </c>
      <c r="K2061" s="61" t="n">
        <f aca="false">H2061*Resumo!$C$7</f>
        <v>1.336629</v>
      </c>
      <c r="L2061" s="61" t="n">
        <f aca="false">H2061*Resumo!$C$8</f>
        <v>1.336629</v>
      </c>
      <c r="M2061" s="61" t="n">
        <f aca="false">Resumo!$C$10*CEILING(G2061/100,1)</f>
        <v>1.05</v>
      </c>
      <c r="N2061" s="61" t="n">
        <f aca="false">Resumo!$C$9</f>
        <v>0</v>
      </c>
      <c r="O2061" s="61" t="n">
        <f aca="false">Resumo!$C$13</f>
        <v>13.55</v>
      </c>
      <c r="P2061" s="61" t="n">
        <f aca="false">Resumo!$C$14*CEILING(G2061,1)</f>
        <v>18</v>
      </c>
      <c r="Q2061" s="61" t="n">
        <f aca="false">SUM(I2061:P2061)*Resumo!$C$11</f>
        <v>0</v>
      </c>
      <c r="R2061" s="61" t="n">
        <f aca="false">SUM(I2061:Q2061)</f>
        <v>102.103258</v>
      </c>
      <c r="S2061" s="61" t="n">
        <f aca="false">R2061/(1-Resumo!$C$5)</f>
        <v>116.026429545455</v>
      </c>
      <c r="T2061" s="61" t="n">
        <v>93.97</v>
      </c>
      <c r="U2061" s="61" t="n">
        <f aca="false">H2061*Resumo!$B$6</f>
        <v>0.63649</v>
      </c>
      <c r="V2061" s="61" t="n">
        <f aca="false">H2061*Resumo!$B$7</f>
        <v>1.27298</v>
      </c>
      <c r="W2061" s="61" t="n">
        <f aca="false">Resumo!$B$9</f>
        <v>1</v>
      </c>
      <c r="X2061" s="61" t="n">
        <f aca="false">Resumo!$B$10*CEILING(G2061/100,1)</f>
        <v>4.5</v>
      </c>
      <c r="Y2061" s="61" t="n">
        <f aca="false">Resumo!$B$12*CEILING(G2061,1)</f>
        <v>2.4</v>
      </c>
      <c r="Z2061" s="61" t="n">
        <f aca="false">Resumo!$B$14*CEILING(G2061,1)</f>
        <v>18</v>
      </c>
      <c r="AA2061" s="61" t="n">
        <f aca="false">SUM(T2061:Z2061)</f>
        <v>121.77947</v>
      </c>
      <c r="AB2061" s="61" t="n">
        <f aca="false">AA2061/(1-Resumo!$B$5)</f>
        <v>138.385761363636</v>
      </c>
      <c r="AC2061" s="61" t="n">
        <f aca="false">AB2061-S2061</f>
        <v>22.3593318181818</v>
      </c>
      <c r="AD2061" s="62" t="n">
        <f aca="false">AB2061/S2061-1</f>
        <v>0.192708953518408</v>
      </c>
      <c r="AE2061" s="60" t="str">
        <f aca="false">IF(AB2061&lt;S2061,"SIM","NÃO")</f>
        <v>NÃO</v>
      </c>
      <c r="AF2061" s="60" t="n">
        <v>2</v>
      </c>
      <c r="AG2061" s="60" t="n">
        <v>5</v>
      </c>
      <c r="AH2061" s="60" t="s">
        <v>382</v>
      </c>
      <c r="AI2061" s="61" t="n">
        <f aca="false">(T2061*(1-Painel!$C$40)+U2061+V2061+Painel!$C$41+Painel!$C$42*CEILING(G2061/100,1)+Painel!$C$43*CEILING(G2061,1)+Z2061)/(1-Resumo!$B$5)</f>
        <v>96.4992840909091</v>
      </c>
      <c r="AJ2061" s="60" t="str">
        <f aca="false">IF(AI2061&lt;S2061,"SIM","NÃO")</f>
        <v>SIM</v>
      </c>
    </row>
    <row r="2062" customFormat="false" ht="15" hidden="false" customHeight="false" outlineLevel="0" collapsed="false">
      <c r="A2062" s="59" t="n">
        <v>46288.9422916667</v>
      </c>
      <c r="B2062" s="60" t="s">
        <v>2205</v>
      </c>
      <c r="C2062" s="60" t="n">
        <v>25040005</v>
      </c>
      <c r="D2062" s="60" t="s">
        <v>48</v>
      </c>
      <c r="E2062" s="60" t="s">
        <v>23</v>
      </c>
      <c r="F2062" s="60" t="s">
        <v>236</v>
      </c>
      <c r="G2062" s="60" t="n">
        <v>52.3</v>
      </c>
      <c r="H2062" s="61" t="n">
        <v>592.37</v>
      </c>
      <c r="I2062" s="61" t="n">
        <v>70.98</v>
      </c>
      <c r="J2062" s="61" t="n">
        <f aca="false">H2062*Resumo!$C$6</f>
        <v>0</v>
      </c>
      <c r="K2062" s="61" t="n">
        <f aca="false">H2062*Resumo!$C$7</f>
        <v>1.243977</v>
      </c>
      <c r="L2062" s="61" t="n">
        <f aca="false">H2062*Resumo!$C$8</f>
        <v>1.243977</v>
      </c>
      <c r="M2062" s="61" t="n">
        <f aca="false">Resumo!$C$10*CEILING(G2062/100,1)</f>
        <v>1.05</v>
      </c>
      <c r="N2062" s="61" t="n">
        <f aca="false">Resumo!$C$9</f>
        <v>0</v>
      </c>
      <c r="O2062" s="61" t="n">
        <f aca="false">Resumo!$C$13</f>
        <v>13.55</v>
      </c>
      <c r="P2062" s="61" t="n">
        <f aca="false">Resumo!$C$14*CEILING(G2062,1)</f>
        <v>23.85</v>
      </c>
      <c r="Q2062" s="61" t="n">
        <f aca="false">SUM(I2062:P2062)*Resumo!$C$11</f>
        <v>0</v>
      </c>
      <c r="R2062" s="61" t="n">
        <f aca="false">SUM(I2062:Q2062)</f>
        <v>111.917954</v>
      </c>
      <c r="S2062" s="61" t="n">
        <f aca="false">R2062/(1-Resumo!$C$5)</f>
        <v>127.179493181818</v>
      </c>
      <c r="T2062" s="61" t="n">
        <v>112.3</v>
      </c>
      <c r="U2062" s="61" t="n">
        <f aca="false">H2062*Resumo!$B$6</f>
        <v>0.59237</v>
      </c>
      <c r="V2062" s="61" t="n">
        <f aca="false">H2062*Resumo!$B$7</f>
        <v>1.18474</v>
      </c>
      <c r="W2062" s="61" t="n">
        <f aca="false">Resumo!$B$9</f>
        <v>1</v>
      </c>
      <c r="X2062" s="61" t="n">
        <f aca="false">Resumo!$B$10*CEILING(G2062/100,1)</f>
        <v>4.5</v>
      </c>
      <c r="Y2062" s="61" t="n">
        <f aca="false">Resumo!$B$12*CEILING(G2062,1)</f>
        <v>3.18</v>
      </c>
      <c r="Z2062" s="61" t="n">
        <f aca="false">Resumo!$B$14*CEILING(G2062,1)</f>
        <v>23.85</v>
      </c>
      <c r="AA2062" s="61" t="n">
        <f aca="false">SUM(T2062:Z2062)</f>
        <v>146.60711</v>
      </c>
      <c r="AB2062" s="61" t="n">
        <f aca="false">AA2062/(1-Resumo!$B$5)</f>
        <v>166.598988636364</v>
      </c>
      <c r="AC2062" s="61" t="n">
        <f aca="false">AB2062-S2062</f>
        <v>39.4194954545454</v>
      </c>
      <c r="AD2062" s="62" t="n">
        <f aca="false">AB2062/S2062-1</f>
        <v>0.309951663340808</v>
      </c>
      <c r="AE2062" s="60" t="str">
        <f aca="false">IF(AB2062&lt;S2062,"SIM","NÃO")</f>
        <v>NÃO</v>
      </c>
      <c r="AF2062" s="60" t="n">
        <v>2</v>
      </c>
      <c r="AG2062" s="60" t="n">
        <v>5</v>
      </c>
      <c r="AH2062" s="60" t="s">
        <v>382</v>
      </c>
      <c r="AI2062" s="61" t="n">
        <f aca="false">(T2062*(1-Painel!$C$40)+U2062+V2062+Painel!$C$41+Painel!$C$42*CEILING(G2062/100,1)+Painel!$C$43*CEILING(G2062,1)+Z2062)/(1-Resumo!$B$5)</f>
        <v>116.952397727273</v>
      </c>
      <c r="AJ2062" s="60" t="str">
        <f aca="false">IF(AI2062&lt;S2062,"SIM","NÃO")</f>
        <v>SIM</v>
      </c>
    </row>
    <row r="2063" customFormat="false" ht="15" hidden="false" customHeight="false" outlineLevel="0" collapsed="false">
      <c r="A2063" s="59" t="n">
        <v>46288.9453703704</v>
      </c>
      <c r="B2063" s="60" t="s">
        <v>2206</v>
      </c>
      <c r="C2063" s="60" t="n">
        <v>28022670</v>
      </c>
      <c r="D2063" s="60" t="s">
        <v>51</v>
      </c>
      <c r="E2063" s="60" t="s">
        <v>24</v>
      </c>
      <c r="F2063" s="60" t="s">
        <v>239</v>
      </c>
      <c r="G2063" s="60" t="n">
        <v>99</v>
      </c>
      <c r="H2063" s="61" t="n">
        <v>1122.28</v>
      </c>
      <c r="I2063" s="61" t="n">
        <v>109.63</v>
      </c>
      <c r="J2063" s="61" t="n">
        <f aca="false">H2063*Resumo!$C$6</f>
        <v>0</v>
      </c>
      <c r="K2063" s="61" t="n">
        <f aca="false">H2063*Resumo!$C$7</f>
        <v>2.356788</v>
      </c>
      <c r="L2063" s="61" t="n">
        <f aca="false">H2063*Resumo!$C$8</f>
        <v>2.356788</v>
      </c>
      <c r="M2063" s="61" t="n">
        <f aca="false">Resumo!$C$10*CEILING(G2063/100,1)</f>
        <v>1.05</v>
      </c>
      <c r="N2063" s="61" t="n">
        <f aca="false">Resumo!$C$9</f>
        <v>0</v>
      </c>
      <c r="O2063" s="61" t="n">
        <f aca="false">Resumo!$C$13</f>
        <v>13.55</v>
      </c>
      <c r="P2063" s="61" t="n">
        <f aca="false">Resumo!$C$14*CEILING(G2063,1)</f>
        <v>44.55</v>
      </c>
      <c r="Q2063" s="61" t="n">
        <f aca="false">SUM(I2063:P2063)*Resumo!$C$11</f>
        <v>0</v>
      </c>
      <c r="R2063" s="61" t="n">
        <f aca="false">SUM(I2063:Q2063)</f>
        <v>173.493576</v>
      </c>
      <c r="S2063" s="61" t="n">
        <f aca="false">R2063/(1-Resumo!$C$5)</f>
        <v>197.151790909091</v>
      </c>
      <c r="T2063" s="61" t="n">
        <v>200.04</v>
      </c>
      <c r="U2063" s="61" t="n">
        <f aca="false">H2063*Resumo!$B$6</f>
        <v>1.12228</v>
      </c>
      <c r="V2063" s="61" t="n">
        <f aca="false">H2063*Resumo!$B$7</f>
        <v>2.24456</v>
      </c>
      <c r="W2063" s="61" t="n">
        <f aca="false">Resumo!$B$9</f>
        <v>1</v>
      </c>
      <c r="X2063" s="61" t="n">
        <f aca="false">Resumo!$B$10*CEILING(G2063/100,1)</f>
        <v>4.5</v>
      </c>
      <c r="Y2063" s="61" t="n">
        <f aca="false">Resumo!$B$12*CEILING(G2063,1)</f>
        <v>5.94</v>
      </c>
      <c r="Z2063" s="61" t="n">
        <f aca="false">Resumo!$B$14*CEILING(G2063,1)</f>
        <v>44.55</v>
      </c>
      <c r="AA2063" s="61" t="n">
        <f aca="false">SUM(T2063:Z2063)</f>
        <v>259.39684</v>
      </c>
      <c r="AB2063" s="61" t="n">
        <f aca="false">AA2063/(1-Resumo!$B$5)</f>
        <v>294.769136363636</v>
      </c>
      <c r="AC2063" s="61" t="n">
        <f aca="false">AB2063-S2063</f>
        <v>97.6173454545454</v>
      </c>
      <c r="AD2063" s="62" t="n">
        <f aca="false">AB2063/S2063-1</f>
        <v>0.495138010182002</v>
      </c>
      <c r="AE2063" s="60" t="str">
        <f aca="false">IF(AB2063&lt;S2063,"SIM","NÃO")</f>
        <v>NÃO</v>
      </c>
      <c r="AF2063" s="60" t="n">
        <v>13</v>
      </c>
      <c r="AG2063" s="60" t="n">
        <v>11</v>
      </c>
      <c r="AH2063" s="60" t="s">
        <v>382</v>
      </c>
      <c r="AI2063" s="61" t="n">
        <f aca="false">(T2063*(1-Painel!$C$40)+U2063+V2063+Painel!$C$41+Painel!$C$42*CEILING(G2063/100,1)+Painel!$C$43*CEILING(G2063,1)+Z2063)/(1-Resumo!$B$5)</f>
        <v>209.083681818182</v>
      </c>
      <c r="AJ2063" s="60" t="str">
        <f aca="false">IF(AI2063&lt;S2063,"SIM","NÃO")</f>
        <v>NÃO</v>
      </c>
    </row>
    <row r="2064" customFormat="false" ht="15" hidden="false" customHeight="false" outlineLevel="0" collapsed="false">
      <c r="A2064" s="59" t="n">
        <v>46288.9496875</v>
      </c>
      <c r="B2064" s="60" t="s">
        <v>443</v>
      </c>
      <c r="C2064" s="60" t="n">
        <v>22795135</v>
      </c>
      <c r="D2064" s="60" t="s">
        <v>46</v>
      </c>
      <c r="E2064" s="60" t="s">
        <v>22</v>
      </c>
      <c r="F2064" s="60" t="s">
        <v>233</v>
      </c>
      <c r="G2064" s="60" t="n">
        <v>20.9</v>
      </c>
      <c r="H2064" s="61" t="n">
        <v>469.99</v>
      </c>
      <c r="I2064" s="61" t="n">
        <v>42.11</v>
      </c>
      <c r="J2064" s="61" t="n">
        <f aca="false">H2064*Resumo!$C$6</f>
        <v>0</v>
      </c>
      <c r="K2064" s="61" t="n">
        <f aca="false">H2064*Resumo!$C$7</f>
        <v>0.986979</v>
      </c>
      <c r="L2064" s="61" t="n">
        <f aca="false">H2064*Resumo!$C$8</f>
        <v>0.986979</v>
      </c>
      <c r="M2064" s="61" t="n">
        <f aca="false">Resumo!$C$10*CEILING(G2064/100,1)</f>
        <v>1.05</v>
      </c>
      <c r="N2064" s="61" t="n">
        <f aca="false">Resumo!$C$9</f>
        <v>0</v>
      </c>
      <c r="O2064" s="61" t="n">
        <f aca="false">Resumo!$C$13</f>
        <v>13.55</v>
      </c>
      <c r="P2064" s="61" t="n">
        <f aca="false">Resumo!$C$14*CEILING(G2064,1)</f>
        <v>9.45</v>
      </c>
      <c r="Q2064" s="61" t="n">
        <f aca="false">SUM(I2064:P2064)*Resumo!$C$11</f>
        <v>0</v>
      </c>
      <c r="R2064" s="61" t="n">
        <f aca="false">SUM(I2064:Q2064)</f>
        <v>68.133958</v>
      </c>
      <c r="S2064" s="61" t="n">
        <f aca="false">R2064/(1-Resumo!$C$5)</f>
        <v>77.4249522727273</v>
      </c>
      <c r="T2064" s="61" t="n">
        <v>82.21</v>
      </c>
      <c r="U2064" s="61" t="n">
        <f aca="false">H2064*Resumo!$B$6</f>
        <v>0.46999</v>
      </c>
      <c r="V2064" s="61" t="n">
        <f aca="false">H2064*Resumo!$B$7</f>
        <v>0.93998</v>
      </c>
      <c r="W2064" s="61" t="n">
        <f aca="false">Resumo!$B$9</f>
        <v>1</v>
      </c>
      <c r="X2064" s="61" t="n">
        <f aca="false">Resumo!$B$10*CEILING(G2064/100,1)</f>
        <v>4.5</v>
      </c>
      <c r="Y2064" s="61" t="n">
        <f aca="false">Resumo!$B$12*CEILING(G2064,1)</f>
        <v>1.26</v>
      </c>
      <c r="Z2064" s="61" t="n">
        <f aca="false">Resumo!$B$14*CEILING(G2064,1)</f>
        <v>9.45</v>
      </c>
      <c r="AA2064" s="61" t="n">
        <f aca="false">SUM(T2064:Z2064)</f>
        <v>99.82997</v>
      </c>
      <c r="AB2064" s="61" t="n">
        <f aca="false">AA2064/(1-Resumo!$B$5)</f>
        <v>113.443147727273</v>
      </c>
      <c r="AC2064" s="61" t="n">
        <f aca="false">AB2064-S2064</f>
        <v>36.0181954545455</v>
      </c>
      <c r="AD2064" s="62" t="n">
        <f aca="false">AB2064/S2064-1</f>
        <v>0.465201390472575</v>
      </c>
      <c r="AE2064" s="60" t="str">
        <f aca="false">IF(AB2064&lt;S2064,"SIM","NÃO")</f>
        <v>NÃO</v>
      </c>
      <c r="AF2064" s="60" t="n">
        <v>2</v>
      </c>
      <c r="AG2064" s="60" t="n">
        <v>5</v>
      </c>
      <c r="AH2064" s="60" t="s">
        <v>382</v>
      </c>
      <c r="AI2064" s="61" t="n">
        <f aca="false">(T2064*(1-Painel!$C$40)+U2064+V2064+Painel!$C$41+Painel!$C$42*CEILING(G2064/100,1)+Painel!$C$43*CEILING(G2064,1)+Z2064)/(1-Resumo!$B$5)</f>
        <v>77.262125</v>
      </c>
      <c r="AJ2064" s="60" t="str">
        <f aca="false">IF(AI2064&lt;S2064,"SIM","NÃO")</f>
        <v>SIM</v>
      </c>
    </row>
    <row r="2065" customFormat="false" ht="15" hidden="false" customHeight="false" outlineLevel="0" collapsed="false">
      <c r="A2065" s="59" t="n">
        <v>46288.9741203704</v>
      </c>
      <c r="B2065" s="60" t="s">
        <v>2207</v>
      </c>
      <c r="C2065" s="60" t="n">
        <v>22451510</v>
      </c>
      <c r="D2065" s="60" t="s">
        <v>46</v>
      </c>
      <c r="E2065" s="60" t="s">
        <v>22</v>
      </c>
      <c r="F2065" s="60" t="s">
        <v>236</v>
      </c>
      <c r="G2065" s="60" t="n">
        <v>52.3</v>
      </c>
      <c r="H2065" s="61" t="n">
        <v>592.37</v>
      </c>
      <c r="I2065" s="61" t="n">
        <v>58.6</v>
      </c>
      <c r="J2065" s="61" t="n">
        <f aca="false">H2065*Resumo!$C$6</f>
        <v>0</v>
      </c>
      <c r="K2065" s="61" t="n">
        <f aca="false">H2065*Resumo!$C$7</f>
        <v>1.243977</v>
      </c>
      <c r="L2065" s="61" t="n">
        <f aca="false">H2065*Resumo!$C$8</f>
        <v>1.243977</v>
      </c>
      <c r="M2065" s="61" t="n">
        <f aca="false">Resumo!$C$10*CEILING(G2065/100,1)</f>
        <v>1.05</v>
      </c>
      <c r="N2065" s="61" t="n">
        <f aca="false">Resumo!$C$9</f>
        <v>0</v>
      </c>
      <c r="O2065" s="61" t="n">
        <f aca="false">Resumo!$C$13</f>
        <v>13.55</v>
      </c>
      <c r="P2065" s="61" t="n">
        <f aca="false">Resumo!$C$14*CEILING(G2065,1)</f>
        <v>23.85</v>
      </c>
      <c r="Q2065" s="61" t="n">
        <f aca="false">SUM(I2065:P2065)*Resumo!$C$11</f>
        <v>0</v>
      </c>
      <c r="R2065" s="61" t="n">
        <f aca="false">SUM(I2065:Q2065)</f>
        <v>99.537954</v>
      </c>
      <c r="S2065" s="61" t="n">
        <f aca="false">R2065/(1-Resumo!$C$5)</f>
        <v>113.111311363636</v>
      </c>
      <c r="T2065" s="61" t="n">
        <v>112.3</v>
      </c>
      <c r="U2065" s="61" t="n">
        <f aca="false">H2065*Resumo!$B$6</f>
        <v>0.59237</v>
      </c>
      <c r="V2065" s="61" t="n">
        <f aca="false">H2065*Resumo!$B$7</f>
        <v>1.18474</v>
      </c>
      <c r="W2065" s="61" t="n">
        <f aca="false">Resumo!$B$9</f>
        <v>1</v>
      </c>
      <c r="X2065" s="61" t="n">
        <f aca="false">Resumo!$B$10*CEILING(G2065/100,1)</f>
        <v>4.5</v>
      </c>
      <c r="Y2065" s="61" t="n">
        <f aca="false">Resumo!$B$12*CEILING(G2065,1)</f>
        <v>3.18</v>
      </c>
      <c r="Z2065" s="61" t="n">
        <f aca="false">Resumo!$B$14*CEILING(G2065,1)</f>
        <v>23.85</v>
      </c>
      <c r="AA2065" s="61" t="n">
        <f aca="false">SUM(T2065:Z2065)</f>
        <v>146.60711</v>
      </c>
      <c r="AB2065" s="61" t="n">
        <f aca="false">AA2065/(1-Resumo!$B$5)</f>
        <v>166.598988636364</v>
      </c>
      <c r="AC2065" s="61" t="n">
        <f aca="false">AB2065-S2065</f>
        <v>53.4876772727273</v>
      </c>
      <c r="AD2065" s="62" t="n">
        <f aca="false">AB2065/S2065-1</f>
        <v>0.47287646679979</v>
      </c>
      <c r="AE2065" s="60" t="str">
        <f aca="false">IF(AB2065&lt;S2065,"SIM","NÃO")</f>
        <v>NÃO</v>
      </c>
      <c r="AF2065" s="60" t="n">
        <v>2</v>
      </c>
      <c r="AG2065" s="60" t="n">
        <v>5</v>
      </c>
      <c r="AH2065" s="60" t="s">
        <v>382</v>
      </c>
      <c r="AI2065" s="61" t="n">
        <f aca="false">(T2065*(1-Painel!$C$40)+U2065+V2065+Painel!$C$41+Painel!$C$42*CEILING(G2065/100,1)+Painel!$C$43*CEILING(G2065,1)+Z2065)/(1-Resumo!$B$5)</f>
        <v>116.952397727273</v>
      </c>
      <c r="AJ2065" s="60" t="str">
        <f aca="false">IF(AI2065&lt;S2065,"SIM","NÃO")</f>
        <v>NÃO</v>
      </c>
    </row>
    <row r="2066" customFormat="false" ht="15" hidden="false" customHeight="false" outlineLevel="0" collapsed="false">
      <c r="A2066" s="59" t="n">
        <v>46288.9985532407</v>
      </c>
      <c r="B2066" s="60" t="s">
        <v>2208</v>
      </c>
      <c r="C2066" s="60" t="n">
        <v>20725220</v>
      </c>
      <c r="D2066" s="60" t="s">
        <v>46</v>
      </c>
      <c r="E2066" s="60" t="s">
        <v>22</v>
      </c>
      <c r="F2066" s="60" t="s">
        <v>233</v>
      </c>
      <c r="G2066" s="60" t="n">
        <v>34</v>
      </c>
      <c r="H2066" s="61" t="n">
        <v>539.98</v>
      </c>
      <c r="I2066" s="61" t="n">
        <v>42.11</v>
      </c>
      <c r="J2066" s="61" t="n">
        <f aca="false">H2066*Resumo!$C$6</f>
        <v>0</v>
      </c>
      <c r="K2066" s="61" t="n">
        <f aca="false">H2066*Resumo!$C$7</f>
        <v>1.133958</v>
      </c>
      <c r="L2066" s="61" t="n">
        <f aca="false">H2066*Resumo!$C$8</f>
        <v>1.133958</v>
      </c>
      <c r="M2066" s="61" t="n">
        <f aca="false">Resumo!$C$10*CEILING(G2066/100,1)</f>
        <v>1.05</v>
      </c>
      <c r="N2066" s="61" t="n">
        <f aca="false">Resumo!$C$9</f>
        <v>0</v>
      </c>
      <c r="O2066" s="61" t="n">
        <f aca="false">Resumo!$C$13</f>
        <v>13.55</v>
      </c>
      <c r="P2066" s="61" t="n">
        <f aca="false">Resumo!$C$14*CEILING(G2066,1)</f>
        <v>15.3</v>
      </c>
      <c r="Q2066" s="61" t="n">
        <f aca="false">SUM(I2066:P2066)*Resumo!$C$11</f>
        <v>0</v>
      </c>
      <c r="R2066" s="61" t="n">
        <f aca="false">SUM(I2066:Q2066)</f>
        <v>74.277916</v>
      </c>
      <c r="S2066" s="61" t="n">
        <f aca="false">R2066/(1-Resumo!$C$5)</f>
        <v>84.4067227272727</v>
      </c>
      <c r="T2066" s="61" t="n">
        <v>82.21</v>
      </c>
      <c r="U2066" s="61" t="n">
        <f aca="false">H2066*Resumo!$B$6</f>
        <v>0.53998</v>
      </c>
      <c r="V2066" s="61" t="n">
        <f aca="false">H2066*Resumo!$B$7</f>
        <v>1.07996</v>
      </c>
      <c r="W2066" s="61" t="n">
        <f aca="false">Resumo!$B$9</f>
        <v>1</v>
      </c>
      <c r="X2066" s="61" t="n">
        <f aca="false">Resumo!$B$10*CEILING(G2066/100,1)</f>
        <v>4.5</v>
      </c>
      <c r="Y2066" s="61" t="n">
        <f aca="false">Resumo!$B$12*CEILING(G2066,1)</f>
        <v>2.04</v>
      </c>
      <c r="Z2066" s="61" t="n">
        <f aca="false">Resumo!$B$14*CEILING(G2066,1)</f>
        <v>15.3</v>
      </c>
      <c r="AA2066" s="61" t="n">
        <f aca="false">SUM(T2066:Z2066)</f>
        <v>106.66994</v>
      </c>
      <c r="AB2066" s="61" t="n">
        <f aca="false">AA2066/(1-Resumo!$B$5)</f>
        <v>121.215840909091</v>
      </c>
      <c r="AC2066" s="61" t="n">
        <f aca="false">AB2066-S2066</f>
        <v>36.8091181818182</v>
      </c>
      <c r="AD2066" s="62" t="n">
        <f aca="false">AB2066/S2066-1</f>
        <v>0.436092256546347</v>
      </c>
      <c r="AE2066" s="60" t="str">
        <f aca="false">IF(AB2066&lt;S2066,"SIM","NÃO")</f>
        <v>NÃO</v>
      </c>
      <c r="AF2066" s="60" t="n">
        <v>2</v>
      </c>
      <c r="AG2066" s="60" t="n">
        <v>5</v>
      </c>
      <c r="AH2066" s="60" t="s">
        <v>382</v>
      </c>
      <c r="AI2066" s="61" t="n">
        <f aca="false">(T2066*(1-Painel!$C$40)+U2066+V2066+Painel!$C$41+Painel!$C$42*CEILING(G2066/100,1)+Painel!$C$43*CEILING(G2066,1)+Z2066)/(1-Resumo!$B$5)</f>
        <v>84.1484545454545</v>
      </c>
      <c r="AJ2066" s="60" t="str">
        <f aca="false">IF(AI2066&lt;S2066,"SIM","NÃO")</f>
        <v>SIM</v>
      </c>
    </row>
    <row r="2067" customFormat="false" ht="15" hidden="false" customHeight="false" outlineLevel="0" collapsed="false">
      <c r="A2067" s="59" t="n">
        <v>46289.0162268519</v>
      </c>
      <c r="B2067" s="60" t="s">
        <v>2209</v>
      </c>
      <c r="C2067" s="60" t="n">
        <v>22080002</v>
      </c>
      <c r="D2067" s="60" t="s">
        <v>46</v>
      </c>
      <c r="E2067" s="60" t="s">
        <v>22</v>
      </c>
      <c r="F2067" s="60" t="s">
        <v>234</v>
      </c>
      <c r="G2067" s="60" t="n">
        <v>36.8</v>
      </c>
      <c r="H2067" s="61" t="n">
        <v>435.08</v>
      </c>
      <c r="I2067" s="61" t="n">
        <v>48.35</v>
      </c>
      <c r="J2067" s="61" t="n">
        <f aca="false">H2067*Resumo!$C$6</f>
        <v>0</v>
      </c>
      <c r="K2067" s="61" t="n">
        <f aca="false">H2067*Resumo!$C$7</f>
        <v>0.913668</v>
      </c>
      <c r="L2067" s="61" t="n">
        <f aca="false">H2067*Resumo!$C$8</f>
        <v>0.913668</v>
      </c>
      <c r="M2067" s="61" t="n">
        <f aca="false">Resumo!$C$10*CEILING(G2067/100,1)</f>
        <v>1.05</v>
      </c>
      <c r="N2067" s="61" t="n">
        <f aca="false">Resumo!$C$9</f>
        <v>0</v>
      </c>
      <c r="O2067" s="61" t="n">
        <f aca="false">Resumo!$C$13</f>
        <v>13.55</v>
      </c>
      <c r="P2067" s="61" t="n">
        <f aca="false">Resumo!$C$14*CEILING(G2067,1)</f>
        <v>16.65</v>
      </c>
      <c r="Q2067" s="61" t="n">
        <f aca="false">SUM(I2067:P2067)*Resumo!$C$11</f>
        <v>0</v>
      </c>
      <c r="R2067" s="61" t="n">
        <f aca="false">SUM(I2067:Q2067)</f>
        <v>81.427336</v>
      </c>
      <c r="S2067" s="61" t="n">
        <f aca="false">R2067/(1-Resumo!$C$5)</f>
        <v>92.5310636363637</v>
      </c>
      <c r="T2067" s="61" t="n">
        <v>93.97</v>
      </c>
      <c r="U2067" s="61" t="n">
        <f aca="false">H2067*Resumo!$B$6</f>
        <v>0.43508</v>
      </c>
      <c r="V2067" s="61" t="n">
        <f aca="false">H2067*Resumo!$B$7</f>
        <v>0.87016</v>
      </c>
      <c r="W2067" s="61" t="n">
        <f aca="false">Resumo!$B$9</f>
        <v>1</v>
      </c>
      <c r="X2067" s="61" t="n">
        <f aca="false">Resumo!$B$10*CEILING(G2067/100,1)</f>
        <v>4.5</v>
      </c>
      <c r="Y2067" s="61" t="n">
        <f aca="false">Resumo!$B$12*CEILING(G2067,1)</f>
        <v>2.22</v>
      </c>
      <c r="Z2067" s="61" t="n">
        <f aca="false">Resumo!$B$14*CEILING(G2067,1)</f>
        <v>16.65</v>
      </c>
      <c r="AA2067" s="61" t="n">
        <f aca="false">SUM(T2067:Z2067)</f>
        <v>119.64524</v>
      </c>
      <c r="AB2067" s="61" t="n">
        <f aca="false">AA2067/(1-Resumo!$B$5)</f>
        <v>135.9605</v>
      </c>
      <c r="AC2067" s="61" t="n">
        <f aca="false">AB2067-S2067</f>
        <v>43.4294363636363</v>
      </c>
      <c r="AD2067" s="62" t="n">
        <f aca="false">AB2067/S2067-1</f>
        <v>0.469349801644008</v>
      </c>
      <c r="AE2067" s="60" t="str">
        <f aca="false">IF(AB2067&lt;S2067,"SIM","NÃO")</f>
        <v>NÃO</v>
      </c>
      <c r="AF2067" s="60" t="n">
        <v>2</v>
      </c>
      <c r="AG2067" s="60" t="n">
        <v>5</v>
      </c>
      <c r="AH2067" s="60" t="s">
        <v>382</v>
      </c>
      <c r="AI2067" s="61" t="n">
        <f aca="false">(T2067*(1-Painel!$C$40)+U2067+V2067+Painel!$C$41+Painel!$C$42*CEILING(G2067/100,1)+Painel!$C$43*CEILING(G2067,1)+Z2067)/(1-Resumo!$B$5)</f>
        <v>94.2785681818182</v>
      </c>
      <c r="AJ2067" s="60" t="str">
        <f aca="false">IF(AI2067&lt;S2067,"SIM","NÃO")</f>
        <v>NÃO</v>
      </c>
    </row>
    <row r="2068" customFormat="false" ht="15" hidden="false" customHeight="false" outlineLevel="0" collapsed="false">
      <c r="A2068" s="59" t="n">
        <v>46289.1094675926</v>
      </c>
      <c r="B2068" s="60" t="s">
        <v>2210</v>
      </c>
      <c r="C2068" s="60" t="n">
        <v>25060000</v>
      </c>
      <c r="D2068" s="60" t="s">
        <v>48</v>
      </c>
      <c r="E2068" s="60" t="s">
        <v>23</v>
      </c>
      <c r="F2068" s="60" t="s">
        <v>234</v>
      </c>
      <c r="G2068" s="60" t="n">
        <v>40</v>
      </c>
      <c r="H2068" s="61" t="n">
        <v>629.99</v>
      </c>
      <c r="I2068" s="61" t="n">
        <v>66.83</v>
      </c>
      <c r="J2068" s="61" t="n">
        <f aca="false">H2068*Resumo!$C$6</f>
        <v>0</v>
      </c>
      <c r="K2068" s="61" t="n">
        <f aca="false">H2068*Resumo!$C$7</f>
        <v>1.322979</v>
      </c>
      <c r="L2068" s="61" t="n">
        <f aca="false">H2068*Resumo!$C$8</f>
        <v>1.322979</v>
      </c>
      <c r="M2068" s="61" t="n">
        <f aca="false">Resumo!$C$10*CEILING(G2068/100,1)</f>
        <v>1.05</v>
      </c>
      <c r="N2068" s="61" t="n">
        <f aca="false">Resumo!$C$9</f>
        <v>0</v>
      </c>
      <c r="O2068" s="61" t="n">
        <f aca="false">Resumo!$C$13</f>
        <v>13.55</v>
      </c>
      <c r="P2068" s="61" t="n">
        <f aca="false">Resumo!$C$14*CEILING(G2068,1)</f>
        <v>18</v>
      </c>
      <c r="Q2068" s="61" t="n">
        <f aca="false">SUM(I2068:P2068)*Resumo!$C$11</f>
        <v>0</v>
      </c>
      <c r="R2068" s="61" t="n">
        <f aca="false">SUM(I2068:Q2068)</f>
        <v>102.075958</v>
      </c>
      <c r="S2068" s="61" t="n">
        <f aca="false">R2068/(1-Resumo!$C$5)</f>
        <v>115.995406818182</v>
      </c>
      <c r="T2068" s="61" t="n">
        <v>93.97</v>
      </c>
      <c r="U2068" s="61" t="n">
        <f aca="false">H2068*Resumo!$B$6</f>
        <v>0.62999</v>
      </c>
      <c r="V2068" s="61" t="n">
        <f aca="false">H2068*Resumo!$B$7</f>
        <v>1.25998</v>
      </c>
      <c r="W2068" s="61" t="n">
        <f aca="false">Resumo!$B$9</f>
        <v>1</v>
      </c>
      <c r="X2068" s="61" t="n">
        <f aca="false">Resumo!$B$10*CEILING(G2068/100,1)</f>
        <v>4.5</v>
      </c>
      <c r="Y2068" s="61" t="n">
        <f aca="false">Resumo!$B$12*CEILING(G2068,1)</f>
        <v>2.4</v>
      </c>
      <c r="Z2068" s="61" t="n">
        <f aca="false">Resumo!$B$14*CEILING(G2068,1)</f>
        <v>18</v>
      </c>
      <c r="AA2068" s="61" t="n">
        <f aca="false">SUM(T2068:Z2068)</f>
        <v>121.75997</v>
      </c>
      <c r="AB2068" s="61" t="n">
        <f aca="false">AA2068/(1-Resumo!$B$5)</f>
        <v>138.363602272727</v>
      </c>
      <c r="AC2068" s="61" t="n">
        <f aca="false">AB2068-S2068</f>
        <v>22.3681954545454</v>
      </c>
      <c r="AD2068" s="62" t="n">
        <f aca="false">AB2068/S2068-1</f>
        <v>0.192836906806204</v>
      </c>
      <c r="AE2068" s="60" t="str">
        <f aca="false">IF(AB2068&lt;S2068,"SIM","NÃO")</f>
        <v>NÃO</v>
      </c>
      <c r="AF2068" s="60" t="n">
        <v>2</v>
      </c>
      <c r="AG2068" s="60" t="n">
        <v>5</v>
      </c>
      <c r="AH2068" s="60" t="s">
        <v>382</v>
      </c>
      <c r="AI2068" s="61" t="n">
        <f aca="false">(T2068*(1-Painel!$C$40)+U2068+V2068+Painel!$C$41+Painel!$C$42*CEILING(G2068/100,1)+Painel!$C$43*CEILING(G2068,1)+Z2068)/(1-Resumo!$B$5)</f>
        <v>96.477125</v>
      </c>
      <c r="AJ2068" s="60" t="str">
        <f aca="false">IF(AI2068&lt;S2068,"SIM","NÃO")</f>
        <v>SIM</v>
      </c>
    </row>
    <row r="2069" customFormat="false" ht="15" hidden="false" customHeight="false" outlineLevel="0" collapsed="false">
      <c r="A2069" s="59" t="n">
        <v>46289.2061458333</v>
      </c>
      <c r="B2069" s="60" t="s">
        <v>2211</v>
      </c>
      <c r="C2069" s="60" t="n">
        <v>25943518</v>
      </c>
      <c r="D2069" s="60" t="s">
        <v>280</v>
      </c>
      <c r="E2069" s="60" t="s">
        <v>24</v>
      </c>
      <c r="F2069" s="60" t="s">
        <v>235</v>
      </c>
      <c r="G2069" s="60" t="n">
        <v>48</v>
      </c>
      <c r="H2069" s="61" t="n">
        <v>828.99</v>
      </c>
      <c r="I2069" s="61" t="n">
        <v>77.7</v>
      </c>
      <c r="J2069" s="61" t="n">
        <f aca="false">H2069*Resumo!$C$6</f>
        <v>0</v>
      </c>
      <c r="K2069" s="61" t="n">
        <f aca="false">H2069*Resumo!$C$7</f>
        <v>1.740879</v>
      </c>
      <c r="L2069" s="61" t="n">
        <f aca="false">H2069*Resumo!$C$8</f>
        <v>1.740879</v>
      </c>
      <c r="M2069" s="61" t="n">
        <f aca="false">Resumo!$C$10*CEILING(G2069/100,1)</f>
        <v>1.05</v>
      </c>
      <c r="N2069" s="61" t="n">
        <f aca="false">Resumo!$C$9</f>
        <v>0</v>
      </c>
      <c r="O2069" s="61" t="n">
        <f aca="false">Resumo!$C$13</f>
        <v>13.55</v>
      </c>
      <c r="P2069" s="61" t="n">
        <f aca="false">Resumo!$C$14*CEILING(G2069,1)</f>
        <v>21.6</v>
      </c>
      <c r="Q2069" s="61" t="n">
        <f aca="false">SUM(I2069:P2069)*Resumo!$C$11</f>
        <v>0</v>
      </c>
      <c r="R2069" s="61" t="n">
        <f aca="false">SUM(I2069:Q2069)</f>
        <v>117.381758</v>
      </c>
      <c r="S2069" s="61" t="n">
        <f aca="false">R2069/(1-Resumo!$C$5)</f>
        <v>133.388361363636</v>
      </c>
      <c r="T2069" s="61" t="n">
        <v>117.23</v>
      </c>
      <c r="U2069" s="61" t="n">
        <f aca="false">H2069*Resumo!$B$6</f>
        <v>0.82899</v>
      </c>
      <c r="V2069" s="61" t="n">
        <f aca="false">H2069*Resumo!$B$7</f>
        <v>1.65798</v>
      </c>
      <c r="W2069" s="61" t="n">
        <f aca="false">Resumo!$B$9</f>
        <v>1</v>
      </c>
      <c r="X2069" s="61" t="n">
        <f aca="false">Resumo!$B$10*CEILING(G2069/100,1)</f>
        <v>4.5</v>
      </c>
      <c r="Y2069" s="61" t="n">
        <f aca="false">Resumo!$B$12*CEILING(G2069,1)</f>
        <v>2.88</v>
      </c>
      <c r="Z2069" s="61" t="n">
        <f aca="false">Resumo!$B$14*CEILING(G2069,1)</f>
        <v>21.6</v>
      </c>
      <c r="AA2069" s="61" t="n">
        <f aca="false">SUM(T2069:Z2069)</f>
        <v>149.69697</v>
      </c>
      <c r="AB2069" s="61" t="n">
        <f aca="false">AA2069/(1-Resumo!$B$5)</f>
        <v>170.110193181818</v>
      </c>
      <c r="AC2069" s="61" t="n">
        <f aca="false">AB2069-S2069</f>
        <v>36.7218318181818</v>
      </c>
      <c r="AD2069" s="62" t="n">
        <f aca="false">AB2069/S2069-1</f>
        <v>0.275300119461492</v>
      </c>
      <c r="AE2069" s="60" t="str">
        <f aca="false">IF(AB2069&lt;S2069,"SIM","NÃO")</f>
        <v>NÃO</v>
      </c>
      <c r="AF2069" s="60" t="n">
        <v>13</v>
      </c>
      <c r="AG2069" s="60" t="n">
        <v>6</v>
      </c>
      <c r="AH2069" s="60" t="s">
        <v>385</v>
      </c>
      <c r="AI2069" s="61" t="n">
        <f aca="false">(T2069*(1-Painel!$C$40)+U2069+V2069+Painel!$C$41+Painel!$C$42*CEILING(G2069/100,1)+Painel!$C$43*CEILING(G2069,1)+Z2069)/(1-Resumo!$B$5)</f>
        <v>118.955761363636</v>
      </c>
      <c r="AJ2069" s="60" t="str">
        <f aca="false">IF(AI2069&lt;S2069,"SIM","NÃO")</f>
        <v>SIM</v>
      </c>
    </row>
    <row r="2070" customFormat="false" ht="15" hidden="false" customHeight="false" outlineLevel="0" collapsed="false">
      <c r="A2070" s="59" t="n">
        <v>46289.2205439815</v>
      </c>
      <c r="B2070" s="60" t="s">
        <v>2212</v>
      </c>
      <c r="C2070" s="60" t="n">
        <v>20531420</v>
      </c>
      <c r="D2070" s="60" t="s">
        <v>46</v>
      </c>
      <c r="E2070" s="60" t="s">
        <v>22</v>
      </c>
      <c r="F2070" s="60" t="s">
        <v>234</v>
      </c>
      <c r="G2070" s="60" t="n">
        <v>36.8</v>
      </c>
      <c r="H2070" s="61" t="n">
        <v>371.8</v>
      </c>
      <c r="I2070" s="61" t="n">
        <v>48.35</v>
      </c>
      <c r="J2070" s="61" t="n">
        <f aca="false">H2070*Resumo!$C$6</f>
        <v>0</v>
      </c>
      <c r="K2070" s="61" t="n">
        <f aca="false">H2070*Resumo!$C$7</f>
        <v>0.78078</v>
      </c>
      <c r="L2070" s="61" t="n">
        <f aca="false">H2070*Resumo!$C$8</f>
        <v>0.78078</v>
      </c>
      <c r="M2070" s="61" t="n">
        <f aca="false">Resumo!$C$10*CEILING(G2070/100,1)</f>
        <v>1.05</v>
      </c>
      <c r="N2070" s="61" t="n">
        <f aca="false">Resumo!$C$9</f>
        <v>0</v>
      </c>
      <c r="O2070" s="61" t="n">
        <f aca="false">Resumo!$C$13</f>
        <v>13.55</v>
      </c>
      <c r="P2070" s="61" t="n">
        <f aca="false">Resumo!$C$14*CEILING(G2070,1)</f>
        <v>16.65</v>
      </c>
      <c r="Q2070" s="61" t="n">
        <f aca="false">SUM(I2070:P2070)*Resumo!$C$11</f>
        <v>0</v>
      </c>
      <c r="R2070" s="61" t="n">
        <f aca="false">SUM(I2070:Q2070)</f>
        <v>81.16156</v>
      </c>
      <c r="S2070" s="61" t="n">
        <f aca="false">R2070/(1-Resumo!$C$5)</f>
        <v>92.2290454545455</v>
      </c>
      <c r="T2070" s="61" t="n">
        <v>93.97</v>
      </c>
      <c r="U2070" s="61" t="n">
        <f aca="false">H2070*Resumo!$B$6</f>
        <v>0.3718</v>
      </c>
      <c r="V2070" s="61" t="n">
        <f aca="false">H2070*Resumo!$B$7</f>
        <v>0.7436</v>
      </c>
      <c r="W2070" s="61" t="n">
        <f aca="false">Resumo!$B$9</f>
        <v>1</v>
      </c>
      <c r="X2070" s="61" t="n">
        <f aca="false">Resumo!$B$10*CEILING(G2070/100,1)</f>
        <v>4.5</v>
      </c>
      <c r="Y2070" s="61" t="n">
        <f aca="false">Resumo!$B$12*CEILING(G2070,1)</f>
        <v>2.22</v>
      </c>
      <c r="Z2070" s="61" t="n">
        <f aca="false">Resumo!$B$14*CEILING(G2070,1)</f>
        <v>16.65</v>
      </c>
      <c r="AA2070" s="61" t="n">
        <f aca="false">SUM(T2070:Z2070)</f>
        <v>119.4554</v>
      </c>
      <c r="AB2070" s="61" t="n">
        <f aca="false">AA2070/(1-Resumo!$B$5)</f>
        <v>135.744772727273</v>
      </c>
      <c r="AC2070" s="61" t="n">
        <f aca="false">AB2070-S2070</f>
        <v>43.5157272727273</v>
      </c>
      <c r="AD2070" s="62" t="n">
        <f aca="false">AB2070/S2070-1</f>
        <v>0.471822375025813</v>
      </c>
      <c r="AE2070" s="60" t="str">
        <f aca="false">IF(AB2070&lt;S2070,"SIM","NÃO")</f>
        <v>NÃO</v>
      </c>
      <c r="AF2070" s="60" t="n">
        <v>2</v>
      </c>
      <c r="AG2070" s="60" t="n">
        <v>5</v>
      </c>
      <c r="AH2070" s="60" t="s">
        <v>382</v>
      </c>
      <c r="AI2070" s="61" t="n">
        <f aca="false">(T2070*(1-Painel!$C$40)+U2070+V2070+Painel!$C$41+Painel!$C$42*CEILING(G2070/100,1)+Painel!$C$43*CEILING(G2070,1)+Z2070)/(1-Resumo!$B$5)</f>
        <v>94.0628409090909</v>
      </c>
      <c r="AJ2070" s="60" t="str">
        <f aca="false">IF(AI2070&lt;S2070,"SIM","NÃO")</f>
        <v>NÃO</v>
      </c>
    </row>
    <row r="2071" customFormat="false" ht="15" hidden="false" customHeight="false" outlineLevel="0" collapsed="false">
      <c r="A2071" s="59" t="n">
        <v>46289.3199768519</v>
      </c>
      <c r="B2071" s="60" t="s">
        <v>2213</v>
      </c>
      <c r="C2071" s="60" t="n">
        <v>22795780</v>
      </c>
      <c r="D2071" s="60" t="s">
        <v>46</v>
      </c>
      <c r="E2071" s="60" t="s">
        <v>22</v>
      </c>
      <c r="F2071" s="60" t="s">
        <v>233</v>
      </c>
      <c r="G2071" s="60" t="n">
        <v>24.4</v>
      </c>
      <c r="H2071" s="61" t="n">
        <v>329.69</v>
      </c>
      <c r="I2071" s="61" t="n">
        <v>42.11</v>
      </c>
      <c r="J2071" s="61" t="n">
        <f aca="false">H2071*Resumo!$C$6</f>
        <v>0</v>
      </c>
      <c r="K2071" s="61" t="n">
        <f aca="false">H2071*Resumo!$C$7</f>
        <v>0.692349</v>
      </c>
      <c r="L2071" s="61" t="n">
        <f aca="false">H2071*Resumo!$C$8</f>
        <v>0.692349</v>
      </c>
      <c r="M2071" s="61" t="n">
        <f aca="false">Resumo!$C$10*CEILING(G2071/100,1)</f>
        <v>1.05</v>
      </c>
      <c r="N2071" s="61" t="n">
        <f aca="false">Resumo!$C$9</f>
        <v>0</v>
      </c>
      <c r="O2071" s="61" t="n">
        <f aca="false">Resumo!$C$13</f>
        <v>13.55</v>
      </c>
      <c r="P2071" s="61" t="n">
        <f aca="false">Resumo!$C$14*CEILING(G2071,1)</f>
        <v>11.25</v>
      </c>
      <c r="Q2071" s="61" t="n">
        <f aca="false">SUM(I2071:P2071)*Resumo!$C$11</f>
        <v>0</v>
      </c>
      <c r="R2071" s="61" t="n">
        <f aca="false">SUM(I2071:Q2071)</f>
        <v>69.344698</v>
      </c>
      <c r="S2071" s="61" t="n">
        <f aca="false">R2071/(1-Resumo!$C$5)</f>
        <v>78.8007931818182</v>
      </c>
      <c r="T2071" s="61" t="n">
        <v>82.21</v>
      </c>
      <c r="U2071" s="61" t="n">
        <f aca="false">H2071*Resumo!$B$6</f>
        <v>0.32969</v>
      </c>
      <c r="V2071" s="61" t="n">
        <f aca="false">H2071*Resumo!$B$7</f>
        <v>0.65938</v>
      </c>
      <c r="W2071" s="61" t="n">
        <f aca="false">Resumo!$B$9</f>
        <v>1</v>
      </c>
      <c r="X2071" s="61" t="n">
        <f aca="false">Resumo!$B$10*CEILING(G2071/100,1)</f>
        <v>4.5</v>
      </c>
      <c r="Y2071" s="61" t="n">
        <f aca="false">Resumo!$B$12*CEILING(G2071,1)</f>
        <v>1.5</v>
      </c>
      <c r="Z2071" s="61" t="n">
        <f aca="false">Resumo!$B$14*CEILING(G2071,1)</f>
        <v>11.25</v>
      </c>
      <c r="AA2071" s="61" t="n">
        <f aca="false">SUM(T2071:Z2071)</f>
        <v>101.44907</v>
      </c>
      <c r="AB2071" s="61" t="n">
        <f aca="false">AA2071/(1-Resumo!$B$5)</f>
        <v>115.283034090909</v>
      </c>
      <c r="AC2071" s="61" t="n">
        <f aca="false">AB2071-S2071</f>
        <v>36.4822409090909</v>
      </c>
      <c r="AD2071" s="62" t="n">
        <f aca="false">AB2071/S2071-1</f>
        <v>0.46296794024541</v>
      </c>
      <c r="AE2071" s="60" t="str">
        <f aca="false">IF(AB2071&lt;S2071,"SIM","NÃO")</f>
        <v>NÃO</v>
      </c>
      <c r="AF2071" s="60" t="n">
        <v>2</v>
      </c>
      <c r="AG2071" s="60" t="n">
        <v>5</v>
      </c>
      <c r="AH2071" s="60" t="s">
        <v>382</v>
      </c>
      <c r="AI2071" s="61" t="n">
        <f aca="false">(T2071*(1-Painel!$C$40)+U2071+V2071+Painel!$C$41+Painel!$C$42*CEILING(G2071/100,1)+Painel!$C$43*CEILING(G2071,1)+Z2071)/(1-Resumo!$B$5)</f>
        <v>78.8292840909091</v>
      </c>
      <c r="AJ2071" s="60" t="str">
        <f aca="false">IF(AI2071&lt;S2071,"SIM","NÃO")</f>
        <v>NÃO</v>
      </c>
    </row>
    <row r="2072" customFormat="false" ht="15" hidden="false" customHeight="false" outlineLevel="0" collapsed="false">
      <c r="A2072" s="59" t="n">
        <v>46289.3527546296</v>
      </c>
      <c r="B2072" s="60" t="s">
        <v>930</v>
      </c>
      <c r="C2072" s="60" t="n">
        <v>28930000</v>
      </c>
      <c r="D2072" s="60" t="s">
        <v>337</v>
      </c>
      <c r="E2072" s="60" t="s">
        <v>24</v>
      </c>
      <c r="F2072" s="60" t="s">
        <v>234</v>
      </c>
      <c r="G2072" s="60" t="n">
        <v>36.9</v>
      </c>
      <c r="H2072" s="61" t="n">
        <v>399.99</v>
      </c>
      <c r="I2072" s="61" t="n">
        <v>74.97</v>
      </c>
      <c r="J2072" s="61" t="n">
        <f aca="false">H2072*Resumo!$C$6</f>
        <v>0</v>
      </c>
      <c r="K2072" s="61" t="n">
        <f aca="false">H2072*Resumo!$C$7</f>
        <v>0.839979</v>
      </c>
      <c r="L2072" s="61" t="n">
        <f aca="false">H2072*Resumo!$C$8</f>
        <v>0.839979</v>
      </c>
      <c r="M2072" s="61" t="n">
        <f aca="false">Resumo!$C$10*CEILING(G2072/100,1)</f>
        <v>1.05</v>
      </c>
      <c r="N2072" s="61" t="n">
        <f aca="false">Resumo!$C$9</f>
        <v>0</v>
      </c>
      <c r="O2072" s="61" t="n">
        <f aca="false">Resumo!$C$13</f>
        <v>13.55</v>
      </c>
      <c r="P2072" s="61" t="n">
        <f aca="false">Resumo!$C$14*CEILING(G2072,1)</f>
        <v>16.65</v>
      </c>
      <c r="Q2072" s="61" t="n">
        <f aca="false">SUM(I2072:P2072)*Resumo!$C$11</f>
        <v>0</v>
      </c>
      <c r="R2072" s="61" t="n">
        <f aca="false">SUM(I2072:Q2072)</f>
        <v>107.899958</v>
      </c>
      <c r="S2072" s="61" t="n">
        <f aca="false">R2072/(1-Resumo!$C$5)</f>
        <v>122.613588636364</v>
      </c>
      <c r="T2072" s="61" t="n">
        <v>124.38</v>
      </c>
      <c r="U2072" s="61" t="n">
        <f aca="false">H2072*Resumo!$B$6</f>
        <v>0.39999</v>
      </c>
      <c r="V2072" s="61" t="n">
        <f aca="false">H2072*Resumo!$B$7</f>
        <v>0.79998</v>
      </c>
      <c r="W2072" s="61" t="n">
        <f aca="false">Resumo!$B$9</f>
        <v>1</v>
      </c>
      <c r="X2072" s="61" t="n">
        <f aca="false">Resumo!$B$10*CEILING(G2072/100,1)</f>
        <v>4.5</v>
      </c>
      <c r="Y2072" s="61" t="n">
        <f aca="false">Resumo!$B$12*CEILING(G2072,1)</f>
        <v>2.22</v>
      </c>
      <c r="Z2072" s="61" t="n">
        <f aca="false">Resumo!$B$14*CEILING(G2072,1)</f>
        <v>16.65</v>
      </c>
      <c r="AA2072" s="61" t="n">
        <f aca="false">SUM(T2072:Z2072)</f>
        <v>149.94997</v>
      </c>
      <c r="AB2072" s="61" t="n">
        <f aca="false">AA2072/(1-Resumo!$B$5)</f>
        <v>170.397693181818</v>
      </c>
      <c r="AC2072" s="61" t="n">
        <f aca="false">AB2072-S2072</f>
        <v>47.7841045454546</v>
      </c>
      <c r="AD2072" s="62" t="n">
        <f aca="false">AB2072/S2072-1</f>
        <v>0.389712959851199</v>
      </c>
      <c r="AE2072" s="60" t="str">
        <f aca="false">IF(AB2072&lt;S2072,"SIM","NÃO")</f>
        <v>NÃO</v>
      </c>
      <c r="AF2072" s="60" t="n">
        <v>13</v>
      </c>
      <c r="AG2072" s="60" t="n">
        <v>10</v>
      </c>
      <c r="AH2072" s="60" t="s">
        <v>385</v>
      </c>
      <c r="AI2072" s="61" t="n">
        <f aca="false">(T2072*(1-Painel!$C$40)+U2072+V2072+Painel!$C$41+Painel!$C$42*CEILING(G2072/100,1)+Painel!$C$43*CEILING(G2072,1)+Z2072)/(1-Resumo!$B$5)</f>
        <v>117.312011363636</v>
      </c>
      <c r="AJ2072" s="60" t="str">
        <f aca="false">IF(AI2072&lt;S2072,"SIM","NÃO")</f>
        <v>SIM</v>
      </c>
    </row>
    <row r="2073" customFormat="false" ht="15" hidden="false" customHeight="false" outlineLevel="0" collapsed="false">
      <c r="A2073" s="59" t="n">
        <v>46289.3577893519</v>
      </c>
      <c r="B2073" s="60" t="s">
        <v>2214</v>
      </c>
      <c r="C2073" s="60" t="n">
        <v>28994807</v>
      </c>
      <c r="D2073" s="60" t="s">
        <v>341</v>
      </c>
      <c r="E2073" s="60" t="s">
        <v>24</v>
      </c>
      <c r="F2073" s="60" t="s">
        <v>235</v>
      </c>
      <c r="G2073" s="60" t="n">
        <v>41</v>
      </c>
      <c r="H2073" s="61" t="n">
        <v>487.99</v>
      </c>
      <c r="I2073" s="61" t="n">
        <v>77.7</v>
      </c>
      <c r="J2073" s="61" t="n">
        <f aca="false">H2073*Resumo!$C$6</f>
        <v>0</v>
      </c>
      <c r="K2073" s="61" t="n">
        <f aca="false">H2073*Resumo!$C$7</f>
        <v>1.024779</v>
      </c>
      <c r="L2073" s="61" t="n">
        <f aca="false">H2073*Resumo!$C$8</f>
        <v>1.024779</v>
      </c>
      <c r="M2073" s="61" t="n">
        <f aca="false">Resumo!$C$10*CEILING(G2073/100,1)</f>
        <v>1.05</v>
      </c>
      <c r="N2073" s="61" t="n">
        <f aca="false">Resumo!$C$9</f>
        <v>0</v>
      </c>
      <c r="O2073" s="61" t="n">
        <f aca="false">Resumo!$C$13</f>
        <v>13.55</v>
      </c>
      <c r="P2073" s="61" t="n">
        <f aca="false">Resumo!$C$14*CEILING(G2073,1)</f>
        <v>18.45</v>
      </c>
      <c r="Q2073" s="61" t="n">
        <f aca="false">SUM(I2073:P2073)*Resumo!$C$11</f>
        <v>0</v>
      </c>
      <c r="R2073" s="61" t="n">
        <f aca="false">SUM(I2073:Q2073)</f>
        <v>112.799558</v>
      </c>
      <c r="S2073" s="61" t="n">
        <f aca="false">R2073/(1-Resumo!$C$5)</f>
        <v>128.181315909091</v>
      </c>
      <c r="T2073" s="61" t="n">
        <v>129.29</v>
      </c>
      <c r="U2073" s="61" t="n">
        <f aca="false">H2073*Resumo!$B$6</f>
        <v>0.48799</v>
      </c>
      <c r="V2073" s="61" t="n">
        <f aca="false">H2073*Resumo!$B$7</f>
        <v>0.97598</v>
      </c>
      <c r="W2073" s="61" t="n">
        <f aca="false">Resumo!$B$9</f>
        <v>1</v>
      </c>
      <c r="X2073" s="61" t="n">
        <f aca="false">Resumo!$B$10*CEILING(G2073/100,1)</f>
        <v>4.5</v>
      </c>
      <c r="Y2073" s="61" t="n">
        <f aca="false">Resumo!$B$12*CEILING(G2073,1)</f>
        <v>2.46</v>
      </c>
      <c r="Z2073" s="61" t="n">
        <f aca="false">Resumo!$B$14*CEILING(G2073,1)</f>
        <v>18.45</v>
      </c>
      <c r="AA2073" s="61" t="n">
        <f aca="false">SUM(T2073:Z2073)</f>
        <v>157.16397</v>
      </c>
      <c r="AB2073" s="61" t="n">
        <f aca="false">AA2073/(1-Resumo!$B$5)</f>
        <v>178.595420454545</v>
      </c>
      <c r="AC2073" s="61" t="n">
        <f aca="false">AB2073-S2073</f>
        <v>50.4141045454545</v>
      </c>
      <c r="AD2073" s="62" t="n">
        <f aca="false">AB2073/S2073-1</f>
        <v>0.393303065957049</v>
      </c>
      <c r="AE2073" s="60" t="str">
        <f aca="false">IF(AB2073&lt;S2073,"SIM","NÃO")</f>
        <v>NÃO</v>
      </c>
      <c r="AF2073" s="60" t="n">
        <v>13</v>
      </c>
      <c r="AG2073" s="60" t="n">
        <v>10</v>
      </c>
      <c r="AH2073" s="60" t="s">
        <v>385</v>
      </c>
      <c r="AI2073" s="61" t="n">
        <f aca="false">(T2073*(1-Painel!$C$40)+U2073+V2073+Painel!$C$41+Painel!$C$42*CEILING(G2073/100,1)+Painel!$C$43*CEILING(G2073,1)+Z2073)/(1-Resumo!$B$5)</f>
        <v>123.395761363636</v>
      </c>
      <c r="AJ2073" s="60" t="str">
        <f aca="false">IF(AI2073&lt;S2073,"SIM","NÃO")</f>
        <v>SIM</v>
      </c>
    </row>
    <row r="2074" customFormat="false" ht="15" hidden="false" customHeight="false" outlineLevel="0" collapsed="false">
      <c r="A2074" s="59" t="n">
        <v>46289.3761458333</v>
      </c>
      <c r="B2074" s="60" t="s">
        <v>2215</v>
      </c>
      <c r="C2074" s="60" t="n">
        <v>25545430</v>
      </c>
      <c r="D2074" s="60" t="s">
        <v>216</v>
      </c>
      <c r="E2074" s="60" t="s">
        <v>23</v>
      </c>
      <c r="F2074" s="60" t="s">
        <v>236</v>
      </c>
      <c r="G2074" s="60" t="n">
        <v>52.3</v>
      </c>
      <c r="H2074" s="61" t="n">
        <v>592.37</v>
      </c>
      <c r="I2074" s="61" t="n">
        <v>70.98</v>
      </c>
      <c r="J2074" s="61" t="n">
        <f aca="false">H2074*Resumo!$C$6</f>
        <v>0</v>
      </c>
      <c r="K2074" s="61" t="n">
        <f aca="false">H2074*Resumo!$C$7</f>
        <v>1.243977</v>
      </c>
      <c r="L2074" s="61" t="n">
        <f aca="false">H2074*Resumo!$C$8</f>
        <v>1.243977</v>
      </c>
      <c r="M2074" s="61" t="n">
        <f aca="false">Resumo!$C$10*CEILING(G2074/100,1)</f>
        <v>1.05</v>
      </c>
      <c r="N2074" s="61" t="n">
        <f aca="false">Resumo!$C$9</f>
        <v>0</v>
      </c>
      <c r="O2074" s="61" t="n">
        <f aca="false">Resumo!$C$13</f>
        <v>13.55</v>
      </c>
      <c r="P2074" s="61" t="n">
        <f aca="false">Resumo!$C$14*CEILING(G2074,1)</f>
        <v>23.85</v>
      </c>
      <c r="Q2074" s="61" t="n">
        <f aca="false">SUM(I2074:P2074)*Resumo!$C$11</f>
        <v>0</v>
      </c>
      <c r="R2074" s="61" t="n">
        <f aca="false">SUM(I2074:Q2074)</f>
        <v>111.917954</v>
      </c>
      <c r="S2074" s="61" t="n">
        <f aca="false">R2074/(1-Resumo!$C$5)</f>
        <v>127.179493181818</v>
      </c>
      <c r="T2074" s="61" t="n">
        <v>112.3</v>
      </c>
      <c r="U2074" s="61" t="n">
        <f aca="false">H2074*Resumo!$B$6</f>
        <v>0.59237</v>
      </c>
      <c r="V2074" s="61" t="n">
        <f aca="false">H2074*Resumo!$B$7</f>
        <v>1.18474</v>
      </c>
      <c r="W2074" s="61" t="n">
        <f aca="false">Resumo!$B$9</f>
        <v>1</v>
      </c>
      <c r="X2074" s="61" t="n">
        <f aca="false">Resumo!$B$10*CEILING(G2074/100,1)</f>
        <v>4.5</v>
      </c>
      <c r="Y2074" s="61" t="n">
        <f aca="false">Resumo!$B$12*CEILING(G2074,1)</f>
        <v>3.18</v>
      </c>
      <c r="Z2074" s="61" t="n">
        <f aca="false">Resumo!$B$14*CEILING(G2074,1)</f>
        <v>23.85</v>
      </c>
      <c r="AA2074" s="61" t="n">
        <f aca="false">SUM(T2074:Z2074)</f>
        <v>146.60711</v>
      </c>
      <c r="AB2074" s="61" t="n">
        <f aca="false">AA2074/(1-Resumo!$B$5)</f>
        <v>166.598988636364</v>
      </c>
      <c r="AC2074" s="61" t="n">
        <f aca="false">AB2074-S2074</f>
        <v>39.4194954545454</v>
      </c>
      <c r="AD2074" s="62" t="n">
        <f aca="false">AB2074/S2074-1</f>
        <v>0.309951663340808</v>
      </c>
      <c r="AE2074" s="60" t="str">
        <f aca="false">IF(AB2074&lt;S2074,"SIM","NÃO")</f>
        <v>NÃO</v>
      </c>
      <c r="AF2074" s="60" t="n">
        <v>2</v>
      </c>
      <c r="AG2074" s="60" t="n">
        <v>5</v>
      </c>
      <c r="AH2074" s="60" t="s">
        <v>382</v>
      </c>
      <c r="AI2074" s="61" t="n">
        <f aca="false">(T2074*(1-Painel!$C$40)+U2074+V2074+Painel!$C$41+Painel!$C$42*CEILING(G2074/100,1)+Painel!$C$43*CEILING(G2074,1)+Z2074)/(1-Resumo!$B$5)</f>
        <v>116.952397727273</v>
      </c>
      <c r="AJ2074" s="60" t="str">
        <f aca="false">IF(AI2074&lt;S2074,"SIM","NÃO")</f>
        <v>SIM</v>
      </c>
    </row>
    <row r="2075" customFormat="false" ht="15" hidden="false" customHeight="false" outlineLevel="0" collapsed="false">
      <c r="A2075" s="59" t="n">
        <v>46289.3873726852</v>
      </c>
      <c r="B2075" s="60" t="s">
        <v>2216</v>
      </c>
      <c r="C2075" s="60" t="n">
        <v>25821370</v>
      </c>
      <c r="D2075" s="60" t="s">
        <v>274</v>
      </c>
      <c r="E2075" s="60" t="s">
        <v>24</v>
      </c>
      <c r="F2075" s="60" t="s">
        <v>237</v>
      </c>
      <c r="G2075" s="60" t="n">
        <v>66.8</v>
      </c>
      <c r="H2075" s="61" t="n">
        <v>644.99</v>
      </c>
      <c r="I2075" s="61" t="n">
        <v>90.2</v>
      </c>
      <c r="J2075" s="61" t="n">
        <f aca="false">H2075*Resumo!$C$6</f>
        <v>0</v>
      </c>
      <c r="K2075" s="61" t="n">
        <f aca="false">H2075*Resumo!$C$7</f>
        <v>1.354479</v>
      </c>
      <c r="L2075" s="61" t="n">
        <f aca="false">H2075*Resumo!$C$8</f>
        <v>1.354479</v>
      </c>
      <c r="M2075" s="61" t="n">
        <f aca="false">Resumo!$C$10*CEILING(G2075/100,1)</f>
        <v>1.05</v>
      </c>
      <c r="N2075" s="61" t="n">
        <f aca="false">Resumo!$C$9</f>
        <v>0</v>
      </c>
      <c r="O2075" s="61" t="n">
        <f aca="false">Resumo!$C$13</f>
        <v>13.55</v>
      </c>
      <c r="P2075" s="61" t="n">
        <f aca="false">Resumo!$C$14*CEILING(G2075,1)</f>
        <v>30.15</v>
      </c>
      <c r="Q2075" s="61" t="n">
        <f aca="false">SUM(I2075:P2075)*Resumo!$C$11</f>
        <v>0</v>
      </c>
      <c r="R2075" s="61" t="n">
        <f aca="false">SUM(I2075:Q2075)</f>
        <v>137.658958</v>
      </c>
      <c r="S2075" s="61" t="n">
        <f aca="false">R2075/(1-Resumo!$C$5)</f>
        <v>156.430634090909</v>
      </c>
      <c r="T2075" s="61" t="n">
        <v>166.05</v>
      </c>
      <c r="U2075" s="61" t="n">
        <f aca="false">H2075*Resumo!$B$6</f>
        <v>0.64499</v>
      </c>
      <c r="V2075" s="61" t="n">
        <f aca="false">H2075*Resumo!$B$7</f>
        <v>1.28998</v>
      </c>
      <c r="W2075" s="61" t="n">
        <f aca="false">Resumo!$B$9</f>
        <v>1</v>
      </c>
      <c r="X2075" s="61" t="n">
        <f aca="false">Resumo!$B$10*CEILING(G2075/100,1)</f>
        <v>4.5</v>
      </c>
      <c r="Y2075" s="61" t="n">
        <f aca="false">Resumo!$B$12*CEILING(G2075,1)</f>
        <v>4.02</v>
      </c>
      <c r="Z2075" s="61" t="n">
        <f aca="false">Resumo!$B$14*CEILING(G2075,1)</f>
        <v>30.15</v>
      </c>
      <c r="AA2075" s="61" t="n">
        <f aca="false">SUM(T2075:Z2075)</f>
        <v>207.65497</v>
      </c>
      <c r="AB2075" s="61" t="n">
        <f aca="false">AA2075/(1-Resumo!$B$5)</f>
        <v>235.971556818182</v>
      </c>
      <c r="AC2075" s="61" t="n">
        <f aca="false">AB2075-S2075</f>
        <v>79.5409227272727</v>
      </c>
      <c r="AD2075" s="62" t="n">
        <f aca="false">AB2075/S2075-1</f>
        <v>0.508474079834311</v>
      </c>
      <c r="AE2075" s="60" t="str">
        <f aca="false">IF(AB2075&lt;S2075,"SIM","NÃO")</f>
        <v>NÃO</v>
      </c>
      <c r="AF2075" s="60" t="n">
        <v>13</v>
      </c>
      <c r="AG2075" s="60" t="n">
        <v>8</v>
      </c>
      <c r="AH2075" s="60" t="s">
        <v>385</v>
      </c>
      <c r="AI2075" s="61" t="n">
        <f aca="false">(T2075*(1-Painel!$C$40)+U2075+V2075+Painel!$C$41+Painel!$C$42*CEILING(G2075/100,1)+Painel!$C$43*CEILING(G2075,1)+Z2075)/(1-Resumo!$B$5)</f>
        <v>165.214170454545</v>
      </c>
      <c r="AJ2075" s="60" t="str">
        <f aca="false">IF(AI2075&lt;S2075,"SIM","NÃO")</f>
        <v>NÃO</v>
      </c>
    </row>
    <row r="2076" customFormat="false" ht="15" hidden="false" customHeight="false" outlineLevel="0" collapsed="false">
      <c r="A2076" s="59" t="n">
        <v>46289.4271296296</v>
      </c>
      <c r="B2076" s="60" t="s">
        <v>2217</v>
      </c>
      <c r="C2076" s="60" t="n">
        <v>21230165</v>
      </c>
      <c r="D2076" s="60" t="s">
        <v>46</v>
      </c>
      <c r="E2076" s="60" t="s">
        <v>22</v>
      </c>
      <c r="F2076" s="60" t="s">
        <v>234</v>
      </c>
      <c r="G2076" s="60" t="n">
        <v>37.2</v>
      </c>
      <c r="H2076" s="61" t="n">
        <v>366.5</v>
      </c>
      <c r="I2076" s="61" t="n">
        <v>48.35</v>
      </c>
      <c r="J2076" s="61" t="n">
        <f aca="false">H2076*Resumo!$C$6</f>
        <v>0</v>
      </c>
      <c r="K2076" s="61" t="n">
        <f aca="false">H2076*Resumo!$C$7</f>
        <v>0.76965</v>
      </c>
      <c r="L2076" s="61" t="n">
        <f aca="false">H2076*Resumo!$C$8</f>
        <v>0.76965</v>
      </c>
      <c r="M2076" s="61" t="n">
        <f aca="false">Resumo!$C$10*CEILING(G2076/100,1)</f>
        <v>1.05</v>
      </c>
      <c r="N2076" s="61" t="n">
        <f aca="false">Resumo!$C$9</f>
        <v>0</v>
      </c>
      <c r="O2076" s="61" t="n">
        <f aca="false">Resumo!$C$13</f>
        <v>13.55</v>
      </c>
      <c r="P2076" s="61" t="n">
        <f aca="false">Resumo!$C$14*CEILING(G2076,1)</f>
        <v>17.1</v>
      </c>
      <c r="Q2076" s="61" t="n">
        <f aca="false">SUM(I2076:P2076)*Resumo!$C$11</f>
        <v>0</v>
      </c>
      <c r="R2076" s="61" t="n">
        <f aca="false">SUM(I2076:Q2076)</f>
        <v>81.5893</v>
      </c>
      <c r="S2076" s="61" t="n">
        <f aca="false">R2076/(1-Resumo!$C$5)</f>
        <v>92.7151136363636</v>
      </c>
      <c r="T2076" s="61" t="n">
        <v>93.97</v>
      </c>
      <c r="U2076" s="61" t="n">
        <f aca="false">H2076*Resumo!$B$6</f>
        <v>0.3665</v>
      </c>
      <c r="V2076" s="61" t="n">
        <f aca="false">H2076*Resumo!$B$7</f>
        <v>0.733</v>
      </c>
      <c r="W2076" s="61" t="n">
        <f aca="false">Resumo!$B$9</f>
        <v>1</v>
      </c>
      <c r="X2076" s="61" t="n">
        <f aca="false">Resumo!$B$10*CEILING(G2076/100,1)</f>
        <v>4.5</v>
      </c>
      <c r="Y2076" s="61" t="n">
        <f aca="false">Resumo!$B$12*CEILING(G2076,1)</f>
        <v>2.28</v>
      </c>
      <c r="Z2076" s="61" t="n">
        <f aca="false">Resumo!$B$14*CEILING(G2076,1)</f>
        <v>17.1</v>
      </c>
      <c r="AA2076" s="61" t="n">
        <f aca="false">SUM(T2076:Z2076)</f>
        <v>119.9495</v>
      </c>
      <c r="AB2076" s="61" t="n">
        <f aca="false">AA2076/(1-Resumo!$B$5)</f>
        <v>136.30625</v>
      </c>
      <c r="AC2076" s="61" t="n">
        <f aca="false">AB2076-S2076</f>
        <v>43.5911363636364</v>
      </c>
      <c r="AD2076" s="62" t="n">
        <f aca="false">AB2076/S2076-1</f>
        <v>0.470162141359222</v>
      </c>
      <c r="AE2076" s="60" t="str">
        <f aca="false">IF(AB2076&lt;S2076,"SIM","NÃO")</f>
        <v>NÃO</v>
      </c>
      <c r="AF2076" s="60" t="n">
        <v>2</v>
      </c>
      <c r="AG2076" s="60" t="n">
        <v>5</v>
      </c>
      <c r="AH2076" s="60" t="s">
        <v>382</v>
      </c>
      <c r="AI2076" s="61" t="n">
        <f aca="false">(T2076*(1-Painel!$C$40)+U2076+V2076+Painel!$C$41+Painel!$C$42*CEILING(G2076/100,1)+Painel!$C$43*CEILING(G2076,1)+Z2076)/(1-Resumo!$B$5)</f>
        <v>94.5561363636364</v>
      </c>
      <c r="AJ2076" s="60" t="str">
        <f aca="false">IF(AI2076&lt;S2076,"SIM","NÃO")</f>
        <v>NÃO</v>
      </c>
    </row>
    <row r="2077" customFormat="false" ht="15" hidden="false" customHeight="false" outlineLevel="0" collapsed="false">
      <c r="A2077" s="59" t="n">
        <v>46289.4741898148</v>
      </c>
      <c r="B2077" s="60" t="s">
        <v>2218</v>
      </c>
      <c r="C2077" s="60" t="n">
        <v>24710150</v>
      </c>
      <c r="D2077" s="60" t="s">
        <v>47</v>
      </c>
      <c r="E2077" s="60" t="s">
        <v>23</v>
      </c>
      <c r="F2077" s="60" t="s">
        <v>233</v>
      </c>
      <c r="G2077" s="60" t="n">
        <v>33</v>
      </c>
      <c r="H2077" s="61" t="n">
        <v>569.99</v>
      </c>
      <c r="I2077" s="61" t="n">
        <v>58.8</v>
      </c>
      <c r="J2077" s="61" t="n">
        <f aca="false">H2077*Resumo!$C$6</f>
        <v>0</v>
      </c>
      <c r="K2077" s="61" t="n">
        <f aca="false">H2077*Resumo!$C$7</f>
        <v>1.196979</v>
      </c>
      <c r="L2077" s="61" t="n">
        <f aca="false">H2077*Resumo!$C$8</f>
        <v>1.196979</v>
      </c>
      <c r="M2077" s="61" t="n">
        <f aca="false">Resumo!$C$10*CEILING(G2077/100,1)</f>
        <v>1.05</v>
      </c>
      <c r="N2077" s="61" t="n">
        <f aca="false">Resumo!$C$9</f>
        <v>0</v>
      </c>
      <c r="O2077" s="61" t="n">
        <f aca="false">Resumo!$C$13</f>
        <v>13.55</v>
      </c>
      <c r="P2077" s="61" t="n">
        <f aca="false">Resumo!$C$14*CEILING(G2077,1)</f>
        <v>14.85</v>
      </c>
      <c r="Q2077" s="61" t="n">
        <f aca="false">SUM(I2077:P2077)*Resumo!$C$11</f>
        <v>0</v>
      </c>
      <c r="R2077" s="61" t="n">
        <f aca="false">SUM(I2077:Q2077)</f>
        <v>90.643958</v>
      </c>
      <c r="S2077" s="61" t="n">
        <f aca="false">R2077/(1-Resumo!$C$5)</f>
        <v>103.004497727273</v>
      </c>
      <c r="T2077" s="61" t="n">
        <v>100.58</v>
      </c>
      <c r="U2077" s="61" t="n">
        <f aca="false">H2077*Resumo!$B$6</f>
        <v>0.56999</v>
      </c>
      <c r="V2077" s="61" t="n">
        <f aca="false">H2077*Resumo!$B$7</f>
        <v>1.13998</v>
      </c>
      <c r="W2077" s="61" t="n">
        <f aca="false">Resumo!$B$9</f>
        <v>1</v>
      </c>
      <c r="X2077" s="61" t="n">
        <f aca="false">Resumo!$B$10*CEILING(G2077/100,1)</f>
        <v>4.5</v>
      </c>
      <c r="Y2077" s="61" t="n">
        <f aca="false">Resumo!$B$12*CEILING(G2077,1)</f>
        <v>1.98</v>
      </c>
      <c r="Z2077" s="61" t="n">
        <f aca="false">Resumo!$B$14*CEILING(G2077,1)</f>
        <v>14.85</v>
      </c>
      <c r="AA2077" s="61" t="n">
        <f aca="false">SUM(T2077:Z2077)</f>
        <v>124.61997</v>
      </c>
      <c r="AB2077" s="61" t="n">
        <f aca="false">AA2077/(1-Resumo!$B$5)</f>
        <v>141.613602272727</v>
      </c>
      <c r="AC2077" s="61" t="n">
        <f aca="false">AB2077-S2077</f>
        <v>38.6091045454545</v>
      </c>
      <c r="AD2077" s="62" t="n">
        <f aca="false">AB2077/S2077-1</f>
        <v>0.374829307431611</v>
      </c>
      <c r="AE2077" s="60" t="str">
        <f aca="false">IF(AB2077&lt;S2077,"SIM","NÃO")</f>
        <v>NÃO</v>
      </c>
      <c r="AF2077" s="60" t="n">
        <v>2</v>
      </c>
      <c r="AG2077" s="60" t="n">
        <v>7</v>
      </c>
      <c r="AH2077" s="60" t="s">
        <v>382</v>
      </c>
      <c r="AI2077" s="61" t="n">
        <f aca="false">(T2077*(1-Painel!$C$40)+U2077+V2077+Painel!$C$41+Painel!$C$42*CEILING(G2077/100,1)+Painel!$C$43*CEILING(G2077,1)+Z2077)/(1-Resumo!$B$5)</f>
        <v>97.7256477272727</v>
      </c>
      <c r="AJ2077" s="60" t="str">
        <f aca="false">IF(AI2077&lt;S2077,"SIM","NÃO")</f>
        <v>SIM</v>
      </c>
    </row>
    <row r="2078" customFormat="false" ht="15" hidden="false" customHeight="false" outlineLevel="0" collapsed="false">
      <c r="A2078" s="59" t="n">
        <v>46289.475162037</v>
      </c>
      <c r="B2078" s="60" t="s">
        <v>2219</v>
      </c>
      <c r="C2078" s="60" t="n">
        <v>28980014</v>
      </c>
      <c r="D2078" s="60" t="s">
        <v>222</v>
      </c>
      <c r="E2078" s="60" t="s">
        <v>24</v>
      </c>
      <c r="F2078" s="60" t="s">
        <v>234</v>
      </c>
      <c r="G2078" s="60" t="n">
        <v>37.2</v>
      </c>
      <c r="H2078" s="61" t="n">
        <v>366.5</v>
      </c>
      <c r="I2078" s="61" t="n">
        <v>74.97</v>
      </c>
      <c r="J2078" s="61" t="n">
        <f aca="false">H2078*Resumo!$C$6</f>
        <v>0</v>
      </c>
      <c r="K2078" s="61" t="n">
        <f aca="false">H2078*Resumo!$C$7</f>
        <v>0.76965</v>
      </c>
      <c r="L2078" s="61" t="n">
        <f aca="false">H2078*Resumo!$C$8</f>
        <v>0.76965</v>
      </c>
      <c r="M2078" s="61" t="n">
        <f aca="false">Resumo!$C$10*CEILING(G2078/100,1)</f>
        <v>1.05</v>
      </c>
      <c r="N2078" s="61" t="n">
        <f aca="false">Resumo!$C$9</f>
        <v>0</v>
      </c>
      <c r="O2078" s="61" t="n">
        <f aca="false">Resumo!$C$13</f>
        <v>13.55</v>
      </c>
      <c r="P2078" s="61" t="n">
        <f aca="false">Resumo!$C$14*CEILING(G2078,1)</f>
        <v>17.1</v>
      </c>
      <c r="Q2078" s="61" t="n">
        <f aca="false">SUM(I2078:P2078)*Resumo!$C$11</f>
        <v>0</v>
      </c>
      <c r="R2078" s="61" t="n">
        <f aca="false">SUM(I2078:Q2078)</f>
        <v>108.2093</v>
      </c>
      <c r="S2078" s="61" t="n">
        <f aca="false">R2078/(1-Resumo!$C$5)</f>
        <v>122.965113636364</v>
      </c>
      <c r="T2078" s="61" t="n">
        <v>124.38</v>
      </c>
      <c r="U2078" s="61" t="n">
        <f aca="false">H2078*Resumo!$B$6</f>
        <v>0.3665</v>
      </c>
      <c r="V2078" s="61" t="n">
        <f aca="false">H2078*Resumo!$B$7</f>
        <v>0.733</v>
      </c>
      <c r="W2078" s="61" t="n">
        <f aca="false">Resumo!$B$9</f>
        <v>1</v>
      </c>
      <c r="X2078" s="61" t="n">
        <f aca="false">Resumo!$B$10*CEILING(G2078/100,1)</f>
        <v>4.5</v>
      </c>
      <c r="Y2078" s="61" t="n">
        <f aca="false">Resumo!$B$12*CEILING(G2078,1)</f>
        <v>2.28</v>
      </c>
      <c r="Z2078" s="61" t="n">
        <f aca="false">Resumo!$B$14*CEILING(G2078,1)</f>
        <v>17.1</v>
      </c>
      <c r="AA2078" s="61" t="n">
        <f aca="false">SUM(T2078:Z2078)</f>
        <v>150.3595</v>
      </c>
      <c r="AB2078" s="61" t="n">
        <f aca="false">AA2078/(1-Resumo!$B$5)</f>
        <v>170.863068181818</v>
      </c>
      <c r="AC2078" s="61" t="n">
        <f aca="false">AB2078-S2078</f>
        <v>47.8979545454545</v>
      </c>
      <c r="AD2078" s="62" t="n">
        <f aca="false">AB2078/S2078-1</f>
        <v>0.389524745100467</v>
      </c>
      <c r="AE2078" s="60" t="str">
        <f aca="false">IF(AB2078&lt;S2078,"SIM","NÃO")</f>
        <v>NÃO</v>
      </c>
      <c r="AF2078" s="60" t="n">
        <v>13</v>
      </c>
      <c r="AG2078" s="60" t="n">
        <v>10</v>
      </c>
      <c r="AH2078" s="60" t="s">
        <v>382</v>
      </c>
      <c r="AI2078" s="61" t="n">
        <f aca="false">(T2078*(1-Painel!$C$40)+U2078+V2078+Painel!$C$41+Painel!$C$42*CEILING(G2078/100,1)+Painel!$C$43*CEILING(G2078,1)+Z2078)/(1-Resumo!$B$5)</f>
        <v>117.709204545455</v>
      </c>
      <c r="AJ2078" s="60" t="str">
        <f aca="false">IF(AI2078&lt;S2078,"SIM","NÃO")</f>
        <v>SIM</v>
      </c>
    </row>
    <row r="2079" customFormat="false" ht="15" hidden="false" customHeight="false" outlineLevel="0" collapsed="false">
      <c r="A2079" s="59" t="n">
        <v>46289.4859953704</v>
      </c>
      <c r="B2079" s="60" t="s">
        <v>2220</v>
      </c>
      <c r="C2079" s="60" t="n">
        <v>26700000</v>
      </c>
      <c r="D2079" s="60" t="s">
        <v>287</v>
      </c>
      <c r="E2079" s="60" t="s">
        <v>24</v>
      </c>
      <c r="F2079" s="60" t="s">
        <v>236</v>
      </c>
      <c r="G2079" s="60" t="n">
        <v>52.3</v>
      </c>
      <c r="H2079" s="61" t="n">
        <v>592.37</v>
      </c>
      <c r="I2079" s="61" t="n">
        <v>83.58</v>
      </c>
      <c r="J2079" s="61" t="n">
        <f aca="false">H2079*Resumo!$C$6</f>
        <v>0</v>
      </c>
      <c r="K2079" s="61" t="n">
        <f aca="false">H2079*Resumo!$C$7</f>
        <v>1.243977</v>
      </c>
      <c r="L2079" s="61" t="n">
        <f aca="false">H2079*Resumo!$C$8</f>
        <v>1.243977</v>
      </c>
      <c r="M2079" s="61" t="n">
        <f aca="false">Resumo!$C$10*CEILING(G2079/100,1)</f>
        <v>1.05</v>
      </c>
      <c r="N2079" s="61" t="n">
        <f aca="false">Resumo!$C$9</f>
        <v>0</v>
      </c>
      <c r="O2079" s="61" t="n">
        <f aca="false">Resumo!$C$13</f>
        <v>13.55</v>
      </c>
      <c r="P2079" s="61" t="n">
        <f aca="false">Resumo!$C$14*CEILING(G2079,1)</f>
        <v>23.85</v>
      </c>
      <c r="Q2079" s="61" t="n">
        <f aca="false">SUM(I2079:P2079)*Resumo!$C$11</f>
        <v>0</v>
      </c>
      <c r="R2079" s="61" t="n">
        <f aca="false">SUM(I2079:Q2079)</f>
        <v>124.517954</v>
      </c>
      <c r="S2079" s="61" t="n">
        <f aca="false">R2079/(1-Resumo!$C$5)</f>
        <v>141.497675</v>
      </c>
      <c r="T2079" s="61" t="n">
        <v>142.32</v>
      </c>
      <c r="U2079" s="61" t="n">
        <f aca="false">H2079*Resumo!$B$6</f>
        <v>0.59237</v>
      </c>
      <c r="V2079" s="61" t="n">
        <f aca="false">H2079*Resumo!$B$7</f>
        <v>1.18474</v>
      </c>
      <c r="W2079" s="61" t="n">
        <f aca="false">Resumo!$B$9</f>
        <v>1</v>
      </c>
      <c r="X2079" s="61" t="n">
        <f aca="false">Resumo!$B$10*CEILING(G2079/100,1)</f>
        <v>4.5</v>
      </c>
      <c r="Y2079" s="61" t="n">
        <f aca="false">Resumo!$B$12*CEILING(G2079,1)</f>
        <v>3.18</v>
      </c>
      <c r="Z2079" s="61" t="n">
        <f aca="false">Resumo!$B$14*CEILING(G2079,1)</f>
        <v>23.85</v>
      </c>
      <c r="AA2079" s="61" t="n">
        <f aca="false">SUM(T2079:Z2079)</f>
        <v>176.62711</v>
      </c>
      <c r="AB2079" s="61" t="n">
        <f aca="false">AA2079/(1-Resumo!$B$5)</f>
        <v>200.712625</v>
      </c>
      <c r="AC2079" s="61" t="n">
        <f aca="false">AB2079-S2079</f>
        <v>59.21495</v>
      </c>
      <c r="AD2079" s="62" t="n">
        <f aca="false">AB2079/S2079-1</f>
        <v>0.418487088215407</v>
      </c>
      <c r="AE2079" s="60" t="str">
        <f aca="false">IF(AB2079&lt;S2079,"SIM","NÃO")</f>
        <v>NÃO</v>
      </c>
      <c r="AF2079" s="60" t="n">
        <v>13</v>
      </c>
      <c r="AG2079" s="60" t="n">
        <v>10</v>
      </c>
      <c r="AH2079" s="60" t="s">
        <v>385</v>
      </c>
      <c r="AI2079" s="61" t="n">
        <f aca="false">(T2079*(1-Painel!$C$40)+U2079+V2079+Painel!$C$41+Painel!$C$42*CEILING(G2079/100,1)+Painel!$C$43*CEILING(G2079,1)+Z2079)/(1-Resumo!$B$5)</f>
        <v>139.808534090909</v>
      </c>
      <c r="AJ2079" s="60" t="str">
        <f aca="false">IF(AI2079&lt;S2079,"SIM","NÃO")</f>
        <v>SIM</v>
      </c>
    </row>
    <row r="2080" customFormat="false" ht="15" hidden="false" customHeight="false" outlineLevel="0" collapsed="false">
      <c r="A2080" s="59" t="n">
        <v>46289.5053703704</v>
      </c>
      <c r="B2080" s="60" t="s">
        <v>2221</v>
      </c>
      <c r="C2080" s="60" t="n">
        <v>25963140</v>
      </c>
      <c r="D2080" s="60" t="s">
        <v>281</v>
      </c>
      <c r="E2080" s="60" t="s">
        <v>24</v>
      </c>
      <c r="F2080" s="60" t="s">
        <v>236</v>
      </c>
      <c r="G2080" s="60" t="n">
        <v>52.3</v>
      </c>
      <c r="H2080" s="61" t="n">
        <v>607.99</v>
      </c>
      <c r="I2080" s="61" t="n">
        <v>83.58</v>
      </c>
      <c r="J2080" s="61" t="n">
        <f aca="false">H2080*Resumo!$C$6</f>
        <v>0</v>
      </c>
      <c r="K2080" s="61" t="n">
        <f aca="false">H2080*Resumo!$C$7</f>
        <v>1.276779</v>
      </c>
      <c r="L2080" s="61" t="n">
        <f aca="false">H2080*Resumo!$C$8</f>
        <v>1.276779</v>
      </c>
      <c r="M2080" s="61" t="n">
        <f aca="false">Resumo!$C$10*CEILING(G2080/100,1)</f>
        <v>1.05</v>
      </c>
      <c r="N2080" s="61" t="n">
        <f aca="false">Resumo!$C$9</f>
        <v>0</v>
      </c>
      <c r="O2080" s="61" t="n">
        <f aca="false">Resumo!$C$13</f>
        <v>13.55</v>
      </c>
      <c r="P2080" s="61" t="n">
        <f aca="false">Resumo!$C$14*CEILING(G2080,1)</f>
        <v>23.85</v>
      </c>
      <c r="Q2080" s="61" t="n">
        <f aca="false">SUM(I2080:P2080)*Resumo!$C$11</f>
        <v>0</v>
      </c>
      <c r="R2080" s="61" t="n">
        <f aca="false">SUM(I2080:Q2080)</f>
        <v>124.583558</v>
      </c>
      <c r="S2080" s="61" t="n">
        <f aca="false">R2080/(1-Resumo!$C$5)</f>
        <v>141.572225</v>
      </c>
      <c r="T2080" s="61" t="n">
        <v>144.53</v>
      </c>
      <c r="U2080" s="61" t="n">
        <f aca="false">H2080*Resumo!$B$6</f>
        <v>0.60799</v>
      </c>
      <c r="V2080" s="61" t="n">
        <f aca="false">H2080*Resumo!$B$7</f>
        <v>1.21598</v>
      </c>
      <c r="W2080" s="61" t="n">
        <f aca="false">Resumo!$B$9</f>
        <v>1</v>
      </c>
      <c r="X2080" s="61" t="n">
        <f aca="false">Resumo!$B$10*CEILING(G2080/100,1)</f>
        <v>4.5</v>
      </c>
      <c r="Y2080" s="61" t="n">
        <f aca="false">Resumo!$B$12*CEILING(G2080,1)</f>
        <v>3.18</v>
      </c>
      <c r="Z2080" s="61" t="n">
        <f aca="false">Resumo!$B$14*CEILING(G2080,1)</f>
        <v>23.85</v>
      </c>
      <c r="AA2080" s="61" t="n">
        <f aca="false">SUM(T2080:Z2080)</f>
        <v>178.88397</v>
      </c>
      <c r="AB2080" s="61" t="n">
        <f aca="false">AA2080/(1-Resumo!$B$5)</f>
        <v>203.277238636364</v>
      </c>
      <c r="AC2080" s="61" t="n">
        <f aca="false">AB2080-S2080</f>
        <v>61.7050136363636</v>
      </c>
      <c r="AD2080" s="62" t="n">
        <f aca="false">AB2080/S2080-1</f>
        <v>0.435855363835411</v>
      </c>
      <c r="AE2080" s="60" t="str">
        <f aca="false">IF(AB2080&lt;S2080,"SIM","NÃO")</f>
        <v>NÃO</v>
      </c>
      <c r="AF2080" s="60" t="n">
        <v>13</v>
      </c>
      <c r="AG2080" s="60" t="n">
        <v>10</v>
      </c>
      <c r="AH2080" s="60" t="s">
        <v>385</v>
      </c>
      <c r="AI2080" s="61" t="n">
        <f aca="false">(T2080*(1-Painel!$C$40)+U2080+V2080+Painel!$C$41+Painel!$C$42*CEILING(G2080/100,1)+Painel!$C$43*CEILING(G2080,1)+Z2080)/(1-Resumo!$B$5)</f>
        <v>141.544397727273</v>
      </c>
      <c r="AJ2080" s="60" t="str">
        <f aca="false">IF(AI2080&lt;S2080,"SIM","NÃO")</f>
        <v>SIM</v>
      </c>
    </row>
    <row r="2081" customFormat="false" ht="15" hidden="false" customHeight="false" outlineLevel="0" collapsed="false">
      <c r="A2081" s="59" t="n">
        <v>46289.5105555556</v>
      </c>
      <c r="B2081" s="60" t="s">
        <v>2222</v>
      </c>
      <c r="C2081" s="60" t="n">
        <v>26290069</v>
      </c>
      <c r="D2081" s="60" t="s">
        <v>49</v>
      </c>
      <c r="E2081" s="60" t="s">
        <v>23</v>
      </c>
      <c r="F2081" s="60" t="s">
        <v>236</v>
      </c>
      <c r="G2081" s="60" t="n">
        <v>51.06</v>
      </c>
      <c r="H2081" s="61" t="n">
        <v>749.99</v>
      </c>
      <c r="I2081" s="61" t="n">
        <v>70.98</v>
      </c>
      <c r="J2081" s="61" t="n">
        <f aca="false">H2081*Resumo!$C$6</f>
        <v>0</v>
      </c>
      <c r="K2081" s="61" t="n">
        <f aca="false">H2081*Resumo!$C$7</f>
        <v>1.574979</v>
      </c>
      <c r="L2081" s="61" t="n">
        <f aca="false">H2081*Resumo!$C$8</f>
        <v>1.574979</v>
      </c>
      <c r="M2081" s="61" t="n">
        <f aca="false">Resumo!$C$10*CEILING(G2081/100,1)</f>
        <v>1.05</v>
      </c>
      <c r="N2081" s="61" t="n">
        <f aca="false">Resumo!$C$9</f>
        <v>0</v>
      </c>
      <c r="O2081" s="61" t="n">
        <f aca="false">Resumo!$C$13</f>
        <v>13.55</v>
      </c>
      <c r="P2081" s="61" t="n">
        <f aca="false">Resumo!$C$14*CEILING(G2081,1)</f>
        <v>23.4</v>
      </c>
      <c r="Q2081" s="61" t="n">
        <f aca="false">SUM(I2081:P2081)*Resumo!$C$11</f>
        <v>0</v>
      </c>
      <c r="R2081" s="61" t="n">
        <f aca="false">SUM(I2081:Q2081)</f>
        <v>112.129958</v>
      </c>
      <c r="S2081" s="61" t="n">
        <f aca="false">R2081/(1-Resumo!$C$5)</f>
        <v>127.420406818182</v>
      </c>
      <c r="T2081" s="61" t="n">
        <v>112.3</v>
      </c>
      <c r="U2081" s="61" t="n">
        <f aca="false">H2081*Resumo!$B$6</f>
        <v>0.74999</v>
      </c>
      <c r="V2081" s="61" t="n">
        <f aca="false">H2081*Resumo!$B$7</f>
        <v>1.49998</v>
      </c>
      <c r="W2081" s="61" t="n">
        <f aca="false">Resumo!$B$9</f>
        <v>1</v>
      </c>
      <c r="X2081" s="61" t="n">
        <f aca="false">Resumo!$B$10*CEILING(G2081/100,1)</f>
        <v>4.5</v>
      </c>
      <c r="Y2081" s="61" t="n">
        <f aca="false">Resumo!$B$12*CEILING(G2081,1)</f>
        <v>3.12</v>
      </c>
      <c r="Z2081" s="61" t="n">
        <f aca="false">Resumo!$B$14*CEILING(G2081,1)</f>
        <v>23.4</v>
      </c>
      <c r="AA2081" s="61" t="n">
        <f aca="false">SUM(T2081:Z2081)</f>
        <v>146.56997</v>
      </c>
      <c r="AB2081" s="61" t="n">
        <f aca="false">AA2081/(1-Resumo!$B$5)</f>
        <v>166.556784090909</v>
      </c>
      <c r="AC2081" s="61" t="n">
        <f aca="false">AB2081-S2081</f>
        <v>39.1363772727272</v>
      </c>
      <c r="AD2081" s="62" t="n">
        <f aca="false">AB2081/S2081-1</f>
        <v>0.307143716222564</v>
      </c>
      <c r="AE2081" s="60" t="str">
        <f aca="false">IF(AB2081&lt;S2081,"SIM","NÃO")</f>
        <v>NÃO</v>
      </c>
      <c r="AF2081" s="60" t="n">
        <v>2</v>
      </c>
      <c r="AG2081" s="60" t="n">
        <v>5</v>
      </c>
      <c r="AH2081" s="60" t="s">
        <v>382</v>
      </c>
      <c r="AI2081" s="61" t="n">
        <f aca="false">(T2081*(1-Painel!$C$40)+U2081+V2081+Painel!$C$41+Painel!$C$42*CEILING(G2081/100,1)+Painel!$C$43*CEILING(G2081,1)+Z2081)/(1-Resumo!$B$5)</f>
        <v>116.978375</v>
      </c>
      <c r="AJ2081" s="60" t="str">
        <f aca="false">IF(AI2081&lt;S2081,"SIM","NÃO")</f>
        <v>SIM</v>
      </c>
    </row>
    <row r="2082" customFormat="false" ht="15" hidden="false" customHeight="false" outlineLevel="0" collapsed="false">
      <c r="A2082" s="59" t="n">
        <v>46289.5506712963</v>
      </c>
      <c r="B2082" s="60" t="s">
        <v>2223</v>
      </c>
      <c r="C2082" s="60" t="n">
        <v>28907000</v>
      </c>
      <c r="D2082" s="60" t="s">
        <v>221</v>
      </c>
      <c r="E2082" s="60" t="s">
        <v>24</v>
      </c>
      <c r="F2082" s="60" t="s">
        <v>232</v>
      </c>
      <c r="G2082" s="60" t="n">
        <v>15</v>
      </c>
      <c r="H2082" s="61" t="n">
        <v>219.99</v>
      </c>
      <c r="I2082" s="61" t="n">
        <v>46.95</v>
      </c>
      <c r="J2082" s="61" t="n">
        <f aca="false">H2082*Resumo!$C$6</f>
        <v>0</v>
      </c>
      <c r="K2082" s="61" t="n">
        <f aca="false">H2082*Resumo!$C$7</f>
        <v>0.461979</v>
      </c>
      <c r="L2082" s="61" t="n">
        <f aca="false">H2082*Resumo!$C$8</f>
        <v>0.461979</v>
      </c>
      <c r="M2082" s="61" t="n">
        <f aca="false">Resumo!$C$10*CEILING(G2082/100,1)</f>
        <v>1.05</v>
      </c>
      <c r="N2082" s="61" t="n">
        <f aca="false">Resumo!$C$9</f>
        <v>0</v>
      </c>
      <c r="O2082" s="61" t="n">
        <f aca="false">Resumo!$C$13</f>
        <v>13.55</v>
      </c>
      <c r="P2082" s="61" t="n">
        <f aca="false">Resumo!$C$14*CEILING(G2082,1)</f>
        <v>6.75</v>
      </c>
      <c r="Q2082" s="61" t="n">
        <f aca="false">SUM(I2082:P2082)*Resumo!$C$11</f>
        <v>0</v>
      </c>
      <c r="R2082" s="61" t="n">
        <f aca="false">SUM(I2082:Q2082)</f>
        <v>69.223958</v>
      </c>
      <c r="S2082" s="61" t="n">
        <f aca="false">R2082/(1-Resumo!$C$5)</f>
        <v>78.6635886363636</v>
      </c>
      <c r="T2082" s="61" t="n">
        <v>100.7</v>
      </c>
      <c r="U2082" s="61" t="n">
        <f aca="false">H2082*Resumo!$B$6</f>
        <v>0.21999</v>
      </c>
      <c r="V2082" s="61" t="n">
        <f aca="false">H2082*Resumo!$B$7</f>
        <v>0.43998</v>
      </c>
      <c r="W2082" s="61" t="n">
        <f aca="false">Resumo!$B$9</f>
        <v>1</v>
      </c>
      <c r="X2082" s="61" t="n">
        <f aca="false">Resumo!$B$10*CEILING(G2082/100,1)</f>
        <v>4.5</v>
      </c>
      <c r="Y2082" s="61" t="n">
        <f aca="false">Resumo!$B$12*CEILING(G2082,1)</f>
        <v>0.9</v>
      </c>
      <c r="Z2082" s="61" t="n">
        <f aca="false">Resumo!$B$14*CEILING(G2082,1)</f>
        <v>6.75</v>
      </c>
      <c r="AA2082" s="61" t="n">
        <f aca="false">SUM(T2082:Z2082)</f>
        <v>114.50997</v>
      </c>
      <c r="AB2082" s="61" t="n">
        <f aca="false">AA2082/(1-Resumo!$B$5)</f>
        <v>130.124965909091</v>
      </c>
      <c r="AC2082" s="61" t="n">
        <f aca="false">AB2082-S2082</f>
        <v>51.4613772727273</v>
      </c>
      <c r="AD2082" s="62" t="n">
        <f aca="false">AB2082/S2082-1</f>
        <v>0.654195647119744</v>
      </c>
      <c r="AE2082" s="60" t="str">
        <f aca="false">IF(AB2082&lt;S2082,"SIM","NÃO")</f>
        <v>NÃO</v>
      </c>
      <c r="AF2082" s="60" t="n">
        <v>13</v>
      </c>
      <c r="AG2082" s="60" t="n">
        <v>10</v>
      </c>
      <c r="AH2082" s="60" t="s">
        <v>382</v>
      </c>
      <c r="AI2082" s="61" t="n">
        <f aca="false">(T2082*(1-Painel!$C$40)+U2082+V2082+Painel!$C$41+Painel!$C$42*CEILING(G2082/100,1)+Painel!$C$43*CEILING(G2082,1)+Z2082)/(1-Resumo!$B$5)</f>
        <v>87.4192840909091</v>
      </c>
      <c r="AJ2082" s="60" t="str">
        <f aca="false">IF(AI2082&lt;S2082,"SIM","NÃO")</f>
        <v>NÃO</v>
      </c>
    </row>
    <row r="2083" customFormat="false" ht="15" hidden="false" customHeight="false" outlineLevel="0" collapsed="false">
      <c r="A2083" s="59" t="n">
        <v>46289.5732407407</v>
      </c>
      <c r="B2083" s="60" t="s">
        <v>2224</v>
      </c>
      <c r="C2083" s="60" t="n">
        <v>27323540</v>
      </c>
      <c r="D2083" s="60" t="s">
        <v>293</v>
      </c>
      <c r="E2083" s="60" t="s">
        <v>24</v>
      </c>
      <c r="F2083" s="60" t="s">
        <v>234</v>
      </c>
      <c r="G2083" s="60" t="n">
        <v>40</v>
      </c>
      <c r="H2083" s="61" t="n">
        <v>629.99</v>
      </c>
      <c r="I2083" s="61" t="n">
        <v>74.97</v>
      </c>
      <c r="J2083" s="61" t="n">
        <f aca="false">H2083*Resumo!$C$6</f>
        <v>0</v>
      </c>
      <c r="K2083" s="61" t="n">
        <f aca="false">H2083*Resumo!$C$7</f>
        <v>1.322979</v>
      </c>
      <c r="L2083" s="61" t="n">
        <f aca="false">H2083*Resumo!$C$8</f>
        <v>1.322979</v>
      </c>
      <c r="M2083" s="61" t="n">
        <f aca="false">Resumo!$C$10*CEILING(G2083/100,1)</f>
        <v>1.05</v>
      </c>
      <c r="N2083" s="61" t="n">
        <f aca="false">Resumo!$C$9</f>
        <v>0</v>
      </c>
      <c r="O2083" s="61" t="n">
        <f aca="false">Resumo!$C$13</f>
        <v>13.55</v>
      </c>
      <c r="P2083" s="61" t="n">
        <f aca="false">Resumo!$C$14*CEILING(G2083,1)</f>
        <v>18</v>
      </c>
      <c r="Q2083" s="61" t="n">
        <f aca="false">SUM(I2083:P2083)*Resumo!$C$11</f>
        <v>0</v>
      </c>
      <c r="R2083" s="61" t="n">
        <f aca="false">SUM(I2083:Q2083)</f>
        <v>110.215958</v>
      </c>
      <c r="S2083" s="61" t="n">
        <f aca="false">R2083/(1-Resumo!$C$5)</f>
        <v>125.245406818182</v>
      </c>
      <c r="T2083" s="61" t="n">
        <v>124.38</v>
      </c>
      <c r="U2083" s="61" t="n">
        <f aca="false">H2083*Resumo!$B$6</f>
        <v>0.62999</v>
      </c>
      <c r="V2083" s="61" t="n">
        <f aca="false">H2083*Resumo!$B$7</f>
        <v>1.25998</v>
      </c>
      <c r="W2083" s="61" t="n">
        <f aca="false">Resumo!$B$9</f>
        <v>1</v>
      </c>
      <c r="X2083" s="61" t="n">
        <f aca="false">Resumo!$B$10*CEILING(G2083/100,1)</f>
        <v>4.5</v>
      </c>
      <c r="Y2083" s="61" t="n">
        <f aca="false">Resumo!$B$12*CEILING(G2083,1)</f>
        <v>2.4</v>
      </c>
      <c r="Z2083" s="61" t="n">
        <f aca="false">Resumo!$B$14*CEILING(G2083,1)</f>
        <v>18</v>
      </c>
      <c r="AA2083" s="61" t="n">
        <f aca="false">SUM(T2083:Z2083)</f>
        <v>152.16997</v>
      </c>
      <c r="AB2083" s="61" t="n">
        <f aca="false">AA2083/(1-Resumo!$B$5)</f>
        <v>172.920420454545</v>
      </c>
      <c r="AC2083" s="61" t="n">
        <f aca="false">AB2083-S2083</f>
        <v>47.6750136363636</v>
      </c>
      <c r="AD2083" s="62" t="n">
        <f aca="false">AB2083/S2083-1</f>
        <v>0.380652790769191</v>
      </c>
      <c r="AE2083" s="60" t="str">
        <f aca="false">IF(AB2083&lt;S2083,"SIM","NÃO")</f>
        <v>NÃO</v>
      </c>
      <c r="AF2083" s="60" t="n">
        <v>13</v>
      </c>
      <c r="AG2083" s="60" t="n">
        <v>10</v>
      </c>
      <c r="AH2083" s="60" t="s">
        <v>385</v>
      </c>
      <c r="AI2083" s="61" t="n">
        <f aca="false">(T2083*(1-Painel!$C$40)+U2083+V2083+Painel!$C$41+Painel!$C$42*CEILING(G2083/100,1)+Painel!$C$43*CEILING(G2083,1)+Z2083)/(1-Resumo!$B$5)</f>
        <v>119.630193181818</v>
      </c>
      <c r="AJ2083" s="60" t="str">
        <f aca="false">IF(AI2083&lt;S2083,"SIM","NÃO")</f>
        <v>SIM</v>
      </c>
    </row>
    <row r="2084" customFormat="false" ht="15" hidden="false" customHeight="false" outlineLevel="0" collapsed="false">
      <c r="A2084" s="59" t="n">
        <v>46289.6132407407</v>
      </c>
      <c r="B2084" s="60" t="s">
        <v>578</v>
      </c>
      <c r="C2084" s="60" t="n">
        <v>28470000</v>
      </c>
      <c r="D2084" s="60" t="s">
        <v>318</v>
      </c>
      <c r="E2084" s="60" t="s">
        <v>24</v>
      </c>
      <c r="F2084" s="60" t="s">
        <v>236</v>
      </c>
      <c r="G2084" s="60" t="n">
        <v>52.3</v>
      </c>
      <c r="H2084" s="61" t="n">
        <v>592.37</v>
      </c>
      <c r="I2084" s="61" t="n">
        <v>83.58</v>
      </c>
      <c r="J2084" s="61" t="n">
        <f aca="false">H2084*Resumo!$C$6</f>
        <v>0</v>
      </c>
      <c r="K2084" s="61" t="n">
        <f aca="false">H2084*Resumo!$C$7</f>
        <v>1.243977</v>
      </c>
      <c r="L2084" s="61" t="n">
        <f aca="false">H2084*Resumo!$C$8</f>
        <v>1.243977</v>
      </c>
      <c r="M2084" s="61" t="n">
        <f aca="false">Resumo!$C$10*CEILING(G2084/100,1)</f>
        <v>1.05</v>
      </c>
      <c r="N2084" s="61" t="n">
        <f aca="false">Resumo!$C$9</f>
        <v>0</v>
      </c>
      <c r="O2084" s="61" t="n">
        <f aca="false">Resumo!$C$13</f>
        <v>13.55</v>
      </c>
      <c r="P2084" s="61" t="n">
        <f aca="false">Resumo!$C$14*CEILING(G2084,1)</f>
        <v>23.85</v>
      </c>
      <c r="Q2084" s="61" t="n">
        <f aca="false">SUM(I2084:P2084)*Resumo!$C$11</f>
        <v>0</v>
      </c>
      <c r="R2084" s="61" t="n">
        <f aca="false">SUM(I2084:Q2084)</f>
        <v>124.517954</v>
      </c>
      <c r="S2084" s="61" t="n">
        <f aca="false">R2084/(1-Resumo!$C$5)</f>
        <v>141.497675</v>
      </c>
      <c r="T2084" s="61" t="n">
        <v>162.04</v>
      </c>
      <c r="U2084" s="61" t="n">
        <f aca="false">H2084*Resumo!$B$6</f>
        <v>0.59237</v>
      </c>
      <c r="V2084" s="61" t="n">
        <f aca="false">H2084*Resumo!$B$7</f>
        <v>1.18474</v>
      </c>
      <c r="W2084" s="61" t="n">
        <f aca="false">Resumo!$B$9</f>
        <v>1</v>
      </c>
      <c r="X2084" s="61" t="n">
        <f aca="false">Resumo!$B$10*CEILING(G2084/100,1)</f>
        <v>4.5</v>
      </c>
      <c r="Y2084" s="61" t="n">
        <f aca="false">Resumo!$B$12*CEILING(G2084,1)</f>
        <v>3.18</v>
      </c>
      <c r="Z2084" s="61" t="n">
        <f aca="false">Resumo!$B$14*CEILING(G2084,1)</f>
        <v>23.85</v>
      </c>
      <c r="AA2084" s="61" t="n">
        <f aca="false">SUM(T2084:Z2084)</f>
        <v>196.34711</v>
      </c>
      <c r="AB2084" s="61" t="n">
        <f aca="false">AA2084/(1-Resumo!$B$5)</f>
        <v>223.121715909091</v>
      </c>
      <c r="AC2084" s="61" t="n">
        <f aca="false">AB2084-S2084</f>
        <v>81.6240409090909</v>
      </c>
      <c r="AD2084" s="62" t="n">
        <f aca="false">AB2084/S2084-1</f>
        <v>0.576857824053228</v>
      </c>
      <c r="AE2084" s="60" t="str">
        <f aca="false">IF(AB2084&lt;S2084,"SIM","NÃO")</f>
        <v>NÃO</v>
      </c>
      <c r="AF2084" s="60" t="n">
        <v>13</v>
      </c>
      <c r="AG2084" s="60" t="n">
        <v>11</v>
      </c>
      <c r="AH2084" s="60" t="s">
        <v>385</v>
      </c>
      <c r="AI2084" s="61" t="n">
        <f aca="false">(T2084*(1-Painel!$C$40)+U2084+V2084+Painel!$C$41+Painel!$C$42*CEILING(G2084/100,1)+Painel!$C$43*CEILING(G2084,1)+Z2084)/(1-Resumo!$B$5)</f>
        <v>154.822625</v>
      </c>
      <c r="AJ2084" s="60" t="str">
        <f aca="false">IF(AI2084&lt;S2084,"SIM","NÃO")</f>
        <v>NÃO</v>
      </c>
    </row>
    <row r="2085" customFormat="false" ht="15" hidden="false" customHeight="false" outlineLevel="0" collapsed="false">
      <c r="A2085" s="59" t="n">
        <v>46289.635787037</v>
      </c>
      <c r="B2085" s="60" t="s">
        <v>2225</v>
      </c>
      <c r="C2085" s="60" t="n">
        <v>25250530</v>
      </c>
      <c r="D2085" s="60" t="s">
        <v>48</v>
      </c>
      <c r="E2085" s="60" t="s">
        <v>23</v>
      </c>
      <c r="F2085" s="60" t="s">
        <v>235</v>
      </c>
      <c r="G2085" s="60" t="n">
        <v>46.8</v>
      </c>
      <c r="H2085" s="61" t="n">
        <v>569.99</v>
      </c>
      <c r="I2085" s="61" t="n">
        <v>65.36</v>
      </c>
      <c r="J2085" s="61" t="n">
        <f aca="false">H2085*Resumo!$C$6</f>
        <v>0</v>
      </c>
      <c r="K2085" s="61" t="n">
        <f aca="false">H2085*Resumo!$C$7</f>
        <v>1.196979</v>
      </c>
      <c r="L2085" s="61" t="n">
        <f aca="false">H2085*Resumo!$C$8</f>
        <v>1.196979</v>
      </c>
      <c r="M2085" s="61" t="n">
        <f aca="false">Resumo!$C$10*CEILING(G2085/100,1)</f>
        <v>1.05</v>
      </c>
      <c r="N2085" s="61" t="n">
        <f aca="false">Resumo!$C$9</f>
        <v>0</v>
      </c>
      <c r="O2085" s="61" t="n">
        <f aca="false">Resumo!$C$13</f>
        <v>13.55</v>
      </c>
      <c r="P2085" s="61" t="n">
        <f aca="false">Resumo!$C$14*CEILING(G2085,1)</f>
        <v>21.15</v>
      </c>
      <c r="Q2085" s="61" t="n">
        <f aca="false">SUM(I2085:P2085)*Resumo!$C$11</f>
        <v>0</v>
      </c>
      <c r="R2085" s="61" t="n">
        <f aca="false">SUM(I2085:Q2085)</f>
        <v>103.503958</v>
      </c>
      <c r="S2085" s="61" t="n">
        <f aca="false">R2085/(1-Resumo!$C$5)</f>
        <v>117.618134090909</v>
      </c>
      <c r="T2085" s="61" t="n">
        <v>93.97</v>
      </c>
      <c r="U2085" s="61" t="n">
        <f aca="false">H2085*Resumo!$B$6</f>
        <v>0.56999</v>
      </c>
      <c r="V2085" s="61" t="n">
        <f aca="false">H2085*Resumo!$B$7</f>
        <v>1.13998</v>
      </c>
      <c r="W2085" s="61" t="n">
        <f aca="false">Resumo!$B$9</f>
        <v>1</v>
      </c>
      <c r="X2085" s="61" t="n">
        <f aca="false">Resumo!$B$10*CEILING(G2085/100,1)</f>
        <v>4.5</v>
      </c>
      <c r="Y2085" s="61" t="n">
        <f aca="false">Resumo!$B$12*CEILING(G2085,1)</f>
        <v>2.82</v>
      </c>
      <c r="Z2085" s="61" t="n">
        <f aca="false">Resumo!$B$14*CEILING(G2085,1)</f>
        <v>21.15</v>
      </c>
      <c r="AA2085" s="61" t="n">
        <f aca="false">SUM(T2085:Z2085)</f>
        <v>125.14997</v>
      </c>
      <c r="AB2085" s="61" t="n">
        <f aca="false">AA2085/(1-Resumo!$B$5)</f>
        <v>142.215875</v>
      </c>
      <c r="AC2085" s="61" t="n">
        <f aca="false">AB2085-S2085</f>
        <v>24.5977409090909</v>
      </c>
      <c r="AD2085" s="62" t="n">
        <f aca="false">AB2085/S2085-1</f>
        <v>0.209132215021188</v>
      </c>
      <c r="AE2085" s="60" t="str">
        <f aca="false">IF(AB2085&lt;S2085,"SIM","NÃO")</f>
        <v>NÃO</v>
      </c>
      <c r="AF2085" s="60" t="n">
        <v>2</v>
      </c>
      <c r="AG2085" s="60" t="n">
        <v>5</v>
      </c>
      <c r="AH2085" s="60" t="s">
        <v>382</v>
      </c>
      <c r="AI2085" s="61" t="n">
        <f aca="false">(T2085*(1-Painel!$C$40)+U2085+V2085+Painel!$C$41+Painel!$C$42*CEILING(G2085/100,1)+Painel!$C$43*CEILING(G2085,1)+Z2085)/(1-Resumo!$B$5)</f>
        <v>99.852125</v>
      </c>
      <c r="AJ2085" s="60" t="str">
        <f aca="false">IF(AI2085&lt;S2085,"SIM","NÃO")</f>
        <v>SIM</v>
      </c>
    </row>
    <row r="2086" customFormat="false" ht="15" hidden="false" customHeight="false" outlineLevel="0" collapsed="false">
      <c r="A2086" s="59" t="n">
        <v>46289.662650463</v>
      </c>
      <c r="B2086" s="60" t="s">
        <v>2226</v>
      </c>
      <c r="C2086" s="60" t="n">
        <v>24355020</v>
      </c>
      <c r="D2086" s="60" t="s">
        <v>50</v>
      </c>
      <c r="E2086" s="60" t="s">
        <v>23</v>
      </c>
      <c r="F2086" s="60" t="s">
        <v>234</v>
      </c>
      <c r="G2086" s="60" t="n">
        <v>40</v>
      </c>
      <c r="H2086" s="61" t="n">
        <v>629.99</v>
      </c>
      <c r="I2086" s="61" t="n">
        <v>66.83</v>
      </c>
      <c r="J2086" s="61" t="n">
        <f aca="false">H2086*Resumo!$C$6</f>
        <v>0</v>
      </c>
      <c r="K2086" s="61" t="n">
        <f aca="false">H2086*Resumo!$C$7</f>
        <v>1.322979</v>
      </c>
      <c r="L2086" s="61" t="n">
        <f aca="false">H2086*Resumo!$C$8</f>
        <v>1.322979</v>
      </c>
      <c r="M2086" s="61" t="n">
        <f aca="false">Resumo!$C$10*CEILING(G2086/100,1)</f>
        <v>1.05</v>
      </c>
      <c r="N2086" s="61" t="n">
        <f aca="false">Resumo!$C$9</f>
        <v>0</v>
      </c>
      <c r="O2086" s="61" t="n">
        <f aca="false">Resumo!$C$13</f>
        <v>13.55</v>
      </c>
      <c r="P2086" s="61" t="n">
        <f aca="false">Resumo!$C$14*CEILING(G2086,1)</f>
        <v>18</v>
      </c>
      <c r="Q2086" s="61" t="n">
        <f aca="false">SUM(I2086:P2086)*Resumo!$C$11</f>
        <v>0</v>
      </c>
      <c r="R2086" s="61" t="n">
        <f aca="false">SUM(I2086:Q2086)</f>
        <v>102.075958</v>
      </c>
      <c r="S2086" s="61" t="n">
        <f aca="false">R2086/(1-Resumo!$C$5)</f>
        <v>115.995406818182</v>
      </c>
      <c r="T2086" s="61" t="n">
        <v>114.95</v>
      </c>
      <c r="U2086" s="61" t="n">
        <f aca="false">H2086*Resumo!$B$6</f>
        <v>0.62999</v>
      </c>
      <c r="V2086" s="61" t="n">
        <f aca="false">H2086*Resumo!$B$7</f>
        <v>1.25998</v>
      </c>
      <c r="W2086" s="61" t="n">
        <f aca="false">Resumo!$B$9</f>
        <v>1</v>
      </c>
      <c r="X2086" s="61" t="n">
        <f aca="false">Resumo!$B$10*CEILING(G2086/100,1)</f>
        <v>4.5</v>
      </c>
      <c r="Y2086" s="61" t="n">
        <f aca="false">Resumo!$B$12*CEILING(G2086,1)</f>
        <v>2.4</v>
      </c>
      <c r="Z2086" s="61" t="n">
        <f aca="false">Resumo!$B$14*CEILING(G2086,1)</f>
        <v>18</v>
      </c>
      <c r="AA2086" s="61" t="n">
        <f aca="false">SUM(T2086:Z2086)</f>
        <v>142.73997</v>
      </c>
      <c r="AB2086" s="61" t="n">
        <f aca="false">AA2086/(1-Resumo!$B$5)</f>
        <v>162.204511363636</v>
      </c>
      <c r="AC2086" s="61" t="n">
        <f aca="false">AB2086-S2086</f>
        <v>46.2091045454545</v>
      </c>
      <c r="AD2086" s="62" t="n">
        <f aca="false">AB2086/S2086-1</f>
        <v>0.398370123550543</v>
      </c>
      <c r="AE2086" s="60" t="str">
        <f aca="false">IF(AB2086&lt;S2086,"SIM","NÃO")</f>
        <v>NÃO</v>
      </c>
      <c r="AF2086" s="60" t="n">
        <v>2</v>
      </c>
      <c r="AG2086" s="60" t="n">
        <v>7</v>
      </c>
      <c r="AH2086" s="60" t="s">
        <v>382</v>
      </c>
      <c r="AI2086" s="61" t="n">
        <f aca="false">(T2086*(1-Painel!$C$40)+U2086+V2086+Painel!$C$41+Painel!$C$42*CEILING(G2086/100,1)+Painel!$C$43*CEILING(G2086,1)+Z2086)/(1-Resumo!$B$5)</f>
        <v>112.450534090909</v>
      </c>
      <c r="AJ2086" s="60" t="str">
        <f aca="false">IF(AI2086&lt;S2086,"SIM","NÃO")</f>
        <v>SIM</v>
      </c>
    </row>
    <row r="2087" customFormat="false" ht="15" hidden="false" customHeight="false" outlineLevel="0" collapsed="false">
      <c r="A2087" s="59" t="n">
        <v>46289.7067361111</v>
      </c>
      <c r="B2087" s="60" t="s">
        <v>2227</v>
      </c>
      <c r="C2087" s="60" t="n">
        <v>21044725</v>
      </c>
      <c r="D2087" s="60" t="s">
        <v>46</v>
      </c>
      <c r="E2087" s="60" t="s">
        <v>22</v>
      </c>
      <c r="F2087" s="60" t="s">
        <v>237</v>
      </c>
      <c r="G2087" s="60" t="n">
        <v>63.9</v>
      </c>
      <c r="H2087" s="61" t="n">
        <v>716.35</v>
      </c>
      <c r="I2087" s="61" t="n">
        <v>63.21</v>
      </c>
      <c r="J2087" s="61" t="n">
        <f aca="false">H2087*Resumo!$C$6</f>
        <v>0</v>
      </c>
      <c r="K2087" s="61" t="n">
        <f aca="false">H2087*Resumo!$C$7</f>
        <v>1.504335</v>
      </c>
      <c r="L2087" s="61" t="n">
        <f aca="false">H2087*Resumo!$C$8</f>
        <v>1.504335</v>
      </c>
      <c r="M2087" s="61" t="n">
        <f aca="false">Resumo!$C$10*CEILING(G2087/100,1)</f>
        <v>1.05</v>
      </c>
      <c r="N2087" s="61" t="n">
        <f aca="false">Resumo!$C$9</f>
        <v>0</v>
      </c>
      <c r="O2087" s="61" t="n">
        <f aca="false">Resumo!$C$13</f>
        <v>13.55</v>
      </c>
      <c r="P2087" s="61" t="n">
        <f aca="false">Resumo!$C$14*CEILING(G2087,1)</f>
        <v>28.8</v>
      </c>
      <c r="Q2087" s="61" t="n">
        <f aca="false">SUM(I2087:P2087)*Resumo!$C$11</f>
        <v>0</v>
      </c>
      <c r="R2087" s="61" t="n">
        <f aca="false">SUM(I2087:Q2087)</f>
        <v>109.61867</v>
      </c>
      <c r="S2087" s="61" t="n">
        <f aca="false">R2087/(1-Resumo!$C$5)</f>
        <v>124.566670454545</v>
      </c>
      <c r="T2087" s="61" t="n">
        <v>131.02</v>
      </c>
      <c r="U2087" s="61" t="n">
        <f aca="false">H2087*Resumo!$B$6</f>
        <v>0.71635</v>
      </c>
      <c r="V2087" s="61" t="n">
        <f aca="false">H2087*Resumo!$B$7</f>
        <v>1.4327</v>
      </c>
      <c r="W2087" s="61" t="n">
        <f aca="false">Resumo!$B$9</f>
        <v>1</v>
      </c>
      <c r="X2087" s="61" t="n">
        <f aca="false">Resumo!$B$10*CEILING(G2087/100,1)</f>
        <v>4.5</v>
      </c>
      <c r="Y2087" s="61" t="n">
        <f aca="false">Resumo!$B$12*CEILING(G2087,1)</f>
        <v>3.84</v>
      </c>
      <c r="Z2087" s="61" t="n">
        <f aca="false">Resumo!$B$14*CEILING(G2087,1)</f>
        <v>28.8</v>
      </c>
      <c r="AA2087" s="61" t="n">
        <f aca="false">SUM(T2087:Z2087)</f>
        <v>171.30905</v>
      </c>
      <c r="AB2087" s="61" t="n">
        <f aca="false">AA2087/(1-Resumo!$B$5)</f>
        <v>194.669375</v>
      </c>
      <c r="AC2087" s="61" t="n">
        <f aca="false">AB2087-S2087</f>
        <v>70.1027045454546</v>
      </c>
      <c r="AD2087" s="62" t="n">
        <f aca="false">AB2087/S2087-1</f>
        <v>0.562772564199146</v>
      </c>
      <c r="AE2087" s="60" t="str">
        <f aca="false">IF(AB2087&lt;S2087,"SIM","NÃO")</f>
        <v>NÃO</v>
      </c>
      <c r="AF2087" s="60" t="n">
        <v>2</v>
      </c>
      <c r="AG2087" s="60" t="n">
        <v>5</v>
      </c>
      <c r="AH2087" s="60" t="s">
        <v>382</v>
      </c>
      <c r="AI2087" s="61" t="n">
        <f aca="false">(T2087*(1-Painel!$C$40)+U2087+V2087+Painel!$C$41+Painel!$C$42*CEILING(G2087/100,1)+Painel!$C$43*CEILING(G2087,1)+Z2087)/(1-Resumo!$B$5)</f>
        <v>137.252784090909</v>
      </c>
      <c r="AJ2087" s="60" t="str">
        <f aca="false">IF(AI2087&lt;S2087,"SIM","NÃO")</f>
        <v>NÃO</v>
      </c>
    </row>
    <row r="2088" customFormat="false" ht="15" hidden="false" customHeight="false" outlineLevel="0" collapsed="false">
      <c r="A2088" s="59" t="n">
        <v>46289.708275463</v>
      </c>
      <c r="B2088" s="60" t="s">
        <v>2228</v>
      </c>
      <c r="C2088" s="60" t="n">
        <v>21831300</v>
      </c>
      <c r="D2088" s="60" t="s">
        <v>46</v>
      </c>
      <c r="E2088" s="60" t="s">
        <v>22</v>
      </c>
      <c r="F2088" s="60" t="s">
        <v>233</v>
      </c>
      <c r="G2088" s="60" t="n">
        <v>26</v>
      </c>
      <c r="H2088" s="61" t="n">
        <v>549.99</v>
      </c>
      <c r="I2088" s="61" t="n">
        <v>42.11</v>
      </c>
      <c r="J2088" s="61" t="n">
        <f aca="false">H2088*Resumo!$C$6</f>
        <v>0</v>
      </c>
      <c r="K2088" s="61" t="n">
        <f aca="false">H2088*Resumo!$C$7</f>
        <v>1.154979</v>
      </c>
      <c r="L2088" s="61" t="n">
        <f aca="false">H2088*Resumo!$C$8</f>
        <v>1.154979</v>
      </c>
      <c r="M2088" s="61" t="n">
        <f aca="false">Resumo!$C$10*CEILING(G2088/100,1)</f>
        <v>1.05</v>
      </c>
      <c r="N2088" s="61" t="n">
        <f aca="false">Resumo!$C$9</f>
        <v>0</v>
      </c>
      <c r="O2088" s="61" t="n">
        <f aca="false">Resumo!$C$13</f>
        <v>13.55</v>
      </c>
      <c r="P2088" s="61" t="n">
        <f aca="false">Resumo!$C$14*CEILING(G2088,1)</f>
        <v>11.7</v>
      </c>
      <c r="Q2088" s="61" t="n">
        <f aca="false">SUM(I2088:P2088)*Resumo!$C$11</f>
        <v>0</v>
      </c>
      <c r="R2088" s="61" t="n">
        <f aca="false">SUM(I2088:Q2088)</f>
        <v>70.719958</v>
      </c>
      <c r="S2088" s="61" t="n">
        <f aca="false">R2088/(1-Resumo!$C$5)</f>
        <v>80.3635886363636</v>
      </c>
      <c r="T2088" s="61" t="n">
        <v>82.21</v>
      </c>
      <c r="U2088" s="61" t="n">
        <f aca="false">H2088*Resumo!$B$6</f>
        <v>0.54999</v>
      </c>
      <c r="V2088" s="61" t="n">
        <f aca="false">H2088*Resumo!$B$7</f>
        <v>1.09998</v>
      </c>
      <c r="W2088" s="61" t="n">
        <f aca="false">Resumo!$B$9</f>
        <v>1</v>
      </c>
      <c r="X2088" s="61" t="n">
        <f aca="false">Resumo!$B$10*CEILING(G2088/100,1)</f>
        <v>4.5</v>
      </c>
      <c r="Y2088" s="61" t="n">
        <f aca="false">Resumo!$B$12*CEILING(G2088,1)</f>
        <v>1.56</v>
      </c>
      <c r="Z2088" s="61" t="n">
        <f aca="false">Resumo!$B$14*CEILING(G2088,1)</f>
        <v>11.7</v>
      </c>
      <c r="AA2088" s="61" t="n">
        <f aca="false">SUM(T2088:Z2088)</f>
        <v>102.61997</v>
      </c>
      <c r="AB2088" s="61" t="n">
        <f aca="false">AA2088/(1-Resumo!$B$5)</f>
        <v>116.613602272727</v>
      </c>
      <c r="AC2088" s="61" t="n">
        <f aca="false">AB2088-S2088</f>
        <v>36.2500136363636</v>
      </c>
      <c r="AD2088" s="62" t="n">
        <f aca="false">AB2088/S2088-1</f>
        <v>0.451075098206365</v>
      </c>
      <c r="AE2088" s="60" t="str">
        <f aca="false">IF(AB2088&lt;S2088,"SIM","NÃO")</f>
        <v>NÃO</v>
      </c>
      <c r="AF2088" s="60" t="n">
        <v>2</v>
      </c>
      <c r="AG2088" s="60" t="n">
        <v>5</v>
      </c>
      <c r="AH2088" s="60" t="s">
        <v>382</v>
      </c>
      <c r="AI2088" s="61" t="n">
        <f aca="false">(T2088*(1-Painel!$C$40)+U2088+V2088+Painel!$C$41+Painel!$C$42*CEILING(G2088/100,1)+Painel!$C$43*CEILING(G2088,1)+Z2088)/(1-Resumo!$B$5)</f>
        <v>80.0916704545454</v>
      </c>
      <c r="AJ2088" s="60" t="str">
        <f aca="false">IF(AI2088&lt;S2088,"SIM","NÃO")</f>
        <v>SIM</v>
      </c>
    </row>
    <row r="2089" customFormat="false" ht="15" hidden="false" customHeight="false" outlineLevel="0" collapsed="false">
      <c r="A2089" s="59" t="n">
        <v>46289.7245717593</v>
      </c>
      <c r="B2089" s="60" t="s">
        <v>2229</v>
      </c>
      <c r="C2089" s="60" t="n">
        <v>22790851</v>
      </c>
      <c r="D2089" s="60" t="s">
        <v>46</v>
      </c>
      <c r="E2089" s="60" t="s">
        <v>22</v>
      </c>
      <c r="F2089" s="60" t="s">
        <v>234</v>
      </c>
      <c r="G2089" s="60" t="n">
        <v>40</v>
      </c>
      <c r="H2089" s="61" t="n">
        <v>629.99</v>
      </c>
      <c r="I2089" s="61" t="n">
        <v>48.35</v>
      </c>
      <c r="J2089" s="61" t="n">
        <f aca="false">H2089*Resumo!$C$6</f>
        <v>0</v>
      </c>
      <c r="K2089" s="61" t="n">
        <f aca="false">H2089*Resumo!$C$7</f>
        <v>1.322979</v>
      </c>
      <c r="L2089" s="61" t="n">
        <f aca="false">H2089*Resumo!$C$8</f>
        <v>1.322979</v>
      </c>
      <c r="M2089" s="61" t="n">
        <f aca="false">Resumo!$C$10*CEILING(G2089/100,1)</f>
        <v>1.05</v>
      </c>
      <c r="N2089" s="61" t="n">
        <f aca="false">Resumo!$C$9</f>
        <v>0</v>
      </c>
      <c r="O2089" s="61" t="n">
        <f aca="false">Resumo!$C$13</f>
        <v>13.55</v>
      </c>
      <c r="P2089" s="61" t="n">
        <f aca="false">Resumo!$C$14*CEILING(G2089,1)</f>
        <v>18</v>
      </c>
      <c r="Q2089" s="61" t="n">
        <f aca="false">SUM(I2089:P2089)*Resumo!$C$11</f>
        <v>0</v>
      </c>
      <c r="R2089" s="61" t="n">
        <f aca="false">SUM(I2089:Q2089)</f>
        <v>83.595958</v>
      </c>
      <c r="S2089" s="61" t="n">
        <f aca="false">R2089/(1-Resumo!$C$5)</f>
        <v>94.9954068181818</v>
      </c>
      <c r="T2089" s="61" t="n">
        <v>93.97</v>
      </c>
      <c r="U2089" s="61" t="n">
        <f aca="false">H2089*Resumo!$B$6</f>
        <v>0.62999</v>
      </c>
      <c r="V2089" s="61" t="n">
        <f aca="false">H2089*Resumo!$B$7</f>
        <v>1.25998</v>
      </c>
      <c r="W2089" s="61" t="n">
        <f aca="false">Resumo!$B$9</f>
        <v>1</v>
      </c>
      <c r="X2089" s="61" t="n">
        <f aca="false">Resumo!$B$10*CEILING(G2089/100,1)</f>
        <v>4.5</v>
      </c>
      <c r="Y2089" s="61" t="n">
        <f aca="false">Resumo!$B$12*CEILING(G2089,1)</f>
        <v>2.4</v>
      </c>
      <c r="Z2089" s="61" t="n">
        <f aca="false">Resumo!$B$14*CEILING(G2089,1)</f>
        <v>18</v>
      </c>
      <c r="AA2089" s="61" t="n">
        <f aca="false">SUM(T2089:Z2089)</f>
        <v>121.75997</v>
      </c>
      <c r="AB2089" s="61" t="n">
        <f aca="false">AA2089/(1-Resumo!$B$5)</f>
        <v>138.363602272727</v>
      </c>
      <c r="AC2089" s="61" t="n">
        <f aca="false">AB2089-S2089</f>
        <v>43.3681954545454</v>
      </c>
      <c r="AD2089" s="62" t="n">
        <f aca="false">AB2089/S2089-1</f>
        <v>0.456529393442683</v>
      </c>
      <c r="AE2089" s="60" t="str">
        <f aca="false">IF(AB2089&lt;S2089,"SIM","NÃO")</f>
        <v>NÃO</v>
      </c>
      <c r="AF2089" s="60" t="n">
        <v>2</v>
      </c>
      <c r="AG2089" s="60" t="n">
        <v>5</v>
      </c>
      <c r="AH2089" s="60" t="s">
        <v>382</v>
      </c>
      <c r="AI2089" s="61" t="n">
        <f aca="false">(T2089*(1-Painel!$C$40)+U2089+V2089+Painel!$C$41+Painel!$C$42*CEILING(G2089/100,1)+Painel!$C$43*CEILING(G2089,1)+Z2089)/(1-Resumo!$B$5)</f>
        <v>96.477125</v>
      </c>
      <c r="AJ2089" s="60" t="str">
        <f aca="false">IF(AI2089&lt;S2089,"SIM","NÃO")</f>
        <v>NÃO</v>
      </c>
    </row>
    <row r="2090" customFormat="false" ht="15" hidden="false" customHeight="false" outlineLevel="0" collapsed="false">
      <c r="A2090" s="59" t="n">
        <v>46289.7589930556</v>
      </c>
      <c r="B2090" s="60" t="s">
        <v>2230</v>
      </c>
      <c r="C2090" s="60" t="n">
        <v>20241110</v>
      </c>
      <c r="D2090" s="60" t="s">
        <v>46</v>
      </c>
      <c r="E2090" s="60" t="s">
        <v>22</v>
      </c>
      <c r="F2090" s="60" t="s">
        <v>234</v>
      </c>
      <c r="G2090" s="60" t="n">
        <v>36.8</v>
      </c>
      <c r="H2090" s="61" t="n">
        <v>469.99</v>
      </c>
      <c r="I2090" s="61" t="n">
        <v>48.35</v>
      </c>
      <c r="J2090" s="61" t="n">
        <f aca="false">H2090*Resumo!$C$6</f>
        <v>0</v>
      </c>
      <c r="K2090" s="61" t="n">
        <f aca="false">H2090*Resumo!$C$7</f>
        <v>0.986979</v>
      </c>
      <c r="L2090" s="61" t="n">
        <f aca="false">H2090*Resumo!$C$8</f>
        <v>0.986979</v>
      </c>
      <c r="M2090" s="61" t="n">
        <f aca="false">Resumo!$C$10*CEILING(G2090/100,1)</f>
        <v>1.05</v>
      </c>
      <c r="N2090" s="61" t="n">
        <f aca="false">Resumo!$C$9</f>
        <v>0</v>
      </c>
      <c r="O2090" s="61" t="n">
        <f aca="false">Resumo!$C$13</f>
        <v>13.55</v>
      </c>
      <c r="P2090" s="61" t="n">
        <f aca="false">Resumo!$C$14*CEILING(G2090,1)</f>
        <v>16.65</v>
      </c>
      <c r="Q2090" s="61" t="n">
        <f aca="false">SUM(I2090:P2090)*Resumo!$C$11</f>
        <v>0</v>
      </c>
      <c r="R2090" s="61" t="n">
        <f aca="false">SUM(I2090:Q2090)</f>
        <v>81.573958</v>
      </c>
      <c r="S2090" s="61" t="n">
        <f aca="false">R2090/(1-Resumo!$C$5)</f>
        <v>92.6976795454546</v>
      </c>
      <c r="T2090" s="61" t="n">
        <v>93.97</v>
      </c>
      <c r="U2090" s="61" t="n">
        <f aca="false">H2090*Resumo!$B$6</f>
        <v>0.46999</v>
      </c>
      <c r="V2090" s="61" t="n">
        <f aca="false">H2090*Resumo!$B$7</f>
        <v>0.93998</v>
      </c>
      <c r="W2090" s="61" t="n">
        <f aca="false">Resumo!$B$9</f>
        <v>1</v>
      </c>
      <c r="X2090" s="61" t="n">
        <f aca="false">Resumo!$B$10*CEILING(G2090/100,1)</f>
        <v>4.5</v>
      </c>
      <c r="Y2090" s="61" t="n">
        <f aca="false">Resumo!$B$12*CEILING(G2090,1)</f>
        <v>2.22</v>
      </c>
      <c r="Z2090" s="61" t="n">
        <f aca="false">Resumo!$B$14*CEILING(G2090,1)</f>
        <v>16.65</v>
      </c>
      <c r="AA2090" s="61" t="n">
        <f aca="false">SUM(T2090:Z2090)</f>
        <v>119.74997</v>
      </c>
      <c r="AB2090" s="61" t="n">
        <f aca="false">AA2090/(1-Resumo!$B$5)</f>
        <v>136.079511363636</v>
      </c>
      <c r="AC2090" s="61" t="n">
        <f aca="false">AB2090-S2090</f>
        <v>43.3818318181818</v>
      </c>
      <c r="AD2090" s="62" t="n">
        <f aca="false">AB2090/S2090-1</f>
        <v>0.467992640494409</v>
      </c>
      <c r="AE2090" s="60" t="str">
        <f aca="false">IF(AB2090&lt;S2090,"SIM","NÃO")</f>
        <v>NÃO</v>
      </c>
      <c r="AF2090" s="60" t="n">
        <v>2</v>
      </c>
      <c r="AG2090" s="60" t="n">
        <v>5</v>
      </c>
      <c r="AH2090" s="60" t="s">
        <v>382</v>
      </c>
      <c r="AI2090" s="61" t="n">
        <f aca="false">(T2090*(1-Painel!$C$40)+U2090+V2090+Painel!$C$41+Painel!$C$42*CEILING(G2090/100,1)+Painel!$C$43*CEILING(G2090,1)+Z2090)/(1-Resumo!$B$5)</f>
        <v>94.3975795454545</v>
      </c>
      <c r="AJ2090" s="60" t="str">
        <f aca="false">IF(AI2090&lt;S2090,"SIM","NÃO")</f>
        <v>NÃO</v>
      </c>
    </row>
    <row r="2091" customFormat="false" ht="15" hidden="false" customHeight="false" outlineLevel="0" collapsed="false">
      <c r="A2091" s="59" t="n">
        <v>46289.7624421296</v>
      </c>
      <c r="B2091" s="60" t="s">
        <v>2231</v>
      </c>
      <c r="C2091" s="60" t="n">
        <v>21911270</v>
      </c>
      <c r="D2091" s="60" t="s">
        <v>46</v>
      </c>
      <c r="E2091" s="60" t="s">
        <v>22</v>
      </c>
      <c r="F2091" s="60" t="s">
        <v>236</v>
      </c>
      <c r="G2091" s="60" t="n">
        <v>58.6</v>
      </c>
      <c r="H2091" s="61" t="n">
        <v>729.92</v>
      </c>
      <c r="I2091" s="61" t="n">
        <v>58.6</v>
      </c>
      <c r="J2091" s="61" t="n">
        <f aca="false">H2091*Resumo!$C$6</f>
        <v>0</v>
      </c>
      <c r="K2091" s="61" t="n">
        <f aca="false">H2091*Resumo!$C$7</f>
        <v>1.532832</v>
      </c>
      <c r="L2091" s="61" t="n">
        <f aca="false">H2091*Resumo!$C$8</f>
        <v>1.532832</v>
      </c>
      <c r="M2091" s="61" t="n">
        <f aca="false">Resumo!$C$10*CEILING(G2091/100,1)</f>
        <v>1.05</v>
      </c>
      <c r="N2091" s="61" t="n">
        <f aca="false">Resumo!$C$9</f>
        <v>0</v>
      </c>
      <c r="O2091" s="61" t="n">
        <f aca="false">Resumo!$C$13</f>
        <v>13.55</v>
      </c>
      <c r="P2091" s="61" t="n">
        <f aca="false">Resumo!$C$14*CEILING(G2091,1)</f>
        <v>26.55</v>
      </c>
      <c r="Q2091" s="61" t="n">
        <f aca="false">SUM(I2091:P2091)*Resumo!$C$11</f>
        <v>0</v>
      </c>
      <c r="R2091" s="61" t="n">
        <f aca="false">SUM(I2091:Q2091)</f>
        <v>102.815664</v>
      </c>
      <c r="S2091" s="61" t="n">
        <f aca="false">R2091/(1-Resumo!$C$5)</f>
        <v>116.835981818182</v>
      </c>
      <c r="T2091" s="61" t="n">
        <v>112.3</v>
      </c>
      <c r="U2091" s="61" t="n">
        <f aca="false">H2091*Resumo!$B$6</f>
        <v>0.72992</v>
      </c>
      <c r="V2091" s="61" t="n">
        <f aca="false">H2091*Resumo!$B$7</f>
        <v>1.45984</v>
      </c>
      <c r="W2091" s="61" t="n">
        <f aca="false">Resumo!$B$9</f>
        <v>1</v>
      </c>
      <c r="X2091" s="61" t="n">
        <f aca="false">Resumo!$B$10*CEILING(G2091/100,1)</f>
        <v>4.5</v>
      </c>
      <c r="Y2091" s="61" t="n">
        <f aca="false">Resumo!$B$12*CEILING(G2091,1)</f>
        <v>3.54</v>
      </c>
      <c r="Z2091" s="61" t="n">
        <f aca="false">Resumo!$B$14*CEILING(G2091,1)</f>
        <v>26.55</v>
      </c>
      <c r="AA2091" s="61" t="n">
        <f aca="false">SUM(T2091:Z2091)</f>
        <v>150.07976</v>
      </c>
      <c r="AB2091" s="61" t="n">
        <f aca="false">AA2091/(1-Resumo!$B$5)</f>
        <v>170.545181818182</v>
      </c>
      <c r="AC2091" s="61" t="n">
        <f aca="false">AB2091-S2091</f>
        <v>53.7092</v>
      </c>
      <c r="AD2091" s="62" t="n">
        <f aca="false">AB2091/S2091-1</f>
        <v>0.459697425092737</v>
      </c>
      <c r="AE2091" s="60" t="str">
        <f aca="false">IF(AB2091&lt;S2091,"SIM","NÃO")</f>
        <v>NÃO</v>
      </c>
      <c r="AF2091" s="60" t="n">
        <v>2</v>
      </c>
      <c r="AG2091" s="60" t="n">
        <v>5</v>
      </c>
      <c r="AH2091" s="60" t="s">
        <v>382</v>
      </c>
      <c r="AI2091" s="61" t="n">
        <f aca="false">(T2091*(1-Painel!$C$40)+U2091+V2091+Painel!$C$41+Painel!$C$42*CEILING(G2091/100,1)+Painel!$C$43*CEILING(G2091,1)+Z2091)/(1-Resumo!$B$5)</f>
        <v>120.4895</v>
      </c>
      <c r="AJ2091" s="60" t="str">
        <f aca="false">IF(AI2091&lt;S2091,"SIM","NÃO")</f>
        <v>NÃO</v>
      </c>
    </row>
    <row r="2092" customFormat="false" ht="15" hidden="false" customHeight="false" outlineLevel="0" collapsed="false">
      <c r="A2092" s="59" t="n">
        <v>46289.7636226852</v>
      </c>
      <c r="B2092" s="60" t="s">
        <v>2232</v>
      </c>
      <c r="C2092" s="60" t="n">
        <v>26155090</v>
      </c>
      <c r="D2092" s="60" t="s">
        <v>52</v>
      </c>
      <c r="E2092" s="60" t="s">
        <v>23</v>
      </c>
      <c r="F2092" s="60" t="s">
        <v>238</v>
      </c>
      <c r="G2092" s="60" t="n">
        <v>71.9</v>
      </c>
      <c r="H2092" s="61" t="n">
        <v>799.99</v>
      </c>
      <c r="I2092" s="61" t="n">
        <v>82.48</v>
      </c>
      <c r="J2092" s="61" t="n">
        <f aca="false">H2092*Resumo!$C$6</f>
        <v>0</v>
      </c>
      <c r="K2092" s="61" t="n">
        <f aca="false">H2092*Resumo!$C$7</f>
        <v>1.679979</v>
      </c>
      <c r="L2092" s="61" t="n">
        <f aca="false">H2092*Resumo!$C$8</f>
        <v>1.679979</v>
      </c>
      <c r="M2092" s="61" t="n">
        <f aca="false">Resumo!$C$10*CEILING(G2092/100,1)</f>
        <v>1.05</v>
      </c>
      <c r="N2092" s="61" t="n">
        <f aca="false">Resumo!$C$9</f>
        <v>0</v>
      </c>
      <c r="O2092" s="61" t="n">
        <f aca="false">Resumo!$C$13</f>
        <v>13.55</v>
      </c>
      <c r="P2092" s="61" t="n">
        <f aca="false">Resumo!$C$14*CEILING(G2092,1)</f>
        <v>32.4</v>
      </c>
      <c r="Q2092" s="61" t="n">
        <f aca="false">SUM(I2092:P2092)*Resumo!$C$11</f>
        <v>0</v>
      </c>
      <c r="R2092" s="61" t="n">
        <f aca="false">SUM(I2092:Q2092)</f>
        <v>132.839958</v>
      </c>
      <c r="S2092" s="61" t="n">
        <f aca="false">R2092/(1-Resumo!$C$5)</f>
        <v>150.954497727273</v>
      </c>
      <c r="T2092" s="61" t="n">
        <v>134.39</v>
      </c>
      <c r="U2092" s="61" t="n">
        <f aca="false">H2092*Resumo!$B$6</f>
        <v>0.79999</v>
      </c>
      <c r="V2092" s="61" t="n">
        <f aca="false">H2092*Resumo!$B$7</f>
        <v>1.59998</v>
      </c>
      <c r="W2092" s="61" t="n">
        <f aca="false">Resumo!$B$9</f>
        <v>1</v>
      </c>
      <c r="X2092" s="61" t="n">
        <f aca="false">Resumo!$B$10*CEILING(G2092/100,1)</f>
        <v>4.5</v>
      </c>
      <c r="Y2092" s="61" t="n">
        <f aca="false">Resumo!$B$12*CEILING(G2092,1)</f>
        <v>4.32</v>
      </c>
      <c r="Z2092" s="61" t="n">
        <f aca="false">Resumo!$B$14*CEILING(G2092,1)</f>
        <v>32.4</v>
      </c>
      <c r="AA2092" s="61" t="n">
        <f aca="false">SUM(T2092:Z2092)</f>
        <v>179.00997</v>
      </c>
      <c r="AB2092" s="61" t="n">
        <f aca="false">AA2092/(1-Resumo!$B$5)</f>
        <v>203.420420454545</v>
      </c>
      <c r="AC2092" s="61" t="n">
        <f aca="false">AB2092-S2092</f>
        <v>52.4659227272727</v>
      </c>
      <c r="AD2092" s="62" t="n">
        <f aca="false">AB2092/S2092-1</f>
        <v>0.34756117583235</v>
      </c>
      <c r="AE2092" s="60" t="str">
        <f aca="false">IF(AB2092&lt;S2092,"SIM","NÃO")</f>
        <v>NÃO</v>
      </c>
      <c r="AF2092" s="60" t="n">
        <v>2</v>
      </c>
      <c r="AG2092" s="60" t="n">
        <v>5</v>
      </c>
      <c r="AH2092" s="60" t="s">
        <v>382</v>
      </c>
      <c r="AI2092" s="61" t="n">
        <f aca="false">(T2092*(1-Painel!$C$40)+U2092+V2092+Painel!$C$41+Painel!$C$42*CEILING(G2092/100,1)+Painel!$C$43*CEILING(G2092,1)+Z2092)/(1-Resumo!$B$5)</f>
        <v>144.194625</v>
      </c>
      <c r="AJ2092" s="60" t="str">
        <f aca="false">IF(AI2092&lt;S2092,"SIM","NÃO")</f>
        <v>SIM</v>
      </c>
    </row>
    <row r="2093" customFormat="false" ht="15" hidden="false" customHeight="false" outlineLevel="0" collapsed="false">
      <c r="A2093" s="59" t="n">
        <v>46289.7756828704</v>
      </c>
      <c r="B2093" s="60" t="s">
        <v>2233</v>
      </c>
      <c r="C2093" s="60" t="n">
        <v>27250100</v>
      </c>
      <c r="D2093" s="60" t="s">
        <v>217</v>
      </c>
      <c r="E2093" s="60" t="s">
        <v>24</v>
      </c>
      <c r="F2093" s="60" t="s">
        <v>236</v>
      </c>
      <c r="G2093" s="60" t="n">
        <v>52.3</v>
      </c>
      <c r="H2093" s="61" t="n">
        <v>592.37</v>
      </c>
      <c r="I2093" s="61" t="n">
        <v>83.58</v>
      </c>
      <c r="J2093" s="61" t="n">
        <f aca="false">H2093*Resumo!$C$6</f>
        <v>0</v>
      </c>
      <c r="K2093" s="61" t="n">
        <f aca="false">H2093*Resumo!$C$7</f>
        <v>1.243977</v>
      </c>
      <c r="L2093" s="61" t="n">
        <f aca="false">H2093*Resumo!$C$8</f>
        <v>1.243977</v>
      </c>
      <c r="M2093" s="61" t="n">
        <f aca="false">Resumo!$C$10*CEILING(G2093/100,1)</f>
        <v>1.05</v>
      </c>
      <c r="N2093" s="61" t="n">
        <f aca="false">Resumo!$C$9</f>
        <v>0</v>
      </c>
      <c r="O2093" s="61" t="n">
        <f aca="false">Resumo!$C$13</f>
        <v>13.55</v>
      </c>
      <c r="P2093" s="61" t="n">
        <f aca="false">Resumo!$C$14*CEILING(G2093,1)</f>
        <v>23.85</v>
      </c>
      <c r="Q2093" s="61" t="n">
        <f aca="false">SUM(I2093:P2093)*Resumo!$C$11</f>
        <v>0</v>
      </c>
      <c r="R2093" s="61" t="n">
        <f aca="false">SUM(I2093:Q2093)</f>
        <v>124.517954</v>
      </c>
      <c r="S2093" s="61" t="n">
        <f aca="false">R2093/(1-Resumo!$C$5)</f>
        <v>141.497675</v>
      </c>
      <c r="T2093" s="61" t="n">
        <v>142.32</v>
      </c>
      <c r="U2093" s="61" t="n">
        <f aca="false">H2093*Resumo!$B$6</f>
        <v>0.59237</v>
      </c>
      <c r="V2093" s="61" t="n">
        <f aca="false">H2093*Resumo!$B$7</f>
        <v>1.18474</v>
      </c>
      <c r="W2093" s="61" t="n">
        <f aca="false">Resumo!$B$9</f>
        <v>1</v>
      </c>
      <c r="X2093" s="61" t="n">
        <f aca="false">Resumo!$B$10*CEILING(G2093/100,1)</f>
        <v>4.5</v>
      </c>
      <c r="Y2093" s="61" t="n">
        <f aca="false">Resumo!$B$12*CEILING(G2093,1)</f>
        <v>3.18</v>
      </c>
      <c r="Z2093" s="61" t="n">
        <f aca="false">Resumo!$B$14*CEILING(G2093,1)</f>
        <v>23.85</v>
      </c>
      <c r="AA2093" s="61" t="n">
        <f aca="false">SUM(T2093:Z2093)</f>
        <v>176.62711</v>
      </c>
      <c r="AB2093" s="61" t="n">
        <f aca="false">AA2093/(1-Resumo!$B$5)</f>
        <v>200.712625</v>
      </c>
      <c r="AC2093" s="61" t="n">
        <f aca="false">AB2093-S2093</f>
        <v>59.21495</v>
      </c>
      <c r="AD2093" s="62" t="n">
        <f aca="false">AB2093/S2093-1</f>
        <v>0.418487088215407</v>
      </c>
      <c r="AE2093" s="60" t="str">
        <f aca="false">IF(AB2093&lt;S2093,"SIM","NÃO")</f>
        <v>NÃO</v>
      </c>
      <c r="AF2093" s="60" t="n">
        <v>13</v>
      </c>
      <c r="AG2093" s="60" t="n">
        <v>10</v>
      </c>
      <c r="AH2093" s="60" t="s">
        <v>382</v>
      </c>
      <c r="AI2093" s="61" t="n">
        <f aca="false">(T2093*(1-Painel!$C$40)+U2093+V2093+Painel!$C$41+Painel!$C$42*CEILING(G2093/100,1)+Painel!$C$43*CEILING(G2093,1)+Z2093)/(1-Resumo!$B$5)</f>
        <v>139.808534090909</v>
      </c>
      <c r="AJ2093" s="60" t="str">
        <f aca="false">IF(AI2093&lt;S2093,"SIM","NÃO")</f>
        <v>SIM</v>
      </c>
    </row>
    <row r="2094" customFormat="false" ht="15" hidden="false" customHeight="false" outlineLevel="0" collapsed="false">
      <c r="A2094" s="59" t="n">
        <v>46289.8079050926</v>
      </c>
      <c r="B2094" s="60" t="s">
        <v>2234</v>
      </c>
      <c r="C2094" s="60" t="n">
        <v>23575330</v>
      </c>
      <c r="D2094" s="60" t="s">
        <v>46</v>
      </c>
      <c r="E2094" s="60" t="s">
        <v>22</v>
      </c>
      <c r="F2094" s="60" t="s">
        <v>235</v>
      </c>
      <c r="G2094" s="60" t="n">
        <v>48.3</v>
      </c>
      <c r="H2094" s="61" t="n">
        <v>449.31</v>
      </c>
      <c r="I2094" s="61" t="n">
        <v>53.55</v>
      </c>
      <c r="J2094" s="61" t="n">
        <f aca="false">H2094*Resumo!$C$6</f>
        <v>0</v>
      </c>
      <c r="K2094" s="61" t="n">
        <f aca="false">H2094*Resumo!$C$7</f>
        <v>0.943551</v>
      </c>
      <c r="L2094" s="61" t="n">
        <f aca="false">H2094*Resumo!$C$8</f>
        <v>0.943551</v>
      </c>
      <c r="M2094" s="61" t="n">
        <f aca="false">Resumo!$C$10*CEILING(G2094/100,1)</f>
        <v>1.05</v>
      </c>
      <c r="N2094" s="61" t="n">
        <f aca="false">Resumo!$C$9</f>
        <v>0</v>
      </c>
      <c r="O2094" s="61" t="n">
        <f aca="false">Resumo!$C$13</f>
        <v>13.55</v>
      </c>
      <c r="P2094" s="61" t="n">
        <f aca="false">Resumo!$C$14*CEILING(G2094,1)</f>
        <v>22.05</v>
      </c>
      <c r="Q2094" s="61" t="n">
        <f aca="false">SUM(I2094:P2094)*Resumo!$C$11</f>
        <v>0</v>
      </c>
      <c r="R2094" s="61" t="n">
        <f aca="false">SUM(I2094:Q2094)</f>
        <v>92.087102</v>
      </c>
      <c r="S2094" s="61" t="n">
        <f aca="false">R2094/(1-Resumo!$C$5)</f>
        <v>104.644434090909</v>
      </c>
      <c r="T2094" s="61" t="n">
        <v>93.97</v>
      </c>
      <c r="U2094" s="61" t="n">
        <f aca="false">H2094*Resumo!$B$6</f>
        <v>0.44931</v>
      </c>
      <c r="V2094" s="61" t="n">
        <f aca="false">H2094*Resumo!$B$7</f>
        <v>0.89862</v>
      </c>
      <c r="W2094" s="61" t="n">
        <f aca="false">Resumo!$B$9</f>
        <v>1</v>
      </c>
      <c r="X2094" s="61" t="n">
        <f aca="false">Resumo!$B$10*CEILING(G2094/100,1)</f>
        <v>4.5</v>
      </c>
      <c r="Y2094" s="61" t="n">
        <f aca="false">Resumo!$B$12*CEILING(G2094,1)</f>
        <v>2.94</v>
      </c>
      <c r="Z2094" s="61" t="n">
        <f aca="false">Resumo!$B$14*CEILING(G2094,1)</f>
        <v>22.05</v>
      </c>
      <c r="AA2094" s="61" t="n">
        <f aca="false">SUM(T2094:Z2094)</f>
        <v>125.80793</v>
      </c>
      <c r="AB2094" s="61" t="n">
        <f aca="false">AA2094/(1-Resumo!$B$5)</f>
        <v>142.963556818182</v>
      </c>
      <c r="AC2094" s="61" t="n">
        <f aca="false">AB2094-S2094</f>
        <v>38.3191227272727</v>
      </c>
      <c r="AD2094" s="62" t="n">
        <f aca="false">AB2094/S2094-1</f>
        <v>0.366184050400457</v>
      </c>
      <c r="AE2094" s="60" t="str">
        <f aca="false">IF(AB2094&lt;S2094,"SIM","NÃO")</f>
        <v>NÃO</v>
      </c>
      <c r="AF2094" s="60" t="n">
        <v>2</v>
      </c>
      <c r="AG2094" s="60" t="n">
        <v>5</v>
      </c>
      <c r="AH2094" s="60" t="s">
        <v>382</v>
      </c>
      <c r="AI2094" s="61" t="n">
        <f aca="false">(T2094*(1-Painel!$C$40)+U2094+V2094+Painel!$C$41+Painel!$C$42*CEILING(G2094/100,1)+Painel!$C$43*CEILING(G2094,1)+Z2094)/(1-Resumo!$B$5)</f>
        <v>100.463443181818</v>
      </c>
      <c r="AJ2094" s="60" t="str">
        <f aca="false">IF(AI2094&lt;S2094,"SIM","NÃO")</f>
        <v>SIM</v>
      </c>
    </row>
    <row r="2095" customFormat="false" ht="15" hidden="false" customHeight="false" outlineLevel="0" collapsed="false">
      <c r="A2095" s="59" t="n">
        <v>46289.8113425926</v>
      </c>
      <c r="B2095" s="60" t="s">
        <v>2235</v>
      </c>
      <c r="C2095" s="60" t="n">
        <v>21825330</v>
      </c>
      <c r="D2095" s="60" t="s">
        <v>46</v>
      </c>
      <c r="E2095" s="60" t="s">
        <v>22</v>
      </c>
      <c r="F2095" s="60" t="s">
        <v>233</v>
      </c>
      <c r="G2095" s="60" t="n">
        <v>21.5</v>
      </c>
      <c r="H2095" s="61" t="n">
        <v>299.99</v>
      </c>
      <c r="I2095" s="61" t="n">
        <v>42.11</v>
      </c>
      <c r="J2095" s="61" t="n">
        <f aca="false">H2095*Resumo!$C$6</f>
        <v>0</v>
      </c>
      <c r="K2095" s="61" t="n">
        <f aca="false">H2095*Resumo!$C$7</f>
        <v>0.629979</v>
      </c>
      <c r="L2095" s="61" t="n">
        <f aca="false">H2095*Resumo!$C$8</f>
        <v>0.629979</v>
      </c>
      <c r="M2095" s="61" t="n">
        <f aca="false">Resumo!$C$10*CEILING(G2095/100,1)</f>
        <v>1.05</v>
      </c>
      <c r="N2095" s="61" t="n">
        <f aca="false">Resumo!$C$9</f>
        <v>0</v>
      </c>
      <c r="O2095" s="61" t="n">
        <f aca="false">Resumo!$C$13</f>
        <v>13.55</v>
      </c>
      <c r="P2095" s="61" t="n">
        <f aca="false">Resumo!$C$14*CEILING(G2095,1)</f>
        <v>9.9</v>
      </c>
      <c r="Q2095" s="61" t="n">
        <f aca="false">SUM(I2095:P2095)*Resumo!$C$11</f>
        <v>0</v>
      </c>
      <c r="R2095" s="61" t="n">
        <f aca="false">SUM(I2095:Q2095)</f>
        <v>67.869958</v>
      </c>
      <c r="S2095" s="61" t="n">
        <f aca="false">R2095/(1-Resumo!$C$5)</f>
        <v>77.1249522727273</v>
      </c>
      <c r="T2095" s="61" t="n">
        <v>82.21</v>
      </c>
      <c r="U2095" s="61" t="n">
        <f aca="false">H2095*Resumo!$B$6</f>
        <v>0.29999</v>
      </c>
      <c r="V2095" s="61" t="n">
        <f aca="false">H2095*Resumo!$B$7</f>
        <v>0.59998</v>
      </c>
      <c r="W2095" s="61" t="n">
        <f aca="false">Resumo!$B$9</f>
        <v>1</v>
      </c>
      <c r="X2095" s="61" t="n">
        <f aca="false">Resumo!$B$10*CEILING(G2095/100,1)</f>
        <v>4.5</v>
      </c>
      <c r="Y2095" s="61" t="n">
        <f aca="false">Resumo!$B$12*CEILING(G2095,1)</f>
        <v>1.32</v>
      </c>
      <c r="Z2095" s="61" t="n">
        <f aca="false">Resumo!$B$14*CEILING(G2095,1)</f>
        <v>9.9</v>
      </c>
      <c r="AA2095" s="61" t="n">
        <f aca="false">SUM(T2095:Z2095)</f>
        <v>99.82997</v>
      </c>
      <c r="AB2095" s="61" t="n">
        <f aca="false">AA2095/(1-Resumo!$B$5)</f>
        <v>113.443147727273</v>
      </c>
      <c r="AC2095" s="61" t="n">
        <f aca="false">AB2095-S2095</f>
        <v>36.3181954545455</v>
      </c>
      <c r="AD2095" s="62" t="n">
        <f aca="false">AB2095/S2095-1</f>
        <v>0.470900718695008</v>
      </c>
      <c r="AE2095" s="60" t="str">
        <f aca="false">IF(AB2095&lt;S2095,"SIM","NÃO")</f>
        <v>NÃO</v>
      </c>
      <c r="AF2095" s="60" t="n">
        <v>2</v>
      </c>
      <c r="AG2095" s="60" t="n">
        <v>5</v>
      </c>
      <c r="AH2095" s="60" t="s">
        <v>382</v>
      </c>
      <c r="AI2095" s="61" t="n">
        <f aca="false">(T2095*(1-Painel!$C$40)+U2095+V2095+Painel!$C$41+Painel!$C$42*CEILING(G2095/100,1)+Painel!$C$43*CEILING(G2095,1)+Z2095)/(1-Resumo!$B$5)</f>
        <v>77.1939431818182</v>
      </c>
      <c r="AJ2095" s="60" t="str">
        <f aca="false">IF(AI2095&lt;S2095,"SIM","NÃO")</f>
        <v>NÃO</v>
      </c>
    </row>
    <row r="2096" customFormat="false" ht="15" hidden="false" customHeight="false" outlineLevel="0" collapsed="false">
      <c r="A2096" s="59" t="n">
        <v>46289.8382523148</v>
      </c>
      <c r="B2096" s="60" t="s">
        <v>2236</v>
      </c>
      <c r="C2096" s="60" t="n">
        <v>25085132</v>
      </c>
      <c r="D2096" s="60" t="s">
        <v>48</v>
      </c>
      <c r="E2096" s="60" t="s">
        <v>23</v>
      </c>
      <c r="F2096" s="60" t="s">
        <v>236</v>
      </c>
      <c r="G2096" s="60" t="n">
        <v>52.3</v>
      </c>
      <c r="H2096" s="61" t="n">
        <v>592.37</v>
      </c>
      <c r="I2096" s="61" t="n">
        <v>70.98</v>
      </c>
      <c r="J2096" s="61" t="n">
        <f aca="false">H2096*Resumo!$C$6</f>
        <v>0</v>
      </c>
      <c r="K2096" s="61" t="n">
        <f aca="false">H2096*Resumo!$C$7</f>
        <v>1.243977</v>
      </c>
      <c r="L2096" s="61" t="n">
        <f aca="false">H2096*Resumo!$C$8</f>
        <v>1.243977</v>
      </c>
      <c r="M2096" s="61" t="n">
        <f aca="false">Resumo!$C$10*CEILING(G2096/100,1)</f>
        <v>1.05</v>
      </c>
      <c r="N2096" s="61" t="n">
        <f aca="false">Resumo!$C$9</f>
        <v>0</v>
      </c>
      <c r="O2096" s="61" t="n">
        <f aca="false">Resumo!$C$13</f>
        <v>13.55</v>
      </c>
      <c r="P2096" s="61" t="n">
        <f aca="false">Resumo!$C$14*CEILING(G2096,1)</f>
        <v>23.85</v>
      </c>
      <c r="Q2096" s="61" t="n">
        <f aca="false">SUM(I2096:P2096)*Resumo!$C$11</f>
        <v>0</v>
      </c>
      <c r="R2096" s="61" t="n">
        <f aca="false">SUM(I2096:Q2096)</f>
        <v>111.917954</v>
      </c>
      <c r="S2096" s="61" t="n">
        <f aca="false">R2096/(1-Resumo!$C$5)</f>
        <v>127.179493181818</v>
      </c>
      <c r="T2096" s="61" t="n">
        <v>112.3</v>
      </c>
      <c r="U2096" s="61" t="n">
        <f aca="false">H2096*Resumo!$B$6</f>
        <v>0.59237</v>
      </c>
      <c r="V2096" s="61" t="n">
        <f aca="false">H2096*Resumo!$B$7</f>
        <v>1.18474</v>
      </c>
      <c r="W2096" s="61" t="n">
        <f aca="false">Resumo!$B$9</f>
        <v>1</v>
      </c>
      <c r="X2096" s="61" t="n">
        <f aca="false">Resumo!$B$10*CEILING(G2096/100,1)</f>
        <v>4.5</v>
      </c>
      <c r="Y2096" s="61" t="n">
        <f aca="false">Resumo!$B$12*CEILING(G2096,1)</f>
        <v>3.18</v>
      </c>
      <c r="Z2096" s="61" t="n">
        <f aca="false">Resumo!$B$14*CEILING(G2096,1)</f>
        <v>23.85</v>
      </c>
      <c r="AA2096" s="61" t="n">
        <f aca="false">SUM(T2096:Z2096)</f>
        <v>146.60711</v>
      </c>
      <c r="AB2096" s="61" t="n">
        <f aca="false">AA2096/(1-Resumo!$B$5)</f>
        <v>166.598988636364</v>
      </c>
      <c r="AC2096" s="61" t="n">
        <f aca="false">AB2096-S2096</f>
        <v>39.4194954545454</v>
      </c>
      <c r="AD2096" s="62" t="n">
        <f aca="false">AB2096/S2096-1</f>
        <v>0.309951663340808</v>
      </c>
      <c r="AE2096" s="60" t="str">
        <f aca="false">IF(AB2096&lt;S2096,"SIM","NÃO")</f>
        <v>NÃO</v>
      </c>
      <c r="AF2096" s="60" t="n">
        <v>2</v>
      </c>
      <c r="AG2096" s="60" t="n">
        <v>5</v>
      </c>
      <c r="AH2096" s="60" t="s">
        <v>382</v>
      </c>
      <c r="AI2096" s="61" t="n">
        <f aca="false">(T2096*(1-Painel!$C$40)+U2096+V2096+Painel!$C$41+Painel!$C$42*CEILING(G2096/100,1)+Painel!$C$43*CEILING(G2096,1)+Z2096)/(1-Resumo!$B$5)</f>
        <v>116.952397727273</v>
      </c>
      <c r="AJ2096" s="60" t="str">
        <f aca="false">IF(AI2096&lt;S2096,"SIM","NÃO")</f>
        <v>SIM</v>
      </c>
    </row>
    <row r="2097" customFormat="false" ht="15" hidden="false" customHeight="false" outlineLevel="0" collapsed="false">
      <c r="A2097" s="59" t="n">
        <v>46289.8428703704</v>
      </c>
      <c r="B2097" s="60" t="s">
        <v>2237</v>
      </c>
      <c r="C2097" s="60" t="n">
        <v>23555024</v>
      </c>
      <c r="D2097" s="60" t="s">
        <v>46</v>
      </c>
      <c r="E2097" s="60" t="s">
        <v>22</v>
      </c>
      <c r="F2097" s="60" t="s">
        <v>235</v>
      </c>
      <c r="G2097" s="60" t="n">
        <v>48.3</v>
      </c>
      <c r="H2097" s="61" t="n">
        <v>449.35</v>
      </c>
      <c r="I2097" s="61" t="n">
        <v>53.55</v>
      </c>
      <c r="J2097" s="61" t="n">
        <f aca="false">H2097*Resumo!$C$6</f>
        <v>0</v>
      </c>
      <c r="K2097" s="61" t="n">
        <f aca="false">H2097*Resumo!$C$7</f>
        <v>0.943635</v>
      </c>
      <c r="L2097" s="61" t="n">
        <f aca="false">H2097*Resumo!$C$8</f>
        <v>0.943635</v>
      </c>
      <c r="M2097" s="61" t="n">
        <f aca="false">Resumo!$C$10*CEILING(G2097/100,1)</f>
        <v>1.05</v>
      </c>
      <c r="N2097" s="61" t="n">
        <f aca="false">Resumo!$C$9</f>
        <v>0</v>
      </c>
      <c r="O2097" s="61" t="n">
        <f aca="false">Resumo!$C$13</f>
        <v>13.55</v>
      </c>
      <c r="P2097" s="61" t="n">
        <f aca="false">Resumo!$C$14*CEILING(G2097,1)</f>
        <v>22.05</v>
      </c>
      <c r="Q2097" s="61" t="n">
        <f aca="false">SUM(I2097:P2097)*Resumo!$C$11</f>
        <v>0</v>
      </c>
      <c r="R2097" s="61" t="n">
        <f aca="false">SUM(I2097:Q2097)</f>
        <v>92.08727</v>
      </c>
      <c r="S2097" s="61" t="n">
        <f aca="false">R2097/(1-Resumo!$C$5)</f>
        <v>104.644625</v>
      </c>
      <c r="T2097" s="61" t="n">
        <v>93.97</v>
      </c>
      <c r="U2097" s="61" t="n">
        <f aca="false">H2097*Resumo!$B$6</f>
        <v>0.44935</v>
      </c>
      <c r="V2097" s="61" t="n">
        <f aca="false">H2097*Resumo!$B$7</f>
        <v>0.8987</v>
      </c>
      <c r="W2097" s="61" t="n">
        <f aca="false">Resumo!$B$9</f>
        <v>1</v>
      </c>
      <c r="X2097" s="61" t="n">
        <f aca="false">Resumo!$B$10*CEILING(G2097/100,1)</f>
        <v>4.5</v>
      </c>
      <c r="Y2097" s="61" t="n">
        <f aca="false">Resumo!$B$12*CEILING(G2097,1)</f>
        <v>2.94</v>
      </c>
      <c r="Z2097" s="61" t="n">
        <f aca="false">Resumo!$B$14*CEILING(G2097,1)</f>
        <v>22.05</v>
      </c>
      <c r="AA2097" s="61" t="n">
        <f aca="false">SUM(T2097:Z2097)</f>
        <v>125.80805</v>
      </c>
      <c r="AB2097" s="61" t="n">
        <f aca="false">AA2097/(1-Resumo!$B$5)</f>
        <v>142.963693181818</v>
      </c>
      <c r="AC2097" s="61" t="n">
        <f aca="false">AB2097-S2097</f>
        <v>38.3190681818182</v>
      </c>
      <c r="AD2097" s="62" t="n">
        <f aca="false">AB2097/S2097-1</f>
        <v>0.366182861105558</v>
      </c>
      <c r="AE2097" s="60" t="str">
        <f aca="false">IF(AB2097&lt;S2097,"SIM","NÃO")</f>
        <v>NÃO</v>
      </c>
      <c r="AF2097" s="60" t="n">
        <v>2</v>
      </c>
      <c r="AG2097" s="60" t="n">
        <v>5</v>
      </c>
      <c r="AH2097" s="60" t="s">
        <v>382</v>
      </c>
      <c r="AI2097" s="61" t="n">
        <f aca="false">(T2097*(1-Painel!$C$40)+U2097+V2097+Painel!$C$41+Painel!$C$42*CEILING(G2097/100,1)+Painel!$C$43*CEILING(G2097,1)+Z2097)/(1-Resumo!$B$5)</f>
        <v>100.463579545455</v>
      </c>
      <c r="AJ2097" s="60" t="str">
        <f aca="false">IF(AI2097&lt;S2097,"SIM","NÃO")</f>
        <v>SIM</v>
      </c>
    </row>
    <row r="2098" customFormat="false" ht="15" hidden="false" customHeight="false" outlineLevel="0" collapsed="false">
      <c r="A2098" s="59" t="n">
        <v>46289.903275463</v>
      </c>
      <c r="B2098" s="60" t="s">
        <v>2238</v>
      </c>
      <c r="C2098" s="60" t="n">
        <v>20720310</v>
      </c>
      <c r="D2098" s="60" t="s">
        <v>46</v>
      </c>
      <c r="E2098" s="60" t="s">
        <v>22</v>
      </c>
      <c r="F2098" s="60" t="s">
        <v>234</v>
      </c>
      <c r="G2098" s="60" t="n">
        <v>40</v>
      </c>
      <c r="H2098" s="61" t="n">
        <v>616</v>
      </c>
      <c r="I2098" s="61" t="n">
        <v>48.35</v>
      </c>
      <c r="J2098" s="61" t="n">
        <f aca="false">H2098*Resumo!$C$6</f>
        <v>0</v>
      </c>
      <c r="K2098" s="61" t="n">
        <f aca="false">H2098*Resumo!$C$7</f>
        <v>1.2936</v>
      </c>
      <c r="L2098" s="61" t="n">
        <f aca="false">H2098*Resumo!$C$8</f>
        <v>1.2936</v>
      </c>
      <c r="M2098" s="61" t="n">
        <f aca="false">Resumo!$C$10*CEILING(G2098/100,1)</f>
        <v>1.05</v>
      </c>
      <c r="N2098" s="61" t="n">
        <f aca="false">Resumo!$C$9</f>
        <v>0</v>
      </c>
      <c r="O2098" s="61" t="n">
        <f aca="false">Resumo!$C$13</f>
        <v>13.55</v>
      </c>
      <c r="P2098" s="61" t="n">
        <f aca="false">Resumo!$C$14*CEILING(G2098,1)</f>
        <v>18</v>
      </c>
      <c r="Q2098" s="61" t="n">
        <f aca="false">SUM(I2098:P2098)*Resumo!$C$11</f>
        <v>0</v>
      </c>
      <c r="R2098" s="61" t="n">
        <f aca="false">SUM(I2098:Q2098)</f>
        <v>83.5372</v>
      </c>
      <c r="S2098" s="61" t="n">
        <f aca="false">R2098/(1-Resumo!$C$5)</f>
        <v>94.9286363636364</v>
      </c>
      <c r="T2098" s="61" t="n">
        <v>93.97</v>
      </c>
      <c r="U2098" s="61" t="n">
        <f aca="false">H2098*Resumo!$B$6</f>
        <v>0.616</v>
      </c>
      <c r="V2098" s="61" t="n">
        <f aca="false">H2098*Resumo!$B$7</f>
        <v>1.232</v>
      </c>
      <c r="W2098" s="61" t="n">
        <f aca="false">Resumo!$B$9</f>
        <v>1</v>
      </c>
      <c r="X2098" s="61" t="n">
        <f aca="false">Resumo!$B$10*CEILING(G2098/100,1)</f>
        <v>4.5</v>
      </c>
      <c r="Y2098" s="61" t="n">
        <f aca="false">Resumo!$B$12*CEILING(G2098,1)</f>
        <v>2.4</v>
      </c>
      <c r="Z2098" s="61" t="n">
        <f aca="false">Resumo!$B$14*CEILING(G2098,1)</f>
        <v>18</v>
      </c>
      <c r="AA2098" s="61" t="n">
        <f aca="false">SUM(T2098:Z2098)</f>
        <v>121.718</v>
      </c>
      <c r="AB2098" s="61" t="n">
        <f aca="false">AA2098/(1-Resumo!$B$5)</f>
        <v>138.315909090909</v>
      </c>
      <c r="AC2098" s="61" t="n">
        <f aca="false">AB2098-S2098</f>
        <v>43.3872727272727</v>
      </c>
      <c r="AD2098" s="62" t="n">
        <f aca="false">AB2098/S2098-1</f>
        <v>0.45705146928554</v>
      </c>
      <c r="AE2098" s="60" t="str">
        <f aca="false">IF(AB2098&lt;S2098,"SIM","NÃO")</f>
        <v>NÃO</v>
      </c>
      <c r="AF2098" s="60" t="n">
        <v>2</v>
      </c>
      <c r="AG2098" s="60" t="n">
        <v>5</v>
      </c>
      <c r="AH2098" s="60" t="s">
        <v>382</v>
      </c>
      <c r="AI2098" s="61" t="n">
        <f aca="false">(T2098*(1-Painel!$C$40)+U2098+V2098+Painel!$C$41+Painel!$C$42*CEILING(G2098/100,1)+Painel!$C$43*CEILING(G2098,1)+Z2098)/(1-Resumo!$B$5)</f>
        <v>96.4294318181818</v>
      </c>
      <c r="AJ2098" s="60" t="str">
        <f aca="false">IF(AI2098&lt;S2098,"SIM","NÃO")</f>
        <v>NÃO</v>
      </c>
    </row>
    <row r="2099" customFormat="false" ht="15" hidden="false" customHeight="false" outlineLevel="0" collapsed="false">
      <c r="A2099" s="59" t="n">
        <v>46289.9378819445</v>
      </c>
      <c r="B2099" s="60" t="s">
        <v>2239</v>
      </c>
      <c r="C2099" s="60" t="n">
        <v>24933440</v>
      </c>
      <c r="D2099" s="60" t="s">
        <v>220</v>
      </c>
      <c r="E2099" s="60" t="s">
        <v>24</v>
      </c>
      <c r="F2099" s="60" t="s">
        <v>233</v>
      </c>
      <c r="G2099" s="60" t="n">
        <v>27.6</v>
      </c>
      <c r="H2099" s="61" t="n">
        <v>539</v>
      </c>
      <c r="I2099" s="61" t="n">
        <v>65.63</v>
      </c>
      <c r="J2099" s="61" t="n">
        <f aca="false">H2099*Resumo!$C$6</f>
        <v>0</v>
      </c>
      <c r="K2099" s="61" t="n">
        <f aca="false">H2099*Resumo!$C$7</f>
        <v>1.1319</v>
      </c>
      <c r="L2099" s="61" t="n">
        <f aca="false">H2099*Resumo!$C$8</f>
        <v>1.1319</v>
      </c>
      <c r="M2099" s="61" t="n">
        <f aca="false">Resumo!$C$10*CEILING(G2099/100,1)</f>
        <v>1.05</v>
      </c>
      <c r="N2099" s="61" t="n">
        <f aca="false">Resumo!$C$9</f>
        <v>0</v>
      </c>
      <c r="O2099" s="61" t="n">
        <f aca="false">Resumo!$C$13</f>
        <v>13.55</v>
      </c>
      <c r="P2099" s="61" t="n">
        <f aca="false">Resumo!$C$14*CEILING(G2099,1)</f>
        <v>12.6</v>
      </c>
      <c r="Q2099" s="61" t="n">
        <f aca="false">SUM(I2099:P2099)*Resumo!$C$11</f>
        <v>0</v>
      </c>
      <c r="R2099" s="61" t="n">
        <f aca="false">SUM(I2099:Q2099)</f>
        <v>95.0938</v>
      </c>
      <c r="S2099" s="61" t="n">
        <f aca="false">R2099/(1-Resumo!$C$5)</f>
        <v>108.061136363636</v>
      </c>
      <c r="T2099" s="61" t="n">
        <v>100.58</v>
      </c>
      <c r="U2099" s="61" t="n">
        <f aca="false">H2099*Resumo!$B$6</f>
        <v>0.539</v>
      </c>
      <c r="V2099" s="61" t="n">
        <f aca="false">H2099*Resumo!$B$7</f>
        <v>1.078</v>
      </c>
      <c r="W2099" s="61" t="n">
        <f aca="false">Resumo!$B$9</f>
        <v>1</v>
      </c>
      <c r="X2099" s="61" t="n">
        <f aca="false">Resumo!$B$10*CEILING(G2099/100,1)</f>
        <v>4.5</v>
      </c>
      <c r="Y2099" s="61" t="n">
        <f aca="false">Resumo!$B$12*CEILING(G2099,1)</f>
        <v>1.68</v>
      </c>
      <c r="Z2099" s="61" t="n">
        <f aca="false">Resumo!$B$14*CEILING(G2099,1)</f>
        <v>12.6</v>
      </c>
      <c r="AA2099" s="61" t="n">
        <f aca="false">SUM(T2099:Z2099)</f>
        <v>121.977</v>
      </c>
      <c r="AB2099" s="61" t="n">
        <f aca="false">AA2099/(1-Resumo!$B$5)</f>
        <v>138.610227272727</v>
      </c>
      <c r="AC2099" s="61" t="n">
        <f aca="false">AB2099-S2099</f>
        <v>30.5490909090909</v>
      </c>
      <c r="AD2099" s="62" t="n">
        <f aca="false">AB2099/S2099-1</f>
        <v>0.28270192168154</v>
      </c>
      <c r="AE2099" s="60" t="str">
        <f aca="false">IF(AB2099&lt;S2099,"SIM","NÃO")</f>
        <v>NÃO</v>
      </c>
      <c r="AF2099" s="60" t="n">
        <v>13</v>
      </c>
      <c r="AG2099" s="60" t="n">
        <v>7</v>
      </c>
      <c r="AH2099" s="60" t="s">
        <v>382</v>
      </c>
      <c r="AI2099" s="61" t="n">
        <f aca="false">(T2099*(1-Painel!$C$40)+U2099+V2099+Painel!$C$41+Painel!$C$42*CEILING(G2099/100,1)+Painel!$C$43*CEILING(G2099,1)+Z2099)/(1-Resumo!$B$5)</f>
        <v>95.0631818181818</v>
      </c>
      <c r="AJ2099" s="60" t="str">
        <f aca="false">IF(AI2099&lt;S2099,"SIM","NÃO")</f>
        <v>SIM</v>
      </c>
    </row>
    <row r="2100" customFormat="false" ht="15" hidden="false" customHeight="false" outlineLevel="0" collapsed="false">
      <c r="A2100" s="59" t="n">
        <v>46289.9508217593</v>
      </c>
      <c r="B2100" s="60" t="s">
        <v>2240</v>
      </c>
      <c r="C2100" s="60" t="n">
        <v>26110180</v>
      </c>
      <c r="D2100" s="60" t="s">
        <v>52</v>
      </c>
      <c r="E2100" s="60" t="s">
        <v>23</v>
      </c>
      <c r="F2100" s="60" t="s">
        <v>237</v>
      </c>
      <c r="G2100" s="60" t="n">
        <v>67.3</v>
      </c>
      <c r="H2100" s="61" t="n">
        <v>694.72</v>
      </c>
      <c r="I2100" s="61" t="n">
        <v>76.55</v>
      </c>
      <c r="J2100" s="61" t="n">
        <f aca="false">H2100*Resumo!$C$6</f>
        <v>0</v>
      </c>
      <c r="K2100" s="61" t="n">
        <f aca="false">H2100*Resumo!$C$7</f>
        <v>1.458912</v>
      </c>
      <c r="L2100" s="61" t="n">
        <f aca="false">H2100*Resumo!$C$8</f>
        <v>1.458912</v>
      </c>
      <c r="M2100" s="61" t="n">
        <f aca="false">Resumo!$C$10*CEILING(G2100/100,1)</f>
        <v>1.05</v>
      </c>
      <c r="N2100" s="61" t="n">
        <f aca="false">Resumo!$C$9</f>
        <v>0</v>
      </c>
      <c r="O2100" s="61" t="n">
        <f aca="false">Resumo!$C$13</f>
        <v>13.55</v>
      </c>
      <c r="P2100" s="61" t="n">
        <f aca="false">Resumo!$C$14*CEILING(G2100,1)</f>
        <v>30.6</v>
      </c>
      <c r="Q2100" s="61" t="n">
        <f aca="false">SUM(I2100:P2100)*Resumo!$C$11</f>
        <v>0</v>
      </c>
      <c r="R2100" s="61" t="n">
        <f aca="false">SUM(I2100:Q2100)</f>
        <v>124.667824</v>
      </c>
      <c r="S2100" s="61" t="n">
        <f aca="false">R2100/(1-Resumo!$C$5)</f>
        <v>141.667981818182</v>
      </c>
      <c r="T2100" s="61" t="n">
        <v>131.02</v>
      </c>
      <c r="U2100" s="61" t="n">
        <f aca="false">H2100*Resumo!$B$6</f>
        <v>0.69472</v>
      </c>
      <c r="V2100" s="61" t="n">
        <f aca="false">H2100*Resumo!$B$7</f>
        <v>1.38944</v>
      </c>
      <c r="W2100" s="61" t="n">
        <f aca="false">Resumo!$B$9</f>
        <v>1</v>
      </c>
      <c r="X2100" s="61" t="n">
        <f aca="false">Resumo!$B$10*CEILING(G2100/100,1)</f>
        <v>4.5</v>
      </c>
      <c r="Y2100" s="61" t="n">
        <f aca="false">Resumo!$B$12*CEILING(G2100,1)</f>
        <v>4.08</v>
      </c>
      <c r="Z2100" s="61" t="n">
        <f aca="false">Resumo!$B$14*CEILING(G2100,1)</f>
        <v>30.6</v>
      </c>
      <c r="AA2100" s="61" t="n">
        <f aca="false">SUM(T2100:Z2100)</f>
        <v>173.28416</v>
      </c>
      <c r="AB2100" s="61" t="n">
        <f aca="false">AA2100/(1-Resumo!$B$5)</f>
        <v>196.913818181818</v>
      </c>
      <c r="AC2100" s="61" t="n">
        <f aca="false">AB2100-S2100</f>
        <v>55.2458363636364</v>
      </c>
      <c r="AD2100" s="62" t="n">
        <f aca="false">AB2100/S2100-1</f>
        <v>0.389966989397361</v>
      </c>
      <c r="AE2100" s="60" t="str">
        <f aca="false">IF(AB2100&lt;S2100,"SIM","NÃO")</f>
        <v>NÃO</v>
      </c>
      <c r="AF2100" s="60" t="n">
        <v>2</v>
      </c>
      <c r="AG2100" s="60" t="n">
        <v>5</v>
      </c>
      <c r="AH2100" s="60" t="s">
        <v>382</v>
      </c>
      <c r="AI2100" s="61" t="n">
        <f aca="false">(T2100*(1-Painel!$C$40)+U2100+V2100+Painel!$C$41+Painel!$C$42*CEILING(G2100/100,1)+Painel!$C$43*CEILING(G2100,1)+Z2100)/(1-Resumo!$B$5)</f>
        <v>139.2245</v>
      </c>
      <c r="AJ2100" s="60" t="str">
        <f aca="false">IF(AI2100&lt;S2100,"SIM","NÃO")</f>
        <v>SIM</v>
      </c>
    </row>
    <row r="2101" customFormat="false" ht="15" hidden="false" customHeight="false" outlineLevel="0" collapsed="false">
      <c r="A2101" s="59" t="n">
        <v>46289.9550115741</v>
      </c>
      <c r="B2101" s="60" t="s">
        <v>2241</v>
      </c>
      <c r="C2101" s="60" t="n">
        <v>24451785</v>
      </c>
      <c r="D2101" s="60" t="s">
        <v>47</v>
      </c>
      <c r="E2101" s="60" t="s">
        <v>23</v>
      </c>
      <c r="F2101" s="60" t="s">
        <v>235</v>
      </c>
      <c r="G2101" s="60" t="n">
        <v>49.6</v>
      </c>
      <c r="H2101" s="61" t="n">
        <v>749.99</v>
      </c>
      <c r="I2101" s="61" t="n">
        <v>65.36</v>
      </c>
      <c r="J2101" s="61" t="n">
        <f aca="false">H2101*Resumo!$C$6</f>
        <v>0</v>
      </c>
      <c r="K2101" s="61" t="n">
        <f aca="false">H2101*Resumo!$C$7</f>
        <v>1.574979</v>
      </c>
      <c r="L2101" s="61" t="n">
        <f aca="false">H2101*Resumo!$C$8</f>
        <v>1.574979</v>
      </c>
      <c r="M2101" s="61" t="n">
        <f aca="false">Resumo!$C$10*CEILING(G2101/100,1)</f>
        <v>1.05</v>
      </c>
      <c r="N2101" s="61" t="n">
        <f aca="false">Resumo!$C$9</f>
        <v>0</v>
      </c>
      <c r="O2101" s="61" t="n">
        <f aca="false">Resumo!$C$13</f>
        <v>13.55</v>
      </c>
      <c r="P2101" s="61" t="n">
        <f aca="false">Resumo!$C$14*CEILING(G2101,1)</f>
        <v>22.5</v>
      </c>
      <c r="Q2101" s="61" t="n">
        <f aca="false">SUM(I2101:P2101)*Resumo!$C$11</f>
        <v>0</v>
      </c>
      <c r="R2101" s="61" t="n">
        <f aca="false">SUM(I2101:Q2101)</f>
        <v>105.609958</v>
      </c>
      <c r="S2101" s="61" t="n">
        <f aca="false">R2101/(1-Resumo!$C$5)</f>
        <v>120.011315909091</v>
      </c>
      <c r="T2101" s="61" t="n">
        <v>114.95</v>
      </c>
      <c r="U2101" s="61" t="n">
        <f aca="false">H2101*Resumo!$B$6</f>
        <v>0.74999</v>
      </c>
      <c r="V2101" s="61" t="n">
        <f aca="false">H2101*Resumo!$B$7</f>
        <v>1.49998</v>
      </c>
      <c r="W2101" s="61" t="n">
        <f aca="false">Resumo!$B$9</f>
        <v>1</v>
      </c>
      <c r="X2101" s="61" t="n">
        <f aca="false">Resumo!$B$10*CEILING(G2101/100,1)</f>
        <v>4.5</v>
      </c>
      <c r="Y2101" s="61" t="n">
        <f aca="false">Resumo!$B$12*CEILING(G2101,1)</f>
        <v>3</v>
      </c>
      <c r="Z2101" s="61" t="n">
        <f aca="false">Resumo!$B$14*CEILING(G2101,1)</f>
        <v>22.5</v>
      </c>
      <c r="AA2101" s="61" t="n">
        <f aca="false">SUM(T2101:Z2101)</f>
        <v>148.19997</v>
      </c>
      <c r="AB2101" s="61" t="n">
        <f aca="false">AA2101/(1-Resumo!$B$5)</f>
        <v>168.409056818182</v>
      </c>
      <c r="AC2101" s="61" t="n">
        <f aca="false">AB2101-S2101</f>
        <v>48.3977409090909</v>
      </c>
      <c r="AD2101" s="62" t="n">
        <f aca="false">AB2101/S2101-1</f>
        <v>0.403276478909309</v>
      </c>
      <c r="AE2101" s="60" t="str">
        <f aca="false">IF(AB2101&lt;S2101,"SIM","NÃO")</f>
        <v>NÃO</v>
      </c>
      <c r="AF2101" s="60" t="n">
        <v>2</v>
      </c>
      <c r="AG2101" s="60" t="n">
        <v>7</v>
      </c>
      <c r="AH2101" s="60" t="s">
        <v>382</v>
      </c>
      <c r="AI2101" s="61" t="n">
        <f aca="false">(T2101*(1-Painel!$C$40)+U2101+V2101+Painel!$C$41+Painel!$C$42*CEILING(G2101/100,1)+Painel!$C$43*CEILING(G2101,1)+Z2101)/(1-Resumo!$B$5)</f>
        <v>117.973261363636</v>
      </c>
      <c r="AJ2101" s="60" t="str">
        <f aca="false">IF(AI2101&lt;S2101,"SIM","NÃO")</f>
        <v>SIM</v>
      </c>
    </row>
    <row r="2102" customFormat="false" ht="15" hidden="false" customHeight="false" outlineLevel="0" collapsed="false">
      <c r="A2102" s="59" t="n">
        <v>46289.9587962963</v>
      </c>
      <c r="B2102" s="60" t="s">
        <v>754</v>
      </c>
      <c r="C2102" s="60" t="n">
        <v>22753005</v>
      </c>
      <c r="D2102" s="60" t="s">
        <v>46</v>
      </c>
      <c r="E2102" s="60" t="s">
        <v>22</v>
      </c>
      <c r="F2102" s="60" t="s">
        <v>235</v>
      </c>
      <c r="G2102" s="60" t="n">
        <v>48</v>
      </c>
      <c r="H2102" s="61" t="n">
        <v>829.99</v>
      </c>
      <c r="I2102" s="61" t="n">
        <v>53.55</v>
      </c>
      <c r="J2102" s="61" t="n">
        <f aca="false">H2102*Resumo!$C$6</f>
        <v>0</v>
      </c>
      <c r="K2102" s="61" t="n">
        <f aca="false">H2102*Resumo!$C$7</f>
        <v>1.742979</v>
      </c>
      <c r="L2102" s="61" t="n">
        <f aca="false">H2102*Resumo!$C$8</f>
        <v>1.742979</v>
      </c>
      <c r="M2102" s="61" t="n">
        <f aca="false">Resumo!$C$10*CEILING(G2102/100,1)</f>
        <v>1.05</v>
      </c>
      <c r="N2102" s="61" t="n">
        <f aca="false">Resumo!$C$9</f>
        <v>0</v>
      </c>
      <c r="O2102" s="61" t="n">
        <f aca="false">Resumo!$C$13</f>
        <v>13.55</v>
      </c>
      <c r="P2102" s="61" t="n">
        <f aca="false">Resumo!$C$14*CEILING(G2102,1)</f>
        <v>21.6</v>
      </c>
      <c r="Q2102" s="61" t="n">
        <f aca="false">SUM(I2102:P2102)*Resumo!$C$11</f>
        <v>0</v>
      </c>
      <c r="R2102" s="61" t="n">
        <f aca="false">SUM(I2102:Q2102)</f>
        <v>93.235958</v>
      </c>
      <c r="S2102" s="61" t="n">
        <f aca="false">R2102/(1-Resumo!$C$5)</f>
        <v>105.949952272727</v>
      </c>
      <c r="T2102" s="61" t="n">
        <v>93.97</v>
      </c>
      <c r="U2102" s="61" t="n">
        <f aca="false">H2102*Resumo!$B$6</f>
        <v>0.82999</v>
      </c>
      <c r="V2102" s="61" t="n">
        <f aca="false">H2102*Resumo!$B$7</f>
        <v>1.65998</v>
      </c>
      <c r="W2102" s="61" t="n">
        <f aca="false">Resumo!$B$9</f>
        <v>1</v>
      </c>
      <c r="X2102" s="61" t="n">
        <f aca="false">Resumo!$B$10*CEILING(G2102/100,1)</f>
        <v>4.5</v>
      </c>
      <c r="Y2102" s="61" t="n">
        <f aca="false">Resumo!$B$12*CEILING(G2102,1)</f>
        <v>2.88</v>
      </c>
      <c r="Z2102" s="61" t="n">
        <f aca="false">Resumo!$B$14*CEILING(G2102,1)</f>
        <v>21.6</v>
      </c>
      <c r="AA2102" s="61" t="n">
        <f aca="false">SUM(T2102:Z2102)</f>
        <v>126.43997</v>
      </c>
      <c r="AB2102" s="61" t="n">
        <f aca="false">AA2102/(1-Resumo!$B$5)</f>
        <v>143.681784090909</v>
      </c>
      <c r="AC2102" s="61" t="n">
        <f aca="false">AB2102-S2102</f>
        <v>37.7318318181818</v>
      </c>
      <c r="AD2102" s="62" t="n">
        <f aca="false">AB2102/S2102-1</f>
        <v>0.356128823173565</v>
      </c>
      <c r="AE2102" s="60" t="str">
        <f aca="false">IF(AB2102&lt;S2102,"SIM","NÃO")</f>
        <v>NÃO</v>
      </c>
      <c r="AF2102" s="60" t="n">
        <v>2</v>
      </c>
      <c r="AG2102" s="60" t="n">
        <v>5</v>
      </c>
      <c r="AH2102" s="60" t="s">
        <v>382</v>
      </c>
      <c r="AI2102" s="61" t="n">
        <f aca="false">(T2102*(1-Painel!$C$40)+U2102+V2102+Painel!$C$41+Painel!$C$42*CEILING(G2102/100,1)+Painel!$C$43*CEILING(G2102,1)+Z2102)/(1-Resumo!$B$5)</f>
        <v>101.249852272727</v>
      </c>
      <c r="AJ2102" s="60" t="str">
        <f aca="false">IF(AI2102&lt;S2102,"SIM","NÃO")</f>
        <v>SIM</v>
      </c>
    </row>
    <row r="2103" customFormat="false" ht="15" hidden="false" customHeight="false" outlineLevel="0" collapsed="false">
      <c r="A2103" s="59" t="n">
        <v>46289.9888888889</v>
      </c>
      <c r="B2103" s="60" t="s">
        <v>1932</v>
      </c>
      <c r="C2103" s="60" t="n">
        <v>21073230</v>
      </c>
      <c r="D2103" s="60" t="s">
        <v>46</v>
      </c>
      <c r="E2103" s="60" t="s">
        <v>22</v>
      </c>
      <c r="F2103" s="60" t="s">
        <v>234</v>
      </c>
      <c r="G2103" s="60" t="n">
        <v>36.8</v>
      </c>
      <c r="H2103" s="61" t="n">
        <v>371.8</v>
      </c>
      <c r="I2103" s="61" t="n">
        <v>48.35</v>
      </c>
      <c r="J2103" s="61" t="n">
        <f aca="false">H2103*Resumo!$C$6</f>
        <v>0</v>
      </c>
      <c r="K2103" s="61" t="n">
        <f aca="false">H2103*Resumo!$C$7</f>
        <v>0.78078</v>
      </c>
      <c r="L2103" s="61" t="n">
        <f aca="false">H2103*Resumo!$C$8</f>
        <v>0.78078</v>
      </c>
      <c r="M2103" s="61" t="n">
        <f aca="false">Resumo!$C$10*CEILING(G2103/100,1)</f>
        <v>1.05</v>
      </c>
      <c r="N2103" s="61" t="n">
        <f aca="false">Resumo!$C$9</f>
        <v>0</v>
      </c>
      <c r="O2103" s="61" t="n">
        <f aca="false">Resumo!$C$13</f>
        <v>13.55</v>
      </c>
      <c r="P2103" s="61" t="n">
        <f aca="false">Resumo!$C$14*CEILING(G2103,1)</f>
        <v>16.65</v>
      </c>
      <c r="Q2103" s="61" t="n">
        <f aca="false">SUM(I2103:P2103)*Resumo!$C$11</f>
        <v>0</v>
      </c>
      <c r="R2103" s="61" t="n">
        <f aca="false">SUM(I2103:Q2103)</f>
        <v>81.16156</v>
      </c>
      <c r="S2103" s="61" t="n">
        <f aca="false">R2103/(1-Resumo!$C$5)</f>
        <v>92.2290454545455</v>
      </c>
      <c r="T2103" s="61" t="n">
        <v>93.97</v>
      </c>
      <c r="U2103" s="61" t="n">
        <f aca="false">H2103*Resumo!$B$6</f>
        <v>0.3718</v>
      </c>
      <c r="V2103" s="61" t="n">
        <f aca="false">H2103*Resumo!$B$7</f>
        <v>0.7436</v>
      </c>
      <c r="W2103" s="61" t="n">
        <f aca="false">Resumo!$B$9</f>
        <v>1</v>
      </c>
      <c r="X2103" s="61" t="n">
        <f aca="false">Resumo!$B$10*CEILING(G2103/100,1)</f>
        <v>4.5</v>
      </c>
      <c r="Y2103" s="61" t="n">
        <f aca="false">Resumo!$B$12*CEILING(G2103,1)</f>
        <v>2.22</v>
      </c>
      <c r="Z2103" s="61" t="n">
        <f aca="false">Resumo!$B$14*CEILING(G2103,1)</f>
        <v>16.65</v>
      </c>
      <c r="AA2103" s="61" t="n">
        <f aca="false">SUM(T2103:Z2103)</f>
        <v>119.4554</v>
      </c>
      <c r="AB2103" s="61" t="n">
        <f aca="false">AA2103/(1-Resumo!$B$5)</f>
        <v>135.744772727273</v>
      </c>
      <c r="AC2103" s="61" t="n">
        <f aca="false">AB2103-S2103</f>
        <v>43.5157272727273</v>
      </c>
      <c r="AD2103" s="62" t="n">
        <f aca="false">AB2103/S2103-1</f>
        <v>0.471822375025813</v>
      </c>
      <c r="AE2103" s="60" t="str">
        <f aca="false">IF(AB2103&lt;S2103,"SIM","NÃO")</f>
        <v>NÃO</v>
      </c>
      <c r="AF2103" s="60" t="n">
        <v>2</v>
      </c>
      <c r="AG2103" s="60" t="n">
        <v>5</v>
      </c>
      <c r="AH2103" s="60" t="s">
        <v>382</v>
      </c>
      <c r="AI2103" s="61" t="n">
        <f aca="false">(T2103*(1-Painel!$C$40)+U2103+V2103+Painel!$C$41+Painel!$C$42*CEILING(G2103/100,1)+Painel!$C$43*CEILING(G2103,1)+Z2103)/(1-Resumo!$B$5)</f>
        <v>94.0628409090909</v>
      </c>
      <c r="AJ2103" s="60" t="str">
        <f aca="false">IF(AI2103&lt;S2103,"SIM","NÃO")</f>
        <v>NÃO</v>
      </c>
    </row>
    <row r="2104" customFormat="false" ht="15" hidden="false" customHeight="false" outlineLevel="0" collapsed="false">
      <c r="A2104" s="59" t="n">
        <v>46290.0318287037</v>
      </c>
      <c r="B2104" s="60" t="s">
        <v>2242</v>
      </c>
      <c r="C2104" s="60" t="n">
        <v>23943138</v>
      </c>
      <c r="D2104" s="60" t="s">
        <v>218</v>
      </c>
      <c r="E2104" s="60" t="s">
        <v>24</v>
      </c>
      <c r="F2104" s="60" t="s">
        <v>236</v>
      </c>
      <c r="G2104" s="60" t="n">
        <v>52.3</v>
      </c>
      <c r="H2104" s="61" t="n">
        <v>639.78</v>
      </c>
      <c r="I2104" s="61" t="n">
        <v>83.58</v>
      </c>
      <c r="J2104" s="61" t="n">
        <f aca="false">H2104*Resumo!$C$6</f>
        <v>0</v>
      </c>
      <c r="K2104" s="61" t="n">
        <f aca="false">H2104*Resumo!$C$7</f>
        <v>1.343538</v>
      </c>
      <c r="L2104" s="61" t="n">
        <f aca="false">H2104*Resumo!$C$8</f>
        <v>1.343538</v>
      </c>
      <c r="M2104" s="61" t="n">
        <f aca="false">Resumo!$C$10*CEILING(G2104/100,1)</f>
        <v>1.05</v>
      </c>
      <c r="N2104" s="61" t="n">
        <f aca="false">Resumo!$C$9</f>
        <v>0</v>
      </c>
      <c r="O2104" s="61" t="n">
        <f aca="false">Resumo!$C$13</f>
        <v>13.55</v>
      </c>
      <c r="P2104" s="61" t="n">
        <f aca="false">Resumo!$C$14*CEILING(G2104,1)</f>
        <v>23.85</v>
      </c>
      <c r="Q2104" s="61" t="n">
        <f aca="false">SUM(I2104:P2104)*Resumo!$C$11</f>
        <v>0</v>
      </c>
      <c r="R2104" s="61" t="n">
        <f aca="false">SUM(I2104:Q2104)</f>
        <v>124.717076</v>
      </c>
      <c r="S2104" s="61" t="n">
        <f aca="false">R2104/(1-Resumo!$C$5)</f>
        <v>141.72395</v>
      </c>
      <c r="T2104" s="61" t="n">
        <v>142.32</v>
      </c>
      <c r="U2104" s="61" t="n">
        <f aca="false">H2104*Resumo!$B$6</f>
        <v>0.63978</v>
      </c>
      <c r="V2104" s="61" t="n">
        <f aca="false">H2104*Resumo!$B$7</f>
        <v>1.27956</v>
      </c>
      <c r="W2104" s="61" t="n">
        <f aca="false">Resumo!$B$9</f>
        <v>1</v>
      </c>
      <c r="X2104" s="61" t="n">
        <f aca="false">Resumo!$B$10*CEILING(G2104/100,1)</f>
        <v>4.5</v>
      </c>
      <c r="Y2104" s="61" t="n">
        <f aca="false">Resumo!$B$12*CEILING(G2104,1)</f>
        <v>3.18</v>
      </c>
      <c r="Z2104" s="61" t="n">
        <f aca="false">Resumo!$B$14*CEILING(G2104,1)</f>
        <v>23.85</v>
      </c>
      <c r="AA2104" s="61" t="n">
        <f aca="false">SUM(T2104:Z2104)</f>
        <v>176.76934</v>
      </c>
      <c r="AB2104" s="61" t="n">
        <f aca="false">AA2104/(1-Resumo!$B$5)</f>
        <v>200.87425</v>
      </c>
      <c r="AC2104" s="61" t="n">
        <f aca="false">AB2104-S2104</f>
        <v>59.1503</v>
      </c>
      <c r="AD2104" s="62" t="n">
        <f aca="false">AB2104/S2104-1</f>
        <v>0.417362767549168</v>
      </c>
      <c r="AE2104" s="60" t="str">
        <f aca="false">IF(AB2104&lt;S2104,"SIM","NÃO")</f>
        <v>NÃO</v>
      </c>
      <c r="AF2104" s="60" t="n">
        <v>13</v>
      </c>
      <c r="AG2104" s="60" t="n">
        <v>10</v>
      </c>
      <c r="AH2104" s="60" t="s">
        <v>382</v>
      </c>
      <c r="AI2104" s="61" t="n">
        <f aca="false">(T2104*(1-Painel!$C$40)+U2104+V2104+Painel!$C$41+Painel!$C$42*CEILING(G2104/100,1)+Painel!$C$43*CEILING(G2104,1)+Z2104)/(1-Resumo!$B$5)</f>
        <v>139.970159090909</v>
      </c>
      <c r="AJ2104" s="60" t="str">
        <f aca="false">IF(AI2104&lt;S2104,"SIM","NÃO")</f>
        <v>SIM</v>
      </c>
    </row>
    <row r="2105" customFormat="false" ht="15" hidden="false" customHeight="false" outlineLevel="0" collapsed="false">
      <c r="A2105" s="59" t="n">
        <v>46290.1350810185</v>
      </c>
      <c r="B2105" s="60" t="s">
        <v>2243</v>
      </c>
      <c r="C2105" s="60" t="n">
        <v>25036160</v>
      </c>
      <c r="D2105" s="60" t="s">
        <v>48</v>
      </c>
      <c r="E2105" s="60" t="s">
        <v>23</v>
      </c>
      <c r="F2105" s="60" t="s">
        <v>236</v>
      </c>
      <c r="G2105" s="60" t="n">
        <v>52.3</v>
      </c>
      <c r="H2105" s="61" t="n">
        <v>636.89</v>
      </c>
      <c r="I2105" s="61" t="n">
        <v>70.98</v>
      </c>
      <c r="J2105" s="61" t="n">
        <f aca="false">H2105*Resumo!$C$6</f>
        <v>0</v>
      </c>
      <c r="K2105" s="61" t="n">
        <f aca="false">H2105*Resumo!$C$7</f>
        <v>1.337469</v>
      </c>
      <c r="L2105" s="61" t="n">
        <f aca="false">H2105*Resumo!$C$8</f>
        <v>1.337469</v>
      </c>
      <c r="M2105" s="61" t="n">
        <f aca="false">Resumo!$C$10*CEILING(G2105/100,1)</f>
        <v>1.05</v>
      </c>
      <c r="N2105" s="61" t="n">
        <f aca="false">Resumo!$C$9</f>
        <v>0</v>
      </c>
      <c r="O2105" s="61" t="n">
        <f aca="false">Resumo!$C$13</f>
        <v>13.55</v>
      </c>
      <c r="P2105" s="61" t="n">
        <f aca="false">Resumo!$C$14*CEILING(G2105,1)</f>
        <v>23.85</v>
      </c>
      <c r="Q2105" s="61" t="n">
        <f aca="false">SUM(I2105:P2105)*Resumo!$C$11</f>
        <v>0</v>
      </c>
      <c r="R2105" s="61" t="n">
        <f aca="false">SUM(I2105:Q2105)</f>
        <v>112.104938</v>
      </c>
      <c r="S2105" s="61" t="n">
        <f aca="false">R2105/(1-Resumo!$C$5)</f>
        <v>127.391975</v>
      </c>
      <c r="T2105" s="61" t="n">
        <v>112.3</v>
      </c>
      <c r="U2105" s="61" t="n">
        <f aca="false">H2105*Resumo!$B$6</f>
        <v>0.63689</v>
      </c>
      <c r="V2105" s="61" t="n">
        <f aca="false">H2105*Resumo!$B$7</f>
        <v>1.27378</v>
      </c>
      <c r="W2105" s="61" t="n">
        <f aca="false">Resumo!$B$9</f>
        <v>1</v>
      </c>
      <c r="X2105" s="61" t="n">
        <f aca="false">Resumo!$B$10*CEILING(G2105/100,1)</f>
        <v>4.5</v>
      </c>
      <c r="Y2105" s="61" t="n">
        <f aca="false">Resumo!$B$12*CEILING(G2105,1)</f>
        <v>3.18</v>
      </c>
      <c r="Z2105" s="61" t="n">
        <f aca="false">Resumo!$B$14*CEILING(G2105,1)</f>
        <v>23.85</v>
      </c>
      <c r="AA2105" s="61" t="n">
        <f aca="false">SUM(T2105:Z2105)</f>
        <v>146.74067</v>
      </c>
      <c r="AB2105" s="61" t="n">
        <f aca="false">AA2105/(1-Resumo!$B$5)</f>
        <v>166.750761363636</v>
      </c>
      <c r="AC2105" s="61" t="n">
        <f aca="false">AB2105-S2105</f>
        <v>39.3587863636363</v>
      </c>
      <c r="AD2105" s="62" t="n">
        <f aca="false">AB2105/S2105-1</f>
        <v>0.308958129926444</v>
      </c>
      <c r="AE2105" s="60" t="str">
        <f aca="false">IF(AB2105&lt;S2105,"SIM","NÃO")</f>
        <v>NÃO</v>
      </c>
      <c r="AF2105" s="60" t="n">
        <v>2</v>
      </c>
      <c r="AG2105" s="60" t="n">
        <v>5</v>
      </c>
      <c r="AH2105" s="60" t="s">
        <v>382</v>
      </c>
      <c r="AI2105" s="61" t="n">
        <f aca="false">(T2105*(1-Painel!$C$40)+U2105+V2105+Painel!$C$41+Painel!$C$42*CEILING(G2105/100,1)+Painel!$C$43*CEILING(G2105,1)+Z2105)/(1-Resumo!$B$5)</f>
        <v>117.104170454545</v>
      </c>
      <c r="AJ2105" s="60" t="str">
        <f aca="false">IF(AI2105&lt;S2105,"SIM","NÃO")</f>
        <v>SIM</v>
      </c>
    </row>
    <row r="2106" customFormat="false" ht="15" hidden="false" customHeight="false" outlineLevel="0" collapsed="false">
      <c r="A2106" s="59" t="n">
        <v>46290.1682986111</v>
      </c>
      <c r="B2106" s="60" t="s">
        <v>2244</v>
      </c>
      <c r="C2106" s="60" t="n">
        <v>27700000</v>
      </c>
      <c r="D2106" s="60" t="s">
        <v>301</v>
      </c>
      <c r="E2106" s="60" t="s">
        <v>24</v>
      </c>
      <c r="F2106" s="60" t="s">
        <v>234</v>
      </c>
      <c r="G2106" s="60" t="n">
        <v>40</v>
      </c>
      <c r="H2106" s="61" t="n">
        <v>629.99</v>
      </c>
      <c r="I2106" s="61" t="n">
        <v>74.97</v>
      </c>
      <c r="J2106" s="61" t="n">
        <f aca="false">H2106*Resumo!$C$6</f>
        <v>0</v>
      </c>
      <c r="K2106" s="61" t="n">
        <f aca="false">H2106*Resumo!$C$7</f>
        <v>1.322979</v>
      </c>
      <c r="L2106" s="61" t="n">
        <f aca="false">H2106*Resumo!$C$8</f>
        <v>1.322979</v>
      </c>
      <c r="M2106" s="61" t="n">
        <f aca="false">Resumo!$C$10*CEILING(G2106/100,1)</f>
        <v>1.05</v>
      </c>
      <c r="N2106" s="61" t="n">
        <f aca="false">Resumo!$C$9</f>
        <v>0</v>
      </c>
      <c r="O2106" s="61" t="n">
        <f aca="false">Resumo!$C$13</f>
        <v>13.55</v>
      </c>
      <c r="P2106" s="61" t="n">
        <f aca="false">Resumo!$C$14*CEILING(G2106,1)</f>
        <v>18</v>
      </c>
      <c r="Q2106" s="61" t="n">
        <f aca="false">SUM(I2106:P2106)*Resumo!$C$11</f>
        <v>0</v>
      </c>
      <c r="R2106" s="61" t="n">
        <f aca="false">SUM(I2106:Q2106)</f>
        <v>110.215958</v>
      </c>
      <c r="S2106" s="61" t="n">
        <f aca="false">R2106/(1-Resumo!$C$5)</f>
        <v>125.245406818182</v>
      </c>
      <c r="T2106" s="61" t="n">
        <v>124.38</v>
      </c>
      <c r="U2106" s="61" t="n">
        <f aca="false">H2106*Resumo!$B$6</f>
        <v>0.62999</v>
      </c>
      <c r="V2106" s="61" t="n">
        <f aca="false">H2106*Resumo!$B$7</f>
        <v>1.25998</v>
      </c>
      <c r="W2106" s="61" t="n">
        <f aca="false">Resumo!$B$9</f>
        <v>1</v>
      </c>
      <c r="X2106" s="61" t="n">
        <f aca="false">Resumo!$B$10*CEILING(G2106/100,1)</f>
        <v>4.5</v>
      </c>
      <c r="Y2106" s="61" t="n">
        <f aca="false">Resumo!$B$12*CEILING(G2106,1)</f>
        <v>2.4</v>
      </c>
      <c r="Z2106" s="61" t="n">
        <f aca="false">Resumo!$B$14*CEILING(G2106,1)</f>
        <v>18</v>
      </c>
      <c r="AA2106" s="61" t="n">
        <f aca="false">SUM(T2106:Z2106)</f>
        <v>152.16997</v>
      </c>
      <c r="AB2106" s="61" t="n">
        <f aca="false">AA2106/(1-Resumo!$B$5)</f>
        <v>172.920420454545</v>
      </c>
      <c r="AC2106" s="61" t="n">
        <f aca="false">AB2106-S2106</f>
        <v>47.6750136363636</v>
      </c>
      <c r="AD2106" s="62" t="n">
        <f aca="false">AB2106/S2106-1</f>
        <v>0.380652790769191</v>
      </c>
      <c r="AE2106" s="60" t="str">
        <f aca="false">IF(AB2106&lt;S2106,"SIM","NÃO")</f>
        <v>NÃO</v>
      </c>
      <c r="AF2106" s="60" t="n">
        <v>13</v>
      </c>
      <c r="AG2106" s="60" t="n">
        <v>10</v>
      </c>
      <c r="AH2106" s="60" t="s">
        <v>385</v>
      </c>
      <c r="AI2106" s="61" t="n">
        <f aca="false">(T2106*(1-Painel!$C$40)+U2106+V2106+Painel!$C$41+Painel!$C$42*CEILING(G2106/100,1)+Painel!$C$43*CEILING(G2106,1)+Z2106)/(1-Resumo!$B$5)</f>
        <v>119.630193181818</v>
      </c>
      <c r="AJ2106" s="60" t="str">
        <f aca="false">IF(AI2106&lt;S2106,"SIM","NÃO")</f>
        <v>SIM</v>
      </c>
    </row>
    <row r="2107" customFormat="false" ht="15" hidden="false" customHeight="false" outlineLevel="0" collapsed="false">
      <c r="A2107" s="59" t="n">
        <v>46290.3175462963</v>
      </c>
      <c r="B2107" s="60" t="s">
        <v>2245</v>
      </c>
      <c r="C2107" s="60" t="n">
        <v>21031690</v>
      </c>
      <c r="D2107" s="60" t="s">
        <v>46</v>
      </c>
      <c r="E2107" s="60" t="s">
        <v>22</v>
      </c>
      <c r="F2107" s="60" t="s">
        <v>235</v>
      </c>
      <c r="G2107" s="60" t="n">
        <v>46.8</v>
      </c>
      <c r="H2107" s="61" t="n">
        <v>529.99</v>
      </c>
      <c r="I2107" s="61" t="n">
        <v>53.55</v>
      </c>
      <c r="J2107" s="61" t="n">
        <f aca="false">H2107*Resumo!$C$6</f>
        <v>0</v>
      </c>
      <c r="K2107" s="61" t="n">
        <f aca="false">H2107*Resumo!$C$7</f>
        <v>1.112979</v>
      </c>
      <c r="L2107" s="61" t="n">
        <f aca="false">H2107*Resumo!$C$8</f>
        <v>1.112979</v>
      </c>
      <c r="M2107" s="61" t="n">
        <f aca="false">Resumo!$C$10*CEILING(G2107/100,1)</f>
        <v>1.05</v>
      </c>
      <c r="N2107" s="61" t="n">
        <f aca="false">Resumo!$C$9</f>
        <v>0</v>
      </c>
      <c r="O2107" s="61" t="n">
        <f aca="false">Resumo!$C$13</f>
        <v>13.55</v>
      </c>
      <c r="P2107" s="61" t="n">
        <f aca="false">Resumo!$C$14*CEILING(G2107,1)</f>
        <v>21.15</v>
      </c>
      <c r="Q2107" s="61" t="n">
        <f aca="false">SUM(I2107:P2107)*Resumo!$C$11</f>
        <v>0</v>
      </c>
      <c r="R2107" s="61" t="n">
        <f aca="false">SUM(I2107:Q2107)</f>
        <v>91.525958</v>
      </c>
      <c r="S2107" s="61" t="n">
        <f aca="false">R2107/(1-Resumo!$C$5)</f>
        <v>104.006770454545</v>
      </c>
      <c r="T2107" s="61" t="n">
        <v>93.97</v>
      </c>
      <c r="U2107" s="61" t="n">
        <f aca="false">H2107*Resumo!$B$6</f>
        <v>0.52999</v>
      </c>
      <c r="V2107" s="61" t="n">
        <f aca="false">H2107*Resumo!$B$7</f>
        <v>1.05998</v>
      </c>
      <c r="W2107" s="61" t="n">
        <f aca="false">Resumo!$B$9</f>
        <v>1</v>
      </c>
      <c r="X2107" s="61" t="n">
        <f aca="false">Resumo!$B$10*CEILING(G2107/100,1)</f>
        <v>4.5</v>
      </c>
      <c r="Y2107" s="61" t="n">
        <f aca="false">Resumo!$B$12*CEILING(G2107,1)</f>
        <v>2.82</v>
      </c>
      <c r="Z2107" s="61" t="n">
        <f aca="false">Resumo!$B$14*CEILING(G2107,1)</f>
        <v>21.15</v>
      </c>
      <c r="AA2107" s="61" t="n">
        <f aca="false">SUM(T2107:Z2107)</f>
        <v>125.02997</v>
      </c>
      <c r="AB2107" s="61" t="n">
        <f aca="false">AA2107/(1-Resumo!$B$5)</f>
        <v>142.079511363636</v>
      </c>
      <c r="AC2107" s="61" t="n">
        <f aca="false">AB2107-S2107</f>
        <v>38.0727409090909</v>
      </c>
      <c r="AD2107" s="62" t="n">
        <f aca="false">AB2107/S2107-1</f>
        <v>0.366060216490714</v>
      </c>
      <c r="AE2107" s="60" t="str">
        <f aca="false">IF(AB2107&lt;S2107,"SIM","NÃO")</f>
        <v>NÃO</v>
      </c>
      <c r="AF2107" s="60" t="n">
        <v>2</v>
      </c>
      <c r="AG2107" s="60" t="n">
        <v>5</v>
      </c>
      <c r="AH2107" s="60" t="s">
        <v>382</v>
      </c>
      <c r="AI2107" s="61" t="n">
        <f aca="false">(T2107*(1-Painel!$C$40)+U2107+V2107+Painel!$C$41+Painel!$C$42*CEILING(G2107/100,1)+Painel!$C$43*CEILING(G2107,1)+Z2107)/(1-Resumo!$B$5)</f>
        <v>99.7157613636364</v>
      </c>
      <c r="AJ2107" s="60" t="str">
        <f aca="false">IF(AI2107&lt;S2107,"SIM","NÃO")</f>
        <v>SIM</v>
      </c>
    </row>
    <row r="2108" customFormat="false" ht="15" hidden="false" customHeight="false" outlineLevel="0" collapsed="false">
      <c r="A2108" s="59" t="n">
        <v>46290.3523958333</v>
      </c>
      <c r="B2108" s="60" t="s">
        <v>2246</v>
      </c>
      <c r="C2108" s="60" t="n">
        <v>23933216</v>
      </c>
      <c r="D2108" s="60" t="s">
        <v>218</v>
      </c>
      <c r="E2108" s="60" t="s">
        <v>24</v>
      </c>
      <c r="F2108" s="60" t="s">
        <v>239</v>
      </c>
      <c r="G2108" s="60" t="n">
        <v>82</v>
      </c>
      <c r="H2108" s="61" t="n">
        <v>949.98</v>
      </c>
      <c r="I2108" s="61" t="n">
        <v>109.63</v>
      </c>
      <c r="J2108" s="61" t="n">
        <f aca="false">H2108*Resumo!$C$6</f>
        <v>0</v>
      </c>
      <c r="K2108" s="61" t="n">
        <f aca="false">H2108*Resumo!$C$7</f>
        <v>1.994958</v>
      </c>
      <c r="L2108" s="61" t="n">
        <f aca="false">H2108*Resumo!$C$8</f>
        <v>1.994958</v>
      </c>
      <c r="M2108" s="61" t="n">
        <f aca="false">Resumo!$C$10*CEILING(G2108/100,1)</f>
        <v>1.05</v>
      </c>
      <c r="N2108" s="61" t="n">
        <f aca="false">Resumo!$C$9</f>
        <v>0</v>
      </c>
      <c r="O2108" s="61" t="n">
        <f aca="false">Resumo!$C$13</f>
        <v>13.55</v>
      </c>
      <c r="P2108" s="61" t="n">
        <f aca="false">Resumo!$C$14*CEILING(G2108,1)</f>
        <v>36.9</v>
      </c>
      <c r="Q2108" s="61" t="n">
        <f aca="false">SUM(I2108:P2108)*Resumo!$C$11</f>
        <v>0</v>
      </c>
      <c r="R2108" s="61" t="n">
        <f aca="false">SUM(I2108:Q2108)</f>
        <v>165.119916</v>
      </c>
      <c r="S2108" s="61" t="n">
        <f aca="false">R2108/(1-Resumo!$C$5)</f>
        <v>187.636268181818</v>
      </c>
      <c r="T2108" s="61" t="n">
        <v>197.35</v>
      </c>
      <c r="U2108" s="61" t="n">
        <f aca="false">H2108*Resumo!$B$6</f>
        <v>0.94998</v>
      </c>
      <c r="V2108" s="61" t="n">
        <f aca="false">H2108*Resumo!$B$7</f>
        <v>1.89996</v>
      </c>
      <c r="W2108" s="61" t="n">
        <f aca="false">Resumo!$B$9</f>
        <v>1</v>
      </c>
      <c r="X2108" s="61" t="n">
        <f aca="false">Resumo!$B$10*CEILING(G2108/100,1)</f>
        <v>4.5</v>
      </c>
      <c r="Y2108" s="61" t="n">
        <f aca="false">Resumo!$B$12*CEILING(G2108,1)</f>
        <v>4.92</v>
      </c>
      <c r="Z2108" s="61" t="n">
        <f aca="false">Resumo!$B$14*CEILING(G2108,1)</f>
        <v>36.9</v>
      </c>
      <c r="AA2108" s="61" t="n">
        <f aca="false">SUM(T2108:Z2108)</f>
        <v>247.51994</v>
      </c>
      <c r="AB2108" s="61" t="n">
        <f aca="false">AA2108/(1-Resumo!$B$5)</f>
        <v>281.272659090909</v>
      </c>
      <c r="AC2108" s="61" t="n">
        <f aca="false">AB2108-S2108</f>
        <v>93.6363909090909</v>
      </c>
      <c r="AD2108" s="62" t="n">
        <f aca="false">AB2108/S2108-1</f>
        <v>0.499031406968497</v>
      </c>
      <c r="AE2108" s="60" t="str">
        <f aca="false">IF(AB2108&lt;S2108,"SIM","NÃO")</f>
        <v>NÃO</v>
      </c>
      <c r="AF2108" s="60" t="n">
        <v>13</v>
      </c>
      <c r="AG2108" s="60" t="n">
        <v>10</v>
      </c>
      <c r="AH2108" s="60" t="s">
        <v>382</v>
      </c>
      <c r="AI2108" s="61" t="n">
        <f aca="false">(T2108*(1-Painel!$C$40)+U2108+V2108+Painel!$C$41+Painel!$C$42*CEILING(G2108/100,1)+Painel!$C$43*CEILING(G2108,1)+Z2108)/(1-Resumo!$B$5)</f>
        <v>197.755045454545</v>
      </c>
      <c r="AJ2108" s="60" t="str">
        <f aca="false">IF(AI2108&lt;S2108,"SIM","NÃO")</f>
        <v>NÃO</v>
      </c>
    </row>
    <row r="2109" customFormat="false" ht="15" hidden="false" customHeight="false" outlineLevel="0" collapsed="false">
      <c r="A2109" s="59" t="n">
        <v>46290.4213425926</v>
      </c>
      <c r="B2109" s="60" t="s">
        <v>2247</v>
      </c>
      <c r="C2109" s="60" t="n">
        <v>21862755</v>
      </c>
      <c r="D2109" s="60" t="s">
        <v>46</v>
      </c>
      <c r="E2109" s="60" t="s">
        <v>22</v>
      </c>
      <c r="F2109" s="60" t="s">
        <v>233</v>
      </c>
      <c r="G2109" s="60" t="n">
        <v>21.8</v>
      </c>
      <c r="H2109" s="61" t="n">
        <v>319.99</v>
      </c>
      <c r="I2109" s="61" t="n">
        <v>42.11</v>
      </c>
      <c r="J2109" s="61" t="n">
        <f aca="false">H2109*Resumo!$C$6</f>
        <v>0</v>
      </c>
      <c r="K2109" s="61" t="n">
        <f aca="false">H2109*Resumo!$C$7</f>
        <v>0.671979</v>
      </c>
      <c r="L2109" s="61" t="n">
        <f aca="false">H2109*Resumo!$C$8</f>
        <v>0.671979</v>
      </c>
      <c r="M2109" s="61" t="n">
        <f aca="false">Resumo!$C$10*CEILING(G2109/100,1)</f>
        <v>1.05</v>
      </c>
      <c r="N2109" s="61" t="n">
        <f aca="false">Resumo!$C$9</f>
        <v>0</v>
      </c>
      <c r="O2109" s="61" t="n">
        <f aca="false">Resumo!$C$13</f>
        <v>13.55</v>
      </c>
      <c r="P2109" s="61" t="n">
        <f aca="false">Resumo!$C$14*CEILING(G2109,1)</f>
        <v>9.9</v>
      </c>
      <c r="Q2109" s="61" t="n">
        <f aca="false">SUM(I2109:P2109)*Resumo!$C$11</f>
        <v>0</v>
      </c>
      <c r="R2109" s="61" t="n">
        <f aca="false">SUM(I2109:Q2109)</f>
        <v>67.953958</v>
      </c>
      <c r="S2109" s="61" t="n">
        <f aca="false">R2109/(1-Resumo!$C$5)</f>
        <v>77.2204068181818</v>
      </c>
      <c r="T2109" s="61" t="n">
        <v>82.21</v>
      </c>
      <c r="U2109" s="61" t="n">
        <f aca="false">H2109*Resumo!$B$6</f>
        <v>0.31999</v>
      </c>
      <c r="V2109" s="61" t="n">
        <f aca="false">H2109*Resumo!$B$7</f>
        <v>0.63998</v>
      </c>
      <c r="W2109" s="61" t="n">
        <f aca="false">Resumo!$B$9</f>
        <v>1</v>
      </c>
      <c r="X2109" s="61" t="n">
        <f aca="false">Resumo!$B$10*CEILING(G2109/100,1)</f>
        <v>4.5</v>
      </c>
      <c r="Y2109" s="61" t="n">
        <f aca="false">Resumo!$B$12*CEILING(G2109,1)</f>
        <v>1.32</v>
      </c>
      <c r="Z2109" s="61" t="n">
        <f aca="false">Resumo!$B$14*CEILING(G2109,1)</f>
        <v>9.9</v>
      </c>
      <c r="AA2109" s="61" t="n">
        <f aca="false">SUM(T2109:Z2109)</f>
        <v>99.88997</v>
      </c>
      <c r="AB2109" s="61" t="n">
        <f aca="false">AA2109/(1-Resumo!$B$5)</f>
        <v>113.511329545455</v>
      </c>
      <c r="AC2109" s="61" t="n">
        <f aca="false">AB2109-S2109</f>
        <v>36.2909227272727</v>
      </c>
      <c r="AD2109" s="62" t="n">
        <f aca="false">AB2109/S2109-1</f>
        <v>0.469965443366816</v>
      </c>
      <c r="AE2109" s="60" t="str">
        <f aca="false">IF(AB2109&lt;S2109,"SIM","NÃO")</f>
        <v>NÃO</v>
      </c>
      <c r="AF2109" s="60" t="n">
        <v>2</v>
      </c>
      <c r="AG2109" s="60" t="n">
        <v>5</v>
      </c>
      <c r="AH2109" s="60" t="s">
        <v>382</v>
      </c>
      <c r="AI2109" s="61" t="n">
        <f aca="false">(T2109*(1-Painel!$C$40)+U2109+V2109+Painel!$C$41+Painel!$C$42*CEILING(G2109/100,1)+Painel!$C$43*CEILING(G2109,1)+Z2109)/(1-Resumo!$B$5)</f>
        <v>77.262125</v>
      </c>
      <c r="AJ2109" s="60" t="str">
        <f aca="false">IF(AI2109&lt;S2109,"SIM","NÃO")</f>
        <v>NÃO</v>
      </c>
    </row>
    <row r="2110" customFormat="false" ht="15" hidden="false" customHeight="false" outlineLevel="0" collapsed="false">
      <c r="A2110" s="59" t="n">
        <v>46290.4344791667</v>
      </c>
      <c r="B2110" s="60" t="s">
        <v>1482</v>
      </c>
      <c r="C2110" s="60" t="n">
        <v>28500000</v>
      </c>
      <c r="D2110" s="60" t="s">
        <v>320</v>
      </c>
      <c r="E2110" s="60" t="s">
        <v>24</v>
      </c>
      <c r="F2110" s="60" t="s">
        <v>235</v>
      </c>
      <c r="G2110" s="60" t="n">
        <v>46.8</v>
      </c>
      <c r="H2110" s="61" t="n">
        <v>569.99</v>
      </c>
      <c r="I2110" s="61" t="n">
        <v>77.7</v>
      </c>
      <c r="J2110" s="61" t="n">
        <f aca="false">H2110*Resumo!$C$6</f>
        <v>0</v>
      </c>
      <c r="K2110" s="61" t="n">
        <f aca="false">H2110*Resumo!$C$7</f>
        <v>1.196979</v>
      </c>
      <c r="L2110" s="61" t="n">
        <f aca="false">H2110*Resumo!$C$8</f>
        <v>1.196979</v>
      </c>
      <c r="M2110" s="61" t="n">
        <f aca="false">Resumo!$C$10*CEILING(G2110/100,1)</f>
        <v>1.05</v>
      </c>
      <c r="N2110" s="61" t="n">
        <f aca="false">Resumo!$C$9</f>
        <v>0</v>
      </c>
      <c r="O2110" s="61" t="n">
        <f aca="false">Resumo!$C$13</f>
        <v>13.55</v>
      </c>
      <c r="P2110" s="61" t="n">
        <f aca="false">Resumo!$C$14*CEILING(G2110,1)</f>
        <v>21.15</v>
      </c>
      <c r="Q2110" s="61" t="n">
        <f aca="false">SUM(I2110:P2110)*Resumo!$C$11</f>
        <v>0</v>
      </c>
      <c r="R2110" s="61" t="n">
        <f aca="false">SUM(I2110:Q2110)</f>
        <v>115.843958</v>
      </c>
      <c r="S2110" s="61" t="n">
        <f aca="false">R2110/(1-Resumo!$C$5)</f>
        <v>131.640861363636</v>
      </c>
      <c r="T2110" s="61" t="n">
        <v>152.54</v>
      </c>
      <c r="U2110" s="61" t="n">
        <f aca="false">H2110*Resumo!$B$6</f>
        <v>0.56999</v>
      </c>
      <c r="V2110" s="61" t="n">
        <f aca="false">H2110*Resumo!$B$7</f>
        <v>1.13998</v>
      </c>
      <c r="W2110" s="61" t="n">
        <f aca="false">Resumo!$B$9</f>
        <v>1</v>
      </c>
      <c r="X2110" s="61" t="n">
        <f aca="false">Resumo!$B$10*CEILING(G2110/100,1)</f>
        <v>4.5</v>
      </c>
      <c r="Y2110" s="61" t="n">
        <f aca="false">Resumo!$B$12*CEILING(G2110,1)</f>
        <v>2.82</v>
      </c>
      <c r="Z2110" s="61" t="n">
        <f aca="false">Resumo!$B$14*CEILING(G2110,1)</f>
        <v>21.15</v>
      </c>
      <c r="AA2110" s="61" t="n">
        <f aca="false">SUM(T2110:Z2110)</f>
        <v>183.71997</v>
      </c>
      <c r="AB2110" s="61" t="n">
        <f aca="false">AA2110/(1-Resumo!$B$5)</f>
        <v>208.772693181818</v>
      </c>
      <c r="AC2110" s="61" t="n">
        <f aca="false">AB2110-S2110</f>
        <v>77.1318318181818</v>
      </c>
      <c r="AD2110" s="62" t="n">
        <f aca="false">AB2110/S2110-1</f>
        <v>0.58592621636771</v>
      </c>
      <c r="AE2110" s="60" t="str">
        <f aca="false">IF(AB2110&lt;S2110,"SIM","NÃO")</f>
        <v>NÃO</v>
      </c>
      <c r="AF2110" s="60" t="n">
        <v>13</v>
      </c>
      <c r="AG2110" s="60" t="n">
        <v>11</v>
      </c>
      <c r="AH2110" s="60" t="s">
        <v>385</v>
      </c>
      <c r="AI2110" s="61" t="n">
        <f aca="false">(T2110*(1-Painel!$C$40)+U2110+V2110+Painel!$C$41+Painel!$C$42*CEILING(G2110/100,1)+Painel!$C$43*CEILING(G2110,1)+Z2110)/(1-Resumo!$B$5)</f>
        <v>144.445193181818</v>
      </c>
      <c r="AJ2110" s="60" t="str">
        <f aca="false">IF(AI2110&lt;S2110,"SIM","NÃO")</f>
        <v>NÃO</v>
      </c>
    </row>
    <row r="2111" customFormat="false" ht="15" hidden="false" customHeight="false" outlineLevel="0" collapsed="false">
      <c r="A2111" s="59" t="n">
        <v>46290.4546412037</v>
      </c>
      <c r="B2111" s="60" t="s">
        <v>1219</v>
      </c>
      <c r="C2111" s="60" t="n">
        <v>23040550</v>
      </c>
      <c r="D2111" s="60" t="s">
        <v>46</v>
      </c>
      <c r="E2111" s="60" t="s">
        <v>22</v>
      </c>
      <c r="F2111" s="60" t="s">
        <v>236</v>
      </c>
      <c r="G2111" s="60" t="n">
        <v>53.3</v>
      </c>
      <c r="H2111" s="61" t="n">
        <v>749.99</v>
      </c>
      <c r="I2111" s="61" t="n">
        <v>58.6</v>
      </c>
      <c r="J2111" s="61" t="n">
        <f aca="false">H2111*Resumo!$C$6</f>
        <v>0</v>
      </c>
      <c r="K2111" s="61" t="n">
        <f aca="false">H2111*Resumo!$C$7</f>
        <v>1.574979</v>
      </c>
      <c r="L2111" s="61" t="n">
        <f aca="false">H2111*Resumo!$C$8</f>
        <v>1.574979</v>
      </c>
      <c r="M2111" s="61" t="n">
        <f aca="false">Resumo!$C$10*CEILING(G2111/100,1)</f>
        <v>1.05</v>
      </c>
      <c r="N2111" s="61" t="n">
        <f aca="false">Resumo!$C$9</f>
        <v>0</v>
      </c>
      <c r="O2111" s="61" t="n">
        <f aca="false">Resumo!$C$13</f>
        <v>13.55</v>
      </c>
      <c r="P2111" s="61" t="n">
        <f aca="false">Resumo!$C$14*CEILING(G2111,1)</f>
        <v>24.3</v>
      </c>
      <c r="Q2111" s="61" t="n">
        <f aca="false">SUM(I2111:P2111)*Resumo!$C$11</f>
        <v>0</v>
      </c>
      <c r="R2111" s="61" t="n">
        <f aca="false">SUM(I2111:Q2111)</f>
        <v>100.649958</v>
      </c>
      <c r="S2111" s="61" t="n">
        <f aca="false">R2111/(1-Resumo!$C$5)</f>
        <v>114.374952272727</v>
      </c>
      <c r="T2111" s="61" t="n">
        <v>112.3</v>
      </c>
      <c r="U2111" s="61" t="n">
        <f aca="false">H2111*Resumo!$B$6</f>
        <v>0.74999</v>
      </c>
      <c r="V2111" s="61" t="n">
        <f aca="false">H2111*Resumo!$B$7</f>
        <v>1.49998</v>
      </c>
      <c r="W2111" s="61" t="n">
        <f aca="false">Resumo!$B$9</f>
        <v>1</v>
      </c>
      <c r="X2111" s="61" t="n">
        <f aca="false">Resumo!$B$10*CEILING(G2111/100,1)</f>
        <v>4.5</v>
      </c>
      <c r="Y2111" s="61" t="n">
        <f aca="false">Resumo!$B$12*CEILING(G2111,1)</f>
        <v>3.24</v>
      </c>
      <c r="Z2111" s="61" t="n">
        <f aca="false">Resumo!$B$14*CEILING(G2111,1)</f>
        <v>24.3</v>
      </c>
      <c r="AA2111" s="61" t="n">
        <f aca="false">SUM(T2111:Z2111)</f>
        <v>147.58997</v>
      </c>
      <c r="AB2111" s="61" t="n">
        <f aca="false">AA2111/(1-Resumo!$B$5)</f>
        <v>167.715875</v>
      </c>
      <c r="AC2111" s="61" t="n">
        <f aca="false">AB2111-S2111</f>
        <v>53.3409227272727</v>
      </c>
      <c r="AD2111" s="62" t="n">
        <f aca="false">AB2111/S2111-1</f>
        <v>0.46636891790854</v>
      </c>
      <c r="AE2111" s="60" t="str">
        <f aca="false">IF(AB2111&lt;S2111,"SIM","NÃO")</f>
        <v>NÃO</v>
      </c>
      <c r="AF2111" s="60" t="n">
        <v>2</v>
      </c>
      <c r="AG2111" s="60" t="n">
        <v>5</v>
      </c>
      <c r="AH2111" s="60" t="s">
        <v>382</v>
      </c>
      <c r="AI2111" s="61" t="n">
        <f aca="false">(T2111*(1-Painel!$C$40)+U2111+V2111+Painel!$C$41+Painel!$C$42*CEILING(G2111/100,1)+Painel!$C$43*CEILING(G2111,1)+Z2111)/(1-Resumo!$B$5)</f>
        <v>118.001102272727</v>
      </c>
      <c r="AJ2111" s="60" t="str">
        <f aca="false">IF(AI2111&lt;S2111,"SIM","NÃO")</f>
        <v>NÃO</v>
      </c>
    </row>
    <row r="2112" customFormat="false" ht="15" hidden="false" customHeight="false" outlineLevel="0" collapsed="false">
      <c r="A2112" s="59" t="n">
        <v>46290.481400463</v>
      </c>
      <c r="B2112" s="60" t="s">
        <v>536</v>
      </c>
      <c r="C2112" s="60" t="n">
        <v>23898081</v>
      </c>
      <c r="D2112" s="60" t="s">
        <v>267</v>
      </c>
      <c r="E2112" s="60" t="s">
        <v>24</v>
      </c>
      <c r="F2112" s="60" t="s">
        <v>235</v>
      </c>
      <c r="G2112" s="60" t="n">
        <v>41</v>
      </c>
      <c r="H2112" s="61" t="n">
        <v>699.99</v>
      </c>
      <c r="I2112" s="61" t="n">
        <v>77.7</v>
      </c>
      <c r="J2112" s="61" t="n">
        <f aca="false">H2112*Resumo!$C$6</f>
        <v>0</v>
      </c>
      <c r="K2112" s="61" t="n">
        <f aca="false">H2112*Resumo!$C$7</f>
        <v>1.469979</v>
      </c>
      <c r="L2112" s="61" t="n">
        <f aca="false">H2112*Resumo!$C$8</f>
        <v>1.469979</v>
      </c>
      <c r="M2112" s="61" t="n">
        <f aca="false">Resumo!$C$10*CEILING(G2112/100,1)</f>
        <v>1.05</v>
      </c>
      <c r="N2112" s="61" t="n">
        <f aca="false">Resumo!$C$9</f>
        <v>0</v>
      </c>
      <c r="O2112" s="61" t="n">
        <f aca="false">Resumo!$C$13</f>
        <v>13.55</v>
      </c>
      <c r="P2112" s="61" t="n">
        <f aca="false">Resumo!$C$14*CEILING(G2112,1)</f>
        <v>18.45</v>
      </c>
      <c r="Q2112" s="61" t="n">
        <f aca="false">SUM(I2112:P2112)*Resumo!$C$11</f>
        <v>0</v>
      </c>
      <c r="R2112" s="61" t="n">
        <f aca="false">SUM(I2112:Q2112)</f>
        <v>113.689958</v>
      </c>
      <c r="S2112" s="61" t="n">
        <f aca="false">R2112/(1-Resumo!$C$5)</f>
        <v>129.193134090909</v>
      </c>
      <c r="T2112" s="61" t="n">
        <v>103.97</v>
      </c>
      <c r="U2112" s="61" t="n">
        <f aca="false">H2112*Resumo!$B$6</f>
        <v>0.69999</v>
      </c>
      <c r="V2112" s="61" t="n">
        <f aca="false">H2112*Resumo!$B$7</f>
        <v>1.39998</v>
      </c>
      <c r="W2112" s="61" t="n">
        <f aca="false">Resumo!$B$9</f>
        <v>1</v>
      </c>
      <c r="X2112" s="61" t="n">
        <f aca="false">Resumo!$B$10*CEILING(G2112/100,1)</f>
        <v>4.5</v>
      </c>
      <c r="Y2112" s="61" t="n">
        <f aca="false">Resumo!$B$12*CEILING(G2112,1)</f>
        <v>2.46</v>
      </c>
      <c r="Z2112" s="61" t="n">
        <f aca="false">Resumo!$B$14*CEILING(G2112,1)</f>
        <v>18.45</v>
      </c>
      <c r="AA2112" s="61" t="n">
        <f aca="false">SUM(T2112:Z2112)</f>
        <v>132.47997</v>
      </c>
      <c r="AB2112" s="61" t="n">
        <f aca="false">AA2112/(1-Resumo!$B$5)</f>
        <v>150.545420454545</v>
      </c>
      <c r="AC2112" s="61" t="n">
        <f aca="false">AB2112-S2112</f>
        <v>21.3522863636364</v>
      </c>
      <c r="AD2112" s="62" t="n">
        <f aca="false">AB2112/S2112-1</f>
        <v>0.165274157283091</v>
      </c>
      <c r="AE2112" s="60" t="str">
        <f aca="false">IF(AB2112&lt;S2112,"SIM","NÃO")</f>
        <v>NÃO</v>
      </c>
      <c r="AF2112" s="60" t="n">
        <v>13</v>
      </c>
      <c r="AG2112" s="60" t="n">
        <v>5</v>
      </c>
      <c r="AH2112" s="60" t="s">
        <v>385</v>
      </c>
      <c r="AI2112" s="61" t="n">
        <f aca="false">(T2112*(1-Painel!$C$40)+U2112+V2112+Painel!$C$41+Painel!$C$42*CEILING(G2112/100,1)+Painel!$C$43*CEILING(G2112,1)+Z2112)/(1-Resumo!$B$5)</f>
        <v>104.840761363636</v>
      </c>
      <c r="AJ2112" s="60" t="str">
        <f aca="false">IF(AI2112&lt;S2112,"SIM","NÃO")</f>
        <v>SIM</v>
      </c>
    </row>
    <row r="2113" customFormat="false" ht="15" hidden="false" customHeight="false" outlineLevel="0" collapsed="false">
      <c r="A2113" s="59" t="n">
        <v>46290.5503703704</v>
      </c>
      <c r="B2113" s="60" t="s">
        <v>2248</v>
      </c>
      <c r="C2113" s="60" t="n">
        <v>25847020</v>
      </c>
      <c r="D2113" s="60" t="s">
        <v>275</v>
      </c>
      <c r="E2113" s="60" t="s">
        <v>24</v>
      </c>
      <c r="F2113" s="60" t="s">
        <v>239</v>
      </c>
      <c r="G2113" s="60" t="n">
        <v>91</v>
      </c>
      <c r="H2113" s="61" t="n">
        <v>1159.98</v>
      </c>
      <c r="I2113" s="61" t="n">
        <v>109.63</v>
      </c>
      <c r="J2113" s="61" t="n">
        <f aca="false">H2113*Resumo!$C$6</f>
        <v>0</v>
      </c>
      <c r="K2113" s="61" t="n">
        <f aca="false">H2113*Resumo!$C$7</f>
        <v>2.435958</v>
      </c>
      <c r="L2113" s="61" t="n">
        <f aca="false">H2113*Resumo!$C$8</f>
        <v>2.435958</v>
      </c>
      <c r="M2113" s="61" t="n">
        <f aca="false">Resumo!$C$10*CEILING(G2113/100,1)</f>
        <v>1.05</v>
      </c>
      <c r="N2113" s="61" t="n">
        <f aca="false">Resumo!$C$9</f>
        <v>0</v>
      </c>
      <c r="O2113" s="61" t="n">
        <f aca="false">Resumo!$C$13</f>
        <v>13.55</v>
      </c>
      <c r="P2113" s="61" t="n">
        <f aca="false">Resumo!$C$14*CEILING(G2113,1)</f>
        <v>40.95</v>
      </c>
      <c r="Q2113" s="61" t="n">
        <f aca="false">SUM(I2113:P2113)*Resumo!$C$11</f>
        <v>0</v>
      </c>
      <c r="R2113" s="61" t="n">
        <f aca="false">SUM(I2113:Q2113)</f>
        <v>170.051916</v>
      </c>
      <c r="S2113" s="61" t="n">
        <f aca="false">R2113/(1-Resumo!$C$5)</f>
        <v>193.240813636364</v>
      </c>
      <c r="T2113" s="61" t="n">
        <v>197.35</v>
      </c>
      <c r="U2113" s="61" t="n">
        <f aca="false">H2113*Resumo!$B$6</f>
        <v>1.15998</v>
      </c>
      <c r="V2113" s="61" t="n">
        <f aca="false">H2113*Resumo!$B$7</f>
        <v>2.31996</v>
      </c>
      <c r="W2113" s="61" t="n">
        <f aca="false">Resumo!$B$9</f>
        <v>1</v>
      </c>
      <c r="X2113" s="61" t="n">
        <f aca="false">Resumo!$B$10*CEILING(G2113/100,1)</f>
        <v>4.5</v>
      </c>
      <c r="Y2113" s="61" t="n">
        <f aca="false">Resumo!$B$12*CEILING(G2113,1)</f>
        <v>5.46</v>
      </c>
      <c r="Z2113" s="61" t="n">
        <f aca="false">Resumo!$B$14*CEILING(G2113,1)</f>
        <v>40.95</v>
      </c>
      <c r="AA2113" s="61" t="n">
        <f aca="false">SUM(T2113:Z2113)</f>
        <v>252.73994</v>
      </c>
      <c r="AB2113" s="61" t="n">
        <f aca="false">AA2113/(1-Resumo!$B$5)</f>
        <v>287.204477272727</v>
      </c>
      <c r="AC2113" s="61" t="n">
        <f aca="false">AB2113-S2113</f>
        <v>93.9636636363636</v>
      </c>
      <c r="AD2113" s="62" t="n">
        <f aca="false">AB2113/S2113-1</f>
        <v>0.486251645644498</v>
      </c>
      <c r="AE2113" s="60" t="str">
        <f aca="false">IF(AB2113&lt;S2113,"SIM","NÃO")</f>
        <v>NÃO</v>
      </c>
      <c r="AF2113" s="60" t="n">
        <v>13</v>
      </c>
      <c r="AG2113" s="60" t="n">
        <v>8</v>
      </c>
      <c r="AH2113" s="60" t="s">
        <v>385</v>
      </c>
      <c r="AI2113" s="61" t="n">
        <f aca="false">(T2113*(1-Painel!$C$40)+U2113+V2113+Painel!$C$41+Painel!$C$42*CEILING(G2113/100,1)+Painel!$C$43*CEILING(G2113,1)+Z2113)/(1-Resumo!$B$5)</f>
        <v>203.073227272727</v>
      </c>
      <c r="AJ2113" s="60" t="str">
        <f aca="false">IF(AI2113&lt;S2113,"SIM","NÃO")</f>
        <v>NÃO</v>
      </c>
    </row>
    <row r="2114" customFormat="false" ht="15" hidden="false" customHeight="false" outlineLevel="0" collapsed="false">
      <c r="A2114" s="59" t="n">
        <v>46290.5706018519</v>
      </c>
      <c r="B2114" s="60" t="s">
        <v>2102</v>
      </c>
      <c r="C2114" s="60" t="n">
        <v>20973011</v>
      </c>
      <c r="D2114" s="60" t="s">
        <v>46</v>
      </c>
      <c r="E2114" s="60" t="s">
        <v>22</v>
      </c>
      <c r="F2114" s="60" t="s">
        <v>237</v>
      </c>
      <c r="G2114" s="60" t="n">
        <v>66.8</v>
      </c>
      <c r="H2114" s="61" t="n">
        <v>658.46</v>
      </c>
      <c r="I2114" s="61" t="n">
        <v>63.21</v>
      </c>
      <c r="J2114" s="61" t="n">
        <f aca="false">H2114*Resumo!$C$6</f>
        <v>0</v>
      </c>
      <c r="K2114" s="61" t="n">
        <f aca="false">H2114*Resumo!$C$7</f>
        <v>1.382766</v>
      </c>
      <c r="L2114" s="61" t="n">
        <f aca="false">H2114*Resumo!$C$8</f>
        <v>1.382766</v>
      </c>
      <c r="M2114" s="61" t="n">
        <f aca="false">Resumo!$C$10*CEILING(G2114/100,1)</f>
        <v>1.05</v>
      </c>
      <c r="N2114" s="61" t="n">
        <f aca="false">Resumo!$C$9</f>
        <v>0</v>
      </c>
      <c r="O2114" s="61" t="n">
        <f aca="false">Resumo!$C$13</f>
        <v>13.55</v>
      </c>
      <c r="P2114" s="61" t="n">
        <f aca="false">Resumo!$C$14*CEILING(G2114,1)</f>
        <v>30.15</v>
      </c>
      <c r="Q2114" s="61" t="n">
        <f aca="false">SUM(I2114:P2114)*Resumo!$C$11</f>
        <v>0</v>
      </c>
      <c r="R2114" s="61" t="n">
        <f aca="false">SUM(I2114:Q2114)</f>
        <v>110.725532</v>
      </c>
      <c r="S2114" s="61" t="n">
        <f aca="false">R2114/(1-Resumo!$C$5)</f>
        <v>125.824468181818</v>
      </c>
      <c r="T2114" s="61" t="n">
        <v>131.02</v>
      </c>
      <c r="U2114" s="61" t="n">
        <f aca="false">H2114*Resumo!$B$6</f>
        <v>0.65846</v>
      </c>
      <c r="V2114" s="61" t="n">
        <f aca="false">H2114*Resumo!$B$7</f>
        <v>1.31692</v>
      </c>
      <c r="W2114" s="61" t="n">
        <f aca="false">Resumo!$B$9</f>
        <v>1</v>
      </c>
      <c r="X2114" s="61" t="n">
        <f aca="false">Resumo!$B$10*CEILING(G2114/100,1)</f>
        <v>4.5</v>
      </c>
      <c r="Y2114" s="61" t="n">
        <f aca="false">Resumo!$B$12*CEILING(G2114,1)</f>
        <v>4.02</v>
      </c>
      <c r="Z2114" s="61" t="n">
        <f aca="false">Resumo!$B$14*CEILING(G2114,1)</f>
        <v>30.15</v>
      </c>
      <c r="AA2114" s="61" t="n">
        <f aca="false">SUM(T2114:Z2114)</f>
        <v>172.66538</v>
      </c>
      <c r="AB2114" s="61" t="n">
        <f aca="false">AA2114/(1-Resumo!$B$5)</f>
        <v>196.210659090909</v>
      </c>
      <c r="AC2114" s="61" t="n">
        <f aca="false">AB2114-S2114</f>
        <v>70.386190909091</v>
      </c>
      <c r="AD2114" s="62" t="n">
        <f aca="false">AB2114/S2114-1</f>
        <v>0.559399868135202</v>
      </c>
      <c r="AE2114" s="60" t="str">
        <f aca="false">IF(AB2114&lt;S2114,"SIM","NÃO")</f>
        <v>NÃO</v>
      </c>
      <c r="AF2114" s="60" t="n">
        <v>2</v>
      </c>
      <c r="AG2114" s="60" t="n">
        <v>5</v>
      </c>
      <c r="AH2114" s="60" t="s">
        <v>382</v>
      </c>
      <c r="AI2114" s="61" t="n">
        <f aca="false">(T2114*(1-Painel!$C$40)+U2114+V2114+Painel!$C$41+Painel!$C$42*CEILING(G2114/100,1)+Painel!$C$43*CEILING(G2114,1)+Z2114)/(1-Resumo!$B$5)</f>
        <v>138.589522727273</v>
      </c>
      <c r="AJ2114" s="60" t="str">
        <f aca="false">IF(AI2114&lt;S2114,"SIM","NÃO")</f>
        <v>NÃO</v>
      </c>
    </row>
    <row r="2115" customFormat="false" ht="15" hidden="false" customHeight="false" outlineLevel="0" collapsed="false">
      <c r="A2115" s="59" t="n">
        <v>46290.6010069445</v>
      </c>
      <c r="B2115" s="60" t="s">
        <v>1474</v>
      </c>
      <c r="C2115" s="60" t="n">
        <v>22451264</v>
      </c>
      <c r="D2115" s="60" t="s">
        <v>46</v>
      </c>
      <c r="E2115" s="60" t="s">
        <v>22</v>
      </c>
      <c r="F2115" s="60" t="s">
        <v>235</v>
      </c>
      <c r="G2115" s="60" t="n">
        <v>45.3</v>
      </c>
      <c r="H2115" s="61" t="n">
        <v>678.99</v>
      </c>
      <c r="I2115" s="61" t="n">
        <v>53.55</v>
      </c>
      <c r="J2115" s="61" t="n">
        <f aca="false">H2115*Resumo!$C$6</f>
        <v>0</v>
      </c>
      <c r="K2115" s="61" t="n">
        <f aca="false">H2115*Resumo!$C$7</f>
        <v>1.425879</v>
      </c>
      <c r="L2115" s="61" t="n">
        <f aca="false">H2115*Resumo!$C$8</f>
        <v>1.425879</v>
      </c>
      <c r="M2115" s="61" t="n">
        <f aca="false">Resumo!$C$10*CEILING(G2115/100,1)</f>
        <v>1.05</v>
      </c>
      <c r="N2115" s="61" t="n">
        <f aca="false">Resumo!$C$9</f>
        <v>0</v>
      </c>
      <c r="O2115" s="61" t="n">
        <f aca="false">Resumo!$C$13</f>
        <v>13.55</v>
      </c>
      <c r="P2115" s="61" t="n">
        <f aca="false">Resumo!$C$14*CEILING(G2115,1)</f>
        <v>20.7</v>
      </c>
      <c r="Q2115" s="61" t="n">
        <f aca="false">SUM(I2115:P2115)*Resumo!$C$11</f>
        <v>0</v>
      </c>
      <c r="R2115" s="61" t="n">
        <f aca="false">SUM(I2115:Q2115)</f>
        <v>91.701758</v>
      </c>
      <c r="S2115" s="61" t="n">
        <f aca="false">R2115/(1-Resumo!$C$5)</f>
        <v>104.206543181818</v>
      </c>
      <c r="T2115" s="61" t="n">
        <v>93.97</v>
      </c>
      <c r="U2115" s="61" t="n">
        <f aca="false">H2115*Resumo!$B$6</f>
        <v>0.67899</v>
      </c>
      <c r="V2115" s="61" t="n">
        <f aca="false">H2115*Resumo!$B$7</f>
        <v>1.35798</v>
      </c>
      <c r="W2115" s="61" t="n">
        <f aca="false">Resumo!$B$9</f>
        <v>1</v>
      </c>
      <c r="X2115" s="61" t="n">
        <f aca="false">Resumo!$B$10*CEILING(G2115/100,1)</f>
        <v>4.5</v>
      </c>
      <c r="Y2115" s="61" t="n">
        <f aca="false">Resumo!$B$12*CEILING(G2115,1)</f>
        <v>2.76</v>
      </c>
      <c r="Z2115" s="61" t="n">
        <f aca="false">Resumo!$B$14*CEILING(G2115,1)</f>
        <v>20.7</v>
      </c>
      <c r="AA2115" s="61" t="n">
        <f aca="false">SUM(T2115:Z2115)</f>
        <v>124.96697</v>
      </c>
      <c r="AB2115" s="61" t="n">
        <f aca="false">AA2115/(1-Resumo!$B$5)</f>
        <v>142.007920454545</v>
      </c>
      <c r="AC2115" s="61" t="n">
        <f aca="false">AB2115-S2115</f>
        <v>37.8013772727273</v>
      </c>
      <c r="AD2115" s="62" t="n">
        <f aca="false">AB2115/S2115-1</f>
        <v>0.362754354174977</v>
      </c>
      <c r="AE2115" s="60" t="str">
        <f aca="false">IF(AB2115&lt;S2115,"SIM","NÃO")</f>
        <v>NÃO</v>
      </c>
      <c r="AF2115" s="60" t="n">
        <v>2</v>
      </c>
      <c r="AG2115" s="60" t="n">
        <v>5</v>
      </c>
      <c r="AH2115" s="60" t="s">
        <v>382</v>
      </c>
      <c r="AI2115" s="61" t="n">
        <f aca="false">(T2115*(1-Painel!$C$40)+U2115+V2115+Painel!$C$41+Painel!$C$42*CEILING(G2115/100,1)+Painel!$C$43*CEILING(G2115,1)+Z2115)/(1-Resumo!$B$5)</f>
        <v>99.7123522727273</v>
      </c>
      <c r="AJ2115" s="60" t="str">
        <f aca="false">IF(AI2115&lt;S2115,"SIM","NÃO")</f>
        <v>SIM</v>
      </c>
    </row>
    <row r="2116" customFormat="false" ht="15" hidden="false" customHeight="false" outlineLevel="0" collapsed="false">
      <c r="A2116" s="59" t="n">
        <v>46290.638587963</v>
      </c>
      <c r="B2116" s="60" t="s">
        <v>2249</v>
      </c>
      <c r="C2116" s="60" t="n">
        <v>23595475</v>
      </c>
      <c r="D2116" s="60" t="s">
        <v>46</v>
      </c>
      <c r="E2116" s="60" t="s">
        <v>22</v>
      </c>
      <c r="F2116" s="60" t="s">
        <v>234</v>
      </c>
      <c r="G2116" s="60" t="n">
        <v>36.8</v>
      </c>
      <c r="H2116" s="61" t="n">
        <v>389.63</v>
      </c>
      <c r="I2116" s="61" t="n">
        <v>48.35</v>
      </c>
      <c r="J2116" s="61" t="n">
        <f aca="false">H2116*Resumo!$C$6</f>
        <v>0</v>
      </c>
      <c r="K2116" s="61" t="n">
        <f aca="false">H2116*Resumo!$C$7</f>
        <v>0.818223</v>
      </c>
      <c r="L2116" s="61" t="n">
        <f aca="false">H2116*Resumo!$C$8</f>
        <v>0.818223</v>
      </c>
      <c r="M2116" s="61" t="n">
        <f aca="false">Resumo!$C$10*CEILING(G2116/100,1)</f>
        <v>1.05</v>
      </c>
      <c r="N2116" s="61" t="n">
        <f aca="false">Resumo!$C$9</f>
        <v>0</v>
      </c>
      <c r="O2116" s="61" t="n">
        <f aca="false">Resumo!$C$13</f>
        <v>13.55</v>
      </c>
      <c r="P2116" s="61" t="n">
        <f aca="false">Resumo!$C$14*CEILING(G2116,1)</f>
        <v>16.65</v>
      </c>
      <c r="Q2116" s="61" t="n">
        <f aca="false">SUM(I2116:P2116)*Resumo!$C$11</f>
        <v>0</v>
      </c>
      <c r="R2116" s="61" t="n">
        <f aca="false">SUM(I2116:Q2116)</f>
        <v>81.236446</v>
      </c>
      <c r="S2116" s="61" t="n">
        <f aca="false">R2116/(1-Resumo!$C$5)</f>
        <v>92.3141431818182</v>
      </c>
      <c r="T2116" s="61" t="n">
        <v>93.97</v>
      </c>
      <c r="U2116" s="61" t="n">
        <f aca="false">H2116*Resumo!$B$6</f>
        <v>0.38963</v>
      </c>
      <c r="V2116" s="61" t="n">
        <f aca="false">H2116*Resumo!$B$7</f>
        <v>0.77926</v>
      </c>
      <c r="W2116" s="61" t="n">
        <f aca="false">Resumo!$B$9</f>
        <v>1</v>
      </c>
      <c r="X2116" s="61" t="n">
        <f aca="false">Resumo!$B$10*CEILING(G2116/100,1)</f>
        <v>4.5</v>
      </c>
      <c r="Y2116" s="61" t="n">
        <f aca="false">Resumo!$B$12*CEILING(G2116,1)</f>
        <v>2.22</v>
      </c>
      <c r="Z2116" s="61" t="n">
        <f aca="false">Resumo!$B$14*CEILING(G2116,1)</f>
        <v>16.65</v>
      </c>
      <c r="AA2116" s="61" t="n">
        <f aca="false">SUM(T2116:Z2116)</f>
        <v>119.50889</v>
      </c>
      <c r="AB2116" s="61" t="n">
        <f aca="false">AA2116/(1-Resumo!$B$5)</f>
        <v>135.805556818182</v>
      </c>
      <c r="AC2116" s="61" t="n">
        <f aca="false">AB2116-S2116</f>
        <v>43.4914136363636</v>
      </c>
      <c r="AD2116" s="62" t="n">
        <f aca="false">AB2116/S2116-1</f>
        <v>0.471124056805735</v>
      </c>
      <c r="AE2116" s="60" t="str">
        <f aca="false">IF(AB2116&lt;S2116,"SIM","NÃO")</f>
        <v>NÃO</v>
      </c>
      <c r="AF2116" s="60" t="n">
        <v>2</v>
      </c>
      <c r="AG2116" s="60" t="n">
        <v>5</v>
      </c>
      <c r="AH2116" s="60" t="s">
        <v>382</v>
      </c>
      <c r="AI2116" s="61" t="n">
        <f aca="false">(T2116*(1-Painel!$C$40)+U2116+V2116+Painel!$C$41+Painel!$C$42*CEILING(G2116/100,1)+Painel!$C$43*CEILING(G2116,1)+Z2116)/(1-Resumo!$B$5)</f>
        <v>94.123625</v>
      </c>
      <c r="AJ2116" s="60" t="str">
        <f aca="false">IF(AI2116&lt;S2116,"SIM","NÃO")</f>
        <v>NÃO</v>
      </c>
    </row>
    <row r="2117" customFormat="false" ht="15" hidden="false" customHeight="false" outlineLevel="0" collapsed="false">
      <c r="A2117" s="59" t="n">
        <v>46290.6394097222</v>
      </c>
      <c r="B2117" s="60" t="s">
        <v>2250</v>
      </c>
      <c r="C2117" s="60" t="n">
        <v>21550610</v>
      </c>
      <c r="D2117" s="60" t="s">
        <v>46</v>
      </c>
      <c r="E2117" s="60" t="s">
        <v>22</v>
      </c>
      <c r="F2117" s="60" t="s">
        <v>233</v>
      </c>
      <c r="G2117" s="60" t="n">
        <v>27.4</v>
      </c>
      <c r="H2117" s="61" t="n">
        <v>369.99</v>
      </c>
      <c r="I2117" s="61" t="n">
        <v>42.11</v>
      </c>
      <c r="J2117" s="61" t="n">
        <f aca="false">H2117*Resumo!$C$6</f>
        <v>0</v>
      </c>
      <c r="K2117" s="61" t="n">
        <f aca="false">H2117*Resumo!$C$7</f>
        <v>0.776979</v>
      </c>
      <c r="L2117" s="61" t="n">
        <f aca="false">H2117*Resumo!$C$8</f>
        <v>0.776979</v>
      </c>
      <c r="M2117" s="61" t="n">
        <f aca="false">Resumo!$C$10*CEILING(G2117/100,1)</f>
        <v>1.05</v>
      </c>
      <c r="N2117" s="61" t="n">
        <f aca="false">Resumo!$C$9</f>
        <v>0</v>
      </c>
      <c r="O2117" s="61" t="n">
        <f aca="false">Resumo!$C$13</f>
        <v>13.55</v>
      </c>
      <c r="P2117" s="61" t="n">
        <f aca="false">Resumo!$C$14*CEILING(G2117,1)</f>
        <v>12.6</v>
      </c>
      <c r="Q2117" s="61" t="n">
        <f aca="false">SUM(I2117:P2117)*Resumo!$C$11</f>
        <v>0</v>
      </c>
      <c r="R2117" s="61" t="n">
        <f aca="false">SUM(I2117:Q2117)</f>
        <v>70.863958</v>
      </c>
      <c r="S2117" s="61" t="n">
        <f aca="false">R2117/(1-Resumo!$C$5)</f>
        <v>80.527225</v>
      </c>
      <c r="T2117" s="61" t="n">
        <v>82.21</v>
      </c>
      <c r="U2117" s="61" t="n">
        <f aca="false">H2117*Resumo!$B$6</f>
        <v>0.36999</v>
      </c>
      <c r="V2117" s="61" t="n">
        <f aca="false">H2117*Resumo!$B$7</f>
        <v>0.73998</v>
      </c>
      <c r="W2117" s="61" t="n">
        <f aca="false">Resumo!$B$9</f>
        <v>1</v>
      </c>
      <c r="X2117" s="61" t="n">
        <f aca="false">Resumo!$B$10*CEILING(G2117/100,1)</f>
        <v>4.5</v>
      </c>
      <c r="Y2117" s="61" t="n">
        <f aca="false">Resumo!$B$12*CEILING(G2117,1)</f>
        <v>1.68</v>
      </c>
      <c r="Z2117" s="61" t="n">
        <f aca="false">Resumo!$B$14*CEILING(G2117,1)</f>
        <v>12.6</v>
      </c>
      <c r="AA2117" s="61" t="n">
        <f aca="false">SUM(T2117:Z2117)</f>
        <v>103.09997</v>
      </c>
      <c r="AB2117" s="61" t="n">
        <f aca="false">AA2117/(1-Resumo!$B$5)</f>
        <v>117.159056818182</v>
      </c>
      <c r="AC2117" s="61" t="n">
        <f aca="false">AB2117-S2117</f>
        <v>36.6318318181818</v>
      </c>
      <c r="AD2117" s="62" t="n">
        <f aca="false">AB2117/S2117-1</f>
        <v>0.454899964802982</v>
      </c>
      <c r="AE2117" s="60" t="str">
        <f aca="false">IF(AB2117&lt;S2117,"SIM","NÃO")</f>
        <v>NÃO</v>
      </c>
      <c r="AF2117" s="60" t="n">
        <v>2</v>
      </c>
      <c r="AG2117" s="60" t="n">
        <v>5</v>
      </c>
      <c r="AH2117" s="60" t="s">
        <v>382</v>
      </c>
      <c r="AI2117" s="61" t="n">
        <f aca="false">(T2117*(1-Painel!$C$40)+U2117+V2117+Painel!$C$41+Painel!$C$42*CEILING(G2117/100,1)+Painel!$C$43*CEILING(G2117,1)+Z2117)/(1-Resumo!$B$5)</f>
        <v>80.5007613636364</v>
      </c>
      <c r="AJ2117" s="60" t="str">
        <f aca="false">IF(AI2117&lt;S2117,"SIM","NÃO")</f>
        <v>SIM</v>
      </c>
    </row>
    <row r="2118" customFormat="false" ht="15" hidden="false" customHeight="false" outlineLevel="0" collapsed="false">
      <c r="A2118" s="59" t="n">
        <v>46290.7193634259</v>
      </c>
      <c r="B2118" s="60" t="s">
        <v>573</v>
      </c>
      <c r="C2118" s="60" t="n">
        <v>25880000</v>
      </c>
      <c r="D2118" s="60" t="s">
        <v>278</v>
      </c>
      <c r="E2118" s="60" t="s">
        <v>24</v>
      </c>
      <c r="F2118" s="60" t="s">
        <v>233</v>
      </c>
      <c r="G2118" s="60" t="n">
        <v>20.9</v>
      </c>
      <c r="H2118" s="61" t="n">
        <v>450.79</v>
      </c>
      <c r="I2118" s="61" t="n">
        <v>65.63</v>
      </c>
      <c r="J2118" s="61" t="n">
        <f aca="false">H2118*Resumo!$C$6</f>
        <v>0</v>
      </c>
      <c r="K2118" s="61" t="n">
        <f aca="false">H2118*Resumo!$C$7</f>
        <v>0.946659</v>
      </c>
      <c r="L2118" s="61" t="n">
        <f aca="false">H2118*Resumo!$C$8</f>
        <v>0.946659</v>
      </c>
      <c r="M2118" s="61" t="n">
        <f aca="false">Resumo!$C$10*CEILING(G2118/100,1)</f>
        <v>1.05</v>
      </c>
      <c r="N2118" s="61" t="n">
        <f aca="false">Resumo!$C$9</f>
        <v>0</v>
      </c>
      <c r="O2118" s="61" t="n">
        <f aca="false">Resumo!$C$13</f>
        <v>13.55</v>
      </c>
      <c r="P2118" s="61" t="n">
        <f aca="false">Resumo!$C$14*CEILING(G2118,1)</f>
        <v>9.45</v>
      </c>
      <c r="Q2118" s="61" t="n">
        <f aca="false">SUM(I2118:P2118)*Resumo!$C$11</f>
        <v>0</v>
      </c>
      <c r="R2118" s="61" t="n">
        <f aca="false">SUM(I2118:Q2118)</f>
        <v>91.573318</v>
      </c>
      <c r="S2118" s="61" t="n">
        <f aca="false">R2118/(1-Resumo!$C$5)</f>
        <v>104.060588636364</v>
      </c>
      <c r="T2118" s="61" t="n">
        <v>120.78</v>
      </c>
      <c r="U2118" s="61" t="n">
        <f aca="false">H2118*Resumo!$B$6</f>
        <v>0.45079</v>
      </c>
      <c r="V2118" s="61" t="n">
        <f aca="false">H2118*Resumo!$B$7</f>
        <v>0.90158</v>
      </c>
      <c r="W2118" s="61" t="n">
        <f aca="false">Resumo!$B$9</f>
        <v>1</v>
      </c>
      <c r="X2118" s="61" t="n">
        <f aca="false">Resumo!$B$10*CEILING(G2118/100,1)</f>
        <v>4.5</v>
      </c>
      <c r="Y2118" s="61" t="n">
        <f aca="false">Resumo!$B$12*CEILING(G2118,1)</f>
        <v>1.26</v>
      </c>
      <c r="Z2118" s="61" t="n">
        <f aca="false">Resumo!$B$14*CEILING(G2118,1)</f>
        <v>9.45</v>
      </c>
      <c r="AA2118" s="61" t="n">
        <f aca="false">SUM(T2118:Z2118)</f>
        <v>138.34237</v>
      </c>
      <c r="AB2118" s="61" t="n">
        <f aca="false">AA2118/(1-Resumo!$B$5)</f>
        <v>157.207238636364</v>
      </c>
      <c r="AC2118" s="61" t="n">
        <f aca="false">AB2118-S2118</f>
        <v>53.14665</v>
      </c>
      <c r="AD2118" s="62" t="n">
        <f aca="false">AB2118/S2118-1</f>
        <v>0.510727939332721</v>
      </c>
      <c r="AE2118" s="60" t="str">
        <f aca="false">IF(AB2118&lt;S2118,"SIM","NÃO")</f>
        <v>NÃO</v>
      </c>
      <c r="AF2118" s="60" t="n">
        <v>13</v>
      </c>
      <c r="AG2118" s="60" t="n">
        <v>10</v>
      </c>
      <c r="AH2118" s="60" t="s">
        <v>385</v>
      </c>
      <c r="AI2118" s="61" t="n">
        <f aca="false">(T2118*(1-Painel!$C$40)+U2118+V2118+Painel!$C$41+Painel!$C$42*CEILING(G2118/100,1)+Painel!$C$43*CEILING(G2118,1)+Z2118)/(1-Resumo!$B$5)</f>
        <v>106.562465909091</v>
      </c>
      <c r="AJ2118" s="60" t="str">
        <f aca="false">IF(AI2118&lt;S2118,"SIM","NÃO")</f>
        <v>NÃO</v>
      </c>
    </row>
    <row r="2119" customFormat="false" ht="15" hidden="false" customHeight="false" outlineLevel="0" collapsed="false">
      <c r="A2119" s="59" t="n">
        <v>46290.7527546296</v>
      </c>
      <c r="B2119" s="60" t="s">
        <v>2251</v>
      </c>
      <c r="C2119" s="60" t="n">
        <v>22061010</v>
      </c>
      <c r="D2119" s="60" t="s">
        <v>46</v>
      </c>
      <c r="E2119" s="60" t="s">
        <v>22</v>
      </c>
      <c r="F2119" s="60" t="s">
        <v>234</v>
      </c>
      <c r="G2119" s="60" t="n">
        <v>36.9</v>
      </c>
      <c r="H2119" s="61" t="n">
        <v>439.99</v>
      </c>
      <c r="I2119" s="61" t="n">
        <v>48.35</v>
      </c>
      <c r="J2119" s="61" t="n">
        <f aca="false">H2119*Resumo!$C$6</f>
        <v>0</v>
      </c>
      <c r="K2119" s="61" t="n">
        <f aca="false">H2119*Resumo!$C$7</f>
        <v>0.923979</v>
      </c>
      <c r="L2119" s="61" t="n">
        <f aca="false">H2119*Resumo!$C$8</f>
        <v>0.923979</v>
      </c>
      <c r="M2119" s="61" t="n">
        <f aca="false">Resumo!$C$10*CEILING(G2119/100,1)</f>
        <v>1.05</v>
      </c>
      <c r="N2119" s="61" t="n">
        <f aca="false">Resumo!$C$9</f>
        <v>0</v>
      </c>
      <c r="O2119" s="61" t="n">
        <f aca="false">Resumo!$C$13</f>
        <v>13.55</v>
      </c>
      <c r="P2119" s="61" t="n">
        <f aca="false">Resumo!$C$14*CEILING(G2119,1)</f>
        <v>16.65</v>
      </c>
      <c r="Q2119" s="61" t="n">
        <f aca="false">SUM(I2119:P2119)*Resumo!$C$11</f>
        <v>0</v>
      </c>
      <c r="R2119" s="61" t="n">
        <f aca="false">SUM(I2119:Q2119)</f>
        <v>81.447958</v>
      </c>
      <c r="S2119" s="61" t="n">
        <f aca="false">R2119/(1-Resumo!$C$5)</f>
        <v>92.5544977272728</v>
      </c>
      <c r="T2119" s="61" t="n">
        <v>93.97</v>
      </c>
      <c r="U2119" s="61" t="n">
        <f aca="false">H2119*Resumo!$B$6</f>
        <v>0.43999</v>
      </c>
      <c r="V2119" s="61" t="n">
        <f aca="false">H2119*Resumo!$B$7</f>
        <v>0.87998</v>
      </c>
      <c r="W2119" s="61" t="n">
        <f aca="false">Resumo!$B$9</f>
        <v>1</v>
      </c>
      <c r="X2119" s="61" t="n">
        <f aca="false">Resumo!$B$10*CEILING(G2119/100,1)</f>
        <v>4.5</v>
      </c>
      <c r="Y2119" s="61" t="n">
        <f aca="false">Resumo!$B$12*CEILING(G2119,1)</f>
        <v>2.22</v>
      </c>
      <c r="Z2119" s="61" t="n">
        <f aca="false">Resumo!$B$14*CEILING(G2119,1)</f>
        <v>16.65</v>
      </c>
      <c r="AA2119" s="61" t="n">
        <f aca="false">SUM(T2119:Z2119)</f>
        <v>119.65997</v>
      </c>
      <c r="AB2119" s="61" t="n">
        <f aca="false">AA2119/(1-Resumo!$B$5)</f>
        <v>135.977238636364</v>
      </c>
      <c r="AC2119" s="61" t="n">
        <f aca="false">AB2119-S2119</f>
        <v>43.4227409090909</v>
      </c>
      <c r="AD2119" s="62" t="n">
        <f aca="false">AB2119/S2119-1</f>
        <v>0.469158625192297</v>
      </c>
      <c r="AE2119" s="60" t="str">
        <f aca="false">IF(AB2119&lt;S2119,"SIM","NÃO")</f>
        <v>NÃO</v>
      </c>
      <c r="AF2119" s="60" t="n">
        <v>2</v>
      </c>
      <c r="AG2119" s="60" t="n">
        <v>5</v>
      </c>
      <c r="AH2119" s="60" t="s">
        <v>382</v>
      </c>
      <c r="AI2119" s="61" t="n">
        <f aca="false">(T2119*(1-Painel!$C$40)+U2119+V2119+Painel!$C$41+Painel!$C$42*CEILING(G2119/100,1)+Painel!$C$43*CEILING(G2119,1)+Z2119)/(1-Resumo!$B$5)</f>
        <v>94.2953068181818</v>
      </c>
      <c r="AJ2119" s="60" t="str">
        <f aca="false">IF(AI2119&lt;S2119,"SIM","NÃO")</f>
        <v>NÃO</v>
      </c>
    </row>
    <row r="2120" customFormat="false" ht="15" hidden="false" customHeight="false" outlineLevel="0" collapsed="false">
      <c r="A2120" s="59" t="n">
        <v>46290.8568634259</v>
      </c>
      <c r="B2120" s="60" t="s">
        <v>2252</v>
      </c>
      <c r="C2120" s="60" t="n">
        <v>23914020</v>
      </c>
      <c r="D2120" s="60" t="s">
        <v>218</v>
      </c>
      <c r="E2120" s="60" t="s">
        <v>24</v>
      </c>
      <c r="F2120" s="60" t="s">
        <v>232</v>
      </c>
      <c r="G2120" s="60" t="n">
        <v>16.35</v>
      </c>
      <c r="H2120" s="61" t="n">
        <v>373.99</v>
      </c>
      <c r="I2120" s="61" t="n">
        <v>46.95</v>
      </c>
      <c r="J2120" s="61" t="n">
        <f aca="false">H2120*Resumo!$C$6</f>
        <v>0</v>
      </c>
      <c r="K2120" s="61" t="n">
        <f aca="false">H2120*Resumo!$C$7</f>
        <v>0.785379</v>
      </c>
      <c r="L2120" s="61" t="n">
        <f aca="false">H2120*Resumo!$C$8</f>
        <v>0.785379</v>
      </c>
      <c r="M2120" s="61" t="n">
        <f aca="false">Resumo!$C$10*CEILING(G2120/100,1)</f>
        <v>1.05</v>
      </c>
      <c r="N2120" s="61" t="n">
        <f aca="false">Resumo!$C$9</f>
        <v>0</v>
      </c>
      <c r="O2120" s="61" t="n">
        <f aca="false">Resumo!$C$13</f>
        <v>13.55</v>
      </c>
      <c r="P2120" s="61" t="n">
        <f aca="false">Resumo!$C$14*CEILING(G2120,1)</f>
        <v>7.65</v>
      </c>
      <c r="Q2120" s="61" t="n">
        <f aca="false">SUM(I2120:P2120)*Resumo!$C$11</f>
        <v>0</v>
      </c>
      <c r="R2120" s="61" t="n">
        <f aca="false">SUM(I2120:Q2120)</f>
        <v>70.770758</v>
      </c>
      <c r="S2120" s="61" t="n">
        <f aca="false">R2120/(1-Resumo!$C$5)</f>
        <v>80.4213159090909</v>
      </c>
      <c r="T2120" s="61" t="n">
        <v>77.35</v>
      </c>
      <c r="U2120" s="61" t="n">
        <f aca="false">H2120*Resumo!$B$6</f>
        <v>0.37399</v>
      </c>
      <c r="V2120" s="61" t="n">
        <f aca="false">H2120*Resumo!$B$7</f>
        <v>0.74798</v>
      </c>
      <c r="W2120" s="61" t="n">
        <f aca="false">Resumo!$B$9</f>
        <v>1</v>
      </c>
      <c r="X2120" s="61" t="n">
        <f aca="false">Resumo!$B$10*CEILING(G2120/100,1)</f>
        <v>4.5</v>
      </c>
      <c r="Y2120" s="61" t="n">
        <f aca="false">Resumo!$B$12*CEILING(G2120,1)</f>
        <v>1.02</v>
      </c>
      <c r="Z2120" s="61" t="n">
        <f aca="false">Resumo!$B$14*CEILING(G2120,1)</f>
        <v>7.65</v>
      </c>
      <c r="AA2120" s="61" t="n">
        <f aca="false">SUM(T2120:Z2120)</f>
        <v>92.64197</v>
      </c>
      <c r="AB2120" s="61" t="n">
        <f aca="false">AA2120/(1-Resumo!$B$5)</f>
        <v>105.274965909091</v>
      </c>
      <c r="AC2120" s="61" t="n">
        <f aca="false">AB2120-S2120</f>
        <v>24.85365</v>
      </c>
      <c r="AD2120" s="62" t="n">
        <f aca="false">AB2120/S2120-1</f>
        <v>0.309043065498889</v>
      </c>
      <c r="AE2120" s="60" t="str">
        <f aca="false">IF(AB2120&lt;S2120,"SIM","NÃO")</f>
        <v>NÃO</v>
      </c>
      <c r="AF2120" s="60" t="n">
        <v>13</v>
      </c>
      <c r="AG2120" s="60" t="n">
        <v>10</v>
      </c>
      <c r="AH2120" s="60" t="s">
        <v>382</v>
      </c>
      <c r="AI2120" s="61" t="n">
        <f aca="false">(T2120*(1-Painel!$C$40)+U2120+V2120+Painel!$C$41+Painel!$C$42*CEILING(G2120/100,1)+Painel!$C$43*CEILING(G2120,1)+Z2120)/(1-Resumo!$B$5)</f>
        <v>71.1891704545454</v>
      </c>
      <c r="AJ2120" s="60" t="str">
        <f aca="false">IF(AI2120&lt;S2120,"SIM","NÃO")</f>
        <v>SIM</v>
      </c>
    </row>
    <row r="2121" customFormat="false" ht="15" hidden="false" customHeight="false" outlineLevel="0" collapsed="false">
      <c r="A2121" s="59" t="n">
        <v>46290.876099537</v>
      </c>
      <c r="B2121" s="60" t="s">
        <v>2253</v>
      </c>
      <c r="C2121" s="60" t="n">
        <v>25943521</v>
      </c>
      <c r="D2121" s="60" t="s">
        <v>280</v>
      </c>
      <c r="E2121" s="60" t="s">
        <v>24</v>
      </c>
      <c r="F2121" s="60" t="s">
        <v>236</v>
      </c>
      <c r="G2121" s="60" t="n">
        <v>52.3</v>
      </c>
      <c r="H2121" s="61" t="n">
        <v>625.99</v>
      </c>
      <c r="I2121" s="61" t="n">
        <v>83.58</v>
      </c>
      <c r="J2121" s="61" t="n">
        <f aca="false">H2121*Resumo!$C$6</f>
        <v>0</v>
      </c>
      <c r="K2121" s="61" t="n">
        <f aca="false">H2121*Resumo!$C$7</f>
        <v>1.314579</v>
      </c>
      <c r="L2121" s="61" t="n">
        <f aca="false">H2121*Resumo!$C$8</f>
        <v>1.314579</v>
      </c>
      <c r="M2121" s="61" t="n">
        <f aca="false">Resumo!$C$10*CEILING(G2121/100,1)</f>
        <v>1.05</v>
      </c>
      <c r="N2121" s="61" t="n">
        <f aca="false">Resumo!$C$9</f>
        <v>0</v>
      </c>
      <c r="O2121" s="61" t="n">
        <f aca="false">Resumo!$C$13</f>
        <v>13.55</v>
      </c>
      <c r="P2121" s="61" t="n">
        <f aca="false">Resumo!$C$14*CEILING(G2121,1)</f>
        <v>23.85</v>
      </c>
      <c r="Q2121" s="61" t="n">
        <f aca="false">SUM(I2121:P2121)*Resumo!$C$11</f>
        <v>0</v>
      </c>
      <c r="R2121" s="61" t="n">
        <f aca="false">SUM(I2121:Q2121)</f>
        <v>124.659158</v>
      </c>
      <c r="S2121" s="61" t="n">
        <f aca="false">R2121/(1-Resumo!$C$5)</f>
        <v>141.658134090909</v>
      </c>
      <c r="T2121" s="61" t="n">
        <v>127.03</v>
      </c>
      <c r="U2121" s="61" t="n">
        <f aca="false">H2121*Resumo!$B$6</f>
        <v>0.62599</v>
      </c>
      <c r="V2121" s="61" t="n">
        <f aca="false">H2121*Resumo!$B$7</f>
        <v>1.25198</v>
      </c>
      <c r="W2121" s="61" t="n">
        <f aca="false">Resumo!$B$9</f>
        <v>1</v>
      </c>
      <c r="X2121" s="61" t="n">
        <f aca="false">Resumo!$B$10*CEILING(G2121/100,1)</f>
        <v>4.5</v>
      </c>
      <c r="Y2121" s="61" t="n">
        <f aca="false">Resumo!$B$12*CEILING(G2121,1)</f>
        <v>3.18</v>
      </c>
      <c r="Z2121" s="61" t="n">
        <f aca="false">Resumo!$B$14*CEILING(G2121,1)</f>
        <v>23.85</v>
      </c>
      <c r="AA2121" s="61" t="n">
        <f aca="false">SUM(T2121:Z2121)</f>
        <v>161.43797</v>
      </c>
      <c r="AB2121" s="61" t="n">
        <f aca="false">AA2121/(1-Resumo!$B$5)</f>
        <v>183.452238636364</v>
      </c>
      <c r="AC2121" s="61" t="n">
        <f aca="false">AB2121-S2121</f>
        <v>41.7941045454546</v>
      </c>
      <c r="AD2121" s="62" t="n">
        <f aca="false">AB2121/S2121-1</f>
        <v>0.295034978497128</v>
      </c>
      <c r="AE2121" s="60" t="str">
        <f aca="false">IF(AB2121&lt;S2121,"SIM","NÃO")</f>
        <v>NÃO</v>
      </c>
      <c r="AF2121" s="60" t="n">
        <v>13</v>
      </c>
      <c r="AG2121" s="60" t="n">
        <v>6</v>
      </c>
      <c r="AH2121" s="60" t="s">
        <v>385</v>
      </c>
      <c r="AI2121" s="61" t="n">
        <f aca="false">(T2121*(1-Painel!$C$40)+U2121+V2121+Painel!$C$41+Painel!$C$42*CEILING(G2121/100,1)+Painel!$C$43*CEILING(G2121,1)+Z2121)/(1-Resumo!$B$5)</f>
        <v>128.281897727273</v>
      </c>
      <c r="AJ2121" s="60" t="str">
        <f aca="false">IF(AI2121&lt;S2121,"SIM","NÃO")</f>
        <v>SIM</v>
      </c>
    </row>
    <row r="2122" customFormat="false" ht="15" hidden="false" customHeight="false" outlineLevel="0" collapsed="false">
      <c r="A2122" s="59" t="n">
        <v>46290.915474537</v>
      </c>
      <c r="B2122" s="60" t="s">
        <v>2254</v>
      </c>
      <c r="C2122" s="60" t="n">
        <v>20730390</v>
      </c>
      <c r="D2122" s="60" t="s">
        <v>46</v>
      </c>
      <c r="E2122" s="60" t="s">
        <v>22</v>
      </c>
      <c r="F2122" s="60" t="s">
        <v>233</v>
      </c>
      <c r="G2122" s="60" t="n">
        <v>31</v>
      </c>
      <c r="H2122" s="61" t="n">
        <v>323.94</v>
      </c>
      <c r="I2122" s="61" t="n">
        <v>42.11</v>
      </c>
      <c r="J2122" s="61" t="n">
        <f aca="false">H2122*Resumo!$C$6</f>
        <v>0</v>
      </c>
      <c r="K2122" s="61" t="n">
        <f aca="false">H2122*Resumo!$C$7</f>
        <v>0.680274</v>
      </c>
      <c r="L2122" s="61" t="n">
        <f aca="false">H2122*Resumo!$C$8</f>
        <v>0.680274</v>
      </c>
      <c r="M2122" s="61" t="n">
        <f aca="false">Resumo!$C$10*CEILING(G2122/100,1)</f>
        <v>1.05</v>
      </c>
      <c r="N2122" s="61" t="n">
        <f aca="false">Resumo!$C$9</f>
        <v>0</v>
      </c>
      <c r="O2122" s="61" t="n">
        <f aca="false">Resumo!$C$13</f>
        <v>13.55</v>
      </c>
      <c r="P2122" s="61" t="n">
        <f aca="false">Resumo!$C$14*CEILING(G2122,1)</f>
        <v>13.95</v>
      </c>
      <c r="Q2122" s="61" t="n">
        <f aca="false">SUM(I2122:P2122)*Resumo!$C$11</f>
        <v>0</v>
      </c>
      <c r="R2122" s="61" t="n">
        <f aca="false">SUM(I2122:Q2122)</f>
        <v>72.020548</v>
      </c>
      <c r="S2122" s="61" t="n">
        <f aca="false">R2122/(1-Resumo!$C$5)</f>
        <v>81.8415318181818</v>
      </c>
      <c r="T2122" s="61" t="n">
        <v>82.21</v>
      </c>
      <c r="U2122" s="61" t="n">
        <f aca="false">H2122*Resumo!$B$6</f>
        <v>0.32394</v>
      </c>
      <c r="V2122" s="61" t="n">
        <f aca="false">H2122*Resumo!$B$7</f>
        <v>0.64788</v>
      </c>
      <c r="W2122" s="61" t="n">
        <f aca="false">Resumo!$B$9</f>
        <v>1</v>
      </c>
      <c r="X2122" s="61" t="n">
        <f aca="false">Resumo!$B$10*CEILING(G2122/100,1)</f>
        <v>4.5</v>
      </c>
      <c r="Y2122" s="61" t="n">
        <f aca="false">Resumo!$B$12*CEILING(G2122,1)</f>
        <v>1.86</v>
      </c>
      <c r="Z2122" s="61" t="n">
        <f aca="false">Resumo!$B$14*CEILING(G2122,1)</f>
        <v>13.95</v>
      </c>
      <c r="AA2122" s="61" t="n">
        <f aca="false">SUM(T2122:Z2122)</f>
        <v>104.49182</v>
      </c>
      <c r="AB2122" s="61" t="n">
        <f aca="false">AA2122/(1-Resumo!$B$5)</f>
        <v>118.740704545455</v>
      </c>
      <c r="AC2122" s="61" t="n">
        <f aca="false">AB2122-S2122</f>
        <v>36.8991727272727</v>
      </c>
      <c r="AD2122" s="62" t="n">
        <f aca="false">AB2122/S2122-1</f>
        <v>0.45086121810681</v>
      </c>
      <c r="AE2122" s="60" t="str">
        <f aca="false">IF(AB2122&lt;S2122,"SIM","NÃO")</f>
        <v>NÃO</v>
      </c>
      <c r="AF2122" s="60" t="n">
        <v>2</v>
      </c>
      <c r="AG2122" s="60" t="n">
        <v>5</v>
      </c>
      <c r="AH2122" s="60" t="s">
        <v>382</v>
      </c>
      <c r="AI2122" s="61" t="n">
        <f aca="false">(T2122*(1-Painel!$C$40)+U2122+V2122+Painel!$C$41+Painel!$C$42*CEILING(G2122/100,1)+Painel!$C$43*CEILING(G2122,1)+Z2122)/(1-Resumo!$B$5)</f>
        <v>81.8778636363636</v>
      </c>
      <c r="AJ2122" s="60" t="str">
        <f aca="false">IF(AI2122&lt;S2122,"SIM","NÃO")</f>
        <v>NÃO</v>
      </c>
    </row>
    <row r="2123" customFormat="false" ht="15" hidden="false" customHeight="false" outlineLevel="0" collapsed="false">
      <c r="A2123" s="59" t="n">
        <v>46290.9593981481</v>
      </c>
      <c r="B2123" s="60" t="s">
        <v>2255</v>
      </c>
      <c r="C2123" s="60" t="n">
        <v>22221010</v>
      </c>
      <c r="D2123" s="60" t="s">
        <v>46</v>
      </c>
      <c r="E2123" s="60" t="s">
        <v>22</v>
      </c>
      <c r="F2123" s="60" t="s">
        <v>241</v>
      </c>
      <c r="G2123" s="60" t="n">
        <v>134.4</v>
      </c>
      <c r="H2123" s="61" t="n">
        <v>1505.79</v>
      </c>
      <c r="I2123" s="61" t="n">
        <v>120.59</v>
      </c>
      <c r="J2123" s="61" t="n">
        <f aca="false">H2123*Resumo!$C$6</f>
        <v>0</v>
      </c>
      <c r="K2123" s="61" t="n">
        <f aca="false">H2123*Resumo!$C$7</f>
        <v>3.162159</v>
      </c>
      <c r="L2123" s="61" t="n">
        <f aca="false">H2123*Resumo!$C$8</f>
        <v>3.162159</v>
      </c>
      <c r="M2123" s="61" t="n">
        <f aca="false">Resumo!$C$10*CEILING(G2123/100,1)</f>
        <v>2.1</v>
      </c>
      <c r="N2123" s="61" t="n">
        <f aca="false">Resumo!$C$9</f>
        <v>0</v>
      </c>
      <c r="O2123" s="61" t="n">
        <f aca="false">Resumo!$C$13</f>
        <v>13.55</v>
      </c>
      <c r="P2123" s="61" t="n">
        <f aca="false">Resumo!$C$14*CEILING(G2123,1)</f>
        <v>60.75</v>
      </c>
      <c r="Q2123" s="61" t="n">
        <f aca="false">SUM(I2123:P2123)*Resumo!$C$11</f>
        <v>0</v>
      </c>
      <c r="R2123" s="61" t="n">
        <f aca="false">SUM(I2123:Q2123)</f>
        <v>203.314318</v>
      </c>
      <c r="S2123" s="61" t="n">
        <f aca="false">R2123/(1-Resumo!$C$5)</f>
        <v>231.038997727273</v>
      </c>
      <c r="T2123" s="61" t="n">
        <v>239.25</v>
      </c>
      <c r="U2123" s="61" t="n">
        <f aca="false">H2123*Resumo!$B$6</f>
        <v>1.50579</v>
      </c>
      <c r="V2123" s="61" t="n">
        <f aca="false">H2123*Resumo!$B$7</f>
        <v>3.01158</v>
      </c>
      <c r="W2123" s="61" t="n">
        <f aca="false">Resumo!$B$9</f>
        <v>1</v>
      </c>
      <c r="X2123" s="61" t="n">
        <f aca="false">Resumo!$B$10*CEILING(G2123/100,1)</f>
        <v>9</v>
      </c>
      <c r="Y2123" s="61" t="n">
        <f aca="false">Resumo!$B$12*CEILING(G2123,1)</f>
        <v>8.1</v>
      </c>
      <c r="Z2123" s="61" t="n">
        <f aca="false">Resumo!$B$14*CEILING(G2123,1)</f>
        <v>60.75</v>
      </c>
      <c r="AA2123" s="61" t="n">
        <f aca="false">SUM(T2123:Z2123)</f>
        <v>322.61737</v>
      </c>
      <c r="AB2123" s="61" t="n">
        <f aca="false">AA2123/(1-Resumo!$B$5)</f>
        <v>366.610647727273</v>
      </c>
      <c r="AC2123" s="61" t="n">
        <f aca="false">AB2123-S2123</f>
        <v>135.57165</v>
      </c>
      <c r="AD2123" s="62" t="n">
        <f aca="false">AB2123/S2123-1</f>
        <v>0.586791196869863</v>
      </c>
      <c r="AE2123" s="60" t="str">
        <f aca="false">IF(AB2123&lt;S2123,"SIM","NÃO")</f>
        <v>NÃO</v>
      </c>
      <c r="AF2123" s="60" t="n">
        <v>2</v>
      </c>
      <c r="AG2123" s="60" t="n">
        <v>5</v>
      </c>
      <c r="AH2123" s="60" t="s">
        <v>382</v>
      </c>
      <c r="AI2123" s="61" t="n">
        <f aca="false">(T2123*(1-Painel!$C$40)+U2123+V2123+Painel!$C$41+Painel!$C$42*CEILING(G2123/100,1)+Painel!$C$43*CEILING(G2123,1)+Z2123)/(1-Resumo!$B$5)</f>
        <v>259.846443181818</v>
      </c>
      <c r="AJ2123" s="60" t="str">
        <f aca="false">IF(AI2123&lt;S2123,"SIM","NÃO")</f>
        <v>NÃO</v>
      </c>
    </row>
    <row r="2124" customFormat="false" ht="15" hidden="false" customHeight="false" outlineLevel="0" collapsed="false">
      <c r="A2124" s="59" t="n">
        <v>46291.0036689815</v>
      </c>
      <c r="B2124" s="60" t="s">
        <v>2256</v>
      </c>
      <c r="C2124" s="60" t="n">
        <v>26327210</v>
      </c>
      <c r="D2124" s="60" t="s">
        <v>282</v>
      </c>
      <c r="E2124" s="60" t="s">
        <v>23</v>
      </c>
      <c r="F2124" s="60" t="s">
        <v>235</v>
      </c>
      <c r="G2124" s="60" t="n">
        <v>48</v>
      </c>
      <c r="H2124" s="61" t="n">
        <v>999.99</v>
      </c>
      <c r="I2124" s="61" t="n">
        <v>65.36</v>
      </c>
      <c r="J2124" s="61" t="n">
        <f aca="false">H2124*Resumo!$C$6</f>
        <v>0</v>
      </c>
      <c r="K2124" s="61" t="n">
        <f aca="false">H2124*Resumo!$C$7</f>
        <v>2.099979</v>
      </c>
      <c r="L2124" s="61" t="n">
        <f aca="false">H2124*Resumo!$C$8</f>
        <v>2.099979</v>
      </c>
      <c r="M2124" s="61" t="n">
        <f aca="false">Resumo!$C$10*CEILING(G2124/100,1)</f>
        <v>1.05</v>
      </c>
      <c r="N2124" s="61" t="n">
        <f aca="false">Resumo!$C$9</f>
        <v>0</v>
      </c>
      <c r="O2124" s="61" t="n">
        <f aca="false">Resumo!$C$13</f>
        <v>13.55</v>
      </c>
      <c r="P2124" s="61" t="n">
        <f aca="false">Resumo!$C$14*CEILING(G2124,1)</f>
        <v>21.6</v>
      </c>
      <c r="Q2124" s="61" t="n">
        <f aca="false">SUM(I2124:P2124)*Resumo!$C$11</f>
        <v>0</v>
      </c>
      <c r="R2124" s="61" t="n">
        <f aca="false">SUM(I2124:Q2124)</f>
        <v>105.759958</v>
      </c>
      <c r="S2124" s="61" t="n">
        <f aca="false">R2124/(1-Resumo!$C$5)</f>
        <v>120.181770454545</v>
      </c>
      <c r="T2124" s="61" t="n">
        <v>93.97</v>
      </c>
      <c r="U2124" s="61" t="n">
        <f aca="false">H2124*Resumo!$B$6</f>
        <v>0.99999</v>
      </c>
      <c r="V2124" s="61" t="n">
        <f aca="false">H2124*Resumo!$B$7</f>
        <v>1.99998</v>
      </c>
      <c r="W2124" s="61" t="n">
        <f aca="false">Resumo!$B$9</f>
        <v>1</v>
      </c>
      <c r="X2124" s="61" t="n">
        <f aca="false">Resumo!$B$10*CEILING(G2124/100,1)</f>
        <v>4.5</v>
      </c>
      <c r="Y2124" s="61" t="n">
        <f aca="false">Resumo!$B$12*CEILING(G2124,1)</f>
        <v>2.88</v>
      </c>
      <c r="Z2124" s="61" t="n">
        <f aca="false">Resumo!$B$14*CEILING(G2124,1)</f>
        <v>21.6</v>
      </c>
      <c r="AA2124" s="61" t="n">
        <f aca="false">SUM(T2124:Z2124)</f>
        <v>126.94997</v>
      </c>
      <c r="AB2124" s="61" t="n">
        <f aca="false">AA2124/(1-Resumo!$B$5)</f>
        <v>144.261329545455</v>
      </c>
      <c r="AC2124" s="61" t="n">
        <f aca="false">AB2124-S2124</f>
        <v>24.0795590909091</v>
      </c>
      <c r="AD2124" s="62" t="n">
        <f aca="false">AB2124/S2124-1</f>
        <v>0.200359497117047</v>
      </c>
      <c r="AE2124" s="60" t="str">
        <f aca="false">IF(AB2124&lt;S2124,"SIM","NÃO")</f>
        <v>NÃO</v>
      </c>
      <c r="AF2124" s="60" t="n">
        <v>2</v>
      </c>
      <c r="AG2124" s="60" t="n">
        <v>5</v>
      </c>
      <c r="AH2124" s="60" t="s">
        <v>385</v>
      </c>
      <c r="AI2124" s="61" t="n">
        <f aca="false">(T2124*(1-Painel!$C$40)+U2124+V2124+Painel!$C$41+Painel!$C$42*CEILING(G2124/100,1)+Painel!$C$43*CEILING(G2124,1)+Z2124)/(1-Resumo!$B$5)</f>
        <v>101.829397727273</v>
      </c>
      <c r="AJ2124" s="60" t="str">
        <f aca="false">IF(AI2124&lt;S2124,"SIM","NÃO")</f>
        <v>SIM</v>
      </c>
    </row>
    <row r="2125" customFormat="false" ht="15" hidden="false" customHeight="false" outlineLevel="0" collapsed="false">
      <c r="A2125" s="59" t="n">
        <v>46291.0162962963</v>
      </c>
      <c r="B2125" s="60" t="s">
        <v>2257</v>
      </c>
      <c r="C2125" s="60" t="n">
        <v>23570510</v>
      </c>
      <c r="D2125" s="60" t="s">
        <v>46</v>
      </c>
      <c r="E2125" s="60" t="s">
        <v>22</v>
      </c>
      <c r="F2125" s="60" t="s">
        <v>233</v>
      </c>
      <c r="G2125" s="60" t="n">
        <v>35</v>
      </c>
      <c r="H2125" s="61" t="n">
        <v>459.99</v>
      </c>
      <c r="I2125" s="61" t="n">
        <v>42.11</v>
      </c>
      <c r="J2125" s="61" t="n">
        <f aca="false">H2125*Resumo!$C$6</f>
        <v>0</v>
      </c>
      <c r="K2125" s="61" t="n">
        <f aca="false">H2125*Resumo!$C$7</f>
        <v>0.965979</v>
      </c>
      <c r="L2125" s="61" t="n">
        <f aca="false">H2125*Resumo!$C$8</f>
        <v>0.965979</v>
      </c>
      <c r="M2125" s="61" t="n">
        <f aca="false">Resumo!$C$10*CEILING(G2125/100,1)</f>
        <v>1.05</v>
      </c>
      <c r="N2125" s="61" t="n">
        <f aca="false">Resumo!$C$9</f>
        <v>0</v>
      </c>
      <c r="O2125" s="61" t="n">
        <f aca="false">Resumo!$C$13</f>
        <v>13.55</v>
      </c>
      <c r="P2125" s="61" t="n">
        <f aca="false">Resumo!$C$14*CEILING(G2125,1)</f>
        <v>15.75</v>
      </c>
      <c r="Q2125" s="61" t="n">
        <f aca="false">SUM(I2125:P2125)*Resumo!$C$11</f>
        <v>0</v>
      </c>
      <c r="R2125" s="61" t="n">
        <f aca="false">SUM(I2125:Q2125)</f>
        <v>74.391958</v>
      </c>
      <c r="S2125" s="61" t="n">
        <f aca="false">R2125/(1-Resumo!$C$5)</f>
        <v>84.5363159090909</v>
      </c>
      <c r="T2125" s="61" t="n">
        <v>82.21</v>
      </c>
      <c r="U2125" s="61" t="n">
        <f aca="false">H2125*Resumo!$B$6</f>
        <v>0.45999</v>
      </c>
      <c r="V2125" s="61" t="n">
        <f aca="false">H2125*Resumo!$B$7</f>
        <v>0.91998</v>
      </c>
      <c r="W2125" s="61" t="n">
        <f aca="false">Resumo!$B$9</f>
        <v>1</v>
      </c>
      <c r="X2125" s="61" t="n">
        <f aca="false">Resumo!$B$10*CEILING(G2125/100,1)</f>
        <v>4.5</v>
      </c>
      <c r="Y2125" s="61" t="n">
        <f aca="false">Resumo!$B$12*CEILING(G2125,1)</f>
        <v>2.1</v>
      </c>
      <c r="Z2125" s="61" t="n">
        <f aca="false">Resumo!$B$14*CEILING(G2125,1)</f>
        <v>15.75</v>
      </c>
      <c r="AA2125" s="61" t="n">
        <f aca="false">SUM(T2125:Z2125)</f>
        <v>106.93997</v>
      </c>
      <c r="AB2125" s="61" t="n">
        <f aca="false">AA2125/(1-Resumo!$B$5)</f>
        <v>121.522693181818</v>
      </c>
      <c r="AC2125" s="61" t="n">
        <f aca="false">AB2125-S2125</f>
        <v>36.9863772727273</v>
      </c>
      <c r="AD2125" s="62" t="n">
        <f aca="false">AB2125/S2125-1</f>
        <v>0.437520571780084</v>
      </c>
      <c r="AE2125" s="60" t="str">
        <f aca="false">IF(AB2125&lt;S2125,"SIM","NÃO")</f>
        <v>NÃO</v>
      </c>
      <c r="AF2125" s="60" t="n">
        <v>2</v>
      </c>
      <c r="AG2125" s="60" t="n">
        <v>5</v>
      </c>
      <c r="AH2125" s="60" t="s">
        <v>382</v>
      </c>
      <c r="AI2125" s="61" t="n">
        <f aca="false">(T2125*(1-Painel!$C$40)+U2125+V2125+Painel!$C$41+Painel!$C$42*CEILING(G2125/100,1)+Painel!$C$43*CEILING(G2125,1)+Z2125)/(1-Resumo!$B$5)</f>
        <v>84.387125</v>
      </c>
      <c r="AJ2125" s="60" t="str">
        <f aca="false">IF(AI2125&lt;S2125,"SIM","NÃO")</f>
        <v>SIM</v>
      </c>
    </row>
    <row r="2126" customFormat="false" ht="15" hidden="false" customHeight="false" outlineLevel="0" collapsed="false">
      <c r="A2126" s="59" t="n">
        <v>46291.4297569445</v>
      </c>
      <c r="B2126" s="60" t="s">
        <v>2258</v>
      </c>
      <c r="C2126" s="60" t="n">
        <v>21044650</v>
      </c>
      <c r="D2126" s="60" t="s">
        <v>46</v>
      </c>
      <c r="E2126" s="60" t="s">
        <v>22</v>
      </c>
      <c r="F2126" s="60" t="s">
        <v>233</v>
      </c>
      <c r="G2126" s="60" t="n">
        <v>27</v>
      </c>
      <c r="H2126" s="61" t="n">
        <v>270.99</v>
      </c>
      <c r="I2126" s="61" t="n">
        <v>42.11</v>
      </c>
      <c r="J2126" s="61" t="n">
        <f aca="false">H2126*Resumo!$C$6</f>
        <v>0</v>
      </c>
      <c r="K2126" s="61" t="n">
        <f aca="false">H2126*Resumo!$C$7</f>
        <v>0.569079</v>
      </c>
      <c r="L2126" s="61" t="n">
        <f aca="false">H2126*Resumo!$C$8</f>
        <v>0.569079</v>
      </c>
      <c r="M2126" s="61" t="n">
        <f aca="false">Resumo!$C$10*CEILING(G2126/100,1)</f>
        <v>1.05</v>
      </c>
      <c r="N2126" s="61" t="n">
        <f aca="false">Resumo!$C$9</f>
        <v>0</v>
      </c>
      <c r="O2126" s="61" t="n">
        <f aca="false">Resumo!$C$13</f>
        <v>13.55</v>
      </c>
      <c r="P2126" s="61" t="n">
        <f aca="false">Resumo!$C$14*CEILING(G2126,1)</f>
        <v>12.15</v>
      </c>
      <c r="Q2126" s="61" t="n">
        <f aca="false">SUM(I2126:P2126)*Resumo!$C$11</f>
        <v>0</v>
      </c>
      <c r="R2126" s="61" t="n">
        <f aca="false">SUM(I2126:Q2126)</f>
        <v>69.998158</v>
      </c>
      <c r="S2126" s="61" t="n">
        <f aca="false">R2126/(1-Resumo!$C$5)</f>
        <v>79.5433613636364</v>
      </c>
      <c r="T2126" s="61" t="n">
        <v>82.21</v>
      </c>
      <c r="U2126" s="61" t="n">
        <f aca="false">H2126*Resumo!$B$6</f>
        <v>0.27099</v>
      </c>
      <c r="V2126" s="61" t="n">
        <f aca="false">H2126*Resumo!$B$7</f>
        <v>0.54198</v>
      </c>
      <c r="W2126" s="61" t="n">
        <f aca="false">Resumo!$B$9</f>
        <v>1</v>
      </c>
      <c r="X2126" s="61" t="n">
        <f aca="false">Resumo!$B$10*CEILING(G2126/100,1)</f>
        <v>4.5</v>
      </c>
      <c r="Y2126" s="61" t="n">
        <f aca="false">Resumo!$B$12*CEILING(G2126,1)</f>
        <v>1.62</v>
      </c>
      <c r="Z2126" s="61" t="n">
        <f aca="false">Resumo!$B$14*CEILING(G2126,1)</f>
        <v>12.15</v>
      </c>
      <c r="AA2126" s="61" t="n">
        <f aca="false">SUM(T2126:Z2126)</f>
        <v>102.29297</v>
      </c>
      <c r="AB2126" s="61" t="n">
        <f aca="false">AA2126/(1-Resumo!$B$5)</f>
        <v>116.242011363636</v>
      </c>
      <c r="AC2126" s="61" t="n">
        <f aca="false">AB2126-S2126</f>
        <v>36.69865</v>
      </c>
      <c r="AD2126" s="62" t="n">
        <f aca="false">AB2126/S2126-1</f>
        <v>0.461366597675327</v>
      </c>
      <c r="AE2126" s="60" t="str">
        <f aca="false">IF(AB2126&lt;S2126,"SIM","NÃO")</f>
        <v>NÃO</v>
      </c>
      <c r="AF2126" s="60" t="n">
        <v>2</v>
      </c>
      <c r="AG2126" s="60" t="n">
        <v>5</v>
      </c>
      <c r="AH2126" s="60" t="s">
        <v>382</v>
      </c>
      <c r="AI2126" s="61" t="n">
        <f aca="false">(T2126*(1-Painel!$C$40)+U2126+V2126+Painel!$C$41+Painel!$C$42*CEILING(G2126/100,1)+Painel!$C$43*CEILING(G2126,1)+Z2126)/(1-Resumo!$B$5)</f>
        <v>79.6518977272727</v>
      </c>
      <c r="AJ2126" s="60" t="str">
        <f aca="false">IF(AI2126&lt;S2126,"SIM","NÃO")</f>
        <v>NÃO</v>
      </c>
    </row>
    <row r="2127" customFormat="false" ht="15" hidden="false" customHeight="false" outlineLevel="0" collapsed="false">
      <c r="A2127" s="59" t="n">
        <v>46291.4722800926</v>
      </c>
      <c r="B2127" s="60" t="s">
        <v>2259</v>
      </c>
      <c r="C2127" s="60" t="n">
        <v>21930410</v>
      </c>
      <c r="D2127" s="60" t="s">
        <v>46</v>
      </c>
      <c r="E2127" s="60" t="s">
        <v>22</v>
      </c>
      <c r="F2127" s="60" t="s">
        <v>233</v>
      </c>
      <c r="G2127" s="60" t="n">
        <v>30.5</v>
      </c>
      <c r="H2127" s="61" t="n">
        <v>406.6</v>
      </c>
      <c r="I2127" s="61" t="n">
        <v>42.11</v>
      </c>
      <c r="J2127" s="61" t="n">
        <f aca="false">H2127*Resumo!$C$6</f>
        <v>0</v>
      </c>
      <c r="K2127" s="61" t="n">
        <f aca="false">H2127*Resumo!$C$7</f>
        <v>0.85386</v>
      </c>
      <c r="L2127" s="61" t="n">
        <f aca="false">H2127*Resumo!$C$8</f>
        <v>0.85386</v>
      </c>
      <c r="M2127" s="61" t="n">
        <f aca="false">Resumo!$C$10*CEILING(G2127/100,1)</f>
        <v>1.05</v>
      </c>
      <c r="N2127" s="61" t="n">
        <f aca="false">Resumo!$C$9</f>
        <v>0</v>
      </c>
      <c r="O2127" s="61" t="n">
        <f aca="false">Resumo!$C$13</f>
        <v>13.55</v>
      </c>
      <c r="P2127" s="61" t="n">
        <f aca="false">Resumo!$C$14*CEILING(G2127,1)</f>
        <v>13.95</v>
      </c>
      <c r="Q2127" s="61" t="n">
        <f aca="false">SUM(I2127:P2127)*Resumo!$C$11</f>
        <v>0</v>
      </c>
      <c r="R2127" s="61" t="n">
        <f aca="false">SUM(I2127:Q2127)</f>
        <v>72.36772</v>
      </c>
      <c r="S2127" s="61" t="n">
        <f aca="false">R2127/(1-Resumo!$C$5)</f>
        <v>82.2360454545455</v>
      </c>
      <c r="T2127" s="61" t="n">
        <v>82.21</v>
      </c>
      <c r="U2127" s="61" t="n">
        <f aca="false">H2127*Resumo!$B$6</f>
        <v>0.4066</v>
      </c>
      <c r="V2127" s="61" t="n">
        <f aca="false">H2127*Resumo!$B$7</f>
        <v>0.8132</v>
      </c>
      <c r="W2127" s="61" t="n">
        <f aca="false">Resumo!$B$9</f>
        <v>1</v>
      </c>
      <c r="X2127" s="61" t="n">
        <f aca="false">Resumo!$B$10*CEILING(G2127/100,1)</f>
        <v>4.5</v>
      </c>
      <c r="Y2127" s="61" t="n">
        <f aca="false">Resumo!$B$12*CEILING(G2127,1)</f>
        <v>1.86</v>
      </c>
      <c r="Z2127" s="61" t="n">
        <f aca="false">Resumo!$B$14*CEILING(G2127,1)</f>
        <v>13.95</v>
      </c>
      <c r="AA2127" s="61" t="n">
        <f aca="false">SUM(T2127:Z2127)</f>
        <v>104.7398</v>
      </c>
      <c r="AB2127" s="61" t="n">
        <f aca="false">AA2127/(1-Resumo!$B$5)</f>
        <v>119.0225</v>
      </c>
      <c r="AC2127" s="61" t="n">
        <f aca="false">AB2127-S2127</f>
        <v>36.7864545454545</v>
      </c>
      <c r="AD2127" s="62" t="n">
        <f aca="false">AB2127/S2127-1</f>
        <v>0.447327620657387</v>
      </c>
      <c r="AE2127" s="60" t="str">
        <f aca="false">IF(AB2127&lt;S2127,"SIM","NÃO")</f>
        <v>NÃO</v>
      </c>
      <c r="AF2127" s="60" t="n">
        <v>2</v>
      </c>
      <c r="AG2127" s="60" t="n">
        <v>5</v>
      </c>
      <c r="AH2127" s="60" t="s">
        <v>382</v>
      </c>
      <c r="AI2127" s="61" t="n">
        <f aca="false">(T2127*(1-Painel!$C$40)+U2127+V2127+Painel!$C$41+Painel!$C$42*CEILING(G2127/100,1)+Painel!$C$43*CEILING(G2127,1)+Z2127)/(1-Resumo!$B$5)</f>
        <v>82.1596590909091</v>
      </c>
      <c r="AJ2127" s="60" t="str">
        <f aca="false">IF(AI2127&lt;S2127,"SIM","NÃO")</f>
        <v>SIM</v>
      </c>
    </row>
    <row r="2128" customFormat="false" ht="15" hidden="false" customHeight="false" outlineLevel="0" collapsed="false">
      <c r="A2128" s="59" t="n">
        <v>46291.4967361111</v>
      </c>
      <c r="B2128" s="60" t="s">
        <v>2260</v>
      </c>
      <c r="C2128" s="60" t="n">
        <v>24723190</v>
      </c>
      <c r="D2128" s="60" t="s">
        <v>47</v>
      </c>
      <c r="E2128" s="60" t="s">
        <v>23</v>
      </c>
      <c r="F2128" s="60" t="s">
        <v>235</v>
      </c>
      <c r="G2128" s="60" t="n">
        <v>48</v>
      </c>
      <c r="H2128" s="61" t="n">
        <v>859.99</v>
      </c>
      <c r="I2128" s="61" t="n">
        <v>65.36</v>
      </c>
      <c r="J2128" s="61" t="n">
        <f aca="false">H2128*Resumo!$C$6</f>
        <v>0</v>
      </c>
      <c r="K2128" s="61" t="n">
        <f aca="false">H2128*Resumo!$C$7</f>
        <v>1.805979</v>
      </c>
      <c r="L2128" s="61" t="n">
        <f aca="false">H2128*Resumo!$C$8</f>
        <v>1.805979</v>
      </c>
      <c r="M2128" s="61" t="n">
        <f aca="false">Resumo!$C$10*CEILING(G2128/100,1)</f>
        <v>1.05</v>
      </c>
      <c r="N2128" s="61" t="n">
        <f aca="false">Resumo!$C$9</f>
        <v>0</v>
      </c>
      <c r="O2128" s="61" t="n">
        <f aca="false">Resumo!$C$13</f>
        <v>13.55</v>
      </c>
      <c r="P2128" s="61" t="n">
        <f aca="false">Resumo!$C$14*CEILING(G2128,1)</f>
        <v>21.6</v>
      </c>
      <c r="Q2128" s="61" t="n">
        <f aca="false">SUM(I2128:P2128)*Resumo!$C$11</f>
        <v>0</v>
      </c>
      <c r="R2128" s="61" t="n">
        <f aca="false">SUM(I2128:Q2128)</f>
        <v>105.171958</v>
      </c>
      <c r="S2128" s="61" t="n">
        <f aca="false">R2128/(1-Resumo!$C$5)</f>
        <v>119.513588636364</v>
      </c>
      <c r="T2128" s="61" t="n">
        <v>114.95</v>
      </c>
      <c r="U2128" s="61" t="n">
        <f aca="false">H2128*Resumo!$B$6</f>
        <v>0.85999</v>
      </c>
      <c r="V2128" s="61" t="n">
        <f aca="false">H2128*Resumo!$B$7</f>
        <v>1.71998</v>
      </c>
      <c r="W2128" s="61" t="n">
        <f aca="false">Resumo!$B$9</f>
        <v>1</v>
      </c>
      <c r="X2128" s="61" t="n">
        <f aca="false">Resumo!$B$10*CEILING(G2128/100,1)</f>
        <v>4.5</v>
      </c>
      <c r="Y2128" s="61" t="n">
        <f aca="false">Resumo!$B$12*CEILING(G2128,1)</f>
        <v>2.88</v>
      </c>
      <c r="Z2128" s="61" t="n">
        <f aca="false">Resumo!$B$14*CEILING(G2128,1)</f>
        <v>21.6</v>
      </c>
      <c r="AA2128" s="61" t="n">
        <f aca="false">SUM(T2128:Z2128)</f>
        <v>147.50997</v>
      </c>
      <c r="AB2128" s="61" t="n">
        <f aca="false">AA2128/(1-Resumo!$B$5)</f>
        <v>167.624965909091</v>
      </c>
      <c r="AC2128" s="61" t="n">
        <f aca="false">AB2128-S2128</f>
        <v>48.1113772727273</v>
      </c>
      <c r="AD2128" s="62" t="n">
        <f aca="false">AB2128/S2128-1</f>
        <v>0.402559891487425</v>
      </c>
      <c r="AE2128" s="60" t="str">
        <f aca="false">IF(AB2128&lt;S2128,"SIM","NÃO")</f>
        <v>NÃO</v>
      </c>
      <c r="AF2128" s="60" t="n">
        <v>2</v>
      </c>
      <c r="AG2128" s="60" t="n">
        <v>7</v>
      </c>
      <c r="AH2128" s="60" t="s">
        <v>382</v>
      </c>
      <c r="AI2128" s="61" t="n">
        <f aca="false">(T2128*(1-Painel!$C$40)+U2128+V2128+Painel!$C$41+Painel!$C$42*CEILING(G2128/100,1)+Painel!$C$43*CEILING(G2128,1)+Z2128)/(1-Resumo!$B$5)</f>
        <v>117.325534090909</v>
      </c>
      <c r="AJ2128" s="60" t="str">
        <f aca="false">IF(AI2128&lt;S2128,"SIM","NÃO")</f>
        <v>SIM</v>
      </c>
    </row>
    <row r="2129" customFormat="false" ht="15" hidden="false" customHeight="false" outlineLevel="0" collapsed="false">
      <c r="A2129" s="59" t="n">
        <v>46291.5003472222</v>
      </c>
      <c r="B2129" s="60" t="s">
        <v>1825</v>
      </c>
      <c r="C2129" s="60" t="n">
        <v>23047530</v>
      </c>
      <c r="D2129" s="60" t="s">
        <v>46</v>
      </c>
      <c r="E2129" s="60" t="s">
        <v>22</v>
      </c>
      <c r="F2129" s="60" t="s">
        <v>233</v>
      </c>
      <c r="G2129" s="60" t="n">
        <v>27.6</v>
      </c>
      <c r="H2129" s="61" t="n">
        <v>535.49</v>
      </c>
      <c r="I2129" s="61" t="n">
        <v>42.11</v>
      </c>
      <c r="J2129" s="61" t="n">
        <f aca="false">H2129*Resumo!$C$6</f>
        <v>0</v>
      </c>
      <c r="K2129" s="61" t="n">
        <f aca="false">H2129*Resumo!$C$7</f>
        <v>1.124529</v>
      </c>
      <c r="L2129" s="61" t="n">
        <f aca="false">H2129*Resumo!$C$8</f>
        <v>1.124529</v>
      </c>
      <c r="M2129" s="61" t="n">
        <f aca="false">Resumo!$C$10*CEILING(G2129/100,1)</f>
        <v>1.05</v>
      </c>
      <c r="N2129" s="61" t="n">
        <f aca="false">Resumo!$C$9</f>
        <v>0</v>
      </c>
      <c r="O2129" s="61" t="n">
        <f aca="false">Resumo!$C$13</f>
        <v>13.55</v>
      </c>
      <c r="P2129" s="61" t="n">
        <f aca="false">Resumo!$C$14*CEILING(G2129,1)</f>
        <v>12.6</v>
      </c>
      <c r="Q2129" s="61" t="n">
        <f aca="false">SUM(I2129:P2129)*Resumo!$C$11</f>
        <v>0</v>
      </c>
      <c r="R2129" s="61" t="n">
        <f aca="false">SUM(I2129:Q2129)</f>
        <v>71.559058</v>
      </c>
      <c r="S2129" s="61" t="n">
        <f aca="false">R2129/(1-Resumo!$C$5)</f>
        <v>81.3171113636364</v>
      </c>
      <c r="T2129" s="61" t="n">
        <v>82.21</v>
      </c>
      <c r="U2129" s="61" t="n">
        <f aca="false">H2129*Resumo!$B$6</f>
        <v>0.53549</v>
      </c>
      <c r="V2129" s="61" t="n">
        <f aca="false">H2129*Resumo!$B$7</f>
        <v>1.07098</v>
      </c>
      <c r="W2129" s="61" t="n">
        <f aca="false">Resumo!$B$9</f>
        <v>1</v>
      </c>
      <c r="X2129" s="61" t="n">
        <f aca="false">Resumo!$B$10*CEILING(G2129/100,1)</f>
        <v>4.5</v>
      </c>
      <c r="Y2129" s="61" t="n">
        <f aca="false">Resumo!$B$12*CEILING(G2129,1)</f>
        <v>1.68</v>
      </c>
      <c r="Z2129" s="61" t="n">
        <f aca="false">Resumo!$B$14*CEILING(G2129,1)</f>
        <v>12.6</v>
      </c>
      <c r="AA2129" s="61" t="n">
        <f aca="false">SUM(T2129:Z2129)</f>
        <v>103.59647</v>
      </c>
      <c r="AB2129" s="61" t="n">
        <f aca="false">AA2129/(1-Resumo!$B$5)</f>
        <v>117.723261363636</v>
      </c>
      <c r="AC2129" s="61" t="n">
        <f aca="false">AB2129-S2129</f>
        <v>36.40615</v>
      </c>
      <c r="AD2129" s="62" t="n">
        <f aca="false">AB2129/S2129-1</f>
        <v>0.447705893501281</v>
      </c>
      <c r="AE2129" s="60" t="str">
        <f aca="false">IF(AB2129&lt;S2129,"SIM","NÃO")</f>
        <v>NÃO</v>
      </c>
      <c r="AF2129" s="60" t="n">
        <v>2</v>
      </c>
      <c r="AG2129" s="60" t="n">
        <v>5</v>
      </c>
      <c r="AH2129" s="60" t="s">
        <v>382</v>
      </c>
      <c r="AI2129" s="61" t="n">
        <f aca="false">(T2129*(1-Painel!$C$40)+U2129+V2129+Painel!$C$41+Painel!$C$42*CEILING(G2129/100,1)+Painel!$C$43*CEILING(G2129,1)+Z2129)/(1-Resumo!$B$5)</f>
        <v>81.0649659090909</v>
      </c>
      <c r="AJ2129" s="60" t="str">
        <f aca="false">IF(AI2129&lt;S2129,"SIM","NÃO")</f>
        <v>SIM</v>
      </c>
    </row>
    <row r="2130" customFormat="false" ht="15" hidden="false" customHeight="false" outlineLevel="0" collapsed="false">
      <c r="A2130" s="59" t="n">
        <v>46291.5301273148</v>
      </c>
      <c r="B2130" s="60" t="s">
        <v>1081</v>
      </c>
      <c r="C2130" s="60" t="n">
        <v>21854002</v>
      </c>
      <c r="D2130" s="60" t="s">
        <v>46</v>
      </c>
      <c r="E2130" s="60" t="s">
        <v>22</v>
      </c>
      <c r="F2130" s="60" t="s">
        <v>235</v>
      </c>
      <c r="G2130" s="60" t="n">
        <v>48</v>
      </c>
      <c r="H2130" s="61" t="n">
        <v>828.99</v>
      </c>
      <c r="I2130" s="61" t="n">
        <v>53.55</v>
      </c>
      <c r="J2130" s="61" t="n">
        <f aca="false">H2130*Resumo!$C$6</f>
        <v>0</v>
      </c>
      <c r="K2130" s="61" t="n">
        <f aca="false">H2130*Resumo!$C$7</f>
        <v>1.740879</v>
      </c>
      <c r="L2130" s="61" t="n">
        <f aca="false">H2130*Resumo!$C$8</f>
        <v>1.740879</v>
      </c>
      <c r="M2130" s="61" t="n">
        <f aca="false">Resumo!$C$10*CEILING(G2130/100,1)</f>
        <v>1.05</v>
      </c>
      <c r="N2130" s="61" t="n">
        <f aca="false">Resumo!$C$9</f>
        <v>0</v>
      </c>
      <c r="O2130" s="61" t="n">
        <f aca="false">Resumo!$C$13</f>
        <v>13.55</v>
      </c>
      <c r="P2130" s="61" t="n">
        <f aca="false">Resumo!$C$14*CEILING(G2130,1)</f>
        <v>21.6</v>
      </c>
      <c r="Q2130" s="61" t="n">
        <f aca="false">SUM(I2130:P2130)*Resumo!$C$11</f>
        <v>0</v>
      </c>
      <c r="R2130" s="61" t="n">
        <f aca="false">SUM(I2130:Q2130)</f>
        <v>93.231758</v>
      </c>
      <c r="S2130" s="61" t="n">
        <f aca="false">R2130/(1-Resumo!$C$5)</f>
        <v>105.945179545455</v>
      </c>
      <c r="T2130" s="61" t="n">
        <v>93.97</v>
      </c>
      <c r="U2130" s="61" t="n">
        <f aca="false">H2130*Resumo!$B$6</f>
        <v>0.82899</v>
      </c>
      <c r="V2130" s="61" t="n">
        <f aca="false">H2130*Resumo!$B$7</f>
        <v>1.65798</v>
      </c>
      <c r="W2130" s="61" t="n">
        <f aca="false">Resumo!$B$9</f>
        <v>1</v>
      </c>
      <c r="X2130" s="61" t="n">
        <f aca="false">Resumo!$B$10*CEILING(G2130/100,1)</f>
        <v>4.5</v>
      </c>
      <c r="Y2130" s="61" t="n">
        <f aca="false">Resumo!$B$12*CEILING(G2130,1)</f>
        <v>2.88</v>
      </c>
      <c r="Z2130" s="61" t="n">
        <f aca="false">Resumo!$B$14*CEILING(G2130,1)</f>
        <v>21.6</v>
      </c>
      <c r="AA2130" s="61" t="n">
        <f aca="false">SUM(T2130:Z2130)</f>
        <v>126.43697</v>
      </c>
      <c r="AB2130" s="61" t="n">
        <f aca="false">AA2130/(1-Resumo!$B$5)</f>
        <v>143.678375</v>
      </c>
      <c r="AC2130" s="61" t="n">
        <f aca="false">AB2130-S2130</f>
        <v>37.7331954545455</v>
      </c>
      <c r="AD2130" s="62" t="n">
        <f aca="false">AB2130/S2130-1</f>
        <v>0.356157737581222</v>
      </c>
      <c r="AE2130" s="60" t="str">
        <f aca="false">IF(AB2130&lt;S2130,"SIM","NÃO")</f>
        <v>NÃO</v>
      </c>
      <c r="AF2130" s="60" t="n">
        <v>2</v>
      </c>
      <c r="AG2130" s="60" t="n">
        <v>5</v>
      </c>
      <c r="AH2130" s="60" t="s">
        <v>382</v>
      </c>
      <c r="AI2130" s="61" t="n">
        <f aca="false">(T2130*(1-Painel!$C$40)+U2130+V2130+Painel!$C$41+Painel!$C$42*CEILING(G2130/100,1)+Painel!$C$43*CEILING(G2130,1)+Z2130)/(1-Resumo!$B$5)</f>
        <v>101.246443181818</v>
      </c>
      <c r="AJ2130" s="60" t="str">
        <f aca="false">IF(AI2130&lt;S2130,"SIM","NÃO")</f>
        <v>SIM</v>
      </c>
    </row>
    <row r="2131" customFormat="false" ht="15" hidden="false" customHeight="false" outlineLevel="0" collapsed="false">
      <c r="A2131" s="59" t="n">
        <v>46291.5522685185</v>
      </c>
      <c r="B2131" s="60" t="s">
        <v>2261</v>
      </c>
      <c r="C2131" s="60" t="n">
        <v>24456060</v>
      </c>
      <c r="D2131" s="60" t="s">
        <v>47</v>
      </c>
      <c r="E2131" s="60" t="s">
        <v>23</v>
      </c>
      <c r="F2131" s="60" t="s">
        <v>232</v>
      </c>
      <c r="G2131" s="60" t="n">
        <v>15</v>
      </c>
      <c r="H2131" s="61" t="n">
        <v>249.99</v>
      </c>
      <c r="I2131" s="61" t="n">
        <v>42.72</v>
      </c>
      <c r="J2131" s="61" t="n">
        <f aca="false">H2131*Resumo!$C$6</f>
        <v>0</v>
      </c>
      <c r="K2131" s="61" t="n">
        <f aca="false">H2131*Resumo!$C$7</f>
        <v>0.524979</v>
      </c>
      <c r="L2131" s="61" t="n">
        <f aca="false">H2131*Resumo!$C$8</f>
        <v>0.524979</v>
      </c>
      <c r="M2131" s="61" t="n">
        <f aca="false">Resumo!$C$10*CEILING(G2131/100,1)</f>
        <v>1.05</v>
      </c>
      <c r="N2131" s="61" t="n">
        <f aca="false">Resumo!$C$9</f>
        <v>0</v>
      </c>
      <c r="O2131" s="61" t="n">
        <f aca="false">Resumo!$C$13</f>
        <v>13.55</v>
      </c>
      <c r="P2131" s="61" t="n">
        <f aca="false">Resumo!$C$14*CEILING(G2131,1)</f>
        <v>6.75</v>
      </c>
      <c r="Q2131" s="61" t="n">
        <f aca="false">SUM(I2131:P2131)*Resumo!$C$11</f>
        <v>0</v>
      </c>
      <c r="R2131" s="61" t="n">
        <f aca="false">SUM(I2131:Q2131)</f>
        <v>65.119958</v>
      </c>
      <c r="S2131" s="61" t="n">
        <f aca="false">R2131/(1-Resumo!$C$5)</f>
        <v>73.9999522727273</v>
      </c>
      <c r="T2131" s="61" t="n">
        <v>57.47</v>
      </c>
      <c r="U2131" s="61" t="n">
        <f aca="false">H2131*Resumo!$B$6</f>
        <v>0.24999</v>
      </c>
      <c r="V2131" s="61" t="n">
        <f aca="false">H2131*Resumo!$B$7</f>
        <v>0.49998</v>
      </c>
      <c r="W2131" s="61" t="n">
        <f aca="false">Resumo!$B$9</f>
        <v>1</v>
      </c>
      <c r="X2131" s="61" t="n">
        <f aca="false">Resumo!$B$10*CEILING(G2131/100,1)</f>
        <v>4.5</v>
      </c>
      <c r="Y2131" s="61" t="n">
        <f aca="false">Resumo!$B$12*CEILING(G2131,1)</f>
        <v>0.9</v>
      </c>
      <c r="Z2131" s="61" t="n">
        <f aca="false">Resumo!$B$14*CEILING(G2131,1)</f>
        <v>6.75</v>
      </c>
      <c r="AA2131" s="61" t="n">
        <f aca="false">SUM(T2131:Z2131)</f>
        <v>71.36997</v>
      </c>
      <c r="AB2131" s="61" t="n">
        <f aca="false">AA2131/(1-Resumo!$B$5)</f>
        <v>81.1022386363636</v>
      </c>
      <c r="AC2131" s="61" t="n">
        <f aca="false">AB2131-S2131</f>
        <v>7.10228636363637</v>
      </c>
      <c r="AD2131" s="62" t="n">
        <f aca="false">AB2131/S2131-1</f>
        <v>0.0959769046534091</v>
      </c>
      <c r="AE2131" s="60" t="str">
        <f aca="false">IF(AB2131&lt;S2131,"SIM","NÃO")</f>
        <v>NÃO</v>
      </c>
      <c r="AF2131" s="60" t="n">
        <v>2</v>
      </c>
      <c r="AG2131" s="60" t="n">
        <v>7</v>
      </c>
      <c r="AH2131" s="60" t="s">
        <v>382</v>
      </c>
      <c r="AI2131" s="61" t="n">
        <f aca="false">(T2131*(1-Painel!$C$40)+U2131+V2131+Painel!$C$41+Painel!$C$42*CEILING(G2131/100,1)+Painel!$C$43*CEILING(G2131,1)+Z2131)/(1-Resumo!$B$5)</f>
        <v>54.6078068181818</v>
      </c>
      <c r="AJ2131" s="60" t="str">
        <f aca="false">IF(AI2131&lt;S2131,"SIM","NÃO")</f>
        <v>SIM</v>
      </c>
    </row>
    <row r="2132" customFormat="false" ht="15" hidden="false" customHeight="false" outlineLevel="0" collapsed="false">
      <c r="A2132" s="59" t="n">
        <v>46291.5828240741</v>
      </c>
      <c r="B2132" s="60" t="s">
        <v>2262</v>
      </c>
      <c r="C2132" s="60" t="n">
        <v>22241000</v>
      </c>
      <c r="D2132" s="60" t="s">
        <v>46</v>
      </c>
      <c r="E2132" s="60" t="s">
        <v>22</v>
      </c>
      <c r="F2132" s="60" t="s">
        <v>234</v>
      </c>
      <c r="G2132" s="60" t="n">
        <v>40</v>
      </c>
      <c r="H2132" s="61" t="n">
        <v>599.99</v>
      </c>
      <c r="I2132" s="61" t="n">
        <v>48.35</v>
      </c>
      <c r="J2132" s="61" t="n">
        <f aca="false">H2132*Resumo!$C$6</f>
        <v>0</v>
      </c>
      <c r="K2132" s="61" t="n">
        <f aca="false">H2132*Resumo!$C$7</f>
        <v>1.259979</v>
      </c>
      <c r="L2132" s="61" t="n">
        <f aca="false">H2132*Resumo!$C$8</f>
        <v>1.259979</v>
      </c>
      <c r="M2132" s="61" t="n">
        <f aca="false">Resumo!$C$10*CEILING(G2132/100,1)</f>
        <v>1.05</v>
      </c>
      <c r="N2132" s="61" t="n">
        <f aca="false">Resumo!$C$9</f>
        <v>0</v>
      </c>
      <c r="O2132" s="61" t="n">
        <f aca="false">Resumo!$C$13</f>
        <v>13.55</v>
      </c>
      <c r="P2132" s="61" t="n">
        <f aca="false">Resumo!$C$14*CEILING(G2132,1)</f>
        <v>18</v>
      </c>
      <c r="Q2132" s="61" t="n">
        <f aca="false">SUM(I2132:P2132)*Resumo!$C$11</f>
        <v>0</v>
      </c>
      <c r="R2132" s="61" t="n">
        <f aca="false">SUM(I2132:Q2132)</f>
        <v>83.469958</v>
      </c>
      <c r="S2132" s="61" t="n">
        <f aca="false">R2132/(1-Resumo!$C$5)</f>
        <v>94.852225</v>
      </c>
      <c r="T2132" s="61" t="n">
        <v>93.97</v>
      </c>
      <c r="U2132" s="61" t="n">
        <f aca="false">H2132*Resumo!$B$6</f>
        <v>0.59999</v>
      </c>
      <c r="V2132" s="61" t="n">
        <f aca="false">H2132*Resumo!$B$7</f>
        <v>1.19998</v>
      </c>
      <c r="W2132" s="61" t="n">
        <f aca="false">Resumo!$B$9</f>
        <v>1</v>
      </c>
      <c r="X2132" s="61" t="n">
        <f aca="false">Resumo!$B$10*CEILING(G2132/100,1)</f>
        <v>4.5</v>
      </c>
      <c r="Y2132" s="61" t="n">
        <f aca="false">Resumo!$B$12*CEILING(G2132,1)</f>
        <v>2.4</v>
      </c>
      <c r="Z2132" s="61" t="n">
        <f aca="false">Resumo!$B$14*CEILING(G2132,1)</f>
        <v>18</v>
      </c>
      <c r="AA2132" s="61" t="n">
        <f aca="false">SUM(T2132:Z2132)</f>
        <v>121.66997</v>
      </c>
      <c r="AB2132" s="61" t="n">
        <f aca="false">AA2132/(1-Resumo!$B$5)</f>
        <v>138.261329545455</v>
      </c>
      <c r="AC2132" s="61" t="n">
        <f aca="false">AB2132-S2132</f>
        <v>43.4091045454545</v>
      </c>
      <c r="AD2132" s="62" t="n">
        <f aca="false">AB2132/S2132-1</f>
        <v>0.457649828936059</v>
      </c>
      <c r="AE2132" s="60" t="str">
        <f aca="false">IF(AB2132&lt;S2132,"SIM","NÃO")</f>
        <v>NÃO</v>
      </c>
      <c r="AF2132" s="60" t="n">
        <v>2</v>
      </c>
      <c r="AG2132" s="60" t="n">
        <v>5</v>
      </c>
      <c r="AH2132" s="60" t="s">
        <v>382</v>
      </c>
      <c r="AI2132" s="61" t="n">
        <f aca="false">(T2132*(1-Painel!$C$40)+U2132+V2132+Painel!$C$41+Painel!$C$42*CEILING(G2132/100,1)+Painel!$C$43*CEILING(G2132,1)+Z2132)/(1-Resumo!$B$5)</f>
        <v>96.3748522727273</v>
      </c>
      <c r="AJ2132" s="60" t="str">
        <f aca="false">IF(AI2132&lt;S2132,"SIM","NÃO")</f>
        <v>NÃO</v>
      </c>
    </row>
    <row r="2133" customFormat="false" ht="15" hidden="false" customHeight="false" outlineLevel="0" collapsed="false">
      <c r="A2133" s="59" t="n">
        <v>46291.6246759259</v>
      </c>
      <c r="B2133" s="60" t="s">
        <v>2263</v>
      </c>
      <c r="C2133" s="60" t="n">
        <v>20261030</v>
      </c>
      <c r="D2133" s="60" t="s">
        <v>46</v>
      </c>
      <c r="E2133" s="60" t="s">
        <v>22</v>
      </c>
      <c r="F2133" s="60" t="s">
        <v>235</v>
      </c>
      <c r="G2133" s="60" t="n">
        <v>49.6</v>
      </c>
      <c r="H2133" s="61" t="n">
        <v>779.99</v>
      </c>
      <c r="I2133" s="61" t="n">
        <v>53.55</v>
      </c>
      <c r="J2133" s="61" t="n">
        <f aca="false">H2133*Resumo!$C$6</f>
        <v>0</v>
      </c>
      <c r="K2133" s="61" t="n">
        <f aca="false">H2133*Resumo!$C$7</f>
        <v>1.637979</v>
      </c>
      <c r="L2133" s="61" t="n">
        <f aca="false">H2133*Resumo!$C$8</f>
        <v>1.637979</v>
      </c>
      <c r="M2133" s="61" t="n">
        <f aca="false">Resumo!$C$10*CEILING(G2133/100,1)</f>
        <v>1.05</v>
      </c>
      <c r="N2133" s="61" t="n">
        <f aca="false">Resumo!$C$9</f>
        <v>0</v>
      </c>
      <c r="O2133" s="61" t="n">
        <f aca="false">Resumo!$C$13</f>
        <v>13.55</v>
      </c>
      <c r="P2133" s="61" t="n">
        <f aca="false">Resumo!$C$14*CEILING(G2133,1)</f>
        <v>22.5</v>
      </c>
      <c r="Q2133" s="61" t="n">
        <f aca="false">SUM(I2133:P2133)*Resumo!$C$11</f>
        <v>0</v>
      </c>
      <c r="R2133" s="61" t="n">
        <f aca="false">SUM(I2133:Q2133)</f>
        <v>93.925958</v>
      </c>
      <c r="S2133" s="61" t="n">
        <f aca="false">R2133/(1-Resumo!$C$5)</f>
        <v>106.734043181818</v>
      </c>
      <c r="T2133" s="61" t="n">
        <v>93.97</v>
      </c>
      <c r="U2133" s="61" t="n">
        <f aca="false">H2133*Resumo!$B$6</f>
        <v>0.77999</v>
      </c>
      <c r="V2133" s="61" t="n">
        <f aca="false">H2133*Resumo!$B$7</f>
        <v>1.55998</v>
      </c>
      <c r="W2133" s="61" t="n">
        <f aca="false">Resumo!$B$9</f>
        <v>1</v>
      </c>
      <c r="X2133" s="61" t="n">
        <f aca="false">Resumo!$B$10*CEILING(G2133/100,1)</f>
        <v>4.5</v>
      </c>
      <c r="Y2133" s="61" t="n">
        <f aca="false">Resumo!$B$12*CEILING(G2133,1)</f>
        <v>3</v>
      </c>
      <c r="Z2133" s="61" t="n">
        <f aca="false">Resumo!$B$14*CEILING(G2133,1)</f>
        <v>22.5</v>
      </c>
      <c r="AA2133" s="61" t="n">
        <f aca="false">SUM(T2133:Z2133)</f>
        <v>127.30997</v>
      </c>
      <c r="AB2133" s="61" t="n">
        <f aca="false">AA2133/(1-Resumo!$B$5)</f>
        <v>144.670420454545</v>
      </c>
      <c r="AC2133" s="61" t="n">
        <f aca="false">AB2133-S2133</f>
        <v>37.9363772727273</v>
      </c>
      <c r="AD2133" s="62" t="n">
        <f aca="false">AB2133/S2133-1</f>
        <v>0.355429028469425</v>
      </c>
      <c r="AE2133" s="60" t="str">
        <f aca="false">IF(AB2133&lt;S2133,"SIM","NÃO")</f>
        <v>NÃO</v>
      </c>
      <c r="AF2133" s="60" t="n">
        <v>2</v>
      </c>
      <c r="AG2133" s="60" t="n">
        <v>5</v>
      </c>
      <c r="AH2133" s="60" t="s">
        <v>382</v>
      </c>
      <c r="AI2133" s="61" t="n">
        <f aca="false">(T2133*(1-Painel!$C$40)+U2133+V2133+Painel!$C$41+Painel!$C$42*CEILING(G2133/100,1)+Painel!$C$43*CEILING(G2133,1)+Z2133)/(1-Resumo!$B$5)</f>
        <v>102.102125</v>
      </c>
      <c r="AJ2133" s="60" t="str">
        <f aca="false">IF(AI2133&lt;S2133,"SIM","NÃO")</f>
        <v>SIM</v>
      </c>
    </row>
    <row r="2134" customFormat="false" ht="15" hidden="false" customHeight="false" outlineLevel="0" collapsed="false">
      <c r="A2134" s="59" t="n">
        <v>46291.6550694444</v>
      </c>
      <c r="B2134" s="60" t="s">
        <v>2264</v>
      </c>
      <c r="C2134" s="60" t="n">
        <v>28013602</v>
      </c>
      <c r="D2134" s="60" t="s">
        <v>51</v>
      </c>
      <c r="E2134" s="60" t="s">
        <v>24</v>
      </c>
      <c r="F2134" s="60" t="s">
        <v>234</v>
      </c>
      <c r="G2134" s="60" t="n">
        <v>36</v>
      </c>
      <c r="H2134" s="61" t="n">
        <v>383</v>
      </c>
      <c r="I2134" s="61" t="n">
        <v>74.97</v>
      </c>
      <c r="J2134" s="61" t="n">
        <f aca="false">H2134*Resumo!$C$6</f>
        <v>0</v>
      </c>
      <c r="K2134" s="61" t="n">
        <f aca="false">H2134*Resumo!$C$7</f>
        <v>0.8043</v>
      </c>
      <c r="L2134" s="61" t="n">
        <f aca="false">H2134*Resumo!$C$8</f>
        <v>0.8043</v>
      </c>
      <c r="M2134" s="61" t="n">
        <f aca="false">Resumo!$C$10*CEILING(G2134/100,1)</f>
        <v>1.05</v>
      </c>
      <c r="N2134" s="61" t="n">
        <f aca="false">Resumo!$C$9</f>
        <v>0</v>
      </c>
      <c r="O2134" s="61" t="n">
        <f aca="false">Resumo!$C$13</f>
        <v>13.55</v>
      </c>
      <c r="P2134" s="61" t="n">
        <f aca="false">Resumo!$C$14*CEILING(G2134,1)</f>
        <v>16.2</v>
      </c>
      <c r="Q2134" s="61" t="n">
        <f aca="false">SUM(I2134:P2134)*Resumo!$C$11</f>
        <v>0</v>
      </c>
      <c r="R2134" s="61" t="n">
        <f aca="false">SUM(I2134:Q2134)</f>
        <v>107.3786</v>
      </c>
      <c r="S2134" s="61" t="n">
        <f aca="false">R2134/(1-Resumo!$C$5)</f>
        <v>122.021136363636</v>
      </c>
      <c r="T2134" s="61" t="n">
        <v>143.04</v>
      </c>
      <c r="U2134" s="61" t="n">
        <f aca="false">H2134*Resumo!$B$6</f>
        <v>0.383</v>
      </c>
      <c r="V2134" s="61" t="n">
        <f aca="false">H2134*Resumo!$B$7</f>
        <v>0.766</v>
      </c>
      <c r="W2134" s="61" t="n">
        <f aca="false">Resumo!$B$9</f>
        <v>1</v>
      </c>
      <c r="X2134" s="61" t="n">
        <f aca="false">Resumo!$B$10*CEILING(G2134/100,1)</f>
        <v>4.5</v>
      </c>
      <c r="Y2134" s="61" t="n">
        <f aca="false">Resumo!$B$12*CEILING(G2134,1)</f>
        <v>2.16</v>
      </c>
      <c r="Z2134" s="61" t="n">
        <f aca="false">Resumo!$B$14*CEILING(G2134,1)</f>
        <v>16.2</v>
      </c>
      <c r="AA2134" s="61" t="n">
        <f aca="false">SUM(T2134:Z2134)</f>
        <v>168.049</v>
      </c>
      <c r="AB2134" s="61" t="n">
        <f aca="false">AA2134/(1-Resumo!$B$5)</f>
        <v>190.964772727273</v>
      </c>
      <c r="AC2134" s="61" t="n">
        <f aca="false">AB2134-S2134</f>
        <v>68.9436363636363</v>
      </c>
      <c r="AD2134" s="62" t="n">
        <f aca="false">AB2134/S2134-1</f>
        <v>0.565013885448311</v>
      </c>
      <c r="AE2134" s="60" t="str">
        <f aca="false">IF(AB2134&lt;S2134,"SIM","NÃO")</f>
        <v>NÃO</v>
      </c>
      <c r="AF2134" s="60" t="n">
        <v>13</v>
      </c>
      <c r="AG2134" s="60" t="n">
        <v>11</v>
      </c>
      <c r="AH2134" s="60" t="s">
        <v>382</v>
      </c>
      <c r="AI2134" s="61" t="n">
        <f aca="false">(T2134*(1-Painel!$C$40)+U2134+V2134+Painel!$C$41+Painel!$C$42*CEILING(G2134/100,1)+Painel!$C$43*CEILING(G2134,1)+Z2134)/(1-Resumo!$B$5)</f>
        <v>130.949772727273</v>
      </c>
      <c r="AJ2134" s="60" t="str">
        <f aca="false">IF(AI2134&lt;S2134,"SIM","NÃO")</f>
        <v>NÃO</v>
      </c>
    </row>
    <row r="2135" customFormat="false" ht="15" hidden="false" customHeight="false" outlineLevel="0" collapsed="false">
      <c r="A2135" s="59" t="n">
        <v>46291.6562847222</v>
      </c>
      <c r="B2135" s="60" t="s">
        <v>2265</v>
      </c>
      <c r="C2135" s="60" t="n">
        <v>28897036</v>
      </c>
      <c r="D2135" s="60" t="s">
        <v>227</v>
      </c>
      <c r="E2135" s="60" t="s">
        <v>24</v>
      </c>
      <c r="F2135" s="60" t="s">
        <v>234</v>
      </c>
      <c r="G2135" s="60" t="n">
        <v>40</v>
      </c>
      <c r="H2135" s="61" t="n">
        <v>649.99</v>
      </c>
      <c r="I2135" s="61" t="n">
        <v>74.97</v>
      </c>
      <c r="J2135" s="61" t="n">
        <f aca="false">H2135*Resumo!$C$6</f>
        <v>0</v>
      </c>
      <c r="K2135" s="61" t="n">
        <f aca="false">H2135*Resumo!$C$7</f>
        <v>1.364979</v>
      </c>
      <c r="L2135" s="61" t="n">
        <f aca="false">H2135*Resumo!$C$8</f>
        <v>1.364979</v>
      </c>
      <c r="M2135" s="61" t="n">
        <f aca="false">Resumo!$C$10*CEILING(G2135/100,1)</f>
        <v>1.05</v>
      </c>
      <c r="N2135" s="61" t="n">
        <f aca="false">Resumo!$C$9</f>
        <v>0</v>
      </c>
      <c r="O2135" s="61" t="n">
        <f aca="false">Resumo!$C$13</f>
        <v>13.55</v>
      </c>
      <c r="P2135" s="61" t="n">
        <f aca="false">Resumo!$C$14*CEILING(G2135,1)</f>
        <v>18</v>
      </c>
      <c r="Q2135" s="61" t="n">
        <f aca="false">SUM(I2135:P2135)*Resumo!$C$11</f>
        <v>0</v>
      </c>
      <c r="R2135" s="61" t="n">
        <f aca="false">SUM(I2135:Q2135)</f>
        <v>110.299958</v>
      </c>
      <c r="S2135" s="61" t="n">
        <f aca="false">R2135/(1-Resumo!$C$5)</f>
        <v>125.340861363636</v>
      </c>
      <c r="T2135" s="61" t="n">
        <v>124.38</v>
      </c>
      <c r="U2135" s="61" t="n">
        <f aca="false">H2135*Resumo!$B$6</f>
        <v>0.64999</v>
      </c>
      <c r="V2135" s="61" t="n">
        <f aca="false">H2135*Resumo!$B$7</f>
        <v>1.29998</v>
      </c>
      <c r="W2135" s="61" t="n">
        <f aca="false">Resumo!$B$9</f>
        <v>1</v>
      </c>
      <c r="X2135" s="61" t="n">
        <f aca="false">Resumo!$B$10*CEILING(G2135/100,1)</f>
        <v>4.5</v>
      </c>
      <c r="Y2135" s="61" t="n">
        <f aca="false">Resumo!$B$12*CEILING(G2135,1)</f>
        <v>2.4</v>
      </c>
      <c r="Z2135" s="61" t="n">
        <f aca="false">Resumo!$B$14*CEILING(G2135,1)</f>
        <v>18</v>
      </c>
      <c r="AA2135" s="61" t="n">
        <f aca="false">SUM(T2135:Z2135)</f>
        <v>152.22997</v>
      </c>
      <c r="AB2135" s="61" t="n">
        <f aca="false">AA2135/(1-Resumo!$B$5)</f>
        <v>172.988602272727</v>
      </c>
      <c r="AC2135" s="61" t="n">
        <f aca="false">AB2135-S2135</f>
        <v>47.6477409090909</v>
      </c>
      <c r="AD2135" s="62" t="n">
        <f aca="false">AB2135/S2135-1</f>
        <v>0.380145312476003</v>
      </c>
      <c r="AE2135" s="60" t="str">
        <f aca="false">IF(AB2135&lt;S2135,"SIM","NÃO")</f>
        <v>NÃO</v>
      </c>
      <c r="AF2135" s="60" t="n">
        <v>13</v>
      </c>
      <c r="AG2135" s="60" t="n">
        <v>10</v>
      </c>
      <c r="AH2135" s="60" t="s">
        <v>382</v>
      </c>
      <c r="AI2135" s="61" t="n">
        <f aca="false">(T2135*(1-Painel!$C$40)+U2135+V2135+Painel!$C$41+Painel!$C$42*CEILING(G2135/100,1)+Painel!$C$43*CEILING(G2135,1)+Z2135)/(1-Resumo!$B$5)</f>
        <v>119.698375</v>
      </c>
      <c r="AJ2135" s="60" t="str">
        <f aca="false">IF(AI2135&lt;S2135,"SIM","NÃO")</f>
        <v>SIM</v>
      </c>
    </row>
    <row r="2136" customFormat="false" ht="15" hidden="false" customHeight="false" outlineLevel="0" collapsed="false">
      <c r="A2136" s="59" t="n">
        <v>46291.6652662037</v>
      </c>
      <c r="B2136" s="60" t="s">
        <v>2266</v>
      </c>
      <c r="C2136" s="60" t="n">
        <v>25953003</v>
      </c>
      <c r="D2136" s="60" t="s">
        <v>281</v>
      </c>
      <c r="E2136" s="60" t="s">
        <v>24</v>
      </c>
      <c r="F2136" s="60" t="s">
        <v>237</v>
      </c>
      <c r="G2136" s="60" t="n">
        <v>69.6</v>
      </c>
      <c r="H2136" s="61" t="n">
        <v>839.99</v>
      </c>
      <c r="I2136" s="61" t="n">
        <v>90.2</v>
      </c>
      <c r="J2136" s="61" t="n">
        <f aca="false">H2136*Resumo!$C$6</f>
        <v>0</v>
      </c>
      <c r="K2136" s="61" t="n">
        <f aca="false">H2136*Resumo!$C$7</f>
        <v>1.763979</v>
      </c>
      <c r="L2136" s="61" t="n">
        <f aca="false">H2136*Resumo!$C$8</f>
        <v>1.763979</v>
      </c>
      <c r="M2136" s="61" t="n">
        <f aca="false">Resumo!$C$10*CEILING(G2136/100,1)</f>
        <v>1.05</v>
      </c>
      <c r="N2136" s="61" t="n">
        <f aca="false">Resumo!$C$9</f>
        <v>0</v>
      </c>
      <c r="O2136" s="61" t="n">
        <f aca="false">Resumo!$C$13</f>
        <v>13.55</v>
      </c>
      <c r="P2136" s="61" t="n">
        <f aca="false">Resumo!$C$14*CEILING(G2136,1)</f>
        <v>31.5</v>
      </c>
      <c r="Q2136" s="61" t="n">
        <f aca="false">SUM(I2136:P2136)*Resumo!$C$11</f>
        <v>0</v>
      </c>
      <c r="R2136" s="61" t="n">
        <f aca="false">SUM(I2136:Q2136)</f>
        <v>139.827958</v>
      </c>
      <c r="S2136" s="61" t="n">
        <f aca="false">R2136/(1-Resumo!$C$5)</f>
        <v>158.895406818182</v>
      </c>
      <c r="T2136" s="61" t="n">
        <v>166.05</v>
      </c>
      <c r="U2136" s="61" t="n">
        <f aca="false">H2136*Resumo!$B$6</f>
        <v>0.83999</v>
      </c>
      <c r="V2136" s="61" t="n">
        <f aca="false">H2136*Resumo!$B$7</f>
        <v>1.67998</v>
      </c>
      <c r="W2136" s="61" t="n">
        <f aca="false">Resumo!$B$9</f>
        <v>1</v>
      </c>
      <c r="X2136" s="61" t="n">
        <f aca="false">Resumo!$B$10*CEILING(G2136/100,1)</f>
        <v>4.5</v>
      </c>
      <c r="Y2136" s="61" t="n">
        <f aca="false">Resumo!$B$12*CEILING(G2136,1)</f>
        <v>4.2</v>
      </c>
      <c r="Z2136" s="61" t="n">
        <f aca="false">Resumo!$B$14*CEILING(G2136,1)</f>
        <v>31.5</v>
      </c>
      <c r="AA2136" s="61" t="n">
        <f aca="false">SUM(T2136:Z2136)</f>
        <v>209.76997</v>
      </c>
      <c r="AB2136" s="61" t="n">
        <f aca="false">AA2136/(1-Resumo!$B$5)</f>
        <v>238.374965909091</v>
      </c>
      <c r="AC2136" s="61" t="n">
        <f aca="false">AB2136-S2136</f>
        <v>79.4795590909091</v>
      </c>
      <c r="AD2136" s="62" t="n">
        <f aca="false">AB2136/S2136-1</f>
        <v>0.500200482080987</v>
      </c>
      <c r="AE2136" s="60" t="str">
        <f aca="false">IF(AB2136&lt;S2136,"SIM","NÃO")</f>
        <v>NÃO</v>
      </c>
      <c r="AF2136" s="60" t="n">
        <v>13</v>
      </c>
      <c r="AG2136" s="60" t="n">
        <v>10</v>
      </c>
      <c r="AH2136" s="60" t="s">
        <v>385</v>
      </c>
      <c r="AI2136" s="61" t="n">
        <f aca="false">(T2136*(1-Painel!$C$40)+U2136+V2136+Painel!$C$41+Painel!$C$42*CEILING(G2136/100,1)+Painel!$C$43*CEILING(G2136,1)+Z2136)/(1-Resumo!$B$5)</f>
        <v>167.413034090909</v>
      </c>
      <c r="AJ2136" s="60" t="str">
        <f aca="false">IF(AI2136&lt;S2136,"SIM","NÃO")</f>
        <v>NÃO</v>
      </c>
    </row>
    <row r="2137" customFormat="false" ht="15" hidden="false" customHeight="false" outlineLevel="0" collapsed="false">
      <c r="A2137" s="59" t="n">
        <v>46291.7109259259</v>
      </c>
      <c r="B2137" s="60" t="s">
        <v>2267</v>
      </c>
      <c r="C2137" s="60" t="n">
        <v>20771580</v>
      </c>
      <c r="D2137" s="60" t="s">
        <v>46</v>
      </c>
      <c r="E2137" s="60" t="s">
        <v>22</v>
      </c>
      <c r="F2137" s="60" t="s">
        <v>235</v>
      </c>
      <c r="G2137" s="60" t="n">
        <v>45.3</v>
      </c>
      <c r="H2137" s="61" t="n">
        <v>679.99</v>
      </c>
      <c r="I2137" s="61" t="n">
        <v>53.55</v>
      </c>
      <c r="J2137" s="61" t="n">
        <f aca="false">H2137*Resumo!$C$6</f>
        <v>0</v>
      </c>
      <c r="K2137" s="61" t="n">
        <f aca="false">H2137*Resumo!$C$7</f>
        <v>1.427979</v>
      </c>
      <c r="L2137" s="61" t="n">
        <f aca="false">H2137*Resumo!$C$8</f>
        <v>1.427979</v>
      </c>
      <c r="M2137" s="61" t="n">
        <f aca="false">Resumo!$C$10*CEILING(G2137/100,1)</f>
        <v>1.05</v>
      </c>
      <c r="N2137" s="61" t="n">
        <f aca="false">Resumo!$C$9</f>
        <v>0</v>
      </c>
      <c r="O2137" s="61" t="n">
        <f aca="false">Resumo!$C$13</f>
        <v>13.55</v>
      </c>
      <c r="P2137" s="61" t="n">
        <f aca="false">Resumo!$C$14*CEILING(G2137,1)</f>
        <v>20.7</v>
      </c>
      <c r="Q2137" s="61" t="n">
        <f aca="false">SUM(I2137:P2137)*Resumo!$C$11</f>
        <v>0</v>
      </c>
      <c r="R2137" s="61" t="n">
        <f aca="false">SUM(I2137:Q2137)</f>
        <v>91.705958</v>
      </c>
      <c r="S2137" s="61" t="n">
        <f aca="false">R2137/(1-Resumo!$C$5)</f>
        <v>104.211315909091</v>
      </c>
      <c r="T2137" s="61" t="n">
        <v>93.97</v>
      </c>
      <c r="U2137" s="61" t="n">
        <f aca="false">H2137*Resumo!$B$6</f>
        <v>0.67999</v>
      </c>
      <c r="V2137" s="61" t="n">
        <f aca="false">H2137*Resumo!$B$7</f>
        <v>1.35998</v>
      </c>
      <c r="W2137" s="61" t="n">
        <f aca="false">Resumo!$B$9</f>
        <v>1</v>
      </c>
      <c r="X2137" s="61" t="n">
        <f aca="false">Resumo!$B$10*CEILING(G2137/100,1)</f>
        <v>4.5</v>
      </c>
      <c r="Y2137" s="61" t="n">
        <f aca="false">Resumo!$B$12*CEILING(G2137,1)</f>
        <v>2.76</v>
      </c>
      <c r="Z2137" s="61" t="n">
        <f aca="false">Resumo!$B$14*CEILING(G2137,1)</f>
        <v>20.7</v>
      </c>
      <c r="AA2137" s="61" t="n">
        <f aca="false">SUM(T2137:Z2137)</f>
        <v>124.96997</v>
      </c>
      <c r="AB2137" s="61" t="n">
        <f aca="false">AA2137/(1-Resumo!$B$5)</f>
        <v>142.011329545455</v>
      </c>
      <c r="AC2137" s="61" t="n">
        <f aca="false">AB2137-S2137</f>
        <v>37.8000136363636</v>
      </c>
      <c r="AD2137" s="62" t="n">
        <f aca="false">AB2137/S2137-1</f>
        <v>0.362724655250862</v>
      </c>
      <c r="AE2137" s="60" t="str">
        <f aca="false">IF(AB2137&lt;S2137,"SIM","NÃO")</f>
        <v>NÃO</v>
      </c>
      <c r="AF2137" s="60" t="n">
        <v>2</v>
      </c>
      <c r="AG2137" s="60" t="n">
        <v>5</v>
      </c>
      <c r="AH2137" s="60" t="s">
        <v>382</v>
      </c>
      <c r="AI2137" s="61" t="n">
        <f aca="false">(T2137*(1-Painel!$C$40)+U2137+V2137+Painel!$C$41+Painel!$C$42*CEILING(G2137/100,1)+Painel!$C$43*CEILING(G2137,1)+Z2137)/(1-Resumo!$B$5)</f>
        <v>99.7157613636364</v>
      </c>
      <c r="AJ2137" s="60" t="str">
        <f aca="false">IF(AI2137&lt;S2137,"SIM","NÃO")</f>
        <v>SIM</v>
      </c>
    </row>
    <row r="2138" customFormat="false" ht="15" hidden="false" customHeight="false" outlineLevel="0" collapsed="false">
      <c r="A2138" s="59" t="n">
        <v>46291.7183101852</v>
      </c>
      <c r="B2138" s="60" t="s">
        <v>680</v>
      </c>
      <c r="C2138" s="60" t="n">
        <v>23860000</v>
      </c>
      <c r="D2138" s="60" t="s">
        <v>265</v>
      </c>
      <c r="E2138" s="60" t="s">
        <v>24</v>
      </c>
      <c r="F2138" s="60" t="s">
        <v>236</v>
      </c>
      <c r="G2138" s="60" t="n">
        <v>52.3</v>
      </c>
      <c r="H2138" s="61" t="n">
        <v>653.04</v>
      </c>
      <c r="I2138" s="61" t="n">
        <v>83.58</v>
      </c>
      <c r="J2138" s="61" t="n">
        <f aca="false">H2138*Resumo!$C$6</f>
        <v>0</v>
      </c>
      <c r="K2138" s="61" t="n">
        <f aca="false">H2138*Resumo!$C$7</f>
        <v>1.371384</v>
      </c>
      <c r="L2138" s="61" t="n">
        <f aca="false">H2138*Resumo!$C$8</f>
        <v>1.371384</v>
      </c>
      <c r="M2138" s="61" t="n">
        <f aca="false">Resumo!$C$10*CEILING(G2138/100,1)</f>
        <v>1.05</v>
      </c>
      <c r="N2138" s="61" t="n">
        <f aca="false">Resumo!$C$9</f>
        <v>0</v>
      </c>
      <c r="O2138" s="61" t="n">
        <f aca="false">Resumo!$C$13</f>
        <v>13.55</v>
      </c>
      <c r="P2138" s="61" t="n">
        <f aca="false">Resumo!$C$14*CEILING(G2138,1)</f>
        <v>23.85</v>
      </c>
      <c r="Q2138" s="61" t="n">
        <f aca="false">SUM(I2138:P2138)*Resumo!$C$11</f>
        <v>0</v>
      </c>
      <c r="R2138" s="61" t="n">
        <f aca="false">SUM(I2138:Q2138)</f>
        <v>124.772768</v>
      </c>
      <c r="S2138" s="61" t="n">
        <f aca="false">R2138/(1-Resumo!$C$5)</f>
        <v>141.787236363636</v>
      </c>
      <c r="T2138" s="61" t="n">
        <v>142.32</v>
      </c>
      <c r="U2138" s="61" t="n">
        <f aca="false">H2138*Resumo!$B$6</f>
        <v>0.65304</v>
      </c>
      <c r="V2138" s="61" t="n">
        <f aca="false">H2138*Resumo!$B$7</f>
        <v>1.30608</v>
      </c>
      <c r="W2138" s="61" t="n">
        <f aca="false">Resumo!$B$9</f>
        <v>1</v>
      </c>
      <c r="X2138" s="61" t="n">
        <f aca="false">Resumo!$B$10*CEILING(G2138/100,1)</f>
        <v>4.5</v>
      </c>
      <c r="Y2138" s="61" t="n">
        <f aca="false">Resumo!$B$12*CEILING(G2138,1)</f>
        <v>3.18</v>
      </c>
      <c r="Z2138" s="61" t="n">
        <f aca="false">Resumo!$B$14*CEILING(G2138,1)</f>
        <v>23.85</v>
      </c>
      <c r="AA2138" s="61" t="n">
        <f aca="false">SUM(T2138:Z2138)</f>
        <v>176.80912</v>
      </c>
      <c r="AB2138" s="61" t="n">
        <f aca="false">AA2138/(1-Resumo!$B$5)</f>
        <v>200.919454545455</v>
      </c>
      <c r="AC2138" s="61" t="n">
        <f aca="false">AB2138-S2138</f>
        <v>59.1322181818182</v>
      </c>
      <c r="AD2138" s="62" t="n">
        <f aca="false">AB2138/S2138-1</f>
        <v>0.417048950937756</v>
      </c>
      <c r="AE2138" s="60" t="str">
        <f aca="false">IF(AB2138&lt;S2138,"SIM","NÃO")</f>
        <v>NÃO</v>
      </c>
      <c r="AF2138" s="60" t="n">
        <v>13</v>
      </c>
      <c r="AG2138" s="60" t="n">
        <v>10</v>
      </c>
      <c r="AH2138" s="60" t="s">
        <v>385</v>
      </c>
      <c r="AI2138" s="61" t="n">
        <f aca="false">(T2138*(1-Painel!$C$40)+U2138+V2138+Painel!$C$41+Painel!$C$42*CEILING(G2138/100,1)+Painel!$C$43*CEILING(G2138,1)+Z2138)/(1-Resumo!$B$5)</f>
        <v>140.015363636364</v>
      </c>
      <c r="AJ2138" s="60" t="str">
        <f aca="false">IF(AI2138&lt;S2138,"SIM","NÃO")</f>
        <v>SIM</v>
      </c>
    </row>
    <row r="2139" customFormat="false" ht="15" hidden="false" customHeight="false" outlineLevel="0" collapsed="false">
      <c r="A2139" s="59" t="n">
        <v>46291.7826967593</v>
      </c>
      <c r="B2139" s="60" t="s">
        <v>2268</v>
      </c>
      <c r="C2139" s="60" t="n">
        <v>24451001</v>
      </c>
      <c r="D2139" s="60" t="s">
        <v>47</v>
      </c>
      <c r="E2139" s="60" t="s">
        <v>23</v>
      </c>
      <c r="F2139" s="60" t="s">
        <v>236</v>
      </c>
      <c r="G2139" s="60" t="n">
        <v>52.3</v>
      </c>
      <c r="H2139" s="61" t="n">
        <v>636.83</v>
      </c>
      <c r="I2139" s="61" t="n">
        <v>70.98</v>
      </c>
      <c r="J2139" s="61" t="n">
        <f aca="false">H2139*Resumo!$C$6</f>
        <v>0</v>
      </c>
      <c r="K2139" s="61" t="n">
        <f aca="false">H2139*Resumo!$C$7</f>
        <v>1.337343</v>
      </c>
      <c r="L2139" s="61" t="n">
        <f aca="false">H2139*Resumo!$C$8</f>
        <v>1.337343</v>
      </c>
      <c r="M2139" s="61" t="n">
        <f aca="false">Resumo!$C$10*CEILING(G2139/100,1)</f>
        <v>1.05</v>
      </c>
      <c r="N2139" s="61" t="n">
        <f aca="false">Resumo!$C$9</f>
        <v>0</v>
      </c>
      <c r="O2139" s="61" t="n">
        <f aca="false">Resumo!$C$13</f>
        <v>13.55</v>
      </c>
      <c r="P2139" s="61" t="n">
        <f aca="false">Resumo!$C$14*CEILING(G2139,1)</f>
        <v>23.85</v>
      </c>
      <c r="Q2139" s="61" t="n">
        <f aca="false">SUM(I2139:P2139)*Resumo!$C$11</f>
        <v>0</v>
      </c>
      <c r="R2139" s="61" t="n">
        <f aca="false">SUM(I2139:Q2139)</f>
        <v>112.104686</v>
      </c>
      <c r="S2139" s="61" t="n">
        <f aca="false">R2139/(1-Resumo!$C$5)</f>
        <v>127.391688636364</v>
      </c>
      <c r="T2139" s="61" t="n">
        <v>128.14</v>
      </c>
      <c r="U2139" s="61" t="n">
        <f aca="false">H2139*Resumo!$B$6</f>
        <v>0.63683</v>
      </c>
      <c r="V2139" s="61" t="n">
        <f aca="false">H2139*Resumo!$B$7</f>
        <v>1.27366</v>
      </c>
      <c r="W2139" s="61" t="n">
        <f aca="false">Resumo!$B$9</f>
        <v>1</v>
      </c>
      <c r="X2139" s="61" t="n">
        <f aca="false">Resumo!$B$10*CEILING(G2139/100,1)</f>
        <v>4.5</v>
      </c>
      <c r="Y2139" s="61" t="n">
        <f aca="false">Resumo!$B$12*CEILING(G2139,1)</f>
        <v>3.18</v>
      </c>
      <c r="Z2139" s="61" t="n">
        <f aca="false">Resumo!$B$14*CEILING(G2139,1)</f>
        <v>23.85</v>
      </c>
      <c r="AA2139" s="61" t="n">
        <f aca="false">SUM(T2139:Z2139)</f>
        <v>162.58049</v>
      </c>
      <c r="AB2139" s="61" t="n">
        <f aca="false">AA2139/(1-Resumo!$B$5)</f>
        <v>184.750556818182</v>
      </c>
      <c r="AC2139" s="61" t="n">
        <f aca="false">AB2139-S2139</f>
        <v>57.3588681818181</v>
      </c>
      <c r="AD2139" s="62" t="n">
        <f aca="false">AB2139/S2139-1</f>
        <v>0.450255968782607</v>
      </c>
      <c r="AE2139" s="60" t="str">
        <f aca="false">IF(AB2139&lt;S2139,"SIM","NÃO")</f>
        <v>NÃO</v>
      </c>
      <c r="AF2139" s="60" t="n">
        <v>2</v>
      </c>
      <c r="AG2139" s="60" t="n">
        <v>7</v>
      </c>
      <c r="AH2139" s="60" t="s">
        <v>382</v>
      </c>
      <c r="AI2139" s="61" t="n">
        <f aca="false">(T2139*(1-Painel!$C$40)+U2139+V2139+Painel!$C$41+Painel!$C$42*CEILING(G2139/100,1)+Painel!$C$43*CEILING(G2139,1)+Z2139)/(1-Resumo!$B$5)</f>
        <v>129.163965909091</v>
      </c>
      <c r="AJ2139" s="60" t="str">
        <f aca="false">IF(AI2139&lt;S2139,"SIM","NÃO")</f>
        <v>NÃO</v>
      </c>
    </row>
    <row r="2140" customFormat="false" ht="15" hidden="false" customHeight="false" outlineLevel="0" collapsed="false">
      <c r="A2140" s="59" t="n">
        <v>46291.8191550926</v>
      </c>
      <c r="B2140" s="60" t="s">
        <v>2269</v>
      </c>
      <c r="C2140" s="60" t="n">
        <v>22740050</v>
      </c>
      <c r="D2140" s="60" t="s">
        <v>46</v>
      </c>
      <c r="E2140" s="60" t="s">
        <v>22</v>
      </c>
      <c r="F2140" s="60" t="s">
        <v>235</v>
      </c>
      <c r="G2140" s="60" t="n">
        <v>41</v>
      </c>
      <c r="H2140" s="61" t="n">
        <v>499.79</v>
      </c>
      <c r="I2140" s="61" t="n">
        <v>53.55</v>
      </c>
      <c r="J2140" s="61" t="n">
        <f aca="false">H2140*Resumo!$C$6</f>
        <v>0</v>
      </c>
      <c r="K2140" s="61" t="n">
        <f aca="false">H2140*Resumo!$C$7</f>
        <v>1.049559</v>
      </c>
      <c r="L2140" s="61" t="n">
        <f aca="false">H2140*Resumo!$C$8</f>
        <v>1.049559</v>
      </c>
      <c r="M2140" s="61" t="n">
        <f aca="false">Resumo!$C$10*CEILING(G2140/100,1)</f>
        <v>1.05</v>
      </c>
      <c r="N2140" s="61" t="n">
        <f aca="false">Resumo!$C$9</f>
        <v>0</v>
      </c>
      <c r="O2140" s="61" t="n">
        <f aca="false">Resumo!$C$13</f>
        <v>13.55</v>
      </c>
      <c r="P2140" s="61" t="n">
        <f aca="false">Resumo!$C$14*CEILING(G2140,1)</f>
        <v>18.45</v>
      </c>
      <c r="Q2140" s="61" t="n">
        <f aca="false">SUM(I2140:P2140)*Resumo!$C$11</f>
        <v>0</v>
      </c>
      <c r="R2140" s="61" t="n">
        <f aca="false">SUM(I2140:Q2140)</f>
        <v>88.699118</v>
      </c>
      <c r="S2140" s="61" t="n">
        <f aca="false">R2140/(1-Resumo!$C$5)</f>
        <v>100.794452272727</v>
      </c>
      <c r="T2140" s="61" t="n">
        <v>93.97</v>
      </c>
      <c r="U2140" s="61" t="n">
        <f aca="false">H2140*Resumo!$B$6</f>
        <v>0.49979</v>
      </c>
      <c r="V2140" s="61" t="n">
        <f aca="false">H2140*Resumo!$B$7</f>
        <v>0.99958</v>
      </c>
      <c r="W2140" s="61" t="n">
        <f aca="false">Resumo!$B$9</f>
        <v>1</v>
      </c>
      <c r="X2140" s="61" t="n">
        <f aca="false">Resumo!$B$10*CEILING(G2140/100,1)</f>
        <v>4.5</v>
      </c>
      <c r="Y2140" s="61" t="n">
        <f aca="false">Resumo!$B$12*CEILING(G2140,1)</f>
        <v>2.46</v>
      </c>
      <c r="Z2140" s="61" t="n">
        <f aca="false">Resumo!$B$14*CEILING(G2140,1)</f>
        <v>18.45</v>
      </c>
      <c r="AA2140" s="61" t="n">
        <f aca="false">SUM(T2140:Z2140)</f>
        <v>121.87937</v>
      </c>
      <c r="AB2140" s="61" t="n">
        <f aca="false">AA2140/(1-Resumo!$B$5)</f>
        <v>138.499284090909</v>
      </c>
      <c r="AC2140" s="61" t="n">
        <f aca="false">AB2140-S2140</f>
        <v>37.7048318181818</v>
      </c>
      <c r="AD2140" s="62" t="n">
        <f aca="false">AB2140/S2140-1</f>
        <v>0.374076459249572</v>
      </c>
      <c r="AE2140" s="60" t="str">
        <f aca="false">IF(AB2140&lt;S2140,"SIM","NÃO")</f>
        <v>NÃO</v>
      </c>
      <c r="AF2140" s="60" t="n">
        <v>2</v>
      </c>
      <c r="AG2140" s="60" t="n">
        <v>5</v>
      </c>
      <c r="AH2140" s="60" t="s">
        <v>382</v>
      </c>
      <c r="AI2140" s="61" t="n">
        <f aca="false">(T2140*(1-Painel!$C$40)+U2140+V2140+Painel!$C$41+Painel!$C$42*CEILING(G2140/100,1)+Painel!$C$43*CEILING(G2140,1)+Z2140)/(1-Resumo!$B$5)</f>
        <v>96.544625</v>
      </c>
      <c r="AJ2140" s="60" t="str">
        <f aca="false">IF(AI2140&lt;S2140,"SIM","NÃO")</f>
        <v>SIM</v>
      </c>
    </row>
    <row r="2141" customFormat="false" ht="15" hidden="false" customHeight="false" outlineLevel="0" collapsed="false">
      <c r="A2141" s="59" t="n">
        <v>46291.8481597222</v>
      </c>
      <c r="B2141" s="60" t="s">
        <v>2270</v>
      </c>
      <c r="C2141" s="60" t="n">
        <v>26293552</v>
      </c>
      <c r="D2141" s="60" t="s">
        <v>49</v>
      </c>
      <c r="E2141" s="60" t="s">
        <v>23</v>
      </c>
      <c r="F2141" s="60" t="s">
        <v>235</v>
      </c>
      <c r="G2141" s="60" t="n">
        <v>48</v>
      </c>
      <c r="H2141" s="61" t="n">
        <v>1014.99</v>
      </c>
      <c r="I2141" s="61" t="n">
        <v>65.36</v>
      </c>
      <c r="J2141" s="61" t="n">
        <f aca="false">H2141*Resumo!$C$6</f>
        <v>0</v>
      </c>
      <c r="K2141" s="61" t="n">
        <f aca="false">H2141*Resumo!$C$7</f>
        <v>2.131479</v>
      </c>
      <c r="L2141" s="61" t="n">
        <f aca="false">H2141*Resumo!$C$8</f>
        <v>2.131479</v>
      </c>
      <c r="M2141" s="61" t="n">
        <f aca="false">Resumo!$C$10*CEILING(G2141/100,1)</f>
        <v>1.05</v>
      </c>
      <c r="N2141" s="61" t="n">
        <f aca="false">Resumo!$C$9</f>
        <v>0</v>
      </c>
      <c r="O2141" s="61" t="n">
        <f aca="false">Resumo!$C$13</f>
        <v>13.55</v>
      </c>
      <c r="P2141" s="61" t="n">
        <f aca="false">Resumo!$C$14*CEILING(G2141,1)</f>
        <v>21.6</v>
      </c>
      <c r="Q2141" s="61" t="n">
        <f aca="false">SUM(I2141:P2141)*Resumo!$C$11</f>
        <v>0</v>
      </c>
      <c r="R2141" s="61" t="n">
        <f aca="false">SUM(I2141:Q2141)</f>
        <v>105.822958</v>
      </c>
      <c r="S2141" s="61" t="n">
        <f aca="false">R2141/(1-Resumo!$C$5)</f>
        <v>120.253361363636</v>
      </c>
      <c r="T2141" s="61" t="n">
        <v>93.97</v>
      </c>
      <c r="U2141" s="61" t="n">
        <f aca="false">H2141*Resumo!$B$6</f>
        <v>1.01499</v>
      </c>
      <c r="V2141" s="61" t="n">
        <f aca="false">H2141*Resumo!$B$7</f>
        <v>2.02998</v>
      </c>
      <c r="W2141" s="61" t="n">
        <f aca="false">Resumo!$B$9</f>
        <v>1</v>
      </c>
      <c r="X2141" s="61" t="n">
        <f aca="false">Resumo!$B$10*CEILING(G2141/100,1)</f>
        <v>4.5</v>
      </c>
      <c r="Y2141" s="61" t="n">
        <f aca="false">Resumo!$B$12*CEILING(G2141,1)</f>
        <v>2.88</v>
      </c>
      <c r="Z2141" s="61" t="n">
        <f aca="false">Resumo!$B$14*CEILING(G2141,1)</f>
        <v>21.6</v>
      </c>
      <c r="AA2141" s="61" t="n">
        <f aca="false">SUM(T2141:Z2141)</f>
        <v>126.99497</v>
      </c>
      <c r="AB2141" s="61" t="n">
        <f aca="false">AA2141/(1-Resumo!$B$5)</f>
        <v>144.312465909091</v>
      </c>
      <c r="AC2141" s="61" t="n">
        <f aca="false">AB2141-S2141</f>
        <v>24.0591045454545</v>
      </c>
      <c r="AD2141" s="62" t="n">
        <f aca="false">AB2141/S2141-1</f>
        <v>0.200070120890025</v>
      </c>
      <c r="AE2141" s="60" t="str">
        <f aca="false">IF(AB2141&lt;S2141,"SIM","NÃO")</f>
        <v>NÃO</v>
      </c>
      <c r="AF2141" s="60" t="n">
        <v>2</v>
      </c>
      <c r="AG2141" s="60" t="n">
        <v>5</v>
      </c>
      <c r="AH2141" s="60" t="s">
        <v>382</v>
      </c>
      <c r="AI2141" s="61" t="n">
        <f aca="false">(T2141*(1-Painel!$C$40)+U2141+V2141+Painel!$C$41+Painel!$C$42*CEILING(G2141/100,1)+Painel!$C$43*CEILING(G2141,1)+Z2141)/(1-Resumo!$B$5)</f>
        <v>101.880534090909</v>
      </c>
      <c r="AJ2141" s="60" t="str">
        <f aca="false">IF(AI2141&lt;S2141,"SIM","NÃO")</f>
        <v>SIM</v>
      </c>
    </row>
    <row r="2142" customFormat="false" ht="15" hidden="false" customHeight="false" outlineLevel="0" collapsed="false">
      <c r="A2142" s="59" t="n">
        <v>46291.8579282407</v>
      </c>
      <c r="B2142" s="60" t="s">
        <v>2271</v>
      </c>
      <c r="C2142" s="60" t="n">
        <v>27525260</v>
      </c>
      <c r="D2142" s="60" t="s">
        <v>296</v>
      </c>
      <c r="E2142" s="60" t="s">
        <v>24</v>
      </c>
      <c r="F2142" s="60" t="s">
        <v>237</v>
      </c>
      <c r="G2142" s="60" t="n">
        <v>63</v>
      </c>
      <c r="H2142" s="61" t="n">
        <v>769.69</v>
      </c>
      <c r="I2142" s="61" t="n">
        <v>90.2</v>
      </c>
      <c r="J2142" s="61" t="n">
        <f aca="false">H2142*Resumo!$C$6</f>
        <v>0</v>
      </c>
      <c r="K2142" s="61" t="n">
        <f aca="false">H2142*Resumo!$C$7</f>
        <v>1.616349</v>
      </c>
      <c r="L2142" s="61" t="n">
        <f aca="false">H2142*Resumo!$C$8</f>
        <v>1.616349</v>
      </c>
      <c r="M2142" s="61" t="n">
        <f aca="false">Resumo!$C$10*CEILING(G2142/100,1)</f>
        <v>1.05</v>
      </c>
      <c r="N2142" s="61" t="n">
        <f aca="false">Resumo!$C$9</f>
        <v>0</v>
      </c>
      <c r="O2142" s="61" t="n">
        <f aca="false">Resumo!$C$13</f>
        <v>13.55</v>
      </c>
      <c r="P2142" s="61" t="n">
        <f aca="false">Resumo!$C$14*CEILING(G2142,1)</f>
        <v>28.35</v>
      </c>
      <c r="Q2142" s="61" t="n">
        <f aca="false">SUM(I2142:P2142)*Resumo!$C$11</f>
        <v>0</v>
      </c>
      <c r="R2142" s="61" t="n">
        <f aca="false">SUM(I2142:Q2142)</f>
        <v>136.382698</v>
      </c>
      <c r="S2142" s="61" t="n">
        <f aca="false">R2142/(1-Resumo!$C$5)</f>
        <v>154.980338636364</v>
      </c>
      <c r="T2142" s="61" t="n">
        <v>166.05</v>
      </c>
      <c r="U2142" s="61" t="n">
        <f aca="false">H2142*Resumo!$B$6</f>
        <v>0.76969</v>
      </c>
      <c r="V2142" s="61" t="n">
        <f aca="false">H2142*Resumo!$B$7</f>
        <v>1.53938</v>
      </c>
      <c r="W2142" s="61" t="n">
        <f aca="false">Resumo!$B$9</f>
        <v>1</v>
      </c>
      <c r="X2142" s="61" t="n">
        <f aca="false">Resumo!$B$10*CEILING(G2142/100,1)</f>
        <v>4.5</v>
      </c>
      <c r="Y2142" s="61" t="n">
        <f aca="false">Resumo!$B$12*CEILING(G2142,1)</f>
        <v>3.78</v>
      </c>
      <c r="Z2142" s="61" t="n">
        <f aca="false">Resumo!$B$14*CEILING(G2142,1)</f>
        <v>28.35</v>
      </c>
      <c r="AA2142" s="61" t="n">
        <f aca="false">SUM(T2142:Z2142)</f>
        <v>205.98907</v>
      </c>
      <c r="AB2142" s="61" t="n">
        <f aca="false">AA2142/(1-Resumo!$B$5)</f>
        <v>234.078488636364</v>
      </c>
      <c r="AC2142" s="61" t="n">
        <f aca="false">AB2142-S2142</f>
        <v>79.09815</v>
      </c>
      <c r="AD2142" s="62" t="n">
        <f aca="false">AB2142/S2142-1</f>
        <v>0.510375385006681</v>
      </c>
      <c r="AE2142" s="60" t="str">
        <f aca="false">IF(AB2142&lt;S2142,"SIM","NÃO")</f>
        <v>NÃO</v>
      </c>
      <c r="AF2142" s="60" t="n">
        <v>13</v>
      </c>
      <c r="AG2142" s="60" t="n">
        <v>10</v>
      </c>
      <c r="AH2142" s="60" t="s">
        <v>385</v>
      </c>
      <c r="AI2142" s="61" t="n">
        <f aca="false">(T2142*(1-Painel!$C$40)+U2142+V2142+Painel!$C$41+Painel!$C$42*CEILING(G2142/100,1)+Painel!$C$43*CEILING(G2142,1)+Z2142)/(1-Resumo!$B$5)</f>
        <v>163.593829545455</v>
      </c>
      <c r="AJ2142" s="60" t="str">
        <f aca="false">IF(AI2142&lt;S2142,"SIM","NÃO")</f>
        <v>NÃO</v>
      </c>
    </row>
    <row r="2143" customFormat="false" ht="15" hidden="false" customHeight="false" outlineLevel="0" collapsed="false">
      <c r="A2143" s="59" t="n">
        <v>46291.8747337963</v>
      </c>
      <c r="B2143" s="60" t="s">
        <v>2272</v>
      </c>
      <c r="C2143" s="60" t="n">
        <v>21380010</v>
      </c>
      <c r="D2143" s="60" t="s">
        <v>46</v>
      </c>
      <c r="E2143" s="60" t="s">
        <v>22</v>
      </c>
      <c r="F2143" s="60" t="s">
        <v>233</v>
      </c>
      <c r="G2143" s="60" t="n">
        <v>20.9</v>
      </c>
      <c r="H2143" s="61" t="n">
        <v>440.99</v>
      </c>
      <c r="I2143" s="61" t="n">
        <v>42.11</v>
      </c>
      <c r="J2143" s="61" t="n">
        <f aca="false">H2143*Resumo!$C$6</f>
        <v>0</v>
      </c>
      <c r="K2143" s="61" t="n">
        <f aca="false">H2143*Resumo!$C$7</f>
        <v>0.926079</v>
      </c>
      <c r="L2143" s="61" t="n">
        <f aca="false">H2143*Resumo!$C$8</f>
        <v>0.926079</v>
      </c>
      <c r="M2143" s="61" t="n">
        <f aca="false">Resumo!$C$10*CEILING(G2143/100,1)</f>
        <v>1.05</v>
      </c>
      <c r="N2143" s="61" t="n">
        <f aca="false">Resumo!$C$9</f>
        <v>0</v>
      </c>
      <c r="O2143" s="61" t="n">
        <f aca="false">Resumo!$C$13</f>
        <v>13.55</v>
      </c>
      <c r="P2143" s="61" t="n">
        <f aca="false">Resumo!$C$14*CEILING(G2143,1)</f>
        <v>9.45</v>
      </c>
      <c r="Q2143" s="61" t="n">
        <f aca="false">SUM(I2143:P2143)*Resumo!$C$11</f>
        <v>0</v>
      </c>
      <c r="R2143" s="61" t="n">
        <f aca="false">SUM(I2143:Q2143)</f>
        <v>68.012158</v>
      </c>
      <c r="S2143" s="61" t="n">
        <f aca="false">R2143/(1-Resumo!$C$5)</f>
        <v>77.2865431818182</v>
      </c>
      <c r="T2143" s="61" t="n">
        <v>82.21</v>
      </c>
      <c r="U2143" s="61" t="n">
        <f aca="false">H2143*Resumo!$B$6</f>
        <v>0.44099</v>
      </c>
      <c r="V2143" s="61" t="n">
        <f aca="false">H2143*Resumo!$B$7</f>
        <v>0.88198</v>
      </c>
      <c r="W2143" s="61" t="n">
        <f aca="false">Resumo!$B$9</f>
        <v>1</v>
      </c>
      <c r="X2143" s="61" t="n">
        <f aca="false">Resumo!$B$10*CEILING(G2143/100,1)</f>
        <v>4.5</v>
      </c>
      <c r="Y2143" s="61" t="n">
        <f aca="false">Resumo!$B$12*CEILING(G2143,1)</f>
        <v>1.26</v>
      </c>
      <c r="Z2143" s="61" t="n">
        <f aca="false">Resumo!$B$14*CEILING(G2143,1)</f>
        <v>9.45</v>
      </c>
      <c r="AA2143" s="61" t="n">
        <f aca="false">SUM(T2143:Z2143)</f>
        <v>99.74297</v>
      </c>
      <c r="AB2143" s="61" t="n">
        <f aca="false">AA2143/(1-Resumo!$B$5)</f>
        <v>113.344284090909</v>
      </c>
      <c r="AC2143" s="61" t="n">
        <f aca="false">AB2143-S2143</f>
        <v>36.0577409090909</v>
      </c>
      <c r="AD2143" s="62" t="n">
        <f aca="false">AB2143/S2143-1</f>
        <v>0.466546172524036</v>
      </c>
      <c r="AE2143" s="60" t="str">
        <f aca="false">IF(AB2143&lt;S2143,"SIM","NÃO")</f>
        <v>NÃO</v>
      </c>
      <c r="AF2143" s="60" t="n">
        <v>2</v>
      </c>
      <c r="AG2143" s="60" t="n">
        <v>5</v>
      </c>
      <c r="AH2143" s="60" t="s">
        <v>382</v>
      </c>
      <c r="AI2143" s="61" t="n">
        <f aca="false">(T2143*(1-Painel!$C$40)+U2143+V2143+Painel!$C$41+Painel!$C$42*CEILING(G2143/100,1)+Painel!$C$43*CEILING(G2143,1)+Z2143)/(1-Resumo!$B$5)</f>
        <v>77.1632613636364</v>
      </c>
      <c r="AJ2143" s="60" t="str">
        <f aca="false">IF(AI2143&lt;S2143,"SIM","NÃO")</f>
        <v>SIM</v>
      </c>
    </row>
    <row r="2144" customFormat="false" ht="15" hidden="false" customHeight="false" outlineLevel="0" collapsed="false">
      <c r="A2144" s="59" t="n">
        <v>46291.8933217593</v>
      </c>
      <c r="B2144" s="60" t="s">
        <v>2273</v>
      </c>
      <c r="C2144" s="60" t="n">
        <v>28988804</v>
      </c>
      <c r="D2144" s="60" t="s">
        <v>222</v>
      </c>
      <c r="E2144" s="60" t="s">
        <v>24</v>
      </c>
      <c r="F2144" s="60" t="s">
        <v>237</v>
      </c>
      <c r="G2144" s="60" t="n">
        <v>68.1</v>
      </c>
      <c r="H2144" s="61" t="n">
        <v>960</v>
      </c>
      <c r="I2144" s="61" t="n">
        <v>90.2</v>
      </c>
      <c r="J2144" s="61" t="n">
        <f aca="false">H2144*Resumo!$C$6</f>
        <v>0</v>
      </c>
      <c r="K2144" s="61" t="n">
        <f aca="false">H2144*Resumo!$C$7</f>
        <v>2.016</v>
      </c>
      <c r="L2144" s="61" t="n">
        <f aca="false">H2144*Resumo!$C$8</f>
        <v>2.016</v>
      </c>
      <c r="M2144" s="61" t="n">
        <f aca="false">Resumo!$C$10*CEILING(G2144/100,1)</f>
        <v>1.05</v>
      </c>
      <c r="N2144" s="61" t="n">
        <f aca="false">Resumo!$C$9</f>
        <v>0</v>
      </c>
      <c r="O2144" s="61" t="n">
        <f aca="false">Resumo!$C$13</f>
        <v>13.55</v>
      </c>
      <c r="P2144" s="61" t="n">
        <f aca="false">Resumo!$C$14*CEILING(G2144,1)</f>
        <v>31.05</v>
      </c>
      <c r="Q2144" s="61" t="n">
        <f aca="false">SUM(I2144:P2144)*Resumo!$C$11</f>
        <v>0</v>
      </c>
      <c r="R2144" s="61" t="n">
        <f aca="false">SUM(I2144:Q2144)</f>
        <v>139.882</v>
      </c>
      <c r="S2144" s="61" t="n">
        <f aca="false">R2144/(1-Resumo!$C$5)</f>
        <v>158.956818181818</v>
      </c>
      <c r="T2144" s="61" t="n">
        <v>166.05</v>
      </c>
      <c r="U2144" s="61" t="n">
        <f aca="false">H2144*Resumo!$B$6</f>
        <v>0.96</v>
      </c>
      <c r="V2144" s="61" t="n">
        <f aca="false">H2144*Resumo!$B$7</f>
        <v>1.92</v>
      </c>
      <c r="W2144" s="61" t="n">
        <f aca="false">Resumo!$B$9</f>
        <v>1</v>
      </c>
      <c r="X2144" s="61" t="n">
        <f aca="false">Resumo!$B$10*CEILING(G2144/100,1)</f>
        <v>4.5</v>
      </c>
      <c r="Y2144" s="61" t="n">
        <f aca="false">Resumo!$B$12*CEILING(G2144,1)</f>
        <v>4.14</v>
      </c>
      <c r="Z2144" s="61" t="n">
        <f aca="false">Resumo!$B$14*CEILING(G2144,1)</f>
        <v>31.05</v>
      </c>
      <c r="AA2144" s="61" t="n">
        <f aca="false">SUM(T2144:Z2144)</f>
        <v>209.62</v>
      </c>
      <c r="AB2144" s="61" t="n">
        <f aca="false">AA2144/(1-Resumo!$B$5)</f>
        <v>238.204545454546</v>
      </c>
      <c r="AC2144" s="61" t="n">
        <f aca="false">AB2144-S2144</f>
        <v>79.2477272727273</v>
      </c>
      <c r="AD2144" s="62" t="n">
        <f aca="false">AB2144/S2144-1</f>
        <v>0.498548776826182</v>
      </c>
      <c r="AE2144" s="60" t="str">
        <f aca="false">IF(AB2144&lt;S2144,"SIM","NÃO")</f>
        <v>NÃO</v>
      </c>
      <c r="AF2144" s="60" t="n">
        <v>13</v>
      </c>
      <c r="AG2144" s="60" t="n">
        <v>10</v>
      </c>
      <c r="AH2144" s="60" t="s">
        <v>382</v>
      </c>
      <c r="AI2144" s="61" t="n">
        <f aca="false">(T2144*(1-Painel!$C$40)+U2144+V2144+Painel!$C$41+Painel!$C$42*CEILING(G2144/100,1)+Painel!$C$43*CEILING(G2144,1)+Z2144)/(1-Resumo!$B$5)</f>
        <v>167.310795454545</v>
      </c>
      <c r="AJ2144" s="60" t="str">
        <f aca="false">IF(AI2144&lt;S2144,"SIM","NÃO")</f>
        <v>NÃO</v>
      </c>
    </row>
    <row r="2145" customFormat="false" ht="15" hidden="false" customHeight="false" outlineLevel="0" collapsed="false">
      <c r="A2145" s="59" t="n">
        <v>46291.9250231482</v>
      </c>
      <c r="B2145" s="60" t="s">
        <v>2274</v>
      </c>
      <c r="C2145" s="60" t="n">
        <v>25954205</v>
      </c>
      <c r="D2145" s="60" t="s">
        <v>281</v>
      </c>
      <c r="E2145" s="60" t="s">
        <v>24</v>
      </c>
      <c r="F2145" s="60" t="s">
        <v>237</v>
      </c>
      <c r="G2145" s="60" t="n">
        <v>63.9</v>
      </c>
      <c r="H2145" s="61" t="n">
        <v>716.35</v>
      </c>
      <c r="I2145" s="61" t="n">
        <v>90.2</v>
      </c>
      <c r="J2145" s="61" t="n">
        <f aca="false">H2145*Resumo!$C$6</f>
        <v>0</v>
      </c>
      <c r="K2145" s="61" t="n">
        <f aca="false">H2145*Resumo!$C$7</f>
        <v>1.504335</v>
      </c>
      <c r="L2145" s="61" t="n">
        <f aca="false">H2145*Resumo!$C$8</f>
        <v>1.504335</v>
      </c>
      <c r="M2145" s="61" t="n">
        <f aca="false">Resumo!$C$10*CEILING(G2145/100,1)</f>
        <v>1.05</v>
      </c>
      <c r="N2145" s="61" t="n">
        <f aca="false">Resumo!$C$9</f>
        <v>0</v>
      </c>
      <c r="O2145" s="61" t="n">
        <f aca="false">Resumo!$C$13</f>
        <v>13.55</v>
      </c>
      <c r="P2145" s="61" t="n">
        <f aca="false">Resumo!$C$14*CEILING(G2145,1)</f>
        <v>28.8</v>
      </c>
      <c r="Q2145" s="61" t="n">
        <f aca="false">SUM(I2145:P2145)*Resumo!$C$11</f>
        <v>0</v>
      </c>
      <c r="R2145" s="61" t="n">
        <f aca="false">SUM(I2145:Q2145)</f>
        <v>136.60867</v>
      </c>
      <c r="S2145" s="61" t="n">
        <f aca="false">R2145/(1-Resumo!$C$5)</f>
        <v>155.237125</v>
      </c>
      <c r="T2145" s="61" t="n">
        <v>166.05</v>
      </c>
      <c r="U2145" s="61" t="n">
        <f aca="false">H2145*Resumo!$B$6</f>
        <v>0.71635</v>
      </c>
      <c r="V2145" s="61" t="n">
        <f aca="false">H2145*Resumo!$B$7</f>
        <v>1.4327</v>
      </c>
      <c r="W2145" s="61" t="n">
        <f aca="false">Resumo!$B$9</f>
        <v>1</v>
      </c>
      <c r="X2145" s="61" t="n">
        <f aca="false">Resumo!$B$10*CEILING(G2145/100,1)</f>
        <v>4.5</v>
      </c>
      <c r="Y2145" s="61" t="n">
        <f aca="false">Resumo!$B$12*CEILING(G2145,1)</f>
        <v>3.84</v>
      </c>
      <c r="Z2145" s="61" t="n">
        <f aca="false">Resumo!$B$14*CEILING(G2145,1)</f>
        <v>28.8</v>
      </c>
      <c r="AA2145" s="61" t="n">
        <f aca="false">SUM(T2145:Z2145)</f>
        <v>206.33905</v>
      </c>
      <c r="AB2145" s="61" t="n">
        <f aca="false">AA2145/(1-Resumo!$B$5)</f>
        <v>234.476193181818</v>
      </c>
      <c r="AC2145" s="61" t="n">
        <f aca="false">AB2145-S2145</f>
        <v>79.2390681818182</v>
      </c>
      <c r="AD2145" s="62" t="n">
        <f aca="false">AB2145/S2145-1</f>
        <v>0.51043890552481</v>
      </c>
      <c r="AE2145" s="60" t="str">
        <f aca="false">IF(AB2145&lt;S2145,"SIM","NÃO")</f>
        <v>NÃO</v>
      </c>
      <c r="AF2145" s="60" t="n">
        <v>13</v>
      </c>
      <c r="AG2145" s="60" t="n">
        <v>10</v>
      </c>
      <c r="AH2145" s="60" t="s">
        <v>385</v>
      </c>
      <c r="AI2145" s="61" t="n">
        <f aca="false">(T2145*(1-Painel!$C$40)+U2145+V2145+Painel!$C$41+Painel!$C$42*CEILING(G2145/100,1)+Painel!$C$43*CEILING(G2145,1)+Z2145)/(1-Resumo!$B$5)</f>
        <v>163.923352272727</v>
      </c>
      <c r="AJ2145" s="60" t="str">
        <f aca="false">IF(AI2145&lt;S2145,"SIM","NÃO")</f>
        <v>NÃO</v>
      </c>
    </row>
    <row r="2146" customFormat="false" ht="15" hidden="false" customHeight="false" outlineLevel="0" collapsed="false">
      <c r="A2146" s="59" t="n">
        <v>46291.9351041667</v>
      </c>
      <c r="B2146" s="60" t="s">
        <v>2275</v>
      </c>
      <c r="C2146" s="60" t="n">
        <v>25935426</v>
      </c>
      <c r="D2146" s="60" t="s">
        <v>225</v>
      </c>
      <c r="E2146" s="60" t="s">
        <v>24</v>
      </c>
      <c r="F2146" s="60" t="s">
        <v>233</v>
      </c>
      <c r="G2146" s="60" t="n">
        <v>27.6</v>
      </c>
      <c r="H2146" s="61" t="n">
        <v>329.7</v>
      </c>
      <c r="I2146" s="61" t="n">
        <v>65.63</v>
      </c>
      <c r="J2146" s="61" t="n">
        <f aca="false">H2146*Resumo!$C$6</f>
        <v>0</v>
      </c>
      <c r="K2146" s="61" t="n">
        <f aca="false">H2146*Resumo!$C$7</f>
        <v>0.69237</v>
      </c>
      <c r="L2146" s="61" t="n">
        <f aca="false">H2146*Resumo!$C$8</f>
        <v>0.69237</v>
      </c>
      <c r="M2146" s="61" t="n">
        <f aca="false">Resumo!$C$10*CEILING(G2146/100,1)</f>
        <v>1.05</v>
      </c>
      <c r="N2146" s="61" t="n">
        <f aca="false">Resumo!$C$9</f>
        <v>0</v>
      </c>
      <c r="O2146" s="61" t="n">
        <f aca="false">Resumo!$C$13</f>
        <v>13.55</v>
      </c>
      <c r="P2146" s="61" t="n">
        <f aca="false">Resumo!$C$14*CEILING(G2146,1)</f>
        <v>12.6</v>
      </c>
      <c r="Q2146" s="61" t="n">
        <f aca="false">SUM(I2146:P2146)*Resumo!$C$11</f>
        <v>0</v>
      </c>
      <c r="R2146" s="61" t="n">
        <f aca="false">SUM(I2146:Q2146)</f>
        <v>94.21474</v>
      </c>
      <c r="S2146" s="61" t="n">
        <f aca="false">R2146/(1-Resumo!$C$5)</f>
        <v>107.062204545455</v>
      </c>
      <c r="T2146" s="61" t="n">
        <v>103.28</v>
      </c>
      <c r="U2146" s="61" t="n">
        <f aca="false">H2146*Resumo!$B$6</f>
        <v>0.3297</v>
      </c>
      <c r="V2146" s="61" t="n">
        <f aca="false">H2146*Resumo!$B$7</f>
        <v>0.6594</v>
      </c>
      <c r="W2146" s="61" t="n">
        <f aca="false">Resumo!$B$9</f>
        <v>1</v>
      </c>
      <c r="X2146" s="61" t="n">
        <f aca="false">Resumo!$B$10*CEILING(G2146/100,1)</f>
        <v>4.5</v>
      </c>
      <c r="Y2146" s="61" t="n">
        <f aca="false">Resumo!$B$12*CEILING(G2146,1)</f>
        <v>1.68</v>
      </c>
      <c r="Z2146" s="61" t="n">
        <f aca="false">Resumo!$B$14*CEILING(G2146,1)</f>
        <v>12.6</v>
      </c>
      <c r="AA2146" s="61" t="n">
        <f aca="false">SUM(T2146:Z2146)</f>
        <v>124.0491</v>
      </c>
      <c r="AB2146" s="61" t="n">
        <f aca="false">AA2146/(1-Resumo!$B$5)</f>
        <v>140.964886363636</v>
      </c>
      <c r="AC2146" s="61" t="n">
        <f aca="false">AB2146-S2146</f>
        <v>33.9026818181818</v>
      </c>
      <c r="AD2146" s="62" t="n">
        <f aca="false">AB2146/S2146-1</f>
        <v>0.316663401077157</v>
      </c>
      <c r="AE2146" s="60" t="str">
        <f aca="false">IF(AB2146&lt;S2146,"SIM","NÃO")</f>
        <v>NÃO</v>
      </c>
      <c r="AF2146" s="60" t="n">
        <v>13</v>
      </c>
      <c r="AG2146" s="60" t="n">
        <v>6</v>
      </c>
      <c r="AH2146" s="60" t="s">
        <v>382</v>
      </c>
      <c r="AI2146" s="61" t="n">
        <f aca="false">(T2146*(1-Painel!$C$40)+U2146+V2146+Painel!$C$41+Painel!$C$42*CEILING(G2146/100,1)+Painel!$C$43*CEILING(G2146,1)+Z2146)/(1-Resumo!$B$5)</f>
        <v>96.4053409090909</v>
      </c>
      <c r="AJ2146" s="60" t="str">
        <f aca="false">IF(AI2146&lt;S2146,"SIM","NÃO")</f>
        <v>SIM</v>
      </c>
    </row>
    <row r="2147" customFormat="false" ht="15" hidden="false" customHeight="false" outlineLevel="0" collapsed="false">
      <c r="A2147" s="59" t="n">
        <v>46292.1925231482</v>
      </c>
      <c r="B2147" s="60" t="s">
        <v>2276</v>
      </c>
      <c r="C2147" s="60" t="n">
        <v>23059001</v>
      </c>
      <c r="D2147" s="60" t="s">
        <v>46</v>
      </c>
      <c r="E2147" s="60" t="s">
        <v>22</v>
      </c>
      <c r="F2147" s="60" t="s">
        <v>236</v>
      </c>
      <c r="G2147" s="60" t="n">
        <v>52.3</v>
      </c>
      <c r="H2147" s="61" t="n">
        <v>692.99</v>
      </c>
      <c r="I2147" s="61" t="n">
        <v>58.6</v>
      </c>
      <c r="J2147" s="61" t="n">
        <f aca="false">H2147*Resumo!$C$6</f>
        <v>0</v>
      </c>
      <c r="K2147" s="61" t="n">
        <f aca="false">H2147*Resumo!$C$7</f>
        <v>1.455279</v>
      </c>
      <c r="L2147" s="61" t="n">
        <f aca="false">H2147*Resumo!$C$8</f>
        <v>1.455279</v>
      </c>
      <c r="M2147" s="61" t="n">
        <f aca="false">Resumo!$C$10*CEILING(G2147/100,1)</f>
        <v>1.05</v>
      </c>
      <c r="N2147" s="61" t="n">
        <f aca="false">Resumo!$C$9</f>
        <v>0</v>
      </c>
      <c r="O2147" s="61" t="n">
        <f aca="false">Resumo!$C$13</f>
        <v>13.55</v>
      </c>
      <c r="P2147" s="61" t="n">
        <f aca="false">Resumo!$C$14*CEILING(G2147,1)</f>
        <v>23.85</v>
      </c>
      <c r="Q2147" s="61" t="n">
        <f aca="false">SUM(I2147:P2147)*Resumo!$C$11</f>
        <v>0</v>
      </c>
      <c r="R2147" s="61" t="n">
        <f aca="false">SUM(I2147:Q2147)</f>
        <v>99.960558</v>
      </c>
      <c r="S2147" s="61" t="n">
        <f aca="false">R2147/(1-Resumo!$C$5)</f>
        <v>113.591543181818</v>
      </c>
      <c r="T2147" s="61" t="n">
        <v>112.3</v>
      </c>
      <c r="U2147" s="61" t="n">
        <f aca="false">H2147*Resumo!$B$6</f>
        <v>0.69299</v>
      </c>
      <c r="V2147" s="61" t="n">
        <f aca="false">H2147*Resumo!$B$7</f>
        <v>1.38598</v>
      </c>
      <c r="W2147" s="61" t="n">
        <f aca="false">Resumo!$B$9</f>
        <v>1</v>
      </c>
      <c r="X2147" s="61" t="n">
        <f aca="false">Resumo!$B$10*CEILING(G2147/100,1)</f>
        <v>4.5</v>
      </c>
      <c r="Y2147" s="61" t="n">
        <f aca="false">Resumo!$B$12*CEILING(G2147,1)</f>
        <v>3.18</v>
      </c>
      <c r="Z2147" s="61" t="n">
        <f aca="false">Resumo!$B$14*CEILING(G2147,1)</f>
        <v>23.85</v>
      </c>
      <c r="AA2147" s="61" t="n">
        <f aca="false">SUM(T2147:Z2147)</f>
        <v>146.90897</v>
      </c>
      <c r="AB2147" s="61" t="n">
        <f aca="false">AA2147/(1-Resumo!$B$5)</f>
        <v>166.942011363636</v>
      </c>
      <c r="AC2147" s="61" t="n">
        <f aca="false">AB2147-S2147</f>
        <v>53.3504681818182</v>
      </c>
      <c r="AD2147" s="62" t="n">
        <f aca="false">AB2147/S2147-1</f>
        <v>0.469669366991729</v>
      </c>
      <c r="AE2147" s="60" t="str">
        <f aca="false">IF(AB2147&lt;S2147,"SIM","NÃO")</f>
        <v>NÃO</v>
      </c>
      <c r="AF2147" s="60" t="n">
        <v>2</v>
      </c>
      <c r="AG2147" s="60" t="n">
        <v>5</v>
      </c>
      <c r="AH2147" s="60" t="s">
        <v>382</v>
      </c>
      <c r="AI2147" s="61" t="n">
        <f aca="false">(T2147*(1-Painel!$C$40)+U2147+V2147+Painel!$C$41+Painel!$C$42*CEILING(G2147/100,1)+Painel!$C$43*CEILING(G2147,1)+Z2147)/(1-Resumo!$B$5)</f>
        <v>117.295420454545</v>
      </c>
      <c r="AJ2147" s="60" t="str">
        <f aca="false">IF(AI2147&lt;S2147,"SIM","NÃO")</f>
        <v>NÃO</v>
      </c>
    </row>
    <row r="2148" customFormat="false" ht="15" hidden="false" customHeight="false" outlineLevel="0" collapsed="false">
      <c r="A2148" s="59" t="n">
        <v>46292.484537037</v>
      </c>
      <c r="B2148" s="60" t="s">
        <v>2277</v>
      </c>
      <c r="C2148" s="60" t="n">
        <v>24465000</v>
      </c>
      <c r="D2148" s="60" t="s">
        <v>47</v>
      </c>
      <c r="E2148" s="60" t="s">
        <v>23</v>
      </c>
      <c r="F2148" s="60" t="s">
        <v>234</v>
      </c>
      <c r="G2148" s="60" t="n">
        <v>36.9</v>
      </c>
      <c r="H2148" s="61" t="n">
        <v>399.99</v>
      </c>
      <c r="I2148" s="61" t="n">
        <v>66.83</v>
      </c>
      <c r="J2148" s="61" t="n">
        <f aca="false">H2148*Resumo!$C$6</f>
        <v>0</v>
      </c>
      <c r="K2148" s="61" t="n">
        <f aca="false">H2148*Resumo!$C$7</f>
        <v>0.839979</v>
      </c>
      <c r="L2148" s="61" t="n">
        <f aca="false">H2148*Resumo!$C$8</f>
        <v>0.839979</v>
      </c>
      <c r="M2148" s="61" t="n">
        <f aca="false">Resumo!$C$10*CEILING(G2148/100,1)</f>
        <v>1.05</v>
      </c>
      <c r="N2148" s="61" t="n">
        <f aca="false">Resumo!$C$9</f>
        <v>0</v>
      </c>
      <c r="O2148" s="61" t="n">
        <f aca="false">Resumo!$C$13</f>
        <v>13.55</v>
      </c>
      <c r="P2148" s="61" t="n">
        <f aca="false">Resumo!$C$14*CEILING(G2148,1)</f>
        <v>16.65</v>
      </c>
      <c r="Q2148" s="61" t="n">
        <f aca="false">SUM(I2148:P2148)*Resumo!$C$11</f>
        <v>0</v>
      </c>
      <c r="R2148" s="61" t="n">
        <f aca="false">SUM(I2148:Q2148)</f>
        <v>99.759958</v>
      </c>
      <c r="S2148" s="61" t="n">
        <f aca="false">R2148/(1-Resumo!$C$5)</f>
        <v>113.363588636364</v>
      </c>
      <c r="T2148" s="61" t="n">
        <v>114.95</v>
      </c>
      <c r="U2148" s="61" t="n">
        <f aca="false">H2148*Resumo!$B$6</f>
        <v>0.39999</v>
      </c>
      <c r="V2148" s="61" t="n">
        <f aca="false">H2148*Resumo!$B$7</f>
        <v>0.79998</v>
      </c>
      <c r="W2148" s="61" t="n">
        <f aca="false">Resumo!$B$9</f>
        <v>1</v>
      </c>
      <c r="X2148" s="61" t="n">
        <f aca="false">Resumo!$B$10*CEILING(G2148/100,1)</f>
        <v>4.5</v>
      </c>
      <c r="Y2148" s="61" t="n">
        <f aca="false">Resumo!$B$12*CEILING(G2148,1)</f>
        <v>2.22</v>
      </c>
      <c r="Z2148" s="61" t="n">
        <f aca="false">Resumo!$B$14*CEILING(G2148,1)</f>
        <v>16.65</v>
      </c>
      <c r="AA2148" s="61" t="n">
        <f aca="false">SUM(T2148:Z2148)</f>
        <v>140.51997</v>
      </c>
      <c r="AB2148" s="61" t="n">
        <f aca="false">AA2148/(1-Resumo!$B$5)</f>
        <v>159.681784090909</v>
      </c>
      <c r="AC2148" s="61" t="n">
        <f aca="false">AB2148-S2148</f>
        <v>46.3181954545455</v>
      </c>
      <c r="AD2148" s="62" t="n">
        <f aca="false">AB2148/S2148-1</f>
        <v>0.408580885729723</v>
      </c>
      <c r="AE2148" s="60" t="str">
        <f aca="false">IF(AB2148&lt;S2148,"SIM","NÃO")</f>
        <v>NÃO</v>
      </c>
      <c r="AF2148" s="60" t="n">
        <v>2</v>
      </c>
      <c r="AG2148" s="60" t="n">
        <v>7</v>
      </c>
      <c r="AH2148" s="60" t="s">
        <v>382</v>
      </c>
      <c r="AI2148" s="61" t="n">
        <f aca="false">(T2148*(1-Painel!$C$40)+U2148+V2148+Painel!$C$41+Painel!$C$42*CEILING(G2148/100,1)+Painel!$C$43*CEILING(G2148,1)+Z2148)/(1-Resumo!$B$5)</f>
        <v>110.132352272727</v>
      </c>
      <c r="AJ2148" s="60" t="str">
        <f aca="false">IF(AI2148&lt;S2148,"SIM","NÃO")</f>
        <v>SIM</v>
      </c>
    </row>
    <row r="2149" customFormat="false" ht="15" hidden="false" customHeight="false" outlineLevel="0" collapsed="false">
      <c r="A2149" s="59" t="n">
        <v>46292.4851041667</v>
      </c>
      <c r="B2149" s="60" t="s">
        <v>2278</v>
      </c>
      <c r="C2149" s="60" t="n">
        <v>21060110</v>
      </c>
      <c r="D2149" s="60" t="s">
        <v>46</v>
      </c>
      <c r="E2149" s="60" t="s">
        <v>22</v>
      </c>
      <c r="F2149" s="60" t="s">
        <v>236</v>
      </c>
      <c r="G2149" s="60" t="n">
        <v>52.3</v>
      </c>
      <c r="H2149" s="61" t="n">
        <v>636.83</v>
      </c>
      <c r="I2149" s="61" t="n">
        <v>58.6</v>
      </c>
      <c r="J2149" s="61" t="n">
        <f aca="false">H2149*Resumo!$C$6</f>
        <v>0</v>
      </c>
      <c r="K2149" s="61" t="n">
        <f aca="false">H2149*Resumo!$C$7</f>
        <v>1.337343</v>
      </c>
      <c r="L2149" s="61" t="n">
        <f aca="false">H2149*Resumo!$C$8</f>
        <v>1.337343</v>
      </c>
      <c r="M2149" s="61" t="n">
        <f aca="false">Resumo!$C$10*CEILING(G2149/100,1)</f>
        <v>1.05</v>
      </c>
      <c r="N2149" s="61" t="n">
        <f aca="false">Resumo!$C$9</f>
        <v>0</v>
      </c>
      <c r="O2149" s="61" t="n">
        <f aca="false">Resumo!$C$13</f>
        <v>13.55</v>
      </c>
      <c r="P2149" s="61" t="n">
        <f aca="false">Resumo!$C$14*CEILING(G2149,1)</f>
        <v>23.85</v>
      </c>
      <c r="Q2149" s="61" t="n">
        <f aca="false">SUM(I2149:P2149)*Resumo!$C$11</f>
        <v>0</v>
      </c>
      <c r="R2149" s="61" t="n">
        <f aca="false">SUM(I2149:Q2149)</f>
        <v>99.724686</v>
      </c>
      <c r="S2149" s="61" t="n">
        <f aca="false">R2149/(1-Resumo!$C$5)</f>
        <v>113.323506818182</v>
      </c>
      <c r="T2149" s="61" t="n">
        <v>112.3</v>
      </c>
      <c r="U2149" s="61" t="n">
        <f aca="false">H2149*Resumo!$B$6</f>
        <v>0.63683</v>
      </c>
      <c r="V2149" s="61" t="n">
        <f aca="false">H2149*Resumo!$B$7</f>
        <v>1.27366</v>
      </c>
      <c r="W2149" s="61" t="n">
        <f aca="false">Resumo!$B$9</f>
        <v>1</v>
      </c>
      <c r="X2149" s="61" t="n">
        <f aca="false">Resumo!$B$10*CEILING(G2149/100,1)</f>
        <v>4.5</v>
      </c>
      <c r="Y2149" s="61" t="n">
        <f aca="false">Resumo!$B$12*CEILING(G2149,1)</f>
        <v>3.18</v>
      </c>
      <c r="Z2149" s="61" t="n">
        <f aca="false">Resumo!$B$14*CEILING(G2149,1)</f>
        <v>23.85</v>
      </c>
      <c r="AA2149" s="61" t="n">
        <f aca="false">SUM(T2149:Z2149)</f>
        <v>146.74049</v>
      </c>
      <c r="AB2149" s="61" t="n">
        <f aca="false">AA2149/(1-Resumo!$B$5)</f>
        <v>166.750556818182</v>
      </c>
      <c r="AC2149" s="61" t="n">
        <f aca="false">AB2149-S2149</f>
        <v>53.42705</v>
      </c>
      <c r="AD2149" s="62" t="n">
        <f aca="false">AB2149/S2149-1</f>
        <v>0.471456024439124</v>
      </c>
      <c r="AE2149" s="60" t="str">
        <f aca="false">IF(AB2149&lt;S2149,"SIM","NÃO")</f>
        <v>NÃO</v>
      </c>
      <c r="AF2149" s="60" t="n">
        <v>2</v>
      </c>
      <c r="AG2149" s="60" t="n">
        <v>5</v>
      </c>
      <c r="AH2149" s="60" t="s">
        <v>382</v>
      </c>
      <c r="AI2149" s="61" t="n">
        <f aca="false">(T2149*(1-Painel!$C$40)+U2149+V2149+Painel!$C$41+Painel!$C$42*CEILING(G2149/100,1)+Painel!$C$43*CEILING(G2149,1)+Z2149)/(1-Resumo!$B$5)</f>
        <v>117.103965909091</v>
      </c>
      <c r="AJ2149" s="60" t="str">
        <f aca="false">IF(AI2149&lt;S2149,"SIM","NÃO")</f>
        <v>NÃO</v>
      </c>
    </row>
    <row r="2150" customFormat="false" ht="15" hidden="false" customHeight="false" outlineLevel="0" collapsed="false">
      <c r="A2150" s="59" t="n">
        <v>46292.4912268519</v>
      </c>
      <c r="B2150" s="60" t="s">
        <v>2279</v>
      </c>
      <c r="C2150" s="60" t="n">
        <v>22793261</v>
      </c>
      <c r="D2150" s="60" t="s">
        <v>46</v>
      </c>
      <c r="E2150" s="60" t="s">
        <v>22</v>
      </c>
      <c r="F2150" s="60" t="s">
        <v>236</v>
      </c>
      <c r="G2150" s="60" t="n">
        <v>52.3</v>
      </c>
      <c r="H2150" s="61" t="n">
        <v>636.83</v>
      </c>
      <c r="I2150" s="61" t="n">
        <v>58.6</v>
      </c>
      <c r="J2150" s="61" t="n">
        <f aca="false">H2150*Resumo!$C$6</f>
        <v>0</v>
      </c>
      <c r="K2150" s="61" t="n">
        <f aca="false">H2150*Resumo!$C$7</f>
        <v>1.337343</v>
      </c>
      <c r="L2150" s="61" t="n">
        <f aca="false">H2150*Resumo!$C$8</f>
        <v>1.337343</v>
      </c>
      <c r="M2150" s="61" t="n">
        <f aca="false">Resumo!$C$10*CEILING(G2150/100,1)</f>
        <v>1.05</v>
      </c>
      <c r="N2150" s="61" t="n">
        <f aca="false">Resumo!$C$9</f>
        <v>0</v>
      </c>
      <c r="O2150" s="61" t="n">
        <f aca="false">Resumo!$C$13</f>
        <v>13.55</v>
      </c>
      <c r="P2150" s="61" t="n">
        <f aca="false">Resumo!$C$14*CEILING(G2150,1)</f>
        <v>23.85</v>
      </c>
      <c r="Q2150" s="61" t="n">
        <f aca="false">SUM(I2150:P2150)*Resumo!$C$11</f>
        <v>0</v>
      </c>
      <c r="R2150" s="61" t="n">
        <f aca="false">SUM(I2150:Q2150)</f>
        <v>99.724686</v>
      </c>
      <c r="S2150" s="61" t="n">
        <f aca="false">R2150/(1-Resumo!$C$5)</f>
        <v>113.323506818182</v>
      </c>
      <c r="T2150" s="61" t="n">
        <v>112.3</v>
      </c>
      <c r="U2150" s="61" t="n">
        <f aca="false">H2150*Resumo!$B$6</f>
        <v>0.63683</v>
      </c>
      <c r="V2150" s="61" t="n">
        <f aca="false">H2150*Resumo!$B$7</f>
        <v>1.27366</v>
      </c>
      <c r="W2150" s="61" t="n">
        <f aca="false">Resumo!$B$9</f>
        <v>1</v>
      </c>
      <c r="X2150" s="61" t="n">
        <f aca="false">Resumo!$B$10*CEILING(G2150/100,1)</f>
        <v>4.5</v>
      </c>
      <c r="Y2150" s="61" t="n">
        <f aca="false">Resumo!$B$12*CEILING(G2150,1)</f>
        <v>3.18</v>
      </c>
      <c r="Z2150" s="61" t="n">
        <f aca="false">Resumo!$B$14*CEILING(G2150,1)</f>
        <v>23.85</v>
      </c>
      <c r="AA2150" s="61" t="n">
        <f aca="false">SUM(T2150:Z2150)</f>
        <v>146.74049</v>
      </c>
      <c r="AB2150" s="61" t="n">
        <f aca="false">AA2150/(1-Resumo!$B$5)</f>
        <v>166.750556818182</v>
      </c>
      <c r="AC2150" s="61" t="n">
        <f aca="false">AB2150-S2150</f>
        <v>53.42705</v>
      </c>
      <c r="AD2150" s="62" t="n">
        <f aca="false">AB2150/S2150-1</f>
        <v>0.471456024439124</v>
      </c>
      <c r="AE2150" s="60" t="str">
        <f aca="false">IF(AB2150&lt;S2150,"SIM","NÃO")</f>
        <v>NÃO</v>
      </c>
      <c r="AF2150" s="60" t="n">
        <v>2</v>
      </c>
      <c r="AG2150" s="60" t="n">
        <v>5</v>
      </c>
      <c r="AH2150" s="60" t="s">
        <v>382</v>
      </c>
      <c r="AI2150" s="61" t="n">
        <f aca="false">(T2150*(1-Painel!$C$40)+U2150+V2150+Painel!$C$41+Painel!$C$42*CEILING(G2150/100,1)+Painel!$C$43*CEILING(G2150,1)+Z2150)/(1-Resumo!$B$5)</f>
        <v>117.103965909091</v>
      </c>
      <c r="AJ2150" s="60" t="str">
        <f aca="false">IF(AI2150&lt;S2150,"SIM","NÃO")</f>
        <v>NÃO</v>
      </c>
    </row>
    <row r="2151" customFormat="false" ht="15" hidden="false" customHeight="false" outlineLevel="0" collapsed="false">
      <c r="A2151" s="59" t="n">
        <v>46292.5371296296</v>
      </c>
      <c r="B2151" s="60" t="s">
        <v>2280</v>
      </c>
      <c r="C2151" s="60" t="n">
        <v>21620560</v>
      </c>
      <c r="D2151" s="60" t="s">
        <v>46</v>
      </c>
      <c r="E2151" s="60" t="s">
        <v>22</v>
      </c>
      <c r="F2151" s="60" t="s">
        <v>236</v>
      </c>
      <c r="G2151" s="60" t="n">
        <v>52.3</v>
      </c>
      <c r="H2151" s="61" t="n">
        <v>636.83</v>
      </c>
      <c r="I2151" s="61" t="n">
        <v>58.6</v>
      </c>
      <c r="J2151" s="61" t="n">
        <f aca="false">H2151*Resumo!$C$6</f>
        <v>0</v>
      </c>
      <c r="K2151" s="61" t="n">
        <f aca="false">H2151*Resumo!$C$7</f>
        <v>1.337343</v>
      </c>
      <c r="L2151" s="61" t="n">
        <f aca="false">H2151*Resumo!$C$8</f>
        <v>1.337343</v>
      </c>
      <c r="M2151" s="61" t="n">
        <f aca="false">Resumo!$C$10*CEILING(G2151/100,1)</f>
        <v>1.05</v>
      </c>
      <c r="N2151" s="61" t="n">
        <f aca="false">Resumo!$C$9</f>
        <v>0</v>
      </c>
      <c r="O2151" s="61" t="n">
        <f aca="false">Resumo!$C$13</f>
        <v>13.55</v>
      </c>
      <c r="P2151" s="61" t="n">
        <f aca="false">Resumo!$C$14*CEILING(G2151,1)</f>
        <v>23.85</v>
      </c>
      <c r="Q2151" s="61" t="n">
        <f aca="false">SUM(I2151:P2151)*Resumo!$C$11</f>
        <v>0</v>
      </c>
      <c r="R2151" s="61" t="n">
        <f aca="false">SUM(I2151:Q2151)</f>
        <v>99.724686</v>
      </c>
      <c r="S2151" s="61" t="n">
        <f aca="false">R2151/(1-Resumo!$C$5)</f>
        <v>113.323506818182</v>
      </c>
      <c r="T2151" s="61" t="n">
        <v>112.3</v>
      </c>
      <c r="U2151" s="61" t="n">
        <f aca="false">H2151*Resumo!$B$6</f>
        <v>0.63683</v>
      </c>
      <c r="V2151" s="61" t="n">
        <f aca="false">H2151*Resumo!$B$7</f>
        <v>1.27366</v>
      </c>
      <c r="W2151" s="61" t="n">
        <f aca="false">Resumo!$B$9</f>
        <v>1</v>
      </c>
      <c r="X2151" s="61" t="n">
        <f aca="false">Resumo!$B$10*CEILING(G2151/100,1)</f>
        <v>4.5</v>
      </c>
      <c r="Y2151" s="61" t="n">
        <f aca="false">Resumo!$B$12*CEILING(G2151,1)</f>
        <v>3.18</v>
      </c>
      <c r="Z2151" s="61" t="n">
        <f aca="false">Resumo!$B$14*CEILING(G2151,1)</f>
        <v>23.85</v>
      </c>
      <c r="AA2151" s="61" t="n">
        <f aca="false">SUM(T2151:Z2151)</f>
        <v>146.74049</v>
      </c>
      <c r="AB2151" s="61" t="n">
        <f aca="false">AA2151/(1-Resumo!$B$5)</f>
        <v>166.750556818182</v>
      </c>
      <c r="AC2151" s="61" t="n">
        <f aca="false">AB2151-S2151</f>
        <v>53.42705</v>
      </c>
      <c r="AD2151" s="62" t="n">
        <f aca="false">AB2151/S2151-1</f>
        <v>0.471456024439124</v>
      </c>
      <c r="AE2151" s="60" t="str">
        <f aca="false">IF(AB2151&lt;S2151,"SIM","NÃO")</f>
        <v>NÃO</v>
      </c>
      <c r="AF2151" s="60" t="n">
        <v>2</v>
      </c>
      <c r="AG2151" s="60" t="n">
        <v>5</v>
      </c>
      <c r="AH2151" s="60" t="s">
        <v>382</v>
      </c>
      <c r="AI2151" s="61" t="n">
        <f aca="false">(T2151*(1-Painel!$C$40)+U2151+V2151+Painel!$C$41+Painel!$C$42*CEILING(G2151/100,1)+Painel!$C$43*CEILING(G2151,1)+Z2151)/(1-Resumo!$B$5)</f>
        <v>117.103965909091</v>
      </c>
      <c r="AJ2151" s="60" t="str">
        <f aca="false">IF(AI2151&lt;S2151,"SIM","NÃO")</f>
        <v>NÃO</v>
      </c>
    </row>
    <row r="2152" customFormat="false" ht="15" hidden="false" customHeight="false" outlineLevel="0" collapsed="false">
      <c r="A2152" s="59" t="n">
        <v>46292.5471875</v>
      </c>
      <c r="B2152" s="60" t="s">
        <v>2281</v>
      </c>
      <c r="C2152" s="60" t="n">
        <v>21750210</v>
      </c>
      <c r="D2152" s="60" t="s">
        <v>46</v>
      </c>
      <c r="E2152" s="60" t="s">
        <v>22</v>
      </c>
      <c r="F2152" s="60" t="s">
        <v>233</v>
      </c>
      <c r="G2152" s="60" t="n">
        <v>25.8</v>
      </c>
      <c r="H2152" s="61" t="n">
        <v>333.99</v>
      </c>
      <c r="I2152" s="61" t="n">
        <v>42.11</v>
      </c>
      <c r="J2152" s="61" t="n">
        <f aca="false">H2152*Resumo!$C$6</f>
        <v>0</v>
      </c>
      <c r="K2152" s="61" t="n">
        <f aca="false">H2152*Resumo!$C$7</f>
        <v>0.701379</v>
      </c>
      <c r="L2152" s="61" t="n">
        <f aca="false">H2152*Resumo!$C$8</f>
        <v>0.701379</v>
      </c>
      <c r="M2152" s="61" t="n">
        <f aca="false">Resumo!$C$10*CEILING(G2152/100,1)</f>
        <v>1.05</v>
      </c>
      <c r="N2152" s="61" t="n">
        <f aca="false">Resumo!$C$9</f>
        <v>0</v>
      </c>
      <c r="O2152" s="61" t="n">
        <f aca="false">Resumo!$C$13</f>
        <v>13.55</v>
      </c>
      <c r="P2152" s="61" t="n">
        <f aca="false">Resumo!$C$14*CEILING(G2152,1)</f>
        <v>11.7</v>
      </c>
      <c r="Q2152" s="61" t="n">
        <f aca="false">SUM(I2152:P2152)*Resumo!$C$11</f>
        <v>0</v>
      </c>
      <c r="R2152" s="61" t="n">
        <f aca="false">SUM(I2152:Q2152)</f>
        <v>69.812758</v>
      </c>
      <c r="S2152" s="61" t="n">
        <f aca="false">R2152/(1-Resumo!$C$5)</f>
        <v>79.3326795454546</v>
      </c>
      <c r="T2152" s="61" t="n">
        <v>82.21</v>
      </c>
      <c r="U2152" s="61" t="n">
        <f aca="false">H2152*Resumo!$B$6</f>
        <v>0.33399</v>
      </c>
      <c r="V2152" s="61" t="n">
        <f aca="false">H2152*Resumo!$B$7</f>
        <v>0.66798</v>
      </c>
      <c r="W2152" s="61" t="n">
        <f aca="false">Resumo!$B$9</f>
        <v>1</v>
      </c>
      <c r="X2152" s="61" t="n">
        <f aca="false">Resumo!$B$10*CEILING(G2152/100,1)</f>
        <v>4.5</v>
      </c>
      <c r="Y2152" s="61" t="n">
        <f aca="false">Resumo!$B$12*CEILING(G2152,1)</f>
        <v>1.56</v>
      </c>
      <c r="Z2152" s="61" t="n">
        <f aca="false">Resumo!$B$14*CEILING(G2152,1)</f>
        <v>11.7</v>
      </c>
      <c r="AA2152" s="61" t="n">
        <f aca="false">SUM(T2152:Z2152)</f>
        <v>101.97197</v>
      </c>
      <c r="AB2152" s="61" t="n">
        <f aca="false">AA2152/(1-Resumo!$B$5)</f>
        <v>115.877238636364</v>
      </c>
      <c r="AC2152" s="61" t="n">
        <f aca="false">AB2152-S2152</f>
        <v>36.5445590909091</v>
      </c>
      <c r="AD2152" s="62" t="n">
        <f aca="false">AB2152/S2152-1</f>
        <v>0.460649499050016</v>
      </c>
      <c r="AE2152" s="60" t="str">
        <f aca="false">IF(AB2152&lt;S2152,"SIM","NÃO")</f>
        <v>NÃO</v>
      </c>
      <c r="AF2152" s="60" t="n">
        <v>2</v>
      </c>
      <c r="AG2152" s="60" t="n">
        <v>5</v>
      </c>
      <c r="AH2152" s="60" t="s">
        <v>382</v>
      </c>
      <c r="AI2152" s="61" t="n">
        <f aca="false">(T2152*(1-Painel!$C$40)+U2152+V2152+Painel!$C$41+Painel!$C$42*CEILING(G2152/100,1)+Painel!$C$43*CEILING(G2152,1)+Z2152)/(1-Resumo!$B$5)</f>
        <v>79.3553068181818</v>
      </c>
      <c r="AJ2152" s="60" t="str">
        <f aca="false">IF(AI2152&lt;S2152,"SIM","NÃO")</f>
        <v>NÃO</v>
      </c>
    </row>
    <row r="2153" customFormat="false" ht="15" hidden="false" customHeight="false" outlineLevel="0" collapsed="false">
      <c r="A2153" s="59" t="n">
        <v>46292.5878472222</v>
      </c>
      <c r="B2153" s="60" t="s">
        <v>2282</v>
      </c>
      <c r="C2153" s="60" t="n">
        <v>25250597</v>
      </c>
      <c r="D2153" s="60" t="s">
        <v>48</v>
      </c>
      <c r="E2153" s="60" t="s">
        <v>23</v>
      </c>
      <c r="F2153" s="60" t="s">
        <v>235</v>
      </c>
      <c r="G2153" s="60" t="n">
        <v>41</v>
      </c>
      <c r="H2153" s="61" t="n">
        <v>699.99</v>
      </c>
      <c r="I2153" s="61" t="n">
        <v>65.36</v>
      </c>
      <c r="J2153" s="61" t="n">
        <f aca="false">H2153*Resumo!$C$6</f>
        <v>0</v>
      </c>
      <c r="K2153" s="61" t="n">
        <f aca="false">H2153*Resumo!$C$7</f>
        <v>1.469979</v>
      </c>
      <c r="L2153" s="61" t="n">
        <f aca="false">H2153*Resumo!$C$8</f>
        <v>1.469979</v>
      </c>
      <c r="M2153" s="61" t="n">
        <f aca="false">Resumo!$C$10*CEILING(G2153/100,1)</f>
        <v>1.05</v>
      </c>
      <c r="N2153" s="61" t="n">
        <f aca="false">Resumo!$C$9</f>
        <v>0</v>
      </c>
      <c r="O2153" s="61" t="n">
        <f aca="false">Resumo!$C$13</f>
        <v>13.55</v>
      </c>
      <c r="P2153" s="61" t="n">
        <f aca="false">Resumo!$C$14*CEILING(G2153,1)</f>
        <v>18.45</v>
      </c>
      <c r="Q2153" s="61" t="n">
        <f aca="false">SUM(I2153:P2153)*Resumo!$C$11</f>
        <v>0</v>
      </c>
      <c r="R2153" s="61" t="n">
        <f aca="false">SUM(I2153:Q2153)</f>
        <v>101.349958</v>
      </c>
      <c r="S2153" s="61" t="n">
        <f aca="false">R2153/(1-Resumo!$C$5)</f>
        <v>115.170406818182</v>
      </c>
      <c r="T2153" s="61" t="n">
        <v>93.97</v>
      </c>
      <c r="U2153" s="61" t="n">
        <f aca="false">H2153*Resumo!$B$6</f>
        <v>0.69999</v>
      </c>
      <c r="V2153" s="61" t="n">
        <f aca="false">H2153*Resumo!$B$7</f>
        <v>1.39998</v>
      </c>
      <c r="W2153" s="61" t="n">
        <f aca="false">Resumo!$B$9</f>
        <v>1</v>
      </c>
      <c r="X2153" s="61" t="n">
        <f aca="false">Resumo!$B$10*CEILING(G2153/100,1)</f>
        <v>4.5</v>
      </c>
      <c r="Y2153" s="61" t="n">
        <f aca="false">Resumo!$B$12*CEILING(G2153,1)</f>
        <v>2.46</v>
      </c>
      <c r="Z2153" s="61" t="n">
        <f aca="false">Resumo!$B$14*CEILING(G2153,1)</f>
        <v>18.45</v>
      </c>
      <c r="AA2153" s="61" t="n">
        <f aca="false">SUM(T2153:Z2153)</f>
        <v>122.47997</v>
      </c>
      <c r="AB2153" s="61" t="n">
        <f aca="false">AA2153/(1-Resumo!$B$5)</f>
        <v>139.181784090909</v>
      </c>
      <c r="AC2153" s="61" t="n">
        <f aca="false">AB2153-S2153</f>
        <v>24.0113772727273</v>
      </c>
      <c r="AD2153" s="62" t="n">
        <f aca="false">AB2153/S2153-1</f>
        <v>0.208485651271804</v>
      </c>
      <c r="AE2153" s="60" t="str">
        <f aca="false">IF(AB2153&lt;S2153,"SIM","NÃO")</f>
        <v>NÃO</v>
      </c>
      <c r="AF2153" s="60" t="n">
        <v>2</v>
      </c>
      <c r="AG2153" s="60" t="n">
        <v>5</v>
      </c>
      <c r="AH2153" s="60" t="s">
        <v>382</v>
      </c>
      <c r="AI2153" s="61" t="n">
        <f aca="false">(T2153*(1-Painel!$C$40)+U2153+V2153+Painel!$C$41+Painel!$C$42*CEILING(G2153/100,1)+Painel!$C$43*CEILING(G2153,1)+Z2153)/(1-Resumo!$B$5)</f>
        <v>97.227125</v>
      </c>
      <c r="AJ2153" s="60" t="str">
        <f aca="false">IF(AI2153&lt;S2153,"SIM","NÃO")</f>
        <v>SIM</v>
      </c>
    </row>
    <row r="2154" customFormat="false" ht="15" hidden="false" customHeight="false" outlineLevel="0" collapsed="false">
      <c r="A2154" s="59" t="n">
        <v>46292.591099537</v>
      </c>
      <c r="B2154" s="60" t="s">
        <v>2283</v>
      </c>
      <c r="C2154" s="60" t="n">
        <v>24360380</v>
      </c>
      <c r="D2154" s="60" t="s">
        <v>50</v>
      </c>
      <c r="E2154" s="60" t="s">
        <v>23</v>
      </c>
      <c r="F2154" s="60" t="s">
        <v>235</v>
      </c>
      <c r="G2154" s="60" t="n">
        <v>48.6</v>
      </c>
      <c r="H2154" s="61" t="n">
        <v>604.3</v>
      </c>
      <c r="I2154" s="61" t="n">
        <v>65.36</v>
      </c>
      <c r="J2154" s="61" t="n">
        <f aca="false">H2154*Resumo!$C$6</f>
        <v>0</v>
      </c>
      <c r="K2154" s="61" t="n">
        <f aca="false">H2154*Resumo!$C$7</f>
        <v>1.26903</v>
      </c>
      <c r="L2154" s="61" t="n">
        <f aca="false">H2154*Resumo!$C$8</f>
        <v>1.26903</v>
      </c>
      <c r="M2154" s="61" t="n">
        <f aca="false">Resumo!$C$10*CEILING(G2154/100,1)</f>
        <v>1.05</v>
      </c>
      <c r="N2154" s="61" t="n">
        <f aca="false">Resumo!$C$9</f>
        <v>0</v>
      </c>
      <c r="O2154" s="61" t="n">
        <f aca="false">Resumo!$C$13</f>
        <v>13.55</v>
      </c>
      <c r="P2154" s="61" t="n">
        <f aca="false">Resumo!$C$14*CEILING(G2154,1)</f>
        <v>22.05</v>
      </c>
      <c r="Q2154" s="61" t="n">
        <f aca="false">SUM(I2154:P2154)*Resumo!$C$11</f>
        <v>0</v>
      </c>
      <c r="R2154" s="61" t="n">
        <f aca="false">SUM(I2154:Q2154)</f>
        <v>104.54806</v>
      </c>
      <c r="S2154" s="61" t="n">
        <f aca="false">R2154/(1-Resumo!$C$5)</f>
        <v>118.804613636364</v>
      </c>
      <c r="T2154" s="61" t="n">
        <v>114.95</v>
      </c>
      <c r="U2154" s="61" t="n">
        <f aca="false">H2154*Resumo!$B$6</f>
        <v>0.6043</v>
      </c>
      <c r="V2154" s="61" t="n">
        <f aca="false">H2154*Resumo!$B$7</f>
        <v>1.2086</v>
      </c>
      <c r="W2154" s="61" t="n">
        <f aca="false">Resumo!$B$9</f>
        <v>1</v>
      </c>
      <c r="X2154" s="61" t="n">
        <f aca="false">Resumo!$B$10*CEILING(G2154/100,1)</f>
        <v>4.5</v>
      </c>
      <c r="Y2154" s="61" t="n">
        <f aca="false">Resumo!$B$12*CEILING(G2154,1)</f>
        <v>2.94</v>
      </c>
      <c r="Z2154" s="61" t="n">
        <f aca="false">Resumo!$B$14*CEILING(G2154,1)</f>
        <v>22.05</v>
      </c>
      <c r="AA2154" s="61" t="n">
        <f aca="false">SUM(T2154:Z2154)</f>
        <v>147.2529</v>
      </c>
      <c r="AB2154" s="61" t="n">
        <f aca="false">AA2154/(1-Resumo!$B$5)</f>
        <v>167.332840909091</v>
      </c>
      <c r="AC2154" s="61" t="n">
        <f aca="false">AB2154-S2154</f>
        <v>48.5282272727273</v>
      </c>
      <c r="AD2154" s="62" t="n">
        <f aca="false">AB2154/S2154-1</f>
        <v>0.408470898455696</v>
      </c>
      <c r="AE2154" s="60" t="str">
        <f aca="false">IF(AB2154&lt;S2154,"SIM","NÃO")</f>
        <v>NÃO</v>
      </c>
      <c r="AF2154" s="60" t="n">
        <v>2</v>
      </c>
      <c r="AG2154" s="60" t="n">
        <v>7</v>
      </c>
      <c r="AH2154" s="60" t="s">
        <v>382</v>
      </c>
      <c r="AI2154" s="61" t="n">
        <f aca="false">(T2154*(1-Painel!$C$40)+U2154+V2154+Painel!$C$41+Painel!$C$42*CEILING(G2154/100,1)+Painel!$C$43*CEILING(G2154,1)+Z2154)/(1-Resumo!$B$5)</f>
        <v>116.965227272727</v>
      </c>
      <c r="AJ2154" s="60" t="str">
        <f aca="false">IF(AI2154&lt;S2154,"SIM","NÃO")</f>
        <v>SIM</v>
      </c>
    </row>
    <row r="2155" customFormat="false" ht="15" hidden="false" customHeight="false" outlineLevel="0" collapsed="false">
      <c r="A2155" s="59" t="n">
        <v>46292.5966782407</v>
      </c>
      <c r="B2155" s="60" t="s">
        <v>2284</v>
      </c>
      <c r="C2155" s="60" t="n">
        <v>23092650</v>
      </c>
      <c r="D2155" s="60" t="s">
        <v>46</v>
      </c>
      <c r="E2155" s="60" t="s">
        <v>22</v>
      </c>
      <c r="F2155" s="60" t="s">
        <v>237</v>
      </c>
      <c r="G2155" s="60" t="n">
        <v>69.45</v>
      </c>
      <c r="H2155" s="61" t="n">
        <v>859.99</v>
      </c>
      <c r="I2155" s="61" t="n">
        <v>63.21</v>
      </c>
      <c r="J2155" s="61" t="n">
        <f aca="false">H2155*Resumo!$C$6</f>
        <v>0</v>
      </c>
      <c r="K2155" s="61" t="n">
        <f aca="false">H2155*Resumo!$C$7</f>
        <v>1.805979</v>
      </c>
      <c r="L2155" s="61" t="n">
        <f aca="false">H2155*Resumo!$C$8</f>
        <v>1.805979</v>
      </c>
      <c r="M2155" s="61" t="n">
        <f aca="false">Resumo!$C$10*CEILING(G2155/100,1)</f>
        <v>1.05</v>
      </c>
      <c r="N2155" s="61" t="n">
        <f aca="false">Resumo!$C$9</f>
        <v>0</v>
      </c>
      <c r="O2155" s="61" t="n">
        <f aca="false">Resumo!$C$13</f>
        <v>13.55</v>
      </c>
      <c r="P2155" s="61" t="n">
        <f aca="false">Resumo!$C$14*CEILING(G2155,1)</f>
        <v>31.5</v>
      </c>
      <c r="Q2155" s="61" t="n">
        <f aca="false">SUM(I2155:P2155)*Resumo!$C$11</f>
        <v>0</v>
      </c>
      <c r="R2155" s="61" t="n">
        <f aca="false">SUM(I2155:Q2155)</f>
        <v>112.921958</v>
      </c>
      <c r="S2155" s="61" t="n">
        <f aca="false">R2155/(1-Resumo!$C$5)</f>
        <v>128.320406818182</v>
      </c>
      <c r="T2155" s="61" t="n">
        <v>131.02</v>
      </c>
      <c r="U2155" s="61" t="n">
        <f aca="false">H2155*Resumo!$B$6</f>
        <v>0.85999</v>
      </c>
      <c r="V2155" s="61" t="n">
        <f aca="false">H2155*Resumo!$B$7</f>
        <v>1.71998</v>
      </c>
      <c r="W2155" s="61" t="n">
        <f aca="false">Resumo!$B$9</f>
        <v>1</v>
      </c>
      <c r="X2155" s="61" t="n">
        <f aca="false">Resumo!$B$10*CEILING(G2155/100,1)</f>
        <v>4.5</v>
      </c>
      <c r="Y2155" s="61" t="n">
        <f aca="false">Resumo!$B$12*CEILING(G2155,1)</f>
        <v>4.2</v>
      </c>
      <c r="Z2155" s="61" t="n">
        <f aca="false">Resumo!$B$14*CEILING(G2155,1)</f>
        <v>31.5</v>
      </c>
      <c r="AA2155" s="61" t="n">
        <f aca="false">SUM(T2155:Z2155)</f>
        <v>174.79997</v>
      </c>
      <c r="AB2155" s="61" t="n">
        <f aca="false">AA2155/(1-Resumo!$B$5)</f>
        <v>198.636329545455</v>
      </c>
      <c r="AC2155" s="61" t="n">
        <f aca="false">AB2155-S2155</f>
        <v>70.3159227272727</v>
      </c>
      <c r="AD2155" s="62" t="n">
        <f aca="false">AB2155/S2155-1</f>
        <v>0.547971476017091</v>
      </c>
      <c r="AE2155" s="60" t="str">
        <f aca="false">IF(AB2155&lt;S2155,"SIM","NÃO")</f>
        <v>NÃO</v>
      </c>
      <c r="AF2155" s="60" t="n">
        <v>2</v>
      </c>
      <c r="AG2155" s="60" t="n">
        <v>5</v>
      </c>
      <c r="AH2155" s="60" t="s">
        <v>382</v>
      </c>
      <c r="AI2155" s="61" t="n">
        <f aca="false">(T2155*(1-Painel!$C$40)+U2155+V2155+Painel!$C$41+Painel!$C$42*CEILING(G2155/100,1)+Painel!$C$43*CEILING(G2155,1)+Z2155)/(1-Resumo!$B$5)</f>
        <v>140.810647727273</v>
      </c>
      <c r="AJ2155" s="60" t="str">
        <f aca="false">IF(AI2155&lt;S2155,"SIM","NÃO")</f>
        <v>NÃO</v>
      </c>
    </row>
    <row r="2156" customFormat="false" ht="15" hidden="false" customHeight="false" outlineLevel="0" collapsed="false">
      <c r="A2156" s="59" t="n">
        <v>46292.6036111111</v>
      </c>
      <c r="B2156" s="60" t="s">
        <v>2285</v>
      </c>
      <c r="C2156" s="60" t="n">
        <v>23573340</v>
      </c>
      <c r="D2156" s="60" t="s">
        <v>46</v>
      </c>
      <c r="E2156" s="60" t="s">
        <v>22</v>
      </c>
      <c r="F2156" s="60" t="s">
        <v>237</v>
      </c>
      <c r="G2156" s="60" t="n">
        <v>68.1</v>
      </c>
      <c r="H2156" s="61" t="n">
        <v>960</v>
      </c>
      <c r="I2156" s="61" t="n">
        <v>63.21</v>
      </c>
      <c r="J2156" s="61" t="n">
        <f aca="false">H2156*Resumo!$C$6</f>
        <v>0</v>
      </c>
      <c r="K2156" s="61" t="n">
        <f aca="false">H2156*Resumo!$C$7</f>
        <v>2.016</v>
      </c>
      <c r="L2156" s="61" t="n">
        <f aca="false">H2156*Resumo!$C$8</f>
        <v>2.016</v>
      </c>
      <c r="M2156" s="61" t="n">
        <f aca="false">Resumo!$C$10*CEILING(G2156/100,1)</f>
        <v>1.05</v>
      </c>
      <c r="N2156" s="61" t="n">
        <f aca="false">Resumo!$C$9</f>
        <v>0</v>
      </c>
      <c r="O2156" s="61" t="n">
        <f aca="false">Resumo!$C$13</f>
        <v>13.55</v>
      </c>
      <c r="P2156" s="61" t="n">
        <f aca="false">Resumo!$C$14*CEILING(G2156,1)</f>
        <v>31.05</v>
      </c>
      <c r="Q2156" s="61" t="n">
        <f aca="false">SUM(I2156:P2156)*Resumo!$C$11</f>
        <v>0</v>
      </c>
      <c r="R2156" s="61" t="n">
        <f aca="false">SUM(I2156:Q2156)</f>
        <v>112.892</v>
      </c>
      <c r="S2156" s="61" t="n">
        <f aca="false">R2156/(1-Resumo!$C$5)</f>
        <v>128.286363636364</v>
      </c>
      <c r="T2156" s="61" t="n">
        <v>131.02</v>
      </c>
      <c r="U2156" s="61" t="n">
        <f aca="false">H2156*Resumo!$B$6</f>
        <v>0.96</v>
      </c>
      <c r="V2156" s="61" t="n">
        <f aca="false">H2156*Resumo!$B$7</f>
        <v>1.92</v>
      </c>
      <c r="W2156" s="61" t="n">
        <f aca="false">Resumo!$B$9</f>
        <v>1</v>
      </c>
      <c r="X2156" s="61" t="n">
        <f aca="false">Resumo!$B$10*CEILING(G2156/100,1)</f>
        <v>4.5</v>
      </c>
      <c r="Y2156" s="61" t="n">
        <f aca="false">Resumo!$B$12*CEILING(G2156,1)</f>
        <v>4.14</v>
      </c>
      <c r="Z2156" s="61" t="n">
        <f aca="false">Resumo!$B$14*CEILING(G2156,1)</f>
        <v>31.05</v>
      </c>
      <c r="AA2156" s="61" t="n">
        <f aca="false">SUM(T2156:Z2156)</f>
        <v>174.59</v>
      </c>
      <c r="AB2156" s="61" t="n">
        <f aca="false">AA2156/(1-Resumo!$B$5)</f>
        <v>198.397727272727</v>
      </c>
      <c r="AC2156" s="61" t="n">
        <f aca="false">AB2156-S2156</f>
        <v>70.1113636363637</v>
      </c>
      <c r="AD2156" s="62" t="n">
        <f aca="false">AB2156/S2156-1</f>
        <v>0.546522339935514</v>
      </c>
      <c r="AE2156" s="60" t="str">
        <f aca="false">IF(AB2156&lt;S2156,"SIM","NÃO")</f>
        <v>NÃO</v>
      </c>
      <c r="AF2156" s="60" t="n">
        <v>2</v>
      </c>
      <c r="AG2156" s="60" t="n">
        <v>5</v>
      </c>
      <c r="AH2156" s="60" t="s">
        <v>382</v>
      </c>
      <c r="AI2156" s="61" t="n">
        <f aca="false">(T2156*(1-Painel!$C$40)+U2156+V2156+Painel!$C$41+Painel!$C$42*CEILING(G2156/100,1)+Painel!$C$43*CEILING(G2156,1)+Z2156)/(1-Resumo!$B$5)</f>
        <v>140.640227272727</v>
      </c>
      <c r="AJ2156" s="60" t="str">
        <f aca="false">IF(AI2156&lt;S2156,"SIM","NÃO")</f>
        <v>NÃO</v>
      </c>
    </row>
    <row r="2157" customFormat="false" ht="15" hidden="false" customHeight="false" outlineLevel="0" collapsed="false">
      <c r="A2157" s="59" t="n">
        <v>46292.6212731482</v>
      </c>
      <c r="B2157" s="60" t="s">
        <v>2286</v>
      </c>
      <c r="C2157" s="60" t="n">
        <v>23954030</v>
      </c>
      <c r="D2157" s="60" t="s">
        <v>218</v>
      </c>
      <c r="E2157" s="60" t="s">
        <v>24</v>
      </c>
      <c r="F2157" s="60" t="s">
        <v>235</v>
      </c>
      <c r="G2157" s="60" t="n">
        <v>45.3</v>
      </c>
      <c r="H2157" s="61" t="n">
        <v>689.99</v>
      </c>
      <c r="I2157" s="61" t="n">
        <v>77.7</v>
      </c>
      <c r="J2157" s="61" t="n">
        <f aca="false">H2157*Resumo!$C$6</f>
        <v>0</v>
      </c>
      <c r="K2157" s="61" t="n">
        <f aca="false">H2157*Resumo!$C$7</f>
        <v>1.448979</v>
      </c>
      <c r="L2157" s="61" t="n">
        <f aca="false">H2157*Resumo!$C$8</f>
        <v>1.448979</v>
      </c>
      <c r="M2157" s="61" t="n">
        <f aca="false">Resumo!$C$10*CEILING(G2157/100,1)</f>
        <v>1.05</v>
      </c>
      <c r="N2157" s="61" t="n">
        <f aca="false">Resumo!$C$9</f>
        <v>0</v>
      </c>
      <c r="O2157" s="61" t="n">
        <f aca="false">Resumo!$C$13</f>
        <v>13.55</v>
      </c>
      <c r="P2157" s="61" t="n">
        <f aca="false">Resumo!$C$14*CEILING(G2157,1)</f>
        <v>20.7</v>
      </c>
      <c r="Q2157" s="61" t="n">
        <f aca="false">SUM(I2157:P2157)*Resumo!$C$11</f>
        <v>0</v>
      </c>
      <c r="R2157" s="61" t="n">
        <f aca="false">SUM(I2157:Q2157)</f>
        <v>115.897958</v>
      </c>
      <c r="S2157" s="61" t="n">
        <f aca="false">R2157/(1-Resumo!$C$5)</f>
        <v>131.702225</v>
      </c>
      <c r="T2157" s="61" t="n">
        <v>124.38</v>
      </c>
      <c r="U2157" s="61" t="n">
        <f aca="false">H2157*Resumo!$B$6</f>
        <v>0.68999</v>
      </c>
      <c r="V2157" s="61" t="n">
        <f aca="false">H2157*Resumo!$B$7</f>
        <v>1.37998</v>
      </c>
      <c r="W2157" s="61" t="n">
        <f aca="false">Resumo!$B$9</f>
        <v>1</v>
      </c>
      <c r="X2157" s="61" t="n">
        <f aca="false">Resumo!$B$10*CEILING(G2157/100,1)</f>
        <v>4.5</v>
      </c>
      <c r="Y2157" s="61" t="n">
        <f aca="false">Resumo!$B$12*CEILING(G2157,1)</f>
        <v>2.76</v>
      </c>
      <c r="Z2157" s="61" t="n">
        <f aca="false">Resumo!$B$14*CEILING(G2157,1)</f>
        <v>20.7</v>
      </c>
      <c r="AA2157" s="61" t="n">
        <f aca="false">SUM(T2157:Z2157)</f>
        <v>155.40997</v>
      </c>
      <c r="AB2157" s="61" t="n">
        <f aca="false">AA2157/(1-Resumo!$B$5)</f>
        <v>176.602238636364</v>
      </c>
      <c r="AC2157" s="61" t="n">
        <f aca="false">AB2157-S2157</f>
        <v>44.9000136363636</v>
      </c>
      <c r="AD2157" s="62" t="n">
        <f aca="false">AB2157/S2157-1</f>
        <v>0.340920691631167</v>
      </c>
      <c r="AE2157" s="60" t="str">
        <f aca="false">IF(AB2157&lt;S2157,"SIM","NÃO")</f>
        <v>NÃO</v>
      </c>
      <c r="AF2157" s="60" t="n">
        <v>13</v>
      </c>
      <c r="AG2157" s="60" t="n">
        <v>10</v>
      </c>
      <c r="AH2157" s="60" t="s">
        <v>382</v>
      </c>
      <c r="AI2157" s="61" t="n">
        <f aca="false">(T2157*(1-Painel!$C$40)+U2157+V2157+Painel!$C$41+Painel!$C$42*CEILING(G2157/100,1)+Painel!$C$43*CEILING(G2157,1)+Z2157)/(1-Resumo!$B$5)</f>
        <v>122.902920454545</v>
      </c>
      <c r="AJ2157" s="60" t="str">
        <f aca="false">IF(AI2157&lt;S2157,"SIM","NÃO")</f>
        <v>SIM</v>
      </c>
    </row>
    <row r="2158" customFormat="false" ht="15" hidden="false" customHeight="false" outlineLevel="0" collapsed="false">
      <c r="A2158" s="59" t="n">
        <v>46292.6337037037</v>
      </c>
      <c r="B2158" s="60" t="s">
        <v>2220</v>
      </c>
      <c r="C2158" s="60" t="n">
        <v>26700000</v>
      </c>
      <c r="D2158" s="60" t="s">
        <v>287</v>
      </c>
      <c r="E2158" s="60" t="s">
        <v>24</v>
      </c>
      <c r="F2158" s="60" t="s">
        <v>234</v>
      </c>
      <c r="G2158" s="60" t="n">
        <v>36.8</v>
      </c>
      <c r="H2158" s="61" t="n">
        <v>413.7</v>
      </c>
      <c r="I2158" s="61" t="n">
        <v>74.97</v>
      </c>
      <c r="J2158" s="61" t="n">
        <f aca="false">H2158*Resumo!$C$6</f>
        <v>0</v>
      </c>
      <c r="K2158" s="61" t="n">
        <f aca="false">H2158*Resumo!$C$7</f>
        <v>0.86877</v>
      </c>
      <c r="L2158" s="61" t="n">
        <f aca="false">H2158*Resumo!$C$8</f>
        <v>0.86877</v>
      </c>
      <c r="M2158" s="61" t="n">
        <f aca="false">Resumo!$C$10*CEILING(G2158/100,1)</f>
        <v>1.05</v>
      </c>
      <c r="N2158" s="61" t="n">
        <f aca="false">Resumo!$C$9</f>
        <v>0</v>
      </c>
      <c r="O2158" s="61" t="n">
        <f aca="false">Resumo!$C$13</f>
        <v>13.55</v>
      </c>
      <c r="P2158" s="61" t="n">
        <f aca="false">Resumo!$C$14*CEILING(G2158,1)</f>
        <v>16.65</v>
      </c>
      <c r="Q2158" s="61" t="n">
        <f aca="false">SUM(I2158:P2158)*Resumo!$C$11</f>
        <v>0</v>
      </c>
      <c r="R2158" s="61" t="n">
        <f aca="false">SUM(I2158:Q2158)</f>
        <v>107.95754</v>
      </c>
      <c r="S2158" s="61" t="n">
        <f aca="false">R2158/(1-Resumo!$C$5)</f>
        <v>122.679022727273</v>
      </c>
      <c r="T2158" s="61" t="n">
        <v>124.38</v>
      </c>
      <c r="U2158" s="61" t="n">
        <f aca="false">H2158*Resumo!$B$6</f>
        <v>0.4137</v>
      </c>
      <c r="V2158" s="61" t="n">
        <f aca="false">H2158*Resumo!$B$7</f>
        <v>0.8274</v>
      </c>
      <c r="W2158" s="61" t="n">
        <f aca="false">Resumo!$B$9</f>
        <v>1</v>
      </c>
      <c r="X2158" s="61" t="n">
        <f aca="false">Resumo!$B$10*CEILING(G2158/100,1)</f>
        <v>4.5</v>
      </c>
      <c r="Y2158" s="61" t="n">
        <f aca="false">Resumo!$B$12*CEILING(G2158,1)</f>
        <v>2.22</v>
      </c>
      <c r="Z2158" s="61" t="n">
        <f aca="false">Resumo!$B$14*CEILING(G2158,1)</f>
        <v>16.65</v>
      </c>
      <c r="AA2158" s="61" t="n">
        <f aca="false">SUM(T2158:Z2158)</f>
        <v>149.9911</v>
      </c>
      <c r="AB2158" s="61" t="n">
        <f aca="false">AA2158/(1-Resumo!$B$5)</f>
        <v>170.444431818182</v>
      </c>
      <c r="AC2158" s="61" t="n">
        <f aca="false">AB2158-S2158</f>
        <v>47.7654090909091</v>
      </c>
      <c r="AD2158" s="62" t="n">
        <f aca="false">AB2158/S2158-1</f>
        <v>0.38935270292376</v>
      </c>
      <c r="AE2158" s="60" t="str">
        <f aca="false">IF(AB2158&lt;S2158,"SIM","NÃO")</f>
        <v>NÃO</v>
      </c>
      <c r="AF2158" s="60" t="n">
        <v>13</v>
      </c>
      <c r="AG2158" s="60" t="n">
        <v>10</v>
      </c>
      <c r="AH2158" s="60" t="s">
        <v>385</v>
      </c>
      <c r="AI2158" s="61" t="n">
        <f aca="false">(T2158*(1-Painel!$C$40)+U2158+V2158+Painel!$C$41+Painel!$C$42*CEILING(G2158/100,1)+Painel!$C$43*CEILING(G2158,1)+Z2158)/(1-Resumo!$B$5)</f>
        <v>117.35875</v>
      </c>
      <c r="AJ2158" s="60" t="str">
        <f aca="false">IF(AI2158&lt;S2158,"SIM","NÃO")</f>
        <v>SIM</v>
      </c>
    </row>
    <row r="2159" customFormat="false" ht="15" hidden="false" customHeight="false" outlineLevel="0" collapsed="false">
      <c r="A2159" s="59" t="n">
        <v>46292.7234606482</v>
      </c>
      <c r="B2159" s="60" t="s">
        <v>2287</v>
      </c>
      <c r="C2159" s="60" t="n">
        <v>25730050</v>
      </c>
      <c r="D2159" s="60" t="s">
        <v>219</v>
      </c>
      <c r="E2159" s="60" t="s">
        <v>24</v>
      </c>
      <c r="F2159" s="60" t="s">
        <v>235</v>
      </c>
      <c r="G2159" s="60" t="n">
        <v>45.3</v>
      </c>
      <c r="H2159" s="61" t="n">
        <v>699.99</v>
      </c>
      <c r="I2159" s="61" t="n">
        <v>77.7</v>
      </c>
      <c r="J2159" s="61" t="n">
        <f aca="false">H2159*Resumo!$C$6</f>
        <v>0</v>
      </c>
      <c r="K2159" s="61" t="n">
        <f aca="false">H2159*Resumo!$C$7</f>
        <v>1.469979</v>
      </c>
      <c r="L2159" s="61" t="n">
        <f aca="false">H2159*Resumo!$C$8</f>
        <v>1.469979</v>
      </c>
      <c r="M2159" s="61" t="n">
        <f aca="false">Resumo!$C$10*CEILING(G2159/100,1)</f>
        <v>1.05</v>
      </c>
      <c r="N2159" s="61" t="n">
        <f aca="false">Resumo!$C$9</f>
        <v>0</v>
      </c>
      <c r="O2159" s="61" t="n">
        <f aca="false">Resumo!$C$13</f>
        <v>13.55</v>
      </c>
      <c r="P2159" s="61" t="n">
        <f aca="false">Resumo!$C$14*CEILING(G2159,1)</f>
        <v>20.7</v>
      </c>
      <c r="Q2159" s="61" t="n">
        <f aca="false">SUM(I2159:P2159)*Resumo!$C$11</f>
        <v>0</v>
      </c>
      <c r="R2159" s="61" t="n">
        <f aca="false">SUM(I2159:Q2159)</f>
        <v>115.939958</v>
      </c>
      <c r="S2159" s="61" t="n">
        <f aca="false">R2159/(1-Resumo!$C$5)</f>
        <v>131.749952272727</v>
      </c>
      <c r="T2159" s="61" t="n">
        <v>124.38</v>
      </c>
      <c r="U2159" s="61" t="n">
        <f aca="false">H2159*Resumo!$B$6</f>
        <v>0.69999</v>
      </c>
      <c r="V2159" s="61" t="n">
        <f aca="false">H2159*Resumo!$B$7</f>
        <v>1.39998</v>
      </c>
      <c r="W2159" s="61" t="n">
        <f aca="false">Resumo!$B$9</f>
        <v>1</v>
      </c>
      <c r="X2159" s="61" t="n">
        <f aca="false">Resumo!$B$10*CEILING(G2159/100,1)</f>
        <v>4.5</v>
      </c>
      <c r="Y2159" s="61" t="n">
        <f aca="false">Resumo!$B$12*CEILING(G2159,1)</f>
        <v>2.76</v>
      </c>
      <c r="Z2159" s="61" t="n">
        <f aca="false">Resumo!$B$14*CEILING(G2159,1)</f>
        <v>20.7</v>
      </c>
      <c r="AA2159" s="61" t="n">
        <f aca="false">SUM(T2159:Z2159)</f>
        <v>155.43997</v>
      </c>
      <c r="AB2159" s="61" t="n">
        <f aca="false">AA2159/(1-Resumo!$B$5)</f>
        <v>176.636329545455</v>
      </c>
      <c r="AC2159" s="61" t="n">
        <f aca="false">AB2159-S2159</f>
        <v>44.8863772727273</v>
      </c>
      <c r="AD2159" s="62" t="n">
        <f aca="false">AB2159/S2159-1</f>
        <v>0.340693689055847</v>
      </c>
      <c r="AE2159" s="60" t="str">
        <f aca="false">IF(AB2159&lt;S2159,"SIM","NÃO")</f>
        <v>NÃO</v>
      </c>
      <c r="AF2159" s="60" t="n">
        <v>13</v>
      </c>
      <c r="AG2159" s="60" t="n">
        <v>8</v>
      </c>
      <c r="AH2159" s="60" t="s">
        <v>382</v>
      </c>
      <c r="AI2159" s="61" t="n">
        <f aca="false">(T2159*(1-Painel!$C$40)+U2159+V2159+Painel!$C$41+Painel!$C$42*CEILING(G2159/100,1)+Painel!$C$43*CEILING(G2159,1)+Z2159)/(1-Resumo!$B$5)</f>
        <v>122.937011363636</v>
      </c>
      <c r="AJ2159" s="60" t="str">
        <f aca="false">IF(AI2159&lt;S2159,"SIM","NÃO")</f>
        <v>SIM</v>
      </c>
    </row>
    <row r="2160" customFormat="false" ht="15" hidden="false" customHeight="false" outlineLevel="0" collapsed="false">
      <c r="A2160" s="59" t="n">
        <v>46292.7462731482</v>
      </c>
      <c r="B2160" s="60" t="s">
        <v>2288</v>
      </c>
      <c r="C2160" s="60" t="n">
        <v>26087535</v>
      </c>
      <c r="D2160" s="60" t="s">
        <v>49</v>
      </c>
      <c r="E2160" s="60" t="s">
        <v>23</v>
      </c>
      <c r="F2160" s="60" t="s">
        <v>234</v>
      </c>
      <c r="G2160" s="60" t="n">
        <v>36.9</v>
      </c>
      <c r="H2160" s="61" t="n">
        <v>378.99</v>
      </c>
      <c r="I2160" s="61" t="n">
        <v>66.83</v>
      </c>
      <c r="J2160" s="61" t="n">
        <f aca="false">H2160*Resumo!$C$6</f>
        <v>0</v>
      </c>
      <c r="K2160" s="61" t="n">
        <f aca="false">H2160*Resumo!$C$7</f>
        <v>0.795879</v>
      </c>
      <c r="L2160" s="61" t="n">
        <f aca="false">H2160*Resumo!$C$8</f>
        <v>0.795879</v>
      </c>
      <c r="M2160" s="61" t="n">
        <f aca="false">Resumo!$C$10*CEILING(G2160/100,1)</f>
        <v>1.05</v>
      </c>
      <c r="N2160" s="61" t="n">
        <f aca="false">Resumo!$C$9</f>
        <v>0</v>
      </c>
      <c r="O2160" s="61" t="n">
        <f aca="false">Resumo!$C$13</f>
        <v>13.55</v>
      </c>
      <c r="P2160" s="61" t="n">
        <f aca="false">Resumo!$C$14*CEILING(G2160,1)</f>
        <v>16.65</v>
      </c>
      <c r="Q2160" s="61" t="n">
        <f aca="false">SUM(I2160:P2160)*Resumo!$C$11</f>
        <v>0</v>
      </c>
      <c r="R2160" s="61" t="n">
        <f aca="false">SUM(I2160:Q2160)</f>
        <v>99.671758</v>
      </c>
      <c r="S2160" s="61" t="n">
        <f aca="false">R2160/(1-Resumo!$C$5)</f>
        <v>113.263361363636</v>
      </c>
      <c r="T2160" s="61" t="n">
        <v>93.97</v>
      </c>
      <c r="U2160" s="61" t="n">
        <f aca="false">H2160*Resumo!$B$6</f>
        <v>0.37899</v>
      </c>
      <c r="V2160" s="61" t="n">
        <f aca="false">H2160*Resumo!$B$7</f>
        <v>0.75798</v>
      </c>
      <c r="W2160" s="61" t="n">
        <f aca="false">Resumo!$B$9</f>
        <v>1</v>
      </c>
      <c r="X2160" s="61" t="n">
        <f aca="false">Resumo!$B$10*CEILING(G2160/100,1)</f>
        <v>4.5</v>
      </c>
      <c r="Y2160" s="61" t="n">
        <f aca="false">Resumo!$B$12*CEILING(G2160,1)</f>
        <v>2.22</v>
      </c>
      <c r="Z2160" s="61" t="n">
        <f aca="false">Resumo!$B$14*CEILING(G2160,1)</f>
        <v>16.65</v>
      </c>
      <c r="AA2160" s="61" t="n">
        <f aca="false">SUM(T2160:Z2160)</f>
        <v>119.47697</v>
      </c>
      <c r="AB2160" s="61" t="n">
        <f aca="false">AA2160/(1-Resumo!$B$5)</f>
        <v>135.769284090909</v>
      </c>
      <c r="AC2160" s="61" t="n">
        <f aca="false">AB2160-S2160</f>
        <v>22.5059227272727</v>
      </c>
      <c r="AD2160" s="62" t="n">
        <f aca="false">AB2160/S2160-1</f>
        <v>0.198704351136257</v>
      </c>
      <c r="AE2160" s="60" t="str">
        <f aca="false">IF(AB2160&lt;S2160,"SIM","NÃO")</f>
        <v>NÃO</v>
      </c>
      <c r="AF2160" s="60" t="n">
        <v>2</v>
      </c>
      <c r="AG2160" s="60" t="n">
        <v>5</v>
      </c>
      <c r="AH2160" s="60" t="s">
        <v>382</v>
      </c>
      <c r="AI2160" s="61" t="n">
        <f aca="false">(T2160*(1-Painel!$C$40)+U2160+V2160+Painel!$C$41+Painel!$C$42*CEILING(G2160/100,1)+Painel!$C$43*CEILING(G2160,1)+Z2160)/(1-Resumo!$B$5)</f>
        <v>94.0873522727273</v>
      </c>
      <c r="AJ2160" s="60" t="str">
        <f aca="false">IF(AI2160&lt;S2160,"SIM","NÃO")</f>
        <v>SIM</v>
      </c>
    </row>
    <row r="2161" customFormat="false" ht="15" hidden="false" customHeight="false" outlineLevel="0" collapsed="false">
      <c r="A2161" s="59" t="n">
        <v>46292.7734375</v>
      </c>
      <c r="B2161" s="60" t="s">
        <v>1136</v>
      </c>
      <c r="C2161" s="60" t="n">
        <v>25555221</v>
      </c>
      <c r="D2161" s="60" t="s">
        <v>216</v>
      </c>
      <c r="E2161" s="60" t="s">
        <v>23</v>
      </c>
      <c r="F2161" s="60" t="s">
        <v>236</v>
      </c>
      <c r="G2161" s="60" t="n">
        <v>58.6</v>
      </c>
      <c r="H2161" s="61" t="n">
        <v>658.98</v>
      </c>
      <c r="I2161" s="61" t="n">
        <v>70.98</v>
      </c>
      <c r="J2161" s="61" t="n">
        <f aca="false">H2161*Resumo!$C$6</f>
        <v>0</v>
      </c>
      <c r="K2161" s="61" t="n">
        <f aca="false">H2161*Resumo!$C$7</f>
        <v>1.383858</v>
      </c>
      <c r="L2161" s="61" t="n">
        <f aca="false">H2161*Resumo!$C$8</f>
        <v>1.383858</v>
      </c>
      <c r="M2161" s="61" t="n">
        <f aca="false">Resumo!$C$10*CEILING(G2161/100,1)</f>
        <v>1.05</v>
      </c>
      <c r="N2161" s="61" t="n">
        <f aca="false">Resumo!$C$9</f>
        <v>0</v>
      </c>
      <c r="O2161" s="61" t="n">
        <f aca="false">Resumo!$C$13</f>
        <v>13.55</v>
      </c>
      <c r="P2161" s="61" t="n">
        <f aca="false">Resumo!$C$14*CEILING(G2161,1)</f>
        <v>26.55</v>
      </c>
      <c r="Q2161" s="61" t="n">
        <f aca="false">SUM(I2161:P2161)*Resumo!$C$11</f>
        <v>0</v>
      </c>
      <c r="R2161" s="61" t="n">
        <f aca="false">SUM(I2161:Q2161)</f>
        <v>114.897716</v>
      </c>
      <c r="S2161" s="61" t="n">
        <f aca="false">R2161/(1-Resumo!$C$5)</f>
        <v>130.565586363636</v>
      </c>
      <c r="T2161" s="61" t="n">
        <v>112.3</v>
      </c>
      <c r="U2161" s="61" t="n">
        <f aca="false">H2161*Resumo!$B$6</f>
        <v>0.65898</v>
      </c>
      <c r="V2161" s="61" t="n">
        <f aca="false">H2161*Resumo!$B$7</f>
        <v>1.31796</v>
      </c>
      <c r="W2161" s="61" t="n">
        <f aca="false">Resumo!$B$9</f>
        <v>1</v>
      </c>
      <c r="X2161" s="61" t="n">
        <f aca="false">Resumo!$B$10*CEILING(G2161/100,1)</f>
        <v>4.5</v>
      </c>
      <c r="Y2161" s="61" t="n">
        <f aca="false">Resumo!$B$12*CEILING(G2161,1)</f>
        <v>3.54</v>
      </c>
      <c r="Z2161" s="61" t="n">
        <f aca="false">Resumo!$B$14*CEILING(G2161,1)</f>
        <v>26.55</v>
      </c>
      <c r="AA2161" s="61" t="n">
        <f aca="false">SUM(T2161:Z2161)</f>
        <v>149.86694</v>
      </c>
      <c r="AB2161" s="61" t="n">
        <f aca="false">AA2161/(1-Resumo!$B$5)</f>
        <v>170.303340909091</v>
      </c>
      <c r="AC2161" s="61" t="n">
        <f aca="false">AB2161-S2161</f>
        <v>39.7377545454546</v>
      </c>
      <c r="AD2161" s="62" t="n">
        <f aca="false">AB2161/S2161-1</f>
        <v>0.304350906331332</v>
      </c>
      <c r="AE2161" s="60" t="str">
        <f aca="false">IF(AB2161&lt;S2161,"SIM","NÃO")</f>
        <v>NÃO</v>
      </c>
      <c r="AF2161" s="60" t="n">
        <v>2</v>
      </c>
      <c r="AG2161" s="60" t="n">
        <v>5</v>
      </c>
      <c r="AH2161" s="60" t="s">
        <v>382</v>
      </c>
      <c r="AI2161" s="61" t="n">
        <f aca="false">(T2161*(1-Painel!$C$40)+U2161+V2161+Painel!$C$41+Painel!$C$42*CEILING(G2161/100,1)+Painel!$C$43*CEILING(G2161,1)+Z2161)/(1-Resumo!$B$5)</f>
        <v>120.247659090909</v>
      </c>
      <c r="AJ2161" s="60" t="str">
        <f aca="false">IF(AI2161&lt;S2161,"SIM","NÃO")</f>
        <v>SIM</v>
      </c>
    </row>
    <row r="2162" customFormat="false" ht="15" hidden="false" customHeight="false" outlineLevel="0" collapsed="false">
      <c r="A2162" s="59" t="n">
        <v>46292.7809143519</v>
      </c>
      <c r="B2162" s="60" t="s">
        <v>2289</v>
      </c>
      <c r="C2162" s="60" t="n">
        <v>27961086</v>
      </c>
      <c r="D2162" s="60" t="s">
        <v>53</v>
      </c>
      <c r="E2162" s="60" t="s">
        <v>24</v>
      </c>
      <c r="F2162" s="60" t="s">
        <v>235</v>
      </c>
      <c r="G2162" s="60" t="n">
        <v>45.3</v>
      </c>
      <c r="H2162" s="61" t="n">
        <v>699.99</v>
      </c>
      <c r="I2162" s="61" t="n">
        <v>77.7</v>
      </c>
      <c r="J2162" s="61" t="n">
        <f aca="false">H2162*Resumo!$C$6</f>
        <v>0</v>
      </c>
      <c r="K2162" s="61" t="n">
        <f aca="false">H2162*Resumo!$C$7</f>
        <v>1.469979</v>
      </c>
      <c r="L2162" s="61" t="n">
        <f aca="false">H2162*Resumo!$C$8</f>
        <v>1.469979</v>
      </c>
      <c r="M2162" s="61" t="n">
        <f aca="false">Resumo!$C$10*CEILING(G2162/100,1)</f>
        <v>1.05</v>
      </c>
      <c r="N2162" s="61" t="n">
        <f aca="false">Resumo!$C$9</f>
        <v>0</v>
      </c>
      <c r="O2162" s="61" t="n">
        <f aca="false">Resumo!$C$13</f>
        <v>13.55</v>
      </c>
      <c r="P2162" s="61" t="n">
        <f aca="false">Resumo!$C$14*CEILING(G2162,1)</f>
        <v>20.7</v>
      </c>
      <c r="Q2162" s="61" t="n">
        <f aca="false">SUM(I2162:P2162)*Resumo!$C$11</f>
        <v>0</v>
      </c>
      <c r="R2162" s="61" t="n">
        <f aca="false">SUM(I2162:Q2162)</f>
        <v>115.939958</v>
      </c>
      <c r="S2162" s="61" t="n">
        <f aca="false">R2162/(1-Resumo!$C$5)</f>
        <v>131.749952272727</v>
      </c>
      <c r="T2162" s="61" t="n">
        <v>152.54</v>
      </c>
      <c r="U2162" s="61" t="n">
        <f aca="false">H2162*Resumo!$B$6</f>
        <v>0.69999</v>
      </c>
      <c r="V2162" s="61" t="n">
        <f aca="false">H2162*Resumo!$B$7</f>
        <v>1.39998</v>
      </c>
      <c r="W2162" s="61" t="n">
        <f aca="false">Resumo!$B$9</f>
        <v>1</v>
      </c>
      <c r="X2162" s="61" t="n">
        <f aca="false">Resumo!$B$10*CEILING(G2162/100,1)</f>
        <v>4.5</v>
      </c>
      <c r="Y2162" s="61" t="n">
        <f aca="false">Resumo!$B$12*CEILING(G2162,1)</f>
        <v>2.76</v>
      </c>
      <c r="Z2162" s="61" t="n">
        <f aca="false">Resumo!$B$14*CEILING(G2162,1)</f>
        <v>20.7</v>
      </c>
      <c r="AA2162" s="61" t="n">
        <f aca="false">SUM(T2162:Z2162)</f>
        <v>183.59997</v>
      </c>
      <c r="AB2162" s="61" t="n">
        <f aca="false">AA2162/(1-Resumo!$B$5)</f>
        <v>208.636329545455</v>
      </c>
      <c r="AC2162" s="61" t="n">
        <f aca="false">AB2162-S2162</f>
        <v>76.8863772727272</v>
      </c>
      <c r="AD2162" s="62" t="n">
        <f aca="false">AB2162/S2162-1</f>
        <v>0.583578027516622</v>
      </c>
      <c r="AE2162" s="60" t="str">
        <f aca="false">IF(AB2162&lt;S2162,"SIM","NÃO")</f>
        <v>NÃO</v>
      </c>
      <c r="AF2162" s="60" t="n">
        <v>13</v>
      </c>
      <c r="AG2162" s="60" t="n">
        <v>11</v>
      </c>
      <c r="AH2162" s="60" t="s">
        <v>382</v>
      </c>
      <c r="AI2162" s="61" t="n">
        <f aca="false">(T2162*(1-Painel!$C$40)+U2162+V2162+Painel!$C$41+Painel!$C$42*CEILING(G2162/100,1)+Painel!$C$43*CEILING(G2162,1)+Z2162)/(1-Resumo!$B$5)</f>
        <v>144.377011363636</v>
      </c>
      <c r="AJ2162" s="60" t="str">
        <f aca="false">IF(AI2162&lt;S2162,"SIM","NÃO")</f>
        <v>NÃO</v>
      </c>
    </row>
    <row r="2163" customFormat="false" ht="15" hidden="false" customHeight="false" outlineLevel="0" collapsed="false">
      <c r="A2163" s="59" t="n">
        <v>46292.7994907407</v>
      </c>
      <c r="B2163" s="60" t="s">
        <v>2290</v>
      </c>
      <c r="C2163" s="60" t="n">
        <v>23885000</v>
      </c>
      <c r="D2163" s="60" t="s">
        <v>265</v>
      </c>
      <c r="E2163" s="60" t="s">
        <v>24</v>
      </c>
      <c r="F2163" s="60" t="s">
        <v>239</v>
      </c>
      <c r="G2163" s="60" t="n">
        <v>82</v>
      </c>
      <c r="H2163" s="61" t="n">
        <v>1399.98</v>
      </c>
      <c r="I2163" s="61" t="n">
        <v>109.63</v>
      </c>
      <c r="J2163" s="61" t="n">
        <f aca="false">H2163*Resumo!$C$6</f>
        <v>0</v>
      </c>
      <c r="K2163" s="61" t="n">
        <f aca="false">H2163*Resumo!$C$7</f>
        <v>2.939958</v>
      </c>
      <c r="L2163" s="61" t="n">
        <f aca="false">H2163*Resumo!$C$8</f>
        <v>2.939958</v>
      </c>
      <c r="M2163" s="61" t="n">
        <f aca="false">Resumo!$C$10*CEILING(G2163/100,1)</f>
        <v>1.05</v>
      </c>
      <c r="N2163" s="61" t="n">
        <f aca="false">Resumo!$C$9</f>
        <v>0</v>
      </c>
      <c r="O2163" s="61" t="n">
        <f aca="false">Resumo!$C$13</f>
        <v>13.55</v>
      </c>
      <c r="P2163" s="61" t="n">
        <f aca="false">Resumo!$C$14*CEILING(G2163,1)</f>
        <v>36.9</v>
      </c>
      <c r="Q2163" s="61" t="n">
        <f aca="false">SUM(I2163:P2163)*Resumo!$C$11</f>
        <v>0</v>
      </c>
      <c r="R2163" s="61" t="n">
        <f aca="false">SUM(I2163:Q2163)</f>
        <v>167.009916</v>
      </c>
      <c r="S2163" s="61" t="n">
        <f aca="false">R2163/(1-Resumo!$C$5)</f>
        <v>189.783995454545</v>
      </c>
      <c r="T2163" s="61" t="n">
        <v>197.35</v>
      </c>
      <c r="U2163" s="61" t="n">
        <f aca="false">H2163*Resumo!$B$6</f>
        <v>1.39998</v>
      </c>
      <c r="V2163" s="61" t="n">
        <f aca="false">H2163*Resumo!$B$7</f>
        <v>2.79996</v>
      </c>
      <c r="W2163" s="61" t="n">
        <f aca="false">Resumo!$B$9</f>
        <v>1</v>
      </c>
      <c r="X2163" s="61" t="n">
        <f aca="false">Resumo!$B$10*CEILING(G2163/100,1)</f>
        <v>4.5</v>
      </c>
      <c r="Y2163" s="61" t="n">
        <f aca="false">Resumo!$B$12*CEILING(G2163,1)</f>
        <v>4.92</v>
      </c>
      <c r="Z2163" s="61" t="n">
        <f aca="false">Resumo!$B$14*CEILING(G2163,1)</f>
        <v>36.9</v>
      </c>
      <c r="AA2163" s="61" t="n">
        <f aca="false">SUM(T2163:Z2163)</f>
        <v>248.86994</v>
      </c>
      <c r="AB2163" s="61" t="n">
        <f aca="false">AA2163/(1-Resumo!$B$5)</f>
        <v>282.80675</v>
      </c>
      <c r="AC2163" s="61" t="n">
        <f aca="false">AB2163-S2163</f>
        <v>93.0227545454546</v>
      </c>
      <c r="AD2163" s="62" t="n">
        <f aca="false">AB2163/S2163-1</f>
        <v>0.490150680633838</v>
      </c>
      <c r="AE2163" s="60" t="str">
        <f aca="false">IF(AB2163&lt;S2163,"SIM","NÃO")</f>
        <v>NÃO</v>
      </c>
      <c r="AF2163" s="60" t="n">
        <v>13</v>
      </c>
      <c r="AG2163" s="60" t="n">
        <v>10</v>
      </c>
      <c r="AH2163" s="60" t="s">
        <v>385</v>
      </c>
      <c r="AI2163" s="61" t="n">
        <f aca="false">(T2163*(1-Painel!$C$40)+U2163+V2163+Painel!$C$41+Painel!$C$42*CEILING(G2163/100,1)+Painel!$C$43*CEILING(G2163,1)+Z2163)/(1-Resumo!$B$5)</f>
        <v>199.289136363636</v>
      </c>
      <c r="AJ2163" s="60" t="str">
        <f aca="false">IF(AI2163&lt;S2163,"SIM","NÃO")</f>
        <v>NÃO</v>
      </c>
    </row>
    <row r="2164" customFormat="false" ht="15" hidden="false" customHeight="false" outlineLevel="0" collapsed="false">
      <c r="A2164" s="59" t="n">
        <v>46292.818587963</v>
      </c>
      <c r="B2164" s="60" t="s">
        <v>2291</v>
      </c>
      <c r="C2164" s="60" t="n">
        <v>20780370</v>
      </c>
      <c r="D2164" s="60" t="s">
        <v>46</v>
      </c>
      <c r="E2164" s="60" t="s">
        <v>22</v>
      </c>
      <c r="F2164" s="60" t="s">
        <v>236</v>
      </c>
      <c r="G2164" s="60" t="n">
        <v>52.3</v>
      </c>
      <c r="H2164" s="61" t="n">
        <v>636.83</v>
      </c>
      <c r="I2164" s="61" t="n">
        <v>58.6</v>
      </c>
      <c r="J2164" s="61" t="n">
        <f aca="false">H2164*Resumo!$C$6</f>
        <v>0</v>
      </c>
      <c r="K2164" s="61" t="n">
        <f aca="false">H2164*Resumo!$C$7</f>
        <v>1.337343</v>
      </c>
      <c r="L2164" s="61" t="n">
        <f aca="false">H2164*Resumo!$C$8</f>
        <v>1.337343</v>
      </c>
      <c r="M2164" s="61" t="n">
        <f aca="false">Resumo!$C$10*CEILING(G2164/100,1)</f>
        <v>1.05</v>
      </c>
      <c r="N2164" s="61" t="n">
        <f aca="false">Resumo!$C$9</f>
        <v>0</v>
      </c>
      <c r="O2164" s="61" t="n">
        <f aca="false">Resumo!$C$13</f>
        <v>13.55</v>
      </c>
      <c r="P2164" s="61" t="n">
        <f aca="false">Resumo!$C$14*CEILING(G2164,1)</f>
        <v>23.85</v>
      </c>
      <c r="Q2164" s="61" t="n">
        <f aca="false">SUM(I2164:P2164)*Resumo!$C$11</f>
        <v>0</v>
      </c>
      <c r="R2164" s="61" t="n">
        <f aca="false">SUM(I2164:Q2164)</f>
        <v>99.724686</v>
      </c>
      <c r="S2164" s="61" t="n">
        <f aca="false">R2164/(1-Resumo!$C$5)</f>
        <v>113.323506818182</v>
      </c>
      <c r="T2164" s="61" t="n">
        <v>112.3</v>
      </c>
      <c r="U2164" s="61" t="n">
        <f aca="false">H2164*Resumo!$B$6</f>
        <v>0.63683</v>
      </c>
      <c r="V2164" s="61" t="n">
        <f aca="false">H2164*Resumo!$B$7</f>
        <v>1.27366</v>
      </c>
      <c r="W2164" s="61" t="n">
        <f aca="false">Resumo!$B$9</f>
        <v>1</v>
      </c>
      <c r="X2164" s="61" t="n">
        <f aca="false">Resumo!$B$10*CEILING(G2164/100,1)</f>
        <v>4.5</v>
      </c>
      <c r="Y2164" s="61" t="n">
        <f aca="false">Resumo!$B$12*CEILING(G2164,1)</f>
        <v>3.18</v>
      </c>
      <c r="Z2164" s="61" t="n">
        <f aca="false">Resumo!$B$14*CEILING(G2164,1)</f>
        <v>23.85</v>
      </c>
      <c r="AA2164" s="61" t="n">
        <f aca="false">SUM(T2164:Z2164)</f>
        <v>146.74049</v>
      </c>
      <c r="AB2164" s="61" t="n">
        <f aca="false">AA2164/(1-Resumo!$B$5)</f>
        <v>166.750556818182</v>
      </c>
      <c r="AC2164" s="61" t="n">
        <f aca="false">AB2164-S2164</f>
        <v>53.42705</v>
      </c>
      <c r="AD2164" s="62" t="n">
        <f aca="false">AB2164/S2164-1</f>
        <v>0.471456024439124</v>
      </c>
      <c r="AE2164" s="60" t="str">
        <f aca="false">IF(AB2164&lt;S2164,"SIM","NÃO")</f>
        <v>NÃO</v>
      </c>
      <c r="AF2164" s="60" t="n">
        <v>2</v>
      </c>
      <c r="AG2164" s="60" t="n">
        <v>5</v>
      </c>
      <c r="AH2164" s="60" t="s">
        <v>382</v>
      </c>
      <c r="AI2164" s="61" t="n">
        <f aca="false">(T2164*(1-Painel!$C$40)+U2164+V2164+Painel!$C$41+Painel!$C$42*CEILING(G2164/100,1)+Painel!$C$43*CEILING(G2164,1)+Z2164)/(1-Resumo!$B$5)</f>
        <v>117.103965909091</v>
      </c>
      <c r="AJ2164" s="60" t="str">
        <f aca="false">IF(AI2164&lt;S2164,"SIM","NÃO")</f>
        <v>NÃO</v>
      </c>
    </row>
    <row r="2165" customFormat="false" ht="15" hidden="false" customHeight="false" outlineLevel="0" collapsed="false">
      <c r="A2165" s="59" t="n">
        <v>46292.8835300926</v>
      </c>
      <c r="B2165" s="60" t="s">
        <v>2292</v>
      </c>
      <c r="C2165" s="60" t="n">
        <v>28625805</v>
      </c>
      <c r="D2165" s="60" t="s">
        <v>226</v>
      </c>
      <c r="E2165" s="60" t="s">
        <v>24</v>
      </c>
      <c r="F2165" s="60" t="s">
        <v>233</v>
      </c>
      <c r="G2165" s="60" t="n">
        <v>25.4</v>
      </c>
      <c r="H2165" s="61" t="n">
        <v>439.99</v>
      </c>
      <c r="I2165" s="61" t="n">
        <v>65.63</v>
      </c>
      <c r="J2165" s="61" t="n">
        <f aca="false">H2165*Resumo!$C$6</f>
        <v>0</v>
      </c>
      <c r="K2165" s="61" t="n">
        <f aca="false">H2165*Resumo!$C$7</f>
        <v>0.923979</v>
      </c>
      <c r="L2165" s="61" t="n">
        <f aca="false">H2165*Resumo!$C$8</f>
        <v>0.923979</v>
      </c>
      <c r="M2165" s="61" t="n">
        <f aca="false">Resumo!$C$10*CEILING(G2165/100,1)</f>
        <v>1.05</v>
      </c>
      <c r="N2165" s="61" t="n">
        <f aca="false">Resumo!$C$9</f>
        <v>0</v>
      </c>
      <c r="O2165" s="61" t="n">
        <f aca="false">Resumo!$C$13</f>
        <v>13.55</v>
      </c>
      <c r="P2165" s="61" t="n">
        <f aca="false">Resumo!$C$14*CEILING(G2165,1)</f>
        <v>11.7</v>
      </c>
      <c r="Q2165" s="61" t="n">
        <f aca="false">SUM(I2165:P2165)*Resumo!$C$11</f>
        <v>0</v>
      </c>
      <c r="R2165" s="61" t="n">
        <f aca="false">SUM(I2165:Q2165)</f>
        <v>93.777958</v>
      </c>
      <c r="S2165" s="61" t="n">
        <f aca="false">R2165/(1-Resumo!$C$5)</f>
        <v>106.565861363636</v>
      </c>
      <c r="T2165" s="61" t="n">
        <v>120.78</v>
      </c>
      <c r="U2165" s="61" t="n">
        <f aca="false">H2165*Resumo!$B$6</f>
        <v>0.43999</v>
      </c>
      <c r="V2165" s="61" t="n">
        <f aca="false">H2165*Resumo!$B$7</f>
        <v>0.87998</v>
      </c>
      <c r="W2165" s="61" t="n">
        <f aca="false">Resumo!$B$9</f>
        <v>1</v>
      </c>
      <c r="X2165" s="61" t="n">
        <f aca="false">Resumo!$B$10*CEILING(G2165/100,1)</f>
        <v>4.5</v>
      </c>
      <c r="Y2165" s="61" t="n">
        <f aca="false">Resumo!$B$12*CEILING(G2165,1)</f>
        <v>1.56</v>
      </c>
      <c r="Z2165" s="61" t="n">
        <f aca="false">Resumo!$B$14*CEILING(G2165,1)</f>
        <v>11.7</v>
      </c>
      <c r="AA2165" s="61" t="n">
        <f aca="false">SUM(T2165:Z2165)</f>
        <v>140.85997</v>
      </c>
      <c r="AB2165" s="61" t="n">
        <f aca="false">AA2165/(1-Resumo!$B$5)</f>
        <v>160.068147727273</v>
      </c>
      <c r="AC2165" s="61" t="n">
        <f aca="false">AB2165-S2165</f>
        <v>53.5022863636363</v>
      </c>
      <c r="AD2165" s="62" t="n">
        <f aca="false">AB2165/S2165-1</f>
        <v>0.502058404811928</v>
      </c>
      <c r="AE2165" s="60" t="str">
        <f aca="false">IF(AB2165&lt;S2165,"SIM","NÃO")</f>
        <v>NÃO</v>
      </c>
      <c r="AF2165" s="60" t="n">
        <v>13</v>
      </c>
      <c r="AG2165" s="60" t="n">
        <v>10</v>
      </c>
      <c r="AH2165" s="60" t="s">
        <v>382</v>
      </c>
      <c r="AI2165" s="61" t="n">
        <f aca="false">(T2165*(1-Painel!$C$40)+U2165+V2165+Painel!$C$41+Painel!$C$42*CEILING(G2165/100,1)+Painel!$C$43*CEILING(G2165,1)+Z2165)/(1-Resumo!$B$5)</f>
        <v>109.082465909091</v>
      </c>
      <c r="AJ2165" s="60" t="str">
        <f aca="false">IF(AI2165&lt;S2165,"SIM","NÃO")</f>
        <v>NÃO</v>
      </c>
    </row>
    <row r="2166" customFormat="false" ht="15" hidden="false" customHeight="false" outlineLevel="0" collapsed="false">
      <c r="A2166" s="59" t="n">
        <v>46292.891400463</v>
      </c>
      <c r="B2166" s="60" t="s">
        <v>1136</v>
      </c>
      <c r="C2166" s="60" t="n">
        <v>25555221</v>
      </c>
      <c r="D2166" s="60" t="s">
        <v>216</v>
      </c>
      <c r="E2166" s="60" t="s">
        <v>23</v>
      </c>
      <c r="F2166" s="60" t="s">
        <v>236</v>
      </c>
      <c r="G2166" s="60" t="n">
        <v>58.6</v>
      </c>
      <c r="H2166" s="61" t="n">
        <v>658.98</v>
      </c>
      <c r="I2166" s="61" t="n">
        <v>70.98</v>
      </c>
      <c r="J2166" s="61" t="n">
        <f aca="false">H2166*Resumo!$C$6</f>
        <v>0</v>
      </c>
      <c r="K2166" s="61" t="n">
        <f aca="false">H2166*Resumo!$C$7</f>
        <v>1.383858</v>
      </c>
      <c r="L2166" s="61" t="n">
        <f aca="false">H2166*Resumo!$C$8</f>
        <v>1.383858</v>
      </c>
      <c r="M2166" s="61" t="n">
        <f aca="false">Resumo!$C$10*CEILING(G2166/100,1)</f>
        <v>1.05</v>
      </c>
      <c r="N2166" s="61" t="n">
        <f aca="false">Resumo!$C$9</f>
        <v>0</v>
      </c>
      <c r="O2166" s="61" t="n">
        <f aca="false">Resumo!$C$13</f>
        <v>13.55</v>
      </c>
      <c r="P2166" s="61" t="n">
        <f aca="false">Resumo!$C$14*CEILING(G2166,1)</f>
        <v>26.55</v>
      </c>
      <c r="Q2166" s="61" t="n">
        <f aca="false">SUM(I2166:P2166)*Resumo!$C$11</f>
        <v>0</v>
      </c>
      <c r="R2166" s="61" t="n">
        <f aca="false">SUM(I2166:Q2166)</f>
        <v>114.897716</v>
      </c>
      <c r="S2166" s="61" t="n">
        <f aca="false">R2166/(1-Resumo!$C$5)</f>
        <v>130.565586363636</v>
      </c>
      <c r="T2166" s="61" t="n">
        <v>112.3</v>
      </c>
      <c r="U2166" s="61" t="n">
        <f aca="false">H2166*Resumo!$B$6</f>
        <v>0.65898</v>
      </c>
      <c r="V2166" s="61" t="n">
        <f aca="false">H2166*Resumo!$B$7</f>
        <v>1.31796</v>
      </c>
      <c r="W2166" s="61" t="n">
        <f aca="false">Resumo!$B$9</f>
        <v>1</v>
      </c>
      <c r="X2166" s="61" t="n">
        <f aca="false">Resumo!$B$10*CEILING(G2166/100,1)</f>
        <v>4.5</v>
      </c>
      <c r="Y2166" s="61" t="n">
        <f aca="false">Resumo!$B$12*CEILING(G2166,1)</f>
        <v>3.54</v>
      </c>
      <c r="Z2166" s="61" t="n">
        <f aca="false">Resumo!$B$14*CEILING(G2166,1)</f>
        <v>26.55</v>
      </c>
      <c r="AA2166" s="61" t="n">
        <f aca="false">SUM(T2166:Z2166)</f>
        <v>149.86694</v>
      </c>
      <c r="AB2166" s="61" t="n">
        <f aca="false">AA2166/(1-Resumo!$B$5)</f>
        <v>170.303340909091</v>
      </c>
      <c r="AC2166" s="61" t="n">
        <f aca="false">AB2166-S2166</f>
        <v>39.7377545454546</v>
      </c>
      <c r="AD2166" s="62" t="n">
        <f aca="false">AB2166/S2166-1</f>
        <v>0.304350906331332</v>
      </c>
      <c r="AE2166" s="60" t="str">
        <f aca="false">IF(AB2166&lt;S2166,"SIM","NÃO")</f>
        <v>NÃO</v>
      </c>
      <c r="AF2166" s="60" t="n">
        <v>2</v>
      </c>
      <c r="AG2166" s="60" t="n">
        <v>5</v>
      </c>
      <c r="AH2166" s="60" t="s">
        <v>382</v>
      </c>
      <c r="AI2166" s="61" t="n">
        <f aca="false">(T2166*(1-Painel!$C$40)+U2166+V2166+Painel!$C$41+Painel!$C$42*CEILING(G2166/100,1)+Painel!$C$43*CEILING(G2166,1)+Z2166)/(1-Resumo!$B$5)</f>
        <v>120.247659090909</v>
      </c>
      <c r="AJ2166" s="60" t="str">
        <f aca="false">IF(AI2166&lt;S2166,"SIM","NÃO")</f>
        <v>SIM</v>
      </c>
    </row>
    <row r="2167" customFormat="false" ht="15" hidden="false" customHeight="false" outlineLevel="0" collapsed="false">
      <c r="A2167" s="59" t="n">
        <v>46292.9000810185</v>
      </c>
      <c r="B2167" s="60" t="s">
        <v>2293</v>
      </c>
      <c r="C2167" s="60" t="n">
        <v>24717241</v>
      </c>
      <c r="D2167" s="60" t="s">
        <v>47</v>
      </c>
      <c r="E2167" s="60" t="s">
        <v>23</v>
      </c>
      <c r="F2167" s="60" t="s">
        <v>233</v>
      </c>
      <c r="G2167" s="60" t="n">
        <v>21.8</v>
      </c>
      <c r="H2167" s="61" t="n">
        <v>319.99</v>
      </c>
      <c r="I2167" s="61" t="n">
        <v>58.8</v>
      </c>
      <c r="J2167" s="61" t="n">
        <f aca="false">H2167*Resumo!$C$6</f>
        <v>0</v>
      </c>
      <c r="K2167" s="61" t="n">
        <f aca="false">H2167*Resumo!$C$7</f>
        <v>0.671979</v>
      </c>
      <c r="L2167" s="61" t="n">
        <f aca="false">H2167*Resumo!$C$8</f>
        <v>0.671979</v>
      </c>
      <c r="M2167" s="61" t="n">
        <f aca="false">Resumo!$C$10*CEILING(G2167/100,1)</f>
        <v>1.05</v>
      </c>
      <c r="N2167" s="61" t="n">
        <f aca="false">Resumo!$C$9</f>
        <v>0</v>
      </c>
      <c r="O2167" s="61" t="n">
        <f aca="false">Resumo!$C$13</f>
        <v>13.55</v>
      </c>
      <c r="P2167" s="61" t="n">
        <f aca="false">Resumo!$C$14*CEILING(G2167,1)</f>
        <v>9.9</v>
      </c>
      <c r="Q2167" s="61" t="n">
        <f aca="false">SUM(I2167:P2167)*Resumo!$C$11</f>
        <v>0</v>
      </c>
      <c r="R2167" s="61" t="n">
        <f aca="false">SUM(I2167:Q2167)</f>
        <v>84.643958</v>
      </c>
      <c r="S2167" s="61" t="n">
        <f aca="false">R2167/(1-Resumo!$C$5)</f>
        <v>96.1863159090909</v>
      </c>
      <c r="T2167" s="61" t="n">
        <v>100.58</v>
      </c>
      <c r="U2167" s="61" t="n">
        <f aca="false">H2167*Resumo!$B$6</f>
        <v>0.31999</v>
      </c>
      <c r="V2167" s="61" t="n">
        <f aca="false">H2167*Resumo!$B$7</f>
        <v>0.63998</v>
      </c>
      <c r="W2167" s="61" t="n">
        <f aca="false">Resumo!$B$9</f>
        <v>1</v>
      </c>
      <c r="X2167" s="61" t="n">
        <f aca="false">Resumo!$B$10*CEILING(G2167/100,1)</f>
        <v>4.5</v>
      </c>
      <c r="Y2167" s="61" t="n">
        <f aca="false">Resumo!$B$12*CEILING(G2167,1)</f>
        <v>1.32</v>
      </c>
      <c r="Z2167" s="61" t="n">
        <f aca="false">Resumo!$B$14*CEILING(G2167,1)</f>
        <v>9.9</v>
      </c>
      <c r="AA2167" s="61" t="n">
        <f aca="false">SUM(T2167:Z2167)</f>
        <v>118.25997</v>
      </c>
      <c r="AB2167" s="61" t="n">
        <f aca="false">AA2167/(1-Resumo!$B$5)</f>
        <v>134.386329545455</v>
      </c>
      <c r="AC2167" s="61" t="n">
        <f aca="false">AB2167-S2167</f>
        <v>38.2000136363636</v>
      </c>
      <c r="AD2167" s="62" t="n">
        <f aca="false">AB2167/S2167-1</f>
        <v>0.397146031380054</v>
      </c>
      <c r="AE2167" s="60" t="str">
        <f aca="false">IF(AB2167&lt;S2167,"SIM","NÃO")</f>
        <v>NÃO</v>
      </c>
      <c r="AF2167" s="60" t="n">
        <v>2</v>
      </c>
      <c r="AG2167" s="60" t="n">
        <v>7</v>
      </c>
      <c r="AH2167" s="60" t="s">
        <v>382</v>
      </c>
      <c r="AI2167" s="61" t="n">
        <f aca="false">(T2167*(1-Painel!$C$40)+U2167+V2167+Painel!$C$41+Painel!$C$42*CEILING(G2167/100,1)+Painel!$C$43*CEILING(G2167,1)+Z2167)/(1-Resumo!$B$5)</f>
        <v>91.248375</v>
      </c>
      <c r="AJ2167" s="60" t="str">
        <f aca="false">IF(AI2167&lt;S2167,"SIM","NÃO")</f>
        <v>SIM</v>
      </c>
    </row>
    <row r="2168" customFormat="false" ht="15" hidden="false" customHeight="false" outlineLevel="0" collapsed="false">
      <c r="A2168" s="59" t="n">
        <v>46293.0349537037</v>
      </c>
      <c r="B2168" s="60" t="s">
        <v>981</v>
      </c>
      <c r="C2168" s="60" t="n">
        <v>24436000</v>
      </c>
      <c r="D2168" s="60" t="s">
        <v>47</v>
      </c>
      <c r="E2168" s="60" t="s">
        <v>23</v>
      </c>
      <c r="F2168" s="60" t="s">
        <v>233</v>
      </c>
      <c r="G2168" s="60" t="n">
        <v>28.8</v>
      </c>
      <c r="H2168" s="61" t="n">
        <v>799.39</v>
      </c>
      <c r="I2168" s="61" t="n">
        <v>58.8</v>
      </c>
      <c r="J2168" s="61" t="n">
        <f aca="false">H2168*Resumo!$C$6</f>
        <v>0</v>
      </c>
      <c r="K2168" s="61" t="n">
        <f aca="false">H2168*Resumo!$C$7</f>
        <v>1.678719</v>
      </c>
      <c r="L2168" s="61" t="n">
        <f aca="false">H2168*Resumo!$C$8</f>
        <v>1.678719</v>
      </c>
      <c r="M2168" s="61" t="n">
        <f aca="false">Resumo!$C$10*CEILING(G2168/100,1)</f>
        <v>1.05</v>
      </c>
      <c r="N2168" s="61" t="n">
        <f aca="false">Resumo!$C$9</f>
        <v>0</v>
      </c>
      <c r="O2168" s="61" t="n">
        <f aca="false">Resumo!$C$13</f>
        <v>13.55</v>
      </c>
      <c r="P2168" s="61" t="n">
        <f aca="false">Resumo!$C$14*CEILING(G2168,1)</f>
        <v>13.05</v>
      </c>
      <c r="Q2168" s="61" t="n">
        <f aca="false">SUM(I2168:P2168)*Resumo!$C$11</f>
        <v>0</v>
      </c>
      <c r="R2168" s="61" t="n">
        <f aca="false">SUM(I2168:Q2168)</f>
        <v>89.807438</v>
      </c>
      <c r="S2168" s="61" t="n">
        <f aca="false">R2168/(1-Resumo!$C$5)</f>
        <v>102.053906818182</v>
      </c>
      <c r="T2168" s="61" t="n">
        <v>100.58</v>
      </c>
      <c r="U2168" s="61" t="n">
        <f aca="false">H2168*Resumo!$B$6</f>
        <v>0.79939</v>
      </c>
      <c r="V2168" s="61" t="n">
        <f aca="false">H2168*Resumo!$B$7</f>
        <v>1.59878</v>
      </c>
      <c r="W2168" s="61" t="n">
        <f aca="false">Resumo!$B$9</f>
        <v>1</v>
      </c>
      <c r="X2168" s="61" t="n">
        <f aca="false">Resumo!$B$10*CEILING(G2168/100,1)</f>
        <v>4.5</v>
      </c>
      <c r="Y2168" s="61" t="n">
        <f aca="false">Resumo!$B$12*CEILING(G2168,1)</f>
        <v>1.74</v>
      </c>
      <c r="Z2168" s="61" t="n">
        <f aca="false">Resumo!$B$14*CEILING(G2168,1)</f>
        <v>13.05</v>
      </c>
      <c r="AA2168" s="61" t="n">
        <f aca="false">SUM(T2168:Z2168)</f>
        <v>123.26817</v>
      </c>
      <c r="AB2168" s="61" t="n">
        <f aca="false">AA2168/(1-Resumo!$B$5)</f>
        <v>140.077465909091</v>
      </c>
      <c r="AC2168" s="61" t="n">
        <f aca="false">AB2168-S2168</f>
        <v>38.0235590909091</v>
      </c>
      <c r="AD2168" s="62" t="n">
        <f aca="false">AB2168/S2168-1</f>
        <v>0.372583081592863</v>
      </c>
      <c r="AE2168" s="60" t="str">
        <f aca="false">IF(AB2168&lt;S2168,"SIM","NÃO")</f>
        <v>NÃO</v>
      </c>
      <c r="AF2168" s="60" t="n">
        <v>2</v>
      </c>
      <c r="AG2168" s="60" t="n">
        <v>7</v>
      </c>
      <c r="AH2168" s="60" t="s">
        <v>382</v>
      </c>
      <c r="AI2168" s="61" t="n">
        <f aca="false">(T2168*(1-Painel!$C$40)+U2168+V2168+Painel!$C$41+Painel!$C$42*CEILING(G2168/100,1)+Painel!$C$43*CEILING(G2168,1)+Z2168)/(1-Resumo!$B$5)</f>
        <v>96.4622386363636</v>
      </c>
      <c r="AJ2168" s="60" t="str">
        <f aca="false">IF(AI2168&lt;S2168,"SIM","NÃO")</f>
        <v>SIM</v>
      </c>
    </row>
    <row r="2169" customFormat="false" ht="15" hidden="false" customHeight="false" outlineLevel="0" collapsed="false">
      <c r="A2169" s="59" t="n">
        <v>46293.3633680556</v>
      </c>
      <c r="B2169" s="60" t="s">
        <v>2294</v>
      </c>
      <c r="C2169" s="60" t="n">
        <v>24120015</v>
      </c>
      <c r="D2169" s="60" t="s">
        <v>50</v>
      </c>
      <c r="E2169" s="60" t="s">
        <v>23</v>
      </c>
      <c r="F2169" s="60" t="s">
        <v>240</v>
      </c>
      <c r="G2169" s="60" t="n">
        <v>108</v>
      </c>
      <c r="H2169" s="61" t="n">
        <v>1359.96</v>
      </c>
      <c r="I2169" s="61" t="n">
        <v>101.26</v>
      </c>
      <c r="J2169" s="61" t="n">
        <f aca="false">H2169*Resumo!$C$6</f>
        <v>0</v>
      </c>
      <c r="K2169" s="61" t="n">
        <f aca="false">H2169*Resumo!$C$7</f>
        <v>2.855916</v>
      </c>
      <c r="L2169" s="61" t="n">
        <f aca="false">H2169*Resumo!$C$8</f>
        <v>2.855916</v>
      </c>
      <c r="M2169" s="61" t="n">
        <f aca="false">Resumo!$C$10*CEILING(G2169/100,1)</f>
        <v>2.1</v>
      </c>
      <c r="N2169" s="61" t="n">
        <f aca="false">Resumo!$C$9</f>
        <v>0</v>
      </c>
      <c r="O2169" s="61" t="n">
        <f aca="false">Resumo!$C$13</f>
        <v>13.55</v>
      </c>
      <c r="P2169" s="61" t="n">
        <f aca="false">Resumo!$C$14*CEILING(G2169,1)</f>
        <v>48.6</v>
      </c>
      <c r="Q2169" s="61" t="n">
        <f aca="false">SUM(I2169:P2169)*Resumo!$C$11</f>
        <v>0</v>
      </c>
      <c r="R2169" s="61" t="n">
        <f aca="false">SUM(I2169:Q2169)</f>
        <v>171.221832</v>
      </c>
      <c r="S2169" s="61" t="n">
        <f aca="false">R2169/(1-Resumo!$C$5)</f>
        <v>194.570263636364</v>
      </c>
      <c r="T2169" s="61" t="n">
        <v>214.11</v>
      </c>
      <c r="U2169" s="61" t="n">
        <f aca="false">H2169*Resumo!$B$6</f>
        <v>1.35996</v>
      </c>
      <c r="V2169" s="61" t="n">
        <f aca="false">H2169*Resumo!$B$7</f>
        <v>2.71992</v>
      </c>
      <c r="W2169" s="61" t="n">
        <f aca="false">Resumo!$B$9</f>
        <v>1</v>
      </c>
      <c r="X2169" s="61" t="n">
        <f aca="false">Resumo!$B$10*CEILING(G2169/100,1)</f>
        <v>9</v>
      </c>
      <c r="Y2169" s="61" t="n">
        <f aca="false">Resumo!$B$12*CEILING(G2169,1)</f>
        <v>6.48</v>
      </c>
      <c r="Z2169" s="61" t="n">
        <f aca="false">Resumo!$B$14*CEILING(G2169,1)</f>
        <v>48.6</v>
      </c>
      <c r="AA2169" s="61" t="n">
        <f aca="false">SUM(T2169:Z2169)</f>
        <v>283.26988</v>
      </c>
      <c r="AB2169" s="61" t="n">
        <f aca="false">AA2169/(1-Resumo!$B$5)</f>
        <v>321.897590909091</v>
      </c>
      <c r="AC2169" s="61" t="n">
        <f aca="false">AB2169-S2169</f>
        <v>127.327327272727</v>
      </c>
      <c r="AD2169" s="62" t="n">
        <f aca="false">AB2169/S2169-1</f>
        <v>0.654402810034178</v>
      </c>
      <c r="AE2169" s="60" t="str">
        <f aca="false">IF(AB2169&lt;S2169,"SIM","NÃO")</f>
        <v>NÃO</v>
      </c>
      <c r="AF2169" s="60" t="n">
        <v>2</v>
      </c>
      <c r="AG2169" s="60" t="n">
        <v>7</v>
      </c>
      <c r="AH2169" s="60" t="s">
        <v>382</v>
      </c>
      <c r="AI2169" s="61" t="n">
        <f aca="false">(T2169*(1-Painel!$C$40)+U2169+V2169+Painel!$C$41+Painel!$C$42*CEILING(G2169/100,1)+Painel!$C$43*CEILING(G2169,1)+Z2169)/(1-Resumo!$B$5)</f>
        <v>226.401795454545</v>
      </c>
      <c r="AJ2169" s="60" t="str">
        <f aca="false">IF(AI2169&lt;S2169,"SIM","NÃO")</f>
        <v>NÃO</v>
      </c>
    </row>
    <row r="2170" customFormat="false" ht="15" hidden="false" customHeight="false" outlineLevel="0" collapsed="false">
      <c r="A2170" s="59" t="n">
        <v>46293.6763310185</v>
      </c>
      <c r="B2170" s="60" t="s">
        <v>2295</v>
      </c>
      <c r="C2170" s="60" t="n">
        <v>27276367</v>
      </c>
      <c r="D2170" s="60" t="s">
        <v>217</v>
      </c>
      <c r="E2170" s="60" t="s">
        <v>24</v>
      </c>
      <c r="F2170" s="60" t="s">
        <v>235</v>
      </c>
      <c r="G2170" s="60" t="n">
        <v>48</v>
      </c>
      <c r="H2170" s="61" t="n">
        <v>828.99</v>
      </c>
      <c r="I2170" s="61" t="n">
        <v>77.7</v>
      </c>
      <c r="J2170" s="61" t="n">
        <f aca="false">H2170*Resumo!$C$6</f>
        <v>0</v>
      </c>
      <c r="K2170" s="61" t="n">
        <f aca="false">H2170*Resumo!$C$7</f>
        <v>1.740879</v>
      </c>
      <c r="L2170" s="61" t="n">
        <f aca="false">H2170*Resumo!$C$8</f>
        <v>1.740879</v>
      </c>
      <c r="M2170" s="61" t="n">
        <f aca="false">Resumo!$C$10*CEILING(G2170/100,1)</f>
        <v>1.05</v>
      </c>
      <c r="N2170" s="61" t="n">
        <f aca="false">Resumo!$C$9</f>
        <v>0</v>
      </c>
      <c r="O2170" s="61" t="n">
        <f aca="false">Resumo!$C$13</f>
        <v>13.55</v>
      </c>
      <c r="P2170" s="61" t="n">
        <f aca="false">Resumo!$C$14*CEILING(G2170,1)</f>
        <v>21.6</v>
      </c>
      <c r="Q2170" s="61" t="n">
        <f aca="false">SUM(I2170:P2170)*Resumo!$C$11</f>
        <v>0</v>
      </c>
      <c r="R2170" s="61" t="n">
        <f aca="false">SUM(I2170:Q2170)</f>
        <v>117.381758</v>
      </c>
      <c r="S2170" s="61" t="n">
        <f aca="false">R2170/(1-Resumo!$C$5)</f>
        <v>133.388361363636</v>
      </c>
      <c r="T2170" s="61" t="n">
        <v>124.38</v>
      </c>
      <c r="U2170" s="61" t="n">
        <f aca="false">H2170*Resumo!$B$6</f>
        <v>0.82899</v>
      </c>
      <c r="V2170" s="61" t="n">
        <f aca="false">H2170*Resumo!$B$7</f>
        <v>1.65798</v>
      </c>
      <c r="W2170" s="61" t="n">
        <f aca="false">Resumo!$B$9</f>
        <v>1</v>
      </c>
      <c r="X2170" s="61" t="n">
        <f aca="false">Resumo!$B$10*CEILING(G2170/100,1)</f>
        <v>4.5</v>
      </c>
      <c r="Y2170" s="61" t="n">
        <f aca="false">Resumo!$B$12*CEILING(G2170,1)</f>
        <v>2.88</v>
      </c>
      <c r="Z2170" s="61" t="n">
        <f aca="false">Resumo!$B$14*CEILING(G2170,1)</f>
        <v>21.6</v>
      </c>
      <c r="AA2170" s="61" t="n">
        <f aca="false">SUM(T2170:Z2170)</f>
        <v>156.84697</v>
      </c>
      <c r="AB2170" s="61" t="n">
        <f aca="false">AA2170/(1-Resumo!$B$5)</f>
        <v>178.235193181818</v>
      </c>
      <c r="AC2170" s="61" t="n">
        <f aca="false">AB2170-S2170</f>
        <v>44.8468318181818</v>
      </c>
      <c r="AD2170" s="62" t="n">
        <f aca="false">AB2170/S2170-1</f>
        <v>0.336212480307204</v>
      </c>
      <c r="AE2170" s="60" t="str">
        <f aca="false">IF(AB2170&lt;S2170,"SIM","NÃO")</f>
        <v>NÃO</v>
      </c>
      <c r="AF2170" s="60" t="n">
        <v>13</v>
      </c>
      <c r="AG2170" s="60" t="n">
        <v>10</v>
      </c>
      <c r="AH2170" s="60" t="s">
        <v>382</v>
      </c>
      <c r="AI2170" s="61" t="n">
        <f aca="false">(T2170*(1-Painel!$C$40)+U2170+V2170+Painel!$C$41+Painel!$C$42*CEILING(G2170/100,1)+Painel!$C$43*CEILING(G2170,1)+Z2170)/(1-Resumo!$B$5)</f>
        <v>124.399511363636</v>
      </c>
      <c r="AJ2170" s="60" t="str">
        <f aca="false">IF(AI2170&lt;S2170,"SIM","NÃO")</f>
        <v>SIM</v>
      </c>
    </row>
    <row r="2171" customFormat="false" ht="15" hidden="false" customHeight="false" outlineLevel="0" collapsed="false">
      <c r="A2171" s="59" t="n">
        <v>46293.7294791667</v>
      </c>
      <c r="B2171" s="60" t="s">
        <v>2296</v>
      </c>
      <c r="C2171" s="60" t="n">
        <v>23015170</v>
      </c>
      <c r="D2171" s="60" t="s">
        <v>46</v>
      </c>
      <c r="E2171" s="60" t="s">
        <v>22</v>
      </c>
      <c r="F2171" s="60" t="s">
        <v>235</v>
      </c>
      <c r="G2171" s="60" t="n">
        <v>41.4</v>
      </c>
      <c r="H2171" s="61" t="n">
        <v>413.47</v>
      </c>
      <c r="I2171" s="61" t="n">
        <v>53.55</v>
      </c>
      <c r="J2171" s="61" t="n">
        <f aca="false">H2171*Resumo!$C$6</f>
        <v>0</v>
      </c>
      <c r="K2171" s="61" t="n">
        <f aca="false">H2171*Resumo!$C$7</f>
        <v>0.868287</v>
      </c>
      <c r="L2171" s="61" t="n">
        <f aca="false">H2171*Resumo!$C$8</f>
        <v>0.868287</v>
      </c>
      <c r="M2171" s="61" t="n">
        <f aca="false">Resumo!$C$10*CEILING(G2171/100,1)</f>
        <v>1.05</v>
      </c>
      <c r="N2171" s="61" t="n">
        <f aca="false">Resumo!$C$9</f>
        <v>0</v>
      </c>
      <c r="O2171" s="61" t="n">
        <f aca="false">Resumo!$C$13</f>
        <v>13.55</v>
      </c>
      <c r="P2171" s="61" t="n">
        <f aca="false">Resumo!$C$14*CEILING(G2171,1)</f>
        <v>18.9</v>
      </c>
      <c r="Q2171" s="61" t="n">
        <f aca="false">SUM(I2171:P2171)*Resumo!$C$11</f>
        <v>0</v>
      </c>
      <c r="R2171" s="61" t="n">
        <f aca="false">SUM(I2171:Q2171)</f>
        <v>88.786574</v>
      </c>
      <c r="S2171" s="61" t="n">
        <f aca="false">R2171/(1-Resumo!$C$5)</f>
        <v>100.893834090909</v>
      </c>
      <c r="T2171" s="61" t="n">
        <v>93.97</v>
      </c>
      <c r="U2171" s="61" t="n">
        <f aca="false">H2171*Resumo!$B$6</f>
        <v>0.41347</v>
      </c>
      <c r="V2171" s="61" t="n">
        <f aca="false">H2171*Resumo!$B$7</f>
        <v>0.82694</v>
      </c>
      <c r="W2171" s="61" t="n">
        <f aca="false">Resumo!$B$9</f>
        <v>1</v>
      </c>
      <c r="X2171" s="61" t="n">
        <f aca="false">Resumo!$B$10*CEILING(G2171/100,1)</f>
        <v>4.5</v>
      </c>
      <c r="Y2171" s="61" t="n">
        <f aca="false">Resumo!$B$12*CEILING(G2171,1)</f>
        <v>2.52</v>
      </c>
      <c r="Z2171" s="61" t="n">
        <f aca="false">Resumo!$B$14*CEILING(G2171,1)</f>
        <v>18.9</v>
      </c>
      <c r="AA2171" s="61" t="n">
        <f aca="false">SUM(T2171:Z2171)</f>
        <v>122.13041</v>
      </c>
      <c r="AB2171" s="61" t="n">
        <f aca="false">AA2171/(1-Resumo!$B$5)</f>
        <v>138.784556818182</v>
      </c>
      <c r="AC2171" s="61" t="n">
        <f aca="false">AB2171-S2171</f>
        <v>37.8907227272727</v>
      </c>
      <c r="AD2171" s="62" t="n">
        <f aca="false">AB2171/S2171-1</f>
        <v>0.375550429505254</v>
      </c>
      <c r="AE2171" s="60" t="str">
        <f aca="false">IF(AB2171&lt;S2171,"SIM","NÃO")</f>
        <v>NÃO</v>
      </c>
      <c r="AF2171" s="60" t="n">
        <v>2</v>
      </c>
      <c r="AG2171" s="60" t="n">
        <v>5</v>
      </c>
      <c r="AH2171" s="60" t="s">
        <v>382</v>
      </c>
      <c r="AI2171" s="61" t="n">
        <f aca="false">(T2171*(1-Painel!$C$40)+U2171+V2171+Painel!$C$41+Painel!$C$42*CEILING(G2171/100,1)+Painel!$C$43*CEILING(G2171,1)+Z2171)/(1-Resumo!$B$5)</f>
        <v>96.7617159090909</v>
      </c>
      <c r="AJ2171" s="60" t="str">
        <f aca="false">IF(AI2171&lt;S2171,"SIM","NÃO")</f>
        <v>SIM</v>
      </c>
    </row>
    <row r="2172" customFormat="false" ht="15" hidden="false" customHeight="false" outlineLevel="0" collapsed="false">
      <c r="A2172" s="59" t="n">
        <v>46293.7589930556</v>
      </c>
      <c r="B2172" s="60" t="s">
        <v>2297</v>
      </c>
      <c r="C2172" s="60" t="n">
        <v>21061340</v>
      </c>
      <c r="D2172" s="60" t="s">
        <v>46</v>
      </c>
      <c r="E2172" s="60" t="s">
        <v>22</v>
      </c>
      <c r="F2172" s="60" t="s">
        <v>233</v>
      </c>
      <c r="G2172" s="60" t="n">
        <v>25.8</v>
      </c>
      <c r="H2172" s="61" t="n">
        <v>306</v>
      </c>
      <c r="I2172" s="61" t="n">
        <v>42.11</v>
      </c>
      <c r="J2172" s="61" t="n">
        <f aca="false">H2172*Resumo!$C$6</f>
        <v>0</v>
      </c>
      <c r="K2172" s="61" t="n">
        <f aca="false">H2172*Resumo!$C$7</f>
        <v>0.6426</v>
      </c>
      <c r="L2172" s="61" t="n">
        <f aca="false">H2172*Resumo!$C$8</f>
        <v>0.6426</v>
      </c>
      <c r="M2172" s="61" t="n">
        <f aca="false">Resumo!$C$10*CEILING(G2172/100,1)</f>
        <v>1.05</v>
      </c>
      <c r="N2172" s="61" t="n">
        <f aca="false">Resumo!$C$9</f>
        <v>0</v>
      </c>
      <c r="O2172" s="61" t="n">
        <f aca="false">Resumo!$C$13</f>
        <v>13.55</v>
      </c>
      <c r="P2172" s="61" t="n">
        <f aca="false">Resumo!$C$14*CEILING(G2172,1)</f>
        <v>11.7</v>
      </c>
      <c r="Q2172" s="61" t="n">
        <f aca="false">SUM(I2172:P2172)*Resumo!$C$11</f>
        <v>0</v>
      </c>
      <c r="R2172" s="61" t="n">
        <f aca="false">SUM(I2172:Q2172)</f>
        <v>69.6952</v>
      </c>
      <c r="S2172" s="61" t="n">
        <f aca="false">R2172/(1-Resumo!$C$5)</f>
        <v>79.1990909090909</v>
      </c>
      <c r="T2172" s="61" t="n">
        <v>82.21</v>
      </c>
      <c r="U2172" s="61" t="n">
        <f aca="false">H2172*Resumo!$B$6</f>
        <v>0.306</v>
      </c>
      <c r="V2172" s="61" t="n">
        <f aca="false">H2172*Resumo!$B$7</f>
        <v>0.612</v>
      </c>
      <c r="W2172" s="61" t="n">
        <f aca="false">Resumo!$B$9</f>
        <v>1</v>
      </c>
      <c r="X2172" s="61" t="n">
        <f aca="false">Resumo!$B$10*CEILING(G2172/100,1)</f>
        <v>4.5</v>
      </c>
      <c r="Y2172" s="61" t="n">
        <f aca="false">Resumo!$B$12*CEILING(G2172,1)</f>
        <v>1.56</v>
      </c>
      <c r="Z2172" s="61" t="n">
        <f aca="false">Resumo!$B$14*CEILING(G2172,1)</f>
        <v>11.7</v>
      </c>
      <c r="AA2172" s="61" t="n">
        <f aca="false">SUM(T2172:Z2172)</f>
        <v>101.888</v>
      </c>
      <c r="AB2172" s="61" t="n">
        <f aca="false">AA2172/(1-Resumo!$B$5)</f>
        <v>115.781818181818</v>
      </c>
      <c r="AC2172" s="61" t="n">
        <f aca="false">AB2172-S2172</f>
        <v>36.5827272727273</v>
      </c>
      <c r="AD2172" s="62" t="n">
        <f aca="false">AB2172/S2172-1</f>
        <v>0.461908424109551</v>
      </c>
      <c r="AE2172" s="60" t="str">
        <f aca="false">IF(AB2172&lt;S2172,"SIM","NÃO")</f>
        <v>NÃO</v>
      </c>
      <c r="AF2172" s="60" t="n">
        <v>2</v>
      </c>
      <c r="AG2172" s="60" t="n">
        <v>5</v>
      </c>
      <c r="AH2172" s="60" t="s">
        <v>382</v>
      </c>
      <c r="AI2172" s="61" t="n">
        <f aca="false">(T2172*(1-Painel!$C$40)+U2172+V2172+Painel!$C$41+Painel!$C$42*CEILING(G2172/100,1)+Painel!$C$43*CEILING(G2172,1)+Z2172)/(1-Resumo!$B$5)</f>
        <v>79.2598863636363</v>
      </c>
      <c r="AJ2172" s="60" t="str">
        <f aca="false">IF(AI2172&lt;S2172,"SIM","NÃO")</f>
        <v>NÃO</v>
      </c>
    </row>
    <row r="2173" customFormat="false" ht="15" hidden="false" customHeight="false" outlineLevel="0" collapsed="false">
      <c r="A2173" s="59" t="n">
        <v>46294.3170717593</v>
      </c>
      <c r="B2173" s="60" t="s">
        <v>2298</v>
      </c>
      <c r="C2173" s="60" t="n">
        <v>24425320</v>
      </c>
      <c r="D2173" s="60" t="s">
        <v>47</v>
      </c>
      <c r="E2173" s="60" t="s">
        <v>23</v>
      </c>
      <c r="F2173" s="60" t="s">
        <v>233</v>
      </c>
      <c r="G2173" s="60" t="n">
        <v>31.9</v>
      </c>
      <c r="H2173" s="61" t="n">
        <v>483.99</v>
      </c>
      <c r="I2173" s="61" t="n">
        <v>58.8</v>
      </c>
      <c r="J2173" s="61" t="n">
        <f aca="false">H2173*Resumo!$C$6</f>
        <v>0</v>
      </c>
      <c r="K2173" s="61" t="n">
        <f aca="false">H2173*Resumo!$C$7</f>
        <v>1.016379</v>
      </c>
      <c r="L2173" s="61" t="n">
        <f aca="false">H2173*Resumo!$C$8</f>
        <v>1.016379</v>
      </c>
      <c r="M2173" s="61" t="n">
        <f aca="false">Resumo!$C$10*CEILING(G2173/100,1)</f>
        <v>1.05</v>
      </c>
      <c r="N2173" s="61" t="n">
        <f aca="false">Resumo!$C$9</f>
        <v>0</v>
      </c>
      <c r="O2173" s="61" t="n">
        <f aca="false">Resumo!$C$13</f>
        <v>13.55</v>
      </c>
      <c r="P2173" s="61" t="n">
        <f aca="false">Resumo!$C$14*CEILING(G2173,1)</f>
        <v>14.4</v>
      </c>
      <c r="Q2173" s="61" t="n">
        <f aca="false">SUM(I2173:P2173)*Resumo!$C$11</f>
        <v>0</v>
      </c>
      <c r="R2173" s="61" t="n">
        <f aca="false">SUM(I2173:Q2173)</f>
        <v>89.832758</v>
      </c>
      <c r="S2173" s="61" t="n">
        <f aca="false">R2173/(1-Resumo!$C$5)</f>
        <v>102.082679545455</v>
      </c>
      <c r="T2173" s="61" t="n">
        <v>100.58</v>
      </c>
      <c r="U2173" s="61" t="n">
        <f aca="false">H2173*Resumo!$B$6</f>
        <v>0.48399</v>
      </c>
      <c r="V2173" s="61" t="n">
        <f aca="false">H2173*Resumo!$B$7</f>
        <v>0.96798</v>
      </c>
      <c r="W2173" s="61" t="n">
        <f aca="false">Resumo!$B$9</f>
        <v>1</v>
      </c>
      <c r="X2173" s="61" t="n">
        <f aca="false">Resumo!$B$10*CEILING(G2173/100,1)</f>
        <v>4.5</v>
      </c>
      <c r="Y2173" s="61" t="n">
        <f aca="false">Resumo!$B$12*CEILING(G2173,1)</f>
        <v>1.92</v>
      </c>
      <c r="Z2173" s="61" t="n">
        <f aca="false">Resumo!$B$14*CEILING(G2173,1)</f>
        <v>14.4</v>
      </c>
      <c r="AA2173" s="61" t="n">
        <f aca="false">SUM(T2173:Z2173)</f>
        <v>123.85197</v>
      </c>
      <c r="AB2173" s="61" t="n">
        <f aca="false">AA2173/(1-Resumo!$B$5)</f>
        <v>140.740875</v>
      </c>
      <c r="AC2173" s="61" t="n">
        <f aca="false">AB2173-S2173</f>
        <v>38.6581954545455</v>
      </c>
      <c r="AD2173" s="62" t="n">
        <f aca="false">AB2173/S2173-1</f>
        <v>0.378694952235576</v>
      </c>
      <c r="AE2173" s="60" t="str">
        <f aca="false">IF(AB2173&lt;S2173,"SIM","NÃO")</f>
        <v>NÃO</v>
      </c>
      <c r="AF2173" s="60" t="n">
        <v>2</v>
      </c>
      <c r="AG2173" s="60" t="n">
        <v>7</v>
      </c>
      <c r="AH2173" s="60" t="s">
        <v>382</v>
      </c>
      <c r="AI2173" s="61" t="n">
        <f aca="false">(T2173*(1-Painel!$C$40)+U2173+V2173+Painel!$C$41+Painel!$C$42*CEILING(G2173/100,1)+Painel!$C$43*CEILING(G2173,1)+Z2173)/(1-Resumo!$B$5)</f>
        <v>96.9211022727273</v>
      </c>
      <c r="AJ2173" s="60" t="str">
        <f aca="false">IF(AI2173&lt;S2173,"SIM","NÃO")</f>
        <v>SIM</v>
      </c>
    </row>
    <row r="2174" customFormat="false" ht="15" hidden="false" customHeight="false" outlineLevel="0" collapsed="false">
      <c r="A2174" s="59" t="n">
        <v>46294.4002314815</v>
      </c>
      <c r="B2174" s="60" t="s">
        <v>2299</v>
      </c>
      <c r="C2174" s="60" t="n">
        <v>23903500</v>
      </c>
      <c r="D2174" s="60" t="s">
        <v>218</v>
      </c>
      <c r="E2174" s="60" t="s">
        <v>24</v>
      </c>
      <c r="F2174" s="60" t="s">
        <v>233</v>
      </c>
      <c r="G2174" s="60" t="n">
        <v>27</v>
      </c>
      <c r="H2174" s="61" t="n">
        <v>270.99</v>
      </c>
      <c r="I2174" s="61" t="n">
        <v>65.63</v>
      </c>
      <c r="J2174" s="61" t="n">
        <f aca="false">H2174*Resumo!$C$6</f>
        <v>0</v>
      </c>
      <c r="K2174" s="61" t="n">
        <f aca="false">H2174*Resumo!$C$7</f>
        <v>0.569079</v>
      </c>
      <c r="L2174" s="61" t="n">
        <f aca="false">H2174*Resumo!$C$8</f>
        <v>0.569079</v>
      </c>
      <c r="M2174" s="61" t="n">
        <f aca="false">Resumo!$C$10*CEILING(G2174/100,1)</f>
        <v>1.05</v>
      </c>
      <c r="N2174" s="61" t="n">
        <f aca="false">Resumo!$C$9</f>
        <v>0</v>
      </c>
      <c r="O2174" s="61" t="n">
        <f aca="false">Resumo!$C$13</f>
        <v>13.55</v>
      </c>
      <c r="P2174" s="61" t="n">
        <f aca="false">Resumo!$C$14*CEILING(G2174,1)</f>
        <v>12.15</v>
      </c>
      <c r="Q2174" s="61" t="n">
        <f aca="false">SUM(I2174:P2174)*Resumo!$C$11</f>
        <v>0</v>
      </c>
      <c r="R2174" s="61" t="n">
        <f aca="false">SUM(I2174:Q2174)</f>
        <v>93.518158</v>
      </c>
      <c r="S2174" s="61" t="n">
        <f aca="false">R2174/(1-Resumo!$C$5)</f>
        <v>106.270634090909</v>
      </c>
      <c r="T2174" s="61" t="n">
        <v>108.83</v>
      </c>
      <c r="U2174" s="61" t="n">
        <f aca="false">H2174*Resumo!$B$6</f>
        <v>0.27099</v>
      </c>
      <c r="V2174" s="61" t="n">
        <f aca="false">H2174*Resumo!$B$7</f>
        <v>0.54198</v>
      </c>
      <c r="W2174" s="61" t="n">
        <f aca="false">Resumo!$B$9</f>
        <v>1</v>
      </c>
      <c r="X2174" s="61" t="n">
        <f aca="false">Resumo!$B$10*CEILING(G2174/100,1)</f>
        <v>4.5</v>
      </c>
      <c r="Y2174" s="61" t="n">
        <f aca="false">Resumo!$B$12*CEILING(G2174,1)</f>
        <v>1.62</v>
      </c>
      <c r="Z2174" s="61" t="n">
        <f aca="false">Resumo!$B$14*CEILING(G2174,1)</f>
        <v>12.15</v>
      </c>
      <c r="AA2174" s="61" t="n">
        <f aca="false">SUM(T2174:Z2174)</f>
        <v>128.91297</v>
      </c>
      <c r="AB2174" s="61" t="n">
        <f aca="false">AA2174/(1-Resumo!$B$5)</f>
        <v>146.492011363636</v>
      </c>
      <c r="AC2174" s="61" t="n">
        <f aca="false">AB2174-S2174</f>
        <v>40.2213772727273</v>
      </c>
      <c r="AD2174" s="62" t="n">
        <f aca="false">AB2174/S2174-1</f>
        <v>0.378480636883374</v>
      </c>
      <c r="AE2174" s="60" t="str">
        <f aca="false">IF(AB2174&lt;S2174,"SIM","NÃO")</f>
        <v>NÃO</v>
      </c>
      <c r="AF2174" s="60" t="n">
        <v>13</v>
      </c>
      <c r="AG2174" s="60" t="n">
        <v>10</v>
      </c>
      <c r="AH2174" s="60" t="s">
        <v>382</v>
      </c>
      <c r="AI2174" s="61" t="n">
        <f aca="false">(T2174*(1-Painel!$C$40)+U2174+V2174+Painel!$C$41+Painel!$C$42*CEILING(G2174/100,1)+Painel!$C$43*CEILING(G2174,1)+Z2174)/(1-Resumo!$B$5)</f>
        <v>99.9193977272727</v>
      </c>
      <c r="AJ2174" s="60" t="str">
        <f aca="false">IF(AI2174&lt;S2174,"SIM","NÃO")</f>
        <v>SIM</v>
      </c>
    </row>
    <row r="2175" customFormat="false" ht="15" hidden="false" customHeight="false" outlineLevel="0" collapsed="false">
      <c r="A2175" s="59" t="n">
        <v>46294.4120023148</v>
      </c>
      <c r="B2175" s="60" t="s">
        <v>2300</v>
      </c>
      <c r="C2175" s="60" t="n">
        <v>22260000</v>
      </c>
      <c r="D2175" s="60" t="s">
        <v>46</v>
      </c>
      <c r="E2175" s="60" t="s">
        <v>22</v>
      </c>
      <c r="F2175" s="60" t="s">
        <v>232</v>
      </c>
      <c r="G2175" s="60" t="n">
        <v>16</v>
      </c>
      <c r="H2175" s="61" t="n">
        <v>292.4</v>
      </c>
      <c r="I2175" s="61" t="n">
        <v>33.42</v>
      </c>
      <c r="J2175" s="61" t="n">
        <f aca="false">H2175*Resumo!$C$6</f>
        <v>0</v>
      </c>
      <c r="K2175" s="61" t="n">
        <f aca="false">H2175*Resumo!$C$7</f>
        <v>0.61404</v>
      </c>
      <c r="L2175" s="61" t="n">
        <f aca="false">H2175*Resumo!$C$8</f>
        <v>0.61404</v>
      </c>
      <c r="M2175" s="61" t="n">
        <f aca="false">Resumo!$C$10*CEILING(G2175/100,1)</f>
        <v>1.05</v>
      </c>
      <c r="N2175" s="61" t="n">
        <f aca="false">Resumo!$C$9</f>
        <v>0</v>
      </c>
      <c r="O2175" s="61" t="n">
        <f aca="false">Resumo!$C$13</f>
        <v>13.55</v>
      </c>
      <c r="P2175" s="61" t="n">
        <f aca="false">Resumo!$C$14*CEILING(G2175,1)</f>
        <v>7.2</v>
      </c>
      <c r="Q2175" s="61" t="n">
        <f aca="false">SUM(I2175:P2175)*Resumo!$C$11</f>
        <v>0</v>
      </c>
      <c r="R2175" s="61" t="n">
        <f aca="false">SUM(I2175:Q2175)</f>
        <v>56.44808</v>
      </c>
      <c r="S2175" s="61" t="n">
        <f aca="false">R2175/(1-Resumo!$C$5)</f>
        <v>64.1455454545455</v>
      </c>
      <c r="T2175" s="61" t="n">
        <v>46.98</v>
      </c>
      <c r="U2175" s="61" t="n">
        <f aca="false">H2175*Resumo!$B$6</f>
        <v>0.2924</v>
      </c>
      <c r="V2175" s="61" t="n">
        <f aca="false">H2175*Resumo!$B$7</f>
        <v>0.5848</v>
      </c>
      <c r="W2175" s="61" t="n">
        <f aca="false">Resumo!$B$9</f>
        <v>1</v>
      </c>
      <c r="X2175" s="61" t="n">
        <f aca="false">Resumo!$B$10*CEILING(G2175/100,1)</f>
        <v>4.5</v>
      </c>
      <c r="Y2175" s="61" t="n">
        <f aca="false">Resumo!$B$12*CEILING(G2175,1)</f>
        <v>0.96</v>
      </c>
      <c r="Z2175" s="61" t="n">
        <f aca="false">Resumo!$B$14*CEILING(G2175,1)</f>
        <v>7.2</v>
      </c>
      <c r="AA2175" s="61" t="n">
        <f aca="false">SUM(T2175:Z2175)</f>
        <v>61.5172</v>
      </c>
      <c r="AB2175" s="61" t="n">
        <f aca="false">AA2175/(1-Resumo!$B$5)</f>
        <v>69.9059090909091</v>
      </c>
      <c r="AC2175" s="61" t="n">
        <f aca="false">AB2175-S2175</f>
        <v>5.76036363636364</v>
      </c>
      <c r="AD2175" s="62" t="n">
        <f aca="false">AB2175/S2175-1</f>
        <v>0.0898014600319443</v>
      </c>
      <c r="AE2175" s="60" t="str">
        <f aca="false">IF(AB2175&lt;S2175,"SIM","NÃO")</f>
        <v>NÃO</v>
      </c>
      <c r="AF2175" s="60" t="n">
        <v>2</v>
      </c>
      <c r="AG2175" s="60" t="n">
        <v>5</v>
      </c>
      <c r="AH2175" s="60" t="s">
        <v>382</v>
      </c>
      <c r="AI2175" s="61" t="n">
        <f aca="false">(T2175*(1-Painel!$C$40)+U2175+V2175+Painel!$C$41+Painel!$C$42*CEILING(G2175/100,1)+Painel!$C$43*CEILING(G2175,1)+Z2175)/(1-Resumo!$B$5)</f>
        <v>47.2770454545454</v>
      </c>
      <c r="AJ2175" s="60" t="str">
        <f aca="false">IF(AI2175&lt;S2175,"SIM","NÃO")</f>
        <v>SIM</v>
      </c>
    </row>
    <row r="2176" customFormat="false" ht="15" hidden="false" customHeight="false" outlineLevel="0" collapsed="false">
      <c r="A2176" s="59" t="n">
        <v>46294.4141435185</v>
      </c>
      <c r="B2176" s="60" t="s">
        <v>2301</v>
      </c>
      <c r="C2176" s="60" t="n">
        <v>25931422</v>
      </c>
      <c r="D2176" s="60" t="s">
        <v>225</v>
      </c>
      <c r="E2176" s="60" t="s">
        <v>24</v>
      </c>
      <c r="F2176" s="60" t="s">
        <v>232</v>
      </c>
      <c r="G2176" s="60" t="n">
        <v>19.9</v>
      </c>
      <c r="H2176" s="61" t="n">
        <v>270.99</v>
      </c>
      <c r="I2176" s="61" t="n">
        <v>46.95</v>
      </c>
      <c r="J2176" s="61" t="n">
        <f aca="false">H2176*Resumo!$C$6</f>
        <v>0</v>
      </c>
      <c r="K2176" s="61" t="n">
        <f aca="false">H2176*Resumo!$C$7</f>
        <v>0.569079</v>
      </c>
      <c r="L2176" s="61" t="n">
        <f aca="false">H2176*Resumo!$C$8</f>
        <v>0.569079</v>
      </c>
      <c r="M2176" s="61" t="n">
        <f aca="false">Resumo!$C$10*CEILING(G2176/100,1)</f>
        <v>1.05</v>
      </c>
      <c r="N2176" s="61" t="n">
        <f aca="false">Resumo!$C$9</f>
        <v>0</v>
      </c>
      <c r="O2176" s="61" t="n">
        <f aca="false">Resumo!$C$13</f>
        <v>13.55</v>
      </c>
      <c r="P2176" s="61" t="n">
        <f aca="false">Resumo!$C$14*CEILING(G2176,1)</f>
        <v>9</v>
      </c>
      <c r="Q2176" s="61" t="n">
        <f aca="false">SUM(I2176:P2176)*Resumo!$C$11</f>
        <v>0</v>
      </c>
      <c r="R2176" s="61" t="n">
        <f aca="false">SUM(I2176:Q2176)</f>
        <v>71.688158</v>
      </c>
      <c r="S2176" s="61" t="n">
        <f aca="false">R2176/(1-Resumo!$C$5)</f>
        <v>81.4638159090909</v>
      </c>
      <c r="T2176" s="61" t="n">
        <v>89.03</v>
      </c>
      <c r="U2176" s="61" t="n">
        <f aca="false">H2176*Resumo!$B$6</f>
        <v>0.27099</v>
      </c>
      <c r="V2176" s="61" t="n">
        <f aca="false">H2176*Resumo!$B$7</f>
        <v>0.54198</v>
      </c>
      <c r="W2176" s="61" t="n">
        <f aca="false">Resumo!$B$9</f>
        <v>1</v>
      </c>
      <c r="X2176" s="61" t="n">
        <f aca="false">Resumo!$B$10*CEILING(G2176/100,1)</f>
        <v>4.5</v>
      </c>
      <c r="Y2176" s="61" t="n">
        <f aca="false">Resumo!$B$12*CEILING(G2176,1)</f>
        <v>1.2</v>
      </c>
      <c r="Z2176" s="61" t="n">
        <f aca="false">Resumo!$B$14*CEILING(G2176,1)</f>
        <v>9</v>
      </c>
      <c r="AA2176" s="61" t="n">
        <f aca="false">SUM(T2176:Z2176)</f>
        <v>105.54297</v>
      </c>
      <c r="AB2176" s="61" t="n">
        <f aca="false">AA2176/(1-Resumo!$B$5)</f>
        <v>119.935193181818</v>
      </c>
      <c r="AC2176" s="61" t="n">
        <f aca="false">AB2176-S2176</f>
        <v>38.4713772727273</v>
      </c>
      <c r="AD2176" s="62" t="n">
        <f aca="false">AB2176/S2176-1</f>
        <v>0.472251107358624</v>
      </c>
      <c r="AE2176" s="60" t="str">
        <f aca="false">IF(AB2176&lt;S2176,"SIM","NÃO")</f>
        <v>NÃO</v>
      </c>
      <c r="AF2176" s="60" t="n">
        <v>13</v>
      </c>
      <c r="AG2176" s="60" t="n">
        <v>6</v>
      </c>
      <c r="AH2176" s="60" t="s">
        <v>382</v>
      </c>
      <c r="AI2176" s="61" t="n">
        <f aca="false">(T2176*(1-Painel!$C$40)+U2176+V2176+Painel!$C$41+Painel!$C$42*CEILING(G2176/100,1)+Painel!$C$43*CEILING(G2176,1)+Z2176)/(1-Resumo!$B$5)</f>
        <v>81.2648522727273</v>
      </c>
      <c r="AJ2176" s="60" t="str">
        <f aca="false">IF(AI2176&lt;S2176,"SIM","NÃO")</f>
        <v>SIM</v>
      </c>
    </row>
    <row r="2177" customFormat="false" ht="15" hidden="false" customHeight="false" outlineLevel="0" collapsed="false">
      <c r="A2177" s="59" t="n">
        <v>46294.4809722222</v>
      </c>
      <c r="B2177" s="60" t="s">
        <v>2302</v>
      </c>
      <c r="C2177" s="60" t="n">
        <v>20520051</v>
      </c>
      <c r="D2177" s="60" t="s">
        <v>46</v>
      </c>
      <c r="E2177" s="60" t="s">
        <v>22</v>
      </c>
      <c r="F2177" s="60" t="s">
        <v>240</v>
      </c>
      <c r="G2177" s="60" t="n">
        <v>117.14</v>
      </c>
      <c r="H2177" s="61" t="n">
        <v>1549.99</v>
      </c>
      <c r="I2177" s="61" t="n">
        <v>92.34</v>
      </c>
      <c r="J2177" s="61" t="n">
        <f aca="false">H2177*Resumo!$C$6</f>
        <v>0</v>
      </c>
      <c r="K2177" s="61" t="n">
        <f aca="false">H2177*Resumo!$C$7</f>
        <v>3.254979</v>
      </c>
      <c r="L2177" s="61" t="n">
        <f aca="false">H2177*Resumo!$C$8</f>
        <v>3.254979</v>
      </c>
      <c r="M2177" s="61" t="n">
        <f aca="false">Resumo!$C$10*CEILING(G2177/100,1)</f>
        <v>2.1</v>
      </c>
      <c r="N2177" s="61" t="n">
        <f aca="false">Resumo!$C$9</f>
        <v>0</v>
      </c>
      <c r="O2177" s="61" t="n">
        <f aca="false">Resumo!$C$13</f>
        <v>13.55</v>
      </c>
      <c r="P2177" s="61" t="n">
        <f aca="false">Resumo!$C$14*CEILING(G2177,1)</f>
        <v>53.1</v>
      </c>
      <c r="Q2177" s="61" t="n">
        <f aca="false">SUM(I2177:P2177)*Resumo!$C$11</f>
        <v>0</v>
      </c>
      <c r="R2177" s="61" t="n">
        <f aca="false">SUM(I2177:Q2177)</f>
        <v>167.599958</v>
      </c>
      <c r="S2177" s="61" t="n">
        <f aca="false">R2177/(1-Resumo!$C$5)</f>
        <v>190.454497727273</v>
      </c>
      <c r="T2177" s="61" t="n">
        <v>201.59</v>
      </c>
      <c r="U2177" s="61" t="n">
        <f aca="false">H2177*Resumo!$B$6</f>
        <v>1.54999</v>
      </c>
      <c r="V2177" s="61" t="n">
        <f aca="false">H2177*Resumo!$B$7</f>
        <v>3.09998</v>
      </c>
      <c r="W2177" s="61" t="n">
        <f aca="false">Resumo!$B$9</f>
        <v>1</v>
      </c>
      <c r="X2177" s="61" t="n">
        <f aca="false">Resumo!$B$10*CEILING(G2177/100,1)</f>
        <v>9</v>
      </c>
      <c r="Y2177" s="61" t="n">
        <f aca="false">Resumo!$B$12*CEILING(G2177,1)</f>
        <v>7.08</v>
      </c>
      <c r="Z2177" s="61" t="n">
        <f aca="false">Resumo!$B$14*CEILING(G2177,1)</f>
        <v>53.1</v>
      </c>
      <c r="AA2177" s="61" t="n">
        <f aca="false">SUM(T2177:Z2177)</f>
        <v>276.41997</v>
      </c>
      <c r="AB2177" s="61" t="n">
        <f aca="false">AA2177/(1-Resumo!$B$5)</f>
        <v>314.113602272727</v>
      </c>
      <c r="AC2177" s="61" t="n">
        <f aca="false">AB2177-S2177</f>
        <v>123.659104545455</v>
      </c>
      <c r="AD2177" s="62" t="n">
        <f aca="false">AB2177/S2177-1</f>
        <v>0.649284243854047</v>
      </c>
      <c r="AE2177" s="60" t="str">
        <f aca="false">IF(AB2177&lt;S2177,"SIM","NÃO")</f>
        <v>NÃO</v>
      </c>
      <c r="AF2177" s="60" t="n">
        <v>2</v>
      </c>
      <c r="AG2177" s="60" t="n">
        <v>5</v>
      </c>
      <c r="AH2177" s="60" t="s">
        <v>382</v>
      </c>
      <c r="AI2177" s="61" t="n">
        <f aca="false">(T2177*(1-Painel!$C$40)+U2177+V2177+Painel!$C$41+Painel!$C$42*CEILING(G2177/100,1)+Painel!$C$43*CEILING(G2177,1)+Z2177)/(1-Resumo!$B$5)</f>
        <v>222.630988636364</v>
      </c>
      <c r="AJ2177" s="60" t="str">
        <f aca="false">IF(AI2177&lt;S2177,"SIM","NÃO")</f>
        <v>NÃO</v>
      </c>
    </row>
    <row r="2178" customFormat="false" ht="15" hidden="false" customHeight="false" outlineLevel="0" collapsed="false">
      <c r="A2178" s="59" t="n">
        <v>46294.4973958333</v>
      </c>
      <c r="B2178" s="60" t="s">
        <v>2303</v>
      </c>
      <c r="C2178" s="60" t="n">
        <v>23955210</v>
      </c>
      <c r="D2178" s="60" t="s">
        <v>218</v>
      </c>
      <c r="E2178" s="60" t="s">
        <v>24</v>
      </c>
      <c r="F2178" s="60" t="s">
        <v>233</v>
      </c>
      <c r="G2178" s="60" t="n">
        <v>29.2</v>
      </c>
      <c r="H2178" s="61" t="n">
        <v>429.95</v>
      </c>
      <c r="I2178" s="61" t="n">
        <v>65.63</v>
      </c>
      <c r="J2178" s="61" t="n">
        <f aca="false">H2178*Resumo!$C$6</f>
        <v>0</v>
      </c>
      <c r="K2178" s="61" t="n">
        <f aca="false">H2178*Resumo!$C$7</f>
        <v>0.902895</v>
      </c>
      <c r="L2178" s="61" t="n">
        <f aca="false">H2178*Resumo!$C$8</f>
        <v>0.902895</v>
      </c>
      <c r="M2178" s="61" t="n">
        <f aca="false">Resumo!$C$10*CEILING(G2178/100,1)</f>
        <v>1.05</v>
      </c>
      <c r="N2178" s="61" t="n">
        <f aca="false">Resumo!$C$9</f>
        <v>0</v>
      </c>
      <c r="O2178" s="61" t="n">
        <f aca="false">Resumo!$C$13</f>
        <v>13.55</v>
      </c>
      <c r="P2178" s="61" t="n">
        <f aca="false">Resumo!$C$14*CEILING(G2178,1)</f>
        <v>13.5</v>
      </c>
      <c r="Q2178" s="61" t="n">
        <f aca="false">SUM(I2178:P2178)*Resumo!$C$11</f>
        <v>0</v>
      </c>
      <c r="R2178" s="61" t="n">
        <f aca="false">SUM(I2178:Q2178)</f>
        <v>95.53579</v>
      </c>
      <c r="S2178" s="61" t="n">
        <f aca="false">R2178/(1-Resumo!$C$5)</f>
        <v>108.563397727273</v>
      </c>
      <c r="T2178" s="61" t="n">
        <v>108.83</v>
      </c>
      <c r="U2178" s="61" t="n">
        <f aca="false">H2178*Resumo!$B$6</f>
        <v>0.42995</v>
      </c>
      <c r="V2178" s="61" t="n">
        <f aca="false">H2178*Resumo!$B$7</f>
        <v>0.8599</v>
      </c>
      <c r="W2178" s="61" t="n">
        <f aca="false">Resumo!$B$9</f>
        <v>1</v>
      </c>
      <c r="X2178" s="61" t="n">
        <f aca="false">Resumo!$B$10*CEILING(G2178/100,1)</f>
        <v>4.5</v>
      </c>
      <c r="Y2178" s="61" t="n">
        <f aca="false">Resumo!$B$12*CEILING(G2178,1)</f>
        <v>1.8</v>
      </c>
      <c r="Z2178" s="61" t="n">
        <f aca="false">Resumo!$B$14*CEILING(G2178,1)</f>
        <v>13.5</v>
      </c>
      <c r="AA2178" s="61" t="n">
        <f aca="false">SUM(T2178:Z2178)</f>
        <v>130.91985</v>
      </c>
      <c r="AB2178" s="61" t="n">
        <f aca="false">AA2178/(1-Resumo!$B$5)</f>
        <v>148.772556818182</v>
      </c>
      <c r="AC2178" s="61" t="n">
        <f aca="false">AB2178-S2178</f>
        <v>40.2091590909091</v>
      </c>
      <c r="AD2178" s="62" t="n">
        <f aca="false">AB2178/S2178-1</f>
        <v>0.370374913945863</v>
      </c>
      <c r="AE2178" s="60" t="str">
        <f aca="false">IF(AB2178&lt;S2178,"SIM","NÃO")</f>
        <v>NÃO</v>
      </c>
      <c r="AF2178" s="60" t="n">
        <v>13</v>
      </c>
      <c r="AG2178" s="60" t="n">
        <v>10</v>
      </c>
      <c r="AH2178" s="60" t="s">
        <v>382</v>
      </c>
      <c r="AI2178" s="61" t="n">
        <f aca="false">(T2178*(1-Painel!$C$40)+U2178+V2178+Painel!$C$41+Painel!$C$42*CEILING(G2178/100,1)+Painel!$C$43*CEILING(G2178,1)+Z2178)/(1-Resumo!$B$5)</f>
        <v>101.995397727273</v>
      </c>
      <c r="AJ2178" s="60" t="str">
        <f aca="false">IF(AI2178&lt;S2178,"SIM","NÃO")</f>
        <v>SIM</v>
      </c>
    </row>
    <row r="2179" customFormat="false" ht="15" hidden="false" customHeight="false" outlineLevel="0" collapsed="false">
      <c r="A2179" s="59" t="n">
        <v>46294.5167592593</v>
      </c>
      <c r="B2179" s="60" t="s">
        <v>620</v>
      </c>
      <c r="C2179" s="60" t="n">
        <v>22780070</v>
      </c>
      <c r="D2179" s="60" t="s">
        <v>46</v>
      </c>
      <c r="E2179" s="60" t="s">
        <v>22</v>
      </c>
      <c r="F2179" s="60" t="s">
        <v>233</v>
      </c>
      <c r="G2179" s="60" t="n">
        <v>20.9</v>
      </c>
      <c r="H2179" s="61" t="n">
        <v>450.79</v>
      </c>
      <c r="I2179" s="61" t="n">
        <v>42.11</v>
      </c>
      <c r="J2179" s="61" t="n">
        <f aca="false">H2179*Resumo!$C$6</f>
        <v>0</v>
      </c>
      <c r="K2179" s="61" t="n">
        <f aca="false">H2179*Resumo!$C$7</f>
        <v>0.946659</v>
      </c>
      <c r="L2179" s="61" t="n">
        <f aca="false">H2179*Resumo!$C$8</f>
        <v>0.946659</v>
      </c>
      <c r="M2179" s="61" t="n">
        <f aca="false">Resumo!$C$10*CEILING(G2179/100,1)</f>
        <v>1.05</v>
      </c>
      <c r="N2179" s="61" t="n">
        <f aca="false">Resumo!$C$9</f>
        <v>0</v>
      </c>
      <c r="O2179" s="61" t="n">
        <f aca="false">Resumo!$C$13</f>
        <v>13.55</v>
      </c>
      <c r="P2179" s="61" t="n">
        <f aca="false">Resumo!$C$14*CEILING(G2179,1)</f>
        <v>9.45</v>
      </c>
      <c r="Q2179" s="61" t="n">
        <f aca="false">SUM(I2179:P2179)*Resumo!$C$11</f>
        <v>0</v>
      </c>
      <c r="R2179" s="61" t="n">
        <f aca="false">SUM(I2179:Q2179)</f>
        <v>68.053318</v>
      </c>
      <c r="S2179" s="61" t="n">
        <f aca="false">R2179/(1-Resumo!$C$5)</f>
        <v>77.3333159090909</v>
      </c>
      <c r="T2179" s="61" t="n">
        <v>82.21</v>
      </c>
      <c r="U2179" s="61" t="n">
        <f aca="false">H2179*Resumo!$B$6</f>
        <v>0.45079</v>
      </c>
      <c r="V2179" s="61" t="n">
        <f aca="false">H2179*Resumo!$B$7</f>
        <v>0.90158</v>
      </c>
      <c r="W2179" s="61" t="n">
        <f aca="false">Resumo!$B$9</f>
        <v>1</v>
      </c>
      <c r="X2179" s="61" t="n">
        <f aca="false">Resumo!$B$10*CEILING(G2179/100,1)</f>
        <v>4.5</v>
      </c>
      <c r="Y2179" s="61" t="n">
        <f aca="false">Resumo!$B$12*CEILING(G2179,1)</f>
        <v>1.26</v>
      </c>
      <c r="Z2179" s="61" t="n">
        <f aca="false">Resumo!$B$14*CEILING(G2179,1)</f>
        <v>9.45</v>
      </c>
      <c r="AA2179" s="61" t="n">
        <f aca="false">SUM(T2179:Z2179)</f>
        <v>99.77237</v>
      </c>
      <c r="AB2179" s="61" t="n">
        <f aca="false">AA2179/(1-Resumo!$B$5)</f>
        <v>113.377693181818</v>
      </c>
      <c r="AC2179" s="61" t="n">
        <f aca="false">AB2179-S2179</f>
        <v>36.0443772727273</v>
      </c>
      <c r="AD2179" s="62" t="n">
        <f aca="false">AB2179/S2179-1</f>
        <v>0.466091190439825</v>
      </c>
      <c r="AE2179" s="60" t="str">
        <f aca="false">IF(AB2179&lt;S2179,"SIM","NÃO")</f>
        <v>NÃO</v>
      </c>
      <c r="AF2179" s="60" t="n">
        <v>2</v>
      </c>
      <c r="AG2179" s="60" t="n">
        <v>5</v>
      </c>
      <c r="AH2179" s="60" t="s">
        <v>382</v>
      </c>
      <c r="AI2179" s="61" t="n">
        <f aca="false">(T2179*(1-Painel!$C$40)+U2179+V2179+Painel!$C$41+Painel!$C$42*CEILING(G2179/100,1)+Painel!$C$43*CEILING(G2179,1)+Z2179)/(1-Resumo!$B$5)</f>
        <v>77.1966704545454</v>
      </c>
      <c r="AJ2179" s="60" t="str">
        <f aca="false">IF(AI2179&lt;S2179,"SIM","NÃO")</f>
        <v>SIM</v>
      </c>
    </row>
    <row r="2180" customFormat="false" ht="15" hidden="false" customHeight="false" outlineLevel="0" collapsed="false">
      <c r="A2180" s="59" t="n">
        <v>46294.5751736111</v>
      </c>
      <c r="B2180" s="60" t="s">
        <v>2304</v>
      </c>
      <c r="C2180" s="60" t="n">
        <v>21061300</v>
      </c>
      <c r="D2180" s="60" t="s">
        <v>46</v>
      </c>
      <c r="E2180" s="60" t="s">
        <v>22</v>
      </c>
      <c r="F2180" s="60" t="s">
        <v>234</v>
      </c>
      <c r="G2180" s="60" t="n">
        <v>36.8</v>
      </c>
      <c r="H2180" s="61" t="n">
        <v>389.63</v>
      </c>
      <c r="I2180" s="61" t="n">
        <v>48.35</v>
      </c>
      <c r="J2180" s="61" t="n">
        <f aca="false">H2180*Resumo!$C$6</f>
        <v>0</v>
      </c>
      <c r="K2180" s="61" t="n">
        <f aca="false">H2180*Resumo!$C$7</f>
        <v>0.818223</v>
      </c>
      <c r="L2180" s="61" t="n">
        <f aca="false">H2180*Resumo!$C$8</f>
        <v>0.818223</v>
      </c>
      <c r="M2180" s="61" t="n">
        <f aca="false">Resumo!$C$10*CEILING(G2180/100,1)</f>
        <v>1.05</v>
      </c>
      <c r="N2180" s="61" t="n">
        <f aca="false">Resumo!$C$9</f>
        <v>0</v>
      </c>
      <c r="O2180" s="61" t="n">
        <f aca="false">Resumo!$C$13</f>
        <v>13.55</v>
      </c>
      <c r="P2180" s="61" t="n">
        <f aca="false">Resumo!$C$14*CEILING(G2180,1)</f>
        <v>16.65</v>
      </c>
      <c r="Q2180" s="61" t="n">
        <f aca="false">SUM(I2180:P2180)*Resumo!$C$11</f>
        <v>0</v>
      </c>
      <c r="R2180" s="61" t="n">
        <f aca="false">SUM(I2180:Q2180)</f>
        <v>81.236446</v>
      </c>
      <c r="S2180" s="61" t="n">
        <f aca="false">R2180/(1-Resumo!$C$5)</f>
        <v>92.3141431818182</v>
      </c>
      <c r="T2180" s="61" t="n">
        <v>93.97</v>
      </c>
      <c r="U2180" s="61" t="n">
        <f aca="false">H2180*Resumo!$B$6</f>
        <v>0.38963</v>
      </c>
      <c r="V2180" s="61" t="n">
        <f aca="false">H2180*Resumo!$B$7</f>
        <v>0.77926</v>
      </c>
      <c r="W2180" s="61" t="n">
        <f aca="false">Resumo!$B$9</f>
        <v>1</v>
      </c>
      <c r="X2180" s="61" t="n">
        <f aca="false">Resumo!$B$10*CEILING(G2180/100,1)</f>
        <v>4.5</v>
      </c>
      <c r="Y2180" s="61" t="n">
        <f aca="false">Resumo!$B$12*CEILING(G2180,1)</f>
        <v>2.22</v>
      </c>
      <c r="Z2180" s="61" t="n">
        <f aca="false">Resumo!$B$14*CEILING(G2180,1)</f>
        <v>16.65</v>
      </c>
      <c r="AA2180" s="61" t="n">
        <f aca="false">SUM(T2180:Z2180)</f>
        <v>119.50889</v>
      </c>
      <c r="AB2180" s="61" t="n">
        <f aca="false">AA2180/(1-Resumo!$B$5)</f>
        <v>135.805556818182</v>
      </c>
      <c r="AC2180" s="61" t="n">
        <f aca="false">AB2180-S2180</f>
        <v>43.4914136363636</v>
      </c>
      <c r="AD2180" s="62" t="n">
        <f aca="false">AB2180/S2180-1</f>
        <v>0.471124056805735</v>
      </c>
      <c r="AE2180" s="60" t="str">
        <f aca="false">IF(AB2180&lt;S2180,"SIM","NÃO")</f>
        <v>NÃO</v>
      </c>
      <c r="AF2180" s="60" t="n">
        <v>2</v>
      </c>
      <c r="AG2180" s="60" t="n">
        <v>5</v>
      </c>
      <c r="AH2180" s="60" t="s">
        <v>382</v>
      </c>
      <c r="AI2180" s="61" t="n">
        <f aca="false">(T2180*(1-Painel!$C$40)+U2180+V2180+Painel!$C$41+Painel!$C$42*CEILING(G2180/100,1)+Painel!$C$43*CEILING(G2180,1)+Z2180)/(1-Resumo!$B$5)</f>
        <v>94.123625</v>
      </c>
      <c r="AJ2180" s="60" t="str">
        <f aca="false">IF(AI2180&lt;S2180,"SIM","NÃO")</f>
        <v>NÃO</v>
      </c>
    </row>
    <row r="2181" customFormat="false" ht="15" hidden="false" customHeight="false" outlineLevel="0" collapsed="false">
      <c r="A2181" s="59" t="n">
        <v>46294.5875694445</v>
      </c>
      <c r="B2181" s="60" t="s">
        <v>2305</v>
      </c>
      <c r="C2181" s="60" t="n">
        <v>28992678</v>
      </c>
      <c r="D2181" s="60" t="s">
        <v>341</v>
      </c>
      <c r="E2181" s="60" t="s">
        <v>24</v>
      </c>
      <c r="F2181" s="60" t="s">
        <v>237</v>
      </c>
      <c r="G2181" s="60" t="n">
        <v>66.8</v>
      </c>
      <c r="H2181" s="61" t="n">
        <v>719.99</v>
      </c>
      <c r="I2181" s="61" t="n">
        <v>90.2</v>
      </c>
      <c r="J2181" s="61" t="n">
        <f aca="false">H2181*Resumo!$C$6</f>
        <v>0</v>
      </c>
      <c r="K2181" s="61" t="n">
        <f aca="false">H2181*Resumo!$C$7</f>
        <v>1.511979</v>
      </c>
      <c r="L2181" s="61" t="n">
        <f aca="false">H2181*Resumo!$C$8</f>
        <v>1.511979</v>
      </c>
      <c r="M2181" s="61" t="n">
        <f aca="false">Resumo!$C$10*CEILING(G2181/100,1)</f>
        <v>1.05</v>
      </c>
      <c r="N2181" s="61" t="n">
        <f aca="false">Resumo!$C$9</f>
        <v>0</v>
      </c>
      <c r="O2181" s="61" t="n">
        <f aca="false">Resumo!$C$13</f>
        <v>13.55</v>
      </c>
      <c r="P2181" s="61" t="n">
        <f aca="false">Resumo!$C$14*CEILING(G2181,1)</f>
        <v>30.15</v>
      </c>
      <c r="Q2181" s="61" t="n">
        <f aca="false">SUM(I2181:P2181)*Resumo!$C$11</f>
        <v>0</v>
      </c>
      <c r="R2181" s="61" t="n">
        <f aca="false">SUM(I2181:Q2181)</f>
        <v>137.973958</v>
      </c>
      <c r="S2181" s="61" t="n">
        <f aca="false">R2181/(1-Resumo!$C$5)</f>
        <v>156.788588636364</v>
      </c>
      <c r="T2181" s="61" t="n">
        <v>166.05</v>
      </c>
      <c r="U2181" s="61" t="n">
        <f aca="false">H2181*Resumo!$B$6</f>
        <v>0.71999</v>
      </c>
      <c r="V2181" s="61" t="n">
        <f aca="false">H2181*Resumo!$B$7</f>
        <v>1.43998</v>
      </c>
      <c r="W2181" s="61" t="n">
        <f aca="false">Resumo!$B$9</f>
        <v>1</v>
      </c>
      <c r="X2181" s="61" t="n">
        <f aca="false">Resumo!$B$10*CEILING(G2181/100,1)</f>
        <v>4.5</v>
      </c>
      <c r="Y2181" s="61" t="n">
        <f aca="false">Resumo!$B$12*CEILING(G2181,1)</f>
        <v>4.02</v>
      </c>
      <c r="Z2181" s="61" t="n">
        <f aca="false">Resumo!$B$14*CEILING(G2181,1)</f>
        <v>30.15</v>
      </c>
      <c r="AA2181" s="61" t="n">
        <f aca="false">SUM(T2181:Z2181)</f>
        <v>207.87997</v>
      </c>
      <c r="AB2181" s="61" t="n">
        <f aca="false">AA2181/(1-Resumo!$B$5)</f>
        <v>236.227238636364</v>
      </c>
      <c r="AC2181" s="61" t="n">
        <f aca="false">AB2181-S2181</f>
        <v>79.43865</v>
      </c>
      <c r="AD2181" s="62" t="n">
        <f aca="false">AB2181/S2181-1</f>
        <v>0.50666091640279</v>
      </c>
      <c r="AE2181" s="60" t="str">
        <f aca="false">IF(AB2181&lt;S2181,"SIM","NÃO")</f>
        <v>NÃO</v>
      </c>
      <c r="AF2181" s="60" t="n">
        <v>13</v>
      </c>
      <c r="AG2181" s="60" t="n">
        <v>10</v>
      </c>
      <c r="AH2181" s="60" t="s">
        <v>385</v>
      </c>
      <c r="AI2181" s="61" t="n">
        <f aca="false">(T2181*(1-Painel!$C$40)+U2181+V2181+Painel!$C$41+Painel!$C$42*CEILING(G2181/100,1)+Painel!$C$43*CEILING(G2181,1)+Z2181)/(1-Resumo!$B$5)</f>
        <v>165.469852272727</v>
      </c>
      <c r="AJ2181" s="60" t="str">
        <f aca="false">IF(AI2181&lt;S2181,"SIM","NÃO")</f>
        <v>NÃO</v>
      </c>
    </row>
    <row r="2182" customFormat="false" ht="15" hidden="false" customHeight="false" outlineLevel="0" collapsed="false">
      <c r="A2182" s="59" t="n">
        <v>46294.5880671296</v>
      </c>
      <c r="B2182" s="60" t="s">
        <v>1639</v>
      </c>
      <c r="C2182" s="60" t="n">
        <v>22783210</v>
      </c>
      <c r="D2182" s="60" t="s">
        <v>46</v>
      </c>
      <c r="E2182" s="60" t="s">
        <v>22</v>
      </c>
      <c r="F2182" s="60" t="s">
        <v>234</v>
      </c>
      <c r="G2182" s="60" t="n">
        <v>36.8</v>
      </c>
      <c r="H2182" s="61" t="n">
        <v>464.95</v>
      </c>
      <c r="I2182" s="61" t="n">
        <v>48.35</v>
      </c>
      <c r="J2182" s="61" t="n">
        <f aca="false">H2182*Resumo!$C$6</f>
        <v>0</v>
      </c>
      <c r="K2182" s="61" t="n">
        <f aca="false">H2182*Resumo!$C$7</f>
        <v>0.976395</v>
      </c>
      <c r="L2182" s="61" t="n">
        <f aca="false">H2182*Resumo!$C$8</f>
        <v>0.976395</v>
      </c>
      <c r="M2182" s="61" t="n">
        <f aca="false">Resumo!$C$10*CEILING(G2182/100,1)</f>
        <v>1.05</v>
      </c>
      <c r="N2182" s="61" t="n">
        <f aca="false">Resumo!$C$9</f>
        <v>0</v>
      </c>
      <c r="O2182" s="61" t="n">
        <f aca="false">Resumo!$C$13</f>
        <v>13.55</v>
      </c>
      <c r="P2182" s="61" t="n">
        <f aca="false">Resumo!$C$14*CEILING(G2182,1)</f>
        <v>16.65</v>
      </c>
      <c r="Q2182" s="61" t="n">
        <f aca="false">SUM(I2182:P2182)*Resumo!$C$11</f>
        <v>0</v>
      </c>
      <c r="R2182" s="61" t="n">
        <f aca="false">SUM(I2182:Q2182)</f>
        <v>81.55279</v>
      </c>
      <c r="S2182" s="61" t="n">
        <f aca="false">R2182/(1-Resumo!$C$5)</f>
        <v>92.673625</v>
      </c>
      <c r="T2182" s="61" t="n">
        <v>93.97</v>
      </c>
      <c r="U2182" s="61" t="n">
        <f aca="false">H2182*Resumo!$B$6</f>
        <v>0.46495</v>
      </c>
      <c r="V2182" s="61" t="n">
        <f aca="false">H2182*Resumo!$B$7</f>
        <v>0.9299</v>
      </c>
      <c r="W2182" s="61" t="n">
        <f aca="false">Resumo!$B$9</f>
        <v>1</v>
      </c>
      <c r="X2182" s="61" t="n">
        <f aca="false">Resumo!$B$10*CEILING(G2182/100,1)</f>
        <v>4.5</v>
      </c>
      <c r="Y2182" s="61" t="n">
        <f aca="false">Resumo!$B$12*CEILING(G2182,1)</f>
        <v>2.22</v>
      </c>
      <c r="Z2182" s="61" t="n">
        <f aca="false">Resumo!$B$14*CEILING(G2182,1)</f>
        <v>16.65</v>
      </c>
      <c r="AA2182" s="61" t="n">
        <f aca="false">SUM(T2182:Z2182)</f>
        <v>119.73485</v>
      </c>
      <c r="AB2182" s="61" t="n">
        <f aca="false">AA2182/(1-Resumo!$B$5)</f>
        <v>136.062329545455</v>
      </c>
      <c r="AC2182" s="61" t="n">
        <f aca="false">AB2182-S2182</f>
        <v>43.3887045454546</v>
      </c>
      <c r="AD2182" s="62" t="n">
        <f aca="false">AB2182/S2182-1</f>
        <v>0.468188274122811</v>
      </c>
      <c r="AE2182" s="60" t="str">
        <f aca="false">IF(AB2182&lt;S2182,"SIM","NÃO")</f>
        <v>NÃO</v>
      </c>
      <c r="AF2182" s="60" t="n">
        <v>2</v>
      </c>
      <c r="AG2182" s="60" t="n">
        <v>5</v>
      </c>
      <c r="AH2182" s="60" t="s">
        <v>382</v>
      </c>
      <c r="AI2182" s="61" t="n">
        <f aca="false">(T2182*(1-Painel!$C$40)+U2182+V2182+Painel!$C$41+Painel!$C$42*CEILING(G2182/100,1)+Painel!$C$43*CEILING(G2182,1)+Z2182)/(1-Resumo!$B$5)</f>
        <v>94.3803977272727</v>
      </c>
      <c r="AJ2182" s="60" t="str">
        <f aca="false">IF(AI2182&lt;S2182,"SIM","NÃO")</f>
        <v>NÃO</v>
      </c>
    </row>
    <row r="2183" customFormat="false" ht="15" hidden="false" customHeight="false" outlineLevel="0" collapsed="false">
      <c r="A2183" s="59" t="n">
        <v>46294.6063310185</v>
      </c>
      <c r="B2183" s="60" t="s">
        <v>2306</v>
      </c>
      <c r="C2183" s="60" t="n">
        <v>21510013</v>
      </c>
      <c r="D2183" s="60" t="s">
        <v>46</v>
      </c>
      <c r="E2183" s="60" t="s">
        <v>22</v>
      </c>
      <c r="F2183" s="60" t="s">
        <v>234</v>
      </c>
      <c r="G2183" s="60" t="n">
        <v>36</v>
      </c>
      <c r="H2183" s="61" t="n">
        <v>382</v>
      </c>
      <c r="I2183" s="61" t="n">
        <v>48.35</v>
      </c>
      <c r="J2183" s="61" t="n">
        <f aca="false">H2183*Resumo!$C$6</f>
        <v>0</v>
      </c>
      <c r="K2183" s="61" t="n">
        <f aca="false">H2183*Resumo!$C$7</f>
        <v>0.8022</v>
      </c>
      <c r="L2183" s="61" t="n">
        <f aca="false">H2183*Resumo!$C$8</f>
        <v>0.8022</v>
      </c>
      <c r="M2183" s="61" t="n">
        <f aca="false">Resumo!$C$10*CEILING(G2183/100,1)</f>
        <v>1.05</v>
      </c>
      <c r="N2183" s="61" t="n">
        <f aca="false">Resumo!$C$9</f>
        <v>0</v>
      </c>
      <c r="O2183" s="61" t="n">
        <f aca="false">Resumo!$C$13</f>
        <v>13.55</v>
      </c>
      <c r="P2183" s="61" t="n">
        <f aca="false">Resumo!$C$14*CEILING(G2183,1)</f>
        <v>16.2</v>
      </c>
      <c r="Q2183" s="61" t="n">
        <f aca="false">SUM(I2183:P2183)*Resumo!$C$11</f>
        <v>0</v>
      </c>
      <c r="R2183" s="61" t="n">
        <f aca="false">SUM(I2183:Q2183)</f>
        <v>80.7544</v>
      </c>
      <c r="S2183" s="61" t="n">
        <f aca="false">R2183/(1-Resumo!$C$5)</f>
        <v>91.7663636363636</v>
      </c>
      <c r="T2183" s="61" t="n">
        <v>93.97</v>
      </c>
      <c r="U2183" s="61" t="n">
        <f aca="false">H2183*Resumo!$B$6</f>
        <v>0.382</v>
      </c>
      <c r="V2183" s="61" t="n">
        <f aca="false">H2183*Resumo!$B$7</f>
        <v>0.764</v>
      </c>
      <c r="W2183" s="61" t="n">
        <f aca="false">Resumo!$B$9</f>
        <v>1</v>
      </c>
      <c r="X2183" s="61" t="n">
        <f aca="false">Resumo!$B$10*CEILING(G2183/100,1)</f>
        <v>4.5</v>
      </c>
      <c r="Y2183" s="61" t="n">
        <f aca="false">Resumo!$B$12*CEILING(G2183,1)</f>
        <v>2.16</v>
      </c>
      <c r="Z2183" s="61" t="n">
        <f aca="false">Resumo!$B$14*CEILING(G2183,1)</f>
        <v>16.2</v>
      </c>
      <c r="AA2183" s="61" t="n">
        <f aca="false">SUM(T2183:Z2183)</f>
        <v>118.976</v>
      </c>
      <c r="AB2183" s="61" t="n">
        <f aca="false">AA2183/(1-Resumo!$B$5)</f>
        <v>135.2</v>
      </c>
      <c r="AC2183" s="61" t="n">
        <f aca="false">AB2183-S2183</f>
        <v>43.4336363636364</v>
      </c>
      <c r="AD2183" s="62" t="n">
        <f aca="false">AB2183/S2183-1</f>
        <v>0.473306717652537</v>
      </c>
      <c r="AE2183" s="60" t="str">
        <f aca="false">IF(AB2183&lt;S2183,"SIM","NÃO")</f>
        <v>NÃO</v>
      </c>
      <c r="AF2183" s="60" t="n">
        <v>2</v>
      </c>
      <c r="AG2183" s="60" t="n">
        <v>5</v>
      </c>
      <c r="AH2183" s="60" t="s">
        <v>382</v>
      </c>
      <c r="AI2183" s="61" t="n">
        <f aca="false">(T2183*(1-Painel!$C$40)+U2183+V2183+Painel!$C$41+Painel!$C$42*CEILING(G2183/100,1)+Painel!$C$43*CEILING(G2183,1)+Z2183)/(1-Resumo!$B$5)</f>
        <v>93.58625</v>
      </c>
      <c r="AJ2183" s="60" t="str">
        <f aca="false">IF(AI2183&lt;S2183,"SIM","NÃO")</f>
        <v>NÃO</v>
      </c>
    </row>
    <row r="2184" customFormat="false" ht="15" hidden="false" customHeight="false" outlineLevel="0" collapsed="false">
      <c r="A2184" s="59" t="n">
        <v>46294.6357060185</v>
      </c>
      <c r="B2184" s="60" t="s">
        <v>2307</v>
      </c>
      <c r="C2184" s="60" t="n">
        <v>23094205</v>
      </c>
      <c r="D2184" s="60" t="s">
        <v>46</v>
      </c>
      <c r="E2184" s="60" t="s">
        <v>22</v>
      </c>
      <c r="F2184" s="60" t="s">
        <v>237</v>
      </c>
      <c r="G2184" s="60" t="n">
        <v>60.1</v>
      </c>
      <c r="H2184" s="61" t="n">
        <v>1169.99</v>
      </c>
      <c r="I2184" s="61" t="n">
        <v>63.21</v>
      </c>
      <c r="J2184" s="61" t="n">
        <f aca="false">H2184*Resumo!$C$6</f>
        <v>0</v>
      </c>
      <c r="K2184" s="61" t="n">
        <f aca="false">H2184*Resumo!$C$7</f>
        <v>2.456979</v>
      </c>
      <c r="L2184" s="61" t="n">
        <f aca="false">H2184*Resumo!$C$8</f>
        <v>2.456979</v>
      </c>
      <c r="M2184" s="61" t="n">
        <f aca="false">Resumo!$C$10*CEILING(G2184/100,1)</f>
        <v>1.05</v>
      </c>
      <c r="N2184" s="61" t="n">
        <f aca="false">Resumo!$C$9</f>
        <v>0</v>
      </c>
      <c r="O2184" s="61" t="n">
        <f aca="false">Resumo!$C$13</f>
        <v>13.55</v>
      </c>
      <c r="P2184" s="61" t="n">
        <f aca="false">Resumo!$C$14*CEILING(G2184,1)</f>
        <v>27.45</v>
      </c>
      <c r="Q2184" s="61" t="n">
        <f aca="false">SUM(I2184:P2184)*Resumo!$C$11</f>
        <v>0</v>
      </c>
      <c r="R2184" s="61" t="n">
        <f aca="false">SUM(I2184:Q2184)</f>
        <v>110.173958</v>
      </c>
      <c r="S2184" s="61" t="n">
        <f aca="false">R2184/(1-Resumo!$C$5)</f>
        <v>125.197679545455</v>
      </c>
      <c r="T2184" s="61" t="n">
        <v>131.02</v>
      </c>
      <c r="U2184" s="61" t="n">
        <f aca="false">H2184*Resumo!$B$6</f>
        <v>1.16999</v>
      </c>
      <c r="V2184" s="61" t="n">
        <f aca="false">H2184*Resumo!$B$7</f>
        <v>2.33998</v>
      </c>
      <c r="W2184" s="61" t="n">
        <f aca="false">Resumo!$B$9</f>
        <v>1</v>
      </c>
      <c r="X2184" s="61" t="n">
        <f aca="false">Resumo!$B$10*CEILING(G2184/100,1)</f>
        <v>4.5</v>
      </c>
      <c r="Y2184" s="61" t="n">
        <f aca="false">Resumo!$B$12*CEILING(G2184,1)</f>
        <v>3.66</v>
      </c>
      <c r="Z2184" s="61" t="n">
        <f aca="false">Resumo!$B$14*CEILING(G2184,1)</f>
        <v>27.45</v>
      </c>
      <c r="AA2184" s="61" t="n">
        <f aca="false">SUM(T2184:Z2184)</f>
        <v>171.13997</v>
      </c>
      <c r="AB2184" s="61" t="n">
        <f aca="false">AA2184/(1-Resumo!$B$5)</f>
        <v>194.477238636364</v>
      </c>
      <c r="AC2184" s="61" t="n">
        <f aca="false">AB2184-S2184</f>
        <v>69.2795590909091</v>
      </c>
      <c r="AD2184" s="62" t="n">
        <f aca="false">AB2184/S2184-1</f>
        <v>0.553361366939363</v>
      </c>
      <c r="AE2184" s="60" t="str">
        <f aca="false">IF(AB2184&lt;S2184,"SIM","NÃO")</f>
        <v>NÃO</v>
      </c>
      <c r="AF2184" s="60" t="n">
        <v>2</v>
      </c>
      <c r="AG2184" s="60" t="n">
        <v>5</v>
      </c>
      <c r="AH2184" s="60" t="s">
        <v>382</v>
      </c>
      <c r="AI2184" s="61" t="n">
        <f aca="false">(T2184*(1-Painel!$C$40)+U2184+V2184+Painel!$C$41+Painel!$C$42*CEILING(G2184/100,1)+Painel!$C$43*CEILING(G2184,1)+Z2184)/(1-Resumo!$B$5)</f>
        <v>137.265193181818</v>
      </c>
      <c r="AJ2184" s="60" t="str">
        <f aca="false">IF(AI2184&lt;S2184,"SIM","NÃO")</f>
        <v>NÃO</v>
      </c>
    </row>
    <row r="2185" customFormat="false" ht="15" hidden="false" customHeight="false" outlineLevel="0" collapsed="false">
      <c r="A2185" s="59" t="n">
        <v>46294.6453703704</v>
      </c>
      <c r="B2185" s="60" t="s">
        <v>2308</v>
      </c>
      <c r="C2185" s="60" t="n">
        <v>20560032</v>
      </c>
      <c r="D2185" s="60" t="s">
        <v>46</v>
      </c>
      <c r="E2185" s="60" t="s">
        <v>22</v>
      </c>
      <c r="F2185" s="60" t="s">
        <v>233</v>
      </c>
      <c r="G2185" s="60" t="n">
        <v>29.2</v>
      </c>
      <c r="H2185" s="61" t="n">
        <v>429.99</v>
      </c>
      <c r="I2185" s="61" t="n">
        <v>42.11</v>
      </c>
      <c r="J2185" s="61" t="n">
        <f aca="false">H2185*Resumo!$C$6</f>
        <v>0</v>
      </c>
      <c r="K2185" s="61" t="n">
        <f aca="false">H2185*Resumo!$C$7</f>
        <v>0.902979</v>
      </c>
      <c r="L2185" s="61" t="n">
        <f aca="false">H2185*Resumo!$C$8</f>
        <v>0.902979</v>
      </c>
      <c r="M2185" s="61" t="n">
        <f aca="false">Resumo!$C$10*CEILING(G2185/100,1)</f>
        <v>1.05</v>
      </c>
      <c r="N2185" s="61" t="n">
        <f aca="false">Resumo!$C$9</f>
        <v>0</v>
      </c>
      <c r="O2185" s="61" t="n">
        <f aca="false">Resumo!$C$13</f>
        <v>13.55</v>
      </c>
      <c r="P2185" s="61" t="n">
        <f aca="false">Resumo!$C$14*CEILING(G2185,1)</f>
        <v>13.5</v>
      </c>
      <c r="Q2185" s="61" t="n">
        <f aca="false">SUM(I2185:P2185)*Resumo!$C$11</f>
        <v>0</v>
      </c>
      <c r="R2185" s="61" t="n">
        <f aca="false">SUM(I2185:Q2185)</f>
        <v>72.015958</v>
      </c>
      <c r="S2185" s="61" t="n">
        <f aca="false">R2185/(1-Resumo!$C$5)</f>
        <v>81.8363159090909</v>
      </c>
      <c r="T2185" s="61" t="n">
        <v>82.21</v>
      </c>
      <c r="U2185" s="61" t="n">
        <f aca="false">H2185*Resumo!$B$6</f>
        <v>0.42999</v>
      </c>
      <c r="V2185" s="61" t="n">
        <f aca="false">H2185*Resumo!$B$7</f>
        <v>0.85998</v>
      </c>
      <c r="W2185" s="61" t="n">
        <f aca="false">Resumo!$B$9</f>
        <v>1</v>
      </c>
      <c r="X2185" s="61" t="n">
        <f aca="false">Resumo!$B$10*CEILING(G2185/100,1)</f>
        <v>4.5</v>
      </c>
      <c r="Y2185" s="61" t="n">
        <f aca="false">Resumo!$B$12*CEILING(G2185,1)</f>
        <v>1.8</v>
      </c>
      <c r="Z2185" s="61" t="n">
        <f aca="false">Resumo!$B$14*CEILING(G2185,1)</f>
        <v>13.5</v>
      </c>
      <c r="AA2185" s="61" t="n">
        <f aca="false">SUM(T2185:Z2185)</f>
        <v>104.29997</v>
      </c>
      <c r="AB2185" s="61" t="n">
        <f aca="false">AA2185/(1-Resumo!$B$5)</f>
        <v>118.522693181818</v>
      </c>
      <c r="AC2185" s="61" t="n">
        <f aca="false">AB2185-S2185</f>
        <v>36.6863772727273</v>
      </c>
      <c r="AD2185" s="62" t="n">
        <f aca="false">AB2185/S2185-1</f>
        <v>0.448289697125184</v>
      </c>
      <c r="AE2185" s="60" t="str">
        <f aca="false">IF(AB2185&lt;S2185,"SIM","NÃO")</f>
        <v>NÃO</v>
      </c>
      <c r="AF2185" s="60" t="n">
        <v>2</v>
      </c>
      <c r="AG2185" s="60" t="n">
        <v>5</v>
      </c>
      <c r="AH2185" s="60" t="s">
        <v>382</v>
      </c>
      <c r="AI2185" s="61" t="n">
        <f aca="false">(T2185*(1-Painel!$C$40)+U2185+V2185+Painel!$C$41+Painel!$C$42*CEILING(G2185/100,1)+Painel!$C$43*CEILING(G2185,1)+Z2185)/(1-Resumo!$B$5)</f>
        <v>81.7280340909091</v>
      </c>
      <c r="AJ2185" s="60" t="str">
        <f aca="false">IF(AI2185&lt;S2185,"SIM","NÃO")</f>
        <v>SIM</v>
      </c>
    </row>
    <row r="2186" customFormat="false" ht="15" hidden="false" customHeight="false" outlineLevel="0" collapsed="false">
      <c r="A2186" s="59" t="n">
        <v>46294.653125</v>
      </c>
      <c r="B2186" s="60" t="s">
        <v>2309</v>
      </c>
      <c r="C2186" s="60" t="n">
        <v>22780500</v>
      </c>
      <c r="D2186" s="60" t="s">
        <v>46</v>
      </c>
      <c r="E2186" s="60" t="s">
        <v>22</v>
      </c>
      <c r="F2186" s="60" t="s">
        <v>233</v>
      </c>
      <c r="G2186" s="60" t="n">
        <v>27</v>
      </c>
      <c r="H2186" s="61" t="n">
        <v>270.99</v>
      </c>
      <c r="I2186" s="61" t="n">
        <v>42.11</v>
      </c>
      <c r="J2186" s="61" t="n">
        <f aca="false">H2186*Resumo!$C$6</f>
        <v>0</v>
      </c>
      <c r="K2186" s="61" t="n">
        <f aca="false">H2186*Resumo!$C$7</f>
        <v>0.569079</v>
      </c>
      <c r="L2186" s="61" t="n">
        <f aca="false">H2186*Resumo!$C$8</f>
        <v>0.569079</v>
      </c>
      <c r="M2186" s="61" t="n">
        <f aca="false">Resumo!$C$10*CEILING(G2186/100,1)</f>
        <v>1.05</v>
      </c>
      <c r="N2186" s="61" t="n">
        <f aca="false">Resumo!$C$9</f>
        <v>0</v>
      </c>
      <c r="O2186" s="61" t="n">
        <f aca="false">Resumo!$C$13</f>
        <v>13.55</v>
      </c>
      <c r="P2186" s="61" t="n">
        <f aca="false">Resumo!$C$14*CEILING(G2186,1)</f>
        <v>12.15</v>
      </c>
      <c r="Q2186" s="61" t="n">
        <f aca="false">SUM(I2186:P2186)*Resumo!$C$11</f>
        <v>0</v>
      </c>
      <c r="R2186" s="61" t="n">
        <f aca="false">SUM(I2186:Q2186)</f>
        <v>69.998158</v>
      </c>
      <c r="S2186" s="61" t="n">
        <f aca="false">R2186/(1-Resumo!$C$5)</f>
        <v>79.5433613636364</v>
      </c>
      <c r="T2186" s="61" t="n">
        <v>82.21</v>
      </c>
      <c r="U2186" s="61" t="n">
        <f aca="false">H2186*Resumo!$B$6</f>
        <v>0.27099</v>
      </c>
      <c r="V2186" s="61" t="n">
        <f aca="false">H2186*Resumo!$B$7</f>
        <v>0.54198</v>
      </c>
      <c r="W2186" s="61" t="n">
        <f aca="false">Resumo!$B$9</f>
        <v>1</v>
      </c>
      <c r="X2186" s="61" t="n">
        <f aca="false">Resumo!$B$10*CEILING(G2186/100,1)</f>
        <v>4.5</v>
      </c>
      <c r="Y2186" s="61" t="n">
        <f aca="false">Resumo!$B$12*CEILING(G2186,1)</f>
        <v>1.62</v>
      </c>
      <c r="Z2186" s="61" t="n">
        <f aca="false">Resumo!$B$14*CEILING(G2186,1)</f>
        <v>12.15</v>
      </c>
      <c r="AA2186" s="61" t="n">
        <f aca="false">SUM(T2186:Z2186)</f>
        <v>102.29297</v>
      </c>
      <c r="AB2186" s="61" t="n">
        <f aca="false">AA2186/(1-Resumo!$B$5)</f>
        <v>116.242011363636</v>
      </c>
      <c r="AC2186" s="61" t="n">
        <f aca="false">AB2186-S2186</f>
        <v>36.69865</v>
      </c>
      <c r="AD2186" s="62" t="n">
        <f aca="false">AB2186/S2186-1</f>
        <v>0.461366597675327</v>
      </c>
      <c r="AE2186" s="60" t="str">
        <f aca="false">IF(AB2186&lt;S2186,"SIM","NÃO")</f>
        <v>NÃO</v>
      </c>
      <c r="AF2186" s="60" t="n">
        <v>2</v>
      </c>
      <c r="AG2186" s="60" t="n">
        <v>5</v>
      </c>
      <c r="AH2186" s="60" t="s">
        <v>382</v>
      </c>
      <c r="AI2186" s="61" t="n">
        <f aca="false">(T2186*(1-Painel!$C$40)+U2186+V2186+Painel!$C$41+Painel!$C$42*CEILING(G2186/100,1)+Painel!$C$43*CEILING(G2186,1)+Z2186)/(1-Resumo!$B$5)</f>
        <v>79.6518977272727</v>
      </c>
      <c r="AJ2186" s="60" t="str">
        <f aca="false">IF(AI2186&lt;S2186,"SIM","NÃO")</f>
        <v>NÃO</v>
      </c>
    </row>
    <row r="2187" customFormat="false" ht="15" hidden="false" customHeight="false" outlineLevel="0" collapsed="false">
      <c r="A2187" s="59" t="n">
        <v>46294.6936458333</v>
      </c>
      <c r="B2187" s="60" t="s">
        <v>2310</v>
      </c>
      <c r="C2187" s="60" t="n">
        <v>21341460</v>
      </c>
      <c r="D2187" s="60" t="s">
        <v>46</v>
      </c>
      <c r="E2187" s="60" t="s">
        <v>22</v>
      </c>
      <c r="F2187" s="60" t="s">
        <v>234</v>
      </c>
      <c r="G2187" s="60" t="n">
        <v>35.4</v>
      </c>
      <c r="H2187" s="61" t="n">
        <v>499.99</v>
      </c>
      <c r="I2187" s="61" t="n">
        <v>48.35</v>
      </c>
      <c r="J2187" s="61" t="n">
        <f aca="false">H2187*Resumo!$C$6</f>
        <v>0</v>
      </c>
      <c r="K2187" s="61" t="n">
        <f aca="false">H2187*Resumo!$C$7</f>
        <v>1.049979</v>
      </c>
      <c r="L2187" s="61" t="n">
        <f aca="false">H2187*Resumo!$C$8</f>
        <v>1.049979</v>
      </c>
      <c r="M2187" s="61" t="n">
        <f aca="false">Resumo!$C$10*CEILING(G2187/100,1)</f>
        <v>1.05</v>
      </c>
      <c r="N2187" s="61" t="n">
        <f aca="false">Resumo!$C$9</f>
        <v>0</v>
      </c>
      <c r="O2187" s="61" t="n">
        <f aca="false">Resumo!$C$13</f>
        <v>13.55</v>
      </c>
      <c r="P2187" s="61" t="n">
        <f aca="false">Resumo!$C$14*CEILING(G2187,1)</f>
        <v>16.2</v>
      </c>
      <c r="Q2187" s="61" t="n">
        <f aca="false">SUM(I2187:P2187)*Resumo!$C$11</f>
        <v>0</v>
      </c>
      <c r="R2187" s="61" t="n">
        <f aca="false">SUM(I2187:Q2187)</f>
        <v>81.249958</v>
      </c>
      <c r="S2187" s="61" t="n">
        <f aca="false">R2187/(1-Resumo!$C$5)</f>
        <v>92.3294977272727</v>
      </c>
      <c r="T2187" s="61" t="n">
        <v>93.97</v>
      </c>
      <c r="U2187" s="61" t="n">
        <f aca="false">H2187*Resumo!$B$6</f>
        <v>0.49999</v>
      </c>
      <c r="V2187" s="61" t="n">
        <f aca="false">H2187*Resumo!$B$7</f>
        <v>0.99998</v>
      </c>
      <c r="W2187" s="61" t="n">
        <f aca="false">Resumo!$B$9</f>
        <v>1</v>
      </c>
      <c r="X2187" s="61" t="n">
        <f aca="false">Resumo!$B$10*CEILING(G2187/100,1)</f>
        <v>4.5</v>
      </c>
      <c r="Y2187" s="61" t="n">
        <f aca="false">Resumo!$B$12*CEILING(G2187,1)</f>
        <v>2.16</v>
      </c>
      <c r="Z2187" s="61" t="n">
        <f aca="false">Resumo!$B$14*CEILING(G2187,1)</f>
        <v>16.2</v>
      </c>
      <c r="AA2187" s="61" t="n">
        <f aca="false">SUM(T2187:Z2187)</f>
        <v>119.32997</v>
      </c>
      <c r="AB2187" s="61" t="n">
        <f aca="false">AA2187/(1-Resumo!$B$5)</f>
        <v>135.602238636364</v>
      </c>
      <c r="AC2187" s="61" t="n">
        <f aca="false">AB2187-S2187</f>
        <v>43.2727409090909</v>
      </c>
      <c r="AD2187" s="62" t="n">
        <f aca="false">AB2187/S2187-1</f>
        <v>0.468677313039349</v>
      </c>
      <c r="AE2187" s="60" t="str">
        <f aca="false">IF(AB2187&lt;S2187,"SIM","NÃO")</f>
        <v>NÃO</v>
      </c>
      <c r="AF2187" s="60" t="n">
        <v>2</v>
      </c>
      <c r="AG2187" s="60" t="n">
        <v>5</v>
      </c>
      <c r="AH2187" s="60" t="s">
        <v>382</v>
      </c>
      <c r="AI2187" s="61" t="n">
        <f aca="false">(T2187*(1-Painel!$C$40)+U2187+V2187+Painel!$C$41+Painel!$C$42*CEILING(G2187/100,1)+Painel!$C$43*CEILING(G2187,1)+Z2187)/(1-Resumo!$B$5)</f>
        <v>93.9884886363636</v>
      </c>
      <c r="AJ2187" s="60" t="str">
        <f aca="false">IF(AI2187&lt;S2187,"SIM","NÃO")</f>
        <v>NÃO</v>
      </c>
    </row>
    <row r="2188" customFormat="false" ht="15" hidden="false" customHeight="false" outlineLevel="0" collapsed="false">
      <c r="A2188" s="59" t="n">
        <v>46294.6962268519</v>
      </c>
      <c r="B2188" s="60" t="s">
        <v>2311</v>
      </c>
      <c r="C2188" s="60" t="n">
        <v>21030040</v>
      </c>
      <c r="D2188" s="60" t="s">
        <v>46</v>
      </c>
      <c r="E2188" s="60" t="s">
        <v>22</v>
      </c>
      <c r="F2188" s="60" t="s">
        <v>235</v>
      </c>
      <c r="G2188" s="60" t="n">
        <v>46.8</v>
      </c>
      <c r="H2188" s="61" t="n">
        <v>569.99</v>
      </c>
      <c r="I2188" s="61" t="n">
        <v>53.55</v>
      </c>
      <c r="J2188" s="61" t="n">
        <f aca="false">H2188*Resumo!$C$6</f>
        <v>0</v>
      </c>
      <c r="K2188" s="61" t="n">
        <f aca="false">H2188*Resumo!$C$7</f>
        <v>1.196979</v>
      </c>
      <c r="L2188" s="61" t="n">
        <f aca="false">H2188*Resumo!$C$8</f>
        <v>1.196979</v>
      </c>
      <c r="M2188" s="61" t="n">
        <f aca="false">Resumo!$C$10*CEILING(G2188/100,1)</f>
        <v>1.05</v>
      </c>
      <c r="N2188" s="61" t="n">
        <f aca="false">Resumo!$C$9</f>
        <v>0</v>
      </c>
      <c r="O2188" s="61" t="n">
        <f aca="false">Resumo!$C$13</f>
        <v>13.55</v>
      </c>
      <c r="P2188" s="61" t="n">
        <f aca="false">Resumo!$C$14*CEILING(G2188,1)</f>
        <v>21.15</v>
      </c>
      <c r="Q2188" s="61" t="n">
        <f aca="false">SUM(I2188:P2188)*Resumo!$C$11</f>
        <v>0</v>
      </c>
      <c r="R2188" s="61" t="n">
        <f aca="false">SUM(I2188:Q2188)</f>
        <v>91.693958</v>
      </c>
      <c r="S2188" s="61" t="n">
        <f aca="false">R2188/(1-Resumo!$C$5)</f>
        <v>104.197679545455</v>
      </c>
      <c r="T2188" s="61" t="n">
        <v>93.97</v>
      </c>
      <c r="U2188" s="61" t="n">
        <f aca="false">H2188*Resumo!$B$6</f>
        <v>0.56999</v>
      </c>
      <c r="V2188" s="61" t="n">
        <f aca="false">H2188*Resumo!$B$7</f>
        <v>1.13998</v>
      </c>
      <c r="W2188" s="61" t="n">
        <f aca="false">Resumo!$B$9</f>
        <v>1</v>
      </c>
      <c r="X2188" s="61" t="n">
        <f aca="false">Resumo!$B$10*CEILING(G2188/100,1)</f>
        <v>4.5</v>
      </c>
      <c r="Y2188" s="61" t="n">
        <f aca="false">Resumo!$B$12*CEILING(G2188,1)</f>
        <v>2.82</v>
      </c>
      <c r="Z2188" s="61" t="n">
        <f aca="false">Resumo!$B$14*CEILING(G2188,1)</f>
        <v>21.15</v>
      </c>
      <c r="AA2188" s="61" t="n">
        <f aca="false">SUM(T2188:Z2188)</f>
        <v>125.14997</v>
      </c>
      <c r="AB2188" s="61" t="n">
        <f aca="false">AA2188/(1-Resumo!$B$5)</f>
        <v>142.215875</v>
      </c>
      <c r="AC2188" s="61" t="n">
        <f aca="false">AB2188-S2188</f>
        <v>38.0181954545455</v>
      </c>
      <c r="AD2188" s="62" t="n">
        <f aca="false">AB2188/S2188-1</f>
        <v>0.364866047117303</v>
      </c>
      <c r="AE2188" s="60" t="str">
        <f aca="false">IF(AB2188&lt;S2188,"SIM","NÃO")</f>
        <v>NÃO</v>
      </c>
      <c r="AF2188" s="60" t="n">
        <v>2</v>
      </c>
      <c r="AG2188" s="60" t="n">
        <v>5</v>
      </c>
      <c r="AH2188" s="60" t="s">
        <v>382</v>
      </c>
      <c r="AI2188" s="61" t="n">
        <f aca="false">(T2188*(1-Painel!$C$40)+U2188+V2188+Painel!$C$41+Painel!$C$42*CEILING(G2188/100,1)+Painel!$C$43*CEILING(G2188,1)+Z2188)/(1-Resumo!$B$5)</f>
        <v>99.852125</v>
      </c>
      <c r="AJ2188" s="60" t="str">
        <f aca="false">IF(AI2188&lt;S2188,"SIM","NÃO")</f>
        <v>SIM</v>
      </c>
    </row>
    <row r="2189" customFormat="false" ht="15" hidden="false" customHeight="false" outlineLevel="0" collapsed="false">
      <c r="A2189" s="59" t="n">
        <v>46294.7074189815</v>
      </c>
      <c r="B2189" s="60" t="s">
        <v>2312</v>
      </c>
      <c r="C2189" s="60" t="n">
        <v>23587410</v>
      </c>
      <c r="D2189" s="60" t="s">
        <v>46</v>
      </c>
      <c r="E2189" s="60" t="s">
        <v>22</v>
      </c>
      <c r="F2189" s="60" t="s">
        <v>240</v>
      </c>
      <c r="G2189" s="60" t="n">
        <v>117</v>
      </c>
      <c r="H2189" s="61" t="n">
        <v>1399.99</v>
      </c>
      <c r="I2189" s="61" t="n">
        <v>92.34</v>
      </c>
      <c r="J2189" s="61" t="n">
        <f aca="false">H2189*Resumo!$C$6</f>
        <v>0</v>
      </c>
      <c r="K2189" s="61" t="n">
        <f aca="false">H2189*Resumo!$C$7</f>
        <v>2.939979</v>
      </c>
      <c r="L2189" s="61" t="n">
        <f aca="false">H2189*Resumo!$C$8</f>
        <v>2.939979</v>
      </c>
      <c r="M2189" s="61" t="n">
        <f aca="false">Resumo!$C$10*CEILING(G2189/100,1)</f>
        <v>2.1</v>
      </c>
      <c r="N2189" s="61" t="n">
        <f aca="false">Resumo!$C$9</f>
        <v>0</v>
      </c>
      <c r="O2189" s="61" t="n">
        <f aca="false">Resumo!$C$13</f>
        <v>13.55</v>
      </c>
      <c r="P2189" s="61" t="n">
        <f aca="false">Resumo!$C$14*CEILING(G2189,1)</f>
        <v>52.65</v>
      </c>
      <c r="Q2189" s="61" t="n">
        <f aca="false">SUM(I2189:P2189)*Resumo!$C$11</f>
        <v>0</v>
      </c>
      <c r="R2189" s="61" t="n">
        <f aca="false">SUM(I2189:Q2189)</f>
        <v>166.519958</v>
      </c>
      <c r="S2189" s="61" t="n">
        <f aca="false">R2189/(1-Resumo!$C$5)</f>
        <v>189.227225</v>
      </c>
      <c r="T2189" s="61" t="n">
        <v>201.59</v>
      </c>
      <c r="U2189" s="61" t="n">
        <f aca="false">H2189*Resumo!$B$6</f>
        <v>1.39999</v>
      </c>
      <c r="V2189" s="61" t="n">
        <f aca="false">H2189*Resumo!$B$7</f>
        <v>2.79998</v>
      </c>
      <c r="W2189" s="61" t="n">
        <f aca="false">Resumo!$B$9</f>
        <v>1</v>
      </c>
      <c r="X2189" s="61" t="n">
        <f aca="false">Resumo!$B$10*CEILING(G2189/100,1)</f>
        <v>9</v>
      </c>
      <c r="Y2189" s="61" t="n">
        <f aca="false">Resumo!$B$12*CEILING(G2189,1)</f>
        <v>7.02</v>
      </c>
      <c r="Z2189" s="61" t="n">
        <f aca="false">Resumo!$B$14*CEILING(G2189,1)</f>
        <v>52.65</v>
      </c>
      <c r="AA2189" s="61" t="n">
        <f aca="false">SUM(T2189:Z2189)</f>
        <v>275.45997</v>
      </c>
      <c r="AB2189" s="61" t="n">
        <f aca="false">AA2189/(1-Resumo!$B$5)</f>
        <v>313.022693181818</v>
      </c>
      <c r="AC2189" s="61" t="n">
        <f aca="false">AB2189-S2189</f>
        <v>123.795468181818</v>
      </c>
      <c r="AD2189" s="62" t="n">
        <f aca="false">AB2189/S2189-1</f>
        <v>0.654215946895687</v>
      </c>
      <c r="AE2189" s="60" t="str">
        <f aca="false">IF(AB2189&lt;S2189,"SIM","NÃO")</f>
        <v>NÃO</v>
      </c>
      <c r="AF2189" s="60" t="n">
        <v>2</v>
      </c>
      <c r="AG2189" s="60" t="n">
        <v>5</v>
      </c>
      <c r="AH2189" s="60" t="s">
        <v>382</v>
      </c>
      <c r="AI2189" s="61" t="n">
        <f aca="false">(T2189*(1-Painel!$C$40)+U2189+V2189+Painel!$C$41+Painel!$C$42*CEILING(G2189/100,1)+Painel!$C$43*CEILING(G2189,1)+Z2189)/(1-Resumo!$B$5)</f>
        <v>221.608261363636</v>
      </c>
      <c r="AJ2189" s="60" t="str">
        <f aca="false">IF(AI2189&lt;S2189,"SIM","NÃO")</f>
        <v>NÃO</v>
      </c>
    </row>
    <row r="2190" customFormat="false" ht="15" hidden="false" customHeight="false" outlineLevel="0" collapsed="false">
      <c r="A2190" s="59" t="n">
        <v>46294.7329513889</v>
      </c>
      <c r="B2190" s="60" t="s">
        <v>2313</v>
      </c>
      <c r="C2190" s="60" t="n">
        <v>24856152</v>
      </c>
      <c r="D2190" s="60" t="s">
        <v>223</v>
      </c>
      <c r="E2190" s="60" t="s">
        <v>24</v>
      </c>
      <c r="F2190" s="60" t="s">
        <v>233</v>
      </c>
      <c r="G2190" s="60" t="n">
        <v>29.2</v>
      </c>
      <c r="H2190" s="61" t="n">
        <v>395.99</v>
      </c>
      <c r="I2190" s="61" t="n">
        <v>65.63</v>
      </c>
      <c r="J2190" s="61" t="n">
        <f aca="false">H2190*Resumo!$C$6</f>
        <v>0</v>
      </c>
      <c r="K2190" s="61" t="n">
        <f aca="false">H2190*Resumo!$C$7</f>
        <v>0.831579</v>
      </c>
      <c r="L2190" s="61" t="n">
        <f aca="false">H2190*Resumo!$C$8</f>
        <v>0.831579</v>
      </c>
      <c r="M2190" s="61" t="n">
        <f aca="false">Resumo!$C$10*CEILING(G2190/100,1)</f>
        <v>1.05</v>
      </c>
      <c r="N2190" s="61" t="n">
        <f aca="false">Resumo!$C$9</f>
        <v>0</v>
      </c>
      <c r="O2190" s="61" t="n">
        <f aca="false">Resumo!$C$13</f>
        <v>13.55</v>
      </c>
      <c r="P2190" s="61" t="n">
        <f aca="false">Resumo!$C$14*CEILING(G2190,1)</f>
        <v>13.5</v>
      </c>
      <c r="Q2190" s="61" t="n">
        <f aca="false">SUM(I2190:P2190)*Resumo!$C$11</f>
        <v>0</v>
      </c>
      <c r="R2190" s="61" t="n">
        <f aca="false">SUM(I2190:Q2190)</f>
        <v>95.393158</v>
      </c>
      <c r="S2190" s="61" t="n">
        <f aca="false">R2190/(1-Resumo!$C$5)</f>
        <v>108.401315909091</v>
      </c>
      <c r="T2190" s="61" t="n">
        <v>100.58</v>
      </c>
      <c r="U2190" s="61" t="n">
        <f aca="false">H2190*Resumo!$B$6</f>
        <v>0.39599</v>
      </c>
      <c r="V2190" s="61" t="n">
        <f aca="false">H2190*Resumo!$B$7</f>
        <v>0.79198</v>
      </c>
      <c r="W2190" s="61" t="n">
        <f aca="false">Resumo!$B$9</f>
        <v>1</v>
      </c>
      <c r="X2190" s="61" t="n">
        <f aca="false">Resumo!$B$10*CEILING(G2190/100,1)</f>
        <v>4.5</v>
      </c>
      <c r="Y2190" s="61" t="n">
        <f aca="false">Resumo!$B$12*CEILING(G2190,1)</f>
        <v>1.8</v>
      </c>
      <c r="Z2190" s="61" t="n">
        <f aca="false">Resumo!$B$14*CEILING(G2190,1)</f>
        <v>13.5</v>
      </c>
      <c r="AA2190" s="61" t="n">
        <f aca="false">SUM(T2190:Z2190)</f>
        <v>122.56797</v>
      </c>
      <c r="AB2190" s="61" t="n">
        <f aca="false">AA2190/(1-Resumo!$B$5)</f>
        <v>139.281784090909</v>
      </c>
      <c r="AC2190" s="61" t="n">
        <f aca="false">AB2190-S2190</f>
        <v>30.8804681818182</v>
      </c>
      <c r="AD2190" s="62" t="n">
        <f aca="false">AB2190/S2190-1</f>
        <v>0.284871709562231</v>
      </c>
      <c r="AE2190" s="60" t="str">
        <f aca="false">IF(AB2190&lt;S2190,"SIM","NÃO")</f>
        <v>NÃO</v>
      </c>
      <c r="AF2190" s="60" t="n">
        <v>13</v>
      </c>
      <c r="AG2190" s="60" t="n">
        <v>7</v>
      </c>
      <c r="AH2190" s="60" t="s">
        <v>382</v>
      </c>
      <c r="AI2190" s="61" t="n">
        <f aca="false">(T2190*(1-Painel!$C$40)+U2190+V2190+Painel!$C$41+Painel!$C$42*CEILING(G2190/100,1)+Painel!$C$43*CEILING(G2190,1)+Z2190)/(1-Resumo!$B$5)</f>
        <v>95.598375</v>
      </c>
      <c r="AJ2190" s="60" t="str">
        <f aca="false">IF(AI2190&lt;S2190,"SIM","NÃO")</f>
        <v>SIM</v>
      </c>
    </row>
    <row r="2191" customFormat="false" ht="15" hidden="false" customHeight="false" outlineLevel="0" collapsed="false">
      <c r="A2191" s="59" t="n">
        <v>46294.7338541667</v>
      </c>
      <c r="B2191" s="60" t="s">
        <v>2314</v>
      </c>
      <c r="C2191" s="60" t="n">
        <v>25804000</v>
      </c>
      <c r="D2191" s="60" t="s">
        <v>274</v>
      </c>
      <c r="E2191" s="60" t="s">
        <v>24</v>
      </c>
      <c r="F2191" s="60" t="s">
        <v>236</v>
      </c>
      <c r="G2191" s="60" t="n">
        <v>55</v>
      </c>
      <c r="H2191" s="61" t="n">
        <v>698</v>
      </c>
      <c r="I2191" s="61" t="n">
        <v>83.58</v>
      </c>
      <c r="J2191" s="61" t="n">
        <f aca="false">H2191*Resumo!$C$6</f>
        <v>0</v>
      </c>
      <c r="K2191" s="61" t="n">
        <f aca="false">H2191*Resumo!$C$7</f>
        <v>1.4658</v>
      </c>
      <c r="L2191" s="61" t="n">
        <f aca="false">H2191*Resumo!$C$8</f>
        <v>1.4658</v>
      </c>
      <c r="M2191" s="61" t="n">
        <f aca="false">Resumo!$C$10*CEILING(G2191/100,1)</f>
        <v>1.05</v>
      </c>
      <c r="N2191" s="61" t="n">
        <f aca="false">Resumo!$C$9</f>
        <v>0</v>
      </c>
      <c r="O2191" s="61" t="n">
        <f aca="false">Resumo!$C$13</f>
        <v>13.55</v>
      </c>
      <c r="P2191" s="61" t="n">
        <f aca="false">Resumo!$C$14*CEILING(G2191,1)</f>
        <v>24.75</v>
      </c>
      <c r="Q2191" s="61" t="n">
        <f aca="false">SUM(I2191:P2191)*Resumo!$C$11</f>
        <v>0</v>
      </c>
      <c r="R2191" s="61" t="n">
        <f aca="false">SUM(I2191:Q2191)</f>
        <v>125.8616</v>
      </c>
      <c r="S2191" s="61" t="n">
        <f aca="false">R2191/(1-Resumo!$C$5)</f>
        <v>143.024545454545</v>
      </c>
      <c r="T2191" s="61" t="n">
        <v>142.32</v>
      </c>
      <c r="U2191" s="61" t="n">
        <f aca="false">H2191*Resumo!$B$6</f>
        <v>0.698</v>
      </c>
      <c r="V2191" s="61" t="n">
        <f aca="false">H2191*Resumo!$B$7</f>
        <v>1.396</v>
      </c>
      <c r="W2191" s="61" t="n">
        <f aca="false">Resumo!$B$9</f>
        <v>1</v>
      </c>
      <c r="X2191" s="61" t="n">
        <f aca="false">Resumo!$B$10*CEILING(G2191/100,1)</f>
        <v>4.5</v>
      </c>
      <c r="Y2191" s="61" t="n">
        <f aca="false">Resumo!$B$12*CEILING(G2191,1)</f>
        <v>3.3</v>
      </c>
      <c r="Z2191" s="61" t="n">
        <f aca="false">Resumo!$B$14*CEILING(G2191,1)</f>
        <v>24.75</v>
      </c>
      <c r="AA2191" s="61" t="n">
        <f aca="false">SUM(T2191:Z2191)</f>
        <v>177.964</v>
      </c>
      <c r="AB2191" s="61" t="n">
        <f aca="false">AA2191/(1-Resumo!$B$5)</f>
        <v>202.231818181818</v>
      </c>
      <c r="AC2191" s="61" t="n">
        <f aca="false">AB2191-S2191</f>
        <v>59.2072727272727</v>
      </c>
      <c r="AD2191" s="62" t="n">
        <f aca="false">AB2191/S2191-1</f>
        <v>0.413965816420576</v>
      </c>
      <c r="AE2191" s="60" t="str">
        <f aca="false">IF(AB2191&lt;S2191,"SIM","NÃO")</f>
        <v>NÃO</v>
      </c>
      <c r="AF2191" s="60" t="n">
        <v>13</v>
      </c>
      <c r="AG2191" s="60" t="n">
        <v>8</v>
      </c>
      <c r="AH2191" s="60" t="s">
        <v>385</v>
      </c>
      <c r="AI2191" s="61" t="n">
        <f aca="false">(T2191*(1-Painel!$C$40)+U2191+V2191+Painel!$C$41+Painel!$C$42*CEILING(G2191/100,1)+Painel!$C$43*CEILING(G2191,1)+Z2191)/(1-Resumo!$B$5)</f>
        <v>141.191363636364</v>
      </c>
      <c r="AJ2191" s="60" t="str">
        <f aca="false">IF(AI2191&lt;S2191,"SIM","NÃO")</f>
        <v>SIM</v>
      </c>
    </row>
    <row r="2192" customFormat="false" ht="15" hidden="false" customHeight="false" outlineLevel="0" collapsed="false">
      <c r="A2192" s="59" t="n">
        <v>46294.7359375</v>
      </c>
      <c r="B2192" s="60" t="s">
        <v>2315</v>
      </c>
      <c r="C2192" s="60" t="n">
        <v>20011030</v>
      </c>
      <c r="D2192" s="60" t="s">
        <v>46</v>
      </c>
      <c r="E2192" s="60" t="s">
        <v>22</v>
      </c>
      <c r="F2192" s="60" t="s">
        <v>233</v>
      </c>
      <c r="G2192" s="60" t="n">
        <v>27.6</v>
      </c>
      <c r="H2192" s="61" t="n">
        <v>360.99</v>
      </c>
      <c r="I2192" s="61" t="n">
        <v>42.11</v>
      </c>
      <c r="J2192" s="61" t="n">
        <f aca="false">H2192*Resumo!$C$6</f>
        <v>0</v>
      </c>
      <c r="K2192" s="61" t="n">
        <f aca="false">H2192*Resumo!$C$7</f>
        <v>0.758079</v>
      </c>
      <c r="L2192" s="61" t="n">
        <f aca="false">H2192*Resumo!$C$8</f>
        <v>0.758079</v>
      </c>
      <c r="M2192" s="61" t="n">
        <f aca="false">Resumo!$C$10*CEILING(G2192/100,1)</f>
        <v>1.05</v>
      </c>
      <c r="N2192" s="61" t="n">
        <f aca="false">Resumo!$C$9</f>
        <v>0</v>
      </c>
      <c r="O2192" s="61" t="n">
        <f aca="false">Resumo!$C$13</f>
        <v>13.55</v>
      </c>
      <c r="P2192" s="61" t="n">
        <f aca="false">Resumo!$C$14*CEILING(G2192,1)</f>
        <v>12.6</v>
      </c>
      <c r="Q2192" s="61" t="n">
        <f aca="false">SUM(I2192:P2192)*Resumo!$C$11</f>
        <v>0</v>
      </c>
      <c r="R2192" s="61" t="n">
        <f aca="false">SUM(I2192:Q2192)</f>
        <v>70.826158</v>
      </c>
      <c r="S2192" s="61" t="n">
        <f aca="false">R2192/(1-Resumo!$C$5)</f>
        <v>80.4842704545455</v>
      </c>
      <c r="T2192" s="61" t="n">
        <v>82.21</v>
      </c>
      <c r="U2192" s="61" t="n">
        <f aca="false">H2192*Resumo!$B$6</f>
        <v>0.36099</v>
      </c>
      <c r="V2192" s="61" t="n">
        <f aca="false">H2192*Resumo!$B$7</f>
        <v>0.72198</v>
      </c>
      <c r="W2192" s="61" t="n">
        <f aca="false">Resumo!$B$9</f>
        <v>1</v>
      </c>
      <c r="X2192" s="61" t="n">
        <f aca="false">Resumo!$B$10*CEILING(G2192/100,1)</f>
        <v>4.5</v>
      </c>
      <c r="Y2192" s="61" t="n">
        <f aca="false">Resumo!$B$12*CEILING(G2192,1)</f>
        <v>1.68</v>
      </c>
      <c r="Z2192" s="61" t="n">
        <f aca="false">Resumo!$B$14*CEILING(G2192,1)</f>
        <v>12.6</v>
      </c>
      <c r="AA2192" s="61" t="n">
        <f aca="false">SUM(T2192:Z2192)</f>
        <v>103.07297</v>
      </c>
      <c r="AB2192" s="61" t="n">
        <f aca="false">AA2192/(1-Resumo!$B$5)</f>
        <v>117.128375</v>
      </c>
      <c r="AC2192" s="61" t="n">
        <f aca="false">AB2192-S2192</f>
        <v>36.6441045454545</v>
      </c>
      <c r="AD2192" s="62" t="n">
        <f aca="false">AB2192/S2192-1</f>
        <v>0.45529523145954</v>
      </c>
      <c r="AE2192" s="60" t="str">
        <f aca="false">IF(AB2192&lt;S2192,"SIM","NÃO")</f>
        <v>NÃO</v>
      </c>
      <c r="AF2192" s="60" t="n">
        <v>2</v>
      </c>
      <c r="AG2192" s="60" t="n">
        <v>5</v>
      </c>
      <c r="AH2192" s="60" t="s">
        <v>382</v>
      </c>
      <c r="AI2192" s="61" t="n">
        <f aca="false">(T2192*(1-Painel!$C$40)+U2192+V2192+Painel!$C$41+Painel!$C$42*CEILING(G2192/100,1)+Painel!$C$43*CEILING(G2192,1)+Z2192)/(1-Resumo!$B$5)</f>
        <v>80.4700795454545</v>
      </c>
      <c r="AJ2192" s="60" t="str">
        <f aca="false">IF(AI2192&lt;S2192,"SIM","NÃO")</f>
        <v>SIM</v>
      </c>
    </row>
    <row r="2193" customFormat="false" ht="15" hidden="false" customHeight="false" outlineLevel="0" collapsed="false">
      <c r="A2193" s="59" t="n">
        <v>46294.736875</v>
      </c>
      <c r="B2193" s="60" t="s">
        <v>2316</v>
      </c>
      <c r="C2193" s="60" t="n">
        <v>25922160</v>
      </c>
      <c r="D2193" s="60" t="s">
        <v>225</v>
      </c>
      <c r="E2193" s="60" t="s">
        <v>24</v>
      </c>
      <c r="F2193" s="60" t="s">
        <v>233</v>
      </c>
      <c r="G2193" s="60" t="n">
        <v>31.2</v>
      </c>
      <c r="H2193" s="61" t="n">
        <v>336.25</v>
      </c>
      <c r="I2193" s="61" t="n">
        <v>65.63</v>
      </c>
      <c r="J2193" s="61" t="n">
        <f aca="false">H2193*Resumo!$C$6</f>
        <v>0</v>
      </c>
      <c r="K2193" s="61" t="n">
        <f aca="false">H2193*Resumo!$C$7</f>
        <v>0.706125</v>
      </c>
      <c r="L2193" s="61" t="n">
        <f aca="false">H2193*Resumo!$C$8</f>
        <v>0.706125</v>
      </c>
      <c r="M2193" s="61" t="n">
        <f aca="false">Resumo!$C$10*CEILING(G2193/100,1)</f>
        <v>1.05</v>
      </c>
      <c r="N2193" s="61" t="n">
        <f aca="false">Resumo!$C$9</f>
        <v>0</v>
      </c>
      <c r="O2193" s="61" t="n">
        <f aca="false">Resumo!$C$13</f>
        <v>13.55</v>
      </c>
      <c r="P2193" s="61" t="n">
        <f aca="false">Resumo!$C$14*CEILING(G2193,1)</f>
        <v>14.4</v>
      </c>
      <c r="Q2193" s="61" t="n">
        <f aca="false">SUM(I2193:P2193)*Resumo!$C$11</f>
        <v>0</v>
      </c>
      <c r="R2193" s="61" t="n">
        <f aca="false">SUM(I2193:Q2193)</f>
        <v>96.04225</v>
      </c>
      <c r="S2193" s="61" t="n">
        <f aca="false">R2193/(1-Resumo!$C$5)</f>
        <v>109.138920454545</v>
      </c>
      <c r="T2193" s="61" t="n">
        <v>103.28</v>
      </c>
      <c r="U2193" s="61" t="n">
        <f aca="false">H2193*Resumo!$B$6</f>
        <v>0.33625</v>
      </c>
      <c r="V2193" s="61" t="n">
        <f aca="false">H2193*Resumo!$B$7</f>
        <v>0.6725</v>
      </c>
      <c r="W2193" s="61" t="n">
        <f aca="false">Resumo!$B$9</f>
        <v>1</v>
      </c>
      <c r="X2193" s="61" t="n">
        <f aca="false">Resumo!$B$10*CEILING(G2193/100,1)</f>
        <v>4.5</v>
      </c>
      <c r="Y2193" s="61" t="n">
        <f aca="false">Resumo!$B$12*CEILING(G2193,1)</f>
        <v>1.92</v>
      </c>
      <c r="Z2193" s="61" t="n">
        <f aca="false">Resumo!$B$14*CEILING(G2193,1)</f>
        <v>14.4</v>
      </c>
      <c r="AA2193" s="61" t="n">
        <f aca="false">SUM(T2193:Z2193)</f>
        <v>126.10875</v>
      </c>
      <c r="AB2193" s="61" t="n">
        <f aca="false">AA2193/(1-Resumo!$B$5)</f>
        <v>143.305397727273</v>
      </c>
      <c r="AC2193" s="61" t="n">
        <f aca="false">AB2193-S2193</f>
        <v>34.1664772727273</v>
      </c>
      <c r="AD2193" s="62" t="n">
        <f aca="false">AB2193/S2193-1</f>
        <v>0.313054931553561</v>
      </c>
      <c r="AE2193" s="60" t="str">
        <f aca="false">IF(AB2193&lt;S2193,"SIM","NÃO")</f>
        <v>NÃO</v>
      </c>
      <c r="AF2193" s="60" t="n">
        <v>13</v>
      </c>
      <c r="AG2193" s="60" t="n">
        <v>6</v>
      </c>
      <c r="AH2193" s="60" t="s">
        <v>382</v>
      </c>
      <c r="AI2193" s="61" t="n">
        <f aca="false">(T2193*(1-Painel!$C$40)+U2193+V2193+Painel!$C$41+Painel!$C$42*CEILING(G2193/100,1)+Painel!$C$43*CEILING(G2193,1)+Z2193)/(1-Resumo!$B$5)</f>
        <v>98.473125</v>
      </c>
      <c r="AJ2193" s="60" t="str">
        <f aca="false">IF(AI2193&lt;S2193,"SIM","NÃO")</f>
        <v>SIM</v>
      </c>
    </row>
    <row r="2194" customFormat="false" ht="15" hidden="false" customHeight="false" outlineLevel="0" collapsed="false">
      <c r="A2194" s="59" t="n">
        <v>46294.7653703704</v>
      </c>
      <c r="B2194" s="60" t="s">
        <v>2317</v>
      </c>
      <c r="C2194" s="60" t="n">
        <v>23085260</v>
      </c>
      <c r="D2194" s="60" t="s">
        <v>46</v>
      </c>
      <c r="E2194" s="60" t="s">
        <v>22</v>
      </c>
      <c r="F2194" s="60" t="s">
        <v>234</v>
      </c>
      <c r="G2194" s="60" t="n">
        <v>36</v>
      </c>
      <c r="H2194" s="61" t="n">
        <v>449.99</v>
      </c>
      <c r="I2194" s="61" t="n">
        <v>48.35</v>
      </c>
      <c r="J2194" s="61" t="n">
        <f aca="false">H2194*Resumo!$C$6</f>
        <v>0</v>
      </c>
      <c r="K2194" s="61" t="n">
        <f aca="false">H2194*Resumo!$C$7</f>
        <v>0.944979</v>
      </c>
      <c r="L2194" s="61" t="n">
        <f aca="false">H2194*Resumo!$C$8</f>
        <v>0.944979</v>
      </c>
      <c r="M2194" s="61" t="n">
        <f aca="false">Resumo!$C$10*CEILING(G2194/100,1)</f>
        <v>1.05</v>
      </c>
      <c r="N2194" s="61" t="n">
        <f aca="false">Resumo!$C$9</f>
        <v>0</v>
      </c>
      <c r="O2194" s="61" t="n">
        <f aca="false">Resumo!$C$13</f>
        <v>13.55</v>
      </c>
      <c r="P2194" s="61" t="n">
        <f aca="false">Resumo!$C$14*CEILING(G2194,1)</f>
        <v>16.2</v>
      </c>
      <c r="Q2194" s="61" t="n">
        <f aca="false">SUM(I2194:P2194)*Resumo!$C$11</f>
        <v>0</v>
      </c>
      <c r="R2194" s="61" t="n">
        <f aca="false">SUM(I2194:Q2194)</f>
        <v>81.039958</v>
      </c>
      <c r="S2194" s="61" t="n">
        <f aca="false">R2194/(1-Resumo!$C$5)</f>
        <v>92.0908613636364</v>
      </c>
      <c r="T2194" s="61" t="n">
        <v>93.97</v>
      </c>
      <c r="U2194" s="61" t="n">
        <f aca="false">H2194*Resumo!$B$6</f>
        <v>0.44999</v>
      </c>
      <c r="V2194" s="61" t="n">
        <f aca="false">H2194*Resumo!$B$7</f>
        <v>0.89998</v>
      </c>
      <c r="W2194" s="61" t="n">
        <f aca="false">Resumo!$B$9</f>
        <v>1</v>
      </c>
      <c r="X2194" s="61" t="n">
        <f aca="false">Resumo!$B$10*CEILING(G2194/100,1)</f>
        <v>4.5</v>
      </c>
      <c r="Y2194" s="61" t="n">
        <f aca="false">Resumo!$B$12*CEILING(G2194,1)</f>
        <v>2.16</v>
      </c>
      <c r="Z2194" s="61" t="n">
        <f aca="false">Resumo!$B$14*CEILING(G2194,1)</f>
        <v>16.2</v>
      </c>
      <c r="AA2194" s="61" t="n">
        <f aca="false">SUM(T2194:Z2194)</f>
        <v>119.17997</v>
      </c>
      <c r="AB2194" s="61" t="n">
        <f aca="false">AA2194/(1-Resumo!$B$5)</f>
        <v>135.431784090909</v>
      </c>
      <c r="AC2194" s="61" t="n">
        <f aca="false">AB2194-S2194</f>
        <v>43.3409227272727</v>
      </c>
      <c r="AD2194" s="62" t="n">
        <f aca="false">AB2194/S2194-1</f>
        <v>0.470632178758039</v>
      </c>
      <c r="AE2194" s="60" t="str">
        <f aca="false">IF(AB2194&lt;S2194,"SIM","NÃO")</f>
        <v>NÃO</v>
      </c>
      <c r="AF2194" s="60" t="n">
        <v>2</v>
      </c>
      <c r="AG2194" s="60" t="n">
        <v>5</v>
      </c>
      <c r="AH2194" s="60" t="s">
        <v>382</v>
      </c>
      <c r="AI2194" s="61" t="n">
        <f aca="false">(T2194*(1-Painel!$C$40)+U2194+V2194+Painel!$C$41+Painel!$C$42*CEILING(G2194/100,1)+Painel!$C$43*CEILING(G2194,1)+Z2194)/(1-Resumo!$B$5)</f>
        <v>93.8180340909091</v>
      </c>
      <c r="AJ2194" s="60" t="str">
        <f aca="false">IF(AI2194&lt;S2194,"SIM","NÃO")</f>
        <v>NÃO</v>
      </c>
    </row>
    <row r="2195" customFormat="false" ht="15" hidden="false" customHeight="false" outlineLevel="0" collapsed="false">
      <c r="A2195" s="59" t="n">
        <v>46294.782037037</v>
      </c>
      <c r="B2195" s="60" t="s">
        <v>2318</v>
      </c>
      <c r="C2195" s="60" t="n">
        <v>21725050</v>
      </c>
      <c r="D2195" s="60" t="s">
        <v>46</v>
      </c>
      <c r="E2195" s="60" t="s">
        <v>22</v>
      </c>
      <c r="F2195" s="60" t="s">
        <v>235</v>
      </c>
      <c r="G2195" s="60" t="n">
        <v>41.4</v>
      </c>
      <c r="H2195" s="61" t="n">
        <v>365.49</v>
      </c>
      <c r="I2195" s="61" t="n">
        <v>53.55</v>
      </c>
      <c r="J2195" s="61" t="n">
        <f aca="false">H2195*Resumo!$C$6</f>
        <v>0</v>
      </c>
      <c r="K2195" s="61" t="n">
        <f aca="false">H2195*Resumo!$C$7</f>
        <v>0.767529</v>
      </c>
      <c r="L2195" s="61" t="n">
        <f aca="false">H2195*Resumo!$C$8</f>
        <v>0.767529</v>
      </c>
      <c r="M2195" s="61" t="n">
        <f aca="false">Resumo!$C$10*CEILING(G2195/100,1)</f>
        <v>1.05</v>
      </c>
      <c r="N2195" s="61" t="n">
        <f aca="false">Resumo!$C$9</f>
        <v>0</v>
      </c>
      <c r="O2195" s="61" t="n">
        <f aca="false">Resumo!$C$13</f>
        <v>13.55</v>
      </c>
      <c r="P2195" s="61" t="n">
        <f aca="false">Resumo!$C$14*CEILING(G2195,1)</f>
        <v>18.9</v>
      </c>
      <c r="Q2195" s="61" t="n">
        <f aca="false">SUM(I2195:P2195)*Resumo!$C$11</f>
        <v>0</v>
      </c>
      <c r="R2195" s="61" t="n">
        <f aca="false">SUM(I2195:Q2195)</f>
        <v>88.585058</v>
      </c>
      <c r="S2195" s="61" t="n">
        <f aca="false">R2195/(1-Resumo!$C$5)</f>
        <v>100.664838636364</v>
      </c>
      <c r="T2195" s="61" t="n">
        <v>93.97</v>
      </c>
      <c r="U2195" s="61" t="n">
        <f aca="false">H2195*Resumo!$B$6</f>
        <v>0.36549</v>
      </c>
      <c r="V2195" s="61" t="n">
        <f aca="false">H2195*Resumo!$B$7</f>
        <v>0.73098</v>
      </c>
      <c r="W2195" s="61" t="n">
        <f aca="false">Resumo!$B$9</f>
        <v>1</v>
      </c>
      <c r="X2195" s="61" t="n">
        <f aca="false">Resumo!$B$10*CEILING(G2195/100,1)</f>
        <v>4.5</v>
      </c>
      <c r="Y2195" s="61" t="n">
        <f aca="false">Resumo!$B$12*CEILING(G2195,1)</f>
        <v>2.52</v>
      </c>
      <c r="Z2195" s="61" t="n">
        <f aca="false">Resumo!$B$14*CEILING(G2195,1)</f>
        <v>18.9</v>
      </c>
      <c r="AA2195" s="61" t="n">
        <f aca="false">SUM(T2195:Z2195)</f>
        <v>121.98647</v>
      </c>
      <c r="AB2195" s="61" t="n">
        <f aca="false">AA2195/(1-Resumo!$B$5)</f>
        <v>138.620988636364</v>
      </c>
      <c r="AC2195" s="61" t="n">
        <f aca="false">AB2195-S2195</f>
        <v>37.95615</v>
      </c>
      <c r="AD2195" s="62" t="n">
        <f aca="false">AB2195/S2195-1</f>
        <v>0.377054694709349</v>
      </c>
      <c r="AE2195" s="60" t="str">
        <f aca="false">IF(AB2195&lt;S2195,"SIM","NÃO")</f>
        <v>NÃO</v>
      </c>
      <c r="AF2195" s="60" t="n">
        <v>2</v>
      </c>
      <c r="AG2195" s="60" t="n">
        <v>5</v>
      </c>
      <c r="AH2195" s="60" t="s">
        <v>382</v>
      </c>
      <c r="AI2195" s="61" t="n">
        <f aca="false">(T2195*(1-Painel!$C$40)+U2195+V2195+Painel!$C$41+Painel!$C$42*CEILING(G2195/100,1)+Painel!$C$43*CEILING(G2195,1)+Z2195)/(1-Resumo!$B$5)</f>
        <v>96.5981477272727</v>
      </c>
      <c r="AJ2195" s="60" t="str">
        <f aca="false">IF(AI2195&lt;S2195,"SIM","NÃO")</f>
        <v>SIM</v>
      </c>
    </row>
    <row r="2196" customFormat="false" ht="15" hidden="false" customHeight="false" outlineLevel="0" collapsed="false">
      <c r="A2196" s="59" t="n">
        <v>46294.8552893519</v>
      </c>
      <c r="B2196" s="60" t="s">
        <v>1891</v>
      </c>
      <c r="C2196" s="60" t="n">
        <v>23078001</v>
      </c>
      <c r="D2196" s="60" t="s">
        <v>46</v>
      </c>
      <c r="E2196" s="60" t="s">
        <v>22</v>
      </c>
      <c r="F2196" s="60" t="s">
        <v>237</v>
      </c>
      <c r="G2196" s="60" t="n">
        <v>69.45</v>
      </c>
      <c r="H2196" s="61" t="n">
        <v>746.95</v>
      </c>
      <c r="I2196" s="61" t="n">
        <v>63.21</v>
      </c>
      <c r="J2196" s="61" t="n">
        <f aca="false">H2196*Resumo!$C$6</f>
        <v>0</v>
      </c>
      <c r="K2196" s="61" t="n">
        <f aca="false">H2196*Resumo!$C$7</f>
        <v>1.568595</v>
      </c>
      <c r="L2196" s="61" t="n">
        <f aca="false">H2196*Resumo!$C$8</f>
        <v>1.568595</v>
      </c>
      <c r="M2196" s="61" t="n">
        <f aca="false">Resumo!$C$10*CEILING(G2196/100,1)</f>
        <v>1.05</v>
      </c>
      <c r="N2196" s="61" t="n">
        <f aca="false">Resumo!$C$9</f>
        <v>0</v>
      </c>
      <c r="O2196" s="61" t="n">
        <f aca="false">Resumo!$C$13</f>
        <v>13.55</v>
      </c>
      <c r="P2196" s="61" t="n">
        <f aca="false">Resumo!$C$14*CEILING(G2196,1)</f>
        <v>31.5</v>
      </c>
      <c r="Q2196" s="61" t="n">
        <f aca="false">SUM(I2196:P2196)*Resumo!$C$11</f>
        <v>0</v>
      </c>
      <c r="R2196" s="61" t="n">
        <f aca="false">SUM(I2196:Q2196)</f>
        <v>112.44719</v>
      </c>
      <c r="S2196" s="61" t="n">
        <f aca="false">R2196/(1-Resumo!$C$5)</f>
        <v>127.780897727273</v>
      </c>
      <c r="T2196" s="61" t="n">
        <v>131.02</v>
      </c>
      <c r="U2196" s="61" t="n">
        <f aca="false">H2196*Resumo!$B$6</f>
        <v>0.74695</v>
      </c>
      <c r="V2196" s="61" t="n">
        <f aca="false">H2196*Resumo!$B$7</f>
        <v>1.4939</v>
      </c>
      <c r="W2196" s="61" t="n">
        <f aca="false">Resumo!$B$9</f>
        <v>1</v>
      </c>
      <c r="X2196" s="61" t="n">
        <f aca="false">Resumo!$B$10*CEILING(G2196/100,1)</f>
        <v>4.5</v>
      </c>
      <c r="Y2196" s="61" t="n">
        <f aca="false">Resumo!$B$12*CEILING(G2196,1)</f>
        <v>4.2</v>
      </c>
      <c r="Z2196" s="61" t="n">
        <f aca="false">Resumo!$B$14*CEILING(G2196,1)</f>
        <v>31.5</v>
      </c>
      <c r="AA2196" s="61" t="n">
        <f aca="false">SUM(T2196:Z2196)</f>
        <v>174.46085</v>
      </c>
      <c r="AB2196" s="61" t="n">
        <f aca="false">AA2196/(1-Resumo!$B$5)</f>
        <v>198.250965909091</v>
      </c>
      <c r="AC2196" s="61" t="n">
        <f aca="false">AB2196-S2196</f>
        <v>70.4700681818182</v>
      </c>
      <c r="AD2196" s="62" t="n">
        <f aca="false">AB2196/S2196-1</f>
        <v>0.551491415659209</v>
      </c>
      <c r="AE2196" s="60" t="str">
        <f aca="false">IF(AB2196&lt;S2196,"SIM","NÃO")</f>
        <v>NÃO</v>
      </c>
      <c r="AF2196" s="60" t="n">
        <v>2</v>
      </c>
      <c r="AG2196" s="60" t="n">
        <v>5</v>
      </c>
      <c r="AH2196" s="60" t="s">
        <v>382</v>
      </c>
      <c r="AI2196" s="61" t="n">
        <f aca="false">(T2196*(1-Painel!$C$40)+U2196+V2196+Painel!$C$41+Painel!$C$42*CEILING(G2196/100,1)+Painel!$C$43*CEILING(G2196,1)+Z2196)/(1-Resumo!$B$5)</f>
        <v>140.425284090909</v>
      </c>
      <c r="AJ2196" s="60" t="str">
        <f aca="false">IF(AI2196&lt;S2196,"SIM","NÃO")</f>
        <v>NÃO</v>
      </c>
    </row>
    <row r="2197" customFormat="false" ht="15" hidden="false" customHeight="false" outlineLevel="0" collapsed="false">
      <c r="A2197" s="59" t="n">
        <v>46294.8849189815</v>
      </c>
      <c r="B2197" s="60" t="s">
        <v>2319</v>
      </c>
      <c r="C2197" s="60" t="n">
        <v>21046385</v>
      </c>
      <c r="D2197" s="60" t="s">
        <v>46</v>
      </c>
      <c r="E2197" s="60" t="s">
        <v>22</v>
      </c>
      <c r="F2197" s="60" t="s">
        <v>233</v>
      </c>
      <c r="G2197" s="60" t="n">
        <v>21</v>
      </c>
      <c r="H2197" s="61" t="n">
        <v>379.99</v>
      </c>
      <c r="I2197" s="61" t="n">
        <v>42.11</v>
      </c>
      <c r="J2197" s="61" t="n">
        <f aca="false">H2197*Resumo!$C$6</f>
        <v>0</v>
      </c>
      <c r="K2197" s="61" t="n">
        <f aca="false">H2197*Resumo!$C$7</f>
        <v>0.797979</v>
      </c>
      <c r="L2197" s="61" t="n">
        <f aca="false">H2197*Resumo!$C$8</f>
        <v>0.797979</v>
      </c>
      <c r="M2197" s="61" t="n">
        <f aca="false">Resumo!$C$10*CEILING(G2197/100,1)</f>
        <v>1.05</v>
      </c>
      <c r="N2197" s="61" t="n">
        <f aca="false">Resumo!$C$9</f>
        <v>0</v>
      </c>
      <c r="O2197" s="61" t="n">
        <f aca="false">Resumo!$C$13</f>
        <v>13.55</v>
      </c>
      <c r="P2197" s="61" t="n">
        <f aca="false">Resumo!$C$14*CEILING(G2197,1)</f>
        <v>9.45</v>
      </c>
      <c r="Q2197" s="61" t="n">
        <f aca="false">SUM(I2197:P2197)*Resumo!$C$11</f>
        <v>0</v>
      </c>
      <c r="R2197" s="61" t="n">
        <f aca="false">SUM(I2197:Q2197)</f>
        <v>67.755958</v>
      </c>
      <c r="S2197" s="61" t="n">
        <f aca="false">R2197/(1-Resumo!$C$5)</f>
        <v>76.9954068181818</v>
      </c>
      <c r="T2197" s="61" t="n">
        <v>82.21</v>
      </c>
      <c r="U2197" s="61" t="n">
        <f aca="false">H2197*Resumo!$B$6</f>
        <v>0.37999</v>
      </c>
      <c r="V2197" s="61" t="n">
        <f aca="false">H2197*Resumo!$B$7</f>
        <v>0.75998</v>
      </c>
      <c r="W2197" s="61" t="n">
        <f aca="false">Resumo!$B$9</f>
        <v>1</v>
      </c>
      <c r="X2197" s="61" t="n">
        <f aca="false">Resumo!$B$10*CEILING(G2197/100,1)</f>
        <v>4.5</v>
      </c>
      <c r="Y2197" s="61" t="n">
        <f aca="false">Resumo!$B$12*CEILING(G2197,1)</f>
        <v>1.26</v>
      </c>
      <c r="Z2197" s="61" t="n">
        <f aca="false">Resumo!$B$14*CEILING(G2197,1)</f>
        <v>9.45</v>
      </c>
      <c r="AA2197" s="61" t="n">
        <f aca="false">SUM(T2197:Z2197)</f>
        <v>99.55997</v>
      </c>
      <c r="AB2197" s="61" t="n">
        <f aca="false">AA2197/(1-Resumo!$B$5)</f>
        <v>113.136329545455</v>
      </c>
      <c r="AC2197" s="61" t="n">
        <f aca="false">AB2197-S2197</f>
        <v>36.1409227272727</v>
      </c>
      <c r="AD2197" s="62" t="n">
        <f aca="false">AB2197/S2197-1</f>
        <v>0.46939063277653</v>
      </c>
      <c r="AE2197" s="60" t="str">
        <f aca="false">IF(AB2197&lt;S2197,"SIM","NÃO")</f>
        <v>NÃO</v>
      </c>
      <c r="AF2197" s="60" t="n">
        <v>2</v>
      </c>
      <c r="AG2197" s="60" t="n">
        <v>5</v>
      </c>
      <c r="AH2197" s="60" t="s">
        <v>382</v>
      </c>
      <c r="AI2197" s="61" t="n">
        <f aca="false">(T2197*(1-Painel!$C$40)+U2197+V2197+Painel!$C$41+Painel!$C$42*CEILING(G2197/100,1)+Painel!$C$43*CEILING(G2197,1)+Z2197)/(1-Resumo!$B$5)</f>
        <v>76.9553068181818</v>
      </c>
      <c r="AJ2197" s="60" t="str">
        <f aca="false">IF(AI2197&lt;S2197,"SIM","NÃO")</f>
        <v>SIM</v>
      </c>
    </row>
    <row r="2198" customFormat="false" ht="15" hidden="false" customHeight="false" outlineLevel="0" collapsed="false">
      <c r="A2198" s="59" t="n">
        <v>46294.9183101852</v>
      </c>
      <c r="B2198" s="60" t="s">
        <v>2320</v>
      </c>
      <c r="C2198" s="60" t="n">
        <v>23017000</v>
      </c>
      <c r="D2198" s="60" t="s">
        <v>46</v>
      </c>
      <c r="E2198" s="60" t="s">
        <v>22</v>
      </c>
      <c r="F2198" s="60" t="s">
        <v>240</v>
      </c>
      <c r="G2198" s="60" t="n">
        <v>117</v>
      </c>
      <c r="H2198" s="61" t="n">
        <v>1163.99</v>
      </c>
      <c r="I2198" s="61" t="n">
        <v>92.34</v>
      </c>
      <c r="J2198" s="61" t="n">
        <f aca="false">H2198*Resumo!$C$6</f>
        <v>0</v>
      </c>
      <c r="K2198" s="61" t="n">
        <f aca="false">H2198*Resumo!$C$7</f>
        <v>2.444379</v>
      </c>
      <c r="L2198" s="61" t="n">
        <f aca="false">H2198*Resumo!$C$8</f>
        <v>2.444379</v>
      </c>
      <c r="M2198" s="61" t="n">
        <f aca="false">Resumo!$C$10*CEILING(G2198/100,1)</f>
        <v>2.1</v>
      </c>
      <c r="N2198" s="61" t="n">
        <f aca="false">Resumo!$C$9</f>
        <v>0</v>
      </c>
      <c r="O2198" s="61" t="n">
        <f aca="false">Resumo!$C$13</f>
        <v>13.55</v>
      </c>
      <c r="P2198" s="61" t="n">
        <f aca="false">Resumo!$C$14*CEILING(G2198,1)</f>
        <v>52.65</v>
      </c>
      <c r="Q2198" s="61" t="n">
        <f aca="false">SUM(I2198:P2198)*Resumo!$C$11</f>
        <v>0</v>
      </c>
      <c r="R2198" s="61" t="n">
        <f aca="false">SUM(I2198:Q2198)</f>
        <v>165.528758</v>
      </c>
      <c r="S2198" s="61" t="n">
        <f aca="false">R2198/(1-Resumo!$C$5)</f>
        <v>188.100861363636</v>
      </c>
      <c r="T2198" s="61" t="n">
        <v>201.59</v>
      </c>
      <c r="U2198" s="61" t="n">
        <f aca="false">H2198*Resumo!$B$6</f>
        <v>1.16399</v>
      </c>
      <c r="V2198" s="61" t="n">
        <f aca="false">H2198*Resumo!$B$7</f>
        <v>2.32798</v>
      </c>
      <c r="W2198" s="61" t="n">
        <f aca="false">Resumo!$B$9</f>
        <v>1</v>
      </c>
      <c r="X2198" s="61" t="n">
        <f aca="false">Resumo!$B$10*CEILING(G2198/100,1)</f>
        <v>9</v>
      </c>
      <c r="Y2198" s="61" t="n">
        <f aca="false">Resumo!$B$12*CEILING(G2198,1)</f>
        <v>7.02</v>
      </c>
      <c r="Z2198" s="61" t="n">
        <f aca="false">Resumo!$B$14*CEILING(G2198,1)</f>
        <v>52.65</v>
      </c>
      <c r="AA2198" s="61" t="n">
        <f aca="false">SUM(T2198:Z2198)</f>
        <v>274.75197</v>
      </c>
      <c r="AB2198" s="61" t="n">
        <f aca="false">AA2198/(1-Resumo!$B$5)</f>
        <v>312.218147727273</v>
      </c>
      <c r="AC2198" s="61" t="n">
        <f aca="false">AB2198-S2198</f>
        <v>124.117286363636</v>
      </c>
      <c r="AD2198" s="62" t="n">
        <f aca="false">AB2198/S2198-1</f>
        <v>0.659844327473296</v>
      </c>
      <c r="AE2198" s="60" t="str">
        <f aca="false">IF(AB2198&lt;S2198,"SIM","NÃO")</f>
        <v>NÃO</v>
      </c>
      <c r="AF2198" s="60" t="n">
        <v>2</v>
      </c>
      <c r="AG2198" s="60" t="n">
        <v>5</v>
      </c>
      <c r="AH2198" s="60" t="s">
        <v>382</v>
      </c>
      <c r="AI2198" s="61" t="n">
        <f aca="false">(T2198*(1-Painel!$C$40)+U2198+V2198+Painel!$C$41+Painel!$C$42*CEILING(G2198/100,1)+Painel!$C$43*CEILING(G2198,1)+Z2198)/(1-Resumo!$B$5)</f>
        <v>220.803715909091</v>
      </c>
      <c r="AJ2198" s="60" t="str">
        <f aca="false">IF(AI2198&lt;S2198,"SIM","NÃO")</f>
        <v>NÃO</v>
      </c>
    </row>
    <row r="2199" customFormat="false" ht="15" hidden="false" customHeight="false" outlineLevel="0" collapsed="false">
      <c r="A2199" s="59" t="n">
        <v>46294.9272800926</v>
      </c>
      <c r="B2199" s="60" t="s">
        <v>2321</v>
      </c>
      <c r="C2199" s="60" t="n">
        <v>21511000</v>
      </c>
      <c r="D2199" s="60" t="s">
        <v>46</v>
      </c>
      <c r="E2199" s="60" t="s">
        <v>22</v>
      </c>
      <c r="F2199" s="60" t="s">
        <v>233</v>
      </c>
      <c r="G2199" s="60" t="n">
        <v>33</v>
      </c>
      <c r="H2199" s="61" t="n">
        <v>348.23</v>
      </c>
      <c r="I2199" s="61" t="n">
        <v>42.11</v>
      </c>
      <c r="J2199" s="61" t="n">
        <f aca="false">H2199*Resumo!$C$6</f>
        <v>0</v>
      </c>
      <c r="K2199" s="61" t="n">
        <f aca="false">H2199*Resumo!$C$7</f>
        <v>0.731283</v>
      </c>
      <c r="L2199" s="61" t="n">
        <f aca="false">H2199*Resumo!$C$8</f>
        <v>0.731283</v>
      </c>
      <c r="M2199" s="61" t="n">
        <f aca="false">Resumo!$C$10*CEILING(G2199/100,1)</f>
        <v>1.05</v>
      </c>
      <c r="N2199" s="61" t="n">
        <f aca="false">Resumo!$C$9</f>
        <v>0</v>
      </c>
      <c r="O2199" s="61" t="n">
        <f aca="false">Resumo!$C$13</f>
        <v>13.55</v>
      </c>
      <c r="P2199" s="61" t="n">
        <f aca="false">Resumo!$C$14*CEILING(G2199,1)</f>
        <v>14.85</v>
      </c>
      <c r="Q2199" s="61" t="n">
        <f aca="false">SUM(I2199:P2199)*Resumo!$C$11</f>
        <v>0</v>
      </c>
      <c r="R2199" s="61" t="n">
        <f aca="false">SUM(I2199:Q2199)</f>
        <v>73.022566</v>
      </c>
      <c r="S2199" s="61" t="n">
        <f aca="false">R2199/(1-Resumo!$C$5)</f>
        <v>82.9801886363636</v>
      </c>
      <c r="T2199" s="61" t="n">
        <v>82.21</v>
      </c>
      <c r="U2199" s="61" t="n">
        <f aca="false">H2199*Resumo!$B$6</f>
        <v>0.34823</v>
      </c>
      <c r="V2199" s="61" t="n">
        <f aca="false">H2199*Resumo!$B$7</f>
        <v>0.69646</v>
      </c>
      <c r="W2199" s="61" t="n">
        <f aca="false">Resumo!$B$9</f>
        <v>1</v>
      </c>
      <c r="X2199" s="61" t="n">
        <f aca="false">Resumo!$B$10*CEILING(G2199/100,1)</f>
        <v>4.5</v>
      </c>
      <c r="Y2199" s="61" t="n">
        <f aca="false">Resumo!$B$12*CEILING(G2199,1)</f>
        <v>1.98</v>
      </c>
      <c r="Z2199" s="61" t="n">
        <f aca="false">Resumo!$B$14*CEILING(G2199,1)</f>
        <v>14.85</v>
      </c>
      <c r="AA2199" s="61" t="n">
        <f aca="false">SUM(T2199:Z2199)</f>
        <v>105.58469</v>
      </c>
      <c r="AB2199" s="61" t="n">
        <f aca="false">AA2199/(1-Resumo!$B$5)</f>
        <v>119.982602272727</v>
      </c>
      <c r="AC2199" s="61" t="n">
        <f aca="false">AB2199-S2199</f>
        <v>37.0024136363636</v>
      </c>
      <c r="AD2199" s="62" t="n">
        <f aca="false">AB2199/S2199-1</f>
        <v>0.445918649311776</v>
      </c>
      <c r="AE2199" s="60" t="str">
        <f aca="false">IF(AB2199&lt;S2199,"SIM","NÃO")</f>
        <v>NÃO</v>
      </c>
      <c r="AF2199" s="60" t="n">
        <v>2</v>
      </c>
      <c r="AG2199" s="60" t="n">
        <v>5</v>
      </c>
      <c r="AH2199" s="60" t="s">
        <v>382</v>
      </c>
      <c r="AI2199" s="61" t="n">
        <f aca="false">(T2199*(1-Painel!$C$40)+U2199+V2199+Painel!$C$41+Painel!$C$42*CEILING(G2199/100,1)+Painel!$C$43*CEILING(G2199,1)+Z2199)/(1-Resumo!$B$5)</f>
        <v>82.9833977272727</v>
      </c>
      <c r="AJ2199" s="60" t="str">
        <f aca="false">IF(AI2199&lt;S2199,"SIM","NÃO")</f>
        <v>NÃO</v>
      </c>
    </row>
    <row r="2200" customFormat="false" ht="15" hidden="false" customHeight="false" outlineLevel="0" collapsed="false">
      <c r="A2200" s="59" t="n">
        <v>46295.0512847222</v>
      </c>
      <c r="B2200" s="60" t="s">
        <v>2322</v>
      </c>
      <c r="C2200" s="60" t="n">
        <v>21540660</v>
      </c>
      <c r="D2200" s="60" t="s">
        <v>46</v>
      </c>
      <c r="E2200" s="60" t="s">
        <v>22</v>
      </c>
      <c r="F2200" s="60" t="s">
        <v>235</v>
      </c>
      <c r="G2200" s="60" t="n">
        <v>46.8</v>
      </c>
      <c r="H2200" s="61" t="n">
        <v>541.49</v>
      </c>
      <c r="I2200" s="61" t="n">
        <v>53.55</v>
      </c>
      <c r="J2200" s="61" t="n">
        <f aca="false">H2200*Resumo!$C$6</f>
        <v>0</v>
      </c>
      <c r="K2200" s="61" t="n">
        <f aca="false">H2200*Resumo!$C$7</f>
        <v>1.137129</v>
      </c>
      <c r="L2200" s="61" t="n">
        <f aca="false">H2200*Resumo!$C$8</f>
        <v>1.137129</v>
      </c>
      <c r="M2200" s="61" t="n">
        <f aca="false">Resumo!$C$10*CEILING(G2200/100,1)</f>
        <v>1.05</v>
      </c>
      <c r="N2200" s="61" t="n">
        <f aca="false">Resumo!$C$9</f>
        <v>0</v>
      </c>
      <c r="O2200" s="61" t="n">
        <f aca="false">Resumo!$C$13</f>
        <v>13.55</v>
      </c>
      <c r="P2200" s="61" t="n">
        <f aca="false">Resumo!$C$14*CEILING(G2200,1)</f>
        <v>21.15</v>
      </c>
      <c r="Q2200" s="61" t="n">
        <f aca="false">SUM(I2200:P2200)*Resumo!$C$11</f>
        <v>0</v>
      </c>
      <c r="R2200" s="61" t="n">
        <f aca="false">SUM(I2200:Q2200)</f>
        <v>91.574258</v>
      </c>
      <c r="S2200" s="61" t="n">
        <f aca="false">R2200/(1-Resumo!$C$5)</f>
        <v>104.061656818182</v>
      </c>
      <c r="T2200" s="61" t="n">
        <v>93.97</v>
      </c>
      <c r="U2200" s="61" t="n">
        <f aca="false">H2200*Resumo!$B$6</f>
        <v>0.54149</v>
      </c>
      <c r="V2200" s="61" t="n">
        <f aca="false">H2200*Resumo!$B$7</f>
        <v>1.08298</v>
      </c>
      <c r="W2200" s="61" t="n">
        <f aca="false">Resumo!$B$9</f>
        <v>1</v>
      </c>
      <c r="X2200" s="61" t="n">
        <f aca="false">Resumo!$B$10*CEILING(G2200/100,1)</f>
        <v>4.5</v>
      </c>
      <c r="Y2200" s="61" t="n">
        <f aca="false">Resumo!$B$12*CEILING(G2200,1)</f>
        <v>2.82</v>
      </c>
      <c r="Z2200" s="61" t="n">
        <f aca="false">Resumo!$B$14*CEILING(G2200,1)</f>
        <v>21.15</v>
      </c>
      <c r="AA2200" s="61" t="n">
        <f aca="false">SUM(T2200:Z2200)</f>
        <v>125.06447</v>
      </c>
      <c r="AB2200" s="61" t="n">
        <f aca="false">AA2200/(1-Resumo!$B$5)</f>
        <v>142.118715909091</v>
      </c>
      <c r="AC2200" s="61" t="n">
        <f aca="false">AB2200-S2200</f>
        <v>38.0570590909091</v>
      </c>
      <c r="AD2200" s="62" t="n">
        <f aca="false">AB2200/S2200-1</f>
        <v>0.365716444025132</v>
      </c>
      <c r="AE2200" s="60" t="str">
        <f aca="false">IF(AB2200&lt;S2200,"SIM","NÃO")</f>
        <v>NÃO</v>
      </c>
      <c r="AF2200" s="60" t="n">
        <v>2</v>
      </c>
      <c r="AG2200" s="60" t="n">
        <v>5</v>
      </c>
      <c r="AH2200" s="60" t="s">
        <v>382</v>
      </c>
      <c r="AI2200" s="61" t="n">
        <f aca="false">(T2200*(1-Painel!$C$40)+U2200+V2200+Painel!$C$41+Painel!$C$42*CEILING(G2200/100,1)+Painel!$C$43*CEILING(G2200,1)+Z2200)/(1-Resumo!$B$5)</f>
        <v>99.7549659090909</v>
      </c>
      <c r="AJ2200" s="60" t="str">
        <f aca="false">IF(AI2200&lt;S2200,"SIM","NÃO")</f>
        <v>SIM</v>
      </c>
    </row>
    <row r="2201" customFormat="false" ht="15" hidden="false" customHeight="false" outlineLevel="0" collapsed="false">
      <c r="A2201" s="59" t="n">
        <v>46295.309224537</v>
      </c>
      <c r="B2201" s="60" t="s">
        <v>2323</v>
      </c>
      <c r="C2201" s="60" t="n">
        <v>20941150</v>
      </c>
      <c r="D2201" s="60" t="s">
        <v>46</v>
      </c>
      <c r="E2201" s="60" t="s">
        <v>22</v>
      </c>
      <c r="F2201" s="60" t="s">
        <v>233</v>
      </c>
      <c r="G2201" s="60" t="n">
        <v>23.8</v>
      </c>
      <c r="H2201" s="61" t="n">
        <v>1971.99</v>
      </c>
      <c r="I2201" s="61" t="n">
        <v>42.11</v>
      </c>
      <c r="J2201" s="61" t="n">
        <f aca="false">H2201*Resumo!$C$6</f>
        <v>0</v>
      </c>
      <c r="K2201" s="61" t="n">
        <f aca="false">H2201*Resumo!$C$7</f>
        <v>4.141179</v>
      </c>
      <c r="L2201" s="61" t="n">
        <f aca="false">H2201*Resumo!$C$8</f>
        <v>4.141179</v>
      </c>
      <c r="M2201" s="61" t="n">
        <f aca="false">Resumo!$C$10*CEILING(G2201/100,1)</f>
        <v>1.05</v>
      </c>
      <c r="N2201" s="61" t="n">
        <f aca="false">Resumo!$C$9</f>
        <v>0</v>
      </c>
      <c r="O2201" s="61" t="n">
        <f aca="false">Resumo!$C$13</f>
        <v>13.55</v>
      </c>
      <c r="P2201" s="61" t="n">
        <f aca="false">Resumo!$C$14*CEILING(G2201,1)</f>
        <v>10.8</v>
      </c>
      <c r="Q2201" s="61" t="n">
        <f aca="false">SUM(I2201:P2201)*Resumo!$C$11</f>
        <v>0</v>
      </c>
      <c r="R2201" s="61" t="n">
        <f aca="false">SUM(I2201:Q2201)</f>
        <v>75.792358</v>
      </c>
      <c r="S2201" s="61" t="n">
        <f aca="false">R2201/(1-Resumo!$C$5)</f>
        <v>86.1276795454545</v>
      </c>
      <c r="T2201" s="61" t="n">
        <v>82.21</v>
      </c>
      <c r="U2201" s="61" t="n">
        <f aca="false">H2201*Resumo!$B$6</f>
        <v>1.97199</v>
      </c>
      <c r="V2201" s="61" t="n">
        <f aca="false">H2201*Resumo!$B$7</f>
        <v>3.94398</v>
      </c>
      <c r="W2201" s="61" t="n">
        <f aca="false">Resumo!$B$9</f>
        <v>1</v>
      </c>
      <c r="X2201" s="61" t="n">
        <f aca="false">Resumo!$B$10*CEILING(G2201/100,1)</f>
        <v>4.5</v>
      </c>
      <c r="Y2201" s="61" t="n">
        <f aca="false">Resumo!$B$12*CEILING(G2201,1)</f>
        <v>1.44</v>
      </c>
      <c r="Z2201" s="61" t="n">
        <f aca="false">Resumo!$B$14*CEILING(G2201,1)</f>
        <v>10.8</v>
      </c>
      <c r="AA2201" s="61" t="n">
        <f aca="false">SUM(T2201:Z2201)</f>
        <v>105.86597</v>
      </c>
      <c r="AB2201" s="61" t="n">
        <f aca="false">AA2201/(1-Resumo!$B$5)</f>
        <v>120.302238636364</v>
      </c>
      <c r="AC2201" s="61" t="n">
        <f aca="false">AB2201-S2201</f>
        <v>34.1745590909091</v>
      </c>
      <c r="AD2201" s="62" t="n">
        <f aca="false">AB2201/S2201-1</f>
        <v>0.396789502181737</v>
      </c>
      <c r="AE2201" s="60" t="str">
        <f aca="false">IF(AB2201&lt;S2201,"SIM","NÃO")</f>
        <v>NÃO</v>
      </c>
      <c r="AF2201" s="60" t="n">
        <v>2</v>
      </c>
      <c r="AG2201" s="60" t="n">
        <v>5</v>
      </c>
      <c r="AH2201" s="60" t="s">
        <v>382</v>
      </c>
      <c r="AI2201" s="61" t="n">
        <f aca="false">(T2201*(1-Painel!$C$40)+U2201+V2201+Painel!$C$41+Painel!$C$42*CEILING(G2201/100,1)+Painel!$C$43*CEILING(G2201,1)+Z2201)/(1-Resumo!$B$5)</f>
        <v>83.9166704545454</v>
      </c>
      <c r="AJ2201" s="60" t="str">
        <f aca="false">IF(AI2201&lt;S2201,"SIM","NÃO")</f>
        <v>SIM</v>
      </c>
    </row>
    <row r="2202" customFormat="false" ht="15" hidden="false" customHeight="false" outlineLevel="0" collapsed="false">
      <c r="A2202" s="59" t="n">
        <v>46295.3110300926</v>
      </c>
      <c r="B2202" s="60" t="s">
        <v>2324</v>
      </c>
      <c r="C2202" s="60" t="n">
        <v>22743470</v>
      </c>
      <c r="D2202" s="60" t="s">
        <v>46</v>
      </c>
      <c r="E2202" s="60" t="s">
        <v>22</v>
      </c>
      <c r="F2202" s="60" t="s">
        <v>237</v>
      </c>
      <c r="G2202" s="60" t="n">
        <v>69.15</v>
      </c>
      <c r="H2202" s="61" t="n">
        <v>717.6</v>
      </c>
      <c r="I2202" s="61" t="n">
        <v>63.21</v>
      </c>
      <c r="J2202" s="61" t="n">
        <f aca="false">H2202*Resumo!$C$6</f>
        <v>0</v>
      </c>
      <c r="K2202" s="61" t="n">
        <f aca="false">H2202*Resumo!$C$7</f>
        <v>1.50696</v>
      </c>
      <c r="L2202" s="61" t="n">
        <f aca="false">H2202*Resumo!$C$8</f>
        <v>1.50696</v>
      </c>
      <c r="M2202" s="61" t="n">
        <f aca="false">Resumo!$C$10*CEILING(G2202/100,1)</f>
        <v>1.05</v>
      </c>
      <c r="N2202" s="61" t="n">
        <f aca="false">Resumo!$C$9</f>
        <v>0</v>
      </c>
      <c r="O2202" s="61" t="n">
        <f aca="false">Resumo!$C$13</f>
        <v>13.55</v>
      </c>
      <c r="P2202" s="61" t="n">
        <f aca="false">Resumo!$C$14*CEILING(G2202,1)</f>
        <v>31.5</v>
      </c>
      <c r="Q2202" s="61" t="n">
        <f aca="false">SUM(I2202:P2202)*Resumo!$C$11</f>
        <v>0</v>
      </c>
      <c r="R2202" s="61" t="n">
        <f aca="false">SUM(I2202:Q2202)</f>
        <v>112.32392</v>
      </c>
      <c r="S2202" s="61" t="n">
        <f aca="false">R2202/(1-Resumo!$C$5)</f>
        <v>127.640818181818</v>
      </c>
      <c r="T2202" s="61" t="n">
        <v>131.02</v>
      </c>
      <c r="U2202" s="61" t="n">
        <f aca="false">H2202*Resumo!$B$6</f>
        <v>0.7176</v>
      </c>
      <c r="V2202" s="61" t="n">
        <f aca="false">H2202*Resumo!$B$7</f>
        <v>1.4352</v>
      </c>
      <c r="W2202" s="61" t="n">
        <f aca="false">Resumo!$B$9</f>
        <v>1</v>
      </c>
      <c r="X2202" s="61" t="n">
        <f aca="false">Resumo!$B$10*CEILING(G2202/100,1)</f>
        <v>4.5</v>
      </c>
      <c r="Y2202" s="61" t="n">
        <f aca="false">Resumo!$B$12*CEILING(G2202,1)</f>
        <v>4.2</v>
      </c>
      <c r="Z2202" s="61" t="n">
        <f aca="false">Resumo!$B$14*CEILING(G2202,1)</f>
        <v>31.5</v>
      </c>
      <c r="AA2202" s="61" t="n">
        <f aca="false">SUM(T2202:Z2202)</f>
        <v>174.3728</v>
      </c>
      <c r="AB2202" s="61" t="n">
        <f aca="false">AA2202/(1-Resumo!$B$5)</f>
        <v>198.150909090909</v>
      </c>
      <c r="AC2202" s="61" t="n">
        <f aca="false">AB2202-S2202</f>
        <v>70.5100909090909</v>
      </c>
      <c r="AD2202" s="62" t="n">
        <f aca="false">AB2202/S2202-1</f>
        <v>0.55241020790585</v>
      </c>
      <c r="AE2202" s="60" t="str">
        <f aca="false">IF(AB2202&lt;S2202,"SIM","NÃO")</f>
        <v>NÃO</v>
      </c>
      <c r="AF2202" s="60" t="n">
        <v>2</v>
      </c>
      <c r="AG2202" s="60" t="n">
        <v>5</v>
      </c>
      <c r="AH2202" s="60" t="s">
        <v>382</v>
      </c>
      <c r="AI2202" s="61" t="n">
        <f aca="false">(T2202*(1-Painel!$C$40)+U2202+V2202+Painel!$C$41+Painel!$C$42*CEILING(G2202/100,1)+Painel!$C$43*CEILING(G2202,1)+Z2202)/(1-Resumo!$B$5)</f>
        <v>140.325227272727</v>
      </c>
      <c r="AJ2202" s="60" t="str">
        <f aca="false">IF(AI2202&lt;S2202,"SIM","NÃO")</f>
        <v>NÃO</v>
      </c>
    </row>
    <row r="2203" customFormat="false" ht="15" hidden="false" customHeight="false" outlineLevel="0" collapsed="false">
      <c r="A2203" s="59" t="n">
        <v>46295.311400463</v>
      </c>
      <c r="B2203" s="60" t="s">
        <v>2325</v>
      </c>
      <c r="C2203" s="60" t="n">
        <v>22793060</v>
      </c>
      <c r="D2203" s="60" t="s">
        <v>46</v>
      </c>
      <c r="E2203" s="60" t="s">
        <v>22</v>
      </c>
      <c r="F2203" s="60" t="s">
        <v>234</v>
      </c>
      <c r="G2203" s="60" t="n">
        <v>36.8</v>
      </c>
      <c r="H2203" s="61" t="n">
        <v>449.99</v>
      </c>
      <c r="I2203" s="61" t="n">
        <v>48.35</v>
      </c>
      <c r="J2203" s="61" t="n">
        <f aca="false">H2203*Resumo!$C$6</f>
        <v>0</v>
      </c>
      <c r="K2203" s="61" t="n">
        <f aca="false">H2203*Resumo!$C$7</f>
        <v>0.944979</v>
      </c>
      <c r="L2203" s="61" t="n">
        <f aca="false">H2203*Resumo!$C$8</f>
        <v>0.944979</v>
      </c>
      <c r="M2203" s="61" t="n">
        <f aca="false">Resumo!$C$10*CEILING(G2203/100,1)</f>
        <v>1.05</v>
      </c>
      <c r="N2203" s="61" t="n">
        <f aca="false">Resumo!$C$9</f>
        <v>0</v>
      </c>
      <c r="O2203" s="61" t="n">
        <f aca="false">Resumo!$C$13</f>
        <v>13.55</v>
      </c>
      <c r="P2203" s="61" t="n">
        <f aca="false">Resumo!$C$14*CEILING(G2203,1)</f>
        <v>16.65</v>
      </c>
      <c r="Q2203" s="61" t="n">
        <f aca="false">SUM(I2203:P2203)*Resumo!$C$11</f>
        <v>0</v>
      </c>
      <c r="R2203" s="61" t="n">
        <f aca="false">SUM(I2203:Q2203)</f>
        <v>81.489958</v>
      </c>
      <c r="S2203" s="61" t="n">
        <f aca="false">R2203/(1-Resumo!$C$5)</f>
        <v>92.602225</v>
      </c>
      <c r="T2203" s="61" t="n">
        <v>93.97</v>
      </c>
      <c r="U2203" s="61" t="n">
        <f aca="false">H2203*Resumo!$B$6</f>
        <v>0.44999</v>
      </c>
      <c r="V2203" s="61" t="n">
        <f aca="false">H2203*Resumo!$B$7</f>
        <v>0.89998</v>
      </c>
      <c r="W2203" s="61" t="n">
        <f aca="false">Resumo!$B$9</f>
        <v>1</v>
      </c>
      <c r="X2203" s="61" t="n">
        <f aca="false">Resumo!$B$10*CEILING(G2203/100,1)</f>
        <v>4.5</v>
      </c>
      <c r="Y2203" s="61" t="n">
        <f aca="false">Resumo!$B$12*CEILING(G2203,1)</f>
        <v>2.22</v>
      </c>
      <c r="Z2203" s="61" t="n">
        <f aca="false">Resumo!$B$14*CEILING(G2203,1)</f>
        <v>16.65</v>
      </c>
      <c r="AA2203" s="61" t="n">
        <f aca="false">SUM(T2203:Z2203)</f>
        <v>119.68997</v>
      </c>
      <c r="AB2203" s="61" t="n">
        <f aca="false">AA2203/(1-Resumo!$B$5)</f>
        <v>136.011329545455</v>
      </c>
      <c r="AC2203" s="61" t="n">
        <f aca="false">AB2203-S2203</f>
        <v>43.4091045454545</v>
      </c>
      <c r="AD2203" s="62" t="n">
        <f aca="false">AB2203/S2203-1</f>
        <v>0.468769562993271</v>
      </c>
      <c r="AE2203" s="60" t="str">
        <f aca="false">IF(AB2203&lt;S2203,"SIM","NÃO")</f>
        <v>NÃO</v>
      </c>
      <c r="AF2203" s="60" t="n">
        <v>2</v>
      </c>
      <c r="AG2203" s="60" t="n">
        <v>5</v>
      </c>
      <c r="AH2203" s="60" t="s">
        <v>382</v>
      </c>
      <c r="AI2203" s="61" t="n">
        <f aca="false">(T2203*(1-Painel!$C$40)+U2203+V2203+Painel!$C$41+Painel!$C$42*CEILING(G2203/100,1)+Painel!$C$43*CEILING(G2203,1)+Z2203)/(1-Resumo!$B$5)</f>
        <v>94.3293977272727</v>
      </c>
      <c r="AJ2203" s="60" t="str">
        <f aca="false">IF(AI2203&lt;S2203,"SIM","NÃO")</f>
        <v>NÃO</v>
      </c>
    </row>
    <row r="2204" customFormat="false" ht="15" hidden="false" customHeight="false" outlineLevel="0" collapsed="false">
      <c r="A2204" s="59" t="n">
        <v>46295.3174074074</v>
      </c>
      <c r="B2204" s="60" t="s">
        <v>2326</v>
      </c>
      <c r="C2204" s="60" t="n">
        <v>28020889</v>
      </c>
      <c r="D2204" s="60" t="s">
        <v>51</v>
      </c>
      <c r="E2204" s="60" t="s">
        <v>24</v>
      </c>
      <c r="F2204" s="60" t="s">
        <v>237</v>
      </c>
      <c r="G2204" s="60" t="n">
        <v>66.8</v>
      </c>
      <c r="H2204" s="61" t="n">
        <v>719.99</v>
      </c>
      <c r="I2204" s="61" t="n">
        <v>90.2</v>
      </c>
      <c r="J2204" s="61" t="n">
        <f aca="false">H2204*Resumo!$C$6</f>
        <v>0</v>
      </c>
      <c r="K2204" s="61" t="n">
        <f aca="false">H2204*Resumo!$C$7</f>
        <v>1.511979</v>
      </c>
      <c r="L2204" s="61" t="n">
        <f aca="false">H2204*Resumo!$C$8</f>
        <v>1.511979</v>
      </c>
      <c r="M2204" s="61" t="n">
        <f aca="false">Resumo!$C$10*CEILING(G2204/100,1)</f>
        <v>1.05</v>
      </c>
      <c r="N2204" s="61" t="n">
        <f aca="false">Resumo!$C$9</f>
        <v>0</v>
      </c>
      <c r="O2204" s="61" t="n">
        <f aca="false">Resumo!$C$13</f>
        <v>13.55</v>
      </c>
      <c r="P2204" s="61" t="n">
        <f aca="false">Resumo!$C$14*CEILING(G2204,1)</f>
        <v>30.15</v>
      </c>
      <c r="Q2204" s="61" t="n">
        <f aca="false">SUM(I2204:P2204)*Resumo!$C$11</f>
        <v>0</v>
      </c>
      <c r="R2204" s="61" t="n">
        <f aca="false">SUM(I2204:Q2204)</f>
        <v>137.973958</v>
      </c>
      <c r="S2204" s="61" t="n">
        <f aca="false">R2204/(1-Resumo!$C$5)</f>
        <v>156.788588636364</v>
      </c>
      <c r="T2204" s="61" t="n">
        <v>171.54</v>
      </c>
      <c r="U2204" s="61" t="n">
        <f aca="false">H2204*Resumo!$B$6</f>
        <v>0.71999</v>
      </c>
      <c r="V2204" s="61" t="n">
        <f aca="false">H2204*Resumo!$B$7</f>
        <v>1.43998</v>
      </c>
      <c r="W2204" s="61" t="n">
        <f aca="false">Resumo!$B$9</f>
        <v>1</v>
      </c>
      <c r="X2204" s="61" t="n">
        <f aca="false">Resumo!$B$10*CEILING(G2204/100,1)</f>
        <v>4.5</v>
      </c>
      <c r="Y2204" s="61" t="n">
        <f aca="false">Resumo!$B$12*CEILING(G2204,1)</f>
        <v>4.02</v>
      </c>
      <c r="Z2204" s="61" t="n">
        <f aca="false">Resumo!$B$14*CEILING(G2204,1)</f>
        <v>30.15</v>
      </c>
      <c r="AA2204" s="61" t="n">
        <f aca="false">SUM(T2204:Z2204)</f>
        <v>213.36997</v>
      </c>
      <c r="AB2204" s="61" t="n">
        <f aca="false">AA2204/(1-Resumo!$B$5)</f>
        <v>242.465875</v>
      </c>
      <c r="AC2204" s="61" t="n">
        <f aca="false">AB2204-S2204</f>
        <v>85.6772863636363</v>
      </c>
      <c r="AD2204" s="62" t="n">
        <f aca="false">AB2204/S2204-1</f>
        <v>0.546451033897281</v>
      </c>
      <c r="AE2204" s="60" t="str">
        <f aca="false">IF(AB2204&lt;S2204,"SIM","NÃO")</f>
        <v>NÃO</v>
      </c>
      <c r="AF2204" s="60" t="n">
        <v>13</v>
      </c>
      <c r="AG2204" s="60" t="n">
        <v>11</v>
      </c>
      <c r="AH2204" s="60" t="s">
        <v>382</v>
      </c>
      <c r="AI2204" s="61" t="n">
        <f aca="false">(T2204*(1-Painel!$C$40)+U2204+V2204+Painel!$C$41+Painel!$C$42*CEILING(G2204/100,1)+Painel!$C$43*CEILING(G2204,1)+Z2204)/(1-Resumo!$B$5)</f>
        <v>169.649738636364</v>
      </c>
      <c r="AJ2204" s="60" t="str">
        <f aca="false">IF(AI2204&lt;S2204,"SIM","NÃO")</f>
        <v>NÃO</v>
      </c>
    </row>
    <row r="2205" customFormat="false" ht="15" hidden="false" customHeight="false" outlineLevel="0" collapsed="false">
      <c r="A2205" s="59" t="n">
        <v>46295.3723032407</v>
      </c>
      <c r="B2205" s="60" t="s">
        <v>2327</v>
      </c>
      <c r="C2205" s="60" t="n">
        <v>25060210</v>
      </c>
      <c r="D2205" s="60" t="s">
        <v>48</v>
      </c>
      <c r="E2205" s="60" t="s">
        <v>23</v>
      </c>
      <c r="F2205" s="60" t="s">
        <v>235</v>
      </c>
      <c r="G2205" s="60" t="n">
        <v>41.4</v>
      </c>
      <c r="H2205" s="61" t="n">
        <v>499.99</v>
      </c>
      <c r="I2205" s="61" t="n">
        <v>65.36</v>
      </c>
      <c r="J2205" s="61" t="n">
        <f aca="false">H2205*Resumo!$C$6</f>
        <v>0</v>
      </c>
      <c r="K2205" s="61" t="n">
        <f aca="false">H2205*Resumo!$C$7</f>
        <v>1.049979</v>
      </c>
      <c r="L2205" s="61" t="n">
        <f aca="false">H2205*Resumo!$C$8</f>
        <v>1.049979</v>
      </c>
      <c r="M2205" s="61" t="n">
        <f aca="false">Resumo!$C$10*CEILING(G2205/100,1)</f>
        <v>1.05</v>
      </c>
      <c r="N2205" s="61" t="n">
        <f aca="false">Resumo!$C$9</f>
        <v>0</v>
      </c>
      <c r="O2205" s="61" t="n">
        <f aca="false">Resumo!$C$13</f>
        <v>13.55</v>
      </c>
      <c r="P2205" s="61" t="n">
        <f aca="false">Resumo!$C$14*CEILING(G2205,1)</f>
        <v>18.9</v>
      </c>
      <c r="Q2205" s="61" t="n">
        <f aca="false">SUM(I2205:P2205)*Resumo!$C$11</f>
        <v>0</v>
      </c>
      <c r="R2205" s="61" t="n">
        <f aca="false">SUM(I2205:Q2205)</f>
        <v>100.959958</v>
      </c>
      <c r="S2205" s="61" t="n">
        <f aca="false">R2205/(1-Resumo!$C$5)</f>
        <v>114.727225</v>
      </c>
      <c r="T2205" s="61" t="n">
        <v>93.97</v>
      </c>
      <c r="U2205" s="61" t="n">
        <f aca="false">H2205*Resumo!$B$6</f>
        <v>0.49999</v>
      </c>
      <c r="V2205" s="61" t="n">
        <f aca="false">H2205*Resumo!$B$7</f>
        <v>0.99998</v>
      </c>
      <c r="W2205" s="61" t="n">
        <f aca="false">Resumo!$B$9</f>
        <v>1</v>
      </c>
      <c r="X2205" s="61" t="n">
        <f aca="false">Resumo!$B$10*CEILING(G2205/100,1)</f>
        <v>4.5</v>
      </c>
      <c r="Y2205" s="61" t="n">
        <f aca="false">Resumo!$B$12*CEILING(G2205,1)</f>
        <v>2.52</v>
      </c>
      <c r="Z2205" s="61" t="n">
        <f aca="false">Resumo!$B$14*CEILING(G2205,1)</f>
        <v>18.9</v>
      </c>
      <c r="AA2205" s="61" t="n">
        <f aca="false">SUM(T2205:Z2205)</f>
        <v>122.38997</v>
      </c>
      <c r="AB2205" s="61" t="n">
        <f aca="false">AA2205/(1-Resumo!$B$5)</f>
        <v>139.079511363636</v>
      </c>
      <c r="AC2205" s="61" t="n">
        <f aca="false">AB2205-S2205</f>
        <v>24.3522863636364</v>
      </c>
      <c r="AD2205" s="62" t="n">
        <f aca="false">AB2205/S2205-1</f>
        <v>0.212262489253413</v>
      </c>
      <c r="AE2205" s="60" t="str">
        <f aca="false">IF(AB2205&lt;S2205,"SIM","NÃO")</f>
        <v>NÃO</v>
      </c>
      <c r="AF2205" s="60" t="n">
        <v>2</v>
      </c>
      <c r="AG2205" s="60" t="n">
        <v>5</v>
      </c>
      <c r="AH2205" s="60" t="s">
        <v>382</v>
      </c>
      <c r="AI2205" s="61" t="n">
        <f aca="false">(T2205*(1-Painel!$C$40)+U2205+V2205+Painel!$C$41+Painel!$C$42*CEILING(G2205/100,1)+Painel!$C$43*CEILING(G2205,1)+Z2205)/(1-Resumo!$B$5)</f>
        <v>97.0566704545454</v>
      </c>
      <c r="AJ2205" s="60" t="str">
        <f aca="false">IF(AI2205&lt;S2205,"SIM","NÃO")</f>
        <v>SIM</v>
      </c>
    </row>
    <row r="2206" customFormat="false" ht="15" hidden="false" customHeight="false" outlineLevel="0" collapsed="false">
      <c r="A2206" s="59" t="n">
        <v>46295.3983101852</v>
      </c>
      <c r="B2206" s="60" t="s">
        <v>2328</v>
      </c>
      <c r="C2206" s="60" t="n">
        <v>26313400</v>
      </c>
      <c r="D2206" s="60" t="s">
        <v>282</v>
      </c>
      <c r="E2206" s="60" t="s">
        <v>23</v>
      </c>
      <c r="F2206" s="60" t="s">
        <v>235</v>
      </c>
      <c r="G2206" s="60" t="n">
        <v>46.8</v>
      </c>
      <c r="H2206" s="61" t="n">
        <v>539.99</v>
      </c>
      <c r="I2206" s="61" t="n">
        <v>65.36</v>
      </c>
      <c r="J2206" s="61" t="n">
        <f aca="false">H2206*Resumo!$C$6</f>
        <v>0</v>
      </c>
      <c r="K2206" s="61" t="n">
        <f aca="false">H2206*Resumo!$C$7</f>
        <v>1.133979</v>
      </c>
      <c r="L2206" s="61" t="n">
        <f aca="false">H2206*Resumo!$C$8</f>
        <v>1.133979</v>
      </c>
      <c r="M2206" s="61" t="n">
        <f aca="false">Resumo!$C$10*CEILING(G2206/100,1)</f>
        <v>1.05</v>
      </c>
      <c r="N2206" s="61" t="n">
        <f aca="false">Resumo!$C$9</f>
        <v>0</v>
      </c>
      <c r="O2206" s="61" t="n">
        <f aca="false">Resumo!$C$13</f>
        <v>13.55</v>
      </c>
      <c r="P2206" s="61" t="n">
        <f aca="false">Resumo!$C$14*CEILING(G2206,1)</f>
        <v>21.15</v>
      </c>
      <c r="Q2206" s="61" t="n">
        <f aca="false">SUM(I2206:P2206)*Resumo!$C$11</f>
        <v>0</v>
      </c>
      <c r="R2206" s="61" t="n">
        <f aca="false">SUM(I2206:Q2206)</f>
        <v>103.377958</v>
      </c>
      <c r="S2206" s="61" t="n">
        <f aca="false">R2206/(1-Resumo!$C$5)</f>
        <v>117.474952272727</v>
      </c>
      <c r="T2206" s="61" t="n">
        <v>93.97</v>
      </c>
      <c r="U2206" s="61" t="n">
        <f aca="false">H2206*Resumo!$B$6</f>
        <v>0.53999</v>
      </c>
      <c r="V2206" s="61" t="n">
        <f aca="false">H2206*Resumo!$B$7</f>
        <v>1.07998</v>
      </c>
      <c r="W2206" s="61" t="n">
        <f aca="false">Resumo!$B$9</f>
        <v>1</v>
      </c>
      <c r="X2206" s="61" t="n">
        <f aca="false">Resumo!$B$10*CEILING(G2206/100,1)</f>
        <v>4.5</v>
      </c>
      <c r="Y2206" s="61" t="n">
        <f aca="false">Resumo!$B$12*CEILING(G2206,1)</f>
        <v>2.82</v>
      </c>
      <c r="Z2206" s="61" t="n">
        <f aca="false">Resumo!$B$14*CEILING(G2206,1)</f>
        <v>21.15</v>
      </c>
      <c r="AA2206" s="61" t="n">
        <f aca="false">SUM(T2206:Z2206)</f>
        <v>125.05997</v>
      </c>
      <c r="AB2206" s="61" t="n">
        <f aca="false">AA2206/(1-Resumo!$B$5)</f>
        <v>142.113602272727</v>
      </c>
      <c r="AC2206" s="61" t="n">
        <f aca="false">AB2206-S2206</f>
        <v>24.63865</v>
      </c>
      <c r="AD2206" s="62" t="n">
        <f aca="false">AB2206/S2206-1</f>
        <v>0.209735348032315</v>
      </c>
      <c r="AE2206" s="60" t="str">
        <f aca="false">IF(AB2206&lt;S2206,"SIM","NÃO")</f>
        <v>NÃO</v>
      </c>
      <c r="AF2206" s="60" t="n">
        <v>2</v>
      </c>
      <c r="AG2206" s="60" t="n">
        <v>5</v>
      </c>
      <c r="AH2206" s="60" t="s">
        <v>385</v>
      </c>
      <c r="AI2206" s="61" t="n">
        <f aca="false">(T2206*(1-Painel!$C$40)+U2206+V2206+Painel!$C$41+Painel!$C$42*CEILING(G2206/100,1)+Painel!$C$43*CEILING(G2206,1)+Z2206)/(1-Resumo!$B$5)</f>
        <v>99.7498522727273</v>
      </c>
      <c r="AJ2206" s="60" t="str">
        <f aca="false">IF(AI2206&lt;S2206,"SIM","NÃO")</f>
        <v>SIM</v>
      </c>
    </row>
    <row r="2207" customFormat="false" ht="15" hidden="false" customHeight="false" outlineLevel="0" collapsed="false">
      <c r="A2207" s="59" t="n">
        <v>46295.4149189815</v>
      </c>
      <c r="B2207" s="60" t="s">
        <v>2329</v>
      </c>
      <c r="C2207" s="60" t="n">
        <v>22060030</v>
      </c>
      <c r="D2207" s="60" t="s">
        <v>46</v>
      </c>
      <c r="E2207" s="60" t="s">
        <v>22</v>
      </c>
      <c r="F2207" s="60" t="s">
        <v>233</v>
      </c>
      <c r="G2207" s="60" t="n">
        <v>31</v>
      </c>
      <c r="H2207" s="61" t="n">
        <v>323.94</v>
      </c>
      <c r="I2207" s="61" t="n">
        <v>42.11</v>
      </c>
      <c r="J2207" s="61" t="n">
        <f aca="false">H2207*Resumo!$C$6</f>
        <v>0</v>
      </c>
      <c r="K2207" s="61" t="n">
        <f aca="false">H2207*Resumo!$C$7</f>
        <v>0.680274</v>
      </c>
      <c r="L2207" s="61" t="n">
        <f aca="false">H2207*Resumo!$C$8</f>
        <v>0.680274</v>
      </c>
      <c r="M2207" s="61" t="n">
        <f aca="false">Resumo!$C$10*CEILING(G2207/100,1)</f>
        <v>1.05</v>
      </c>
      <c r="N2207" s="61" t="n">
        <f aca="false">Resumo!$C$9</f>
        <v>0</v>
      </c>
      <c r="O2207" s="61" t="n">
        <f aca="false">Resumo!$C$13</f>
        <v>13.55</v>
      </c>
      <c r="P2207" s="61" t="n">
        <f aca="false">Resumo!$C$14*CEILING(G2207,1)</f>
        <v>13.95</v>
      </c>
      <c r="Q2207" s="61" t="n">
        <f aca="false">SUM(I2207:P2207)*Resumo!$C$11</f>
        <v>0</v>
      </c>
      <c r="R2207" s="61" t="n">
        <f aca="false">SUM(I2207:Q2207)</f>
        <v>72.020548</v>
      </c>
      <c r="S2207" s="61" t="n">
        <f aca="false">R2207/(1-Resumo!$C$5)</f>
        <v>81.8415318181818</v>
      </c>
      <c r="T2207" s="61" t="n">
        <v>82.21</v>
      </c>
      <c r="U2207" s="61" t="n">
        <f aca="false">H2207*Resumo!$B$6</f>
        <v>0.32394</v>
      </c>
      <c r="V2207" s="61" t="n">
        <f aca="false">H2207*Resumo!$B$7</f>
        <v>0.64788</v>
      </c>
      <c r="W2207" s="61" t="n">
        <f aca="false">Resumo!$B$9</f>
        <v>1</v>
      </c>
      <c r="X2207" s="61" t="n">
        <f aca="false">Resumo!$B$10*CEILING(G2207/100,1)</f>
        <v>4.5</v>
      </c>
      <c r="Y2207" s="61" t="n">
        <f aca="false">Resumo!$B$12*CEILING(G2207,1)</f>
        <v>1.86</v>
      </c>
      <c r="Z2207" s="61" t="n">
        <f aca="false">Resumo!$B$14*CEILING(G2207,1)</f>
        <v>13.95</v>
      </c>
      <c r="AA2207" s="61" t="n">
        <f aca="false">SUM(T2207:Z2207)</f>
        <v>104.49182</v>
      </c>
      <c r="AB2207" s="61" t="n">
        <f aca="false">AA2207/(1-Resumo!$B$5)</f>
        <v>118.740704545455</v>
      </c>
      <c r="AC2207" s="61" t="n">
        <f aca="false">AB2207-S2207</f>
        <v>36.8991727272727</v>
      </c>
      <c r="AD2207" s="62" t="n">
        <f aca="false">AB2207/S2207-1</f>
        <v>0.45086121810681</v>
      </c>
      <c r="AE2207" s="60" t="str">
        <f aca="false">IF(AB2207&lt;S2207,"SIM","NÃO")</f>
        <v>NÃO</v>
      </c>
      <c r="AF2207" s="60" t="n">
        <v>2</v>
      </c>
      <c r="AG2207" s="60" t="n">
        <v>5</v>
      </c>
      <c r="AH2207" s="60" t="s">
        <v>382</v>
      </c>
      <c r="AI2207" s="61" t="n">
        <f aca="false">(T2207*(1-Painel!$C$40)+U2207+V2207+Painel!$C$41+Painel!$C$42*CEILING(G2207/100,1)+Painel!$C$43*CEILING(G2207,1)+Z2207)/(1-Resumo!$B$5)</f>
        <v>81.8778636363636</v>
      </c>
      <c r="AJ2207" s="60" t="str">
        <f aca="false">IF(AI2207&lt;S2207,"SIM","NÃO")</f>
        <v>NÃO</v>
      </c>
    </row>
    <row r="2208" customFormat="false" ht="15" hidden="false" customHeight="false" outlineLevel="0" collapsed="false">
      <c r="A2208" s="59" t="n">
        <v>46295.4878472222</v>
      </c>
      <c r="B2208" s="60" t="s">
        <v>2330</v>
      </c>
      <c r="C2208" s="60" t="n">
        <v>21235620</v>
      </c>
      <c r="D2208" s="60" t="s">
        <v>46</v>
      </c>
      <c r="E2208" s="60" t="s">
        <v>22</v>
      </c>
      <c r="F2208" s="60" t="s">
        <v>235</v>
      </c>
      <c r="G2208" s="60" t="n">
        <v>48.3</v>
      </c>
      <c r="H2208" s="61" t="n">
        <v>449.99</v>
      </c>
      <c r="I2208" s="61" t="n">
        <v>53.55</v>
      </c>
      <c r="J2208" s="61" t="n">
        <f aca="false">H2208*Resumo!$C$6</f>
        <v>0</v>
      </c>
      <c r="K2208" s="61" t="n">
        <f aca="false">H2208*Resumo!$C$7</f>
        <v>0.944979</v>
      </c>
      <c r="L2208" s="61" t="n">
        <f aca="false">H2208*Resumo!$C$8</f>
        <v>0.944979</v>
      </c>
      <c r="M2208" s="61" t="n">
        <f aca="false">Resumo!$C$10*CEILING(G2208/100,1)</f>
        <v>1.05</v>
      </c>
      <c r="N2208" s="61" t="n">
        <f aca="false">Resumo!$C$9</f>
        <v>0</v>
      </c>
      <c r="O2208" s="61" t="n">
        <f aca="false">Resumo!$C$13</f>
        <v>13.55</v>
      </c>
      <c r="P2208" s="61" t="n">
        <f aca="false">Resumo!$C$14*CEILING(G2208,1)</f>
        <v>22.05</v>
      </c>
      <c r="Q2208" s="61" t="n">
        <f aca="false">SUM(I2208:P2208)*Resumo!$C$11</f>
        <v>0</v>
      </c>
      <c r="R2208" s="61" t="n">
        <f aca="false">SUM(I2208:Q2208)</f>
        <v>92.089958</v>
      </c>
      <c r="S2208" s="61" t="n">
        <f aca="false">R2208/(1-Resumo!$C$5)</f>
        <v>104.647679545455</v>
      </c>
      <c r="T2208" s="61" t="n">
        <v>93.97</v>
      </c>
      <c r="U2208" s="61" t="n">
        <f aca="false">H2208*Resumo!$B$6</f>
        <v>0.44999</v>
      </c>
      <c r="V2208" s="61" t="n">
        <f aca="false">H2208*Resumo!$B$7</f>
        <v>0.89998</v>
      </c>
      <c r="W2208" s="61" t="n">
        <f aca="false">Resumo!$B$9</f>
        <v>1</v>
      </c>
      <c r="X2208" s="61" t="n">
        <f aca="false">Resumo!$B$10*CEILING(G2208/100,1)</f>
        <v>4.5</v>
      </c>
      <c r="Y2208" s="61" t="n">
        <f aca="false">Resumo!$B$12*CEILING(G2208,1)</f>
        <v>2.94</v>
      </c>
      <c r="Z2208" s="61" t="n">
        <f aca="false">Resumo!$B$14*CEILING(G2208,1)</f>
        <v>22.05</v>
      </c>
      <c r="AA2208" s="61" t="n">
        <f aca="false">SUM(T2208:Z2208)</f>
        <v>125.80997</v>
      </c>
      <c r="AB2208" s="61" t="n">
        <f aca="false">AA2208/(1-Resumo!$B$5)</f>
        <v>142.965875</v>
      </c>
      <c r="AC2208" s="61" t="n">
        <f aca="false">AB2208-S2208</f>
        <v>38.3181954545454</v>
      </c>
      <c r="AD2208" s="62" t="n">
        <f aca="false">AB2208/S2208-1</f>
        <v>0.366163832977315</v>
      </c>
      <c r="AE2208" s="60" t="str">
        <f aca="false">IF(AB2208&lt;S2208,"SIM","NÃO")</f>
        <v>NÃO</v>
      </c>
      <c r="AF2208" s="60" t="n">
        <v>2</v>
      </c>
      <c r="AG2208" s="60" t="n">
        <v>5</v>
      </c>
      <c r="AH2208" s="60" t="s">
        <v>382</v>
      </c>
      <c r="AI2208" s="61" t="n">
        <f aca="false">(T2208*(1-Painel!$C$40)+U2208+V2208+Painel!$C$41+Painel!$C$42*CEILING(G2208/100,1)+Painel!$C$43*CEILING(G2208,1)+Z2208)/(1-Resumo!$B$5)</f>
        <v>100.465761363636</v>
      </c>
      <c r="AJ2208" s="60" t="str">
        <f aca="false">IF(AI2208&lt;S2208,"SIM","NÃO")</f>
        <v>SIM</v>
      </c>
    </row>
    <row r="2209" customFormat="false" ht="15" hidden="false" customHeight="false" outlineLevel="0" collapsed="false">
      <c r="A2209" s="59" t="n">
        <v>46295.4897916667</v>
      </c>
      <c r="B2209" s="60" t="s">
        <v>2331</v>
      </c>
      <c r="C2209" s="60" t="n">
        <v>26383493</v>
      </c>
      <c r="D2209" s="60" t="s">
        <v>282</v>
      </c>
      <c r="E2209" s="60" t="s">
        <v>23</v>
      </c>
      <c r="F2209" s="60" t="s">
        <v>235</v>
      </c>
      <c r="G2209" s="60" t="n">
        <v>49.6</v>
      </c>
      <c r="H2209" s="61" t="n">
        <v>759.99</v>
      </c>
      <c r="I2209" s="61" t="n">
        <v>65.36</v>
      </c>
      <c r="J2209" s="61" t="n">
        <f aca="false">H2209*Resumo!$C$6</f>
        <v>0</v>
      </c>
      <c r="K2209" s="61" t="n">
        <f aca="false">H2209*Resumo!$C$7</f>
        <v>1.595979</v>
      </c>
      <c r="L2209" s="61" t="n">
        <f aca="false">H2209*Resumo!$C$8</f>
        <v>1.595979</v>
      </c>
      <c r="M2209" s="61" t="n">
        <f aca="false">Resumo!$C$10*CEILING(G2209/100,1)</f>
        <v>1.05</v>
      </c>
      <c r="N2209" s="61" t="n">
        <f aca="false">Resumo!$C$9</f>
        <v>0</v>
      </c>
      <c r="O2209" s="61" t="n">
        <f aca="false">Resumo!$C$13</f>
        <v>13.55</v>
      </c>
      <c r="P2209" s="61" t="n">
        <f aca="false">Resumo!$C$14*CEILING(G2209,1)</f>
        <v>22.5</v>
      </c>
      <c r="Q2209" s="61" t="n">
        <f aca="false">SUM(I2209:P2209)*Resumo!$C$11</f>
        <v>0</v>
      </c>
      <c r="R2209" s="61" t="n">
        <f aca="false">SUM(I2209:Q2209)</f>
        <v>105.651958</v>
      </c>
      <c r="S2209" s="61" t="n">
        <f aca="false">R2209/(1-Resumo!$C$5)</f>
        <v>120.059043181818</v>
      </c>
      <c r="T2209" s="61" t="n">
        <v>93.97</v>
      </c>
      <c r="U2209" s="61" t="n">
        <f aca="false">H2209*Resumo!$B$6</f>
        <v>0.75999</v>
      </c>
      <c r="V2209" s="61" t="n">
        <f aca="false">H2209*Resumo!$B$7</f>
        <v>1.51998</v>
      </c>
      <c r="W2209" s="61" t="n">
        <f aca="false">Resumo!$B$9</f>
        <v>1</v>
      </c>
      <c r="X2209" s="61" t="n">
        <f aca="false">Resumo!$B$10*CEILING(G2209/100,1)</f>
        <v>4.5</v>
      </c>
      <c r="Y2209" s="61" t="n">
        <f aca="false">Resumo!$B$12*CEILING(G2209,1)</f>
        <v>3</v>
      </c>
      <c r="Z2209" s="61" t="n">
        <f aca="false">Resumo!$B$14*CEILING(G2209,1)</f>
        <v>22.5</v>
      </c>
      <c r="AA2209" s="61" t="n">
        <f aca="false">SUM(T2209:Z2209)</f>
        <v>127.24997</v>
      </c>
      <c r="AB2209" s="61" t="n">
        <f aca="false">AA2209/(1-Resumo!$B$5)</f>
        <v>144.602238636364</v>
      </c>
      <c r="AC2209" s="61" t="n">
        <f aca="false">AB2209-S2209</f>
        <v>24.5431954545455</v>
      </c>
      <c r="AD2209" s="62" t="n">
        <f aca="false">AB2209/S2209-1</f>
        <v>0.204426045752981</v>
      </c>
      <c r="AE2209" s="60" t="str">
        <f aca="false">IF(AB2209&lt;S2209,"SIM","NÃO")</f>
        <v>NÃO</v>
      </c>
      <c r="AF2209" s="60" t="n">
        <v>2</v>
      </c>
      <c r="AG2209" s="60" t="n">
        <v>5</v>
      </c>
      <c r="AH2209" s="60" t="s">
        <v>385</v>
      </c>
      <c r="AI2209" s="61" t="n">
        <f aca="false">(T2209*(1-Painel!$C$40)+U2209+V2209+Painel!$C$41+Painel!$C$42*CEILING(G2209/100,1)+Painel!$C$43*CEILING(G2209,1)+Z2209)/(1-Resumo!$B$5)</f>
        <v>102.033943181818</v>
      </c>
      <c r="AJ2209" s="60" t="str">
        <f aca="false">IF(AI2209&lt;S2209,"SIM","NÃO")</f>
        <v>SIM</v>
      </c>
    </row>
    <row r="2210" customFormat="false" ht="15" hidden="false" customHeight="false" outlineLevel="0" collapsed="false">
      <c r="A2210" s="59" t="n">
        <v>46295.4906712963</v>
      </c>
      <c r="B2210" s="60" t="s">
        <v>2332</v>
      </c>
      <c r="C2210" s="60" t="n">
        <v>28909010</v>
      </c>
      <c r="D2210" s="60" t="s">
        <v>221</v>
      </c>
      <c r="E2210" s="60" t="s">
        <v>24</v>
      </c>
      <c r="F2210" s="60" t="s">
        <v>234</v>
      </c>
      <c r="G2210" s="60" t="n">
        <v>37.2</v>
      </c>
      <c r="H2210" s="61" t="n">
        <v>378.99</v>
      </c>
      <c r="I2210" s="61" t="n">
        <v>74.97</v>
      </c>
      <c r="J2210" s="61" t="n">
        <f aca="false">H2210*Resumo!$C$6</f>
        <v>0</v>
      </c>
      <c r="K2210" s="61" t="n">
        <f aca="false">H2210*Resumo!$C$7</f>
        <v>0.795879</v>
      </c>
      <c r="L2210" s="61" t="n">
        <f aca="false">H2210*Resumo!$C$8</f>
        <v>0.795879</v>
      </c>
      <c r="M2210" s="61" t="n">
        <f aca="false">Resumo!$C$10*CEILING(G2210/100,1)</f>
        <v>1.05</v>
      </c>
      <c r="N2210" s="61" t="n">
        <f aca="false">Resumo!$C$9</f>
        <v>0</v>
      </c>
      <c r="O2210" s="61" t="n">
        <f aca="false">Resumo!$C$13</f>
        <v>13.55</v>
      </c>
      <c r="P2210" s="61" t="n">
        <f aca="false">Resumo!$C$14*CEILING(G2210,1)</f>
        <v>17.1</v>
      </c>
      <c r="Q2210" s="61" t="n">
        <f aca="false">SUM(I2210:P2210)*Resumo!$C$11</f>
        <v>0</v>
      </c>
      <c r="R2210" s="61" t="n">
        <f aca="false">SUM(I2210:Q2210)</f>
        <v>108.261758</v>
      </c>
      <c r="S2210" s="61" t="n">
        <f aca="false">R2210/(1-Resumo!$C$5)</f>
        <v>123.024725</v>
      </c>
      <c r="T2210" s="61" t="n">
        <v>124.38</v>
      </c>
      <c r="U2210" s="61" t="n">
        <f aca="false">H2210*Resumo!$B$6</f>
        <v>0.37899</v>
      </c>
      <c r="V2210" s="61" t="n">
        <f aca="false">H2210*Resumo!$B$7</f>
        <v>0.75798</v>
      </c>
      <c r="W2210" s="61" t="n">
        <f aca="false">Resumo!$B$9</f>
        <v>1</v>
      </c>
      <c r="X2210" s="61" t="n">
        <f aca="false">Resumo!$B$10*CEILING(G2210/100,1)</f>
        <v>4.5</v>
      </c>
      <c r="Y2210" s="61" t="n">
        <f aca="false">Resumo!$B$12*CEILING(G2210,1)</f>
        <v>2.28</v>
      </c>
      <c r="Z2210" s="61" t="n">
        <f aca="false">Resumo!$B$14*CEILING(G2210,1)</f>
        <v>17.1</v>
      </c>
      <c r="AA2210" s="61" t="n">
        <f aca="false">SUM(T2210:Z2210)</f>
        <v>150.39697</v>
      </c>
      <c r="AB2210" s="61" t="n">
        <f aca="false">AA2210/(1-Resumo!$B$5)</f>
        <v>170.905647727273</v>
      </c>
      <c r="AC2210" s="61" t="n">
        <f aca="false">AB2210-S2210</f>
        <v>47.8809227272727</v>
      </c>
      <c r="AD2210" s="62" t="n">
        <f aca="false">AB2210/S2210-1</f>
        <v>0.389197559492799</v>
      </c>
      <c r="AE2210" s="60" t="str">
        <f aca="false">IF(AB2210&lt;S2210,"SIM","NÃO")</f>
        <v>NÃO</v>
      </c>
      <c r="AF2210" s="60" t="n">
        <v>13</v>
      </c>
      <c r="AG2210" s="60" t="n">
        <v>10</v>
      </c>
      <c r="AH2210" s="60" t="s">
        <v>382</v>
      </c>
      <c r="AI2210" s="61" t="n">
        <f aca="false">(T2210*(1-Painel!$C$40)+U2210+V2210+Painel!$C$41+Painel!$C$42*CEILING(G2210/100,1)+Painel!$C$43*CEILING(G2210,1)+Z2210)/(1-Resumo!$B$5)</f>
        <v>117.751784090909</v>
      </c>
      <c r="AJ2210" s="60" t="str">
        <f aca="false">IF(AI2210&lt;S2210,"SIM","NÃO")</f>
        <v>SIM</v>
      </c>
    </row>
    <row r="2211" customFormat="false" ht="15" hidden="false" customHeight="false" outlineLevel="0" collapsed="false">
      <c r="A2211" s="59" t="n">
        <v>46295.5240162037</v>
      </c>
      <c r="B2211" s="60" t="s">
        <v>2333</v>
      </c>
      <c r="C2211" s="60" t="n">
        <v>27971221</v>
      </c>
      <c r="D2211" s="60" t="s">
        <v>53</v>
      </c>
      <c r="E2211" s="60" t="s">
        <v>24</v>
      </c>
      <c r="F2211" s="60" t="s">
        <v>243</v>
      </c>
      <c r="G2211" s="60" t="n">
        <v>188.4</v>
      </c>
      <c r="H2211" s="61" t="n">
        <v>1994</v>
      </c>
      <c r="I2211" s="61" t="n">
        <v>66.69</v>
      </c>
      <c r="J2211" s="61" t="n">
        <f aca="false">H2211*Resumo!$C$6</f>
        <v>0</v>
      </c>
      <c r="K2211" s="61" t="n">
        <f aca="false">H2211*Resumo!$C$7</f>
        <v>4.1874</v>
      </c>
      <c r="L2211" s="61" t="n">
        <f aca="false">H2211*Resumo!$C$8</f>
        <v>4.1874</v>
      </c>
      <c r="M2211" s="61" t="n">
        <f aca="false">Resumo!$C$10*CEILING(G2211/100,1)</f>
        <v>2.1</v>
      </c>
      <c r="N2211" s="61" t="n">
        <f aca="false">Resumo!$C$9</f>
        <v>0</v>
      </c>
      <c r="O2211" s="61" t="n">
        <f aca="false">Resumo!$C$13</f>
        <v>13.55</v>
      </c>
      <c r="P2211" s="61" t="n">
        <f aca="false">Resumo!$C$14*CEILING(G2211,1)</f>
        <v>85.05</v>
      </c>
      <c r="Q2211" s="61" t="n">
        <f aca="false">SUM(I2211:P2211)*Resumo!$C$11</f>
        <v>0</v>
      </c>
      <c r="R2211" s="61" t="n">
        <f aca="false">SUM(I2211:Q2211)</f>
        <v>175.7648</v>
      </c>
      <c r="S2211" s="61" t="n">
        <f aca="false">R2211/(1-Resumo!$C$5)</f>
        <v>199.732727272727</v>
      </c>
      <c r="T2211" s="61" t="n">
        <v>353.17</v>
      </c>
      <c r="U2211" s="61" t="n">
        <f aca="false">H2211*Resumo!$B$6</f>
        <v>1.994</v>
      </c>
      <c r="V2211" s="61" t="n">
        <f aca="false">H2211*Resumo!$B$7</f>
        <v>3.988</v>
      </c>
      <c r="W2211" s="61" t="n">
        <f aca="false">Resumo!$B$9</f>
        <v>1</v>
      </c>
      <c r="X2211" s="61" t="n">
        <f aca="false">Resumo!$B$10*CEILING(G2211/100,1)</f>
        <v>9</v>
      </c>
      <c r="Y2211" s="61" t="n">
        <f aca="false">Resumo!$B$12*CEILING(G2211,1)</f>
        <v>11.34</v>
      </c>
      <c r="Z2211" s="61" t="n">
        <f aca="false">Resumo!$B$14*CEILING(G2211,1)</f>
        <v>85.05</v>
      </c>
      <c r="AA2211" s="61" t="n">
        <f aca="false">SUM(T2211:Z2211)</f>
        <v>465.542</v>
      </c>
      <c r="AB2211" s="61" t="n">
        <f aca="false">AA2211/(1-Resumo!$B$5)</f>
        <v>529.025</v>
      </c>
      <c r="AC2211" s="61" t="n">
        <f aca="false">AB2211-S2211</f>
        <v>329.292272727273</v>
      </c>
      <c r="AD2211" s="62" t="n">
        <f aca="false">AB2211/S2211-1</f>
        <v>1.64866457902834</v>
      </c>
      <c r="AE2211" s="60" t="str">
        <f aca="false">IF(AB2211&lt;S2211,"SIM","NÃO")</f>
        <v>NÃO</v>
      </c>
      <c r="AF2211" s="60" t="n">
        <v>13</v>
      </c>
      <c r="AG2211" s="60" t="n">
        <v>11</v>
      </c>
      <c r="AH2211" s="60" t="s">
        <v>382</v>
      </c>
      <c r="AI2211" s="61" t="n">
        <f aca="false">(T2211*(1-Painel!$C$40)+U2211+V2211+Painel!$C$41+Painel!$C$42*CEILING(G2211/100,1)+Painel!$C$43*CEILING(G2211,1)+Z2211)/(1-Resumo!$B$5)</f>
        <v>375.858977272727</v>
      </c>
      <c r="AJ2211" s="60" t="str">
        <f aca="false">IF(AI2211&lt;S2211,"SIM","NÃO")</f>
        <v>NÃO</v>
      </c>
    </row>
    <row r="2212" customFormat="false" ht="15" hidden="false" customHeight="false" outlineLevel="0" collapsed="false">
      <c r="A2212" s="59" t="n">
        <v>46295.5491898148</v>
      </c>
      <c r="B2212" s="60" t="s">
        <v>2334</v>
      </c>
      <c r="C2212" s="60" t="n">
        <v>24457600</v>
      </c>
      <c r="D2212" s="60" t="s">
        <v>47</v>
      </c>
      <c r="E2212" s="60" t="s">
        <v>23</v>
      </c>
      <c r="F2212" s="60" t="s">
        <v>235</v>
      </c>
      <c r="G2212" s="60" t="n">
        <v>48.3</v>
      </c>
      <c r="H2212" s="61" t="n">
        <v>450.99</v>
      </c>
      <c r="I2212" s="61" t="n">
        <v>65.36</v>
      </c>
      <c r="J2212" s="61" t="n">
        <f aca="false">H2212*Resumo!$C$6</f>
        <v>0</v>
      </c>
      <c r="K2212" s="61" t="n">
        <f aca="false">H2212*Resumo!$C$7</f>
        <v>0.947079</v>
      </c>
      <c r="L2212" s="61" t="n">
        <f aca="false">H2212*Resumo!$C$8</f>
        <v>0.947079</v>
      </c>
      <c r="M2212" s="61" t="n">
        <f aca="false">Resumo!$C$10*CEILING(G2212/100,1)</f>
        <v>1.05</v>
      </c>
      <c r="N2212" s="61" t="n">
        <f aca="false">Resumo!$C$9</f>
        <v>0</v>
      </c>
      <c r="O2212" s="61" t="n">
        <f aca="false">Resumo!$C$13</f>
        <v>13.55</v>
      </c>
      <c r="P2212" s="61" t="n">
        <f aca="false">Resumo!$C$14*CEILING(G2212,1)</f>
        <v>22.05</v>
      </c>
      <c r="Q2212" s="61" t="n">
        <f aca="false">SUM(I2212:P2212)*Resumo!$C$11</f>
        <v>0</v>
      </c>
      <c r="R2212" s="61" t="n">
        <f aca="false">SUM(I2212:Q2212)</f>
        <v>103.904158</v>
      </c>
      <c r="S2212" s="61" t="n">
        <f aca="false">R2212/(1-Resumo!$C$5)</f>
        <v>118.072906818182</v>
      </c>
      <c r="T2212" s="61" t="n">
        <v>114.95</v>
      </c>
      <c r="U2212" s="61" t="n">
        <f aca="false">H2212*Resumo!$B$6</f>
        <v>0.45099</v>
      </c>
      <c r="V2212" s="61" t="n">
        <f aca="false">H2212*Resumo!$B$7</f>
        <v>0.90198</v>
      </c>
      <c r="W2212" s="61" t="n">
        <f aca="false">Resumo!$B$9</f>
        <v>1</v>
      </c>
      <c r="X2212" s="61" t="n">
        <f aca="false">Resumo!$B$10*CEILING(G2212/100,1)</f>
        <v>4.5</v>
      </c>
      <c r="Y2212" s="61" t="n">
        <f aca="false">Resumo!$B$12*CEILING(G2212,1)</f>
        <v>2.94</v>
      </c>
      <c r="Z2212" s="61" t="n">
        <f aca="false">Resumo!$B$14*CEILING(G2212,1)</f>
        <v>22.05</v>
      </c>
      <c r="AA2212" s="61" t="n">
        <f aca="false">SUM(T2212:Z2212)</f>
        <v>146.79297</v>
      </c>
      <c r="AB2212" s="61" t="n">
        <f aca="false">AA2212/(1-Resumo!$B$5)</f>
        <v>166.810193181818</v>
      </c>
      <c r="AC2212" s="61" t="n">
        <f aca="false">AB2212-S2212</f>
        <v>48.7372863636364</v>
      </c>
      <c r="AD2212" s="62" t="n">
        <f aca="false">AB2212/S2212-1</f>
        <v>0.412772817041643</v>
      </c>
      <c r="AE2212" s="60" t="str">
        <f aca="false">IF(AB2212&lt;S2212,"SIM","NÃO")</f>
        <v>NÃO</v>
      </c>
      <c r="AF2212" s="60" t="n">
        <v>2</v>
      </c>
      <c r="AG2212" s="60" t="n">
        <v>7</v>
      </c>
      <c r="AH2212" s="60" t="s">
        <v>382</v>
      </c>
      <c r="AI2212" s="61" t="n">
        <f aca="false">(T2212*(1-Painel!$C$40)+U2212+V2212+Painel!$C$41+Painel!$C$42*CEILING(G2212/100,1)+Painel!$C$43*CEILING(G2212,1)+Z2212)/(1-Resumo!$B$5)</f>
        <v>116.442579545455</v>
      </c>
      <c r="AJ2212" s="60" t="str">
        <f aca="false">IF(AI2212&lt;S2212,"SIM","NÃO")</f>
        <v>SIM</v>
      </c>
    </row>
    <row r="2213" customFormat="false" ht="15" hidden="false" customHeight="false" outlineLevel="0" collapsed="false">
      <c r="A2213" s="59" t="n">
        <v>46295.6031134259</v>
      </c>
      <c r="B2213" s="60" t="s">
        <v>2335</v>
      </c>
      <c r="C2213" s="60" t="n">
        <v>27998000</v>
      </c>
      <c r="D2213" s="60" t="s">
        <v>303</v>
      </c>
      <c r="E2213" s="60" t="s">
        <v>24</v>
      </c>
      <c r="F2213" s="60" t="s">
        <v>233</v>
      </c>
      <c r="G2213" s="60" t="n">
        <v>31.9</v>
      </c>
      <c r="H2213" s="61" t="n">
        <v>483.99</v>
      </c>
      <c r="I2213" s="61" t="n">
        <v>65.63</v>
      </c>
      <c r="J2213" s="61" t="n">
        <f aca="false">H2213*Resumo!$C$6</f>
        <v>0</v>
      </c>
      <c r="K2213" s="61" t="n">
        <f aca="false">H2213*Resumo!$C$7</f>
        <v>1.016379</v>
      </c>
      <c r="L2213" s="61" t="n">
        <f aca="false">H2213*Resumo!$C$8</f>
        <v>1.016379</v>
      </c>
      <c r="M2213" s="61" t="n">
        <f aca="false">Resumo!$C$10*CEILING(G2213/100,1)</f>
        <v>1.05</v>
      </c>
      <c r="N2213" s="61" t="n">
        <f aca="false">Resumo!$C$9</f>
        <v>0</v>
      </c>
      <c r="O2213" s="61" t="n">
        <f aca="false">Resumo!$C$13</f>
        <v>13.55</v>
      </c>
      <c r="P2213" s="61" t="n">
        <f aca="false">Resumo!$C$14*CEILING(G2213,1)</f>
        <v>14.4</v>
      </c>
      <c r="Q2213" s="61" t="n">
        <f aca="false">SUM(I2213:P2213)*Resumo!$C$11</f>
        <v>0</v>
      </c>
      <c r="R2213" s="61" t="n">
        <f aca="false">SUM(I2213:Q2213)</f>
        <v>96.662758</v>
      </c>
      <c r="S2213" s="61" t="n">
        <f aca="false">R2213/(1-Resumo!$C$5)</f>
        <v>109.844043181818</v>
      </c>
      <c r="T2213" s="61" t="n">
        <v>138.29</v>
      </c>
      <c r="U2213" s="61" t="n">
        <f aca="false">H2213*Resumo!$B$6</f>
        <v>0.48399</v>
      </c>
      <c r="V2213" s="61" t="n">
        <f aca="false">H2213*Resumo!$B$7</f>
        <v>0.96798</v>
      </c>
      <c r="W2213" s="61" t="n">
        <f aca="false">Resumo!$B$9</f>
        <v>1</v>
      </c>
      <c r="X2213" s="61" t="n">
        <f aca="false">Resumo!$B$10*CEILING(G2213/100,1)</f>
        <v>4.5</v>
      </c>
      <c r="Y2213" s="61" t="n">
        <f aca="false">Resumo!$B$12*CEILING(G2213,1)</f>
        <v>1.92</v>
      </c>
      <c r="Z2213" s="61" t="n">
        <f aca="false">Resumo!$B$14*CEILING(G2213,1)</f>
        <v>14.4</v>
      </c>
      <c r="AA2213" s="61" t="n">
        <f aca="false">SUM(T2213:Z2213)</f>
        <v>161.56197</v>
      </c>
      <c r="AB2213" s="61" t="n">
        <f aca="false">AA2213/(1-Resumo!$B$5)</f>
        <v>183.593147727273</v>
      </c>
      <c r="AC2213" s="61" t="n">
        <f aca="false">AB2213-S2213</f>
        <v>73.7491045454546</v>
      </c>
      <c r="AD2213" s="62" t="n">
        <f aca="false">AB2213/S2213-1</f>
        <v>0.671398306263929</v>
      </c>
      <c r="AE2213" s="60" t="str">
        <f aca="false">IF(AB2213&lt;S2213,"SIM","NÃO")</f>
        <v>NÃO</v>
      </c>
      <c r="AF2213" s="60" t="n">
        <v>13</v>
      </c>
      <c r="AG2213" s="60" t="n">
        <v>11</v>
      </c>
      <c r="AH2213" s="60" t="s">
        <v>385</v>
      </c>
      <c r="AI2213" s="61" t="n">
        <f aca="false">(T2213*(1-Painel!$C$40)+U2213+V2213+Painel!$C$41+Painel!$C$42*CEILING(G2213/100,1)+Painel!$C$43*CEILING(G2213,1)+Z2213)/(1-Resumo!$B$5)</f>
        <v>125.632125</v>
      </c>
      <c r="AJ2213" s="60" t="str">
        <f aca="false">IF(AI2213&lt;S2213,"SIM","NÃO")</f>
        <v>NÃO</v>
      </c>
    </row>
    <row r="2214" customFormat="false" ht="15" hidden="false" customHeight="false" outlineLevel="0" collapsed="false">
      <c r="A2214" s="59" t="n">
        <v>46295.6584953704</v>
      </c>
      <c r="B2214" s="60" t="s">
        <v>2336</v>
      </c>
      <c r="C2214" s="60" t="n">
        <v>28686645</v>
      </c>
      <c r="D2214" s="60" t="s">
        <v>329</v>
      </c>
      <c r="E2214" s="60" t="s">
        <v>24</v>
      </c>
      <c r="F2214" s="60" t="s">
        <v>233</v>
      </c>
      <c r="G2214" s="60" t="n">
        <v>27.5</v>
      </c>
      <c r="H2214" s="61" t="n">
        <v>399.99</v>
      </c>
      <c r="I2214" s="61" t="n">
        <v>65.63</v>
      </c>
      <c r="J2214" s="61" t="n">
        <f aca="false">H2214*Resumo!$C$6</f>
        <v>0</v>
      </c>
      <c r="K2214" s="61" t="n">
        <f aca="false">H2214*Resumo!$C$7</f>
        <v>0.839979</v>
      </c>
      <c r="L2214" s="61" t="n">
        <f aca="false">H2214*Resumo!$C$8</f>
        <v>0.839979</v>
      </c>
      <c r="M2214" s="61" t="n">
        <f aca="false">Resumo!$C$10*CEILING(G2214/100,1)</f>
        <v>1.05</v>
      </c>
      <c r="N2214" s="61" t="n">
        <f aca="false">Resumo!$C$9</f>
        <v>0</v>
      </c>
      <c r="O2214" s="61" t="n">
        <f aca="false">Resumo!$C$13</f>
        <v>13.55</v>
      </c>
      <c r="P2214" s="61" t="n">
        <f aca="false">Resumo!$C$14*CEILING(G2214,1)</f>
        <v>12.6</v>
      </c>
      <c r="Q2214" s="61" t="n">
        <f aca="false">SUM(I2214:P2214)*Resumo!$C$11</f>
        <v>0</v>
      </c>
      <c r="R2214" s="61" t="n">
        <f aca="false">SUM(I2214:Q2214)</f>
        <v>94.509958</v>
      </c>
      <c r="S2214" s="61" t="n">
        <f aca="false">R2214/(1-Resumo!$C$5)</f>
        <v>107.397679545455</v>
      </c>
      <c r="T2214" s="61" t="n">
        <v>120.78</v>
      </c>
      <c r="U2214" s="61" t="n">
        <f aca="false">H2214*Resumo!$B$6</f>
        <v>0.39999</v>
      </c>
      <c r="V2214" s="61" t="n">
        <f aca="false">H2214*Resumo!$B$7</f>
        <v>0.79998</v>
      </c>
      <c r="W2214" s="61" t="n">
        <f aca="false">Resumo!$B$9</f>
        <v>1</v>
      </c>
      <c r="X2214" s="61" t="n">
        <f aca="false">Resumo!$B$10*CEILING(G2214/100,1)</f>
        <v>4.5</v>
      </c>
      <c r="Y2214" s="61" t="n">
        <f aca="false">Resumo!$B$12*CEILING(G2214,1)</f>
        <v>1.68</v>
      </c>
      <c r="Z2214" s="61" t="n">
        <f aca="false">Resumo!$B$14*CEILING(G2214,1)</f>
        <v>12.6</v>
      </c>
      <c r="AA2214" s="61" t="n">
        <f aca="false">SUM(T2214:Z2214)</f>
        <v>141.75997</v>
      </c>
      <c r="AB2214" s="61" t="n">
        <f aca="false">AA2214/(1-Resumo!$B$5)</f>
        <v>161.090875</v>
      </c>
      <c r="AC2214" s="61" t="n">
        <f aca="false">AB2214-S2214</f>
        <v>53.6931954545455</v>
      </c>
      <c r="AD2214" s="62" t="n">
        <f aca="false">AB2214/S2214-1</f>
        <v>0.49994744469149</v>
      </c>
      <c r="AE2214" s="60" t="str">
        <f aca="false">IF(AB2214&lt;S2214,"SIM","NÃO")</f>
        <v>NÃO</v>
      </c>
      <c r="AF2214" s="60" t="n">
        <v>13</v>
      </c>
      <c r="AG2214" s="60" t="n">
        <v>10</v>
      </c>
      <c r="AH2214" s="60" t="s">
        <v>385</v>
      </c>
      <c r="AI2214" s="61" t="n">
        <f aca="false">(T2214*(1-Painel!$C$40)+U2214+V2214+Painel!$C$41+Painel!$C$42*CEILING(G2214/100,1)+Painel!$C$43*CEILING(G2214,1)+Z2214)/(1-Resumo!$B$5)</f>
        <v>109.968829545455</v>
      </c>
      <c r="AJ2214" s="60" t="str">
        <f aca="false">IF(AI2214&lt;S2214,"SIM","NÃO")</f>
        <v>NÃO</v>
      </c>
    </row>
    <row r="2215" customFormat="false" ht="15" hidden="false" customHeight="false" outlineLevel="0" collapsed="false">
      <c r="A2215" s="59" t="n">
        <v>46295.6761226852</v>
      </c>
      <c r="B2215" s="60" t="s">
        <v>2337</v>
      </c>
      <c r="C2215" s="60" t="n">
        <v>24467610</v>
      </c>
      <c r="D2215" s="60" t="s">
        <v>47</v>
      </c>
      <c r="E2215" s="60" t="s">
        <v>23</v>
      </c>
      <c r="F2215" s="60" t="s">
        <v>234</v>
      </c>
      <c r="G2215" s="60" t="n">
        <v>37.2</v>
      </c>
      <c r="H2215" s="61" t="n">
        <v>360.99</v>
      </c>
      <c r="I2215" s="61" t="n">
        <v>66.83</v>
      </c>
      <c r="J2215" s="61" t="n">
        <f aca="false">H2215*Resumo!$C$6</f>
        <v>0</v>
      </c>
      <c r="K2215" s="61" t="n">
        <f aca="false">H2215*Resumo!$C$7</f>
        <v>0.758079</v>
      </c>
      <c r="L2215" s="61" t="n">
        <f aca="false">H2215*Resumo!$C$8</f>
        <v>0.758079</v>
      </c>
      <c r="M2215" s="61" t="n">
        <f aca="false">Resumo!$C$10*CEILING(G2215/100,1)</f>
        <v>1.05</v>
      </c>
      <c r="N2215" s="61" t="n">
        <f aca="false">Resumo!$C$9</f>
        <v>0</v>
      </c>
      <c r="O2215" s="61" t="n">
        <f aca="false">Resumo!$C$13</f>
        <v>13.55</v>
      </c>
      <c r="P2215" s="61" t="n">
        <f aca="false">Resumo!$C$14*CEILING(G2215,1)</f>
        <v>17.1</v>
      </c>
      <c r="Q2215" s="61" t="n">
        <f aca="false">SUM(I2215:P2215)*Resumo!$C$11</f>
        <v>0</v>
      </c>
      <c r="R2215" s="61" t="n">
        <f aca="false">SUM(I2215:Q2215)</f>
        <v>100.046158</v>
      </c>
      <c r="S2215" s="61" t="n">
        <f aca="false">R2215/(1-Resumo!$C$5)</f>
        <v>113.688815909091</v>
      </c>
      <c r="T2215" s="61" t="n">
        <v>114.95</v>
      </c>
      <c r="U2215" s="61" t="n">
        <f aca="false">H2215*Resumo!$B$6</f>
        <v>0.36099</v>
      </c>
      <c r="V2215" s="61" t="n">
        <f aca="false">H2215*Resumo!$B$7</f>
        <v>0.72198</v>
      </c>
      <c r="W2215" s="61" t="n">
        <f aca="false">Resumo!$B$9</f>
        <v>1</v>
      </c>
      <c r="X2215" s="61" t="n">
        <f aca="false">Resumo!$B$10*CEILING(G2215/100,1)</f>
        <v>4.5</v>
      </c>
      <c r="Y2215" s="61" t="n">
        <f aca="false">Resumo!$B$12*CEILING(G2215,1)</f>
        <v>2.28</v>
      </c>
      <c r="Z2215" s="61" t="n">
        <f aca="false">Resumo!$B$14*CEILING(G2215,1)</f>
        <v>17.1</v>
      </c>
      <c r="AA2215" s="61" t="n">
        <f aca="false">SUM(T2215:Z2215)</f>
        <v>140.91297</v>
      </c>
      <c r="AB2215" s="61" t="n">
        <f aca="false">AA2215/(1-Resumo!$B$5)</f>
        <v>160.128375</v>
      </c>
      <c r="AC2215" s="61" t="n">
        <f aca="false">AB2215-S2215</f>
        <v>46.4395590909091</v>
      </c>
      <c r="AD2215" s="62" t="n">
        <f aca="false">AB2215/S2215-1</f>
        <v>0.408479573998234</v>
      </c>
      <c r="AE2215" s="60" t="str">
        <f aca="false">IF(AB2215&lt;S2215,"SIM","NÃO")</f>
        <v>NÃO</v>
      </c>
      <c r="AF2215" s="60" t="n">
        <v>2</v>
      </c>
      <c r="AG2215" s="60" t="n">
        <v>7</v>
      </c>
      <c r="AH2215" s="60" t="s">
        <v>382</v>
      </c>
      <c r="AI2215" s="61" t="n">
        <f aca="false">(T2215*(1-Painel!$C$40)+U2215+V2215+Painel!$C$41+Painel!$C$42*CEILING(G2215/100,1)+Painel!$C$43*CEILING(G2215,1)+Z2215)/(1-Resumo!$B$5)</f>
        <v>110.510761363636</v>
      </c>
      <c r="AJ2215" s="60" t="str">
        <f aca="false">IF(AI2215&lt;S2215,"SIM","NÃO")</f>
        <v>SIM</v>
      </c>
    </row>
    <row r="2216" customFormat="false" ht="15" hidden="false" customHeight="false" outlineLevel="0" collapsed="false">
      <c r="A2216" s="59" t="n">
        <v>46295.6982986111</v>
      </c>
      <c r="B2216" s="60" t="s">
        <v>2338</v>
      </c>
      <c r="C2216" s="60" t="n">
        <v>21555490</v>
      </c>
      <c r="D2216" s="60" t="s">
        <v>46</v>
      </c>
      <c r="E2216" s="60" t="s">
        <v>22</v>
      </c>
      <c r="F2216" s="60" t="s">
        <v>237</v>
      </c>
      <c r="G2216" s="60" t="n">
        <v>63</v>
      </c>
      <c r="H2216" s="61" t="n">
        <v>848.38</v>
      </c>
      <c r="I2216" s="61" t="n">
        <v>63.21</v>
      </c>
      <c r="J2216" s="61" t="n">
        <f aca="false">H2216*Resumo!$C$6</f>
        <v>0</v>
      </c>
      <c r="K2216" s="61" t="n">
        <f aca="false">H2216*Resumo!$C$7</f>
        <v>1.781598</v>
      </c>
      <c r="L2216" s="61" t="n">
        <f aca="false">H2216*Resumo!$C$8</f>
        <v>1.781598</v>
      </c>
      <c r="M2216" s="61" t="n">
        <f aca="false">Resumo!$C$10*CEILING(G2216/100,1)</f>
        <v>1.05</v>
      </c>
      <c r="N2216" s="61" t="n">
        <f aca="false">Resumo!$C$9</f>
        <v>0</v>
      </c>
      <c r="O2216" s="61" t="n">
        <f aca="false">Resumo!$C$13</f>
        <v>13.55</v>
      </c>
      <c r="P2216" s="61" t="n">
        <f aca="false">Resumo!$C$14*CEILING(G2216,1)</f>
        <v>28.35</v>
      </c>
      <c r="Q2216" s="61" t="n">
        <f aca="false">SUM(I2216:P2216)*Resumo!$C$11</f>
        <v>0</v>
      </c>
      <c r="R2216" s="61" t="n">
        <f aca="false">SUM(I2216:Q2216)</f>
        <v>109.723196</v>
      </c>
      <c r="S2216" s="61" t="n">
        <f aca="false">R2216/(1-Resumo!$C$5)</f>
        <v>124.68545</v>
      </c>
      <c r="T2216" s="61" t="n">
        <v>131.02</v>
      </c>
      <c r="U2216" s="61" t="n">
        <f aca="false">H2216*Resumo!$B$6</f>
        <v>0.84838</v>
      </c>
      <c r="V2216" s="61" t="n">
        <f aca="false">H2216*Resumo!$B$7</f>
        <v>1.69676</v>
      </c>
      <c r="W2216" s="61" t="n">
        <f aca="false">Resumo!$B$9</f>
        <v>1</v>
      </c>
      <c r="X2216" s="61" t="n">
        <f aca="false">Resumo!$B$10*CEILING(G2216/100,1)</f>
        <v>4.5</v>
      </c>
      <c r="Y2216" s="61" t="n">
        <f aca="false">Resumo!$B$12*CEILING(G2216,1)</f>
        <v>3.78</v>
      </c>
      <c r="Z2216" s="61" t="n">
        <f aca="false">Resumo!$B$14*CEILING(G2216,1)</f>
        <v>28.35</v>
      </c>
      <c r="AA2216" s="61" t="n">
        <f aca="false">SUM(T2216:Z2216)</f>
        <v>171.19514</v>
      </c>
      <c r="AB2216" s="61" t="n">
        <f aca="false">AA2216/(1-Resumo!$B$5)</f>
        <v>194.539931818182</v>
      </c>
      <c r="AC2216" s="61" t="n">
        <f aca="false">AB2216-S2216</f>
        <v>69.8544818181818</v>
      </c>
      <c r="AD2216" s="62" t="n">
        <f aca="false">AB2216/S2216-1</f>
        <v>0.560245656716015</v>
      </c>
      <c r="AE2216" s="60" t="str">
        <f aca="false">IF(AB2216&lt;S2216,"SIM","NÃO")</f>
        <v>NÃO</v>
      </c>
      <c r="AF2216" s="60" t="n">
        <v>2</v>
      </c>
      <c r="AG2216" s="60" t="n">
        <v>5</v>
      </c>
      <c r="AH2216" s="60" t="s">
        <v>382</v>
      </c>
      <c r="AI2216" s="61" t="n">
        <f aca="false">(T2216*(1-Painel!$C$40)+U2216+V2216+Painel!$C$41+Painel!$C$42*CEILING(G2216/100,1)+Painel!$C$43*CEILING(G2216,1)+Z2216)/(1-Resumo!$B$5)</f>
        <v>137.191522727273</v>
      </c>
      <c r="AJ2216" s="60" t="str">
        <f aca="false">IF(AI2216&lt;S2216,"SIM","NÃO")</f>
        <v>NÃO</v>
      </c>
    </row>
    <row r="2217" customFormat="false" ht="15" hidden="false" customHeight="false" outlineLevel="0" collapsed="false">
      <c r="A2217" s="59" t="n">
        <v>46295.7563657407</v>
      </c>
      <c r="B2217" s="60" t="s">
        <v>2339</v>
      </c>
      <c r="C2217" s="60" t="n">
        <v>24936380</v>
      </c>
      <c r="D2217" s="60" t="s">
        <v>220</v>
      </c>
      <c r="E2217" s="60" t="s">
        <v>24</v>
      </c>
      <c r="F2217" s="60" t="s">
        <v>233</v>
      </c>
      <c r="G2217" s="60" t="n">
        <v>24.4</v>
      </c>
      <c r="H2217" s="61" t="n">
        <v>349.99</v>
      </c>
      <c r="I2217" s="61" t="n">
        <v>65.63</v>
      </c>
      <c r="J2217" s="61" t="n">
        <f aca="false">H2217*Resumo!$C$6</f>
        <v>0</v>
      </c>
      <c r="K2217" s="61" t="n">
        <f aca="false">H2217*Resumo!$C$7</f>
        <v>0.734979</v>
      </c>
      <c r="L2217" s="61" t="n">
        <f aca="false">H2217*Resumo!$C$8</f>
        <v>0.734979</v>
      </c>
      <c r="M2217" s="61" t="n">
        <f aca="false">Resumo!$C$10*CEILING(G2217/100,1)</f>
        <v>1.05</v>
      </c>
      <c r="N2217" s="61" t="n">
        <f aca="false">Resumo!$C$9</f>
        <v>0</v>
      </c>
      <c r="O2217" s="61" t="n">
        <f aca="false">Resumo!$C$13</f>
        <v>13.55</v>
      </c>
      <c r="P2217" s="61" t="n">
        <f aca="false">Resumo!$C$14*CEILING(G2217,1)</f>
        <v>11.25</v>
      </c>
      <c r="Q2217" s="61" t="n">
        <f aca="false">SUM(I2217:P2217)*Resumo!$C$11</f>
        <v>0</v>
      </c>
      <c r="R2217" s="61" t="n">
        <f aca="false">SUM(I2217:Q2217)</f>
        <v>92.949958</v>
      </c>
      <c r="S2217" s="61" t="n">
        <f aca="false">R2217/(1-Resumo!$C$5)</f>
        <v>105.624952272727</v>
      </c>
      <c r="T2217" s="61" t="n">
        <v>100.58</v>
      </c>
      <c r="U2217" s="61" t="n">
        <f aca="false">H2217*Resumo!$B$6</f>
        <v>0.34999</v>
      </c>
      <c r="V2217" s="61" t="n">
        <f aca="false">H2217*Resumo!$B$7</f>
        <v>0.69998</v>
      </c>
      <c r="W2217" s="61" t="n">
        <f aca="false">Resumo!$B$9</f>
        <v>1</v>
      </c>
      <c r="X2217" s="61" t="n">
        <f aca="false">Resumo!$B$10*CEILING(G2217/100,1)</f>
        <v>4.5</v>
      </c>
      <c r="Y2217" s="61" t="n">
        <f aca="false">Resumo!$B$12*CEILING(G2217,1)</f>
        <v>1.5</v>
      </c>
      <c r="Z2217" s="61" t="n">
        <f aca="false">Resumo!$B$14*CEILING(G2217,1)</f>
        <v>11.25</v>
      </c>
      <c r="AA2217" s="61" t="n">
        <f aca="false">SUM(T2217:Z2217)</f>
        <v>119.87997</v>
      </c>
      <c r="AB2217" s="61" t="n">
        <f aca="false">AA2217/(1-Resumo!$B$5)</f>
        <v>136.227238636364</v>
      </c>
      <c r="AC2217" s="61" t="n">
        <f aca="false">AB2217-S2217</f>
        <v>30.6022863636364</v>
      </c>
      <c r="AD2217" s="62" t="n">
        <f aca="false">AB2217/S2217-1</f>
        <v>0.289725918972443</v>
      </c>
      <c r="AE2217" s="60" t="str">
        <f aca="false">IF(AB2217&lt;S2217,"SIM","NÃO")</f>
        <v>NÃO</v>
      </c>
      <c r="AF2217" s="60" t="n">
        <v>13</v>
      </c>
      <c r="AG2217" s="60" t="n">
        <v>7</v>
      </c>
      <c r="AH2217" s="60" t="s">
        <v>382</v>
      </c>
      <c r="AI2217" s="61" t="n">
        <f aca="false">(T2217*(1-Painel!$C$40)+U2217+V2217+Painel!$C$41+Painel!$C$42*CEILING(G2217/100,1)+Painel!$C$43*CEILING(G2217,1)+Z2217)/(1-Resumo!$B$5)</f>
        <v>92.8847386363636</v>
      </c>
      <c r="AJ2217" s="60" t="str">
        <f aca="false">IF(AI2217&lt;S2217,"SIM","NÃO")</f>
        <v>SIM</v>
      </c>
    </row>
    <row r="2218" customFormat="false" ht="15" hidden="false" customHeight="false" outlineLevel="0" collapsed="false">
      <c r="A2218" s="59" t="n">
        <v>46295.847349537</v>
      </c>
      <c r="B2218" s="60" t="s">
        <v>2340</v>
      </c>
      <c r="C2218" s="60" t="n">
        <v>23955135</v>
      </c>
      <c r="D2218" s="60" t="s">
        <v>218</v>
      </c>
      <c r="E2218" s="60" t="s">
        <v>24</v>
      </c>
      <c r="F2218" s="60" t="s">
        <v>236</v>
      </c>
      <c r="G2218" s="60" t="n">
        <v>56.7</v>
      </c>
      <c r="H2218" s="61" t="n">
        <v>705.81</v>
      </c>
      <c r="I2218" s="61" t="n">
        <v>83.58</v>
      </c>
      <c r="J2218" s="61" t="n">
        <f aca="false">H2218*Resumo!$C$6</f>
        <v>0</v>
      </c>
      <c r="K2218" s="61" t="n">
        <f aca="false">H2218*Resumo!$C$7</f>
        <v>1.482201</v>
      </c>
      <c r="L2218" s="61" t="n">
        <f aca="false">H2218*Resumo!$C$8</f>
        <v>1.482201</v>
      </c>
      <c r="M2218" s="61" t="n">
        <f aca="false">Resumo!$C$10*CEILING(G2218/100,1)</f>
        <v>1.05</v>
      </c>
      <c r="N2218" s="61" t="n">
        <f aca="false">Resumo!$C$9</f>
        <v>0</v>
      </c>
      <c r="O2218" s="61" t="n">
        <f aca="false">Resumo!$C$13</f>
        <v>13.55</v>
      </c>
      <c r="P2218" s="61" t="n">
        <f aca="false">Resumo!$C$14*CEILING(G2218,1)</f>
        <v>25.65</v>
      </c>
      <c r="Q2218" s="61" t="n">
        <f aca="false">SUM(I2218:P2218)*Resumo!$C$11</f>
        <v>0</v>
      </c>
      <c r="R2218" s="61" t="n">
        <f aca="false">SUM(I2218:Q2218)</f>
        <v>126.794402</v>
      </c>
      <c r="S2218" s="61" t="n">
        <f aca="false">R2218/(1-Resumo!$C$5)</f>
        <v>144.084547727273</v>
      </c>
      <c r="T2218" s="61" t="n">
        <v>142.32</v>
      </c>
      <c r="U2218" s="61" t="n">
        <f aca="false">H2218*Resumo!$B$6</f>
        <v>0.70581</v>
      </c>
      <c r="V2218" s="61" t="n">
        <f aca="false">H2218*Resumo!$B$7</f>
        <v>1.41162</v>
      </c>
      <c r="W2218" s="61" t="n">
        <f aca="false">Resumo!$B$9</f>
        <v>1</v>
      </c>
      <c r="X2218" s="61" t="n">
        <f aca="false">Resumo!$B$10*CEILING(G2218/100,1)</f>
        <v>4.5</v>
      </c>
      <c r="Y2218" s="61" t="n">
        <f aca="false">Resumo!$B$12*CEILING(G2218,1)</f>
        <v>3.42</v>
      </c>
      <c r="Z2218" s="61" t="n">
        <f aca="false">Resumo!$B$14*CEILING(G2218,1)</f>
        <v>25.65</v>
      </c>
      <c r="AA2218" s="61" t="n">
        <f aca="false">SUM(T2218:Z2218)</f>
        <v>179.00743</v>
      </c>
      <c r="AB2218" s="61" t="n">
        <f aca="false">AA2218/(1-Resumo!$B$5)</f>
        <v>203.417534090909</v>
      </c>
      <c r="AC2218" s="61" t="n">
        <f aca="false">AB2218-S2218</f>
        <v>59.3329863636364</v>
      </c>
      <c r="AD2218" s="62" t="n">
        <f aca="false">AB2218/S2218-1</f>
        <v>0.41179284870952</v>
      </c>
      <c r="AE2218" s="60" t="str">
        <f aca="false">IF(AB2218&lt;S2218,"SIM","NÃO")</f>
        <v>NÃO</v>
      </c>
      <c r="AF2218" s="60" t="n">
        <v>13</v>
      </c>
      <c r="AG2218" s="60" t="n">
        <v>10</v>
      </c>
      <c r="AH2218" s="60" t="s">
        <v>382</v>
      </c>
      <c r="AI2218" s="61" t="n">
        <f aca="false">(T2218*(1-Painel!$C$40)+U2218+V2218+Painel!$C$41+Painel!$C$42*CEILING(G2218/100,1)+Painel!$C$43*CEILING(G2218,1)+Z2218)/(1-Resumo!$B$5)</f>
        <v>142.240715909091</v>
      </c>
      <c r="AJ2218" s="60" t="str">
        <f aca="false">IF(AI2218&lt;S2218,"SIM","NÃO")</f>
        <v>SIM</v>
      </c>
    </row>
    <row r="2219" customFormat="false" ht="15" hidden="false" customHeight="false" outlineLevel="0" collapsed="false">
      <c r="A2219" s="59" t="n">
        <v>46295.8862731482</v>
      </c>
      <c r="B2219" s="60" t="s">
        <v>486</v>
      </c>
      <c r="C2219" s="60" t="n">
        <v>28200000</v>
      </c>
      <c r="D2219" s="60" t="s">
        <v>305</v>
      </c>
      <c r="E2219" s="60" t="s">
        <v>24</v>
      </c>
      <c r="F2219" s="60" t="s">
        <v>234</v>
      </c>
      <c r="G2219" s="60" t="n">
        <v>39</v>
      </c>
      <c r="H2219" s="61" t="n">
        <v>619.99</v>
      </c>
      <c r="I2219" s="61" t="n">
        <v>74.97</v>
      </c>
      <c r="J2219" s="61" t="n">
        <f aca="false">H2219*Resumo!$C$6</f>
        <v>0</v>
      </c>
      <c r="K2219" s="61" t="n">
        <f aca="false">H2219*Resumo!$C$7</f>
        <v>1.301979</v>
      </c>
      <c r="L2219" s="61" t="n">
        <f aca="false">H2219*Resumo!$C$8</f>
        <v>1.301979</v>
      </c>
      <c r="M2219" s="61" t="n">
        <f aca="false">Resumo!$C$10*CEILING(G2219/100,1)</f>
        <v>1.05</v>
      </c>
      <c r="N2219" s="61" t="n">
        <f aca="false">Resumo!$C$9</f>
        <v>0</v>
      </c>
      <c r="O2219" s="61" t="n">
        <f aca="false">Resumo!$C$13</f>
        <v>13.55</v>
      </c>
      <c r="P2219" s="61" t="n">
        <f aca="false">Resumo!$C$14*CEILING(G2219,1)</f>
        <v>17.55</v>
      </c>
      <c r="Q2219" s="61" t="n">
        <f aca="false">SUM(I2219:P2219)*Resumo!$C$11</f>
        <v>0</v>
      </c>
      <c r="R2219" s="61" t="n">
        <f aca="false">SUM(I2219:Q2219)</f>
        <v>109.723958</v>
      </c>
      <c r="S2219" s="61" t="n">
        <f aca="false">R2219/(1-Resumo!$C$5)</f>
        <v>124.686315909091</v>
      </c>
      <c r="T2219" s="61" t="n">
        <v>143.04</v>
      </c>
      <c r="U2219" s="61" t="n">
        <f aca="false">H2219*Resumo!$B$6</f>
        <v>0.61999</v>
      </c>
      <c r="V2219" s="61" t="n">
        <f aca="false">H2219*Resumo!$B$7</f>
        <v>1.23998</v>
      </c>
      <c r="W2219" s="61" t="n">
        <f aca="false">Resumo!$B$9</f>
        <v>1</v>
      </c>
      <c r="X2219" s="61" t="n">
        <f aca="false">Resumo!$B$10*CEILING(G2219/100,1)</f>
        <v>4.5</v>
      </c>
      <c r="Y2219" s="61" t="n">
        <f aca="false">Resumo!$B$12*CEILING(G2219,1)</f>
        <v>2.34</v>
      </c>
      <c r="Z2219" s="61" t="n">
        <f aca="false">Resumo!$B$14*CEILING(G2219,1)</f>
        <v>17.55</v>
      </c>
      <c r="AA2219" s="61" t="n">
        <f aca="false">SUM(T2219:Z2219)</f>
        <v>170.28997</v>
      </c>
      <c r="AB2219" s="61" t="n">
        <f aca="false">AA2219/(1-Resumo!$B$5)</f>
        <v>193.511329545455</v>
      </c>
      <c r="AC2219" s="61" t="n">
        <f aca="false">AB2219-S2219</f>
        <v>68.8250136363636</v>
      </c>
      <c r="AD2219" s="62" t="n">
        <f aca="false">AB2219/S2219-1</f>
        <v>0.55198530115</v>
      </c>
      <c r="AE2219" s="60" t="str">
        <f aca="false">IF(AB2219&lt;S2219,"SIM","NÃO")</f>
        <v>NÃO</v>
      </c>
      <c r="AF2219" s="60" t="n">
        <v>13</v>
      </c>
      <c r="AG2219" s="60" t="n">
        <v>11</v>
      </c>
      <c r="AH2219" s="60" t="s">
        <v>385</v>
      </c>
      <c r="AI2219" s="61" t="n">
        <f aca="false">(T2219*(1-Painel!$C$40)+U2219+V2219+Painel!$C$41+Painel!$C$42*CEILING(G2219/100,1)+Painel!$C$43*CEILING(G2219,1)+Z2219)/(1-Resumo!$B$5)</f>
        <v>133.291784090909</v>
      </c>
      <c r="AJ2219" s="60" t="str">
        <f aca="false">IF(AI2219&lt;S2219,"SIM","NÃO")</f>
        <v>NÃO</v>
      </c>
    </row>
    <row r="2220" customFormat="false" ht="15" hidden="false" customHeight="false" outlineLevel="0" collapsed="false">
      <c r="A2220" s="59" t="n">
        <v>46295.8905439815</v>
      </c>
      <c r="B2220" s="60" t="s">
        <v>2306</v>
      </c>
      <c r="C2220" s="60" t="n">
        <v>21510013</v>
      </c>
      <c r="D2220" s="60" t="s">
        <v>46</v>
      </c>
      <c r="E2220" s="60" t="s">
        <v>22</v>
      </c>
      <c r="F2220" s="60" t="s">
        <v>234</v>
      </c>
      <c r="G2220" s="60" t="n">
        <v>39</v>
      </c>
      <c r="H2220" s="61" t="n">
        <v>549.99</v>
      </c>
      <c r="I2220" s="61" t="n">
        <v>48.35</v>
      </c>
      <c r="J2220" s="61" t="n">
        <f aca="false">H2220*Resumo!$C$6</f>
        <v>0</v>
      </c>
      <c r="K2220" s="61" t="n">
        <f aca="false">H2220*Resumo!$C$7</f>
        <v>1.154979</v>
      </c>
      <c r="L2220" s="61" t="n">
        <f aca="false">H2220*Resumo!$C$8</f>
        <v>1.154979</v>
      </c>
      <c r="M2220" s="61" t="n">
        <f aca="false">Resumo!$C$10*CEILING(G2220/100,1)</f>
        <v>1.05</v>
      </c>
      <c r="N2220" s="61" t="n">
        <f aca="false">Resumo!$C$9</f>
        <v>0</v>
      </c>
      <c r="O2220" s="61" t="n">
        <f aca="false">Resumo!$C$13</f>
        <v>13.55</v>
      </c>
      <c r="P2220" s="61" t="n">
        <f aca="false">Resumo!$C$14*CEILING(G2220,1)</f>
        <v>17.55</v>
      </c>
      <c r="Q2220" s="61" t="n">
        <f aca="false">SUM(I2220:P2220)*Resumo!$C$11</f>
        <v>0</v>
      </c>
      <c r="R2220" s="61" t="n">
        <f aca="false">SUM(I2220:Q2220)</f>
        <v>82.809958</v>
      </c>
      <c r="S2220" s="61" t="n">
        <f aca="false">R2220/(1-Resumo!$C$5)</f>
        <v>94.102225</v>
      </c>
      <c r="T2220" s="61" t="n">
        <v>93.97</v>
      </c>
      <c r="U2220" s="61" t="n">
        <f aca="false">H2220*Resumo!$B$6</f>
        <v>0.54999</v>
      </c>
      <c r="V2220" s="61" t="n">
        <f aca="false">H2220*Resumo!$B$7</f>
        <v>1.09998</v>
      </c>
      <c r="W2220" s="61" t="n">
        <f aca="false">Resumo!$B$9</f>
        <v>1</v>
      </c>
      <c r="X2220" s="61" t="n">
        <f aca="false">Resumo!$B$10*CEILING(G2220/100,1)</f>
        <v>4.5</v>
      </c>
      <c r="Y2220" s="61" t="n">
        <f aca="false">Resumo!$B$12*CEILING(G2220,1)</f>
        <v>2.34</v>
      </c>
      <c r="Z2220" s="61" t="n">
        <f aca="false">Resumo!$B$14*CEILING(G2220,1)</f>
        <v>17.55</v>
      </c>
      <c r="AA2220" s="61" t="n">
        <f aca="false">SUM(T2220:Z2220)</f>
        <v>121.00997</v>
      </c>
      <c r="AB2220" s="61" t="n">
        <f aca="false">AA2220/(1-Resumo!$B$5)</f>
        <v>137.511329545455</v>
      </c>
      <c r="AC2220" s="61" t="n">
        <f aca="false">AB2220-S2220</f>
        <v>43.4091045454546</v>
      </c>
      <c r="AD2220" s="62" t="n">
        <f aca="false">AB2220/S2220-1</f>
        <v>0.461297323686603</v>
      </c>
      <c r="AE2220" s="60" t="str">
        <f aca="false">IF(AB2220&lt;S2220,"SIM","NÃO")</f>
        <v>NÃO</v>
      </c>
      <c r="AF2220" s="60" t="n">
        <v>2</v>
      </c>
      <c r="AG2220" s="60" t="n">
        <v>5</v>
      </c>
      <c r="AH2220" s="60" t="s">
        <v>382</v>
      </c>
      <c r="AI2220" s="61" t="n">
        <f aca="false">(T2220*(1-Painel!$C$40)+U2220+V2220+Painel!$C$41+Painel!$C$42*CEILING(G2220/100,1)+Painel!$C$43*CEILING(G2220,1)+Z2220)/(1-Resumo!$B$5)</f>
        <v>95.6930340909091</v>
      </c>
      <c r="AJ2220" s="60" t="str">
        <f aca="false">IF(AI2220&lt;S2220,"SIM","NÃO")</f>
        <v>NÃO</v>
      </c>
    </row>
    <row r="2221" customFormat="false" ht="15" hidden="false" customHeight="false" outlineLevel="0" collapsed="false">
      <c r="A2221" s="59" t="n">
        <v>46295.9039814815</v>
      </c>
      <c r="B2221" s="60" t="s">
        <v>2341</v>
      </c>
      <c r="C2221" s="60" t="n">
        <v>21550160</v>
      </c>
      <c r="D2221" s="60" t="s">
        <v>46</v>
      </c>
      <c r="E2221" s="60" t="s">
        <v>22</v>
      </c>
      <c r="F2221" s="60" t="s">
        <v>233</v>
      </c>
      <c r="G2221" s="60" t="n">
        <v>30.5</v>
      </c>
      <c r="H2221" s="61" t="n">
        <v>406.6</v>
      </c>
      <c r="I2221" s="61" t="n">
        <v>42.11</v>
      </c>
      <c r="J2221" s="61" t="n">
        <f aca="false">H2221*Resumo!$C$6</f>
        <v>0</v>
      </c>
      <c r="K2221" s="61" t="n">
        <f aca="false">H2221*Resumo!$C$7</f>
        <v>0.85386</v>
      </c>
      <c r="L2221" s="61" t="n">
        <f aca="false">H2221*Resumo!$C$8</f>
        <v>0.85386</v>
      </c>
      <c r="M2221" s="61" t="n">
        <f aca="false">Resumo!$C$10*CEILING(G2221/100,1)</f>
        <v>1.05</v>
      </c>
      <c r="N2221" s="61" t="n">
        <f aca="false">Resumo!$C$9</f>
        <v>0</v>
      </c>
      <c r="O2221" s="61" t="n">
        <f aca="false">Resumo!$C$13</f>
        <v>13.55</v>
      </c>
      <c r="P2221" s="61" t="n">
        <f aca="false">Resumo!$C$14*CEILING(G2221,1)</f>
        <v>13.95</v>
      </c>
      <c r="Q2221" s="61" t="n">
        <f aca="false">SUM(I2221:P2221)*Resumo!$C$11</f>
        <v>0</v>
      </c>
      <c r="R2221" s="61" t="n">
        <f aca="false">SUM(I2221:Q2221)</f>
        <v>72.36772</v>
      </c>
      <c r="S2221" s="61" t="n">
        <f aca="false">R2221/(1-Resumo!$C$5)</f>
        <v>82.2360454545455</v>
      </c>
      <c r="T2221" s="61" t="n">
        <v>82.21</v>
      </c>
      <c r="U2221" s="61" t="n">
        <f aca="false">H2221*Resumo!$B$6</f>
        <v>0.4066</v>
      </c>
      <c r="V2221" s="61" t="n">
        <f aca="false">H2221*Resumo!$B$7</f>
        <v>0.8132</v>
      </c>
      <c r="W2221" s="61" t="n">
        <f aca="false">Resumo!$B$9</f>
        <v>1</v>
      </c>
      <c r="X2221" s="61" t="n">
        <f aca="false">Resumo!$B$10*CEILING(G2221/100,1)</f>
        <v>4.5</v>
      </c>
      <c r="Y2221" s="61" t="n">
        <f aca="false">Resumo!$B$12*CEILING(G2221,1)</f>
        <v>1.86</v>
      </c>
      <c r="Z2221" s="61" t="n">
        <f aca="false">Resumo!$B$14*CEILING(G2221,1)</f>
        <v>13.95</v>
      </c>
      <c r="AA2221" s="61" t="n">
        <f aca="false">SUM(T2221:Z2221)</f>
        <v>104.7398</v>
      </c>
      <c r="AB2221" s="61" t="n">
        <f aca="false">AA2221/(1-Resumo!$B$5)</f>
        <v>119.0225</v>
      </c>
      <c r="AC2221" s="61" t="n">
        <f aca="false">AB2221-S2221</f>
        <v>36.7864545454545</v>
      </c>
      <c r="AD2221" s="62" t="n">
        <f aca="false">AB2221/S2221-1</f>
        <v>0.447327620657387</v>
      </c>
      <c r="AE2221" s="60" t="str">
        <f aca="false">IF(AB2221&lt;S2221,"SIM","NÃO")</f>
        <v>NÃO</v>
      </c>
      <c r="AF2221" s="60" t="n">
        <v>2</v>
      </c>
      <c r="AG2221" s="60" t="n">
        <v>5</v>
      </c>
      <c r="AH2221" s="60" t="s">
        <v>382</v>
      </c>
      <c r="AI2221" s="61" t="n">
        <f aca="false">(T2221*(1-Painel!$C$40)+U2221+V2221+Painel!$C$41+Painel!$C$42*CEILING(G2221/100,1)+Painel!$C$43*CEILING(G2221,1)+Z2221)/(1-Resumo!$B$5)</f>
        <v>82.1596590909091</v>
      </c>
      <c r="AJ2221" s="60" t="str">
        <f aca="false">IF(AI2221&lt;S2221,"SIM","NÃO")</f>
        <v>SIM</v>
      </c>
    </row>
    <row r="2222" customFormat="false" ht="15" hidden="false" customHeight="false" outlineLevel="0" collapsed="false">
      <c r="A2222" s="59" t="n">
        <v>46295.9091550926</v>
      </c>
      <c r="B2222" s="60" t="s">
        <v>2342</v>
      </c>
      <c r="C2222" s="60" t="n">
        <v>23040573</v>
      </c>
      <c r="D2222" s="60" t="s">
        <v>46</v>
      </c>
      <c r="E2222" s="60" t="s">
        <v>22</v>
      </c>
      <c r="F2222" s="60" t="s">
        <v>233</v>
      </c>
      <c r="G2222" s="60" t="n">
        <v>31.9</v>
      </c>
      <c r="H2222" s="61" t="n">
        <v>483.99</v>
      </c>
      <c r="I2222" s="61" t="n">
        <v>42.11</v>
      </c>
      <c r="J2222" s="61" t="n">
        <f aca="false">H2222*Resumo!$C$6</f>
        <v>0</v>
      </c>
      <c r="K2222" s="61" t="n">
        <f aca="false">H2222*Resumo!$C$7</f>
        <v>1.016379</v>
      </c>
      <c r="L2222" s="61" t="n">
        <f aca="false">H2222*Resumo!$C$8</f>
        <v>1.016379</v>
      </c>
      <c r="M2222" s="61" t="n">
        <f aca="false">Resumo!$C$10*CEILING(G2222/100,1)</f>
        <v>1.05</v>
      </c>
      <c r="N2222" s="61" t="n">
        <f aca="false">Resumo!$C$9</f>
        <v>0</v>
      </c>
      <c r="O2222" s="61" t="n">
        <f aca="false">Resumo!$C$13</f>
        <v>13.55</v>
      </c>
      <c r="P2222" s="61" t="n">
        <f aca="false">Resumo!$C$14*CEILING(G2222,1)</f>
        <v>14.4</v>
      </c>
      <c r="Q2222" s="61" t="n">
        <f aca="false">SUM(I2222:P2222)*Resumo!$C$11</f>
        <v>0</v>
      </c>
      <c r="R2222" s="61" t="n">
        <f aca="false">SUM(I2222:Q2222)</f>
        <v>73.142758</v>
      </c>
      <c r="S2222" s="61" t="n">
        <f aca="false">R2222/(1-Resumo!$C$5)</f>
        <v>83.1167704545455</v>
      </c>
      <c r="T2222" s="61" t="n">
        <v>82.21</v>
      </c>
      <c r="U2222" s="61" t="n">
        <f aca="false">H2222*Resumo!$B$6</f>
        <v>0.48399</v>
      </c>
      <c r="V2222" s="61" t="n">
        <f aca="false">H2222*Resumo!$B$7</f>
        <v>0.96798</v>
      </c>
      <c r="W2222" s="61" t="n">
        <f aca="false">Resumo!$B$9</f>
        <v>1</v>
      </c>
      <c r="X2222" s="61" t="n">
        <f aca="false">Resumo!$B$10*CEILING(G2222/100,1)</f>
        <v>4.5</v>
      </c>
      <c r="Y2222" s="61" t="n">
        <f aca="false">Resumo!$B$12*CEILING(G2222,1)</f>
        <v>1.92</v>
      </c>
      <c r="Z2222" s="61" t="n">
        <f aca="false">Resumo!$B$14*CEILING(G2222,1)</f>
        <v>14.4</v>
      </c>
      <c r="AA2222" s="61" t="n">
        <f aca="false">SUM(T2222:Z2222)</f>
        <v>105.48197</v>
      </c>
      <c r="AB2222" s="61" t="n">
        <f aca="false">AA2222/(1-Resumo!$B$5)</f>
        <v>119.865875</v>
      </c>
      <c r="AC2222" s="61" t="n">
        <f aca="false">AB2222-S2222</f>
        <v>36.7491045454545</v>
      </c>
      <c r="AD2222" s="62" t="n">
        <f aca="false">AB2222/S2222-1</f>
        <v>0.442138263367099</v>
      </c>
      <c r="AE2222" s="60" t="str">
        <f aca="false">IF(AB2222&lt;S2222,"SIM","NÃO")</f>
        <v>NÃO</v>
      </c>
      <c r="AF2222" s="60" t="n">
        <v>2</v>
      </c>
      <c r="AG2222" s="60" t="n">
        <v>5</v>
      </c>
      <c r="AH2222" s="60" t="s">
        <v>382</v>
      </c>
      <c r="AI2222" s="61" t="n">
        <f aca="false">(T2222*(1-Painel!$C$40)+U2222+V2222+Painel!$C$41+Painel!$C$42*CEILING(G2222/100,1)+Painel!$C$43*CEILING(G2222,1)+Z2222)/(1-Resumo!$B$5)</f>
        <v>82.9348522727273</v>
      </c>
      <c r="AJ2222" s="60" t="str">
        <f aca="false">IF(AI2222&lt;S2222,"SIM","NÃO")</f>
        <v>SIM</v>
      </c>
    </row>
    <row r="2223" customFormat="false" ht="15" hidden="false" customHeight="false" outlineLevel="0" collapsed="false">
      <c r="A2223" s="59" t="n">
        <v>46295.9291435185</v>
      </c>
      <c r="B2223" s="60" t="s">
        <v>2343</v>
      </c>
      <c r="C2223" s="60" t="n">
        <v>23071642</v>
      </c>
      <c r="D2223" s="60" t="s">
        <v>46</v>
      </c>
      <c r="E2223" s="60" t="s">
        <v>22</v>
      </c>
      <c r="F2223" s="60" t="s">
        <v>237</v>
      </c>
      <c r="G2223" s="60" t="n">
        <v>66.8</v>
      </c>
      <c r="H2223" s="61" t="n">
        <v>691.9</v>
      </c>
      <c r="I2223" s="61" t="n">
        <v>63.21</v>
      </c>
      <c r="J2223" s="61" t="n">
        <f aca="false">H2223*Resumo!$C$6</f>
        <v>0</v>
      </c>
      <c r="K2223" s="61" t="n">
        <f aca="false">H2223*Resumo!$C$7</f>
        <v>1.45299</v>
      </c>
      <c r="L2223" s="61" t="n">
        <f aca="false">H2223*Resumo!$C$8</f>
        <v>1.45299</v>
      </c>
      <c r="M2223" s="61" t="n">
        <f aca="false">Resumo!$C$10*CEILING(G2223/100,1)</f>
        <v>1.05</v>
      </c>
      <c r="N2223" s="61" t="n">
        <f aca="false">Resumo!$C$9</f>
        <v>0</v>
      </c>
      <c r="O2223" s="61" t="n">
        <f aca="false">Resumo!$C$13</f>
        <v>13.55</v>
      </c>
      <c r="P2223" s="61" t="n">
        <f aca="false">Resumo!$C$14*CEILING(G2223,1)</f>
        <v>30.15</v>
      </c>
      <c r="Q2223" s="61" t="n">
        <f aca="false">SUM(I2223:P2223)*Resumo!$C$11</f>
        <v>0</v>
      </c>
      <c r="R2223" s="61" t="n">
        <f aca="false">SUM(I2223:Q2223)</f>
        <v>110.86598</v>
      </c>
      <c r="S2223" s="61" t="n">
        <f aca="false">R2223/(1-Resumo!$C$5)</f>
        <v>125.984068181818</v>
      </c>
      <c r="T2223" s="61" t="n">
        <v>131.02</v>
      </c>
      <c r="U2223" s="61" t="n">
        <f aca="false">H2223*Resumo!$B$6</f>
        <v>0.6919</v>
      </c>
      <c r="V2223" s="61" t="n">
        <f aca="false">H2223*Resumo!$B$7</f>
        <v>1.3838</v>
      </c>
      <c r="W2223" s="61" t="n">
        <f aca="false">Resumo!$B$9</f>
        <v>1</v>
      </c>
      <c r="X2223" s="61" t="n">
        <f aca="false">Resumo!$B$10*CEILING(G2223/100,1)</f>
        <v>4.5</v>
      </c>
      <c r="Y2223" s="61" t="n">
        <f aca="false">Resumo!$B$12*CEILING(G2223,1)</f>
        <v>4.02</v>
      </c>
      <c r="Z2223" s="61" t="n">
        <f aca="false">Resumo!$B$14*CEILING(G2223,1)</f>
        <v>30.15</v>
      </c>
      <c r="AA2223" s="61" t="n">
        <f aca="false">SUM(T2223:Z2223)</f>
        <v>172.7657</v>
      </c>
      <c r="AB2223" s="61" t="n">
        <f aca="false">AA2223/(1-Resumo!$B$5)</f>
        <v>196.324659090909</v>
      </c>
      <c r="AC2223" s="61" t="n">
        <f aca="false">AB2223-S2223</f>
        <v>70.3405909090909</v>
      </c>
      <c r="AD2223" s="62" t="n">
        <f aca="false">AB2223/S2223-1</f>
        <v>0.558329254835433</v>
      </c>
      <c r="AE2223" s="60" t="str">
        <f aca="false">IF(AB2223&lt;S2223,"SIM","NÃO")</f>
        <v>NÃO</v>
      </c>
      <c r="AF2223" s="60" t="n">
        <v>2</v>
      </c>
      <c r="AG2223" s="60" t="n">
        <v>5</v>
      </c>
      <c r="AH2223" s="60" t="s">
        <v>382</v>
      </c>
      <c r="AI2223" s="61" t="n">
        <f aca="false">(T2223*(1-Painel!$C$40)+U2223+V2223+Painel!$C$41+Painel!$C$42*CEILING(G2223/100,1)+Painel!$C$43*CEILING(G2223,1)+Z2223)/(1-Resumo!$B$5)</f>
        <v>138.703522727273</v>
      </c>
      <c r="AJ2223" s="60" t="str">
        <f aca="false">IF(AI2223&lt;S2223,"SIM","NÃO")</f>
        <v>NÃO</v>
      </c>
    </row>
    <row r="2224" customFormat="false" ht="15" hidden="false" customHeight="false" outlineLevel="0" collapsed="false">
      <c r="A2224" s="59" t="n">
        <v>46295.9594328704</v>
      </c>
      <c r="B2224" s="60" t="s">
        <v>2344</v>
      </c>
      <c r="C2224" s="60" t="n">
        <v>27130360</v>
      </c>
      <c r="D2224" s="60" t="s">
        <v>290</v>
      </c>
      <c r="E2224" s="60" t="s">
        <v>24</v>
      </c>
      <c r="F2224" s="60" t="s">
        <v>236</v>
      </c>
      <c r="G2224" s="60" t="n">
        <v>51.5</v>
      </c>
      <c r="H2224" s="61" t="n">
        <v>478.99</v>
      </c>
      <c r="I2224" s="61" t="n">
        <v>83.58</v>
      </c>
      <c r="J2224" s="61" t="n">
        <f aca="false">H2224*Resumo!$C$6</f>
        <v>0</v>
      </c>
      <c r="K2224" s="61" t="n">
        <f aca="false">H2224*Resumo!$C$7</f>
        <v>1.005879</v>
      </c>
      <c r="L2224" s="61" t="n">
        <f aca="false">H2224*Resumo!$C$8</f>
        <v>1.005879</v>
      </c>
      <c r="M2224" s="61" t="n">
        <f aca="false">Resumo!$C$10*CEILING(G2224/100,1)</f>
        <v>1.05</v>
      </c>
      <c r="N2224" s="61" t="n">
        <f aca="false">Resumo!$C$9</f>
        <v>0</v>
      </c>
      <c r="O2224" s="61" t="n">
        <f aca="false">Resumo!$C$13</f>
        <v>13.55</v>
      </c>
      <c r="P2224" s="61" t="n">
        <f aca="false">Resumo!$C$14*CEILING(G2224,1)</f>
        <v>23.4</v>
      </c>
      <c r="Q2224" s="61" t="n">
        <f aca="false">SUM(I2224:P2224)*Resumo!$C$11</f>
        <v>0</v>
      </c>
      <c r="R2224" s="61" t="n">
        <f aca="false">SUM(I2224:Q2224)</f>
        <v>123.591758</v>
      </c>
      <c r="S2224" s="61" t="n">
        <f aca="false">R2224/(1-Resumo!$C$5)</f>
        <v>140.445179545455</v>
      </c>
      <c r="T2224" s="61" t="n">
        <v>142.32</v>
      </c>
      <c r="U2224" s="61" t="n">
        <f aca="false">H2224*Resumo!$B$6</f>
        <v>0.47899</v>
      </c>
      <c r="V2224" s="61" t="n">
        <f aca="false">H2224*Resumo!$B$7</f>
        <v>0.95798</v>
      </c>
      <c r="W2224" s="61" t="n">
        <f aca="false">Resumo!$B$9</f>
        <v>1</v>
      </c>
      <c r="X2224" s="61" t="n">
        <f aca="false">Resumo!$B$10*CEILING(G2224/100,1)</f>
        <v>4.5</v>
      </c>
      <c r="Y2224" s="61" t="n">
        <f aca="false">Resumo!$B$12*CEILING(G2224,1)</f>
        <v>3.12</v>
      </c>
      <c r="Z2224" s="61" t="n">
        <f aca="false">Resumo!$B$14*CEILING(G2224,1)</f>
        <v>23.4</v>
      </c>
      <c r="AA2224" s="61" t="n">
        <f aca="false">SUM(T2224:Z2224)</f>
        <v>175.77697</v>
      </c>
      <c r="AB2224" s="61" t="n">
        <f aca="false">AA2224/(1-Resumo!$B$5)</f>
        <v>199.746556818182</v>
      </c>
      <c r="AC2224" s="61" t="n">
        <f aca="false">AB2224-S2224</f>
        <v>59.3013772727273</v>
      </c>
      <c r="AD2224" s="62" t="n">
        <f aca="false">AB2224/S2224-1</f>
        <v>0.422238609147384</v>
      </c>
      <c r="AE2224" s="60" t="str">
        <f aca="false">IF(AB2224&lt;S2224,"SIM","NÃO")</f>
        <v>NÃO</v>
      </c>
      <c r="AF2224" s="60" t="n">
        <v>13</v>
      </c>
      <c r="AG2224" s="60" t="n">
        <v>10</v>
      </c>
      <c r="AH2224" s="60" t="s">
        <v>385</v>
      </c>
      <c r="AI2224" s="61" t="n">
        <f aca="false">(T2224*(1-Painel!$C$40)+U2224+V2224+Painel!$C$41+Painel!$C$42*CEILING(G2224/100,1)+Painel!$C$43*CEILING(G2224,1)+Z2224)/(1-Resumo!$B$5)</f>
        <v>138.910647727273</v>
      </c>
      <c r="AJ2224" s="60" t="str">
        <f aca="false">IF(AI2224&lt;S2224,"SIM","NÃO")</f>
        <v>SIM</v>
      </c>
    </row>
  </sheetData>
  <autoFilter ref="A1:AJ2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2026-10-29T19:51:55Z</dcterms:created>
  <dc:creator>openpyxl</dc:creator>
  <dc:description/>
  <dc:language>en-US</dc:language>
  <cp:lastModifiedBy/>
  <dcterms:modified xsi:type="dcterms:W3CDTF">2026-10-29T19:52:02Z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